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TESE_Paim/Capitulo_3_1/"/>
    </mc:Choice>
  </mc:AlternateContent>
  <xr:revisionPtr revIDLastSave="0" documentId="8_{85CB3CE3-2D76-4602-86E2-491CB501703F}" xr6:coauthVersionLast="47" xr6:coauthVersionMax="47" xr10:uidLastSave="{00000000-0000-0000-0000-000000000000}"/>
  <bookViews>
    <workbookView xWindow="28680" yWindow="-120" windowWidth="29040" windowHeight="15720" xr2:uid="{83412E74-55DA-4ACC-BEEA-ABB1ECFB4FC6}"/>
  </bookViews>
  <sheets>
    <sheet name="TRU_DEMANDA_FINAL" sheetId="2" r:id="rId1"/>
    <sheet name="Planilha1" sheetId="1" r:id="rId2"/>
  </sheets>
  <definedNames>
    <definedName name="DadosExternos_1" localSheetId="0" hidden="1">TRU_DEMANDA_FINAL!$A$1:$J$23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9" i="2" l="1"/>
  <c r="D49" i="2"/>
  <c r="E49" i="2"/>
  <c r="F49" i="2"/>
  <c r="G49" i="2"/>
  <c r="H49" i="2"/>
  <c r="B49" i="2"/>
  <c r="B27" i="2"/>
  <c r="C27" i="2"/>
  <c r="D27" i="2"/>
  <c r="E27" i="2"/>
  <c r="F27" i="2"/>
  <c r="G27" i="2"/>
  <c r="H27" i="2"/>
  <c r="I27" i="2"/>
  <c r="B28" i="2"/>
  <c r="C28" i="2"/>
  <c r="D28" i="2"/>
  <c r="E28" i="2"/>
  <c r="F28" i="2"/>
  <c r="G28" i="2"/>
  <c r="H28" i="2"/>
  <c r="I28" i="2"/>
  <c r="B29" i="2"/>
  <c r="C29" i="2"/>
  <c r="D29" i="2"/>
  <c r="E29" i="2"/>
  <c r="F29" i="2"/>
  <c r="G29" i="2"/>
  <c r="H29" i="2"/>
  <c r="I29" i="2"/>
  <c r="B30" i="2"/>
  <c r="C30" i="2"/>
  <c r="D30" i="2"/>
  <c r="E30" i="2"/>
  <c r="F30" i="2"/>
  <c r="G30" i="2"/>
  <c r="H30" i="2"/>
  <c r="I30" i="2"/>
  <c r="B31" i="2"/>
  <c r="C31" i="2"/>
  <c r="D31" i="2"/>
  <c r="E31" i="2"/>
  <c r="F31" i="2"/>
  <c r="G31" i="2"/>
  <c r="H31" i="2"/>
  <c r="I31" i="2"/>
  <c r="B32" i="2"/>
  <c r="C32" i="2"/>
  <c r="D32" i="2"/>
  <c r="E32" i="2"/>
  <c r="F32" i="2"/>
  <c r="G32" i="2"/>
  <c r="H32" i="2"/>
  <c r="I32" i="2"/>
  <c r="B33" i="2"/>
  <c r="C33" i="2"/>
  <c r="D33" i="2"/>
  <c r="E33" i="2"/>
  <c r="F33" i="2"/>
  <c r="G33" i="2"/>
  <c r="H33" i="2"/>
  <c r="I33" i="2"/>
  <c r="B34" i="2"/>
  <c r="C34" i="2"/>
  <c r="D34" i="2"/>
  <c r="E34" i="2"/>
  <c r="F34" i="2"/>
  <c r="G34" i="2"/>
  <c r="H34" i="2"/>
  <c r="I34" i="2"/>
  <c r="B35" i="2"/>
  <c r="C35" i="2"/>
  <c r="D35" i="2"/>
  <c r="E35" i="2"/>
  <c r="F35" i="2"/>
  <c r="G35" i="2"/>
  <c r="H35" i="2"/>
  <c r="I35" i="2"/>
  <c r="B36" i="2"/>
  <c r="C36" i="2"/>
  <c r="D36" i="2"/>
  <c r="E36" i="2"/>
  <c r="F36" i="2"/>
  <c r="G36" i="2"/>
  <c r="H36" i="2"/>
  <c r="I36" i="2"/>
  <c r="B37" i="2"/>
  <c r="C37" i="2"/>
  <c r="D37" i="2"/>
  <c r="E37" i="2"/>
  <c r="F37" i="2"/>
  <c r="G37" i="2"/>
  <c r="H37" i="2"/>
  <c r="I37" i="2"/>
  <c r="B38" i="2"/>
  <c r="C38" i="2"/>
  <c r="D38" i="2"/>
  <c r="E38" i="2"/>
  <c r="F38" i="2"/>
  <c r="G38" i="2"/>
  <c r="H38" i="2"/>
  <c r="I38" i="2"/>
  <c r="B39" i="2"/>
  <c r="C39" i="2"/>
  <c r="D39" i="2"/>
  <c r="E39" i="2"/>
  <c r="F39" i="2"/>
  <c r="G39" i="2"/>
  <c r="H39" i="2"/>
  <c r="I39" i="2"/>
  <c r="B40" i="2"/>
  <c r="C40" i="2"/>
  <c r="D40" i="2"/>
  <c r="E40" i="2"/>
  <c r="F40" i="2"/>
  <c r="G40" i="2"/>
  <c r="H40" i="2"/>
  <c r="I40" i="2"/>
  <c r="B41" i="2"/>
  <c r="C41" i="2"/>
  <c r="D41" i="2"/>
  <c r="E41" i="2"/>
  <c r="F41" i="2"/>
  <c r="G41" i="2"/>
  <c r="H41" i="2"/>
  <c r="I41" i="2"/>
  <c r="B42" i="2"/>
  <c r="C42" i="2"/>
  <c r="D42" i="2"/>
  <c r="E42" i="2"/>
  <c r="F42" i="2"/>
  <c r="G42" i="2"/>
  <c r="H42" i="2"/>
  <c r="I42" i="2"/>
  <c r="B43" i="2"/>
  <c r="C43" i="2"/>
  <c r="D43" i="2"/>
  <c r="E43" i="2"/>
  <c r="F43" i="2"/>
  <c r="G43" i="2"/>
  <c r="H43" i="2"/>
  <c r="I43" i="2"/>
  <c r="B44" i="2"/>
  <c r="C44" i="2"/>
  <c r="D44" i="2"/>
  <c r="E44" i="2"/>
  <c r="F44" i="2"/>
  <c r="G44" i="2"/>
  <c r="H44" i="2"/>
  <c r="I44" i="2"/>
  <c r="B45" i="2"/>
  <c r="C45" i="2"/>
  <c r="D45" i="2"/>
  <c r="E45" i="2"/>
  <c r="F45" i="2"/>
  <c r="G45" i="2"/>
  <c r="H45" i="2"/>
  <c r="I45" i="2"/>
  <c r="B46" i="2"/>
  <c r="C46" i="2"/>
  <c r="D46" i="2"/>
  <c r="E46" i="2"/>
  <c r="F46" i="2"/>
  <c r="G46" i="2"/>
  <c r="H46" i="2"/>
  <c r="I46" i="2"/>
  <c r="B47" i="2"/>
  <c r="C47" i="2"/>
  <c r="D47" i="2"/>
  <c r="E47" i="2"/>
  <c r="F47" i="2"/>
  <c r="G47" i="2"/>
  <c r="H47" i="2"/>
  <c r="I47" i="2"/>
  <c r="C26" i="2"/>
  <c r="D26" i="2"/>
  <c r="E26" i="2"/>
  <c r="F26" i="2"/>
  <c r="G26" i="2"/>
  <c r="H26" i="2"/>
  <c r="I26" i="2"/>
  <c r="B26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BE4EE-DE82-4989-A373-8DB541B0AC2C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14417388-F39D-4634-AD61-5D8D4C40AC8E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3" xr16:uid="{282B0585-E246-46BA-8D29-B261AADFDFC3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4" xr16:uid="{D02277D1-0114-4489-9CCF-4265C69865B8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5" xr16:uid="{F31DE8FE-FEB9-4361-97F9-8CDDCDD7EF29}" keepAlive="1" name="Consulta - TRU_DEMANDA_FINAL" description="Conexão com a consulta 'TRU_DEMANDA_FINAL' na pasta de trabalho." type="5" refreshedVersion="8" background="1" saveData="1">
    <dbPr connection="Provider=Microsoft.Mashup.OleDb.1;Data Source=$Workbook$;Location=TRU_DEMANDA_FINAL;Extended Properties=&quot;&quot;" command="SELECT * FROM [TRU_DEMANDA_FINAL]"/>
  </connection>
</connections>
</file>

<file path=xl/sharedStrings.xml><?xml version="1.0" encoding="utf-8"?>
<sst xmlns="http://schemas.openxmlformats.org/spreadsheetml/2006/main" count="63" uniqueCount="32">
  <si>
    <t>ANO</t>
  </si>
  <si>
    <t xml:space="preserve">Exportação
de bens </t>
  </si>
  <si>
    <t>Exportação
de serviços</t>
  </si>
  <si>
    <t>Consumo
da administração pública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</si>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</sst>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2" fillId="2" borderId="2" xfId="0" applyFont="1" applyFill="1" applyBorder="1"/>
    <xf numFmtId="0" fontId="2" fillId="2" borderId="3" xfId="0" applyFont="1" applyFill="1" applyBorder="1"/>
    <xf numFmtId="164" fontId="0" fillId="0" borderId="0" xfId="1" applyNumberFormat="1" applyFont="1"/>
    <xf numFmtId="0" fontId="0" fillId="3" borderId="1" xfId="0" applyNumberFormat="1" applyFont="1" applyFill="1" applyBorder="1"/>
    <xf numFmtId="0" fontId="0" fillId="0" borderId="1" xfId="0" applyNumberFormat="1" applyFont="1" applyBorder="1"/>
  </cellXfs>
  <cellStyles count="2">
    <cellStyle name="Normal" xfId="0" builtinId="0"/>
    <cellStyle name="Porcentagem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803AA8E3-A9C2-4899-A46D-F63763C00176}" autoFormatId="16" applyNumberFormats="0" applyBorderFormats="0" applyFontFormats="0" applyPatternFormats="0" applyAlignmentFormats="0" applyWidthHeightFormats="0">
  <queryTableRefresh nextId="11">
    <queryTableFields count="10">
      <queryTableField id="1" name="ANO" tableColumnId="1"/>
      <queryTableField id="2" name="Exportação_x000a_de bens " tableColumnId="2"/>
      <queryTableField id="3" name="Exportação_x000a_de serviços" tableColumnId="3"/>
      <queryTableField id="4" name="Consumo_x000a_da administração pública" tableColumnId="4"/>
      <queryTableField id="5" name="Consumo_x000a_das_x000a_ ISFLSF" tableColumnId="5"/>
      <queryTableField id="6" name="Consumo _x000a_das famílias" tableColumnId="6"/>
      <queryTableField id="7" name="Formação bruta_x000a_de capital fixo" tableColumnId="7"/>
      <queryTableField id="8" name="Variação_x000a_de estoque" tableColumnId="8"/>
      <queryTableField id="9" name="Demanda_x000a_final" tableColumnId="9"/>
      <queryTableField id="10" name="Demanda_x000a_tota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C7CFD-B328-480D-BAC8-8AEDF1BC4F8B}" name="TRU_DEMANDA_FINAL" displayName="TRU_DEMANDA_FINAL" ref="A1:J23" tableType="queryTable" totalsRowShown="0">
  <autoFilter ref="A1:J23" xr:uid="{65BC7CFD-B328-480D-BAC8-8AEDF1BC4F8B}"/>
  <tableColumns count="10">
    <tableColumn id="1" xr3:uid="{94D91418-4F33-43FE-8DBB-319A13539870}" uniqueName="1" name="ANO" queryTableFieldId="1" dataDxfId="0"/>
    <tableColumn id="2" xr3:uid="{2EA10505-6963-43FF-85CC-84A2D22B7BC5}" uniqueName="2" name="Exportação_x000a_de bens " queryTableFieldId="2"/>
    <tableColumn id="3" xr3:uid="{06B14506-FDB5-4935-8CCD-AF142FBAB4D0}" uniqueName="3" name="Exportação_x000a_de serviços" queryTableFieldId="3"/>
    <tableColumn id="4" xr3:uid="{22A58D91-00C3-4481-BC3B-0282D944B0FB}" uniqueName="4" name="Consumo_x000a_da administração pública" queryTableFieldId="4"/>
    <tableColumn id="5" xr3:uid="{E2CB13BE-19D4-434E-B304-C2D3B4F66171}" uniqueName="5" name="Consumo_x000a_das_x000a_ ISFLSF" queryTableFieldId="5"/>
    <tableColumn id="6" xr3:uid="{4565A766-88EE-4E24-9AFB-A03C46AECE01}" uniqueName="6" name="Consumo _x000a_das famílias" queryTableFieldId="6"/>
    <tableColumn id="7" xr3:uid="{3F9D77DE-90C7-43A5-B62B-20F74AAEE7A1}" uniqueName="7" name="Formação bruta_x000a_de capital fixo" queryTableFieldId="7"/>
    <tableColumn id="8" xr3:uid="{B512A82D-B251-45E9-9B6E-D8948E5244BD}" uniqueName="8" name="Variação_x000a_de estoque" queryTableFieldId="8"/>
    <tableColumn id="9" xr3:uid="{7AD7677A-D86F-4899-9DA5-280A7BC6B99E}" uniqueName="9" name="Demanda_x000a_final" queryTableFieldId="9"/>
    <tableColumn id="10" xr3:uid="{D1C5EC4E-89E2-4978-9562-A9E57DD93FAA}" uniqueName="10" name="Demanda_x000a_total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6193-E523-4B6E-93CB-DA83F9A71511}">
  <dimension ref="A1:L49"/>
  <sheetViews>
    <sheetView tabSelected="1" topLeftCell="A10" zoomScale="85" zoomScaleNormal="85" workbookViewId="0">
      <selection activeCell="B49" sqref="B49:H49"/>
    </sheetView>
  </sheetViews>
  <sheetFormatPr defaultRowHeight="15" x14ac:dyDescent="0.25"/>
  <cols>
    <col min="1" max="1" width="7.28515625" bestFit="1" customWidth="1"/>
    <col min="2" max="2" width="21.140625" bestFit="1" customWidth="1"/>
    <col min="3" max="3" width="24" bestFit="1" customWidth="1"/>
    <col min="4" max="4" width="35" bestFit="1" customWidth="1"/>
    <col min="5" max="6" width="23.42578125" bestFit="1" customWidth="1"/>
    <col min="7" max="7" width="30.140625" bestFit="1" customWidth="1"/>
    <col min="8" max="8" width="21.140625" bestFit="1" customWidth="1"/>
    <col min="9" max="9" width="16.85546875" bestFit="1" customWidth="1"/>
    <col min="10" max="10" width="17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5">
      <c r="A2" s="1" t="s">
        <v>10</v>
      </c>
      <c r="B2">
        <v>105311</v>
      </c>
      <c r="C2">
        <v>16853</v>
      </c>
      <c r="D2">
        <v>225044</v>
      </c>
      <c r="E2">
        <v>20193</v>
      </c>
      <c r="F2">
        <v>754333</v>
      </c>
      <c r="G2">
        <v>219488</v>
      </c>
      <c r="H2">
        <v>7178</v>
      </c>
      <c r="I2">
        <v>1348400</v>
      </c>
      <c r="J2">
        <v>2404810</v>
      </c>
      <c r="L2" s="4">
        <f>TRU_DEMANDA_FINAL[[#This Row],[Consumo 
das famílias]]/TRU_DEMANDA_FINAL[[#This Row],[Demanda
final]]</f>
        <v>0.55942821121328978</v>
      </c>
    </row>
    <row r="3" spans="1:12" x14ac:dyDescent="0.25">
      <c r="A3" s="1" t="s">
        <v>11</v>
      </c>
      <c r="B3">
        <v>141875</v>
      </c>
      <c r="C3">
        <v>20906</v>
      </c>
      <c r="D3">
        <v>254510</v>
      </c>
      <c r="E3">
        <v>20845</v>
      </c>
      <c r="F3">
        <v>822656</v>
      </c>
      <c r="G3">
        <v>242337</v>
      </c>
      <c r="H3">
        <v>4260</v>
      </c>
      <c r="I3">
        <v>1507390</v>
      </c>
      <c r="J3">
        <v>2708397</v>
      </c>
      <c r="L3" s="4">
        <f>TRU_DEMANDA_FINAL[[#This Row],[Consumo 
das famílias]]/TRU_DEMANDA_FINAL[[#This Row],[Demanda
final]]</f>
        <v>0.54574861183900647</v>
      </c>
    </row>
    <row r="4" spans="1:12" x14ac:dyDescent="0.25">
      <c r="A4" s="1" t="s">
        <v>12</v>
      </c>
      <c r="B4">
        <v>185453</v>
      </c>
      <c r="C4">
        <v>26410</v>
      </c>
      <c r="D4">
        <v>294924</v>
      </c>
      <c r="E4">
        <v>25922</v>
      </c>
      <c r="F4">
        <v>895614</v>
      </c>
      <c r="G4">
        <v>266884</v>
      </c>
      <c r="H4">
        <v>-7104</v>
      </c>
      <c r="I4">
        <v>1688103</v>
      </c>
      <c r="J4">
        <v>3067450</v>
      </c>
      <c r="L4" s="4">
        <f>TRU_DEMANDA_FINAL[[#This Row],[Consumo 
das famílias]]/TRU_DEMANDA_FINAL[[#This Row],[Demanda
final]]</f>
        <v>0.530544640937194</v>
      </c>
    </row>
    <row r="5" spans="1:12" x14ac:dyDescent="0.25">
      <c r="A5" s="1" t="s">
        <v>13</v>
      </c>
      <c r="B5">
        <v>229177</v>
      </c>
      <c r="C5">
        <v>31621</v>
      </c>
      <c r="D5">
        <v>327742</v>
      </c>
      <c r="E5">
        <v>27430</v>
      </c>
      <c r="F5">
        <v>1035030</v>
      </c>
      <c r="G5">
        <v>285262</v>
      </c>
      <c r="H5">
        <v>4328</v>
      </c>
      <c r="I5">
        <v>1940590</v>
      </c>
      <c r="J5">
        <v>3617168</v>
      </c>
      <c r="L5" s="4">
        <f>TRU_DEMANDA_FINAL[[#This Row],[Consumo 
das famílias]]/TRU_DEMANDA_FINAL[[#This Row],[Demanda
final]]</f>
        <v>0.53335841161708553</v>
      </c>
    </row>
    <row r="6" spans="1:12" x14ac:dyDescent="0.25">
      <c r="A6" s="1" t="s">
        <v>14</v>
      </c>
      <c r="B6">
        <v>289198</v>
      </c>
      <c r="C6">
        <v>34727</v>
      </c>
      <c r="D6">
        <v>361549</v>
      </c>
      <c r="E6">
        <v>31333</v>
      </c>
      <c r="F6">
        <v>1147362</v>
      </c>
      <c r="G6">
        <v>339087</v>
      </c>
      <c r="H6">
        <v>11596</v>
      </c>
      <c r="I6">
        <v>2214853</v>
      </c>
      <c r="J6">
        <v>4152442</v>
      </c>
      <c r="L6" s="4">
        <f>TRU_DEMANDA_FINAL[[#This Row],[Consumo 
das famílias]]/TRU_DEMANDA_FINAL[[#This Row],[Demanda
final]]</f>
        <v>0.51803076773040924</v>
      </c>
    </row>
    <row r="7" spans="1:12" x14ac:dyDescent="0.25">
      <c r="A7" s="1" t="s">
        <v>15</v>
      </c>
      <c r="B7">
        <v>293387</v>
      </c>
      <c r="C7">
        <v>37493</v>
      </c>
      <c r="D7">
        <v>410023</v>
      </c>
      <c r="E7">
        <v>36269</v>
      </c>
      <c r="F7">
        <v>1277027</v>
      </c>
      <c r="G7">
        <v>370219</v>
      </c>
      <c r="H7">
        <v>3228</v>
      </c>
      <c r="I7">
        <v>2427646</v>
      </c>
      <c r="J7">
        <v>4567151</v>
      </c>
      <c r="L7" s="4">
        <f>TRU_DEMANDA_FINAL[[#This Row],[Consumo 
das famílias]]/TRU_DEMANDA_FINAL[[#This Row],[Demanda
final]]</f>
        <v>0.5260350973741641</v>
      </c>
    </row>
    <row r="8" spans="1:12" x14ac:dyDescent="0.25">
      <c r="A8" s="1" t="s">
        <v>16</v>
      </c>
      <c r="B8">
        <v>306012</v>
      </c>
      <c r="C8">
        <v>40330</v>
      </c>
      <c r="D8">
        <v>458733</v>
      </c>
      <c r="E8">
        <v>44529</v>
      </c>
      <c r="F8">
        <v>1411686</v>
      </c>
      <c r="G8">
        <v>414674</v>
      </c>
      <c r="H8">
        <v>14605</v>
      </c>
      <c r="I8">
        <v>2690570</v>
      </c>
      <c r="J8">
        <v>4980477</v>
      </c>
      <c r="L8" s="4">
        <f>TRU_DEMANDA_FINAL[[#This Row],[Consumo 
das famílias]]/TRU_DEMANDA_FINAL[[#This Row],[Demanda
final]]</f>
        <v>0.52467915720460723</v>
      </c>
    </row>
    <row r="9" spans="1:12" x14ac:dyDescent="0.25">
      <c r="A9" s="1" t="s">
        <v>17</v>
      </c>
      <c r="B9">
        <v>317977</v>
      </c>
      <c r="C9">
        <v>44571</v>
      </c>
      <c r="D9">
        <v>515299</v>
      </c>
      <c r="E9">
        <v>43124</v>
      </c>
      <c r="F9">
        <v>1585632</v>
      </c>
      <c r="G9">
        <v>489532</v>
      </c>
      <c r="H9">
        <v>49606</v>
      </c>
      <c r="I9">
        <v>3045741</v>
      </c>
      <c r="J9">
        <v>5584944</v>
      </c>
      <c r="L9" s="4">
        <f>TRU_DEMANDA_FINAL[[#This Row],[Consumo 
das famílias]]/TRU_DEMANDA_FINAL[[#This Row],[Demanda
final]]</f>
        <v>0.52060631550745784</v>
      </c>
    </row>
    <row r="10" spans="1:12" x14ac:dyDescent="0.25">
      <c r="A10" s="1" t="s">
        <v>18</v>
      </c>
      <c r="B10">
        <v>366874</v>
      </c>
      <c r="C10">
        <v>54007</v>
      </c>
      <c r="D10">
        <v>585868</v>
      </c>
      <c r="E10">
        <v>47716</v>
      </c>
      <c r="F10">
        <v>1809794</v>
      </c>
      <c r="G10">
        <v>602846</v>
      </c>
      <c r="H10">
        <v>69475</v>
      </c>
      <c r="I10">
        <v>3536579</v>
      </c>
      <c r="J10">
        <v>6498160</v>
      </c>
      <c r="L10" s="4">
        <f>TRU_DEMANDA_FINAL[[#This Row],[Consumo 
das famílias]]/TRU_DEMANDA_FINAL[[#This Row],[Demanda
final]]</f>
        <v>0.51173577629681111</v>
      </c>
    </row>
    <row r="11" spans="1:12" x14ac:dyDescent="0.25">
      <c r="A11" s="1" t="s">
        <v>19</v>
      </c>
      <c r="B11">
        <v>307493</v>
      </c>
      <c r="C11">
        <v>54187</v>
      </c>
      <c r="D11">
        <v>654964</v>
      </c>
      <c r="E11">
        <v>53270</v>
      </c>
      <c r="F11">
        <v>2011763</v>
      </c>
      <c r="G11">
        <v>636676</v>
      </c>
      <c r="H11">
        <v>-10193</v>
      </c>
      <c r="I11">
        <v>3708160</v>
      </c>
      <c r="J11">
        <v>6658441</v>
      </c>
      <c r="L11" s="4">
        <f>TRU_DEMANDA_FINAL[[#This Row],[Consumo 
das famílias]]/TRU_DEMANDA_FINAL[[#This Row],[Demanda
final]]</f>
        <v>0.54252324603037627</v>
      </c>
    </row>
    <row r="12" spans="1:12" x14ac:dyDescent="0.25">
      <c r="A12" s="1" t="s">
        <v>20</v>
      </c>
      <c r="B12">
        <v>361599</v>
      </c>
      <c r="C12">
        <v>60621</v>
      </c>
      <c r="D12">
        <v>738966</v>
      </c>
      <c r="E12">
        <v>61432</v>
      </c>
      <c r="F12">
        <v>2278735</v>
      </c>
      <c r="G12">
        <v>797946</v>
      </c>
      <c r="H12">
        <v>49220</v>
      </c>
      <c r="I12">
        <v>4348519</v>
      </c>
      <c r="J12">
        <v>7644828</v>
      </c>
      <c r="L12" s="4">
        <f>TRU_DEMANDA_FINAL[[#This Row],[Consumo 
das famílias]]/TRU_DEMANDA_FINAL[[#This Row],[Demanda
final]]</f>
        <v>0.52402553605031965</v>
      </c>
    </row>
    <row r="13" spans="1:12" x14ac:dyDescent="0.25">
      <c r="A13" s="1" t="s">
        <v>21</v>
      </c>
      <c r="B13">
        <v>435929</v>
      </c>
      <c r="C13">
        <v>70966</v>
      </c>
      <c r="D13">
        <v>817038</v>
      </c>
      <c r="E13">
        <v>64395</v>
      </c>
      <c r="F13">
        <v>2573419</v>
      </c>
      <c r="G13">
        <v>901927</v>
      </c>
      <c r="H13">
        <v>53274</v>
      </c>
      <c r="I13">
        <v>4916948</v>
      </c>
      <c r="J13">
        <v>8634494</v>
      </c>
      <c r="L13" s="4">
        <f>TRU_DEMANDA_FINAL[[#This Row],[Consumo 
das famílias]]/TRU_DEMANDA_FINAL[[#This Row],[Demanda
final]]</f>
        <v>0.52337730641039926</v>
      </c>
    </row>
    <row r="14" spans="1:12" x14ac:dyDescent="0.25">
      <c r="A14" s="1" t="s">
        <v>22</v>
      </c>
      <c r="B14">
        <v>484283</v>
      </c>
      <c r="C14">
        <v>87592</v>
      </c>
      <c r="D14">
        <v>892180</v>
      </c>
      <c r="E14">
        <v>72905</v>
      </c>
      <c r="F14">
        <v>2883929</v>
      </c>
      <c r="G14">
        <v>997460</v>
      </c>
      <c r="H14">
        <v>33728</v>
      </c>
      <c r="I14">
        <v>5452077</v>
      </c>
      <c r="J14">
        <v>9580996</v>
      </c>
      <c r="L14" s="4">
        <f>TRU_DEMANDA_FINAL[[#This Row],[Consumo 
das famílias]]/TRU_DEMANDA_FINAL[[#This Row],[Demanda
final]]</f>
        <v>0.52895969737771498</v>
      </c>
    </row>
    <row r="15" spans="1:12" x14ac:dyDescent="0.25">
      <c r="A15" s="1" t="s">
        <v>23</v>
      </c>
      <c r="B15">
        <v>534198</v>
      </c>
      <c r="C15">
        <v>91853</v>
      </c>
      <c r="D15">
        <v>1007275</v>
      </c>
      <c r="E15">
        <v>76605</v>
      </c>
      <c r="F15">
        <v>3213817</v>
      </c>
      <c r="G15">
        <v>1114944</v>
      </c>
      <c r="H15">
        <v>41685</v>
      </c>
      <c r="I15">
        <v>6080377</v>
      </c>
      <c r="J15">
        <v>10631670</v>
      </c>
      <c r="L15" s="4">
        <f>TRU_DEMANDA_FINAL[[#This Row],[Consumo 
das famílias]]/TRU_DEMANDA_FINAL[[#This Row],[Demanda
final]]</f>
        <v>0.52855554844707819</v>
      </c>
    </row>
    <row r="16" spans="1:12" x14ac:dyDescent="0.25">
      <c r="A16" s="1" t="s">
        <v>24</v>
      </c>
      <c r="B16">
        <v>540701</v>
      </c>
      <c r="C16">
        <v>95674</v>
      </c>
      <c r="D16">
        <v>1106874</v>
      </c>
      <c r="E16">
        <v>83052</v>
      </c>
      <c r="F16">
        <v>3555352</v>
      </c>
      <c r="G16">
        <v>1148453</v>
      </c>
      <c r="H16">
        <v>39030</v>
      </c>
      <c r="I16">
        <v>6569136</v>
      </c>
      <c r="J16">
        <v>11484006</v>
      </c>
      <c r="L16" s="4">
        <f>TRU_DEMANDA_FINAL[[#This Row],[Consumo 
das famílias]]/TRU_DEMANDA_FINAL[[#This Row],[Demanda
final]]</f>
        <v>0.54122064149684224</v>
      </c>
    </row>
    <row r="17" spans="1:12" x14ac:dyDescent="0.25">
      <c r="A17" s="1" t="s">
        <v>25</v>
      </c>
      <c r="B17">
        <v>655932</v>
      </c>
      <c r="C17">
        <v>117536</v>
      </c>
      <c r="D17">
        <v>1185776</v>
      </c>
      <c r="E17">
        <v>87323</v>
      </c>
      <c r="F17">
        <v>3747870</v>
      </c>
      <c r="G17">
        <v>1069397</v>
      </c>
      <c r="H17">
        <v>-25433</v>
      </c>
      <c r="I17">
        <v>6838401</v>
      </c>
      <c r="J17">
        <v>11909669</v>
      </c>
      <c r="L17" s="4">
        <f>TRU_DEMANDA_FINAL[[#This Row],[Consumo 
das famílias]]/TRU_DEMANDA_FINAL[[#This Row],[Demanda
final]]</f>
        <v>0.5480623321153586</v>
      </c>
    </row>
    <row r="18" spans="1:12" x14ac:dyDescent="0.25">
      <c r="A18" s="1" t="s">
        <v>26</v>
      </c>
      <c r="B18">
        <v>660237</v>
      </c>
      <c r="C18">
        <v>121340</v>
      </c>
      <c r="D18">
        <v>1277645</v>
      </c>
      <c r="E18">
        <v>88928</v>
      </c>
      <c r="F18">
        <v>3939208</v>
      </c>
      <c r="G18">
        <v>973271</v>
      </c>
      <c r="H18">
        <v>-34781</v>
      </c>
      <c r="I18">
        <v>7025848</v>
      </c>
      <c r="J18">
        <v>12148093</v>
      </c>
      <c r="L18" s="4">
        <f>TRU_DEMANDA_FINAL[[#This Row],[Consumo 
das famílias]]/TRU_DEMANDA_FINAL[[#This Row],[Demanda
final]]</f>
        <v>0.56067367241648269</v>
      </c>
    </row>
    <row r="19" spans="1:12" x14ac:dyDescent="0.25">
      <c r="A19" s="1" t="s">
        <v>27</v>
      </c>
      <c r="B19">
        <v>712595</v>
      </c>
      <c r="C19">
        <v>111839</v>
      </c>
      <c r="D19">
        <v>1327758</v>
      </c>
      <c r="E19">
        <v>91107</v>
      </c>
      <c r="F19">
        <v>4156152</v>
      </c>
      <c r="G19">
        <v>958779</v>
      </c>
      <c r="H19">
        <v>4386</v>
      </c>
      <c r="I19">
        <v>7362616</v>
      </c>
      <c r="J19">
        <v>12711103</v>
      </c>
      <c r="L19" s="4">
        <f>TRU_DEMANDA_FINAL[[#This Row],[Consumo 
das famílias]]/TRU_DEMANDA_FINAL[[#This Row],[Demanda
final]]</f>
        <v>0.56449392444207336</v>
      </c>
    </row>
    <row r="20" spans="1:12" x14ac:dyDescent="0.25">
      <c r="A20" s="1" t="s">
        <v>28</v>
      </c>
      <c r="B20">
        <v>896809</v>
      </c>
      <c r="C20">
        <v>128247</v>
      </c>
      <c r="D20">
        <v>1393480</v>
      </c>
      <c r="E20">
        <v>102253</v>
      </c>
      <c r="F20">
        <v>4423548</v>
      </c>
      <c r="G20">
        <v>1057409</v>
      </c>
      <c r="H20">
        <v>-131</v>
      </c>
      <c r="I20">
        <v>8001615</v>
      </c>
      <c r="J20">
        <v>14000475</v>
      </c>
      <c r="L20" s="4">
        <f>TRU_DEMANDA_FINAL[[#This Row],[Consumo 
das famílias]]/TRU_DEMANDA_FINAL[[#This Row],[Demanda
final]]</f>
        <v>0.55283189706078084</v>
      </c>
    </row>
    <row r="21" spans="1:12" x14ac:dyDescent="0.25">
      <c r="A21" s="1" t="s">
        <v>29</v>
      </c>
      <c r="B21">
        <v>910914</v>
      </c>
      <c r="C21">
        <v>132647</v>
      </c>
      <c r="D21">
        <v>1476613</v>
      </c>
      <c r="E21">
        <v>108051</v>
      </c>
      <c r="F21">
        <v>4705528</v>
      </c>
      <c r="G21">
        <v>1143185</v>
      </c>
      <c r="H21">
        <v>3371</v>
      </c>
      <c r="I21">
        <v>8480309</v>
      </c>
      <c r="J21">
        <v>14865416</v>
      </c>
      <c r="L21" s="4">
        <f>TRU_DEMANDA_FINAL[[#This Row],[Consumo 
das famílias]]/TRU_DEMANDA_FINAL[[#This Row],[Demanda
final]]</f>
        <v>0.55487695082808897</v>
      </c>
    </row>
    <row r="22" spans="1:12" x14ac:dyDescent="0.25">
      <c r="A22" s="1" t="s">
        <v>30</v>
      </c>
      <c r="B22">
        <v>1108490</v>
      </c>
      <c r="C22">
        <v>143559</v>
      </c>
      <c r="D22">
        <v>1532204</v>
      </c>
      <c r="E22">
        <v>104919</v>
      </c>
      <c r="F22">
        <v>4700085</v>
      </c>
      <c r="G22">
        <v>1260227</v>
      </c>
      <c r="H22">
        <v>-33878</v>
      </c>
      <c r="I22">
        <v>8815606</v>
      </c>
      <c r="J22">
        <v>15526868</v>
      </c>
      <c r="L22" s="4">
        <f>TRU_DEMANDA_FINAL[[#This Row],[Consumo 
das famílias]]/TRU_DEMANDA_FINAL[[#This Row],[Demanda
final]]</f>
        <v>0.53315506614066011</v>
      </c>
    </row>
    <row r="23" spans="1:12" x14ac:dyDescent="0.25">
      <c r="A23" s="1" t="s">
        <v>31</v>
      </c>
      <c r="B23">
        <v>1552432</v>
      </c>
      <c r="C23">
        <v>169737</v>
      </c>
      <c r="D23">
        <v>1671535</v>
      </c>
      <c r="E23">
        <v>115048</v>
      </c>
      <c r="F23">
        <v>5415523</v>
      </c>
      <c r="G23">
        <v>1614782</v>
      </c>
      <c r="H23">
        <v>144558</v>
      </c>
      <c r="I23">
        <v>10683615</v>
      </c>
      <c r="J23">
        <v>19551489</v>
      </c>
      <c r="L23" s="4">
        <f>TRU_DEMANDA_FINAL[[#This Row],[Consumo 
das famílias]]/TRU_DEMANDA_FINAL[[#This Row],[Demanda
final]]</f>
        <v>0.50689986488655758</v>
      </c>
    </row>
    <row r="25" spans="1:12" x14ac:dyDescent="0.25"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  <c r="J25" s="3" t="s">
        <v>9</v>
      </c>
    </row>
    <row r="26" spans="1:12" x14ac:dyDescent="0.25">
      <c r="A26" s="5" t="s">
        <v>10</v>
      </c>
      <c r="B26">
        <f>B2/$I2</f>
        <v>7.8100711954909516E-2</v>
      </c>
      <c r="C26">
        <f t="shared" ref="C26:J26" si="0">C2/$I2</f>
        <v>1.2498516760605162E-2</v>
      </c>
      <c r="D26">
        <f t="shared" si="0"/>
        <v>0.16689706318599823</v>
      </c>
      <c r="E26">
        <f t="shared" si="0"/>
        <v>1.4975526549985168E-2</v>
      </c>
      <c r="F26">
        <f t="shared" si="0"/>
        <v>0.55942821121328978</v>
      </c>
      <c r="G26">
        <f t="shared" si="0"/>
        <v>0.16277662414713734</v>
      </c>
      <c r="H26">
        <f t="shared" si="0"/>
        <v>5.3233461880747551E-3</v>
      </c>
      <c r="I26">
        <f t="shared" si="0"/>
        <v>1</v>
      </c>
    </row>
    <row r="27" spans="1:12" x14ac:dyDescent="0.25">
      <c r="A27" s="6" t="s">
        <v>11</v>
      </c>
      <c r="B27">
        <f t="shared" ref="B27:I27" si="1">B3/$I3</f>
        <v>9.4119637253796296E-2</v>
      </c>
      <c r="C27">
        <f t="shared" si="1"/>
        <v>1.3869005366892444E-2</v>
      </c>
      <c r="D27">
        <f t="shared" si="1"/>
        <v>0.16884150750635205</v>
      </c>
      <c r="E27">
        <f t="shared" si="1"/>
        <v>1.3828538069112837E-2</v>
      </c>
      <c r="F27">
        <f t="shared" si="1"/>
        <v>0.54574861183900647</v>
      </c>
      <c r="G27">
        <f t="shared" si="1"/>
        <v>0.16076595970518578</v>
      </c>
      <c r="H27">
        <f t="shared" si="1"/>
        <v>2.8260768613298484E-3</v>
      </c>
      <c r="I27">
        <f t="shared" si="1"/>
        <v>1</v>
      </c>
    </row>
    <row r="28" spans="1:12" x14ac:dyDescent="0.25">
      <c r="A28" s="5" t="s">
        <v>12</v>
      </c>
      <c r="B28">
        <f t="shared" ref="B28:I28" si="2">B4/$I4</f>
        <v>0.10985881785649336</v>
      </c>
      <c r="C28">
        <f t="shared" si="2"/>
        <v>1.5644779968994781E-2</v>
      </c>
      <c r="D28">
        <f t="shared" si="2"/>
        <v>0.17470734901839521</v>
      </c>
      <c r="E28">
        <f t="shared" si="2"/>
        <v>1.5355698082403739E-2</v>
      </c>
      <c r="F28">
        <f t="shared" si="2"/>
        <v>0.530544640937194</v>
      </c>
      <c r="G28">
        <f t="shared" si="2"/>
        <v>0.15809698815771311</v>
      </c>
      <c r="H28">
        <f t="shared" si="2"/>
        <v>-4.2082740211942041E-3</v>
      </c>
      <c r="I28">
        <f t="shared" si="2"/>
        <v>1</v>
      </c>
    </row>
    <row r="29" spans="1:12" x14ac:dyDescent="0.25">
      <c r="A29" s="6" t="s">
        <v>13</v>
      </c>
      <c r="B29">
        <f t="shared" ref="B29:I29" si="3">B5/$I5</f>
        <v>0.11809655826320861</v>
      </c>
      <c r="C29">
        <f t="shared" si="3"/>
        <v>1.6294528983453484E-2</v>
      </c>
      <c r="D29">
        <f t="shared" si="3"/>
        <v>0.16888781246940363</v>
      </c>
      <c r="E29">
        <f t="shared" si="3"/>
        <v>1.4134876506629427E-2</v>
      </c>
      <c r="F29">
        <f t="shared" si="3"/>
        <v>0.53335841161708553</v>
      </c>
      <c r="G29">
        <f t="shared" si="3"/>
        <v>0.14699756259694216</v>
      </c>
      <c r="H29">
        <f t="shared" si="3"/>
        <v>2.2302495632771477E-3</v>
      </c>
      <c r="I29">
        <f t="shared" si="3"/>
        <v>1</v>
      </c>
    </row>
    <row r="30" spans="1:12" x14ac:dyDescent="0.25">
      <c r="A30" s="5" t="s">
        <v>14</v>
      </c>
      <c r="B30">
        <f t="shared" ref="B30:I30" si="4">B6/$I6</f>
        <v>0.13057209665833353</v>
      </c>
      <c r="C30">
        <f t="shared" si="4"/>
        <v>1.5679144394684433E-2</v>
      </c>
      <c r="D30">
        <f t="shared" si="4"/>
        <v>0.16323837293039312</v>
      </c>
      <c r="E30">
        <f t="shared" si="4"/>
        <v>1.4146762787417494E-2</v>
      </c>
      <c r="F30">
        <f t="shared" si="4"/>
        <v>0.51803076773040924</v>
      </c>
      <c r="G30">
        <f t="shared" si="4"/>
        <v>0.15309684209290639</v>
      </c>
      <c r="H30">
        <f t="shared" si="4"/>
        <v>5.2355619086232813E-3</v>
      </c>
      <c r="I30">
        <f t="shared" si="4"/>
        <v>1</v>
      </c>
    </row>
    <row r="31" spans="1:12" x14ac:dyDescent="0.25">
      <c r="A31" s="6" t="s">
        <v>15</v>
      </c>
      <c r="B31">
        <f t="shared" ref="B31:I31" si="5">B7/$I7</f>
        <v>0.12085246366232968</v>
      </c>
      <c r="C31">
        <f t="shared" si="5"/>
        <v>1.5444179258425651E-2</v>
      </c>
      <c r="D31">
        <f t="shared" si="5"/>
        <v>0.16889735982923376</v>
      </c>
      <c r="E31">
        <f t="shared" si="5"/>
        <v>1.4939987131566959E-2</v>
      </c>
      <c r="F31">
        <f t="shared" si="5"/>
        <v>0.5260350973741641</v>
      </c>
      <c r="G31">
        <f t="shared" si="5"/>
        <v>0.15250122958619172</v>
      </c>
      <c r="H31">
        <f t="shared" si="5"/>
        <v>1.3296831580881232E-3</v>
      </c>
      <c r="I31">
        <f t="shared" si="5"/>
        <v>1</v>
      </c>
    </row>
    <row r="32" spans="1:12" x14ac:dyDescent="0.25">
      <c r="A32" s="5" t="s">
        <v>16</v>
      </c>
      <c r="B32">
        <f t="shared" ref="B32:I32" si="6">B8/$I8</f>
        <v>0.11373500782362102</v>
      </c>
      <c r="C32">
        <f t="shared" si="6"/>
        <v>1.4989388865556369E-2</v>
      </c>
      <c r="D32">
        <f t="shared" si="6"/>
        <v>0.17049658622522365</v>
      </c>
      <c r="E32">
        <f t="shared" si="6"/>
        <v>1.6550024715952381E-2</v>
      </c>
      <c r="F32">
        <f t="shared" si="6"/>
        <v>0.52467915720460723</v>
      </c>
      <c r="G32">
        <f t="shared" si="6"/>
        <v>0.15412124568400004</v>
      </c>
      <c r="H32">
        <f t="shared" si="6"/>
        <v>5.4282178125824639E-3</v>
      </c>
      <c r="I32">
        <f t="shared" si="6"/>
        <v>1</v>
      </c>
    </row>
    <row r="33" spans="1:9" x14ac:dyDescent="0.25">
      <c r="A33" s="6" t="s">
        <v>17</v>
      </c>
      <c r="B33">
        <f t="shared" ref="B33:I33" si="7">B9/$I9</f>
        <v>0.10440053832548467</v>
      </c>
      <c r="C33">
        <f t="shared" si="7"/>
        <v>1.4633877273215287E-2</v>
      </c>
      <c r="D33">
        <f t="shared" si="7"/>
        <v>0.16918674306186901</v>
      </c>
      <c r="E33">
        <f t="shared" si="7"/>
        <v>1.4158787631646946E-2</v>
      </c>
      <c r="F33">
        <f t="shared" si="7"/>
        <v>0.52060631550745784</v>
      </c>
      <c r="G33">
        <f t="shared" si="7"/>
        <v>0.16072673283775607</v>
      </c>
      <c r="H33">
        <f t="shared" si="7"/>
        <v>1.6287005362570224E-2</v>
      </c>
      <c r="I33">
        <f t="shared" si="7"/>
        <v>1</v>
      </c>
    </row>
    <row r="34" spans="1:9" x14ac:dyDescent="0.25">
      <c r="A34" s="5" t="s">
        <v>18</v>
      </c>
      <c r="B34">
        <f t="shared" ref="B34:I34" si="8">B10/$I10</f>
        <v>0.10373697293344783</v>
      </c>
      <c r="C34">
        <f t="shared" si="8"/>
        <v>1.5270972315336374E-2</v>
      </c>
      <c r="D34">
        <f t="shared" si="8"/>
        <v>0.1656595257733533</v>
      </c>
      <c r="E34">
        <f t="shared" si="8"/>
        <v>1.3492134630669922E-2</v>
      </c>
      <c r="F34">
        <f t="shared" si="8"/>
        <v>0.51173577629681111</v>
      </c>
      <c r="G34">
        <f t="shared" si="8"/>
        <v>0.17046021027665437</v>
      </c>
      <c r="H34">
        <f t="shared" si="8"/>
        <v>1.9644690532856751E-2</v>
      </c>
      <c r="I34">
        <f t="shared" si="8"/>
        <v>1</v>
      </c>
    </row>
    <row r="35" spans="1:9" x14ac:dyDescent="0.25">
      <c r="A35" s="6" t="s">
        <v>19</v>
      </c>
      <c r="B35">
        <f t="shared" ref="B35:I35" si="9">B11/$I11</f>
        <v>8.2923336641353124E-2</v>
      </c>
      <c r="C35">
        <f t="shared" si="9"/>
        <v>1.4612907749395927E-2</v>
      </c>
      <c r="D35">
        <f t="shared" si="9"/>
        <v>0.1766277614773904</v>
      </c>
      <c r="E35">
        <f t="shared" si="9"/>
        <v>1.4365615291681049E-2</v>
      </c>
      <c r="F35">
        <f t="shared" si="9"/>
        <v>0.54252324603037627</v>
      </c>
      <c r="G35">
        <f t="shared" si="9"/>
        <v>0.17169593545046599</v>
      </c>
      <c r="H35">
        <f t="shared" si="9"/>
        <v>-2.7488026406627545E-3</v>
      </c>
      <c r="I35">
        <f t="shared" si="9"/>
        <v>1</v>
      </c>
    </row>
    <row r="36" spans="1:9" x14ac:dyDescent="0.25">
      <c r="A36" s="5" t="s">
        <v>20</v>
      </c>
      <c r="B36">
        <f t="shared" ref="B36:I36" si="10">B12/$I12</f>
        <v>8.3154517664519811E-2</v>
      </c>
      <c r="C36">
        <f t="shared" si="10"/>
        <v>1.3940608285257578E-2</v>
      </c>
      <c r="D36">
        <f t="shared" si="10"/>
        <v>0.16993509744352042</v>
      </c>
      <c r="E36">
        <f t="shared" si="10"/>
        <v>1.4127108562708362E-2</v>
      </c>
      <c r="F36">
        <f t="shared" si="10"/>
        <v>0.52402553605031965</v>
      </c>
      <c r="G36">
        <f t="shared" si="10"/>
        <v>0.18349833587021236</v>
      </c>
      <c r="H36">
        <f t="shared" si="10"/>
        <v>1.1318796123461804E-2</v>
      </c>
      <c r="I36">
        <f t="shared" si="10"/>
        <v>1</v>
      </c>
    </row>
    <row r="37" spans="1:9" x14ac:dyDescent="0.25">
      <c r="A37" s="6" t="s">
        <v>21</v>
      </c>
      <c r="B37">
        <f t="shared" ref="B37:I37" si="11">B13/$I13</f>
        <v>8.8658452357031237E-2</v>
      </c>
      <c r="C37">
        <f t="shared" si="11"/>
        <v>1.4432936854325082E-2</v>
      </c>
      <c r="D37">
        <f t="shared" si="11"/>
        <v>0.16616771216616485</v>
      </c>
      <c r="E37">
        <f t="shared" si="11"/>
        <v>1.30965387472066E-2</v>
      </c>
      <c r="F37">
        <f t="shared" si="11"/>
        <v>0.52337730641039926</v>
      </c>
      <c r="G37">
        <f t="shared" si="11"/>
        <v>0.18343228360356872</v>
      </c>
      <c r="H37">
        <f t="shared" si="11"/>
        <v>1.0834769861304208E-2</v>
      </c>
      <c r="I37">
        <f t="shared" si="11"/>
        <v>1</v>
      </c>
    </row>
    <row r="38" spans="1:9" x14ac:dyDescent="0.25">
      <c r="A38" s="5" t="s">
        <v>22</v>
      </c>
      <c r="B38">
        <f t="shared" ref="B38:I38" si="12">B14/$I14</f>
        <v>8.8825414608047534E-2</v>
      </c>
      <c r="C38">
        <f t="shared" si="12"/>
        <v>1.6065803912894114E-2</v>
      </c>
      <c r="D38">
        <f t="shared" si="12"/>
        <v>0.16364038879128082</v>
      </c>
      <c r="E38">
        <f t="shared" si="12"/>
        <v>1.3371968150853335E-2</v>
      </c>
      <c r="F38">
        <f t="shared" si="12"/>
        <v>0.52895969737771498</v>
      </c>
      <c r="G38">
        <f t="shared" si="12"/>
        <v>0.18295046089774594</v>
      </c>
      <c r="H38">
        <f t="shared" si="12"/>
        <v>6.1862662614632922E-3</v>
      </c>
      <c r="I38">
        <f t="shared" si="12"/>
        <v>1</v>
      </c>
    </row>
    <row r="39" spans="1:9" x14ac:dyDescent="0.25">
      <c r="A39" s="6" t="s">
        <v>23</v>
      </c>
      <c r="B39">
        <f t="shared" ref="B39:I39" si="13">B15/$I15</f>
        <v>8.785606550383307E-2</v>
      </c>
      <c r="C39">
        <f t="shared" si="13"/>
        <v>1.5106464615598671E-2</v>
      </c>
      <c r="D39">
        <f t="shared" si="13"/>
        <v>0.16565995825587787</v>
      </c>
      <c r="E39">
        <f t="shared" si="13"/>
        <v>1.2598725375087761E-2</v>
      </c>
      <c r="F39">
        <f t="shared" si="13"/>
        <v>0.52855554844707819</v>
      </c>
      <c r="G39">
        <f t="shared" si="13"/>
        <v>0.18336757737225834</v>
      </c>
      <c r="H39">
        <f t="shared" si="13"/>
        <v>6.8556604302660836E-3</v>
      </c>
      <c r="I39">
        <f t="shared" si="13"/>
        <v>1</v>
      </c>
    </row>
    <row r="40" spans="1:9" x14ac:dyDescent="0.25">
      <c r="A40" s="5" t="s">
        <v>24</v>
      </c>
      <c r="B40">
        <f t="shared" ref="B40:I40" si="14">B16/$I16</f>
        <v>8.2309302166982082E-2</v>
      </c>
      <c r="C40">
        <f t="shared" si="14"/>
        <v>1.4564167951462719E-2</v>
      </c>
      <c r="D40">
        <f t="shared" si="14"/>
        <v>0.16849613099804905</v>
      </c>
      <c r="E40">
        <f t="shared" si="14"/>
        <v>1.2642758499747912E-2</v>
      </c>
      <c r="F40">
        <f t="shared" si="14"/>
        <v>0.54122064149684224</v>
      </c>
      <c r="G40">
        <f t="shared" si="14"/>
        <v>0.17482557828000517</v>
      </c>
      <c r="H40">
        <f t="shared" si="14"/>
        <v>5.9414206069108629E-3</v>
      </c>
      <c r="I40">
        <f t="shared" si="14"/>
        <v>1</v>
      </c>
    </row>
    <row r="41" spans="1:9" x14ac:dyDescent="0.25">
      <c r="A41" s="6" t="s">
        <v>25</v>
      </c>
      <c r="B41">
        <f t="shared" ref="B41:I41" si="15">B17/$I17</f>
        <v>9.5918914377790945E-2</v>
      </c>
      <c r="C41">
        <f t="shared" si="15"/>
        <v>1.7187643719635628E-2</v>
      </c>
      <c r="D41">
        <f t="shared" si="15"/>
        <v>0.1733996002866752</v>
      </c>
      <c r="E41">
        <f t="shared" si="15"/>
        <v>1.2769505619807905E-2</v>
      </c>
      <c r="F41">
        <f t="shared" si="15"/>
        <v>0.5480623321153586</v>
      </c>
      <c r="G41">
        <f t="shared" si="15"/>
        <v>0.15638114816606982</v>
      </c>
      <c r="H41">
        <f t="shared" si="15"/>
        <v>-3.7191442853380489E-3</v>
      </c>
      <c r="I41">
        <f t="shared" si="15"/>
        <v>1</v>
      </c>
    </row>
    <row r="42" spans="1:9" x14ac:dyDescent="0.25">
      <c r="A42" s="5" t="s">
        <v>26</v>
      </c>
      <c r="B42">
        <f t="shared" ref="B42:I42" si="16">B18/$I18</f>
        <v>9.3972570997835417E-2</v>
      </c>
      <c r="C42">
        <f t="shared" si="16"/>
        <v>1.7270513111015212E-2</v>
      </c>
      <c r="D42">
        <f t="shared" si="16"/>
        <v>0.18184922304040738</v>
      </c>
      <c r="E42">
        <f t="shared" si="16"/>
        <v>1.2657262155401028E-2</v>
      </c>
      <c r="F42">
        <f t="shared" si="16"/>
        <v>0.56067367241648269</v>
      </c>
      <c r="G42">
        <f t="shared" si="16"/>
        <v>0.13852719273175282</v>
      </c>
      <c r="H42">
        <f t="shared" si="16"/>
        <v>-4.9504344528945119E-3</v>
      </c>
      <c r="I42">
        <f t="shared" si="16"/>
        <v>1</v>
      </c>
    </row>
    <row r="43" spans="1:9" x14ac:dyDescent="0.25">
      <c r="A43" s="6" t="s">
        <v>27</v>
      </c>
      <c r="B43">
        <f t="shared" ref="B43:I43" si="17">B19/$I19</f>
        <v>9.6785571867390618E-2</v>
      </c>
      <c r="C43">
        <f t="shared" si="17"/>
        <v>1.5190117208340079E-2</v>
      </c>
      <c r="D43">
        <f t="shared" si="17"/>
        <v>0.18033780384580697</v>
      </c>
      <c r="E43">
        <f t="shared" si="17"/>
        <v>1.2374270232210943E-2</v>
      </c>
      <c r="F43">
        <f t="shared" si="17"/>
        <v>0.56449392444207336</v>
      </c>
      <c r="G43">
        <f t="shared" si="17"/>
        <v>0.13022260022796245</v>
      </c>
      <c r="H43">
        <f t="shared" si="17"/>
        <v>5.9571217621562768E-4</v>
      </c>
      <c r="I43">
        <f t="shared" si="17"/>
        <v>1</v>
      </c>
    </row>
    <row r="44" spans="1:9" x14ac:dyDescent="0.25">
      <c r="A44" s="5" t="s">
        <v>28</v>
      </c>
      <c r="B44">
        <f t="shared" ref="B44:I44" si="18">B20/$I20</f>
        <v>0.11207849915298349</v>
      </c>
      <c r="C44">
        <f t="shared" si="18"/>
        <v>1.602763942029203E-2</v>
      </c>
      <c r="D44">
        <f t="shared" si="18"/>
        <v>0.17414984350034338</v>
      </c>
      <c r="E44">
        <f t="shared" si="18"/>
        <v>1.2779045230244144E-2</v>
      </c>
      <c r="F44">
        <f t="shared" si="18"/>
        <v>0.55283189706078084</v>
      </c>
      <c r="G44">
        <f t="shared" si="18"/>
        <v>0.13214944733032019</v>
      </c>
      <c r="H44">
        <f t="shared" si="18"/>
        <v>-1.6371694964079126E-5</v>
      </c>
      <c r="I44">
        <f t="shared" si="18"/>
        <v>1</v>
      </c>
    </row>
    <row r="45" spans="1:9" x14ac:dyDescent="0.25">
      <c r="A45" s="6" t="s">
        <v>29</v>
      </c>
      <c r="B45">
        <f t="shared" ref="B45:I45" si="19">B21/$I21</f>
        <v>0.10741518970594113</v>
      </c>
      <c r="C45">
        <f t="shared" si="19"/>
        <v>1.5641764940404885E-2</v>
      </c>
      <c r="D45">
        <f t="shared" si="19"/>
        <v>0.17412254671380489</v>
      </c>
      <c r="E45">
        <f t="shared" si="19"/>
        <v>1.2741398927798504E-2</v>
      </c>
      <c r="F45">
        <f t="shared" si="19"/>
        <v>0.55487695082808897</v>
      </c>
      <c r="G45">
        <f t="shared" si="19"/>
        <v>0.13480463978376259</v>
      </c>
      <c r="H45">
        <f t="shared" si="19"/>
        <v>3.9750910019906112E-4</v>
      </c>
      <c r="I45">
        <f t="shared" si="19"/>
        <v>1</v>
      </c>
    </row>
    <row r="46" spans="1:9" x14ac:dyDescent="0.25">
      <c r="A46" s="5" t="s">
        <v>30</v>
      </c>
      <c r="B46">
        <f t="shared" ref="B46:I46" si="20">B22/$I22</f>
        <v>0.12574178110954595</v>
      </c>
      <c r="C46">
        <f t="shared" si="20"/>
        <v>1.628464339263801E-2</v>
      </c>
      <c r="D46">
        <f t="shared" si="20"/>
        <v>0.17380586201334317</v>
      </c>
      <c r="E46">
        <f t="shared" si="20"/>
        <v>1.1901507394953903E-2</v>
      </c>
      <c r="F46">
        <f t="shared" si="20"/>
        <v>0.53315506614066011</v>
      </c>
      <c r="G46">
        <f t="shared" si="20"/>
        <v>0.14295409754020313</v>
      </c>
      <c r="H46">
        <f t="shared" si="20"/>
        <v>-3.8429575913442593E-3</v>
      </c>
      <c r="I46">
        <f t="shared" si="20"/>
        <v>1</v>
      </c>
    </row>
    <row r="47" spans="1:9" x14ac:dyDescent="0.25">
      <c r="A47" s="6" t="s">
        <v>31</v>
      </c>
      <c r="B47">
        <f t="shared" ref="B47:I47" si="21">B23/$I23</f>
        <v>0.14530961664193254</v>
      </c>
      <c r="C47">
        <f t="shared" si="21"/>
        <v>1.5887599843311465E-2</v>
      </c>
      <c r="D47">
        <f t="shared" si="21"/>
        <v>0.15645780945868978</v>
      </c>
      <c r="E47">
        <f t="shared" si="21"/>
        <v>1.0768639641170146E-2</v>
      </c>
      <c r="F47">
        <f t="shared" si="21"/>
        <v>0.50689986488655758</v>
      </c>
      <c r="G47">
        <f t="shared" si="21"/>
        <v>0.15114565622216825</v>
      </c>
      <c r="H47">
        <f t="shared" si="21"/>
        <v>1.3530813306170243E-2</v>
      </c>
      <c r="I47">
        <f t="shared" si="21"/>
        <v>1</v>
      </c>
    </row>
    <row r="49" spans="2:8" x14ac:dyDescent="0.25">
      <c r="B49" s="4">
        <f>AVERAGE(B26:B47)</f>
        <v>0.10292827443303688</v>
      </c>
      <c r="C49" s="4">
        <f t="shared" ref="C49:H49" si="22">AVERAGE(C26:C47)</f>
        <v>1.5297145645078881E-2</v>
      </c>
      <c r="D49" s="4">
        <f t="shared" si="22"/>
        <v>0.17006645718143529</v>
      </c>
      <c r="E49" s="4">
        <f t="shared" si="22"/>
        <v>1.3535303633375293E-2</v>
      </c>
      <c r="F49" s="4">
        <f t="shared" si="22"/>
        <v>0.53544648515557991</v>
      </c>
      <c r="G49" s="4">
        <f t="shared" si="22"/>
        <v>0.15843174311640829</v>
      </c>
      <c r="H49" s="4">
        <f t="shared" si="22"/>
        <v>4.2945361166816321E-3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7D52-76DE-4E02-981A-EAC2CE47636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F47323-3D80-47B9-A73C-A55D431433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TRU_DEMANDA_FINAL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2026-06-19T20:06:55Z</dcterms:created>
  <dcterms:modified xsi:type="dcterms:W3CDTF">2026-06-19T20:18:08Z</dcterms:modified>
</cp:coreProperties>
</file>