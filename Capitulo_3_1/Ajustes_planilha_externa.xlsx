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DADOS2023-09-30/ARTIGO/2024-07-15/Artigo_Endividamento_AKB/Cálculos/"/>
    </mc:Choice>
  </mc:AlternateContent>
  <xr:revisionPtr revIDLastSave="219" documentId="8_{4B078058-1ECE-43DF-9914-7C934BF85E83}" xr6:coauthVersionLast="47" xr6:coauthVersionMax="47" xr10:uidLastSave="{A155D132-7F2E-4620-8740-4FBB749E2DDC}"/>
  <bookViews>
    <workbookView xWindow="-20610" yWindow="-120" windowWidth="20730" windowHeight="11040" tabRatio="777" activeTab="5" xr2:uid="{F31F808F-C9E4-439A-BB5A-AB6B9EE1BF29}"/>
  </bookViews>
  <sheets>
    <sheet name="TRU_51_financeira" sheetId="7" r:id="rId1"/>
    <sheet name="tab08_sinotica" sheetId="4" r:id="rId2"/>
    <sheet name="TRU_68_fbkf" sheetId="3" r:id="rId3"/>
    <sheet name="TRU_51_construção" sheetId="6" r:id="rId4"/>
    <sheet name="TRU_51_aluguel" sheetId="2" r:id="rId5"/>
    <sheet name="FBKF - FAMILIAS" sheetId="5" r:id="rId6"/>
  </sheets>
  <definedNames>
    <definedName name="DadosExternos_1" localSheetId="4" hidden="1">TRU_51_aluguel!$A$1:$W$3</definedName>
    <definedName name="DadosExternos_1" localSheetId="0" hidden="1">TRU_51_financeira!$A$1:$W$3</definedName>
    <definedName name="DadosExternos_2" localSheetId="5" hidden="1">'FBKF - FAMILIAS'!#REF!</definedName>
    <definedName name="DadosExternos_2" localSheetId="3" hidden="1">TRU_51_construção!$A$1:$W$3</definedName>
    <definedName name="DadosExternos_2" localSheetId="2" hidden="1">TRU_68_fbkf!$A$1:$N$4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5" l="1"/>
  <c r="D42" i="5"/>
  <c r="E42" i="5"/>
  <c r="F42" i="5"/>
  <c r="G42" i="5"/>
  <c r="H42" i="5"/>
  <c r="I42" i="5"/>
  <c r="J42" i="5"/>
  <c r="K42" i="5"/>
  <c r="L42" i="5"/>
  <c r="J31" i="5"/>
  <c r="I31" i="5" s="1"/>
  <c r="H31" i="5" s="1"/>
  <c r="G31" i="5" s="1"/>
  <c r="F31" i="5" s="1"/>
  <c r="E31" i="5" s="1"/>
  <c r="D31" i="5" s="1"/>
  <c r="C31" i="5" s="1"/>
  <c r="K31" i="5"/>
  <c r="L31" i="5"/>
  <c r="K35" i="5"/>
  <c r="J35" i="5" s="1"/>
  <c r="I35" i="5" s="1"/>
  <c r="H35" i="5" s="1"/>
  <c r="G35" i="5" s="1"/>
  <c r="F35" i="5" s="1"/>
  <c r="E35" i="5" s="1"/>
  <c r="D35" i="5" s="1"/>
  <c r="C35" i="5" s="1"/>
  <c r="K36" i="5"/>
  <c r="J36" i="5" s="1"/>
  <c r="I36" i="5" s="1"/>
  <c r="H36" i="5" s="1"/>
  <c r="G36" i="5" s="1"/>
  <c r="F36" i="5" s="1"/>
  <c r="E36" i="5" s="1"/>
  <c r="D36" i="5" s="1"/>
  <c r="C36" i="5" s="1"/>
  <c r="K37" i="5"/>
  <c r="J37" i="5" s="1"/>
  <c r="I37" i="5" s="1"/>
  <c r="H37" i="5" s="1"/>
  <c r="G37" i="5" s="1"/>
  <c r="F37" i="5" s="1"/>
  <c r="E37" i="5" s="1"/>
  <c r="D37" i="5" s="1"/>
  <c r="C37" i="5" s="1"/>
  <c r="J38" i="5"/>
  <c r="I38" i="5" s="1"/>
  <c r="H38" i="5" s="1"/>
  <c r="G38" i="5" s="1"/>
  <c r="F38" i="5" s="1"/>
  <c r="E38" i="5" s="1"/>
  <c r="D38" i="5" s="1"/>
  <c r="C38" i="5" s="1"/>
  <c r="K38" i="5"/>
  <c r="L36" i="5"/>
  <c r="L37" i="5"/>
  <c r="L38" i="5"/>
  <c r="L35" i="5"/>
  <c r="M42" i="5"/>
  <c r="N25" i="5"/>
  <c r="O25" i="5"/>
  <c r="P25" i="5"/>
  <c r="Q25" i="5"/>
  <c r="R25" i="5"/>
  <c r="S25" i="5"/>
  <c r="T25" i="5"/>
  <c r="U25" i="5"/>
  <c r="V25" i="5"/>
  <c r="W25" i="5"/>
  <c r="X25" i="5"/>
  <c r="M25" i="5"/>
  <c r="C48" i="5" l="1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N17" i="5" l="1"/>
  <c r="O17" i="5"/>
  <c r="P17" i="5"/>
  <c r="Q17" i="5"/>
  <c r="Q18" i="5" s="1"/>
  <c r="Q16" i="5" s="1"/>
  <c r="R17" i="5"/>
  <c r="R18" i="5" s="1"/>
  <c r="S17" i="5"/>
  <c r="S18" i="5" s="1"/>
  <c r="T17" i="5"/>
  <c r="U17" i="5"/>
  <c r="V17" i="5"/>
  <c r="V18" i="5" s="1"/>
  <c r="W17" i="5"/>
  <c r="W18" i="5" s="1"/>
  <c r="X17" i="5"/>
  <c r="X18" i="5" s="1"/>
  <c r="N19" i="5"/>
  <c r="O19" i="5"/>
  <c r="P19" i="5"/>
  <c r="Q19" i="5"/>
  <c r="R19" i="5"/>
  <c r="S19" i="5"/>
  <c r="T19" i="5"/>
  <c r="U19" i="5"/>
  <c r="V19" i="5"/>
  <c r="W19" i="5"/>
  <c r="X19" i="5"/>
  <c r="M19" i="5"/>
  <c r="M17" i="5"/>
  <c r="N13" i="5"/>
  <c r="O13" i="5"/>
  <c r="P13" i="5"/>
  <c r="Q13" i="5"/>
  <c r="R13" i="5"/>
  <c r="S13" i="5"/>
  <c r="T13" i="5"/>
  <c r="U13" i="5"/>
  <c r="V13" i="5"/>
  <c r="W13" i="5"/>
  <c r="X13" i="5"/>
  <c r="M13" i="5"/>
  <c r="P18" i="5" l="1"/>
  <c r="O18" i="5"/>
  <c r="X16" i="5"/>
  <c r="X23" i="5" s="1"/>
  <c r="W16" i="5"/>
  <c r="W23" i="5" s="1"/>
  <c r="V16" i="5"/>
  <c r="V22" i="5" s="1"/>
  <c r="S16" i="5"/>
  <c r="S22" i="5" s="1"/>
  <c r="R16" i="5"/>
  <c r="Q21" i="5"/>
  <c r="Q22" i="5"/>
  <c r="Q23" i="5"/>
  <c r="X21" i="5"/>
  <c r="W21" i="5"/>
  <c r="U18" i="5"/>
  <c r="N18" i="5"/>
  <c r="N16" i="5" s="1"/>
  <c r="N23" i="5" s="1"/>
  <c r="T18" i="5"/>
  <c r="M18" i="5"/>
  <c r="W26" i="5" l="1"/>
  <c r="W31" i="5" s="1"/>
  <c r="W36" i="5"/>
  <c r="Q27" i="5"/>
  <c r="Q32" i="5" s="1"/>
  <c r="Q37" i="5"/>
  <c r="X26" i="5"/>
  <c r="X31" i="5" s="1"/>
  <c r="X36" i="5"/>
  <c r="Q28" i="5"/>
  <c r="Q33" i="5" s="1"/>
  <c r="Q38" i="5"/>
  <c r="Q26" i="5"/>
  <c r="Q31" i="5" s="1"/>
  <c r="Q30" i="5" s="1"/>
  <c r="Q41" i="5" s="1"/>
  <c r="Q36" i="5"/>
  <c r="S27" i="5"/>
  <c r="S32" i="5" s="1"/>
  <c r="S37" i="5"/>
  <c r="V27" i="5"/>
  <c r="V32" i="5" s="1"/>
  <c r="V37" i="5"/>
  <c r="W28" i="5"/>
  <c r="W33" i="5" s="1"/>
  <c r="W38" i="5"/>
  <c r="X28" i="5"/>
  <c r="X33" i="5" s="1"/>
  <c r="X38" i="5"/>
  <c r="N28" i="5"/>
  <c r="N33" i="5" s="1"/>
  <c r="N38" i="5"/>
  <c r="O16" i="5"/>
  <c r="P16" i="5"/>
  <c r="N21" i="5"/>
  <c r="U16" i="5"/>
  <c r="R21" i="5"/>
  <c r="R23" i="5"/>
  <c r="W22" i="5"/>
  <c r="V23" i="5"/>
  <c r="N22" i="5"/>
  <c r="V21" i="5"/>
  <c r="T16" i="5"/>
  <c r="S21" i="5"/>
  <c r="S23" i="5"/>
  <c r="X22" i="5"/>
  <c r="R22" i="5"/>
  <c r="M16" i="5"/>
  <c r="M22" i="5" s="1"/>
  <c r="S43" i="5" l="1"/>
  <c r="W44" i="5"/>
  <c r="N44" i="5"/>
  <c r="Q42" i="5"/>
  <c r="Q44" i="5"/>
  <c r="X44" i="5"/>
  <c r="X42" i="5"/>
  <c r="Q43" i="5"/>
  <c r="V43" i="5"/>
  <c r="W42" i="5"/>
  <c r="R27" i="5"/>
  <c r="R32" i="5" s="1"/>
  <c r="R37" i="5"/>
  <c r="S28" i="5"/>
  <c r="S33" i="5" s="1"/>
  <c r="S38" i="5"/>
  <c r="S26" i="5"/>
  <c r="S31" i="5" s="1"/>
  <c r="S30" i="5" s="1"/>
  <c r="S41" i="5" s="1"/>
  <c r="S36" i="5"/>
  <c r="N26" i="5"/>
  <c r="N31" i="5" s="1"/>
  <c r="N30" i="5" s="1"/>
  <c r="N41" i="5" s="1"/>
  <c r="N36" i="5"/>
  <c r="V26" i="5"/>
  <c r="V31" i="5" s="1"/>
  <c r="V30" i="5" s="1"/>
  <c r="V41" i="5" s="1"/>
  <c r="V36" i="5"/>
  <c r="M27" i="5"/>
  <c r="M32" i="5" s="1"/>
  <c r="M37" i="5"/>
  <c r="X27" i="5"/>
  <c r="X32" i="5" s="1"/>
  <c r="X30" i="5" s="1"/>
  <c r="X41" i="5" s="1"/>
  <c r="X37" i="5"/>
  <c r="N27" i="5"/>
  <c r="N32" i="5" s="1"/>
  <c r="N37" i="5"/>
  <c r="V28" i="5"/>
  <c r="V33" i="5" s="1"/>
  <c r="V38" i="5"/>
  <c r="W27" i="5"/>
  <c r="W32" i="5" s="1"/>
  <c r="W30" i="5" s="1"/>
  <c r="W41" i="5" s="1"/>
  <c r="W37" i="5"/>
  <c r="R28" i="5"/>
  <c r="R33" i="5" s="1"/>
  <c r="R38" i="5"/>
  <c r="R26" i="5"/>
  <c r="R31" i="5" s="1"/>
  <c r="R36" i="5"/>
  <c r="P21" i="5"/>
  <c r="P23" i="5"/>
  <c r="O23" i="5"/>
  <c r="O21" i="5"/>
  <c r="P22" i="5"/>
  <c r="O22" i="5"/>
  <c r="T23" i="5"/>
  <c r="T21" i="5"/>
  <c r="T22" i="5"/>
  <c r="U23" i="5"/>
  <c r="U21" i="5"/>
  <c r="U22" i="5"/>
  <c r="M23" i="5"/>
  <c r="M21" i="5"/>
  <c r="R30" i="5" l="1"/>
  <c r="R41" i="5" s="1"/>
  <c r="N43" i="5"/>
  <c r="S44" i="5"/>
  <c r="X43" i="5"/>
  <c r="R43" i="5"/>
  <c r="R42" i="5"/>
  <c r="M43" i="5"/>
  <c r="R44" i="5"/>
  <c r="V42" i="5"/>
  <c r="W43" i="5"/>
  <c r="N42" i="5"/>
  <c r="V44" i="5"/>
  <c r="S42" i="5"/>
  <c r="U27" i="5"/>
  <c r="U32" i="5" s="1"/>
  <c r="U37" i="5"/>
  <c r="U26" i="5"/>
  <c r="U31" i="5" s="1"/>
  <c r="U36" i="5"/>
  <c r="U28" i="5"/>
  <c r="U33" i="5" s="1"/>
  <c r="U38" i="5"/>
  <c r="T27" i="5"/>
  <c r="T32" i="5" s="1"/>
  <c r="T37" i="5"/>
  <c r="T26" i="5"/>
  <c r="T31" i="5" s="1"/>
  <c r="T36" i="5"/>
  <c r="T28" i="5"/>
  <c r="T33" i="5" s="1"/>
  <c r="T38" i="5"/>
  <c r="O27" i="5"/>
  <c r="O32" i="5" s="1"/>
  <c r="O37" i="5"/>
  <c r="P27" i="5"/>
  <c r="P32" i="5" s="1"/>
  <c r="P37" i="5"/>
  <c r="O26" i="5"/>
  <c r="O31" i="5" s="1"/>
  <c r="O36" i="5"/>
  <c r="O28" i="5"/>
  <c r="O33" i="5" s="1"/>
  <c r="O38" i="5"/>
  <c r="M26" i="5"/>
  <c r="M31" i="5" s="1"/>
  <c r="M30" i="5" s="1"/>
  <c r="M41" i="5" s="1"/>
  <c r="M36" i="5"/>
  <c r="P28" i="5"/>
  <c r="P33" i="5" s="1"/>
  <c r="P38" i="5"/>
  <c r="M28" i="5"/>
  <c r="M33" i="5" s="1"/>
  <c r="M38" i="5"/>
  <c r="P26" i="5"/>
  <c r="P31" i="5" s="1"/>
  <c r="P36" i="5"/>
  <c r="T30" i="5" l="1"/>
  <c r="T41" i="5" s="1"/>
  <c r="O30" i="5"/>
  <c r="O41" i="5" s="1"/>
  <c r="P30" i="5"/>
  <c r="P41" i="5" s="1"/>
  <c r="U30" i="5"/>
  <c r="U41" i="5" s="1"/>
  <c r="P42" i="5"/>
  <c r="P43" i="5"/>
  <c r="U42" i="5"/>
  <c r="M44" i="5"/>
  <c r="O43" i="5"/>
  <c r="U43" i="5"/>
  <c r="P44" i="5"/>
  <c r="T44" i="5"/>
  <c r="T42" i="5"/>
  <c r="O44" i="5"/>
  <c r="T43" i="5"/>
  <c r="O42" i="5"/>
  <c r="U4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F689E4-665F-449C-BF02-24C0780DC515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E1F5D23B-64C5-4337-9EE4-DE7150113BDA}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3" xr16:uid="{DF667D11-5EEA-4EBE-A40B-A49FA6ED8E23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4" xr16:uid="{A8409266-B88E-4682-9CB7-3BE7126D46DE}" keepAlive="1" name="Consulta - Parâmetro2" description="Conexão com a consulta 'Parâmetro2' na pasta de trabalho." type="5" refreshedVersion="0" background="1">
    <dbPr connection="Provider=Microsoft.Mashup.OleDb.1;Data Source=$Workbook$;Location=Parâmetro2;Extended Properties=&quot;&quot;" command="SELECT * FROM [Parâmetro2]"/>
  </connection>
  <connection id="5" xr16:uid="{DA549531-A3BC-4A7E-9FBE-1B6CBE602AF6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6" xr16:uid="{8C95D201-E1BF-4408-9A6C-0F4B25C056C7}" keepAlive="1" name="Consulta - Transformar Arquivo (2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7" xr16:uid="{A33AC6D9-CE2A-49E5-8E95-2A9EA801BF4D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8" xr16:uid="{B08F73B7-BB64-4A6C-B836-D32233FF6409}" keepAlive="1" name="Consulta - Transformar o Arquivo de Exemplo (2)" description="Conexão com a consulta 'Transformar o Arquivo de Exemplo (2)' na pasta de trabalho." type="5" refreshedVersion="0" background="1">
    <dbPr connection="Provider=Microsoft.Mashup.OleDb.1;Data Source=$Workbook$;Location=&quot;Transformar o Arquivo de Exemplo (2)&quot;;Extended Properties=&quot;&quot;" command="SELECT * FROM [Transformar o Arquivo de Exemplo (2)]"/>
  </connection>
  <connection id="9" xr16:uid="{131CBB0C-C0E6-4482-BEBF-1BE95324F897}" keepAlive="1" name="Consulta - TRU_51_aluguel" description="Conexão com a consulta 'TRU_51_aluguel' na pasta de trabalho." type="5" refreshedVersion="8" background="1" saveData="1">
    <dbPr connection="Provider=Microsoft.Mashup.OleDb.1;Data Source=$Workbook$;Location=TRU_51_aluguel;Extended Properties=&quot;&quot;" command="SELECT * FROM [TRU_51_aluguel]"/>
  </connection>
  <connection id="10" xr16:uid="{78463BB8-3A56-44A1-8ED2-4CD1BD5ADAF6}" keepAlive="1" name="Consulta - TRU_51_construção" description="Conexão com a consulta 'TRU_51_construção' na pasta de trabalho." type="5" refreshedVersion="8" background="1" saveData="1">
    <dbPr connection="Provider=Microsoft.Mashup.OleDb.1;Data Source=$Workbook$;Location=TRU_51_construção;Extended Properties=&quot;&quot;" command="SELECT * FROM [TRU_51_construção]"/>
  </connection>
  <connection id="11" xr16:uid="{6F15933C-F652-405C-93FF-3CA5E359334D}" keepAlive="1" name="Consulta - TRU_51_financeira" description="Conexão com a consulta 'TRU_51_financeira' na pasta de trabalho." type="5" refreshedVersion="8" background="1" saveData="1">
    <dbPr connection="Provider=Microsoft.Mashup.OleDb.1;Data Source=$Workbook$;Location=TRU_51_financeira;Extended Properties=&quot;&quot;" command="SELECT * FROM [TRU_51_financeira]"/>
  </connection>
  <connection id="12" xr16:uid="{5FCC2CF1-EE5E-44D8-AE99-B56812F968C7}" keepAlive="1" name="Consulta - TRU_68_fbkf" description="Conexão com a consulta 'TRU_68_fbkf' na pasta de trabalho." type="5" refreshedVersion="8" background="1" saveData="1">
    <dbPr connection="Provider=Microsoft.Mashup.OleDb.1;Data Source=$Workbook$;Location=TRU_68_fbkf;Extended Properties=&quot;&quot;" command="SELECT * FROM [TRU_68_fbkf]"/>
  </connection>
</connections>
</file>

<file path=xl/sharedStrings.xml><?xml version="1.0" encoding="utf-8"?>
<sst xmlns="http://schemas.openxmlformats.org/spreadsheetml/2006/main" count="169" uniqueCount="82">
  <si>
    <t>Descrição do Produto</t>
  </si>
  <si>
    <t>Aluguel imputado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</si>
  <si>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</si>
  <si>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</si>
  <si>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</si>
  <si>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</si>
  <si>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</si>
  <si>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</si>
  <si>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</si>
  <si>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</si>
  <si>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</si>
  <si>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</si>
  <si>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</si>
  <si>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</si>
  <si>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</si>
  <si>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</si>
  <si>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</si>
  <si>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</si>
  <si>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</si>
  <si>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</si>
  <si>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</si>
  <si>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</si>
  <si>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</si>
  <si>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</si>
  <si>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Atividades imobiliárias e aluguéis</t>
  </si>
  <si>
    <t>COD_PRODUTO</t>
  </si>
  <si>
    <t>41801</t>
  </si>
  <si>
    <t>Edificações</t>
  </si>
  <si>
    <t>41802</t>
  </si>
  <si>
    <t>Obras de infra-estrutura</t>
  </si>
  <si>
    <t>41803</t>
  </si>
  <si>
    <t>Serviços especializados para construção</t>
  </si>
  <si>
    <t>Tabela 8 - Componentes da formação bruta de capital</t>
  </si>
  <si>
    <t>a preços correntes - 2010-2021</t>
  </si>
  <si>
    <t>Componentes da formação
bruta de capital</t>
  </si>
  <si>
    <t>Valor a preços correntes (1 000 000 R$)</t>
  </si>
  <si>
    <t xml:space="preserve">               Total</t>
  </si>
  <si>
    <t xml:space="preserve">   Formação bruta de capital fixo</t>
  </si>
  <si>
    <t xml:space="preserve">        Construção</t>
  </si>
  <si>
    <t xml:space="preserve">              Residencial</t>
  </si>
  <si>
    <t xml:space="preserve">              Outros edifícios e estruturas</t>
  </si>
  <si>
    <t xml:space="preserve">        Máquinas e equipamentos</t>
  </si>
  <si>
    <t xml:space="preserve">              Equipamentos de transporte</t>
  </si>
  <si>
    <t xml:space="preserve">              Equipamentos de TIC</t>
  </si>
  <si>
    <t xml:space="preserve">             Outras máquinas e equipamentos</t>
  </si>
  <si>
    <t xml:space="preserve">        Produtos de propriedade intelectual</t>
  </si>
  <si>
    <t xml:space="preserve">              Pesquisa e desenvolvimento</t>
  </si>
  <si>
    <t xml:space="preserve">              Software, banco de dados, exploração e avaliação mineral</t>
  </si>
  <si>
    <t xml:space="preserve">        Outros ativos fixos</t>
  </si>
  <si>
    <t xml:space="preserve"> Variação de estoque</t>
  </si>
  <si>
    <t xml:space="preserve">   </t>
  </si>
  <si>
    <t>Fonte: IBGE, Diretoria de Pesquisas, Coordenação de Contas Nacionais.</t>
  </si>
  <si>
    <t>Edificações + Infraestrutura</t>
  </si>
  <si>
    <t>Proporção Residencial</t>
  </si>
  <si>
    <t>Proporção Não-Residencial</t>
  </si>
  <si>
    <t>Proporção Infra-Estrutura</t>
  </si>
  <si>
    <t>Edificações Residenciais</t>
  </si>
  <si>
    <t>Serviços Residenciais</t>
  </si>
  <si>
    <t>Edificações Não-Residenciais</t>
  </si>
  <si>
    <t>Serviços Não-Residenciais</t>
  </si>
  <si>
    <t>Infra-Estrutura</t>
  </si>
  <si>
    <t>Serviços de Infraestrutura</t>
  </si>
  <si>
    <t>Total Residencial</t>
  </si>
  <si>
    <t xml:space="preserve">Total Não Residencial </t>
  </si>
  <si>
    <t>Total Infraestrutura</t>
  </si>
  <si>
    <t>TOTAL CONSTRUÇÃO</t>
  </si>
  <si>
    <t>FONTE</t>
  </si>
  <si>
    <t>TAB08 - SINÓTICA</t>
  </si>
  <si>
    <t>TRU_68</t>
  </si>
  <si>
    <t>Construção</t>
  </si>
  <si>
    <t>Construção civil</t>
  </si>
  <si>
    <t>Intermediação financeira e seguros</t>
  </si>
  <si>
    <t>Intermediação financeira seguros e previdência complementar e serviços relacionados</t>
  </si>
  <si>
    <t>TAB17 - SINÓTICA</t>
  </si>
  <si>
    <t>Construção por Categoria</t>
  </si>
  <si>
    <t>Aplicando percentual sobre "Serviços especializados para construção"</t>
  </si>
  <si>
    <t>Total Construção + Serviços por Categoria</t>
  </si>
  <si>
    <t>Produção não-mercantil Contrução</t>
  </si>
  <si>
    <t>Total Produção Mercantil Contrução</t>
  </si>
  <si>
    <t>Formação Bruta de Capital Fixo - Famílias</t>
  </si>
  <si>
    <t>CEI (P.51)</t>
  </si>
  <si>
    <t>Variação FBKF - Famílias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</si>
</sst>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###\ ###\ ###\ ##0\ ;\(\-\)\ ###\ ###\ ###\ ##0\ "/>
    <numFmt numFmtId="166" formatCode="0.0%"/>
    <numFmt numFmtId="167" formatCode="_(* #,##0_);_(* \(#,##0\);_(* &quot;-&quot;??_);_(@_)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b/>
      <sz val="8"/>
      <name val="Univers LT Std 45 Light"/>
      <family val="2"/>
    </font>
    <font>
      <b/>
      <sz val="6"/>
      <name val="Univers LT Std 55"/>
      <family val="2"/>
    </font>
    <font>
      <sz val="6"/>
      <name val="Univers LT Std 55"/>
      <family val="2"/>
    </font>
    <font>
      <sz val="6"/>
      <name val="Arial"/>
      <family val="2"/>
    </font>
    <font>
      <b/>
      <sz val="6"/>
      <name val="Univers LT Std 45 Light"/>
      <family val="2"/>
    </font>
    <font>
      <sz val="6"/>
      <name val="Univers LT Std 55"/>
    </font>
    <font>
      <sz val="6"/>
      <color rgb="FFFF0000"/>
      <name val="Univers LT Std 55"/>
      <family val="2"/>
    </font>
    <font>
      <sz val="6"/>
      <name val="Arial"/>
      <family val="2"/>
    </font>
    <font>
      <b/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7" fillId="0" borderId="0"/>
    <xf numFmtId="0" fontId="1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164" fontId="0" fillId="0" borderId="0" xfId="1" applyNumberFormat="1" applyFont="1"/>
    <xf numFmtId="0" fontId="4" fillId="0" borderId="0" xfId="2" applyFont="1" applyAlignment="1">
      <alignment horizontal="centerContinuous" vertical="center"/>
    </xf>
    <xf numFmtId="0" fontId="5" fillId="0" borderId="0" xfId="2" applyFont="1" applyAlignment="1">
      <alignment horizontal="centerContinuous" vertical="center"/>
    </xf>
    <xf numFmtId="0" fontId="5" fillId="0" borderId="0" xfId="2" applyFont="1"/>
    <xf numFmtId="0" fontId="5" fillId="0" borderId="0" xfId="2" applyFont="1" applyAlignment="1">
      <alignment horizontal="centerContinuous"/>
    </xf>
    <xf numFmtId="1" fontId="6" fillId="2" borderId="2" xfId="3" applyNumberFormat="1" applyFont="1" applyFill="1" applyBorder="1" applyAlignment="1">
      <alignment horizontal="centerContinuous" vertical="center"/>
    </xf>
    <xf numFmtId="0" fontId="6" fillId="0" borderId="3" xfId="2" applyFont="1" applyBorder="1" applyAlignment="1">
      <alignment horizontal="centerContinuous" vertical="center"/>
    </xf>
    <xf numFmtId="0" fontId="6" fillId="0" borderId="0" xfId="2" applyFont="1"/>
    <xf numFmtId="0" fontId="8" fillId="3" borderId="0" xfId="2" applyFont="1" applyFill="1" applyAlignment="1">
      <alignment horizontal="left"/>
    </xf>
    <xf numFmtId="165" fontId="8" fillId="3" borderId="0" xfId="3" applyNumberFormat="1" applyFont="1" applyFill="1" applyAlignment="1">
      <alignment horizontal="right"/>
    </xf>
    <xf numFmtId="0" fontId="8" fillId="0" borderId="0" xfId="2" applyFont="1"/>
    <xf numFmtId="0" fontId="6" fillId="0" borderId="0" xfId="2" quotePrefix="1" applyFont="1" applyAlignment="1">
      <alignment horizontal="left"/>
    </xf>
    <xf numFmtId="165" fontId="6" fillId="0" borderId="0" xfId="3" applyNumberFormat="1" applyFont="1" applyAlignment="1">
      <alignment horizontal="right"/>
    </xf>
    <xf numFmtId="0" fontId="9" fillId="0" borderId="0" xfId="2" quotePrefix="1" applyFont="1" applyAlignment="1">
      <alignment horizontal="left"/>
    </xf>
    <xf numFmtId="0" fontId="10" fillId="0" borderId="0" xfId="2" applyFont="1"/>
    <xf numFmtId="0" fontId="6" fillId="0" borderId="5" xfId="3" quotePrefix="1" applyFont="1" applyBorder="1" applyAlignment="1">
      <alignment horizontal="left"/>
    </xf>
    <xf numFmtId="165" fontId="6" fillId="0" borderId="5" xfId="3" applyNumberFormat="1" applyFont="1" applyBorder="1"/>
    <xf numFmtId="0" fontId="6" fillId="0" borderId="0" xfId="4" applyFont="1"/>
    <xf numFmtId="0" fontId="6" fillId="0" borderId="6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165" fontId="0" fillId="0" borderId="0" xfId="0" applyNumberFormat="1"/>
    <xf numFmtId="166" fontId="0" fillId="0" borderId="0" xfId="5" applyNumberFormat="1" applyFont="1"/>
    <xf numFmtId="164" fontId="0" fillId="0" borderId="0" xfId="0" applyNumberFormat="1"/>
    <xf numFmtId="43" fontId="0" fillId="0" borderId="0" xfId="1" applyFont="1"/>
    <xf numFmtId="167" fontId="0" fillId="0" borderId="0" xfId="1" applyNumberFormat="1" applyFont="1"/>
    <xf numFmtId="0" fontId="12" fillId="4" borderId="7" xfId="0" applyFont="1" applyFill="1" applyBorder="1" applyAlignment="1">
      <alignment horizontal="left" vertical="center" wrapText="1"/>
    </xf>
    <xf numFmtId="164" fontId="0" fillId="5" borderId="0" xfId="0" applyNumberFormat="1" applyFill="1"/>
    <xf numFmtId="165" fontId="0" fillId="5" borderId="0" xfId="0" applyNumberFormat="1" applyFill="1"/>
    <xf numFmtId="164" fontId="0" fillId="6" borderId="0" xfId="0" applyNumberFormat="1" applyFill="1"/>
    <xf numFmtId="0" fontId="6" fillId="0" borderId="1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</cellXfs>
  <cellStyles count="6">
    <cellStyle name="Normal" xfId="0" builtinId="0"/>
    <cellStyle name="Normal 2" xfId="4" xr:uid="{5EFD13E7-C2B2-4ED5-9A40-38D500D45A59}"/>
    <cellStyle name="Normal_tab08_90_01" xfId="2" xr:uid="{87F2AE9D-4EB7-4DBD-A008-06F67F71F5E9}"/>
    <cellStyle name="Normal_Tabela08" xfId="3" xr:uid="{86BAC581-A208-4B18-A6C9-9FC9996421B6}"/>
    <cellStyle name="Porcentagem" xfId="5" builtinId="5"/>
    <cellStyle name="Vírgula" xfId="1" builtinId="3"/>
  </cellStyles>
  <dxfs count="56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1" xr16:uid="{732DD100-E311-41C8-8E9D-2AD8841C825C}" autoFormatId="16" applyNumberFormats="0" applyBorderFormats="0" applyFontFormats="0" applyPatternFormats="0" applyAlignmentFormats="0" applyWidthHeightFormats="0">
  <queryTableRefresh nextId="24">
    <queryTableFields count="23">
      <queryTableField id="1" name="Descrição do Produto" tableColumnId="1"/>
      <queryTableField id="2" name="2000" tableColumnId="2"/>
      <queryTableField id="3" name="2001" tableColumnId="3"/>
      <queryTableField id="4" name="2002" tableColumnId="4"/>
      <queryTableField id="5" name="2003" tableColumnId="5"/>
      <queryTableField id="6" name="2004" tableColumnId="6"/>
      <queryTableField id="7" name="2005" tableColumnId="7"/>
      <queryTableField id="8" name="2006" tableColumnId="8"/>
      <queryTableField id="9" name="2007" tableColumnId="9"/>
      <queryTableField id="10" name="2008" tableColumnId="10"/>
      <queryTableField id="11" name="2009" tableColumnId="11"/>
      <queryTableField id="12" name="2010" tableColumnId="12"/>
      <queryTableField id="13" name="2011" tableColumnId="13"/>
      <queryTableField id="14" name="2012" tableColumnId="14"/>
      <queryTableField id="15" name="2013" tableColumnId="15"/>
      <queryTableField id="16" name="2014" tableColumnId="16"/>
      <queryTableField id="17" name="2015" tableColumnId="17"/>
      <queryTableField id="18" name="2016" tableColumnId="18"/>
      <queryTableField id="19" name="2017" tableColumnId="19"/>
      <queryTableField id="20" name="2018" tableColumnId="20"/>
      <queryTableField id="21" name="2019" tableColumnId="21"/>
      <queryTableField id="22" name="2020" tableColumnId="22"/>
      <queryTableField id="23" name="2021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2" xr16:uid="{99003099-315B-4C02-9679-3864AD6328F3}" autoFormatId="16" applyNumberFormats="0" applyBorderFormats="0" applyFontFormats="0" applyPatternFormats="0" applyAlignmentFormats="0" applyWidthHeightFormats="0">
  <queryTableRefresh nextId="15">
    <queryTableFields count="14">
      <queryTableField id="1" name="COD_PRODUTO" tableColumnId="1"/>
      <queryTableField id="2" name="Descrição do Produto" tableColumnId="2"/>
      <queryTableField id="3" name="2010" tableColumnId="3"/>
      <queryTableField id="4" name="2011" tableColumnId="4"/>
      <queryTableField id="5" name="2012" tableColumnId="5"/>
      <queryTableField id="6" name="2013" tableColumnId="6"/>
      <queryTableField id="7" name="2014" tableColumnId="7"/>
      <queryTableField id="8" name="2015" tableColumnId="8"/>
      <queryTableField id="9" name="2016" tableColumnId="9"/>
      <queryTableField id="10" name="2017" tableColumnId="10"/>
      <queryTableField id="11" name="2018" tableColumnId="11"/>
      <queryTableField id="12" name="2019" tableColumnId="12"/>
      <queryTableField id="13" name="2020" tableColumnId="13"/>
      <queryTableField id="14" name="2021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0" xr16:uid="{6EFFE677-5AC6-4D4C-AC6E-F04880630D9A}" autoFormatId="16" applyNumberFormats="0" applyBorderFormats="0" applyFontFormats="0" applyPatternFormats="0" applyAlignmentFormats="0" applyWidthHeightFormats="0">
  <queryTableRefresh nextId="24">
    <queryTableFields count="23">
      <queryTableField id="1" name="Descrição do Produto" tableColumnId="1"/>
      <queryTableField id="2" name="2000" tableColumnId="2"/>
      <queryTableField id="3" name="2001" tableColumnId="3"/>
      <queryTableField id="4" name="2002" tableColumnId="4"/>
      <queryTableField id="5" name="2003" tableColumnId="5"/>
      <queryTableField id="6" name="2004" tableColumnId="6"/>
      <queryTableField id="7" name="2005" tableColumnId="7"/>
      <queryTableField id="8" name="2006" tableColumnId="8"/>
      <queryTableField id="9" name="2007" tableColumnId="9"/>
      <queryTableField id="10" name="2008" tableColumnId="10"/>
      <queryTableField id="11" name="2009" tableColumnId="11"/>
      <queryTableField id="12" name="2010" tableColumnId="12"/>
      <queryTableField id="13" name="2011" tableColumnId="13"/>
      <queryTableField id="14" name="2012" tableColumnId="14"/>
      <queryTableField id="15" name="2013" tableColumnId="15"/>
      <queryTableField id="16" name="2014" tableColumnId="16"/>
      <queryTableField id="17" name="2015" tableColumnId="17"/>
      <queryTableField id="18" name="2016" tableColumnId="18"/>
      <queryTableField id="19" name="2017" tableColumnId="19"/>
      <queryTableField id="20" name="2018" tableColumnId="20"/>
      <queryTableField id="21" name="2019" tableColumnId="21"/>
      <queryTableField id="22" name="2020" tableColumnId="22"/>
      <queryTableField id="23" name="2021" tableColumnId="2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9" xr16:uid="{23272899-0557-4403-80E8-2CA90CA695F5}" autoFormatId="16" applyNumberFormats="0" applyBorderFormats="0" applyFontFormats="0" applyPatternFormats="0" applyAlignmentFormats="0" applyWidthHeightFormats="0">
  <queryTableRefresh nextId="26">
    <queryTableFields count="23">
      <queryTableField id="2" name="Descrição do Produto" tableColumnId="2"/>
      <queryTableField id="4" name="2000" tableColumnId="4"/>
      <queryTableField id="5" name="2001" tableColumnId="5"/>
      <queryTableField id="6" name="2002" tableColumnId="6"/>
      <queryTableField id="7" name="2003" tableColumnId="7"/>
      <queryTableField id="8" name="2004" tableColumnId="8"/>
      <queryTableField id="9" name="2005" tableColumnId="9"/>
      <queryTableField id="10" name="2006" tableColumnId="10"/>
      <queryTableField id="11" name="2007" tableColumnId="11"/>
      <queryTableField id="12" name="2008" tableColumnId="12"/>
      <queryTableField id="13" name="2009" tableColumnId="13"/>
      <queryTableField id="14" name="2010" tableColumnId="14"/>
      <queryTableField id="15" name="2011" tableColumnId="15"/>
      <queryTableField id="16" name="2012" tableColumnId="16"/>
      <queryTableField id="17" name="2013" tableColumnId="17"/>
      <queryTableField id="18" name="2014" tableColumnId="18"/>
      <queryTableField id="19" name="2015" tableColumnId="19"/>
      <queryTableField id="20" name="2016" tableColumnId="20"/>
      <queryTableField id="21" name="2017" tableColumnId="21"/>
      <queryTableField id="22" name="2018" tableColumnId="22"/>
      <queryTableField id="23" name="2019" tableColumnId="23"/>
      <queryTableField id="24" name="2020" tableColumnId="24"/>
      <queryTableField id="25" name="202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A36E30-5912-40FD-8143-2F008921FC13}" name="TRU_51_financeira" displayName="TRU_51_financeira" ref="A1:W3" tableType="queryTable" totalsRowShown="0">
  <autoFilter ref="A1:W3" xr:uid="{7AA36E30-5912-40FD-8143-2F008921FC13}"/>
  <tableColumns count="23">
    <tableColumn id="1" xr3:uid="{1965FAD8-899D-48B2-B11F-5A2B6029F9F0}" uniqueName="1" name="Descrição do Produto" queryTableFieldId="1"/>
    <tableColumn id="2" xr3:uid="{725419F7-8092-456C-AA0D-FA1E25F0251C}" uniqueName="2" name="2000" queryTableFieldId="2"/>
    <tableColumn id="3" xr3:uid="{DF8EF64F-EE45-4900-B2E1-4E267A3CF214}" uniqueName="3" name="2001" queryTableFieldId="3"/>
    <tableColumn id="4" xr3:uid="{59CC393B-06FA-4926-9160-6ED9855FDF11}" uniqueName="4" name="2002" queryTableFieldId="4"/>
    <tableColumn id="5" xr3:uid="{37F75162-F082-4511-ADFB-2CDDF32AE6F7}" uniqueName="5" name="2003" queryTableFieldId="5"/>
    <tableColumn id="6" xr3:uid="{BBBA1AC2-FDE8-4106-986D-89ED465E2914}" uniqueName="6" name="2004" queryTableFieldId="6"/>
    <tableColumn id="7" xr3:uid="{7B1806DE-2B35-48E6-BDBE-42DD164F0F79}" uniqueName="7" name="2005" queryTableFieldId="7"/>
    <tableColumn id="8" xr3:uid="{507B4DD1-37A5-40A2-AD0D-AFCE6D8CF264}" uniqueName="8" name="2006" queryTableFieldId="8"/>
    <tableColumn id="9" xr3:uid="{ECFDB14A-CD3C-4DC6-A6BB-6B32D2FBF19A}" uniqueName="9" name="2007" queryTableFieldId="9"/>
    <tableColumn id="10" xr3:uid="{23EC8F5F-635B-4775-B174-850634768A1B}" uniqueName="10" name="2008" queryTableFieldId="10"/>
    <tableColumn id="11" xr3:uid="{521678D9-0EBE-4744-8F76-3AA3D83334F1}" uniqueName="11" name="2009" queryTableFieldId="11"/>
    <tableColumn id="12" xr3:uid="{B86EFD07-A440-47B3-8017-99DAF77BB82E}" uniqueName="12" name="2010" queryTableFieldId="12"/>
    <tableColumn id="13" xr3:uid="{1CE13F7E-70F7-44C5-AAFF-BB127E4248A2}" uniqueName="13" name="2011" queryTableFieldId="13"/>
    <tableColumn id="14" xr3:uid="{0655201D-F95E-47C7-95D7-BE45A6EB6DF9}" uniqueName="14" name="2012" queryTableFieldId="14"/>
    <tableColumn id="15" xr3:uid="{77CF54BA-6DB0-4A76-A421-AA4D9E54295D}" uniqueName="15" name="2013" queryTableFieldId="15"/>
    <tableColumn id="16" xr3:uid="{F545B87B-A5E9-489A-9FED-F41AFEC3C7F6}" uniqueName="16" name="2014" queryTableFieldId="16"/>
    <tableColumn id="17" xr3:uid="{F0AE6725-0681-4B42-BC56-0C8E43AB19E2}" uniqueName="17" name="2015" queryTableFieldId="17"/>
    <tableColumn id="18" xr3:uid="{CBAD70C6-E669-49D4-90EC-E032771726ED}" uniqueName="18" name="2016" queryTableFieldId="18"/>
    <tableColumn id="19" xr3:uid="{A39FC167-D23D-41BA-B56A-B776B5EEDA41}" uniqueName="19" name="2017" queryTableFieldId="19"/>
    <tableColumn id="20" xr3:uid="{6CE2C52A-CCCE-432F-9A1E-EB6156BFB87A}" uniqueName="20" name="2018" queryTableFieldId="20"/>
    <tableColumn id="21" xr3:uid="{8FA44186-D79E-4168-87C0-D8EECB2C6E99}" uniqueName="21" name="2019" queryTableFieldId="21"/>
    <tableColumn id="22" xr3:uid="{53021280-010C-42CC-AFE2-678B737CA069}" uniqueName="22" name="2020" queryTableFieldId="22"/>
    <tableColumn id="23" xr3:uid="{D80A9865-34D9-488F-BA23-2EE38A4B4BB4}" uniqueName="23" name="2021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26AFC2-A33E-4547-9685-AE5E08E98EB1}" name="TRU_68_fbkf" displayName="TRU_68_fbkf" ref="A1:N4" tableType="queryTable" totalsRowShown="0">
  <autoFilter ref="A1:N4" xr:uid="{7F26AFC2-A33E-4547-9685-AE5E08E98EB1}"/>
  <tableColumns count="14">
    <tableColumn id="1" xr3:uid="{0F3BAD58-B2DD-408B-A6A1-3B6578DDBB42}" uniqueName="1" name="COD_PRODUTO" queryTableFieldId="1"/>
    <tableColumn id="2" xr3:uid="{4B8963ED-FF9F-46FC-99E4-02BAAC53DF53}" uniqueName="2" name="Descrição do Produto" queryTableFieldId="2"/>
    <tableColumn id="3" xr3:uid="{0D06727C-35DA-4918-8C8A-085F2725061D}" uniqueName="3" name="2010" queryTableFieldId="3" dataDxfId="55" dataCellStyle="Vírgula"/>
    <tableColumn id="4" xr3:uid="{14FEE9CE-8091-4FF9-B500-A1E8176CFC0A}" uniqueName="4" name="2011" queryTableFieldId="4" dataDxfId="54" dataCellStyle="Vírgula"/>
    <tableColumn id="5" xr3:uid="{39DB0D71-FF21-43B1-9393-55C4A60F7997}" uniqueName="5" name="2012" queryTableFieldId="5" dataDxfId="53" dataCellStyle="Vírgula"/>
    <tableColumn id="6" xr3:uid="{5E19CFA1-D0C2-436E-A8E8-CC2560C46B89}" uniqueName="6" name="2013" queryTableFieldId="6" dataDxfId="52" dataCellStyle="Vírgula"/>
    <tableColumn id="7" xr3:uid="{7D51472D-A332-44F2-9F67-2D40F9BCA010}" uniqueName="7" name="2014" queryTableFieldId="7" dataDxfId="51" dataCellStyle="Vírgula"/>
    <tableColumn id="8" xr3:uid="{996FF34A-ADCA-4D14-82E2-D662079471E4}" uniqueName="8" name="2015" queryTableFieldId="8" dataDxfId="50" dataCellStyle="Vírgula"/>
    <tableColumn id="9" xr3:uid="{4096A342-879B-498D-8B16-642EDEB69AED}" uniqueName="9" name="2016" queryTableFieldId="9" dataDxfId="49" dataCellStyle="Vírgula"/>
    <tableColumn id="10" xr3:uid="{53A49D84-76E5-44DE-8D35-F6FB32A3D59B}" uniqueName="10" name="2017" queryTableFieldId="10" dataDxfId="48" dataCellStyle="Vírgula"/>
    <tableColumn id="11" xr3:uid="{7B08DDF9-9217-4466-8598-604C1AE1E5F1}" uniqueName="11" name="2018" queryTableFieldId="11" dataDxfId="47" dataCellStyle="Vírgula"/>
    <tableColumn id="12" xr3:uid="{BC7A572F-7308-461B-BFA2-2B696283738A}" uniqueName="12" name="2019" queryTableFieldId="12" dataDxfId="46" dataCellStyle="Vírgula"/>
    <tableColumn id="13" xr3:uid="{AD31994C-5224-4830-8E4F-799CDEF09080}" uniqueName="13" name="2020" queryTableFieldId="13" dataDxfId="45" dataCellStyle="Vírgula"/>
    <tableColumn id="14" xr3:uid="{9AF6F9A1-0725-4923-937A-294B0EAF44C6}" uniqueName="14" name="2021" queryTableFieldId="14" dataDxfId="44" dataCellStyle="Vírgula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E24A8B-A4B1-4A67-ABD9-494B850D19FC}" name="TRU_51_construção" displayName="TRU_51_construção" ref="A1:W3" tableType="queryTable" totalsRowShown="0">
  <autoFilter ref="A1:W3" xr:uid="{8BE24A8B-A4B1-4A67-ABD9-494B850D19FC}"/>
  <tableColumns count="23">
    <tableColumn id="1" xr3:uid="{C45515AB-D034-4033-A22A-CCCA726E960A}" uniqueName="1" name="Descrição do Produto" queryTableFieldId="1"/>
    <tableColumn id="2" xr3:uid="{9F321AA4-C003-4E34-91BA-AC454397039D}" uniqueName="2" name="2000" queryTableFieldId="2" dataDxfId="43" dataCellStyle="Vírgula"/>
    <tableColumn id="3" xr3:uid="{DAAAFFA2-4BB4-4E4B-8653-2BF259D4128D}" uniqueName="3" name="2001" queryTableFieldId="3" dataDxfId="42" dataCellStyle="Vírgula"/>
    <tableColumn id="4" xr3:uid="{B3CA1DE4-497F-4E04-8275-E73D04AD77FF}" uniqueName="4" name="2002" queryTableFieldId="4" dataDxfId="41" dataCellStyle="Vírgula"/>
    <tableColumn id="5" xr3:uid="{963B41D9-6C7D-47E8-94E8-C94087B20033}" uniqueName="5" name="2003" queryTableFieldId="5" dataDxfId="40" dataCellStyle="Vírgula"/>
    <tableColumn id="6" xr3:uid="{081CB739-7177-419B-ACD4-B4E6ED51CC67}" uniqueName="6" name="2004" queryTableFieldId="6" dataDxfId="39" dataCellStyle="Vírgula"/>
    <tableColumn id="7" xr3:uid="{E610CC9F-A83C-4DE0-9743-21C890A617CC}" uniqueName="7" name="2005" queryTableFieldId="7" dataDxfId="38" dataCellStyle="Vírgula"/>
    <tableColumn id="8" xr3:uid="{4B0FA6E7-2D13-4308-A46F-4DE40F318AC8}" uniqueName="8" name="2006" queryTableFieldId="8" dataDxfId="37" dataCellStyle="Vírgula"/>
    <tableColumn id="9" xr3:uid="{9D18629D-BE04-40E4-A5FE-6C25D70F6003}" uniqueName="9" name="2007" queryTableFieldId="9" dataDxfId="36" dataCellStyle="Vírgula"/>
    <tableColumn id="10" xr3:uid="{36895532-76F2-45BA-ADCA-3F63D835210D}" uniqueName="10" name="2008" queryTableFieldId="10" dataDxfId="35" dataCellStyle="Vírgula"/>
    <tableColumn id="11" xr3:uid="{58946CB5-D785-4D48-8141-BC1EB0FE2B74}" uniqueName="11" name="2009" queryTableFieldId="11" dataDxfId="34" dataCellStyle="Vírgula"/>
    <tableColumn id="12" xr3:uid="{5FC83308-E03F-406D-939C-B5020041BDF6}" uniqueName="12" name="2010" queryTableFieldId="12" dataDxfId="33" dataCellStyle="Vírgula"/>
    <tableColumn id="13" xr3:uid="{2A854C30-B3D6-420C-AB5E-C86B7F175BA9}" uniqueName="13" name="2011" queryTableFieldId="13" dataDxfId="32" dataCellStyle="Vírgula"/>
    <tableColumn id="14" xr3:uid="{C77F6F4A-0EB1-4FD8-9EC3-8A306EC9DA10}" uniqueName="14" name="2012" queryTableFieldId="14" dataDxfId="31" dataCellStyle="Vírgula"/>
    <tableColumn id="15" xr3:uid="{45481E21-AEA8-45D9-BEB9-7A654BC837A4}" uniqueName="15" name="2013" queryTableFieldId="15" dataDxfId="30" dataCellStyle="Vírgula"/>
    <tableColumn id="16" xr3:uid="{4E7F7FC0-3083-4CE2-AF67-143D375BD179}" uniqueName="16" name="2014" queryTableFieldId="16" dataDxfId="29" dataCellStyle="Vírgula"/>
    <tableColumn id="17" xr3:uid="{3AD787CA-969E-4C8F-B348-DED8B350E851}" uniqueName="17" name="2015" queryTableFieldId="17" dataDxfId="28" dataCellStyle="Vírgula"/>
    <tableColumn id="18" xr3:uid="{A0C3DD2E-E949-42F7-860A-445D936DCA49}" uniqueName="18" name="2016" queryTableFieldId="18" dataDxfId="27" dataCellStyle="Vírgula"/>
    <tableColumn id="19" xr3:uid="{B66A4876-BDF5-4475-A8FE-83B528F5196D}" uniqueName="19" name="2017" queryTableFieldId="19" dataDxfId="26" dataCellStyle="Vírgula"/>
    <tableColumn id="20" xr3:uid="{130EFE61-AC15-4F7E-93BB-3F736846B834}" uniqueName="20" name="2018" queryTableFieldId="20" dataDxfId="25" dataCellStyle="Vírgula"/>
    <tableColumn id="21" xr3:uid="{2E0CFC64-F3F7-4FCC-864A-C733ECC2B7F5}" uniqueName="21" name="2019" queryTableFieldId="21" dataDxfId="24" dataCellStyle="Vírgula"/>
    <tableColumn id="22" xr3:uid="{FD7E447A-8158-4D85-931E-B958DA33957F}" uniqueName="22" name="2020" queryTableFieldId="22" dataDxfId="23" dataCellStyle="Vírgula"/>
    <tableColumn id="23" xr3:uid="{351497DC-4FAF-45FD-8BBF-D0818A2B0004}" uniqueName="23" name="2021" queryTableFieldId="23" dataDxfId="22" dataCellStyle="Vírgula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A91822-4E8D-41E7-BFA0-163AF4740D0C}" name="TRU_51_aluguel" displayName="TRU_51_aluguel" ref="A1:W3" tableType="queryTable" totalsRowShown="0">
  <autoFilter ref="A1:W3" xr:uid="{80A91822-4E8D-41E7-BFA0-163AF4740D0C}"/>
  <tableColumns count="23">
    <tableColumn id="2" xr3:uid="{6AA97616-F7B5-4358-B76E-9BE4B68D918F}" uniqueName="2" name="Descrição do Produto" queryTableFieldId="2"/>
    <tableColumn id="4" xr3:uid="{A4663CD7-7D9F-433E-A890-B973E74EE9C9}" uniqueName="4" name="2000" queryTableFieldId="4" dataDxfId="21" dataCellStyle="Vírgula"/>
    <tableColumn id="5" xr3:uid="{0E36EBB5-5465-40A4-8750-DA9F2006A7B8}" uniqueName="5" name="2001" queryTableFieldId="5" dataDxfId="20" dataCellStyle="Vírgula"/>
    <tableColumn id="6" xr3:uid="{552200A1-14F8-445D-98BF-15D559DA827E}" uniqueName="6" name="2002" queryTableFieldId="6" dataDxfId="19" dataCellStyle="Vírgula"/>
    <tableColumn id="7" xr3:uid="{9960C590-BC09-4CBE-B3D7-B21F4132B2DF}" uniqueName="7" name="2003" queryTableFieldId="7" dataDxfId="18" dataCellStyle="Vírgula"/>
    <tableColumn id="8" xr3:uid="{EE5615C4-18E0-4111-AD76-4D5A33C9E8F7}" uniqueName="8" name="2004" queryTableFieldId="8" dataDxfId="17" dataCellStyle="Vírgula"/>
    <tableColumn id="9" xr3:uid="{BE1AC350-FC7A-40D1-962D-2B564CB1AAE4}" uniqueName="9" name="2005" queryTableFieldId="9" dataDxfId="16" dataCellStyle="Vírgula"/>
    <tableColumn id="10" xr3:uid="{6504D0A4-2F61-4A97-B497-28020D09D42B}" uniqueName="10" name="2006" queryTableFieldId="10" dataDxfId="15" dataCellStyle="Vírgula"/>
    <tableColumn id="11" xr3:uid="{E0571CAA-FA5D-4BEE-A442-D481A6EE583A}" uniqueName="11" name="2007" queryTableFieldId="11" dataDxfId="14" dataCellStyle="Vírgula"/>
    <tableColumn id="12" xr3:uid="{62448412-9896-4F45-A5A5-2AD1198002F5}" uniqueName="12" name="2008" queryTableFieldId="12" dataDxfId="13" dataCellStyle="Vírgula"/>
    <tableColumn id="13" xr3:uid="{A0B90B0C-2E02-4796-8D33-5BBF94D2897E}" uniqueName="13" name="2009" queryTableFieldId="13" dataDxfId="12" dataCellStyle="Vírgula"/>
    <tableColumn id="14" xr3:uid="{8EF5A827-F1DC-4E7A-A4B7-A4D3A40E79BE}" uniqueName="14" name="2010" queryTableFieldId="14" dataDxfId="11" dataCellStyle="Vírgula"/>
    <tableColumn id="15" xr3:uid="{51EC246C-DCA0-4226-BCDE-A2601E1A8C70}" uniqueName="15" name="2011" queryTableFieldId="15" dataDxfId="10" dataCellStyle="Vírgula"/>
    <tableColumn id="16" xr3:uid="{A722C408-52AE-407A-8A52-5FBC329F26D6}" uniqueName="16" name="2012" queryTableFieldId="16" dataDxfId="9" dataCellStyle="Vírgula"/>
    <tableColumn id="17" xr3:uid="{E81A2B25-D294-4691-8267-CA969443E2EE}" uniqueName="17" name="2013" queryTableFieldId="17" dataDxfId="8" dataCellStyle="Vírgula"/>
    <tableColumn id="18" xr3:uid="{92DEC806-6376-46DC-8D97-A216CD19781D}" uniqueName="18" name="2014" queryTableFieldId="18" dataDxfId="7" dataCellStyle="Vírgula"/>
    <tableColumn id="19" xr3:uid="{03E27B96-09F3-4653-BF16-B7302A7275D0}" uniqueName="19" name="2015" queryTableFieldId="19" dataDxfId="6" dataCellStyle="Vírgula"/>
    <tableColumn id="20" xr3:uid="{EB699C74-C688-411C-871C-53E5C2CA7C55}" uniqueName="20" name="2016" queryTableFieldId="20" dataDxfId="5" dataCellStyle="Vírgula"/>
    <tableColumn id="21" xr3:uid="{0B0F293B-BDFA-4117-9633-95222A3360EC}" uniqueName="21" name="2017" queryTableFieldId="21" dataDxfId="4" dataCellStyle="Vírgula"/>
    <tableColumn id="22" xr3:uid="{360A0DF1-4C7C-4B03-919A-059416CE79ED}" uniqueName="22" name="2018" queryTableFieldId="22" dataDxfId="3" dataCellStyle="Vírgula"/>
    <tableColumn id="23" xr3:uid="{B8A2CD83-741D-47AF-B9E8-540E13B1A696}" uniqueName="23" name="2019" queryTableFieldId="23" dataDxfId="2" dataCellStyle="Vírgula"/>
    <tableColumn id="24" xr3:uid="{D463226F-9B0B-4C90-AAA3-E1C5AC2242E1}" uniqueName="24" name="2020" queryTableFieldId="24" dataDxfId="1" dataCellStyle="Vírgula"/>
    <tableColumn id="25" xr3:uid="{DFA72A20-770A-4ECA-85B8-DEBB15840957}" uniqueName="25" name="2021" queryTableFieldId="25" dataDxfId="0" dataCellStyle="Vírgul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F334-8009-47AF-B43E-46F6B259FA51}">
  <dimension ref="A1:W3"/>
  <sheetViews>
    <sheetView workbookViewId="0">
      <selection activeCell="L2" sqref="L2:W2"/>
    </sheetView>
  </sheetViews>
  <sheetFormatPr defaultRowHeight="15"/>
  <cols>
    <col min="1" max="1" width="79.85546875" bestFit="1" customWidth="1"/>
    <col min="2" max="23" width="7.28515625" bestFit="1" customWidth="1"/>
  </cols>
  <sheetData>
    <row r="1" spans="1:2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>
      <c r="A2" t="s">
        <v>71</v>
      </c>
      <c r="L2">
        <v>183445</v>
      </c>
      <c r="M2">
        <v>207329</v>
      </c>
      <c r="N2">
        <v>209581</v>
      </c>
      <c r="O2">
        <v>222059</v>
      </c>
      <c r="P2">
        <v>252453</v>
      </c>
      <c r="Q2">
        <v>285322</v>
      </c>
      <c r="R2">
        <v>320468</v>
      </c>
      <c r="S2">
        <v>329896</v>
      </c>
      <c r="T2">
        <v>334777</v>
      </c>
      <c r="U2">
        <v>369544</v>
      </c>
      <c r="V2">
        <v>379659</v>
      </c>
      <c r="W2">
        <v>396491</v>
      </c>
    </row>
    <row r="3" spans="1:23">
      <c r="A3" t="s">
        <v>72</v>
      </c>
      <c r="B3">
        <v>30060</v>
      </c>
      <c r="C3">
        <v>34712</v>
      </c>
      <c r="D3">
        <v>40956</v>
      </c>
      <c r="E3">
        <v>42859</v>
      </c>
      <c r="F3">
        <v>41910</v>
      </c>
      <c r="G3">
        <v>53855</v>
      </c>
      <c r="H3">
        <v>67101</v>
      </c>
      <c r="I3">
        <v>89816</v>
      </c>
      <c r="J3">
        <v>111688</v>
      </c>
      <c r="K3">
        <v>145529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75B9-9CA1-4B00-8099-1600984509CC}">
  <dimension ref="A1:M21"/>
  <sheetViews>
    <sheetView showGridLines="0" zoomScaleNormal="100" zoomScaleSheetLayoutView="100" workbookViewId="0">
      <selection activeCell="A51" sqref="A51"/>
    </sheetView>
  </sheetViews>
  <sheetFormatPr defaultColWidth="8" defaultRowHeight="8.25"/>
  <cols>
    <col min="1" max="1" width="42" style="8" customWidth="1"/>
    <col min="2" max="13" width="12.85546875" style="8" customWidth="1"/>
    <col min="14" max="256" width="8" style="8"/>
    <col min="257" max="257" width="42" style="8" customWidth="1"/>
    <col min="258" max="269" width="12.85546875" style="8" customWidth="1"/>
    <col min="270" max="512" width="8" style="8"/>
    <col min="513" max="513" width="42" style="8" customWidth="1"/>
    <col min="514" max="525" width="12.85546875" style="8" customWidth="1"/>
    <col min="526" max="768" width="8" style="8"/>
    <col min="769" max="769" width="42" style="8" customWidth="1"/>
    <col min="770" max="781" width="12.85546875" style="8" customWidth="1"/>
    <col min="782" max="1024" width="8" style="8"/>
    <col min="1025" max="1025" width="42" style="8" customWidth="1"/>
    <col min="1026" max="1037" width="12.85546875" style="8" customWidth="1"/>
    <col min="1038" max="1280" width="8" style="8"/>
    <col min="1281" max="1281" width="42" style="8" customWidth="1"/>
    <col min="1282" max="1293" width="12.85546875" style="8" customWidth="1"/>
    <col min="1294" max="1536" width="8" style="8"/>
    <col min="1537" max="1537" width="42" style="8" customWidth="1"/>
    <col min="1538" max="1549" width="12.85546875" style="8" customWidth="1"/>
    <col min="1550" max="1792" width="8" style="8"/>
    <col min="1793" max="1793" width="42" style="8" customWidth="1"/>
    <col min="1794" max="1805" width="12.85546875" style="8" customWidth="1"/>
    <col min="1806" max="2048" width="8" style="8"/>
    <col min="2049" max="2049" width="42" style="8" customWidth="1"/>
    <col min="2050" max="2061" width="12.85546875" style="8" customWidth="1"/>
    <col min="2062" max="2304" width="8" style="8"/>
    <col min="2305" max="2305" width="42" style="8" customWidth="1"/>
    <col min="2306" max="2317" width="12.85546875" style="8" customWidth="1"/>
    <col min="2318" max="2560" width="8" style="8"/>
    <col min="2561" max="2561" width="42" style="8" customWidth="1"/>
    <col min="2562" max="2573" width="12.85546875" style="8" customWidth="1"/>
    <col min="2574" max="2816" width="8" style="8"/>
    <col min="2817" max="2817" width="42" style="8" customWidth="1"/>
    <col min="2818" max="2829" width="12.85546875" style="8" customWidth="1"/>
    <col min="2830" max="3072" width="8" style="8"/>
    <col min="3073" max="3073" width="42" style="8" customWidth="1"/>
    <col min="3074" max="3085" width="12.85546875" style="8" customWidth="1"/>
    <col min="3086" max="3328" width="8" style="8"/>
    <col min="3329" max="3329" width="42" style="8" customWidth="1"/>
    <col min="3330" max="3341" width="12.85546875" style="8" customWidth="1"/>
    <col min="3342" max="3584" width="8" style="8"/>
    <col min="3585" max="3585" width="42" style="8" customWidth="1"/>
    <col min="3586" max="3597" width="12.85546875" style="8" customWidth="1"/>
    <col min="3598" max="3840" width="8" style="8"/>
    <col min="3841" max="3841" width="42" style="8" customWidth="1"/>
    <col min="3842" max="3853" width="12.85546875" style="8" customWidth="1"/>
    <col min="3854" max="4096" width="8" style="8"/>
    <col min="4097" max="4097" width="42" style="8" customWidth="1"/>
    <col min="4098" max="4109" width="12.85546875" style="8" customWidth="1"/>
    <col min="4110" max="4352" width="8" style="8"/>
    <col min="4353" max="4353" width="42" style="8" customWidth="1"/>
    <col min="4354" max="4365" width="12.85546875" style="8" customWidth="1"/>
    <col min="4366" max="4608" width="8" style="8"/>
    <col min="4609" max="4609" width="42" style="8" customWidth="1"/>
    <col min="4610" max="4621" width="12.85546875" style="8" customWidth="1"/>
    <col min="4622" max="4864" width="8" style="8"/>
    <col min="4865" max="4865" width="42" style="8" customWidth="1"/>
    <col min="4866" max="4877" width="12.85546875" style="8" customWidth="1"/>
    <col min="4878" max="5120" width="8" style="8"/>
    <col min="5121" max="5121" width="42" style="8" customWidth="1"/>
    <col min="5122" max="5133" width="12.85546875" style="8" customWidth="1"/>
    <col min="5134" max="5376" width="8" style="8"/>
    <col min="5377" max="5377" width="42" style="8" customWidth="1"/>
    <col min="5378" max="5389" width="12.85546875" style="8" customWidth="1"/>
    <col min="5390" max="5632" width="8" style="8"/>
    <col min="5633" max="5633" width="42" style="8" customWidth="1"/>
    <col min="5634" max="5645" width="12.85546875" style="8" customWidth="1"/>
    <col min="5646" max="5888" width="8" style="8"/>
    <col min="5889" max="5889" width="42" style="8" customWidth="1"/>
    <col min="5890" max="5901" width="12.85546875" style="8" customWidth="1"/>
    <col min="5902" max="6144" width="8" style="8"/>
    <col min="6145" max="6145" width="42" style="8" customWidth="1"/>
    <col min="6146" max="6157" width="12.85546875" style="8" customWidth="1"/>
    <col min="6158" max="6400" width="8" style="8"/>
    <col min="6401" max="6401" width="42" style="8" customWidth="1"/>
    <col min="6402" max="6413" width="12.85546875" style="8" customWidth="1"/>
    <col min="6414" max="6656" width="8" style="8"/>
    <col min="6657" max="6657" width="42" style="8" customWidth="1"/>
    <col min="6658" max="6669" width="12.85546875" style="8" customWidth="1"/>
    <col min="6670" max="6912" width="8" style="8"/>
    <col min="6913" max="6913" width="42" style="8" customWidth="1"/>
    <col min="6914" max="6925" width="12.85546875" style="8" customWidth="1"/>
    <col min="6926" max="7168" width="8" style="8"/>
    <col min="7169" max="7169" width="42" style="8" customWidth="1"/>
    <col min="7170" max="7181" width="12.85546875" style="8" customWidth="1"/>
    <col min="7182" max="7424" width="8" style="8"/>
    <col min="7425" max="7425" width="42" style="8" customWidth="1"/>
    <col min="7426" max="7437" width="12.85546875" style="8" customWidth="1"/>
    <col min="7438" max="7680" width="8" style="8"/>
    <col min="7681" max="7681" width="42" style="8" customWidth="1"/>
    <col min="7682" max="7693" width="12.85546875" style="8" customWidth="1"/>
    <col min="7694" max="7936" width="8" style="8"/>
    <col min="7937" max="7937" width="42" style="8" customWidth="1"/>
    <col min="7938" max="7949" width="12.85546875" style="8" customWidth="1"/>
    <col min="7950" max="8192" width="8" style="8"/>
    <col min="8193" max="8193" width="42" style="8" customWidth="1"/>
    <col min="8194" max="8205" width="12.85546875" style="8" customWidth="1"/>
    <col min="8206" max="8448" width="8" style="8"/>
    <col min="8449" max="8449" width="42" style="8" customWidth="1"/>
    <col min="8450" max="8461" width="12.85546875" style="8" customWidth="1"/>
    <col min="8462" max="8704" width="8" style="8"/>
    <col min="8705" max="8705" width="42" style="8" customWidth="1"/>
    <col min="8706" max="8717" width="12.85546875" style="8" customWidth="1"/>
    <col min="8718" max="8960" width="8" style="8"/>
    <col min="8961" max="8961" width="42" style="8" customWidth="1"/>
    <col min="8962" max="8973" width="12.85546875" style="8" customWidth="1"/>
    <col min="8974" max="9216" width="8" style="8"/>
    <col min="9217" max="9217" width="42" style="8" customWidth="1"/>
    <col min="9218" max="9229" width="12.85546875" style="8" customWidth="1"/>
    <col min="9230" max="9472" width="8" style="8"/>
    <col min="9473" max="9473" width="42" style="8" customWidth="1"/>
    <col min="9474" max="9485" width="12.85546875" style="8" customWidth="1"/>
    <col min="9486" max="9728" width="8" style="8"/>
    <col min="9729" max="9729" width="42" style="8" customWidth="1"/>
    <col min="9730" max="9741" width="12.85546875" style="8" customWidth="1"/>
    <col min="9742" max="9984" width="8" style="8"/>
    <col min="9985" max="9985" width="42" style="8" customWidth="1"/>
    <col min="9986" max="9997" width="12.85546875" style="8" customWidth="1"/>
    <col min="9998" max="10240" width="8" style="8"/>
    <col min="10241" max="10241" width="42" style="8" customWidth="1"/>
    <col min="10242" max="10253" width="12.85546875" style="8" customWidth="1"/>
    <col min="10254" max="10496" width="8" style="8"/>
    <col min="10497" max="10497" width="42" style="8" customWidth="1"/>
    <col min="10498" max="10509" width="12.85546875" style="8" customWidth="1"/>
    <col min="10510" max="10752" width="8" style="8"/>
    <col min="10753" max="10753" width="42" style="8" customWidth="1"/>
    <col min="10754" max="10765" width="12.85546875" style="8" customWidth="1"/>
    <col min="10766" max="11008" width="8" style="8"/>
    <col min="11009" max="11009" width="42" style="8" customWidth="1"/>
    <col min="11010" max="11021" width="12.85546875" style="8" customWidth="1"/>
    <col min="11022" max="11264" width="8" style="8"/>
    <col min="11265" max="11265" width="42" style="8" customWidth="1"/>
    <col min="11266" max="11277" width="12.85546875" style="8" customWidth="1"/>
    <col min="11278" max="11520" width="8" style="8"/>
    <col min="11521" max="11521" width="42" style="8" customWidth="1"/>
    <col min="11522" max="11533" width="12.85546875" style="8" customWidth="1"/>
    <col min="11534" max="11776" width="8" style="8"/>
    <col min="11777" max="11777" width="42" style="8" customWidth="1"/>
    <col min="11778" max="11789" width="12.85546875" style="8" customWidth="1"/>
    <col min="11790" max="12032" width="8" style="8"/>
    <col min="12033" max="12033" width="42" style="8" customWidth="1"/>
    <col min="12034" max="12045" width="12.85546875" style="8" customWidth="1"/>
    <col min="12046" max="12288" width="8" style="8"/>
    <col min="12289" max="12289" width="42" style="8" customWidth="1"/>
    <col min="12290" max="12301" width="12.85546875" style="8" customWidth="1"/>
    <col min="12302" max="12544" width="8" style="8"/>
    <col min="12545" max="12545" width="42" style="8" customWidth="1"/>
    <col min="12546" max="12557" width="12.85546875" style="8" customWidth="1"/>
    <col min="12558" max="12800" width="8" style="8"/>
    <col min="12801" max="12801" width="42" style="8" customWidth="1"/>
    <col min="12802" max="12813" width="12.85546875" style="8" customWidth="1"/>
    <col min="12814" max="13056" width="8" style="8"/>
    <col min="13057" max="13057" width="42" style="8" customWidth="1"/>
    <col min="13058" max="13069" width="12.85546875" style="8" customWidth="1"/>
    <col min="13070" max="13312" width="8" style="8"/>
    <col min="13313" max="13313" width="42" style="8" customWidth="1"/>
    <col min="13314" max="13325" width="12.85546875" style="8" customWidth="1"/>
    <col min="13326" max="13568" width="8" style="8"/>
    <col min="13569" max="13569" width="42" style="8" customWidth="1"/>
    <col min="13570" max="13581" width="12.85546875" style="8" customWidth="1"/>
    <col min="13582" max="13824" width="8" style="8"/>
    <col min="13825" max="13825" width="42" style="8" customWidth="1"/>
    <col min="13826" max="13837" width="12.85546875" style="8" customWidth="1"/>
    <col min="13838" max="14080" width="8" style="8"/>
    <col min="14081" max="14081" width="42" style="8" customWidth="1"/>
    <col min="14082" max="14093" width="12.85546875" style="8" customWidth="1"/>
    <col min="14094" max="14336" width="8" style="8"/>
    <col min="14337" max="14337" width="42" style="8" customWidth="1"/>
    <col min="14338" max="14349" width="12.85546875" style="8" customWidth="1"/>
    <col min="14350" max="14592" width="8" style="8"/>
    <col min="14593" max="14593" width="42" style="8" customWidth="1"/>
    <col min="14594" max="14605" width="12.85546875" style="8" customWidth="1"/>
    <col min="14606" max="14848" width="8" style="8"/>
    <col min="14849" max="14849" width="42" style="8" customWidth="1"/>
    <col min="14850" max="14861" width="12.85546875" style="8" customWidth="1"/>
    <col min="14862" max="15104" width="8" style="8"/>
    <col min="15105" max="15105" width="42" style="8" customWidth="1"/>
    <col min="15106" max="15117" width="12.85546875" style="8" customWidth="1"/>
    <col min="15118" max="15360" width="8" style="8"/>
    <col min="15361" max="15361" width="42" style="8" customWidth="1"/>
    <col min="15362" max="15373" width="12.85546875" style="8" customWidth="1"/>
    <col min="15374" max="15616" width="8" style="8"/>
    <col min="15617" max="15617" width="42" style="8" customWidth="1"/>
    <col min="15618" max="15629" width="12.85546875" style="8" customWidth="1"/>
    <col min="15630" max="15872" width="8" style="8"/>
    <col min="15873" max="15873" width="42" style="8" customWidth="1"/>
    <col min="15874" max="15885" width="12.85546875" style="8" customWidth="1"/>
    <col min="15886" max="16128" width="8" style="8"/>
    <col min="16129" max="16129" width="42" style="8" customWidth="1"/>
    <col min="16130" max="16141" width="12.85546875" style="8" customWidth="1"/>
    <col min="16142" max="16384" width="8" style="8"/>
  </cols>
  <sheetData>
    <row r="1" spans="1:13" s="4" customFormat="1" ht="12" customHeight="1">
      <c r="A1" s="2" t="s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s="4" customFormat="1" ht="12" customHeight="1">
      <c r="A2" s="2" t="s">
        <v>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s="4" customFormat="1" ht="9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5" customHeight="1">
      <c r="A4" s="30" t="s">
        <v>34</v>
      </c>
      <c r="B4" s="6" t="s">
        <v>35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" customHeight="1">
      <c r="A5" s="31"/>
      <c r="B5" s="6">
        <v>2010</v>
      </c>
      <c r="C5" s="6">
        <v>2011</v>
      </c>
      <c r="D5" s="6">
        <v>2012</v>
      </c>
      <c r="E5" s="6">
        <v>2013</v>
      </c>
      <c r="F5" s="6">
        <v>2014</v>
      </c>
      <c r="G5" s="6">
        <v>2015</v>
      </c>
      <c r="H5" s="6">
        <v>2016</v>
      </c>
      <c r="I5" s="6">
        <v>2017</v>
      </c>
      <c r="J5" s="6">
        <v>2018</v>
      </c>
      <c r="K5" s="6">
        <v>2019</v>
      </c>
      <c r="L5" s="6">
        <v>2020</v>
      </c>
      <c r="M5" s="6">
        <v>2021</v>
      </c>
    </row>
    <row r="6" spans="1:13" s="11" customFormat="1" ht="15" customHeight="1">
      <c r="A6" s="9" t="s">
        <v>36</v>
      </c>
      <c r="B6" s="10">
        <v>847166</v>
      </c>
      <c r="C6" s="10">
        <v>955201</v>
      </c>
      <c r="D6" s="10">
        <v>1031188</v>
      </c>
      <c r="E6" s="10">
        <v>1156629</v>
      </c>
      <c r="F6" s="10">
        <v>1187483</v>
      </c>
      <c r="G6" s="10">
        <v>1043964</v>
      </c>
      <c r="H6" s="10">
        <v>938490</v>
      </c>
      <c r="I6" s="10">
        <v>963165</v>
      </c>
      <c r="J6" s="10">
        <v>1057278</v>
      </c>
      <c r="K6" s="10">
        <v>1146556</v>
      </c>
      <c r="L6" s="10">
        <v>1226349</v>
      </c>
      <c r="M6" s="10">
        <v>1759340</v>
      </c>
    </row>
    <row r="7" spans="1:13" ht="10.9" customHeight="1">
      <c r="A7" s="12" t="s">
        <v>37</v>
      </c>
      <c r="B7" s="13">
        <v>797946</v>
      </c>
      <c r="C7" s="13">
        <v>901927</v>
      </c>
      <c r="D7" s="13">
        <v>997460</v>
      </c>
      <c r="E7" s="13">
        <v>1114944</v>
      </c>
      <c r="F7" s="13">
        <v>1148453</v>
      </c>
      <c r="G7" s="13">
        <v>1069397</v>
      </c>
      <c r="H7" s="13">
        <v>973271</v>
      </c>
      <c r="I7" s="13">
        <v>958779</v>
      </c>
      <c r="J7" s="13">
        <v>1057409</v>
      </c>
      <c r="K7" s="13">
        <v>1143185</v>
      </c>
      <c r="L7" s="13">
        <v>1260227</v>
      </c>
      <c r="M7" s="13">
        <v>1614782</v>
      </c>
    </row>
    <row r="8" spans="1:13" ht="10.15" customHeight="1">
      <c r="A8" s="12" t="s">
        <v>38</v>
      </c>
      <c r="B8" s="13">
        <v>397310</v>
      </c>
      <c r="C8" s="13">
        <v>454419</v>
      </c>
      <c r="D8" s="13">
        <v>519571</v>
      </c>
      <c r="E8" s="13">
        <v>568616</v>
      </c>
      <c r="F8" s="13">
        <v>597352</v>
      </c>
      <c r="G8" s="13">
        <v>566408</v>
      </c>
      <c r="H8" s="13">
        <v>522944</v>
      </c>
      <c r="I8" s="13">
        <v>475553</v>
      </c>
      <c r="J8" s="13">
        <v>478509</v>
      </c>
      <c r="K8" s="13">
        <v>507280</v>
      </c>
      <c r="L8" s="13">
        <v>561605</v>
      </c>
      <c r="M8" s="13">
        <v>675883</v>
      </c>
    </row>
    <row r="9" spans="1:13" ht="10.15" customHeight="1">
      <c r="A9" s="12" t="s">
        <v>39</v>
      </c>
      <c r="B9" s="13">
        <v>159167</v>
      </c>
      <c r="C9" s="13">
        <v>182206</v>
      </c>
      <c r="D9" s="13">
        <v>221830</v>
      </c>
      <c r="E9" s="13">
        <v>248044</v>
      </c>
      <c r="F9" s="13">
        <v>262691</v>
      </c>
      <c r="G9" s="13">
        <v>265283</v>
      </c>
      <c r="H9" s="13">
        <v>252781</v>
      </c>
      <c r="I9" s="13">
        <v>227093</v>
      </c>
      <c r="J9" s="13">
        <v>229624</v>
      </c>
      <c r="K9" s="13">
        <v>237915</v>
      </c>
      <c r="L9" s="13">
        <v>251267</v>
      </c>
      <c r="M9" s="13">
        <v>297325</v>
      </c>
    </row>
    <row r="10" spans="1:13" ht="10.15" customHeight="1">
      <c r="A10" s="12" t="s">
        <v>40</v>
      </c>
      <c r="B10" s="13">
        <v>238143</v>
      </c>
      <c r="C10" s="13">
        <v>272213</v>
      </c>
      <c r="D10" s="13">
        <v>297741</v>
      </c>
      <c r="E10" s="13">
        <v>320572</v>
      </c>
      <c r="F10" s="13">
        <v>334661</v>
      </c>
      <c r="G10" s="13">
        <v>301125</v>
      </c>
      <c r="H10" s="13">
        <v>270163</v>
      </c>
      <c r="I10" s="13">
        <v>248460</v>
      </c>
      <c r="J10" s="13">
        <v>248885</v>
      </c>
      <c r="K10" s="13">
        <v>269365</v>
      </c>
      <c r="L10" s="13">
        <v>310338</v>
      </c>
      <c r="M10" s="13">
        <v>378558</v>
      </c>
    </row>
    <row r="11" spans="1:13" ht="10.15" customHeight="1">
      <c r="A11" s="12" t="s">
        <v>41</v>
      </c>
      <c r="B11" s="13">
        <v>310656</v>
      </c>
      <c r="C11" s="13">
        <v>342874</v>
      </c>
      <c r="D11" s="13">
        <v>362281</v>
      </c>
      <c r="E11" s="13">
        <v>421649</v>
      </c>
      <c r="F11" s="13">
        <v>420240</v>
      </c>
      <c r="G11" s="13">
        <v>365623</v>
      </c>
      <c r="H11" s="13">
        <v>317711</v>
      </c>
      <c r="I11" s="13">
        <v>341283</v>
      </c>
      <c r="J11" s="13">
        <v>426625</v>
      </c>
      <c r="K11" s="13">
        <v>467388</v>
      </c>
      <c r="L11" s="13">
        <v>523356</v>
      </c>
      <c r="M11" s="13">
        <v>707012</v>
      </c>
    </row>
    <row r="12" spans="1:13" ht="10.15" customHeight="1">
      <c r="A12" s="12" t="s">
        <v>42</v>
      </c>
      <c r="B12" s="13">
        <v>117234</v>
      </c>
      <c r="C12" s="13">
        <v>127598</v>
      </c>
      <c r="D12" s="13">
        <v>125635</v>
      </c>
      <c r="E12" s="13">
        <v>145280</v>
      </c>
      <c r="F12" s="13">
        <v>134027</v>
      </c>
      <c r="G12" s="13">
        <v>104421</v>
      </c>
      <c r="H12" s="13">
        <v>87104</v>
      </c>
      <c r="I12" s="13">
        <v>103620</v>
      </c>
      <c r="J12" s="13">
        <v>156478</v>
      </c>
      <c r="K12" s="13">
        <v>171617</v>
      </c>
      <c r="L12" s="13">
        <v>186322</v>
      </c>
      <c r="M12" s="13">
        <v>245479</v>
      </c>
    </row>
    <row r="13" spans="1:13" ht="10.15" customHeight="1">
      <c r="A13" s="12" t="s">
        <v>43</v>
      </c>
      <c r="B13" s="13">
        <v>41816</v>
      </c>
      <c r="C13" s="13">
        <v>46178</v>
      </c>
      <c r="D13" s="13">
        <v>52596</v>
      </c>
      <c r="E13" s="13">
        <v>61200</v>
      </c>
      <c r="F13" s="13">
        <v>66397</v>
      </c>
      <c r="G13" s="13">
        <v>61864</v>
      </c>
      <c r="H13" s="13">
        <v>53280</v>
      </c>
      <c r="I13" s="13">
        <v>59840</v>
      </c>
      <c r="J13" s="13">
        <v>67031</v>
      </c>
      <c r="K13" s="13">
        <v>69363</v>
      </c>
      <c r="L13" s="13">
        <v>78071</v>
      </c>
      <c r="M13" s="13">
        <v>93705</v>
      </c>
    </row>
    <row r="14" spans="1:13" ht="10.15" customHeight="1">
      <c r="A14" s="12" t="s">
        <v>44</v>
      </c>
      <c r="B14" s="13">
        <v>151606</v>
      </c>
      <c r="C14" s="13">
        <v>169098</v>
      </c>
      <c r="D14" s="13">
        <v>184050</v>
      </c>
      <c r="E14" s="13">
        <v>215169</v>
      </c>
      <c r="F14" s="13">
        <v>219816</v>
      </c>
      <c r="G14" s="13">
        <v>199338</v>
      </c>
      <c r="H14" s="13">
        <v>177327</v>
      </c>
      <c r="I14" s="13">
        <v>177823</v>
      </c>
      <c r="J14" s="13">
        <v>203116</v>
      </c>
      <c r="K14" s="13">
        <v>226408</v>
      </c>
      <c r="L14" s="13">
        <v>258963</v>
      </c>
      <c r="M14" s="13">
        <v>367828</v>
      </c>
    </row>
    <row r="15" spans="1:13" ht="10.15" customHeight="1">
      <c r="A15" s="12" t="s">
        <v>45</v>
      </c>
      <c r="B15" s="13">
        <v>74905</v>
      </c>
      <c r="C15" s="13">
        <v>90481</v>
      </c>
      <c r="D15" s="13">
        <v>100373</v>
      </c>
      <c r="E15" s="13">
        <v>109198</v>
      </c>
      <c r="F15" s="13">
        <v>114347</v>
      </c>
      <c r="G15" s="13">
        <v>118958</v>
      </c>
      <c r="H15" s="13">
        <v>112999</v>
      </c>
      <c r="I15" s="13">
        <v>121564</v>
      </c>
      <c r="J15" s="13">
        <v>131516</v>
      </c>
      <c r="K15" s="13">
        <v>146531</v>
      </c>
      <c r="L15" s="13">
        <v>149234</v>
      </c>
      <c r="M15" s="13">
        <v>196036</v>
      </c>
    </row>
    <row r="16" spans="1:13" ht="10.15" customHeight="1">
      <c r="A16" s="12" t="s">
        <v>46</v>
      </c>
      <c r="B16" s="13">
        <v>33082</v>
      </c>
      <c r="C16" s="13">
        <v>37189</v>
      </c>
      <c r="D16" s="13">
        <v>41715</v>
      </c>
      <c r="E16" s="13">
        <v>45794</v>
      </c>
      <c r="F16" s="13">
        <v>45817</v>
      </c>
      <c r="G16" s="13">
        <v>47608</v>
      </c>
      <c r="H16" s="13">
        <v>43343</v>
      </c>
      <c r="I16" s="13">
        <v>43317</v>
      </c>
      <c r="J16" s="13">
        <v>44925</v>
      </c>
      <c r="K16" s="13">
        <v>46685</v>
      </c>
      <c r="L16" s="13">
        <v>42862</v>
      </c>
      <c r="M16" s="13">
        <v>48333</v>
      </c>
    </row>
    <row r="17" spans="1:13" s="15" customFormat="1" ht="10.15" customHeight="1">
      <c r="A17" s="14" t="s">
        <v>47</v>
      </c>
      <c r="B17" s="13">
        <v>41823</v>
      </c>
      <c r="C17" s="13">
        <v>53292</v>
      </c>
      <c r="D17" s="13">
        <v>58658</v>
      </c>
      <c r="E17" s="13">
        <v>63404</v>
      </c>
      <c r="F17" s="13">
        <v>68530</v>
      </c>
      <c r="G17" s="13">
        <v>71350</v>
      </c>
      <c r="H17" s="13">
        <v>69656</v>
      </c>
      <c r="I17" s="13">
        <v>78247</v>
      </c>
      <c r="J17" s="13">
        <v>86591</v>
      </c>
      <c r="K17" s="13">
        <v>99846</v>
      </c>
      <c r="L17" s="13">
        <v>106372</v>
      </c>
      <c r="M17" s="13">
        <v>147703</v>
      </c>
    </row>
    <row r="18" spans="1:13" ht="10.15" customHeight="1">
      <c r="A18" s="12" t="s">
        <v>48</v>
      </c>
      <c r="B18" s="13">
        <v>15075</v>
      </c>
      <c r="C18" s="13">
        <v>14153</v>
      </c>
      <c r="D18" s="13">
        <v>15235</v>
      </c>
      <c r="E18" s="13">
        <v>15481</v>
      </c>
      <c r="F18" s="13">
        <v>16514</v>
      </c>
      <c r="G18" s="13">
        <v>18408</v>
      </c>
      <c r="H18" s="13">
        <v>19617</v>
      </c>
      <c r="I18" s="13">
        <v>20379</v>
      </c>
      <c r="J18" s="13">
        <v>20759</v>
      </c>
      <c r="K18" s="13">
        <v>21986</v>
      </c>
      <c r="L18" s="13">
        <v>26032</v>
      </c>
      <c r="M18" s="13">
        <v>35851</v>
      </c>
    </row>
    <row r="19" spans="1:13" ht="10.9" customHeight="1">
      <c r="A19" s="12" t="s">
        <v>49</v>
      </c>
      <c r="B19" s="13">
        <v>49220</v>
      </c>
      <c r="C19" s="13">
        <v>53274</v>
      </c>
      <c r="D19" s="13">
        <v>33728</v>
      </c>
      <c r="E19" s="13">
        <v>41685</v>
      </c>
      <c r="F19" s="13">
        <v>39030</v>
      </c>
      <c r="G19" s="13">
        <v>-25433</v>
      </c>
      <c r="H19" s="13">
        <v>-34781</v>
      </c>
      <c r="I19" s="13">
        <v>4386</v>
      </c>
      <c r="J19" s="13">
        <v>-131</v>
      </c>
      <c r="K19" s="13">
        <v>3371</v>
      </c>
      <c r="L19" s="13">
        <v>-33878</v>
      </c>
      <c r="M19" s="13">
        <v>144558</v>
      </c>
    </row>
    <row r="20" spans="1:13" s="18" customFormat="1" ht="6" customHeight="1">
      <c r="A20" s="16" t="s">
        <v>50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s="18" customFormat="1" ht="13.9" customHeight="1">
      <c r="A21" s="18" t="s">
        <v>51</v>
      </c>
    </row>
  </sheetData>
  <mergeCells count="1">
    <mergeCell ref="A4:A5"/>
  </mergeCells>
  <printOptions horizontalCentered="1"/>
  <pageMargins left="0.59055118110236227" right="0.59055118110236227" top="1.1811023622047245" bottom="1.1811023622047245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D2FC-C178-4908-A621-75E11A5A764B}">
  <dimension ref="A1:N4"/>
  <sheetViews>
    <sheetView zoomScale="85" zoomScaleNormal="85" workbookViewId="0">
      <selection activeCell="B1" sqref="B1:N4"/>
    </sheetView>
  </sheetViews>
  <sheetFormatPr defaultRowHeight="15"/>
  <cols>
    <col min="1" max="1" width="17.5703125" bestFit="1" customWidth="1"/>
    <col min="2" max="2" width="38" bestFit="1" customWidth="1"/>
    <col min="3" max="14" width="12.5703125" bestFit="1" customWidth="1"/>
  </cols>
  <sheetData>
    <row r="1" spans="1:14">
      <c r="A1" t="s">
        <v>25</v>
      </c>
      <c r="B1" t="s">
        <v>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 spans="1:14">
      <c r="A2" t="s">
        <v>26</v>
      </c>
      <c r="B2" t="s">
        <v>27</v>
      </c>
      <c r="C2" s="1">
        <v>220377</v>
      </c>
      <c r="D2" s="1">
        <v>255321</v>
      </c>
      <c r="E2" s="1">
        <v>293268</v>
      </c>
      <c r="F2" s="1">
        <v>321944</v>
      </c>
      <c r="G2" s="1">
        <v>342570</v>
      </c>
      <c r="H2" s="1">
        <v>340306</v>
      </c>
      <c r="I2" s="1">
        <v>318229</v>
      </c>
      <c r="J2" s="1">
        <v>287698</v>
      </c>
      <c r="K2" s="1">
        <v>292038</v>
      </c>
      <c r="L2" s="1">
        <v>297004</v>
      </c>
      <c r="M2" s="1">
        <v>317743</v>
      </c>
      <c r="N2" s="1">
        <v>372106</v>
      </c>
    </row>
    <row r="3" spans="1:14">
      <c r="A3" t="s">
        <v>28</v>
      </c>
      <c r="B3" t="s">
        <v>29</v>
      </c>
      <c r="C3" s="1">
        <v>109773</v>
      </c>
      <c r="D3" s="1">
        <v>118454</v>
      </c>
      <c r="E3" s="1">
        <v>139731</v>
      </c>
      <c r="F3" s="1">
        <v>144772</v>
      </c>
      <c r="G3" s="1">
        <v>150645</v>
      </c>
      <c r="H3" s="1">
        <v>119076</v>
      </c>
      <c r="I3" s="1">
        <v>96358</v>
      </c>
      <c r="J3" s="1">
        <v>82353</v>
      </c>
      <c r="K3" s="1">
        <v>79749</v>
      </c>
      <c r="L3" s="1">
        <v>95760</v>
      </c>
      <c r="M3" s="1">
        <v>121712</v>
      </c>
      <c r="N3" s="1">
        <v>155452</v>
      </c>
    </row>
    <row r="4" spans="1:14">
      <c r="A4" t="s">
        <v>30</v>
      </c>
      <c r="B4" t="s">
        <v>31</v>
      </c>
      <c r="C4" s="1">
        <v>65925</v>
      </c>
      <c r="D4" s="1">
        <v>79075</v>
      </c>
      <c r="E4" s="1">
        <v>83805</v>
      </c>
      <c r="F4" s="1">
        <v>98252</v>
      </c>
      <c r="G4" s="1">
        <v>100636</v>
      </c>
      <c r="H4" s="1">
        <v>103136</v>
      </c>
      <c r="I4" s="1">
        <v>104160</v>
      </c>
      <c r="J4" s="1">
        <v>101966</v>
      </c>
      <c r="K4" s="1">
        <v>103229</v>
      </c>
      <c r="L4" s="1">
        <v>111455</v>
      </c>
      <c r="M4" s="1">
        <v>117154</v>
      </c>
      <c r="N4" s="1">
        <v>140581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F734-3E87-4E11-A8C9-EC1006335BD3}">
  <dimension ref="A1:W3"/>
  <sheetViews>
    <sheetView workbookViewId="0">
      <selection activeCell="E37" sqref="E37"/>
    </sheetView>
  </sheetViews>
  <sheetFormatPr defaultRowHeight="15"/>
  <cols>
    <col min="1" max="1" width="22.85546875" bestFit="1" customWidth="1"/>
    <col min="2" max="23" width="9" bestFit="1" customWidth="1"/>
  </cols>
  <sheetData>
    <row r="1" spans="1:2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>
      <c r="A2" t="s">
        <v>69</v>
      </c>
      <c r="B2" s="1"/>
      <c r="C2" s="1"/>
      <c r="D2" s="1"/>
      <c r="E2" s="1"/>
      <c r="F2" s="1"/>
      <c r="G2" s="1"/>
      <c r="H2" s="1"/>
      <c r="I2" s="1"/>
      <c r="J2" s="1"/>
      <c r="K2" s="1"/>
      <c r="L2" s="1">
        <v>396075</v>
      </c>
      <c r="M2" s="1">
        <v>452850</v>
      </c>
      <c r="N2" s="1">
        <v>516804</v>
      </c>
      <c r="O2" s="1">
        <v>564968</v>
      </c>
      <c r="P2" s="1">
        <v>593851</v>
      </c>
      <c r="Q2" s="1">
        <v>562518</v>
      </c>
      <c r="R2" s="1">
        <v>518747</v>
      </c>
      <c r="S2" s="1">
        <v>472017</v>
      </c>
      <c r="T2" s="1">
        <v>475016</v>
      </c>
      <c r="U2" s="1">
        <v>504219</v>
      </c>
      <c r="V2" s="1">
        <v>556609</v>
      </c>
      <c r="W2" s="1">
        <v>668139</v>
      </c>
    </row>
    <row r="3" spans="1:23">
      <c r="A3" t="s">
        <v>70</v>
      </c>
      <c r="B3" s="1">
        <v>131204</v>
      </c>
      <c r="C3" s="1">
        <v>136427</v>
      </c>
      <c r="D3" s="1">
        <v>154747</v>
      </c>
      <c r="E3" s="1">
        <v>153507</v>
      </c>
      <c r="F3" s="1">
        <v>179101</v>
      </c>
      <c r="G3" s="1">
        <v>189805</v>
      </c>
      <c r="H3" s="1">
        <v>205067</v>
      </c>
      <c r="I3" s="1">
        <v>233277</v>
      </c>
      <c r="J3" s="1">
        <v>272066</v>
      </c>
      <c r="K3" s="1">
        <v>321067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32790-1689-4BD4-9BBB-87D2366F49B2}">
  <dimension ref="A1:W3"/>
  <sheetViews>
    <sheetView zoomScale="70" zoomScaleNormal="70" workbookViewId="0">
      <selection activeCell="J32" sqref="J32"/>
    </sheetView>
  </sheetViews>
  <sheetFormatPr defaultRowHeight="15"/>
  <cols>
    <col min="1" max="1" width="32.5703125" bestFit="1" customWidth="1"/>
    <col min="2" max="2" width="13.140625" style="1" bestFit="1" customWidth="1"/>
    <col min="3" max="3" width="12.85546875" style="1" bestFit="1" customWidth="1"/>
    <col min="4" max="11" width="13.140625" style="1" bestFit="1" customWidth="1"/>
    <col min="12" max="12" width="12.85546875" style="1" bestFit="1" customWidth="1"/>
    <col min="13" max="13" width="12.42578125" style="1" bestFit="1" customWidth="1"/>
    <col min="14" max="21" width="12.85546875" style="1" bestFit="1" customWidth="1"/>
    <col min="22" max="22" width="13.140625" style="1" bestFit="1" customWidth="1"/>
    <col min="23" max="23" width="12.85546875" style="1" bestFit="1" customWidth="1"/>
    <col min="24" max="24" width="22.85546875" bestFit="1" customWidth="1"/>
    <col min="25" max="25" width="23.42578125" bestFit="1" customWidth="1"/>
  </cols>
  <sheetData>
    <row r="1" spans="1:23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</row>
    <row r="2" spans="1:23">
      <c r="A2" t="s">
        <v>1</v>
      </c>
      <c r="B2" s="1">
        <v>107290</v>
      </c>
      <c r="C2" s="1">
        <v>111313</v>
      </c>
      <c r="D2" s="1">
        <v>120331</v>
      </c>
      <c r="E2" s="1">
        <v>130517</v>
      </c>
      <c r="F2" s="1">
        <v>137783</v>
      </c>
      <c r="G2" s="1">
        <v>149147</v>
      </c>
      <c r="H2" s="1">
        <v>155582</v>
      </c>
      <c r="I2" s="1">
        <v>168313</v>
      </c>
      <c r="J2" s="1">
        <v>180243</v>
      </c>
      <c r="K2" s="1">
        <v>199961</v>
      </c>
      <c r="L2" s="1">
        <v>216622</v>
      </c>
      <c r="M2" s="1">
        <v>249695</v>
      </c>
      <c r="N2" s="1">
        <v>287350</v>
      </c>
      <c r="O2" s="1">
        <v>335975</v>
      </c>
      <c r="P2" s="1">
        <v>367290</v>
      </c>
      <c r="Q2" s="1">
        <v>400237</v>
      </c>
      <c r="R2" s="1">
        <v>423533</v>
      </c>
      <c r="S2" s="1">
        <v>441426</v>
      </c>
      <c r="T2" s="1">
        <v>460205</v>
      </c>
      <c r="U2" s="1">
        <v>482425</v>
      </c>
      <c r="V2" s="1">
        <v>516019</v>
      </c>
      <c r="W2" s="1">
        <v>547406</v>
      </c>
    </row>
    <row r="3" spans="1:23">
      <c r="A3" t="s">
        <v>24</v>
      </c>
      <c r="B3" s="1">
        <v>17991</v>
      </c>
      <c r="C3" s="1">
        <v>19069</v>
      </c>
      <c r="D3" s="1">
        <v>20930</v>
      </c>
      <c r="E3" s="1">
        <v>23217</v>
      </c>
      <c r="F3" s="1">
        <v>25479</v>
      </c>
      <c r="G3" s="1">
        <v>28744</v>
      </c>
      <c r="H3" s="1">
        <v>31569</v>
      </c>
      <c r="I3" s="1">
        <v>35946</v>
      </c>
      <c r="J3" s="1">
        <v>40403</v>
      </c>
      <c r="K3" s="1">
        <v>44270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9229-F0D3-400C-83F9-484ABE1FE084}">
  <dimension ref="A1:X48"/>
  <sheetViews>
    <sheetView tabSelected="1" zoomScale="85" zoomScaleNormal="85" workbookViewId="0">
      <pane xSplit="2" ySplit="3" topLeftCell="C27" activePane="bottomRight" state="frozen"/>
      <selection pane="topRight" activeCell="C1" sqref="C1"/>
      <selection pane="bottomLeft" activeCell="A4" sqref="A4"/>
      <selection pane="bottomRight" activeCell="C31" sqref="C31:L31"/>
    </sheetView>
  </sheetViews>
  <sheetFormatPr defaultRowHeight="15"/>
  <cols>
    <col min="1" max="1" width="19.28515625" bestFit="1" customWidth="1"/>
    <col min="2" max="2" width="45.5703125" customWidth="1"/>
    <col min="3" max="6" width="10.5703125" bestFit="1" customWidth="1"/>
    <col min="7" max="12" width="11.5703125" bestFit="1" customWidth="1"/>
    <col min="13" max="23" width="14.85546875" bestFit="1" customWidth="1"/>
    <col min="24" max="24" width="11.42578125" bestFit="1" customWidth="1"/>
  </cols>
  <sheetData>
    <row r="1" spans="1:24">
      <c r="B1" s="30" t="s">
        <v>34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6" t="s">
        <v>35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15.75" thickBot="1">
      <c r="B2" s="31"/>
      <c r="C2" s="20"/>
      <c r="D2" s="20"/>
      <c r="E2" s="20"/>
      <c r="F2" s="20"/>
      <c r="G2" s="20"/>
      <c r="H2" s="20"/>
      <c r="I2" s="20"/>
      <c r="J2" s="20"/>
      <c r="K2" s="20"/>
      <c r="L2" s="20"/>
      <c r="M2" s="6">
        <v>2010</v>
      </c>
      <c r="N2" s="6">
        <v>2011</v>
      </c>
      <c r="O2" s="6">
        <v>2012</v>
      </c>
      <c r="P2" s="6">
        <v>2013</v>
      </c>
      <c r="Q2" s="6">
        <v>2014</v>
      </c>
      <c r="R2" s="6">
        <v>2015</v>
      </c>
      <c r="S2" s="6">
        <v>2016</v>
      </c>
      <c r="T2" s="6">
        <v>2017</v>
      </c>
      <c r="U2" s="6">
        <v>2018</v>
      </c>
      <c r="V2" s="6">
        <v>2019</v>
      </c>
      <c r="W2" s="6">
        <v>2020</v>
      </c>
      <c r="X2" s="6">
        <v>2021</v>
      </c>
    </row>
    <row r="3" spans="1:24" ht="15.75" thickBot="1">
      <c r="A3" t="s">
        <v>66</v>
      </c>
      <c r="B3" s="26" t="s">
        <v>36</v>
      </c>
      <c r="C3" s="9"/>
      <c r="D3" s="9"/>
      <c r="E3" s="9"/>
      <c r="F3" s="9"/>
      <c r="G3" s="9"/>
      <c r="H3" s="9"/>
      <c r="I3" s="9"/>
      <c r="J3" s="9"/>
      <c r="K3" s="9"/>
      <c r="L3" s="9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>
      <c r="A4" t="s">
        <v>67</v>
      </c>
      <c r="B4" s="26" t="s">
        <v>67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21">
        <v>797946</v>
      </c>
      <c r="N4" s="21">
        <v>901927</v>
      </c>
      <c r="O4" s="21">
        <v>997460</v>
      </c>
      <c r="P4" s="21">
        <v>1114944</v>
      </c>
      <c r="Q4" s="21">
        <v>1148453</v>
      </c>
      <c r="R4" s="21">
        <v>1069397</v>
      </c>
      <c r="S4" s="21">
        <v>973271</v>
      </c>
      <c r="T4" s="21">
        <v>958779</v>
      </c>
      <c r="U4" s="21">
        <v>1057409</v>
      </c>
      <c r="V4" s="21">
        <v>1143185</v>
      </c>
      <c r="W4" s="21">
        <v>1260227</v>
      </c>
      <c r="X4" s="21">
        <v>1614782</v>
      </c>
    </row>
    <row r="5" spans="1:24">
      <c r="A5" t="s">
        <v>67</v>
      </c>
      <c r="B5" t="s">
        <v>38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21">
        <v>397310</v>
      </c>
      <c r="N5" s="21">
        <v>454419</v>
      </c>
      <c r="O5" s="21">
        <v>519571</v>
      </c>
      <c r="P5" s="21">
        <v>568616</v>
      </c>
      <c r="Q5" s="21">
        <v>597352</v>
      </c>
      <c r="R5" s="21">
        <v>566408</v>
      </c>
      <c r="S5" s="21">
        <v>522944</v>
      </c>
      <c r="T5" s="21">
        <v>475553</v>
      </c>
      <c r="U5" s="21">
        <v>478509</v>
      </c>
      <c r="V5" s="21">
        <v>507280</v>
      </c>
      <c r="W5" s="21">
        <v>561605</v>
      </c>
      <c r="X5" s="21">
        <v>675883</v>
      </c>
    </row>
    <row r="6" spans="1:24">
      <c r="A6" t="s">
        <v>67</v>
      </c>
      <c r="B6" t="s">
        <v>39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21">
        <v>159167</v>
      </c>
      <c r="N6" s="21">
        <v>182206</v>
      </c>
      <c r="O6" s="21">
        <v>221830</v>
      </c>
      <c r="P6" s="21">
        <v>248044</v>
      </c>
      <c r="Q6" s="21">
        <v>262691</v>
      </c>
      <c r="R6" s="21">
        <v>265283</v>
      </c>
      <c r="S6" s="21">
        <v>252781</v>
      </c>
      <c r="T6" s="21">
        <v>227093</v>
      </c>
      <c r="U6" s="21">
        <v>229624</v>
      </c>
      <c r="V6" s="21">
        <v>237915</v>
      </c>
      <c r="W6" s="21">
        <v>251267</v>
      </c>
      <c r="X6" s="21">
        <v>297325</v>
      </c>
    </row>
    <row r="7" spans="1:24">
      <c r="A7" t="s">
        <v>67</v>
      </c>
      <c r="B7" t="s">
        <v>40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21">
        <v>238143</v>
      </c>
      <c r="N7" s="21">
        <v>272213</v>
      </c>
      <c r="O7" s="21">
        <v>297741</v>
      </c>
      <c r="P7" s="21">
        <v>320572</v>
      </c>
      <c r="Q7" s="21">
        <v>334661</v>
      </c>
      <c r="R7" s="21">
        <v>301125</v>
      </c>
      <c r="S7" s="21">
        <v>270163</v>
      </c>
      <c r="T7" s="21">
        <v>248460</v>
      </c>
      <c r="U7" s="21">
        <v>248885</v>
      </c>
      <c r="V7" s="21">
        <v>269365</v>
      </c>
      <c r="W7" s="21">
        <v>310338</v>
      </c>
      <c r="X7" s="21">
        <v>378558</v>
      </c>
    </row>
    <row r="8" spans="1:24" ht="15.75" thickBot="1">
      <c r="C8" s="12"/>
      <c r="D8" s="12"/>
      <c r="E8" s="12"/>
      <c r="F8" s="12"/>
      <c r="G8" s="12"/>
      <c r="H8" s="12"/>
      <c r="I8" s="12"/>
      <c r="J8" s="12"/>
      <c r="K8" s="12"/>
      <c r="L8" s="12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4">
      <c r="A9" t="s">
        <v>68</v>
      </c>
      <c r="B9" s="26" t="s">
        <v>68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 spans="1:24">
      <c r="A10" t="s">
        <v>68</v>
      </c>
      <c r="B10" t="s">
        <v>27</v>
      </c>
      <c r="M10" s="21">
        <v>220377</v>
      </c>
      <c r="N10" s="21">
        <v>255321</v>
      </c>
      <c r="O10" s="21">
        <v>293268</v>
      </c>
      <c r="P10" s="21">
        <v>321944</v>
      </c>
      <c r="Q10" s="21">
        <v>342570</v>
      </c>
      <c r="R10" s="21">
        <v>340306</v>
      </c>
      <c r="S10" s="21">
        <v>318229</v>
      </c>
      <c r="T10" s="21">
        <v>287698</v>
      </c>
      <c r="U10" s="21">
        <v>292038</v>
      </c>
      <c r="V10" s="21">
        <v>297004</v>
      </c>
      <c r="W10" s="21">
        <v>317743</v>
      </c>
      <c r="X10" s="21">
        <v>372106</v>
      </c>
    </row>
    <row r="11" spans="1:24">
      <c r="A11" t="s">
        <v>68</v>
      </c>
      <c r="B11" t="s">
        <v>29</v>
      </c>
      <c r="M11" s="21">
        <v>109773</v>
      </c>
      <c r="N11" s="21">
        <v>118454</v>
      </c>
      <c r="O11" s="21">
        <v>139731</v>
      </c>
      <c r="P11" s="21">
        <v>144772</v>
      </c>
      <c r="Q11" s="21">
        <v>150645</v>
      </c>
      <c r="R11" s="21">
        <v>119076</v>
      </c>
      <c r="S11" s="21">
        <v>96358</v>
      </c>
      <c r="T11" s="21">
        <v>82353</v>
      </c>
      <c r="U11" s="21">
        <v>79749</v>
      </c>
      <c r="V11" s="21">
        <v>95760</v>
      </c>
      <c r="W11" s="21">
        <v>121712</v>
      </c>
      <c r="X11" s="21">
        <v>155452</v>
      </c>
    </row>
    <row r="12" spans="1:24">
      <c r="A12" t="s">
        <v>68</v>
      </c>
      <c r="B12" t="s">
        <v>31</v>
      </c>
      <c r="M12" s="21">
        <v>65925</v>
      </c>
      <c r="N12" s="21">
        <v>79075</v>
      </c>
      <c r="O12" s="21">
        <v>83805</v>
      </c>
      <c r="P12" s="21">
        <v>98252</v>
      </c>
      <c r="Q12" s="21">
        <v>100636</v>
      </c>
      <c r="R12" s="21">
        <v>103136</v>
      </c>
      <c r="S12" s="21">
        <v>104160</v>
      </c>
      <c r="T12" s="21">
        <v>101966</v>
      </c>
      <c r="U12" s="21">
        <v>103229</v>
      </c>
      <c r="V12" s="21">
        <v>111455</v>
      </c>
      <c r="W12" s="21">
        <v>117154</v>
      </c>
      <c r="X12" s="21">
        <v>140581</v>
      </c>
    </row>
    <row r="13" spans="1:24">
      <c r="A13" t="s">
        <v>68</v>
      </c>
      <c r="B13" t="s">
        <v>65</v>
      </c>
      <c r="M13" s="21">
        <f>SUM(M10:M12)</f>
        <v>396075</v>
      </c>
      <c r="N13" s="21">
        <f t="shared" ref="N13:X13" si="0">SUM(N10:N12)</f>
        <v>452850</v>
      </c>
      <c r="O13" s="21">
        <f t="shared" si="0"/>
        <v>516804</v>
      </c>
      <c r="P13" s="21">
        <f t="shared" si="0"/>
        <v>564968</v>
      </c>
      <c r="Q13" s="21">
        <f t="shared" si="0"/>
        <v>593851</v>
      </c>
      <c r="R13" s="21">
        <f t="shared" si="0"/>
        <v>562518</v>
      </c>
      <c r="S13" s="21">
        <f t="shared" si="0"/>
        <v>518747</v>
      </c>
      <c r="T13" s="21">
        <f t="shared" si="0"/>
        <v>472017</v>
      </c>
      <c r="U13" s="21">
        <f t="shared" si="0"/>
        <v>475016</v>
      </c>
      <c r="V13" s="21">
        <f t="shared" si="0"/>
        <v>504219</v>
      </c>
      <c r="W13" s="21">
        <f t="shared" si="0"/>
        <v>556609</v>
      </c>
      <c r="X13" s="21">
        <f t="shared" si="0"/>
        <v>668139</v>
      </c>
    </row>
    <row r="14" spans="1:24" ht="15.75" thickBot="1"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>
      <c r="B15" s="26" t="s">
        <v>69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>
      <c r="B16" t="s">
        <v>52</v>
      </c>
      <c r="M16" s="28">
        <f>M17+M18+M19</f>
        <v>330150</v>
      </c>
      <c r="N16" s="28">
        <f t="shared" ref="N16:X16" si="1">N17+N18+N19</f>
        <v>373775</v>
      </c>
      <c r="O16" s="28">
        <f t="shared" si="1"/>
        <v>432999</v>
      </c>
      <c r="P16" s="28">
        <f t="shared" si="1"/>
        <v>466716</v>
      </c>
      <c r="Q16" s="28">
        <f t="shared" si="1"/>
        <v>493215</v>
      </c>
      <c r="R16" s="28">
        <f t="shared" si="1"/>
        <v>459382</v>
      </c>
      <c r="S16" s="28">
        <f t="shared" si="1"/>
        <v>414587</v>
      </c>
      <c r="T16" s="28">
        <f t="shared" si="1"/>
        <v>370051</v>
      </c>
      <c r="U16" s="28">
        <f t="shared" si="1"/>
        <v>371787</v>
      </c>
      <c r="V16" s="28">
        <f t="shared" si="1"/>
        <v>392764</v>
      </c>
      <c r="W16" s="28">
        <f t="shared" si="1"/>
        <v>439455</v>
      </c>
      <c r="X16" s="28">
        <f t="shared" si="1"/>
        <v>527558</v>
      </c>
    </row>
    <row r="17" spans="2:24">
      <c r="B17" t="s">
        <v>56</v>
      </c>
      <c r="M17" s="21">
        <f t="shared" ref="M17:X17" si="2">M6</f>
        <v>159167</v>
      </c>
      <c r="N17" s="21">
        <f t="shared" si="2"/>
        <v>182206</v>
      </c>
      <c r="O17" s="21">
        <f t="shared" si="2"/>
        <v>221830</v>
      </c>
      <c r="P17" s="21">
        <f t="shared" si="2"/>
        <v>248044</v>
      </c>
      <c r="Q17" s="21">
        <f t="shared" si="2"/>
        <v>262691</v>
      </c>
      <c r="R17" s="21">
        <f t="shared" si="2"/>
        <v>265283</v>
      </c>
      <c r="S17" s="21">
        <f t="shared" si="2"/>
        <v>252781</v>
      </c>
      <c r="T17" s="21">
        <f t="shared" si="2"/>
        <v>227093</v>
      </c>
      <c r="U17" s="21">
        <f t="shared" si="2"/>
        <v>229624</v>
      </c>
      <c r="V17" s="21">
        <f t="shared" si="2"/>
        <v>237915</v>
      </c>
      <c r="W17" s="21">
        <f t="shared" si="2"/>
        <v>251267</v>
      </c>
      <c r="X17" s="21">
        <f t="shared" si="2"/>
        <v>297325</v>
      </c>
    </row>
    <row r="18" spans="2:24">
      <c r="B18" t="s">
        <v>58</v>
      </c>
      <c r="M18" s="21">
        <f>M10-M17</f>
        <v>61210</v>
      </c>
      <c r="N18" s="21">
        <f t="shared" ref="N18:X18" si="3">N10-N17</f>
        <v>73115</v>
      </c>
      <c r="O18" s="21">
        <f t="shared" si="3"/>
        <v>71438</v>
      </c>
      <c r="P18" s="21">
        <f t="shared" si="3"/>
        <v>73900</v>
      </c>
      <c r="Q18" s="21">
        <f t="shared" si="3"/>
        <v>79879</v>
      </c>
      <c r="R18" s="21">
        <f t="shared" si="3"/>
        <v>75023</v>
      </c>
      <c r="S18" s="21">
        <f t="shared" si="3"/>
        <v>65448</v>
      </c>
      <c r="T18" s="21">
        <f t="shared" si="3"/>
        <v>60605</v>
      </c>
      <c r="U18" s="21">
        <f t="shared" si="3"/>
        <v>62414</v>
      </c>
      <c r="V18" s="21">
        <f t="shared" si="3"/>
        <v>59089</v>
      </c>
      <c r="W18" s="21">
        <f t="shared" si="3"/>
        <v>66476</v>
      </c>
      <c r="X18" s="21">
        <f t="shared" si="3"/>
        <v>74781</v>
      </c>
    </row>
    <row r="19" spans="2:24" ht="15.75" thickBot="1">
      <c r="B19" t="s">
        <v>60</v>
      </c>
      <c r="M19" s="21">
        <f>M11</f>
        <v>109773</v>
      </c>
      <c r="N19" s="21">
        <f t="shared" ref="N19:X19" si="4">N11</f>
        <v>118454</v>
      </c>
      <c r="O19" s="21">
        <f t="shared" si="4"/>
        <v>139731</v>
      </c>
      <c r="P19" s="21">
        <f t="shared" si="4"/>
        <v>144772</v>
      </c>
      <c r="Q19" s="21">
        <f t="shared" si="4"/>
        <v>150645</v>
      </c>
      <c r="R19" s="21">
        <f t="shared" si="4"/>
        <v>119076</v>
      </c>
      <c r="S19" s="21">
        <f t="shared" si="4"/>
        <v>96358</v>
      </c>
      <c r="T19" s="21">
        <f t="shared" si="4"/>
        <v>82353</v>
      </c>
      <c r="U19" s="21">
        <f t="shared" si="4"/>
        <v>79749</v>
      </c>
      <c r="V19" s="21">
        <f t="shared" si="4"/>
        <v>95760</v>
      </c>
      <c r="W19" s="21">
        <f t="shared" si="4"/>
        <v>121712</v>
      </c>
      <c r="X19" s="21">
        <f t="shared" si="4"/>
        <v>155452</v>
      </c>
    </row>
    <row r="20" spans="2:24">
      <c r="B20" s="26" t="s">
        <v>74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</row>
    <row r="21" spans="2:24">
      <c r="B21" t="s">
        <v>53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2">
        <f>M17/M$16</f>
        <v>0.48210510374072391</v>
      </c>
      <c r="N21" s="22">
        <f t="shared" ref="N21:X21" si="5">N17/N$16</f>
        <v>0.48747508527857669</v>
      </c>
      <c r="O21" s="22">
        <f t="shared" si="5"/>
        <v>0.51231065198764891</v>
      </c>
      <c r="P21" s="22">
        <f t="shared" si="5"/>
        <v>0.53146667352308474</v>
      </c>
      <c r="Q21" s="22">
        <f t="shared" si="5"/>
        <v>0.5326095110651542</v>
      </c>
      <c r="R21" s="22">
        <f t="shared" si="5"/>
        <v>0.57747800305627994</v>
      </c>
      <c r="S21" s="22">
        <f t="shared" si="5"/>
        <v>0.60971762259791074</v>
      </c>
      <c r="T21" s="22">
        <f t="shared" si="5"/>
        <v>0.61368027650242807</v>
      </c>
      <c r="U21" s="22">
        <f t="shared" si="5"/>
        <v>0.61762245586854836</v>
      </c>
      <c r="V21" s="22">
        <f t="shared" si="5"/>
        <v>0.60574543491766053</v>
      </c>
      <c r="W21" s="22">
        <f t="shared" si="5"/>
        <v>0.57176957822757735</v>
      </c>
      <c r="X21" s="22">
        <f t="shared" si="5"/>
        <v>0.56358732120449317</v>
      </c>
    </row>
    <row r="22" spans="2:24">
      <c r="B22" t="s">
        <v>54</v>
      </c>
      <c r="M22" s="22">
        <f t="shared" ref="M22:X23" si="6">M18/M$16</f>
        <v>0.18540057549598668</v>
      </c>
      <c r="N22" s="22">
        <f t="shared" si="6"/>
        <v>0.19561233362316902</v>
      </c>
      <c r="O22" s="22">
        <f t="shared" si="6"/>
        <v>0.1649842147441449</v>
      </c>
      <c r="P22" s="22">
        <f t="shared" si="6"/>
        <v>0.15834040401443275</v>
      </c>
      <c r="Q22" s="22">
        <f t="shared" si="6"/>
        <v>0.16195573938343319</v>
      </c>
      <c r="R22" s="22">
        <f t="shared" si="6"/>
        <v>0.1633128855723559</v>
      </c>
      <c r="S22" s="22">
        <f t="shared" si="6"/>
        <v>0.15786312643667072</v>
      </c>
      <c r="T22" s="22">
        <f t="shared" si="6"/>
        <v>0.16377472294359427</v>
      </c>
      <c r="U22" s="22">
        <f t="shared" si="6"/>
        <v>0.1678756922646569</v>
      </c>
      <c r="V22" s="22">
        <f t="shared" si="6"/>
        <v>0.15044403254880795</v>
      </c>
      <c r="W22" s="22">
        <f t="shared" si="6"/>
        <v>0.1512691856959188</v>
      </c>
      <c r="X22" s="22">
        <f t="shared" si="6"/>
        <v>0.14174934320017893</v>
      </c>
    </row>
    <row r="23" spans="2:24">
      <c r="B23" t="s">
        <v>55</v>
      </c>
      <c r="M23" s="22">
        <f t="shared" si="6"/>
        <v>0.33249432076328944</v>
      </c>
      <c r="N23" s="22">
        <f t="shared" si="6"/>
        <v>0.31691258109825432</v>
      </c>
      <c r="O23" s="22">
        <f t="shared" si="6"/>
        <v>0.32270513326820616</v>
      </c>
      <c r="P23" s="22">
        <f t="shared" si="6"/>
        <v>0.31019292246248253</v>
      </c>
      <c r="Q23" s="22">
        <f t="shared" si="6"/>
        <v>0.30543474955141264</v>
      </c>
      <c r="R23" s="22">
        <f t="shared" si="6"/>
        <v>0.25920911137136415</v>
      </c>
      <c r="S23" s="22">
        <f t="shared" si="6"/>
        <v>0.2324192509654186</v>
      </c>
      <c r="T23" s="22">
        <f t="shared" si="6"/>
        <v>0.22254500055397769</v>
      </c>
      <c r="U23" s="22">
        <f t="shared" si="6"/>
        <v>0.21450185186679468</v>
      </c>
      <c r="V23" s="22">
        <f t="shared" si="6"/>
        <v>0.24381053253353158</v>
      </c>
      <c r="W23" s="22">
        <f t="shared" si="6"/>
        <v>0.27696123607650386</v>
      </c>
      <c r="X23" s="22">
        <f t="shared" si="6"/>
        <v>0.29466333559532792</v>
      </c>
    </row>
    <row r="24" spans="2:24" ht="15.75" thickBot="1"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2:24" ht="25.5">
      <c r="B25" s="26" t="s">
        <v>75</v>
      </c>
      <c r="M25" s="28">
        <f>M12</f>
        <v>65925</v>
      </c>
      <c r="N25" s="28">
        <f t="shared" ref="N25:X25" si="7">N12</f>
        <v>79075</v>
      </c>
      <c r="O25" s="28">
        <f t="shared" si="7"/>
        <v>83805</v>
      </c>
      <c r="P25" s="28">
        <f t="shared" si="7"/>
        <v>98252</v>
      </c>
      <c r="Q25" s="28">
        <f t="shared" si="7"/>
        <v>100636</v>
      </c>
      <c r="R25" s="28">
        <f t="shared" si="7"/>
        <v>103136</v>
      </c>
      <c r="S25" s="28">
        <f t="shared" si="7"/>
        <v>104160</v>
      </c>
      <c r="T25" s="28">
        <f t="shared" si="7"/>
        <v>101966</v>
      </c>
      <c r="U25" s="28">
        <f t="shared" si="7"/>
        <v>103229</v>
      </c>
      <c r="V25" s="28">
        <f t="shared" si="7"/>
        <v>111455</v>
      </c>
      <c r="W25" s="28">
        <f t="shared" si="7"/>
        <v>117154</v>
      </c>
      <c r="X25" s="28">
        <f t="shared" si="7"/>
        <v>140581</v>
      </c>
    </row>
    <row r="26" spans="2:24">
      <c r="B26" t="s">
        <v>57</v>
      </c>
      <c r="M26" s="1">
        <f t="shared" ref="M26:X26" si="8">M21*M$12</f>
        <v>31782.778964107223</v>
      </c>
      <c r="N26" s="1">
        <f t="shared" si="8"/>
        <v>38547.09236840345</v>
      </c>
      <c r="O26" s="1">
        <f t="shared" si="8"/>
        <v>42934.194189824921</v>
      </c>
      <c r="P26" s="1">
        <f t="shared" si="8"/>
        <v>52217.663606990121</v>
      </c>
      <c r="Q26" s="1">
        <f t="shared" si="8"/>
        <v>53599.69075555286</v>
      </c>
      <c r="R26" s="1">
        <f t="shared" si="8"/>
        <v>59558.771323212488</v>
      </c>
      <c r="S26" s="1">
        <f t="shared" si="8"/>
        <v>63508.187569798385</v>
      </c>
      <c r="T26" s="1">
        <f t="shared" si="8"/>
        <v>62574.523073846583</v>
      </c>
      <c r="U26" s="1">
        <f t="shared" si="8"/>
        <v>63756.548496854375</v>
      </c>
      <c r="V26" s="1">
        <f t="shared" si="8"/>
        <v>67513.357448747847</v>
      </c>
      <c r="W26" s="1">
        <f t="shared" si="8"/>
        <v>66985.093167673593</v>
      </c>
      <c r="X26" s="1">
        <f t="shared" si="8"/>
        <v>79229.669202248857</v>
      </c>
    </row>
    <row r="27" spans="2:24">
      <c r="B27" t="s">
        <v>59</v>
      </c>
      <c r="M27" s="1">
        <f t="shared" ref="M27:X27" si="9">M22*M$12</f>
        <v>12222.532939572922</v>
      </c>
      <c r="N27" s="1">
        <f t="shared" si="9"/>
        <v>15468.045281252091</v>
      </c>
      <c r="O27" s="1">
        <f t="shared" si="9"/>
        <v>13826.502116633064</v>
      </c>
      <c r="P27" s="1">
        <f t="shared" si="9"/>
        <v>15557.261375226046</v>
      </c>
      <c r="Q27" s="1">
        <f t="shared" si="9"/>
        <v>16298.577788591183</v>
      </c>
      <c r="R27" s="1">
        <f t="shared" si="9"/>
        <v>16843.4377663905</v>
      </c>
      <c r="S27" s="1">
        <f t="shared" si="9"/>
        <v>16443.023249643622</v>
      </c>
      <c r="T27" s="1">
        <f t="shared" si="9"/>
        <v>16699.453399666534</v>
      </c>
      <c r="U27" s="1">
        <f t="shared" si="9"/>
        <v>17329.639836788268</v>
      </c>
      <c r="V27" s="1">
        <f t="shared" si="9"/>
        <v>16767.739647727391</v>
      </c>
      <c r="W27" s="1">
        <f t="shared" si="9"/>
        <v>17721.790181019671</v>
      </c>
      <c r="X27" s="1">
        <f t="shared" si="9"/>
        <v>19927.264416424354</v>
      </c>
    </row>
    <row r="28" spans="2:24">
      <c r="B28" t="s">
        <v>61</v>
      </c>
      <c r="M28" s="1">
        <f t="shared" ref="M28:X28" si="10">M23*M$12</f>
        <v>21919.688096319856</v>
      </c>
      <c r="N28" s="1">
        <f t="shared" si="10"/>
        <v>25059.862350344461</v>
      </c>
      <c r="O28" s="1">
        <f t="shared" si="10"/>
        <v>27044.303693542017</v>
      </c>
      <c r="P28" s="1">
        <f t="shared" si="10"/>
        <v>30477.075017783834</v>
      </c>
      <c r="Q28" s="1">
        <f t="shared" si="10"/>
        <v>30737.731455855963</v>
      </c>
      <c r="R28" s="1">
        <f t="shared" si="10"/>
        <v>26733.790910397012</v>
      </c>
      <c r="S28" s="1">
        <f t="shared" si="10"/>
        <v>24208.789180558</v>
      </c>
      <c r="T28" s="1">
        <f t="shared" si="10"/>
        <v>22692.02352648689</v>
      </c>
      <c r="U28" s="1">
        <f t="shared" si="10"/>
        <v>22142.811666357349</v>
      </c>
      <c r="V28" s="1">
        <f t="shared" si="10"/>
        <v>27173.902903524762</v>
      </c>
      <c r="W28" s="1">
        <f t="shared" si="10"/>
        <v>32447.116651306733</v>
      </c>
      <c r="X28" s="1">
        <f t="shared" si="10"/>
        <v>41424.066381326797</v>
      </c>
    </row>
    <row r="29" spans="2:24" ht="15.75" thickBot="1"/>
    <row r="30" spans="2:24" ht="26.25" customHeight="1">
      <c r="B30" s="26" t="s">
        <v>76</v>
      </c>
      <c r="M30" s="27">
        <f>SUM(M31:M33)</f>
        <v>396075</v>
      </c>
      <c r="N30" s="27">
        <f t="shared" ref="N30:X30" si="11">SUM(N31:N33)</f>
        <v>452850</v>
      </c>
      <c r="O30" s="27">
        <f t="shared" si="11"/>
        <v>516804</v>
      </c>
      <c r="P30" s="27">
        <f t="shared" si="11"/>
        <v>564968</v>
      </c>
      <c r="Q30" s="27">
        <f t="shared" si="11"/>
        <v>593851</v>
      </c>
      <c r="R30" s="27">
        <f t="shared" si="11"/>
        <v>562518</v>
      </c>
      <c r="S30" s="27">
        <f t="shared" si="11"/>
        <v>518747</v>
      </c>
      <c r="T30" s="27">
        <f t="shared" si="11"/>
        <v>472017</v>
      </c>
      <c r="U30" s="27">
        <f t="shared" si="11"/>
        <v>475016</v>
      </c>
      <c r="V30" s="27">
        <f t="shared" si="11"/>
        <v>504219</v>
      </c>
      <c r="W30" s="27">
        <f t="shared" si="11"/>
        <v>556609</v>
      </c>
      <c r="X30" s="27">
        <f t="shared" si="11"/>
        <v>668139</v>
      </c>
    </row>
    <row r="31" spans="2:24">
      <c r="B31" t="s">
        <v>62</v>
      </c>
      <c r="C31" s="29">
        <f t="shared" ref="C31:K31" si="12">C$48*D31</f>
        <v>66827.774736002961</v>
      </c>
      <c r="D31" s="29">
        <f t="shared" si="12"/>
        <v>66830.006746600004</v>
      </c>
      <c r="E31" s="29">
        <f t="shared" si="12"/>
        <v>77551.337075209798</v>
      </c>
      <c r="F31" s="29">
        <f t="shared" si="12"/>
        <v>83865.712293066113</v>
      </c>
      <c r="G31" s="29">
        <f t="shared" si="12"/>
        <v>92859.272688583471</v>
      </c>
      <c r="H31" s="29">
        <f t="shared" si="12"/>
        <v>95369.768267994092</v>
      </c>
      <c r="I31" s="29">
        <f t="shared" si="12"/>
        <v>102704.74120820091</v>
      </c>
      <c r="J31" s="29">
        <f t="shared" si="12"/>
        <v>115406.79665101426</v>
      </c>
      <c r="K31" s="29">
        <f t="shared" si="12"/>
        <v>128295.30912031011</v>
      </c>
      <c r="L31" s="29">
        <f>L$48*M31</f>
        <v>155108.24719931374</v>
      </c>
      <c r="M31" s="23">
        <f t="shared" ref="M31:X31" si="13">M17+M26</f>
        <v>190949.77896410722</v>
      </c>
      <c r="N31" s="23">
        <f t="shared" si="13"/>
        <v>220753.09236840345</v>
      </c>
      <c r="O31" s="23">
        <f t="shared" si="13"/>
        <v>264764.19418982492</v>
      </c>
      <c r="P31" s="23">
        <f t="shared" si="13"/>
        <v>300261.66360699013</v>
      </c>
      <c r="Q31" s="23">
        <f t="shared" si="13"/>
        <v>316290.69075555285</v>
      </c>
      <c r="R31" s="23">
        <f t="shared" si="13"/>
        <v>324841.77132321248</v>
      </c>
      <c r="S31" s="23">
        <f t="shared" si="13"/>
        <v>316289.18756979838</v>
      </c>
      <c r="T31" s="23">
        <f t="shared" si="13"/>
        <v>289667.52307384659</v>
      </c>
      <c r="U31" s="23">
        <f t="shared" si="13"/>
        <v>293380.54849685438</v>
      </c>
      <c r="V31" s="23">
        <f t="shared" si="13"/>
        <v>305428.35744874785</v>
      </c>
      <c r="W31" s="23">
        <f t="shared" si="13"/>
        <v>318252.09316767356</v>
      </c>
      <c r="X31" s="23">
        <f t="shared" si="13"/>
        <v>376554.66920224886</v>
      </c>
    </row>
    <row r="32" spans="2:24">
      <c r="B32" t="s">
        <v>63</v>
      </c>
      <c r="M32" s="23">
        <f t="shared" ref="M32:X32" si="14">M18+M27</f>
        <v>73432.53293957292</v>
      </c>
      <c r="N32" s="23">
        <f t="shared" si="14"/>
        <v>88583.045281252096</v>
      </c>
      <c r="O32" s="23">
        <f t="shared" si="14"/>
        <v>85264.50211663307</v>
      </c>
      <c r="P32" s="23">
        <f t="shared" si="14"/>
        <v>89457.261375226051</v>
      </c>
      <c r="Q32" s="23">
        <f t="shared" si="14"/>
        <v>96177.577788591181</v>
      </c>
      <c r="R32" s="23">
        <f t="shared" si="14"/>
        <v>91866.437766390503</v>
      </c>
      <c r="S32" s="23">
        <f t="shared" si="14"/>
        <v>81891.023249643622</v>
      </c>
      <c r="T32" s="23">
        <f t="shared" si="14"/>
        <v>77304.453399666527</v>
      </c>
      <c r="U32" s="23">
        <f t="shared" si="14"/>
        <v>79743.639836788265</v>
      </c>
      <c r="V32" s="23">
        <f t="shared" si="14"/>
        <v>75856.739647727387</v>
      </c>
      <c r="W32" s="23">
        <f t="shared" si="14"/>
        <v>84197.790181019664</v>
      </c>
      <c r="X32" s="23">
        <f t="shared" si="14"/>
        <v>94708.264416424354</v>
      </c>
    </row>
    <row r="33" spans="1:24">
      <c r="B33" t="s">
        <v>64</v>
      </c>
      <c r="M33" s="23">
        <f t="shared" ref="M33:X33" si="15">M19+M28</f>
        <v>131692.68809631985</v>
      </c>
      <c r="N33" s="23">
        <f t="shared" si="15"/>
        <v>143513.86235034445</v>
      </c>
      <c r="O33" s="23">
        <f t="shared" si="15"/>
        <v>166775.30369354202</v>
      </c>
      <c r="P33" s="23">
        <f t="shared" si="15"/>
        <v>175249.07501778385</v>
      </c>
      <c r="Q33" s="23">
        <f t="shared" si="15"/>
        <v>181382.73145585597</v>
      </c>
      <c r="R33" s="23">
        <f t="shared" si="15"/>
        <v>145809.79091039702</v>
      </c>
      <c r="S33" s="23">
        <f t="shared" si="15"/>
        <v>120566.789180558</v>
      </c>
      <c r="T33" s="23">
        <f t="shared" si="15"/>
        <v>105045.02352648688</v>
      </c>
      <c r="U33" s="23">
        <f t="shared" si="15"/>
        <v>101891.81166635735</v>
      </c>
      <c r="V33" s="23">
        <f t="shared" si="15"/>
        <v>122933.90290352477</v>
      </c>
      <c r="W33" s="23">
        <f t="shared" si="15"/>
        <v>154159.11665130674</v>
      </c>
      <c r="X33" s="23">
        <f t="shared" si="15"/>
        <v>196876.06638132679</v>
      </c>
    </row>
    <row r="34" spans="1:24" ht="15.75" thickBot="1"/>
    <row r="35" spans="1:24">
      <c r="A35" t="s">
        <v>73</v>
      </c>
      <c r="B35" s="26" t="s">
        <v>77</v>
      </c>
      <c r="C35" s="29">
        <f t="shared" ref="C35:K38" si="16">C$48*D35</f>
        <v>15521.07050264819</v>
      </c>
      <c r="D35" s="29">
        <f t="shared" si="16"/>
        <v>15521.588897791169</v>
      </c>
      <c r="E35" s="29">
        <f t="shared" si="16"/>
        <v>18011.669176087231</v>
      </c>
      <c r="F35" s="29">
        <f t="shared" si="16"/>
        <v>19478.213039378887</v>
      </c>
      <c r="G35" s="29">
        <f t="shared" si="16"/>
        <v>21567.010482060254</v>
      </c>
      <c r="H35" s="29">
        <f t="shared" si="16"/>
        <v>22150.085094952108</v>
      </c>
      <c r="I35" s="29">
        <f t="shared" si="16"/>
        <v>23853.667663572825</v>
      </c>
      <c r="J35" s="29">
        <f t="shared" si="16"/>
        <v>26803.780828873827</v>
      </c>
      <c r="K35" s="29">
        <f t="shared" si="16"/>
        <v>29797.199530909842</v>
      </c>
      <c r="L35" s="29">
        <f>L$48*M35</f>
        <v>36024.632719451278</v>
      </c>
      <c r="M35" s="27">
        <v>44349</v>
      </c>
      <c r="N35" s="27">
        <v>48841</v>
      </c>
      <c r="O35" s="27">
        <v>54094</v>
      </c>
      <c r="P35" s="27">
        <v>58385</v>
      </c>
      <c r="Q35" s="27">
        <v>61187</v>
      </c>
      <c r="R35" s="27">
        <v>63066</v>
      </c>
      <c r="S35" s="27">
        <v>63990</v>
      </c>
      <c r="T35" s="27">
        <v>63806</v>
      </c>
      <c r="U35" s="27">
        <v>68076</v>
      </c>
      <c r="V35" s="27">
        <v>72340</v>
      </c>
      <c r="W35" s="27">
        <v>76292</v>
      </c>
      <c r="X35" s="27">
        <v>83954</v>
      </c>
    </row>
    <row r="36" spans="1:24">
      <c r="A36" t="s">
        <v>73</v>
      </c>
      <c r="B36" t="s">
        <v>53</v>
      </c>
      <c r="C36" s="29">
        <f t="shared" si="16"/>
        <v>7482.7873048462943</v>
      </c>
      <c r="D36" s="29">
        <f t="shared" si="16"/>
        <v>7483.0372257904792</v>
      </c>
      <c r="E36" s="29">
        <f t="shared" si="16"/>
        <v>8683.517636681132</v>
      </c>
      <c r="F36" s="29">
        <f t="shared" si="16"/>
        <v>9390.5459180336784</v>
      </c>
      <c r="G36" s="29">
        <f t="shared" si="16"/>
        <v>10397.565825830938</v>
      </c>
      <c r="H36" s="29">
        <f t="shared" si="16"/>
        <v>10678.669072567747</v>
      </c>
      <c r="I36" s="29">
        <f t="shared" si="16"/>
        <v>11499.974923543528</v>
      </c>
      <c r="J36" s="29">
        <f t="shared" si="16"/>
        <v>12922.239537147843</v>
      </c>
      <c r="K36" s="29">
        <f t="shared" si="16"/>
        <v>14365.381971032339</v>
      </c>
      <c r="L36" s="29">
        <f t="shared" ref="L36:L38" si="17">L$48*M36</f>
        <v>17367.659294432535</v>
      </c>
      <c r="M36" s="25">
        <f t="shared" ref="M36:X36" si="18">M21*M$35</f>
        <v>21380.879245797365</v>
      </c>
      <c r="N36" s="25">
        <f t="shared" si="18"/>
        <v>23808.770640090963</v>
      </c>
      <c r="O36" s="25">
        <f t="shared" si="18"/>
        <v>27712.932408619879</v>
      </c>
      <c r="P36" s="25">
        <f t="shared" si="18"/>
        <v>31029.681733645302</v>
      </c>
      <c r="Q36" s="25">
        <f t="shared" si="18"/>
        <v>32588.77815354359</v>
      </c>
      <c r="R36" s="25">
        <f t="shared" si="18"/>
        <v>36419.227740747352</v>
      </c>
      <c r="S36" s="25">
        <f t="shared" si="18"/>
        <v>39015.830670040305</v>
      </c>
      <c r="T36" s="25">
        <f t="shared" si="18"/>
        <v>39156.483722513927</v>
      </c>
      <c r="U36" s="25">
        <f t="shared" si="18"/>
        <v>42045.2663057073</v>
      </c>
      <c r="V36" s="25">
        <f t="shared" si="18"/>
        <v>43819.62476194356</v>
      </c>
      <c r="W36" s="25">
        <f t="shared" si="18"/>
        <v>43621.444662138332</v>
      </c>
      <c r="X36" s="25">
        <f t="shared" si="18"/>
        <v>47315.409964402017</v>
      </c>
    </row>
    <row r="37" spans="1:24">
      <c r="A37" t="s">
        <v>73</v>
      </c>
      <c r="B37" t="s">
        <v>54</v>
      </c>
      <c r="C37" s="29">
        <f t="shared" si="16"/>
        <v>2877.615403504758</v>
      </c>
      <c r="D37" s="29">
        <f t="shared" si="16"/>
        <v>2877.7115142626008</v>
      </c>
      <c r="E37" s="29">
        <f t="shared" si="16"/>
        <v>3339.3738308898974</v>
      </c>
      <c r="F37" s="29">
        <f t="shared" si="16"/>
        <v>3611.2719071342781</v>
      </c>
      <c r="G37" s="29">
        <f t="shared" si="16"/>
        <v>3998.5361551019487</v>
      </c>
      <c r="H37" s="29">
        <f t="shared" si="16"/>
        <v>4106.638523889198</v>
      </c>
      <c r="I37" s="29">
        <f t="shared" si="16"/>
        <v>4422.4837125164104</v>
      </c>
      <c r="J37" s="29">
        <f t="shared" si="16"/>
        <v>4969.436391141503</v>
      </c>
      <c r="K37" s="29">
        <f t="shared" si="16"/>
        <v>5524.4179411994292</v>
      </c>
      <c r="L37" s="29">
        <f t="shared" si="17"/>
        <v>6678.987638217819</v>
      </c>
      <c r="M37" s="25">
        <f t="shared" ref="M37:X37" si="19">M22*M$35</f>
        <v>8222.3301226715139</v>
      </c>
      <c r="N37" s="25">
        <f t="shared" si="19"/>
        <v>9553.901986489198</v>
      </c>
      <c r="O37" s="25">
        <f t="shared" si="19"/>
        <v>8924.6561123697738</v>
      </c>
      <c r="P37" s="25">
        <f t="shared" si="19"/>
        <v>9244.7044883826566</v>
      </c>
      <c r="Q37" s="25">
        <f t="shared" si="19"/>
        <v>9909.5858256541269</v>
      </c>
      <c r="R37" s="25">
        <f t="shared" si="19"/>
        <v>10299.490441506197</v>
      </c>
      <c r="S37" s="25">
        <f t="shared" si="19"/>
        <v>10101.661460682559</v>
      </c>
      <c r="T37" s="25">
        <f t="shared" si="19"/>
        <v>10449.809972138975</v>
      </c>
      <c r="U37" s="25">
        <f t="shared" si="19"/>
        <v>11428.305626608782</v>
      </c>
      <c r="V37" s="25">
        <f t="shared" si="19"/>
        <v>10883.121314580767</v>
      </c>
      <c r="W37" s="25">
        <f t="shared" si="19"/>
        <v>11540.628715113036</v>
      </c>
      <c r="X37" s="25">
        <f t="shared" si="19"/>
        <v>11900.424359027822</v>
      </c>
    </row>
    <row r="38" spans="1:24">
      <c r="A38" t="s">
        <v>73</v>
      </c>
      <c r="B38" t="s">
        <v>55</v>
      </c>
      <c r="C38" s="29">
        <f t="shared" si="16"/>
        <v>5160.6677942971382</v>
      </c>
      <c r="D38" s="29">
        <f t="shared" si="16"/>
        <v>5160.8401577380901</v>
      </c>
      <c r="E38" s="29">
        <f t="shared" si="16"/>
        <v>5988.7777085162015</v>
      </c>
      <c r="F38" s="29">
        <f t="shared" si="16"/>
        <v>6476.395214210931</v>
      </c>
      <c r="G38" s="29">
        <f t="shared" si="16"/>
        <v>7170.9085011273673</v>
      </c>
      <c r="H38" s="29">
        <f t="shared" si="16"/>
        <v>7364.777498495162</v>
      </c>
      <c r="I38" s="29">
        <f t="shared" si="16"/>
        <v>7931.2090275128876</v>
      </c>
      <c r="J38" s="29">
        <f t="shared" si="16"/>
        <v>8912.1049005844816</v>
      </c>
      <c r="K38" s="29">
        <f t="shared" si="16"/>
        <v>9907.3996186780732</v>
      </c>
      <c r="L38" s="29">
        <f t="shared" si="17"/>
        <v>11977.985786800924</v>
      </c>
      <c r="M38" s="25">
        <f t="shared" ref="M38:X38" si="20">M23*M$35</f>
        <v>14745.790631531123</v>
      </c>
      <c r="N38" s="25">
        <f t="shared" si="20"/>
        <v>15478.327373419839</v>
      </c>
      <c r="O38" s="25">
        <f t="shared" si="20"/>
        <v>17456.411479010345</v>
      </c>
      <c r="P38" s="25">
        <f t="shared" si="20"/>
        <v>18110.613777972041</v>
      </c>
      <c r="Q38" s="25">
        <f t="shared" si="20"/>
        <v>18688.636020802285</v>
      </c>
      <c r="R38" s="25">
        <f t="shared" si="20"/>
        <v>16347.281817746452</v>
      </c>
      <c r="S38" s="25">
        <f t="shared" si="20"/>
        <v>14872.507869277137</v>
      </c>
      <c r="T38" s="25">
        <f t="shared" si="20"/>
        <v>14199.706305347101</v>
      </c>
      <c r="U38" s="25">
        <f t="shared" si="20"/>
        <v>14602.428067683915</v>
      </c>
      <c r="V38" s="25">
        <f t="shared" si="20"/>
        <v>17637.253923475673</v>
      </c>
      <c r="W38" s="25">
        <f t="shared" si="20"/>
        <v>21129.926622748633</v>
      </c>
      <c r="X38" s="25">
        <f t="shared" si="20"/>
        <v>24738.165676570159</v>
      </c>
    </row>
    <row r="40" spans="1:24" ht="15.75" thickBot="1"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1:24">
      <c r="B41" s="26" t="s">
        <v>78</v>
      </c>
      <c r="M41" s="25">
        <f>M30-M35</f>
        <v>351726</v>
      </c>
      <c r="N41" s="25">
        <f t="shared" ref="N41:X41" si="21">N30-N35</f>
        <v>404009</v>
      </c>
      <c r="O41" s="25">
        <f t="shared" si="21"/>
        <v>462710</v>
      </c>
      <c r="P41" s="25">
        <f t="shared" si="21"/>
        <v>506583</v>
      </c>
      <c r="Q41" s="25">
        <f t="shared" si="21"/>
        <v>532664</v>
      </c>
      <c r="R41" s="25">
        <f t="shared" si="21"/>
        <v>499452</v>
      </c>
      <c r="S41" s="25">
        <f t="shared" si="21"/>
        <v>454757</v>
      </c>
      <c r="T41" s="25">
        <f t="shared" si="21"/>
        <v>408211</v>
      </c>
      <c r="U41" s="25">
        <f t="shared" si="21"/>
        <v>406940</v>
      </c>
      <c r="V41" s="25">
        <f t="shared" si="21"/>
        <v>431879</v>
      </c>
      <c r="W41" s="25">
        <f t="shared" si="21"/>
        <v>480317</v>
      </c>
      <c r="X41" s="25">
        <f t="shared" si="21"/>
        <v>584185</v>
      </c>
    </row>
    <row r="42" spans="1:24">
      <c r="B42" t="s">
        <v>62</v>
      </c>
      <c r="C42" s="25">
        <f t="shared" ref="C42:L42" si="22">C31-C36</f>
        <v>59344.987431156667</v>
      </c>
      <c r="D42" s="25">
        <f t="shared" si="22"/>
        <v>59346.969520809522</v>
      </c>
      <c r="E42" s="25">
        <f t="shared" si="22"/>
        <v>68867.819438528662</v>
      </c>
      <c r="F42" s="25">
        <f t="shared" si="22"/>
        <v>74475.166375032437</v>
      </c>
      <c r="G42" s="25">
        <f t="shared" si="22"/>
        <v>82461.70686275253</v>
      </c>
      <c r="H42" s="25">
        <f t="shared" si="22"/>
        <v>84691.099195426345</v>
      </c>
      <c r="I42" s="25">
        <f t="shared" si="22"/>
        <v>91204.76628465738</v>
      </c>
      <c r="J42" s="25">
        <f t="shared" si="22"/>
        <v>102484.55711386641</v>
      </c>
      <c r="K42" s="25">
        <f t="shared" si="22"/>
        <v>113929.92714927776</v>
      </c>
      <c r="L42" s="25">
        <f t="shared" si="22"/>
        <v>137740.58790488122</v>
      </c>
      <c r="M42" s="25">
        <f>M31-M36</f>
        <v>169568.89971830984</v>
      </c>
      <c r="N42" s="25">
        <f t="shared" ref="N42:X42" si="23">N31-N36</f>
        <v>196944.3217283125</v>
      </c>
      <c r="O42" s="25">
        <f t="shared" si="23"/>
        <v>237051.26178120504</v>
      </c>
      <c r="P42" s="25">
        <f t="shared" si="23"/>
        <v>269231.9818733448</v>
      </c>
      <c r="Q42" s="25">
        <f t="shared" si="23"/>
        <v>283701.91260200925</v>
      </c>
      <c r="R42" s="25">
        <f t="shared" si="23"/>
        <v>288422.54358246515</v>
      </c>
      <c r="S42" s="25">
        <f t="shared" si="23"/>
        <v>277273.3568997581</v>
      </c>
      <c r="T42" s="25">
        <f t="shared" si="23"/>
        <v>250511.03935133267</v>
      </c>
      <c r="U42" s="25">
        <f t="shared" si="23"/>
        <v>251335.28219114707</v>
      </c>
      <c r="V42" s="25">
        <f t="shared" si="23"/>
        <v>261608.73268680429</v>
      </c>
      <c r="W42" s="25">
        <f t="shared" si="23"/>
        <v>274630.64850553521</v>
      </c>
      <c r="X42" s="25">
        <f t="shared" si="23"/>
        <v>329239.25923784683</v>
      </c>
    </row>
    <row r="43" spans="1:24">
      <c r="B43" t="s">
        <v>63</v>
      </c>
      <c r="M43" s="25">
        <f>M32-M37</f>
        <v>65210.202816901408</v>
      </c>
      <c r="N43" s="25">
        <f t="shared" ref="N43:X43" si="24">N32-N37</f>
        <v>79029.143294762893</v>
      </c>
      <c r="O43" s="25">
        <f t="shared" si="24"/>
        <v>76339.846004263294</v>
      </c>
      <c r="P43" s="25">
        <f t="shared" si="24"/>
        <v>80212.556886843391</v>
      </c>
      <c r="Q43" s="25">
        <f t="shared" si="24"/>
        <v>86267.991962937056</v>
      </c>
      <c r="R43" s="25">
        <f t="shared" si="24"/>
        <v>81566.947324884299</v>
      </c>
      <c r="S43" s="25">
        <f t="shared" si="24"/>
        <v>71789.361788961061</v>
      </c>
      <c r="T43" s="25">
        <f t="shared" si="24"/>
        <v>66854.643427527553</v>
      </c>
      <c r="U43" s="25">
        <f t="shared" si="24"/>
        <v>68315.334210179484</v>
      </c>
      <c r="V43" s="25">
        <f t="shared" si="24"/>
        <v>64973.618333146616</v>
      </c>
      <c r="W43" s="25">
        <f t="shared" si="24"/>
        <v>72657.161465906625</v>
      </c>
      <c r="X43" s="25">
        <f t="shared" si="24"/>
        <v>82807.840057396534</v>
      </c>
    </row>
    <row r="44" spans="1:24">
      <c r="B44" t="s">
        <v>64</v>
      </c>
      <c r="M44" s="25">
        <f>M33-M38</f>
        <v>116946.89746478872</v>
      </c>
      <c r="N44" s="25">
        <f t="shared" ref="N44:X44" si="25">N33-N38</f>
        <v>128035.53497692461</v>
      </c>
      <c r="O44" s="25">
        <f t="shared" si="25"/>
        <v>149318.89221453169</v>
      </c>
      <c r="P44" s="25">
        <f t="shared" si="25"/>
        <v>157138.46123981182</v>
      </c>
      <c r="Q44" s="25">
        <f t="shared" si="25"/>
        <v>162694.09543505369</v>
      </c>
      <c r="R44" s="25">
        <f t="shared" si="25"/>
        <v>129462.50909265057</v>
      </c>
      <c r="S44" s="25">
        <f t="shared" si="25"/>
        <v>105694.28131128087</v>
      </c>
      <c r="T44" s="25">
        <f t="shared" si="25"/>
        <v>90845.317221139776</v>
      </c>
      <c r="U44" s="25">
        <f t="shared" si="25"/>
        <v>87289.383598673434</v>
      </c>
      <c r="V44" s="25">
        <f t="shared" si="25"/>
        <v>105296.6489800491</v>
      </c>
      <c r="W44" s="25">
        <f t="shared" si="25"/>
        <v>133029.19002855811</v>
      </c>
      <c r="X44" s="25">
        <f t="shared" si="25"/>
        <v>172137.90070475664</v>
      </c>
    </row>
    <row r="45" spans="1:24"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1:24" ht="15.75" thickBot="1"/>
    <row r="47" spans="1:24">
      <c r="A47" t="s">
        <v>80</v>
      </c>
      <c r="B47" s="26" t="s">
        <v>79</v>
      </c>
      <c r="C47" s="25">
        <v>81408.538000000015</v>
      </c>
      <c r="D47" s="25">
        <v>81411.256999999983</v>
      </c>
      <c r="E47" s="25">
        <v>94471.812000000064</v>
      </c>
      <c r="F47" s="25">
        <v>102163.88400000003</v>
      </c>
      <c r="G47" s="25">
        <v>113119.69699999999</v>
      </c>
      <c r="H47" s="25">
        <v>116177.94299999998</v>
      </c>
      <c r="I47" s="25">
        <v>125113.29100000004</v>
      </c>
      <c r="J47" s="25">
        <v>140586.73399999997</v>
      </c>
      <c r="K47" s="25">
        <v>156287.31599999999</v>
      </c>
      <c r="L47" s="25">
        <v>188950.413</v>
      </c>
      <c r="M47" s="25">
        <v>232612</v>
      </c>
      <c r="N47" s="25">
        <v>266481</v>
      </c>
      <c r="O47" s="25">
        <v>316948</v>
      </c>
      <c r="P47" s="25">
        <v>358359</v>
      </c>
      <c r="Q47" s="25">
        <v>371432</v>
      </c>
      <c r="R47" s="25">
        <v>372116</v>
      </c>
      <c r="S47" s="25">
        <v>361645</v>
      </c>
      <c r="T47" s="25">
        <v>355517</v>
      </c>
      <c r="U47" s="25">
        <v>367493</v>
      </c>
      <c r="V47" s="25">
        <v>386292</v>
      </c>
      <c r="W47" s="25">
        <v>405061</v>
      </c>
      <c r="X47" s="25">
        <v>499699</v>
      </c>
    </row>
    <row r="48" spans="1:24">
      <c r="B48" t="s">
        <v>81</v>
      </c>
      <c r="C48" s="24">
        <f t="shared" ref="C48:V48" si="26">C47/D47</f>
        <v>0.99996660167033202</v>
      </c>
      <c r="D48" s="24">
        <f t="shared" si="26"/>
        <v>0.86175183132932742</v>
      </c>
      <c r="E48" s="24">
        <f t="shared" si="26"/>
        <v>0.92470850070657096</v>
      </c>
      <c r="F48" s="24">
        <f t="shared" si="26"/>
        <v>0.90314849411239184</v>
      </c>
      <c r="G48" s="24">
        <f t="shared" si="26"/>
        <v>0.97367619084114787</v>
      </c>
      <c r="H48" s="24">
        <f t="shared" si="26"/>
        <v>0.92858194418369144</v>
      </c>
      <c r="I48" s="24">
        <f t="shared" si="26"/>
        <v>0.88993667780915997</v>
      </c>
      <c r="J48" s="24">
        <f t="shared" si="26"/>
        <v>0.89954026723448222</v>
      </c>
      <c r="K48" s="24">
        <f t="shared" si="26"/>
        <v>0.82713402695764415</v>
      </c>
      <c r="L48" s="24">
        <f t="shared" si="26"/>
        <v>0.81229864753323133</v>
      </c>
      <c r="M48" s="24">
        <f t="shared" si="26"/>
        <v>0.87290275854563737</v>
      </c>
      <c r="N48" s="24">
        <f t="shared" si="26"/>
        <v>0.84077198783396645</v>
      </c>
      <c r="O48" s="24">
        <f t="shared" si="26"/>
        <v>0.88444269573249168</v>
      </c>
      <c r="P48" s="24">
        <f t="shared" si="26"/>
        <v>0.96480378642658682</v>
      </c>
      <c r="Q48" s="24">
        <f t="shared" si="26"/>
        <v>0.99816186350492853</v>
      </c>
      <c r="R48" s="24">
        <f t="shared" si="26"/>
        <v>1.0289538082926626</v>
      </c>
      <c r="S48" s="24">
        <f t="shared" si="26"/>
        <v>1.0172368691229956</v>
      </c>
      <c r="T48" s="24">
        <f t="shared" si="26"/>
        <v>0.96741162416699089</v>
      </c>
      <c r="U48" s="24">
        <f t="shared" si="26"/>
        <v>0.95133474159444154</v>
      </c>
      <c r="V48" s="24">
        <f t="shared" si="26"/>
        <v>0.95366376916069429</v>
      </c>
      <c r="W48" s="24">
        <f>W47/X47</f>
        <v>0.81060998721230182</v>
      </c>
    </row>
  </sheetData>
  <mergeCells count="1">
    <mergeCell ref="B1:B2"/>
  </mergeCells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E897BC-CCFC-4D5C-BD14-E773C2BB4D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TRU_51_financeira</vt:lpstr>
      <vt:lpstr>tab08_sinotica</vt:lpstr>
      <vt:lpstr>TRU_68_fbkf</vt:lpstr>
      <vt:lpstr>TRU_51_construção</vt:lpstr>
      <vt:lpstr>TRU_51_aluguel</vt:lpstr>
      <vt:lpstr>FBKF - FAMILIAS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Paim</dc:creator>
  <cp:lastModifiedBy>Bruno Paim</cp:lastModifiedBy>
  <dcterms:created xsi:type="dcterms:W3CDTF">2025-06-16T16:31:31Z</dcterms:created>
  <dcterms:modified xsi:type="dcterms:W3CDTF">2025-06-18T13:24:21Z</dcterms:modified>
</cp:coreProperties>
</file>