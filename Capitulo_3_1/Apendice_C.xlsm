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5" documentId="8_{65A3580E-1686-46BB-A382-C7FF205AC628}" xr6:coauthVersionLast="47" xr6:coauthVersionMax="47" xr10:uidLastSave="{D82E5560-8C50-4C08-9274-1FE266CF7499}"/>
  <bookViews>
    <workbookView xWindow="28680" yWindow="-120" windowWidth="29040" windowHeight="15720" activeTab="4" xr2:uid="{00000000-000D-0000-FFFF-FFFF00000000}"/>
  </bookViews>
  <sheets>
    <sheet name="ANTIGA_LIVRES" sheetId="1" r:id="rId1"/>
    <sheet name="ATUAL" sheetId="6" r:id="rId2"/>
    <sheet name="Planilha1" sheetId="2" r:id="rId3"/>
    <sheet name="ANTIGA_DIRECIONADOS" sheetId="7" r:id="rId4"/>
    <sheet name="APENDICE_BCB" sheetId="5" r:id="rId5"/>
    <sheet name="APENDICE_BCB_TABELA" sheetId="11" r:id="rId6"/>
    <sheet name="Planilha2" sheetId="10" r:id="rId7"/>
    <sheet name="Planilha8" sheetId="9" r:id="rId8"/>
    <sheet name="ATUAL_LIV_E_DIR" sheetId="8" r:id="rId9"/>
    <sheet name="Planilha4" sheetId="12" r:id="rId10"/>
  </sheets>
  <definedNames>
    <definedName name="_xlnm._FilterDatabase" localSheetId="9" hidden="1">Planilha4!$A$10:$E$18</definedName>
    <definedName name="RETROPOLACAO_DISPERSAO">APENDICE_BCB!$AU$170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4" i="5"/>
  <c r="F2" i="10"/>
  <c r="H2" i="10"/>
  <c r="F3" i="10"/>
  <c r="H3" i="10"/>
  <c r="F4" i="10"/>
  <c r="H4" i="10"/>
  <c r="F5" i="10"/>
  <c r="H5" i="10"/>
  <c r="F6" i="10"/>
  <c r="H6" i="10"/>
  <c r="F7" i="10"/>
  <c r="H7" i="10"/>
  <c r="F8" i="10"/>
  <c r="H8" i="10"/>
  <c r="F9" i="10"/>
  <c r="H9" i="10"/>
  <c r="F10" i="10"/>
  <c r="H10" i="10"/>
  <c r="F11" i="10"/>
  <c r="H11" i="10"/>
  <c r="F12" i="10"/>
  <c r="H12" i="10"/>
  <c r="F13" i="10"/>
  <c r="H13" i="10"/>
  <c r="F14" i="10"/>
  <c r="H14" i="10"/>
  <c r="F15" i="10"/>
  <c r="H15" i="10"/>
  <c r="F16" i="10"/>
  <c r="H16" i="10"/>
  <c r="F17" i="10"/>
  <c r="H17" i="10"/>
  <c r="F18" i="10"/>
  <c r="H18" i="10"/>
  <c r="F19" i="10"/>
  <c r="H19" i="10"/>
  <c r="F20" i="10"/>
  <c r="H20" i="10"/>
  <c r="F21" i="10"/>
  <c r="H21" i="10"/>
  <c r="F22" i="10"/>
  <c r="H22" i="10"/>
  <c r="F23" i="10"/>
  <c r="H23" i="10"/>
  <c r="F24" i="10"/>
  <c r="H24" i="10"/>
  <c r="F25" i="10"/>
  <c r="H25" i="10"/>
  <c r="F26" i="10"/>
  <c r="H26" i="10"/>
  <c r="F27" i="10"/>
  <c r="H27" i="10"/>
  <c r="F28" i="10"/>
  <c r="H28" i="10"/>
  <c r="F29" i="10"/>
  <c r="H29" i="10"/>
  <c r="F30" i="10"/>
  <c r="H30" i="10"/>
  <c r="F31" i="10"/>
  <c r="H31" i="10"/>
  <c r="F32" i="10"/>
  <c r="H32" i="10"/>
  <c r="F33" i="10"/>
  <c r="H33" i="10"/>
  <c r="F34" i="10"/>
  <c r="H34" i="10"/>
  <c r="F35" i="10"/>
  <c r="H35" i="10"/>
  <c r="F36" i="10"/>
  <c r="H36" i="10"/>
  <c r="F37" i="10"/>
  <c r="H37" i="10"/>
  <c r="F38" i="10"/>
  <c r="H38" i="10"/>
  <c r="F39" i="10"/>
  <c r="H39" i="10"/>
  <c r="F40" i="10"/>
  <c r="H40" i="10"/>
  <c r="F41" i="10"/>
  <c r="H41" i="10"/>
  <c r="F42" i="10"/>
  <c r="H42" i="10"/>
  <c r="F43" i="10"/>
  <c r="H43" i="10"/>
  <c r="F44" i="10"/>
  <c r="H44" i="10"/>
  <c r="F45" i="10"/>
  <c r="H45" i="10"/>
  <c r="F46" i="10"/>
  <c r="H46" i="10"/>
  <c r="F47" i="10"/>
  <c r="H47" i="10"/>
  <c r="F48" i="10"/>
  <c r="H48" i="10"/>
  <c r="F49" i="10"/>
  <c r="H49" i="10"/>
  <c r="F50" i="10"/>
  <c r="H50" i="10"/>
  <c r="F51" i="10"/>
  <c r="H51" i="10"/>
  <c r="F52" i="10"/>
  <c r="H52" i="10"/>
  <c r="F53" i="10"/>
  <c r="H53" i="10"/>
  <c r="F54" i="10"/>
  <c r="H54" i="10"/>
  <c r="F55" i="10"/>
  <c r="H55" i="10"/>
  <c r="F56" i="10"/>
  <c r="H56" i="10"/>
  <c r="F57" i="10"/>
  <c r="H57" i="10"/>
  <c r="F58" i="10"/>
  <c r="H58" i="10"/>
  <c r="F59" i="10"/>
  <c r="H59" i="10"/>
  <c r="F60" i="10"/>
  <c r="H60" i="10"/>
  <c r="F61" i="10"/>
  <c r="H61" i="10"/>
  <c r="F62" i="10"/>
  <c r="H62" i="10"/>
  <c r="F63" i="10"/>
  <c r="H63" i="10"/>
  <c r="F64" i="10"/>
  <c r="H64" i="10"/>
  <c r="F65" i="10"/>
  <c r="H65" i="10"/>
  <c r="F66" i="10"/>
  <c r="H66" i="10"/>
  <c r="F67" i="10"/>
  <c r="H67" i="10"/>
  <c r="F68" i="10"/>
  <c r="H68" i="10"/>
  <c r="F69" i="10"/>
  <c r="H69" i="10"/>
  <c r="F70" i="10"/>
  <c r="H70" i="10"/>
  <c r="F71" i="10"/>
  <c r="H71" i="10"/>
  <c r="F72" i="10"/>
  <c r="H72" i="10"/>
  <c r="F73" i="10"/>
  <c r="H73" i="10"/>
  <c r="F74" i="10"/>
  <c r="H74" i="10"/>
  <c r="F75" i="10"/>
  <c r="H75" i="10"/>
  <c r="F76" i="10"/>
  <c r="H76" i="10"/>
  <c r="F77" i="10"/>
  <c r="H77" i="10"/>
  <c r="F78" i="10"/>
  <c r="H78" i="10"/>
  <c r="F79" i="10"/>
  <c r="H79" i="10"/>
  <c r="F80" i="10"/>
  <c r="H80" i="10"/>
  <c r="F81" i="10"/>
  <c r="H81" i="10"/>
  <c r="F82" i="10"/>
  <c r="H82" i="10"/>
  <c r="F83" i="10"/>
  <c r="G83" i="10"/>
  <c r="F84" i="10"/>
  <c r="G84" i="10"/>
  <c r="F85" i="10"/>
  <c r="G85" i="10"/>
  <c r="F86" i="10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F95" i="10"/>
  <c r="G95" i="10"/>
  <c r="F96" i="10"/>
  <c r="G96" i="10"/>
  <c r="F97" i="10"/>
  <c r="G97" i="10"/>
  <c r="F98" i="10"/>
  <c r="G98" i="10"/>
  <c r="F99" i="10"/>
  <c r="G99" i="10"/>
  <c r="F100" i="10"/>
  <c r="G100" i="10"/>
  <c r="F101" i="10"/>
  <c r="G101" i="10"/>
  <c r="F102" i="10"/>
  <c r="G102" i="10"/>
  <c r="F103" i="10"/>
  <c r="G103" i="10"/>
  <c r="F104" i="10"/>
  <c r="G104" i="10"/>
  <c r="F105" i="10"/>
  <c r="G105" i="10"/>
  <c r="F106" i="10"/>
  <c r="G106" i="10"/>
  <c r="F107" i="10"/>
  <c r="G107" i="10"/>
  <c r="F108" i="10"/>
  <c r="G108" i="10"/>
  <c r="F109" i="10"/>
  <c r="G109" i="10"/>
  <c r="F110" i="10"/>
  <c r="G110" i="10"/>
  <c r="F111" i="10"/>
  <c r="G111" i="10"/>
  <c r="F112" i="10"/>
  <c r="G112" i="10"/>
  <c r="F113" i="10"/>
  <c r="G113" i="10"/>
  <c r="F114" i="10"/>
  <c r="G114" i="10"/>
  <c r="F115" i="10"/>
  <c r="G115" i="10"/>
  <c r="F116" i="10"/>
  <c r="G116" i="10"/>
  <c r="F117" i="10"/>
  <c r="G117" i="10"/>
  <c r="F118" i="10"/>
  <c r="G118" i="10"/>
  <c r="F119" i="10"/>
  <c r="G119" i="10"/>
  <c r="F120" i="10"/>
  <c r="G120" i="10"/>
  <c r="F121" i="10"/>
  <c r="G121" i="10"/>
  <c r="F122" i="10"/>
  <c r="G122" i="10"/>
  <c r="F123" i="10"/>
  <c r="G123" i="10"/>
  <c r="F124" i="10"/>
  <c r="G124" i="10"/>
  <c r="F125" i="10"/>
  <c r="G125" i="10"/>
  <c r="F126" i="10"/>
  <c r="G126" i="10"/>
  <c r="F127" i="10"/>
  <c r="G127" i="10"/>
  <c r="F128" i="10"/>
  <c r="G128" i="10"/>
  <c r="F129" i="10"/>
  <c r="G129" i="10"/>
  <c r="F130" i="10"/>
  <c r="G130" i="10"/>
  <c r="F131" i="10"/>
  <c r="G131" i="10"/>
  <c r="F132" i="10"/>
  <c r="G132" i="10"/>
  <c r="F133" i="10"/>
  <c r="G133" i="10"/>
  <c r="F134" i="10"/>
  <c r="G134" i="10"/>
  <c r="F135" i="10"/>
  <c r="G135" i="10"/>
  <c r="F136" i="10"/>
  <c r="G136" i="10"/>
  <c r="F137" i="10"/>
  <c r="G137" i="10"/>
  <c r="F138" i="10"/>
  <c r="G138" i="10"/>
  <c r="F139" i="10"/>
  <c r="G139" i="10"/>
  <c r="F140" i="10"/>
  <c r="G140" i="10"/>
  <c r="F141" i="10"/>
  <c r="G141" i="10"/>
  <c r="F142" i="10"/>
  <c r="G142" i="10"/>
  <c r="F143" i="10"/>
  <c r="G143" i="10"/>
  <c r="F144" i="10"/>
  <c r="G144" i="10"/>
  <c r="F145" i="10"/>
  <c r="G145" i="10"/>
  <c r="F146" i="10"/>
  <c r="G146" i="10"/>
  <c r="F147" i="10"/>
  <c r="G147" i="10"/>
  <c r="F148" i="10"/>
  <c r="G148" i="10"/>
  <c r="F149" i="10"/>
  <c r="G149" i="10"/>
  <c r="F150" i="10"/>
  <c r="G150" i="10"/>
  <c r="F151" i="10"/>
  <c r="G151" i="10"/>
  <c r="F152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129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48" i="5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H128" i="9"/>
  <c r="G129" i="9"/>
  <c r="H129" i="9"/>
  <c r="G130" i="9"/>
  <c r="H130" i="9"/>
  <c r="G131" i="9"/>
  <c r="H131" i="9"/>
  <c r="G132" i="9"/>
  <c r="H132" i="9"/>
  <c r="G133" i="9"/>
  <c r="H133" i="9"/>
  <c r="G134" i="9"/>
  <c r="H134" i="9"/>
  <c r="G135" i="9"/>
  <c r="H135" i="9"/>
  <c r="G136" i="9"/>
  <c r="H136" i="9"/>
  <c r="G137" i="9"/>
  <c r="H137" i="9"/>
  <c r="G138" i="9"/>
  <c r="H138" i="9"/>
  <c r="G139" i="9"/>
  <c r="H139" i="9"/>
  <c r="G140" i="9"/>
  <c r="H140" i="9"/>
  <c r="G141" i="9"/>
  <c r="H141" i="9"/>
  <c r="G142" i="9"/>
  <c r="H142" i="9"/>
  <c r="G143" i="9"/>
  <c r="H143" i="9"/>
  <c r="G144" i="9"/>
  <c r="H144" i="9"/>
  <c r="G145" i="9"/>
  <c r="H145" i="9"/>
  <c r="G146" i="9"/>
  <c r="H146" i="9"/>
  <c r="G147" i="9"/>
  <c r="H147" i="9"/>
  <c r="G148" i="9"/>
  <c r="H148" i="9"/>
  <c r="G149" i="9"/>
  <c r="H149" i="9"/>
  <c r="G150" i="9"/>
  <c r="H150" i="9"/>
  <c r="G151" i="9"/>
  <c r="H151" i="9"/>
  <c r="G152" i="9"/>
  <c r="H152" i="9"/>
  <c r="G153" i="9"/>
  <c r="H153" i="9"/>
  <c r="G154" i="9"/>
  <c r="H154" i="9"/>
  <c r="G155" i="9"/>
  <c r="H155" i="9"/>
  <c r="G156" i="9"/>
  <c r="H156" i="9"/>
  <c r="G157" i="9"/>
  <c r="H157" i="9"/>
  <c r="G158" i="9"/>
  <c r="H158" i="9"/>
  <c r="G159" i="9"/>
  <c r="H159" i="9"/>
  <c r="G160" i="9"/>
  <c r="H160" i="9"/>
  <c r="G161" i="9"/>
  <c r="H161" i="9"/>
  <c r="G162" i="9"/>
  <c r="H162" i="9"/>
  <c r="G163" i="9"/>
  <c r="H163" i="9"/>
  <c r="G164" i="9"/>
  <c r="H164" i="9"/>
  <c r="G165" i="9"/>
  <c r="H165" i="9"/>
  <c r="G166" i="9"/>
  <c r="H166" i="9"/>
  <c r="G167" i="9"/>
  <c r="H167" i="9"/>
  <c r="G168" i="9"/>
  <c r="H168" i="9"/>
  <c r="G169" i="9"/>
  <c r="H169" i="9"/>
  <c r="G170" i="9"/>
  <c r="H170" i="9"/>
  <c r="G171" i="9"/>
  <c r="H171" i="9"/>
  <c r="G172" i="9"/>
  <c r="H172" i="9"/>
  <c r="G173" i="9"/>
  <c r="H173" i="9"/>
  <c r="G174" i="9"/>
  <c r="H174" i="9"/>
  <c r="G175" i="9"/>
  <c r="H175" i="9"/>
  <c r="G176" i="9"/>
  <c r="H176" i="9"/>
  <c r="G177" i="9"/>
  <c r="H177" i="9"/>
  <c r="G178" i="9"/>
  <c r="H178" i="9"/>
  <c r="G179" i="9"/>
  <c r="H179" i="9"/>
  <c r="G180" i="9"/>
  <c r="H180" i="9"/>
  <c r="G181" i="9"/>
  <c r="H181" i="9"/>
  <c r="G182" i="9"/>
  <c r="H182" i="9"/>
  <c r="G183" i="9"/>
  <c r="H183" i="9"/>
  <c r="G184" i="9"/>
  <c r="H184" i="9"/>
  <c r="G185" i="9"/>
  <c r="H185" i="9"/>
  <c r="G186" i="9"/>
  <c r="H186" i="9"/>
  <c r="G187" i="9"/>
  <c r="H187" i="9"/>
  <c r="G188" i="9"/>
  <c r="H188" i="9"/>
  <c r="G189" i="9"/>
  <c r="H189" i="9"/>
  <c r="G190" i="9"/>
  <c r="H190" i="9"/>
  <c r="G191" i="9"/>
  <c r="H191" i="9"/>
  <c r="G192" i="9"/>
  <c r="H192" i="9"/>
  <c r="G193" i="9"/>
  <c r="H193" i="9"/>
  <c r="G194" i="9"/>
  <c r="H194" i="9"/>
  <c r="G195" i="9"/>
  <c r="H195" i="9"/>
  <c r="G196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G3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D129" i="9"/>
  <c r="C130" i="9"/>
  <c r="D130" i="9"/>
  <c r="C131" i="9"/>
  <c r="D131" i="9"/>
  <c r="C132" i="9"/>
  <c r="D132" i="9"/>
  <c r="C133" i="9"/>
  <c r="D133" i="9"/>
  <c r="C134" i="9"/>
  <c r="D134" i="9"/>
  <c r="C135" i="9"/>
  <c r="D135" i="9"/>
  <c r="C136" i="9"/>
  <c r="D136" i="9"/>
  <c r="C137" i="9"/>
  <c r="D137" i="9"/>
  <c r="C138" i="9"/>
  <c r="D138" i="9"/>
  <c r="C139" i="9"/>
  <c r="D139" i="9"/>
  <c r="C140" i="9"/>
  <c r="D140" i="9"/>
  <c r="C141" i="9"/>
  <c r="D141" i="9"/>
  <c r="C142" i="9"/>
  <c r="D142" i="9"/>
  <c r="C143" i="9"/>
  <c r="D143" i="9"/>
  <c r="C144" i="9"/>
  <c r="D144" i="9"/>
  <c r="C145" i="9"/>
  <c r="D145" i="9"/>
  <c r="C146" i="9"/>
  <c r="D146" i="9"/>
  <c r="C147" i="9"/>
  <c r="D147" i="9"/>
  <c r="C148" i="9"/>
  <c r="D148" i="9"/>
  <c r="C149" i="9"/>
  <c r="D149" i="9"/>
  <c r="C150" i="9"/>
  <c r="D150" i="9"/>
  <c r="C151" i="9"/>
  <c r="D151" i="9"/>
  <c r="C152" i="9"/>
  <c r="D152" i="9"/>
  <c r="C153" i="9"/>
  <c r="D153" i="9"/>
  <c r="C154" i="9"/>
  <c r="D154" i="9"/>
  <c r="C155" i="9"/>
  <c r="D155" i="9"/>
  <c r="C156" i="9"/>
  <c r="D156" i="9"/>
  <c r="C157" i="9"/>
  <c r="D157" i="9"/>
  <c r="C158" i="9"/>
  <c r="D158" i="9"/>
  <c r="C159" i="9"/>
  <c r="D159" i="9"/>
  <c r="C160" i="9"/>
  <c r="D160" i="9"/>
  <c r="C161" i="9"/>
  <c r="D161" i="9"/>
  <c r="C162" i="9"/>
  <c r="D162" i="9"/>
  <c r="C163" i="9"/>
  <c r="D163" i="9"/>
  <c r="C164" i="9"/>
  <c r="D164" i="9"/>
  <c r="C165" i="9"/>
  <c r="D165" i="9"/>
  <c r="C166" i="9"/>
  <c r="D166" i="9"/>
  <c r="C167" i="9"/>
  <c r="D167" i="9"/>
  <c r="C168" i="9"/>
  <c r="D168" i="9"/>
  <c r="C169" i="9"/>
  <c r="D169" i="9"/>
  <c r="C170" i="9"/>
  <c r="D170" i="9"/>
  <c r="C171" i="9"/>
  <c r="D171" i="9"/>
  <c r="C172" i="9"/>
  <c r="D172" i="9"/>
  <c r="C173" i="9"/>
  <c r="D173" i="9"/>
  <c r="C174" i="9"/>
  <c r="D174" i="9"/>
  <c r="C175" i="9"/>
  <c r="D175" i="9"/>
  <c r="C176" i="9"/>
  <c r="D176" i="9"/>
  <c r="C177" i="9"/>
  <c r="D177" i="9"/>
  <c r="C178" i="9"/>
  <c r="D178" i="9"/>
  <c r="C179" i="9"/>
  <c r="D179" i="9"/>
  <c r="C180" i="9"/>
  <c r="D180" i="9"/>
  <c r="C181" i="9"/>
  <c r="D181" i="9"/>
  <c r="C182" i="9"/>
  <c r="D182" i="9"/>
  <c r="C183" i="9"/>
  <c r="D183" i="9"/>
  <c r="C184" i="9"/>
  <c r="D184" i="9"/>
  <c r="C185" i="9"/>
  <c r="D185" i="9"/>
  <c r="C186" i="9"/>
  <c r="D186" i="9"/>
  <c r="C187" i="9"/>
  <c r="D187" i="9"/>
  <c r="C188" i="9"/>
  <c r="D188" i="9"/>
  <c r="C189" i="9"/>
  <c r="D189" i="9"/>
  <c r="C190" i="9"/>
  <c r="D190" i="9"/>
  <c r="C191" i="9"/>
  <c r="D191" i="9"/>
  <c r="C192" i="9"/>
  <c r="D192" i="9"/>
  <c r="C193" i="9"/>
  <c r="D193" i="9"/>
  <c r="C194" i="9"/>
  <c r="D194" i="9"/>
  <c r="C195" i="9"/>
  <c r="D195" i="9"/>
  <c r="C196" i="9"/>
  <c r="D196" i="9"/>
  <c r="C197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C4" i="9"/>
  <c r="H5" i="5"/>
  <c r="I5" i="5"/>
  <c r="J5" i="5"/>
  <c r="K5" i="5"/>
  <c r="L5" i="5"/>
  <c r="M5" i="5"/>
  <c r="H6" i="5"/>
  <c r="I6" i="5"/>
  <c r="J6" i="5"/>
  <c r="K6" i="5"/>
  <c r="L6" i="5"/>
  <c r="M6" i="5"/>
  <c r="H7" i="5"/>
  <c r="I7" i="5"/>
  <c r="J7" i="5"/>
  <c r="K7" i="5"/>
  <c r="L7" i="5"/>
  <c r="M7" i="5"/>
  <c r="H8" i="5"/>
  <c r="I8" i="5"/>
  <c r="J8" i="5"/>
  <c r="K8" i="5"/>
  <c r="L8" i="5"/>
  <c r="M8" i="5"/>
  <c r="H9" i="5"/>
  <c r="I9" i="5"/>
  <c r="J9" i="5"/>
  <c r="K9" i="5"/>
  <c r="L9" i="5"/>
  <c r="M9" i="5"/>
  <c r="H10" i="5"/>
  <c r="I10" i="5"/>
  <c r="J10" i="5"/>
  <c r="K10" i="5"/>
  <c r="L10" i="5"/>
  <c r="M10" i="5"/>
  <c r="H11" i="5"/>
  <c r="I11" i="5"/>
  <c r="J11" i="5"/>
  <c r="K11" i="5"/>
  <c r="L11" i="5"/>
  <c r="M11" i="5"/>
  <c r="H12" i="5"/>
  <c r="I12" i="5"/>
  <c r="J12" i="5"/>
  <c r="K12" i="5"/>
  <c r="L12" i="5"/>
  <c r="M12" i="5"/>
  <c r="H13" i="5"/>
  <c r="I13" i="5"/>
  <c r="J13" i="5"/>
  <c r="K13" i="5"/>
  <c r="L13" i="5"/>
  <c r="M13" i="5"/>
  <c r="H14" i="5"/>
  <c r="I14" i="5"/>
  <c r="J14" i="5"/>
  <c r="K14" i="5"/>
  <c r="L14" i="5"/>
  <c r="M14" i="5"/>
  <c r="H15" i="5"/>
  <c r="I15" i="5"/>
  <c r="J15" i="5"/>
  <c r="K15" i="5"/>
  <c r="L15" i="5"/>
  <c r="M15" i="5"/>
  <c r="H16" i="5"/>
  <c r="I16" i="5"/>
  <c r="J16" i="5"/>
  <c r="K16" i="5"/>
  <c r="L16" i="5"/>
  <c r="M16" i="5"/>
  <c r="H17" i="5"/>
  <c r="I17" i="5"/>
  <c r="J17" i="5"/>
  <c r="K17" i="5"/>
  <c r="L17" i="5"/>
  <c r="M17" i="5"/>
  <c r="H18" i="5"/>
  <c r="I18" i="5"/>
  <c r="J18" i="5"/>
  <c r="K18" i="5"/>
  <c r="L18" i="5"/>
  <c r="M18" i="5"/>
  <c r="H19" i="5"/>
  <c r="I19" i="5"/>
  <c r="J19" i="5"/>
  <c r="K19" i="5"/>
  <c r="L19" i="5"/>
  <c r="M19" i="5"/>
  <c r="H20" i="5"/>
  <c r="I20" i="5"/>
  <c r="J20" i="5"/>
  <c r="K20" i="5"/>
  <c r="L20" i="5"/>
  <c r="M20" i="5"/>
  <c r="H21" i="5"/>
  <c r="I21" i="5"/>
  <c r="J21" i="5"/>
  <c r="K21" i="5"/>
  <c r="L21" i="5"/>
  <c r="M21" i="5"/>
  <c r="H22" i="5"/>
  <c r="I22" i="5"/>
  <c r="J22" i="5"/>
  <c r="K22" i="5"/>
  <c r="L22" i="5"/>
  <c r="M22" i="5"/>
  <c r="H23" i="5"/>
  <c r="I23" i="5"/>
  <c r="J23" i="5"/>
  <c r="K23" i="5"/>
  <c r="L23" i="5"/>
  <c r="M23" i="5"/>
  <c r="H24" i="5"/>
  <c r="I24" i="5"/>
  <c r="J24" i="5"/>
  <c r="K24" i="5"/>
  <c r="L24" i="5"/>
  <c r="M24" i="5"/>
  <c r="H25" i="5"/>
  <c r="I25" i="5"/>
  <c r="J25" i="5"/>
  <c r="K25" i="5"/>
  <c r="L25" i="5"/>
  <c r="M25" i="5"/>
  <c r="H26" i="5"/>
  <c r="P26" i="5" s="1"/>
  <c r="I26" i="5"/>
  <c r="J26" i="5"/>
  <c r="K26" i="5"/>
  <c r="L26" i="5"/>
  <c r="M26" i="5"/>
  <c r="H27" i="5"/>
  <c r="I27" i="5"/>
  <c r="J27" i="5"/>
  <c r="K27" i="5"/>
  <c r="L27" i="5"/>
  <c r="M27" i="5"/>
  <c r="H28" i="5"/>
  <c r="P28" i="5" s="1"/>
  <c r="I28" i="5"/>
  <c r="J28" i="5"/>
  <c r="K28" i="5"/>
  <c r="L28" i="5"/>
  <c r="M28" i="5"/>
  <c r="H29" i="5"/>
  <c r="I29" i="5"/>
  <c r="J29" i="5"/>
  <c r="K29" i="5"/>
  <c r="L29" i="5"/>
  <c r="M29" i="5"/>
  <c r="H30" i="5"/>
  <c r="P30" i="5" s="1"/>
  <c r="I30" i="5"/>
  <c r="J30" i="5"/>
  <c r="K30" i="5"/>
  <c r="L30" i="5"/>
  <c r="M30" i="5"/>
  <c r="H31" i="5"/>
  <c r="I31" i="5"/>
  <c r="J31" i="5"/>
  <c r="K31" i="5"/>
  <c r="L31" i="5"/>
  <c r="M31" i="5"/>
  <c r="H32" i="5"/>
  <c r="P32" i="5" s="1"/>
  <c r="I32" i="5"/>
  <c r="J32" i="5"/>
  <c r="K32" i="5"/>
  <c r="L32" i="5"/>
  <c r="M32" i="5"/>
  <c r="H33" i="5"/>
  <c r="I33" i="5"/>
  <c r="J33" i="5"/>
  <c r="K33" i="5"/>
  <c r="L33" i="5"/>
  <c r="M33" i="5"/>
  <c r="H34" i="5"/>
  <c r="P34" i="5" s="1"/>
  <c r="I34" i="5"/>
  <c r="J34" i="5"/>
  <c r="K34" i="5"/>
  <c r="L34" i="5"/>
  <c r="M34" i="5"/>
  <c r="H35" i="5"/>
  <c r="I35" i="5"/>
  <c r="J35" i="5"/>
  <c r="K35" i="5"/>
  <c r="L35" i="5"/>
  <c r="M35" i="5"/>
  <c r="H36" i="5"/>
  <c r="P36" i="5" s="1"/>
  <c r="I36" i="5"/>
  <c r="J36" i="5"/>
  <c r="K36" i="5"/>
  <c r="L36" i="5"/>
  <c r="M36" i="5"/>
  <c r="H37" i="5"/>
  <c r="I37" i="5"/>
  <c r="R37" i="5" s="1"/>
  <c r="J37" i="5"/>
  <c r="K37" i="5"/>
  <c r="L37" i="5"/>
  <c r="M37" i="5"/>
  <c r="H38" i="5"/>
  <c r="I38" i="5"/>
  <c r="J38" i="5"/>
  <c r="K38" i="5"/>
  <c r="L38" i="5"/>
  <c r="M38" i="5"/>
  <c r="H39" i="5"/>
  <c r="I39" i="5"/>
  <c r="J39" i="5"/>
  <c r="K39" i="5"/>
  <c r="L39" i="5"/>
  <c r="M39" i="5"/>
  <c r="H40" i="5"/>
  <c r="P40" i="5" s="1"/>
  <c r="I40" i="5"/>
  <c r="J40" i="5"/>
  <c r="K40" i="5"/>
  <c r="L40" i="5"/>
  <c r="M40" i="5"/>
  <c r="H41" i="5"/>
  <c r="I41" i="5"/>
  <c r="R41" i="5" s="1"/>
  <c r="J41" i="5"/>
  <c r="K41" i="5"/>
  <c r="L41" i="5"/>
  <c r="M41" i="5"/>
  <c r="H42" i="5"/>
  <c r="I42" i="5"/>
  <c r="J42" i="5"/>
  <c r="K42" i="5"/>
  <c r="L42" i="5"/>
  <c r="M42" i="5"/>
  <c r="H43" i="5"/>
  <c r="I43" i="5"/>
  <c r="J43" i="5"/>
  <c r="K43" i="5"/>
  <c r="L43" i="5"/>
  <c r="M43" i="5"/>
  <c r="H44" i="5"/>
  <c r="P44" i="5" s="1"/>
  <c r="I44" i="5"/>
  <c r="J44" i="5"/>
  <c r="K44" i="5"/>
  <c r="L44" i="5"/>
  <c r="M44" i="5"/>
  <c r="H45" i="5"/>
  <c r="I45" i="5"/>
  <c r="R45" i="5" s="1"/>
  <c r="J45" i="5"/>
  <c r="K45" i="5"/>
  <c r="L45" i="5"/>
  <c r="M45" i="5"/>
  <c r="H46" i="5"/>
  <c r="I46" i="5"/>
  <c r="J46" i="5"/>
  <c r="K46" i="5"/>
  <c r="L46" i="5"/>
  <c r="M46" i="5"/>
  <c r="H47" i="5"/>
  <c r="I47" i="5"/>
  <c r="J47" i="5"/>
  <c r="K47" i="5"/>
  <c r="L47" i="5"/>
  <c r="M47" i="5"/>
  <c r="H48" i="5"/>
  <c r="I48" i="5"/>
  <c r="J48" i="5"/>
  <c r="K48" i="5"/>
  <c r="L48" i="5"/>
  <c r="M48" i="5"/>
  <c r="H49" i="5"/>
  <c r="I49" i="5"/>
  <c r="R49" i="5" s="1"/>
  <c r="J49" i="5"/>
  <c r="K49" i="5"/>
  <c r="L49" i="5"/>
  <c r="M49" i="5"/>
  <c r="H50" i="5"/>
  <c r="I50" i="5"/>
  <c r="J50" i="5"/>
  <c r="K50" i="5"/>
  <c r="L50" i="5"/>
  <c r="M50" i="5"/>
  <c r="H51" i="5"/>
  <c r="I51" i="5"/>
  <c r="J51" i="5"/>
  <c r="K51" i="5"/>
  <c r="L51" i="5"/>
  <c r="M51" i="5"/>
  <c r="H52" i="5"/>
  <c r="P52" i="5" s="1"/>
  <c r="I52" i="5"/>
  <c r="J52" i="5"/>
  <c r="K52" i="5"/>
  <c r="L52" i="5"/>
  <c r="M52" i="5"/>
  <c r="H53" i="5"/>
  <c r="I53" i="5"/>
  <c r="R53" i="5" s="1"/>
  <c r="J53" i="5"/>
  <c r="K53" i="5"/>
  <c r="L53" i="5"/>
  <c r="M53" i="5"/>
  <c r="H54" i="5"/>
  <c r="I54" i="5"/>
  <c r="J54" i="5"/>
  <c r="K54" i="5"/>
  <c r="L54" i="5"/>
  <c r="M54" i="5"/>
  <c r="H55" i="5"/>
  <c r="I55" i="5"/>
  <c r="J55" i="5"/>
  <c r="K55" i="5"/>
  <c r="L55" i="5"/>
  <c r="M55" i="5"/>
  <c r="H56" i="5"/>
  <c r="P56" i="5" s="1"/>
  <c r="I56" i="5"/>
  <c r="J56" i="5"/>
  <c r="K56" i="5"/>
  <c r="L56" i="5"/>
  <c r="M56" i="5"/>
  <c r="H57" i="5"/>
  <c r="I57" i="5"/>
  <c r="R57" i="5" s="1"/>
  <c r="J57" i="5"/>
  <c r="K57" i="5"/>
  <c r="L57" i="5"/>
  <c r="M57" i="5"/>
  <c r="H58" i="5"/>
  <c r="I58" i="5"/>
  <c r="J58" i="5"/>
  <c r="K58" i="5"/>
  <c r="L58" i="5"/>
  <c r="M58" i="5"/>
  <c r="H59" i="5"/>
  <c r="I59" i="5"/>
  <c r="J59" i="5"/>
  <c r="K59" i="5"/>
  <c r="L59" i="5"/>
  <c r="M59" i="5"/>
  <c r="H60" i="5"/>
  <c r="I60" i="5"/>
  <c r="J60" i="5"/>
  <c r="K60" i="5"/>
  <c r="L60" i="5"/>
  <c r="M60" i="5"/>
  <c r="H61" i="5"/>
  <c r="I61" i="5"/>
  <c r="R61" i="5" s="1"/>
  <c r="J61" i="5"/>
  <c r="K61" i="5"/>
  <c r="L61" i="5"/>
  <c r="M61" i="5"/>
  <c r="H62" i="5"/>
  <c r="P62" i="5" s="1"/>
  <c r="I62" i="5"/>
  <c r="J62" i="5"/>
  <c r="K62" i="5"/>
  <c r="L62" i="5"/>
  <c r="M62" i="5"/>
  <c r="H63" i="5"/>
  <c r="I63" i="5"/>
  <c r="J63" i="5"/>
  <c r="K63" i="5"/>
  <c r="L63" i="5"/>
  <c r="M63" i="5"/>
  <c r="H64" i="5"/>
  <c r="P64" i="5" s="1"/>
  <c r="I64" i="5"/>
  <c r="J64" i="5"/>
  <c r="K64" i="5"/>
  <c r="L64" i="5"/>
  <c r="M64" i="5"/>
  <c r="H65" i="5"/>
  <c r="I65" i="5"/>
  <c r="R65" i="5" s="1"/>
  <c r="J65" i="5"/>
  <c r="K65" i="5"/>
  <c r="L65" i="5"/>
  <c r="M65" i="5"/>
  <c r="H66" i="5"/>
  <c r="P66" i="5" s="1"/>
  <c r="I66" i="5"/>
  <c r="J66" i="5"/>
  <c r="K66" i="5"/>
  <c r="L66" i="5"/>
  <c r="M66" i="5"/>
  <c r="H67" i="5"/>
  <c r="I67" i="5"/>
  <c r="J67" i="5"/>
  <c r="K67" i="5"/>
  <c r="L67" i="5"/>
  <c r="M67" i="5"/>
  <c r="H68" i="5"/>
  <c r="P68" i="5" s="1"/>
  <c r="I68" i="5"/>
  <c r="J68" i="5"/>
  <c r="K68" i="5"/>
  <c r="L68" i="5"/>
  <c r="M68" i="5"/>
  <c r="H69" i="5"/>
  <c r="I69" i="5"/>
  <c r="R69" i="5" s="1"/>
  <c r="J69" i="5"/>
  <c r="K69" i="5"/>
  <c r="L69" i="5"/>
  <c r="M69" i="5"/>
  <c r="H70" i="5"/>
  <c r="P70" i="5" s="1"/>
  <c r="I70" i="5"/>
  <c r="J70" i="5"/>
  <c r="K70" i="5"/>
  <c r="L70" i="5"/>
  <c r="M70" i="5"/>
  <c r="H71" i="5"/>
  <c r="I71" i="5"/>
  <c r="J71" i="5"/>
  <c r="K71" i="5"/>
  <c r="L71" i="5"/>
  <c r="M71" i="5"/>
  <c r="H72" i="5"/>
  <c r="P72" i="5" s="1"/>
  <c r="I72" i="5"/>
  <c r="J72" i="5"/>
  <c r="K72" i="5"/>
  <c r="L72" i="5"/>
  <c r="M72" i="5"/>
  <c r="H73" i="5"/>
  <c r="I73" i="5"/>
  <c r="R73" i="5" s="1"/>
  <c r="J73" i="5"/>
  <c r="K73" i="5"/>
  <c r="L73" i="5"/>
  <c r="M73" i="5"/>
  <c r="H74" i="5"/>
  <c r="P74" i="5" s="1"/>
  <c r="I74" i="5"/>
  <c r="J74" i="5"/>
  <c r="K74" i="5"/>
  <c r="L74" i="5"/>
  <c r="M74" i="5"/>
  <c r="H75" i="5"/>
  <c r="I75" i="5"/>
  <c r="J75" i="5"/>
  <c r="K75" i="5"/>
  <c r="L75" i="5"/>
  <c r="M75" i="5"/>
  <c r="H76" i="5"/>
  <c r="I76" i="5"/>
  <c r="J76" i="5"/>
  <c r="K76" i="5"/>
  <c r="L76" i="5"/>
  <c r="M76" i="5"/>
  <c r="H77" i="5"/>
  <c r="I77" i="5"/>
  <c r="R77" i="5" s="1"/>
  <c r="J77" i="5"/>
  <c r="K77" i="5"/>
  <c r="L77" i="5"/>
  <c r="M77" i="5"/>
  <c r="H78" i="5"/>
  <c r="P78" i="5" s="1"/>
  <c r="I78" i="5"/>
  <c r="J78" i="5"/>
  <c r="K78" i="5"/>
  <c r="L78" i="5"/>
  <c r="M78" i="5"/>
  <c r="H79" i="5"/>
  <c r="I79" i="5"/>
  <c r="J79" i="5"/>
  <c r="K79" i="5"/>
  <c r="L79" i="5"/>
  <c r="M79" i="5"/>
  <c r="H80" i="5"/>
  <c r="I80" i="5"/>
  <c r="J80" i="5"/>
  <c r="K80" i="5"/>
  <c r="L80" i="5"/>
  <c r="M80" i="5"/>
  <c r="H81" i="5"/>
  <c r="I81" i="5"/>
  <c r="R81" i="5" s="1"/>
  <c r="J81" i="5"/>
  <c r="K81" i="5"/>
  <c r="L81" i="5"/>
  <c r="M81" i="5"/>
  <c r="H82" i="5"/>
  <c r="P82" i="5" s="1"/>
  <c r="I82" i="5"/>
  <c r="J82" i="5"/>
  <c r="K82" i="5"/>
  <c r="L82" i="5"/>
  <c r="M82" i="5"/>
  <c r="H83" i="5"/>
  <c r="I83" i="5"/>
  <c r="J83" i="5"/>
  <c r="K83" i="5"/>
  <c r="L83" i="5"/>
  <c r="M83" i="5"/>
  <c r="H84" i="5"/>
  <c r="P84" i="5" s="1"/>
  <c r="I84" i="5"/>
  <c r="J84" i="5"/>
  <c r="K84" i="5"/>
  <c r="L84" i="5"/>
  <c r="M84" i="5"/>
  <c r="H85" i="5"/>
  <c r="I85" i="5"/>
  <c r="R85" i="5" s="1"/>
  <c r="J85" i="5"/>
  <c r="K85" i="5"/>
  <c r="L85" i="5"/>
  <c r="M85" i="5"/>
  <c r="H86" i="5"/>
  <c r="P86" i="5" s="1"/>
  <c r="I86" i="5"/>
  <c r="J86" i="5"/>
  <c r="K86" i="5"/>
  <c r="L86" i="5"/>
  <c r="M86" i="5"/>
  <c r="H87" i="5"/>
  <c r="I87" i="5"/>
  <c r="J87" i="5"/>
  <c r="K87" i="5"/>
  <c r="L87" i="5"/>
  <c r="M87" i="5"/>
  <c r="H88" i="5"/>
  <c r="P88" i="5" s="1"/>
  <c r="I88" i="5"/>
  <c r="J88" i="5"/>
  <c r="K88" i="5"/>
  <c r="L88" i="5"/>
  <c r="M88" i="5"/>
  <c r="H89" i="5"/>
  <c r="I89" i="5"/>
  <c r="R89" i="5" s="1"/>
  <c r="J89" i="5"/>
  <c r="K89" i="5"/>
  <c r="L89" i="5"/>
  <c r="M89" i="5"/>
  <c r="H90" i="5"/>
  <c r="I90" i="5"/>
  <c r="J90" i="5"/>
  <c r="K90" i="5"/>
  <c r="L90" i="5"/>
  <c r="M90" i="5"/>
  <c r="H91" i="5"/>
  <c r="I91" i="5"/>
  <c r="J91" i="5"/>
  <c r="K91" i="5"/>
  <c r="L91" i="5"/>
  <c r="M91" i="5"/>
  <c r="H92" i="5"/>
  <c r="P92" i="5" s="1"/>
  <c r="I92" i="5"/>
  <c r="J92" i="5"/>
  <c r="K92" i="5"/>
  <c r="L92" i="5"/>
  <c r="M92" i="5"/>
  <c r="H93" i="5"/>
  <c r="I93" i="5"/>
  <c r="R93" i="5" s="1"/>
  <c r="J93" i="5"/>
  <c r="K93" i="5"/>
  <c r="L93" i="5"/>
  <c r="M93" i="5"/>
  <c r="H94" i="5"/>
  <c r="P94" i="5" s="1"/>
  <c r="I94" i="5"/>
  <c r="J94" i="5"/>
  <c r="K94" i="5"/>
  <c r="L94" i="5"/>
  <c r="M94" i="5"/>
  <c r="H95" i="5"/>
  <c r="I95" i="5"/>
  <c r="J95" i="5"/>
  <c r="K95" i="5"/>
  <c r="L95" i="5"/>
  <c r="M95" i="5"/>
  <c r="H96" i="5"/>
  <c r="P96" i="5" s="1"/>
  <c r="I96" i="5"/>
  <c r="J96" i="5"/>
  <c r="K96" i="5"/>
  <c r="L96" i="5"/>
  <c r="M96" i="5"/>
  <c r="H97" i="5"/>
  <c r="I97" i="5"/>
  <c r="R97" i="5" s="1"/>
  <c r="J97" i="5"/>
  <c r="K97" i="5"/>
  <c r="L97" i="5"/>
  <c r="M97" i="5"/>
  <c r="H98" i="5"/>
  <c r="P98" i="5" s="1"/>
  <c r="I98" i="5"/>
  <c r="J98" i="5"/>
  <c r="K98" i="5"/>
  <c r="L98" i="5"/>
  <c r="M98" i="5"/>
  <c r="H99" i="5"/>
  <c r="I99" i="5"/>
  <c r="J99" i="5"/>
  <c r="K99" i="5"/>
  <c r="L99" i="5"/>
  <c r="M99" i="5"/>
  <c r="H100" i="5"/>
  <c r="I100" i="5"/>
  <c r="J100" i="5"/>
  <c r="K100" i="5"/>
  <c r="L100" i="5"/>
  <c r="M100" i="5"/>
  <c r="H101" i="5"/>
  <c r="I101" i="5"/>
  <c r="R101" i="5" s="1"/>
  <c r="J101" i="5"/>
  <c r="K101" i="5"/>
  <c r="L101" i="5"/>
  <c r="M101" i="5"/>
  <c r="H102" i="5"/>
  <c r="P102" i="5" s="1"/>
  <c r="I102" i="5"/>
  <c r="J102" i="5"/>
  <c r="K102" i="5"/>
  <c r="L102" i="5"/>
  <c r="M102" i="5"/>
  <c r="H103" i="5"/>
  <c r="I103" i="5"/>
  <c r="J103" i="5"/>
  <c r="K103" i="5"/>
  <c r="L103" i="5"/>
  <c r="M103" i="5"/>
  <c r="H104" i="5"/>
  <c r="P104" i="5" s="1"/>
  <c r="I104" i="5"/>
  <c r="J104" i="5"/>
  <c r="K104" i="5"/>
  <c r="L104" i="5"/>
  <c r="M104" i="5"/>
  <c r="H105" i="5"/>
  <c r="I105" i="5"/>
  <c r="R105" i="5" s="1"/>
  <c r="J105" i="5"/>
  <c r="K105" i="5"/>
  <c r="L105" i="5"/>
  <c r="M105" i="5"/>
  <c r="H106" i="5"/>
  <c r="P106" i="5" s="1"/>
  <c r="I106" i="5"/>
  <c r="J106" i="5"/>
  <c r="K106" i="5"/>
  <c r="L106" i="5"/>
  <c r="M106" i="5"/>
  <c r="H107" i="5"/>
  <c r="I107" i="5"/>
  <c r="J107" i="5"/>
  <c r="K107" i="5"/>
  <c r="L107" i="5"/>
  <c r="M107" i="5"/>
  <c r="H108" i="5"/>
  <c r="I108" i="5"/>
  <c r="J108" i="5"/>
  <c r="K108" i="5"/>
  <c r="L108" i="5"/>
  <c r="M108" i="5"/>
  <c r="H109" i="5"/>
  <c r="I109" i="5"/>
  <c r="R109" i="5" s="1"/>
  <c r="J109" i="5"/>
  <c r="K109" i="5"/>
  <c r="L109" i="5"/>
  <c r="M109" i="5"/>
  <c r="H110" i="5"/>
  <c r="P110" i="5" s="1"/>
  <c r="I110" i="5"/>
  <c r="J110" i="5"/>
  <c r="K110" i="5"/>
  <c r="L110" i="5"/>
  <c r="M110" i="5"/>
  <c r="H111" i="5"/>
  <c r="I111" i="5"/>
  <c r="J111" i="5"/>
  <c r="K111" i="5"/>
  <c r="L111" i="5"/>
  <c r="M111" i="5"/>
  <c r="H112" i="5"/>
  <c r="P112" i="5" s="1"/>
  <c r="I112" i="5"/>
  <c r="J112" i="5"/>
  <c r="K112" i="5"/>
  <c r="L112" i="5"/>
  <c r="M112" i="5"/>
  <c r="H113" i="5"/>
  <c r="I113" i="5"/>
  <c r="R113" i="5" s="1"/>
  <c r="J113" i="5"/>
  <c r="K113" i="5"/>
  <c r="L113" i="5"/>
  <c r="M113" i="5"/>
  <c r="H114" i="5"/>
  <c r="P114" i="5" s="1"/>
  <c r="I114" i="5"/>
  <c r="J114" i="5"/>
  <c r="K114" i="5"/>
  <c r="L114" i="5"/>
  <c r="M114" i="5"/>
  <c r="H115" i="5"/>
  <c r="I115" i="5"/>
  <c r="J115" i="5"/>
  <c r="K115" i="5"/>
  <c r="L115" i="5"/>
  <c r="M115" i="5"/>
  <c r="H116" i="5"/>
  <c r="P116" i="5" s="1"/>
  <c r="I116" i="5"/>
  <c r="J116" i="5"/>
  <c r="K116" i="5"/>
  <c r="L116" i="5"/>
  <c r="M116" i="5"/>
  <c r="H117" i="5"/>
  <c r="I117" i="5"/>
  <c r="R117" i="5" s="1"/>
  <c r="J117" i="5"/>
  <c r="K117" i="5"/>
  <c r="L117" i="5"/>
  <c r="M117" i="5"/>
  <c r="H118" i="5"/>
  <c r="I118" i="5"/>
  <c r="J118" i="5"/>
  <c r="K118" i="5"/>
  <c r="L118" i="5"/>
  <c r="M118" i="5"/>
  <c r="H119" i="5"/>
  <c r="I119" i="5"/>
  <c r="J119" i="5"/>
  <c r="K119" i="5"/>
  <c r="L119" i="5"/>
  <c r="M119" i="5"/>
  <c r="H120" i="5"/>
  <c r="P120" i="5" s="1"/>
  <c r="I120" i="5"/>
  <c r="J120" i="5"/>
  <c r="K120" i="5"/>
  <c r="L120" i="5"/>
  <c r="M120" i="5"/>
  <c r="H121" i="5"/>
  <c r="I121" i="5"/>
  <c r="R121" i="5" s="1"/>
  <c r="J121" i="5"/>
  <c r="K121" i="5"/>
  <c r="L121" i="5"/>
  <c r="M121" i="5"/>
  <c r="H122" i="5"/>
  <c r="P122" i="5" s="1"/>
  <c r="I122" i="5"/>
  <c r="J122" i="5"/>
  <c r="K122" i="5"/>
  <c r="L122" i="5"/>
  <c r="M122" i="5"/>
  <c r="H123" i="5"/>
  <c r="I123" i="5"/>
  <c r="J123" i="5"/>
  <c r="K123" i="5"/>
  <c r="L123" i="5"/>
  <c r="M123" i="5"/>
  <c r="H124" i="5"/>
  <c r="I124" i="5"/>
  <c r="J124" i="5"/>
  <c r="K124" i="5"/>
  <c r="L124" i="5"/>
  <c r="M124" i="5"/>
  <c r="H125" i="5"/>
  <c r="I125" i="5"/>
  <c r="R125" i="5" s="1"/>
  <c r="J125" i="5"/>
  <c r="K125" i="5"/>
  <c r="L125" i="5"/>
  <c r="M125" i="5"/>
  <c r="H126" i="5"/>
  <c r="P126" i="5" s="1"/>
  <c r="I126" i="5"/>
  <c r="J126" i="5"/>
  <c r="K126" i="5"/>
  <c r="L126" i="5"/>
  <c r="M126" i="5"/>
  <c r="H127" i="5"/>
  <c r="I127" i="5"/>
  <c r="J127" i="5"/>
  <c r="K127" i="5"/>
  <c r="L127" i="5"/>
  <c r="M127" i="5"/>
  <c r="H128" i="5"/>
  <c r="P128" i="5" s="1"/>
  <c r="I128" i="5"/>
  <c r="J128" i="5"/>
  <c r="K128" i="5"/>
  <c r="L128" i="5"/>
  <c r="M128" i="5"/>
  <c r="H129" i="5"/>
  <c r="I129" i="5"/>
  <c r="R129" i="5" s="1"/>
  <c r="J129" i="5"/>
  <c r="K129" i="5"/>
  <c r="L129" i="5"/>
  <c r="M129" i="5"/>
  <c r="H130" i="5"/>
  <c r="P130" i="5" s="1"/>
  <c r="I130" i="5"/>
  <c r="J130" i="5"/>
  <c r="K130" i="5"/>
  <c r="L130" i="5"/>
  <c r="M130" i="5"/>
  <c r="H131" i="5"/>
  <c r="I131" i="5"/>
  <c r="J131" i="5"/>
  <c r="K131" i="5"/>
  <c r="L131" i="5"/>
  <c r="M131" i="5"/>
  <c r="H132" i="5"/>
  <c r="I132" i="5"/>
  <c r="J132" i="5"/>
  <c r="K132" i="5"/>
  <c r="L132" i="5"/>
  <c r="M132" i="5"/>
  <c r="H133" i="5"/>
  <c r="I133" i="5"/>
  <c r="R133" i="5" s="1"/>
  <c r="J133" i="5"/>
  <c r="K133" i="5"/>
  <c r="L133" i="5"/>
  <c r="M133" i="5"/>
  <c r="H134" i="5"/>
  <c r="P134" i="5" s="1"/>
  <c r="I134" i="5"/>
  <c r="J134" i="5"/>
  <c r="K134" i="5"/>
  <c r="L134" i="5"/>
  <c r="M134" i="5"/>
  <c r="H135" i="5"/>
  <c r="I135" i="5"/>
  <c r="J135" i="5"/>
  <c r="K135" i="5"/>
  <c r="L135" i="5"/>
  <c r="M135" i="5"/>
  <c r="H136" i="5"/>
  <c r="I136" i="5"/>
  <c r="J136" i="5"/>
  <c r="K136" i="5"/>
  <c r="L136" i="5"/>
  <c r="M136" i="5"/>
  <c r="H137" i="5"/>
  <c r="I137" i="5"/>
  <c r="R137" i="5" s="1"/>
  <c r="J137" i="5"/>
  <c r="K137" i="5"/>
  <c r="L137" i="5"/>
  <c r="M137" i="5"/>
  <c r="H138" i="5"/>
  <c r="P138" i="5" s="1"/>
  <c r="I138" i="5"/>
  <c r="J138" i="5"/>
  <c r="K138" i="5"/>
  <c r="L138" i="5"/>
  <c r="M138" i="5"/>
  <c r="H139" i="5"/>
  <c r="I139" i="5"/>
  <c r="J139" i="5"/>
  <c r="K139" i="5"/>
  <c r="L139" i="5"/>
  <c r="M139" i="5"/>
  <c r="H140" i="5"/>
  <c r="I140" i="5"/>
  <c r="J140" i="5"/>
  <c r="K140" i="5"/>
  <c r="L140" i="5"/>
  <c r="M140" i="5"/>
  <c r="H141" i="5"/>
  <c r="I141" i="5"/>
  <c r="R141" i="5" s="1"/>
  <c r="J141" i="5"/>
  <c r="K141" i="5"/>
  <c r="L141" i="5"/>
  <c r="M141" i="5"/>
  <c r="H142" i="5"/>
  <c r="P142" i="5" s="1"/>
  <c r="I142" i="5"/>
  <c r="J142" i="5"/>
  <c r="K142" i="5"/>
  <c r="L142" i="5"/>
  <c r="M142" i="5"/>
  <c r="H143" i="5"/>
  <c r="I143" i="5"/>
  <c r="J143" i="5"/>
  <c r="K143" i="5"/>
  <c r="L143" i="5"/>
  <c r="M143" i="5"/>
  <c r="H144" i="5"/>
  <c r="P144" i="5" s="1"/>
  <c r="I144" i="5"/>
  <c r="J144" i="5"/>
  <c r="K144" i="5"/>
  <c r="L144" i="5"/>
  <c r="M144" i="5"/>
  <c r="H145" i="5"/>
  <c r="I145" i="5"/>
  <c r="R145" i="5" s="1"/>
  <c r="J145" i="5"/>
  <c r="K145" i="5"/>
  <c r="L145" i="5"/>
  <c r="M145" i="5"/>
  <c r="H146" i="5"/>
  <c r="P146" i="5" s="1"/>
  <c r="I146" i="5"/>
  <c r="J146" i="5"/>
  <c r="K146" i="5"/>
  <c r="L146" i="5"/>
  <c r="M146" i="5"/>
  <c r="H147" i="5"/>
  <c r="I147" i="5"/>
  <c r="J147" i="5"/>
  <c r="K147" i="5"/>
  <c r="L147" i="5"/>
  <c r="M147" i="5"/>
  <c r="H148" i="5"/>
  <c r="P148" i="5" s="1"/>
  <c r="I148" i="5"/>
  <c r="J148" i="5"/>
  <c r="K148" i="5"/>
  <c r="L148" i="5"/>
  <c r="M148" i="5"/>
  <c r="H149" i="5"/>
  <c r="I149" i="5"/>
  <c r="R149" i="5" s="1"/>
  <c r="J149" i="5"/>
  <c r="K149" i="5"/>
  <c r="L149" i="5"/>
  <c r="M149" i="5"/>
  <c r="H150" i="5"/>
  <c r="P150" i="5" s="1"/>
  <c r="I150" i="5"/>
  <c r="J150" i="5"/>
  <c r="K150" i="5"/>
  <c r="L150" i="5"/>
  <c r="M150" i="5"/>
  <c r="H151" i="5"/>
  <c r="I151" i="5"/>
  <c r="J151" i="5"/>
  <c r="K151" i="5"/>
  <c r="L151" i="5"/>
  <c r="M151" i="5"/>
  <c r="H152" i="5"/>
  <c r="I152" i="5"/>
  <c r="J152" i="5"/>
  <c r="K152" i="5"/>
  <c r="L152" i="5"/>
  <c r="M152" i="5"/>
  <c r="H153" i="5"/>
  <c r="I153" i="5"/>
  <c r="R153" i="5" s="1"/>
  <c r="J153" i="5"/>
  <c r="K153" i="5"/>
  <c r="L153" i="5"/>
  <c r="M153" i="5"/>
  <c r="H154" i="5"/>
  <c r="P154" i="5" s="1"/>
  <c r="I154" i="5"/>
  <c r="J154" i="5"/>
  <c r="K154" i="5"/>
  <c r="L154" i="5"/>
  <c r="M154" i="5"/>
  <c r="H155" i="5"/>
  <c r="I155" i="5"/>
  <c r="J155" i="5"/>
  <c r="K155" i="5"/>
  <c r="L155" i="5"/>
  <c r="M155" i="5"/>
  <c r="H156" i="5"/>
  <c r="P156" i="5" s="1"/>
  <c r="I156" i="5"/>
  <c r="J156" i="5"/>
  <c r="K156" i="5"/>
  <c r="L156" i="5"/>
  <c r="M156" i="5"/>
  <c r="H157" i="5"/>
  <c r="I157" i="5"/>
  <c r="R157" i="5" s="1"/>
  <c r="J157" i="5"/>
  <c r="K157" i="5"/>
  <c r="L157" i="5"/>
  <c r="M157" i="5"/>
  <c r="H158" i="5"/>
  <c r="P158" i="5" s="1"/>
  <c r="I158" i="5"/>
  <c r="J158" i="5"/>
  <c r="K158" i="5"/>
  <c r="L158" i="5"/>
  <c r="M158" i="5"/>
  <c r="H159" i="5"/>
  <c r="I159" i="5"/>
  <c r="J159" i="5"/>
  <c r="K159" i="5"/>
  <c r="L159" i="5"/>
  <c r="M159" i="5"/>
  <c r="H160" i="5"/>
  <c r="P160" i="5" s="1"/>
  <c r="I160" i="5"/>
  <c r="R160" i="5" s="1"/>
  <c r="J160" i="5"/>
  <c r="K160" i="5"/>
  <c r="L160" i="5"/>
  <c r="M160" i="5"/>
  <c r="H161" i="5"/>
  <c r="I161" i="5"/>
  <c r="R161" i="5" s="1"/>
  <c r="J161" i="5"/>
  <c r="K161" i="5"/>
  <c r="L161" i="5"/>
  <c r="M161" i="5"/>
  <c r="H162" i="5"/>
  <c r="I162" i="5"/>
  <c r="J162" i="5"/>
  <c r="K162" i="5"/>
  <c r="L162" i="5"/>
  <c r="M162" i="5"/>
  <c r="H163" i="5"/>
  <c r="I163" i="5"/>
  <c r="J163" i="5"/>
  <c r="K163" i="5"/>
  <c r="L163" i="5"/>
  <c r="M163" i="5"/>
  <c r="H164" i="5"/>
  <c r="P164" i="5" s="1"/>
  <c r="I164" i="5"/>
  <c r="J164" i="5"/>
  <c r="K164" i="5"/>
  <c r="L164" i="5"/>
  <c r="M164" i="5"/>
  <c r="H165" i="5"/>
  <c r="I165" i="5"/>
  <c r="R165" i="5" s="1"/>
  <c r="J165" i="5"/>
  <c r="K165" i="5"/>
  <c r="L165" i="5"/>
  <c r="M165" i="5"/>
  <c r="H166" i="5"/>
  <c r="P166" i="5" s="1"/>
  <c r="I166" i="5"/>
  <c r="J166" i="5"/>
  <c r="K166" i="5"/>
  <c r="L166" i="5"/>
  <c r="M166" i="5"/>
  <c r="H167" i="5"/>
  <c r="I167" i="5"/>
  <c r="J167" i="5"/>
  <c r="K167" i="5"/>
  <c r="L167" i="5"/>
  <c r="M167" i="5"/>
  <c r="H168" i="5"/>
  <c r="P168" i="5" s="1"/>
  <c r="I168" i="5"/>
  <c r="R168" i="5" s="1"/>
  <c r="J168" i="5"/>
  <c r="K168" i="5"/>
  <c r="L168" i="5"/>
  <c r="M168" i="5"/>
  <c r="H169" i="5"/>
  <c r="I169" i="5"/>
  <c r="R169" i="5" s="1"/>
  <c r="J169" i="5"/>
  <c r="K169" i="5"/>
  <c r="L169" i="5"/>
  <c r="M169" i="5"/>
  <c r="H170" i="5"/>
  <c r="P170" i="5" s="1"/>
  <c r="I170" i="5"/>
  <c r="J170" i="5"/>
  <c r="K170" i="5"/>
  <c r="L170" i="5"/>
  <c r="M170" i="5"/>
  <c r="H171" i="5"/>
  <c r="I171" i="5"/>
  <c r="J171" i="5"/>
  <c r="K171" i="5"/>
  <c r="L171" i="5"/>
  <c r="M171" i="5"/>
  <c r="H172" i="5"/>
  <c r="P172" i="5" s="1"/>
  <c r="I172" i="5"/>
  <c r="J172" i="5"/>
  <c r="K172" i="5"/>
  <c r="L172" i="5"/>
  <c r="M172" i="5"/>
  <c r="H173" i="5"/>
  <c r="I173" i="5"/>
  <c r="R173" i="5" s="1"/>
  <c r="J173" i="5"/>
  <c r="K173" i="5"/>
  <c r="L173" i="5"/>
  <c r="M173" i="5"/>
  <c r="H174" i="5"/>
  <c r="P174" i="5" s="1"/>
  <c r="I174" i="5"/>
  <c r="J174" i="5"/>
  <c r="K174" i="5"/>
  <c r="L174" i="5"/>
  <c r="M174" i="5"/>
  <c r="H175" i="5"/>
  <c r="I175" i="5"/>
  <c r="J175" i="5"/>
  <c r="K175" i="5"/>
  <c r="L175" i="5"/>
  <c r="M175" i="5"/>
  <c r="H176" i="5"/>
  <c r="I176" i="5"/>
  <c r="J176" i="5"/>
  <c r="K176" i="5"/>
  <c r="L176" i="5"/>
  <c r="M176" i="5"/>
  <c r="H177" i="5"/>
  <c r="I177" i="5"/>
  <c r="R177" i="5" s="1"/>
  <c r="J177" i="5"/>
  <c r="K177" i="5"/>
  <c r="L177" i="5"/>
  <c r="M177" i="5"/>
  <c r="H178" i="5"/>
  <c r="P178" i="5" s="1"/>
  <c r="I178" i="5"/>
  <c r="J178" i="5"/>
  <c r="K178" i="5"/>
  <c r="L178" i="5"/>
  <c r="M178" i="5"/>
  <c r="H179" i="5"/>
  <c r="I179" i="5"/>
  <c r="J179" i="5"/>
  <c r="K179" i="5"/>
  <c r="L179" i="5"/>
  <c r="M179" i="5"/>
  <c r="H180" i="5"/>
  <c r="P180" i="5" s="1"/>
  <c r="I180" i="5"/>
  <c r="J180" i="5"/>
  <c r="K180" i="5"/>
  <c r="L180" i="5"/>
  <c r="M180" i="5"/>
  <c r="H181" i="5"/>
  <c r="I181" i="5"/>
  <c r="R181" i="5" s="1"/>
  <c r="J181" i="5"/>
  <c r="K181" i="5"/>
  <c r="L181" i="5"/>
  <c r="M181" i="5"/>
  <c r="H182" i="5"/>
  <c r="P182" i="5" s="1"/>
  <c r="I182" i="5"/>
  <c r="J182" i="5"/>
  <c r="K182" i="5"/>
  <c r="L182" i="5"/>
  <c r="M182" i="5"/>
  <c r="H183" i="5"/>
  <c r="I183" i="5"/>
  <c r="J183" i="5"/>
  <c r="K183" i="5"/>
  <c r="L183" i="5"/>
  <c r="M183" i="5"/>
  <c r="H184" i="5"/>
  <c r="P184" i="5" s="1"/>
  <c r="I184" i="5"/>
  <c r="J184" i="5"/>
  <c r="K184" i="5"/>
  <c r="L184" i="5"/>
  <c r="M184" i="5"/>
  <c r="H185" i="5"/>
  <c r="I185" i="5"/>
  <c r="R185" i="5" s="1"/>
  <c r="J185" i="5"/>
  <c r="K185" i="5"/>
  <c r="L185" i="5"/>
  <c r="M185" i="5"/>
  <c r="H186" i="5"/>
  <c r="I186" i="5"/>
  <c r="J186" i="5"/>
  <c r="K186" i="5"/>
  <c r="L186" i="5"/>
  <c r="M186" i="5"/>
  <c r="H187" i="5"/>
  <c r="I187" i="5"/>
  <c r="J187" i="5"/>
  <c r="K187" i="5"/>
  <c r="L187" i="5"/>
  <c r="M187" i="5"/>
  <c r="H188" i="5"/>
  <c r="I188" i="5"/>
  <c r="J188" i="5"/>
  <c r="K188" i="5"/>
  <c r="L188" i="5"/>
  <c r="M188" i="5"/>
  <c r="H189" i="5"/>
  <c r="I189" i="5"/>
  <c r="R189" i="5" s="1"/>
  <c r="J189" i="5"/>
  <c r="K189" i="5"/>
  <c r="L189" i="5"/>
  <c r="M189" i="5"/>
  <c r="H190" i="5"/>
  <c r="P190" i="5" s="1"/>
  <c r="I190" i="5"/>
  <c r="J190" i="5"/>
  <c r="K190" i="5"/>
  <c r="L190" i="5"/>
  <c r="M190" i="5"/>
  <c r="H191" i="5"/>
  <c r="I191" i="5"/>
  <c r="J191" i="5"/>
  <c r="K191" i="5"/>
  <c r="L191" i="5"/>
  <c r="M191" i="5"/>
  <c r="H192" i="5"/>
  <c r="P192" i="5" s="1"/>
  <c r="I192" i="5"/>
  <c r="J192" i="5"/>
  <c r="K192" i="5"/>
  <c r="L192" i="5"/>
  <c r="M192" i="5"/>
  <c r="H193" i="5"/>
  <c r="I193" i="5"/>
  <c r="R193" i="5" s="1"/>
  <c r="J193" i="5"/>
  <c r="K193" i="5"/>
  <c r="L193" i="5"/>
  <c r="M193" i="5"/>
  <c r="H194" i="5"/>
  <c r="P194" i="5" s="1"/>
  <c r="I194" i="5"/>
  <c r="J194" i="5"/>
  <c r="K194" i="5"/>
  <c r="L194" i="5"/>
  <c r="M194" i="5"/>
  <c r="H195" i="5"/>
  <c r="I195" i="5"/>
  <c r="J195" i="5"/>
  <c r="K195" i="5"/>
  <c r="L195" i="5"/>
  <c r="M195" i="5"/>
  <c r="H196" i="5"/>
  <c r="I196" i="5"/>
  <c r="J196" i="5"/>
  <c r="K196" i="5"/>
  <c r="L196" i="5"/>
  <c r="M196" i="5"/>
  <c r="H197" i="5"/>
  <c r="I197" i="5"/>
  <c r="R197" i="5" s="1"/>
  <c r="J197" i="5"/>
  <c r="K197" i="5"/>
  <c r="L197" i="5"/>
  <c r="M197" i="5"/>
  <c r="H198" i="5"/>
  <c r="P198" i="5" s="1"/>
  <c r="I198" i="5"/>
  <c r="J198" i="5"/>
  <c r="K198" i="5"/>
  <c r="L198" i="5"/>
  <c r="M198" i="5"/>
  <c r="H199" i="5"/>
  <c r="I199" i="5"/>
  <c r="J199" i="5"/>
  <c r="K199" i="5"/>
  <c r="L199" i="5"/>
  <c r="M199" i="5"/>
  <c r="H200" i="5"/>
  <c r="P200" i="5" s="1"/>
  <c r="I200" i="5"/>
  <c r="J200" i="5"/>
  <c r="K200" i="5"/>
  <c r="L200" i="5"/>
  <c r="M200" i="5"/>
  <c r="H201" i="5"/>
  <c r="I201" i="5"/>
  <c r="R201" i="5" s="1"/>
  <c r="J201" i="5"/>
  <c r="K201" i="5"/>
  <c r="L201" i="5"/>
  <c r="M201" i="5"/>
  <c r="H202" i="5"/>
  <c r="P202" i="5" s="1"/>
  <c r="I202" i="5"/>
  <c r="J202" i="5"/>
  <c r="K202" i="5"/>
  <c r="L202" i="5"/>
  <c r="M202" i="5"/>
  <c r="H203" i="5"/>
  <c r="I203" i="5"/>
  <c r="J203" i="5"/>
  <c r="K203" i="5"/>
  <c r="L203" i="5"/>
  <c r="M203" i="5"/>
  <c r="H204" i="5"/>
  <c r="I204" i="5"/>
  <c r="J204" i="5"/>
  <c r="K204" i="5"/>
  <c r="L204" i="5"/>
  <c r="M204" i="5"/>
  <c r="H205" i="5"/>
  <c r="I205" i="5"/>
  <c r="R205" i="5" s="1"/>
  <c r="J205" i="5"/>
  <c r="K205" i="5"/>
  <c r="L205" i="5"/>
  <c r="M205" i="5"/>
  <c r="H206" i="5"/>
  <c r="P206" i="5" s="1"/>
  <c r="I206" i="5"/>
  <c r="J206" i="5"/>
  <c r="K206" i="5"/>
  <c r="L206" i="5"/>
  <c r="M206" i="5"/>
  <c r="H207" i="5"/>
  <c r="I207" i="5"/>
  <c r="J207" i="5"/>
  <c r="K207" i="5"/>
  <c r="L207" i="5"/>
  <c r="M207" i="5"/>
  <c r="H208" i="5"/>
  <c r="I208" i="5"/>
  <c r="J208" i="5"/>
  <c r="K208" i="5"/>
  <c r="L208" i="5"/>
  <c r="M208" i="5"/>
  <c r="H209" i="5"/>
  <c r="I209" i="5"/>
  <c r="R209" i="5" s="1"/>
  <c r="J209" i="5"/>
  <c r="K209" i="5"/>
  <c r="L209" i="5"/>
  <c r="M209" i="5"/>
  <c r="H210" i="5"/>
  <c r="P210" i="5" s="1"/>
  <c r="I210" i="5"/>
  <c r="J210" i="5"/>
  <c r="K210" i="5"/>
  <c r="L210" i="5"/>
  <c r="M210" i="5"/>
  <c r="H211" i="5"/>
  <c r="I211" i="5"/>
  <c r="J211" i="5"/>
  <c r="K211" i="5"/>
  <c r="L211" i="5"/>
  <c r="M211" i="5"/>
  <c r="H212" i="5"/>
  <c r="I212" i="5"/>
  <c r="J212" i="5"/>
  <c r="K212" i="5"/>
  <c r="L212" i="5"/>
  <c r="M212" i="5"/>
  <c r="H213" i="5"/>
  <c r="I213" i="5"/>
  <c r="R213" i="5" s="1"/>
  <c r="J213" i="5"/>
  <c r="K213" i="5"/>
  <c r="L213" i="5"/>
  <c r="M213" i="5"/>
  <c r="H214" i="5"/>
  <c r="P214" i="5" s="1"/>
  <c r="I214" i="5"/>
  <c r="J214" i="5"/>
  <c r="K214" i="5"/>
  <c r="L214" i="5"/>
  <c r="M214" i="5"/>
  <c r="H215" i="5"/>
  <c r="I215" i="5"/>
  <c r="J215" i="5"/>
  <c r="K215" i="5"/>
  <c r="L215" i="5"/>
  <c r="M215" i="5"/>
  <c r="H216" i="5"/>
  <c r="I216" i="5"/>
  <c r="J216" i="5"/>
  <c r="K216" i="5"/>
  <c r="L216" i="5"/>
  <c r="M216" i="5"/>
  <c r="H217" i="5"/>
  <c r="I217" i="5"/>
  <c r="R217" i="5" s="1"/>
  <c r="J217" i="5"/>
  <c r="K217" i="5"/>
  <c r="L217" i="5"/>
  <c r="M217" i="5"/>
  <c r="H218" i="5"/>
  <c r="P218" i="5" s="1"/>
  <c r="I218" i="5"/>
  <c r="J218" i="5"/>
  <c r="K218" i="5"/>
  <c r="L218" i="5"/>
  <c r="M218" i="5"/>
  <c r="H219" i="5"/>
  <c r="I219" i="5"/>
  <c r="J219" i="5"/>
  <c r="K219" i="5"/>
  <c r="L219" i="5"/>
  <c r="M219" i="5"/>
  <c r="H220" i="5"/>
  <c r="P220" i="5" s="1"/>
  <c r="I220" i="5"/>
  <c r="J220" i="5"/>
  <c r="K220" i="5"/>
  <c r="L220" i="5"/>
  <c r="M220" i="5"/>
  <c r="H221" i="5"/>
  <c r="I221" i="5"/>
  <c r="R221" i="5" s="1"/>
  <c r="J221" i="5"/>
  <c r="K221" i="5"/>
  <c r="L221" i="5"/>
  <c r="M221" i="5"/>
  <c r="H222" i="5"/>
  <c r="P222" i="5" s="1"/>
  <c r="I222" i="5"/>
  <c r="J222" i="5"/>
  <c r="K222" i="5"/>
  <c r="L222" i="5"/>
  <c r="M222" i="5"/>
  <c r="H223" i="5"/>
  <c r="I223" i="5"/>
  <c r="J223" i="5"/>
  <c r="K223" i="5"/>
  <c r="L223" i="5"/>
  <c r="M223" i="5"/>
  <c r="H224" i="5"/>
  <c r="I224" i="5"/>
  <c r="J224" i="5"/>
  <c r="K224" i="5"/>
  <c r="L224" i="5"/>
  <c r="M224" i="5"/>
  <c r="H225" i="5"/>
  <c r="I225" i="5"/>
  <c r="R225" i="5" s="1"/>
  <c r="J225" i="5"/>
  <c r="K225" i="5"/>
  <c r="L225" i="5"/>
  <c r="M225" i="5"/>
  <c r="H226" i="5"/>
  <c r="P226" i="5" s="1"/>
  <c r="I226" i="5"/>
  <c r="J226" i="5"/>
  <c r="K226" i="5"/>
  <c r="L226" i="5"/>
  <c r="M226" i="5"/>
  <c r="H227" i="5"/>
  <c r="I227" i="5"/>
  <c r="J227" i="5"/>
  <c r="K227" i="5"/>
  <c r="L227" i="5"/>
  <c r="M227" i="5"/>
  <c r="H228" i="5"/>
  <c r="I228" i="5"/>
  <c r="J228" i="5"/>
  <c r="K228" i="5"/>
  <c r="L228" i="5"/>
  <c r="M228" i="5"/>
  <c r="H229" i="5"/>
  <c r="I229" i="5"/>
  <c r="R229" i="5" s="1"/>
  <c r="J229" i="5"/>
  <c r="K229" i="5"/>
  <c r="L229" i="5"/>
  <c r="M229" i="5"/>
  <c r="H230" i="5"/>
  <c r="P230" i="5" s="1"/>
  <c r="I230" i="5"/>
  <c r="J230" i="5"/>
  <c r="K230" i="5"/>
  <c r="L230" i="5"/>
  <c r="M230" i="5"/>
  <c r="H231" i="5"/>
  <c r="I231" i="5"/>
  <c r="J231" i="5"/>
  <c r="K231" i="5"/>
  <c r="L231" i="5"/>
  <c r="M231" i="5"/>
  <c r="H232" i="5"/>
  <c r="P232" i="5" s="1"/>
  <c r="I232" i="5"/>
  <c r="J232" i="5"/>
  <c r="K232" i="5"/>
  <c r="L232" i="5"/>
  <c r="M232" i="5"/>
  <c r="H233" i="5"/>
  <c r="I233" i="5"/>
  <c r="R233" i="5" s="1"/>
  <c r="J233" i="5"/>
  <c r="K233" i="5"/>
  <c r="L233" i="5"/>
  <c r="M233" i="5"/>
  <c r="H234" i="5"/>
  <c r="P234" i="5" s="1"/>
  <c r="I234" i="5"/>
  <c r="J234" i="5"/>
  <c r="K234" i="5"/>
  <c r="L234" i="5"/>
  <c r="M234" i="5"/>
  <c r="H235" i="5"/>
  <c r="I235" i="5"/>
  <c r="J235" i="5"/>
  <c r="K235" i="5"/>
  <c r="L235" i="5"/>
  <c r="M235" i="5"/>
  <c r="H236" i="5"/>
  <c r="P236" i="5" s="1"/>
  <c r="I236" i="5"/>
  <c r="J236" i="5"/>
  <c r="K236" i="5"/>
  <c r="L236" i="5"/>
  <c r="M236" i="5"/>
  <c r="H237" i="5"/>
  <c r="I237" i="5"/>
  <c r="R237" i="5" s="1"/>
  <c r="J237" i="5"/>
  <c r="K237" i="5"/>
  <c r="L237" i="5"/>
  <c r="M237" i="5"/>
  <c r="H238" i="5"/>
  <c r="P238" i="5" s="1"/>
  <c r="I238" i="5"/>
  <c r="J238" i="5"/>
  <c r="K238" i="5"/>
  <c r="L238" i="5"/>
  <c r="M238" i="5"/>
  <c r="H239" i="5"/>
  <c r="I239" i="5"/>
  <c r="J239" i="5"/>
  <c r="K239" i="5"/>
  <c r="L239" i="5"/>
  <c r="M239" i="5"/>
  <c r="H240" i="5"/>
  <c r="P240" i="5" s="1"/>
  <c r="I240" i="5"/>
  <c r="J240" i="5"/>
  <c r="K240" i="5"/>
  <c r="L240" i="5"/>
  <c r="M240" i="5"/>
  <c r="H241" i="5"/>
  <c r="I241" i="5"/>
  <c r="R241" i="5" s="1"/>
  <c r="J241" i="5"/>
  <c r="K241" i="5"/>
  <c r="L241" i="5"/>
  <c r="M241" i="5"/>
  <c r="H242" i="5"/>
  <c r="P242" i="5" s="1"/>
  <c r="I242" i="5"/>
  <c r="J242" i="5"/>
  <c r="K242" i="5"/>
  <c r="L242" i="5"/>
  <c r="M242" i="5"/>
  <c r="H243" i="5"/>
  <c r="I243" i="5"/>
  <c r="J243" i="5"/>
  <c r="K243" i="5"/>
  <c r="L243" i="5"/>
  <c r="M243" i="5"/>
  <c r="H244" i="5"/>
  <c r="P244" i="5" s="1"/>
  <c r="I244" i="5"/>
  <c r="J244" i="5"/>
  <c r="K244" i="5"/>
  <c r="L244" i="5"/>
  <c r="M244" i="5"/>
  <c r="H245" i="5"/>
  <c r="I245" i="5"/>
  <c r="R245" i="5" s="1"/>
  <c r="J245" i="5"/>
  <c r="K245" i="5"/>
  <c r="L245" i="5"/>
  <c r="M245" i="5"/>
  <c r="H246" i="5"/>
  <c r="P246" i="5" s="1"/>
  <c r="I246" i="5"/>
  <c r="J246" i="5"/>
  <c r="K246" i="5"/>
  <c r="L246" i="5"/>
  <c r="M246" i="5"/>
  <c r="H247" i="5"/>
  <c r="I247" i="5"/>
  <c r="J247" i="5"/>
  <c r="K247" i="5"/>
  <c r="L247" i="5"/>
  <c r="M247" i="5"/>
  <c r="H248" i="5"/>
  <c r="I248" i="5"/>
  <c r="J248" i="5"/>
  <c r="K248" i="5"/>
  <c r="L248" i="5"/>
  <c r="M248" i="5"/>
  <c r="H249" i="5"/>
  <c r="I249" i="5"/>
  <c r="R249" i="5" s="1"/>
  <c r="J249" i="5"/>
  <c r="K249" i="5"/>
  <c r="L249" i="5"/>
  <c r="M249" i="5"/>
  <c r="H250" i="5"/>
  <c r="P250" i="5" s="1"/>
  <c r="I250" i="5"/>
  <c r="J250" i="5"/>
  <c r="K250" i="5"/>
  <c r="L250" i="5"/>
  <c r="M250" i="5"/>
  <c r="H251" i="5"/>
  <c r="I251" i="5"/>
  <c r="J251" i="5"/>
  <c r="K251" i="5"/>
  <c r="L251" i="5"/>
  <c r="M251" i="5"/>
  <c r="H252" i="5"/>
  <c r="P252" i="5" s="1"/>
  <c r="I252" i="5"/>
  <c r="J252" i="5"/>
  <c r="K252" i="5"/>
  <c r="L252" i="5"/>
  <c r="M252" i="5"/>
  <c r="H253" i="5"/>
  <c r="I253" i="5"/>
  <c r="R253" i="5" s="1"/>
  <c r="J253" i="5"/>
  <c r="K253" i="5"/>
  <c r="L253" i="5"/>
  <c r="M253" i="5"/>
  <c r="H254" i="5"/>
  <c r="P254" i="5" s="1"/>
  <c r="I254" i="5"/>
  <c r="J254" i="5"/>
  <c r="K254" i="5"/>
  <c r="L254" i="5"/>
  <c r="M254" i="5"/>
  <c r="H255" i="5"/>
  <c r="I255" i="5"/>
  <c r="J255" i="5"/>
  <c r="K255" i="5"/>
  <c r="L255" i="5"/>
  <c r="M255" i="5"/>
  <c r="H256" i="5"/>
  <c r="P256" i="5" s="1"/>
  <c r="I256" i="5"/>
  <c r="J256" i="5"/>
  <c r="K256" i="5"/>
  <c r="L256" i="5"/>
  <c r="M256" i="5"/>
  <c r="H257" i="5"/>
  <c r="I257" i="5"/>
  <c r="R257" i="5" s="1"/>
  <c r="J257" i="5"/>
  <c r="K257" i="5"/>
  <c r="L257" i="5"/>
  <c r="M257" i="5"/>
  <c r="H258" i="5"/>
  <c r="P258" i="5" s="1"/>
  <c r="I258" i="5"/>
  <c r="J258" i="5"/>
  <c r="K258" i="5"/>
  <c r="L258" i="5"/>
  <c r="M258" i="5"/>
  <c r="H259" i="5"/>
  <c r="I259" i="5"/>
  <c r="J259" i="5"/>
  <c r="K259" i="5"/>
  <c r="L259" i="5"/>
  <c r="M259" i="5"/>
  <c r="H260" i="5"/>
  <c r="P260" i="5" s="1"/>
  <c r="I260" i="5"/>
  <c r="J260" i="5"/>
  <c r="K260" i="5"/>
  <c r="L260" i="5"/>
  <c r="M260" i="5"/>
  <c r="H261" i="5"/>
  <c r="I261" i="5"/>
  <c r="R261" i="5" s="1"/>
  <c r="J261" i="5"/>
  <c r="K261" i="5"/>
  <c r="L261" i="5"/>
  <c r="M261" i="5"/>
  <c r="H262" i="5"/>
  <c r="P262" i="5" s="1"/>
  <c r="I262" i="5"/>
  <c r="J262" i="5"/>
  <c r="K262" i="5"/>
  <c r="L262" i="5"/>
  <c r="M262" i="5"/>
  <c r="H263" i="5"/>
  <c r="I263" i="5"/>
  <c r="J263" i="5"/>
  <c r="K263" i="5"/>
  <c r="L263" i="5"/>
  <c r="M263" i="5"/>
  <c r="H264" i="5"/>
  <c r="I264" i="5"/>
  <c r="J264" i="5"/>
  <c r="K264" i="5"/>
  <c r="L264" i="5"/>
  <c r="M264" i="5"/>
  <c r="H265" i="5"/>
  <c r="I265" i="5"/>
  <c r="R265" i="5" s="1"/>
  <c r="J265" i="5"/>
  <c r="K265" i="5"/>
  <c r="L265" i="5"/>
  <c r="M265" i="5"/>
  <c r="H266" i="5"/>
  <c r="P266" i="5" s="1"/>
  <c r="I266" i="5"/>
  <c r="J266" i="5"/>
  <c r="K266" i="5"/>
  <c r="L266" i="5"/>
  <c r="M266" i="5"/>
  <c r="H267" i="5"/>
  <c r="I267" i="5"/>
  <c r="J267" i="5"/>
  <c r="K267" i="5"/>
  <c r="L267" i="5"/>
  <c r="M267" i="5"/>
  <c r="H268" i="5"/>
  <c r="I268" i="5"/>
  <c r="J268" i="5"/>
  <c r="K268" i="5"/>
  <c r="L268" i="5"/>
  <c r="M268" i="5"/>
  <c r="H269" i="5"/>
  <c r="I269" i="5"/>
  <c r="R269" i="5" s="1"/>
  <c r="J269" i="5"/>
  <c r="K269" i="5"/>
  <c r="L269" i="5"/>
  <c r="M269" i="5"/>
  <c r="H270" i="5"/>
  <c r="P270" i="5" s="1"/>
  <c r="I270" i="5"/>
  <c r="J270" i="5"/>
  <c r="K270" i="5"/>
  <c r="L270" i="5"/>
  <c r="M270" i="5"/>
  <c r="H271" i="5"/>
  <c r="I271" i="5"/>
  <c r="J271" i="5"/>
  <c r="K271" i="5"/>
  <c r="L271" i="5"/>
  <c r="M271" i="5"/>
  <c r="H272" i="5"/>
  <c r="P272" i="5" s="1"/>
  <c r="I272" i="5"/>
  <c r="J272" i="5"/>
  <c r="K272" i="5"/>
  <c r="L272" i="5"/>
  <c r="M272" i="5"/>
  <c r="H273" i="5"/>
  <c r="I273" i="5"/>
  <c r="R273" i="5" s="1"/>
  <c r="J273" i="5"/>
  <c r="K273" i="5"/>
  <c r="L273" i="5"/>
  <c r="M273" i="5"/>
  <c r="H274" i="5"/>
  <c r="P274" i="5" s="1"/>
  <c r="I274" i="5"/>
  <c r="J274" i="5"/>
  <c r="K274" i="5"/>
  <c r="L274" i="5"/>
  <c r="M274" i="5"/>
  <c r="H275" i="5"/>
  <c r="I275" i="5"/>
  <c r="J275" i="5"/>
  <c r="K275" i="5"/>
  <c r="L275" i="5"/>
  <c r="M275" i="5"/>
  <c r="H276" i="5"/>
  <c r="P276" i="5" s="1"/>
  <c r="I276" i="5"/>
  <c r="J276" i="5"/>
  <c r="K276" i="5"/>
  <c r="L276" i="5"/>
  <c r="M276" i="5"/>
  <c r="H277" i="5"/>
  <c r="I277" i="5"/>
  <c r="R277" i="5" s="1"/>
  <c r="J277" i="5"/>
  <c r="K277" i="5"/>
  <c r="L277" i="5"/>
  <c r="M277" i="5"/>
  <c r="H278" i="5"/>
  <c r="P278" i="5" s="1"/>
  <c r="I278" i="5"/>
  <c r="J278" i="5"/>
  <c r="K278" i="5"/>
  <c r="L278" i="5"/>
  <c r="M278" i="5"/>
  <c r="H279" i="5"/>
  <c r="I279" i="5"/>
  <c r="J279" i="5"/>
  <c r="K279" i="5"/>
  <c r="L279" i="5"/>
  <c r="M279" i="5"/>
  <c r="H280" i="5"/>
  <c r="I280" i="5"/>
  <c r="J280" i="5"/>
  <c r="K280" i="5"/>
  <c r="L280" i="5"/>
  <c r="M280" i="5"/>
  <c r="H281" i="5"/>
  <c r="I281" i="5"/>
  <c r="R281" i="5" s="1"/>
  <c r="J281" i="5"/>
  <c r="K281" i="5"/>
  <c r="L281" i="5"/>
  <c r="M281" i="5"/>
  <c r="H282" i="5"/>
  <c r="P282" i="5" s="1"/>
  <c r="I282" i="5"/>
  <c r="J282" i="5"/>
  <c r="K282" i="5"/>
  <c r="L282" i="5"/>
  <c r="M282" i="5"/>
  <c r="H283" i="5"/>
  <c r="I283" i="5"/>
  <c r="J283" i="5"/>
  <c r="K283" i="5"/>
  <c r="L283" i="5"/>
  <c r="M283" i="5"/>
  <c r="H284" i="5"/>
  <c r="I284" i="5"/>
  <c r="J284" i="5"/>
  <c r="K284" i="5"/>
  <c r="L284" i="5"/>
  <c r="M284" i="5"/>
  <c r="H285" i="5"/>
  <c r="I285" i="5"/>
  <c r="R285" i="5" s="1"/>
  <c r="J285" i="5"/>
  <c r="K285" i="5"/>
  <c r="L285" i="5"/>
  <c r="M285" i="5"/>
  <c r="H286" i="5"/>
  <c r="P286" i="5" s="1"/>
  <c r="I286" i="5"/>
  <c r="J286" i="5"/>
  <c r="K286" i="5"/>
  <c r="L286" i="5"/>
  <c r="M286" i="5"/>
  <c r="H287" i="5"/>
  <c r="I287" i="5"/>
  <c r="J287" i="5"/>
  <c r="K287" i="5"/>
  <c r="L287" i="5"/>
  <c r="M287" i="5"/>
  <c r="H288" i="5"/>
  <c r="I288" i="5"/>
  <c r="J288" i="5"/>
  <c r="K288" i="5"/>
  <c r="L288" i="5"/>
  <c r="M288" i="5"/>
  <c r="H289" i="5"/>
  <c r="I289" i="5"/>
  <c r="R289" i="5" s="1"/>
  <c r="J289" i="5"/>
  <c r="K289" i="5"/>
  <c r="L289" i="5"/>
  <c r="M289" i="5"/>
  <c r="H290" i="5"/>
  <c r="P290" i="5" s="1"/>
  <c r="I290" i="5"/>
  <c r="J290" i="5"/>
  <c r="K290" i="5"/>
  <c r="L290" i="5"/>
  <c r="M290" i="5"/>
  <c r="H291" i="5"/>
  <c r="I291" i="5"/>
  <c r="J291" i="5"/>
  <c r="K291" i="5"/>
  <c r="L291" i="5"/>
  <c r="M291" i="5"/>
  <c r="H292" i="5"/>
  <c r="P292" i="5" s="1"/>
  <c r="I292" i="5"/>
  <c r="J292" i="5"/>
  <c r="K292" i="5"/>
  <c r="L292" i="5"/>
  <c r="M292" i="5"/>
  <c r="H293" i="5"/>
  <c r="I293" i="5"/>
  <c r="R293" i="5" s="1"/>
  <c r="J293" i="5"/>
  <c r="K293" i="5"/>
  <c r="L293" i="5"/>
  <c r="M293" i="5"/>
  <c r="H294" i="5"/>
  <c r="P294" i="5" s="1"/>
  <c r="I294" i="5"/>
  <c r="J294" i="5"/>
  <c r="K294" i="5"/>
  <c r="L294" i="5"/>
  <c r="M294" i="5"/>
  <c r="H295" i="5"/>
  <c r="I295" i="5"/>
  <c r="J295" i="5"/>
  <c r="K295" i="5"/>
  <c r="L295" i="5"/>
  <c r="M295" i="5"/>
  <c r="H296" i="5"/>
  <c r="P296" i="5" s="1"/>
  <c r="I296" i="5"/>
  <c r="J296" i="5"/>
  <c r="K296" i="5"/>
  <c r="L296" i="5"/>
  <c r="M296" i="5"/>
  <c r="H297" i="5"/>
  <c r="I297" i="5"/>
  <c r="R297" i="5" s="1"/>
  <c r="J297" i="5"/>
  <c r="K297" i="5"/>
  <c r="L297" i="5"/>
  <c r="M297" i="5"/>
  <c r="H298" i="5"/>
  <c r="P298" i="5" s="1"/>
  <c r="I298" i="5"/>
  <c r="J298" i="5"/>
  <c r="K298" i="5"/>
  <c r="L298" i="5"/>
  <c r="M298" i="5"/>
  <c r="H299" i="5"/>
  <c r="I299" i="5"/>
  <c r="J299" i="5"/>
  <c r="K299" i="5"/>
  <c r="L299" i="5"/>
  <c r="M299" i="5"/>
  <c r="H300" i="5"/>
  <c r="I300" i="5"/>
  <c r="J300" i="5"/>
  <c r="K300" i="5"/>
  <c r="L300" i="5"/>
  <c r="M300" i="5"/>
  <c r="H301" i="5"/>
  <c r="I301" i="5"/>
  <c r="R301" i="5" s="1"/>
  <c r="J301" i="5"/>
  <c r="K301" i="5"/>
  <c r="L301" i="5"/>
  <c r="M301" i="5"/>
  <c r="H302" i="5"/>
  <c r="P302" i="5" s="1"/>
  <c r="I302" i="5"/>
  <c r="J302" i="5"/>
  <c r="K302" i="5"/>
  <c r="L302" i="5"/>
  <c r="M302" i="5"/>
  <c r="H303" i="5"/>
  <c r="I303" i="5"/>
  <c r="J303" i="5"/>
  <c r="K303" i="5"/>
  <c r="L303" i="5"/>
  <c r="M303" i="5"/>
  <c r="H304" i="5"/>
  <c r="P304" i="5" s="1"/>
  <c r="I304" i="5"/>
  <c r="J304" i="5"/>
  <c r="K304" i="5"/>
  <c r="L304" i="5"/>
  <c r="M304" i="5"/>
  <c r="H305" i="5"/>
  <c r="I305" i="5"/>
  <c r="R305" i="5" s="1"/>
  <c r="J305" i="5"/>
  <c r="K305" i="5"/>
  <c r="L305" i="5"/>
  <c r="M305" i="5"/>
  <c r="H306" i="5"/>
  <c r="P306" i="5" s="1"/>
  <c r="I306" i="5"/>
  <c r="J306" i="5"/>
  <c r="K306" i="5"/>
  <c r="L306" i="5"/>
  <c r="M306" i="5"/>
  <c r="H307" i="5"/>
  <c r="I307" i="5"/>
  <c r="J307" i="5"/>
  <c r="K307" i="5"/>
  <c r="L307" i="5"/>
  <c r="M307" i="5"/>
  <c r="H308" i="5"/>
  <c r="P308" i="5" s="1"/>
  <c r="I308" i="5"/>
  <c r="J308" i="5"/>
  <c r="K308" i="5"/>
  <c r="L308" i="5"/>
  <c r="M308" i="5"/>
  <c r="H309" i="5"/>
  <c r="I309" i="5"/>
  <c r="R309" i="5" s="1"/>
  <c r="J309" i="5"/>
  <c r="K309" i="5"/>
  <c r="L309" i="5"/>
  <c r="M309" i="5"/>
  <c r="H310" i="5"/>
  <c r="P310" i="5" s="1"/>
  <c r="I310" i="5"/>
  <c r="J310" i="5"/>
  <c r="K310" i="5"/>
  <c r="L310" i="5"/>
  <c r="M310" i="5"/>
  <c r="H311" i="5"/>
  <c r="I311" i="5"/>
  <c r="J311" i="5"/>
  <c r="K311" i="5"/>
  <c r="L311" i="5"/>
  <c r="M311" i="5"/>
  <c r="H312" i="5"/>
  <c r="P312" i="5" s="1"/>
  <c r="I312" i="5"/>
  <c r="J312" i="5"/>
  <c r="K312" i="5"/>
  <c r="L312" i="5"/>
  <c r="M312" i="5"/>
  <c r="H313" i="5"/>
  <c r="I313" i="5"/>
  <c r="R313" i="5" s="1"/>
  <c r="J313" i="5"/>
  <c r="K313" i="5"/>
  <c r="L313" i="5"/>
  <c r="M313" i="5"/>
  <c r="H314" i="5"/>
  <c r="P314" i="5" s="1"/>
  <c r="I314" i="5"/>
  <c r="J314" i="5"/>
  <c r="K314" i="5"/>
  <c r="L314" i="5"/>
  <c r="M314" i="5"/>
  <c r="H315" i="5"/>
  <c r="I315" i="5"/>
  <c r="J315" i="5"/>
  <c r="K315" i="5"/>
  <c r="L315" i="5"/>
  <c r="M315" i="5"/>
  <c r="H316" i="5"/>
  <c r="I316" i="5"/>
  <c r="J316" i="5"/>
  <c r="K316" i="5"/>
  <c r="L316" i="5"/>
  <c r="M316" i="5"/>
  <c r="H317" i="5"/>
  <c r="I317" i="5"/>
  <c r="R317" i="5" s="1"/>
  <c r="J317" i="5"/>
  <c r="K317" i="5"/>
  <c r="L317" i="5"/>
  <c r="M317" i="5"/>
  <c r="H318" i="5"/>
  <c r="I318" i="5"/>
  <c r="J318" i="5"/>
  <c r="K318" i="5"/>
  <c r="L318" i="5"/>
  <c r="M318" i="5"/>
  <c r="H319" i="5"/>
  <c r="I319" i="5"/>
  <c r="J319" i="5"/>
  <c r="K319" i="5"/>
  <c r="L319" i="5"/>
  <c r="M319" i="5"/>
  <c r="H320" i="5"/>
  <c r="I320" i="5"/>
  <c r="J320" i="5"/>
  <c r="K320" i="5"/>
  <c r="L320" i="5"/>
  <c r="M320" i="5"/>
  <c r="H321" i="5"/>
  <c r="I321" i="5"/>
  <c r="R321" i="5" s="1"/>
  <c r="J321" i="5"/>
  <c r="K321" i="5"/>
  <c r="L321" i="5"/>
  <c r="M321" i="5"/>
  <c r="H322" i="5"/>
  <c r="P322" i="5" s="1"/>
  <c r="I322" i="5"/>
  <c r="J322" i="5"/>
  <c r="K322" i="5"/>
  <c r="L322" i="5"/>
  <c r="M322" i="5"/>
  <c r="H323" i="5"/>
  <c r="I323" i="5"/>
  <c r="J323" i="5"/>
  <c r="K323" i="5"/>
  <c r="L323" i="5"/>
  <c r="M323" i="5"/>
  <c r="H324" i="5"/>
  <c r="I324" i="5"/>
  <c r="J324" i="5"/>
  <c r="K324" i="5"/>
  <c r="L324" i="5"/>
  <c r="M324" i="5"/>
  <c r="H325" i="5"/>
  <c r="I325" i="5"/>
  <c r="R325" i="5" s="1"/>
  <c r="J325" i="5"/>
  <c r="K325" i="5"/>
  <c r="L325" i="5"/>
  <c r="M325" i="5"/>
  <c r="H326" i="5"/>
  <c r="I326" i="5"/>
  <c r="J326" i="5"/>
  <c r="K326" i="5"/>
  <c r="L326" i="5"/>
  <c r="M326" i="5"/>
  <c r="H327" i="5"/>
  <c r="I327" i="5"/>
  <c r="J327" i="5"/>
  <c r="K327" i="5"/>
  <c r="L327" i="5"/>
  <c r="M327" i="5"/>
  <c r="H328" i="5"/>
  <c r="P328" i="5" s="1"/>
  <c r="I328" i="5"/>
  <c r="J328" i="5"/>
  <c r="K328" i="5"/>
  <c r="L328" i="5"/>
  <c r="M328" i="5"/>
  <c r="H329" i="5"/>
  <c r="I329" i="5"/>
  <c r="R329" i="5" s="1"/>
  <c r="J329" i="5"/>
  <c r="K329" i="5"/>
  <c r="L329" i="5"/>
  <c r="M329" i="5"/>
  <c r="H330" i="5"/>
  <c r="P330" i="5" s="1"/>
  <c r="I330" i="5"/>
  <c r="J330" i="5"/>
  <c r="K330" i="5"/>
  <c r="L330" i="5"/>
  <c r="M330" i="5"/>
  <c r="I4" i="5"/>
  <c r="J4" i="5"/>
  <c r="K4" i="5"/>
  <c r="P4" i="5" s="1"/>
  <c r="L4" i="5"/>
  <c r="M4" i="5"/>
  <c r="H4" i="5"/>
  <c r="E5" i="5"/>
  <c r="F5" i="5"/>
  <c r="G5" i="5"/>
  <c r="E6" i="5"/>
  <c r="F6" i="5"/>
  <c r="G6" i="5"/>
  <c r="E7" i="5"/>
  <c r="F7" i="5"/>
  <c r="G7" i="5"/>
  <c r="E8" i="5"/>
  <c r="F8" i="5"/>
  <c r="G8" i="5"/>
  <c r="E9" i="5"/>
  <c r="F9" i="5"/>
  <c r="G9" i="5"/>
  <c r="E10" i="5"/>
  <c r="F10" i="5"/>
  <c r="G10" i="5"/>
  <c r="E11" i="5"/>
  <c r="F11" i="5"/>
  <c r="G11" i="5"/>
  <c r="E12" i="5"/>
  <c r="F12" i="5"/>
  <c r="G12" i="5"/>
  <c r="E13" i="5"/>
  <c r="F13" i="5"/>
  <c r="G13" i="5"/>
  <c r="E14" i="5"/>
  <c r="F14" i="5"/>
  <c r="G14" i="5"/>
  <c r="E15" i="5"/>
  <c r="F15" i="5"/>
  <c r="G15" i="5"/>
  <c r="E16" i="5"/>
  <c r="F16" i="5"/>
  <c r="G16" i="5"/>
  <c r="E17" i="5"/>
  <c r="F17" i="5"/>
  <c r="G17" i="5"/>
  <c r="E18" i="5"/>
  <c r="F18" i="5"/>
  <c r="G18" i="5"/>
  <c r="E19" i="5"/>
  <c r="F19" i="5"/>
  <c r="G19" i="5"/>
  <c r="E20" i="5"/>
  <c r="F20" i="5"/>
  <c r="G20" i="5"/>
  <c r="E21" i="5"/>
  <c r="F21" i="5"/>
  <c r="G21" i="5"/>
  <c r="E22" i="5"/>
  <c r="F22" i="5"/>
  <c r="G22" i="5"/>
  <c r="E23" i="5"/>
  <c r="F23" i="5"/>
  <c r="G23" i="5"/>
  <c r="E24" i="5"/>
  <c r="F24" i="5"/>
  <c r="G24" i="5"/>
  <c r="E25" i="5"/>
  <c r="F25" i="5"/>
  <c r="G25" i="5"/>
  <c r="E26" i="5"/>
  <c r="F26" i="5"/>
  <c r="G26" i="5"/>
  <c r="E27" i="5"/>
  <c r="F27" i="5"/>
  <c r="G27" i="5"/>
  <c r="E28" i="5"/>
  <c r="F28" i="5"/>
  <c r="G28" i="5"/>
  <c r="E29" i="5"/>
  <c r="F29" i="5"/>
  <c r="G29" i="5"/>
  <c r="E30" i="5"/>
  <c r="F30" i="5"/>
  <c r="G30" i="5"/>
  <c r="E31" i="5"/>
  <c r="F31" i="5"/>
  <c r="G31" i="5"/>
  <c r="E32" i="5"/>
  <c r="F32" i="5"/>
  <c r="G32" i="5"/>
  <c r="E33" i="5"/>
  <c r="F33" i="5"/>
  <c r="G33" i="5"/>
  <c r="E34" i="5"/>
  <c r="F34" i="5"/>
  <c r="G34" i="5"/>
  <c r="E35" i="5"/>
  <c r="F35" i="5"/>
  <c r="G35" i="5"/>
  <c r="E36" i="5"/>
  <c r="F36" i="5"/>
  <c r="G36" i="5"/>
  <c r="E37" i="5"/>
  <c r="F37" i="5"/>
  <c r="G37" i="5"/>
  <c r="E38" i="5"/>
  <c r="F38" i="5"/>
  <c r="G38" i="5"/>
  <c r="E39" i="5"/>
  <c r="F39" i="5"/>
  <c r="G39" i="5"/>
  <c r="E40" i="5"/>
  <c r="F40" i="5"/>
  <c r="G40" i="5"/>
  <c r="E41" i="5"/>
  <c r="F41" i="5"/>
  <c r="G41" i="5"/>
  <c r="E42" i="5"/>
  <c r="F42" i="5"/>
  <c r="G42" i="5"/>
  <c r="E43" i="5"/>
  <c r="F43" i="5"/>
  <c r="G43" i="5"/>
  <c r="E44" i="5"/>
  <c r="F44" i="5"/>
  <c r="G44" i="5"/>
  <c r="E45" i="5"/>
  <c r="F45" i="5"/>
  <c r="G45" i="5"/>
  <c r="E46" i="5"/>
  <c r="F46" i="5"/>
  <c r="G46" i="5"/>
  <c r="E47" i="5"/>
  <c r="F47" i="5"/>
  <c r="G47" i="5"/>
  <c r="E48" i="5"/>
  <c r="F48" i="5"/>
  <c r="G48" i="5"/>
  <c r="E49" i="5"/>
  <c r="F49" i="5"/>
  <c r="G49" i="5"/>
  <c r="E50" i="5"/>
  <c r="F50" i="5"/>
  <c r="G50" i="5"/>
  <c r="E51" i="5"/>
  <c r="F51" i="5"/>
  <c r="G51" i="5"/>
  <c r="E52" i="5"/>
  <c r="F52" i="5"/>
  <c r="G52" i="5"/>
  <c r="E53" i="5"/>
  <c r="F53" i="5"/>
  <c r="G53" i="5"/>
  <c r="E54" i="5"/>
  <c r="F54" i="5"/>
  <c r="G54" i="5"/>
  <c r="E55" i="5"/>
  <c r="F55" i="5"/>
  <c r="G55" i="5"/>
  <c r="E56" i="5"/>
  <c r="F56" i="5"/>
  <c r="G56" i="5"/>
  <c r="E57" i="5"/>
  <c r="F57" i="5"/>
  <c r="G57" i="5"/>
  <c r="E58" i="5"/>
  <c r="F58" i="5"/>
  <c r="G58" i="5"/>
  <c r="E59" i="5"/>
  <c r="F59" i="5"/>
  <c r="G59" i="5"/>
  <c r="E60" i="5"/>
  <c r="F60" i="5"/>
  <c r="G60" i="5"/>
  <c r="E61" i="5"/>
  <c r="F61" i="5"/>
  <c r="G61" i="5"/>
  <c r="E62" i="5"/>
  <c r="F62" i="5"/>
  <c r="G62" i="5"/>
  <c r="E63" i="5"/>
  <c r="F63" i="5"/>
  <c r="G63" i="5"/>
  <c r="E64" i="5"/>
  <c r="F64" i="5"/>
  <c r="G64" i="5"/>
  <c r="E65" i="5"/>
  <c r="F65" i="5"/>
  <c r="G65" i="5"/>
  <c r="E66" i="5"/>
  <c r="F66" i="5"/>
  <c r="G66" i="5"/>
  <c r="E67" i="5"/>
  <c r="F67" i="5"/>
  <c r="G67" i="5"/>
  <c r="E68" i="5"/>
  <c r="F68" i="5"/>
  <c r="G68" i="5"/>
  <c r="E69" i="5"/>
  <c r="F69" i="5"/>
  <c r="G69" i="5"/>
  <c r="E70" i="5"/>
  <c r="F70" i="5"/>
  <c r="G70" i="5"/>
  <c r="E71" i="5"/>
  <c r="F71" i="5"/>
  <c r="G71" i="5"/>
  <c r="E72" i="5"/>
  <c r="F72" i="5"/>
  <c r="G72" i="5"/>
  <c r="E73" i="5"/>
  <c r="F73" i="5"/>
  <c r="G73" i="5"/>
  <c r="E74" i="5"/>
  <c r="F74" i="5"/>
  <c r="G74" i="5"/>
  <c r="E75" i="5"/>
  <c r="F75" i="5"/>
  <c r="G75" i="5"/>
  <c r="E76" i="5"/>
  <c r="F76" i="5"/>
  <c r="G76" i="5"/>
  <c r="E77" i="5"/>
  <c r="F77" i="5"/>
  <c r="G77" i="5"/>
  <c r="E78" i="5"/>
  <c r="F78" i="5"/>
  <c r="G78" i="5"/>
  <c r="E79" i="5"/>
  <c r="F79" i="5"/>
  <c r="G79" i="5"/>
  <c r="E80" i="5"/>
  <c r="F80" i="5"/>
  <c r="G80" i="5"/>
  <c r="E81" i="5"/>
  <c r="F81" i="5"/>
  <c r="G81" i="5"/>
  <c r="E82" i="5"/>
  <c r="F82" i="5"/>
  <c r="G82" i="5"/>
  <c r="E83" i="5"/>
  <c r="F83" i="5"/>
  <c r="G83" i="5"/>
  <c r="E84" i="5"/>
  <c r="F84" i="5"/>
  <c r="G84" i="5"/>
  <c r="E85" i="5"/>
  <c r="F85" i="5"/>
  <c r="G85" i="5"/>
  <c r="E86" i="5"/>
  <c r="F86" i="5"/>
  <c r="G86" i="5"/>
  <c r="E87" i="5"/>
  <c r="F87" i="5"/>
  <c r="G87" i="5"/>
  <c r="E88" i="5"/>
  <c r="F88" i="5"/>
  <c r="G88" i="5"/>
  <c r="E89" i="5"/>
  <c r="F89" i="5"/>
  <c r="G89" i="5"/>
  <c r="E90" i="5"/>
  <c r="F90" i="5"/>
  <c r="G90" i="5"/>
  <c r="E91" i="5"/>
  <c r="F91" i="5"/>
  <c r="G91" i="5"/>
  <c r="E92" i="5"/>
  <c r="F92" i="5"/>
  <c r="G92" i="5"/>
  <c r="E93" i="5"/>
  <c r="F93" i="5"/>
  <c r="G93" i="5"/>
  <c r="E94" i="5"/>
  <c r="F94" i="5"/>
  <c r="G94" i="5"/>
  <c r="E95" i="5"/>
  <c r="F95" i="5"/>
  <c r="G95" i="5"/>
  <c r="E96" i="5"/>
  <c r="F96" i="5"/>
  <c r="G96" i="5"/>
  <c r="E97" i="5"/>
  <c r="F97" i="5"/>
  <c r="G97" i="5"/>
  <c r="E98" i="5"/>
  <c r="F98" i="5"/>
  <c r="G98" i="5"/>
  <c r="E99" i="5"/>
  <c r="F99" i="5"/>
  <c r="G99" i="5"/>
  <c r="E100" i="5"/>
  <c r="F100" i="5"/>
  <c r="G100" i="5"/>
  <c r="E101" i="5"/>
  <c r="F101" i="5"/>
  <c r="G101" i="5"/>
  <c r="E102" i="5"/>
  <c r="F102" i="5"/>
  <c r="G102" i="5"/>
  <c r="E103" i="5"/>
  <c r="F103" i="5"/>
  <c r="G103" i="5"/>
  <c r="E104" i="5"/>
  <c r="F104" i="5"/>
  <c r="G104" i="5"/>
  <c r="E105" i="5"/>
  <c r="F105" i="5"/>
  <c r="G105" i="5"/>
  <c r="E106" i="5"/>
  <c r="F106" i="5"/>
  <c r="G106" i="5"/>
  <c r="E107" i="5"/>
  <c r="F107" i="5"/>
  <c r="G107" i="5"/>
  <c r="E108" i="5"/>
  <c r="F108" i="5"/>
  <c r="G108" i="5"/>
  <c r="E109" i="5"/>
  <c r="F109" i="5"/>
  <c r="G109" i="5"/>
  <c r="E110" i="5"/>
  <c r="F110" i="5"/>
  <c r="G110" i="5"/>
  <c r="E111" i="5"/>
  <c r="F111" i="5"/>
  <c r="G111" i="5"/>
  <c r="E112" i="5"/>
  <c r="F112" i="5"/>
  <c r="G112" i="5"/>
  <c r="E113" i="5"/>
  <c r="F113" i="5"/>
  <c r="G113" i="5"/>
  <c r="E114" i="5"/>
  <c r="F114" i="5"/>
  <c r="G114" i="5"/>
  <c r="E115" i="5"/>
  <c r="F115" i="5"/>
  <c r="G115" i="5"/>
  <c r="E116" i="5"/>
  <c r="F116" i="5"/>
  <c r="G116" i="5"/>
  <c r="E117" i="5"/>
  <c r="F117" i="5"/>
  <c r="G117" i="5"/>
  <c r="E118" i="5"/>
  <c r="F118" i="5"/>
  <c r="G118" i="5"/>
  <c r="E119" i="5"/>
  <c r="F119" i="5"/>
  <c r="G119" i="5"/>
  <c r="E120" i="5"/>
  <c r="F120" i="5"/>
  <c r="G120" i="5"/>
  <c r="E121" i="5"/>
  <c r="F121" i="5"/>
  <c r="G121" i="5"/>
  <c r="E122" i="5"/>
  <c r="F122" i="5"/>
  <c r="G122" i="5"/>
  <c r="E123" i="5"/>
  <c r="F123" i="5"/>
  <c r="G123" i="5"/>
  <c r="E124" i="5"/>
  <c r="F124" i="5"/>
  <c r="G124" i="5"/>
  <c r="E125" i="5"/>
  <c r="F125" i="5"/>
  <c r="G125" i="5"/>
  <c r="E126" i="5"/>
  <c r="F126" i="5"/>
  <c r="G126" i="5"/>
  <c r="E127" i="5"/>
  <c r="F127" i="5"/>
  <c r="G127" i="5"/>
  <c r="E128" i="5"/>
  <c r="F128" i="5"/>
  <c r="G128" i="5"/>
  <c r="E129" i="5"/>
  <c r="F129" i="5"/>
  <c r="G129" i="5"/>
  <c r="E130" i="5"/>
  <c r="F130" i="5"/>
  <c r="G130" i="5"/>
  <c r="E131" i="5"/>
  <c r="F131" i="5"/>
  <c r="G131" i="5"/>
  <c r="E132" i="5"/>
  <c r="F132" i="5"/>
  <c r="G132" i="5"/>
  <c r="E133" i="5"/>
  <c r="F133" i="5"/>
  <c r="G133" i="5"/>
  <c r="E134" i="5"/>
  <c r="F134" i="5"/>
  <c r="G134" i="5"/>
  <c r="E135" i="5"/>
  <c r="F135" i="5"/>
  <c r="G135" i="5"/>
  <c r="E136" i="5"/>
  <c r="F136" i="5"/>
  <c r="G136" i="5"/>
  <c r="E137" i="5"/>
  <c r="F137" i="5"/>
  <c r="G137" i="5"/>
  <c r="E138" i="5"/>
  <c r="F138" i="5"/>
  <c r="G138" i="5"/>
  <c r="E139" i="5"/>
  <c r="F139" i="5"/>
  <c r="G139" i="5"/>
  <c r="E140" i="5"/>
  <c r="F140" i="5"/>
  <c r="G140" i="5"/>
  <c r="E141" i="5"/>
  <c r="F141" i="5"/>
  <c r="G141" i="5"/>
  <c r="E142" i="5"/>
  <c r="F142" i="5"/>
  <c r="G142" i="5"/>
  <c r="E143" i="5"/>
  <c r="F143" i="5"/>
  <c r="G143" i="5"/>
  <c r="E144" i="5"/>
  <c r="F144" i="5"/>
  <c r="G144" i="5"/>
  <c r="E145" i="5"/>
  <c r="F145" i="5"/>
  <c r="G145" i="5"/>
  <c r="E146" i="5"/>
  <c r="F146" i="5"/>
  <c r="G146" i="5"/>
  <c r="E147" i="5"/>
  <c r="F147" i="5"/>
  <c r="G147" i="5"/>
  <c r="E148" i="5"/>
  <c r="F148" i="5"/>
  <c r="G148" i="5"/>
  <c r="E149" i="5"/>
  <c r="F149" i="5"/>
  <c r="G149" i="5"/>
  <c r="E150" i="5"/>
  <c r="F150" i="5"/>
  <c r="G150" i="5"/>
  <c r="E151" i="5"/>
  <c r="F151" i="5"/>
  <c r="G151" i="5"/>
  <c r="E152" i="5"/>
  <c r="F152" i="5"/>
  <c r="G152" i="5"/>
  <c r="E153" i="5"/>
  <c r="F153" i="5"/>
  <c r="G153" i="5"/>
  <c r="E154" i="5"/>
  <c r="F154" i="5"/>
  <c r="G154" i="5"/>
  <c r="E155" i="5"/>
  <c r="F155" i="5"/>
  <c r="G155" i="5"/>
  <c r="E156" i="5"/>
  <c r="F156" i="5"/>
  <c r="G156" i="5"/>
  <c r="E157" i="5"/>
  <c r="F157" i="5"/>
  <c r="G157" i="5"/>
  <c r="E158" i="5"/>
  <c r="F158" i="5"/>
  <c r="G158" i="5"/>
  <c r="E159" i="5"/>
  <c r="F159" i="5"/>
  <c r="G159" i="5"/>
  <c r="E160" i="5"/>
  <c r="F160" i="5"/>
  <c r="G160" i="5"/>
  <c r="E161" i="5"/>
  <c r="F161" i="5"/>
  <c r="G161" i="5"/>
  <c r="E162" i="5"/>
  <c r="F162" i="5"/>
  <c r="G162" i="5"/>
  <c r="E163" i="5"/>
  <c r="F163" i="5"/>
  <c r="G163" i="5"/>
  <c r="E164" i="5"/>
  <c r="F164" i="5"/>
  <c r="G164" i="5"/>
  <c r="E165" i="5"/>
  <c r="F165" i="5"/>
  <c r="G165" i="5"/>
  <c r="E166" i="5"/>
  <c r="F166" i="5"/>
  <c r="G166" i="5"/>
  <c r="E167" i="5"/>
  <c r="F167" i="5"/>
  <c r="G167" i="5"/>
  <c r="E168" i="5"/>
  <c r="F168" i="5"/>
  <c r="G168" i="5"/>
  <c r="E169" i="5"/>
  <c r="F169" i="5"/>
  <c r="G169" i="5"/>
  <c r="E170" i="5"/>
  <c r="F170" i="5"/>
  <c r="G170" i="5"/>
  <c r="E171" i="5"/>
  <c r="F171" i="5"/>
  <c r="G171" i="5"/>
  <c r="E172" i="5"/>
  <c r="F172" i="5"/>
  <c r="G172" i="5"/>
  <c r="E173" i="5"/>
  <c r="F173" i="5"/>
  <c r="G173" i="5"/>
  <c r="E174" i="5"/>
  <c r="F174" i="5"/>
  <c r="G174" i="5"/>
  <c r="E175" i="5"/>
  <c r="F175" i="5"/>
  <c r="G175" i="5"/>
  <c r="E176" i="5"/>
  <c r="F176" i="5"/>
  <c r="G176" i="5"/>
  <c r="E177" i="5"/>
  <c r="F177" i="5"/>
  <c r="G177" i="5"/>
  <c r="E178" i="5"/>
  <c r="F178" i="5"/>
  <c r="G178" i="5"/>
  <c r="E179" i="5"/>
  <c r="F179" i="5"/>
  <c r="G179" i="5"/>
  <c r="E180" i="5"/>
  <c r="F180" i="5"/>
  <c r="G180" i="5"/>
  <c r="E181" i="5"/>
  <c r="F181" i="5"/>
  <c r="G181" i="5"/>
  <c r="E182" i="5"/>
  <c r="F182" i="5"/>
  <c r="G182" i="5"/>
  <c r="E183" i="5"/>
  <c r="F183" i="5"/>
  <c r="G183" i="5"/>
  <c r="E184" i="5"/>
  <c r="F184" i="5"/>
  <c r="G184" i="5"/>
  <c r="E185" i="5"/>
  <c r="F185" i="5"/>
  <c r="G185" i="5"/>
  <c r="E186" i="5"/>
  <c r="F186" i="5"/>
  <c r="G186" i="5"/>
  <c r="E187" i="5"/>
  <c r="F187" i="5"/>
  <c r="G187" i="5"/>
  <c r="E188" i="5"/>
  <c r="F188" i="5"/>
  <c r="G188" i="5"/>
  <c r="E189" i="5"/>
  <c r="F189" i="5"/>
  <c r="G189" i="5"/>
  <c r="E190" i="5"/>
  <c r="F190" i="5"/>
  <c r="G190" i="5"/>
  <c r="E191" i="5"/>
  <c r="F191" i="5"/>
  <c r="G191" i="5"/>
  <c r="E192" i="5"/>
  <c r="F192" i="5"/>
  <c r="G192" i="5"/>
  <c r="E193" i="5"/>
  <c r="F193" i="5"/>
  <c r="G193" i="5"/>
  <c r="E194" i="5"/>
  <c r="F194" i="5"/>
  <c r="G194" i="5"/>
  <c r="E195" i="5"/>
  <c r="F195" i="5"/>
  <c r="G195" i="5"/>
  <c r="E196" i="5"/>
  <c r="F196" i="5"/>
  <c r="G196" i="5"/>
  <c r="E197" i="5"/>
  <c r="F197" i="5"/>
  <c r="G197" i="5"/>
  <c r="E198" i="5"/>
  <c r="F198" i="5"/>
  <c r="G198" i="5"/>
  <c r="E199" i="5"/>
  <c r="F199" i="5"/>
  <c r="G199" i="5"/>
  <c r="E200" i="5"/>
  <c r="F200" i="5"/>
  <c r="G200" i="5"/>
  <c r="E201" i="5"/>
  <c r="F201" i="5"/>
  <c r="G201" i="5"/>
  <c r="E202" i="5"/>
  <c r="F202" i="5"/>
  <c r="G202" i="5"/>
  <c r="E203" i="5"/>
  <c r="F203" i="5"/>
  <c r="G203" i="5"/>
  <c r="E204" i="5"/>
  <c r="F204" i="5"/>
  <c r="G204" i="5"/>
  <c r="E205" i="5"/>
  <c r="F205" i="5"/>
  <c r="G205" i="5"/>
  <c r="E206" i="5"/>
  <c r="F206" i="5"/>
  <c r="G206" i="5"/>
  <c r="E207" i="5"/>
  <c r="F207" i="5"/>
  <c r="G207" i="5"/>
  <c r="E208" i="5"/>
  <c r="F208" i="5"/>
  <c r="G208" i="5"/>
  <c r="E209" i="5"/>
  <c r="F209" i="5"/>
  <c r="G209" i="5"/>
  <c r="E210" i="5"/>
  <c r="F210" i="5"/>
  <c r="G210" i="5"/>
  <c r="E211" i="5"/>
  <c r="F211" i="5"/>
  <c r="G211" i="5"/>
  <c r="E212" i="5"/>
  <c r="F212" i="5"/>
  <c r="G212" i="5"/>
  <c r="E213" i="5"/>
  <c r="F213" i="5"/>
  <c r="G213" i="5"/>
  <c r="E214" i="5"/>
  <c r="F214" i="5"/>
  <c r="G214" i="5"/>
  <c r="E215" i="5"/>
  <c r="F215" i="5"/>
  <c r="G215" i="5"/>
  <c r="E216" i="5"/>
  <c r="F216" i="5"/>
  <c r="G216" i="5"/>
  <c r="E217" i="5"/>
  <c r="F217" i="5"/>
  <c r="G217" i="5"/>
  <c r="E218" i="5"/>
  <c r="F218" i="5"/>
  <c r="G218" i="5"/>
  <c r="E219" i="5"/>
  <c r="F219" i="5"/>
  <c r="G219" i="5"/>
  <c r="E220" i="5"/>
  <c r="F220" i="5"/>
  <c r="G220" i="5"/>
  <c r="E221" i="5"/>
  <c r="F221" i="5"/>
  <c r="G221" i="5"/>
  <c r="E222" i="5"/>
  <c r="F222" i="5"/>
  <c r="G222" i="5"/>
  <c r="E223" i="5"/>
  <c r="F223" i="5"/>
  <c r="G223" i="5"/>
  <c r="E224" i="5"/>
  <c r="F224" i="5"/>
  <c r="G224" i="5"/>
  <c r="E225" i="5"/>
  <c r="F225" i="5"/>
  <c r="G225" i="5"/>
  <c r="E226" i="5"/>
  <c r="F226" i="5"/>
  <c r="G226" i="5"/>
  <c r="E227" i="5"/>
  <c r="F227" i="5"/>
  <c r="G227" i="5"/>
  <c r="E228" i="5"/>
  <c r="F228" i="5"/>
  <c r="G228" i="5"/>
  <c r="E229" i="5"/>
  <c r="F229" i="5"/>
  <c r="G229" i="5"/>
  <c r="E230" i="5"/>
  <c r="F230" i="5"/>
  <c r="G230" i="5"/>
  <c r="E231" i="5"/>
  <c r="F231" i="5"/>
  <c r="G231" i="5"/>
  <c r="E232" i="5"/>
  <c r="F232" i="5"/>
  <c r="G232" i="5"/>
  <c r="E233" i="5"/>
  <c r="F233" i="5"/>
  <c r="G233" i="5"/>
  <c r="E234" i="5"/>
  <c r="F234" i="5"/>
  <c r="G234" i="5"/>
  <c r="E235" i="5"/>
  <c r="F235" i="5"/>
  <c r="G235" i="5"/>
  <c r="E236" i="5"/>
  <c r="F236" i="5"/>
  <c r="G236" i="5"/>
  <c r="E237" i="5"/>
  <c r="F237" i="5"/>
  <c r="G237" i="5"/>
  <c r="E238" i="5"/>
  <c r="F238" i="5"/>
  <c r="G238" i="5"/>
  <c r="E239" i="5"/>
  <c r="F239" i="5"/>
  <c r="G239" i="5"/>
  <c r="E240" i="5"/>
  <c r="F240" i="5"/>
  <c r="G240" i="5"/>
  <c r="E241" i="5"/>
  <c r="F241" i="5"/>
  <c r="G241" i="5"/>
  <c r="E242" i="5"/>
  <c r="F242" i="5"/>
  <c r="G242" i="5"/>
  <c r="E243" i="5"/>
  <c r="F243" i="5"/>
  <c r="G243" i="5"/>
  <c r="E244" i="5"/>
  <c r="F244" i="5"/>
  <c r="G244" i="5"/>
  <c r="E245" i="5"/>
  <c r="F245" i="5"/>
  <c r="G245" i="5"/>
  <c r="E246" i="5"/>
  <c r="F246" i="5"/>
  <c r="G246" i="5"/>
  <c r="E247" i="5"/>
  <c r="F247" i="5"/>
  <c r="G247" i="5"/>
  <c r="E248" i="5"/>
  <c r="F248" i="5"/>
  <c r="G248" i="5"/>
  <c r="E249" i="5"/>
  <c r="F249" i="5"/>
  <c r="G249" i="5"/>
  <c r="E250" i="5"/>
  <c r="F250" i="5"/>
  <c r="G250" i="5"/>
  <c r="E251" i="5"/>
  <c r="F251" i="5"/>
  <c r="G251" i="5"/>
  <c r="E252" i="5"/>
  <c r="F252" i="5"/>
  <c r="G252" i="5"/>
  <c r="E253" i="5"/>
  <c r="F253" i="5"/>
  <c r="G253" i="5"/>
  <c r="E254" i="5"/>
  <c r="F254" i="5"/>
  <c r="G254" i="5"/>
  <c r="E255" i="5"/>
  <c r="F255" i="5"/>
  <c r="G255" i="5"/>
  <c r="E256" i="5"/>
  <c r="F256" i="5"/>
  <c r="G256" i="5"/>
  <c r="E257" i="5"/>
  <c r="F257" i="5"/>
  <c r="G257" i="5"/>
  <c r="E258" i="5"/>
  <c r="F258" i="5"/>
  <c r="G258" i="5"/>
  <c r="E259" i="5"/>
  <c r="F259" i="5"/>
  <c r="G259" i="5"/>
  <c r="E260" i="5"/>
  <c r="F260" i="5"/>
  <c r="G260" i="5"/>
  <c r="E261" i="5"/>
  <c r="F261" i="5"/>
  <c r="G261" i="5"/>
  <c r="E262" i="5"/>
  <c r="F262" i="5"/>
  <c r="G262" i="5"/>
  <c r="E263" i="5"/>
  <c r="F263" i="5"/>
  <c r="G263" i="5"/>
  <c r="E264" i="5"/>
  <c r="F264" i="5"/>
  <c r="G264" i="5"/>
  <c r="E265" i="5"/>
  <c r="F265" i="5"/>
  <c r="G265" i="5"/>
  <c r="E266" i="5"/>
  <c r="F266" i="5"/>
  <c r="G266" i="5"/>
  <c r="E267" i="5"/>
  <c r="F267" i="5"/>
  <c r="G267" i="5"/>
  <c r="E268" i="5"/>
  <c r="F268" i="5"/>
  <c r="G268" i="5"/>
  <c r="E269" i="5"/>
  <c r="F269" i="5"/>
  <c r="G269" i="5"/>
  <c r="E270" i="5"/>
  <c r="F270" i="5"/>
  <c r="G270" i="5"/>
  <c r="E271" i="5"/>
  <c r="F271" i="5"/>
  <c r="G271" i="5"/>
  <c r="E272" i="5"/>
  <c r="F272" i="5"/>
  <c r="G272" i="5"/>
  <c r="E273" i="5"/>
  <c r="F273" i="5"/>
  <c r="G273" i="5"/>
  <c r="E274" i="5"/>
  <c r="F274" i="5"/>
  <c r="G274" i="5"/>
  <c r="E275" i="5"/>
  <c r="F275" i="5"/>
  <c r="G275" i="5"/>
  <c r="E276" i="5"/>
  <c r="F276" i="5"/>
  <c r="G276" i="5"/>
  <c r="E277" i="5"/>
  <c r="F277" i="5"/>
  <c r="G277" i="5"/>
  <c r="E278" i="5"/>
  <c r="F278" i="5"/>
  <c r="G278" i="5"/>
  <c r="E279" i="5"/>
  <c r="F279" i="5"/>
  <c r="G279" i="5"/>
  <c r="E280" i="5"/>
  <c r="F280" i="5"/>
  <c r="G280" i="5"/>
  <c r="E281" i="5"/>
  <c r="F281" i="5"/>
  <c r="G281" i="5"/>
  <c r="E282" i="5"/>
  <c r="F282" i="5"/>
  <c r="G282" i="5"/>
  <c r="E283" i="5"/>
  <c r="F283" i="5"/>
  <c r="G283" i="5"/>
  <c r="E284" i="5"/>
  <c r="F284" i="5"/>
  <c r="G284" i="5"/>
  <c r="E285" i="5"/>
  <c r="F285" i="5"/>
  <c r="G285" i="5"/>
  <c r="E286" i="5"/>
  <c r="F286" i="5"/>
  <c r="G286" i="5"/>
  <c r="E287" i="5"/>
  <c r="F287" i="5"/>
  <c r="G287" i="5"/>
  <c r="E288" i="5"/>
  <c r="F288" i="5"/>
  <c r="G288" i="5"/>
  <c r="E289" i="5"/>
  <c r="F289" i="5"/>
  <c r="G289" i="5"/>
  <c r="E290" i="5"/>
  <c r="F290" i="5"/>
  <c r="G290" i="5"/>
  <c r="E291" i="5"/>
  <c r="F291" i="5"/>
  <c r="G291" i="5"/>
  <c r="E292" i="5"/>
  <c r="F292" i="5"/>
  <c r="G292" i="5"/>
  <c r="E293" i="5"/>
  <c r="F293" i="5"/>
  <c r="G293" i="5"/>
  <c r="E294" i="5"/>
  <c r="F294" i="5"/>
  <c r="G294" i="5"/>
  <c r="E295" i="5"/>
  <c r="F295" i="5"/>
  <c r="G295" i="5"/>
  <c r="E296" i="5"/>
  <c r="F296" i="5"/>
  <c r="G296" i="5"/>
  <c r="E297" i="5"/>
  <c r="F297" i="5"/>
  <c r="G297" i="5"/>
  <c r="E298" i="5"/>
  <c r="F298" i="5"/>
  <c r="G298" i="5"/>
  <c r="E299" i="5"/>
  <c r="F299" i="5"/>
  <c r="G299" i="5"/>
  <c r="E300" i="5"/>
  <c r="F300" i="5"/>
  <c r="G300" i="5"/>
  <c r="E301" i="5"/>
  <c r="F301" i="5"/>
  <c r="G301" i="5"/>
  <c r="E302" i="5"/>
  <c r="F302" i="5"/>
  <c r="G302" i="5"/>
  <c r="E303" i="5"/>
  <c r="F303" i="5"/>
  <c r="G303" i="5"/>
  <c r="E304" i="5"/>
  <c r="F304" i="5"/>
  <c r="G304" i="5"/>
  <c r="E305" i="5"/>
  <c r="F305" i="5"/>
  <c r="G305" i="5"/>
  <c r="E306" i="5"/>
  <c r="F306" i="5"/>
  <c r="G306" i="5"/>
  <c r="E307" i="5"/>
  <c r="F307" i="5"/>
  <c r="G307" i="5"/>
  <c r="E308" i="5"/>
  <c r="F308" i="5"/>
  <c r="G308" i="5"/>
  <c r="E309" i="5"/>
  <c r="F309" i="5"/>
  <c r="G309" i="5"/>
  <c r="E310" i="5"/>
  <c r="F310" i="5"/>
  <c r="G310" i="5"/>
  <c r="E311" i="5"/>
  <c r="F311" i="5"/>
  <c r="G311" i="5"/>
  <c r="E312" i="5"/>
  <c r="F312" i="5"/>
  <c r="G312" i="5"/>
  <c r="E313" i="5"/>
  <c r="F313" i="5"/>
  <c r="G313" i="5"/>
  <c r="E314" i="5"/>
  <c r="F314" i="5"/>
  <c r="G314" i="5"/>
  <c r="E315" i="5"/>
  <c r="F315" i="5"/>
  <c r="G315" i="5"/>
  <c r="E316" i="5"/>
  <c r="F316" i="5"/>
  <c r="G316" i="5"/>
  <c r="E317" i="5"/>
  <c r="F317" i="5"/>
  <c r="G317" i="5"/>
  <c r="E318" i="5"/>
  <c r="F318" i="5"/>
  <c r="G318" i="5"/>
  <c r="E319" i="5"/>
  <c r="F319" i="5"/>
  <c r="G319" i="5"/>
  <c r="E320" i="5"/>
  <c r="F320" i="5"/>
  <c r="G320" i="5"/>
  <c r="E321" i="5"/>
  <c r="F321" i="5"/>
  <c r="G321" i="5"/>
  <c r="E322" i="5"/>
  <c r="F322" i="5"/>
  <c r="G322" i="5"/>
  <c r="E323" i="5"/>
  <c r="F323" i="5"/>
  <c r="G323" i="5"/>
  <c r="E324" i="5"/>
  <c r="F324" i="5"/>
  <c r="G324" i="5"/>
  <c r="E325" i="5"/>
  <c r="F325" i="5"/>
  <c r="G325" i="5"/>
  <c r="E326" i="5"/>
  <c r="F326" i="5"/>
  <c r="G326" i="5"/>
  <c r="E327" i="5"/>
  <c r="F327" i="5"/>
  <c r="G327" i="5"/>
  <c r="E328" i="5"/>
  <c r="F328" i="5"/>
  <c r="G328" i="5"/>
  <c r="E329" i="5"/>
  <c r="F329" i="5"/>
  <c r="G329" i="5"/>
  <c r="E330" i="5"/>
  <c r="F330" i="5"/>
  <c r="G330" i="5"/>
  <c r="F4" i="5"/>
  <c r="G4" i="5"/>
  <c r="E4" i="5"/>
  <c r="B5" i="5"/>
  <c r="C5" i="5"/>
  <c r="D5" i="5"/>
  <c r="B6" i="5"/>
  <c r="O6" i="5" s="1"/>
  <c r="C6" i="5"/>
  <c r="Q6" i="5" s="1"/>
  <c r="D6" i="5"/>
  <c r="B7" i="5"/>
  <c r="C7" i="5"/>
  <c r="D7" i="5"/>
  <c r="B8" i="5"/>
  <c r="C8" i="5"/>
  <c r="D8" i="5"/>
  <c r="B9" i="5"/>
  <c r="C9" i="5"/>
  <c r="D9" i="5"/>
  <c r="B10" i="5"/>
  <c r="O10" i="5" s="1"/>
  <c r="C10" i="5"/>
  <c r="D10" i="5"/>
  <c r="B11" i="5"/>
  <c r="C11" i="5"/>
  <c r="D11" i="5"/>
  <c r="B12" i="5"/>
  <c r="C12" i="5"/>
  <c r="D12" i="5"/>
  <c r="B13" i="5"/>
  <c r="C13" i="5"/>
  <c r="Q13" i="5" s="1"/>
  <c r="D13" i="5"/>
  <c r="B14" i="5"/>
  <c r="O14" i="5" s="1"/>
  <c r="C14" i="5"/>
  <c r="D14" i="5"/>
  <c r="B15" i="5"/>
  <c r="C15" i="5"/>
  <c r="D15" i="5"/>
  <c r="B16" i="5"/>
  <c r="C16" i="5"/>
  <c r="D16" i="5"/>
  <c r="B17" i="5"/>
  <c r="O17" i="5" s="1"/>
  <c r="C17" i="5"/>
  <c r="D17" i="5"/>
  <c r="B18" i="5"/>
  <c r="O18" i="5" s="1"/>
  <c r="C18" i="5"/>
  <c r="D18" i="5"/>
  <c r="B19" i="5"/>
  <c r="O19" i="5" s="1"/>
  <c r="C19" i="5"/>
  <c r="D19" i="5"/>
  <c r="B20" i="5"/>
  <c r="C20" i="5"/>
  <c r="D20" i="5"/>
  <c r="B21" i="5"/>
  <c r="C21" i="5"/>
  <c r="D21" i="5"/>
  <c r="B22" i="5"/>
  <c r="O22" i="5" s="1"/>
  <c r="C22" i="5"/>
  <c r="Q22" i="5" s="1"/>
  <c r="D22" i="5"/>
  <c r="B23" i="5"/>
  <c r="C23" i="5"/>
  <c r="D23" i="5"/>
  <c r="B24" i="5"/>
  <c r="O24" i="5" s="1"/>
  <c r="C24" i="5"/>
  <c r="D24" i="5"/>
  <c r="B25" i="5"/>
  <c r="C25" i="5"/>
  <c r="D25" i="5"/>
  <c r="B26" i="5"/>
  <c r="O26" i="5" s="1"/>
  <c r="C26" i="5"/>
  <c r="D26" i="5"/>
  <c r="B27" i="5"/>
  <c r="C27" i="5"/>
  <c r="D27" i="5"/>
  <c r="B28" i="5"/>
  <c r="C28" i="5"/>
  <c r="D28" i="5"/>
  <c r="B29" i="5"/>
  <c r="C29" i="5"/>
  <c r="D29" i="5"/>
  <c r="B30" i="5"/>
  <c r="O30" i="5" s="1"/>
  <c r="C30" i="5"/>
  <c r="D30" i="5"/>
  <c r="B31" i="5"/>
  <c r="C31" i="5"/>
  <c r="D31" i="5"/>
  <c r="B32" i="5"/>
  <c r="O32" i="5" s="1"/>
  <c r="C32" i="5"/>
  <c r="D32" i="5"/>
  <c r="B33" i="5"/>
  <c r="C33" i="5"/>
  <c r="D33" i="5"/>
  <c r="B34" i="5"/>
  <c r="O34" i="5" s="1"/>
  <c r="C34" i="5"/>
  <c r="D34" i="5"/>
  <c r="B35" i="5"/>
  <c r="O35" i="5" s="1"/>
  <c r="C35" i="5"/>
  <c r="D35" i="5"/>
  <c r="B36" i="5"/>
  <c r="C36" i="5"/>
  <c r="D36" i="5"/>
  <c r="B37" i="5"/>
  <c r="C37" i="5"/>
  <c r="D37" i="5"/>
  <c r="B38" i="5"/>
  <c r="O38" i="5" s="1"/>
  <c r="C38" i="5"/>
  <c r="D38" i="5"/>
  <c r="B39" i="5"/>
  <c r="C39" i="5"/>
  <c r="D39" i="5"/>
  <c r="B40" i="5"/>
  <c r="C40" i="5"/>
  <c r="D40" i="5"/>
  <c r="B41" i="5"/>
  <c r="C41" i="5"/>
  <c r="D41" i="5"/>
  <c r="B42" i="5"/>
  <c r="O42" i="5" s="1"/>
  <c r="C42" i="5"/>
  <c r="D42" i="5"/>
  <c r="B43" i="5"/>
  <c r="O43" i="5" s="1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O48" i="5" s="1"/>
  <c r="C48" i="5"/>
  <c r="D48" i="5"/>
  <c r="B49" i="5"/>
  <c r="C49" i="5"/>
  <c r="D49" i="5"/>
  <c r="B50" i="5"/>
  <c r="O50" i="5" s="1"/>
  <c r="C50" i="5"/>
  <c r="D50" i="5"/>
  <c r="B51" i="5"/>
  <c r="C51" i="5"/>
  <c r="D51" i="5"/>
  <c r="B52" i="5"/>
  <c r="C52" i="5"/>
  <c r="D52" i="5"/>
  <c r="S52" i="5" s="1"/>
  <c r="B53" i="5"/>
  <c r="C53" i="5"/>
  <c r="D53" i="5"/>
  <c r="B54" i="5"/>
  <c r="C54" i="5"/>
  <c r="D54" i="5"/>
  <c r="B55" i="5"/>
  <c r="C55" i="5"/>
  <c r="D55" i="5"/>
  <c r="S55" i="5" s="1"/>
  <c r="B56" i="5"/>
  <c r="O56" i="5" s="1"/>
  <c r="C56" i="5"/>
  <c r="D56" i="5"/>
  <c r="B57" i="5"/>
  <c r="C57" i="5"/>
  <c r="D57" i="5"/>
  <c r="B58" i="5"/>
  <c r="O58" i="5" s="1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O64" i="5" s="1"/>
  <c r="C64" i="5"/>
  <c r="D64" i="5"/>
  <c r="B65" i="5"/>
  <c r="C65" i="5"/>
  <c r="D65" i="5"/>
  <c r="B66" i="5"/>
  <c r="O66" i="5" s="1"/>
  <c r="C66" i="5"/>
  <c r="D66" i="5"/>
  <c r="B67" i="5"/>
  <c r="C67" i="5"/>
  <c r="D67" i="5"/>
  <c r="B68" i="5"/>
  <c r="C68" i="5"/>
  <c r="D68" i="5"/>
  <c r="B69" i="5"/>
  <c r="C69" i="5"/>
  <c r="D69" i="5"/>
  <c r="B70" i="5"/>
  <c r="O70" i="5" s="1"/>
  <c r="C70" i="5"/>
  <c r="D70" i="5"/>
  <c r="B71" i="5"/>
  <c r="C71" i="5"/>
  <c r="D71" i="5"/>
  <c r="B72" i="5"/>
  <c r="C72" i="5"/>
  <c r="D72" i="5"/>
  <c r="B73" i="5"/>
  <c r="C73" i="5"/>
  <c r="D73" i="5"/>
  <c r="B74" i="5"/>
  <c r="O74" i="5" s="1"/>
  <c r="C74" i="5"/>
  <c r="D74" i="5"/>
  <c r="B75" i="5"/>
  <c r="C75" i="5"/>
  <c r="D75" i="5"/>
  <c r="B76" i="5"/>
  <c r="C76" i="5"/>
  <c r="D76" i="5"/>
  <c r="B77" i="5"/>
  <c r="C77" i="5"/>
  <c r="D77" i="5"/>
  <c r="B78" i="5"/>
  <c r="O78" i="5" s="1"/>
  <c r="C78" i="5"/>
  <c r="D78" i="5"/>
  <c r="B79" i="5"/>
  <c r="C79" i="5"/>
  <c r="D79" i="5"/>
  <c r="B80" i="5"/>
  <c r="C80" i="5"/>
  <c r="D80" i="5"/>
  <c r="B81" i="5"/>
  <c r="C81" i="5"/>
  <c r="D81" i="5"/>
  <c r="B82" i="5"/>
  <c r="O82" i="5" s="1"/>
  <c r="C82" i="5"/>
  <c r="D82" i="5"/>
  <c r="B83" i="5"/>
  <c r="O83" i="5" s="1"/>
  <c r="C83" i="5"/>
  <c r="D83" i="5"/>
  <c r="B84" i="5"/>
  <c r="C84" i="5"/>
  <c r="D84" i="5"/>
  <c r="B85" i="5"/>
  <c r="C85" i="5"/>
  <c r="D85" i="5"/>
  <c r="B86" i="5"/>
  <c r="C86" i="5"/>
  <c r="D86" i="5"/>
  <c r="B87" i="5"/>
  <c r="C87" i="5"/>
  <c r="D87" i="5"/>
  <c r="B88" i="5"/>
  <c r="C88" i="5"/>
  <c r="D88" i="5"/>
  <c r="B89" i="5"/>
  <c r="C89" i="5"/>
  <c r="D89" i="5"/>
  <c r="B90" i="5"/>
  <c r="O90" i="5" s="1"/>
  <c r="C90" i="5"/>
  <c r="D90" i="5"/>
  <c r="B91" i="5"/>
  <c r="C91" i="5"/>
  <c r="D91" i="5"/>
  <c r="B92" i="5"/>
  <c r="O92" i="5" s="1"/>
  <c r="C92" i="5"/>
  <c r="D92" i="5"/>
  <c r="B93" i="5"/>
  <c r="C93" i="5"/>
  <c r="D93" i="5"/>
  <c r="B94" i="5"/>
  <c r="O94" i="5" s="1"/>
  <c r="C94" i="5"/>
  <c r="D94" i="5"/>
  <c r="B95" i="5"/>
  <c r="C95" i="5"/>
  <c r="D95" i="5"/>
  <c r="B96" i="5"/>
  <c r="C96" i="5"/>
  <c r="D96" i="5"/>
  <c r="B97" i="5"/>
  <c r="C97" i="5"/>
  <c r="D97" i="5"/>
  <c r="B98" i="5"/>
  <c r="O98" i="5" s="1"/>
  <c r="C98" i="5"/>
  <c r="D98" i="5"/>
  <c r="B99" i="5"/>
  <c r="O99" i="5" s="1"/>
  <c r="C99" i="5"/>
  <c r="D99" i="5"/>
  <c r="B100" i="5"/>
  <c r="C100" i="5"/>
  <c r="D100" i="5"/>
  <c r="B101" i="5"/>
  <c r="C101" i="5"/>
  <c r="D101" i="5"/>
  <c r="B102" i="5"/>
  <c r="C102" i="5"/>
  <c r="D102" i="5"/>
  <c r="B103" i="5"/>
  <c r="C103" i="5"/>
  <c r="D103" i="5"/>
  <c r="B104" i="5"/>
  <c r="C104" i="5"/>
  <c r="D104" i="5"/>
  <c r="B105" i="5"/>
  <c r="C105" i="5"/>
  <c r="D105" i="5"/>
  <c r="B106" i="5"/>
  <c r="O106" i="5" s="1"/>
  <c r="C106" i="5"/>
  <c r="D106" i="5"/>
  <c r="B107" i="5"/>
  <c r="C107" i="5"/>
  <c r="D107" i="5"/>
  <c r="B108" i="5"/>
  <c r="C108" i="5"/>
  <c r="D108" i="5"/>
  <c r="B109" i="5"/>
  <c r="C109" i="5"/>
  <c r="D109" i="5"/>
  <c r="B110" i="5"/>
  <c r="C110" i="5"/>
  <c r="D110" i="5"/>
  <c r="B111" i="5"/>
  <c r="C111" i="5"/>
  <c r="D111" i="5"/>
  <c r="B112" i="5"/>
  <c r="C112" i="5"/>
  <c r="D112" i="5"/>
  <c r="B113" i="5"/>
  <c r="C113" i="5"/>
  <c r="D113" i="5"/>
  <c r="B114" i="5"/>
  <c r="C114" i="5"/>
  <c r="D114" i="5"/>
  <c r="B115" i="5"/>
  <c r="O115" i="5" s="1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O120" i="5" s="1"/>
  <c r="C120" i="5"/>
  <c r="D120" i="5"/>
  <c r="B121" i="5"/>
  <c r="C121" i="5"/>
  <c r="D121" i="5"/>
  <c r="B122" i="5"/>
  <c r="C122" i="5"/>
  <c r="D122" i="5"/>
  <c r="B123" i="5"/>
  <c r="C123" i="5"/>
  <c r="D123" i="5"/>
  <c r="B124" i="5"/>
  <c r="C124" i="5"/>
  <c r="D124" i="5"/>
  <c r="B125" i="5"/>
  <c r="C125" i="5"/>
  <c r="D125" i="5"/>
  <c r="B126" i="5"/>
  <c r="C126" i="5"/>
  <c r="D126" i="5"/>
  <c r="B127" i="5"/>
  <c r="C127" i="5"/>
  <c r="D127" i="5"/>
  <c r="B128" i="5"/>
  <c r="C128" i="5"/>
  <c r="D128" i="5"/>
  <c r="B129" i="5"/>
  <c r="C129" i="5"/>
  <c r="D129" i="5"/>
  <c r="B130" i="5"/>
  <c r="O130" i="5" s="1"/>
  <c r="C130" i="5"/>
  <c r="D130" i="5"/>
  <c r="B131" i="5"/>
  <c r="C131" i="5"/>
  <c r="D131" i="5"/>
  <c r="B132" i="5"/>
  <c r="C132" i="5"/>
  <c r="D132" i="5"/>
  <c r="B133" i="5"/>
  <c r="C133" i="5"/>
  <c r="D133" i="5"/>
  <c r="B134" i="5"/>
  <c r="C134" i="5"/>
  <c r="D134" i="5"/>
  <c r="B135" i="5"/>
  <c r="C135" i="5"/>
  <c r="D135" i="5"/>
  <c r="B136" i="5"/>
  <c r="C136" i="5"/>
  <c r="D136" i="5"/>
  <c r="B137" i="5"/>
  <c r="C137" i="5"/>
  <c r="D137" i="5"/>
  <c r="B138" i="5"/>
  <c r="C138" i="5"/>
  <c r="D138" i="5"/>
  <c r="B139" i="5"/>
  <c r="C139" i="5"/>
  <c r="D139" i="5"/>
  <c r="B140" i="5"/>
  <c r="C140" i="5"/>
  <c r="D140" i="5"/>
  <c r="B141" i="5"/>
  <c r="C141" i="5"/>
  <c r="D141" i="5"/>
  <c r="B142" i="5"/>
  <c r="C142" i="5"/>
  <c r="D142" i="5"/>
  <c r="B143" i="5"/>
  <c r="C143" i="5"/>
  <c r="D143" i="5"/>
  <c r="B144" i="5"/>
  <c r="C144" i="5"/>
  <c r="D144" i="5"/>
  <c r="B145" i="5"/>
  <c r="C145" i="5"/>
  <c r="D145" i="5"/>
  <c r="B146" i="5"/>
  <c r="O146" i="5" s="1"/>
  <c r="C146" i="5"/>
  <c r="D146" i="5"/>
  <c r="B147" i="5"/>
  <c r="C147" i="5"/>
  <c r="D147" i="5"/>
  <c r="B148" i="5"/>
  <c r="C148" i="5"/>
  <c r="D148" i="5"/>
  <c r="B149" i="5"/>
  <c r="C149" i="5"/>
  <c r="D149" i="5"/>
  <c r="B150" i="5"/>
  <c r="C150" i="5"/>
  <c r="D150" i="5"/>
  <c r="B151" i="5"/>
  <c r="C151" i="5"/>
  <c r="D151" i="5"/>
  <c r="B152" i="5"/>
  <c r="C152" i="5"/>
  <c r="D152" i="5"/>
  <c r="B153" i="5"/>
  <c r="C153" i="5"/>
  <c r="D153" i="5"/>
  <c r="B154" i="5"/>
  <c r="O154" i="5" s="1"/>
  <c r="C154" i="5"/>
  <c r="D154" i="5"/>
  <c r="B155" i="5"/>
  <c r="C155" i="5"/>
  <c r="D155" i="5"/>
  <c r="B156" i="5"/>
  <c r="C156" i="5"/>
  <c r="D156" i="5"/>
  <c r="B157" i="5"/>
  <c r="C157" i="5"/>
  <c r="D157" i="5"/>
  <c r="B158" i="5"/>
  <c r="C158" i="5"/>
  <c r="D158" i="5"/>
  <c r="B159" i="5"/>
  <c r="C159" i="5"/>
  <c r="D159" i="5"/>
  <c r="B160" i="5"/>
  <c r="C160" i="5"/>
  <c r="D160" i="5"/>
  <c r="B161" i="5"/>
  <c r="C161" i="5"/>
  <c r="D161" i="5"/>
  <c r="B162" i="5"/>
  <c r="O162" i="5" s="1"/>
  <c r="C162" i="5"/>
  <c r="D162" i="5"/>
  <c r="B163" i="5"/>
  <c r="O163" i="5" s="1"/>
  <c r="C163" i="5"/>
  <c r="D163" i="5"/>
  <c r="B164" i="5"/>
  <c r="C164" i="5"/>
  <c r="D164" i="5"/>
  <c r="B165" i="5"/>
  <c r="C165" i="5"/>
  <c r="D165" i="5"/>
  <c r="B166" i="5"/>
  <c r="C166" i="5"/>
  <c r="D166" i="5"/>
  <c r="B167" i="5"/>
  <c r="C167" i="5"/>
  <c r="D167" i="5"/>
  <c r="B168" i="5"/>
  <c r="C168" i="5"/>
  <c r="D168" i="5"/>
  <c r="B169" i="5"/>
  <c r="C169" i="5"/>
  <c r="D169" i="5"/>
  <c r="B170" i="5"/>
  <c r="O170" i="5" s="1"/>
  <c r="C170" i="5"/>
  <c r="D170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78" i="5"/>
  <c r="C178" i="5"/>
  <c r="D178" i="5"/>
  <c r="B179" i="5"/>
  <c r="O179" i="5" s="1"/>
  <c r="C179" i="5"/>
  <c r="D179" i="5"/>
  <c r="B180" i="5"/>
  <c r="C180" i="5"/>
  <c r="D180" i="5"/>
  <c r="B181" i="5"/>
  <c r="C181" i="5"/>
  <c r="D181" i="5"/>
  <c r="B182" i="5"/>
  <c r="C182" i="5"/>
  <c r="D182" i="5"/>
  <c r="B183" i="5"/>
  <c r="C183" i="5"/>
  <c r="D183" i="5"/>
  <c r="B184" i="5"/>
  <c r="O184" i="5" s="1"/>
  <c r="C184" i="5"/>
  <c r="D184" i="5"/>
  <c r="B185" i="5"/>
  <c r="C185" i="5"/>
  <c r="D185" i="5"/>
  <c r="B186" i="5"/>
  <c r="C186" i="5"/>
  <c r="D186" i="5"/>
  <c r="B187" i="5"/>
  <c r="C187" i="5"/>
  <c r="D187" i="5"/>
  <c r="B188" i="5"/>
  <c r="C188" i="5"/>
  <c r="D188" i="5"/>
  <c r="B189" i="5"/>
  <c r="C189" i="5"/>
  <c r="D189" i="5"/>
  <c r="B190" i="5"/>
  <c r="C190" i="5"/>
  <c r="D190" i="5"/>
  <c r="B191" i="5"/>
  <c r="C191" i="5"/>
  <c r="D191" i="5"/>
  <c r="B192" i="5"/>
  <c r="C192" i="5"/>
  <c r="D192" i="5"/>
  <c r="B193" i="5"/>
  <c r="C193" i="5"/>
  <c r="D193" i="5"/>
  <c r="B194" i="5"/>
  <c r="O194" i="5" s="1"/>
  <c r="C194" i="5"/>
  <c r="D194" i="5"/>
  <c r="B195" i="5"/>
  <c r="C195" i="5"/>
  <c r="D195" i="5"/>
  <c r="B196" i="5"/>
  <c r="C196" i="5"/>
  <c r="D196" i="5"/>
  <c r="B197" i="5"/>
  <c r="C197" i="5"/>
  <c r="D197" i="5"/>
  <c r="B198" i="5"/>
  <c r="O198" i="5" s="1"/>
  <c r="C198" i="5"/>
  <c r="D198" i="5"/>
  <c r="B199" i="5"/>
  <c r="C199" i="5"/>
  <c r="D199" i="5"/>
  <c r="B200" i="5"/>
  <c r="C200" i="5"/>
  <c r="D200" i="5"/>
  <c r="B201" i="5"/>
  <c r="C201" i="5"/>
  <c r="D201" i="5"/>
  <c r="B202" i="5"/>
  <c r="O202" i="5" s="1"/>
  <c r="C202" i="5"/>
  <c r="D202" i="5"/>
  <c r="B203" i="5"/>
  <c r="C203" i="5"/>
  <c r="D203" i="5"/>
  <c r="B204" i="5"/>
  <c r="O204" i="5" s="1"/>
  <c r="C204" i="5"/>
  <c r="D204" i="5"/>
  <c r="B205" i="5"/>
  <c r="C205" i="5"/>
  <c r="D205" i="5"/>
  <c r="B206" i="5"/>
  <c r="C206" i="5"/>
  <c r="D206" i="5"/>
  <c r="B207" i="5"/>
  <c r="C207" i="5"/>
  <c r="D207" i="5"/>
  <c r="B208" i="5"/>
  <c r="C208" i="5"/>
  <c r="D208" i="5"/>
  <c r="B209" i="5"/>
  <c r="C209" i="5"/>
  <c r="D209" i="5"/>
  <c r="B210" i="5"/>
  <c r="C210" i="5"/>
  <c r="D210" i="5"/>
  <c r="B211" i="5"/>
  <c r="C211" i="5"/>
  <c r="D211" i="5"/>
  <c r="B212" i="5"/>
  <c r="O212" i="5" s="1"/>
  <c r="C212" i="5"/>
  <c r="D212" i="5"/>
  <c r="B213" i="5"/>
  <c r="C213" i="5"/>
  <c r="D213" i="5"/>
  <c r="B214" i="5"/>
  <c r="C214" i="5"/>
  <c r="D214" i="5"/>
  <c r="B215" i="5"/>
  <c r="C215" i="5"/>
  <c r="D215" i="5"/>
  <c r="B216" i="5"/>
  <c r="C216" i="5"/>
  <c r="D216" i="5"/>
  <c r="B217" i="5"/>
  <c r="C217" i="5"/>
  <c r="D217" i="5"/>
  <c r="B218" i="5"/>
  <c r="C218" i="5"/>
  <c r="D218" i="5"/>
  <c r="B219" i="5"/>
  <c r="C219" i="5"/>
  <c r="D219" i="5"/>
  <c r="B220" i="5"/>
  <c r="O220" i="5" s="1"/>
  <c r="C220" i="5"/>
  <c r="D220" i="5"/>
  <c r="B221" i="5"/>
  <c r="C221" i="5"/>
  <c r="D221" i="5"/>
  <c r="B222" i="5"/>
  <c r="C222" i="5"/>
  <c r="D222" i="5"/>
  <c r="B223" i="5"/>
  <c r="C223" i="5"/>
  <c r="D223" i="5"/>
  <c r="B224" i="5"/>
  <c r="C224" i="5"/>
  <c r="D224" i="5"/>
  <c r="B225" i="5"/>
  <c r="C225" i="5"/>
  <c r="D225" i="5"/>
  <c r="B226" i="5"/>
  <c r="C226" i="5"/>
  <c r="D226" i="5"/>
  <c r="B227" i="5"/>
  <c r="C227" i="5"/>
  <c r="D227" i="5"/>
  <c r="B228" i="5"/>
  <c r="O228" i="5" s="1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3" i="5"/>
  <c r="C233" i="5"/>
  <c r="D233" i="5"/>
  <c r="B234" i="5"/>
  <c r="O234" i="5" s="1"/>
  <c r="C234" i="5"/>
  <c r="D234" i="5"/>
  <c r="B235" i="5"/>
  <c r="C235" i="5"/>
  <c r="D235" i="5"/>
  <c r="B236" i="5"/>
  <c r="O236" i="5" s="1"/>
  <c r="C236" i="5"/>
  <c r="D236" i="5"/>
  <c r="B237" i="5"/>
  <c r="C237" i="5"/>
  <c r="D237" i="5"/>
  <c r="B238" i="5"/>
  <c r="C238" i="5"/>
  <c r="D238" i="5"/>
  <c r="B239" i="5"/>
  <c r="C239" i="5"/>
  <c r="D239" i="5"/>
  <c r="B240" i="5"/>
  <c r="C240" i="5"/>
  <c r="D240" i="5"/>
  <c r="B241" i="5"/>
  <c r="C241" i="5"/>
  <c r="D241" i="5"/>
  <c r="B242" i="5"/>
  <c r="O242" i="5" s="1"/>
  <c r="C242" i="5"/>
  <c r="D242" i="5"/>
  <c r="B243" i="5"/>
  <c r="C243" i="5"/>
  <c r="D243" i="5"/>
  <c r="B244" i="5"/>
  <c r="O244" i="5" s="1"/>
  <c r="C244" i="5"/>
  <c r="D244" i="5"/>
  <c r="B245" i="5"/>
  <c r="C245" i="5"/>
  <c r="D245" i="5"/>
  <c r="B246" i="5"/>
  <c r="C246" i="5"/>
  <c r="D246" i="5"/>
  <c r="B247" i="5"/>
  <c r="C247" i="5"/>
  <c r="D247" i="5"/>
  <c r="B248" i="5"/>
  <c r="O248" i="5" s="1"/>
  <c r="C248" i="5"/>
  <c r="D248" i="5"/>
  <c r="B249" i="5"/>
  <c r="C249" i="5"/>
  <c r="D249" i="5"/>
  <c r="B250" i="5"/>
  <c r="C250" i="5"/>
  <c r="D250" i="5"/>
  <c r="B251" i="5"/>
  <c r="C251" i="5"/>
  <c r="D251" i="5"/>
  <c r="B252" i="5"/>
  <c r="O252" i="5" s="1"/>
  <c r="C252" i="5"/>
  <c r="D252" i="5"/>
  <c r="B253" i="5"/>
  <c r="C253" i="5"/>
  <c r="D253" i="5"/>
  <c r="B254" i="5"/>
  <c r="C254" i="5"/>
  <c r="D254" i="5"/>
  <c r="B255" i="5"/>
  <c r="C255" i="5"/>
  <c r="D255" i="5"/>
  <c r="B256" i="5"/>
  <c r="C256" i="5"/>
  <c r="D256" i="5"/>
  <c r="B257" i="5"/>
  <c r="C257" i="5"/>
  <c r="D257" i="5"/>
  <c r="B258" i="5"/>
  <c r="C258" i="5"/>
  <c r="D258" i="5"/>
  <c r="B259" i="5"/>
  <c r="C259" i="5"/>
  <c r="D259" i="5"/>
  <c r="B260" i="5"/>
  <c r="O260" i="5" s="1"/>
  <c r="C260" i="5"/>
  <c r="D260" i="5"/>
  <c r="B261" i="5"/>
  <c r="C261" i="5"/>
  <c r="D261" i="5"/>
  <c r="B262" i="5"/>
  <c r="C262" i="5"/>
  <c r="D262" i="5"/>
  <c r="B263" i="5"/>
  <c r="C263" i="5"/>
  <c r="D263" i="5"/>
  <c r="B264" i="5"/>
  <c r="O264" i="5" s="1"/>
  <c r="C264" i="5"/>
  <c r="D264" i="5"/>
  <c r="B265" i="5"/>
  <c r="C265" i="5"/>
  <c r="D265" i="5"/>
  <c r="B266" i="5"/>
  <c r="C266" i="5"/>
  <c r="D266" i="5"/>
  <c r="B267" i="5"/>
  <c r="C267" i="5"/>
  <c r="D267" i="5"/>
  <c r="B268" i="5"/>
  <c r="O268" i="5" s="1"/>
  <c r="C268" i="5"/>
  <c r="D268" i="5"/>
  <c r="B269" i="5"/>
  <c r="C269" i="5"/>
  <c r="D269" i="5"/>
  <c r="B270" i="5"/>
  <c r="C270" i="5"/>
  <c r="D270" i="5"/>
  <c r="B271" i="5"/>
  <c r="C271" i="5"/>
  <c r="D271" i="5"/>
  <c r="B272" i="5"/>
  <c r="C272" i="5"/>
  <c r="D272" i="5"/>
  <c r="B273" i="5"/>
  <c r="C273" i="5"/>
  <c r="D273" i="5"/>
  <c r="B274" i="5"/>
  <c r="C274" i="5"/>
  <c r="D274" i="5"/>
  <c r="B275" i="5"/>
  <c r="C275" i="5"/>
  <c r="D275" i="5"/>
  <c r="B276" i="5"/>
  <c r="O276" i="5" s="1"/>
  <c r="C276" i="5"/>
  <c r="D276" i="5"/>
  <c r="B277" i="5"/>
  <c r="C277" i="5"/>
  <c r="D277" i="5"/>
  <c r="B278" i="5"/>
  <c r="C278" i="5"/>
  <c r="D278" i="5"/>
  <c r="B279" i="5"/>
  <c r="C279" i="5"/>
  <c r="D279" i="5"/>
  <c r="B280" i="5"/>
  <c r="C280" i="5"/>
  <c r="D280" i="5"/>
  <c r="B281" i="5"/>
  <c r="C281" i="5"/>
  <c r="D281" i="5"/>
  <c r="B282" i="5"/>
  <c r="C282" i="5"/>
  <c r="D282" i="5"/>
  <c r="B283" i="5"/>
  <c r="C283" i="5"/>
  <c r="D283" i="5"/>
  <c r="B284" i="5"/>
  <c r="O284" i="5" s="1"/>
  <c r="C284" i="5"/>
  <c r="D284" i="5"/>
  <c r="B285" i="5"/>
  <c r="C285" i="5"/>
  <c r="D285" i="5"/>
  <c r="B286" i="5"/>
  <c r="C286" i="5"/>
  <c r="D286" i="5"/>
  <c r="B287" i="5"/>
  <c r="C287" i="5"/>
  <c r="D287" i="5"/>
  <c r="B288" i="5"/>
  <c r="C288" i="5"/>
  <c r="D288" i="5"/>
  <c r="B289" i="5"/>
  <c r="C289" i="5"/>
  <c r="D289" i="5"/>
  <c r="B290" i="5"/>
  <c r="C290" i="5"/>
  <c r="D290" i="5"/>
  <c r="B291" i="5"/>
  <c r="C291" i="5"/>
  <c r="D291" i="5"/>
  <c r="B292" i="5"/>
  <c r="O292" i="5" s="1"/>
  <c r="C292" i="5"/>
  <c r="D292" i="5"/>
  <c r="B293" i="5"/>
  <c r="C293" i="5"/>
  <c r="D293" i="5"/>
  <c r="B294" i="5"/>
  <c r="C294" i="5"/>
  <c r="D294" i="5"/>
  <c r="B295" i="5"/>
  <c r="C295" i="5"/>
  <c r="D295" i="5"/>
  <c r="B296" i="5"/>
  <c r="O296" i="5" s="1"/>
  <c r="C296" i="5"/>
  <c r="D296" i="5"/>
  <c r="B297" i="5"/>
  <c r="C297" i="5"/>
  <c r="D297" i="5"/>
  <c r="B298" i="5"/>
  <c r="C298" i="5"/>
  <c r="D298" i="5"/>
  <c r="B299" i="5"/>
  <c r="C299" i="5"/>
  <c r="D299" i="5"/>
  <c r="B300" i="5"/>
  <c r="O300" i="5" s="1"/>
  <c r="C300" i="5"/>
  <c r="D300" i="5"/>
  <c r="B301" i="5"/>
  <c r="C301" i="5"/>
  <c r="D301" i="5"/>
  <c r="B302" i="5"/>
  <c r="C302" i="5"/>
  <c r="D302" i="5"/>
  <c r="B303" i="5"/>
  <c r="C303" i="5"/>
  <c r="D303" i="5"/>
  <c r="B304" i="5"/>
  <c r="C304" i="5"/>
  <c r="D304" i="5"/>
  <c r="B305" i="5"/>
  <c r="C305" i="5"/>
  <c r="D305" i="5"/>
  <c r="B306" i="5"/>
  <c r="O306" i="5" s="1"/>
  <c r="C306" i="5"/>
  <c r="D306" i="5"/>
  <c r="B307" i="5"/>
  <c r="C307" i="5"/>
  <c r="D307" i="5"/>
  <c r="B308" i="5"/>
  <c r="C308" i="5"/>
  <c r="D308" i="5"/>
  <c r="B309" i="5"/>
  <c r="C309" i="5"/>
  <c r="D309" i="5"/>
  <c r="B310" i="5"/>
  <c r="C310" i="5"/>
  <c r="D310" i="5"/>
  <c r="B311" i="5"/>
  <c r="C311" i="5"/>
  <c r="D311" i="5"/>
  <c r="B312" i="5"/>
  <c r="C312" i="5"/>
  <c r="D312" i="5"/>
  <c r="B313" i="5"/>
  <c r="C313" i="5"/>
  <c r="D313" i="5"/>
  <c r="B314" i="5"/>
  <c r="C314" i="5"/>
  <c r="D314" i="5"/>
  <c r="B315" i="5"/>
  <c r="C315" i="5"/>
  <c r="D315" i="5"/>
  <c r="B316" i="5"/>
  <c r="O316" i="5" s="1"/>
  <c r="C316" i="5"/>
  <c r="D316" i="5"/>
  <c r="B317" i="5"/>
  <c r="C317" i="5"/>
  <c r="D317" i="5"/>
  <c r="B318" i="5"/>
  <c r="C318" i="5"/>
  <c r="D318" i="5"/>
  <c r="B319" i="5"/>
  <c r="C319" i="5"/>
  <c r="D319" i="5"/>
  <c r="B320" i="5"/>
  <c r="C320" i="5"/>
  <c r="D320" i="5"/>
  <c r="B321" i="5"/>
  <c r="C321" i="5"/>
  <c r="D321" i="5"/>
  <c r="B322" i="5"/>
  <c r="O322" i="5" s="1"/>
  <c r="C322" i="5"/>
  <c r="D322" i="5"/>
  <c r="B323" i="5"/>
  <c r="C323" i="5"/>
  <c r="D323" i="5"/>
  <c r="B324" i="5"/>
  <c r="O324" i="5" s="1"/>
  <c r="C324" i="5"/>
  <c r="D324" i="5"/>
  <c r="B325" i="5"/>
  <c r="C325" i="5"/>
  <c r="D325" i="5"/>
  <c r="B326" i="5"/>
  <c r="C326" i="5"/>
  <c r="D326" i="5"/>
  <c r="B327" i="5"/>
  <c r="C327" i="5"/>
  <c r="D327" i="5"/>
  <c r="B328" i="5"/>
  <c r="O328" i="5" s="1"/>
  <c r="C328" i="5"/>
  <c r="D328" i="5"/>
  <c r="B329" i="5"/>
  <c r="C329" i="5"/>
  <c r="D329" i="5"/>
  <c r="B330" i="5"/>
  <c r="O330" i="5" s="1"/>
  <c r="C330" i="5"/>
  <c r="D330" i="5"/>
  <c r="C4" i="5"/>
  <c r="D4" i="5"/>
  <c r="B4" i="5"/>
  <c r="P5" i="5"/>
  <c r="P6" i="5"/>
  <c r="P7" i="5"/>
  <c r="O8" i="5"/>
  <c r="P8" i="5"/>
  <c r="O9" i="5"/>
  <c r="P9" i="5"/>
  <c r="P10" i="5"/>
  <c r="O11" i="5"/>
  <c r="P11" i="5"/>
  <c r="O12" i="5"/>
  <c r="P12" i="5"/>
  <c r="P13" i="5"/>
  <c r="P14" i="5"/>
  <c r="P15" i="5"/>
  <c r="O16" i="5"/>
  <c r="P16" i="5"/>
  <c r="P17" i="5"/>
  <c r="P18" i="5"/>
  <c r="P19" i="5"/>
  <c r="O20" i="5"/>
  <c r="P20" i="5"/>
  <c r="P21" i="5"/>
  <c r="P22" i="5"/>
  <c r="P23" i="5"/>
  <c r="P24" i="5"/>
  <c r="O25" i="5"/>
  <c r="P25" i="5"/>
  <c r="O27" i="5"/>
  <c r="P27" i="5"/>
  <c r="O28" i="5"/>
  <c r="P29" i="5"/>
  <c r="P33" i="5"/>
  <c r="O36" i="5"/>
  <c r="P37" i="5"/>
  <c r="O40" i="5"/>
  <c r="O41" i="5"/>
  <c r="P41" i="5"/>
  <c r="O44" i="5"/>
  <c r="P45" i="5"/>
  <c r="P49" i="5"/>
  <c r="P51" i="5"/>
  <c r="P57" i="5"/>
  <c r="P58" i="5"/>
  <c r="P59" i="5"/>
  <c r="O60" i="5"/>
  <c r="P61" i="5"/>
  <c r="P71" i="5"/>
  <c r="P73" i="5"/>
  <c r="P76" i="5"/>
  <c r="P77" i="5"/>
  <c r="O84" i="5"/>
  <c r="P89" i="5"/>
  <c r="P90" i="5"/>
  <c r="P93" i="5"/>
  <c r="O100" i="5"/>
  <c r="P100" i="5"/>
  <c r="P101" i="5"/>
  <c r="P105" i="5"/>
  <c r="O108" i="5"/>
  <c r="P109" i="5"/>
  <c r="P113" i="5"/>
  <c r="O116" i="5"/>
  <c r="P117" i="5"/>
  <c r="P118" i="5"/>
  <c r="P121" i="5"/>
  <c r="O124" i="5"/>
  <c r="P124" i="5"/>
  <c r="P127" i="5"/>
  <c r="P129" i="5"/>
  <c r="O132" i="5"/>
  <c r="P132" i="5"/>
  <c r="P133" i="5"/>
  <c r="P137" i="5"/>
  <c r="O140" i="5"/>
  <c r="P140" i="5"/>
  <c r="P145" i="5"/>
  <c r="P149" i="5"/>
  <c r="O156" i="5"/>
  <c r="P157" i="5"/>
  <c r="P161" i="5"/>
  <c r="P162" i="5"/>
  <c r="Z162" i="5" s="1"/>
  <c r="O164" i="5"/>
  <c r="P165" i="5"/>
  <c r="O172" i="5"/>
  <c r="P173" i="5"/>
  <c r="P179" i="5"/>
  <c r="Z179" i="5" s="1"/>
  <c r="P185" i="5"/>
  <c r="P186" i="5"/>
  <c r="Z186" i="5" s="1"/>
  <c r="P189" i="5"/>
  <c r="O196" i="5"/>
  <c r="P201" i="5"/>
  <c r="P209" i="5"/>
  <c r="P213" i="5"/>
  <c r="P221" i="5"/>
  <c r="P229" i="5"/>
  <c r="P233" i="5"/>
  <c r="P245" i="5"/>
  <c r="P253" i="5"/>
  <c r="P264" i="5"/>
  <c r="P269" i="5"/>
  <c r="P277" i="5"/>
  <c r="P285" i="5"/>
  <c r="P293" i="5"/>
  <c r="O301" i="5"/>
  <c r="P301" i="5"/>
  <c r="P309" i="5"/>
  <c r="P317" i="5"/>
  <c r="P318" i="5"/>
  <c r="P326" i="5"/>
  <c r="P329" i="5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I85" i="1"/>
  <c r="AJ85" i="1"/>
  <c r="AI86" i="1"/>
  <c r="AJ86" i="1"/>
  <c r="AI87" i="1"/>
  <c r="AJ87" i="1"/>
  <c r="AI88" i="1"/>
  <c r="AJ88" i="1"/>
  <c r="AI89" i="1"/>
  <c r="AJ89" i="1"/>
  <c r="AI90" i="1"/>
  <c r="AJ90" i="1"/>
  <c r="AI91" i="1"/>
  <c r="AJ91" i="1"/>
  <c r="AI92" i="1"/>
  <c r="AJ92" i="1"/>
  <c r="AI93" i="1"/>
  <c r="AJ93" i="1"/>
  <c r="AI94" i="1"/>
  <c r="AJ94" i="1"/>
  <c r="AI95" i="1"/>
  <c r="AJ95" i="1"/>
  <c r="AI96" i="1"/>
  <c r="AJ96" i="1"/>
  <c r="AI97" i="1"/>
  <c r="AJ97" i="1"/>
  <c r="AI98" i="1"/>
  <c r="AJ98" i="1"/>
  <c r="AI99" i="1"/>
  <c r="AJ99" i="1"/>
  <c r="AI100" i="1"/>
  <c r="AJ100" i="1"/>
  <c r="AI101" i="1"/>
  <c r="AJ101" i="1"/>
  <c r="AI102" i="1"/>
  <c r="AJ102" i="1"/>
  <c r="AI103" i="1"/>
  <c r="AJ103" i="1"/>
  <c r="AI104" i="1"/>
  <c r="AJ104" i="1"/>
  <c r="AI105" i="1"/>
  <c r="AJ105" i="1"/>
  <c r="AI106" i="1"/>
  <c r="AJ106" i="1"/>
  <c r="AI107" i="1"/>
  <c r="AJ107" i="1"/>
  <c r="AI108" i="1"/>
  <c r="AJ108" i="1"/>
  <c r="AI109" i="1"/>
  <c r="AJ109" i="1"/>
  <c r="AI110" i="1"/>
  <c r="AJ110" i="1"/>
  <c r="AI111" i="1"/>
  <c r="AJ111" i="1"/>
  <c r="AI112" i="1"/>
  <c r="AJ112" i="1"/>
  <c r="AI113" i="1"/>
  <c r="AJ113" i="1"/>
  <c r="AI114" i="1"/>
  <c r="AJ114" i="1"/>
  <c r="AI115" i="1"/>
  <c r="AJ115" i="1"/>
  <c r="AI116" i="1"/>
  <c r="AJ116" i="1"/>
  <c r="AI117" i="1"/>
  <c r="AJ117" i="1"/>
  <c r="AI118" i="1"/>
  <c r="AJ118" i="1"/>
  <c r="AI119" i="1"/>
  <c r="AJ119" i="1"/>
  <c r="AI120" i="1"/>
  <c r="AJ120" i="1"/>
  <c r="AI121" i="1"/>
  <c r="AJ121" i="1"/>
  <c r="AI122" i="1"/>
  <c r="AJ122" i="1"/>
  <c r="AI123" i="1"/>
  <c r="AJ123" i="1"/>
  <c r="AI124" i="1"/>
  <c r="AJ124" i="1"/>
  <c r="AI125" i="1"/>
  <c r="AJ125" i="1"/>
  <c r="AI126" i="1"/>
  <c r="AJ126" i="1"/>
  <c r="AI127" i="1"/>
  <c r="AJ127" i="1"/>
  <c r="AI128" i="1"/>
  <c r="AJ128" i="1"/>
  <c r="AI129" i="1"/>
  <c r="AJ129" i="1"/>
  <c r="AI130" i="1"/>
  <c r="AJ130" i="1"/>
  <c r="AI131" i="1"/>
  <c r="AJ131" i="1"/>
  <c r="AI132" i="1"/>
  <c r="AJ132" i="1"/>
  <c r="AI133" i="1"/>
  <c r="AJ133" i="1"/>
  <c r="AI134" i="1"/>
  <c r="AJ134" i="1"/>
  <c r="AI135" i="1"/>
  <c r="AJ135" i="1"/>
  <c r="AI136" i="1"/>
  <c r="AJ136" i="1"/>
  <c r="AI137" i="1"/>
  <c r="AJ137" i="1"/>
  <c r="AI138" i="1"/>
  <c r="AJ138" i="1"/>
  <c r="AI139" i="1"/>
  <c r="AJ139" i="1"/>
  <c r="AI140" i="1"/>
  <c r="AJ140" i="1"/>
  <c r="AI141" i="1"/>
  <c r="AJ141" i="1"/>
  <c r="AI142" i="1"/>
  <c r="AJ142" i="1"/>
  <c r="AI143" i="1"/>
  <c r="AJ143" i="1"/>
  <c r="AI144" i="1"/>
  <c r="AJ144" i="1"/>
  <c r="AI145" i="1"/>
  <c r="AJ145" i="1"/>
  <c r="AI146" i="1"/>
  <c r="AJ146" i="1"/>
  <c r="AI147" i="1"/>
  <c r="AJ147" i="1"/>
  <c r="AI148" i="1"/>
  <c r="AJ148" i="1"/>
  <c r="AI149" i="1"/>
  <c r="AJ149" i="1"/>
  <c r="AI150" i="1"/>
  <c r="AJ150" i="1"/>
  <c r="AI151" i="1"/>
  <c r="AJ151" i="1"/>
  <c r="AI152" i="1"/>
  <c r="AJ152" i="1"/>
  <c r="AI153" i="1"/>
  <c r="AJ153" i="1"/>
  <c r="AI154" i="1"/>
  <c r="AJ154" i="1"/>
  <c r="AI155" i="1"/>
  <c r="AJ155" i="1"/>
  <c r="AI156" i="1"/>
  <c r="AJ156" i="1"/>
  <c r="AI157" i="1"/>
  <c r="AJ157" i="1"/>
  <c r="AI158" i="1"/>
  <c r="AJ158" i="1"/>
  <c r="AI159" i="1"/>
  <c r="AJ159" i="1"/>
  <c r="AI160" i="1"/>
  <c r="AJ160" i="1"/>
  <c r="AI161" i="1"/>
  <c r="AJ161" i="1"/>
  <c r="AI162" i="1"/>
  <c r="AJ162" i="1"/>
  <c r="AI163" i="1"/>
  <c r="AJ163" i="1"/>
  <c r="AI164" i="1"/>
  <c r="AJ164" i="1"/>
  <c r="AI165" i="1"/>
  <c r="AJ165" i="1"/>
  <c r="AI166" i="1"/>
  <c r="AJ166" i="1"/>
  <c r="AI167" i="1"/>
  <c r="AJ167" i="1"/>
  <c r="AI168" i="1"/>
  <c r="AJ168" i="1"/>
  <c r="AI169" i="1"/>
  <c r="AJ169" i="1"/>
  <c r="AI170" i="1"/>
  <c r="AJ170" i="1"/>
  <c r="AI171" i="1"/>
  <c r="AJ171" i="1"/>
  <c r="AI172" i="1"/>
  <c r="AJ172" i="1"/>
  <c r="AI173" i="1"/>
  <c r="AJ173" i="1"/>
  <c r="AI174" i="1"/>
  <c r="AJ174" i="1"/>
  <c r="AI175" i="1"/>
  <c r="AJ175" i="1"/>
  <c r="AI176" i="1"/>
  <c r="AJ176" i="1"/>
  <c r="AI177" i="1"/>
  <c r="AJ177" i="1"/>
  <c r="AI178" i="1"/>
  <c r="AJ178" i="1"/>
  <c r="AI179" i="1"/>
  <c r="AJ179" i="1"/>
  <c r="AI180" i="1"/>
  <c r="AJ180" i="1"/>
  <c r="AI181" i="1"/>
  <c r="AJ181" i="1"/>
  <c r="AI182" i="1"/>
  <c r="AJ182" i="1"/>
  <c r="AI183" i="1"/>
  <c r="AJ183" i="1"/>
  <c r="AI184" i="1"/>
  <c r="AJ184" i="1"/>
  <c r="AI185" i="1"/>
  <c r="AJ185" i="1"/>
  <c r="AI186" i="1"/>
  <c r="AJ186" i="1"/>
  <c r="AI187" i="1"/>
  <c r="AJ187" i="1"/>
  <c r="AI188" i="1"/>
  <c r="AJ188" i="1"/>
  <c r="AI189" i="1"/>
  <c r="AJ189" i="1"/>
  <c r="AI190" i="1"/>
  <c r="AJ190" i="1"/>
  <c r="AI191" i="1"/>
  <c r="AJ191" i="1"/>
  <c r="AI192" i="1"/>
  <c r="AJ192" i="1"/>
  <c r="AI193" i="1"/>
  <c r="AJ193" i="1"/>
  <c r="AI194" i="1"/>
  <c r="AJ194" i="1"/>
  <c r="AI195" i="1"/>
  <c r="AJ195" i="1"/>
  <c r="AI196" i="1"/>
  <c r="AJ196" i="1"/>
  <c r="AJ2" i="1"/>
  <c r="AI2" i="1"/>
  <c r="AG4" i="1"/>
  <c r="AG5" i="1"/>
  <c r="AG9" i="1"/>
  <c r="AG17" i="1"/>
  <c r="AG18" i="1"/>
  <c r="AG25" i="1"/>
  <c r="AG26" i="1"/>
  <c r="AG33" i="1"/>
  <c r="AG34" i="1"/>
  <c r="AG37" i="1"/>
  <c r="AG52" i="1"/>
  <c r="AG53" i="1"/>
  <c r="AG61" i="1"/>
  <c r="AG62" i="1"/>
  <c r="AG65" i="1"/>
  <c r="AG69" i="1"/>
  <c r="AG70" i="1"/>
  <c r="AG71" i="1"/>
  <c r="AG73" i="1"/>
  <c r="AG79" i="1"/>
  <c r="AG82" i="1"/>
  <c r="AG92" i="1"/>
  <c r="AG100" i="1"/>
  <c r="AG119" i="1"/>
  <c r="AG127" i="1"/>
  <c r="AG128" i="1"/>
  <c r="AG135" i="1"/>
  <c r="AG136" i="1"/>
  <c r="AG143" i="1"/>
  <c r="AG156" i="1"/>
  <c r="AG164" i="1"/>
  <c r="AG174" i="1"/>
  <c r="AG183" i="1"/>
  <c r="AG191" i="1"/>
  <c r="AG192" i="1"/>
  <c r="AD4" i="1"/>
  <c r="AD5" i="1"/>
  <c r="AD12" i="1"/>
  <c r="AD15" i="1"/>
  <c r="AD25" i="1"/>
  <c r="AD33" i="1"/>
  <c r="AD52" i="1"/>
  <c r="AD60" i="1"/>
  <c r="AD61" i="1"/>
  <c r="AD68" i="1"/>
  <c r="AD69" i="1"/>
  <c r="AD76" i="1"/>
  <c r="AD87" i="1"/>
  <c r="AD89" i="1"/>
  <c r="AD97" i="1"/>
  <c r="AD116" i="1"/>
  <c r="AD124" i="1"/>
  <c r="AD125" i="1"/>
  <c r="AD132" i="1"/>
  <c r="AD133" i="1"/>
  <c r="AD140" i="1"/>
  <c r="AD151" i="1"/>
  <c r="AD153" i="1"/>
  <c r="AD161" i="1"/>
  <c r="AD180" i="1"/>
  <c r="AD188" i="1"/>
  <c r="AD189" i="1"/>
  <c r="AD196" i="1"/>
  <c r="AE3" i="1"/>
  <c r="AF3" i="1" s="1"/>
  <c r="AG3" i="1" s="1"/>
  <c r="AE4" i="1"/>
  <c r="AF4" i="1" s="1"/>
  <c r="AE5" i="1"/>
  <c r="AF5" i="1"/>
  <c r="AE6" i="1"/>
  <c r="AF6" i="1"/>
  <c r="AG6" i="1" s="1"/>
  <c r="AE7" i="1"/>
  <c r="AF7" i="1"/>
  <c r="AG7" i="1" s="1"/>
  <c r="AE8" i="1"/>
  <c r="AF8" i="1" s="1"/>
  <c r="AG8" i="1" s="1"/>
  <c r="AE9" i="1"/>
  <c r="AF9" i="1"/>
  <c r="AE10" i="1"/>
  <c r="AF10" i="1"/>
  <c r="AG10" i="1" s="1"/>
  <c r="AE11" i="1"/>
  <c r="AF11" i="1"/>
  <c r="AG11" i="1" s="1"/>
  <c r="AE12" i="1"/>
  <c r="AF12" i="1" s="1"/>
  <c r="AG12" i="1" s="1"/>
  <c r="AE13" i="1"/>
  <c r="AF13" i="1"/>
  <c r="AG13" i="1" s="1"/>
  <c r="AE14" i="1"/>
  <c r="AF14" i="1"/>
  <c r="AG14" i="1" s="1"/>
  <c r="AE15" i="1"/>
  <c r="AF15" i="1"/>
  <c r="AG15" i="1" s="1"/>
  <c r="AE16" i="1"/>
  <c r="AF16" i="1" s="1"/>
  <c r="AG16" i="1" s="1"/>
  <c r="AE17" i="1"/>
  <c r="AF17" i="1"/>
  <c r="AE18" i="1"/>
  <c r="AF18" i="1"/>
  <c r="AE19" i="1"/>
  <c r="AF19" i="1"/>
  <c r="AG19" i="1" s="1"/>
  <c r="AE20" i="1"/>
  <c r="AF20" i="1" s="1"/>
  <c r="AG20" i="1" s="1"/>
  <c r="AE21" i="1"/>
  <c r="AF21" i="1"/>
  <c r="AG21" i="1" s="1"/>
  <c r="AE22" i="1"/>
  <c r="AF22" i="1"/>
  <c r="AG22" i="1" s="1"/>
  <c r="AE23" i="1"/>
  <c r="AF23" i="1"/>
  <c r="AG23" i="1" s="1"/>
  <c r="AE24" i="1"/>
  <c r="AF24" i="1" s="1"/>
  <c r="AG24" i="1" s="1"/>
  <c r="AE25" i="1"/>
  <c r="AF25" i="1"/>
  <c r="AE26" i="1"/>
  <c r="AF26" i="1"/>
  <c r="AE27" i="1"/>
  <c r="AF27" i="1"/>
  <c r="AG27" i="1" s="1"/>
  <c r="AE28" i="1"/>
  <c r="AF28" i="1" s="1"/>
  <c r="AG28" i="1" s="1"/>
  <c r="AE29" i="1"/>
  <c r="AF29" i="1"/>
  <c r="AG29" i="1" s="1"/>
  <c r="AE30" i="1"/>
  <c r="AF30" i="1"/>
  <c r="AG30" i="1" s="1"/>
  <c r="AE31" i="1"/>
  <c r="AF31" i="1"/>
  <c r="AG31" i="1" s="1"/>
  <c r="AE32" i="1"/>
  <c r="AF32" i="1" s="1"/>
  <c r="AG32" i="1" s="1"/>
  <c r="AE33" i="1"/>
  <c r="AF33" i="1" s="1"/>
  <c r="AE34" i="1"/>
  <c r="AF34" i="1"/>
  <c r="AE35" i="1"/>
  <c r="AF35" i="1"/>
  <c r="AG35" i="1" s="1"/>
  <c r="AE36" i="1"/>
  <c r="AF36" i="1"/>
  <c r="AG36" i="1" s="1"/>
  <c r="AE37" i="1"/>
  <c r="AF37" i="1" s="1"/>
  <c r="AE38" i="1"/>
  <c r="AF38" i="1"/>
  <c r="AG38" i="1" s="1"/>
  <c r="AE39" i="1"/>
  <c r="AF39" i="1"/>
  <c r="AG39" i="1" s="1"/>
  <c r="AE40" i="1"/>
  <c r="AF40" i="1"/>
  <c r="AG40" i="1" s="1"/>
  <c r="AE41" i="1"/>
  <c r="AF41" i="1" s="1"/>
  <c r="AG41" i="1" s="1"/>
  <c r="AE42" i="1"/>
  <c r="AF42" i="1" s="1"/>
  <c r="AG42" i="1" s="1"/>
  <c r="AE43" i="1"/>
  <c r="AF43" i="1"/>
  <c r="AG43" i="1" s="1"/>
  <c r="AE44" i="1"/>
  <c r="AF44" i="1"/>
  <c r="AG44" i="1" s="1"/>
  <c r="AE45" i="1"/>
  <c r="AF45" i="1" s="1"/>
  <c r="AG45" i="1" s="1"/>
  <c r="AE46" i="1"/>
  <c r="AF46" i="1" s="1"/>
  <c r="AG46" i="1" s="1"/>
  <c r="AE47" i="1"/>
  <c r="AF47" i="1"/>
  <c r="AG47" i="1" s="1"/>
  <c r="AE48" i="1"/>
  <c r="AF48" i="1"/>
  <c r="AG48" i="1" s="1"/>
  <c r="AE49" i="1"/>
  <c r="AF49" i="1" s="1"/>
  <c r="AG49" i="1" s="1"/>
  <c r="AE50" i="1"/>
  <c r="AF50" i="1" s="1"/>
  <c r="AG50" i="1" s="1"/>
  <c r="AE51" i="1"/>
  <c r="AF51" i="1" s="1"/>
  <c r="AG51" i="1" s="1"/>
  <c r="AE52" i="1"/>
  <c r="AF52" i="1"/>
  <c r="AE53" i="1"/>
  <c r="AF53" i="1" s="1"/>
  <c r="AE54" i="1"/>
  <c r="AF54" i="1"/>
  <c r="AG54" i="1" s="1"/>
  <c r="AE55" i="1"/>
  <c r="AF55" i="1" s="1"/>
  <c r="AG55" i="1" s="1"/>
  <c r="AE56" i="1"/>
  <c r="AF56" i="1"/>
  <c r="AG56" i="1" s="1"/>
  <c r="AE57" i="1"/>
  <c r="AF57" i="1" s="1"/>
  <c r="AG57" i="1" s="1"/>
  <c r="AE58" i="1"/>
  <c r="AF58" i="1"/>
  <c r="AG58" i="1" s="1"/>
  <c r="AE59" i="1"/>
  <c r="AF59" i="1" s="1"/>
  <c r="AG59" i="1" s="1"/>
  <c r="AE60" i="1"/>
  <c r="AF60" i="1" s="1"/>
  <c r="AG60" i="1" s="1"/>
  <c r="AE61" i="1"/>
  <c r="AF61" i="1" s="1"/>
  <c r="AE62" i="1"/>
  <c r="AF62" i="1"/>
  <c r="AE63" i="1"/>
  <c r="AF63" i="1"/>
  <c r="AG63" i="1" s="1"/>
  <c r="AE64" i="1"/>
  <c r="AF64" i="1" s="1"/>
  <c r="AG64" i="1" s="1"/>
  <c r="AE65" i="1"/>
  <c r="AF65" i="1" s="1"/>
  <c r="AE66" i="1"/>
  <c r="AF66" i="1"/>
  <c r="AG66" i="1" s="1"/>
  <c r="AE67" i="1"/>
  <c r="AF67" i="1"/>
  <c r="AG67" i="1" s="1"/>
  <c r="AE68" i="1"/>
  <c r="AF68" i="1" s="1"/>
  <c r="AG68" i="1" s="1"/>
  <c r="AE69" i="1"/>
  <c r="AF69" i="1" s="1"/>
  <c r="AE70" i="1"/>
  <c r="AF70" i="1"/>
  <c r="AE71" i="1"/>
  <c r="AF71" i="1"/>
  <c r="AE72" i="1"/>
  <c r="AF72" i="1"/>
  <c r="AG72" i="1" s="1"/>
  <c r="AE73" i="1"/>
  <c r="AF73" i="1" s="1"/>
  <c r="AE74" i="1"/>
  <c r="AF74" i="1" s="1"/>
  <c r="AG74" i="1" s="1"/>
  <c r="AE75" i="1"/>
  <c r="AF75" i="1"/>
  <c r="AG75" i="1" s="1"/>
  <c r="AE76" i="1"/>
  <c r="AF76" i="1"/>
  <c r="AG76" i="1" s="1"/>
  <c r="AE77" i="1"/>
  <c r="AF77" i="1"/>
  <c r="AG77" i="1" s="1"/>
  <c r="AE78" i="1"/>
  <c r="AF78" i="1" s="1"/>
  <c r="AG78" i="1" s="1"/>
  <c r="AE79" i="1"/>
  <c r="AF79" i="1"/>
  <c r="AE80" i="1"/>
  <c r="AF80" i="1"/>
  <c r="AG80" i="1" s="1"/>
  <c r="AE81" i="1"/>
  <c r="AF81" i="1"/>
  <c r="AG81" i="1" s="1"/>
  <c r="AE82" i="1"/>
  <c r="AF82" i="1" s="1"/>
  <c r="AE83" i="1"/>
  <c r="AF83" i="1"/>
  <c r="AG83" i="1" s="1"/>
  <c r="AE84" i="1"/>
  <c r="AF84" i="1"/>
  <c r="AG84" i="1" s="1"/>
  <c r="AE85" i="1"/>
  <c r="AF85" i="1"/>
  <c r="AG85" i="1" s="1"/>
  <c r="AE86" i="1"/>
  <c r="AF86" i="1" s="1"/>
  <c r="AG86" i="1" s="1"/>
  <c r="AE87" i="1"/>
  <c r="AF87" i="1"/>
  <c r="AG87" i="1" s="1"/>
  <c r="AE88" i="1"/>
  <c r="AF88" i="1"/>
  <c r="AG88" i="1" s="1"/>
  <c r="AE89" i="1"/>
  <c r="AF89" i="1" s="1"/>
  <c r="AG89" i="1" s="1"/>
  <c r="AE90" i="1"/>
  <c r="AF90" i="1" s="1"/>
  <c r="AG90" i="1" s="1"/>
  <c r="AE91" i="1"/>
  <c r="AF91" i="1"/>
  <c r="AG91" i="1" s="1"/>
  <c r="AE92" i="1"/>
  <c r="AF92" i="1"/>
  <c r="AE93" i="1"/>
  <c r="AF93" i="1"/>
  <c r="AG93" i="1" s="1"/>
  <c r="AE94" i="1"/>
  <c r="AF94" i="1" s="1"/>
  <c r="AG94" i="1" s="1"/>
  <c r="AE95" i="1"/>
  <c r="AF95" i="1"/>
  <c r="AG95" i="1" s="1"/>
  <c r="AE96" i="1"/>
  <c r="AF96" i="1"/>
  <c r="AG96" i="1" s="1"/>
  <c r="AE97" i="1"/>
  <c r="AF97" i="1" s="1"/>
  <c r="AG97" i="1" s="1"/>
  <c r="AE98" i="1"/>
  <c r="AF98" i="1" s="1"/>
  <c r="AG98" i="1" s="1"/>
  <c r="AE99" i="1"/>
  <c r="AF99" i="1"/>
  <c r="AG99" i="1" s="1"/>
  <c r="AE100" i="1"/>
  <c r="AF100" i="1"/>
  <c r="AE101" i="1"/>
  <c r="AF101" i="1"/>
  <c r="AG101" i="1" s="1"/>
  <c r="AE102" i="1"/>
  <c r="AF102" i="1" s="1"/>
  <c r="AG102" i="1" s="1"/>
  <c r="AE103" i="1"/>
  <c r="AF103" i="1"/>
  <c r="AG103" i="1" s="1"/>
  <c r="AE104" i="1"/>
  <c r="AF104" i="1"/>
  <c r="AG104" i="1" s="1"/>
  <c r="AE105" i="1"/>
  <c r="AF105" i="1" s="1"/>
  <c r="AG105" i="1" s="1"/>
  <c r="AE106" i="1"/>
  <c r="AF106" i="1" s="1"/>
  <c r="AG106" i="1" s="1"/>
  <c r="AE107" i="1"/>
  <c r="AF107" i="1"/>
  <c r="AG107" i="1" s="1"/>
  <c r="AE108" i="1"/>
  <c r="AF108" i="1"/>
  <c r="AG108" i="1" s="1"/>
  <c r="AE109" i="1"/>
  <c r="AF109" i="1"/>
  <c r="AG109" i="1" s="1"/>
  <c r="AE110" i="1"/>
  <c r="AF110" i="1" s="1"/>
  <c r="AG110" i="1" s="1"/>
  <c r="AE111" i="1"/>
  <c r="AF111" i="1"/>
  <c r="AG111" i="1" s="1"/>
  <c r="AE112" i="1"/>
  <c r="AF112" i="1"/>
  <c r="AG112" i="1" s="1"/>
  <c r="AE113" i="1"/>
  <c r="AF113" i="1"/>
  <c r="AG113" i="1" s="1"/>
  <c r="AE114" i="1"/>
  <c r="AF114" i="1" s="1"/>
  <c r="AG114" i="1" s="1"/>
  <c r="AE115" i="1"/>
  <c r="AF115" i="1"/>
  <c r="AG115" i="1" s="1"/>
  <c r="AE116" i="1"/>
  <c r="AF116" i="1"/>
  <c r="AG116" i="1" s="1"/>
  <c r="AE117" i="1"/>
  <c r="AF117" i="1" s="1"/>
  <c r="AG117" i="1" s="1"/>
  <c r="AE118" i="1"/>
  <c r="AF118" i="1" s="1"/>
  <c r="AG118" i="1" s="1"/>
  <c r="AE119" i="1"/>
  <c r="AF119" i="1"/>
  <c r="AE120" i="1"/>
  <c r="AF120" i="1"/>
  <c r="AG120" i="1" s="1"/>
  <c r="AE121" i="1"/>
  <c r="AF121" i="1" s="1"/>
  <c r="AG121" i="1" s="1"/>
  <c r="AE122" i="1"/>
  <c r="AF122" i="1" s="1"/>
  <c r="AG122" i="1" s="1"/>
  <c r="AE123" i="1"/>
  <c r="AF123" i="1"/>
  <c r="AG123" i="1" s="1"/>
  <c r="AE124" i="1"/>
  <c r="AF124" i="1"/>
  <c r="AG124" i="1" s="1"/>
  <c r="AE125" i="1"/>
  <c r="AF125" i="1"/>
  <c r="AG125" i="1" s="1"/>
  <c r="AE126" i="1"/>
  <c r="AF126" i="1" s="1"/>
  <c r="AG126" i="1" s="1"/>
  <c r="AE127" i="1"/>
  <c r="AF127" i="1"/>
  <c r="AE128" i="1"/>
  <c r="AF128" i="1"/>
  <c r="AE129" i="1"/>
  <c r="AF129" i="1" s="1"/>
  <c r="AG129" i="1" s="1"/>
  <c r="AE130" i="1"/>
  <c r="AF130" i="1" s="1"/>
  <c r="AG130" i="1" s="1"/>
  <c r="AE131" i="1"/>
  <c r="AF131" i="1"/>
  <c r="AG131" i="1" s="1"/>
  <c r="AE132" i="1"/>
  <c r="AF132" i="1"/>
  <c r="AG132" i="1" s="1"/>
  <c r="AE133" i="1"/>
  <c r="AF133" i="1"/>
  <c r="AG133" i="1" s="1"/>
  <c r="AE134" i="1"/>
  <c r="AF134" i="1" s="1"/>
  <c r="AG134" i="1" s="1"/>
  <c r="AE135" i="1"/>
  <c r="AF135" i="1"/>
  <c r="AE136" i="1"/>
  <c r="AF136" i="1"/>
  <c r="AE137" i="1"/>
  <c r="AF137" i="1" s="1"/>
  <c r="AG137" i="1" s="1"/>
  <c r="AE138" i="1"/>
  <c r="AF138" i="1" s="1"/>
  <c r="AG138" i="1" s="1"/>
  <c r="AE139" i="1"/>
  <c r="AF139" i="1"/>
  <c r="AG139" i="1" s="1"/>
  <c r="AE140" i="1"/>
  <c r="AF140" i="1"/>
  <c r="AG140" i="1" s="1"/>
  <c r="AE141" i="1"/>
  <c r="AF141" i="1"/>
  <c r="AG141" i="1" s="1"/>
  <c r="AE142" i="1"/>
  <c r="AF142" i="1" s="1"/>
  <c r="AG142" i="1" s="1"/>
  <c r="AE143" i="1"/>
  <c r="AF143" i="1"/>
  <c r="AE144" i="1"/>
  <c r="AF144" i="1"/>
  <c r="AG144" i="1" s="1"/>
  <c r="AE145" i="1"/>
  <c r="AF145" i="1"/>
  <c r="AG145" i="1" s="1"/>
  <c r="AE146" i="1"/>
  <c r="AF146" i="1" s="1"/>
  <c r="AG146" i="1" s="1"/>
  <c r="AE147" i="1"/>
  <c r="AF147" i="1"/>
  <c r="AG147" i="1" s="1"/>
  <c r="AE148" i="1"/>
  <c r="AF148" i="1"/>
  <c r="AG148" i="1" s="1"/>
  <c r="AE149" i="1"/>
  <c r="AF149" i="1"/>
  <c r="AG149" i="1" s="1"/>
  <c r="AE150" i="1"/>
  <c r="AF150" i="1" s="1"/>
  <c r="AG150" i="1" s="1"/>
  <c r="AE151" i="1"/>
  <c r="AF151" i="1"/>
  <c r="AG151" i="1" s="1"/>
  <c r="AE152" i="1"/>
  <c r="AF152" i="1"/>
  <c r="AG152" i="1" s="1"/>
  <c r="AE153" i="1"/>
  <c r="AF153" i="1" s="1"/>
  <c r="AG153" i="1" s="1"/>
  <c r="AE154" i="1"/>
  <c r="AF154" i="1" s="1"/>
  <c r="AG154" i="1" s="1"/>
  <c r="AE155" i="1"/>
  <c r="AF155" i="1"/>
  <c r="AG155" i="1" s="1"/>
  <c r="AE156" i="1"/>
  <c r="AF156" i="1"/>
  <c r="AE157" i="1"/>
  <c r="AF157" i="1"/>
  <c r="AG157" i="1" s="1"/>
  <c r="AE158" i="1"/>
  <c r="AF158" i="1" s="1"/>
  <c r="AG158" i="1" s="1"/>
  <c r="AE159" i="1"/>
  <c r="AF159" i="1"/>
  <c r="AG159" i="1" s="1"/>
  <c r="AE160" i="1"/>
  <c r="AF160" i="1"/>
  <c r="AG160" i="1" s="1"/>
  <c r="AE161" i="1"/>
  <c r="AF161" i="1" s="1"/>
  <c r="AG161" i="1" s="1"/>
  <c r="AE162" i="1"/>
  <c r="AF162" i="1" s="1"/>
  <c r="AG162" i="1" s="1"/>
  <c r="AE163" i="1"/>
  <c r="AF163" i="1"/>
  <c r="AG163" i="1" s="1"/>
  <c r="AE164" i="1"/>
  <c r="AF164" i="1"/>
  <c r="AE165" i="1"/>
  <c r="AF165" i="1"/>
  <c r="AG165" i="1" s="1"/>
  <c r="AE166" i="1"/>
  <c r="AF166" i="1" s="1"/>
  <c r="AG166" i="1" s="1"/>
  <c r="AE167" i="1"/>
  <c r="AF167" i="1"/>
  <c r="AG167" i="1" s="1"/>
  <c r="AE168" i="1"/>
  <c r="AF168" i="1"/>
  <c r="AG168" i="1" s="1"/>
  <c r="AE169" i="1"/>
  <c r="AF169" i="1" s="1"/>
  <c r="AG169" i="1" s="1"/>
  <c r="AE170" i="1"/>
  <c r="AF170" i="1" s="1"/>
  <c r="AG170" i="1" s="1"/>
  <c r="AE171" i="1"/>
  <c r="AF171" i="1"/>
  <c r="AG171" i="1" s="1"/>
  <c r="AE172" i="1"/>
  <c r="AF172" i="1"/>
  <c r="AG172" i="1" s="1"/>
  <c r="AE173" i="1"/>
  <c r="AF173" i="1"/>
  <c r="AG173" i="1" s="1"/>
  <c r="AE174" i="1"/>
  <c r="AF174" i="1" s="1"/>
  <c r="AE175" i="1"/>
  <c r="AF175" i="1"/>
  <c r="AG175" i="1" s="1"/>
  <c r="AE176" i="1"/>
  <c r="AF176" i="1"/>
  <c r="AG176" i="1" s="1"/>
  <c r="AE177" i="1"/>
  <c r="AF177" i="1"/>
  <c r="AG177" i="1" s="1"/>
  <c r="AE178" i="1"/>
  <c r="AF178" i="1" s="1"/>
  <c r="AG178" i="1" s="1"/>
  <c r="AE179" i="1"/>
  <c r="AF179" i="1"/>
  <c r="AG179" i="1" s="1"/>
  <c r="AE180" i="1"/>
  <c r="AF180" i="1"/>
  <c r="AG180" i="1" s="1"/>
  <c r="AE181" i="1"/>
  <c r="AF181" i="1" s="1"/>
  <c r="AG181" i="1" s="1"/>
  <c r="AE182" i="1"/>
  <c r="AF182" i="1" s="1"/>
  <c r="AG182" i="1" s="1"/>
  <c r="AE183" i="1"/>
  <c r="AF183" i="1"/>
  <c r="AE184" i="1"/>
  <c r="AF184" i="1"/>
  <c r="AG184" i="1" s="1"/>
  <c r="AE185" i="1"/>
  <c r="AF185" i="1" s="1"/>
  <c r="AG185" i="1" s="1"/>
  <c r="AE186" i="1"/>
  <c r="AF186" i="1" s="1"/>
  <c r="AG186" i="1" s="1"/>
  <c r="AE187" i="1"/>
  <c r="AF187" i="1"/>
  <c r="AG187" i="1" s="1"/>
  <c r="AE188" i="1"/>
  <c r="AF188" i="1"/>
  <c r="AG188" i="1" s="1"/>
  <c r="AE189" i="1"/>
  <c r="AF189" i="1"/>
  <c r="AG189" i="1" s="1"/>
  <c r="AE190" i="1"/>
  <c r="AF190" i="1" s="1"/>
  <c r="AG190" i="1" s="1"/>
  <c r="AE191" i="1"/>
  <c r="AF191" i="1"/>
  <c r="AE192" i="1"/>
  <c r="AF192" i="1"/>
  <c r="AE193" i="1"/>
  <c r="AF193" i="1" s="1"/>
  <c r="AG193" i="1" s="1"/>
  <c r="AE194" i="1"/>
  <c r="AF194" i="1" s="1"/>
  <c r="AG194" i="1" s="1"/>
  <c r="AE195" i="1"/>
  <c r="AF195" i="1"/>
  <c r="AG195" i="1" s="1"/>
  <c r="AE196" i="1"/>
  <c r="AF196" i="1"/>
  <c r="AG196" i="1" s="1"/>
  <c r="AE2" i="1"/>
  <c r="AF2" i="1" s="1"/>
  <c r="AG2" i="1" s="1"/>
  <c r="AB3" i="1"/>
  <c r="AC3" i="1" s="1"/>
  <c r="AD3" i="1" s="1"/>
  <c r="AB4" i="1"/>
  <c r="AC4" i="1"/>
  <c r="AB5" i="1"/>
  <c r="AC5" i="1"/>
  <c r="AB6" i="1"/>
  <c r="AC6" i="1" s="1"/>
  <c r="AD6" i="1" s="1"/>
  <c r="AB7" i="1"/>
  <c r="AC7" i="1" s="1"/>
  <c r="AD7" i="1" s="1"/>
  <c r="AB8" i="1"/>
  <c r="AC8" i="1"/>
  <c r="AD8" i="1" s="1"/>
  <c r="AB9" i="1"/>
  <c r="AC9" i="1"/>
  <c r="AD9" i="1" s="1"/>
  <c r="AB10" i="1"/>
  <c r="AC10" i="1"/>
  <c r="AD10" i="1" s="1"/>
  <c r="AB11" i="1"/>
  <c r="AC11" i="1" s="1"/>
  <c r="AD11" i="1" s="1"/>
  <c r="AB12" i="1"/>
  <c r="AC12" i="1"/>
  <c r="AB13" i="1"/>
  <c r="AC13" i="1"/>
  <c r="AD13" i="1" s="1"/>
  <c r="AB14" i="1"/>
  <c r="AC14" i="1"/>
  <c r="AD14" i="1" s="1"/>
  <c r="AB15" i="1"/>
  <c r="AC15" i="1" s="1"/>
  <c r="AB16" i="1"/>
  <c r="AC16" i="1"/>
  <c r="AD16" i="1" s="1"/>
  <c r="AB17" i="1"/>
  <c r="AC17" i="1"/>
  <c r="AD17" i="1" s="1"/>
  <c r="AB18" i="1"/>
  <c r="AC18" i="1"/>
  <c r="AD18" i="1" s="1"/>
  <c r="AB19" i="1"/>
  <c r="AC19" i="1" s="1"/>
  <c r="AD19" i="1" s="1"/>
  <c r="AB20" i="1"/>
  <c r="AC20" i="1"/>
  <c r="AD20" i="1" s="1"/>
  <c r="AB21" i="1"/>
  <c r="AC21" i="1"/>
  <c r="AD21" i="1" s="1"/>
  <c r="AB22" i="1"/>
  <c r="AC22" i="1" s="1"/>
  <c r="AD22" i="1" s="1"/>
  <c r="AB23" i="1"/>
  <c r="AC23" i="1" s="1"/>
  <c r="AD23" i="1" s="1"/>
  <c r="AB24" i="1"/>
  <c r="AC24" i="1"/>
  <c r="AD24" i="1" s="1"/>
  <c r="AB25" i="1"/>
  <c r="AC25" i="1"/>
  <c r="AB26" i="1"/>
  <c r="AC26" i="1"/>
  <c r="AD26" i="1" s="1"/>
  <c r="AB27" i="1"/>
  <c r="AC27" i="1" s="1"/>
  <c r="AD27" i="1" s="1"/>
  <c r="AB28" i="1"/>
  <c r="AC28" i="1"/>
  <c r="AD28" i="1" s="1"/>
  <c r="AB29" i="1"/>
  <c r="AC29" i="1"/>
  <c r="AD29" i="1" s="1"/>
  <c r="AB30" i="1"/>
  <c r="AC30" i="1" s="1"/>
  <c r="AD30" i="1" s="1"/>
  <c r="AB31" i="1"/>
  <c r="AC31" i="1" s="1"/>
  <c r="AD31" i="1" s="1"/>
  <c r="AB32" i="1"/>
  <c r="AC32" i="1"/>
  <c r="AD32" i="1" s="1"/>
  <c r="AB33" i="1"/>
  <c r="AC33" i="1"/>
  <c r="AB34" i="1"/>
  <c r="AC34" i="1"/>
  <c r="AD34" i="1" s="1"/>
  <c r="AB35" i="1"/>
  <c r="AC35" i="1" s="1"/>
  <c r="AD35" i="1" s="1"/>
  <c r="AB36" i="1"/>
  <c r="AC36" i="1"/>
  <c r="AD36" i="1" s="1"/>
  <c r="AB37" i="1"/>
  <c r="AC37" i="1"/>
  <c r="AD37" i="1" s="1"/>
  <c r="AB38" i="1"/>
  <c r="AC38" i="1" s="1"/>
  <c r="AD38" i="1" s="1"/>
  <c r="AB39" i="1"/>
  <c r="AC39" i="1" s="1"/>
  <c r="AD39" i="1" s="1"/>
  <c r="AB40" i="1"/>
  <c r="AC40" i="1"/>
  <c r="AD40" i="1" s="1"/>
  <c r="AB41" i="1"/>
  <c r="AC41" i="1"/>
  <c r="AD41" i="1" s="1"/>
  <c r="AB42" i="1"/>
  <c r="AC42" i="1"/>
  <c r="AD42" i="1" s="1"/>
  <c r="AB43" i="1"/>
  <c r="AC43" i="1" s="1"/>
  <c r="AD43" i="1" s="1"/>
  <c r="AB44" i="1"/>
  <c r="AC44" i="1"/>
  <c r="AD44" i="1" s="1"/>
  <c r="AB45" i="1"/>
  <c r="AC45" i="1"/>
  <c r="AD45" i="1" s="1"/>
  <c r="AB46" i="1"/>
  <c r="AC46" i="1"/>
  <c r="AD46" i="1" s="1"/>
  <c r="AB47" i="1"/>
  <c r="AC47" i="1" s="1"/>
  <c r="AD47" i="1" s="1"/>
  <c r="AB48" i="1"/>
  <c r="AC48" i="1"/>
  <c r="AD48" i="1" s="1"/>
  <c r="AB49" i="1"/>
  <c r="AC49" i="1"/>
  <c r="AD49" i="1" s="1"/>
  <c r="AB50" i="1"/>
  <c r="AC50" i="1"/>
  <c r="AD50" i="1" s="1"/>
  <c r="AB51" i="1"/>
  <c r="AC51" i="1" s="1"/>
  <c r="AD51" i="1" s="1"/>
  <c r="AB52" i="1"/>
  <c r="AC52" i="1"/>
  <c r="AB53" i="1"/>
  <c r="AC53" i="1"/>
  <c r="AD53" i="1" s="1"/>
  <c r="AB54" i="1"/>
  <c r="AC54" i="1" s="1"/>
  <c r="AD54" i="1" s="1"/>
  <c r="AB55" i="1"/>
  <c r="AC55" i="1" s="1"/>
  <c r="AD55" i="1" s="1"/>
  <c r="AB56" i="1"/>
  <c r="AC56" i="1"/>
  <c r="AD56" i="1" s="1"/>
  <c r="AB57" i="1"/>
  <c r="AC57" i="1"/>
  <c r="AD57" i="1" s="1"/>
  <c r="AB58" i="1"/>
  <c r="AC58" i="1"/>
  <c r="AD58" i="1" s="1"/>
  <c r="AB59" i="1"/>
  <c r="AC59" i="1" s="1"/>
  <c r="AD59" i="1" s="1"/>
  <c r="AB60" i="1"/>
  <c r="AC60" i="1"/>
  <c r="AB61" i="1"/>
  <c r="AC61" i="1"/>
  <c r="AB62" i="1"/>
  <c r="AC62" i="1" s="1"/>
  <c r="AD62" i="1" s="1"/>
  <c r="AB63" i="1"/>
  <c r="AC63" i="1" s="1"/>
  <c r="AD63" i="1" s="1"/>
  <c r="AB64" i="1"/>
  <c r="AC64" i="1"/>
  <c r="AD64" i="1" s="1"/>
  <c r="AB65" i="1"/>
  <c r="AC65" i="1"/>
  <c r="AD65" i="1" s="1"/>
  <c r="AB66" i="1"/>
  <c r="AC66" i="1"/>
  <c r="AD66" i="1" s="1"/>
  <c r="AB67" i="1"/>
  <c r="AC67" i="1" s="1"/>
  <c r="AD67" i="1" s="1"/>
  <c r="AB68" i="1"/>
  <c r="AC68" i="1"/>
  <c r="AB69" i="1"/>
  <c r="AC69" i="1"/>
  <c r="AB70" i="1"/>
  <c r="AC70" i="1" s="1"/>
  <c r="AD70" i="1" s="1"/>
  <c r="AB71" i="1"/>
  <c r="AC71" i="1" s="1"/>
  <c r="AD71" i="1" s="1"/>
  <c r="AB72" i="1"/>
  <c r="AC72" i="1"/>
  <c r="AD72" i="1" s="1"/>
  <c r="AB73" i="1"/>
  <c r="AC73" i="1"/>
  <c r="AD73" i="1" s="1"/>
  <c r="AB74" i="1"/>
  <c r="AC74" i="1"/>
  <c r="AD74" i="1" s="1"/>
  <c r="AB75" i="1"/>
  <c r="AC75" i="1" s="1"/>
  <c r="AD75" i="1" s="1"/>
  <c r="AB76" i="1"/>
  <c r="AC76" i="1"/>
  <c r="AB77" i="1"/>
  <c r="AC77" i="1"/>
  <c r="AD77" i="1" s="1"/>
  <c r="AB78" i="1"/>
  <c r="AC78" i="1"/>
  <c r="AD78" i="1" s="1"/>
  <c r="AB79" i="1"/>
  <c r="AC79" i="1" s="1"/>
  <c r="AD79" i="1" s="1"/>
  <c r="AB80" i="1"/>
  <c r="AC80" i="1"/>
  <c r="AD80" i="1" s="1"/>
  <c r="AB81" i="1"/>
  <c r="AC81" i="1"/>
  <c r="AD81" i="1" s="1"/>
  <c r="AB82" i="1"/>
  <c r="AC82" i="1"/>
  <c r="AD82" i="1" s="1"/>
  <c r="AB83" i="1"/>
  <c r="AC83" i="1" s="1"/>
  <c r="AD83" i="1" s="1"/>
  <c r="AB84" i="1"/>
  <c r="AC84" i="1"/>
  <c r="AD84" i="1" s="1"/>
  <c r="AB85" i="1"/>
  <c r="AC85" i="1"/>
  <c r="AD85" i="1" s="1"/>
  <c r="AB86" i="1"/>
  <c r="AC86" i="1" s="1"/>
  <c r="AD86" i="1" s="1"/>
  <c r="AB87" i="1"/>
  <c r="AC87" i="1" s="1"/>
  <c r="AB88" i="1"/>
  <c r="AC88" i="1"/>
  <c r="AD88" i="1" s="1"/>
  <c r="AB89" i="1"/>
  <c r="AC89" i="1"/>
  <c r="AB90" i="1"/>
  <c r="AC90" i="1"/>
  <c r="AD90" i="1" s="1"/>
  <c r="AB91" i="1"/>
  <c r="AC91" i="1" s="1"/>
  <c r="AD91" i="1" s="1"/>
  <c r="AB92" i="1"/>
  <c r="AC92" i="1"/>
  <c r="AD92" i="1" s="1"/>
  <c r="AB93" i="1"/>
  <c r="AC93" i="1"/>
  <c r="AD93" i="1" s="1"/>
  <c r="AB94" i="1"/>
  <c r="AC94" i="1" s="1"/>
  <c r="AD94" i="1" s="1"/>
  <c r="AB95" i="1"/>
  <c r="AC95" i="1" s="1"/>
  <c r="AD95" i="1" s="1"/>
  <c r="AB96" i="1"/>
  <c r="AC96" i="1"/>
  <c r="AD96" i="1" s="1"/>
  <c r="AB97" i="1"/>
  <c r="AC97" i="1"/>
  <c r="AB98" i="1"/>
  <c r="AC98" i="1"/>
  <c r="AD98" i="1" s="1"/>
  <c r="AB99" i="1"/>
  <c r="AC99" i="1" s="1"/>
  <c r="AD99" i="1" s="1"/>
  <c r="AB100" i="1"/>
  <c r="AC100" i="1"/>
  <c r="AD100" i="1" s="1"/>
  <c r="AB101" i="1"/>
  <c r="AC101" i="1"/>
  <c r="AD101" i="1" s="1"/>
  <c r="AB102" i="1"/>
  <c r="AC102" i="1" s="1"/>
  <c r="AD102" i="1" s="1"/>
  <c r="AB103" i="1"/>
  <c r="AC103" i="1" s="1"/>
  <c r="AD103" i="1" s="1"/>
  <c r="AB104" i="1"/>
  <c r="AC104" i="1"/>
  <c r="AD104" i="1" s="1"/>
  <c r="AB105" i="1"/>
  <c r="AC105" i="1"/>
  <c r="AD105" i="1" s="1"/>
  <c r="AB106" i="1"/>
  <c r="AC106" i="1"/>
  <c r="AD106" i="1" s="1"/>
  <c r="AB107" i="1"/>
  <c r="AC107" i="1" s="1"/>
  <c r="AD107" i="1" s="1"/>
  <c r="AB108" i="1"/>
  <c r="AC108" i="1"/>
  <c r="AD108" i="1" s="1"/>
  <c r="AB109" i="1"/>
  <c r="AC109" i="1"/>
  <c r="AD109" i="1" s="1"/>
  <c r="AB110" i="1"/>
  <c r="AC110" i="1"/>
  <c r="AD110" i="1" s="1"/>
  <c r="AB111" i="1"/>
  <c r="AC111" i="1" s="1"/>
  <c r="AD111" i="1" s="1"/>
  <c r="AB112" i="1"/>
  <c r="AC112" i="1"/>
  <c r="AD112" i="1" s="1"/>
  <c r="AB113" i="1"/>
  <c r="AC113" i="1"/>
  <c r="AD113" i="1" s="1"/>
  <c r="AB114" i="1"/>
  <c r="AC114" i="1" s="1"/>
  <c r="AD114" i="1" s="1"/>
  <c r="AB115" i="1"/>
  <c r="AC115" i="1" s="1"/>
  <c r="AD115" i="1" s="1"/>
  <c r="AB116" i="1"/>
  <c r="AC116" i="1"/>
  <c r="AB117" i="1"/>
  <c r="AC117" i="1"/>
  <c r="AD117" i="1" s="1"/>
  <c r="AB118" i="1"/>
  <c r="AC118" i="1" s="1"/>
  <c r="AD118" i="1" s="1"/>
  <c r="AB119" i="1"/>
  <c r="AC119" i="1" s="1"/>
  <c r="AD119" i="1" s="1"/>
  <c r="AB120" i="1"/>
  <c r="AC120" i="1"/>
  <c r="AD120" i="1" s="1"/>
  <c r="AB121" i="1"/>
  <c r="AC121" i="1"/>
  <c r="AD121" i="1" s="1"/>
  <c r="AB122" i="1"/>
  <c r="AC122" i="1"/>
  <c r="AD122" i="1" s="1"/>
  <c r="AB123" i="1"/>
  <c r="AC123" i="1" s="1"/>
  <c r="AD123" i="1" s="1"/>
  <c r="AB124" i="1"/>
  <c r="AC124" i="1"/>
  <c r="AB125" i="1"/>
  <c r="AC125" i="1"/>
  <c r="AB126" i="1"/>
  <c r="AC126" i="1" s="1"/>
  <c r="AD126" i="1" s="1"/>
  <c r="AB127" i="1"/>
  <c r="AC127" i="1" s="1"/>
  <c r="AD127" i="1" s="1"/>
  <c r="AB128" i="1"/>
  <c r="AC128" i="1"/>
  <c r="AD128" i="1" s="1"/>
  <c r="AB129" i="1"/>
  <c r="AC129" i="1"/>
  <c r="AD129" i="1" s="1"/>
  <c r="AB130" i="1"/>
  <c r="AC130" i="1"/>
  <c r="AD130" i="1" s="1"/>
  <c r="AB131" i="1"/>
  <c r="AC131" i="1" s="1"/>
  <c r="AD131" i="1" s="1"/>
  <c r="AB132" i="1"/>
  <c r="AC132" i="1"/>
  <c r="AB133" i="1"/>
  <c r="AC133" i="1"/>
  <c r="AB134" i="1"/>
  <c r="AC134" i="1" s="1"/>
  <c r="AD134" i="1" s="1"/>
  <c r="AB135" i="1"/>
  <c r="AC135" i="1" s="1"/>
  <c r="AD135" i="1" s="1"/>
  <c r="AB136" i="1"/>
  <c r="AC136" i="1"/>
  <c r="AD136" i="1" s="1"/>
  <c r="AB137" i="1"/>
  <c r="AC137" i="1"/>
  <c r="AD137" i="1" s="1"/>
  <c r="AB138" i="1"/>
  <c r="AC138" i="1"/>
  <c r="AD138" i="1" s="1"/>
  <c r="AB139" i="1"/>
  <c r="AC139" i="1" s="1"/>
  <c r="AD139" i="1" s="1"/>
  <c r="AB140" i="1"/>
  <c r="AC140" i="1"/>
  <c r="AB141" i="1"/>
  <c r="AC141" i="1"/>
  <c r="AD141" i="1" s="1"/>
  <c r="AB142" i="1"/>
  <c r="AC142" i="1"/>
  <c r="AD142" i="1" s="1"/>
  <c r="AB143" i="1"/>
  <c r="AC143" i="1" s="1"/>
  <c r="AD143" i="1" s="1"/>
  <c r="AB144" i="1"/>
  <c r="AC144" i="1"/>
  <c r="AD144" i="1" s="1"/>
  <c r="AB145" i="1"/>
  <c r="AC145" i="1"/>
  <c r="AD145" i="1" s="1"/>
  <c r="AB146" i="1"/>
  <c r="AC146" i="1"/>
  <c r="AD146" i="1" s="1"/>
  <c r="AB147" i="1"/>
  <c r="AC147" i="1" s="1"/>
  <c r="AD147" i="1" s="1"/>
  <c r="AB148" i="1"/>
  <c r="AC148" i="1"/>
  <c r="AD148" i="1" s="1"/>
  <c r="AB149" i="1"/>
  <c r="AC149" i="1"/>
  <c r="AD149" i="1" s="1"/>
  <c r="AB150" i="1"/>
  <c r="AC150" i="1" s="1"/>
  <c r="AD150" i="1" s="1"/>
  <c r="AB151" i="1"/>
  <c r="AC151" i="1" s="1"/>
  <c r="AB152" i="1"/>
  <c r="AC152" i="1"/>
  <c r="AD152" i="1" s="1"/>
  <c r="AB153" i="1"/>
  <c r="AC153" i="1"/>
  <c r="AB154" i="1"/>
  <c r="AC154" i="1"/>
  <c r="AD154" i="1" s="1"/>
  <c r="AB155" i="1"/>
  <c r="AC155" i="1" s="1"/>
  <c r="AD155" i="1" s="1"/>
  <c r="AB156" i="1"/>
  <c r="AC156" i="1"/>
  <c r="AD156" i="1" s="1"/>
  <c r="AB157" i="1"/>
  <c r="AC157" i="1"/>
  <c r="AD157" i="1" s="1"/>
  <c r="AB158" i="1"/>
  <c r="AC158" i="1" s="1"/>
  <c r="AD158" i="1" s="1"/>
  <c r="AB159" i="1"/>
  <c r="AC159" i="1" s="1"/>
  <c r="AD159" i="1" s="1"/>
  <c r="AB160" i="1"/>
  <c r="AC160" i="1"/>
  <c r="AD160" i="1" s="1"/>
  <c r="AB161" i="1"/>
  <c r="AC161" i="1"/>
  <c r="AB162" i="1"/>
  <c r="AC162" i="1"/>
  <c r="AD162" i="1" s="1"/>
  <c r="AB163" i="1"/>
  <c r="AC163" i="1" s="1"/>
  <c r="AD163" i="1" s="1"/>
  <c r="AB164" i="1"/>
  <c r="AC164" i="1"/>
  <c r="AD164" i="1" s="1"/>
  <c r="AB165" i="1"/>
  <c r="AC165" i="1"/>
  <c r="AD165" i="1" s="1"/>
  <c r="AB166" i="1"/>
  <c r="AC166" i="1" s="1"/>
  <c r="AD166" i="1" s="1"/>
  <c r="AB167" i="1"/>
  <c r="AC167" i="1" s="1"/>
  <c r="AD167" i="1" s="1"/>
  <c r="AB168" i="1"/>
  <c r="AC168" i="1"/>
  <c r="AD168" i="1" s="1"/>
  <c r="AB169" i="1"/>
  <c r="AC169" i="1"/>
  <c r="AD169" i="1" s="1"/>
  <c r="AB170" i="1"/>
  <c r="AC170" i="1"/>
  <c r="AD170" i="1" s="1"/>
  <c r="AB171" i="1"/>
  <c r="AC171" i="1" s="1"/>
  <c r="AD171" i="1" s="1"/>
  <c r="AB172" i="1"/>
  <c r="AC172" i="1"/>
  <c r="AD172" i="1" s="1"/>
  <c r="AB173" i="1"/>
  <c r="AC173" i="1"/>
  <c r="AD173" i="1" s="1"/>
  <c r="AB174" i="1"/>
  <c r="AC174" i="1"/>
  <c r="AD174" i="1" s="1"/>
  <c r="AB175" i="1"/>
  <c r="AC175" i="1" s="1"/>
  <c r="AD175" i="1" s="1"/>
  <c r="AB176" i="1"/>
  <c r="AC176" i="1"/>
  <c r="AD176" i="1" s="1"/>
  <c r="AB177" i="1"/>
  <c r="AC177" i="1"/>
  <c r="AD177" i="1" s="1"/>
  <c r="AB178" i="1"/>
  <c r="AC178" i="1" s="1"/>
  <c r="AD178" i="1" s="1"/>
  <c r="AB179" i="1"/>
  <c r="AC179" i="1" s="1"/>
  <c r="AD179" i="1" s="1"/>
  <c r="AB180" i="1"/>
  <c r="AC180" i="1"/>
  <c r="AB181" i="1"/>
  <c r="AC181" i="1"/>
  <c r="AD181" i="1" s="1"/>
  <c r="AB182" i="1"/>
  <c r="AC182" i="1" s="1"/>
  <c r="AD182" i="1" s="1"/>
  <c r="AB183" i="1"/>
  <c r="AC183" i="1" s="1"/>
  <c r="AD183" i="1" s="1"/>
  <c r="AB184" i="1"/>
  <c r="AC184" i="1"/>
  <c r="AD184" i="1" s="1"/>
  <c r="AB185" i="1"/>
  <c r="AC185" i="1"/>
  <c r="AD185" i="1" s="1"/>
  <c r="AB186" i="1"/>
  <c r="AC186" i="1"/>
  <c r="AD186" i="1" s="1"/>
  <c r="AB187" i="1"/>
  <c r="AC187" i="1" s="1"/>
  <c r="AD187" i="1" s="1"/>
  <c r="AB188" i="1"/>
  <c r="AC188" i="1"/>
  <c r="AB189" i="1"/>
  <c r="AC189" i="1"/>
  <c r="AB190" i="1"/>
  <c r="AC190" i="1" s="1"/>
  <c r="AD190" i="1" s="1"/>
  <c r="AB191" i="1"/>
  <c r="AC191" i="1" s="1"/>
  <c r="AD191" i="1" s="1"/>
  <c r="AB192" i="1"/>
  <c r="AC192" i="1"/>
  <c r="AD192" i="1" s="1"/>
  <c r="AB193" i="1"/>
  <c r="AC193" i="1"/>
  <c r="AD193" i="1" s="1"/>
  <c r="AB194" i="1"/>
  <c r="AC194" i="1"/>
  <c r="AD194" i="1" s="1"/>
  <c r="AB195" i="1"/>
  <c r="AC195" i="1" s="1"/>
  <c r="AD195" i="1" s="1"/>
  <c r="AB196" i="1"/>
  <c r="AC196" i="1"/>
  <c r="AB2" i="1"/>
  <c r="AC2" i="1" s="1"/>
  <c r="AD2" i="1" s="1"/>
  <c r="Y42" i="5" l="1"/>
  <c r="O209" i="5"/>
  <c r="S198" i="5"/>
  <c r="S190" i="5"/>
  <c r="S182" i="5"/>
  <c r="S174" i="5"/>
  <c r="S166" i="5"/>
  <c r="S158" i="5"/>
  <c r="V158" i="5" s="1"/>
  <c r="S150" i="5"/>
  <c r="S142" i="5"/>
  <c r="S134" i="5"/>
  <c r="S126" i="5"/>
  <c r="S118" i="5"/>
  <c r="S110" i="5"/>
  <c r="S102" i="5"/>
  <c r="S94" i="5"/>
  <c r="V94" i="5" s="1"/>
  <c r="S86" i="5"/>
  <c r="S78" i="5"/>
  <c r="S70" i="5"/>
  <c r="O65" i="5"/>
  <c r="Y66" i="5" s="1"/>
  <c r="S62" i="5"/>
  <c r="Z318" i="5"/>
  <c r="R156" i="5"/>
  <c r="Y30" i="5"/>
  <c r="O285" i="5"/>
  <c r="O253" i="5"/>
  <c r="O237" i="5"/>
  <c r="O197" i="5"/>
  <c r="Y197" i="5" s="1"/>
  <c r="O189" i="5"/>
  <c r="O141" i="5"/>
  <c r="O85" i="5"/>
  <c r="O69" i="5"/>
  <c r="Y70" i="5" s="1"/>
  <c r="O61" i="5"/>
  <c r="Y61" i="5" s="1"/>
  <c r="O37" i="5"/>
  <c r="Y37" i="5" s="1"/>
  <c r="O29" i="5"/>
  <c r="O21" i="5"/>
  <c r="Y21" i="5" s="1"/>
  <c r="O13" i="5"/>
  <c r="O5" i="5"/>
  <c r="V5" i="5" s="1"/>
  <c r="P228" i="5"/>
  <c r="O59" i="5"/>
  <c r="Y60" i="5" s="1"/>
  <c r="S53" i="5"/>
  <c r="O51" i="5"/>
  <c r="R5" i="5"/>
  <c r="Z277" i="5"/>
  <c r="Y11" i="5"/>
  <c r="Y26" i="5"/>
  <c r="Z221" i="5"/>
  <c r="Y29" i="5"/>
  <c r="Q31" i="5"/>
  <c r="Z201" i="5"/>
  <c r="Y163" i="5"/>
  <c r="Y99" i="5"/>
  <c r="Y83" i="5"/>
  <c r="Y43" i="5"/>
  <c r="Y35" i="5"/>
  <c r="Y19" i="5"/>
  <c r="Q324" i="5"/>
  <c r="Q316" i="5"/>
  <c r="Q308" i="5"/>
  <c r="Q300" i="5"/>
  <c r="Q292" i="5"/>
  <c r="Q284" i="5"/>
  <c r="Q276" i="5"/>
  <c r="Q268" i="5"/>
  <c r="Q260" i="5"/>
  <c r="Q252" i="5"/>
  <c r="Q244" i="5"/>
  <c r="Q236" i="5"/>
  <c r="Q228" i="5"/>
  <c r="Q220" i="5"/>
  <c r="Q212" i="5"/>
  <c r="Q204" i="5"/>
  <c r="S58" i="5"/>
  <c r="S50" i="5"/>
  <c r="Q193" i="5"/>
  <c r="Q185" i="5"/>
  <c r="Q177" i="5"/>
  <c r="Q169" i="5"/>
  <c r="Q161" i="5"/>
  <c r="Q153" i="5"/>
  <c r="Q145" i="5"/>
  <c r="Q137" i="5"/>
  <c r="Q129" i="5"/>
  <c r="Q121" i="5"/>
  <c r="Q113" i="5"/>
  <c r="Q105" i="5"/>
  <c r="Q97" i="5"/>
  <c r="Q89" i="5"/>
  <c r="Q81" i="5"/>
  <c r="Q73" i="5"/>
  <c r="Q65" i="5"/>
  <c r="Q57" i="5"/>
  <c r="Q49" i="5"/>
  <c r="Q41" i="5"/>
  <c r="Q33" i="5"/>
  <c r="Q25" i="5"/>
  <c r="Q17" i="5"/>
  <c r="Q9" i="5"/>
  <c r="Z173" i="5"/>
  <c r="Y27" i="5"/>
  <c r="Y17" i="5"/>
  <c r="Y12" i="5"/>
  <c r="O317" i="5"/>
  <c r="O269" i="5"/>
  <c r="O245" i="5"/>
  <c r="O229" i="5"/>
  <c r="V229" i="5" s="1"/>
  <c r="O213" i="5"/>
  <c r="V213" i="5" s="1"/>
  <c r="O181" i="5"/>
  <c r="O149" i="5"/>
  <c r="O125" i="5"/>
  <c r="Y125" i="5" s="1"/>
  <c r="O117" i="5"/>
  <c r="O77" i="5"/>
  <c r="Y78" i="5" s="1"/>
  <c r="R6" i="5"/>
  <c r="Z293" i="5"/>
  <c r="Z149" i="5"/>
  <c r="S59" i="5"/>
  <c r="S51" i="5"/>
  <c r="V51" i="5" s="1"/>
  <c r="O33" i="5"/>
  <c r="Y34" i="5" s="1"/>
  <c r="R328" i="5"/>
  <c r="R324" i="5"/>
  <c r="R320" i="5"/>
  <c r="R316" i="5"/>
  <c r="R312" i="5"/>
  <c r="R308" i="5"/>
  <c r="R304" i="5"/>
  <c r="R300" i="5"/>
  <c r="R296" i="5"/>
  <c r="R292" i="5"/>
  <c r="R288" i="5"/>
  <c r="R284" i="5"/>
  <c r="R280" i="5"/>
  <c r="R276" i="5"/>
  <c r="R272" i="5"/>
  <c r="R268" i="5"/>
  <c r="R264" i="5"/>
  <c r="R260" i="5"/>
  <c r="R256" i="5"/>
  <c r="R252" i="5"/>
  <c r="R248" i="5"/>
  <c r="R244" i="5"/>
  <c r="R240" i="5"/>
  <c r="R236" i="5"/>
  <c r="R232" i="5"/>
  <c r="R228" i="5"/>
  <c r="R224" i="5"/>
  <c r="R220" i="5"/>
  <c r="R216" i="5"/>
  <c r="R212" i="5"/>
  <c r="R208" i="5"/>
  <c r="R204" i="5"/>
  <c r="R200" i="5"/>
  <c r="R196" i="5"/>
  <c r="R192" i="5"/>
  <c r="R188" i="5"/>
  <c r="R184" i="5"/>
  <c r="R180" i="5"/>
  <c r="R176" i="5"/>
  <c r="R172" i="5"/>
  <c r="R164" i="5"/>
  <c r="R152" i="5"/>
  <c r="R148" i="5"/>
  <c r="R144" i="5"/>
  <c r="R140" i="5"/>
  <c r="R136" i="5"/>
  <c r="R132" i="5"/>
  <c r="R128" i="5"/>
  <c r="R124" i="5"/>
  <c r="R120" i="5"/>
  <c r="R116" i="5"/>
  <c r="R112" i="5"/>
  <c r="R108" i="5"/>
  <c r="Y164" i="5"/>
  <c r="Y25" i="5"/>
  <c r="Y44" i="5"/>
  <c r="Z229" i="5"/>
  <c r="Z185" i="5"/>
  <c r="Y9" i="5"/>
  <c r="O273" i="5"/>
  <c r="V273" i="5" s="1"/>
  <c r="O249" i="5"/>
  <c r="O241" i="5"/>
  <c r="O233" i="5"/>
  <c r="V233" i="5" s="1"/>
  <c r="O217" i="5"/>
  <c r="O193" i="5"/>
  <c r="Y194" i="5" s="1"/>
  <c r="O57" i="5"/>
  <c r="Y58" i="5" s="1"/>
  <c r="O49" i="5"/>
  <c r="Y50" i="5" s="1"/>
  <c r="Y100" i="5"/>
  <c r="Y198" i="5"/>
  <c r="Z157" i="5"/>
  <c r="Y141" i="5"/>
  <c r="Y85" i="5"/>
  <c r="Y18" i="5"/>
  <c r="Y13" i="5"/>
  <c r="Q196" i="5"/>
  <c r="Q188" i="5"/>
  <c r="Q180" i="5"/>
  <c r="Q172" i="5"/>
  <c r="Q164" i="5"/>
  <c r="Q156" i="5"/>
  <c r="Q148" i="5"/>
  <c r="Q140" i="5"/>
  <c r="Q132" i="5"/>
  <c r="Q124" i="5"/>
  <c r="Q116" i="5"/>
  <c r="Q108" i="5"/>
  <c r="Q100" i="5"/>
  <c r="Q92" i="5"/>
  <c r="Q84" i="5"/>
  <c r="Q76" i="5"/>
  <c r="Q68" i="5"/>
  <c r="Q60" i="5"/>
  <c r="Q52" i="5"/>
  <c r="Y117" i="5"/>
  <c r="S193" i="5"/>
  <c r="O188" i="5"/>
  <c r="Y189" i="5" s="1"/>
  <c r="S185" i="5"/>
  <c r="O180" i="5"/>
  <c r="Y181" i="5" s="1"/>
  <c r="S177" i="5"/>
  <c r="S169" i="5"/>
  <c r="S161" i="5"/>
  <c r="S153" i="5"/>
  <c r="O148" i="5"/>
  <c r="S145" i="5"/>
  <c r="S137" i="5"/>
  <c r="S129" i="5"/>
  <c r="S121" i="5"/>
  <c r="S113" i="5"/>
  <c r="S105" i="5"/>
  <c r="S97" i="5"/>
  <c r="S89" i="5"/>
  <c r="S81" i="5"/>
  <c r="O76" i="5"/>
  <c r="Y77" i="5" s="1"/>
  <c r="R31" i="5"/>
  <c r="R27" i="5"/>
  <c r="R23" i="5"/>
  <c r="R19" i="5"/>
  <c r="R15" i="5"/>
  <c r="R11" i="5"/>
  <c r="R7" i="5"/>
  <c r="R104" i="5"/>
  <c r="R100" i="5"/>
  <c r="R96" i="5"/>
  <c r="R92" i="5"/>
  <c r="R88" i="5"/>
  <c r="R84" i="5"/>
  <c r="R80" i="5"/>
  <c r="R76" i="5"/>
  <c r="R72" i="5"/>
  <c r="R68" i="5"/>
  <c r="R64" i="5"/>
  <c r="R60" i="5"/>
  <c r="R56" i="5"/>
  <c r="R52" i="5"/>
  <c r="R48" i="5"/>
  <c r="R44" i="5"/>
  <c r="R40" i="5"/>
  <c r="R36" i="5"/>
  <c r="R32" i="5"/>
  <c r="R28" i="5"/>
  <c r="R24" i="5"/>
  <c r="R20" i="5"/>
  <c r="R16" i="5"/>
  <c r="R12" i="5"/>
  <c r="O158" i="5"/>
  <c r="O134" i="5"/>
  <c r="S56" i="5"/>
  <c r="V56" i="5" s="1"/>
  <c r="O54" i="5"/>
  <c r="S48" i="5"/>
  <c r="O133" i="5"/>
  <c r="Y133" i="5" s="1"/>
  <c r="O109" i="5"/>
  <c r="Y109" i="5" s="1"/>
  <c r="O101" i="5"/>
  <c r="O93" i="5"/>
  <c r="Y94" i="5" s="1"/>
  <c r="O45" i="5"/>
  <c r="T329" i="5"/>
  <c r="AF329" i="5" s="1"/>
  <c r="T325" i="5"/>
  <c r="AF325" i="5" s="1"/>
  <c r="P324" i="5"/>
  <c r="T321" i="5"/>
  <c r="P320" i="5"/>
  <c r="T317" i="5"/>
  <c r="AF317" i="5" s="1"/>
  <c r="P316" i="5"/>
  <c r="T313" i="5"/>
  <c r="AF313" i="5" s="1"/>
  <c r="T309" i="5"/>
  <c r="AF309" i="5" s="1"/>
  <c r="T305" i="5"/>
  <c r="AF305" i="5" s="1"/>
  <c r="T301" i="5"/>
  <c r="AF301" i="5" s="1"/>
  <c r="P300" i="5"/>
  <c r="T297" i="5"/>
  <c r="AF297" i="5" s="1"/>
  <c r="T293" i="5"/>
  <c r="AF293" i="5" s="1"/>
  <c r="T289" i="5"/>
  <c r="AF289" i="5" s="1"/>
  <c r="P288" i="5"/>
  <c r="T285" i="5"/>
  <c r="AF285" i="5" s="1"/>
  <c r="P284" i="5"/>
  <c r="Z285" i="5" s="1"/>
  <c r="T281" i="5"/>
  <c r="AF281" i="5" s="1"/>
  <c r="P280" i="5"/>
  <c r="T277" i="5"/>
  <c r="AF277" i="5" s="1"/>
  <c r="T273" i="5"/>
  <c r="AF273" i="5" s="1"/>
  <c r="T269" i="5"/>
  <c r="AF269" i="5" s="1"/>
  <c r="P268" i="5"/>
  <c r="T265" i="5"/>
  <c r="AF265" i="5" s="1"/>
  <c r="T261" i="5"/>
  <c r="AF261" i="5" s="1"/>
  <c r="T257" i="5"/>
  <c r="AF257" i="5" s="1"/>
  <c r="T253" i="5"/>
  <c r="T249" i="5"/>
  <c r="AF249" i="5" s="1"/>
  <c r="P248" i="5"/>
  <c r="T245" i="5"/>
  <c r="AF245" i="5" s="1"/>
  <c r="T241" i="5"/>
  <c r="AF241" i="5" s="1"/>
  <c r="T237" i="5"/>
  <c r="AF237" i="5" s="1"/>
  <c r="T233" i="5"/>
  <c r="AF233" i="5" s="1"/>
  <c r="T229" i="5"/>
  <c r="AF229" i="5" s="1"/>
  <c r="T225" i="5"/>
  <c r="P224" i="5"/>
  <c r="T221" i="5"/>
  <c r="AF221" i="5" s="1"/>
  <c r="T217" i="5"/>
  <c r="AF217" i="5" s="1"/>
  <c r="P216" i="5"/>
  <c r="T213" i="5"/>
  <c r="AF213" i="5" s="1"/>
  <c r="P212" i="5"/>
  <c r="Z213" i="5" s="1"/>
  <c r="T209" i="5"/>
  <c r="AF209" i="5" s="1"/>
  <c r="P208" i="5"/>
  <c r="T205" i="5"/>
  <c r="AF205" i="5" s="1"/>
  <c r="P204" i="5"/>
  <c r="T201" i="5"/>
  <c r="AF201" i="5" s="1"/>
  <c r="T197" i="5"/>
  <c r="AF197" i="5" s="1"/>
  <c r="P196" i="5"/>
  <c r="T193" i="5"/>
  <c r="AF193" i="5" s="1"/>
  <c r="T189" i="5"/>
  <c r="AF189" i="5" s="1"/>
  <c r="P188" i="5"/>
  <c r="Z189" i="5" s="1"/>
  <c r="T185" i="5"/>
  <c r="AF185" i="5" s="1"/>
  <c r="T181" i="5"/>
  <c r="AF181" i="5" s="1"/>
  <c r="T177" i="5"/>
  <c r="AF177" i="5" s="1"/>
  <c r="P176" i="5"/>
  <c r="T173" i="5"/>
  <c r="AF173" i="5" s="1"/>
  <c r="T169" i="5"/>
  <c r="AF169" i="5" s="1"/>
  <c r="T165" i="5"/>
  <c r="AF165" i="5" s="1"/>
  <c r="T161" i="5"/>
  <c r="T157" i="5"/>
  <c r="AF157" i="5" s="1"/>
  <c r="T153" i="5"/>
  <c r="AF153" i="5" s="1"/>
  <c r="P152" i="5"/>
  <c r="T149" i="5"/>
  <c r="AF149" i="5" s="1"/>
  <c r="T145" i="5"/>
  <c r="AF145" i="5" s="1"/>
  <c r="T141" i="5"/>
  <c r="AF141" i="5" s="1"/>
  <c r="T137" i="5"/>
  <c r="AF137" i="5" s="1"/>
  <c r="P136" i="5"/>
  <c r="Z137" i="5" s="1"/>
  <c r="T133" i="5"/>
  <c r="AF133" i="5" s="1"/>
  <c r="T129" i="5"/>
  <c r="AF129" i="5" s="1"/>
  <c r="P108" i="5"/>
  <c r="P80" i="5"/>
  <c r="P60" i="5"/>
  <c r="P48" i="5"/>
  <c r="Q44" i="5"/>
  <c r="Q36" i="5"/>
  <c r="Q28" i="5"/>
  <c r="Q20" i="5"/>
  <c r="Q12" i="5"/>
  <c r="R9" i="5"/>
  <c r="S73" i="5"/>
  <c r="O68" i="5"/>
  <c r="Y69" i="5" s="1"/>
  <c r="S65" i="5"/>
  <c r="P323" i="5"/>
  <c r="Z323" i="5" s="1"/>
  <c r="P319" i="5"/>
  <c r="Z319" i="5" s="1"/>
  <c r="P315" i="5"/>
  <c r="P311" i="5"/>
  <c r="Z312" i="5" s="1"/>
  <c r="P307" i="5"/>
  <c r="Z308" i="5" s="1"/>
  <c r="P303" i="5"/>
  <c r="Z304" i="5" s="1"/>
  <c r="P299" i="5"/>
  <c r="P295" i="5"/>
  <c r="Z296" i="5" s="1"/>
  <c r="P291" i="5"/>
  <c r="Z291" i="5" s="1"/>
  <c r="P287" i="5"/>
  <c r="Z287" i="5" s="1"/>
  <c r="P283" i="5"/>
  <c r="Z283" i="5" s="1"/>
  <c r="P279" i="5"/>
  <c r="P275" i="5"/>
  <c r="Z276" i="5" s="1"/>
  <c r="P271" i="5"/>
  <c r="Z272" i="5" s="1"/>
  <c r="P267" i="5"/>
  <c r="Z267" i="5" s="1"/>
  <c r="P263" i="5"/>
  <c r="Z264" i="5" s="1"/>
  <c r="P259" i="5"/>
  <c r="Z259" i="5" s="1"/>
  <c r="P255" i="5"/>
  <c r="Z255" i="5" s="1"/>
  <c r="P251" i="5"/>
  <c r="Z252" i="5" s="1"/>
  <c r="P247" i="5"/>
  <c r="P243" i="5"/>
  <c r="Z244" i="5" s="1"/>
  <c r="P239" i="5"/>
  <c r="Z240" i="5" s="1"/>
  <c r="P235" i="5"/>
  <c r="Z236" i="5" s="1"/>
  <c r="P231" i="5"/>
  <c r="Z232" i="5" s="1"/>
  <c r="P227" i="5"/>
  <c r="Z227" i="5" s="1"/>
  <c r="P223" i="5"/>
  <c r="P219" i="5"/>
  <c r="Z220" i="5" s="1"/>
  <c r="P215" i="5"/>
  <c r="P211" i="5"/>
  <c r="P207" i="5"/>
  <c r="P199" i="5"/>
  <c r="Z200" i="5" s="1"/>
  <c r="P195" i="5"/>
  <c r="P191" i="5"/>
  <c r="Z192" i="5" s="1"/>
  <c r="P183" i="5"/>
  <c r="Z184" i="5" s="1"/>
  <c r="P171" i="5"/>
  <c r="Z172" i="5" s="1"/>
  <c r="P167" i="5"/>
  <c r="Z168" i="5" s="1"/>
  <c r="P159" i="5"/>
  <c r="Z160" i="5" s="1"/>
  <c r="P155" i="5"/>
  <c r="Z156" i="5" s="1"/>
  <c r="P151" i="5"/>
  <c r="P147" i="5"/>
  <c r="Z148" i="5" s="1"/>
  <c r="P143" i="5"/>
  <c r="Z144" i="5" s="1"/>
  <c r="P139" i="5"/>
  <c r="Z140" i="5" s="1"/>
  <c r="P131" i="5"/>
  <c r="Z132" i="5" s="1"/>
  <c r="P123" i="5"/>
  <c r="W123" i="5" s="1"/>
  <c r="P115" i="5"/>
  <c r="W115" i="5" s="1"/>
  <c r="P111" i="5"/>
  <c r="W111" i="5" s="1"/>
  <c r="P107" i="5"/>
  <c r="P103" i="5"/>
  <c r="P99" i="5"/>
  <c r="W99" i="5" s="1"/>
  <c r="P95" i="5"/>
  <c r="W95" i="5" s="1"/>
  <c r="P87" i="5"/>
  <c r="W87" i="5" s="1"/>
  <c r="P83" i="5"/>
  <c r="W83" i="5" s="1"/>
  <c r="P79" i="5"/>
  <c r="W79" i="5" s="1"/>
  <c r="P67" i="5"/>
  <c r="W67" i="5" s="1"/>
  <c r="P63" i="5"/>
  <c r="W63" i="5" s="1"/>
  <c r="P55" i="5"/>
  <c r="P47" i="5"/>
  <c r="W47" i="5" s="1"/>
  <c r="P43" i="5"/>
  <c r="W43" i="5" s="1"/>
  <c r="P39" i="5"/>
  <c r="W39" i="5" s="1"/>
  <c r="P35" i="5"/>
  <c r="P31" i="5"/>
  <c r="T327" i="5"/>
  <c r="AF327" i="5" s="1"/>
  <c r="T323" i="5"/>
  <c r="AF323" i="5" s="1"/>
  <c r="T319" i="5"/>
  <c r="T315" i="5"/>
  <c r="T311" i="5"/>
  <c r="AF311" i="5" s="1"/>
  <c r="T307" i="5"/>
  <c r="T303" i="5"/>
  <c r="T299" i="5"/>
  <c r="T295" i="5"/>
  <c r="AF295" i="5" s="1"/>
  <c r="T291" i="5"/>
  <c r="AF291" i="5" s="1"/>
  <c r="T287" i="5"/>
  <c r="T283" i="5"/>
  <c r="T279" i="5"/>
  <c r="AF279" i="5" s="1"/>
  <c r="T275" i="5"/>
  <c r="T271" i="5"/>
  <c r="T267" i="5"/>
  <c r="T263" i="5"/>
  <c r="AF263" i="5" s="1"/>
  <c r="T259" i="5"/>
  <c r="AF259" i="5" s="1"/>
  <c r="T255" i="5"/>
  <c r="T251" i="5"/>
  <c r="T247" i="5"/>
  <c r="AF247" i="5" s="1"/>
  <c r="T243" i="5"/>
  <c r="T239" i="5"/>
  <c r="T235" i="5"/>
  <c r="T231" i="5"/>
  <c r="AF231" i="5" s="1"/>
  <c r="T227" i="5"/>
  <c r="AF227" i="5" s="1"/>
  <c r="T223" i="5"/>
  <c r="T219" i="5"/>
  <c r="T215" i="5"/>
  <c r="AF215" i="5" s="1"/>
  <c r="T211" i="5"/>
  <c r="T207" i="5"/>
  <c r="T203" i="5"/>
  <c r="AF203" i="5" s="1"/>
  <c r="T199" i="5"/>
  <c r="AF199" i="5" s="1"/>
  <c r="T195" i="5"/>
  <c r="AF195" i="5" s="1"/>
  <c r="T191" i="5"/>
  <c r="AF191" i="5" s="1"/>
  <c r="T187" i="5"/>
  <c r="AF187" i="5" s="1"/>
  <c r="T183" i="5"/>
  <c r="T179" i="5"/>
  <c r="AF179" i="5" s="1"/>
  <c r="T175" i="5"/>
  <c r="AF175" i="5" s="1"/>
  <c r="T171" i="5"/>
  <c r="AF171" i="5" s="1"/>
  <c r="T167" i="5"/>
  <c r="AF167" i="5" s="1"/>
  <c r="T163" i="5"/>
  <c r="AF163" i="5" s="1"/>
  <c r="T159" i="5"/>
  <c r="T155" i="5"/>
  <c r="T151" i="5"/>
  <c r="T147" i="5"/>
  <c r="T143" i="5"/>
  <c r="AF143" i="5" s="1"/>
  <c r="T139" i="5"/>
  <c r="T135" i="5"/>
  <c r="AF135" i="5" s="1"/>
  <c r="T131" i="5"/>
  <c r="AF131" i="5" s="1"/>
  <c r="W107" i="5"/>
  <c r="W103" i="5"/>
  <c r="W55" i="5"/>
  <c r="Q329" i="5"/>
  <c r="Q321" i="5"/>
  <c r="Y10" i="5"/>
  <c r="O313" i="5"/>
  <c r="V313" i="5" s="1"/>
  <c r="Q307" i="5"/>
  <c r="Q299" i="5"/>
  <c r="O297" i="5"/>
  <c r="V297" i="5" s="1"/>
  <c r="Q291" i="5"/>
  <c r="O289" i="5"/>
  <c r="Q283" i="5"/>
  <c r="Q275" i="5"/>
  <c r="Q267" i="5"/>
  <c r="Q259" i="5"/>
  <c r="O257" i="5"/>
  <c r="Q251" i="5"/>
  <c r="Q243" i="5"/>
  <c r="Q235" i="5"/>
  <c r="Q227" i="5"/>
  <c r="O225" i="5"/>
  <c r="V225" i="5" s="1"/>
  <c r="Q219" i="5"/>
  <c r="Q211" i="5"/>
  <c r="Q203" i="5"/>
  <c r="O201" i="5"/>
  <c r="V201" i="5" s="1"/>
  <c r="V198" i="5"/>
  <c r="Q195" i="5"/>
  <c r="Q187" i="5"/>
  <c r="O185" i="5"/>
  <c r="Y185" i="5" s="1"/>
  <c r="Q179" i="5"/>
  <c r="O177" i="5"/>
  <c r="Q171" i="5"/>
  <c r="O169" i="5"/>
  <c r="V169" i="5" s="1"/>
  <c r="Q163" i="5"/>
  <c r="O161" i="5"/>
  <c r="Q155" i="5"/>
  <c r="O153" i="5"/>
  <c r="Y154" i="5" s="1"/>
  <c r="Q147" i="5"/>
  <c r="O145" i="5"/>
  <c r="Y146" i="5" s="1"/>
  <c r="Q139" i="5"/>
  <c r="O137" i="5"/>
  <c r="Q131" i="5"/>
  <c r="O129" i="5"/>
  <c r="Y130" i="5" s="1"/>
  <c r="Q123" i="5"/>
  <c r="O121" i="5"/>
  <c r="Y121" i="5" s="1"/>
  <c r="Q115" i="5"/>
  <c r="O113" i="5"/>
  <c r="Q107" i="5"/>
  <c r="O105" i="5"/>
  <c r="Q99" i="5"/>
  <c r="O97" i="5"/>
  <c r="Y98" i="5" s="1"/>
  <c r="Q91" i="5"/>
  <c r="O89" i="5"/>
  <c r="Y90" i="5" s="1"/>
  <c r="Q83" i="5"/>
  <c r="O81" i="5"/>
  <c r="Q75" i="5"/>
  <c r="O73" i="5"/>
  <c r="Y74" i="5" s="1"/>
  <c r="Q67" i="5"/>
  <c r="Q59" i="5"/>
  <c r="Q51" i="5"/>
  <c r="Y36" i="5"/>
  <c r="Q323" i="5"/>
  <c r="Q315" i="5"/>
  <c r="Z309" i="5"/>
  <c r="Z161" i="5"/>
  <c r="Y116" i="5"/>
  <c r="Y84" i="5"/>
  <c r="Y65" i="5"/>
  <c r="Y20" i="5"/>
  <c r="Z245" i="5"/>
  <c r="Z233" i="5"/>
  <c r="Z145" i="5"/>
  <c r="Y41" i="5"/>
  <c r="Y28" i="5"/>
  <c r="Y57" i="5"/>
  <c r="Y33" i="5"/>
  <c r="Y38" i="5"/>
  <c r="Y14" i="5"/>
  <c r="Q327" i="5"/>
  <c r="O325" i="5"/>
  <c r="Q319" i="5"/>
  <c r="Q311" i="5"/>
  <c r="O309" i="5"/>
  <c r="V309" i="5" s="1"/>
  <c r="Q303" i="5"/>
  <c r="Q295" i="5"/>
  <c r="O293" i="5"/>
  <c r="Q287" i="5"/>
  <c r="Q279" i="5"/>
  <c r="O277" i="5"/>
  <c r="Q271" i="5"/>
  <c r="Q263" i="5"/>
  <c r="O261" i="5"/>
  <c r="V261" i="5" s="1"/>
  <c r="Q255" i="5"/>
  <c r="Q247" i="5"/>
  <c r="Q239" i="5"/>
  <c r="V234" i="5"/>
  <c r="Q231" i="5"/>
  <c r="Q223" i="5"/>
  <c r="O221" i="5"/>
  <c r="Q215" i="5"/>
  <c r="Q207" i="5"/>
  <c r="O205" i="5"/>
  <c r="Q199" i="5"/>
  <c r="S194" i="5"/>
  <c r="V194" i="5" s="1"/>
  <c r="Q191" i="5"/>
  <c r="S186" i="5"/>
  <c r="Q183" i="5"/>
  <c r="S178" i="5"/>
  <c r="Q175" i="5"/>
  <c r="O173" i="5"/>
  <c r="Y173" i="5" s="1"/>
  <c r="S170" i="5"/>
  <c r="V170" i="5" s="1"/>
  <c r="Q167" i="5"/>
  <c r="O165" i="5"/>
  <c r="Y165" i="5" s="1"/>
  <c r="S162" i="5"/>
  <c r="V162" i="5" s="1"/>
  <c r="Q159" i="5"/>
  <c r="O157" i="5"/>
  <c r="Y157" i="5" s="1"/>
  <c r="S154" i="5"/>
  <c r="V154" i="5" s="1"/>
  <c r="Q151" i="5"/>
  <c r="S146" i="5"/>
  <c r="V146" i="5" s="1"/>
  <c r="Q143" i="5"/>
  <c r="S138" i="5"/>
  <c r="Q135" i="5"/>
  <c r="S130" i="5"/>
  <c r="V130" i="5" s="1"/>
  <c r="Q127" i="5"/>
  <c r="S122" i="5"/>
  <c r="Q119" i="5"/>
  <c r="S114" i="5"/>
  <c r="Q111" i="5"/>
  <c r="S106" i="5"/>
  <c r="Q103" i="5"/>
  <c r="Y101" i="5"/>
  <c r="S98" i="5"/>
  <c r="Q95" i="5"/>
  <c r="Y93" i="5"/>
  <c r="S90" i="5"/>
  <c r="V90" i="5" s="1"/>
  <c r="Q87" i="5"/>
  <c r="S82" i="5"/>
  <c r="Q79" i="5"/>
  <c r="S74" i="5"/>
  <c r="V74" i="5" s="1"/>
  <c r="Q71" i="5"/>
  <c r="S66" i="5"/>
  <c r="V66" i="5" s="1"/>
  <c r="Q63" i="5"/>
  <c r="Q55" i="5"/>
  <c r="Q47" i="5"/>
  <c r="Y45" i="5"/>
  <c r="Y59" i="5"/>
  <c r="Y51" i="5"/>
  <c r="O314" i="5"/>
  <c r="O298" i="5"/>
  <c r="V298" i="5" s="1"/>
  <c r="O290" i="5"/>
  <c r="V290" i="5" s="1"/>
  <c r="O282" i="5"/>
  <c r="V282" i="5" s="1"/>
  <c r="O274" i="5"/>
  <c r="O266" i="5"/>
  <c r="V266" i="5" s="1"/>
  <c r="O258" i="5"/>
  <c r="V258" i="5" s="1"/>
  <c r="O250" i="5"/>
  <c r="V250" i="5" s="1"/>
  <c r="O226" i="5"/>
  <c r="O218" i="5"/>
  <c r="V218" i="5" s="1"/>
  <c r="Q313" i="5"/>
  <c r="Q305" i="5"/>
  <c r="Q297" i="5"/>
  <c r="V292" i="5"/>
  <c r="Q289" i="5"/>
  <c r="Q281" i="5"/>
  <c r="Q273" i="5"/>
  <c r="Q265" i="5"/>
  <c r="V260" i="5"/>
  <c r="Q257" i="5"/>
  <c r="Q249" i="5"/>
  <c r="Q241" i="5"/>
  <c r="Q233" i="5"/>
  <c r="V228" i="5"/>
  <c r="Q225" i="5"/>
  <c r="Q217" i="5"/>
  <c r="Q209" i="5"/>
  <c r="Q201" i="5"/>
  <c r="S196" i="5"/>
  <c r="V196" i="5" s="1"/>
  <c r="S188" i="5"/>
  <c r="S180" i="5"/>
  <c r="S172" i="5"/>
  <c r="S164" i="5"/>
  <c r="V164" i="5" s="1"/>
  <c r="S156" i="5"/>
  <c r="V156" i="5" s="1"/>
  <c r="S148" i="5"/>
  <c r="S140" i="5"/>
  <c r="S132" i="5"/>
  <c r="V132" i="5" s="1"/>
  <c r="S124" i="5"/>
  <c r="V124" i="5" s="1"/>
  <c r="S116" i="5"/>
  <c r="V116" i="5" s="1"/>
  <c r="S108" i="5"/>
  <c r="S100" i="5"/>
  <c r="S92" i="5"/>
  <c r="V92" i="5" s="1"/>
  <c r="S84" i="5"/>
  <c r="V84" i="5" s="1"/>
  <c r="S76" i="5"/>
  <c r="V76" i="5" s="1"/>
  <c r="S68" i="5"/>
  <c r="V68" i="5" s="1"/>
  <c r="S60" i="5"/>
  <c r="V60" i="5" s="1"/>
  <c r="T330" i="5"/>
  <c r="T326" i="5"/>
  <c r="P325" i="5"/>
  <c r="Z325" i="5" s="1"/>
  <c r="T322" i="5"/>
  <c r="P321" i="5"/>
  <c r="T318" i="5"/>
  <c r="T314" i="5"/>
  <c r="P313" i="5"/>
  <c r="Z313" i="5" s="1"/>
  <c r="T310" i="5"/>
  <c r="T306" i="5"/>
  <c r="P305" i="5"/>
  <c r="Z305" i="5" s="1"/>
  <c r="T302" i="5"/>
  <c r="T298" i="5"/>
  <c r="P297" i="5"/>
  <c r="Z297" i="5" s="1"/>
  <c r="T294" i="5"/>
  <c r="T290" i="5"/>
  <c r="P289" i="5"/>
  <c r="Z289" i="5" s="1"/>
  <c r="T286" i="5"/>
  <c r="T282" i="5"/>
  <c r="P281" i="5"/>
  <c r="W281" i="5" s="1"/>
  <c r="T278" i="5"/>
  <c r="T274" i="5"/>
  <c r="P273" i="5"/>
  <c r="Z273" i="5" s="1"/>
  <c r="T270" i="5"/>
  <c r="T266" i="5"/>
  <c r="P265" i="5"/>
  <c r="Z265" i="5" s="1"/>
  <c r="T262" i="5"/>
  <c r="P261" i="5"/>
  <c r="Z261" i="5" s="1"/>
  <c r="T258" i="5"/>
  <c r="P257" i="5"/>
  <c r="Z257" i="5" s="1"/>
  <c r="T254" i="5"/>
  <c r="T250" i="5"/>
  <c r="P249" i="5"/>
  <c r="Z249" i="5" s="1"/>
  <c r="T246" i="5"/>
  <c r="T242" i="5"/>
  <c r="P241" i="5"/>
  <c r="Z241" i="5" s="1"/>
  <c r="T238" i="5"/>
  <c r="P237" i="5"/>
  <c r="Z237" i="5" s="1"/>
  <c r="T234" i="5"/>
  <c r="T230" i="5"/>
  <c r="T226" i="5"/>
  <c r="P225" i="5"/>
  <c r="T222" i="5"/>
  <c r="T218" i="5"/>
  <c r="P217" i="5"/>
  <c r="Z217" i="5" s="1"/>
  <c r="T214" i="5"/>
  <c r="T210" i="5"/>
  <c r="T206" i="5"/>
  <c r="P205" i="5"/>
  <c r="Z205" i="5" s="1"/>
  <c r="T202" i="5"/>
  <c r="T198" i="5"/>
  <c r="P197" i="5"/>
  <c r="Z197" i="5" s="1"/>
  <c r="T194" i="5"/>
  <c r="P193" i="5"/>
  <c r="Z193" i="5" s="1"/>
  <c r="T190" i="5"/>
  <c r="T186" i="5"/>
  <c r="T182" i="5"/>
  <c r="P181" i="5"/>
  <c r="Z181" i="5" s="1"/>
  <c r="T178" i="5"/>
  <c r="P177" i="5"/>
  <c r="Z177" i="5" s="1"/>
  <c r="T174" i="5"/>
  <c r="T170" i="5"/>
  <c r="P169" i="5"/>
  <c r="Z169" i="5" s="1"/>
  <c r="T166" i="5"/>
  <c r="T162" i="5"/>
  <c r="T158" i="5"/>
  <c r="T154" i="5"/>
  <c r="P153" i="5"/>
  <c r="Z153" i="5" s="1"/>
  <c r="T150" i="5"/>
  <c r="T146" i="5"/>
  <c r="T142" i="5"/>
  <c r="P141" i="5"/>
  <c r="Z141" i="5" s="1"/>
  <c r="T138" i="5"/>
  <c r="T134" i="5"/>
  <c r="T130" i="5"/>
  <c r="W126" i="5"/>
  <c r="P125" i="5"/>
  <c r="W125" i="5" s="1"/>
  <c r="W122" i="5"/>
  <c r="W118" i="5"/>
  <c r="W114" i="5"/>
  <c r="W110" i="5"/>
  <c r="W106" i="5"/>
  <c r="W102" i="5"/>
  <c r="W98" i="5"/>
  <c r="P97" i="5"/>
  <c r="W97" i="5" s="1"/>
  <c r="W94" i="5"/>
  <c r="W90" i="5"/>
  <c r="W86" i="5"/>
  <c r="P85" i="5"/>
  <c r="W82" i="5"/>
  <c r="P81" i="5"/>
  <c r="W78" i="5"/>
  <c r="W74" i="5"/>
  <c r="W70" i="5"/>
  <c r="P69" i="5"/>
  <c r="W69" i="5" s="1"/>
  <c r="W66" i="5"/>
  <c r="P65" i="5"/>
  <c r="W65" i="5" s="1"/>
  <c r="W62" i="5"/>
  <c r="W58" i="5"/>
  <c r="P53" i="5"/>
  <c r="W53" i="5" s="1"/>
  <c r="W34" i="5"/>
  <c r="W30" i="5"/>
  <c r="O53" i="5"/>
  <c r="Q326" i="5"/>
  <c r="Q318" i="5"/>
  <c r="Q310" i="5"/>
  <c r="O308" i="5"/>
  <c r="V308" i="5" s="1"/>
  <c r="Q302" i="5"/>
  <c r="Q294" i="5"/>
  <c r="Q286" i="5"/>
  <c r="Q278" i="5"/>
  <c r="Q270" i="5"/>
  <c r="Q262" i="5"/>
  <c r="Q254" i="5"/>
  <c r="V249" i="5"/>
  <c r="Q246" i="5"/>
  <c r="Q238" i="5"/>
  <c r="Q230" i="5"/>
  <c r="Q222" i="5"/>
  <c r="Q214" i="5"/>
  <c r="Q206" i="5"/>
  <c r="Q198" i="5"/>
  <c r="Q190" i="5"/>
  <c r="Q182" i="5"/>
  <c r="Y180" i="5"/>
  <c r="Q174" i="5"/>
  <c r="Q166" i="5"/>
  <c r="Q158" i="5"/>
  <c r="Q150" i="5"/>
  <c r="Q142" i="5"/>
  <c r="Q134" i="5"/>
  <c r="Q126" i="5"/>
  <c r="Q118" i="5"/>
  <c r="Q110" i="5"/>
  <c r="Q102" i="5"/>
  <c r="Q94" i="5"/>
  <c r="Q86" i="5"/>
  <c r="Q78" i="5"/>
  <c r="Q70" i="5"/>
  <c r="Y68" i="5"/>
  <c r="Q62" i="5"/>
  <c r="Q54" i="5"/>
  <c r="Q46" i="5"/>
  <c r="Q38" i="5"/>
  <c r="V33" i="5"/>
  <c r="Q30" i="5"/>
  <c r="Q14" i="5"/>
  <c r="R330" i="5"/>
  <c r="R326" i="5"/>
  <c r="R322" i="5"/>
  <c r="R318" i="5"/>
  <c r="Z315" i="5"/>
  <c r="R314" i="5"/>
  <c r="Z311" i="5"/>
  <c r="R310" i="5"/>
  <c r="Z307" i="5"/>
  <c r="R306" i="5"/>
  <c r="R302" i="5"/>
  <c r="Z299" i="5"/>
  <c r="R298" i="5"/>
  <c r="Z295" i="5"/>
  <c r="R294" i="5"/>
  <c r="R290" i="5"/>
  <c r="R286" i="5"/>
  <c r="R282" i="5"/>
  <c r="Z279" i="5"/>
  <c r="R278" i="5"/>
  <c r="Z275" i="5"/>
  <c r="R274" i="5"/>
  <c r="R270" i="5"/>
  <c r="R266" i="5"/>
  <c r="Z263" i="5"/>
  <c r="R262" i="5"/>
  <c r="R258" i="5"/>
  <c r="R254" i="5"/>
  <c r="Q43" i="5"/>
  <c r="V38" i="5"/>
  <c r="Q35" i="5"/>
  <c r="V30" i="5"/>
  <c r="Q27" i="5"/>
  <c r="Q19" i="5"/>
  <c r="Q11" i="5"/>
  <c r="Z330" i="5"/>
  <c r="Z314" i="5"/>
  <c r="Z310" i="5"/>
  <c r="Z306" i="5"/>
  <c r="Z302" i="5"/>
  <c r="Z294" i="5"/>
  <c r="Z286" i="5"/>
  <c r="Z278" i="5"/>
  <c r="Z274" i="5"/>
  <c r="Z270" i="5"/>
  <c r="Z254" i="5"/>
  <c r="Z246" i="5"/>
  <c r="Z238" i="5"/>
  <c r="Z234" i="5"/>
  <c r="Z230" i="5"/>
  <c r="Z222" i="5"/>
  <c r="Z214" i="5"/>
  <c r="Z210" i="5"/>
  <c r="Z202" i="5"/>
  <c r="Z190" i="5"/>
  <c r="Z174" i="5"/>
  <c r="Z166" i="5"/>
  <c r="Z158" i="5"/>
  <c r="Z150" i="5"/>
  <c r="Z146" i="5"/>
  <c r="Z142" i="5"/>
  <c r="Z138" i="5"/>
  <c r="Z134" i="5"/>
  <c r="Z130" i="5"/>
  <c r="W127" i="5"/>
  <c r="W71" i="5"/>
  <c r="W59" i="5"/>
  <c r="P54" i="5"/>
  <c r="W51" i="5"/>
  <c r="P50" i="5"/>
  <c r="P46" i="5"/>
  <c r="P42" i="5"/>
  <c r="Z329" i="5"/>
  <c r="Z253" i="5"/>
  <c r="Z180" i="5"/>
  <c r="Z165" i="5"/>
  <c r="Z133" i="5"/>
  <c r="S57" i="5"/>
  <c r="O55" i="5"/>
  <c r="Y55" i="5" s="1"/>
  <c r="S49" i="5"/>
  <c r="O39" i="5"/>
  <c r="Y39" i="5" s="1"/>
  <c r="O31" i="5"/>
  <c r="Y31" i="5" s="1"/>
  <c r="O23" i="5"/>
  <c r="Y23" i="5" s="1"/>
  <c r="O15" i="5"/>
  <c r="Y15" i="5" s="1"/>
  <c r="O7" i="5"/>
  <c r="Y7" i="5" s="1"/>
  <c r="Q4" i="5"/>
  <c r="Q328" i="5"/>
  <c r="Q320" i="5"/>
  <c r="Q312" i="5"/>
  <c r="Q304" i="5"/>
  <c r="Q296" i="5"/>
  <c r="Q288" i="5"/>
  <c r="Q280" i="5"/>
  <c r="Q272" i="5"/>
  <c r="Q264" i="5"/>
  <c r="Q256" i="5"/>
  <c r="Q248" i="5"/>
  <c r="Q240" i="5"/>
  <c r="Q232" i="5"/>
  <c r="Q224" i="5"/>
  <c r="Q216" i="5"/>
  <c r="Q208" i="5"/>
  <c r="Q200" i="5"/>
  <c r="S195" i="5"/>
  <c r="Q192" i="5"/>
  <c r="O190" i="5"/>
  <c r="Y190" i="5" s="1"/>
  <c r="S187" i="5"/>
  <c r="Q184" i="5"/>
  <c r="O182" i="5"/>
  <c r="Y182" i="5" s="1"/>
  <c r="S179" i="5"/>
  <c r="V179" i="5" s="1"/>
  <c r="Q176" i="5"/>
  <c r="O174" i="5"/>
  <c r="Y174" i="5" s="1"/>
  <c r="S171" i="5"/>
  <c r="Q168" i="5"/>
  <c r="O166" i="5"/>
  <c r="Y166" i="5" s="1"/>
  <c r="S163" i="5"/>
  <c r="V163" i="5" s="1"/>
  <c r="Q160" i="5"/>
  <c r="S155" i="5"/>
  <c r="Q152" i="5"/>
  <c r="O150" i="5"/>
  <c r="S147" i="5"/>
  <c r="Q144" i="5"/>
  <c r="O142" i="5"/>
  <c r="S139" i="5"/>
  <c r="Q136" i="5"/>
  <c r="S131" i="5"/>
  <c r="Q128" i="5"/>
  <c r="O126" i="5"/>
  <c r="S123" i="5"/>
  <c r="Q120" i="5"/>
  <c r="O118" i="5"/>
  <c r="Y118" i="5" s="1"/>
  <c r="S115" i="5"/>
  <c r="V115" i="5" s="1"/>
  <c r="Q112" i="5"/>
  <c r="O110" i="5"/>
  <c r="Y110" i="5" s="1"/>
  <c r="S107" i="5"/>
  <c r="V107" i="5" s="1"/>
  <c r="Q104" i="5"/>
  <c r="O102" i="5"/>
  <c r="S99" i="5"/>
  <c r="Q96" i="5"/>
  <c r="S91" i="5"/>
  <c r="Q88" i="5"/>
  <c r="O86" i="5"/>
  <c r="Y86" i="5" s="1"/>
  <c r="S83" i="5"/>
  <c r="V83" i="5" s="1"/>
  <c r="Q80" i="5"/>
  <c r="S75" i="5"/>
  <c r="Q72" i="5"/>
  <c r="S67" i="5"/>
  <c r="Q64" i="5"/>
  <c r="O62" i="5"/>
  <c r="Y62" i="5" s="1"/>
  <c r="Q56" i="5"/>
  <c r="Q48" i="5"/>
  <c r="O46" i="5"/>
  <c r="Y46" i="5" s="1"/>
  <c r="S54" i="5"/>
  <c r="V54" i="5" s="1"/>
  <c r="O52" i="5"/>
  <c r="Y52" i="5" s="1"/>
  <c r="Q325" i="5"/>
  <c r="Q317" i="5"/>
  <c r="Q309" i="5"/>
  <c r="Q301" i="5"/>
  <c r="V296" i="5"/>
  <c r="Q293" i="5"/>
  <c r="Q285" i="5"/>
  <c r="Q277" i="5"/>
  <c r="Q269" i="5"/>
  <c r="Q261" i="5"/>
  <c r="Q253" i="5"/>
  <c r="Q245" i="5"/>
  <c r="Q237" i="5"/>
  <c r="Q229" i="5"/>
  <c r="Q221" i="5"/>
  <c r="Q213" i="5"/>
  <c r="Q205" i="5"/>
  <c r="Q197" i="5"/>
  <c r="O195" i="5"/>
  <c r="Y195" i="5" s="1"/>
  <c r="S192" i="5"/>
  <c r="Q189" i="5"/>
  <c r="O187" i="5"/>
  <c r="S184" i="5"/>
  <c r="V184" i="5" s="1"/>
  <c r="Q181" i="5"/>
  <c r="S176" i="5"/>
  <c r="Q173" i="5"/>
  <c r="O171" i="5"/>
  <c r="Y171" i="5" s="1"/>
  <c r="S168" i="5"/>
  <c r="Q165" i="5"/>
  <c r="S160" i="5"/>
  <c r="Q157" i="5"/>
  <c r="O155" i="5"/>
  <c r="Y155" i="5" s="1"/>
  <c r="S152" i="5"/>
  <c r="Q149" i="5"/>
  <c r="O147" i="5"/>
  <c r="Y147" i="5" s="1"/>
  <c r="S144" i="5"/>
  <c r="Q141" i="5"/>
  <c r="O139" i="5"/>
  <c r="S136" i="5"/>
  <c r="Q133" i="5"/>
  <c r="O131" i="5"/>
  <c r="Y131" i="5" s="1"/>
  <c r="S128" i="5"/>
  <c r="Q125" i="5"/>
  <c r="O123" i="5"/>
  <c r="S120" i="5"/>
  <c r="V120" i="5" s="1"/>
  <c r="Q117" i="5"/>
  <c r="S112" i="5"/>
  <c r="Q109" i="5"/>
  <c r="O107" i="5"/>
  <c r="Y107" i="5" s="1"/>
  <c r="S104" i="5"/>
  <c r="Q101" i="5"/>
  <c r="S96" i="5"/>
  <c r="Q93" i="5"/>
  <c r="O91" i="5"/>
  <c r="Y91" i="5" s="1"/>
  <c r="S88" i="5"/>
  <c r="Q85" i="5"/>
  <c r="S80" i="5"/>
  <c r="Q77" i="5"/>
  <c r="O75" i="5"/>
  <c r="Y75" i="5" s="1"/>
  <c r="S72" i="5"/>
  <c r="Q69" i="5"/>
  <c r="O67" i="5"/>
  <c r="Y67" i="5" s="1"/>
  <c r="S64" i="5"/>
  <c r="V64" i="5" s="1"/>
  <c r="Q61" i="5"/>
  <c r="Q53" i="5"/>
  <c r="Q45" i="5"/>
  <c r="Q330" i="5"/>
  <c r="V325" i="5"/>
  <c r="Q322" i="5"/>
  <c r="O320" i="5"/>
  <c r="Q314" i="5"/>
  <c r="O312" i="5"/>
  <c r="Q306" i="5"/>
  <c r="O304" i="5"/>
  <c r="Q298" i="5"/>
  <c r="V293" i="5"/>
  <c r="Q290" i="5"/>
  <c r="O288" i="5"/>
  <c r="V285" i="5"/>
  <c r="Q282" i="5"/>
  <c r="O280" i="5"/>
  <c r="V277" i="5"/>
  <c r="Q274" i="5"/>
  <c r="O272" i="5"/>
  <c r="V269" i="5"/>
  <c r="Q266" i="5"/>
  <c r="Q258" i="5"/>
  <c r="O256" i="5"/>
  <c r="Q250" i="5"/>
  <c r="V245" i="5"/>
  <c r="Q242" i="5"/>
  <c r="O240" i="5"/>
  <c r="V237" i="5"/>
  <c r="Q234" i="5"/>
  <c r="O232" i="5"/>
  <c r="Q226" i="5"/>
  <c r="O224" i="5"/>
  <c r="V224" i="5" s="1"/>
  <c r="V221" i="5"/>
  <c r="Q218" i="5"/>
  <c r="O216" i="5"/>
  <c r="Q210" i="5"/>
  <c r="O208" i="5"/>
  <c r="V205" i="5"/>
  <c r="Q202" i="5"/>
  <c r="S197" i="5"/>
  <c r="V197" i="5" s="1"/>
  <c r="Q194" i="5"/>
  <c r="O192" i="5"/>
  <c r="Y193" i="5" s="1"/>
  <c r="S189" i="5"/>
  <c r="Q186" i="5"/>
  <c r="S181" i="5"/>
  <c r="Q178" i="5"/>
  <c r="O176" i="5"/>
  <c r="S173" i="5"/>
  <c r="V173" i="5" s="1"/>
  <c r="Q170" i="5"/>
  <c r="O168" i="5"/>
  <c r="S165" i="5"/>
  <c r="V165" i="5" s="1"/>
  <c r="Q162" i="5"/>
  <c r="O160" i="5"/>
  <c r="S157" i="5"/>
  <c r="Q154" i="5"/>
  <c r="O152" i="5"/>
  <c r="S149" i="5"/>
  <c r="Q146" i="5"/>
  <c r="O144" i="5"/>
  <c r="S141" i="5"/>
  <c r="V141" i="5" s="1"/>
  <c r="Q138" i="5"/>
  <c r="O136" i="5"/>
  <c r="S133" i="5"/>
  <c r="Q130" i="5"/>
  <c r="O128" i="5"/>
  <c r="S125" i="5"/>
  <c r="Q122" i="5"/>
  <c r="S117" i="5"/>
  <c r="V117" i="5" s="1"/>
  <c r="Q114" i="5"/>
  <c r="O112" i="5"/>
  <c r="S109" i="5"/>
  <c r="Q106" i="5"/>
  <c r="O104" i="5"/>
  <c r="S101" i="5"/>
  <c r="Q98" i="5"/>
  <c r="O96" i="5"/>
  <c r="S93" i="5"/>
  <c r="V93" i="5" s="1"/>
  <c r="Q90" i="5"/>
  <c r="O88" i="5"/>
  <c r="S85" i="5"/>
  <c r="Q82" i="5"/>
  <c r="O80" i="5"/>
  <c r="S77" i="5"/>
  <c r="Q74" i="5"/>
  <c r="O72" i="5"/>
  <c r="S69" i="5"/>
  <c r="Q66" i="5"/>
  <c r="S61" i="5"/>
  <c r="V61" i="5" s="1"/>
  <c r="Q58" i="5"/>
  <c r="Q50" i="5"/>
  <c r="V45" i="5"/>
  <c r="Q42" i="5"/>
  <c r="Q34" i="5"/>
  <c r="Q26" i="5"/>
  <c r="V21" i="5"/>
  <c r="Q18" i="5"/>
  <c r="V13" i="5"/>
  <c r="Q10" i="5"/>
  <c r="Q39" i="5"/>
  <c r="V26" i="5"/>
  <c r="Q23" i="5"/>
  <c r="Q15" i="5"/>
  <c r="V10" i="5"/>
  <c r="Q7" i="5"/>
  <c r="W329" i="5"/>
  <c r="W325" i="5"/>
  <c r="W305" i="5"/>
  <c r="W301" i="5"/>
  <c r="W297" i="5"/>
  <c r="W293" i="5"/>
  <c r="W269" i="5"/>
  <c r="W257" i="5"/>
  <c r="W249" i="5"/>
  <c r="W245" i="5"/>
  <c r="W233" i="5"/>
  <c r="W229" i="5"/>
  <c r="W209" i="5"/>
  <c r="W205" i="5"/>
  <c r="W201" i="5"/>
  <c r="W189" i="5"/>
  <c r="W169" i="5"/>
  <c r="W165" i="5"/>
  <c r="W149" i="5"/>
  <c r="W145" i="5"/>
  <c r="W137" i="5"/>
  <c r="W121" i="5"/>
  <c r="W117" i="5"/>
  <c r="W113" i="5"/>
  <c r="W109" i="5"/>
  <c r="W105" i="5"/>
  <c r="W101" i="5"/>
  <c r="W93" i="5"/>
  <c r="W89" i="5"/>
  <c r="W85" i="5"/>
  <c r="W81" i="5"/>
  <c r="W77" i="5"/>
  <c r="W73" i="5"/>
  <c r="W61" i="5"/>
  <c r="W57" i="5"/>
  <c r="W49" i="5"/>
  <c r="W45" i="5"/>
  <c r="W41" i="5"/>
  <c r="W37" i="5"/>
  <c r="W33" i="5"/>
  <c r="W29" i="5"/>
  <c r="W25" i="5"/>
  <c r="O210" i="5"/>
  <c r="V210" i="5" s="1"/>
  <c r="S191" i="5"/>
  <c r="O186" i="5"/>
  <c r="V186" i="5" s="1"/>
  <c r="S183" i="5"/>
  <c r="O178" i="5"/>
  <c r="Y178" i="5" s="1"/>
  <c r="S175" i="5"/>
  <c r="S167" i="5"/>
  <c r="S159" i="5"/>
  <c r="S151" i="5"/>
  <c r="S143" i="5"/>
  <c r="O138" i="5"/>
  <c r="Y138" i="5" s="1"/>
  <c r="S135" i="5"/>
  <c r="S127" i="5"/>
  <c r="O122" i="5"/>
  <c r="S119" i="5"/>
  <c r="O114" i="5"/>
  <c r="Y114" i="5" s="1"/>
  <c r="S111" i="5"/>
  <c r="S103" i="5"/>
  <c r="S95" i="5"/>
  <c r="S87" i="5"/>
  <c r="S79" i="5"/>
  <c r="S71" i="5"/>
  <c r="S63" i="5"/>
  <c r="W26" i="5"/>
  <c r="W22" i="5"/>
  <c r="W18" i="5"/>
  <c r="W10" i="5"/>
  <c r="R250" i="5"/>
  <c r="Z247" i="5"/>
  <c r="R246" i="5"/>
  <c r="Z243" i="5"/>
  <c r="R242" i="5"/>
  <c r="Z239" i="5"/>
  <c r="R238" i="5"/>
  <c r="Z235" i="5"/>
  <c r="R234" i="5"/>
  <c r="Z231" i="5"/>
  <c r="R230" i="5"/>
  <c r="R226" i="5"/>
  <c r="Z223" i="5"/>
  <c r="R222" i="5"/>
  <c r="R218" i="5"/>
  <c r="Z215" i="5"/>
  <c r="R214" i="5"/>
  <c r="Z211" i="5"/>
  <c r="R210" i="5"/>
  <c r="Z207" i="5"/>
  <c r="R206" i="5"/>
  <c r="R202" i="5"/>
  <c r="Z199" i="5"/>
  <c r="R198" i="5"/>
  <c r="Z195" i="5"/>
  <c r="R194" i="5"/>
  <c r="R190" i="5"/>
  <c r="R186" i="5"/>
  <c r="Z183" i="5"/>
  <c r="R182" i="5"/>
  <c r="R178" i="5"/>
  <c r="R174" i="5"/>
  <c r="R170" i="5"/>
  <c r="Z167" i="5"/>
  <c r="R166" i="5"/>
  <c r="R162" i="5"/>
  <c r="Z159" i="5"/>
  <c r="R158" i="5"/>
  <c r="Z155" i="5"/>
  <c r="R154" i="5"/>
  <c r="Z151" i="5"/>
  <c r="R150" i="5"/>
  <c r="Z147" i="5"/>
  <c r="R146" i="5"/>
  <c r="R142" i="5"/>
  <c r="R138" i="5"/>
  <c r="R134" i="5"/>
  <c r="R130" i="5"/>
  <c r="R126" i="5"/>
  <c r="R122" i="5"/>
  <c r="R118" i="5"/>
  <c r="R114" i="5"/>
  <c r="R110" i="5"/>
  <c r="R106" i="5"/>
  <c r="R102" i="5"/>
  <c r="R98" i="5"/>
  <c r="R94" i="5"/>
  <c r="R90" i="5"/>
  <c r="R86" i="5"/>
  <c r="R82" i="5"/>
  <c r="R78" i="5"/>
  <c r="R74" i="5"/>
  <c r="R70" i="5"/>
  <c r="R66" i="5"/>
  <c r="R62" i="5"/>
  <c r="R58" i="5"/>
  <c r="R54" i="5"/>
  <c r="R50" i="5"/>
  <c r="R46" i="5"/>
  <c r="R42" i="5"/>
  <c r="R38" i="5"/>
  <c r="R34" i="5"/>
  <c r="R30" i="5"/>
  <c r="R26" i="5"/>
  <c r="R22" i="5"/>
  <c r="R18" i="5"/>
  <c r="R14" i="5"/>
  <c r="R10" i="5"/>
  <c r="P38" i="5"/>
  <c r="W35" i="5"/>
  <c r="W31" i="5"/>
  <c r="W27" i="5"/>
  <c r="W23" i="5"/>
  <c r="W19" i="5"/>
  <c r="W11" i="5"/>
  <c r="Q40" i="5"/>
  <c r="Q32" i="5"/>
  <c r="Q24" i="5"/>
  <c r="Q16" i="5"/>
  <c r="Q8" i="5"/>
  <c r="W4" i="5"/>
  <c r="R327" i="5"/>
  <c r="R323" i="5"/>
  <c r="R319" i="5"/>
  <c r="R315" i="5"/>
  <c r="R311" i="5"/>
  <c r="R307" i="5"/>
  <c r="R303" i="5"/>
  <c r="R299" i="5"/>
  <c r="R295" i="5"/>
  <c r="R291" i="5"/>
  <c r="R287" i="5"/>
  <c r="R283" i="5"/>
  <c r="R279" i="5"/>
  <c r="R275" i="5"/>
  <c r="R271" i="5"/>
  <c r="R267" i="5"/>
  <c r="R263" i="5"/>
  <c r="R259" i="5"/>
  <c r="R255" i="5"/>
  <c r="R251" i="5"/>
  <c r="R247" i="5"/>
  <c r="R243" i="5"/>
  <c r="R239" i="5"/>
  <c r="R235" i="5"/>
  <c r="R231" i="5"/>
  <c r="R227" i="5"/>
  <c r="R223" i="5"/>
  <c r="R219" i="5"/>
  <c r="R215" i="5"/>
  <c r="R211" i="5"/>
  <c r="R207" i="5"/>
  <c r="R203" i="5"/>
  <c r="R199" i="5"/>
  <c r="R195" i="5"/>
  <c r="R191" i="5"/>
  <c r="R187" i="5"/>
  <c r="R183" i="5"/>
  <c r="R179" i="5"/>
  <c r="R175" i="5"/>
  <c r="R171" i="5"/>
  <c r="R167" i="5"/>
  <c r="R163" i="5"/>
  <c r="R159" i="5"/>
  <c r="R155" i="5"/>
  <c r="R151" i="5"/>
  <c r="R147" i="5"/>
  <c r="R143" i="5"/>
  <c r="R139" i="5"/>
  <c r="R135" i="5"/>
  <c r="R131" i="5"/>
  <c r="R127" i="5"/>
  <c r="R123" i="5"/>
  <c r="R119" i="5"/>
  <c r="R115" i="5"/>
  <c r="R111" i="5"/>
  <c r="R107" i="5"/>
  <c r="R103" i="5"/>
  <c r="R99" i="5"/>
  <c r="R95" i="5"/>
  <c r="R91" i="5"/>
  <c r="R87" i="5"/>
  <c r="R83" i="5"/>
  <c r="R79" i="5"/>
  <c r="R75" i="5"/>
  <c r="R71" i="5"/>
  <c r="R67" i="5"/>
  <c r="R63" i="5"/>
  <c r="R59" i="5"/>
  <c r="R55" i="5"/>
  <c r="R51" i="5"/>
  <c r="R47" i="5"/>
  <c r="R43" i="5"/>
  <c r="R39" i="5"/>
  <c r="R35" i="5"/>
  <c r="Q37" i="5"/>
  <c r="Q29" i="5"/>
  <c r="V24" i="5"/>
  <c r="Q21" i="5"/>
  <c r="V16" i="5"/>
  <c r="Q5" i="5"/>
  <c r="R4" i="5"/>
  <c r="T328" i="5"/>
  <c r="T324" i="5"/>
  <c r="T320" i="5"/>
  <c r="T316" i="5"/>
  <c r="T312" i="5"/>
  <c r="T308" i="5"/>
  <c r="T304" i="5"/>
  <c r="T300" i="5"/>
  <c r="AF300" i="5" s="1"/>
  <c r="T296" i="5"/>
  <c r="T292" i="5"/>
  <c r="T288" i="5"/>
  <c r="T284" i="5"/>
  <c r="T280" i="5"/>
  <c r="AF280" i="5" s="1"/>
  <c r="T276" i="5"/>
  <c r="T272" i="5"/>
  <c r="T268" i="5"/>
  <c r="T264" i="5"/>
  <c r="T260" i="5"/>
  <c r="T256" i="5"/>
  <c r="T252" i="5"/>
  <c r="T248" i="5"/>
  <c r="T244" i="5"/>
  <c r="T240" i="5"/>
  <c r="T236" i="5"/>
  <c r="T232" i="5"/>
  <c r="T228" i="5"/>
  <c r="T224" i="5"/>
  <c r="T220" i="5"/>
  <c r="T216" i="5"/>
  <c r="T212" i="5"/>
  <c r="T208" i="5"/>
  <c r="AF208" i="5" s="1"/>
  <c r="T204" i="5"/>
  <c r="T200" i="5"/>
  <c r="T196" i="5"/>
  <c r="T192" i="5"/>
  <c r="T188" i="5"/>
  <c r="AF188" i="5" s="1"/>
  <c r="T184" i="5"/>
  <c r="T180" i="5"/>
  <c r="T176" i="5"/>
  <c r="T172" i="5"/>
  <c r="T168" i="5"/>
  <c r="T164" i="5"/>
  <c r="T160" i="5"/>
  <c r="T156" i="5"/>
  <c r="T152" i="5"/>
  <c r="T148" i="5"/>
  <c r="T144" i="5"/>
  <c r="T140" i="5"/>
  <c r="T136" i="5"/>
  <c r="AF136" i="5" s="1"/>
  <c r="T132" i="5"/>
  <c r="W128" i="5"/>
  <c r="W124" i="5"/>
  <c r="W120" i="5"/>
  <c r="W116" i="5"/>
  <c r="W112" i="5"/>
  <c r="W108" i="5"/>
  <c r="W104" i="5"/>
  <c r="W100" i="5"/>
  <c r="W96" i="5"/>
  <c r="W92" i="5"/>
  <c r="W88" i="5"/>
  <c r="W84" i="5"/>
  <c r="W80" i="5"/>
  <c r="W76" i="5"/>
  <c r="W72" i="5"/>
  <c r="W68" i="5"/>
  <c r="W64" i="5"/>
  <c r="W60" i="5"/>
  <c r="W56" i="5"/>
  <c r="W52" i="5"/>
  <c r="W48" i="5"/>
  <c r="W44" i="5"/>
  <c r="W40" i="5"/>
  <c r="W36" i="5"/>
  <c r="W32" i="5"/>
  <c r="W28" i="5"/>
  <c r="W24" i="5"/>
  <c r="R8" i="5"/>
  <c r="W21" i="5"/>
  <c r="W17" i="5"/>
  <c r="W13" i="5"/>
  <c r="W9" i="5"/>
  <c r="W5" i="5"/>
  <c r="R33" i="5"/>
  <c r="R29" i="5"/>
  <c r="R25" i="5"/>
  <c r="R21" i="5"/>
  <c r="R17" i="5"/>
  <c r="R13" i="5"/>
  <c r="W14" i="5"/>
  <c r="W6" i="5"/>
  <c r="W15" i="5"/>
  <c r="W7" i="5"/>
  <c r="W20" i="5"/>
  <c r="W16" i="5"/>
  <c r="W12" i="5"/>
  <c r="W8" i="5"/>
  <c r="V328" i="5"/>
  <c r="V264" i="5"/>
  <c r="V248" i="5"/>
  <c r="V48" i="5"/>
  <c r="O281" i="5"/>
  <c r="O265" i="5"/>
  <c r="V265" i="5" s="1"/>
  <c r="V317" i="5"/>
  <c r="V301" i="5"/>
  <c r="V253" i="5"/>
  <c r="V189" i="5"/>
  <c r="V181" i="5"/>
  <c r="V125" i="5"/>
  <c r="V85" i="5"/>
  <c r="V77" i="5"/>
  <c r="V69" i="5"/>
  <c r="V53" i="5"/>
  <c r="V330" i="5"/>
  <c r="V322" i="5"/>
  <c r="V314" i="5"/>
  <c r="V306" i="5"/>
  <c r="V274" i="5"/>
  <c r="V242" i="5"/>
  <c r="V226" i="5"/>
  <c r="V202" i="5"/>
  <c r="V106" i="5"/>
  <c r="V98" i="5"/>
  <c r="V82" i="5"/>
  <c r="V55" i="5"/>
  <c r="V324" i="5"/>
  <c r="V316" i="5"/>
  <c r="V300" i="5"/>
  <c r="V284" i="5"/>
  <c r="V276" i="5"/>
  <c r="V268" i="5"/>
  <c r="V252" i="5"/>
  <c r="V244" i="5"/>
  <c r="V236" i="5"/>
  <c r="V220" i="5"/>
  <c r="V212" i="5"/>
  <c r="V204" i="5"/>
  <c r="V180" i="5"/>
  <c r="V172" i="5"/>
  <c r="V140" i="5"/>
  <c r="V108" i="5"/>
  <c r="V100" i="5"/>
  <c r="V52" i="5"/>
  <c r="V44" i="5"/>
  <c r="V36" i="5"/>
  <c r="V20" i="5"/>
  <c r="V12" i="5"/>
  <c r="V289" i="5"/>
  <c r="V257" i="5"/>
  <c r="V241" i="5"/>
  <c r="V217" i="5"/>
  <c r="V209" i="5"/>
  <c r="V193" i="5"/>
  <c r="V137" i="5"/>
  <c r="V113" i="5"/>
  <c r="V105" i="5"/>
  <c r="V73" i="5"/>
  <c r="V65" i="5"/>
  <c r="V57" i="5"/>
  <c r="V134" i="5"/>
  <c r="V78" i="5"/>
  <c r="V70" i="5"/>
  <c r="O327" i="5"/>
  <c r="V327" i="5" s="1"/>
  <c r="O319" i="5"/>
  <c r="V319" i="5" s="1"/>
  <c r="O311" i="5"/>
  <c r="V311" i="5" s="1"/>
  <c r="O303" i="5"/>
  <c r="V303" i="5" s="1"/>
  <c r="O295" i="5"/>
  <c r="V295" i="5" s="1"/>
  <c r="O287" i="5"/>
  <c r="V287" i="5" s="1"/>
  <c r="O279" i="5"/>
  <c r="V279" i="5" s="1"/>
  <c r="O271" i="5"/>
  <c r="V271" i="5" s="1"/>
  <c r="O263" i="5"/>
  <c r="V263" i="5" s="1"/>
  <c r="O255" i="5"/>
  <c r="V255" i="5" s="1"/>
  <c r="O247" i="5"/>
  <c r="V247" i="5" s="1"/>
  <c r="O239" i="5"/>
  <c r="V239" i="5" s="1"/>
  <c r="O231" i="5"/>
  <c r="V231" i="5" s="1"/>
  <c r="O223" i="5"/>
  <c r="V223" i="5" s="1"/>
  <c r="O215" i="5"/>
  <c r="V215" i="5" s="1"/>
  <c r="O207" i="5"/>
  <c r="O199" i="5"/>
  <c r="V199" i="5" s="1"/>
  <c r="O191" i="5"/>
  <c r="O183" i="5"/>
  <c r="Y183" i="5" s="1"/>
  <c r="O175" i="5"/>
  <c r="Y175" i="5" s="1"/>
  <c r="O167" i="5"/>
  <c r="Y167" i="5" s="1"/>
  <c r="V187" i="5"/>
  <c r="V99" i="5"/>
  <c r="V67" i="5"/>
  <c r="V28" i="5"/>
  <c r="V29" i="5"/>
  <c r="V22" i="5"/>
  <c r="V41" i="5"/>
  <c r="V25" i="5"/>
  <c r="V17" i="5"/>
  <c r="V9" i="5"/>
  <c r="V14" i="5"/>
  <c r="V6" i="5"/>
  <c r="O159" i="5"/>
  <c r="O151" i="5"/>
  <c r="O143" i="5"/>
  <c r="Y143" i="5" s="1"/>
  <c r="O135" i="5"/>
  <c r="O127" i="5"/>
  <c r="O119" i="5"/>
  <c r="Y119" i="5" s="1"/>
  <c r="O111" i="5"/>
  <c r="O103" i="5"/>
  <c r="O95" i="5"/>
  <c r="O87" i="5"/>
  <c r="O79" i="5"/>
  <c r="Y79" i="5" s="1"/>
  <c r="O71" i="5"/>
  <c r="O63" i="5"/>
  <c r="O47" i="5"/>
  <c r="V59" i="5"/>
  <c r="V43" i="5"/>
  <c r="V35" i="5"/>
  <c r="V27" i="5"/>
  <c r="V19" i="5"/>
  <c r="V11" i="5"/>
  <c r="V40" i="5"/>
  <c r="V32" i="5"/>
  <c r="V8" i="5"/>
  <c r="V37" i="5"/>
  <c r="V58" i="5"/>
  <c r="V50" i="5"/>
  <c r="V42" i="5"/>
  <c r="V34" i="5"/>
  <c r="V18" i="5"/>
  <c r="V31" i="5"/>
  <c r="P327" i="5"/>
  <c r="Z327" i="5" s="1"/>
  <c r="P203" i="5"/>
  <c r="Z203" i="5" s="1"/>
  <c r="P187" i="5"/>
  <c r="Z187" i="5" s="1"/>
  <c r="P175" i="5"/>
  <c r="Z175" i="5" s="1"/>
  <c r="P163" i="5"/>
  <c r="Z163" i="5" s="1"/>
  <c r="P135" i="5"/>
  <c r="Z135" i="5" s="1"/>
  <c r="P119" i="5"/>
  <c r="W119" i="5" s="1"/>
  <c r="P91" i="5"/>
  <c r="W91" i="5" s="1"/>
  <c r="P75" i="5"/>
  <c r="W75" i="5" s="1"/>
  <c r="O305" i="5"/>
  <c r="V305" i="5" s="1"/>
  <c r="O329" i="5"/>
  <c r="V329" i="5" s="1"/>
  <c r="O321" i="5"/>
  <c r="V321" i="5" s="1"/>
  <c r="O326" i="5"/>
  <c r="V326" i="5" s="1"/>
  <c r="O318" i="5"/>
  <c r="V318" i="5" s="1"/>
  <c r="O310" i="5"/>
  <c r="V310" i="5" s="1"/>
  <c r="O302" i="5"/>
  <c r="V302" i="5" s="1"/>
  <c r="O294" i="5"/>
  <c r="V294" i="5" s="1"/>
  <c r="O286" i="5"/>
  <c r="V286" i="5" s="1"/>
  <c r="O278" i="5"/>
  <c r="V278" i="5" s="1"/>
  <c r="O270" i="5"/>
  <c r="V270" i="5" s="1"/>
  <c r="O262" i="5"/>
  <c r="V262" i="5" s="1"/>
  <c r="O254" i="5"/>
  <c r="V254" i="5" s="1"/>
  <c r="O246" i="5"/>
  <c r="V246" i="5" s="1"/>
  <c r="O238" i="5"/>
  <c r="V238" i="5" s="1"/>
  <c r="O230" i="5"/>
  <c r="V230" i="5" s="1"/>
  <c r="O222" i="5"/>
  <c r="V222" i="5" s="1"/>
  <c r="O214" i="5"/>
  <c r="V214" i="5" s="1"/>
  <c r="O206" i="5"/>
  <c r="V206" i="5" s="1"/>
  <c r="O323" i="5"/>
  <c r="V323" i="5" s="1"/>
  <c r="O315" i="5"/>
  <c r="V315" i="5" s="1"/>
  <c r="O307" i="5"/>
  <c r="O299" i="5"/>
  <c r="V299" i="5" s="1"/>
  <c r="O291" i="5"/>
  <c r="V291" i="5" s="1"/>
  <c r="O283" i="5"/>
  <c r="V283" i="5" s="1"/>
  <c r="O275" i="5"/>
  <c r="V275" i="5" s="1"/>
  <c r="O267" i="5"/>
  <c r="V267" i="5" s="1"/>
  <c r="O259" i="5"/>
  <c r="V259" i="5" s="1"/>
  <c r="O251" i="5"/>
  <c r="V251" i="5" s="1"/>
  <c r="O243" i="5"/>
  <c r="O235" i="5"/>
  <c r="V235" i="5" s="1"/>
  <c r="O227" i="5"/>
  <c r="V227" i="5" s="1"/>
  <c r="O219" i="5"/>
  <c r="V219" i="5" s="1"/>
  <c r="O211" i="5"/>
  <c r="V211" i="5" s="1"/>
  <c r="O203" i="5"/>
  <c r="V203" i="5" s="1"/>
  <c r="O200" i="5"/>
  <c r="V200" i="5" s="1"/>
  <c r="O4" i="5"/>
  <c r="W187" i="5" l="1"/>
  <c r="V149" i="5"/>
  <c r="V91" i="5"/>
  <c r="V139" i="5"/>
  <c r="V121" i="5"/>
  <c r="V177" i="5"/>
  <c r="Y142" i="5"/>
  <c r="Y53" i="5"/>
  <c r="Z152" i="5"/>
  <c r="V171" i="5"/>
  <c r="V81" i="5"/>
  <c r="V145" i="5"/>
  <c r="Y6" i="5"/>
  <c r="Y150" i="5"/>
  <c r="V89" i="5"/>
  <c r="Y149" i="5"/>
  <c r="Y22" i="5"/>
  <c r="V195" i="5"/>
  <c r="V72" i="5"/>
  <c r="V168" i="5"/>
  <c r="V131" i="5"/>
  <c r="W312" i="5"/>
  <c r="AF312" i="5"/>
  <c r="W138" i="5"/>
  <c r="AF138" i="5"/>
  <c r="W266" i="5"/>
  <c r="AF266" i="5"/>
  <c r="W275" i="5"/>
  <c r="AF275" i="5"/>
  <c r="W218" i="5"/>
  <c r="AF218" i="5"/>
  <c r="W144" i="5"/>
  <c r="AF144" i="5"/>
  <c r="W176" i="5"/>
  <c r="AF176" i="5"/>
  <c r="W240" i="5"/>
  <c r="AF240" i="5"/>
  <c r="W272" i="5"/>
  <c r="AF272" i="5"/>
  <c r="W304" i="5"/>
  <c r="AF304" i="5"/>
  <c r="Z139" i="5"/>
  <c r="W197" i="5"/>
  <c r="W241" i="5"/>
  <c r="W285" i="5"/>
  <c r="W317" i="5"/>
  <c r="V160" i="5"/>
  <c r="W130" i="5"/>
  <c r="AF130" i="5"/>
  <c r="W154" i="5"/>
  <c r="AF154" i="5"/>
  <c r="W178" i="5"/>
  <c r="AF178" i="5"/>
  <c r="W198" i="5"/>
  <c r="AF198" i="5"/>
  <c r="W222" i="5"/>
  <c r="AF222" i="5"/>
  <c r="W242" i="5"/>
  <c r="AF242" i="5"/>
  <c r="W262" i="5"/>
  <c r="AF262" i="5"/>
  <c r="W282" i="5"/>
  <c r="AF282" i="5"/>
  <c r="W139" i="5"/>
  <c r="AF139" i="5"/>
  <c r="W235" i="5"/>
  <c r="AF235" i="5"/>
  <c r="W267" i="5"/>
  <c r="AF267" i="5"/>
  <c r="W299" i="5"/>
  <c r="AF299" i="5"/>
  <c r="Z268" i="5"/>
  <c r="Z288" i="5"/>
  <c r="W216" i="5"/>
  <c r="AF216" i="5"/>
  <c r="W162" i="5"/>
  <c r="AF162" i="5"/>
  <c r="W243" i="5"/>
  <c r="AF243" i="5"/>
  <c r="Y111" i="5"/>
  <c r="W140" i="5"/>
  <c r="AF140" i="5"/>
  <c r="W172" i="5"/>
  <c r="AF172" i="5"/>
  <c r="W204" i="5"/>
  <c r="AF204" i="5"/>
  <c r="W236" i="5"/>
  <c r="AF236" i="5"/>
  <c r="W268" i="5"/>
  <c r="AF268" i="5"/>
  <c r="W313" i="5"/>
  <c r="V75" i="5"/>
  <c r="Y102" i="5"/>
  <c r="V123" i="5"/>
  <c r="V147" i="5"/>
  <c r="Z206" i="5"/>
  <c r="Z250" i="5"/>
  <c r="W302" i="5"/>
  <c r="AF302" i="5"/>
  <c r="W322" i="5"/>
  <c r="AF322" i="5"/>
  <c r="V49" i="5"/>
  <c r="W148" i="5"/>
  <c r="AF148" i="5"/>
  <c r="W180" i="5"/>
  <c r="AF180" i="5"/>
  <c r="W212" i="5"/>
  <c r="AF212" i="5"/>
  <c r="W244" i="5"/>
  <c r="AF244" i="5"/>
  <c r="W276" i="5"/>
  <c r="AF276" i="5"/>
  <c r="W308" i="5"/>
  <c r="AF308" i="5"/>
  <c r="Z219" i="5"/>
  <c r="W157" i="5"/>
  <c r="W289" i="5"/>
  <c r="V101" i="5"/>
  <c r="Z170" i="5"/>
  <c r="Z262" i="5"/>
  <c r="W134" i="5"/>
  <c r="AF134" i="5"/>
  <c r="W158" i="5"/>
  <c r="AF158" i="5"/>
  <c r="W202" i="5"/>
  <c r="AF202" i="5"/>
  <c r="Z225" i="5"/>
  <c r="W246" i="5"/>
  <c r="AF246" i="5"/>
  <c r="W286" i="5"/>
  <c r="AF286" i="5"/>
  <c r="W306" i="5"/>
  <c r="AF306" i="5"/>
  <c r="W326" i="5"/>
  <c r="AF326" i="5"/>
  <c r="W207" i="5"/>
  <c r="AF207" i="5"/>
  <c r="W239" i="5"/>
  <c r="AF239" i="5"/>
  <c r="W271" i="5"/>
  <c r="AF271" i="5"/>
  <c r="W303" i="5"/>
  <c r="AF303" i="5"/>
  <c r="Z256" i="5"/>
  <c r="W248" i="5"/>
  <c r="AF248" i="5"/>
  <c r="W330" i="5"/>
  <c r="AF330" i="5"/>
  <c r="W147" i="5"/>
  <c r="AF147" i="5"/>
  <c r="W284" i="5"/>
  <c r="AF284" i="5"/>
  <c r="W129" i="5"/>
  <c r="W179" i="5"/>
  <c r="W166" i="5"/>
  <c r="AF166" i="5"/>
  <c r="W290" i="5"/>
  <c r="AF290" i="5"/>
  <c r="W184" i="5"/>
  <c r="AF184" i="5"/>
  <c r="W211" i="5"/>
  <c r="AF211" i="5"/>
  <c r="W252" i="5"/>
  <c r="AF252" i="5"/>
  <c r="W316" i="5"/>
  <c r="AF316" i="5"/>
  <c r="W230" i="5"/>
  <c r="AF230" i="5"/>
  <c r="W270" i="5"/>
  <c r="AF270" i="5"/>
  <c r="W320" i="5"/>
  <c r="AF320" i="5"/>
  <c r="Z251" i="5"/>
  <c r="W142" i="5"/>
  <c r="AF142" i="5"/>
  <c r="W190" i="5"/>
  <c r="AF190" i="5"/>
  <c r="W210" i="5"/>
  <c r="AF210" i="5"/>
  <c r="W234" i="5"/>
  <c r="AF234" i="5"/>
  <c r="W254" i="5"/>
  <c r="AF254" i="5"/>
  <c r="W294" i="5"/>
  <c r="AF294" i="5"/>
  <c r="W314" i="5"/>
  <c r="AF314" i="5"/>
  <c r="V62" i="5"/>
  <c r="W155" i="5"/>
  <c r="AF155" i="5"/>
  <c r="W219" i="5"/>
  <c r="AF219" i="5"/>
  <c r="W251" i="5"/>
  <c r="AF251" i="5"/>
  <c r="W283" i="5"/>
  <c r="AF283" i="5"/>
  <c r="W315" i="5"/>
  <c r="AF315" i="5"/>
  <c r="W161" i="5"/>
  <c r="AF161" i="5"/>
  <c r="Z208" i="5"/>
  <c r="W225" i="5"/>
  <c r="AF225" i="5"/>
  <c r="W253" i="5"/>
  <c r="AF253" i="5"/>
  <c r="Z280" i="5"/>
  <c r="Z300" i="5"/>
  <c r="W321" i="5"/>
  <c r="AF321" i="5"/>
  <c r="V97" i="5"/>
  <c r="V153" i="5"/>
  <c r="W152" i="5"/>
  <c r="AF152" i="5"/>
  <c r="W182" i="5"/>
  <c r="AF182" i="5"/>
  <c r="W310" i="5"/>
  <c r="AF310" i="5"/>
  <c r="W307" i="5"/>
  <c r="AF307" i="5"/>
  <c r="W156" i="5"/>
  <c r="AF156" i="5"/>
  <c r="W206" i="5"/>
  <c r="AF206" i="5"/>
  <c r="V188" i="5"/>
  <c r="W183" i="5"/>
  <c r="AF183" i="5"/>
  <c r="V7" i="5"/>
  <c r="W160" i="5"/>
  <c r="AF160" i="5"/>
  <c r="W224" i="5"/>
  <c r="AF224" i="5"/>
  <c r="W288" i="5"/>
  <c r="AF288" i="5"/>
  <c r="W133" i="5"/>
  <c r="W213" i="5"/>
  <c r="V128" i="5"/>
  <c r="Z303" i="5"/>
  <c r="W132" i="5"/>
  <c r="AF132" i="5"/>
  <c r="W164" i="5"/>
  <c r="AF164" i="5"/>
  <c r="W196" i="5"/>
  <c r="AF196" i="5"/>
  <c r="W228" i="5"/>
  <c r="AF228" i="5"/>
  <c r="W260" i="5"/>
  <c r="AF260" i="5"/>
  <c r="W292" i="5"/>
  <c r="AF292" i="5"/>
  <c r="W324" i="5"/>
  <c r="AF324" i="5"/>
  <c r="Z131" i="5"/>
  <c r="Y122" i="5"/>
  <c r="W177" i="5"/>
  <c r="W221" i="5"/>
  <c r="W273" i="5"/>
  <c r="Z271" i="5"/>
  <c r="W146" i="5"/>
  <c r="AF146" i="5"/>
  <c r="W170" i="5"/>
  <c r="AF170" i="5"/>
  <c r="W214" i="5"/>
  <c r="AF214" i="5"/>
  <c r="W274" i="5"/>
  <c r="AF274" i="5"/>
  <c r="W318" i="5"/>
  <c r="AF318" i="5"/>
  <c r="W159" i="5"/>
  <c r="AF159" i="5"/>
  <c r="W223" i="5"/>
  <c r="AF223" i="5"/>
  <c r="W255" i="5"/>
  <c r="AF255" i="5"/>
  <c r="W287" i="5"/>
  <c r="AF287" i="5"/>
  <c r="W319" i="5"/>
  <c r="AF319" i="5"/>
  <c r="W226" i="5"/>
  <c r="AF226" i="5"/>
  <c r="W220" i="5"/>
  <c r="AF220" i="5"/>
  <c r="W186" i="5"/>
  <c r="AF186" i="5"/>
  <c r="W250" i="5"/>
  <c r="AF250" i="5"/>
  <c r="W151" i="5"/>
  <c r="AF151" i="5"/>
  <c r="W192" i="5"/>
  <c r="AF192" i="5"/>
  <c r="W256" i="5"/>
  <c r="AF256" i="5"/>
  <c r="W173" i="5"/>
  <c r="V109" i="5"/>
  <c r="V104" i="5"/>
  <c r="V39" i="5"/>
  <c r="V185" i="5"/>
  <c r="W168" i="5"/>
  <c r="AF168" i="5"/>
  <c r="W200" i="5"/>
  <c r="AF200" i="5"/>
  <c r="W232" i="5"/>
  <c r="AF232" i="5"/>
  <c r="W264" i="5"/>
  <c r="AF264" i="5"/>
  <c r="W296" i="5"/>
  <c r="AF296" i="5"/>
  <c r="W328" i="5"/>
  <c r="AF328" i="5"/>
  <c r="Z171" i="5"/>
  <c r="V79" i="5"/>
  <c r="W141" i="5"/>
  <c r="W185" i="5"/>
  <c r="W277" i="5"/>
  <c r="W309" i="5"/>
  <c r="Z154" i="5"/>
  <c r="Z290" i="5"/>
  <c r="W150" i="5"/>
  <c r="AF150" i="5"/>
  <c r="W174" i="5"/>
  <c r="AF174" i="5"/>
  <c r="W194" i="5"/>
  <c r="AF194" i="5"/>
  <c r="W238" i="5"/>
  <c r="AF238" i="5"/>
  <c r="W258" i="5"/>
  <c r="AF258" i="5"/>
  <c r="W278" i="5"/>
  <c r="AF278" i="5"/>
  <c r="W298" i="5"/>
  <c r="AF298" i="5"/>
  <c r="Z321" i="5"/>
  <c r="V148" i="5"/>
  <c r="Y103" i="5"/>
  <c r="V133" i="5"/>
  <c r="W208" i="5"/>
  <c r="Y49" i="5"/>
  <c r="V182" i="5"/>
  <c r="W215" i="5"/>
  <c r="W247" i="5"/>
  <c r="W279" i="5"/>
  <c r="W311" i="5"/>
  <c r="Z224" i="5"/>
  <c r="Z320" i="5"/>
  <c r="W280" i="5"/>
  <c r="Z143" i="5"/>
  <c r="V183" i="5"/>
  <c r="Y139" i="5"/>
  <c r="Y187" i="5"/>
  <c r="Z322" i="5"/>
  <c r="Z281" i="5"/>
  <c r="Y161" i="5"/>
  <c r="W191" i="5"/>
  <c r="Z324" i="5"/>
  <c r="Z209" i="5"/>
  <c r="V129" i="5"/>
  <c r="W188" i="5"/>
  <c r="Y186" i="5"/>
  <c r="W217" i="5"/>
  <c r="Y80" i="5"/>
  <c r="Y76" i="5"/>
  <c r="W131" i="5"/>
  <c r="W195" i="5"/>
  <c r="W227" i="5"/>
  <c r="W259" i="5"/>
  <c r="W291" i="5"/>
  <c r="W323" i="5"/>
  <c r="Z212" i="5"/>
  <c r="Z284" i="5"/>
  <c r="Z269" i="5"/>
  <c r="Z260" i="5"/>
  <c r="V103" i="5"/>
  <c r="Y123" i="5"/>
  <c r="V144" i="5"/>
  <c r="W163" i="5"/>
  <c r="Y92" i="5"/>
  <c r="W167" i="5"/>
  <c r="W199" i="5"/>
  <c r="W231" i="5"/>
  <c r="W263" i="5"/>
  <c r="W295" i="5"/>
  <c r="Z196" i="5"/>
  <c r="Z292" i="5"/>
  <c r="Y152" i="5"/>
  <c r="V178" i="5"/>
  <c r="Y132" i="5"/>
  <c r="W171" i="5"/>
  <c r="Z216" i="5"/>
  <c r="Y134" i="5"/>
  <c r="Z228" i="5"/>
  <c r="V111" i="5"/>
  <c r="W136" i="5"/>
  <c r="Z191" i="5"/>
  <c r="Y54" i="5"/>
  <c r="W143" i="5"/>
  <c r="Z316" i="5"/>
  <c r="Z317" i="5"/>
  <c r="V23" i="5"/>
  <c r="V143" i="5"/>
  <c r="W300" i="5"/>
  <c r="Z218" i="5"/>
  <c r="Z248" i="5"/>
  <c r="Z301" i="5"/>
  <c r="V135" i="5"/>
  <c r="Y135" i="5"/>
  <c r="V4" i="5"/>
  <c r="V63" i="5"/>
  <c r="Y63" i="5"/>
  <c r="V127" i="5"/>
  <c r="Y127" i="5"/>
  <c r="V281" i="5"/>
  <c r="W193" i="5"/>
  <c r="Y104" i="5"/>
  <c r="AB128" i="5"/>
  <c r="AD128" i="5" s="1"/>
  <c r="AF128" i="5" s="1"/>
  <c r="Y128" i="5"/>
  <c r="V80" i="5"/>
  <c r="V152" i="5"/>
  <c r="V176" i="5"/>
  <c r="V232" i="5"/>
  <c r="Z182" i="5"/>
  <c r="Z242" i="5"/>
  <c r="V122" i="5"/>
  <c r="Y162" i="5"/>
  <c r="Y140" i="5"/>
  <c r="Y89" i="5"/>
  <c r="Y113" i="5"/>
  <c r="Y137" i="5"/>
  <c r="Y56" i="5"/>
  <c r="V71" i="5"/>
  <c r="Y71" i="5"/>
  <c r="Y115" i="5"/>
  <c r="V155" i="5"/>
  <c r="V161" i="5"/>
  <c r="V119" i="5"/>
  <c r="Z176" i="5"/>
  <c r="W261" i="5"/>
  <c r="Y88" i="5"/>
  <c r="Y176" i="5"/>
  <c r="V88" i="5"/>
  <c r="V112" i="5"/>
  <c r="V136" i="5"/>
  <c r="V208" i="5"/>
  <c r="V240" i="5"/>
  <c r="V272" i="5"/>
  <c r="V304" i="5"/>
  <c r="W135" i="5"/>
  <c r="Z282" i="5"/>
  <c r="Y188" i="5"/>
  <c r="W38" i="5"/>
  <c r="Y158" i="5"/>
  <c r="Y124" i="5"/>
  <c r="Y24" i="5"/>
  <c r="Y156" i="5"/>
  <c r="Y97" i="5"/>
  <c r="V118" i="5"/>
  <c r="V142" i="5"/>
  <c r="Z326" i="5"/>
  <c r="V191" i="5"/>
  <c r="Y191" i="5"/>
  <c r="V87" i="5"/>
  <c r="Y87" i="5"/>
  <c r="V151" i="5"/>
  <c r="Y151" i="5"/>
  <c r="V207" i="5"/>
  <c r="Z204" i="5"/>
  <c r="W265" i="5"/>
  <c r="Y112" i="5"/>
  <c r="Y136" i="5"/>
  <c r="V157" i="5"/>
  <c r="Z194" i="5"/>
  <c r="Y148" i="5"/>
  <c r="W42" i="5"/>
  <c r="Y16" i="5"/>
  <c r="Y179" i="5"/>
  <c r="Y73" i="5"/>
  <c r="Y145" i="5"/>
  <c r="V166" i="5"/>
  <c r="V95" i="5"/>
  <c r="Y95" i="5"/>
  <c r="V159" i="5"/>
  <c r="Y159" i="5"/>
  <c r="V167" i="5"/>
  <c r="W153" i="5"/>
  <c r="W181" i="5"/>
  <c r="W237" i="5"/>
  <c r="Y72" i="5"/>
  <c r="Y160" i="5"/>
  <c r="V216" i="5"/>
  <c r="V280" i="5"/>
  <c r="V312" i="5"/>
  <c r="Z198" i="5"/>
  <c r="Z226" i="5"/>
  <c r="Z258" i="5"/>
  <c r="W327" i="5"/>
  <c r="W46" i="5"/>
  <c r="V138" i="5"/>
  <c r="Y8" i="5"/>
  <c r="Y40" i="5"/>
  <c r="V102" i="5"/>
  <c r="Y169" i="5"/>
  <c r="V190" i="5"/>
  <c r="Y170" i="5"/>
  <c r="Y96" i="5"/>
  <c r="V96" i="5"/>
  <c r="V192" i="5"/>
  <c r="Y126" i="5"/>
  <c r="W175" i="5"/>
  <c r="W50" i="5"/>
  <c r="Y32" i="5"/>
  <c r="Y172" i="5"/>
  <c r="Z164" i="5"/>
  <c r="Y81" i="5"/>
  <c r="Y105" i="5"/>
  <c r="V126" i="5"/>
  <c r="V150" i="5"/>
  <c r="Y82" i="5"/>
  <c r="V175" i="5"/>
  <c r="V243" i="5"/>
  <c r="V307" i="5"/>
  <c r="V15" i="5"/>
  <c r="Z188" i="5"/>
  <c r="Y144" i="5"/>
  <c r="V256" i="5"/>
  <c r="V288" i="5"/>
  <c r="V320" i="5"/>
  <c r="Z178" i="5"/>
  <c r="W203" i="5"/>
  <c r="Z266" i="5"/>
  <c r="Z298" i="5"/>
  <c r="V114" i="5"/>
  <c r="Y5" i="5"/>
  <c r="Y106" i="5"/>
  <c r="Y196" i="5"/>
  <c r="V46" i="5"/>
  <c r="Y129" i="5"/>
  <c r="Y153" i="5"/>
  <c r="V174" i="5"/>
  <c r="Y64" i="5"/>
  <c r="V47" i="5"/>
  <c r="Y47" i="5"/>
  <c r="Z136" i="5"/>
  <c r="Y168" i="5"/>
  <c r="Y192" i="5"/>
  <c r="W54" i="5"/>
  <c r="Y120" i="5"/>
  <c r="Z328" i="5"/>
  <c r="Y108" i="5"/>
  <c r="V86" i="5"/>
  <c r="V110" i="5"/>
  <c r="Y177" i="5"/>
  <c r="Y48" i="5"/>
  <c r="Y184" i="5"/>
  <c r="AB127" i="5" l="1"/>
  <c r="AD127" i="5" l="1"/>
  <c r="AF127" i="5" s="1"/>
  <c r="AB126" i="5"/>
  <c r="AB125" i="5" l="1"/>
  <c r="AD126" i="5"/>
  <c r="AF126" i="5" s="1"/>
  <c r="AB124" i="5" l="1"/>
  <c r="AD125" i="5"/>
  <c r="AF125" i="5" s="1"/>
  <c r="AB123" i="5" l="1"/>
  <c r="AD124" i="5"/>
  <c r="AF124" i="5" s="1"/>
  <c r="AB122" i="5" l="1"/>
  <c r="AD123" i="5"/>
  <c r="AF123" i="5" s="1"/>
  <c r="AB121" i="5" l="1"/>
  <c r="AD122" i="5"/>
  <c r="AF122" i="5" s="1"/>
  <c r="AB120" i="5" l="1"/>
  <c r="AD121" i="5"/>
  <c r="AF121" i="5" s="1"/>
  <c r="AB119" i="5" l="1"/>
  <c r="AD120" i="5"/>
  <c r="AF120" i="5" s="1"/>
  <c r="AB118" i="5" l="1"/>
  <c r="AD119" i="5"/>
  <c r="AF119" i="5" s="1"/>
  <c r="AB117" i="5" l="1"/>
  <c r="AD118" i="5"/>
  <c r="AF118" i="5" s="1"/>
  <c r="AB116" i="5" l="1"/>
  <c r="AD117" i="5"/>
  <c r="AF117" i="5" s="1"/>
  <c r="AB115" i="5" l="1"/>
  <c r="AD116" i="5"/>
  <c r="AF116" i="5" s="1"/>
  <c r="AB114" i="5" l="1"/>
  <c r="AD115" i="5"/>
  <c r="AF115" i="5" s="1"/>
  <c r="AB113" i="5" l="1"/>
  <c r="AD114" i="5"/>
  <c r="AF114" i="5" s="1"/>
  <c r="AB112" i="5" l="1"/>
  <c r="AD113" i="5"/>
  <c r="AF113" i="5" s="1"/>
  <c r="AB111" i="5" l="1"/>
  <c r="AD112" i="5"/>
  <c r="AF112" i="5" s="1"/>
  <c r="AB110" i="5" l="1"/>
  <c r="AD111" i="5"/>
  <c r="AF111" i="5" s="1"/>
  <c r="AB109" i="5" l="1"/>
  <c r="AD110" i="5"/>
  <c r="AF110" i="5" s="1"/>
  <c r="AB108" i="5" l="1"/>
  <c r="AD109" i="5"/>
  <c r="AF109" i="5" s="1"/>
  <c r="AB107" i="5" l="1"/>
  <c r="AD108" i="5"/>
  <c r="AF108" i="5" s="1"/>
  <c r="AB106" i="5" l="1"/>
  <c r="AD107" i="5"/>
  <c r="AF107" i="5" s="1"/>
  <c r="AB105" i="5" l="1"/>
  <c r="AD106" i="5"/>
  <c r="AF106" i="5" s="1"/>
  <c r="AB104" i="5" l="1"/>
  <c r="AD105" i="5"/>
  <c r="AF105" i="5" s="1"/>
  <c r="AB103" i="5" l="1"/>
  <c r="AD104" i="5"/>
  <c r="AF104" i="5" s="1"/>
  <c r="AB102" i="5" l="1"/>
  <c r="AD103" i="5"/>
  <c r="AF103" i="5" s="1"/>
  <c r="AB101" i="5" l="1"/>
  <c r="AD102" i="5"/>
  <c r="AF102" i="5" s="1"/>
  <c r="AB100" i="5" l="1"/>
  <c r="AD101" i="5"/>
  <c r="AF101" i="5" s="1"/>
  <c r="AB99" i="5" l="1"/>
  <c r="AD100" i="5"/>
  <c r="AF100" i="5" s="1"/>
  <c r="AB98" i="5" l="1"/>
  <c r="AD99" i="5"/>
  <c r="AF99" i="5" s="1"/>
  <c r="AB97" i="5" l="1"/>
  <c r="AD98" i="5"/>
  <c r="AF98" i="5" s="1"/>
  <c r="AB96" i="5" l="1"/>
  <c r="AD97" i="5"/>
  <c r="AF97" i="5" s="1"/>
  <c r="AB95" i="5" l="1"/>
  <c r="AD96" i="5"/>
  <c r="AF96" i="5" s="1"/>
  <c r="AB94" i="5" l="1"/>
  <c r="AD95" i="5"/>
  <c r="AF95" i="5" s="1"/>
  <c r="AB93" i="5" l="1"/>
  <c r="AD94" i="5"/>
  <c r="AF94" i="5" s="1"/>
  <c r="AB92" i="5" l="1"/>
  <c r="AD93" i="5"/>
  <c r="AF93" i="5" s="1"/>
  <c r="AB91" i="5" l="1"/>
  <c r="AD92" i="5"/>
  <c r="AF92" i="5" s="1"/>
  <c r="AB90" i="5" l="1"/>
  <c r="AD91" i="5"/>
  <c r="AF91" i="5" s="1"/>
  <c r="AB89" i="5" l="1"/>
  <c r="AD90" i="5"/>
  <c r="AF90" i="5" s="1"/>
  <c r="AB88" i="5" l="1"/>
  <c r="AD89" i="5"/>
  <c r="AF89" i="5" s="1"/>
  <c r="AB87" i="5" l="1"/>
  <c r="AD88" i="5"/>
  <c r="AF88" i="5" s="1"/>
  <c r="AB86" i="5" l="1"/>
  <c r="AD87" i="5"/>
  <c r="AF87" i="5" s="1"/>
  <c r="AB85" i="5" l="1"/>
  <c r="AD86" i="5"/>
  <c r="AF86" i="5" s="1"/>
  <c r="AB84" i="5" l="1"/>
  <c r="AD85" i="5"/>
  <c r="AF85" i="5" s="1"/>
  <c r="AB83" i="5" l="1"/>
  <c r="AD84" i="5"/>
  <c r="AF84" i="5" s="1"/>
  <c r="AB82" i="5" l="1"/>
  <c r="AD83" i="5"/>
  <c r="AF83" i="5" s="1"/>
  <c r="AB81" i="5" l="1"/>
  <c r="AD82" i="5"/>
  <c r="AF82" i="5" s="1"/>
  <c r="AB80" i="5" l="1"/>
  <c r="AD81" i="5"/>
  <c r="AF81" i="5" s="1"/>
  <c r="AB79" i="5" l="1"/>
  <c r="AD80" i="5"/>
  <c r="AF80" i="5" s="1"/>
  <c r="AB78" i="5" l="1"/>
  <c r="AD79" i="5"/>
  <c r="AF79" i="5" s="1"/>
  <c r="AB77" i="5" l="1"/>
  <c r="AD78" i="5"/>
  <c r="AF78" i="5" s="1"/>
  <c r="AB76" i="5" l="1"/>
  <c r="AD77" i="5"/>
  <c r="AF77" i="5" s="1"/>
  <c r="AB75" i="5" l="1"/>
  <c r="AD76" i="5"/>
  <c r="AF76" i="5" s="1"/>
  <c r="AB74" i="5" l="1"/>
  <c r="AD75" i="5"/>
  <c r="AF75" i="5" s="1"/>
  <c r="AB73" i="5" l="1"/>
  <c r="AD74" i="5"/>
  <c r="AF74" i="5" s="1"/>
  <c r="AB72" i="5" l="1"/>
  <c r="AD73" i="5"/>
  <c r="AF73" i="5" s="1"/>
  <c r="AB71" i="5" l="1"/>
  <c r="AD72" i="5"/>
  <c r="AF72" i="5" s="1"/>
  <c r="AB70" i="5" l="1"/>
  <c r="AD71" i="5"/>
  <c r="AF71" i="5" s="1"/>
  <c r="AB69" i="5" l="1"/>
  <c r="AD70" i="5"/>
  <c r="AF70" i="5" s="1"/>
  <c r="AB68" i="5" l="1"/>
  <c r="AD69" i="5"/>
  <c r="AF69" i="5" s="1"/>
  <c r="AB67" i="5" l="1"/>
  <c r="AD68" i="5"/>
  <c r="AF68" i="5" s="1"/>
  <c r="AB66" i="5" l="1"/>
  <c r="AD67" i="5"/>
  <c r="AF67" i="5" s="1"/>
  <c r="AB65" i="5" l="1"/>
  <c r="AD66" i="5"/>
  <c r="AF66" i="5" s="1"/>
  <c r="AB64" i="5" l="1"/>
  <c r="AD65" i="5"/>
  <c r="AF65" i="5" s="1"/>
  <c r="AB63" i="5" l="1"/>
  <c r="AD64" i="5"/>
  <c r="AF64" i="5" s="1"/>
  <c r="AB62" i="5" l="1"/>
  <c r="AD63" i="5"/>
  <c r="AF63" i="5" s="1"/>
  <c r="AB61" i="5" l="1"/>
  <c r="AD62" i="5"/>
  <c r="AF62" i="5" s="1"/>
  <c r="AB60" i="5" l="1"/>
  <c r="AD61" i="5"/>
  <c r="AF61" i="5" s="1"/>
  <c r="AB59" i="5" l="1"/>
  <c r="AD60" i="5"/>
  <c r="AF60" i="5" s="1"/>
  <c r="AB58" i="5" l="1"/>
  <c r="AD59" i="5"/>
  <c r="AF59" i="5" s="1"/>
  <c r="AB57" i="5" l="1"/>
  <c r="AD58" i="5"/>
  <c r="AF58" i="5" s="1"/>
  <c r="AB56" i="5" l="1"/>
  <c r="AD57" i="5"/>
  <c r="AF57" i="5" s="1"/>
  <c r="AB55" i="5" l="1"/>
  <c r="AD56" i="5"/>
  <c r="AF56" i="5" s="1"/>
  <c r="AB54" i="5" l="1"/>
  <c r="AD55" i="5"/>
  <c r="AF55" i="5" s="1"/>
  <c r="AB53" i="5" l="1"/>
  <c r="AD54" i="5"/>
  <c r="AF54" i="5" s="1"/>
  <c r="AB52" i="5" l="1"/>
  <c r="AD53" i="5"/>
  <c r="AF53" i="5" s="1"/>
  <c r="AB51" i="5" l="1"/>
  <c r="AD52" i="5"/>
  <c r="AF52" i="5" s="1"/>
  <c r="AB50" i="5" l="1"/>
  <c r="AD51" i="5"/>
  <c r="AF51" i="5" s="1"/>
  <c r="AB49" i="5" l="1"/>
  <c r="AD50" i="5"/>
  <c r="AF50" i="5" s="1"/>
  <c r="AB48" i="5" l="1"/>
  <c r="AD49" i="5"/>
  <c r="AF49" i="5" s="1"/>
  <c r="AD48" i="5" l="1"/>
  <c r="AF48" i="5" s="1"/>
</calcChain>
</file>

<file path=xl/sharedStrings.xml><?xml version="1.0" encoding="utf-8"?>
<sst xmlns="http://schemas.openxmlformats.org/spreadsheetml/2006/main" count="646" uniqueCount="81">
  <si>
    <t>Data</t>
  </si>
  <si>
    <t>3958 - Saldo consolidado no mês das operações de crédito com recursos livres referenciais                para taxa de juros - Total geral - u.m.c. (mil)</t>
  </si>
  <si>
    <t>3959 - Saldo consolidado no mês das operações de crédito com recursos livres referenciais                para taxa de juros - Total pessoa jurídica - u.m.c. (mil)</t>
  </si>
  <si>
    <t>3960 - Saldo consolidado no mês das operações de crédito com recursos livres referenciais                para taxa de juros - Total pessoa física - u.m.c. (mil)</t>
  </si>
  <si>
    <t>3961 - Saldo consolidado no mês das operações de crédito com recursos livres referenciais                para taxa de juros - Hot money - u.m.c. (mil)</t>
  </si>
  <si>
    <t>3962 - Saldo consolidado no mês das operações de crédito com recursos livres referenciais                para taxa de juros - Desconto de duplicatas - u.m.c. (mil)</t>
  </si>
  <si>
    <t>3963 - Saldo consolidado no mês das operações de crédito com recursos livres referenciais                para taxa de juros - Desconto de notas promissórias - u.m.c. (mil)</t>
  </si>
  <si>
    <t>3964 - Saldo consolidado no mês das operações de crédito com recursos livres referenciais                para taxa de juros - Capital de giro - u.m.c. (mil)</t>
  </si>
  <si>
    <t>3965 - Saldo consolidado no mês das operações de crédito com recursos livres referenciais                para taxa de juros - Conta garantida - u.m.c. (mil)</t>
  </si>
  <si>
    <t>3966 - Saldo consolidado no mês das operações de crédito com recursos livres referenciais                para taxa de juros - Financiamento imobiliário - Pessoa jurídica - u.m.c. (mil)</t>
  </si>
  <si>
    <t>3967 - Saldo consolidado no mês das operações de crédito com recursos livres referenciais                para taxa de juros - Aquisição de bens - Pessoa jurídica - u.m.c. (mil)</t>
  </si>
  <si>
    <t>-</t>
  </si>
  <si>
    <t>Fonte</t>
  </si>
  <si>
    <t>BCB-DSTAT</t>
  </si>
  <si>
    <t>3968 - Saldo consolidado no mês das operações de crédito com recursos livres referenciais                para taxa de juros - Vendor - u.m.c. (mil)</t>
  </si>
  <si>
    <t>3969 - Saldo consolidado no mês das operações de crédito com recursos livres referenciais                para taxa de juros - Adiantamento sobre contrato de câmbio (ACC) - u.m.c. (mil)</t>
  </si>
  <si>
    <t>3970 - Saldo consolidado no mês das operações de crédito com recursos livres referenciais                para taxa de juros - Export notes - u.m.c. (mil)</t>
  </si>
  <si>
    <t>3971 - Saldo consolidado no mês das operações de crédito com recursos livres referenciais                para taxa de juros - Repasses externos - u.m.c. (mil)</t>
  </si>
  <si>
    <t>3972 - Saldo consolidado no mês das operações de crédito com recursos livres referenciais                para taxa de juros - Outras operações - Pessoa jurídica - u.m.c. (mil)</t>
  </si>
  <si>
    <t>3973 - Saldo consolidado no mês das operações de crédito com recursos livres referenciais                para taxa de juros - Cheque especial - u.m.c. (mil)</t>
  </si>
  <si>
    <t>3974 - Saldo consolidado no mês das operações de crédito com recursos livres referenciais                para taxa de juros - Crédito pessoal - u.m.c. (mil)</t>
  </si>
  <si>
    <t>3975 - Saldo consolidado no mês das operações de crédito com recursos livres referenciais                para taxa de juros - Financiamento imobiliário - Pessoa física - u.m.c. (mil)</t>
  </si>
  <si>
    <t>3976 - Saldo consolidado no mês das operações de crédito com recursos livres referenciais                para taxa de juros - Aquisição de bens veículos - Pessoa física - u.m.c. (mil)</t>
  </si>
  <si>
    <t>3977 - Saldo consolidado no mês das operações de crédito com recursos livres referenciais                para taxa de juros - Aquisição de outros bens - Pessoa física - u.m.c. (mil)</t>
  </si>
  <si>
    <t>3978 - Saldo consolidado no mês das operações de crédito com recursos livres referenciais                para taxa de juros - Aquisição de bens total - Pessoa física - u.m.c. (mil)</t>
  </si>
  <si>
    <t>3979 - Saldo consolidado no mês das operações de crédito com recursos livres referenciais                para taxa de juros - Cartão de crédito - Pessoa física - u.m.c. (mil)</t>
  </si>
  <si>
    <t>3980 - Saldo consolidado no mês das operações de crédito com recursos livres referenciais                para taxa de juros - Outras operações - Pessoa física - u.m.c. (mil)</t>
  </si>
  <si>
    <t>8310 - Saldo consolidado no mês das operações de crédito com recursos livres referenciais                para taxa de juros - Financiamento a importações e outros - u.m.c. (mil)</t>
  </si>
  <si>
    <t>SOMA PJ</t>
  </si>
  <si>
    <t>BCBDSTAT</t>
  </si>
  <si>
    <t>pf</t>
  </si>
  <si>
    <t>pj</t>
  </si>
  <si>
    <t>20541 - Saldo da carteira de crédito - Pessoas físicas - Total - R$ (milhões)</t>
  </si>
  <si>
    <t>20540 - Saldo da carteira de crédito - Pessoas jurídicas - Total - R$ (milhões)</t>
  </si>
  <si>
    <t>20539 - Saldo da carteira de crédito - Total - R$ (milhões)</t>
  </si>
  <si>
    <t>7524 - Operações de crédito do sistema financeiro - Recursos direcionados - Total - u.m.c. (milhões)</t>
  </si>
  <si>
    <t>20020 - Operações de crédito do sistema financeiro - Recursos direcionados - P físicas - R$ (milhões)</t>
  </si>
  <si>
    <t>20021 - Operações de crédito do sistema financeiro - Recursos direcionados - P jurídicas - R$ (milhões)</t>
  </si>
  <si>
    <t>BCB</t>
  </si>
  <si>
    <t>20542 - Saldo da carteira de crédito com recursos livres - Total - R$ (milhões)</t>
  </si>
  <si>
    <t>20543 - Saldo da carteira de crédito com recursos livres - Pessoas jurídicas - Total - R$ (milhões)</t>
  </si>
  <si>
    <t>20570 - Saldo da carteira de crédito com recursos livres - Pessoas físicas - Total - R$ (milhões)</t>
  </si>
  <si>
    <t>20593 - Saldo da carteira de crédito com recursos direcionados - Total - R$ (milhões)</t>
  </si>
  <si>
    <t>20594 - Saldo da carteira de crédito com recursos direcionados - Pessoas jurídicas - Total - R$ (milhões)</t>
  </si>
  <si>
    <t>20606 - Saldo da carteira de crédito com recursos direcionados - Pessoas físicas - Total - R$ (milhões)</t>
  </si>
  <si>
    <t>total_livre</t>
  </si>
  <si>
    <t>pj_livre</t>
  </si>
  <si>
    <t>pf_livre</t>
  </si>
  <si>
    <t>total_dir</t>
  </si>
  <si>
    <t>pf_dir</t>
  </si>
  <si>
    <t>pj_dir</t>
  </si>
  <si>
    <t>ANTIGO</t>
  </si>
  <si>
    <t>ATUAL</t>
  </si>
  <si>
    <t>total antigo</t>
  </si>
  <si>
    <t>total atual</t>
  </si>
  <si>
    <t>total pj antigo</t>
  </si>
  <si>
    <t>total pj atual</t>
  </si>
  <si>
    <t>%pf_antigo</t>
  </si>
  <si>
    <t>%pf atual</t>
  </si>
  <si>
    <t>VARIAÇÃO ANTIGA</t>
  </si>
  <si>
    <t>VARIAÇÃO ATUAL</t>
  </si>
  <si>
    <t>SÉRIE RETROPOLADA</t>
  </si>
  <si>
    <t>SÉRIE COMPLETA</t>
  </si>
  <si>
    <t>SÉRIE UTILIZADA</t>
  </si>
  <si>
    <t>Série Atual</t>
  </si>
  <si>
    <t>Série Descontinuada</t>
  </si>
  <si>
    <t>Série Atual Retropolada</t>
  </si>
  <si>
    <t>Saldo de Crédito à Pessoa Física</t>
  </si>
  <si>
    <t>Ano</t>
  </si>
  <si>
    <t>Saldo de Crédito à Pessoa Física (em R$ bilhões)</t>
  </si>
  <si>
    <t>Número da Série</t>
  </si>
  <si>
    <t>Nomenclatura</t>
  </si>
  <si>
    <t>Data de início</t>
  </si>
  <si>
    <t>Data de término</t>
  </si>
  <si>
    <t>Descontinuada</t>
  </si>
  <si>
    <t>Atual</t>
  </si>
  <si>
    <t xml:space="preserve">Descrição do Saldo de Crédito </t>
  </si>
  <si>
    <t>Recursos livres à Pessoa Jurídica</t>
  </si>
  <si>
    <t>Recursos livres à Pessoa Física</t>
  </si>
  <si>
    <t>Recursos direcionados à Pessoa Física</t>
  </si>
  <si>
    <t>Recursos direcionados à Pessoa Jurídica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</si>
</sst>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[$-416]mmm\-yy;@"/>
    <numFmt numFmtId="166" formatCode="_-* #,##0.0_-;\-* #,##0.0_-;_-* &quot;-&quot;??_-;_-@_-"/>
    <numFmt numFmtId="167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7" fontId="0" fillId="0" borderId="0" xfId="0" applyNumberFormat="1"/>
    <xf numFmtId="3" fontId="0" fillId="0" borderId="0" xfId="0" applyNumberFormat="1"/>
    <xf numFmtId="0" fontId="0" fillId="33" borderId="0" xfId="0" applyFill="1"/>
    <xf numFmtId="3" fontId="0" fillId="33" borderId="0" xfId="0" applyNumberFormat="1" applyFill="1"/>
    <xf numFmtId="0" fontId="0" fillId="34" borderId="0" xfId="0" applyFill="1"/>
    <xf numFmtId="3" fontId="0" fillId="34" borderId="0" xfId="0" applyNumberFormat="1" applyFill="1"/>
    <xf numFmtId="164" fontId="0" fillId="0" borderId="0" xfId="2" applyNumberFormat="1" applyFont="1"/>
    <xf numFmtId="10" fontId="0" fillId="0" borderId="0" xfId="2" applyNumberFormat="1" applyFont="1"/>
    <xf numFmtId="43" fontId="0" fillId="0" borderId="0" xfId="1" applyFont="1"/>
    <xf numFmtId="0" fontId="16" fillId="0" borderId="0" xfId="0" applyFont="1"/>
    <xf numFmtId="43" fontId="0" fillId="0" borderId="0" xfId="0" applyNumberFormat="1"/>
    <xf numFmtId="164" fontId="16" fillId="0" borderId="0" xfId="2" applyNumberFormat="1" applyFont="1"/>
    <xf numFmtId="164" fontId="0" fillId="36" borderId="0" xfId="2" applyNumberFormat="1" applyFont="1" applyFill="1"/>
    <xf numFmtId="43" fontId="0" fillId="36" borderId="0" xfId="1" applyFont="1" applyFill="1"/>
    <xf numFmtId="43" fontId="0" fillId="36" borderId="0" xfId="0" applyNumberFormat="1" applyFill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7" fontId="0" fillId="0" borderId="0" xfId="1" applyNumberFormat="1" applyFont="1"/>
    <xf numFmtId="0" fontId="0" fillId="0" borderId="0" xfId="0" applyAlignment="1">
      <alignment horizontal="center" vertical="center" wrapText="1"/>
    </xf>
    <xf numFmtId="17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43" fontId="16" fillId="35" borderId="0" xfId="1" applyFont="1" applyFill="1" applyAlignment="1">
      <alignment horizontal="center"/>
    </xf>
    <xf numFmtId="0" fontId="16" fillId="34" borderId="0" xfId="0" applyFont="1" applyFill="1" applyAlignment="1">
      <alignment horizontal="center"/>
    </xf>
  </cellXfs>
  <cellStyles count="44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Neutro" xfId="10" builtinId="28" customBuiltin="1"/>
    <cellStyle name="Normal" xfId="0" builtinId="0"/>
    <cellStyle name="Nota" xfId="17" builtinId="10" customBuiltin="1"/>
    <cellStyle name="Porcentagem" xfId="2" builtinId="5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ANTIGA_LIVRES!$AI$1</c:f>
              <c:strCache>
                <c:ptCount val="1"/>
                <c:pt idx="0">
                  <c:v>pf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ANTIGA_LIVRES!$A$2:$A$197</c:f>
              <c:strCache>
                <c:ptCount val="196"/>
                <c:pt idx="0">
                  <c:v>out/96</c:v>
                </c:pt>
                <c:pt idx="1">
                  <c:v>nov/96</c:v>
                </c:pt>
                <c:pt idx="2">
                  <c:v>dez/96</c:v>
                </c:pt>
                <c:pt idx="3">
                  <c:v>jan/97</c:v>
                </c:pt>
                <c:pt idx="4">
                  <c:v>fev/97</c:v>
                </c:pt>
                <c:pt idx="5">
                  <c:v>mar/97</c:v>
                </c:pt>
                <c:pt idx="6">
                  <c:v>abr/97</c:v>
                </c:pt>
                <c:pt idx="7">
                  <c:v>mai/97</c:v>
                </c:pt>
                <c:pt idx="8">
                  <c:v>jun/97</c:v>
                </c:pt>
                <c:pt idx="9">
                  <c:v>jul/97</c:v>
                </c:pt>
                <c:pt idx="10">
                  <c:v>ago/97</c:v>
                </c:pt>
                <c:pt idx="11">
                  <c:v>set/97</c:v>
                </c:pt>
                <c:pt idx="12">
                  <c:v>out/97</c:v>
                </c:pt>
                <c:pt idx="13">
                  <c:v>nov/97</c:v>
                </c:pt>
                <c:pt idx="14">
                  <c:v>dez/97</c:v>
                </c:pt>
                <c:pt idx="15">
                  <c:v>jan/98</c:v>
                </c:pt>
                <c:pt idx="16">
                  <c:v>fev/98</c:v>
                </c:pt>
                <c:pt idx="17">
                  <c:v>mar/98</c:v>
                </c:pt>
                <c:pt idx="18">
                  <c:v>abr/98</c:v>
                </c:pt>
                <c:pt idx="19">
                  <c:v>mai/98</c:v>
                </c:pt>
                <c:pt idx="20">
                  <c:v>jun/98</c:v>
                </c:pt>
                <c:pt idx="21">
                  <c:v>jul/98</c:v>
                </c:pt>
                <c:pt idx="22">
                  <c:v>ago/98</c:v>
                </c:pt>
                <c:pt idx="23">
                  <c:v>set/98</c:v>
                </c:pt>
                <c:pt idx="24">
                  <c:v>out/98</c:v>
                </c:pt>
                <c:pt idx="25">
                  <c:v>nov/98</c:v>
                </c:pt>
                <c:pt idx="26">
                  <c:v>dez/98</c:v>
                </c:pt>
                <c:pt idx="27">
                  <c:v>jan/99</c:v>
                </c:pt>
                <c:pt idx="28">
                  <c:v>fev/99</c:v>
                </c:pt>
                <c:pt idx="29">
                  <c:v>mar/99</c:v>
                </c:pt>
                <c:pt idx="30">
                  <c:v>abr/99</c:v>
                </c:pt>
                <c:pt idx="31">
                  <c:v>mai/99</c:v>
                </c:pt>
                <c:pt idx="32">
                  <c:v>jun/99</c:v>
                </c:pt>
                <c:pt idx="33">
                  <c:v>jul/99</c:v>
                </c:pt>
                <c:pt idx="34">
                  <c:v>ago/99</c:v>
                </c:pt>
                <c:pt idx="35">
                  <c:v>set/99</c:v>
                </c:pt>
                <c:pt idx="36">
                  <c:v>out/99</c:v>
                </c:pt>
                <c:pt idx="37">
                  <c:v>nov/99</c:v>
                </c:pt>
                <c:pt idx="38">
                  <c:v>dez/99</c:v>
                </c:pt>
                <c:pt idx="39">
                  <c:v>jan/00</c:v>
                </c:pt>
                <c:pt idx="40">
                  <c:v>fev/00</c:v>
                </c:pt>
                <c:pt idx="41">
                  <c:v>mar/00</c:v>
                </c:pt>
                <c:pt idx="42">
                  <c:v>abr/00</c:v>
                </c:pt>
                <c:pt idx="43">
                  <c:v>mai/00</c:v>
                </c:pt>
                <c:pt idx="44">
                  <c:v>jun/00</c:v>
                </c:pt>
                <c:pt idx="45">
                  <c:v>jul/00</c:v>
                </c:pt>
                <c:pt idx="46">
                  <c:v>ago/00</c:v>
                </c:pt>
                <c:pt idx="47">
                  <c:v>set/00</c:v>
                </c:pt>
                <c:pt idx="48">
                  <c:v>out/00</c:v>
                </c:pt>
                <c:pt idx="49">
                  <c:v>nov/00</c:v>
                </c:pt>
                <c:pt idx="50">
                  <c:v>dez/00</c:v>
                </c:pt>
                <c:pt idx="51">
                  <c:v>jan/01</c:v>
                </c:pt>
                <c:pt idx="52">
                  <c:v>fev/01</c:v>
                </c:pt>
                <c:pt idx="53">
                  <c:v>mar/01</c:v>
                </c:pt>
                <c:pt idx="54">
                  <c:v>abr/01</c:v>
                </c:pt>
                <c:pt idx="55">
                  <c:v>mai/01</c:v>
                </c:pt>
                <c:pt idx="56">
                  <c:v>jun/01</c:v>
                </c:pt>
                <c:pt idx="57">
                  <c:v>jul/01</c:v>
                </c:pt>
                <c:pt idx="58">
                  <c:v>ago/01</c:v>
                </c:pt>
                <c:pt idx="59">
                  <c:v>set/01</c:v>
                </c:pt>
                <c:pt idx="60">
                  <c:v>out/01</c:v>
                </c:pt>
                <c:pt idx="61">
                  <c:v>nov/01</c:v>
                </c:pt>
                <c:pt idx="62">
                  <c:v>dez/01</c:v>
                </c:pt>
                <c:pt idx="63">
                  <c:v>jan/02</c:v>
                </c:pt>
                <c:pt idx="64">
                  <c:v>fev/02</c:v>
                </c:pt>
                <c:pt idx="65">
                  <c:v>mar/02</c:v>
                </c:pt>
                <c:pt idx="66">
                  <c:v>abr/02</c:v>
                </c:pt>
                <c:pt idx="67">
                  <c:v>mai/02</c:v>
                </c:pt>
                <c:pt idx="68">
                  <c:v>jun/02</c:v>
                </c:pt>
                <c:pt idx="69">
                  <c:v>jul/02</c:v>
                </c:pt>
                <c:pt idx="70">
                  <c:v>ago/02</c:v>
                </c:pt>
                <c:pt idx="71">
                  <c:v>set/02</c:v>
                </c:pt>
                <c:pt idx="72">
                  <c:v>out/02</c:v>
                </c:pt>
                <c:pt idx="73">
                  <c:v>nov/02</c:v>
                </c:pt>
                <c:pt idx="74">
                  <c:v>dez/02</c:v>
                </c:pt>
                <c:pt idx="75">
                  <c:v>jan/03</c:v>
                </c:pt>
                <c:pt idx="76">
                  <c:v>fev/03</c:v>
                </c:pt>
                <c:pt idx="77">
                  <c:v>mar/03</c:v>
                </c:pt>
                <c:pt idx="78">
                  <c:v>abr/03</c:v>
                </c:pt>
                <c:pt idx="79">
                  <c:v>mai/03</c:v>
                </c:pt>
                <c:pt idx="80">
                  <c:v>jun/03</c:v>
                </c:pt>
                <c:pt idx="81">
                  <c:v>jul/03</c:v>
                </c:pt>
                <c:pt idx="82">
                  <c:v>ago/03</c:v>
                </c:pt>
                <c:pt idx="83">
                  <c:v>set/03</c:v>
                </c:pt>
                <c:pt idx="84">
                  <c:v>out/03</c:v>
                </c:pt>
                <c:pt idx="85">
                  <c:v>nov/03</c:v>
                </c:pt>
                <c:pt idx="86">
                  <c:v>dez/03</c:v>
                </c:pt>
                <c:pt idx="87">
                  <c:v>jan/04</c:v>
                </c:pt>
                <c:pt idx="88">
                  <c:v>fev/04</c:v>
                </c:pt>
                <c:pt idx="89">
                  <c:v>mar/04</c:v>
                </c:pt>
                <c:pt idx="90">
                  <c:v>abr/04</c:v>
                </c:pt>
                <c:pt idx="91">
                  <c:v>mai/04</c:v>
                </c:pt>
                <c:pt idx="92">
                  <c:v>jun/04</c:v>
                </c:pt>
                <c:pt idx="93">
                  <c:v>jul/04</c:v>
                </c:pt>
                <c:pt idx="94">
                  <c:v>ago/04</c:v>
                </c:pt>
                <c:pt idx="95">
                  <c:v>set/04</c:v>
                </c:pt>
                <c:pt idx="96">
                  <c:v>out/04</c:v>
                </c:pt>
                <c:pt idx="97">
                  <c:v>nov/04</c:v>
                </c:pt>
                <c:pt idx="98">
                  <c:v>dez/04</c:v>
                </c:pt>
                <c:pt idx="99">
                  <c:v>jan/05</c:v>
                </c:pt>
                <c:pt idx="100">
                  <c:v>fev/05</c:v>
                </c:pt>
                <c:pt idx="101">
                  <c:v>mar/05</c:v>
                </c:pt>
                <c:pt idx="102">
                  <c:v>abr/05</c:v>
                </c:pt>
                <c:pt idx="103">
                  <c:v>mai/05</c:v>
                </c:pt>
                <c:pt idx="104">
                  <c:v>jun/05</c:v>
                </c:pt>
                <c:pt idx="105">
                  <c:v>jul/05</c:v>
                </c:pt>
                <c:pt idx="106">
                  <c:v>ago/05</c:v>
                </c:pt>
                <c:pt idx="107">
                  <c:v>set/05</c:v>
                </c:pt>
                <c:pt idx="108">
                  <c:v>out/05</c:v>
                </c:pt>
                <c:pt idx="109">
                  <c:v>nov/05</c:v>
                </c:pt>
                <c:pt idx="110">
                  <c:v>dez/05</c:v>
                </c:pt>
                <c:pt idx="111">
                  <c:v>jan/06</c:v>
                </c:pt>
                <c:pt idx="112">
                  <c:v>fev/06</c:v>
                </c:pt>
                <c:pt idx="113">
                  <c:v>mar/06</c:v>
                </c:pt>
                <c:pt idx="114">
                  <c:v>abr/06</c:v>
                </c:pt>
                <c:pt idx="115">
                  <c:v>mai/06</c:v>
                </c:pt>
                <c:pt idx="116">
                  <c:v>jun/06</c:v>
                </c:pt>
                <c:pt idx="117">
                  <c:v>jul/06</c:v>
                </c:pt>
                <c:pt idx="118">
                  <c:v>ago/06</c:v>
                </c:pt>
                <c:pt idx="119">
                  <c:v>set/06</c:v>
                </c:pt>
                <c:pt idx="120">
                  <c:v>out/06</c:v>
                </c:pt>
                <c:pt idx="121">
                  <c:v>nov/06</c:v>
                </c:pt>
                <c:pt idx="122">
                  <c:v>dez/06</c:v>
                </c:pt>
                <c:pt idx="123">
                  <c:v>jan/07</c:v>
                </c:pt>
                <c:pt idx="124">
                  <c:v>fev/07</c:v>
                </c:pt>
                <c:pt idx="125">
                  <c:v>mar/07</c:v>
                </c:pt>
                <c:pt idx="126">
                  <c:v>abr/07</c:v>
                </c:pt>
                <c:pt idx="127">
                  <c:v>mai/07</c:v>
                </c:pt>
                <c:pt idx="128">
                  <c:v>jun/07</c:v>
                </c:pt>
                <c:pt idx="129">
                  <c:v>jul/07</c:v>
                </c:pt>
                <c:pt idx="130">
                  <c:v>ago/07</c:v>
                </c:pt>
                <c:pt idx="131">
                  <c:v>set/07</c:v>
                </c:pt>
                <c:pt idx="132">
                  <c:v>out/07</c:v>
                </c:pt>
                <c:pt idx="133">
                  <c:v>nov/07</c:v>
                </c:pt>
                <c:pt idx="134">
                  <c:v>dez/07</c:v>
                </c:pt>
                <c:pt idx="135">
                  <c:v>jan/08</c:v>
                </c:pt>
                <c:pt idx="136">
                  <c:v>fev/08</c:v>
                </c:pt>
                <c:pt idx="137">
                  <c:v>mar/08</c:v>
                </c:pt>
                <c:pt idx="138">
                  <c:v>abr/08</c:v>
                </c:pt>
                <c:pt idx="139">
                  <c:v>mai/08</c:v>
                </c:pt>
                <c:pt idx="140">
                  <c:v>jun/08</c:v>
                </c:pt>
                <c:pt idx="141">
                  <c:v>jul/08</c:v>
                </c:pt>
                <c:pt idx="142">
                  <c:v>ago/08</c:v>
                </c:pt>
                <c:pt idx="143">
                  <c:v>set/08</c:v>
                </c:pt>
                <c:pt idx="144">
                  <c:v>out/08</c:v>
                </c:pt>
                <c:pt idx="145">
                  <c:v>nov/08</c:v>
                </c:pt>
                <c:pt idx="146">
                  <c:v>dez/08</c:v>
                </c:pt>
                <c:pt idx="147">
                  <c:v>jan/09</c:v>
                </c:pt>
                <c:pt idx="148">
                  <c:v>fev/09</c:v>
                </c:pt>
                <c:pt idx="149">
                  <c:v>mar/09</c:v>
                </c:pt>
                <c:pt idx="150">
                  <c:v>abr/09</c:v>
                </c:pt>
                <c:pt idx="151">
                  <c:v>mai/09</c:v>
                </c:pt>
                <c:pt idx="152">
                  <c:v>jun/09</c:v>
                </c:pt>
                <c:pt idx="153">
                  <c:v>jul/09</c:v>
                </c:pt>
                <c:pt idx="154">
                  <c:v>ago/09</c:v>
                </c:pt>
                <c:pt idx="155">
                  <c:v>set/09</c:v>
                </c:pt>
                <c:pt idx="156">
                  <c:v>out/09</c:v>
                </c:pt>
                <c:pt idx="157">
                  <c:v>nov/09</c:v>
                </c:pt>
                <c:pt idx="158">
                  <c:v>dez/09</c:v>
                </c:pt>
                <c:pt idx="159">
                  <c:v>jan/10</c:v>
                </c:pt>
                <c:pt idx="160">
                  <c:v>fev/10</c:v>
                </c:pt>
                <c:pt idx="161">
                  <c:v>mar/10</c:v>
                </c:pt>
                <c:pt idx="162">
                  <c:v>abr/10</c:v>
                </c:pt>
                <c:pt idx="163">
                  <c:v>mai/10</c:v>
                </c:pt>
                <c:pt idx="164">
                  <c:v>jun/10</c:v>
                </c:pt>
                <c:pt idx="165">
                  <c:v>jul/10</c:v>
                </c:pt>
                <c:pt idx="166">
                  <c:v>ago/10</c:v>
                </c:pt>
                <c:pt idx="167">
                  <c:v>set/10</c:v>
                </c:pt>
                <c:pt idx="168">
                  <c:v>out/10</c:v>
                </c:pt>
                <c:pt idx="169">
                  <c:v>nov/10</c:v>
                </c:pt>
                <c:pt idx="170">
                  <c:v>dez/10</c:v>
                </c:pt>
                <c:pt idx="171">
                  <c:v>jan/11</c:v>
                </c:pt>
                <c:pt idx="172">
                  <c:v>fev/11</c:v>
                </c:pt>
                <c:pt idx="173">
                  <c:v>mar/11</c:v>
                </c:pt>
                <c:pt idx="174">
                  <c:v>abr/11</c:v>
                </c:pt>
                <c:pt idx="175">
                  <c:v>mai/11</c:v>
                </c:pt>
                <c:pt idx="176">
                  <c:v>jun/11</c:v>
                </c:pt>
                <c:pt idx="177">
                  <c:v>jul/11</c:v>
                </c:pt>
                <c:pt idx="178">
                  <c:v>ago/11</c:v>
                </c:pt>
                <c:pt idx="179">
                  <c:v>set/11</c:v>
                </c:pt>
                <c:pt idx="180">
                  <c:v>out/11</c:v>
                </c:pt>
                <c:pt idx="181">
                  <c:v>nov/11</c:v>
                </c:pt>
                <c:pt idx="182">
                  <c:v>dez/11</c:v>
                </c:pt>
                <c:pt idx="183">
                  <c:v>jan/12</c:v>
                </c:pt>
                <c:pt idx="184">
                  <c:v>fev/12</c:v>
                </c:pt>
                <c:pt idx="185">
                  <c:v>mar/12</c:v>
                </c:pt>
                <c:pt idx="186">
                  <c:v>abr/12</c:v>
                </c:pt>
                <c:pt idx="187">
                  <c:v>mai/12</c:v>
                </c:pt>
                <c:pt idx="188">
                  <c:v>jun/12</c:v>
                </c:pt>
                <c:pt idx="189">
                  <c:v>jul/12</c:v>
                </c:pt>
                <c:pt idx="190">
                  <c:v>ago/12</c:v>
                </c:pt>
                <c:pt idx="191">
                  <c:v>set/12</c:v>
                </c:pt>
                <c:pt idx="192">
                  <c:v>out/12</c:v>
                </c:pt>
                <c:pt idx="193">
                  <c:v>nov/12</c:v>
                </c:pt>
                <c:pt idx="194">
                  <c:v>dez/12</c:v>
                </c:pt>
                <c:pt idx="195">
                  <c:v>Fonte</c:v>
                </c:pt>
              </c:strCache>
            </c:strRef>
          </c:cat>
          <c:val>
            <c:numRef>
              <c:f>ANTIGA_LIVRES!$AI$2:$AI$197</c:f>
              <c:numCache>
                <c:formatCode>General</c:formatCode>
                <c:ptCount val="196"/>
                <c:pt idx="0">
                  <c:v>0.78931620549371351</c:v>
                </c:pt>
                <c:pt idx="1">
                  <c:v>0.78017072270275789</c:v>
                </c:pt>
                <c:pt idx="2">
                  <c:v>0.76674526616925487</c:v>
                </c:pt>
                <c:pt idx="3">
                  <c:v>0.7473623744522816</c:v>
                </c:pt>
                <c:pt idx="4">
                  <c:v>0.73277052011522625</c:v>
                </c:pt>
                <c:pt idx="5">
                  <c:v>0.7384133315426713</c:v>
                </c:pt>
                <c:pt idx="6">
                  <c:v>0.72625549214038776</c:v>
                </c:pt>
                <c:pt idx="7">
                  <c:v>0.73115933816698797</c:v>
                </c:pt>
                <c:pt idx="8">
                  <c:v>0.7236654026746967</c:v>
                </c:pt>
                <c:pt idx="9">
                  <c:v>0.71944823095828192</c:v>
                </c:pt>
                <c:pt idx="10">
                  <c:v>0.71778118952861136</c:v>
                </c:pt>
                <c:pt idx="11">
                  <c:v>0.72852938562164693</c:v>
                </c:pt>
                <c:pt idx="12">
                  <c:v>0.72707052787793969</c:v>
                </c:pt>
                <c:pt idx="13">
                  <c:v>0.73555190573306639</c:v>
                </c:pt>
                <c:pt idx="14">
                  <c:v>0.73973222589924947</c:v>
                </c:pt>
                <c:pt idx="15">
                  <c:v>0.73488490647499727</c:v>
                </c:pt>
                <c:pt idx="16">
                  <c:v>0.73605234492536975</c:v>
                </c:pt>
                <c:pt idx="17">
                  <c:v>0.73828867565614376</c:v>
                </c:pt>
                <c:pt idx="18">
                  <c:v>0.74091203161757802</c:v>
                </c:pt>
                <c:pt idx="19">
                  <c:v>0.74745589883410168</c:v>
                </c:pt>
                <c:pt idx="20">
                  <c:v>0.75139232863858951</c:v>
                </c:pt>
                <c:pt idx="21">
                  <c:v>0.75292741429262677</c:v>
                </c:pt>
                <c:pt idx="22">
                  <c:v>0.75466365720937534</c:v>
                </c:pt>
                <c:pt idx="23">
                  <c:v>0.75691355991075371</c:v>
                </c:pt>
                <c:pt idx="24">
                  <c:v>0.7613024444187857</c:v>
                </c:pt>
                <c:pt idx="25">
                  <c:v>0.76326655929206222</c:v>
                </c:pt>
                <c:pt idx="26">
                  <c:v>0.76238916305705162</c:v>
                </c:pt>
                <c:pt idx="27">
                  <c:v>0.76282173281825194</c:v>
                </c:pt>
                <c:pt idx="28">
                  <c:v>0.77045776795980647</c:v>
                </c:pt>
                <c:pt idx="29">
                  <c:v>0.76885627747659868</c:v>
                </c:pt>
                <c:pt idx="30">
                  <c:v>0.7685331667475932</c:v>
                </c:pt>
                <c:pt idx="31">
                  <c:v>0.76455358924321981</c:v>
                </c:pt>
                <c:pt idx="32">
                  <c:v>0.76701583249325611</c:v>
                </c:pt>
                <c:pt idx="33">
                  <c:v>0.76624616805623047</c:v>
                </c:pt>
                <c:pt idx="34">
                  <c:v>0.75951953109802794</c:v>
                </c:pt>
                <c:pt idx="35">
                  <c:v>0.75971886332220018</c:v>
                </c:pt>
                <c:pt idx="36">
                  <c:v>0.76205670141480619</c:v>
                </c:pt>
                <c:pt idx="37">
                  <c:v>0.75669374007989576</c:v>
                </c:pt>
                <c:pt idx="38">
                  <c:v>0.75768830191266534</c:v>
                </c:pt>
                <c:pt idx="39">
                  <c:v>0.74241589578843403</c:v>
                </c:pt>
                <c:pt idx="40">
                  <c:v>0.72712280285993869</c:v>
                </c:pt>
                <c:pt idx="41">
                  <c:v>0.72014874118106331</c:v>
                </c:pt>
                <c:pt idx="42">
                  <c:v>0.71991801891253782</c:v>
                </c:pt>
                <c:pt idx="43">
                  <c:v>0.69118159506524401</c:v>
                </c:pt>
                <c:pt idx="44">
                  <c:v>0.68278248509741046</c:v>
                </c:pt>
                <c:pt idx="45">
                  <c:v>0.67806294388899069</c:v>
                </c:pt>
                <c:pt idx="46">
                  <c:v>0.66857953315410401</c:v>
                </c:pt>
                <c:pt idx="47">
                  <c:v>0.66552892365041294</c:v>
                </c:pt>
                <c:pt idx="48">
                  <c:v>0.66389566369307984</c:v>
                </c:pt>
                <c:pt idx="49">
                  <c:v>0.66312729278607208</c:v>
                </c:pt>
                <c:pt idx="50">
                  <c:v>0.66655980169283446</c:v>
                </c:pt>
                <c:pt idx="51">
                  <c:v>0.6521165699446837</c:v>
                </c:pt>
                <c:pt idx="52">
                  <c:v>0.65257514412676321</c:v>
                </c:pt>
                <c:pt idx="53">
                  <c:v>0.65137481339162862</c:v>
                </c:pt>
                <c:pt idx="54">
                  <c:v>0.65244626547124285</c:v>
                </c:pt>
                <c:pt idx="55">
                  <c:v>0.64829136357439576</c:v>
                </c:pt>
                <c:pt idx="56">
                  <c:v>0.64432622600435452</c:v>
                </c:pt>
                <c:pt idx="57">
                  <c:v>0.64676209854444144</c:v>
                </c:pt>
                <c:pt idx="58">
                  <c:v>0.64807332317191979</c:v>
                </c:pt>
                <c:pt idx="59">
                  <c:v>0.65285368193077786</c:v>
                </c:pt>
                <c:pt idx="60">
                  <c:v>0.64783625732398364</c:v>
                </c:pt>
                <c:pt idx="61">
                  <c:v>0.64521763369159302</c:v>
                </c:pt>
                <c:pt idx="62">
                  <c:v>0.6396757191510416</c:v>
                </c:pt>
                <c:pt idx="63">
                  <c:v>0.63355459697327587</c:v>
                </c:pt>
                <c:pt idx="64">
                  <c:v>0.63264706494792666</c:v>
                </c:pt>
                <c:pt idx="65">
                  <c:v>0.62899381521720155</c:v>
                </c:pt>
                <c:pt idx="66">
                  <c:v>0.62650013614822775</c:v>
                </c:pt>
                <c:pt idx="67">
                  <c:v>0.62552309942645601</c:v>
                </c:pt>
                <c:pt idx="68">
                  <c:v>0.63476437904311656</c:v>
                </c:pt>
                <c:pt idx="69">
                  <c:v>0.64401007142803524</c:v>
                </c:pt>
                <c:pt idx="70">
                  <c:v>0.63399804922054759</c:v>
                </c:pt>
                <c:pt idx="71">
                  <c:v>0.64914917834399144</c:v>
                </c:pt>
                <c:pt idx="72">
                  <c:v>0.64032261231007392</c:v>
                </c:pt>
                <c:pt idx="73">
                  <c:v>0.63928286166856385</c:v>
                </c:pt>
                <c:pt idx="74">
                  <c:v>0.64141248989898836</c:v>
                </c:pt>
                <c:pt idx="75">
                  <c:v>0.63466393040455849</c:v>
                </c:pt>
                <c:pt idx="76">
                  <c:v>0.61132349529240093</c:v>
                </c:pt>
                <c:pt idx="77">
                  <c:v>0.63073918001328111</c:v>
                </c:pt>
                <c:pt idx="78">
                  <c:v>0.62126096682649812</c:v>
                </c:pt>
                <c:pt idx="79">
                  <c:v>0.61799681696559616</c:v>
                </c:pt>
                <c:pt idx="80">
                  <c:v>0.61628839509263678</c:v>
                </c:pt>
                <c:pt idx="81">
                  <c:v>0.6120344182166807</c:v>
                </c:pt>
                <c:pt idx="82">
                  <c:v>0.60973793547430477</c:v>
                </c:pt>
                <c:pt idx="83">
                  <c:v>0.60731460739191045</c:v>
                </c:pt>
                <c:pt idx="84">
                  <c:v>0.60409584490014545</c:v>
                </c:pt>
                <c:pt idx="85">
                  <c:v>0.6058360755073634</c:v>
                </c:pt>
                <c:pt idx="86">
                  <c:v>0.60709617032544183</c:v>
                </c:pt>
                <c:pt idx="87">
                  <c:v>0.60071793229104731</c:v>
                </c:pt>
                <c:pt idx="88">
                  <c:v>0.59990038382942923</c:v>
                </c:pt>
                <c:pt idx="89">
                  <c:v>0.59659993114655041</c:v>
                </c:pt>
                <c:pt idx="90">
                  <c:v>0.59976574648930125</c:v>
                </c:pt>
                <c:pt idx="91">
                  <c:v>0.60412034815472127</c:v>
                </c:pt>
                <c:pt idx="92">
                  <c:v>0.60280739345900514</c:v>
                </c:pt>
                <c:pt idx="93">
                  <c:v>0.60124119850420954</c:v>
                </c:pt>
                <c:pt idx="94">
                  <c:v>0.59726300490957163</c:v>
                </c:pt>
                <c:pt idx="95">
                  <c:v>0.59512532356083492</c:v>
                </c:pt>
                <c:pt idx="96">
                  <c:v>0.59244420299177047</c:v>
                </c:pt>
                <c:pt idx="97">
                  <c:v>0.58804538536137918</c:v>
                </c:pt>
                <c:pt idx="98">
                  <c:v>0.58261434288526903</c:v>
                </c:pt>
                <c:pt idx="99">
                  <c:v>0.5784463457052279</c:v>
                </c:pt>
                <c:pt idx="100">
                  <c:v>0.57426962806635362</c:v>
                </c:pt>
                <c:pt idx="101">
                  <c:v>0.56868364800665683</c:v>
                </c:pt>
                <c:pt idx="102">
                  <c:v>0.56644131964659095</c:v>
                </c:pt>
                <c:pt idx="103">
                  <c:v>0.5558130126114994</c:v>
                </c:pt>
                <c:pt idx="104">
                  <c:v>0.55421506148278199</c:v>
                </c:pt>
                <c:pt idx="105">
                  <c:v>0.55094949129959947</c:v>
                </c:pt>
                <c:pt idx="106">
                  <c:v>0.54283630937346072</c:v>
                </c:pt>
                <c:pt idx="107">
                  <c:v>0.54015829284990269</c:v>
                </c:pt>
                <c:pt idx="108">
                  <c:v>0.54020147501189708</c:v>
                </c:pt>
                <c:pt idx="109">
                  <c:v>0.5387993131531349</c:v>
                </c:pt>
                <c:pt idx="110">
                  <c:v>0.54440814836082962</c:v>
                </c:pt>
                <c:pt idx="111">
                  <c:v>0.5329908069238638</c:v>
                </c:pt>
                <c:pt idx="112">
                  <c:v>0.5323277369698205</c:v>
                </c:pt>
                <c:pt idx="113">
                  <c:v>0.52953107276461964</c:v>
                </c:pt>
                <c:pt idx="114">
                  <c:v>0.52938983220658375</c:v>
                </c:pt>
                <c:pt idx="115">
                  <c:v>0.53001047296521497</c:v>
                </c:pt>
                <c:pt idx="116">
                  <c:v>0.52898157028147541</c:v>
                </c:pt>
                <c:pt idx="117">
                  <c:v>0.52735899679782972</c:v>
                </c:pt>
                <c:pt idx="118">
                  <c:v>0.52040492324757415</c:v>
                </c:pt>
                <c:pt idx="119">
                  <c:v>0.52300553434873143</c:v>
                </c:pt>
                <c:pt idx="120">
                  <c:v>0.52258151754354976</c:v>
                </c:pt>
                <c:pt idx="121">
                  <c:v>0.52488445536895922</c:v>
                </c:pt>
                <c:pt idx="122">
                  <c:v>0.53149758899788957</c:v>
                </c:pt>
                <c:pt idx="123">
                  <c:v>0.5231585138738597</c:v>
                </c:pt>
                <c:pt idx="124">
                  <c:v>0.5225056661949552</c:v>
                </c:pt>
                <c:pt idx="125">
                  <c:v>0.52330879644914186</c:v>
                </c:pt>
                <c:pt idx="126">
                  <c:v>0.525101176920033</c:v>
                </c:pt>
                <c:pt idx="127">
                  <c:v>0.51751617544189743</c:v>
                </c:pt>
                <c:pt idx="128">
                  <c:v>0.51955898433968883</c:v>
                </c:pt>
                <c:pt idx="129">
                  <c:v>0.51988955951186144</c:v>
                </c:pt>
                <c:pt idx="130">
                  <c:v>0.52338087028640701</c:v>
                </c:pt>
                <c:pt idx="131">
                  <c:v>0.52554094697155151</c:v>
                </c:pt>
                <c:pt idx="132">
                  <c:v>0.52492186248003769</c:v>
                </c:pt>
                <c:pt idx="133">
                  <c:v>0.53105984885260493</c:v>
                </c:pt>
                <c:pt idx="134">
                  <c:v>0.54127576218934803</c:v>
                </c:pt>
                <c:pt idx="135">
                  <c:v>0.53809573171672775</c:v>
                </c:pt>
                <c:pt idx="136">
                  <c:v>0.53847133342914433</c:v>
                </c:pt>
                <c:pt idx="137">
                  <c:v>0.54631382991496946</c:v>
                </c:pt>
                <c:pt idx="138">
                  <c:v>0.54778044897525435</c:v>
                </c:pt>
                <c:pt idx="139">
                  <c:v>0.55288687590744467</c:v>
                </c:pt>
                <c:pt idx="140">
                  <c:v>0.5595774895291391</c:v>
                </c:pt>
                <c:pt idx="141">
                  <c:v>0.55997616061544364</c:v>
                </c:pt>
                <c:pt idx="142">
                  <c:v>0.56542519389208179</c:v>
                </c:pt>
                <c:pt idx="143">
                  <c:v>0.57664305947811578</c:v>
                </c:pt>
                <c:pt idx="144">
                  <c:v>0.57526166696906311</c:v>
                </c:pt>
                <c:pt idx="145">
                  <c:v>0.58192351344528359</c:v>
                </c:pt>
                <c:pt idx="146">
                  <c:v>0.58514068326092639</c:v>
                </c:pt>
                <c:pt idx="147">
                  <c:v>0.57925715782455489</c:v>
                </c:pt>
                <c:pt idx="148">
                  <c:v>0.57792571245682745</c:v>
                </c:pt>
                <c:pt idx="149">
                  <c:v>0.57585531932187028</c:v>
                </c:pt>
                <c:pt idx="150">
                  <c:v>0.57142730930275365</c:v>
                </c:pt>
                <c:pt idx="151">
                  <c:v>0.56517268947695409</c:v>
                </c:pt>
                <c:pt idx="152">
                  <c:v>0.56197334851435332</c:v>
                </c:pt>
                <c:pt idx="153">
                  <c:v>0.55680755624395817</c:v>
                </c:pt>
                <c:pt idx="154">
                  <c:v>0.55586418479484068</c:v>
                </c:pt>
                <c:pt idx="155">
                  <c:v>0.55276347608691245</c:v>
                </c:pt>
                <c:pt idx="156">
                  <c:v>0.55059717657375895</c:v>
                </c:pt>
                <c:pt idx="157">
                  <c:v>0.55016516861151199</c:v>
                </c:pt>
                <c:pt idx="158">
                  <c:v>0.55127075726989905</c:v>
                </c:pt>
                <c:pt idx="159">
                  <c:v>0.5461401972689468</c:v>
                </c:pt>
                <c:pt idx="160">
                  <c:v>0.54471101947312817</c:v>
                </c:pt>
                <c:pt idx="161">
                  <c:v>0.5394225619339672</c:v>
                </c:pt>
                <c:pt idx="162">
                  <c:v>0.53497145633160004</c:v>
                </c:pt>
                <c:pt idx="163">
                  <c:v>0.53368277162461453</c:v>
                </c:pt>
                <c:pt idx="164">
                  <c:v>0.53541048240100231</c:v>
                </c:pt>
                <c:pt idx="165">
                  <c:v>0.53025879082716287</c:v>
                </c:pt>
                <c:pt idx="166">
                  <c:v>0.5284268616934189</c:v>
                </c:pt>
                <c:pt idx="167">
                  <c:v>0.52892434076507011</c:v>
                </c:pt>
                <c:pt idx="168">
                  <c:v>0.52754424534204847</c:v>
                </c:pt>
                <c:pt idx="169">
                  <c:v>0.52584721860715999</c:v>
                </c:pt>
                <c:pt idx="170">
                  <c:v>0.52578513277268768</c:v>
                </c:pt>
                <c:pt idx="171">
                  <c:v>0.51906345786657337</c:v>
                </c:pt>
                <c:pt idx="172">
                  <c:v>0.51872841167563388</c:v>
                </c:pt>
                <c:pt idx="173">
                  <c:v>0.51815998880140657</c:v>
                </c:pt>
                <c:pt idx="174">
                  <c:v>0.51786109788637358</c:v>
                </c:pt>
                <c:pt idx="175">
                  <c:v>0.51656120846967213</c:v>
                </c:pt>
                <c:pt idx="176">
                  <c:v>0.51655665351286217</c:v>
                </c:pt>
                <c:pt idx="177">
                  <c:v>0.51448613506077456</c:v>
                </c:pt>
                <c:pt idx="178">
                  <c:v>0.5141011143392008</c:v>
                </c:pt>
                <c:pt idx="179">
                  <c:v>0.51700717929068263</c:v>
                </c:pt>
                <c:pt idx="180">
                  <c:v>0.51526776400543628</c:v>
                </c:pt>
                <c:pt idx="181">
                  <c:v>0.51780029044595544</c:v>
                </c:pt>
                <c:pt idx="182">
                  <c:v>0.52314090149070647</c:v>
                </c:pt>
                <c:pt idx="183">
                  <c:v>0.51667197507759866</c:v>
                </c:pt>
                <c:pt idx="184">
                  <c:v>0.51360964406122844</c:v>
                </c:pt>
                <c:pt idx="185">
                  <c:v>0.51820553896998367</c:v>
                </c:pt>
                <c:pt idx="186">
                  <c:v>0.51994100004554777</c:v>
                </c:pt>
                <c:pt idx="187">
                  <c:v>0.52237037108751383</c:v>
                </c:pt>
                <c:pt idx="188">
                  <c:v>0.52294816977276404</c:v>
                </c:pt>
                <c:pt idx="189">
                  <c:v>0.52087732434926692</c:v>
                </c:pt>
                <c:pt idx="190">
                  <c:v>0.51950773744098588</c:v>
                </c:pt>
                <c:pt idx="191">
                  <c:v>0.52312504964018447</c:v>
                </c:pt>
                <c:pt idx="192">
                  <c:v>0.52351932481321617</c:v>
                </c:pt>
                <c:pt idx="193">
                  <c:v>0.52469046056626689</c:v>
                </c:pt>
                <c:pt idx="194">
                  <c:v>0.5295721541689058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A-47D1-817B-43B3B155503E}"/>
            </c:ext>
          </c:extLst>
        </c:ser>
        <c:ser>
          <c:idx val="1"/>
          <c:order val="1"/>
          <c:tx>
            <c:strRef>
              <c:f>ANTIGA_LIVRES!$AJ$1</c:f>
              <c:strCache>
                <c:ptCount val="1"/>
                <c:pt idx="0">
                  <c:v>pj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ANTIGA_LIVRES!$A$2:$A$197</c:f>
              <c:strCache>
                <c:ptCount val="196"/>
                <c:pt idx="0">
                  <c:v>out/96</c:v>
                </c:pt>
                <c:pt idx="1">
                  <c:v>nov/96</c:v>
                </c:pt>
                <c:pt idx="2">
                  <c:v>dez/96</c:v>
                </c:pt>
                <c:pt idx="3">
                  <c:v>jan/97</c:v>
                </c:pt>
                <c:pt idx="4">
                  <c:v>fev/97</c:v>
                </c:pt>
                <c:pt idx="5">
                  <c:v>mar/97</c:v>
                </c:pt>
                <c:pt idx="6">
                  <c:v>abr/97</c:v>
                </c:pt>
                <c:pt idx="7">
                  <c:v>mai/97</c:v>
                </c:pt>
                <c:pt idx="8">
                  <c:v>jun/97</c:v>
                </c:pt>
                <c:pt idx="9">
                  <c:v>jul/97</c:v>
                </c:pt>
                <c:pt idx="10">
                  <c:v>ago/97</c:v>
                </c:pt>
                <c:pt idx="11">
                  <c:v>set/97</c:v>
                </c:pt>
                <c:pt idx="12">
                  <c:v>out/97</c:v>
                </c:pt>
                <c:pt idx="13">
                  <c:v>nov/97</c:v>
                </c:pt>
                <c:pt idx="14">
                  <c:v>dez/97</c:v>
                </c:pt>
                <c:pt idx="15">
                  <c:v>jan/98</c:v>
                </c:pt>
                <c:pt idx="16">
                  <c:v>fev/98</c:v>
                </c:pt>
                <c:pt idx="17">
                  <c:v>mar/98</c:v>
                </c:pt>
                <c:pt idx="18">
                  <c:v>abr/98</c:v>
                </c:pt>
                <c:pt idx="19">
                  <c:v>mai/98</c:v>
                </c:pt>
                <c:pt idx="20">
                  <c:v>jun/98</c:v>
                </c:pt>
                <c:pt idx="21">
                  <c:v>jul/98</c:v>
                </c:pt>
                <c:pt idx="22">
                  <c:v>ago/98</c:v>
                </c:pt>
                <c:pt idx="23">
                  <c:v>set/98</c:v>
                </c:pt>
                <c:pt idx="24">
                  <c:v>out/98</c:v>
                </c:pt>
                <c:pt idx="25">
                  <c:v>nov/98</c:v>
                </c:pt>
                <c:pt idx="26">
                  <c:v>dez/98</c:v>
                </c:pt>
                <c:pt idx="27">
                  <c:v>jan/99</c:v>
                </c:pt>
                <c:pt idx="28">
                  <c:v>fev/99</c:v>
                </c:pt>
                <c:pt idx="29">
                  <c:v>mar/99</c:v>
                </c:pt>
                <c:pt idx="30">
                  <c:v>abr/99</c:v>
                </c:pt>
                <c:pt idx="31">
                  <c:v>mai/99</c:v>
                </c:pt>
                <c:pt idx="32">
                  <c:v>jun/99</c:v>
                </c:pt>
                <c:pt idx="33">
                  <c:v>jul/99</c:v>
                </c:pt>
                <c:pt idx="34">
                  <c:v>ago/99</c:v>
                </c:pt>
                <c:pt idx="35">
                  <c:v>set/99</c:v>
                </c:pt>
                <c:pt idx="36">
                  <c:v>out/99</c:v>
                </c:pt>
                <c:pt idx="37">
                  <c:v>nov/99</c:v>
                </c:pt>
                <c:pt idx="38">
                  <c:v>dez/99</c:v>
                </c:pt>
                <c:pt idx="39">
                  <c:v>jan/00</c:v>
                </c:pt>
                <c:pt idx="40">
                  <c:v>fev/00</c:v>
                </c:pt>
                <c:pt idx="41">
                  <c:v>mar/00</c:v>
                </c:pt>
                <c:pt idx="42">
                  <c:v>abr/00</c:v>
                </c:pt>
                <c:pt idx="43">
                  <c:v>mai/00</c:v>
                </c:pt>
                <c:pt idx="44">
                  <c:v>jun/00</c:v>
                </c:pt>
                <c:pt idx="45">
                  <c:v>jul/00</c:v>
                </c:pt>
                <c:pt idx="46">
                  <c:v>ago/00</c:v>
                </c:pt>
                <c:pt idx="47">
                  <c:v>set/00</c:v>
                </c:pt>
                <c:pt idx="48">
                  <c:v>out/00</c:v>
                </c:pt>
                <c:pt idx="49">
                  <c:v>nov/00</c:v>
                </c:pt>
                <c:pt idx="50">
                  <c:v>dez/00</c:v>
                </c:pt>
                <c:pt idx="51">
                  <c:v>jan/01</c:v>
                </c:pt>
                <c:pt idx="52">
                  <c:v>fev/01</c:v>
                </c:pt>
                <c:pt idx="53">
                  <c:v>mar/01</c:v>
                </c:pt>
                <c:pt idx="54">
                  <c:v>abr/01</c:v>
                </c:pt>
                <c:pt idx="55">
                  <c:v>mai/01</c:v>
                </c:pt>
                <c:pt idx="56">
                  <c:v>jun/01</c:v>
                </c:pt>
                <c:pt idx="57">
                  <c:v>jul/01</c:v>
                </c:pt>
                <c:pt idx="58">
                  <c:v>ago/01</c:v>
                </c:pt>
                <c:pt idx="59">
                  <c:v>set/01</c:v>
                </c:pt>
                <c:pt idx="60">
                  <c:v>out/01</c:v>
                </c:pt>
                <c:pt idx="61">
                  <c:v>nov/01</c:v>
                </c:pt>
                <c:pt idx="62">
                  <c:v>dez/01</c:v>
                </c:pt>
                <c:pt idx="63">
                  <c:v>jan/02</c:v>
                </c:pt>
                <c:pt idx="64">
                  <c:v>fev/02</c:v>
                </c:pt>
                <c:pt idx="65">
                  <c:v>mar/02</c:v>
                </c:pt>
                <c:pt idx="66">
                  <c:v>abr/02</c:v>
                </c:pt>
                <c:pt idx="67">
                  <c:v>mai/02</c:v>
                </c:pt>
                <c:pt idx="68">
                  <c:v>jun/02</c:v>
                </c:pt>
                <c:pt idx="69">
                  <c:v>jul/02</c:v>
                </c:pt>
                <c:pt idx="70">
                  <c:v>ago/02</c:v>
                </c:pt>
                <c:pt idx="71">
                  <c:v>set/02</c:v>
                </c:pt>
                <c:pt idx="72">
                  <c:v>out/02</c:v>
                </c:pt>
                <c:pt idx="73">
                  <c:v>nov/02</c:v>
                </c:pt>
                <c:pt idx="74">
                  <c:v>dez/02</c:v>
                </c:pt>
                <c:pt idx="75">
                  <c:v>jan/03</c:v>
                </c:pt>
                <c:pt idx="76">
                  <c:v>fev/03</c:v>
                </c:pt>
                <c:pt idx="77">
                  <c:v>mar/03</c:v>
                </c:pt>
                <c:pt idx="78">
                  <c:v>abr/03</c:v>
                </c:pt>
                <c:pt idx="79">
                  <c:v>mai/03</c:v>
                </c:pt>
                <c:pt idx="80">
                  <c:v>jun/03</c:v>
                </c:pt>
                <c:pt idx="81">
                  <c:v>jul/03</c:v>
                </c:pt>
                <c:pt idx="82">
                  <c:v>ago/03</c:v>
                </c:pt>
                <c:pt idx="83">
                  <c:v>set/03</c:v>
                </c:pt>
                <c:pt idx="84">
                  <c:v>out/03</c:v>
                </c:pt>
                <c:pt idx="85">
                  <c:v>nov/03</c:v>
                </c:pt>
                <c:pt idx="86">
                  <c:v>dez/03</c:v>
                </c:pt>
                <c:pt idx="87">
                  <c:v>jan/04</c:v>
                </c:pt>
                <c:pt idx="88">
                  <c:v>fev/04</c:v>
                </c:pt>
                <c:pt idx="89">
                  <c:v>mar/04</c:v>
                </c:pt>
                <c:pt idx="90">
                  <c:v>abr/04</c:v>
                </c:pt>
                <c:pt idx="91">
                  <c:v>mai/04</c:v>
                </c:pt>
                <c:pt idx="92">
                  <c:v>jun/04</c:v>
                </c:pt>
                <c:pt idx="93">
                  <c:v>jul/04</c:v>
                </c:pt>
                <c:pt idx="94">
                  <c:v>ago/04</c:v>
                </c:pt>
                <c:pt idx="95">
                  <c:v>set/04</c:v>
                </c:pt>
                <c:pt idx="96">
                  <c:v>out/04</c:v>
                </c:pt>
                <c:pt idx="97">
                  <c:v>nov/04</c:v>
                </c:pt>
                <c:pt idx="98">
                  <c:v>dez/04</c:v>
                </c:pt>
                <c:pt idx="99">
                  <c:v>jan/05</c:v>
                </c:pt>
                <c:pt idx="100">
                  <c:v>fev/05</c:v>
                </c:pt>
                <c:pt idx="101">
                  <c:v>mar/05</c:v>
                </c:pt>
                <c:pt idx="102">
                  <c:v>abr/05</c:v>
                </c:pt>
                <c:pt idx="103">
                  <c:v>mai/05</c:v>
                </c:pt>
                <c:pt idx="104">
                  <c:v>jun/05</c:v>
                </c:pt>
                <c:pt idx="105">
                  <c:v>jul/05</c:v>
                </c:pt>
                <c:pt idx="106">
                  <c:v>ago/05</c:v>
                </c:pt>
                <c:pt idx="107">
                  <c:v>set/05</c:v>
                </c:pt>
                <c:pt idx="108">
                  <c:v>out/05</c:v>
                </c:pt>
                <c:pt idx="109">
                  <c:v>nov/05</c:v>
                </c:pt>
                <c:pt idx="110">
                  <c:v>dez/05</c:v>
                </c:pt>
                <c:pt idx="111">
                  <c:v>jan/06</c:v>
                </c:pt>
                <c:pt idx="112">
                  <c:v>fev/06</c:v>
                </c:pt>
                <c:pt idx="113">
                  <c:v>mar/06</c:v>
                </c:pt>
                <c:pt idx="114">
                  <c:v>abr/06</c:v>
                </c:pt>
                <c:pt idx="115">
                  <c:v>mai/06</c:v>
                </c:pt>
                <c:pt idx="116">
                  <c:v>jun/06</c:v>
                </c:pt>
                <c:pt idx="117">
                  <c:v>jul/06</c:v>
                </c:pt>
                <c:pt idx="118">
                  <c:v>ago/06</c:v>
                </c:pt>
                <c:pt idx="119">
                  <c:v>set/06</c:v>
                </c:pt>
                <c:pt idx="120">
                  <c:v>out/06</c:v>
                </c:pt>
                <c:pt idx="121">
                  <c:v>nov/06</c:v>
                </c:pt>
                <c:pt idx="122">
                  <c:v>dez/06</c:v>
                </c:pt>
                <c:pt idx="123">
                  <c:v>jan/07</c:v>
                </c:pt>
                <c:pt idx="124">
                  <c:v>fev/07</c:v>
                </c:pt>
                <c:pt idx="125">
                  <c:v>mar/07</c:v>
                </c:pt>
                <c:pt idx="126">
                  <c:v>abr/07</c:v>
                </c:pt>
                <c:pt idx="127">
                  <c:v>mai/07</c:v>
                </c:pt>
                <c:pt idx="128">
                  <c:v>jun/07</c:v>
                </c:pt>
                <c:pt idx="129">
                  <c:v>jul/07</c:v>
                </c:pt>
                <c:pt idx="130">
                  <c:v>ago/07</c:v>
                </c:pt>
                <c:pt idx="131">
                  <c:v>set/07</c:v>
                </c:pt>
                <c:pt idx="132">
                  <c:v>out/07</c:v>
                </c:pt>
                <c:pt idx="133">
                  <c:v>nov/07</c:v>
                </c:pt>
                <c:pt idx="134">
                  <c:v>dez/07</c:v>
                </c:pt>
                <c:pt idx="135">
                  <c:v>jan/08</c:v>
                </c:pt>
                <c:pt idx="136">
                  <c:v>fev/08</c:v>
                </c:pt>
                <c:pt idx="137">
                  <c:v>mar/08</c:v>
                </c:pt>
                <c:pt idx="138">
                  <c:v>abr/08</c:v>
                </c:pt>
                <c:pt idx="139">
                  <c:v>mai/08</c:v>
                </c:pt>
                <c:pt idx="140">
                  <c:v>jun/08</c:v>
                </c:pt>
                <c:pt idx="141">
                  <c:v>jul/08</c:v>
                </c:pt>
                <c:pt idx="142">
                  <c:v>ago/08</c:v>
                </c:pt>
                <c:pt idx="143">
                  <c:v>set/08</c:v>
                </c:pt>
                <c:pt idx="144">
                  <c:v>out/08</c:v>
                </c:pt>
                <c:pt idx="145">
                  <c:v>nov/08</c:v>
                </c:pt>
                <c:pt idx="146">
                  <c:v>dez/08</c:v>
                </c:pt>
                <c:pt idx="147">
                  <c:v>jan/09</c:v>
                </c:pt>
                <c:pt idx="148">
                  <c:v>fev/09</c:v>
                </c:pt>
                <c:pt idx="149">
                  <c:v>mar/09</c:v>
                </c:pt>
                <c:pt idx="150">
                  <c:v>abr/09</c:v>
                </c:pt>
                <c:pt idx="151">
                  <c:v>mai/09</c:v>
                </c:pt>
                <c:pt idx="152">
                  <c:v>jun/09</c:v>
                </c:pt>
                <c:pt idx="153">
                  <c:v>jul/09</c:v>
                </c:pt>
                <c:pt idx="154">
                  <c:v>ago/09</c:v>
                </c:pt>
                <c:pt idx="155">
                  <c:v>set/09</c:v>
                </c:pt>
                <c:pt idx="156">
                  <c:v>out/09</c:v>
                </c:pt>
                <c:pt idx="157">
                  <c:v>nov/09</c:v>
                </c:pt>
                <c:pt idx="158">
                  <c:v>dez/09</c:v>
                </c:pt>
                <c:pt idx="159">
                  <c:v>jan/10</c:v>
                </c:pt>
                <c:pt idx="160">
                  <c:v>fev/10</c:v>
                </c:pt>
                <c:pt idx="161">
                  <c:v>mar/10</c:v>
                </c:pt>
                <c:pt idx="162">
                  <c:v>abr/10</c:v>
                </c:pt>
                <c:pt idx="163">
                  <c:v>mai/10</c:v>
                </c:pt>
                <c:pt idx="164">
                  <c:v>jun/10</c:v>
                </c:pt>
                <c:pt idx="165">
                  <c:v>jul/10</c:v>
                </c:pt>
                <c:pt idx="166">
                  <c:v>ago/10</c:v>
                </c:pt>
                <c:pt idx="167">
                  <c:v>set/10</c:v>
                </c:pt>
                <c:pt idx="168">
                  <c:v>out/10</c:v>
                </c:pt>
                <c:pt idx="169">
                  <c:v>nov/10</c:v>
                </c:pt>
                <c:pt idx="170">
                  <c:v>dez/10</c:v>
                </c:pt>
                <c:pt idx="171">
                  <c:v>jan/11</c:v>
                </c:pt>
                <c:pt idx="172">
                  <c:v>fev/11</c:v>
                </c:pt>
                <c:pt idx="173">
                  <c:v>mar/11</c:v>
                </c:pt>
                <c:pt idx="174">
                  <c:v>abr/11</c:v>
                </c:pt>
                <c:pt idx="175">
                  <c:v>mai/11</c:v>
                </c:pt>
                <c:pt idx="176">
                  <c:v>jun/11</c:v>
                </c:pt>
                <c:pt idx="177">
                  <c:v>jul/11</c:v>
                </c:pt>
                <c:pt idx="178">
                  <c:v>ago/11</c:v>
                </c:pt>
                <c:pt idx="179">
                  <c:v>set/11</c:v>
                </c:pt>
                <c:pt idx="180">
                  <c:v>out/11</c:v>
                </c:pt>
                <c:pt idx="181">
                  <c:v>nov/11</c:v>
                </c:pt>
                <c:pt idx="182">
                  <c:v>dez/11</c:v>
                </c:pt>
                <c:pt idx="183">
                  <c:v>jan/12</c:v>
                </c:pt>
                <c:pt idx="184">
                  <c:v>fev/12</c:v>
                </c:pt>
                <c:pt idx="185">
                  <c:v>mar/12</c:v>
                </c:pt>
                <c:pt idx="186">
                  <c:v>abr/12</c:v>
                </c:pt>
                <c:pt idx="187">
                  <c:v>mai/12</c:v>
                </c:pt>
                <c:pt idx="188">
                  <c:v>jun/12</c:v>
                </c:pt>
                <c:pt idx="189">
                  <c:v>jul/12</c:v>
                </c:pt>
                <c:pt idx="190">
                  <c:v>ago/12</c:v>
                </c:pt>
                <c:pt idx="191">
                  <c:v>set/12</c:v>
                </c:pt>
                <c:pt idx="192">
                  <c:v>out/12</c:v>
                </c:pt>
                <c:pt idx="193">
                  <c:v>nov/12</c:v>
                </c:pt>
                <c:pt idx="194">
                  <c:v>dez/12</c:v>
                </c:pt>
                <c:pt idx="195">
                  <c:v>Fonte</c:v>
                </c:pt>
              </c:strCache>
            </c:strRef>
          </c:cat>
          <c:val>
            <c:numRef>
              <c:f>ANTIGA_LIVRES!$AJ$2:$AJ$197</c:f>
              <c:numCache>
                <c:formatCode>General</c:formatCode>
                <c:ptCount val="196"/>
                <c:pt idx="0">
                  <c:v>0.21068378112368413</c:v>
                </c:pt>
                <c:pt idx="1">
                  <c:v>0.21982927729724208</c:v>
                </c:pt>
                <c:pt idx="2">
                  <c:v>0.2332547338307451</c:v>
                </c:pt>
                <c:pt idx="3">
                  <c:v>0.25263760029429333</c:v>
                </c:pt>
                <c:pt idx="4">
                  <c:v>0.2672294672408847</c:v>
                </c:pt>
                <c:pt idx="5">
                  <c:v>0.26158665641467721</c:v>
                </c:pt>
                <c:pt idx="6">
                  <c:v>0.27374449600182782</c:v>
                </c:pt>
                <c:pt idx="7">
                  <c:v>0.26884066183301203</c:v>
                </c:pt>
                <c:pt idx="8">
                  <c:v>0.27633458590547771</c:v>
                </c:pt>
                <c:pt idx="9">
                  <c:v>0.28055178049354224</c:v>
                </c:pt>
                <c:pt idx="10">
                  <c:v>0.28221879910965847</c:v>
                </c:pt>
                <c:pt idx="11">
                  <c:v>0.27147061437835307</c:v>
                </c:pt>
                <c:pt idx="12">
                  <c:v>0.27292946085250447</c:v>
                </c:pt>
                <c:pt idx="13">
                  <c:v>0.26444809426693366</c:v>
                </c:pt>
                <c:pt idx="14">
                  <c:v>0.26026777410075053</c:v>
                </c:pt>
                <c:pt idx="15">
                  <c:v>0.26511508170857673</c:v>
                </c:pt>
                <c:pt idx="16">
                  <c:v>0.26394764328750508</c:v>
                </c:pt>
                <c:pt idx="17">
                  <c:v>0.2617113243438563</c:v>
                </c:pt>
                <c:pt idx="18">
                  <c:v>0.25908798013393169</c:v>
                </c:pt>
                <c:pt idx="19">
                  <c:v>0.25254411302121776</c:v>
                </c:pt>
                <c:pt idx="20">
                  <c:v>0.24860767136141046</c:v>
                </c:pt>
                <c:pt idx="21">
                  <c:v>0.2470725857073732</c:v>
                </c:pt>
                <c:pt idx="22">
                  <c:v>0.24533635469072995</c:v>
                </c:pt>
                <c:pt idx="23">
                  <c:v>0.24308641586885296</c:v>
                </c:pt>
                <c:pt idx="24">
                  <c:v>0.23869755558121433</c:v>
                </c:pt>
                <c:pt idx="25">
                  <c:v>0.23673344070793773</c:v>
                </c:pt>
                <c:pt idx="26">
                  <c:v>0.23761083694294838</c:v>
                </c:pt>
                <c:pt idx="27">
                  <c:v>0.23717827953856196</c:v>
                </c:pt>
                <c:pt idx="28">
                  <c:v>0.22954221984853301</c:v>
                </c:pt>
                <c:pt idx="29">
                  <c:v>0.23114372252340129</c:v>
                </c:pt>
                <c:pt idx="30">
                  <c:v>0.23146682115245087</c:v>
                </c:pt>
                <c:pt idx="31">
                  <c:v>0.23544642292288151</c:v>
                </c:pt>
                <c:pt idx="32">
                  <c:v>0.23298416750674392</c:v>
                </c:pt>
                <c:pt idx="33">
                  <c:v>0.23375384364360208</c:v>
                </c:pt>
                <c:pt idx="34">
                  <c:v>0.240480468901972</c:v>
                </c:pt>
                <c:pt idx="35">
                  <c:v>0.24028113667779985</c:v>
                </c:pt>
                <c:pt idx="36">
                  <c:v>0.23794329858519384</c:v>
                </c:pt>
                <c:pt idx="37">
                  <c:v>0.24330627055621845</c:v>
                </c:pt>
                <c:pt idx="38">
                  <c:v>0.24231170889489223</c:v>
                </c:pt>
                <c:pt idx="39">
                  <c:v>0.25758409356699252</c:v>
                </c:pt>
                <c:pt idx="40">
                  <c:v>0.27287719714006126</c:v>
                </c:pt>
                <c:pt idx="41">
                  <c:v>0.27985125881893663</c:v>
                </c:pt>
                <c:pt idx="42">
                  <c:v>0.28008198108746218</c:v>
                </c:pt>
                <c:pt idx="43">
                  <c:v>0.30881840493475593</c:v>
                </c:pt>
                <c:pt idx="44">
                  <c:v>0.31721751490258948</c:v>
                </c:pt>
                <c:pt idx="45">
                  <c:v>0.32193705611100926</c:v>
                </c:pt>
                <c:pt idx="46">
                  <c:v>0.33142046684589604</c:v>
                </c:pt>
                <c:pt idx="47">
                  <c:v>0.334471076349587</c:v>
                </c:pt>
                <c:pt idx="48">
                  <c:v>0.33610433630692022</c:v>
                </c:pt>
                <c:pt idx="49">
                  <c:v>0.33687270721392787</c:v>
                </c:pt>
                <c:pt idx="50">
                  <c:v>0.33344019830716554</c:v>
                </c:pt>
                <c:pt idx="51">
                  <c:v>0.3478834300553163</c:v>
                </c:pt>
                <c:pt idx="52">
                  <c:v>0.34742485587323674</c:v>
                </c:pt>
                <c:pt idx="53">
                  <c:v>0.34862518660837144</c:v>
                </c:pt>
                <c:pt idx="54">
                  <c:v>0.34755373452875721</c:v>
                </c:pt>
                <c:pt idx="55">
                  <c:v>0.35170863642560424</c:v>
                </c:pt>
                <c:pt idx="56">
                  <c:v>0.35567377399564548</c:v>
                </c:pt>
                <c:pt idx="57">
                  <c:v>0.35323790145555856</c:v>
                </c:pt>
                <c:pt idx="58">
                  <c:v>0.35192667682808026</c:v>
                </c:pt>
                <c:pt idx="59">
                  <c:v>0.34714631806922214</c:v>
                </c:pt>
                <c:pt idx="60">
                  <c:v>0.35216374267601641</c:v>
                </c:pt>
                <c:pt idx="61">
                  <c:v>0.35478236630840698</c:v>
                </c:pt>
                <c:pt idx="62">
                  <c:v>0.3603242808489584</c:v>
                </c:pt>
                <c:pt idx="63">
                  <c:v>0.36644540302672413</c:v>
                </c:pt>
                <c:pt idx="64">
                  <c:v>0.36735293505207328</c:v>
                </c:pt>
                <c:pt idx="65">
                  <c:v>0.3710061847827984</c:v>
                </c:pt>
                <c:pt idx="66">
                  <c:v>0.37349986385177231</c:v>
                </c:pt>
                <c:pt idx="67">
                  <c:v>0.37447690057354399</c:v>
                </c:pt>
                <c:pt idx="68">
                  <c:v>0.36523562095688344</c:v>
                </c:pt>
                <c:pt idx="69">
                  <c:v>0.35598992857196476</c:v>
                </c:pt>
                <c:pt idx="70">
                  <c:v>0.36600195077945241</c:v>
                </c:pt>
                <c:pt idx="71">
                  <c:v>0.35085082165600862</c:v>
                </c:pt>
                <c:pt idx="72">
                  <c:v>0.35967738768992602</c:v>
                </c:pt>
                <c:pt idx="73">
                  <c:v>0.3607171383314362</c:v>
                </c:pt>
                <c:pt idx="74">
                  <c:v>0.3585875101010117</c:v>
                </c:pt>
                <c:pt idx="75">
                  <c:v>0.36533606959544157</c:v>
                </c:pt>
                <c:pt idx="76">
                  <c:v>0.38867650470759907</c:v>
                </c:pt>
                <c:pt idx="77">
                  <c:v>0.36926081998671895</c:v>
                </c:pt>
                <c:pt idx="78">
                  <c:v>0.37873903317350188</c:v>
                </c:pt>
                <c:pt idx="79">
                  <c:v>0.38200318303440378</c:v>
                </c:pt>
                <c:pt idx="80">
                  <c:v>0.38371160490736328</c:v>
                </c:pt>
                <c:pt idx="81">
                  <c:v>0.3879655817833193</c:v>
                </c:pt>
                <c:pt idx="82">
                  <c:v>0.39026206452569517</c:v>
                </c:pt>
                <c:pt idx="83">
                  <c:v>0.39268539260808955</c:v>
                </c:pt>
                <c:pt idx="84">
                  <c:v>0.39590415509985449</c:v>
                </c:pt>
                <c:pt idx="85">
                  <c:v>0.3941639244926366</c:v>
                </c:pt>
                <c:pt idx="86">
                  <c:v>0.39290382967455817</c:v>
                </c:pt>
                <c:pt idx="87">
                  <c:v>0.39928206770895275</c:v>
                </c:pt>
                <c:pt idx="88">
                  <c:v>0.40009961617057072</c:v>
                </c:pt>
                <c:pt idx="89">
                  <c:v>0.40340006885344959</c:v>
                </c:pt>
                <c:pt idx="90">
                  <c:v>0.40023425351069875</c:v>
                </c:pt>
                <c:pt idx="91">
                  <c:v>0.39587965184527873</c:v>
                </c:pt>
                <c:pt idx="92">
                  <c:v>0.39719260654099486</c:v>
                </c:pt>
                <c:pt idx="93">
                  <c:v>0.39875880149579052</c:v>
                </c:pt>
                <c:pt idx="94">
                  <c:v>0.40273699509042837</c:v>
                </c:pt>
                <c:pt idx="95">
                  <c:v>0.40487467643916508</c:v>
                </c:pt>
                <c:pt idx="96">
                  <c:v>0.40755579700822947</c:v>
                </c:pt>
                <c:pt idx="97">
                  <c:v>0.41195461463862076</c:v>
                </c:pt>
                <c:pt idx="98">
                  <c:v>0.41738565711473091</c:v>
                </c:pt>
                <c:pt idx="99">
                  <c:v>0.42155365429477215</c:v>
                </c:pt>
                <c:pt idx="100">
                  <c:v>0.42573037193364632</c:v>
                </c:pt>
                <c:pt idx="101">
                  <c:v>0.43131635199334317</c:v>
                </c:pt>
                <c:pt idx="102">
                  <c:v>0.433558680353409</c:v>
                </c:pt>
                <c:pt idx="103">
                  <c:v>0.4441869873885006</c:v>
                </c:pt>
                <c:pt idx="104">
                  <c:v>0.44578493851721807</c:v>
                </c:pt>
                <c:pt idx="105">
                  <c:v>0.44905050870040053</c:v>
                </c:pt>
                <c:pt idx="106">
                  <c:v>0.45716369062653922</c:v>
                </c:pt>
                <c:pt idx="107">
                  <c:v>0.45984170715009731</c:v>
                </c:pt>
                <c:pt idx="108">
                  <c:v>0.45979852498810292</c:v>
                </c:pt>
                <c:pt idx="109">
                  <c:v>0.46120068684686516</c:v>
                </c:pt>
                <c:pt idx="110">
                  <c:v>0.45559185163917038</c:v>
                </c:pt>
                <c:pt idx="111">
                  <c:v>0.4670091930761362</c:v>
                </c:pt>
                <c:pt idx="112">
                  <c:v>0.46767226303017956</c:v>
                </c:pt>
                <c:pt idx="113">
                  <c:v>0.47046892723538036</c:v>
                </c:pt>
                <c:pt idx="114">
                  <c:v>0.4706101677934163</c:v>
                </c:pt>
                <c:pt idx="115">
                  <c:v>0.46998952703478508</c:v>
                </c:pt>
                <c:pt idx="116">
                  <c:v>0.47101842971852459</c:v>
                </c:pt>
                <c:pt idx="117">
                  <c:v>0.47264100320217023</c:v>
                </c:pt>
                <c:pt idx="118">
                  <c:v>0.47959507675242585</c:v>
                </c:pt>
                <c:pt idx="119">
                  <c:v>0.47699446565126852</c:v>
                </c:pt>
                <c:pt idx="120">
                  <c:v>0.47741848245645024</c:v>
                </c:pt>
                <c:pt idx="121">
                  <c:v>0.47511554463104078</c:v>
                </c:pt>
                <c:pt idx="122">
                  <c:v>0.46850241100211049</c:v>
                </c:pt>
                <c:pt idx="123">
                  <c:v>0.4768414861261403</c:v>
                </c:pt>
                <c:pt idx="124">
                  <c:v>0.4774943338050448</c:v>
                </c:pt>
                <c:pt idx="125">
                  <c:v>0.4766912035508582</c:v>
                </c:pt>
                <c:pt idx="126">
                  <c:v>0.474898823079967</c:v>
                </c:pt>
                <c:pt idx="127">
                  <c:v>0.48248382455810257</c:v>
                </c:pt>
                <c:pt idx="128">
                  <c:v>0.48044101566031117</c:v>
                </c:pt>
                <c:pt idx="129">
                  <c:v>0.4801104404881385</c:v>
                </c:pt>
                <c:pt idx="130">
                  <c:v>0.47661912971359305</c:v>
                </c:pt>
                <c:pt idx="131">
                  <c:v>0.47445905302844843</c:v>
                </c:pt>
                <c:pt idx="132">
                  <c:v>0.47507813751996231</c:v>
                </c:pt>
                <c:pt idx="133">
                  <c:v>0.46894015114739501</c:v>
                </c:pt>
                <c:pt idx="134">
                  <c:v>0.45872423781065191</c:v>
                </c:pt>
                <c:pt idx="135">
                  <c:v>0.4619042682832723</c:v>
                </c:pt>
                <c:pt idx="136">
                  <c:v>0.46152866657085562</c:v>
                </c:pt>
                <c:pt idx="137">
                  <c:v>0.45368617008503048</c:v>
                </c:pt>
                <c:pt idx="138">
                  <c:v>0.45221955102474565</c:v>
                </c:pt>
                <c:pt idx="139">
                  <c:v>0.44711312409255527</c:v>
                </c:pt>
                <c:pt idx="140">
                  <c:v>0.44042251047086084</c:v>
                </c:pt>
                <c:pt idx="141">
                  <c:v>0.44002383938455636</c:v>
                </c:pt>
                <c:pt idx="142">
                  <c:v>0.43457480610791827</c:v>
                </c:pt>
                <c:pt idx="143">
                  <c:v>0.42335694052188427</c:v>
                </c:pt>
                <c:pt idx="144">
                  <c:v>0.42473833303093683</c:v>
                </c:pt>
                <c:pt idx="145">
                  <c:v>0.41807648655471635</c:v>
                </c:pt>
                <c:pt idx="146">
                  <c:v>0.41485931673907367</c:v>
                </c:pt>
                <c:pt idx="147">
                  <c:v>0.42074284217544516</c:v>
                </c:pt>
                <c:pt idx="148">
                  <c:v>0.42207428754317255</c:v>
                </c:pt>
                <c:pt idx="149">
                  <c:v>0.42414468067812972</c:v>
                </c:pt>
                <c:pt idx="150">
                  <c:v>0.42857269069724635</c:v>
                </c:pt>
                <c:pt idx="151">
                  <c:v>0.43482731052304585</c:v>
                </c:pt>
                <c:pt idx="152">
                  <c:v>0.43802665148564668</c:v>
                </c:pt>
                <c:pt idx="153">
                  <c:v>0.44319244375604178</c:v>
                </c:pt>
                <c:pt idx="154">
                  <c:v>0.44413581520515932</c:v>
                </c:pt>
                <c:pt idx="155">
                  <c:v>0.4472365239130876</c:v>
                </c:pt>
                <c:pt idx="156">
                  <c:v>0.4494028234262411</c:v>
                </c:pt>
                <c:pt idx="157">
                  <c:v>0.44983483138848807</c:v>
                </c:pt>
                <c:pt idx="158">
                  <c:v>0.44872924273010101</c:v>
                </c:pt>
                <c:pt idx="159">
                  <c:v>0.4538598027310532</c:v>
                </c:pt>
                <c:pt idx="160">
                  <c:v>0.45528898052687189</c:v>
                </c:pt>
                <c:pt idx="161">
                  <c:v>0.4605774380660328</c:v>
                </c:pt>
                <c:pt idx="162">
                  <c:v>0.46502854366840002</c:v>
                </c:pt>
                <c:pt idx="163">
                  <c:v>0.46631722837538542</c:v>
                </c:pt>
                <c:pt idx="164">
                  <c:v>0.46458951759899764</c:v>
                </c:pt>
                <c:pt idx="165">
                  <c:v>0.46974120917283713</c:v>
                </c:pt>
                <c:pt idx="166">
                  <c:v>0.4715731383065811</c:v>
                </c:pt>
                <c:pt idx="167">
                  <c:v>0.47107565923492989</c:v>
                </c:pt>
                <c:pt idx="168">
                  <c:v>0.47245575465795148</c:v>
                </c:pt>
                <c:pt idx="169">
                  <c:v>0.47415278139284006</c:v>
                </c:pt>
                <c:pt idx="170">
                  <c:v>0.47421486722731238</c:v>
                </c:pt>
                <c:pt idx="171">
                  <c:v>0.48093654213342663</c:v>
                </c:pt>
                <c:pt idx="172">
                  <c:v>0.48127158832436612</c:v>
                </c:pt>
                <c:pt idx="173">
                  <c:v>0.48184001119859343</c:v>
                </c:pt>
                <c:pt idx="174">
                  <c:v>0.48213890211362637</c:v>
                </c:pt>
                <c:pt idx="175">
                  <c:v>0.48343879153032787</c:v>
                </c:pt>
                <c:pt idx="176">
                  <c:v>0.48344334648713783</c:v>
                </c:pt>
                <c:pt idx="177">
                  <c:v>0.48551386493922544</c:v>
                </c:pt>
                <c:pt idx="178">
                  <c:v>0.4858988856607992</c:v>
                </c:pt>
                <c:pt idx="179">
                  <c:v>0.48299282070931737</c:v>
                </c:pt>
                <c:pt idx="180">
                  <c:v>0.48473223599456372</c:v>
                </c:pt>
                <c:pt idx="181">
                  <c:v>0.48219970955404456</c:v>
                </c:pt>
                <c:pt idx="182">
                  <c:v>0.47685909850929359</c:v>
                </c:pt>
                <c:pt idx="183">
                  <c:v>0.48332802492240129</c:v>
                </c:pt>
                <c:pt idx="184">
                  <c:v>0.48639035593877156</c:v>
                </c:pt>
                <c:pt idx="185">
                  <c:v>0.48179446103001633</c:v>
                </c:pt>
                <c:pt idx="186">
                  <c:v>0.48005899995445228</c:v>
                </c:pt>
                <c:pt idx="187">
                  <c:v>0.47762962891248623</c:v>
                </c:pt>
                <c:pt idx="188">
                  <c:v>0.47705183022723602</c:v>
                </c:pt>
                <c:pt idx="189">
                  <c:v>0.47912267565073308</c:v>
                </c:pt>
                <c:pt idx="190">
                  <c:v>0.48049226255901406</c:v>
                </c:pt>
                <c:pt idx="191">
                  <c:v>0.47687495035981553</c:v>
                </c:pt>
                <c:pt idx="192">
                  <c:v>0.47648067518678383</c:v>
                </c:pt>
                <c:pt idx="193">
                  <c:v>0.47530953943373305</c:v>
                </c:pt>
                <c:pt idx="194">
                  <c:v>0.47042784583109426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A-47D1-817B-43B3B1555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8920864"/>
        <c:axId val="252368272"/>
      </c:barChart>
      <c:catAx>
        <c:axId val="23892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368272"/>
        <c:crosses val="autoZero"/>
        <c:auto val="1"/>
        <c:lblAlgn val="ctr"/>
        <c:lblOffset val="100"/>
        <c:noMultiLvlLbl val="0"/>
      </c:catAx>
      <c:valAx>
        <c:axId val="25236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92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2634076990376198E-2"/>
                  <c:y val="0.411620370370370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Aptos Display" panose="020B0004020202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APENDICE_BCB!$Y$130:$Y$198</c:f>
              <c:numCache>
                <c:formatCode>0.00%</c:formatCode>
                <c:ptCount val="69"/>
                <c:pt idx="0">
                  <c:v>2.0527459052338992E-2</c:v>
                </c:pt>
                <c:pt idx="1">
                  <c:v>8.9065494453239857E-3</c:v>
                </c:pt>
                <c:pt idx="2">
                  <c:v>1.2104661484186874E-2</c:v>
                </c:pt>
                <c:pt idx="3">
                  <c:v>1.7852395472602867E-2</c:v>
                </c:pt>
                <c:pt idx="4">
                  <c:v>2.5764369961901235E-2</c:v>
                </c:pt>
                <c:pt idx="5">
                  <c:v>1.8013705011626913E-2</c:v>
                </c:pt>
                <c:pt idx="6">
                  <c:v>2.3739190223054374E-2</c:v>
                </c:pt>
                <c:pt idx="7">
                  <c:v>3.094890877456713E-2</c:v>
                </c:pt>
                <c:pt idx="8">
                  <c:v>2.468366889557605E-2</c:v>
                </c:pt>
                <c:pt idx="9">
                  <c:v>1.4886979852215321E-2</c:v>
                </c:pt>
                <c:pt idx="10">
                  <c:v>1.2791890531647754E-2</c:v>
                </c:pt>
                <c:pt idx="11">
                  <c:v>3.0822766768132448E-2</c:v>
                </c:pt>
                <c:pt idx="12">
                  <c:v>2.0235967551025302E-2</c:v>
                </c:pt>
                <c:pt idx="13">
                  <c:v>2.3843031625274236E-2</c:v>
                </c:pt>
                <c:pt idx="14">
                  <c:v>1.9431764184277833E-2</c:v>
                </c:pt>
                <c:pt idx="15">
                  <c:v>1.2418937310333611E-2</c:v>
                </c:pt>
                <c:pt idx="16">
                  <c:v>1.8772741501146495E-2</c:v>
                </c:pt>
                <c:pt idx="17">
                  <c:v>3.5958279684149108E-2</c:v>
                </c:pt>
                <c:pt idx="18">
                  <c:v>3.5220524986524504E-2</c:v>
                </c:pt>
                <c:pt idx="19">
                  <c:v>2.039398555132399E-2</c:v>
                </c:pt>
                <c:pt idx="20">
                  <c:v>7.6943755845106931E-3</c:v>
                </c:pt>
                <c:pt idx="21">
                  <c:v>-3.2242988267171535E-3</c:v>
                </c:pt>
                <c:pt idx="22">
                  <c:v>7.152600566019407E-3</c:v>
                </c:pt>
                <c:pt idx="23">
                  <c:v>1.013095185478452E-2</c:v>
                </c:pt>
                <c:pt idx="24">
                  <c:v>5.2930839118450201E-3</c:v>
                </c:pt>
                <c:pt idx="25">
                  <c:v>3.0207961432349162E-3</c:v>
                </c:pt>
                <c:pt idx="26">
                  <c:v>1.1275975706384944E-2</c:v>
                </c:pt>
                <c:pt idx="27">
                  <c:v>2.6363623471378439E-2</c:v>
                </c:pt>
                <c:pt idx="28">
                  <c:v>1.8382431075153249E-2</c:v>
                </c:pt>
                <c:pt idx="29">
                  <c:v>1.5097283252905047E-2</c:v>
                </c:pt>
                <c:pt idx="30">
                  <c:v>1.6336315547250013E-2</c:v>
                </c:pt>
                <c:pt idx="31">
                  <c:v>1.503675051058706E-2</c:v>
                </c:pt>
                <c:pt idx="32">
                  <c:v>1.8076619291960361E-2</c:v>
                </c:pt>
                <c:pt idx="33">
                  <c:v>1.1774719803643086E-2</c:v>
                </c:pt>
                <c:pt idx="34">
                  <c:v>1.3124906585413987E-2</c:v>
                </c:pt>
                <c:pt idx="35">
                  <c:v>1.6000467118507666E-2</c:v>
                </c:pt>
                <c:pt idx="36">
                  <c:v>1.2178957786943112E-2</c:v>
                </c:pt>
                <c:pt idx="37">
                  <c:v>2.3803056582275328E-2</c:v>
                </c:pt>
                <c:pt idx="38">
                  <c:v>2.4098164159018332E-2</c:v>
                </c:pt>
                <c:pt idx="39">
                  <c:v>1.4633732860523718E-2</c:v>
                </c:pt>
                <c:pt idx="40">
                  <c:v>2.4315821302730134E-2</c:v>
                </c:pt>
                <c:pt idx="41">
                  <c:v>2.2673761760216404E-2</c:v>
                </c:pt>
                <c:pt idx="42">
                  <c:v>2.1399006178438151E-2</c:v>
                </c:pt>
                <c:pt idx="43">
                  <c:v>2.2777620634337303E-2</c:v>
                </c:pt>
                <c:pt idx="44">
                  <c:v>1.3878504048511431E-2</c:v>
                </c:pt>
                <c:pt idx="45">
                  <c:v>1.0367810151156398E-2</c:v>
                </c:pt>
                <c:pt idx="46">
                  <c:v>1.7055302739326539E-2</c:v>
                </c:pt>
                <c:pt idx="47">
                  <c:v>1.1639278603286618E-2</c:v>
                </c:pt>
                <c:pt idx="48">
                  <c:v>1.5363880053195667E-2</c:v>
                </c:pt>
                <c:pt idx="49">
                  <c:v>1.7641575886074623E-2</c:v>
                </c:pt>
                <c:pt idx="50">
                  <c:v>1.8916066502905338E-2</c:v>
                </c:pt>
                <c:pt idx="51">
                  <c:v>1.0590054883032884E-2</c:v>
                </c:pt>
                <c:pt idx="52">
                  <c:v>2.0865739134910521E-2</c:v>
                </c:pt>
                <c:pt idx="53">
                  <c:v>2.5081529738664399E-2</c:v>
                </c:pt>
                <c:pt idx="54">
                  <c:v>7.9052148106637521E-3</c:v>
                </c:pt>
                <c:pt idx="55">
                  <c:v>2.1659853768896786E-2</c:v>
                </c:pt>
                <c:pt idx="56">
                  <c:v>1.9294965256071883E-2</c:v>
                </c:pt>
                <c:pt idx="57">
                  <c:v>2.9756022352949163E-3</c:v>
                </c:pt>
                <c:pt idx="58">
                  <c:v>6.5573874033497681E-3</c:v>
                </c:pt>
                <c:pt idx="59">
                  <c:v>1.706280673087357E-2</c:v>
                </c:pt>
                <c:pt idx="60">
                  <c:v>1.4309513679022112E-2</c:v>
                </c:pt>
                <c:pt idx="61">
                  <c:v>1.7088004842048532E-2</c:v>
                </c:pt>
                <c:pt idx="62">
                  <c:v>1.6234491094463177E-2</c:v>
                </c:pt>
                <c:pt idx="63">
                  <c:v>8.2649329355786172E-3</c:v>
                </c:pt>
                <c:pt idx="64">
                  <c:v>1.3554302014425978E-2</c:v>
                </c:pt>
                <c:pt idx="65">
                  <c:v>1.1607119774146746E-2</c:v>
                </c:pt>
                <c:pt idx="66">
                  <c:v>1.3555346535032431E-2</c:v>
                </c:pt>
                <c:pt idx="67">
                  <c:v>1.4092826280425186E-2</c:v>
                </c:pt>
                <c:pt idx="68">
                  <c:v>1.8099072129295291E-2</c:v>
                </c:pt>
              </c:numCache>
            </c:numRef>
          </c:xVal>
          <c:yVal>
            <c:numRef>
              <c:f>APENDICE_BCB!$Z$130:$Z$198</c:f>
              <c:numCache>
                <c:formatCode>0.00%</c:formatCode>
                <c:ptCount val="69"/>
                <c:pt idx="0">
                  <c:v>2.5624612220323195E-2</c:v>
                </c:pt>
                <c:pt idx="1">
                  <c:v>1.4381855201768046E-2</c:v>
                </c:pt>
                <c:pt idx="2">
                  <c:v>1.5577463048441986E-2</c:v>
                </c:pt>
                <c:pt idx="3">
                  <c:v>2.3529835329638704E-2</c:v>
                </c:pt>
                <c:pt idx="4">
                  <c:v>3.0792985792797767E-2</c:v>
                </c:pt>
                <c:pt idx="5">
                  <c:v>1.8453145813035032E-2</c:v>
                </c:pt>
                <c:pt idx="6">
                  <c:v>2.7181661679241076E-2</c:v>
                </c:pt>
                <c:pt idx="7">
                  <c:v>3.3494706626053361E-2</c:v>
                </c:pt>
                <c:pt idx="8">
                  <c:v>2.7325443452102416E-2</c:v>
                </c:pt>
                <c:pt idx="9">
                  <c:v>1.0056985701133891E-2</c:v>
                </c:pt>
                <c:pt idx="10">
                  <c:v>1.4714489193571767E-2</c:v>
                </c:pt>
                <c:pt idx="11">
                  <c:v>3.5305439183497045E-2</c:v>
                </c:pt>
                <c:pt idx="12">
                  <c:v>2.5207692899054335E-2</c:v>
                </c:pt>
                <c:pt idx="13">
                  <c:v>2.6334984666654293E-2</c:v>
                </c:pt>
                <c:pt idx="14">
                  <c:v>2.1770793698387525E-2</c:v>
                </c:pt>
                <c:pt idx="15">
                  <c:v>1.6284790677848937E-2</c:v>
                </c:pt>
                <c:pt idx="16">
                  <c:v>2.2924625971678658E-2</c:v>
                </c:pt>
                <c:pt idx="17">
                  <c:v>3.6830356145881371E-2</c:v>
                </c:pt>
                <c:pt idx="18">
                  <c:v>2.7902440537371342E-2</c:v>
                </c:pt>
                <c:pt idx="19">
                  <c:v>1.9031526151375378E-2</c:v>
                </c:pt>
                <c:pt idx="20">
                  <c:v>1.4977228591709579E-2</c:v>
                </c:pt>
                <c:pt idx="21">
                  <c:v>1.0162173376078165E-3</c:v>
                </c:pt>
                <c:pt idx="22">
                  <c:v>-3.3758567147168517E-4</c:v>
                </c:pt>
                <c:pt idx="23">
                  <c:v>1.0914906970623361E-2</c:v>
                </c:pt>
                <c:pt idx="24">
                  <c:v>5.0156091910378287E-3</c:v>
                </c:pt>
                <c:pt idx="25">
                  <c:v>9.8464486467011447E-3</c:v>
                </c:pt>
                <c:pt idx="26">
                  <c:v>1.2633029630196857E-2</c:v>
                </c:pt>
                <c:pt idx="27">
                  <c:v>2.386115445833803E-2</c:v>
                </c:pt>
                <c:pt idx="28">
                  <c:v>1.5063180701831769E-2</c:v>
                </c:pt>
                <c:pt idx="29">
                  <c:v>1.4843398433984412E-2</c:v>
                </c:pt>
                <c:pt idx="30">
                  <c:v>1.4139268692664464E-2</c:v>
                </c:pt>
                <c:pt idx="31">
                  <c:v>1.5065844751986246E-2</c:v>
                </c:pt>
                <c:pt idx="32">
                  <c:v>1.9813815180660388E-2</c:v>
                </c:pt>
                <c:pt idx="33">
                  <c:v>7.0629264295509753E-3</c:v>
                </c:pt>
                <c:pt idx="34">
                  <c:v>7.6683846551219847E-3</c:v>
                </c:pt>
                <c:pt idx="35">
                  <c:v>1.1496206432242584E-2</c:v>
                </c:pt>
                <c:pt idx="36">
                  <c:v>1.1123448399311231E-2</c:v>
                </c:pt>
                <c:pt idx="37">
                  <c:v>2.1167190075357389E-2</c:v>
                </c:pt>
                <c:pt idx="38">
                  <c:v>2.0529160414661574E-2</c:v>
                </c:pt>
                <c:pt idx="39">
                  <c:v>1.2922865042462206E-2</c:v>
                </c:pt>
                <c:pt idx="40">
                  <c:v>2.1575822844104531E-2</c:v>
                </c:pt>
                <c:pt idx="41">
                  <c:v>1.9928207379657392E-2</c:v>
                </c:pt>
                <c:pt idx="42">
                  <c:v>1.8669289687580859E-2</c:v>
                </c:pt>
                <c:pt idx="43">
                  <c:v>2.0522298831647356E-2</c:v>
                </c:pt>
                <c:pt idx="44">
                  <c:v>1.6014597985895662E-2</c:v>
                </c:pt>
                <c:pt idx="45">
                  <c:v>3.5049757460114961E-3</c:v>
                </c:pt>
                <c:pt idx="46">
                  <c:v>1.3264010063355647E-2</c:v>
                </c:pt>
                <c:pt idx="47">
                  <c:v>1.0434060595759576E-2</c:v>
                </c:pt>
                <c:pt idx="48">
                  <c:v>1.3529740367419274E-2</c:v>
                </c:pt>
                <c:pt idx="49">
                  <c:v>1.6058990057118416E-2</c:v>
                </c:pt>
                <c:pt idx="50">
                  <c:v>1.5467450422928186E-2</c:v>
                </c:pt>
                <c:pt idx="51">
                  <c:v>1.1651179763465747E-2</c:v>
                </c:pt>
                <c:pt idx="52">
                  <c:v>1.7789027378106059E-2</c:v>
                </c:pt>
                <c:pt idx="53">
                  <c:v>2.1675050522163453E-2</c:v>
                </c:pt>
                <c:pt idx="54">
                  <c:v>7.6852701829390746E-3</c:v>
                </c:pt>
                <c:pt idx="55">
                  <c:v>1.9457024245152166E-2</c:v>
                </c:pt>
                <c:pt idx="56">
                  <c:v>2.2800325050839509E-2</c:v>
                </c:pt>
                <c:pt idx="57">
                  <c:v>-3.775898459796867E-4</c:v>
                </c:pt>
                <c:pt idx="58">
                  <c:v>3.8638884312052202E-3</c:v>
                </c:pt>
                <c:pt idx="59">
                  <c:v>1.855474730786888E-2</c:v>
                </c:pt>
                <c:pt idx="60">
                  <c:v>1.3311770772403975E-2</c:v>
                </c:pt>
                <c:pt idx="61">
                  <c:v>1.6840043558630002E-2</c:v>
                </c:pt>
                <c:pt idx="62">
                  <c:v>1.5440736748393302E-2</c:v>
                </c:pt>
                <c:pt idx="63">
                  <c:v>8.1613287628912179E-3</c:v>
                </c:pt>
                <c:pt idx="64">
                  <c:v>1.2302497893189157E-2</c:v>
                </c:pt>
                <c:pt idx="65">
                  <c:v>1.1085353800634801E-2</c:v>
                </c:pt>
                <c:pt idx="66">
                  <c:v>1.4173476725504397E-2</c:v>
                </c:pt>
                <c:pt idx="67">
                  <c:v>1.5180429875683465E-2</c:v>
                </c:pt>
                <c:pt idx="68">
                  <c:v>2.4881417631070324E-2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4-406F-B94B-3A68D717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401472"/>
        <c:axId val="240161648"/>
      </c:scatterChart>
      <c:valAx>
        <c:axId val="158940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pt-BR"/>
                  <a:t>Série Descontinuada (Var. Mensal 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40161648"/>
        <c:crosses val="autoZero"/>
        <c:crossBetween val="midCat"/>
      </c:valAx>
      <c:valAx>
        <c:axId val="24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pt-BR"/>
                  <a:t>Série Atual  (Var. Mensal 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58940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42726921123052"/>
          <c:y val="4.8959027777777775E-2"/>
          <c:w val="0.86474593713301684"/>
          <c:h val="0.66404305555555554"/>
        </c:manualLayout>
      </c:layout>
      <c:lineChart>
        <c:grouping val="standard"/>
        <c:varyColors val="0"/>
        <c:ser>
          <c:idx val="0"/>
          <c:order val="0"/>
          <c:tx>
            <c:strRef>
              <c:f>APENDICE_BCB!$S$1:$S$2</c:f>
              <c:strCache>
                <c:ptCount val="2"/>
                <c:pt idx="0">
                  <c:v>Série Descontinuada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APENDICE_BCB!$S$4:$S$331</c:f>
              <c:numCache>
                <c:formatCode>_(* #,##0.00_);_(* \(#,##0.00\);_(* "-"??_);_(@_)</c:formatCode>
                <c:ptCount val="328"/>
                <c:pt idx="44">
                  <c:v>91528.937999999995</c:v>
                </c:pt>
                <c:pt idx="45">
                  <c:v>93005.576000000001</c:v>
                </c:pt>
                <c:pt idx="46">
                  <c:v>94712.293999999994</c:v>
                </c:pt>
                <c:pt idx="47">
                  <c:v>95511.362999999998</c:v>
                </c:pt>
                <c:pt idx="48">
                  <c:v>96641.758000000002</c:v>
                </c:pt>
                <c:pt idx="49">
                  <c:v>97741.59</c:v>
                </c:pt>
                <c:pt idx="50">
                  <c:v>98465.627000000008</c:v>
                </c:pt>
                <c:pt idx="51">
                  <c:v>99642.236000000004</c:v>
                </c:pt>
                <c:pt idx="52">
                  <c:v>101478.73699999999</c:v>
                </c:pt>
                <c:pt idx="53">
                  <c:v>104573.75099999999</c:v>
                </c:pt>
                <c:pt idx="54">
                  <c:v>106500.255</c:v>
                </c:pt>
                <c:pt idx="55">
                  <c:v>108976.88</c:v>
                </c:pt>
                <c:pt idx="56">
                  <c:v>103378.519</c:v>
                </c:pt>
                <c:pt idx="57">
                  <c:v>104839.00599999999</c:v>
                </c:pt>
                <c:pt idx="58">
                  <c:v>106872.685</c:v>
                </c:pt>
                <c:pt idx="59">
                  <c:v>109207.743</c:v>
                </c:pt>
                <c:pt idx="60">
                  <c:v>111720.685</c:v>
                </c:pt>
                <c:pt idx="61">
                  <c:v>112370.084</c:v>
                </c:pt>
                <c:pt idx="62">
                  <c:v>111684.951</c:v>
                </c:pt>
                <c:pt idx="63">
                  <c:v>114073.194</c:v>
                </c:pt>
                <c:pt idx="64">
                  <c:v>115164.014</c:v>
                </c:pt>
                <c:pt idx="65">
                  <c:v>116044.811</c:v>
                </c:pt>
                <c:pt idx="66">
                  <c:v>117590.045</c:v>
                </c:pt>
                <c:pt idx="67">
                  <c:v>119104.973</c:v>
                </c:pt>
                <c:pt idx="68">
                  <c:v>119216.97</c:v>
                </c:pt>
                <c:pt idx="69">
                  <c:v>117981.83900000001</c:v>
                </c:pt>
                <c:pt idx="70">
                  <c:v>118463.43700000001</c:v>
                </c:pt>
                <c:pt idx="71">
                  <c:v>120675.808</c:v>
                </c:pt>
                <c:pt idx="72">
                  <c:v>122088.095</c:v>
                </c:pt>
                <c:pt idx="73">
                  <c:v>123201.033</c:v>
                </c:pt>
                <c:pt idx="74">
                  <c:v>123618.82</c:v>
                </c:pt>
                <c:pt idx="75">
                  <c:v>126364.454</c:v>
                </c:pt>
                <c:pt idx="76">
                  <c:v>128489.499</c:v>
                </c:pt>
                <c:pt idx="77">
                  <c:v>129392.28599999999</c:v>
                </c:pt>
                <c:pt idx="78">
                  <c:v>131777.421</c:v>
                </c:pt>
                <c:pt idx="79">
                  <c:v>133382.78100000002</c:v>
                </c:pt>
                <c:pt idx="80">
                  <c:v>135278.39600000001</c:v>
                </c:pt>
                <c:pt idx="81">
                  <c:v>135033.774</c:v>
                </c:pt>
                <c:pt idx="82">
                  <c:v>136792.179</c:v>
                </c:pt>
                <c:pt idx="83">
                  <c:v>140059.32199999999</c:v>
                </c:pt>
                <c:pt idx="84">
                  <c:v>143211.19500000001</c:v>
                </c:pt>
                <c:pt idx="85">
                  <c:v>145068.52799999999</c:v>
                </c:pt>
                <c:pt idx="86">
                  <c:v>146347.60700000002</c:v>
                </c:pt>
                <c:pt idx="87">
                  <c:v>147260.56</c:v>
                </c:pt>
                <c:pt idx="88">
                  <c:v>148957.47999999998</c:v>
                </c:pt>
                <c:pt idx="89">
                  <c:v>151208.4</c:v>
                </c:pt>
                <c:pt idx="90">
                  <c:v>154141.62</c:v>
                </c:pt>
                <c:pt idx="91">
                  <c:v>157154.277</c:v>
                </c:pt>
                <c:pt idx="92">
                  <c:v>159965.66899999999</c:v>
                </c:pt>
                <c:pt idx="93">
                  <c:v>160169.155</c:v>
                </c:pt>
                <c:pt idx="94">
                  <c:v>163789.71400000001</c:v>
                </c:pt>
                <c:pt idx="95">
                  <c:v>168067.97500000001</c:v>
                </c:pt>
                <c:pt idx="96">
                  <c:v>173054.69899999999</c:v>
                </c:pt>
                <c:pt idx="97">
                  <c:v>176436.63199999998</c:v>
                </c:pt>
                <c:pt idx="98">
                  <c:v>178678.174</c:v>
                </c:pt>
                <c:pt idx="99">
                  <c:v>182249.88400000002</c:v>
                </c:pt>
                <c:pt idx="100">
                  <c:v>186335.28700000001</c:v>
                </c:pt>
                <c:pt idx="101">
                  <c:v>190990.90899999999</c:v>
                </c:pt>
                <c:pt idx="102">
                  <c:v>196106.51300000001</c:v>
                </c:pt>
                <c:pt idx="103">
                  <c:v>200645.22899999999</c:v>
                </c:pt>
                <c:pt idx="104">
                  <c:v>203469.86799999999</c:v>
                </c:pt>
                <c:pt idx="105">
                  <c:v>205883.37899999999</c:v>
                </c:pt>
                <c:pt idx="106">
                  <c:v>210527.71799999999</c:v>
                </c:pt>
                <c:pt idx="107">
                  <c:v>215549.986</c:v>
                </c:pt>
                <c:pt idx="108">
                  <c:v>221091.68900000001</c:v>
                </c:pt>
                <c:pt idx="109">
                  <c:v>226902.522</c:v>
                </c:pt>
                <c:pt idx="110">
                  <c:v>228427.32399999999</c:v>
                </c:pt>
                <c:pt idx="111">
                  <c:v>234494.329</c:v>
                </c:pt>
                <c:pt idx="112">
                  <c:v>238053.30600000001</c:v>
                </c:pt>
                <c:pt idx="113">
                  <c:v>243607.921</c:v>
                </c:pt>
                <c:pt idx="114">
                  <c:v>248588.72399999999</c:v>
                </c:pt>
                <c:pt idx="115">
                  <c:v>253687.587</c:v>
                </c:pt>
                <c:pt idx="116">
                  <c:v>256607.486</c:v>
                </c:pt>
                <c:pt idx="117">
                  <c:v>259732.33199999999</c:v>
                </c:pt>
                <c:pt idx="118">
                  <c:v>264455.81799999997</c:v>
                </c:pt>
                <c:pt idx="119">
                  <c:v>269079.37599999999</c:v>
                </c:pt>
                <c:pt idx="120">
                  <c:v>274191.50599999999</c:v>
                </c:pt>
                <c:pt idx="121">
                  <c:v>279257.67000000004</c:v>
                </c:pt>
                <c:pt idx="122">
                  <c:v>280691.70400000003</c:v>
                </c:pt>
                <c:pt idx="123">
                  <c:v>286236.35399999999</c:v>
                </c:pt>
                <c:pt idx="124">
                  <c:v>291236.96499999997</c:v>
                </c:pt>
                <c:pt idx="125">
                  <c:v>296517</c:v>
                </c:pt>
                <c:pt idx="126">
                  <c:v>302696.70900000003</c:v>
                </c:pt>
                <c:pt idx="127">
                  <c:v>310523.886</c:v>
                </c:pt>
                <c:pt idx="128">
                  <c:v>313673.26500000001</c:v>
                </c:pt>
                <c:pt idx="129">
                  <c:v>317849.46499999997</c:v>
                </c:pt>
                <c:pt idx="130">
                  <c:v>323654.57799999998</c:v>
                </c:pt>
                <c:pt idx="131">
                  <c:v>329499.13300000003</c:v>
                </c:pt>
                <c:pt idx="132">
                  <c:v>337680.86</c:v>
                </c:pt>
                <c:pt idx="133">
                  <c:v>344745.50699999998</c:v>
                </c:pt>
                <c:pt idx="134">
                  <c:v>348099.44</c:v>
                </c:pt>
                <c:pt idx="135">
                  <c:v>355043.85600000003</c:v>
                </c:pt>
                <c:pt idx="136">
                  <c:v>360103.93799999997</c:v>
                </c:pt>
                <c:pt idx="137">
                  <c:v>366146.35600000003</c:v>
                </c:pt>
                <c:pt idx="138">
                  <c:v>373393.54599999997</c:v>
                </c:pt>
                <c:pt idx="139">
                  <c:v>380467.38800000004</c:v>
                </c:pt>
                <c:pt idx="140">
                  <c:v>385100.87900000002</c:v>
                </c:pt>
                <c:pt idx="141">
                  <c:v>389757.20199999999</c:v>
                </c:pt>
                <c:pt idx="142">
                  <c:v>394561.576</c:v>
                </c:pt>
                <c:pt idx="143">
                  <c:v>401301.353</c:v>
                </c:pt>
                <c:pt idx="144">
                  <c:v>414410.93900000001</c:v>
                </c:pt>
                <c:pt idx="145">
                  <c:v>416349.78200000001</c:v>
                </c:pt>
                <c:pt idx="146">
                  <c:v>415595.84</c:v>
                </c:pt>
                <c:pt idx="147">
                  <c:v>418449.17800000001</c:v>
                </c:pt>
                <c:pt idx="148">
                  <c:v>422195.95299999998</c:v>
                </c:pt>
                <c:pt idx="149">
                  <c:v>426945.00099999999</c:v>
                </c:pt>
                <c:pt idx="150">
                  <c:v>433029.73599999998</c:v>
                </c:pt>
                <c:pt idx="151">
                  <c:v>440341.28899999999</c:v>
                </c:pt>
                <c:pt idx="152">
                  <c:v>446021.04100000003</c:v>
                </c:pt>
                <c:pt idx="153">
                  <c:v>451789.489</c:v>
                </c:pt>
                <c:pt idx="154">
                  <c:v>461392.27500000002</c:v>
                </c:pt>
                <c:pt idx="155">
                  <c:v>471058.95699999999</c:v>
                </c:pt>
                <c:pt idx="156">
                  <c:v>481267.592</c:v>
                </c:pt>
                <c:pt idx="157">
                  <c:v>487134.85700000002</c:v>
                </c:pt>
                <c:pt idx="158">
                  <c:v>489857.51799999998</c:v>
                </c:pt>
                <c:pt idx="159">
                  <c:v>499288.34</c:v>
                </c:pt>
                <c:pt idx="160">
                  <c:v>508389.98599999998</c:v>
                </c:pt>
                <c:pt idx="161">
                  <c:v>521370.18199999997</c:v>
                </c:pt>
                <c:pt idx="162">
                  <c:v>532565.95799999998</c:v>
                </c:pt>
                <c:pt idx="163">
                  <c:v>545689.75900000008</c:v>
                </c:pt>
                <c:pt idx="164">
                  <c:v>554747.39800000004</c:v>
                </c:pt>
                <c:pt idx="165">
                  <c:v>565479.35199999996</c:v>
                </c:pt>
                <c:pt idx="166">
                  <c:v>579035.38400000008</c:v>
                </c:pt>
                <c:pt idx="167">
                  <c:v>594968.201</c:v>
                </c:pt>
                <c:pt idx="168">
                  <c:v>608995.82499999995</c:v>
                </c:pt>
                <c:pt idx="169">
                  <c:v>624854.29200000002</c:v>
                </c:pt>
                <c:pt idx="170">
                  <c:v>635554.56700000004</c:v>
                </c:pt>
                <c:pt idx="171">
                  <c:v>649397.53899999999</c:v>
                </c:pt>
                <c:pt idx="172">
                  <c:v>662079.50300000003</c:v>
                </c:pt>
                <c:pt idx="173">
                  <c:v>673756.04200000002</c:v>
                </c:pt>
                <c:pt idx="174">
                  <c:v>687907.78200000001</c:v>
                </c:pt>
                <c:pt idx="175">
                  <c:v>704053.46100000001</c:v>
                </c:pt>
                <c:pt idx="176">
                  <c:v>721747.45799999998</c:v>
                </c:pt>
                <c:pt idx="177">
                  <c:v>729099.25900000008</c:v>
                </c:pt>
                <c:pt idx="178">
                  <c:v>747725.53300000005</c:v>
                </c:pt>
                <c:pt idx="179">
                  <c:v>761926.94299999997</c:v>
                </c:pt>
                <c:pt idx="180">
                  <c:v>773565.36300000001</c:v>
                </c:pt>
                <c:pt idx="181">
                  <c:v>786593.174</c:v>
                </c:pt>
                <c:pt idx="182">
                  <c:v>795010.47</c:v>
                </c:pt>
                <c:pt idx="183">
                  <c:v>809410.03300000005</c:v>
                </c:pt>
                <c:pt idx="184">
                  <c:v>820233.59600000002</c:v>
                </c:pt>
                <c:pt idx="185">
                  <c:v>831095.87199999997</c:v>
                </c:pt>
                <c:pt idx="186">
                  <c:v>842057.11800000002</c:v>
                </c:pt>
                <c:pt idx="187">
                  <c:v>854944.60900000005</c:v>
                </c:pt>
                <c:pt idx="188">
                  <c:v>872174.98100000003</c:v>
                </c:pt>
                <c:pt idx="189">
                  <c:v>880306.125</c:v>
                </c:pt>
                <c:pt idx="190">
                  <c:v>900729.47699999996</c:v>
                </c:pt>
                <c:pt idx="191">
                  <c:v>910123.1</c:v>
                </c:pt>
                <c:pt idx="192">
                  <c:v>924988.70799999998</c:v>
                </c:pt>
                <c:pt idx="193">
                  <c:v>937578.93599999999</c:v>
                </c:pt>
                <c:pt idx="194">
                  <c:v>950840.58100000001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7-41A9-B7EC-048BD770012C}"/>
            </c:ext>
          </c:extLst>
        </c:ser>
        <c:ser>
          <c:idx val="1"/>
          <c:order val="1"/>
          <c:tx>
            <c:strRef>
              <c:f>APENDICE_BCB!$T$1:$T$2</c:f>
              <c:strCache>
                <c:ptCount val="2"/>
                <c:pt idx="0">
                  <c:v>Série Atual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APENDICE_BCB!$T$4:$T$331</c:f>
              <c:numCache>
                <c:formatCode>_(* #,##0.00_);_(* \(#,##0.00\);_(* "-"??_);_(@_)</c:formatCode>
                <c:ptCount val="328"/>
                <c:pt idx="125">
                  <c:v>348401</c:v>
                </c:pt>
                <c:pt idx="126">
                  <c:v>357051</c:v>
                </c:pt>
                <c:pt idx="127">
                  <c:v>367297</c:v>
                </c:pt>
                <c:pt idx="128">
                  <c:v>374977</c:v>
                </c:pt>
                <c:pt idx="129">
                  <c:v>385389</c:v>
                </c:pt>
                <c:pt idx="130">
                  <c:v>392862</c:v>
                </c:pt>
                <c:pt idx="131">
                  <c:v>401404</c:v>
                </c:pt>
                <c:pt idx="132">
                  <c:v>413782</c:v>
                </c:pt>
                <c:pt idx="133">
                  <c:v>423966</c:v>
                </c:pt>
                <c:pt idx="134">
                  <c:v>431865</c:v>
                </c:pt>
                <c:pt idx="135">
                  <c:v>439853</c:v>
                </c:pt>
                <c:pt idx="136">
                  <c:v>445183</c:v>
                </c:pt>
                <c:pt idx="137">
                  <c:v>456735</c:v>
                </c:pt>
                <c:pt idx="138">
                  <c:v>469437</c:v>
                </c:pt>
                <c:pt idx="139">
                  <c:v>481066</c:v>
                </c:pt>
                <c:pt idx="140">
                  <c:v>489499</c:v>
                </c:pt>
                <c:pt idx="141">
                  <c:v>495983</c:v>
                </c:pt>
                <c:pt idx="142">
                  <c:v>503961</c:v>
                </c:pt>
                <c:pt idx="143">
                  <c:v>514203</c:v>
                </c:pt>
                <c:pt idx="144">
                  <c:v>524889</c:v>
                </c:pt>
                <c:pt idx="145">
                  <c:v>527421</c:v>
                </c:pt>
                <c:pt idx="146">
                  <c:v>534212</c:v>
                </c:pt>
                <c:pt idx="147">
                  <c:v>537046</c:v>
                </c:pt>
                <c:pt idx="148">
                  <c:v>536225</c:v>
                </c:pt>
                <c:pt idx="149">
                  <c:v>542887</c:v>
                </c:pt>
                <c:pt idx="150">
                  <c:v>551333</c:v>
                </c:pt>
                <c:pt idx="151">
                  <c:v>563782</c:v>
                </c:pt>
                <c:pt idx="152">
                  <c:v>573227</c:v>
                </c:pt>
                <c:pt idx="153">
                  <c:v>579386</c:v>
                </c:pt>
                <c:pt idx="154">
                  <c:v>588538</c:v>
                </c:pt>
                <c:pt idx="155">
                  <c:v>600032</c:v>
                </c:pt>
                <c:pt idx="156">
                  <c:v>608549</c:v>
                </c:pt>
                <c:pt idx="157">
                  <c:v>615678</c:v>
                </c:pt>
                <c:pt idx="158">
                  <c:v>626555</c:v>
                </c:pt>
                <c:pt idx="159">
                  <c:v>635960</c:v>
                </c:pt>
                <c:pt idx="160">
                  <c:v>642200</c:v>
                </c:pt>
                <c:pt idx="161">
                  <c:v>654170</c:v>
                </c:pt>
                <c:pt idx="162">
                  <c:v>664049</c:v>
                </c:pt>
                <c:pt idx="163">
                  <c:v>677816</c:v>
                </c:pt>
                <c:pt idx="164">
                  <c:v>685682</c:v>
                </c:pt>
                <c:pt idx="165">
                  <c:v>700012</c:v>
                </c:pt>
                <c:pt idx="166">
                  <c:v>713614</c:v>
                </c:pt>
                <c:pt idx="167">
                  <c:v>727421</c:v>
                </c:pt>
                <c:pt idx="168">
                  <c:v>741319</c:v>
                </c:pt>
                <c:pt idx="169">
                  <c:v>758646</c:v>
                </c:pt>
                <c:pt idx="170">
                  <c:v>775797</c:v>
                </c:pt>
                <c:pt idx="171">
                  <c:v>785245</c:v>
                </c:pt>
                <c:pt idx="172">
                  <c:v>793544</c:v>
                </c:pt>
                <c:pt idx="173">
                  <c:v>800794</c:v>
                </c:pt>
                <c:pt idx="174">
                  <c:v>811661</c:v>
                </c:pt>
                <c:pt idx="175">
                  <c:v>825659</c:v>
                </c:pt>
                <c:pt idx="176">
                  <c:v>838136</c:v>
                </c:pt>
                <c:pt idx="177">
                  <c:v>849017</c:v>
                </c:pt>
                <c:pt idx="178">
                  <c:v>869039</c:v>
                </c:pt>
                <c:pt idx="179">
                  <c:v>881931</c:v>
                </c:pt>
                <c:pt idx="180">
                  <c:v>893988</c:v>
                </c:pt>
                <c:pt idx="181">
                  <c:v>908587</c:v>
                </c:pt>
                <c:pt idx="182">
                  <c:v>921598</c:v>
                </c:pt>
                <c:pt idx="183">
                  <c:v>934121</c:v>
                </c:pt>
                <c:pt idx="184">
                  <c:v>941121</c:v>
                </c:pt>
                <c:pt idx="185">
                  <c:v>953171</c:v>
                </c:pt>
                <c:pt idx="186">
                  <c:v>964854</c:v>
                </c:pt>
                <c:pt idx="187">
                  <c:v>980828</c:v>
                </c:pt>
                <c:pt idx="188">
                  <c:v>994137</c:v>
                </c:pt>
                <c:pt idx="189">
                  <c:v>1004184</c:v>
                </c:pt>
                <c:pt idx="190">
                  <c:v>1022555</c:v>
                </c:pt>
                <c:pt idx="191">
                  <c:v>1025645</c:v>
                </c:pt>
                <c:pt idx="192">
                  <c:v>1041512</c:v>
                </c:pt>
                <c:pt idx="193">
                  <c:v>1056236</c:v>
                </c:pt>
                <c:pt idx="194">
                  <c:v>1076471</c:v>
                </c:pt>
                <c:pt idx="195">
                  <c:v>1088275</c:v>
                </c:pt>
                <c:pt idx="196">
                  <c:v>1094774</c:v>
                </c:pt>
                <c:pt idx="197">
                  <c:v>1108015</c:v>
                </c:pt>
                <c:pt idx="198">
                  <c:v>1124846</c:v>
                </c:pt>
                <c:pt idx="199">
                  <c:v>1143984</c:v>
                </c:pt>
                <c:pt idx="200">
                  <c:v>1160114</c:v>
                </c:pt>
                <c:pt idx="201">
                  <c:v>1173994</c:v>
                </c:pt>
                <c:pt idx="202">
                  <c:v>1190495</c:v>
                </c:pt>
                <c:pt idx="203">
                  <c:v>1202447</c:v>
                </c:pt>
                <c:pt idx="204">
                  <c:v>1212482</c:v>
                </c:pt>
                <c:pt idx="205">
                  <c:v>1227984</c:v>
                </c:pt>
                <c:pt idx="206">
                  <c:v>1249371</c:v>
                </c:pt>
                <c:pt idx="207">
                  <c:v>1263128</c:v>
                </c:pt>
                <c:pt idx="208">
                  <c:v>1270206</c:v>
                </c:pt>
                <c:pt idx="209">
                  <c:v>1281603</c:v>
                </c:pt>
                <c:pt idx="210">
                  <c:v>1294198</c:v>
                </c:pt>
                <c:pt idx="211">
                  <c:v>1311184</c:v>
                </c:pt>
                <c:pt idx="212">
                  <c:v>1324776</c:v>
                </c:pt>
                <c:pt idx="213">
                  <c:v>1333060</c:v>
                </c:pt>
                <c:pt idx="214">
                  <c:v>1348138</c:v>
                </c:pt>
                <c:pt idx="215">
                  <c:v>1361005</c:v>
                </c:pt>
                <c:pt idx="216">
                  <c:v>1378380</c:v>
                </c:pt>
                <c:pt idx="217">
                  <c:v>1390556</c:v>
                </c:pt>
                <c:pt idx="218">
                  <c:v>1416065</c:v>
                </c:pt>
                <c:pt idx="219">
                  <c:v>1430120</c:v>
                </c:pt>
                <c:pt idx="220">
                  <c:v>1433768</c:v>
                </c:pt>
                <c:pt idx="221">
                  <c:v>1445141</c:v>
                </c:pt>
                <c:pt idx="222">
                  <c:v>1453221</c:v>
                </c:pt>
                <c:pt idx="223">
                  <c:v>1461804</c:v>
                </c:pt>
                <c:pt idx="224">
                  <c:v>1469882</c:v>
                </c:pt>
                <c:pt idx="225">
                  <c:v>1475360</c:v>
                </c:pt>
                <c:pt idx="226">
                  <c:v>1486592</c:v>
                </c:pt>
                <c:pt idx="227">
                  <c:v>1493068</c:v>
                </c:pt>
                <c:pt idx="228">
                  <c:v>1496615</c:v>
                </c:pt>
                <c:pt idx="229">
                  <c:v>1508221</c:v>
                </c:pt>
                <c:pt idx="230">
                  <c:v>1518663</c:v>
                </c:pt>
                <c:pt idx="231">
                  <c:v>1521899</c:v>
                </c:pt>
                <c:pt idx="232">
                  <c:v>1522812</c:v>
                </c:pt>
                <c:pt idx="233">
                  <c:v>1527590</c:v>
                </c:pt>
                <c:pt idx="234">
                  <c:v>1526375</c:v>
                </c:pt>
                <c:pt idx="235">
                  <c:v>1533354</c:v>
                </c:pt>
                <c:pt idx="236">
                  <c:v>1536798</c:v>
                </c:pt>
                <c:pt idx="237">
                  <c:v>1538190</c:v>
                </c:pt>
                <c:pt idx="238">
                  <c:v>1546795</c:v>
                </c:pt>
                <c:pt idx="239">
                  <c:v>1550208</c:v>
                </c:pt>
                <c:pt idx="240">
                  <c:v>1547944</c:v>
                </c:pt>
                <c:pt idx="241">
                  <c:v>1558281</c:v>
                </c:pt>
                <c:pt idx="242">
                  <c:v>1569163</c:v>
                </c:pt>
                <c:pt idx="243">
                  <c:v>1574530</c:v>
                </c:pt>
                <c:pt idx="244">
                  <c:v>1575512</c:v>
                </c:pt>
                <c:pt idx="245">
                  <c:v>1584667</c:v>
                </c:pt>
                <c:pt idx="246">
                  <c:v>1586373</c:v>
                </c:pt>
                <c:pt idx="247">
                  <c:v>1596593</c:v>
                </c:pt>
                <c:pt idx="248">
                  <c:v>1604317</c:v>
                </c:pt>
                <c:pt idx="249">
                  <c:v>1609007</c:v>
                </c:pt>
                <c:pt idx="250">
                  <c:v>1620808</c:v>
                </c:pt>
                <c:pt idx="251">
                  <c:v>1624211</c:v>
                </c:pt>
                <c:pt idx="252">
                  <c:v>1636329</c:v>
                </c:pt>
                <c:pt idx="253">
                  <c:v>1650998</c:v>
                </c:pt>
                <c:pt idx="254">
                  <c:v>1660162</c:v>
                </c:pt>
                <c:pt idx="255">
                  <c:v>1670402</c:v>
                </c:pt>
                <c:pt idx="256">
                  <c:v>1669009</c:v>
                </c:pt>
                <c:pt idx="257">
                  <c:v>1678623</c:v>
                </c:pt>
                <c:pt idx="258">
                  <c:v>1688992</c:v>
                </c:pt>
                <c:pt idx="259">
                  <c:v>1698149</c:v>
                </c:pt>
                <c:pt idx="260">
                  <c:v>1706124</c:v>
                </c:pt>
                <c:pt idx="261">
                  <c:v>1713564</c:v>
                </c:pt>
                <c:pt idx="262">
                  <c:v>1731984</c:v>
                </c:pt>
                <c:pt idx="263">
                  <c:v>1740771</c:v>
                </c:pt>
                <c:pt idx="264">
                  <c:v>1759757</c:v>
                </c:pt>
                <c:pt idx="265">
                  <c:v>1784717</c:v>
                </c:pt>
                <c:pt idx="266">
                  <c:v>1803027</c:v>
                </c:pt>
                <c:pt idx="267">
                  <c:v>1814074</c:v>
                </c:pt>
                <c:pt idx="268">
                  <c:v>1823184</c:v>
                </c:pt>
                <c:pt idx="269">
                  <c:v>1836305</c:v>
                </c:pt>
                <c:pt idx="270">
                  <c:v>1852546</c:v>
                </c:pt>
                <c:pt idx="271">
                  <c:v>1870663</c:v>
                </c:pt>
                <c:pt idx="272">
                  <c:v>1882338</c:v>
                </c:pt>
                <c:pt idx="273">
                  <c:v>1899265</c:v>
                </c:pt>
                <c:pt idx="274">
                  <c:v>1921792</c:v>
                </c:pt>
                <c:pt idx="275">
                  <c:v>1941278</c:v>
                </c:pt>
                <c:pt idx="276">
                  <c:v>1964732</c:v>
                </c:pt>
                <c:pt idx="277">
                  <c:v>1987974</c:v>
                </c:pt>
                <c:pt idx="278">
                  <c:v>2017046</c:v>
                </c:pt>
                <c:pt idx="279">
                  <c:v>2033634</c:v>
                </c:pt>
                <c:pt idx="280">
                  <c:v>2042663</c:v>
                </c:pt>
                <c:pt idx="281">
                  <c:v>2049296</c:v>
                </c:pt>
                <c:pt idx="282">
                  <c:v>2029361</c:v>
                </c:pt>
                <c:pt idx="283">
                  <c:v>2027797</c:v>
                </c:pt>
                <c:pt idx="284">
                  <c:v>2041148</c:v>
                </c:pt>
                <c:pt idx="285">
                  <c:v>2060427</c:v>
                </c:pt>
                <c:pt idx="286">
                  <c:v>2092135</c:v>
                </c:pt>
                <c:pt idx="287">
                  <c:v>2123095</c:v>
                </c:pt>
                <c:pt idx="288">
                  <c:v>2159091</c:v>
                </c:pt>
                <c:pt idx="289">
                  <c:v>2205704</c:v>
                </c:pt>
                <c:pt idx="290">
                  <c:v>2241085</c:v>
                </c:pt>
                <c:pt idx="291">
                  <c:v>2254465</c:v>
                </c:pt>
                <c:pt idx="292">
                  <c:v>2271837</c:v>
                </c:pt>
                <c:pt idx="293">
                  <c:v>2298345</c:v>
                </c:pt>
                <c:pt idx="294">
                  <c:v>2323306</c:v>
                </c:pt>
                <c:pt idx="295">
                  <c:v>2361957</c:v>
                </c:pt>
                <c:pt idx="296">
                  <c:v>2399411</c:v>
                </c:pt>
                <c:pt idx="297">
                  <c:v>2440812</c:v>
                </c:pt>
                <c:pt idx="298">
                  <c:v>2497623</c:v>
                </c:pt>
                <c:pt idx="299">
                  <c:v>2549567</c:v>
                </c:pt>
                <c:pt idx="300">
                  <c:v>2603729</c:v>
                </c:pt>
                <c:pt idx="301">
                  <c:v>2667031</c:v>
                </c:pt>
                <c:pt idx="302">
                  <c:v>2710828</c:v>
                </c:pt>
                <c:pt idx="303">
                  <c:v>2737424</c:v>
                </c:pt>
                <c:pt idx="304">
                  <c:v>2757765</c:v>
                </c:pt>
                <c:pt idx="305">
                  <c:v>2802130</c:v>
                </c:pt>
                <c:pt idx="306">
                  <c:v>2832142</c:v>
                </c:pt>
                <c:pt idx="307">
                  <c:v>2877252</c:v>
                </c:pt>
                <c:pt idx="308">
                  <c:v>2916113</c:v>
                </c:pt>
                <c:pt idx="309">
                  <c:v>2957380</c:v>
                </c:pt>
                <c:pt idx="310">
                  <c:v>3013124</c:v>
                </c:pt>
                <c:pt idx="311">
                  <c:v>3058201</c:v>
                </c:pt>
                <c:pt idx="312">
                  <c:v>3114097</c:v>
                </c:pt>
                <c:pt idx="313">
                  <c:v>3159223</c:v>
                </c:pt>
                <c:pt idx="314">
                  <c:v>3190981</c:v>
                </c:pt>
                <c:pt idx="315">
                  <c:v>3226470</c:v>
                </c:pt>
                <c:pt idx="316">
                  <c:v>3240687</c:v>
                </c:pt>
                <c:pt idx="317">
                  <c:v>3274402</c:v>
                </c:pt>
                <c:pt idx="318">
                  <c:v>3286375</c:v>
                </c:pt>
                <c:pt idx="319">
                  <c:v>3313322</c:v>
                </c:pt>
                <c:pt idx="320">
                  <c:v>3314984</c:v>
                </c:pt>
                <c:pt idx="321">
                  <c:v>3336276</c:v>
                </c:pt>
                <c:pt idx="322">
                  <c:v>3391605</c:v>
                </c:pt>
                <c:pt idx="323">
                  <c:v>3415942</c:v>
                </c:pt>
                <c:pt idx="324">
                  <c:v>3449662</c:v>
                </c:pt>
                <c:pt idx="325">
                  <c:v>3490475</c:v>
                </c:pt>
                <c:pt idx="326">
                  <c:v>3514597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7-41A9-B7EC-048BD770012C}"/>
            </c:ext>
          </c:extLst>
        </c:ser>
        <c:ser>
          <c:idx val="2"/>
          <c:order val="2"/>
          <c:tx>
            <c:strRef>
              <c:f>APENDICE_BCB!$AD$1:$AD$2</c:f>
              <c:strCache>
                <c:ptCount val="2"/>
                <c:pt idx="0">
                  <c:v>Série Atual Retropolada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APENDICE_BCB!$A$4:$A$331</c:f>
              <c:numCache>
                <c:formatCode>mmm\-yy</c:formatCode>
                <c:ptCount val="328"/>
                <c:pt idx="0">
                  <c:v>35339</c:v>
                </c:pt>
                <c:pt idx="1">
                  <c:v>35370</c:v>
                </c:pt>
                <c:pt idx="2">
                  <c:v>35400</c:v>
                </c:pt>
                <c:pt idx="3">
                  <c:v>35431</c:v>
                </c:pt>
                <c:pt idx="4">
                  <c:v>35462</c:v>
                </c:pt>
                <c:pt idx="5">
                  <c:v>35490</c:v>
                </c:pt>
                <c:pt idx="6">
                  <c:v>35521</c:v>
                </c:pt>
                <c:pt idx="7">
                  <c:v>35551</c:v>
                </c:pt>
                <c:pt idx="8">
                  <c:v>35582</c:v>
                </c:pt>
                <c:pt idx="9">
                  <c:v>35612</c:v>
                </c:pt>
                <c:pt idx="10">
                  <c:v>35643</c:v>
                </c:pt>
                <c:pt idx="11">
                  <c:v>35674</c:v>
                </c:pt>
                <c:pt idx="12">
                  <c:v>35704</c:v>
                </c:pt>
                <c:pt idx="13">
                  <c:v>35735</c:v>
                </c:pt>
                <c:pt idx="14">
                  <c:v>35765</c:v>
                </c:pt>
                <c:pt idx="15">
                  <c:v>35796</c:v>
                </c:pt>
                <c:pt idx="16">
                  <c:v>35827</c:v>
                </c:pt>
                <c:pt idx="17">
                  <c:v>35855</c:v>
                </c:pt>
                <c:pt idx="18">
                  <c:v>35886</c:v>
                </c:pt>
                <c:pt idx="19">
                  <c:v>35916</c:v>
                </c:pt>
                <c:pt idx="20">
                  <c:v>35947</c:v>
                </c:pt>
                <c:pt idx="21">
                  <c:v>35977</c:v>
                </c:pt>
                <c:pt idx="22">
                  <c:v>36008</c:v>
                </c:pt>
                <c:pt idx="23">
                  <c:v>36039</c:v>
                </c:pt>
                <c:pt idx="24">
                  <c:v>36069</c:v>
                </c:pt>
                <c:pt idx="25">
                  <c:v>36100</c:v>
                </c:pt>
                <c:pt idx="26">
                  <c:v>36130</c:v>
                </c:pt>
                <c:pt idx="27">
                  <c:v>36161</c:v>
                </c:pt>
                <c:pt idx="28">
                  <c:v>36192</c:v>
                </c:pt>
                <c:pt idx="29">
                  <c:v>36220</c:v>
                </c:pt>
                <c:pt idx="30">
                  <c:v>36251</c:v>
                </c:pt>
                <c:pt idx="31">
                  <c:v>36281</c:v>
                </c:pt>
                <c:pt idx="32">
                  <c:v>36312</c:v>
                </c:pt>
                <c:pt idx="33">
                  <c:v>36342</c:v>
                </c:pt>
                <c:pt idx="34">
                  <c:v>36373</c:v>
                </c:pt>
                <c:pt idx="35">
                  <c:v>36404</c:v>
                </c:pt>
                <c:pt idx="36">
                  <c:v>36434</c:v>
                </c:pt>
                <c:pt idx="37">
                  <c:v>36465</c:v>
                </c:pt>
                <c:pt idx="38">
                  <c:v>36495</c:v>
                </c:pt>
                <c:pt idx="39">
                  <c:v>36526</c:v>
                </c:pt>
                <c:pt idx="40">
                  <c:v>36557</c:v>
                </c:pt>
                <c:pt idx="41">
                  <c:v>36586</c:v>
                </c:pt>
                <c:pt idx="42">
                  <c:v>36617</c:v>
                </c:pt>
                <c:pt idx="43">
                  <c:v>36647</c:v>
                </c:pt>
                <c:pt idx="44">
                  <c:v>36678</c:v>
                </c:pt>
                <c:pt idx="45">
                  <c:v>36708</c:v>
                </c:pt>
                <c:pt idx="46">
                  <c:v>36739</c:v>
                </c:pt>
                <c:pt idx="47">
                  <c:v>36770</c:v>
                </c:pt>
                <c:pt idx="48">
                  <c:v>36800</c:v>
                </c:pt>
                <c:pt idx="49">
                  <c:v>36831</c:v>
                </c:pt>
                <c:pt idx="50">
                  <c:v>36861</c:v>
                </c:pt>
                <c:pt idx="51">
                  <c:v>36892</c:v>
                </c:pt>
                <c:pt idx="52">
                  <c:v>36923</c:v>
                </c:pt>
                <c:pt idx="53">
                  <c:v>36951</c:v>
                </c:pt>
                <c:pt idx="54">
                  <c:v>36982</c:v>
                </c:pt>
                <c:pt idx="55">
                  <c:v>37012</c:v>
                </c:pt>
                <c:pt idx="56">
                  <c:v>37043</c:v>
                </c:pt>
                <c:pt idx="57">
                  <c:v>37073</c:v>
                </c:pt>
                <c:pt idx="58">
                  <c:v>37104</c:v>
                </c:pt>
                <c:pt idx="59">
                  <c:v>37135</c:v>
                </c:pt>
                <c:pt idx="60">
                  <c:v>37165</c:v>
                </c:pt>
                <c:pt idx="61">
                  <c:v>37196</c:v>
                </c:pt>
                <c:pt idx="62">
                  <c:v>37226</c:v>
                </c:pt>
                <c:pt idx="63">
                  <c:v>37257</c:v>
                </c:pt>
                <c:pt idx="64">
                  <c:v>37288</c:v>
                </c:pt>
                <c:pt idx="65">
                  <c:v>37316</c:v>
                </c:pt>
                <c:pt idx="66">
                  <c:v>37347</c:v>
                </c:pt>
                <c:pt idx="67">
                  <c:v>37377</c:v>
                </c:pt>
                <c:pt idx="68">
                  <c:v>37408</c:v>
                </c:pt>
                <c:pt idx="69">
                  <c:v>37438</c:v>
                </c:pt>
                <c:pt idx="70">
                  <c:v>37469</c:v>
                </c:pt>
                <c:pt idx="71">
                  <c:v>37500</c:v>
                </c:pt>
                <c:pt idx="72">
                  <c:v>37530</c:v>
                </c:pt>
                <c:pt idx="73">
                  <c:v>37561</c:v>
                </c:pt>
                <c:pt idx="74">
                  <c:v>37591</c:v>
                </c:pt>
                <c:pt idx="75">
                  <c:v>37622</c:v>
                </c:pt>
                <c:pt idx="76">
                  <c:v>37653</c:v>
                </c:pt>
                <c:pt idx="77">
                  <c:v>37681</c:v>
                </c:pt>
                <c:pt idx="78">
                  <c:v>37712</c:v>
                </c:pt>
                <c:pt idx="79">
                  <c:v>37742</c:v>
                </c:pt>
                <c:pt idx="80">
                  <c:v>37773</c:v>
                </c:pt>
                <c:pt idx="81">
                  <c:v>37803</c:v>
                </c:pt>
                <c:pt idx="82">
                  <c:v>37834</c:v>
                </c:pt>
                <c:pt idx="83">
                  <c:v>37865</c:v>
                </c:pt>
                <c:pt idx="84">
                  <c:v>37895</c:v>
                </c:pt>
                <c:pt idx="85">
                  <c:v>37926</c:v>
                </c:pt>
                <c:pt idx="86">
                  <c:v>37956</c:v>
                </c:pt>
                <c:pt idx="87">
                  <c:v>37987</c:v>
                </c:pt>
                <c:pt idx="88">
                  <c:v>38018</c:v>
                </c:pt>
                <c:pt idx="89">
                  <c:v>38047</c:v>
                </c:pt>
                <c:pt idx="90">
                  <c:v>38078</c:v>
                </c:pt>
                <c:pt idx="91">
                  <c:v>38108</c:v>
                </c:pt>
                <c:pt idx="92">
                  <c:v>38139</c:v>
                </c:pt>
                <c:pt idx="93">
                  <c:v>38169</c:v>
                </c:pt>
                <c:pt idx="94">
                  <c:v>38200</c:v>
                </c:pt>
                <c:pt idx="95">
                  <c:v>38231</c:v>
                </c:pt>
                <c:pt idx="96">
                  <c:v>38261</c:v>
                </c:pt>
                <c:pt idx="97">
                  <c:v>38292</c:v>
                </c:pt>
                <c:pt idx="98">
                  <c:v>38322</c:v>
                </c:pt>
                <c:pt idx="99">
                  <c:v>38353</c:v>
                </c:pt>
                <c:pt idx="100">
                  <c:v>38384</c:v>
                </c:pt>
                <c:pt idx="101">
                  <c:v>38412</c:v>
                </c:pt>
                <c:pt idx="102">
                  <c:v>38443</c:v>
                </c:pt>
                <c:pt idx="103">
                  <c:v>38473</c:v>
                </c:pt>
                <c:pt idx="104">
                  <c:v>38504</c:v>
                </c:pt>
                <c:pt idx="105">
                  <c:v>38534</c:v>
                </c:pt>
                <c:pt idx="106">
                  <c:v>38565</c:v>
                </c:pt>
                <c:pt idx="107">
                  <c:v>38596</c:v>
                </c:pt>
                <c:pt idx="108">
                  <c:v>38626</c:v>
                </c:pt>
                <c:pt idx="109">
                  <c:v>38657</c:v>
                </c:pt>
                <c:pt idx="110">
                  <c:v>38687</c:v>
                </c:pt>
                <c:pt idx="111">
                  <c:v>38718</c:v>
                </c:pt>
                <c:pt idx="112">
                  <c:v>38749</c:v>
                </c:pt>
                <c:pt idx="113">
                  <c:v>38777</c:v>
                </c:pt>
                <c:pt idx="114">
                  <c:v>38808</c:v>
                </c:pt>
                <c:pt idx="115">
                  <c:v>38838</c:v>
                </c:pt>
                <c:pt idx="116">
                  <c:v>38869</c:v>
                </c:pt>
                <c:pt idx="117">
                  <c:v>38899</c:v>
                </c:pt>
                <c:pt idx="118">
                  <c:v>38930</c:v>
                </c:pt>
                <c:pt idx="119">
                  <c:v>38961</c:v>
                </c:pt>
                <c:pt idx="120">
                  <c:v>38991</c:v>
                </c:pt>
                <c:pt idx="121">
                  <c:v>39022</c:v>
                </c:pt>
                <c:pt idx="122">
                  <c:v>39052</c:v>
                </c:pt>
                <c:pt idx="123">
                  <c:v>39083</c:v>
                </c:pt>
                <c:pt idx="124">
                  <c:v>39114</c:v>
                </c:pt>
                <c:pt idx="125">
                  <c:v>39142</c:v>
                </c:pt>
                <c:pt idx="126">
                  <c:v>39173</c:v>
                </c:pt>
                <c:pt idx="127">
                  <c:v>39203</c:v>
                </c:pt>
                <c:pt idx="128">
                  <c:v>39234</c:v>
                </c:pt>
                <c:pt idx="129">
                  <c:v>39264</c:v>
                </c:pt>
                <c:pt idx="130">
                  <c:v>39295</c:v>
                </c:pt>
                <c:pt idx="131">
                  <c:v>39326</c:v>
                </c:pt>
                <c:pt idx="132">
                  <c:v>39356</c:v>
                </c:pt>
                <c:pt idx="133">
                  <c:v>39387</c:v>
                </c:pt>
                <c:pt idx="134">
                  <c:v>39417</c:v>
                </c:pt>
                <c:pt idx="135">
                  <c:v>39448</c:v>
                </c:pt>
                <c:pt idx="136">
                  <c:v>39479</c:v>
                </c:pt>
                <c:pt idx="137">
                  <c:v>39508</c:v>
                </c:pt>
                <c:pt idx="138">
                  <c:v>39539</c:v>
                </c:pt>
                <c:pt idx="139">
                  <c:v>39569</c:v>
                </c:pt>
                <c:pt idx="140">
                  <c:v>39600</c:v>
                </c:pt>
                <c:pt idx="141">
                  <c:v>39630</c:v>
                </c:pt>
                <c:pt idx="142">
                  <c:v>39661</c:v>
                </c:pt>
                <c:pt idx="143">
                  <c:v>39692</c:v>
                </c:pt>
                <c:pt idx="144">
                  <c:v>39722</c:v>
                </c:pt>
                <c:pt idx="145">
                  <c:v>39753</c:v>
                </c:pt>
                <c:pt idx="146">
                  <c:v>39783</c:v>
                </c:pt>
                <c:pt idx="147">
                  <c:v>39814</c:v>
                </c:pt>
                <c:pt idx="148">
                  <c:v>39845</c:v>
                </c:pt>
                <c:pt idx="149">
                  <c:v>39873</c:v>
                </c:pt>
                <c:pt idx="150">
                  <c:v>39904</c:v>
                </c:pt>
                <c:pt idx="151">
                  <c:v>39934</c:v>
                </c:pt>
                <c:pt idx="152">
                  <c:v>39965</c:v>
                </c:pt>
                <c:pt idx="153">
                  <c:v>39995</c:v>
                </c:pt>
                <c:pt idx="154">
                  <c:v>40026</c:v>
                </c:pt>
                <c:pt idx="155">
                  <c:v>40057</c:v>
                </c:pt>
                <c:pt idx="156">
                  <c:v>40087</c:v>
                </c:pt>
                <c:pt idx="157">
                  <c:v>40118</c:v>
                </c:pt>
                <c:pt idx="158">
                  <c:v>40148</c:v>
                </c:pt>
                <c:pt idx="159">
                  <c:v>40179</c:v>
                </c:pt>
                <c:pt idx="160">
                  <c:v>40210</c:v>
                </c:pt>
                <c:pt idx="161">
                  <c:v>40238</c:v>
                </c:pt>
                <c:pt idx="162">
                  <c:v>40269</c:v>
                </c:pt>
                <c:pt idx="163">
                  <c:v>40299</c:v>
                </c:pt>
                <c:pt idx="164">
                  <c:v>40330</c:v>
                </c:pt>
                <c:pt idx="165">
                  <c:v>40360</c:v>
                </c:pt>
                <c:pt idx="166">
                  <c:v>40391</c:v>
                </c:pt>
                <c:pt idx="167">
                  <c:v>40422</c:v>
                </c:pt>
                <c:pt idx="168">
                  <c:v>40452</c:v>
                </c:pt>
                <c:pt idx="169">
                  <c:v>40483</c:v>
                </c:pt>
                <c:pt idx="170">
                  <c:v>40513</c:v>
                </c:pt>
                <c:pt idx="171">
                  <c:v>40544</c:v>
                </c:pt>
                <c:pt idx="172">
                  <c:v>40575</c:v>
                </c:pt>
                <c:pt idx="173">
                  <c:v>40603</c:v>
                </c:pt>
                <c:pt idx="174">
                  <c:v>40634</c:v>
                </c:pt>
                <c:pt idx="175">
                  <c:v>40664</c:v>
                </c:pt>
                <c:pt idx="176">
                  <c:v>40695</c:v>
                </c:pt>
                <c:pt idx="177">
                  <c:v>40725</c:v>
                </c:pt>
                <c:pt idx="178">
                  <c:v>40756</c:v>
                </c:pt>
                <c:pt idx="179">
                  <c:v>40787</c:v>
                </c:pt>
                <c:pt idx="180">
                  <c:v>40817</c:v>
                </c:pt>
                <c:pt idx="181">
                  <c:v>40848</c:v>
                </c:pt>
                <c:pt idx="182">
                  <c:v>40878</c:v>
                </c:pt>
                <c:pt idx="183">
                  <c:v>40909</c:v>
                </c:pt>
                <c:pt idx="184">
                  <c:v>40940</c:v>
                </c:pt>
                <c:pt idx="185">
                  <c:v>40969</c:v>
                </c:pt>
                <c:pt idx="186">
                  <c:v>41000</c:v>
                </c:pt>
                <c:pt idx="187">
                  <c:v>41030</c:v>
                </c:pt>
                <c:pt idx="188">
                  <c:v>41061</c:v>
                </c:pt>
                <c:pt idx="189">
                  <c:v>41091</c:v>
                </c:pt>
                <c:pt idx="190">
                  <c:v>41122</c:v>
                </c:pt>
                <c:pt idx="191">
                  <c:v>41153</c:v>
                </c:pt>
                <c:pt idx="192">
                  <c:v>41183</c:v>
                </c:pt>
                <c:pt idx="193">
                  <c:v>41214</c:v>
                </c:pt>
                <c:pt idx="194">
                  <c:v>41244</c:v>
                </c:pt>
                <c:pt idx="195">
                  <c:v>41275</c:v>
                </c:pt>
                <c:pt idx="196">
                  <c:v>41306</c:v>
                </c:pt>
                <c:pt idx="197">
                  <c:v>41334</c:v>
                </c:pt>
                <c:pt idx="198">
                  <c:v>41365</c:v>
                </c:pt>
                <c:pt idx="199">
                  <c:v>41395</c:v>
                </c:pt>
                <c:pt idx="200">
                  <c:v>41426</c:v>
                </c:pt>
                <c:pt idx="201">
                  <c:v>41456</c:v>
                </c:pt>
                <c:pt idx="202">
                  <c:v>41487</c:v>
                </c:pt>
                <c:pt idx="203">
                  <c:v>41518</c:v>
                </c:pt>
                <c:pt idx="204">
                  <c:v>41548</c:v>
                </c:pt>
                <c:pt idx="205">
                  <c:v>41579</c:v>
                </c:pt>
                <c:pt idx="206">
                  <c:v>41609</c:v>
                </c:pt>
                <c:pt idx="207">
                  <c:v>41640</c:v>
                </c:pt>
                <c:pt idx="208">
                  <c:v>41671</c:v>
                </c:pt>
                <c:pt idx="209">
                  <c:v>41699</c:v>
                </c:pt>
                <c:pt idx="210">
                  <c:v>41730</c:v>
                </c:pt>
                <c:pt idx="211">
                  <c:v>41760</c:v>
                </c:pt>
                <c:pt idx="212">
                  <c:v>41791</c:v>
                </c:pt>
                <c:pt idx="213">
                  <c:v>41821</c:v>
                </c:pt>
                <c:pt idx="214">
                  <c:v>41852</c:v>
                </c:pt>
                <c:pt idx="215">
                  <c:v>41883</c:v>
                </c:pt>
                <c:pt idx="216">
                  <c:v>41913</c:v>
                </c:pt>
                <c:pt idx="217">
                  <c:v>41944</c:v>
                </c:pt>
                <c:pt idx="218">
                  <c:v>41974</c:v>
                </c:pt>
                <c:pt idx="219">
                  <c:v>42005</c:v>
                </c:pt>
                <c:pt idx="220">
                  <c:v>42036</c:v>
                </c:pt>
                <c:pt idx="221">
                  <c:v>42064</c:v>
                </c:pt>
                <c:pt idx="222">
                  <c:v>42095</c:v>
                </c:pt>
                <c:pt idx="223">
                  <c:v>42125</c:v>
                </c:pt>
                <c:pt idx="224">
                  <c:v>42156</c:v>
                </c:pt>
                <c:pt idx="225">
                  <c:v>42186</c:v>
                </c:pt>
                <c:pt idx="226">
                  <c:v>42217</c:v>
                </c:pt>
                <c:pt idx="227">
                  <c:v>42248</c:v>
                </c:pt>
                <c:pt idx="228">
                  <c:v>42278</c:v>
                </c:pt>
                <c:pt idx="229">
                  <c:v>42309</c:v>
                </c:pt>
                <c:pt idx="230">
                  <c:v>42339</c:v>
                </c:pt>
                <c:pt idx="231">
                  <c:v>42370</c:v>
                </c:pt>
                <c:pt idx="232">
                  <c:v>42401</c:v>
                </c:pt>
                <c:pt idx="233">
                  <c:v>42430</c:v>
                </c:pt>
                <c:pt idx="234">
                  <c:v>42461</c:v>
                </c:pt>
                <c:pt idx="235">
                  <c:v>42491</c:v>
                </c:pt>
                <c:pt idx="236">
                  <c:v>42522</c:v>
                </c:pt>
                <c:pt idx="237">
                  <c:v>42552</c:v>
                </c:pt>
                <c:pt idx="238">
                  <c:v>42583</c:v>
                </c:pt>
                <c:pt idx="239">
                  <c:v>42614</c:v>
                </c:pt>
                <c:pt idx="240">
                  <c:v>42644</c:v>
                </c:pt>
                <c:pt idx="241">
                  <c:v>42675</c:v>
                </c:pt>
                <c:pt idx="242">
                  <c:v>42705</c:v>
                </c:pt>
                <c:pt idx="243">
                  <c:v>42736</c:v>
                </c:pt>
                <c:pt idx="244">
                  <c:v>42767</c:v>
                </c:pt>
                <c:pt idx="245">
                  <c:v>42795</c:v>
                </c:pt>
                <c:pt idx="246">
                  <c:v>42826</c:v>
                </c:pt>
                <c:pt idx="247">
                  <c:v>42856</c:v>
                </c:pt>
                <c:pt idx="248">
                  <c:v>42887</c:v>
                </c:pt>
                <c:pt idx="249">
                  <c:v>42917</c:v>
                </c:pt>
                <c:pt idx="250">
                  <c:v>42948</c:v>
                </c:pt>
                <c:pt idx="251">
                  <c:v>42979</c:v>
                </c:pt>
                <c:pt idx="252">
                  <c:v>43009</c:v>
                </c:pt>
                <c:pt idx="253">
                  <c:v>43040</c:v>
                </c:pt>
                <c:pt idx="254">
                  <c:v>43070</c:v>
                </c:pt>
                <c:pt idx="255">
                  <c:v>43101</c:v>
                </c:pt>
                <c:pt idx="256">
                  <c:v>43132</c:v>
                </c:pt>
                <c:pt idx="257">
                  <c:v>43160</c:v>
                </c:pt>
                <c:pt idx="258">
                  <c:v>43191</c:v>
                </c:pt>
                <c:pt idx="259">
                  <c:v>43221</c:v>
                </c:pt>
                <c:pt idx="260">
                  <c:v>43252</c:v>
                </c:pt>
                <c:pt idx="261">
                  <c:v>43282</c:v>
                </c:pt>
                <c:pt idx="262">
                  <c:v>43313</c:v>
                </c:pt>
                <c:pt idx="263">
                  <c:v>43344</c:v>
                </c:pt>
                <c:pt idx="264">
                  <c:v>43374</c:v>
                </c:pt>
                <c:pt idx="265">
                  <c:v>43405</c:v>
                </c:pt>
                <c:pt idx="266">
                  <c:v>43435</c:v>
                </c:pt>
                <c:pt idx="267">
                  <c:v>43466</c:v>
                </c:pt>
                <c:pt idx="268">
                  <c:v>43497</c:v>
                </c:pt>
                <c:pt idx="269">
                  <c:v>43525</c:v>
                </c:pt>
                <c:pt idx="270">
                  <c:v>43556</c:v>
                </c:pt>
                <c:pt idx="271">
                  <c:v>43586</c:v>
                </c:pt>
                <c:pt idx="272">
                  <c:v>43617</c:v>
                </c:pt>
                <c:pt idx="273">
                  <c:v>43647</c:v>
                </c:pt>
                <c:pt idx="274">
                  <c:v>43678</c:v>
                </c:pt>
                <c:pt idx="275">
                  <c:v>43709</c:v>
                </c:pt>
                <c:pt idx="276">
                  <c:v>43739</c:v>
                </c:pt>
                <c:pt idx="277">
                  <c:v>43770</c:v>
                </c:pt>
                <c:pt idx="278">
                  <c:v>43800</c:v>
                </c:pt>
                <c:pt idx="279">
                  <c:v>43831</c:v>
                </c:pt>
                <c:pt idx="280">
                  <c:v>43862</c:v>
                </c:pt>
                <c:pt idx="281">
                  <c:v>43891</c:v>
                </c:pt>
                <c:pt idx="282">
                  <c:v>43922</c:v>
                </c:pt>
                <c:pt idx="283">
                  <c:v>43952</c:v>
                </c:pt>
                <c:pt idx="284">
                  <c:v>43983</c:v>
                </c:pt>
                <c:pt idx="285">
                  <c:v>44013</c:v>
                </c:pt>
                <c:pt idx="286">
                  <c:v>44044</c:v>
                </c:pt>
                <c:pt idx="287">
                  <c:v>44075</c:v>
                </c:pt>
                <c:pt idx="288">
                  <c:v>44105</c:v>
                </c:pt>
                <c:pt idx="289">
                  <c:v>44136</c:v>
                </c:pt>
                <c:pt idx="290">
                  <c:v>44166</c:v>
                </c:pt>
                <c:pt idx="291">
                  <c:v>44197</c:v>
                </c:pt>
                <c:pt idx="292">
                  <c:v>44228</c:v>
                </c:pt>
                <c:pt idx="293">
                  <c:v>44256</c:v>
                </c:pt>
                <c:pt idx="294">
                  <c:v>44287</c:v>
                </c:pt>
                <c:pt idx="295">
                  <c:v>44317</c:v>
                </c:pt>
                <c:pt idx="296">
                  <c:v>44348</c:v>
                </c:pt>
                <c:pt idx="297">
                  <c:v>44378</c:v>
                </c:pt>
                <c:pt idx="298">
                  <c:v>44409</c:v>
                </c:pt>
                <c:pt idx="299">
                  <c:v>44440</c:v>
                </c:pt>
                <c:pt idx="300">
                  <c:v>44470</c:v>
                </c:pt>
                <c:pt idx="301">
                  <c:v>44501</c:v>
                </c:pt>
                <c:pt idx="302">
                  <c:v>44531</c:v>
                </c:pt>
                <c:pt idx="303">
                  <c:v>44562</c:v>
                </c:pt>
                <c:pt idx="304">
                  <c:v>44593</c:v>
                </c:pt>
                <c:pt idx="305">
                  <c:v>44621</c:v>
                </c:pt>
                <c:pt idx="306">
                  <c:v>44652</c:v>
                </c:pt>
                <c:pt idx="307">
                  <c:v>44682</c:v>
                </c:pt>
                <c:pt idx="308">
                  <c:v>44713</c:v>
                </c:pt>
                <c:pt idx="309">
                  <c:v>44743</c:v>
                </c:pt>
                <c:pt idx="310">
                  <c:v>44774</c:v>
                </c:pt>
                <c:pt idx="311">
                  <c:v>44805</c:v>
                </c:pt>
                <c:pt idx="312">
                  <c:v>44835</c:v>
                </c:pt>
                <c:pt idx="313">
                  <c:v>44866</c:v>
                </c:pt>
                <c:pt idx="314">
                  <c:v>44896</c:v>
                </c:pt>
                <c:pt idx="315">
                  <c:v>44927</c:v>
                </c:pt>
                <c:pt idx="316">
                  <c:v>44958</c:v>
                </c:pt>
                <c:pt idx="317">
                  <c:v>44986</c:v>
                </c:pt>
                <c:pt idx="318">
                  <c:v>45017</c:v>
                </c:pt>
                <c:pt idx="319">
                  <c:v>45047</c:v>
                </c:pt>
                <c:pt idx="320">
                  <c:v>45078</c:v>
                </c:pt>
                <c:pt idx="321">
                  <c:v>45108</c:v>
                </c:pt>
                <c:pt idx="322">
                  <c:v>45139</c:v>
                </c:pt>
                <c:pt idx="323">
                  <c:v>45170</c:v>
                </c:pt>
                <c:pt idx="324">
                  <c:v>45200</c:v>
                </c:pt>
                <c:pt idx="325">
                  <c:v>45231</c:v>
                </c:pt>
                <c:pt idx="326">
                  <c:v>45261</c:v>
                </c:pt>
              </c:numCache>
            </c:numRef>
          </c:cat>
          <c:val>
            <c:numRef>
              <c:f>APENDICE_BCB!$AD$4:$AD$331</c:f>
              <c:numCache>
                <c:formatCode>_(* #,##0.00_);_(* \(#,##0.00\);_(* "-"??_);_(@_)</c:formatCode>
                <c:ptCount val="328"/>
                <c:pt idx="44">
                  <c:v>104623.98997106194</c:v>
                </c:pt>
                <c:pt idx="45">
                  <c:v>106311.89067961041</c:v>
                </c:pt>
                <c:pt idx="46">
                  <c:v>108262.78895088097</c:v>
                </c:pt>
                <c:pt idx="47">
                  <c:v>109176.1808121761</c:v>
                </c:pt>
                <c:pt idx="48">
                  <c:v>110468.30150894784</c:v>
                </c:pt>
                <c:pt idx="49">
                  <c:v>111725.48655503515</c:v>
                </c:pt>
                <c:pt idx="50">
                  <c:v>112553.11158250655</c:v>
                </c:pt>
                <c:pt idx="51">
                  <c:v>113898.05811969745</c:v>
                </c:pt>
                <c:pt idx="52">
                  <c:v>115997.3074544362</c:v>
                </c:pt>
                <c:pt idx="53">
                  <c:v>119535.125337741</c:v>
                </c:pt>
                <c:pt idx="54">
                  <c:v>121737.25440838761</c:v>
                </c:pt>
                <c:pt idx="55">
                  <c:v>124568.21033144313</c:v>
                </c:pt>
                <c:pt idx="56">
                  <c:v>118168.8914065542</c:v>
                </c:pt>
                <c:pt idx="57">
                  <c:v>119838.33039033077</c:v>
                </c:pt>
                <c:pt idx="58">
                  <c:v>122162.96799620311</c:v>
                </c:pt>
                <c:pt idx="59">
                  <c:v>124832.1029180335</c:v>
                </c:pt>
                <c:pt idx="60">
                  <c:v>127704.57171698165</c:v>
                </c:pt>
                <c:pt idx="61">
                  <c:v>128446.88028023863</c:v>
                </c:pt>
                <c:pt idx="62">
                  <c:v>127663.7252509424</c:v>
                </c:pt>
                <c:pt idx="63">
                  <c:v>130393.65435468069</c:v>
                </c:pt>
                <c:pt idx="64">
                  <c:v>131640.53805325736</c:v>
                </c:pt>
                <c:pt idx="65">
                  <c:v>132647.35074559451</c:v>
                </c:pt>
                <c:pt idx="66">
                  <c:v>134413.66148896774</c:v>
                </c:pt>
                <c:pt idx="67">
                  <c:v>136145.33035066567</c:v>
                </c:pt>
                <c:pt idx="68">
                  <c:v>136273.35076979027</c:v>
                </c:pt>
                <c:pt idx="69">
                  <c:v>134861.5094857043</c:v>
                </c:pt>
                <c:pt idx="70">
                  <c:v>135412.00974740385</c:v>
                </c:pt>
                <c:pt idx="71">
                  <c:v>137940.90483101414</c:v>
                </c:pt>
                <c:pt idx="72">
                  <c:v>139555.24783720367</c:v>
                </c:pt>
                <c:pt idx="73">
                  <c:v>140827.4139596863</c:v>
                </c:pt>
                <c:pt idx="74">
                  <c:v>141304.97377686721</c:v>
                </c:pt>
                <c:pt idx="75">
                  <c:v>144443.42583757182</c:v>
                </c:pt>
                <c:pt idx="76">
                  <c:v>146872.50118386347</c:v>
                </c:pt>
                <c:pt idx="77">
                  <c:v>147904.44998713708</c:v>
                </c:pt>
                <c:pt idx="78">
                  <c:v>150630.82642908409</c:v>
                </c:pt>
                <c:pt idx="79">
                  <c:v>152465.86540375181</c:v>
                </c:pt>
                <c:pt idx="80">
                  <c:v>154632.68618286974</c:v>
                </c:pt>
                <c:pt idx="81">
                  <c:v>154353.06609512545</c:v>
                </c:pt>
                <c:pt idx="82">
                  <c:v>156363.04622933242</c:v>
                </c:pt>
                <c:pt idx="83">
                  <c:v>160097.61962147668</c:v>
                </c:pt>
                <c:pt idx="84">
                  <c:v>163700.43132614283</c:v>
                </c:pt>
                <c:pt idx="85">
                  <c:v>165823.49309667188</c:v>
                </c:pt>
                <c:pt idx="86">
                  <c:v>167285.57002438843</c:v>
                </c:pt>
                <c:pt idx="87">
                  <c:v>168329.13927803855</c:v>
                </c:pt>
                <c:pt idx="88">
                  <c:v>170268.83774871993</c:v>
                </c:pt>
                <c:pt idx="89">
                  <c:v>172841.79704062894</c:v>
                </c:pt>
                <c:pt idx="90">
                  <c:v>176194.67304431333</c:v>
                </c:pt>
                <c:pt idx="91">
                  <c:v>179638.35110549931</c:v>
                </c:pt>
                <c:pt idx="92">
                  <c:v>182851.96916815752</c:v>
                </c:pt>
                <c:pt idx="93">
                  <c:v>183084.56792532056</c:v>
                </c:pt>
                <c:pt idx="94">
                  <c:v>187223.12057088537</c:v>
                </c:pt>
                <c:pt idx="95">
                  <c:v>192113.47269053504</c:v>
                </c:pt>
                <c:pt idx="96">
                  <c:v>197813.64766431713</c:v>
                </c:pt>
                <c:pt idx="97">
                  <c:v>201679.43407030383</c:v>
                </c:pt>
                <c:pt idx="98">
                  <c:v>204241.67365105497</c:v>
                </c:pt>
                <c:pt idx="99">
                  <c:v>208324.38846655458</c:v>
                </c:pt>
                <c:pt idx="100">
                  <c:v>212994.29037779215</c:v>
                </c:pt>
                <c:pt idx="101">
                  <c:v>218315.99256379428</c:v>
                </c:pt>
                <c:pt idx="102">
                  <c:v>224163.48640876738</c:v>
                </c:pt>
                <c:pt idx="103">
                  <c:v>229351.5568446496</c:v>
                </c:pt>
                <c:pt idx="104">
                  <c:v>232580.31715658365</c:v>
                </c:pt>
                <c:pt idx="105">
                  <c:v>235339.12935496232</c:v>
                </c:pt>
                <c:pt idx="106">
                  <c:v>240647.93428131481</c:v>
                </c:pt>
                <c:pt idx="107">
                  <c:v>246388.73853782206</c:v>
                </c:pt>
                <c:pt idx="108">
                  <c:v>252723.29339843459</c:v>
                </c:pt>
                <c:pt idx="109">
                  <c:v>259365.4827081752</c:v>
                </c:pt>
                <c:pt idx="110">
                  <c:v>261108.43824378794</c:v>
                </c:pt>
                <c:pt idx="111">
                  <c:v>268043.45010063244</c:v>
                </c:pt>
                <c:pt idx="112">
                  <c:v>272111.61020487442</c:v>
                </c:pt>
                <c:pt idx="113">
                  <c:v>278460.92438628786</c:v>
                </c:pt>
                <c:pt idx="114">
                  <c:v>284154.3312421593</c:v>
                </c:pt>
                <c:pt idx="115">
                  <c:v>289982.68895101658</c:v>
                </c:pt>
                <c:pt idx="116">
                  <c:v>293320.33811823966</c:v>
                </c:pt>
                <c:pt idx="117">
                  <c:v>296892.25606800453</c:v>
                </c:pt>
                <c:pt idx="118">
                  <c:v>302291.53156153695</c:v>
                </c:pt>
                <c:pt idx="119">
                  <c:v>307576.58234867296</c:v>
                </c:pt>
                <c:pt idx="120">
                  <c:v>313420.10516820761</c:v>
                </c:pt>
                <c:pt idx="121">
                  <c:v>319211.08562870149</c:v>
                </c:pt>
                <c:pt idx="122">
                  <c:v>320850.28697979939</c:v>
                </c:pt>
                <c:pt idx="123">
                  <c:v>327188.21046792122</c:v>
                </c:pt>
                <c:pt idx="124">
                  <c:v>332904.25925582671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7-41A9-B7EC-048BD770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489984"/>
        <c:axId val="1584849200"/>
      </c:lineChart>
      <c:dateAx>
        <c:axId val="293489984"/>
        <c:scaling>
          <c:orientation val="minMax"/>
          <c:max val="41244"/>
          <c:min val="36678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584849200"/>
        <c:crosses val="autoZero"/>
        <c:auto val="1"/>
        <c:lblOffset val="100"/>
        <c:baseTimeUnit val="months"/>
      </c:dateAx>
      <c:valAx>
        <c:axId val="1584849200"/>
        <c:scaling>
          <c:orientation val="minMax"/>
          <c:max val="1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93489984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Aptos Display" panose="020B0004020202020204" pitchFamily="34" charset="0"/>
                      <a:ea typeface="+mn-ea"/>
                      <a:cs typeface="+mn-cs"/>
                    </a:defRPr>
                  </a:pPr>
                  <a:r>
                    <a:rPr lang="pt-BR"/>
                    <a:t>Bilhões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Planilha2!$F$1</c:f>
              <c:strCache>
                <c:ptCount val="1"/>
                <c:pt idx="0">
                  <c:v>Série Descontinuada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Planilha2!$F$2:$F$330</c:f>
              <c:numCache>
                <c:formatCode>General</c:formatCode>
                <c:ptCount val="329"/>
                <c:pt idx="0">
                  <c:v>11.424410463558317</c:v>
                </c:pt>
                <c:pt idx="1">
                  <c:v>11.440414727327292</c:v>
                </c:pt>
                <c:pt idx="2">
                  <c:v>11.458599091233964</c:v>
                </c:pt>
                <c:pt idx="3">
                  <c:v>11.467000503683945</c:v>
                </c:pt>
                <c:pt idx="4">
                  <c:v>11.478766204228348</c:v>
                </c:pt>
                <c:pt idx="5">
                  <c:v>11.490082438340693</c:v>
                </c:pt>
                <c:pt idx="6">
                  <c:v>11.497462801790906</c:v>
                </c:pt>
                <c:pt idx="7">
                  <c:v>11.509341409911158</c:v>
                </c:pt>
                <c:pt idx="8">
                  <c:v>11.52760456783364</c:v>
                </c:pt>
                <c:pt idx="9">
                  <c:v>11.557647852657912</c:v>
                </c:pt>
                <c:pt idx="10">
                  <c:v>11.575902658494947</c:v>
                </c:pt>
                <c:pt idx="11">
                  <c:v>11.598891028621011</c:v>
                </c:pt>
                <c:pt idx="12">
                  <c:v>11.546152472859061</c:v>
                </c:pt>
                <c:pt idx="13">
                  <c:v>11.560181176278318</c:v>
                </c:pt>
                <c:pt idx="14">
                  <c:v>11.579393545185749</c:v>
                </c:pt>
                <c:pt idx="15">
                  <c:v>11.601007246372594</c:v>
                </c:pt>
                <c:pt idx="16">
                  <c:v>11.623757151440245</c:v>
                </c:pt>
                <c:pt idx="17">
                  <c:v>11.629553024432148</c:v>
                </c:pt>
                <c:pt idx="18">
                  <c:v>11.623437249033621</c:v>
                </c:pt>
                <c:pt idx="19">
                  <c:v>11.644595573980602</c:v>
                </c:pt>
                <c:pt idx="20">
                  <c:v>11.654112599971388</c:v>
                </c:pt>
                <c:pt idx="21">
                  <c:v>11.661731697217339</c:v>
                </c:pt>
                <c:pt idx="22">
                  <c:v>11.67495965950299</c:v>
                </c:pt>
                <c:pt idx="23">
                  <c:v>11.687760509299558</c:v>
                </c:pt>
                <c:pt idx="24">
                  <c:v>11.688700389252153</c:v>
                </c:pt>
                <c:pt idx="25">
                  <c:v>11.678285984823278</c:v>
                </c:pt>
                <c:pt idx="26">
                  <c:v>11.682359643423228</c:v>
                </c:pt>
                <c:pt idx="27">
                  <c:v>11.700862956176467</c:v>
                </c:pt>
                <c:pt idx="28">
                  <c:v>11.712498153297661</c:v>
                </c:pt>
                <c:pt idx="29">
                  <c:v>11.721572714786664</c:v>
                </c:pt>
                <c:pt idx="30">
                  <c:v>11.724958077786701</c:v>
                </c:pt>
                <c:pt idx="31">
                  <c:v>11.746925502791168</c:v>
                </c:pt>
                <c:pt idx="32">
                  <c:v>11.763602460133805</c:v>
                </c:pt>
                <c:pt idx="33">
                  <c:v>11.770604045670739</c:v>
                </c:pt>
                <c:pt idx="34">
                  <c:v>11.788869573780024</c:v>
                </c:pt>
                <c:pt idx="35">
                  <c:v>11.800978326171364</c:v>
                </c:pt>
                <c:pt idx="36">
                  <c:v>11.815090126612754</c:v>
                </c:pt>
                <c:pt idx="37">
                  <c:v>11.813280203909102</c:v>
                </c:pt>
                <c:pt idx="38">
                  <c:v>11.826218111483628</c:v>
                </c:pt>
                <c:pt idx="39">
                  <c:v>11.84982134041527</c:v>
                </c:pt>
                <c:pt idx="40">
                  <c:v>11.872075707827292</c:v>
                </c:pt>
                <c:pt idx="41">
                  <c:v>11.884961516655798</c:v>
                </c:pt>
                <c:pt idx="42">
                  <c:v>11.893739940773504</c:v>
                </c:pt>
                <c:pt idx="43">
                  <c:v>11.899958813713249</c:v>
                </c:pt>
                <c:pt idx="44">
                  <c:v>11.911416175074562</c:v>
                </c:pt>
                <c:pt idx="45">
                  <c:v>11.926414296739972</c:v>
                </c:pt>
                <c:pt idx="46">
                  <c:v>11.945627069202796</c:v>
                </c:pt>
                <c:pt idx="47">
                  <c:v>11.964983257890999</c:v>
                </c:pt>
                <c:pt idx="48">
                  <c:v>11.982714502442796</c:v>
                </c:pt>
                <c:pt idx="49">
                  <c:v>11.983985754503797</c:v>
                </c:pt>
                <c:pt idx="50">
                  <c:v>12.006338652336552</c:v>
                </c:pt>
                <c:pt idx="51">
                  <c:v>12.032123789646828</c:v>
                </c:pt>
                <c:pt idx="52">
                  <c:v>12.061363002696561</c:v>
                </c:pt>
                <c:pt idx="53">
                  <c:v>12.080717065394655</c:v>
                </c:pt>
                <c:pt idx="54">
                  <c:v>12.093341556027223</c:v>
                </c:pt>
                <c:pt idx="55">
                  <c:v>12.113134013382362</c:v>
                </c:pt>
                <c:pt idx="56">
                  <c:v>12.135302948208437</c:v>
                </c:pt>
                <c:pt idx="57">
                  <c:v>12.159981109037362</c:v>
                </c:pt>
                <c:pt idx="58">
                  <c:v>12.186413224279519</c:v>
                </c:pt>
                <c:pt idx="59">
                  <c:v>12.209293597689966</c:v>
                </c:pt>
                <c:pt idx="60">
                  <c:v>12.223273204105451</c:v>
                </c:pt>
                <c:pt idx="61">
                  <c:v>12.235065166105294</c:v>
                </c:pt>
                <c:pt idx="62">
                  <c:v>12.257372600395543</c:v>
                </c:pt>
                <c:pt idx="63">
                  <c:v>12.280948115225151</c:v>
                </c:pt>
                <c:pt idx="64">
                  <c:v>12.306332776812944</c:v>
                </c:pt>
                <c:pt idx="65">
                  <c:v>12.332275785734808</c:v>
                </c:pt>
                <c:pt idx="66">
                  <c:v>12.338973381832796</c:v>
                </c:pt>
                <c:pt idx="67">
                  <c:v>12.365186683207179</c:v>
                </c:pt>
                <c:pt idx="68">
                  <c:v>12.38024990236492</c:v>
                </c:pt>
                <c:pt idx="69">
                  <c:v>12.403315330709592</c:v>
                </c:pt>
                <c:pt idx="70">
                  <c:v>12.423555099025215</c:v>
                </c:pt>
                <c:pt idx="71">
                  <c:v>12.443858816522805</c:v>
                </c:pt>
                <c:pt idx="72">
                  <c:v>12.455302904549505</c:v>
                </c:pt>
                <c:pt idx="73">
                  <c:v>12.467406887398782</c:v>
                </c:pt>
                <c:pt idx="74">
                  <c:v>12.485429476630264</c:v>
                </c:pt>
                <c:pt idx="75">
                  <c:v>12.50276169312392</c:v>
                </c:pt>
                <c:pt idx="76">
                  <c:v>12.521582068241775</c:v>
                </c:pt>
                <c:pt idx="77">
                  <c:v>12.539890182982184</c:v>
                </c:pt>
                <c:pt idx="78">
                  <c:v>12.54501220722851</c:v>
                </c:pt>
                <c:pt idx="79">
                  <c:v>12.564573161098538</c:v>
                </c:pt>
                <c:pt idx="80">
                  <c:v>12.58189252749569</c:v>
                </c:pt>
                <c:pt idx="81">
                  <c:v>12.599859831358083</c:v>
                </c:pt>
                <c:pt idx="82">
                  <c:v>12.620486622800064</c:v>
                </c:pt>
                <c:pt idx="83">
                  <c:v>12.646016104933132</c:v>
                </c:pt>
                <c:pt idx="84">
                  <c:v>12.656107165809926</c:v>
                </c:pt>
                <c:pt idx="85">
                  <c:v>12.669333169179247</c:v>
                </c:pt>
                <c:pt idx="86">
                  <c:v>12.687432108783243</c:v>
                </c:pt>
                <c:pt idx="87">
                  <c:v>12.705329001661752</c:v>
                </c:pt>
                <c:pt idx="88">
                  <c:v>12.729856527242998</c:v>
                </c:pt>
                <c:pt idx="89">
                  <c:v>12.750561762938281</c:v>
                </c:pt>
                <c:pt idx="90">
                  <c:v>12.760243465065114</c:v>
                </c:pt>
                <c:pt idx="91">
                  <c:v>12.779996598855528</c:v>
                </c:pt>
                <c:pt idx="92">
                  <c:v>12.794147985428323</c:v>
                </c:pt>
                <c:pt idx="93">
                  <c:v>12.810788412234311</c:v>
                </c:pt>
                <c:pt idx="94">
                  <c:v>12.830388225526885</c:v>
                </c:pt>
                <c:pt idx="95">
                  <c:v>12.849155744332132</c:v>
                </c:pt>
                <c:pt idx="96">
                  <c:v>12.861260602324416</c:v>
                </c:pt>
                <c:pt idx="97">
                  <c:v>12.873279265261164</c:v>
                </c:pt>
                <c:pt idx="98">
                  <c:v>12.885530493272929</c:v>
                </c:pt>
                <c:pt idx="99">
                  <c:v>12.902467927791811</c:v>
                </c:pt>
                <c:pt idx="100">
                  <c:v>12.934613366779782</c:v>
                </c:pt>
                <c:pt idx="101">
                  <c:v>12.939281008065894</c:v>
                </c:pt>
                <c:pt idx="102">
                  <c:v>12.937468528532474</c:v>
                </c:pt>
                <c:pt idx="103">
                  <c:v>12.944310723066691</c:v>
                </c:pt>
                <c:pt idx="104">
                  <c:v>12.953224828845915</c:v>
                </c:pt>
                <c:pt idx="105">
                  <c:v>12.964410480636218</c:v>
                </c:pt>
                <c:pt idx="106">
                  <c:v>12.978561678991547</c:v>
                </c:pt>
                <c:pt idx="107">
                  <c:v>12.995305362046341</c:v>
                </c:pt>
                <c:pt idx="108">
                  <c:v>13.00812140701944</c:v>
                </c:pt>
                <c:pt idx="109">
                  <c:v>13.020971618026509</c:v>
                </c:pt>
                <c:pt idx="110">
                  <c:v>13.042003882058877</c:v>
                </c:pt>
                <c:pt idx="111">
                  <c:v>13.062738539262595</c:v>
                </c:pt>
                <c:pt idx="112">
                  <c:v>13.084178718721216</c:v>
                </c:pt>
                <c:pt idx="113">
                  <c:v>13.096296277488889</c:v>
                </c:pt>
                <c:pt idx="114">
                  <c:v>13.10186984821039</c:v>
                </c:pt>
                <c:pt idx="115">
                  <c:v>13.120939043522251</c:v>
                </c:pt>
                <c:pt idx="116">
                  <c:v>13.139004121014539</c:v>
                </c:pt>
                <c:pt idx="117">
                  <c:v>13.164215590507135</c:v>
                </c:pt>
                <c:pt idx="118">
                  <c:v>13.185462033683841</c:v>
                </c:pt>
                <c:pt idx="119">
                  <c:v>13.209805886276584</c:v>
                </c:pt>
                <c:pt idx="120">
                  <c:v>13.22626815038276</c:v>
                </c:pt>
                <c:pt idx="121">
                  <c:v>13.24542906105119</c:v>
                </c:pt>
                <c:pt idx="122">
                  <c:v>13.269118866950375</c:v>
                </c:pt>
                <c:pt idx="123">
                  <c:v>13.296263239402123</c:v>
                </c:pt>
                <c:pt idx="124">
                  <c:v>13.319566691167713</c:v>
                </c:pt>
                <c:pt idx="125">
                  <c:v>13.345273768738863</c:v>
                </c:pt>
                <c:pt idx="126">
                  <c:v>13.362253230598972</c:v>
                </c:pt>
                <c:pt idx="127">
                  <c:v>13.383800348991715</c:v>
                </c:pt>
                <c:pt idx="128">
                  <c:v>13.403140922874462</c:v>
                </c:pt>
                <c:pt idx="129">
                  <c:v>13.420623368883131</c:v>
                </c:pt>
                <c:pt idx="130">
                  <c:v>13.441410070140915</c:v>
                </c:pt>
                <c:pt idx="131">
                  <c:v>13.464609571177419</c:v>
                </c:pt>
                <c:pt idx="132">
                  <c:v>13.489430575523828</c:v>
                </c:pt>
                <c:pt idx="133">
                  <c:v>13.499565159472514</c:v>
                </c:pt>
                <c:pt idx="134">
                  <c:v>13.524791255127703</c:v>
                </c:pt>
                <c:pt idx="135">
                  <c:v>13.543605954744367</c:v>
                </c:pt>
                <c:pt idx="136">
                  <c:v>13.558765448333943</c:v>
                </c:pt>
                <c:pt idx="137">
                  <c:v>13.575466461088139</c:v>
                </c:pt>
                <c:pt idx="138">
                  <c:v>13.586110563361068</c:v>
                </c:pt>
                <c:pt idx="139">
                  <c:v>13.604060906948758</c:v>
                </c:pt>
                <c:pt idx="140">
                  <c:v>13.617344451842511</c:v>
                </c:pt>
                <c:pt idx="141">
                  <c:v>13.63050043661746</c:v>
                </c:pt>
                <c:pt idx="142">
                  <c:v>13.643603127028213</c:v>
                </c:pt>
                <c:pt idx="143">
                  <c:v>13.658791961024951</c:v>
                </c:pt>
                <c:pt idx="144">
                  <c:v>13.678745349044734</c:v>
                </c:pt>
                <c:pt idx="145">
                  <c:v>13.688024995280069</c:v>
                </c:pt>
                <c:pt idx="146">
                  <c:v>13.710960244004394</c:v>
                </c:pt>
                <c:pt idx="147">
                  <c:v>13.721335144069506</c:v>
                </c:pt>
                <c:pt idx="148">
                  <c:v>13.737536808852482</c:v>
                </c:pt>
                <c:pt idx="149">
                  <c:v>13.751056231682217</c:v>
                </c:pt>
                <c:pt idx="150">
                  <c:v>13.765101694457666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3-4A67-A6E6-16FE285916A4}"/>
            </c:ext>
          </c:extLst>
        </c:ser>
        <c:ser>
          <c:idx val="1"/>
          <c:order val="1"/>
          <c:tx>
            <c:strRef>
              <c:f>Planilha2!$G$1</c:f>
              <c:strCache>
                <c:ptCount val="1"/>
                <c:pt idx="0">
                  <c:v>Série Atual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Planilha2!$G$2:$G$330</c:f>
              <c:numCache>
                <c:formatCode>General</c:formatCode>
                <c:ptCount val="329"/>
                <c:pt idx="81">
                  <c:v>12.76110939422043</c:v>
                </c:pt>
                <c:pt idx="82">
                  <c:v>12.785633907701524</c:v>
                </c:pt>
                <c:pt idx="83">
                  <c:v>12.813926064064084</c:v>
                </c:pt>
                <c:pt idx="84">
                  <c:v>12.834619969738249</c:v>
                </c:pt>
                <c:pt idx="85">
                  <c:v>12.8620084927803</c:v>
                </c:pt>
                <c:pt idx="86">
                  <c:v>12.881213684147376</c:v>
                </c:pt>
                <c:pt idx="87">
                  <c:v>12.902723680416797</c:v>
                </c:pt>
                <c:pt idx="88">
                  <c:v>12.933094544072446</c:v>
                </c:pt>
                <c:pt idx="89">
                  <c:v>12.957408542319566</c:v>
                </c:pt>
                <c:pt idx="90">
                  <c:v>12.975868318387947</c:v>
                </c:pt>
                <c:pt idx="91">
                  <c:v>12.994195859164552</c:v>
                </c:pt>
                <c:pt idx="92">
                  <c:v>13.006240712569102</c:v>
                </c:pt>
                <c:pt idx="93">
                  <c:v>13.031858632978489</c:v>
                </c:pt>
                <c:pt idx="94">
                  <c:v>13.059289383323287</c:v>
                </c:pt>
                <c:pt idx="95">
                  <c:v>13.083759753812114</c:v>
                </c:pt>
                <c:pt idx="96">
                  <c:v>13.101137698049696</c:v>
                </c:pt>
                <c:pt idx="97">
                  <c:v>13.114296930926143</c:v>
                </c:pt>
                <c:pt idx="98">
                  <c:v>13.130254163107065</c:v>
                </c:pt>
                <c:pt idx="99">
                  <c:v>13.150373408102624</c:v>
                </c:pt>
                <c:pt idx="100">
                  <c:v>13.170942090648161</c:v>
                </c:pt>
                <c:pt idx="101">
                  <c:v>13.175754370083581</c:v>
                </c:pt>
                <c:pt idx="102">
                  <c:v>13.188548042902514</c:v>
                </c:pt>
                <c:pt idx="103">
                  <c:v>13.193839030902375</c:v>
                </c:pt>
                <c:pt idx="104">
                  <c:v>13.192309128090995</c:v>
                </c:pt>
                <c:pt idx="105">
                  <c:v>13.204656474128857</c:v>
                </c:pt>
                <c:pt idx="106">
                  <c:v>13.22009426130256</c:v>
                </c:pt>
                <c:pt idx="107">
                  <c:v>13.242422930937527</c:v>
                </c:pt>
                <c:pt idx="108">
                  <c:v>13.259037077804466</c:v>
                </c:pt>
                <c:pt idx="109">
                  <c:v>13.269724201098294</c:v>
                </c:pt>
                <c:pt idx="110">
                  <c:v>13.28539677454093</c:v>
                </c:pt>
                <c:pt idx="111">
                  <c:v>13.304738266109444</c:v>
                </c:pt>
                <c:pt idx="112">
                  <c:v>13.318832714051004</c:v>
                </c:pt>
                <c:pt idx="113">
                  <c:v>13.330479378573399</c:v>
                </c:pt>
                <c:pt idx="114">
                  <c:v>13.347991838770671</c:v>
                </c:pt>
                <c:pt idx="115">
                  <c:v>13.362890947262645</c:v>
                </c:pt>
                <c:pt idx="116">
                  <c:v>13.37265506063755</c:v>
                </c:pt>
                <c:pt idx="117">
                  <c:v>13.39112253549901</c:v>
                </c:pt>
                <c:pt idx="118">
                  <c:v>13.406111220916564</c:v>
                </c:pt>
                <c:pt idx="119">
                  <c:v>13.426631143659893</c:v>
                </c:pt>
                <c:pt idx="120">
                  <c:v>13.438169242381019</c:v>
                </c:pt>
                <c:pt idx="121">
                  <c:v>13.458852756735748</c:v>
                </c:pt>
                <c:pt idx="122">
                  <c:v>13.47809747888957</c:v>
                </c:pt>
                <c:pt idx="123">
                  <c:v>13.497260681066056</c:v>
                </c:pt>
                <c:pt idx="124">
                  <c:v>13.516186310965212</c:v>
                </c:pt>
                <c:pt idx="125">
                  <c:v>13.539290544415925</c:v>
                </c:pt>
                <c:pt idx="126">
                  <c:v>13.561646167004502</c:v>
                </c:pt>
                <c:pt idx="127">
                  <c:v>13.573751049981704</c:v>
                </c:pt>
                <c:pt idx="128">
                  <c:v>13.584264267946878</c:v>
                </c:pt>
                <c:pt idx="129">
                  <c:v>13.593359014447586</c:v>
                </c:pt>
                <c:pt idx="130">
                  <c:v>13.606838044286839</c:v>
                </c:pt>
                <c:pt idx="131">
                  <c:v>13.623937134334358</c:v>
                </c:pt>
                <c:pt idx="132">
                  <c:v>13.638935657465884</c:v>
                </c:pt>
                <c:pt idx="133">
                  <c:v>13.651834488650142</c:v>
                </c:pt>
                <c:pt idx="134">
                  <c:v>13.67514328241195</c:v>
                </c:pt>
                <c:pt idx="135">
                  <c:v>13.689869100636184</c:v>
                </c:pt>
                <c:pt idx="136">
                  <c:v>13.703447631246773</c:v>
                </c:pt>
                <c:pt idx="137">
                  <c:v>13.719645924478911</c:v>
                </c:pt>
                <c:pt idx="138">
                  <c:v>13.73386439878252</c:v>
                </c:pt>
                <c:pt idx="139">
                  <c:v>13.747361259141261</c:v>
                </c:pt>
                <c:pt idx="140">
                  <c:v>13.754826996910957</c:v>
                </c:pt>
                <c:pt idx="141">
                  <c:v>13.767549599908408</c:v>
                </c:pt>
                <c:pt idx="142">
                  <c:v>13.779732073538041</c:v>
                </c:pt>
                <c:pt idx="143">
                  <c:v>13.796152391880575</c:v>
                </c:pt>
                <c:pt idx="144">
                  <c:v>13.809630303103219</c:v>
                </c:pt>
                <c:pt idx="145">
                  <c:v>13.81968582937475</c:v>
                </c:pt>
                <c:pt idx="146">
                  <c:v>13.83781495518353</c:v>
                </c:pt>
                <c:pt idx="147">
                  <c:v>13.840832240941056</c:v>
                </c:pt>
                <c:pt idx="148">
                  <c:v>13.856184061460283</c:v>
                </c:pt>
                <c:pt idx="149">
                  <c:v>13.87022220312781</c:v>
                </c:pt>
                <c:pt idx="150">
                  <c:v>13.889198656269022</c:v>
                </c:pt>
                <c:pt idx="151">
                  <c:v>13.900104431813208</c:v>
                </c:pt>
                <c:pt idx="152">
                  <c:v>13.906058507236772</c:v>
                </c:pt>
                <c:pt idx="153">
                  <c:v>13.918080684103867</c:v>
                </c:pt>
                <c:pt idx="154">
                  <c:v>13.93315669536163</c:v>
                </c:pt>
                <c:pt idx="155">
                  <c:v>13.950027464810089</c:v>
                </c:pt>
                <c:pt idx="156">
                  <c:v>13.96402883411586</c:v>
                </c:pt>
                <c:pt idx="157">
                  <c:v>13.97592216862458</c:v>
                </c:pt>
                <c:pt idx="158">
                  <c:v>13.989879744984233</c:v>
                </c:pt>
                <c:pt idx="159">
                  <c:v>13.999869205146654</c:v>
                </c:pt>
                <c:pt idx="160">
                  <c:v>14.008180056322757</c:v>
                </c:pt>
                <c:pt idx="161">
                  <c:v>14.020884358288381</c:v>
                </c:pt>
                <c:pt idx="162">
                  <c:v>14.038150782630876</c:v>
                </c:pt>
                <c:pt idx="163">
                  <c:v>14.049101742199053</c:v>
                </c:pt>
                <c:pt idx="164">
                  <c:v>14.05468965000542</c:v>
                </c:pt>
                <c:pt idx="165">
                  <c:v>14.063622196117462</c:v>
                </c:pt>
                <c:pt idx="166">
                  <c:v>14.073401756247904</c:v>
                </c:pt>
                <c:pt idx="167">
                  <c:v>14.086441103774767</c:v>
                </c:pt>
                <c:pt idx="168">
                  <c:v>14.096753946507008</c:v>
                </c:pt>
                <c:pt idx="169">
                  <c:v>14.102987609400683</c:v>
                </c:pt>
                <c:pt idx="170">
                  <c:v>14.114234939101781</c:v>
                </c:pt>
                <c:pt idx="171">
                  <c:v>14.123733955396142</c:v>
                </c:pt>
                <c:pt idx="172">
                  <c:v>14.136419454514272</c:v>
                </c:pt>
                <c:pt idx="173">
                  <c:v>14.145214225128202</c:v>
                </c:pt>
                <c:pt idx="174">
                  <c:v>14.16339245613705</c:v>
                </c:pt>
                <c:pt idx="175">
                  <c:v>14.173268914799248</c:v>
                </c:pt>
                <c:pt idx="176">
                  <c:v>14.175816501836884</c:v>
                </c:pt>
                <c:pt idx="177">
                  <c:v>14.183717452622931</c:v>
                </c:pt>
                <c:pt idx="178">
                  <c:v>14.189293030091823</c:v>
                </c:pt>
                <c:pt idx="179">
                  <c:v>14.195181847377127</c:v>
                </c:pt>
                <c:pt idx="180">
                  <c:v>14.200692683424098</c:v>
                </c:pt>
                <c:pt idx="181">
                  <c:v>14.204412585772968</c:v>
                </c:pt>
                <c:pt idx="182">
                  <c:v>14.211996809851613</c:v>
                </c:pt>
                <c:pt idx="183">
                  <c:v>14.216343621364922</c:v>
                </c:pt>
                <c:pt idx="184">
                  <c:v>14.218716449296329</c:v>
                </c:pt>
                <c:pt idx="185">
                  <c:v>14.226441368536522</c:v>
                </c:pt>
                <c:pt idx="186">
                  <c:v>14.23334090047959</c:v>
                </c:pt>
                <c:pt idx="187">
                  <c:v>14.23546945514928</c:v>
                </c:pt>
                <c:pt idx="188">
                  <c:v>14.236069183680076</c:v>
                </c:pt>
                <c:pt idx="189">
                  <c:v>14.239201888095785</c:v>
                </c:pt>
                <c:pt idx="190">
                  <c:v>14.238406201135323</c:v>
                </c:pt>
                <c:pt idx="191">
                  <c:v>14.242968050961252</c:v>
                </c:pt>
                <c:pt idx="192">
                  <c:v>14.245211589030118</c:v>
                </c:pt>
                <c:pt idx="193">
                  <c:v>14.246116958478771</c:v>
                </c:pt>
                <c:pt idx="194">
                  <c:v>14.251695606230095</c:v>
                </c:pt>
                <c:pt idx="195">
                  <c:v>14.253899673440667</c:v>
                </c:pt>
                <c:pt idx="196">
                  <c:v>14.252438156766859</c:v>
                </c:pt>
                <c:pt idx="197">
                  <c:v>14.259093848585197</c:v>
                </c:pt>
                <c:pt idx="198">
                  <c:v>14.266052914145844</c:v>
                </c:pt>
                <c:pt idx="199">
                  <c:v>14.269467373009528</c:v>
                </c:pt>
                <c:pt idx="200">
                  <c:v>14.270090856780101</c:v>
                </c:pt>
                <c:pt idx="201">
                  <c:v>14.275884848583324</c:v>
                </c:pt>
                <c:pt idx="202">
                  <c:v>14.276960836375716</c:v>
                </c:pt>
                <c:pt idx="203">
                  <c:v>14.283382541867551</c:v>
                </c:pt>
                <c:pt idx="204">
                  <c:v>14.288208678804873</c:v>
                </c:pt>
                <c:pt idx="205">
                  <c:v>14.291127776493335</c:v>
                </c:pt>
                <c:pt idx="206">
                  <c:v>14.298435348298531</c:v>
                </c:pt>
                <c:pt idx="207">
                  <c:v>14.300532717372469</c:v>
                </c:pt>
                <c:pt idx="208">
                  <c:v>14.307965876171384</c:v>
                </c:pt>
                <c:pt idx="209">
                  <c:v>14.316890511514494</c:v>
                </c:pt>
                <c:pt idx="210">
                  <c:v>14.322425745932541</c:v>
                </c:pt>
                <c:pt idx="211">
                  <c:v>14.328574873987748</c:v>
                </c:pt>
                <c:pt idx="212">
                  <c:v>14.327740595080002</c:v>
                </c:pt>
                <c:pt idx="213">
                  <c:v>14.33348437243143</c:v>
                </c:pt>
                <c:pt idx="214">
                  <c:v>14.339642459248228</c:v>
                </c:pt>
                <c:pt idx="215">
                  <c:v>14.345049392298062</c:v>
                </c:pt>
                <c:pt idx="216">
                  <c:v>14.349734689034799</c:v>
                </c:pt>
                <c:pt idx="217">
                  <c:v>14.35408597005158</c:v>
                </c:pt>
                <c:pt idx="218">
                  <c:v>14.36477813018656</c:v>
                </c:pt>
                <c:pt idx="219">
                  <c:v>14.369838676497645</c:v>
                </c:pt>
                <c:pt idx="220">
                  <c:v>14.380686289300227</c:v>
                </c:pt>
                <c:pt idx="221">
                  <c:v>14.394770417209173</c:v>
                </c:pt>
                <c:pt idx="222">
                  <c:v>14.404977477114928</c:v>
                </c:pt>
                <c:pt idx="223">
                  <c:v>14.411085702650972</c:v>
                </c:pt>
                <c:pt idx="224">
                  <c:v>14.416094981096254</c:v>
                </c:pt>
                <c:pt idx="225">
                  <c:v>14.423265958370198</c:v>
                </c:pt>
                <c:pt idx="226">
                  <c:v>14.432071467153129</c:v>
                </c:pt>
                <c:pt idx="227">
                  <c:v>14.441803471448926</c:v>
                </c:pt>
                <c:pt idx="228">
                  <c:v>14.448025179176282</c:v>
                </c:pt>
                <c:pt idx="229">
                  <c:v>14.456977527188696</c:v>
                </c:pt>
                <c:pt idx="230">
                  <c:v>14.468768642052565</c:v>
                </c:pt>
                <c:pt idx="231">
                  <c:v>14.478857077037086</c:v>
                </c:pt>
                <c:pt idx="232">
                  <c:v>14.490866407215529</c:v>
                </c:pt>
                <c:pt idx="233">
                  <c:v>14.502626587642307</c:v>
                </c:pt>
                <c:pt idx="234">
                  <c:v>14.517144622824036</c:v>
                </c:pt>
                <c:pt idx="235">
                  <c:v>14.525334898396368</c:v>
                </c:pt>
                <c:pt idx="236">
                  <c:v>14.529764906693678</c:v>
                </c:pt>
                <c:pt idx="237">
                  <c:v>14.533006877500135</c:v>
                </c:pt>
                <c:pt idx="238">
                  <c:v>14.523231523139751</c:v>
                </c:pt>
                <c:pt idx="239">
                  <c:v>14.52246054006368</c:v>
                </c:pt>
                <c:pt idx="240">
                  <c:v>14.529022952636794</c:v>
                </c:pt>
                <c:pt idx="241">
                  <c:v>14.538423800839309</c:v>
                </c:pt>
                <c:pt idx="242">
                  <c:v>14.553695633633637</c:v>
                </c:pt>
                <c:pt idx="243">
                  <c:v>14.568385487682347</c:v>
                </c:pt>
                <c:pt idx="244">
                  <c:v>14.585197857751815</c:v>
                </c:pt>
                <c:pt idx="245">
                  <c:v>14.606557290282282</c:v>
                </c:pt>
                <c:pt idx="246">
                  <c:v>14.62247068155952</c:v>
                </c:pt>
                <c:pt idx="247">
                  <c:v>14.628423252216226</c:v>
                </c:pt>
                <c:pt idx="248">
                  <c:v>14.636099313291783</c:v>
                </c:pt>
                <c:pt idx="249">
                  <c:v>14.647699856670679</c:v>
                </c:pt>
                <c:pt idx="250">
                  <c:v>14.65850172929351</c:v>
                </c:pt>
                <c:pt idx="251">
                  <c:v>14.67500107066264</c:v>
                </c:pt>
                <c:pt idx="252">
                  <c:v>14.690733848531909</c:v>
                </c:pt>
                <c:pt idx="253">
                  <c:v>14.707841328793357</c:v>
                </c:pt>
                <c:pt idx="254">
                  <c:v>14.730850037541391</c:v>
                </c:pt>
                <c:pt idx="255">
                  <c:v>14.751434098794721</c:v>
                </c:pt>
                <c:pt idx="256">
                  <c:v>14.772455206234348</c:v>
                </c:pt>
                <c:pt idx="257">
                  <c:v>14.796476426643656</c:v>
                </c:pt>
                <c:pt idx="258">
                  <c:v>14.812764681244904</c:v>
                </c:pt>
                <c:pt idx="259">
                  <c:v>14.822527890164428</c:v>
                </c:pt>
                <c:pt idx="260">
                  <c:v>14.829931127033589</c:v>
                </c:pt>
                <c:pt idx="261">
                  <c:v>14.845890400234689</c:v>
                </c:pt>
                <c:pt idx="262">
                  <c:v>14.856543873781655</c:v>
                </c:pt>
                <c:pt idx="263">
                  <c:v>14.872346229938673</c:v>
                </c:pt>
                <c:pt idx="264">
                  <c:v>14.885762123074535</c:v>
                </c:pt>
                <c:pt idx="265">
                  <c:v>14.899814299201694</c:v>
                </c:pt>
                <c:pt idx="266">
                  <c:v>14.918487972260616</c:v>
                </c:pt>
                <c:pt idx="267">
                  <c:v>14.933337392545868</c:v>
                </c:pt>
                <c:pt idx="268">
                  <c:v>14.951449780537697</c:v>
                </c:pt>
                <c:pt idx="269">
                  <c:v>14.965836669252209</c:v>
                </c:pt>
                <c:pt idx="270">
                  <c:v>14.975838950996335</c:v>
                </c:pt>
                <c:pt idx="271">
                  <c:v>14.986899218313875</c:v>
                </c:pt>
                <c:pt idx="272">
                  <c:v>14.991295902328874</c:v>
                </c:pt>
                <c:pt idx="273">
                  <c:v>15.001645814959069</c:v>
                </c:pt>
                <c:pt idx="274">
                  <c:v>15.005295691579359</c:v>
                </c:pt>
                <c:pt idx="275">
                  <c:v>15.013461869435659</c:v>
                </c:pt>
                <c:pt idx="276">
                  <c:v>15.013963355044449</c:v>
                </c:pt>
                <c:pt idx="277">
                  <c:v>15.020365772851472</c:v>
                </c:pt>
                <c:pt idx="278">
                  <c:v>15.036813818641351</c:v>
                </c:pt>
                <c:pt idx="279">
                  <c:v>15.043963854823737</c:v>
                </c:pt>
                <c:pt idx="280">
                  <c:v>15.053786813193577</c:v>
                </c:pt>
                <c:pt idx="281">
                  <c:v>15.06554838806928</c:v>
                </c:pt>
                <c:pt idx="282">
                  <c:v>15.072435425160318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3-4A67-A6E6-16FE285916A4}"/>
            </c:ext>
          </c:extLst>
        </c:ser>
        <c:ser>
          <c:idx val="2"/>
          <c:order val="2"/>
          <c:tx>
            <c:strRef>
              <c:f>Planilha2!$H$1</c:f>
              <c:strCache>
                <c:ptCount val="1"/>
                <c:pt idx="0">
                  <c:v>Série Atual Retropolada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Planilha2!$A$2:$A$330</c:f>
              <c:numCache>
                <c:formatCode>[$-416]mmm\-yy;@</c:formatCode>
                <c:ptCount val="329"/>
                <c:pt idx="0">
                  <c:v>36678</c:v>
                </c:pt>
                <c:pt idx="1">
                  <c:v>36708</c:v>
                </c:pt>
                <c:pt idx="2">
                  <c:v>36739</c:v>
                </c:pt>
                <c:pt idx="3">
                  <c:v>36770</c:v>
                </c:pt>
                <c:pt idx="4">
                  <c:v>36800</c:v>
                </c:pt>
                <c:pt idx="5">
                  <c:v>36831</c:v>
                </c:pt>
                <c:pt idx="6">
                  <c:v>36861</c:v>
                </c:pt>
                <c:pt idx="7">
                  <c:v>36892</c:v>
                </c:pt>
                <c:pt idx="8">
                  <c:v>36923</c:v>
                </c:pt>
                <c:pt idx="9">
                  <c:v>36951</c:v>
                </c:pt>
                <c:pt idx="10">
                  <c:v>36982</c:v>
                </c:pt>
                <c:pt idx="11">
                  <c:v>37012</c:v>
                </c:pt>
                <c:pt idx="12">
                  <c:v>37043</c:v>
                </c:pt>
                <c:pt idx="13">
                  <c:v>37073</c:v>
                </c:pt>
                <c:pt idx="14">
                  <c:v>37104</c:v>
                </c:pt>
                <c:pt idx="15">
                  <c:v>37135</c:v>
                </c:pt>
                <c:pt idx="16">
                  <c:v>37165</c:v>
                </c:pt>
                <c:pt idx="17">
                  <c:v>37196</c:v>
                </c:pt>
                <c:pt idx="18">
                  <c:v>37226</c:v>
                </c:pt>
                <c:pt idx="19">
                  <c:v>37257</c:v>
                </c:pt>
                <c:pt idx="20">
                  <c:v>37288</c:v>
                </c:pt>
                <c:pt idx="21">
                  <c:v>37316</c:v>
                </c:pt>
                <c:pt idx="22">
                  <c:v>37347</c:v>
                </c:pt>
                <c:pt idx="23">
                  <c:v>37377</c:v>
                </c:pt>
                <c:pt idx="24">
                  <c:v>37408</c:v>
                </c:pt>
                <c:pt idx="25">
                  <c:v>37438</c:v>
                </c:pt>
                <c:pt idx="26">
                  <c:v>37469</c:v>
                </c:pt>
                <c:pt idx="27">
                  <c:v>37500</c:v>
                </c:pt>
                <c:pt idx="28">
                  <c:v>37530</c:v>
                </c:pt>
                <c:pt idx="29">
                  <c:v>37561</c:v>
                </c:pt>
                <c:pt idx="30">
                  <c:v>37591</c:v>
                </c:pt>
                <c:pt idx="31">
                  <c:v>37622</c:v>
                </c:pt>
                <c:pt idx="32">
                  <c:v>37653</c:v>
                </c:pt>
                <c:pt idx="33">
                  <c:v>37681</c:v>
                </c:pt>
                <c:pt idx="34">
                  <c:v>37712</c:v>
                </c:pt>
                <c:pt idx="35">
                  <c:v>37742</c:v>
                </c:pt>
                <c:pt idx="36">
                  <c:v>37773</c:v>
                </c:pt>
                <c:pt idx="37">
                  <c:v>37803</c:v>
                </c:pt>
                <c:pt idx="38">
                  <c:v>37834</c:v>
                </c:pt>
                <c:pt idx="39">
                  <c:v>37865</c:v>
                </c:pt>
                <c:pt idx="40">
                  <c:v>37895</c:v>
                </c:pt>
                <c:pt idx="41">
                  <c:v>37926</c:v>
                </c:pt>
                <c:pt idx="42">
                  <c:v>37956</c:v>
                </c:pt>
                <c:pt idx="43">
                  <c:v>37987</c:v>
                </c:pt>
                <c:pt idx="44">
                  <c:v>38018</c:v>
                </c:pt>
                <c:pt idx="45">
                  <c:v>38047</c:v>
                </c:pt>
                <c:pt idx="46">
                  <c:v>38078</c:v>
                </c:pt>
                <c:pt idx="47">
                  <c:v>38108</c:v>
                </c:pt>
                <c:pt idx="48">
                  <c:v>38139</c:v>
                </c:pt>
                <c:pt idx="49">
                  <c:v>38169</c:v>
                </c:pt>
                <c:pt idx="50">
                  <c:v>38200</c:v>
                </c:pt>
                <c:pt idx="51">
                  <c:v>38231</c:v>
                </c:pt>
                <c:pt idx="52">
                  <c:v>38261</c:v>
                </c:pt>
                <c:pt idx="53">
                  <c:v>38292</c:v>
                </c:pt>
                <c:pt idx="54">
                  <c:v>38322</c:v>
                </c:pt>
                <c:pt idx="55">
                  <c:v>38353</c:v>
                </c:pt>
                <c:pt idx="56">
                  <c:v>38384</c:v>
                </c:pt>
                <c:pt idx="57">
                  <c:v>38412</c:v>
                </c:pt>
                <c:pt idx="58">
                  <c:v>38443</c:v>
                </c:pt>
                <c:pt idx="59">
                  <c:v>38473</c:v>
                </c:pt>
                <c:pt idx="60">
                  <c:v>38504</c:v>
                </c:pt>
                <c:pt idx="61">
                  <c:v>38534</c:v>
                </c:pt>
                <c:pt idx="62">
                  <c:v>38565</c:v>
                </c:pt>
                <c:pt idx="63">
                  <c:v>38596</c:v>
                </c:pt>
                <c:pt idx="64">
                  <c:v>38626</c:v>
                </c:pt>
                <c:pt idx="65">
                  <c:v>38657</c:v>
                </c:pt>
                <c:pt idx="66">
                  <c:v>38687</c:v>
                </c:pt>
                <c:pt idx="67">
                  <c:v>38718</c:v>
                </c:pt>
                <c:pt idx="68">
                  <c:v>38749</c:v>
                </c:pt>
                <c:pt idx="69">
                  <c:v>38777</c:v>
                </c:pt>
                <c:pt idx="70">
                  <c:v>38808</c:v>
                </c:pt>
                <c:pt idx="71">
                  <c:v>38838</c:v>
                </c:pt>
                <c:pt idx="72">
                  <c:v>38869</c:v>
                </c:pt>
                <c:pt idx="73">
                  <c:v>38899</c:v>
                </c:pt>
                <c:pt idx="74">
                  <c:v>38930</c:v>
                </c:pt>
                <c:pt idx="75">
                  <c:v>38961</c:v>
                </c:pt>
                <c:pt idx="76">
                  <c:v>38991</c:v>
                </c:pt>
                <c:pt idx="77">
                  <c:v>39022</c:v>
                </c:pt>
                <c:pt idx="78">
                  <c:v>39052</c:v>
                </c:pt>
                <c:pt idx="79">
                  <c:v>39083</c:v>
                </c:pt>
                <c:pt idx="80">
                  <c:v>39114</c:v>
                </c:pt>
                <c:pt idx="81">
                  <c:v>39142</c:v>
                </c:pt>
                <c:pt idx="82">
                  <c:v>39173</c:v>
                </c:pt>
                <c:pt idx="83">
                  <c:v>39203</c:v>
                </c:pt>
                <c:pt idx="84">
                  <c:v>39234</c:v>
                </c:pt>
                <c:pt idx="85">
                  <c:v>39264</c:v>
                </c:pt>
                <c:pt idx="86">
                  <c:v>39295</c:v>
                </c:pt>
                <c:pt idx="87">
                  <c:v>39326</c:v>
                </c:pt>
                <c:pt idx="88">
                  <c:v>39356</c:v>
                </c:pt>
                <c:pt idx="89">
                  <c:v>39387</c:v>
                </c:pt>
                <c:pt idx="90">
                  <c:v>39417</c:v>
                </c:pt>
                <c:pt idx="91">
                  <c:v>39448</c:v>
                </c:pt>
                <c:pt idx="92">
                  <c:v>39479</c:v>
                </c:pt>
                <c:pt idx="93">
                  <c:v>39508</c:v>
                </c:pt>
                <c:pt idx="94">
                  <c:v>39539</c:v>
                </c:pt>
                <c:pt idx="95">
                  <c:v>39569</c:v>
                </c:pt>
                <c:pt idx="96">
                  <c:v>39600</c:v>
                </c:pt>
                <c:pt idx="97">
                  <c:v>39630</c:v>
                </c:pt>
                <c:pt idx="98">
                  <c:v>39661</c:v>
                </c:pt>
                <c:pt idx="99">
                  <c:v>39692</c:v>
                </c:pt>
                <c:pt idx="100">
                  <c:v>39722</c:v>
                </c:pt>
                <c:pt idx="101">
                  <c:v>39753</c:v>
                </c:pt>
                <c:pt idx="102">
                  <c:v>39783</c:v>
                </c:pt>
                <c:pt idx="103">
                  <c:v>39814</c:v>
                </c:pt>
                <c:pt idx="104">
                  <c:v>39845</c:v>
                </c:pt>
                <c:pt idx="105">
                  <c:v>39873</c:v>
                </c:pt>
                <c:pt idx="106">
                  <c:v>39904</c:v>
                </c:pt>
                <c:pt idx="107">
                  <c:v>39934</c:v>
                </c:pt>
                <c:pt idx="108">
                  <c:v>39965</c:v>
                </c:pt>
                <c:pt idx="109">
                  <c:v>39995</c:v>
                </c:pt>
                <c:pt idx="110">
                  <c:v>40026</c:v>
                </c:pt>
                <c:pt idx="111">
                  <c:v>40057</c:v>
                </c:pt>
                <c:pt idx="112">
                  <c:v>40087</c:v>
                </c:pt>
                <c:pt idx="113">
                  <c:v>40118</c:v>
                </c:pt>
                <c:pt idx="114">
                  <c:v>40148</c:v>
                </c:pt>
                <c:pt idx="115">
                  <c:v>40179</c:v>
                </c:pt>
                <c:pt idx="116">
                  <c:v>40210</c:v>
                </c:pt>
                <c:pt idx="117">
                  <c:v>40238</c:v>
                </c:pt>
                <c:pt idx="118">
                  <c:v>40269</c:v>
                </c:pt>
                <c:pt idx="119">
                  <c:v>40299</c:v>
                </c:pt>
                <c:pt idx="120">
                  <c:v>40330</c:v>
                </c:pt>
                <c:pt idx="121">
                  <c:v>40360</c:v>
                </c:pt>
                <c:pt idx="122">
                  <c:v>40391</c:v>
                </c:pt>
                <c:pt idx="123">
                  <c:v>40422</c:v>
                </c:pt>
                <c:pt idx="124">
                  <c:v>40452</c:v>
                </c:pt>
                <c:pt idx="125">
                  <c:v>40483</c:v>
                </c:pt>
                <c:pt idx="126">
                  <c:v>40513</c:v>
                </c:pt>
                <c:pt idx="127">
                  <c:v>40544</c:v>
                </c:pt>
                <c:pt idx="128">
                  <c:v>40575</c:v>
                </c:pt>
                <c:pt idx="129">
                  <c:v>40603</c:v>
                </c:pt>
                <c:pt idx="130">
                  <c:v>40634</c:v>
                </c:pt>
                <c:pt idx="131">
                  <c:v>40664</c:v>
                </c:pt>
                <c:pt idx="132">
                  <c:v>40695</c:v>
                </c:pt>
                <c:pt idx="133">
                  <c:v>40725</c:v>
                </c:pt>
                <c:pt idx="134">
                  <c:v>40756</c:v>
                </c:pt>
                <c:pt idx="135">
                  <c:v>40787</c:v>
                </c:pt>
                <c:pt idx="136">
                  <c:v>40817</c:v>
                </c:pt>
                <c:pt idx="137">
                  <c:v>40848</c:v>
                </c:pt>
                <c:pt idx="138">
                  <c:v>40878</c:v>
                </c:pt>
                <c:pt idx="139">
                  <c:v>40909</c:v>
                </c:pt>
                <c:pt idx="140">
                  <c:v>40940</c:v>
                </c:pt>
                <c:pt idx="141">
                  <c:v>40969</c:v>
                </c:pt>
                <c:pt idx="142">
                  <c:v>41000</c:v>
                </c:pt>
                <c:pt idx="143">
                  <c:v>41030</c:v>
                </c:pt>
                <c:pt idx="144">
                  <c:v>41061</c:v>
                </c:pt>
                <c:pt idx="145">
                  <c:v>41091</c:v>
                </c:pt>
                <c:pt idx="146">
                  <c:v>41122</c:v>
                </c:pt>
                <c:pt idx="147">
                  <c:v>41153</c:v>
                </c:pt>
                <c:pt idx="148">
                  <c:v>41183</c:v>
                </c:pt>
                <c:pt idx="149">
                  <c:v>41214</c:v>
                </c:pt>
                <c:pt idx="150">
                  <c:v>41244</c:v>
                </c:pt>
                <c:pt idx="151">
                  <c:v>41275</c:v>
                </c:pt>
                <c:pt idx="152">
                  <c:v>41306</c:v>
                </c:pt>
                <c:pt idx="153">
                  <c:v>41334</c:v>
                </c:pt>
                <c:pt idx="154">
                  <c:v>41365</c:v>
                </c:pt>
                <c:pt idx="155">
                  <c:v>41395</c:v>
                </c:pt>
                <c:pt idx="156">
                  <c:v>41426</c:v>
                </c:pt>
                <c:pt idx="157">
                  <c:v>41456</c:v>
                </c:pt>
                <c:pt idx="158">
                  <c:v>41487</c:v>
                </c:pt>
                <c:pt idx="159">
                  <c:v>41518</c:v>
                </c:pt>
                <c:pt idx="160">
                  <c:v>41548</c:v>
                </c:pt>
                <c:pt idx="161">
                  <c:v>41579</c:v>
                </c:pt>
                <c:pt idx="162">
                  <c:v>41609</c:v>
                </c:pt>
                <c:pt idx="163">
                  <c:v>41640</c:v>
                </c:pt>
                <c:pt idx="164">
                  <c:v>41671</c:v>
                </c:pt>
                <c:pt idx="165">
                  <c:v>41699</c:v>
                </c:pt>
                <c:pt idx="166">
                  <c:v>41730</c:v>
                </c:pt>
                <c:pt idx="167">
                  <c:v>41760</c:v>
                </c:pt>
                <c:pt idx="168">
                  <c:v>41791</c:v>
                </c:pt>
                <c:pt idx="169">
                  <c:v>41821</c:v>
                </c:pt>
                <c:pt idx="170">
                  <c:v>41852</c:v>
                </c:pt>
                <c:pt idx="171">
                  <c:v>41883</c:v>
                </c:pt>
                <c:pt idx="172">
                  <c:v>41913</c:v>
                </c:pt>
                <c:pt idx="173">
                  <c:v>41944</c:v>
                </c:pt>
                <c:pt idx="174">
                  <c:v>41974</c:v>
                </c:pt>
                <c:pt idx="175">
                  <c:v>42005</c:v>
                </c:pt>
                <c:pt idx="176">
                  <c:v>42036</c:v>
                </c:pt>
                <c:pt idx="177">
                  <c:v>42064</c:v>
                </c:pt>
                <c:pt idx="178">
                  <c:v>42095</c:v>
                </c:pt>
                <c:pt idx="179">
                  <c:v>42125</c:v>
                </c:pt>
                <c:pt idx="180">
                  <c:v>42156</c:v>
                </c:pt>
                <c:pt idx="181">
                  <c:v>42186</c:v>
                </c:pt>
                <c:pt idx="182">
                  <c:v>42217</c:v>
                </c:pt>
                <c:pt idx="183">
                  <c:v>42248</c:v>
                </c:pt>
                <c:pt idx="184">
                  <c:v>42278</c:v>
                </c:pt>
                <c:pt idx="185">
                  <c:v>42309</c:v>
                </c:pt>
                <c:pt idx="186">
                  <c:v>42339</c:v>
                </c:pt>
                <c:pt idx="187">
                  <c:v>42370</c:v>
                </c:pt>
                <c:pt idx="188">
                  <c:v>42401</c:v>
                </c:pt>
                <c:pt idx="189">
                  <c:v>42430</c:v>
                </c:pt>
                <c:pt idx="190">
                  <c:v>42461</c:v>
                </c:pt>
                <c:pt idx="191">
                  <c:v>42491</c:v>
                </c:pt>
                <c:pt idx="192">
                  <c:v>42522</c:v>
                </c:pt>
                <c:pt idx="193">
                  <c:v>42552</c:v>
                </c:pt>
                <c:pt idx="194">
                  <c:v>42583</c:v>
                </c:pt>
                <c:pt idx="195">
                  <c:v>42614</c:v>
                </c:pt>
                <c:pt idx="196">
                  <c:v>42644</c:v>
                </c:pt>
                <c:pt idx="197">
                  <c:v>42675</c:v>
                </c:pt>
                <c:pt idx="198">
                  <c:v>42705</c:v>
                </c:pt>
                <c:pt idx="199">
                  <c:v>42736</c:v>
                </c:pt>
                <c:pt idx="200">
                  <c:v>42767</c:v>
                </c:pt>
                <c:pt idx="201">
                  <c:v>42795</c:v>
                </c:pt>
                <c:pt idx="202">
                  <c:v>42826</c:v>
                </c:pt>
                <c:pt idx="203">
                  <c:v>42856</c:v>
                </c:pt>
                <c:pt idx="204">
                  <c:v>42887</c:v>
                </c:pt>
                <c:pt idx="205">
                  <c:v>42917</c:v>
                </c:pt>
                <c:pt idx="206">
                  <c:v>42948</c:v>
                </c:pt>
                <c:pt idx="207">
                  <c:v>42979</c:v>
                </c:pt>
                <c:pt idx="208">
                  <c:v>43009</c:v>
                </c:pt>
                <c:pt idx="209">
                  <c:v>43040</c:v>
                </c:pt>
                <c:pt idx="210">
                  <c:v>43070</c:v>
                </c:pt>
                <c:pt idx="211">
                  <c:v>43101</c:v>
                </c:pt>
                <c:pt idx="212">
                  <c:v>43132</c:v>
                </c:pt>
                <c:pt idx="213">
                  <c:v>43160</c:v>
                </c:pt>
                <c:pt idx="214">
                  <c:v>43191</c:v>
                </c:pt>
                <c:pt idx="215">
                  <c:v>43221</c:v>
                </c:pt>
                <c:pt idx="216">
                  <c:v>43252</c:v>
                </c:pt>
                <c:pt idx="217">
                  <c:v>43282</c:v>
                </c:pt>
                <c:pt idx="218">
                  <c:v>43313</c:v>
                </c:pt>
                <c:pt idx="219">
                  <c:v>43344</c:v>
                </c:pt>
                <c:pt idx="220">
                  <c:v>43374</c:v>
                </c:pt>
                <c:pt idx="221">
                  <c:v>43405</c:v>
                </c:pt>
                <c:pt idx="222">
                  <c:v>43435</c:v>
                </c:pt>
                <c:pt idx="223">
                  <c:v>43466</c:v>
                </c:pt>
                <c:pt idx="224">
                  <c:v>43497</c:v>
                </c:pt>
                <c:pt idx="225">
                  <c:v>43525</c:v>
                </c:pt>
                <c:pt idx="226">
                  <c:v>43556</c:v>
                </c:pt>
                <c:pt idx="227">
                  <c:v>43586</c:v>
                </c:pt>
                <c:pt idx="228">
                  <c:v>43617</c:v>
                </c:pt>
                <c:pt idx="229">
                  <c:v>43647</c:v>
                </c:pt>
                <c:pt idx="230">
                  <c:v>43678</c:v>
                </c:pt>
                <c:pt idx="231">
                  <c:v>43709</c:v>
                </c:pt>
                <c:pt idx="232">
                  <c:v>43739</c:v>
                </c:pt>
                <c:pt idx="233">
                  <c:v>43770</c:v>
                </c:pt>
                <c:pt idx="234">
                  <c:v>43800</c:v>
                </c:pt>
                <c:pt idx="235">
                  <c:v>43831</c:v>
                </c:pt>
                <c:pt idx="236">
                  <c:v>43862</c:v>
                </c:pt>
                <c:pt idx="237">
                  <c:v>43891</c:v>
                </c:pt>
                <c:pt idx="238">
                  <c:v>43922</c:v>
                </c:pt>
                <c:pt idx="239">
                  <c:v>43952</c:v>
                </c:pt>
                <c:pt idx="240">
                  <c:v>43983</c:v>
                </c:pt>
                <c:pt idx="241">
                  <c:v>44013</c:v>
                </c:pt>
                <c:pt idx="242">
                  <c:v>44044</c:v>
                </c:pt>
                <c:pt idx="243">
                  <c:v>44075</c:v>
                </c:pt>
                <c:pt idx="244">
                  <c:v>44105</c:v>
                </c:pt>
                <c:pt idx="245">
                  <c:v>44136</c:v>
                </c:pt>
                <c:pt idx="246">
                  <c:v>44166</c:v>
                </c:pt>
                <c:pt idx="247">
                  <c:v>44197</c:v>
                </c:pt>
                <c:pt idx="248">
                  <c:v>44228</c:v>
                </c:pt>
                <c:pt idx="249">
                  <c:v>44256</c:v>
                </c:pt>
                <c:pt idx="250">
                  <c:v>44287</c:v>
                </c:pt>
                <c:pt idx="251">
                  <c:v>44317</c:v>
                </c:pt>
                <c:pt idx="252">
                  <c:v>44348</c:v>
                </c:pt>
                <c:pt idx="253">
                  <c:v>44378</c:v>
                </c:pt>
                <c:pt idx="254">
                  <c:v>44409</c:v>
                </c:pt>
                <c:pt idx="255">
                  <c:v>44440</c:v>
                </c:pt>
                <c:pt idx="256">
                  <c:v>44470</c:v>
                </c:pt>
                <c:pt idx="257">
                  <c:v>44501</c:v>
                </c:pt>
                <c:pt idx="258">
                  <c:v>44531</c:v>
                </c:pt>
                <c:pt idx="259">
                  <c:v>44562</c:v>
                </c:pt>
                <c:pt idx="260">
                  <c:v>44593</c:v>
                </c:pt>
                <c:pt idx="261">
                  <c:v>44621</c:v>
                </c:pt>
                <c:pt idx="262">
                  <c:v>44652</c:v>
                </c:pt>
                <c:pt idx="263">
                  <c:v>44682</c:v>
                </c:pt>
                <c:pt idx="264">
                  <c:v>44713</c:v>
                </c:pt>
                <c:pt idx="265">
                  <c:v>44743</c:v>
                </c:pt>
                <c:pt idx="266">
                  <c:v>44774</c:v>
                </c:pt>
                <c:pt idx="267">
                  <c:v>44805</c:v>
                </c:pt>
                <c:pt idx="268">
                  <c:v>44835</c:v>
                </c:pt>
                <c:pt idx="269">
                  <c:v>44866</c:v>
                </c:pt>
                <c:pt idx="270">
                  <c:v>44896</c:v>
                </c:pt>
                <c:pt idx="271">
                  <c:v>44927</c:v>
                </c:pt>
                <c:pt idx="272">
                  <c:v>44958</c:v>
                </c:pt>
                <c:pt idx="273">
                  <c:v>44986</c:v>
                </c:pt>
                <c:pt idx="274">
                  <c:v>45017</c:v>
                </c:pt>
                <c:pt idx="275">
                  <c:v>45047</c:v>
                </c:pt>
                <c:pt idx="276">
                  <c:v>45078</c:v>
                </c:pt>
                <c:pt idx="277">
                  <c:v>45108</c:v>
                </c:pt>
                <c:pt idx="278">
                  <c:v>45139</c:v>
                </c:pt>
                <c:pt idx="279">
                  <c:v>45170</c:v>
                </c:pt>
                <c:pt idx="280">
                  <c:v>45200</c:v>
                </c:pt>
                <c:pt idx="281">
                  <c:v>45231</c:v>
                </c:pt>
                <c:pt idx="282">
                  <c:v>45261</c:v>
                </c:pt>
              </c:numCache>
            </c:numRef>
          </c:cat>
          <c:val>
            <c:numRef>
              <c:f>Planilha2!$H$2:$H$330</c:f>
              <c:numCache>
                <c:formatCode>General</c:formatCode>
                <c:ptCount val="329"/>
                <c:pt idx="0">
                  <c:v>11.558128153944098</c:v>
                </c:pt>
                <c:pt idx="1">
                  <c:v>11.574132417713072</c:v>
                </c:pt>
                <c:pt idx="2">
                  <c:v>11.592316781619745</c:v>
                </c:pt>
                <c:pt idx="3">
                  <c:v>11.600718194069726</c:v>
                </c:pt>
                <c:pt idx="4">
                  <c:v>11.61248389461413</c:v>
                </c:pt>
                <c:pt idx="5">
                  <c:v>11.623800128726474</c:v>
                </c:pt>
                <c:pt idx="6">
                  <c:v>11.631180492176687</c:v>
                </c:pt>
                <c:pt idx="7">
                  <c:v>11.64305910029694</c:v>
                </c:pt>
                <c:pt idx="8">
                  <c:v>11.661322258219421</c:v>
                </c:pt>
                <c:pt idx="9">
                  <c:v>11.691365543043693</c:v>
                </c:pt>
                <c:pt idx="10">
                  <c:v>11.709620348880728</c:v>
                </c:pt>
                <c:pt idx="11">
                  <c:v>11.732608719006791</c:v>
                </c:pt>
                <c:pt idx="12">
                  <c:v>11.679870163244843</c:v>
                </c:pt>
                <c:pt idx="13">
                  <c:v>11.693898866664098</c:v>
                </c:pt>
                <c:pt idx="14">
                  <c:v>11.71311123557153</c:v>
                </c:pt>
                <c:pt idx="15">
                  <c:v>11.734724936758376</c:v>
                </c:pt>
                <c:pt idx="16">
                  <c:v>11.757474841826024</c:v>
                </c:pt>
                <c:pt idx="17">
                  <c:v>11.76327071481793</c:v>
                </c:pt>
                <c:pt idx="18">
                  <c:v>11.757154939419403</c:v>
                </c:pt>
                <c:pt idx="19">
                  <c:v>11.778313264366384</c:v>
                </c:pt>
                <c:pt idx="20">
                  <c:v>11.787830290357169</c:v>
                </c:pt>
                <c:pt idx="21">
                  <c:v>11.795449387603119</c:v>
                </c:pt>
                <c:pt idx="22">
                  <c:v>11.808677349888772</c:v>
                </c:pt>
                <c:pt idx="23">
                  <c:v>11.821478199685339</c:v>
                </c:pt>
                <c:pt idx="24">
                  <c:v>11.822418079637934</c:v>
                </c:pt>
                <c:pt idx="25">
                  <c:v>11.812003675209057</c:v>
                </c:pt>
                <c:pt idx="26">
                  <c:v>11.816077333809007</c:v>
                </c:pt>
                <c:pt idx="27">
                  <c:v>11.834580646562246</c:v>
                </c:pt>
                <c:pt idx="28">
                  <c:v>11.84621584368344</c:v>
                </c:pt>
                <c:pt idx="29">
                  <c:v>11.855290405172445</c:v>
                </c:pt>
                <c:pt idx="30">
                  <c:v>11.85867576817248</c:v>
                </c:pt>
                <c:pt idx="31">
                  <c:v>11.880643193176947</c:v>
                </c:pt>
                <c:pt idx="32">
                  <c:v>11.897320150519585</c:v>
                </c:pt>
                <c:pt idx="33">
                  <c:v>11.90432173605652</c:v>
                </c:pt>
                <c:pt idx="34">
                  <c:v>11.922587264165804</c:v>
                </c:pt>
                <c:pt idx="35">
                  <c:v>11.934696016557144</c:v>
                </c:pt>
                <c:pt idx="36">
                  <c:v>11.948807816998535</c:v>
                </c:pt>
                <c:pt idx="37">
                  <c:v>11.946997894294883</c:v>
                </c:pt>
                <c:pt idx="38">
                  <c:v>11.959935801869408</c:v>
                </c:pt>
                <c:pt idx="39">
                  <c:v>11.983539030801051</c:v>
                </c:pt>
                <c:pt idx="40">
                  <c:v>12.005793398213072</c:v>
                </c:pt>
                <c:pt idx="41">
                  <c:v>12.018679207041577</c:v>
                </c:pt>
                <c:pt idx="42">
                  <c:v>12.027457631159283</c:v>
                </c:pt>
                <c:pt idx="43">
                  <c:v>12.033676504099031</c:v>
                </c:pt>
                <c:pt idx="44">
                  <c:v>12.045133865460341</c:v>
                </c:pt>
                <c:pt idx="45">
                  <c:v>12.060131987125752</c:v>
                </c:pt>
                <c:pt idx="46">
                  <c:v>12.079344759588576</c:v>
                </c:pt>
                <c:pt idx="47">
                  <c:v>12.098700948276779</c:v>
                </c:pt>
                <c:pt idx="48">
                  <c:v>12.116432192828576</c:v>
                </c:pt>
                <c:pt idx="49">
                  <c:v>12.117703444889578</c:v>
                </c:pt>
                <c:pt idx="50">
                  <c:v>12.140056342722334</c:v>
                </c:pt>
                <c:pt idx="51">
                  <c:v>12.16584148003261</c:v>
                </c:pt>
                <c:pt idx="52">
                  <c:v>12.195080693082341</c:v>
                </c:pt>
                <c:pt idx="53">
                  <c:v>12.214434755780434</c:v>
                </c:pt>
                <c:pt idx="54">
                  <c:v>12.227059246413004</c:v>
                </c:pt>
                <c:pt idx="55">
                  <c:v>12.246851703768142</c:v>
                </c:pt>
                <c:pt idx="56">
                  <c:v>12.269020638594217</c:v>
                </c:pt>
                <c:pt idx="57">
                  <c:v>12.293698799423142</c:v>
                </c:pt>
                <c:pt idx="58">
                  <c:v>12.320130914665299</c:v>
                </c:pt>
                <c:pt idx="59">
                  <c:v>12.343011288075745</c:v>
                </c:pt>
                <c:pt idx="60">
                  <c:v>12.356990894491231</c:v>
                </c:pt>
                <c:pt idx="61">
                  <c:v>12.368782856491073</c:v>
                </c:pt>
                <c:pt idx="62">
                  <c:v>12.391090290781323</c:v>
                </c:pt>
                <c:pt idx="63">
                  <c:v>12.41466580561093</c:v>
                </c:pt>
                <c:pt idx="64">
                  <c:v>12.440050467198725</c:v>
                </c:pt>
                <c:pt idx="65">
                  <c:v>12.465993476120589</c:v>
                </c:pt>
                <c:pt idx="66">
                  <c:v>12.472691072218577</c:v>
                </c:pt>
                <c:pt idx="67">
                  <c:v>12.498904373592959</c:v>
                </c:pt>
                <c:pt idx="68">
                  <c:v>12.513967592750699</c:v>
                </c:pt>
                <c:pt idx="69">
                  <c:v>12.537033021095374</c:v>
                </c:pt>
                <c:pt idx="70">
                  <c:v>12.557272789410995</c:v>
                </c:pt>
                <c:pt idx="71">
                  <c:v>12.577576506908585</c:v>
                </c:pt>
                <c:pt idx="72">
                  <c:v>12.589020594935285</c:v>
                </c:pt>
                <c:pt idx="73">
                  <c:v>12.601124577784562</c:v>
                </c:pt>
                <c:pt idx="74">
                  <c:v>12.619147167016044</c:v>
                </c:pt>
                <c:pt idx="75">
                  <c:v>12.6364793835097</c:v>
                </c:pt>
                <c:pt idx="76">
                  <c:v>12.655299758627555</c:v>
                </c:pt>
                <c:pt idx="77">
                  <c:v>12.673607873367963</c:v>
                </c:pt>
                <c:pt idx="78">
                  <c:v>12.678729897614289</c:v>
                </c:pt>
                <c:pt idx="79">
                  <c:v>12.698290851484318</c:v>
                </c:pt>
                <c:pt idx="80">
                  <c:v>12.715610217881469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3-4A67-A6E6-16FE28591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7272815"/>
        <c:axId val="232269295"/>
      </c:lineChart>
      <c:dateAx>
        <c:axId val="387272815"/>
        <c:scaling>
          <c:orientation val="minMax"/>
          <c:max val="41244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232269295"/>
        <c:crosses val="autoZero"/>
        <c:auto val="1"/>
        <c:lblOffset val="100"/>
        <c:baseTimeUnit val="months"/>
      </c:dateAx>
      <c:valAx>
        <c:axId val="232269295"/>
        <c:scaling>
          <c:orientation val="minMax"/>
          <c:max val="14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38727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Planilha8!$C$129:$C$197</c:f>
              <c:numCache>
                <c:formatCode>0.00%</c:formatCode>
                <c:ptCount val="69"/>
                <c:pt idx="0">
                  <c:v>2.4122306134627181E-2</c:v>
                </c:pt>
                <c:pt idx="1">
                  <c:v>2.8795696680394833E-2</c:v>
                </c:pt>
                <c:pt idx="2">
                  <c:v>9.2400899384432744E-3</c:v>
                </c:pt>
                <c:pt idx="3">
                  <c:v>2.0732551534169419E-2</c:v>
                </c:pt>
                <c:pt idx="4">
                  <c:v>1.8373280591717833E-2</c:v>
                </c:pt>
                <c:pt idx="5">
                  <c:v>1.5397516163905944E-2</c:v>
                </c:pt>
                <c:pt idx="6">
                  <c:v>2.2804415421412427E-2</c:v>
                </c:pt>
                <c:pt idx="7">
                  <c:v>2.0275975690203563E-2</c:v>
                </c:pt>
                <c:pt idx="8">
                  <c:v>3.3156178231201761E-3</c:v>
                </c:pt>
                <c:pt idx="9">
                  <c:v>2.5130095580188305E-2</c:v>
                </c:pt>
                <c:pt idx="10">
                  <c:v>1.5230726288449903E-2</c:v>
                </c:pt>
                <c:pt idx="11">
                  <c:v>1.4075704892089869E-2</c:v>
                </c:pt>
                <c:pt idx="12">
                  <c:v>1.8012666286040924E-2</c:v>
                </c:pt>
                <c:pt idx="13">
                  <c:v>1.3954054033133767E-2</c:v>
                </c:pt>
                <c:pt idx="14">
                  <c:v>5.3357516524277226E-3</c:v>
                </c:pt>
                <c:pt idx="15">
                  <c:v>1.1809533402833416E-2</c:v>
                </c:pt>
                <c:pt idx="16">
                  <c:v>8.3852212817832061E-3</c:v>
                </c:pt>
                <c:pt idx="17">
                  <c:v>7.743352019597971E-3</c:v>
                </c:pt>
                <c:pt idx="18">
                  <c:v>3.6555208865339806E-2</c:v>
                </c:pt>
                <c:pt idx="19">
                  <c:v>1.2867583782369962E-3</c:v>
                </c:pt>
                <c:pt idx="20">
                  <c:v>-1.1438996875594465E-2</c:v>
                </c:pt>
                <c:pt idx="21">
                  <c:v>6.5219346109710585E-3</c:v>
                </c:pt>
                <c:pt idx="22">
                  <c:v>7.4870114476046634E-3</c:v>
                </c:pt>
                <c:pt idx="23">
                  <c:v>1.5425835408731325E-2</c:v>
                </c:pt>
                <c:pt idx="24">
                  <c:v>1.3560007789630513E-2</c:v>
                </c:pt>
                <c:pt idx="25">
                  <c:v>1.6940311678209641E-2</c:v>
                </c:pt>
                <c:pt idx="26">
                  <c:v>1.412658320123783E-2</c:v>
                </c:pt>
                <c:pt idx="27">
                  <c:v>1.0193420878110926E-2</c:v>
                </c:pt>
                <c:pt idx="28">
                  <c:v>1.6320737213552539E-2</c:v>
                </c:pt>
                <c:pt idx="29">
                  <c:v>1.8578381124367604E-2</c:v>
                </c:pt>
                <c:pt idx="30">
                  <c:v>1.8367396170089423E-2</c:v>
                </c:pt>
                <c:pt idx="31">
                  <c:v>1.4527448502236195E-2</c:v>
                </c:pt>
                <c:pt idx="32">
                  <c:v>3.0504045459152085E-3</c:v>
                </c:pt>
                <c:pt idx="33">
                  <c:v>1.8666358837690078E-2</c:v>
                </c:pt>
                <c:pt idx="34">
                  <c:v>1.9054466827806316E-2</c:v>
                </c:pt>
                <c:pt idx="35">
                  <c:v>2.4968600605636215E-2</c:v>
                </c:pt>
                <c:pt idx="36">
                  <c:v>2.3906310120265006E-2</c:v>
                </c:pt>
                <c:pt idx="37">
                  <c:v>2.5086047019640567E-2</c:v>
                </c:pt>
                <c:pt idx="38">
                  <c:v>1.8716501175862987E-2</c:v>
                </c:pt>
                <c:pt idx="39">
                  <c:v>2.2274619346339453E-2</c:v>
                </c:pt>
                <c:pt idx="40">
                  <c:v>2.0368719988661965E-2</c:v>
                </c:pt>
                <c:pt idx="41">
                  <c:v>2.4534346909813598E-2</c:v>
                </c:pt>
                <c:pt idx="42">
                  <c:v>2.3095340494839522E-2</c:v>
                </c:pt>
                <c:pt idx="43">
                  <c:v>2.6849225070302962E-2</c:v>
                </c:pt>
                <c:pt idx="44">
                  <c:v>9.1528754581797767E-3</c:v>
                </c:pt>
                <c:pt idx="45">
                  <c:v>2.5760298155274031E-2</c:v>
                </c:pt>
                <c:pt idx="46">
                  <c:v>2.0808257904981975E-2</c:v>
                </c:pt>
                <c:pt idx="47">
                  <c:v>1.3758497224232835E-2</c:v>
                </c:pt>
                <c:pt idx="48">
                  <c:v>1.8748085207780374E-2</c:v>
                </c:pt>
                <c:pt idx="49">
                  <c:v>2.0049196078038678E-2</c:v>
                </c:pt>
                <c:pt idx="50">
                  <c:v>1.7802969756698817E-2</c:v>
                </c:pt>
                <c:pt idx="51">
                  <c:v>1.4878937924583946E-2</c:v>
                </c:pt>
                <c:pt idx="52">
                  <c:v>1.7601609625232495E-2</c:v>
                </c:pt>
                <c:pt idx="53">
                  <c:v>1.7220972538739998E-2</c:v>
                </c:pt>
                <c:pt idx="54">
                  <c:v>1.2362610219055492E-2</c:v>
                </c:pt>
                <c:pt idx="55">
                  <c:v>1.1768945270840936E-2</c:v>
                </c:pt>
                <c:pt idx="56">
                  <c:v>2.951831014215589E-3</c:v>
                </c:pt>
                <c:pt idx="57">
                  <c:v>1.7126484530895603E-2</c:v>
                </c:pt>
                <c:pt idx="58">
                  <c:v>1.2895213066879574E-2</c:v>
                </c:pt>
                <c:pt idx="59">
                  <c:v>8.0469719353226665E-3</c:v>
                </c:pt>
                <c:pt idx="60">
                  <c:v>1.2409833783586954E-2</c:v>
                </c:pt>
                <c:pt idx="61">
                  <c:v>9.9165668202885193E-3</c:v>
                </c:pt>
                <c:pt idx="62">
                  <c:v>1.6964787996886388E-2</c:v>
                </c:pt>
                <c:pt idx="63">
                  <c:v>9.2500447303185407E-3</c:v>
                </c:pt>
                <c:pt idx="64">
                  <c:v>1.3803487228803979E-2</c:v>
                </c:pt>
                <c:pt idx="65">
                  <c:v>1.0893059741394762E-3</c:v>
                </c:pt>
                <c:pt idx="66">
                  <c:v>7.8622204510685467E-3</c:v>
                </c:pt>
                <c:pt idx="67">
                  <c:v>6.4201249435484886E-3</c:v>
                </c:pt>
                <c:pt idx="68">
                  <c:v>-2.738252290465093E-4</c:v>
                </c:pt>
              </c:numCache>
            </c:numRef>
          </c:xVal>
          <c:yVal>
            <c:numRef>
              <c:f>Planilha8!$D$129:$D$197</c:f>
              <c:numCache>
                <c:formatCode>0.00%</c:formatCode>
                <c:ptCount val="69"/>
                <c:pt idx="0">
                  <c:v>2.89394038010935E-2</c:v>
                </c:pt>
                <c:pt idx="1">
                  <c:v>3.3664376250306383E-2</c:v>
                </c:pt>
                <c:pt idx="2">
                  <c:v>2.4899312687175046E-2</c:v>
                </c:pt>
                <c:pt idx="3">
                  <c:v>3.7333512462541574E-2</c:v>
                </c:pt>
                <c:pt idx="4">
                  <c:v>2.2927182003619206E-2</c:v>
                </c:pt>
                <c:pt idx="5">
                  <c:v>2.2293732855032777E-2</c:v>
                </c:pt>
                <c:pt idx="6">
                  <c:v>3.3500872096023482E-2</c:v>
                </c:pt>
                <c:pt idx="7">
                  <c:v>2.5128404850591091E-2</c:v>
                </c:pt>
                <c:pt idx="8">
                  <c:v>2.2103089302065726E-2</c:v>
                </c:pt>
                <c:pt idx="9">
                  <c:v>2.3162723613524561E-2</c:v>
                </c:pt>
                <c:pt idx="10">
                  <c:v>1.5164687763922657E-2</c:v>
                </c:pt>
                <c:pt idx="11">
                  <c:v>3.103857494158091E-2</c:v>
                </c:pt>
                <c:pt idx="12">
                  <c:v>3.090217623466307E-2</c:v>
                </c:pt>
                <c:pt idx="13">
                  <c:v>2.5458040418631755E-2</c:v>
                </c:pt>
                <c:pt idx="14">
                  <c:v>1.5638679986530457E-2</c:v>
                </c:pt>
                <c:pt idx="15">
                  <c:v>2.421166348467807E-2</c:v>
                </c:pt>
                <c:pt idx="16">
                  <c:v>1.8381638863111505E-2</c:v>
                </c:pt>
                <c:pt idx="17">
                  <c:v>1.5758522953034371E-2</c:v>
                </c:pt>
                <c:pt idx="18">
                  <c:v>2.2299646116012317E-2</c:v>
                </c:pt>
                <c:pt idx="19">
                  <c:v>-5.7651590520646501E-4</c:v>
                </c:pt>
                <c:pt idx="20">
                  <c:v>1.0546627733649228E-2</c:v>
                </c:pt>
                <c:pt idx="21">
                  <c:v>2.7884702815748064E-3</c:v>
                </c:pt>
                <c:pt idx="22">
                  <c:v>-5.9014659211122922E-3</c:v>
                </c:pt>
                <c:pt idx="23">
                  <c:v>1.1911005708465483E-2</c:v>
                </c:pt>
                <c:pt idx="24">
                  <c:v>1.5864669561167721E-2</c:v>
                </c:pt>
                <c:pt idx="25">
                  <c:v>2.4896848518907388E-2</c:v>
                </c:pt>
                <c:pt idx="26">
                  <c:v>1.5485251854791215E-2</c:v>
                </c:pt>
                <c:pt idx="27">
                  <c:v>9.165099679339983E-3</c:v>
                </c:pt>
                <c:pt idx="28">
                  <c:v>1.3261398090696597E-2</c:v>
                </c:pt>
                <c:pt idx="29">
                  <c:v>1.6633663366336648E-2</c:v>
                </c:pt>
                <c:pt idx="30">
                  <c:v>1.2012566151126336E-2</c:v>
                </c:pt>
                <c:pt idx="31">
                  <c:v>1.3571798392724599E-2</c:v>
                </c:pt>
                <c:pt idx="32">
                  <c:v>1.871811557348102E-2</c:v>
                </c:pt>
                <c:pt idx="33">
                  <c:v>8.3215787672203945E-3</c:v>
                </c:pt>
                <c:pt idx="34">
                  <c:v>6.6312939996193698E-3</c:v>
                </c:pt>
                <c:pt idx="35">
                  <c:v>1.7200384044538941E-2</c:v>
                </c:pt>
                <c:pt idx="36">
                  <c:v>1.2348520521391348E-2</c:v>
                </c:pt>
                <c:pt idx="37">
                  <c:v>2.0084392410106178E-2</c:v>
                </c:pt>
                <c:pt idx="38">
                  <c:v>9.469263233658376E-3</c:v>
                </c:pt>
                <c:pt idx="39">
                  <c:v>2.3095605110120321E-2</c:v>
                </c:pt>
                <c:pt idx="40">
                  <c:v>1.6207044699052986E-2</c:v>
                </c:pt>
                <c:pt idx="41">
                  <c:v>1.44464468364911E-2</c:v>
                </c:pt>
                <c:pt idx="42">
                  <c:v>1.6937141101231123E-2</c:v>
                </c:pt>
                <c:pt idx="43">
                  <c:v>2.3087426276040546E-2</c:v>
                </c:pt>
                <c:pt idx="44">
                  <c:v>2.0543292464567431E-2</c:v>
                </c:pt>
                <c:pt idx="45">
                  <c:v>9.2427961357515187E-3</c:v>
                </c:pt>
                <c:pt idx="46">
                  <c:v>6.2601595417699496E-3</c:v>
                </c:pt>
                <c:pt idx="47">
                  <c:v>4.2905536577459991E-3</c:v>
                </c:pt>
                <c:pt idx="48">
                  <c:v>1.1667479494568811E-2</c:v>
                </c:pt>
                <c:pt idx="49">
                  <c:v>1.3904714490563741E-2</c:v>
                </c:pt>
                <c:pt idx="50">
                  <c:v>1.1896899302541897E-2</c:v>
                </c:pt>
                <c:pt idx="51">
                  <c:v>9.8467878763026651E-3</c:v>
                </c:pt>
                <c:pt idx="52">
                  <c:v>1.5048305500566794E-2</c:v>
                </c:pt>
                <c:pt idx="53">
                  <c:v>1.1756489155293037E-2</c:v>
                </c:pt>
                <c:pt idx="54">
                  <c:v>9.0728314252435105E-3</c:v>
                </c:pt>
                <c:pt idx="55">
                  <c:v>1.2416650883941394E-2</c:v>
                </c:pt>
                <c:pt idx="56">
                  <c:v>9.9888886917844921E-3</c:v>
                </c:pt>
                <c:pt idx="57">
                  <c:v>9.8310188844339397E-3</c:v>
                </c:pt>
                <c:pt idx="58">
                  <c:v>3.070647017898942E-3</c:v>
                </c:pt>
                <c:pt idx="59">
                  <c:v>7.2779492482446528E-3</c:v>
                </c:pt>
                <c:pt idx="60">
                  <c:v>9.2957891952882843E-3</c:v>
                </c:pt>
                <c:pt idx="61">
                  <c:v>1.4615335713920263E-2</c:v>
                </c:pt>
                <c:pt idx="62">
                  <c:v>8.686283649033788E-3</c:v>
                </c:pt>
                <c:pt idx="63">
                  <c:v>8.8750986669170473E-3</c:v>
                </c:pt>
                <c:pt idx="64">
                  <c:v>1.0466927063388809E-2</c:v>
                </c:pt>
                <c:pt idx="65">
                  <c:v>-3.9056172227613928E-3</c:v>
                </c:pt>
                <c:pt idx="66">
                  <c:v>9.6128453753754339E-3</c:v>
                </c:pt>
                <c:pt idx="67">
                  <c:v>7.3430748405478585E-3</c:v>
                </c:pt>
                <c:pt idx="68">
                  <c:v>1.1583470376037353E-2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F-472B-B8EB-1CDCFC2CE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98592"/>
        <c:axId val="312556464"/>
      </c:scatterChart>
      <c:valAx>
        <c:axId val="158939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556464"/>
        <c:crosses val="autoZero"/>
        <c:crossBetween val="midCat"/>
      </c:valAx>
      <c:valAx>
        <c:axId val="31255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39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5747375328083987E-2"/>
                  <c:y val="0.373815252260134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Planilha8!$G$128:$G$196</c:f>
              <c:numCache>
                <c:formatCode>0.00%</c:formatCode>
                <c:ptCount val="69"/>
                <c:pt idx="0">
                  <c:v>2.084099393963923E-2</c:v>
                </c:pt>
                <c:pt idx="1">
                  <c:v>2.585815031110883E-2</c:v>
                </c:pt>
                <c:pt idx="2">
                  <c:v>1.0142147325826079E-2</c:v>
                </c:pt>
                <c:pt idx="3">
                  <c:v>1.3313853828122557E-2</c:v>
                </c:pt>
                <c:pt idx="4">
                  <c:v>1.8263718015067321E-2</c:v>
                </c:pt>
                <c:pt idx="5">
                  <c:v>1.8058001947990565E-2</c:v>
                </c:pt>
                <c:pt idx="6">
                  <c:v>2.4830799782407764E-2</c:v>
                </c:pt>
                <c:pt idx="7">
                  <c:v>2.0921076190104415E-2</c:v>
                </c:pt>
                <c:pt idx="8">
                  <c:v>9.728721424642206E-3</c:v>
                </c:pt>
                <c:pt idx="9">
                  <c:v>1.9949517873398603E-2</c:v>
                </c:pt>
                <c:pt idx="10">
                  <c:v>1.4251991449754753E-2</c:v>
                </c:pt>
                <c:pt idx="11">
                  <c:v>1.6779649879863578E-2</c:v>
                </c:pt>
                <c:pt idx="12">
                  <c:v>1.9793150692997585E-2</c:v>
                </c:pt>
                <c:pt idx="13">
                  <c:v>1.8944735590046946E-2</c:v>
                </c:pt>
                <c:pt idx="14">
                  <c:v>1.2178418298495419E-2</c:v>
                </c:pt>
                <c:pt idx="15">
                  <c:v>1.2091177283446219E-2</c:v>
                </c:pt>
                <c:pt idx="16">
                  <c:v>1.232658171637846E-2</c:v>
                </c:pt>
                <c:pt idx="17">
                  <c:v>1.7081686129517992E-2</c:v>
                </c:pt>
                <c:pt idx="18">
                  <c:v>3.2667684526844765E-2</c:v>
                </c:pt>
                <c:pt idx="19">
                  <c:v>4.6785516923817383E-3</c:v>
                </c:pt>
                <c:pt idx="20">
                  <c:v>-1.8108379842984856E-3</c:v>
                </c:pt>
                <c:pt idx="21">
                  <c:v>6.8656558256212641E-3</c:v>
                </c:pt>
                <c:pt idx="22">
                  <c:v>8.9539547380828033E-3</c:v>
                </c:pt>
                <c:pt idx="23">
                  <c:v>1.124844510293066E-2</c:v>
                </c:pt>
                <c:pt idx="24">
                  <c:v>1.4251800549832438E-2</c:v>
                </c:pt>
                <c:pt idx="25">
                  <c:v>1.6884644152936445E-2</c:v>
                </c:pt>
                <c:pt idx="26">
                  <c:v>1.2898522445847771E-2</c:v>
                </c:pt>
                <c:pt idx="27">
                  <c:v>1.2933129762369155E-2</c:v>
                </c:pt>
                <c:pt idx="28">
                  <c:v>2.1255000910390898E-2</c:v>
                </c:pt>
                <c:pt idx="29">
                  <c:v>2.0951113670032662E-2</c:v>
                </c:pt>
                <c:pt idx="30">
                  <c:v>2.1671671556815264E-2</c:v>
                </c:pt>
                <c:pt idx="31">
                  <c:v>1.219127383087959E-2</c:v>
                </c:pt>
                <c:pt idx="32">
                  <c:v>5.5891319639234105E-3</c:v>
                </c:pt>
                <c:pt idx="33">
                  <c:v>1.9252173649400017E-2</c:v>
                </c:pt>
                <c:pt idx="34">
                  <c:v>1.8229238039085605E-2</c:v>
                </c:pt>
                <c:pt idx="35">
                  <c:v>2.5531966320044619E-2</c:v>
                </c:pt>
                <c:pt idx="36">
                  <c:v>2.147375585817457E-2</c:v>
                </c:pt>
                <c:pt idx="37">
                  <c:v>2.4642583332373125E-2</c:v>
                </c:pt>
                <c:pt idx="38">
                  <c:v>1.6598513808649296E-2</c:v>
                </c:pt>
                <c:pt idx="39">
                  <c:v>1.9345659012897087E-2</c:v>
                </c:pt>
                <c:pt idx="40">
                  <c:v>2.3972638350197695E-2</c:v>
                </c:pt>
                <c:pt idx="41">
                  <c:v>2.7516137079456771E-2</c:v>
                </c:pt>
                <c:pt idx="42">
                  <c:v>2.3577098702792565E-2</c:v>
                </c:pt>
                <c:pt idx="43">
                  <c:v>2.6040354217535144E-2</c:v>
                </c:pt>
                <c:pt idx="44">
                  <c:v>1.7124432266842904E-2</c:v>
                </c:pt>
                <c:pt idx="45">
                  <c:v>2.1780933878490893E-2</c:v>
                </c:pt>
                <c:pt idx="46">
                  <c:v>1.9528814383141802E-2</c:v>
                </c:pt>
                <c:pt idx="47">
                  <c:v>1.7636158417669634E-2</c:v>
                </c:pt>
                <c:pt idx="48">
                  <c:v>2.1004249487680315E-2</c:v>
                </c:pt>
                <c:pt idx="49">
                  <c:v>2.3470702647175434E-2</c:v>
                </c:pt>
                <c:pt idx="50">
                  <c:v>2.5131609998576554E-2</c:v>
                </c:pt>
                <c:pt idx="51">
                  <c:v>1.0186112771872091E-2</c:v>
                </c:pt>
                <c:pt idx="52">
                  <c:v>2.5546966027022E-2</c:v>
                </c:pt>
                <c:pt idx="53">
                  <c:v>1.8992811363578221E-2</c:v>
                </c:pt>
                <c:pt idx="54">
                  <c:v>1.5274981554235456E-2</c:v>
                </c:pt>
                <c:pt idx="55">
                  <c:v>1.6841254305229203E-2</c:v>
                </c:pt>
                <c:pt idx="56">
                  <c:v>1.0700952256165852E-2</c:v>
                </c:pt>
                <c:pt idx="57">
                  <c:v>1.8112419324490148E-2</c:v>
                </c:pt>
                <c:pt idx="58">
                  <c:v>1.3372163129586445E-2</c:v>
                </c:pt>
                <c:pt idx="59">
                  <c:v>1.3242905500300939E-2</c:v>
                </c:pt>
                <c:pt idx="60">
                  <c:v>1.3188906802800382E-2</c:v>
                </c:pt>
                <c:pt idx="61">
                  <c:v>1.5304770572582616E-2</c:v>
                </c:pt>
                <c:pt idx="62">
                  <c:v>2.0153787530345024E-2</c:v>
                </c:pt>
                <c:pt idx="63">
                  <c:v>9.3228356432297765E-3</c:v>
                </c:pt>
                <c:pt idx="64">
                  <c:v>2.3200283878520134E-2</c:v>
                </c:pt>
                <c:pt idx="65">
                  <c:v>1.0428905947751144E-2</c:v>
                </c:pt>
                <c:pt idx="66">
                  <c:v>1.6333623440609291E-2</c:v>
                </c:pt>
                <c:pt idx="67">
                  <c:v>1.3611223457227428E-2</c:v>
                </c:pt>
                <c:pt idx="68">
                  <c:v>1.4144563717032987E-2</c:v>
                </c:pt>
              </c:numCache>
            </c:numRef>
          </c:xVal>
          <c:yVal>
            <c:numRef>
              <c:f>Planilha8!$H$128:$H$196</c:f>
              <c:numCache>
                <c:formatCode>0.00%</c:formatCode>
                <c:ptCount val="69"/>
                <c:pt idx="0">
                  <c:v>2.4827712894050169E-2</c:v>
                </c:pt>
                <c:pt idx="1">
                  <c:v>2.8696180657665105E-2</c:v>
                </c:pt>
                <c:pt idx="2">
                  <c:v>2.0909509198278275E-2</c:v>
                </c:pt>
                <c:pt idx="3">
                  <c:v>2.7767036378231191E-2</c:v>
                </c:pt>
                <c:pt idx="4">
                  <c:v>1.9390797350209876E-2</c:v>
                </c:pt>
                <c:pt idx="5">
                  <c:v>2.1743003904679092E-2</c:v>
                </c:pt>
                <c:pt idx="6">
                  <c:v>3.0836762962003439E-2</c:v>
                </c:pt>
                <c:pt idx="7">
                  <c:v>2.4611993755165873E-2</c:v>
                </c:pt>
                <c:pt idx="8">
                  <c:v>1.8631210993334424E-2</c:v>
                </c:pt>
                <c:pt idx="9">
                  <c:v>1.849652090352305E-2</c:v>
                </c:pt>
                <c:pt idx="10">
                  <c:v>1.2117684771957959E-2</c:v>
                </c:pt>
                <c:pt idx="11">
                  <c:v>2.594887944957458E-2</c:v>
                </c:pt>
                <c:pt idx="12">
                  <c:v>2.7810437124371923E-2</c:v>
                </c:pt>
                <c:pt idx="13">
                  <c:v>2.4772227157211724E-2</c:v>
                </c:pt>
                <c:pt idx="14">
                  <c:v>1.7529819193208507E-2</c:v>
                </c:pt>
                <c:pt idx="15">
                  <c:v>1.3246196621443662E-2</c:v>
                </c:pt>
                <c:pt idx="16">
                  <c:v>1.6085228727597434E-2</c:v>
                </c:pt>
                <c:pt idx="17">
                  <c:v>2.0323001184615386E-2</c:v>
                </c:pt>
                <c:pt idx="18">
                  <c:v>2.0781675719511616E-2</c:v>
                </c:pt>
                <c:pt idx="19">
                  <c:v>4.8238770482902371E-3</c:v>
                </c:pt>
                <c:pt idx="20">
                  <c:v>1.2875861977433622E-2</c:v>
                </c:pt>
                <c:pt idx="21">
                  <c:v>5.3050099960314512E-3</c:v>
                </c:pt>
                <c:pt idx="22">
                  <c:v>-1.5287331066612397E-3</c:v>
                </c:pt>
                <c:pt idx="23">
                  <c:v>1.2423889225605E-2</c:v>
                </c:pt>
                <c:pt idx="24">
                  <c:v>1.555756538653541E-2</c:v>
                </c:pt>
                <c:pt idx="25">
                  <c:v>2.2579820181269694E-2</c:v>
                </c:pt>
                <c:pt idx="26">
                  <c:v>1.6752929323745613E-2</c:v>
                </c:pt>
                <c:pt idx="27">
                  <c:v>1.0744434578273454E-2</c:v>
                </c:pt>
                <c:pt idx="28">
                  <c:v>1.5796032351489409E-2</c:v>
                </c:pt>
                <c:pt idx="29">
                  <c:v>1.9529749990654821E-2</c:v>
                </c:pt>
                <c:pt idx="30">
                  <c:v>1.4194242973708082E-2</c:v>
                </c:pt>
                <c:pt idx="31">
                  <c:v>1.1714750989649136E-2</c:v>
                </c:pt>
                <c:pt idx="32">
                  <c:v>1.7666702399631085E-2</c:v>
                </c:pt>
                <c:pt idx="33">
                  <c:v>1.5010653494106574E-2</c:v>
                </c:pt>
                <c:pt idx="34">
                  <c:v>9.8119378577268268E-3</c:v>
                </c:pt>
                <c:pt idx="35">
                  <c:v>1.8639053254437821E-2</c:v>
                </c:pt>
                <c:pt idx="36">
                  <c:v>1.5101579100233797E-2</c:v>
                </c:pt>
                <c:pt idx="37">
                  <c:v>2.0731903820350617E-2</c:v>
                </c:pt>
                <c:pt idx="38">
                  <c:v>1.1604919329139429E-2</c:v>
                </c:pt>
                <c:pt idx="39">
                  <c:v>2.0898900656572517E-2</c:v>
                </c:pt>
                <c:pt idx="40">
                  <c:v>1.9431095466934778E-2</c:v>
                </c:pt>
                <c:pt idx="41">
                  <c:v>1.9347994854361117E-2</c:v>
                </c:pt>
                <c:pt idx="42">
                  <c:v>1.9105854793853849E-2</c:v>
                </c:pt>
                <c:pt idx="43">
                  <c:v>2.3373203708525025E-2</c:v>
                </c:pt>
                <c:pt idx="44">
                  <c:v>2.26073820991608E-2</c:v>
                </c:pt>
                <c:pt idx="45">
                  <c:v>1.2178443587691046E-2</c:v>
                </c:pt>
                <c:pt idx="46">
                  <c:v>1.0568676018312795E-2</c:v>
                </c:pt>
                <c:pt idx="47">
                  <c:v>9.1362293710242071E-3</c:v>
                </c:pt>
                <c:pt idx="48">
                  <c:v>1.3570281495615566E-2</c:v>
                </c:pt>
                <c:pt idx="49">
                  <c:v>1.7246116297321201E-2</c:v>
                </c:pt>
                <c:pt idx="50">
                  <c:v>1.5111565428342688E-2</c:v>
                </c:pt>
                <c:pt idx="51">
                  <c:v>1.2982379947884315E-2</c:v>
                </c:pt>
                <c:pt idx="52">
                  <c:v>2.3582566662387228E-2</c:v>
                </c:pt>
                <c:pt idx="53">
                  <c:v>1.4834777265462229E-2</c:v>
                </c:pt>
                <c:pt idx="54">
                  <c:v>1.3671137537970557E-2</c:v>
                </c:pt>
                <c:pt idx="55">
                  <c:v>1.6330196825908194E-2</c:v>
                </c:pt>
                <c:pt idx="56">
                  <c:v>1.4320037596839974E-2</c:v>
                </c:pt>
                <c:pt idx="57">
                  <c:v>1.3588354141393477E-2</c:v>
                </c:pt>
                <c:pt idx="58">
                  <c:v>7.4936758728259001E-3</c:v>
                </c:pt>
                <c:pt idx="59">
                  <c:v>1.280387962865559E-2</c:v>
                </c:pt>
                <c:pt idx="60">
                  <c:v>1.225698222039906E-2</c:v>
                </c:pt>
                <c:pt idx="61">
                  <c:v>1.6555872701983887E-2</c:v>
                </c:pt>
                <c:pt idx="62">
                  <c:v>1.3569147699698636E-2</c:v>
                </c:pt>
                <c:pt idx="63">
                  <c:v>1.0106252961110895E-2</c:v>
                </c:pt>
                <c:pt idx="64">
                  <c:v>1.8294455996112235E-2</c:v>
                </c:pt>
                <c:pt idx="65">
                  <c:v>3.0218423458885368E-3</c:v>
                </c:pt>
                <c:pt idx="66">
                  <c:v>1.5470265052722976E-2</c:v>
                </c:pt>
                <c:pt idx="67">
                  <c:v>1.4137139082410988E-2</c:v>
                </c:pt>
                <c:pt idx="68">
                  <c:v>1.9157650373590851E-2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B-49CD-A8B4-B7D1A09C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466464"/>
        <c:axId val="107984832"/>
      </c:scatterChart>
      <c:valAx>
        <c:axId val="29346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984832"/>
        <c:crosses val="autoZero"/>
        <c:crossBetween val="midCat"/>
      </c:valAx>
      <c:valAx>
        <c:axId val="1079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346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163285</xdr:colOff>
      <xdr:row>5</xdr:row>
      <xdr:rowOff>81650</xdr:rowOff>
    </xdr:from>
    <xdr:to>
      <xdr:col>53</xdr:col>
      <xdr:colOff>381799</xdr:colOff>
      <xdr:row>35</xdr:row>
      <xdr:rowOff>171290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CA0147F-37B3-B9F4-8A0F-3D1417B01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280148</xdr:colOff>
      <xdr:row>158</xdr:row>
      <xdr:rowOff>29135</xdr:rowOff>
    </xdr:from>
    <xdr:to>
      <xdr:col>46</xdr:col>
      <xdr:colOff>68825</xdr:colOff>
      <xdr:row>173</xdr:row>
      <xdr:rowOff>51635</xdr:rowOff>
    </xdr:to>
    <xdr:graphicFrame macro="">
      <xdr:nvGraphicFramePr>
        <xdr:cNvPr id="6" name="DISPERSAO">
          <a:extLst>
            <a:ext uri="{FF2B5EF4-FFF2-40B4-BE49-F238E27FC236}">
              <a16:creationId xmlns:a16="http://schemas.microsoft.com/office/drawing/2014/main" id="{609C6281-BD85-4963-98E3-B46545E8E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313766</xdr:colOff>
      <xdr:row>141</xdr:row>
      <xdr:rowOff>100853</xdr:rowOff>
    </xdr:from>
    <xdr:to>
      <xdr:col>46</xdr:col>
      <xdr:colOff>102443</xdr:colOff>
      <xdr:row>156</xdr:row>
      <xdr:rowOff>123353</xdr:rowOff>
    </xdr:to>
    <xdr:graphicFrame macro="">
      <xdr:nvGraphicFramePr>
        <xdr:cNvPr id="2" name="SERIE_COMPLETA">
          <a:extLst>
            <a:ext uri="{FF2B5EF4-FFF2-40B4-BE49-F238E27FC236}">
              <a16:creationId xmlns:a16="http://schemas.microsoft.com/office/drawing/2014/main" id="{3E18BF44-C8BB-4262-BF5F-7F0AEF9888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0.3012</cdr:x>
      <cdr:y>0.04436</cdr:y>
    </cdr:from>
    <cdr:to>
      <cdr:x>0.3012</cdr:x>
      <cdr:y>0.79531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2BA76D4B-1D61-408E-F803-456D1EBA67B4}"/>
            </a:ext>
          </a:extLst>
        </cdr:cNvPr>
        <cdr:cNvCxnSpPr/>
      </cdr:nvCxnSpPr>
      <cdr:spPr>
        <a:xfrm xmlns:a="http://schemas.openxmlformats.org/drawingml/2006/main">
          <a:off x="1843363" y="127751"/>
          <a:ext cx="0" cy="216273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0.13801</cdr:x>
      <cdr:y>0.7136</cdr:y>
    </cdr:from>
    <cdr:to>
      <cdr:x>0.95511</cdr:x>
      <cdr:y>0.7136</cdr:y>
    </cdr:to>
    <cdr:cxnSp macro="">
      <cdr:nvCxnSpPr>
        <cdr:cNvPr id="5" name="Conector reto 4">
          <a:extLst xmlns:a="http://schemas.openxmlformats.org/drawingml/2006/main">
            <a:ext uri="{FF2B5EF4-FFF2-40B4-BE49-F238E27FC236}">
              <a16:creationId xmlns:a16="http://schemas.microsoft.com/office/drawing/2014/main" id="{5F796FDC-F0BC-3CF5-6D5B-6135AF08720E}"/>
            </a:ext>
          </a:extLst>
        </cdr:cNvPr>
        <cdr:cNvCxnSpPr/>
      </cdr:nvCxnSpPr>
      <cdr:spPr>
        <a:xfrm xmlns:a="http://schemas.openxmlformats.org/drawingml/2006/main">
          <a:off x="844628" y="2055168"/>
          <a:ext cx="5000653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4</xdr:row>
      <xdr:rowOff>114300</xdr:rowOff>
    </xdr:from>
    <xdr:to>
      <xdr:col>20</xdr:col>
      <xdr:colOff>452625</xdr:colOff>
      <xdr:row>19</xdr:row>
      <xdr:rowOff>136800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D5EF33-4784-7A58-B698-C8BCF81BEC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461961</xdr:colOff>
      <xdr:row>109</xdr:row>
      <xdr:rowOff>166687</xdr:rowOff>
    </xdr:from>
    <xdr:to>
      <xdr:col>20</xdr:col>
      <xdr:colOff>295274</xdr:colOff>
      <xdr:row>131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7D6586-0A61-6B3E-0408-3DC6CA62B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442912</xdr:colOff>
      <xdr:row>174</xdr:row>
      <xdr:rowOff>119062</xdr:rowOff>
    </xdr:from>
    <xdr:to>
      <xdr:col>17</xdr:col>
      <xdr:colOff>138112</xdr:colOff>
      <xdr:row>189</xdr:row>
      <xdr:rowOff>4762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0A0212-DBDE-2720-F62F-87AFCC9F0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J19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5" x14ac:dyDescent="0.25"/>
  <cols>
    <col min="2" max="2" width="12.5703125" customWidth="1"/>
    <col min="3" max="4" width="12.5703125" style="3" customWidth="1"/>
    <col min="5" max="16" width="12.5703125" customWidth="1"/>
    <col min="17" max="24" width="12.5703125" style="5" customWidth="1"/>
    <col min="25" max="25" width="12.5703125" customWidth="1"/>
    <col min="28" max="28" width="11.140625" bestFit="1" customWidth="1"/>
    <col min="29" max="29" width="10.28515625" bestFit="1" customWidth="1"/>
    <col min="30" max="30" width="12.28515625" bestFit="1" customWidth="1"/>
    <col min="31" max="31" width="11.2851562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t="s">
        <v>27</v>
      </c>
      <c r="AB1" t="s">
        <v>28</v>
      </c>
      <c r="AI1" t="s">
        <v>30</v>
      </c>
      <c r="AJ1" t="s">
        <v>31</v>
      </c>
    </row>
    <row r="2" spans="1:36" x14ac:dyDescent="0.25">
      <c r="A2" s="1">
        <v>35339</v>
      </c>
      <c r="B2" s="2">
        <v>74723882</v>
      </c>
      <c r="C2" s="4">
        <v>58980771</v>
      </c>
      <c r="D2" s="4">
        <v>15743110</v>
      </c>
      <c r="E2" s="2">
        <v>1788966</v>
      </c>
      <c r="F2" s="2">
        <v>2896328</v>
      </c>
      <c r="G2" s="2">
        <v>551030</v>
      </c>
      <c r="H2" s="2">
        <v>13212588</v>
      </c>
      <c r="I2" s="2">
        <v>5769939</v>
      </c>
      <c r="K2" s="2">
        <v>940143</v>
      </c>
      <c r="L2" s="2">
        <v>4008168</v>
      </c>
      <c r="M2" s="2">
        <v>11496141</v>
      </c>
      <c r="N2" s="2">
        <v>706280</v>
      </c>
      <c r="O2" s="2">
        <v>11962680</v>
      </c>
      <c r="P2" s="2">
        <v>5648509</v>
      </c>
      <c r="Q2" s="6">
        <v>4319893</v>
      </c>
      <c r="R2" s="6">
        <v>4154486</v>
      </c>
      <c r="V2" s="6">
        <v>5406351</v>
      </c>
      <c r="X2" s="6">
        <v>1862380</v>
      </c>
      <c r="AB2" s="2">
        <f>SUM(E2:P2)+Y2</f>
        <v>58980772</v>
      </c>
      <c r="AC2" s="2">
        <f>AB2-C2</f>
        <v>1</v>
      </c>
      <c r="AD2" s="8">
        <f>AC2/AB2</f>
        <v>1.6954678043210422E-8</v>
      </c>
      <c r="AE2" s="2">
        <f>Q2+R2+S2+V2+W2+X2</f>
        <v>15743110</v>
      </c>
      <c r="AF2" s="2">
        <f>AE2-D2</f>
        <v>0</v>
      </c>
      <c r="AG2" s="8">
        <f>AF2/AE2</f>
        <v>0</v>
      </c>
      <c r="AI2">
        <f>C2/B2</f>
        <v>0.78931620549371351</v>
      </c>
      <c r="AJ2">
        <f>D2/B2</f>
        <v>0.21068378112368413</v>
      </c>
    </row>
    <row r="3" spans="1:36" x14ac:dyDescent="0.25">
      <c r="A3" s="1">
        <v>35370</v>
      </c>
      <c r="B3" s="2">
        <v>78285546</v>
      </c>
      <c r="C3" s="4">
        <v>61076091</v>
      </c>
      <c r="D3" s="4">
        <v>17209455</v>
      </c>
      <c r="E3" s="2">
        <v>1967949</v>
      </c>
      <c r="F3" s="2">
        <v>3162658</v>
      </c>
      <c r="G3" s="2">
        <v>602208</v>
      </c>
      <c r="H3" s="2">
        <v>14194587</v>
      </c>
      <c r="I3" s="2">
        <v>6211231</v>
      </c>
      <c r="K3" s="2">
        <v>951293</v>
      </c>
      <c r="L3" s="2">
        <v>4454257</v>
      </c>
      <c r="M3" s="2">
        <v>11072459</v>
      </c>
      <c r="N3" s="2">
        <v>726023</v>
      </c>
      <c r="O3" s="2">
        <v>11652593</v>
      </c>
      <c r="P3" s="2">
        <v>6080833</v>
      </c>
      <c r="Q3" s="6">
        <v>4280314</v>
      </c>
      <c r="R3" s="6">
        <v>4248583</v>
      </c>
      <c r="V3" s="6">
        <v>6419408</v>
      </c>
      <c r="X3" s="6">
        <v>2261150</v>
      </c>
      <c r="AB3" s="2">
        <f t="shared" ref="AB3:AB66" si="0">SUM(E3:P3)+Y3</f>
        <v>61076091</v>
      </c>
      <c r="AC3" s="2">
        <f t="shared" ref="AC3:AC66" si="1">AB3-C3</f>
        <v>0</v>
      </c>
      <c r="AD3" s="8">
        <f t="shared" ref="AD3:AD66" si="2">AC3/AB3</f>
        <v>0</v>
      </c>
      <c r="AE3" s="2">
        <f t="shared" ref="AE3:AE66" si="3">Q3+R3+S3+V3+W3+X3</f>
        <v>17209455</v>
      </c>
      <c r="AF3" s="2">
        <f t="shared" ref="AF3:AF66" si="4">AE3-D3</f>
        <v>0</v>
      </c>
      <c r="AG3" s="8">
        <f t="shared" ref="AG3:AG66" si="5">AF3/AE3</f>
        <v>0</v>
      </c>
      <c r="AI3">
        <f t="shared" ref="AI3:AI66" si="6">C3/B3</f>
        <v>0.78017072270275789</v>
      </c>
      <c r="AJ3">
        <f t="shared" ref="AJ3:AJ66" si="7">D3/B3</f>
        <v>0.21982927729724208</v>
      </c>
    </row>
    <row r="4" spans="1:36" x14ac:dyDescent="0.25">
      <c r="A4" s="1">
        <v>35400</v>
      </c>
      <c r="B4" s="2">
        <v>77475045</v>
      </c>
      <c r="C4" s="4">
        <v>59403624</v>
      </c>
      <c r="D4" s="4">
        <v>18071421</v>
      </c>
      <c r="E4" s="2">
        <v>2021907</v>
      </c>
      <c r="F4" s="2">
        <v>3200359</v>
      </c>
      <c r="G4" s="2">
        <v>602917</v>
      </c>
      <c r="H4" s="2">
        <v>12268579</v>
      </c>
      <c r="I4" s="2">
        <v>6341749</v>
      </c>
      <c r="K4" s="2">
        <v>922140</v>
      </c>
      <c r="L4" s="2">
        <v>4456469</v>
      </c>
      <c r="M4" s="2">
        <v>11021141</v>
      </c>
      <c r="N4" s="2">
        <v>583101</v>
      </c>
      <c r="O4" s="2">
        <v>11881909</v>
      </c>
      <c r="P4" s="2">
        <v>6103353</v>
      </c>
      <c r="Q4" s="6">
        <v>3906338</v>
      </c>
      <c r="R4" s="6">
        <v>4271337</v>
      </c>
      <c r="V4" s="6">
        <v>7501896</v>
      </c>
      <c r="X4" s="6">
        <v>2391850</v>
      </c>
      <c r="AB4" s="2">
        <f t="shared" si="0"/>
        <v>59403624</v>
      </c>
      <c r="AC4" s="2">
        <f t="shared" si="1"/>
        <v>0</v>
      </c>
      <c r="AD4" s="8">
        <f t="shared" si="2"/>
        <v>0</v>
      </c>
      <c r="AE4" s="2">
        <f t="shared" si="3"/>
        <v>18071421</v>
      </c>
      <c r="AF4" s="2">
        <f t="shared" si="4"/>
        <v>0</v>
      </c>
      <c r="AG4" s="8">
        <f t="shared" si="5"/>
        <v>0</v>
      </c>
      <c r="AI4">
        <f t="shared" si="6"/>
        <v>0.76674526616925487</v>
      </c>
      <c r="AJ4">
        <f t="shared" si="7"/>
        <v>0.2332547338307451</v>
      </c>
    </row>
    <row r="5" spans="1:36" x14ac:dyDescent="0.25">
      <c r="A5" s="1">
        <v>35431</v>
      </c>
      <c r="B5" s="2">
        <v>79197178</v>
      </c>
      <c r="C5" s="4">
        <v>59188991</v>
      </c>
      <c r="D5" s="4">
        <v>20008185</v>
      </c>
      <c r="E5" s="2">
        <v>1479052</v>
      </c>
      <c r="F5" s="2">
        <v>3051118</v>
      </c>
      <c r="G5" s="2">
        <v>557102</v>
      </c>
      <c r="H5" s="2">
        <v>12405260</v>
      </c>
      <c r="I5" s="2">
        <v>6423359</v>
      </c>
      <c r="K5" s="2">
        <v>840640</v>
      </c>
      <c r="L5" s="2">
        <v>4165285</v>
      </c>
      <c r="M5" s="2">
        <v>10989749</v>
      </c>
      <c r="N5" s="2">
        <v>590188</v>
      </c>
      <c r="O5" s="2">
        <v>12125346</v>
      </c>
      <c r="P5" s="2">
        <v>6561894</v>
      </c>
      <c r="Q5" s="6">
        <v>4349837</v>
      </c>
      <c r="R5" s="6">
        <v>4599130</v>
      </c>
      <c r="V5" s="6">
        <v>8354098</v>
      </c>
      <c r="X5" s="6">
        <v>2705120</v>
      </c>
      <c r="AB5" s="2">
        <f t="shared" si="0"/>
        <v>59188993</v>
      </c>
      <c r="AC5" s="2">
        <f t="shared" si="1"/>
        <v>2</v>
      </c>
      <c r="AD5" s="8">
        <f t="shared" si="2"/>
        <v>3.3790066338854592E-8</v>
      </c>
      <c r="AE5" s="2">
        <f t="shared" si="3"/>
        <v>20008185</v>
      </c>
      <c r="AF5" s="2">
        <f t="shared" si="4"/>
        <v>0</v>
      </c>
      <c r="AG5" s="8">
        <f t="shared" si="5"/>
        <v>0</v>
      </c>
      <c r="AI5">
        <f t="shared" si="6"/>
        <v>0.7473623744522816</v>
      </c>
      <c r="AJ5">
        <f t="shared" si="7"/>
        <v>0.25263760029429333</v>
      </c>
    </row>
    <row r="6" spans="1:36" x14ac:dyDescent="0.25">
      <c r="A6" s="1">
        <v>35462</v>
      </c>
      <c r="B6" s="2">
        <v>79089590</v>
      </c>
      <c r="C6" s="4">
        <v>57954520</v>
      </c>
      <c r="D6" s="4">
        <v>21135069</v>
      </c>
      <c r="E6" s="2">
        <v>980537</v>
      </c>
      <c r="F6" s="2">
        <v>3175369</v>
      </c>
      <c r="G6" s="2">
        <v>522967</v>
      </c>
      <c r="H6" s="2">
        <v>11046992</v>
      </c>
      <c r="I6" s="2">
        <v>7073385</v>
      </c>
      <c r="K6" s="2">
        <v>924116</v>
      </c>
      <c r="L6" s="2">
        <v>4301384</v>
      </c>
      <c r="M6" s="2">
        <v>11056967</v>
      </c>
      <c r="N6" s="2">
        <v>555901</v>
      </c>
      <c r="O6" s="2">
        <v>11974475</v>
      </c>
      <c r="P6" s="2">
        <v>6342428</v>
      </c>
      <c r="Q6" s="6">
        <v>4588435</v>
      </c>
      <c r="R6" s="6">
        <v>4893152</v>
      </c>
      <c r="V6" s="6">
        <v>8846372</v>
      </c>
      <c r="X6" s="6">
        <v>2807110</v>
      </c>
      <c r="AB6" s="2">
        <f t="shared" si="0"/>
        <v>57954521</v>
      </c>
      <c r="AC6" s="2">
        <f t="shared" si="1"/>
        <v>1</v>
      </c>
      <c r="AD6" s="8">
        <f t="shared" si="2"/>
        <v>1.725490924167935E-8</v>
      </c>
      <c r="AE6" s="2">
        <f t="shared" si="3"/>
        <v>21135069</v>
      </c>
      <c r="AF6" s="2">
        <f t="shared" si="4"/>
        <v>0</v>
      </c>
      <c r="AG6" s="8">
        <f t="shared" si="5"/>
        <v>0</v>
      </c>
      <c r="AI6">
        <f t="shared" si="6"/>
        <v>0.73277052011522625</v>
      </c>
      <c r="AJ6">
        <f t="shared" si="7"/>
        <v>0.2672294672408847</v>
      </c>
    </row>
    <row r="7" spans="1:36" x14ac:dyDescent="0.25">
      <c r="A7" s="1">
        <v>35490</v>
      </c>
      <c r="B7" s="2">
        <v>83038192</v>
      </c>
      <c r="C7" s="4">
        <v>61316508</v>
      </c>
      <c r="D7" s="4">
        <v>21721683</v>
      </c>
      <c r="E7" s="2">
        <v>961736</v>
      </c>
      <c r="F7" s="2">
        <v>3277546</v>
      </c>
      <c r="G7" s="2">
        <v>523268</v>
      </c>
      <c r="H7" s="2">
        <v>12299984</v>
      </c>
      <c r="I7" s="2">
        <v>7651796</v>
      </c>
      <c r="K7" s="2">
        <v>1023852</v>
      </c>
      <c r="L7" s="2">
        <v>4431151</v>
      </c>
      <c r="M7" s="2">
        <v>11741605</v>
      </c>
      <c r="N7" s="2">
        <v>644423</v>
      </c>
      <c r="O7" s="2">
        <v>12452313</v>
      </c>
      <c r="P7" s="2">
        <v>6308835</v>
      </c>
      <c r="Q7" s="6">
        <v>4873352</v>
      </c>
      <c r="R7" s="6">
        <v>5292939</v>
      </c>
      <c r="V7" s="6">
        <v>9074392</v>
      </c>
      <c r="X7" s="6">
        <v>2481000</v>
      </c>
      <c r="AB7" s="2">
        <f t="shared" si="0"/>
        <v>61316509</v>
      </c>
      <c r="AC7" s="2">
        <f t="shared" si="1"/>
        <v>1</v>
      </c>
      <c r="AD7" s="8">
        <f t="shared" si="2"/>
        <v>1.6308821495365954E-8</v>
      </c>
      <c r="AE7" s="2">
        <f t="shared" si="3"/>
        <v>21721683</v>
      </c>
      <c r="AF7" s="2">
        <f t="shared" si="4"/>
        <v>0</v>
      </c>
      <c r="AG7" s="8">
        <f t="shared" si="5"/>
        <v>0</v>
      </c>
      <c r="AI7">
        <f t="shared" si="6"/>
        <v>0.7384133315426713</v>
      </c>
      <c r="AJ7">
        <f t="shared" si="7"/>
        <v>0.26158665641467721</v>
      </c>
    </row>
    <row r="8" spans="1:36" x14ac:dyDescent="0.25">
      <c r="A8" s="1">
        <v>35521</v>
      </c>
      <c r="B8" s="2">
        <v>84332786</v>
      </c>
      <c r="C8" s="4">
        <v>61247149</v>
      </c>
      <c r="D8" s="4">
        <v>23085636</v>
      </c>
      <c r="E8" s="2">
        <v>934959</v>
      </c>
      <c r="F8" s="2">
        <v>3379799</v>
      </c>
      <c r="G8" s="2">
        <v>547845</v>
      </c>
      <c r="H8" s="2">
        <v>12051927</v>
      </c>
      <c r="I8" s="2">
        <v>7701772</v>
      </c>
      <c r="K8" s="2">
        <v>1135779</v>
      </c>
      <c r="L8" s="2">
        <v>4395214</v>
      </c>
      <c r="M8" s="2">
        <v>11554200</v>
      </c>
      <c r="N8" s="2">
        <v>481100</v>
      </c>
      <c r="O8" s="2">
        <v>12472575</v>
      </c>
      <c r="P8" s="2">
        <v>6591980</v>
      </c>
      <c r="Q8" s="6">
        <v>5093123</v>
      </c>
      <c r="R8" s="6">
        <v>5626528</v>
      </c>
      <c r="V8" s="6">
        <v>9738655</v>
      </c>
      <c r="X8" s="6">
        <v>2627330</v>
      </c>
      <c r="AB8" s="2">
        <f t="shared" si="0"/>
        <v>61247150</v>
      </c>
      <c r="AC8" s="2">
        <f t="shared" si="1"/>
        <v>1</v>
      </c>
      <c r="AD8" s="8">
        <f t="shared" si="2"/>
        <v>1.6327290331060304E-8</v>
      </c>
      <c r="AE8" s="2">
        <f t="shared" si="3"/>
        <v>23085636</v>
      </c>
      <c r="AF8" s="2">
        <f t="shared" si="4"/>
        <v>0</v>
      </c>
      <c r="AG8" s="8">
        <f t="shared" si="5"/>
        <v>0</v>
      </c>
      <c r="AI8">
        <f t="shared" si="6"/>
        <v>0.72625549214038776</v>
      </c>
      <c r="AJ8">
        <f t="shared" si="7"/>
        <v>0.27374449600182782</v>
      </c>
    </row>
    <row r="9" spans="1:36" x14ac:dyDescent="0.25">
      <c r="A9" s="1">
        <v>35551</v>
      </c>
      <c r="B9" s="2">
        <v>86217579</v>
      </c>
      <c r="C9" s="4">
        <v>63038788</v>
      </c>
      <c r="D9" s="4">
        <v>23178791</v>
      </c>
      <c r="E9" s="2">
        <v>910890</v>
      </c>
      <c r="F9" s="2">
        <v>3502925</v>
      </c>
      <c r="G9" s="2">
        <v>575350</v>
      </c>
      <c r="H9" s="2">
        <v>12621880</v>
      </c>
      <c r="I9" s="2">
        <v>7853826</v>
      </c>
      <c r="K9" s="2">
        <v>1127195</v>
      </c>
      <c r="L9" s="2">
        <v>4573646</v>
      </c>
      <c r="M9" s="2">
        <v>12042649</v>
      </c>
      <c r="N9" s="2">
        <v>559468</v>
      </c>
      <c r="O9" s="2">
        <v>12608561</v>
      </c>
      <c r="P9" s="2">
        <v>6662398</v>
      </c>
      <c r="Q9" s="6">
        <v>5163188</v>
      </c>
      <c r="R9" s="6">
        <v>5820676</v>
      </c>
      <c r="V9" s="6">
        <v>9591726</v>
      </c>
      <c r="X9" s="6">
        <v>2603201</v>
      </c>
      <c r="AB9" s="2">
        <f t="shared" si="0"/>
        <v>63038788</v>
      </c>
      <c r="AC9" s="2">
        <f t="shared" si="1"/>
        <v>0</v>
      </c>
      <c r="AD9" s="8">
        <f t="shared" si="2"/>
        <v>0</v>
      </c>
      <c r="AE9" s="2">
        <f t="shared" si="3"/>
        <v>23178791</v>
      </c>
      <c r="AF9" s="2">
        <f t="shared" si="4"/>
        <v>0</v>
      </c>
      <c r="AG9" s="8">
        <f t="shared" si="5"/>
        <v>0</v>
      </c>
      <c r="AI9">
        <f t="shared" si="6"/>
        <v>0.73115933816698797</v>
      </c>
      <c r="AJ9">
        <f t="shared" si="7"/>
        <v>0.26884066183301203</v>
      </c>
    </row>
    <row r="10" spans="1:36" x14ac:dyDescent="0.25">
      <c r="A10" s="1">
        <v>35582</v>
      </c>
      <c r="B10" s="2">
        <v>87567012</v>
      </c>
      <c r="C10" s="4">
        <v>63369217</v>
      </c>
      <c r="D10" s="4">
        <v>24197794</v>
      </c>
      <c r="E10" s="2">
        <v>1062030</v>
      </c>
      <c r="F10" s="2">
        <v>3667109</v>
      </c>
      <c r="G10" s="2">
        <v>639470</v>
      </c>
      <c r="H10" s="2">
        <v>12375658</v>
      </c>
      <c r="I10" s="2">
        <v>7889361</v>
      </c>
      <c r="K10" s="2">
        <v>1193594</v>
      </c>
      <c r="L10" s="2">
        <v>4581319</v>
      </c>
      <c r="M10" s="2">
        <v>12132210</v>
      </c>
      <c r="N10" s="2">
        <v>637768</v>
      </c>
      <c r="O10" s="2">
        <v>12289781</v>
      </c>
      <c r="P10" s="2">
        <v>6900918</v>
      </c>
      <c r="Q10" s="6">
        <v>5289619</v>
      </c>
      <c r="R10" s="6">
        <v>6130313</v>
      </c>
      <c r="V10" s="6">
        <v>10207262</v>
      </c>
      <c r="X10" s="6">
        <v>2570600</v>
      </c>
      <c r="AB10" s="2">
        <f t="shared" si="0"/>
        <v>63369218</v>
      </c>
      <c r="AC10" s="2">
        <f t="shared" si="1"/>
        <v>1</v>
      </c>
      <c r="AD10" s="8">
        <f t="shared" si="2"/>
        <v>1.578053243453312E-8</v>
      </c>
      <c r="AE10" s="2">
        <f t="shared" si="3"/>
        <v>24197794</v>
      </c>
      <c r="AF10" s="2">
        <f t="shared" si="4"/>
        <v>0</v>
      </c>
      <c r="AG10" s="8">
        <f t="shared" si="5"/>
        <v>0</v>
      </c>
      <c r="AI10">
        <f t="shared" si="6"/>
        <v>0.7236654026746967</v>
      </c>
      <c r="AJ10">
        <f t="shared" si="7"/>
        <v>0.27633458590547771</v>
      </c>
    </row>
    <row r="11" spans="1:36" x14ac:dyDescent="0.25">
      <c r="A11" s="1">
        <v>35612</v>
      </c>
      <c r="B11" s="2">
        <v>87322333</v>
      </c>
      <c r="C11" s="4">
        <v>62823898</v>
      </c>
      <c r="D11" s="4">
        <v>24498436</v>
      </c>
      <c r="E11" s="2">
        <v>924969</v>
      </c>
      <c r="F11" s="2">
        <v>3780957</v>
      </c>
      <c r="G11" s="2">
        <v>677178</v>
      </c>
      <c r="H11" s="2">
        <v>12825804</v>
      </c>
      <c r="I11" s="2">
        <v>7733393</v>
      </c>
      <c r="K11" s="2">
        <v>1338730</v>
      </c>
      <c r="L11" s="2">
        <v>4481037</v>
      </c>
      <c r="M11" s="2">
        <v>11813113</v>
      </c>
      <c r="N11" s="2">
        <v>598453</v>
      </c>
      <c r="O11" s="2">
        <v>11964981</v>
      </c>
      <c r="P11" s="2">
        <v>6685282</v>
      </c>
      <c r="Q11" s="6">
        <v>5400973</v>
      </c>
      <c r="R11" s="6">
        <v>6268741</v>
      </c>
      <c r="V11" s="6">
        <v>10198325</v>
      </c>
      <c r="X11" s="6">
        <v>2630397</v>
      </c>
      <c r="AB11" s="2">
        <f t="shared" si="0"/>
        <v>62823897</v>
      </c>
      <c r="AC11" s="2">
        <f t="shared" si="1"/>
        <v>-1</v>
      </c>
      <c r="AD11" s="8">
        <f t="shared" si="2"/>
        <v>-1.5917509860937152E-8</v>
      </c>
      <c r="AE11" s="2">
        <f t="shared" si="3"/>
        <v>24498436</v>
      </c>
      <c r="AF11" s="2">
        <f t="shared" si="4"/>
        <v>0</v>
      </c>
      <c r="AG11" s="8">
        <f t="shared" si="5"/>
        <v>0</v>
      </c>
      <c r="AI11">
        <f t="shared" si="6"/>
        <v>0.71944823095828192</v>
      </c>
      <c r="AJ11">
        <f t="shared" si="7"/>
        <v>0.28055178049354224</v>
      </c>
    </row>
    <row r="12" spans="1:36" x14ac:dyDescent="0.25">
      <c r="A12" s="1">
        <v>35643</v>
      </c>
      <c r="B12" s="2">
        <v>88014764</v>
      </c>
      <c r="C12" s="4">
        <v>63175342</v>
      </c>
      <c r="D12" s="4">
        <v>24839421</v>
      </c>
      <c r="E12" s="2">
        <v>938377</v>
      </c>
      <c r="F12" s="2">
        <v>3947641</v>
      </c>
      <c r="G12" s="2">
        <v>704970</v>
      </c>
      <c r="H12" s="2">
        <v>12806188</v>
      </c>
      <c r="I12" s="2">
        <v>7985838</v>
      </c>
      <c r="K12" s="2">
        <v>1416236</v>
      </c>
      <c r="L12" s="2">
        <v>4233644</v>
      </c>
      <c r="M12" s="2">
        <v>11487441</v>
      </c>
      <c r="N12" s="2">
        <v>729596</v>
      </c>
      <c r="O12" s="2">
        <v>12075312</v>
      </c>
      <c r="P12" s="2">
        <v>6850100</v>
      </c>
      <c r="Q12" s="6">
        <v>5462644</v>
      </c>
      <c r="R12" s="6">
        <v>6554121</v>
      </c>
      <c r="V12" s="6">
        <v>10029919</v>
      </c>
      <c r="X12" s="6">
        <v>2792737</v>
      </c>
      <c r="AB12" s="2">
        <f t="shared" si="0"/>
        <v>63175343</v>
      </c>
      <c r="AC12" s="2">
        <f t="shared" si="1"/>
        <v>1</v>
      </c>
      <c r="AD12" s="8">
        <f t="shared" si="2"/>
        <v>1.5828960358790613E-8</v>
      </c>
      <c r="AE12" s="2">
        <f t="shared" si="3"/>
        <v>24839421</v>
      </c>
      <c r="AF12" s="2">
        <f t="shared" si="4"/>
        <v>0</v>
      </c>
      <c r="AG12" s="8">
        <f t="shared" si="5"/>
        <v>0</v>
      </c>
      <c r="AI12">
        <f t="shared" si="6"/>
        <v>0.71778118952861136</v>
      </c>
      <c r="AJ12">
        <f t="shared" si="7"/>
        <v>0.28221879910965847</v>
      </c>
    </row>
    <row r="13" spans="1:36" x14ac:dyDescent="0.25">
      <c r="A13" s="1">
        <v>35674</v>
      </c>
      <c r="B13" s="2">
        <v>88157468</v>
      </c>
      <c r="C13" s="4">
        <v>64225306</v>
      </c>
      <c r="D13" s="4">
        <v>23932162</v>
      </c>
      <c r="E13" s="2">
        <v>985180</v>
      </c>
      <c r="F13" s="2">
        <v>4086193</v>
      </c>
      <c r="G13" s="2">
        <v>712620</v>
      </c>
      <c r="H13" s="2">
        <v>13332804</v>
      </c>
      <c r="I13" s="2">
        <v>8159046</v>
      </c>
      <c r="K13" s="2">
        <v>1445187</v>
      </c>
      <c r="L13" s="2">
        <v>4425143</v>
      </c>
      <c r="M13" s="2">
        <v>11510420</v>
      </c>
      <c r="N13" s="2">
        <v>838220</v>
      </c>
      <c r="O13" s="2">
        <v>11900808</v>
      </c>
      <c r="P13" s="2">
        <v>6829685</v>
      </c>
      <c r="Q13" s="6">
        <v>5687810</v>
      </c>
      <c r="R13" s="6">
        <v>6682393</v>
      </c>
      <c r="V13" s="6">
        <v>8816226</v>
      </c>
      <c r="X13" s="6">
        <v>2745733</v>
      </c>
      <c r="AB13" s="2">
        <f t="shared" si="0"/>
        <v>64225306</v>
      </c>
      <c r="AC13" s="2">
        <f t="shared" si="1"/>
        <v>0</v>
      </c>
      <c r="AD13" s="8">
        <f t="shared" si="2"/>
        <v>0</v>
      </c>
      <c r="AE13" s="2">
        <f t="shared" si="3"/>
        <v>23932162</v>
      </c>
      <c r="AF13" s="2">
        <f t="shared" si="4"/>
        <v>0</v>
      </c>
      <c r="AG13" s="8">
        <f t="shared" si="5"/>
        <v>0</v>
      </c>
      <c r="AI13">
        <f t="shared" si="6"/>
        <v>0.72852938562164693</v>
      </c>
      <c r="AJ13">
        <f t="shared" si="7"/>
        <v>0.27147061437835307</v>
      </c>
    </row>
    <row r="14" spans="1:36" x14ac:dyDescent="0.25">
      <c r="A14" s="1">
        <v>35704</v>
      </c>
      <c r="B14" s="2">
        <v>88734642</v>
      </c>
      <c r="C14" s="4">
        <v>64516343</v>
      </c>
      <c r="D14" s="4">
        <v>24218298</v>
      </c>
      <c r="E14" s="2">
        <v>936939</v>
      </c>
      <c r="F14" s="2">
        <v>4011665</v>
      </c>
      <c r="G14" s="2">
        <v>596920</v>
      </c>
      <c r="H14" s="2">
        <v>13397866</v>
      </c>
      <c r="I14" s="2">
        <v>8427564</v>
      </c>
      <c r="K14" s="2">
        <v>1460912</v>
      </c>
      <c r="L14" s="2">
        <v>4448804</v>
      </c>
      <c r="M14" s="2">
        <v>11550368</v>
      </c>
      <c r="N14" s="2">
        <v>1008450</v>
      </c>
      <c r="O14" s="2">
        <v>11786737</v>
      </c>
      <c r="P14" s="2">
        <v>6890119</v>
      </c>
      <c r="Q14" s="6">
        <v>5817663</v>
      </c>
      <c r="R14" s="6">
        <v>6955974</v>
      </c>
      <c r="V14" s="6">
        <v>8641249</v>
      </c>
      <c r="X14" s="6">
        <v>2803412</v>
      </c>
      <c r="AB14" s="2">
        <f t="shared" si="0"/>
        <v>64516344</v>
      </c>
      <c r="AC14" s="2">
        <f t="shared" si="1"/>
        <v>1</v>
      </c>
      <c r="AD14" s="8">
        <f t="shared" si="2"/>
        <v>1.5499948354172083E-8</v>
      </c>
      <c r="AE14" s="2">
        <f t="shared" si="3"/>
        <v>24218298</v>
      </c>
      <c r="AF14" s="2">
        <f t="shared" si="4"/>
        <v>0</v>
      </c>
      <c r="AG14" s="8">
        <f t="shared" si="5"/>
        <v>0</v>
      </c>
      <c r="AI14">
        <f t="shared" si="6"/>
        <v>0.72707052787793969</v>
      </c>
      <c r="AJ14">
        <f t="shared" si="7"/>
        <v>0.27292946085250447</v>
      </c>
    </row>
    <row r="15" spans="1:36" x14ac:dyDescent="0.25">
      <c r="A15" s="1">
        <v>35735</v>
      </c>
      <c r="B15" s="2">
        <v>88106568</v>
      </c>
      <c r="C15" s="4">
        <v>64806954</v>
      </c>
      <c r="D15" s="4">
        <v>23299614</v>
      </c>
      <c r="E15" s="2">
        <v>806122</v>
      </c>
      <c r="F15" s="2">
        <v>3888148</v>
      </c>
      <c r="G15" s="2">
        <v>527630</v>
      </c>
      <c r="H15" s="2">
        <v>13478525</v>
      </c>
      <c r="I15" s="2">
        <v>9148710</v>
      </c>
      <c r="K15" s="2">
        <v>1309838</v>
      </c>
      <c r="L15" s="2">
        <v>4420784</v>
      </c>
      <c r="M15" s="2">
        <v>11957883</v>
      </c>
      <c r="N15" s="2">
        <v>979423</v>
      </c>
      <c r="O15" s="2">
        <v>11629116</v>
      </c>
      <c r="P15" s="2">
        <v>6660775</v>
      </c>
      <c r="Q15" s="6">
        <v>5668617</v>
      </c>
      <c r="R15" s="6">
        <v>6688758</v>
      </c>
      <c r="V15" s="6">
        <v>8225431</v>
      </c>
      <c r="X15" s="6">
        <v>2716808</v>
      </c>
      <c r="AB15" s="2">
        <f t="shared" si="0"/>
        <v>64806954</v>
      </c>
      <c r="AC15" s="2">
        <f t="shared" si="1"/>
        <v>0</v>
      </c>
      <c r="AD15" s="8">
        <f t="shared" si="2"/>
        <v>0</v>
      </c>
      <c r="AE15" s="2">
        <f t="shared" si="3"/>
        <v>23299614</v>
      </c>
      <c r="AF15" s="2">
        <f t="shared" si="4"/>
        <v>0</v>
      </c>
      <c r="AG15" s="8">
        <f t="shared" si="5"/>
        <v>0</v>
      </c>
      <c r="AI15">
        <f t="shared" si="6"/>
        <v>0.73555190573306639</v>
      </c>
      <c r="AJ15">
        <f t="shared" si="7"/>
        <v>0.26444809426693366</v>
      </c>
    </row>
    <row r="16" spans="1:36" x14ac:dyDescent="0.25">
      <c r="A16" s="1">
        <v>35765</v>
      </c>
      <c r="B16" s="2">
        <v>85531050</v>
      </c>
      <c r="C16" s="4">
        <v>63270074</v>
      </c>
      <c r="D16" s="4">
        <v>22260976</v>
      </c>
      <c r="E16" s="2">
        <v>839354</v>
      </c>
      <c r="F16" s="2">
        <v>3638677</v>
      </c>
      <c r="G16" s="2">
        <v>498362</v>
      </c>
      <c r="H16" s="2">
        <v>13617130</v>
      </c>
      <c r="I16" s="2">
        <v>8572640</v>
      </c>
      <c r="K16" s="2">
        <v>1231997</v>
      </c>
      <c r="L16" s="2">
        <v>4358677</v>
      </c>
      <c r="M16" s="2">
        <v>12186016</v>
      </c>
      <c r="N16" s="2">
        <v>694539</v>
      </c>
      <c r="O16" s="2">
        <v>11062109</v>
      </c>
      <c r="P16" s="2">
        <v>6570573</v>
      </c>
      <c r="Q16" s="6">
        <v>5418942</v>
      </c>
      <c r="R16" s="6">
        <v>6655618</v>
      </c>
      <c r="V16" s="6">
        <v>7444685</v>
      </c>
      <c r="X16" s="6">
        <v>2741731</v>
      </c>
      <c r="AB16" s="2">
        <f t="shared" si="0"/>
        <v>63270074</v>
      </c>
      <c r="AC16" s="2">
        <f t="shared" si="1"/>
        <v>0</v>
      </c>
      <c r="AD16" s="8">
        <f t="shared" si="2"/>
        <v>0</v>
      </c>
      <c r="AE16" s="2">
        <f t="shared" si="3"/>
        <v>22260976</v>
      </c>
      <c r="AF16" s="2">
        <f t="shared" si="4"/>
        <v>0</v>
      </c>
      <c r="AG16" s="8">
        <f t="shared" si="5"/>
        <v>0</v>
      </c>
      <c r="AI16">
        <f t="shared" si="6"/>
        <v>0.73973222589924947</v>
      </c>
      <c r="AJ16">
        <f t="shared" si="7"/>
        <v>0.26026777410075053</v>
      </c>
    </row>
    <row r="17" spans="1:36" x14ac:dyDescent="0.25">
      <c r="A17" s="1">
        <v>35796</v>
      </c>
      <c r="B17" s="2">
        <v>84627958</v>
      </c>
      <c r="C17" s="4">
        <v>62191809</v>
      </c>
      <c r="D17" s="4">
        <v>22436148</v>
      </c>
      <c r="E17" s="2">
        <v>759782</v>
      </c>
      <c r="F17" s="2">
        <v>3418429</v>
      </c>
      <c r="G17" s="2">
        <v>469723</v>
      </c>
      <c r="H17" s="2">
        <v>13118201</v>
      </c>
      <c r="I17" s="2">
        <v>8978975</v>
      </c>
      <c r="K17" s="2">
        <v>1178489</v>
      </c>
      <c r="L17" s="2">
        <v>3980016</v>
      </c>
      <c r="M17" s="2">
        <v>12312735</v>
      </c>
      <c r="N17" s="2">
        <v>539714</v>
      </c>
      <c r="O17" s="2">
        <v>10873422</v>
      </c>
      <c r="P17" s="2">
        <v>6562324</v>
      </c>
      <c r="Q17" s="6">
        <v>5769222</v>
      </c>
      <c r="R17" s="6">
        <v>6575060</v>
      </c>
      <c r="V17" s="6">
        <v>7407785</v>
      </c>
      <c r="X17" s="6">
        <v>2684081</v>
      </c>
      <c r="AB17" s="2">
        <f t="shared" si="0"/>
        <v>62191810</v>
      </c>
      <c r="AC17" s="2">
        <f t="shared" si="1"/>
        <v>1</v>
      </c>
      <c r="AD17" s="8">
        <f t="shared" si="2"/>
        <v>1.6079287610378278E-8</v>
      </c>
      <c r="AE17" s="2">
        <f t="shared" si="3"/>
        <v>22436148</v>
      </c>
      <c r="AF17" s="2">
        <f t="shared" si="4"/>
        <v>0</v>
      </c>
      <c r="AG17" s="8">
        <f t="shared" si="5"/>
        <v>0</v>
      </c>
      <c r="AI17">
        <f t="shared" si="6"/>
        <v>0.73488490647499727</v>
      </c>
      <c r="AJ17">
        <f t="shared" si="7"/>
        <v>0.26511508170857673</v>
      </c>
    </row>
    <row r="18" spans="1:36" x14ac:dyDescent="0.25">
      <c r="A18" s="1">
        <v>35827</v>
      </c>
      <c r="B18" s="2">
        <v>84838329</v>
      </c>
      <c r="C18" s="4">
        <v>62445451</v>
      </c>
      <c r="D18" s="4">
        <v>22392877</v>
      </c>
      <c r="E18" s="2">
        <v>764033</v>
      </c>
      <c r="F18" s="2">
        <v>3358506</v>
      </c>
      <c r="G18" s="2">
        <v>461630</v>
      </c>
      <c r="H18" s="2">
        <v>12745410</v>
      </c>
      <c r="I18" s="2">
        <v>9044999</v>
      </c>
      <c r="K18" s="2">
        <v>1148467</v>
      </c>
      <c r="L18" s="2">
        <v>3742207</v>
      </c>
      <c r="M18" s="2">
        <v>12842019</v>
      </c>
      <c r="N18" s="2">
        <v>561113</v>
      </c>
      <c r="O18" s="2">
        <v>11150466</v>
      </c>
      <c r="P18" s="2">
        <v>6626602</v>
      </c>
      <c r="Q18" s="6">
        <v>6017392</v>
      </c>
      <c r="R18" s="6">
        <v>6569823</v>
      </c>
      <c r="V18" s="6">
        <v>7028140</v>
      </c>
      <c r="X18" s="6">
        <v>2777522</v>
      </c>
      <c r="AB18" s="2">
        <f t="shared" si="0"/>
        <v>62445452</v>
      </c>
      <c r="AC18" s="2">
        <f t="shared" si="1"/>
        <v>1</v>
      </c>
      <c r="AD18" s="8">
        <f t="shared" si="2"/>
        <v>1.6013976486229935E-8</v>
      </c>
      <c r="AE18" s="2">
        <f t="shared" si="3"/>
        <v>22392877</v>
      </c>
      <c r="AF18" s="2">
        <f t="shared" si="4"/>
        <v>0</v>
      </c>
      <c r="AG18" s="8">
        <f t="shared" si="5"/>
        <v>0</v>
      </c>
      <c r="AI18">
        <f t="shared" si="6"/>
        <v>0.73605234492536975</v>
      </c>
      <c r="AJ18">
        <f t="shared" si="7"/>
        <v>0.26394764328750508</v>
      </c>
    </row>
    <row r="19" spans="1:36" x14ac:dyDescent="0.25">
      <c r="A19" s="1">
        <v>35855</v>
      </c>
      <c r="B19" s="2">
        <v>84648454</v>
      </c>
      <c r="C19" s="4">
        <v>62494995</v>
      </c>
      <c r="D19" s="4">
        <v>22153459</v>
      </c>
      <c r="E19" s="2">
        <v>753757</v>
      </c>
      <c r="F19" s="2">
        <v>3335343</v>
      </c>
      <c r="G19" s="2">
        <v>453999</v>
      </c>
      <c r="H19" s="2">
        <v>12654131</v>
      </c>
      <c r="I19" s="2">
        <v>8822406</v>
      </c>
      <c r="K19" s="2">
        <v>1215731</v>
      </c>
      <c r="L19" s="2">
        <v>3856960</v>
      </c>
      <c r="M19" s="2">
        <v>12769878</v>
      </c>
      <c r="N19" s="2">
        <v>450743</v>
      </c>
      <c r="O19" s="2">
        <v>11332492</v>
      </c>
      <c r="P19" s="2">
        <v>6849555</v>
      </c>
      <c r="Q19" s="6">
        <v>5991460</v>
      </c>
      <c r="R19" s="6">
        <v>6704398</v>
      </c>
      <c r="V19" s="6">
        <v>6663559</v>
      </c>
      <c r="X19" s="6">
        <v>2794042</v>
      </c>
      <c r="AB19" s="2">
        <f t="shared" si="0"/>
        <v>62494995</v>
      </c>
      <c r="AC19" s="2">
        <f t="shared" si="1"/>
        <v>0</v>
      </c>
      <c r="AD19" s="8">
        <f t="shared" si="2"/>
        <v>0</v>
      </c>
      <c r="AE19" s="2">
        <f t="shared" si="3"/>
        <v>22153459</v>
      </c>
      <c r="AF19" s="2">
        <f t="shared" si="4"/>
        <v>0</v>
      </c>
      <c r="AG19" s="8">
        <f t="shared" si="5"/>
        <v>0</v>
      </c>
      <c r="AI19">
        <f t="shared" si="6"/>
        <v>0.73828867565614376</v>
      </c>
      <c r="AJ19">
        <f t="shared" si="7"/>
        <v>0.2617113243438563</v>
      </c>
    </row>
    <row r="20" spans="1:36" x14ac:dyDescent="0.25">
      <c r="A20" s="1">
        <v>35886</v>
      </c>
      <c r="B20" s="2">
        <v>85095449</v>
      </c>
      <c r="C20" s="4">
        <v>63048242</v>
      </c>
      <c r="D20" s="4">
        <v>22047208</v>
      </c>
      <c r="E20" s="2">
        <v>786379</v>
      </c>
      <c r="F20" s="2">
        <v>3264766</v>
      </c>
      <c r="G20" s="2">
        <v>413370</v>
      </c>
      <c r="H20" s="2">
        <v>12609278</v>
      </c>
      <c r="I20" s="2">
        <v>9001458</v>
      </c>
      <c r="K20" s="2">
        <v>1161311</v>
      </c>
      <c r="L20" s="2">
        <v>3879274</v>
      </c>
      <c r="M20" s="2">
        <v>12806038</v>
      </c>
      <c r="N20" s="2">
        <v>459845</v>
      </c>
      <c r="O20" s="2">
        <v>11878776</v>
      </c>
      <c r="P20" s="2">
        <v>6787746</v>
      </c>
      <c r="Q20" s="6">
        <v>5973639</v>
      </c>
      <c r="R20" s="6">
        <v>6798547</v>
      </c>
      <c r="V20" s="6">
        <v>6384257</v>
      </c>
      <c r="X20" s="6">
        <v>2890765</v>
      </c>
      <c r="AB20" s="2">
        <f t="shared" si="0"/>
        <v>63048241</v>
      </c>
      <c r="AC20" s="2">
        <f t="shared" si="1"/>
        <v>-1</v>
      </c>
      <c r="AD20" s="8">
        <f t="shared" si="2"/>
        <v>-1.5860870725957287E-8</v>
      </c>
      <c r="AE20" s="2">
        <f t="shared" si="3"/>
        <v>22047208</v>
      </c>
      <c r="AF20" s="2">
        <f t="shared" si="4"/>
        <v>0</v>
      </c>
      <c r="AG20" s="8">
        <f t="shared" si="5"/>
        <v>0</v>
      </c>
      <c r="AI20">
        <f t="shared" si="6"/>
        <v>0.74091203161757802</v>
      </c>
      <c r="AJ20">
        <f t="shared" si="7"/>
        <v>0.25908798013393169</v>
      </c>
    </row>
    <row r="21" spans="1:36" x14ac:dyDescent="0.25">
      <c r="A21" s="1">
        <v>35916</v>
      </c>
      <c r="B21" s="2">
        <v>84350321</v>
      </c>
      <c r="C21" s="4">
        <v>63048145</v>
      </c>
      <c r="D21" s="4">
        <v>21302177</v>
      </c>
      <c r="E21" s="2">
        <v>787027</v>
      </c>
      <c r="F21" s="2">
        <v>3350749</v>
      </c>
      <c r="G21" s="2">
        <v>399390</v>
      </c>
      <c r="H21" s="2">
        <v>12737596</v>
      </c>
      <c r="I21" s="2">
        <v>8898876</v>
      </c>
      <c r="K21" s="2">
        <v>1232927</v>
      </c>
      <c r="L21" s="2">
        <v>3963132</v>
      </c>
      <c r="M21" s="2">
        <v>12790246</v>
      </c>
      <c r="N21" s="2">
        <v>453932</v>
      </c>
      <c r="O21" s="2">
        <v>11693593</v>
      </c>
      <c r="P21" s="2">
        <v>6740676</v>
      </c>
      <c r="Q21" s="6">
        <v>5704665</v>
      </c>
      <c r="R21" s="6">
        <v>6875165</v>
      </c>
      <c r="V21" s="6">
        <v>6091104</v>
      </c>
      <c r="X21" s="6">
        <v>2631243</v>
      </c>
      <c r="AB21" s="2">
        <f t="shared" si="0"/>
        <v>63048144</v>
      </c>
      <c r="AC21" s="2">
        <f t="shared" si="1"/>
        <v>-1</v>
      </c>
      <c r="AD21" s="8">
        <f t="shared" si="2"/>
        <v>-1.5860895128015188E-8</v>
      </c>
      <c r="AE21" s="2">
        <f t="shared" si="3"/>
        <v>21302177</v>
      </c>
      <c r="AF21" s="2">
        <f t="shared" si="4"/>
        <v>0</v>
      </c>
      <c r="AG21" s="8">
        <f t="shared" si="5"/>
        <v>0</v>
      </c>
      <c r="AI21">
        <f t="shared" si="6"/>
        <v>0.74745589883410168</v>
      </c>
      <c r="AJ21">
        <f t="shared" si="7"/>
        <v>0.25254411302121776</v>
      </c>
    </row>
    <row r="22" spans="1:36" x14ac:dyDescent="0.25">
      <c r="A22" s="1">
        <v>35947</v>
      </c>
      <c r="B22" s="2">
        <v>84497831</v>
      </c>
      <c r="C22" s="4">
        <v>63491022</v>
      </c>
      <c r="D22" s="4">
        <v>21006809</v>
      </c>
      <c r="E22" s="2">
        <v>726560</v>
      </c>
      <c r="F22" s="2">
        <v>3151646</v>
      </c>
      <c r="G22" s="2">
        <v>381386</v>
      </c>
      <c r="H22" s="2">
        <v>12541592</v>
      </c>
      <c r="I22" s="2">
        <v>9199646</v>
      </c>
      <c r="K22" s="2">
        <v>1215573</v>
      </c>
      <c r="L22" s="2">
        <v>3906779</v>
      </c>
      <c r="M22" s="2">
        <v>13011314</v>
      </c>
      <c r="N22" s="2">
        <v>536739</v>
      </c>
      <c r="O22" s="2">
        <v>11954580</v>
      </c>
      <c r="P22" s="2">
        <v>6865207</v>
      </c>
      <c r="Q22" s="6">
        <v>5613380</v>
      </c>
      <c r="R22" s="6">
        <v>6777286</v>
      </c>
      <c r="V22" s="6">
        <v>5768945</v>
      </c>
      <c r="X22" s="6">
        <v>2847198</v>
      </c>
      <c r="AB22" s="2">
        <f t="shared" si="0"/>
        <v>63491022</v>
      </c>
      <c r="AC22" s="2">
        <f t="shared" si="1"/>
        <v>0</v>
      </c>
      <c r="AD22" s="8">
        <f t="shared" si="2"/>
        <v>0</v>
      </c>
      <c r="AE22" s="2">
        <f t="shared" si="3"/>
        <v>21006809</v>
      </c>
      <c r="AF22" s="2">
        <f t="shared" si="4"/>
        <v>0</v>
      </c>
      <c r="AG22" s="8">
        <f t="shared" si="5"/>
        <v>0</v>
      </c>
      <c r="AI22">
        <f t="shared" si="6"/>
        <v>0.75139232863858951</v>
      </c>
      <c r="AJ22">
        <f t="shared" si="7"/>
        <v>0.24860767136141046</v>
      </c>
    </row>
    <row r="23" spans="1:36" x14ac:dyDescent="0.25">
      <c r="A23" s="1">
        <v>35977</v>
      </c>
      <c r="B23" s="2">
        <v>83941057</v>
      </c>
      <c r="C23" s="4">
        <v>63201523</v>
      </c>
      <c r="D23" s="4">
        <v>20739534</v>
      </c>
      <c r="E23" s="2">
        <v>709756</v>
      </c>
      <c r="F23" s="2">
        <v>3042836</v>
      </c>
      <c r="G23" s="2">
        <v>360149</v>
      </c>
      <c r="H23" s="2">
        <v>13051116</v>
      </c>
      <c r="I23" s="2">
        <v>8964718</v>
      </c>
      <c r="K23" s="2">
        <v>1115714</v>
      </c>
      <c r="L23" s="2">
        <v>3803004</v>
      </c>
      <c r="M23" s="2">
        <v>12578904</v>
      </c>
      <c r="N23" s="2">
        <v>544596</v>
      </c>
      <c r="O23" s="2">
        <v>11637029</v>
      </c>
      <c r="P23" s="2">
        <v>7393701</v>
      </c>
      <c r="Q23" s="6">
        <v>5494531</v>
      </c>
      <c r="R23" s="6">
        <v>6871783</v>
      </c>
      <c r="V23" s="6">
        <v>5509437</v>
      </c>
      <c r="X23" s="6">
        <v>2863783</v>
      </c>
      <c r="AB23" s="2">
        <f t="shared" si="0"/>
        <v>63201523</v>
      </c>
      <c r="AC23" s="2">
        <f t="shared" si="1"/>
        <v>0</v>
      </c>
      <c r="AD23" s="8">
        <f t="shared" si="2"/>
        <v>0</v>
      </c>
      <c r="AE23" s="2">
        <f t="shared" si="3"/>
        <v>20739534</v>
      </c>
      <c r="AF23" s="2">
        <f t="shared" si="4"/>
        <v>0</v>
      </c>
      <c r="AG23" s="8">
        <f t="shared" si="5"/>
        <v>0</v>
      </c>
      <c r="AI23">
        <f t="shared" si="6"/>
        <v>0.75292741429262677</v>
      </c>
      <c r="AJ23">
        <f t="shared" si="7"/>
        <v>0.2470725857073732</v>
      </c>
    </row>
    <row r="24" spans="1:36" x14ac:dyDescent="0.25">
      <c r="A24" s="1">
        <v>36008</v>
      </c>
      <c r="B24" s="2">
        <v>84032870</v>
      </c>
      <c r="C24" s="4">
        <v>63416553</v>
      </c>
      <c r="D24" s="4">
        <v>20616318</v>
      </c>
      <c r="E24" s="2">
        <v>693927</v>
      </c>
      <c r="F24" s="2">
        <v>2991935</v>
      </c>
      <c r="G24" s="2">
        <v>343948</v>
      </c>
      <c r="H24" s="2">
        <v>13364599</v>
      </c>
      <c r="I24" s="2">
        <v>9134316</v>
      </c>
      <c r="K24" s="2">
        <v>1134776</v>
      </c>
      <c r="L24" s="2">
        <v>3762951</v>
      </c>
      <c r="M24" s="2">
        <v>12344728</v>
      </c>
      <c r="N24" s="2">
        <v>473710</v>
      </c>
      <c r="O24" s="2">
        <v>11684192</v>
      </c>
      <c r="P24" s="2">
        <v>7487470</v>
      </c>
      <c r="Q24" s="6">
        <v>5405193</v>
      </c>
      <c r="R24" s="6">
        <v>6925255</v>
      </c>
      <c r="V24" s="6">
        <v>5469384</v>
      </c>
      <c r="X24" s="6">
        <v>2816486</v>
      </c>
      <c r="AB24" s="2">
        <f t="shared" si="0"/>
        <v>63416552</v>
      </c>
      <c r="AC24" s="2">
        <f t="shared" si="1"/>
        <v>-1</v>
      </c>
      <c r="AD24" s="8">
        <f t="shared" si="2"/>
        <v>-1.576875387359439E-8</v>
      </c>
      <c r="AE24" s="2">
        <f t="shared" si="3"/>
        <v>20616318</v>
      </c>
      <c r="AF24" s="2">
        <f t="shared" si="4"/>
        <v>0</v>
      </c>
      <c r="AG24" s="8">
        <f t="shared" si="5"/>
        <v>0</v>
      </c>
      <c r="AI24">
        <f t="shared" si="6"/>
        <v>0.75466365720937534</v>
      </c>
      <c r="AJ24">
        <f t="shared" si="7"/>
        <v>0.24533635469072995</v>
      </c>
    </row>
    <row r="25" spans="1:36" x14ac:dyDescent="0.25">
      <c r="A25" s="1">
        <v>36039</v>
      </c>
      <c r="B25" s="2">
        <v>82575042</v>
      </c>
      <c r="C25" s="4">
        <v>62502169</v>
      </c>
      <c r="D25" s="4">
        <v>20072871</v>
      </c>
      <c r="E25" s="2">
        <v>740532</v>
      </c>
      <c r="F25" s="2">
        <v>2828231</v>
      </c>
      <c r="G25" s="2">
        <v>291925</v>
      </c>
      <c r="H25" s="2">
        <v>13150864</v>
      </c>
      <c r="I25" s="2">
        <v>9544265</v>
      </c>
      <c r="K25" s="2">
        <v>1054962</v>
      </c>
      <c r="L25" s="2">
        <v>3747753</v>
      </c>
      <c r="M25" s="2">
        <v>11600765</v>
      </c>
      <c r="N25" s="2">
        <v>399337</v>
      </c>
      <c r="O25" s="2">
        <v>11801661</v>
      </c>
      <c r="P25" s="2">
        <v>7341876</v>
      </c>
      <c r="Q25" s="6">
        <v>5340369</v>
      </c>
      <c r="R25" s="6">
        <v>6805065</v>
      </c>
      <c r="V25" s="6">
        <v>5306733</v>
      </c>
      <c r="X25" s="6">
        <v>2620704</v>
      </c>
      <c r="AB25" s="2">
        <f t="shared" si="0"/>
        <v>62502171</v>
      </c>
      <c r="AC25" s="2">
        <f t="shared" si="1"/>
        <v>2</v>
      </c>
      <c r="AD25" s="8">
        <f t="shared" si="2"/>
        <v>3.1998888486609528E-8</v>
      </c>
      <c r="AE25" s="2">
        <f t="shared" si="3"/>
        <v>20072871</v>
      </c>
      <c r="AF25" s="2">
        <f t="shared" si="4"/>
        <v>0</v>
      </c>
      <c r="AG25" s="8">
        <f t="shared" si="5"/>
        <v>0</v>
      </c>
      <c r="AI25">
        <f t="shared" si="6"/>
        <v>0.75691355991075371</v>
      </c>
      <c r="AJ25">
        <f t="shared" si="7"/>
        <v>0.24308641586885296</v>
      </c>
    </row>
    <row r="26" spans="1:36" x14ac:dyDescent="0.25">
      <c r="A26" s="1">
        <v>36069</v>
      </c>
      <c r="B26" s="2">
        <v>81834709</v>
      </c>
      <c r="C26" s="4">
        <v>62300964</v>
      </c>
      <c r="D26" s="4">
        <v>19533745</v>
      </c>
      <c r="E26" s="2">
        <v>647860</v>
      </c>
      <c r="F26" s="2">
        <v>2787950</v>
      </c>
      <c r="G26" s="2">
        <v>311920</v>
      </c>
      <c r="H26" s="2">
        <v>13599830</v>
      </c>
      <c r="I26" s="2">
        <v>9354990</v>
      </c>
      <c r="K26" s="2">
        <v>982040</v>
      </c>
      <c r="L26" s="2">
        <v>3569740</v>
      </c>
      <c r="M26" s="2">
        <v>11419030</v>
      </c>
      <c r="N26" s="2">
        <v>410040</v>
      </c>
      <c r="O26" s="2">
        <v>11818810</v>
      </c>
      <c r="P26" s="2">
        <v>7398754</v>
      </c>
      <c r="Q26" s="6">
        <v>5338780</v>
      </c>
      <c r="R26" s="6">
        <v>6526330</v>
      </c>
      <c r="V26" s="6">
        <v>5082170</v>
      </c>
      <c r="X26" s="6">
        <v>2586465</v>
      </c>
      <c r="AB26" s="2">
        <f t="shared" si="0"/>
        <v>62300964</v>
      </c>
      <c r="AC26" s="2">
        <f t="shared" si="1"/>
        <v>0</v>
      </c>
      <c r="AD26" s="8">
        <f t="shared" si="2"/>
        <v>0</v>
      </c>
      <c r="AE26" s="2">
        <f t="shared" si="3"/>
        <v>19533745</v>
      </c>
      <c r="AF26" s="2">
        <f t="shared" si="4"/>
        <v>0</v>
      </c>
      <c r="AG26" s="8">
        <f t="shared" si="5"/>
        <v>0</v>
      </c>
      <c r="AI26">
        <f t="shared" si="6"/>
        <v>0.7613024444187857</v>
      </c>
      <c r="AJ26">
        <f t="shared" si="7"/>
        <v>0.23869755558121433</v>
      </c>
    </row>
    <row r="27" spans="1:36" x14ac:dyDescent="0.25">
      <c r="A27" s="1">
        <v>36100</v>
      </c>
      <c r="B27" s="2">
        <v>81670460</v>
      </c>
      <c r="C27" s="4">
        <v>62336331</v>
      </c>
      <c r="D27" s="4">
        <v>19334129</v>
      </c>
      <c r="E27" s="2">
        <v>715350</v>
      </c>
      <c r="F27" s="2">
        <v>2814120</v>
      </c>
      <c r="G27" s="2">
        <v>302220</v>
      </c>
      <c r="H27" s="2">
        <v>13660240</v>
      </c>
      <c r="I27" s="2">
        <v>9552150</v>
      </c>
      <c r="K27" s="2">
        <v>955540</v>
      </c>
      <c r="L27" s="2">
        <v>3551550</v>
      </c>
      <c r="M27" s="2">
        <v>11284510</v>
      </c>
      <c r="N27" s="2">
        <v>413910</v>
      </c>
      <c r="O27" s="2">
        <v>11551280</v>
      </c>
      <c r="P27" s="2">
        <v>7535461</v>
      </c>
      <c r="Q27" s="6">
        <v>5206390</v>
      </c>
      <c r="R27" s="6">
        <v>6548650</v>
      </c>
      <c r="V27" s="6">
        <v>5043210</v>
      </c>
      <c r="X27" s="6">
        <v>2535879</v>
      </c>
      <c r="AB27" s="2">
        <f t="shared" si="0"/>
        <v>62336331</v>
      </c>
      <c r="AC27" s="2">
        <f t="shared" si="1"/>
        <v>0</v>
      </c>
      <c r="AD27" s="8">
        <f t="shared" si="2"/>
        <v>0</v>
      </c>
      <c r="AE27" s="2">
        <f t="shared" si="3"/>
        <v>19334129</v>
      </c>
      <c r="AF27" s="2">
        <f t="shared" si="4"/>
        <v>0</v>
      </c>
      <c r="AG27" s="8">
        <f t="shared" si="5"/>
        <v>0</v>
      </c>
      <c r="AI27">
        <f t="shared" si="6"/>
        <v>0.76326655929206222</v>
      </c>
      <c r="AJ27">
        <f t="shared" si="7"/>
        <v>0.23673344070793773</v>
      </c>
    </row>
    <row r="28" spans="1:36" x14ac:dyDescent="0.25">
      <c r="A28" s="1">
        <v>36130</v>
      </c>
      <c r="B28" s="2">
        <v>79885481</v>
      </c>
      <c r="C28" s="4">
        <v>60903825</v>
      </c>
      <c r="D28" s="4">
        <v>18981656</v>
      </c>
      <c r="E28" s="2">
        <v>629753</v>
      </c>
      <c r="F28" s="2">
        <v>2678651</v>
      </c>
      <c r="G28" s="2">
        <v>293918</v>
      </c>
      <c r="H28" s="2">
        <v>13650196</v>
      </c>
      <c r="I28" s="2">
        <v>8962744</v>
      </c>
      <c r="K28" s="2">
        <v>921898</v>
      </c>
      <c r="L28" s="2">
        <v>3811355</v>
      </c>
      <c r="M28" s="2">
        <v>10801140</v>
      </c>
      <c r="N28" s="2">
        <v>274400</v>
      </c>
      <c r="O28" s="2">
        <v>11563154</v>
      </c>
      <c r="P28" s="2">
        <v>7316616</v>
      </c>
      <c r="Q28" s="6">
        <v>4989283</v>
      </c>
      <c r="R28" s="6">
        <v>6414343</v>
      </c>
      <c r="V28" s="6">
        <v>5115169</v>
      </c>
      <c r="X28" s="6">
        <v>2462861</v>
      </c>
      <c r="AB28" s="2">
        <f t="shared" si="0"/>
        <v>60903825</v>
      </c>
      <c r="AC28" s="2">
        <f t="shared" si="1"/>
        <v>0</v>
      </c>
      <c r="AD28" s="8">
        <f t="shared" si="2"/>
        <v>0</v>
      </c>
      <c r="AE28" s="2">
        <f t="shared" si="3"/>
        <v>18981656</v>
      </c>
      <c r="AF28" s="2">
        <f t="shared" si="4"/>
        <v>0</v>
      </c>
      <c r="AG28" s="8">
        <f t="shared" si="5"/>
        <v>0</v>
      </c>
      <c r="AI28">
        <f t="shared" si="6"/>
        <v>0.76238916305705162</v>
      </c>
      <c r="AJ28">
        <f t="shared" si="7"/>
        <v>0.23761083694294838</v>
      </c>
    </row>
    <row r="29" spans="1:36" x14ac:dyDescent="0.25">
      <c r="A29" s="1">
        <v>36161</v>
      </c>
      <c r="B29" s="2">
        <v>80927010</v>
      </c>
      <c r="C29" s="4">
        <v>61732882</v>
      </c>
      <c r="D29" s="4">
        <v>19194129</v>
      </c>
      <c r="E29" s="2">
        <v>653780</v>
      </c>
      <c r="F29" s="2">
        <v>2454965</v>
      </c>
      <c r="G29" s="2">
        <v>265604</v>
      </c>
      <c r="H29" s="2">
        <v>13431791</v>
      </c>
      <c r="I29" s="2">
        <v>9552378</v>
      </c>
      <c r="K29" s="2">
        <v>893765</v>
      </c>
      <c r="L29" s="2">
        <v>3423310</v>
      </c>
      <c r="M29" s="2">
        <v>10740336</v>
      </c>
      <c r="N29" s="2">
        <v>349240</v>
      </c>
      <c r="O29" s="2">
        <v>12549504</v>
      </c>
      <c r="P29" s="2">
        <v>7418208</v>
      </c>
      <c r="Q29" s="6">
        <v>5235119</v>
      </c>
      <c r="R29" s="6">
        <v>6632010</v>
      </c>
      <c r="V29" s="6">
        <v>4990221</v>
      </c>
      <c r="X29" s="6">
        <v>2336779</v>
      </c>
      <c r="AB29" s="2">
        <f t="shared" si="0"/>
        <v>61732881</v>
      </c>
      <c r="AC29" s="2">
        <f t="shared" si="1"/>
        <v>-1</v>
      </c>
      <c r="AD29" s="8">
        <f t="shared" si="2"/>
        <v>-1.619882279591001E-8</v>
      </c>
      <c r="AE29" s="2">
        <f t="shared" si="3"/>
        <v>19194129</v>
      </c>
      <c r="AF29" s="2">
        <f t="shared" si="4"/>
        <v>0</v>
      </c>
      <c r="AG29" s="8">
        <f t="shared" si="5"/>
        <v>0</v>
      </c>
      <c r="AI29">
        <f t="shared" si="6"/>
        <v>0.76282173281825194</v>
      </c>
      <c r="AJ29">
        <f t="shared" si="7"/>
        <v>0.23717827953856196</v>
      </c>
    </row>
    <row r="30" spans="1:36" x14ac:dyDescent="0.25">
      <c r="A30" s="1">
        <v>36192</v>
      </c>
      <c r="B30" s="2">
        <v>82023281</v>
      </c>
      <c r="C30" s="4">
        <v>63195474</v>
      </c>
      <c r="D30" s="4">
        <v>18827806</v>
      </c>
      <c r="E30" s="2">
        <v>744280</v>
      </c>
      <c r="F30" s="2">
        <v>2258332</v>
      </c>
      <c r="G30" s="2">
        <v>253740</v>
      </c>
      <c r="H30" s="2">
        <v>13683135</v>
      </c>
      <c r="I30" s="2">
        <v>9524463</v>
      </c>
      <c r="K30" s="2">
        <v>850278</v>
      </c>
      <c r="L30" s="2">
        <v>3234521</v>
      </c>
      <c r="M30" s="2">
        <v>11886914</v>
      </c>
      <c r="N30" s="2">
        <v>284470</v>
      </c>
      <c r="O30" s="2">
        <v>13123954</v>
      </c>
      <c r="P30" s="2">
        <v>7351388</v>
      </c>
      <c r="Q30" s="6">
        <v>5207916</v>
      </c>
      <c r="R30" s="6">
        <v>6564488</v>
      </c>
      <c r="V30" s="6">
        <v>4739070</v>
      </c>
      <c r="X30" s="6">
        <v>2316332</v>
      </c>
      <c r="AB30" s="2">
        <f t="shared" si="0"/>
        <v>63195475</v>
      </c>
      <c r="AC30" s="2">
        <f t="shared" si="1"/>
        <v>1</v>
      </c>
      <c r="AD30" s="8">
        <f t="shared" si="2"/>
        <v>1.5823917772593687E-8</v>
      </c>
      <c r="AE30" s="2">
        <f t="shared" si="3"/>
        <v>18827806</v>
      </c>
      <c r="AF30" s="2">
        <f t="shared" si="4"/>
        <v>0</v>
      </c>
      <c r="AG30" s="8">
        <f t="shared" si="5"/>
        <v>0</v>
      </c>
      <c r="AI30">
        <f t="shared" si="6"/>
        <v>0.77045776795980647</v>
      </c>
      <c r="AJ30">
        <f t="shared" si="7"/>
        <v>0.22954221984853301</v>
      </c>
    </row>
    <row r="31" spans="1:36" x14ac:dyDescent="0.25">
      <c r="A31" s="1">
        <v>36220</v>
      </c>
      <c r="B31" s="2">
        <v>81592841</v>
      </c>
      <c r="C31" s="4">
        <v>62733168</v>
      </c>
      <c r="D31" s="4">
        <v>18859673</v>
      </c>
      <c r="E31" s="2">
        <v>619904</v>
      </c>
      <c r="F31" s="2">
        <v>2225317</v>
      </c>
      <c r="G31" s="2">
        <v>244471</v>
      </c>
      <c r="H31" s="2">
        <v>14198182</v>
      </c>
      <c r="I31" s="2">
        <v>8934396</v>
      </c>
      <c r="K31" s="2">
        <v>919380</v>
      </c>
      <c r="L31" s="2">
        <v>3002686</v>
      </c>
      <c r="M31" s="2">
        <v>13114842</v>
      </c>
      <c r="N31" s="2">
        <v>202350</v>
      </c>
      <c r="O31" s="2">
        <v>12078653</v>
      </c>
      <c r="P31" s="2">
        <v>7192987</v>
      </c>
      <c r="Q31" s="6">
        <v>5351613</v>
      </c>
      <c r="R31" s="6">
        <v>6750145</v>
      </c>
      <c r="V31" s="6">
        <v>4355318</v>
      </c>
      <c r="X31" s="6">
        <v>2402597</v>
      </c>
      <c r="AB31" s="2">
        <f t="shared" si="0"/>
        <v>62733168</v>
      </c>
      <c r="AC31" s="2">
        <f t="shared" si="1"/>
        <v>0</v>
      </c>
      <c r="AD31" s="8">
        <f t="shared" si="2"/>
        <v>0</v>
      </c>
      <c r="AE31" s="2">
        <f t="shared" si="3"/>
        <v>18859673</v>
      </c>
      <c r="AF31" s="2">
        <f t="shared" si="4"/>
        <v>0</v>
      </c>
      <c r="AG31" s="8">
        <f t="shared" si="5"/>
        <v>0</v>
      </c>
      <c r="AI31">
        <f t="shared" si="6"/>
        <v>0.76885627747659868</v>
      </c>
      <c r="AJ31">
        <f t="shared" si="7"/>
        <v>0.23114372252340129</v>
      </c>
    </row>
    <row r="32" spans="1:36" x14ac:dyDescent="0.25">
      <c r="A32" s="1">
        <v>36251</v>
      </c>
      <c r="B32" s="2">
        <v>82644929</v>
      </c>
      <c r="C32" s="4">
        <v>63515369</v>
      </c>
      <c r="D32" s="4">
        <v>19129559</v>
      </c>
      <c r="E32" s="2">
        <v>577186</v>
      </c>
      <c r="F32" s="2">
        <v>2283622</v>
      </c>
      <c r="G32" s="2">
        <v>256937</v>
      </c>
      <c r="H32" s="2">
        <v>14636856</v>
      </c>
      <c r="I32" s="2">
        <v>9290190</v>
      </c>
      <c r="K32" s="2">
        <v>917902</v>
      </c>
      <c r="L32" s="2">
        <v>2917944</v>
      </c>
      <c r="M32" s="2">
        <v>13111003</v>
      </c>
      <c r="N32" s="2">
        <v>196868</v>
      </c>
      <c r="O32" s="2">
        <v>12112947</v>
      </c>
      <c r="P32" s="2">
        <v>7213915</v>
      </c>
      <c r="Q32" s="6">
        <v>5421417</v>
      </c>
      <c r="R32" s="6">
        <v>6803241</v>
      </c>
      <c r="V32" s="6">
        <v>4315633</v>
      </c>
      <c r="X32" s="6">
        <v>2589268</v>
      </c>
      <c r="AB32" s="2">
        <f t="shared" si="0"/>
        <v>63515370</v>
      </c>
      <c r="AC32" s="2">
        <f t="shared" si="1"/>
        <v>1</v>
      </c>
      <c r="AD32" s="8">
        <f t="shared" si="2"/>
        <v>1.5744220650844039E-8</v>
      </c>
      <c r="AE32" s="2">
        <f t="shared" si="3"/>
        <v>19129559</v>
      </c>
      <c r="AF32" s="2">
        <f t="shared" si="4"/>
        <v>0</v>
      </c>
      <c r="AG32" s="8">
        <f t="shared" si="5"/>
        <v>0</v>
      </c>
      <c r="AI32">
        <f t="shared" si="6"/>
        <v>0.7685331667475932</v>
      </c>
      <c r="AJ32">
        <f t="shared" si="7"/>
        <v>0.23146682115245087</v>
      </c>
    </row>
    <row r="33" spans="1:36" x14ac:dyDescent="0.25">
      <c r="A33" s="1">
        <v>36281</v>
      </c>
      <c r="B33" s="2">
        <v>82195600</v>
      </c>
      <c r="C33" s="4">
        <v>62842941</v>
      </c>
      <c r="D33" s="4">
        <v>19352660</v>
      </c>
      <c r="E33" s="2">
        <v>676382</v>
      </c>
      <c r="F33" s="2">
        <v>2408007</v>
      </c>
      <c r="G33" s="2">
        <v>290780</v>
      </c>
      <c r="H33" s="2">
        <v>13922747</v>
      </c>
      <c r="I33" s="2">
        <v>8983100</v>
      </c>
      <c r="K33" s="2">
        <v>910023</v>
      </c>
      <c r="L33" s="2">
        <v>2876451</v>
      </c>
      <c r="M33" s="2">
        <v>13698789</v>
      </c>
      <c r="N33" s="2">
        <v>217169</v>
      </c>
      <c r="O33" s="2">
        <v>11720894</v>
      </c>
      <c r="P33" s="2">
        <v>7138598</v>
      </c>
      <c r="Q33" s="6">
        <v>5361845</v>
      </c>
      <c r="R33" s="6">
        <v>7043285</v>
      </c>
      <c r="V33" s="6">
        <v>4293506</v>
      </c>
      <c r="X33" s="6">
        <v>2654024</v>
      </c>
      <c r="AB33" s="2">
        <f t="shared" si="0"/>
        <v>62842940</v>
      </c>
      <c r="AC33" s="2">
        <f t="shared" si="1"/>
        <v>-1</v>
      </c>
      <c r="AD33" s="8">
        <f t="shared" si="2"/>
        <v>-1.5912686452925339E-8</v>
      </c>
      <c r="AE33" s="2">
        <f t="shared" si="3"/>
        <v>19352660</v>
      </c>
      <c r="AF33" s="2">
        <f t="shared" si="4"/>
        <v>0</v>
      </c>
      <c r="AG33" s="8">
        <f t="shared" si="5"/>
        <v>0</v>
      </c>
      <c r="AI33">
        <f t="shared" si="6"/>
        <v>0.76455358924321981</v>
      </c>
      <c r="AJ33">
        <f t="shared" si="7"/>
        <v>0.23544642292288151</v>
      </c>
    </row>
    <row r="34" spans="1:36" x14ac:dyDescent="0.25">
      <c r="A34" s="1">
        <v>36312</v>
      </c>
      <c r="B34" s="2">
        <v>83228458</v>
      </c>
      <c r="C34" s="4">
        <v>63837545</v>
      </c>
      <c r="D34" s="4">
        <v>19390913</v>
      </c>
      <c r="E34" s="2">
        <v>704139</v>
      </c>
      <c r="F34" s="2">
        <v>2495692</v>
      </c>
      <c r="G34" s="2">
        <v>367059</v>
      </c>
      <c r="H34" s="2">
        <v>13644890</v>
      </c>
      <c r="I34" s="2">
        <v>8808779</v>
      </c>
      <c r="K34" s="2">
        <v>869930</v>
      </c>
      <c r="L34" s="2">
        <v>2840053</v>
      </c>
      <c r="M34" s="2">
        <v>13831509</v>
      </c>
      <c r="N34" s="2">
        <v>257815</v>
      </c>
      <c r="O34" s="2">
        <v>12781208</v>
      </c>
      <c r="P34" s="2">
        <v>7236471</v>
      </c>
      <c r="Q34" s="6">
        <v>5416858</v>
      </c>
      <c r="R34" s="6">
        <v>7082061</v>
      </c>
      <c r="V34" s="6">
        <v>4239688</v>
      </c>
      <c r="X34" s="6">
        <v>2652306</v>
      </c>
      <c r="AB34" s="2">
        <f t="shared" si="0"/>
        <v>63837545</v>
      </c>
      <c r="AC34" s="2">
        <f t="shared" si="1"/>
        <v>0</v>
      </c>
      <c r="AD34" s="8">
        <f t="shared" si="2"/>
        <v>0</v>
      </c>
      <c r="AE34" s="2">
        <f t="shared" si="3"/>
        <v>19390913</v>
      </c>
      <c r="AF34" s="2">
        <f t="shared" si="4"/>
        <v>0</v>
      </c>
      <c r="AG34" s="8">
        <f t="shared" si="5"/>
        <v>0</v>
      </c>
      <c r="AI34">
        <f t="shared" si="6"/>
        <v>0.76701583249325611</v>
      </c>
      <c r="AJ34">
        <f t="shared" si="7"/>
        <v>0.23298416750674392</v>
      </c>
    </row>
    <row r="35" spans="1:36" x14ac:dyDescent="0.25">
      <c r="A35" s="1">
        <v>36342</v>
      </c>
      <c r="B35" s="2">
        <v>85471309</v>
      </c>
      <c r="C35" s="4">
        <v>65492063</v>
      </c>
      <c r="D35" s="4">
        <v>19979247</v>
      </c>
      <c r="E35" s="2">
        <v>710880</v>
      </c>
      <c r="F35" s="2">
        <v>2594536</v>
      </c>
      <c r="G35" s="2">
        <v>430464</v>
      </c>
      <c r="H35" s="2">
        <v>14362496</v>
      </c>
      <c r="I35" s="2">
        <v>9419766</v>
      </c>
      <c r="K35" s="2">
        <v>914558</v>
      </c>
      <c r="L35" s="2">
        <v>2990496</v>
      </c>
      <c r="M35" s="2">
        <v>13375363</v>
      </c>
      <c r="N35" s="2">
        <v>297528</v>
      </c>
      <c r="O35" s="2">
        <v>12915545</v>
      </c>
      <c r="P35" s="2">
        <v>7480430</v>
      </c>
      <c r="Q35" s="6">
        <v>5431179</v>
      </c>
      <c r="R35" s="6">
        <v>7495560</v>
      </c>
      <c r="V35" s="6">
        <v>4381503</v>
      </c>
      <c r="X35" s="6">
        <v>2671005</v>
      </c>
      <c r="AB35" s="2">
        <f t="shared" si="0"/>
        <v>65492062</v>
      </c>
      <c r="AC35" s="2">
        <f t="shared" si="1"/>
        <v>-1</v>
      </c>
      <c r="AD35" s="8">
        <f t="shared" si="2"/>
        <v>-1.5269026038606022E-8</v>
      </c>
      <c r="AE35" s="2">
        <f t="shared" si="3"/>
        <v>19979247</v>
      </c>
      <c r="AF35" s="2">
        <f t="shared" si="4"/>
        <v>0</v>
      </c>
      <c r="AG35" s="8">
        <f t="shared" si="5"/>
        <v>0</v>
      </c>
      <c r="AI35">
        <f t="shared" si="6"/>
        <v>0.76624616805623047</v>
      </c>
      <c r="AJ35">
        <f t="shared" si="7"/>
        <v>0.23375384364360208</v>
      </c>
    </row>
    <row r="36" spans="1:36" x14ac:dyDescent="0.25">
      <c r="A36" s="1">
        <v>36373</v>
      </c>
      <c r="B36" s="2">
        <v>86107550</v>
      </c>
      <c r="C36" s="4">
        <v>65400366</v>
      </c>
      <c r="D36" s="4">
        <v>20707184</v>
      </c>
      <c r="E36" s="2">
        <v>686593</v>
      </c>
      <c r="F36" s="2">
        <v>2677809</v>
      </c>
      <c r="G36" s="2">
        <v>463112</v>
      </c>
      <c r="H36" s="2">
        <v>14023195</v>
      </c>
      <c r="I36" s="2">
        <v>9477616</v>
      </c>
      <c r="K36" s="2">
        <v>916371</v>
      </c>
      <c r="L36" s="2">
        <v>3077428</v>
      </c>
      <c r="M36" s="2">
        <v>13794058</v>
      </c>
      <c r="N36" s="2">
        <v>341864</v>
      </c>
      <c r="O36" s="2">
        <v>12660908</v>
      </c>
      <c r="P36" s="2">
        <v>7281412</v>
      </c>
      <c r="Q36" s="6">
        <v>5614868</v>
      </c>
      <c r="R36" s="6">
        <v>7706144</v>
      </c>
      <c r="V36" s="6">
        <v>4460926</v>
      </c>
      <c r="X36" s="6">
        <v>2925246</v>
      </c>
      <c r="AB36" s="2">
        <f t="shared" si="0"/>
        <v>65400366</v>
      </c>
      <c r="AC36" s="2">
        <f t="shared" si="1"/>
        <v>0</v>
      </c>
      <c r="AD36" s="8">
        <f t="shared" si="2"/>
        <v>0</v>
      </c>
      <c r="AE36" s="2">
        <f t="shared" si="3"/>
        <v>20707184</v>
      </c>
      <c r="AF36" s="2">
        <f t="shared" si="4"/>
        <v>0</v>
      </c>
      <c r="AG36" s="8">
        <f t="shared" si="5"/>
        <v>0</v>
      </c>
      <c r="AI36">
        <f t="shared" si="6"/>
        <v>0.75951953109802794</v>
      </c>
      <c r="AJ36">
        <f t="shared" si="7"/>
        <v>0.240480468901972</v>
      </c>
    </row>
    <row r="37" spans="1:36" x14ac:dyDescent="0.25">
      <c r="A37" s="1">
        <v>36404</v>
      </c>
      <c r="B37" s="2">
        <v>89119784</v>
      </c>
      <c r="C37" s="4">
        <v>67705981</v>
      </c>
      <c r="D37" s="4">
        <v>21413803</v>
      </c>
      <c r="E37" s="2">
        <v>774050</v>
      </c>
      <c r="F37" s="2">
        <v>2832625</v>
      </c>
      <c r="G37" s="2">
        <v>488840</v>
      </c>
      <c r="H37" s="2">
        <v>14343566</v>
      </c>
      <c r="I37" s="2">
        <v>10256515</v>
      </c>
      <c r="K37" s="2">
        <v>1035933</v>
      </c>
      <c r="L37" s="2">
        <v>3429004</v>
      </c>
      <c r="M37" s="2">
        <v>14508338</v>
      </c>
      <c r="N37" s="2">
        <v>320119</v>
      </c>
      <c r="O37" s="2">
        <v>12425294</v>
      </c>
      <c r="P37" s="2">
        <v>7291697</v>
      </c>
      <c r="Q37" s="6">
        <v>5748419</v>
      </c>
      <c r="R37" s="6">
        <v>8084148</v>
      </c>
      <c r="V37" s="6">
        <v>4543663</v>
      </c>
      <c r="X37" s="6">
        <v>3037573</v>
      </c>
      <c r="AB37" s="2">
        <f t="shared" si="0"/>
        <v>67705981</v>
      </c>
      <c r="AC37" s="2">
        <f t="shared" si="1"/>
        <v>0</v>
      </c>
      <c r="AD37" s="8">
        <f t="shared" si="2"/>
        <v>0</v>
      </c>
      <c r="AE37" s="2">
        <f t="shared" si="3"/>
        <v>21413803</v>
      </c>
      <c r="AF37" s="2">
        <f t="shared" si="4"/>
        <v>0</v>
      </c>
      <c r="AG37" s="8">
        <f t="shared" si="5"/>
        <v>0</v>
      </c>
      <c r="AI37">
        <f t="shared" si="6"/>
        <v>0.75971886332220018</v>
      </c>
      <c r="AJ37">
        <f t="shared" si="7"/>
        <v>0.24028113667779985</v>
      </c>
    </row>
    <row r="38" spans="1:36" x14ac:dyDescent="0.25">
      <c r="A38" s="1">
        <v>36434</v>
      </c>
      <c r="B38" s="2">
        <v>91510415</v>
      </c>
      <c r="C38" s="4">
        <v>69736125</v>
      </c>
      <c r="D38" s="4">
        <v>21774290</v>
      </c>
      <c r="E38" s="2">
        <v>661424</v>
      </c>
      <c r="F38" s="2">
        <v>3060464</v>
      </c>
      <c r="G38" s="2">
        <v>501822</v>
      </c>
      <c r="H38" s="2">
        <v>14383870</v>
      </c>
      <c r="I38" s="2">
        <v>11238663</v>
      </c>
      <c r="K38" s="2">
        <v>1094963</v>
      </c>
      <c r="L38" s="2">
        <v>3650924</v>
      </c>
      <c r="M38" s="2">
        <v>15106534</v>
      </c>
      <c r="N38" s="2">
        <v>290108</v>
      </c>
      <c r="O38" s="2">
        <v>12268965</v>
      </c>
      <c r="P38" s="2">
        <v>7478388</v>
      </c>
      <c r="Q38" s="6">
        <v>5760905</v>
      </c>
      <c r="R38" s="6">
        <v>8482146</v>
      </c>
      <c r="V38" s="6">
        <v>4693030</v>
      </c>
      <c r="X38" s="6">
        <v>2838209</v>
      </c>
      <c r="AB38" s="2">
        <f t="shared" si="0"/>
        <v>69736125</v>
      </c>
      <c r="AC38" s="2">
        <f t="shared" si="1"/>
        <v>0</v>
      </c>
      <c r="AD38" s="8">
        <f t="shared" si="2"/>
        <v>0</v>
      </c>
      <c r="AE38" s="2">
        <f t="shared" si="3"/>
        <v>21774290</v>
      </c>
      <c r="AF38" s="2">
        <f t="shared" si="4"/>
        <v>0</v>
      </c>
      <c r="AG38" s="8">
        <f t="shared" si="5"/>
        <v>0</v>
      </c>
      <c r="AI38">
        <f t="shared" si="6"/>
        <v>0.76205670141480619</v>
      </c>
      <c r="AJ38">
        <f t="shared" si="7"/>
        <v>0.23794329858519384</v>
      </c>
    </row>
    <row r="39" spans="1:36" x14ac:dyDescent="0.25">
      <c r="A39" s="1">
        <v>36465</v>
      </c>
      <c r="B39" s="2">
        <v>94019299</v>
      </c>
      <c r="C39" s="4">
        <v>71143815</v>
      </c>
      <c r="D39" s="4">
        <v>22875485</v>
      </c>
      <c r="E39" s="2">
        <v>721170</v>
      </c>
      <c r="F39" s="2">
        <v>3194790</v>
      </c>
      <c r="G39" s="2">
        <v>546810</v>
      </c>
      <c r="H39" s="2">
        <v>14642710</v>
      </c>
      <c r="I39" s="2">
        <v>11177960</v>
      </c>
      <c r="K39" s="2">
        <v>1106156</v>
      </c>
      <c r="L39" s="2">
        <v>3858047</v>
      </c>
      <c r="M39" s="2">
        <v>15289209</v>
      </c>
      <c r="N39" s="2">
        <v>269727</v>
      </c>
      <c r="O39" s="2">
        <v>12737376</v>
      </c>
      <c r="P39" s="2">
        <v>7599859</v>
      </c>
      <c r="Q39" s="6">
        <v>5805590</v>
      </c>
      <c r="R39" s="6">
        <v>8943969</v>
      </c>
      <c r="V39" s="6">
        <v>4943613</v>
      </c>
      <c r="X39" s="6">
        <v>3182313</v>
      </c>
      <c r="AB39" s="2">
        <f t="shared" si="0"/>
        <v>71143814</v>
      </c>
      <c r="AC39" s="2">
        <f t="shared" si="1"/>
        <v>-1</v>
      </c>
      <c r="AD39" s="8">
        <f t="shared" si="2"/>
        <v>-1.4056035848738726E-8</v>
      </c>
      <c r="AE39" s="2">
        <f t="shared" si="3"/>
        <v>22875485</v>
      </c>
      <c r="AF39" s="2">
        <f t="shared" si="4"/>
        <v>0</v>
      </c>
      <c r="AG39" s="8">
        <f t="shared" si="5"/>
        <v>0</v>
      </c>
      <c r="AI39">
        <f t="shared" si="6"/>
        <v>0.75669374007989576</v>
      </c>
      <c r="AJ39">
        <f t="shared" si="7"/>
        <v>0.24330627055621845</v>
      </c>
    </row>
    <row r="40" spans="1:36" x14ac:dyDescent="0.25">
      <c r="A40" s="1">
        <v>36495</v>
      </c>
      <c r="B40" s="2">
        <v>92527844</v>
      </c>
      <c r="C40" s="4">
        <v>70107265</v>
      </c>
      <c r="D40" s="4">
        <v>22420580</v>
      </c>
      <c r="E40" s="2">
        <v>688709</v>
      </c>
      <c r="F40" s="2">
        <v>3415901</v>
      </c>
      <c r="G40" s="2">
        <v>582070</v>
      </c>
      <c r="H40" s="2">
        <v>15122977</v>
      </c>
      <c r="I40" s="2">
        <v>10264452</v>
      </c>
      <c r="K40" s="2">
        <v>1158767</v>
      </c>
      <c r="L40" s="2">
        <v>4548214</v>
      </c>
      <c r="M40" s="2">
        <v>14428659</v>
      </c>
      <c r="N40" s="2">
        <v>215172</v>
      </c>
      <c r="O40" s="2">
        <v>12184504</v>
      </c>
      <c r="P40" s="2">
        <v>7497839</v>
      </c>
      <c r="Q40" s="6">
        <v>5066608</v>
      </c>
      <c r="R40" s="6">
        <v>9534425</v>
      </c>
      <c r="V40" s="6">
        <v>5293779</v>
      </c>
      <c r="X40" s="6">
        <v>2525768</v>
      </c>
      <c r="AB40" s="2">
        <f t="shared" si="0"/>
        <v>70107264</v>
      </c>
      <c r="AC40" s="2">
        <f t="shared" si="1"/>
        <v>-1</v>
      </c>
      <c r="AD40" s="8">
        <f t="shared" si="2"/>
        <v>-1.4263857166070552E-8</v>
      </c>
      <c r="AE40" s="2">
        <f t="shared" si="3"/>
        <v>22420580</v>
      </c>
      <c r="AF40" s="2">
        <f t="shared" si="4"/>
        <v>0</v>
      </c>
      <c r="AG40" s="8">
        <f t="shared" si="5"/>
        <v>0</v>
      </c>
      <c r="AI40">
        <f t="shared" si="6"/>
        <v>0.75768830191266534</v>
      </c>
      <c r="AJ40">
        <f t="shared" si="7"/>
        <v>0.24231170889489223</v>
      </c>
    </row>
    <row r="41" spans="1:36" x14ac:dyDescent="0.25">
      <c r="A41" s="1">
        <v>36526</v>
      </c>
      <c r="B41" s="2">
        <v>93944582</v>
      </c>
      <c r="C41" s="4">
        <v>69745951</v>
      </c>
      <c r="D41" s="4">
        <v>24198630</v>
      </c>
      <c r="E41" s="2">
        <v>784102</v>
      </c>
      <c r="F41" s="2">
        <v>3150841</v>
      </c>
      <c r="G41" s="2">
        <v>538028</v>
      </c>
      <c r="H41" s="2">
        <v>13922340</v>
      </c>
      <c r="I41" s="2">
        <v>11205806</v>
      </c>
      <c r="K41" s="2">
        <v>1172629</v>
      </c>
      <c r="L41" s="2">
        <v>4272029</v>
      </c>
      <c r="M41" s="2">
        <v>14432126</v>
      </c>
      <c r="N41" s="2">
        <v>391081</v>
      </c>
      <c r="O41" s="2">
        <v>12045326</v>
      </c>
      <c r="P41" s="2">
        <v>7831644</v>
      </c>
      <c r="Q41" s="6">
        <v>5610334</v>
      </c>
      <c r="R41" s="6">
        <v>9959726</v>
      </c>
      <c r="V41" s="6">
        <v>5697741</v>
      </c>
      <c r="X41" s="6">
        <v>2930829</v>
      </c>
      <c r="AB41" s="2">
        <f t="shared" si="0"/>
        <v>69745952</v>
      </c>
      <c r="AC41" s="2">
        <f t="shared" si="1"/>
        <v>1</v>
      </c>
      <c r="AD41" s="8">
        <f t="shared" si="2"/>
        <v>1.4337749666102486E-8</v>
      </c>
      <c r="AE41" s="2">
        <f t="shared" si="3"/>
        <v>24198630</v>
      </c>
      <c r="AF41" s="2">
        <f t="shared" si="4"/>
        <v>0</v>
      </c>
      <c r="AG41" s="8">
        <f t="shared" si="5"/>
        <v>0</v>
      </c>
      <c r="AI41">
        <f t="shared" si="6"/>
        <v>0.74241589578843403</v>
      </c>
      <c r="AJ41">
        <f t="shared" si="7"/>
        <v>0.25758409356699252</v>
      </c>
    </row>
    <row r="42" spans="1:36" x14ac:dyDescent="0.25">
      <c r="A42" s="1">
        <v>36557</v>
      </c>
      <c r="B42" s="2">
        <v>94690140</v>
      </c>
      <c r="C42" s="4">
        <v>68851360</v>
      </c>
      <c r="D42" s="4">
        <v>25838780</v>
      </c>
      <c r="E42" s="2">
        <v>713500</v>
      </c>
      <c r="F42" s="2">
        <v>3273520</v>
      </c>
      <c r="G42" s="2">
        <v>541350</v>
      </c>
      <c r="H42" s="2">
        <v>13666230</v>
      </c>
      <c r="I42" s="2">
        <v>11130120</v>
      </c>
      <c r="K42" s="2">
        <v>1221960</v>
      </c>
      <c r="L42" s="2">
        <v>4107630</v>
      </c>
      <c r="M42" s="2">
        <v>13980520</v>
      </c>
      <c r="N42" s="2">
        <v>209600</v>
      </c>
      <c r="O42" s="2">
        <v>12021510</v>
      </c>
      <c r="P42" s="2">
        <v>7985420</v>
      </c>
      <c r="Q42" s="6">
        <v>6018240</v>
      </c>
      <c r="R42" s="6">
        <v>10699820</v>
      </c>
      <c r="V42" s="6">
        <v>6142390</v>
      </c>
      <c r="X42" s="6">
        <v>2978330</v>
      </c>
      <c r="AB42" s="2">
        <f t="shared" si="0"/>
        <v>68851360</v>
      </c>
      <c r="AC42" s="2">
        <f t="shared" si="1"/>
        <v>0</v>
      </c>
      <c r="AD42" s="8">
        <f t="shared" si="2"/>
        <v>0</v>
      </c>
      <c r="AE42" s="2">
        <f t="shared" si="3"/>
        <v>25838780</v>
      </c>
      <c r="AF42" s="2">
        <f t="shared" si="4"/>
        <v>0</v>
      </c>
      <c r="AG42" s="8">
        <f t="shared" si="5"/>
        <v>0</v>
      </c>
      <c r="AI42">
        <f t="shared" si="6"/>
        <v>0.72712280285993869</v>
      </c>
      <c r="AJ42">
        <f t="shared" si="7"/>
        <v>0.27287719714006126</v>
      </c>
    </row>
    <row r="43" spans="1:36" x14ac:dyDescent="0.25">
      <c r="A43" s="1">
        <v>36586</v>
      </c>
      <c r="B43" s="2">
        <v>96750610</v>
      </c>
      <c r="C43" s="4">
        <v>69674830</v>
      </c>
      <c r="D43" s="4">
        <v>27075780</v>
      </c>
      <c r="E43" s="2">
        <v>823100</v>
      </c>
      <c r="F43" s="2">
        <v>3412570</v>
      </c>
      <c r="G43" s="2">
        <v>616020</v>
      </c>
      <c r="H43" s="2">
        <v>13851150</v>
      </c>
      <c r="I43" s="2">
        <v>10932820</v>
      </c>
      <c r="K43" s="2">
        <v>1408790</v>
      </c>
      <c r="L43" s="2">
        <v>3992890</v>
      </c>
      <c r="M43" s="2">
        <v>14576140</v>
      </c>
      <c r="N43" s="2">
        <v>168200</v>
      </c>
      <c r="O43" s="2">
        <v>10835840</v>
      </c>
      <c r="P43" s="2">
        <v>9057310</v>
      </c>
      <c r="Q43" s="6">
        <v>6247250</v>
      </c>
      <c r="R43" s="6">
        <v>11494030</v>
      </c>
      <c r="V43" s="6">
        <v>6636070</v>
      </c>
      <c r="X43" s="6">
        <v>2698430</v>
      </c>
      <c r="AB43" s="2">
        <f t="shared" si="0"/>
        <v>69674830</v>
      </c>
      <c r="AC43" s="2">
        <f t="shared" si="1"/>
        <v>0</v>
      </c>
      <c r="AD43" s="8">
        <f t="shared" si="2"/>
        <v>0</v>
      </c>
      <c r="AE43" s="2">
        <f t="shared" si="3"/>
        <v>27075780</v>
      </c>
      <c r="AF43" s="2">
        <f t="shared" si="4"/>
        <v>0</v>
      </c>
      <c r="AG43" s="8">
        <f t="shared" si="5"/>
        <v>0</v>
      </c>
      <c r="AI43">
        <f t="shared" si="6"/>
        <v>0.72014874118106331</v>
      </c>
      <c r="AJ43">
        <f t="shared" si="7"/>
        <v>0.27985125881893663</v>
      </c>
    </row>
    <row r="44" spans="1:36" x14ac:dyDescent="0.25">
      <c r="A44" s="1">
        <v>36617</v>
      </c>
      <c r="B44" s="2">
        <v>103150620</v>
      </c>
      <c r="C44" s="4">
        <v>74259990</v>
      </c>
      <c r="D44" s="4">
        <v>28890630</v>
      </c>
      <c r="E44" s="2">
        <v>825710</v>
      </c>
      <c r="F44" s="2">
        <v>3758460</v>
      </c>
      <c r="G44" s="2">
        <v>650600</v>
      </c>
      <c r="H44" s="2">
        <v>14518090</v>
      </c>
      <c r="I44" s="2">
        <v>11748740</v>
      </c>
      <c r="K44" s="2">
        <v>1500390</v>
      </c>
      <c r="L44" s="2">
        <v>4227470</v>
      </c>
      <c r="M44" s="2">
        <v>15308480</v>
      </c>
      <c r="N44" s="2">
        <v>137370</v>
      </c>
      <c r="O44" s="2">
        <v>11801460</v>
      </c>
      <c r="P44" s="2">
        <v>9783220</v>
      </c>
      <c r="Q44" s="6">
        <v>6307820</v>
      </c>
      <c r="R44" s="6">
        <v>12292420</v>
      </c>
      <c r="V44" s="6">
        <v>7214020</v>
      </c>
      <c r="X44" s="6">
        <v>3076370</v>
      </c>
      <c r="AB44" s="2">
        <f t="shared" si="0"/>
        <v>74259990</v>
      </c>
      <c r="AC44" s="2">
        <f t="shared" si="1"/>
        <v>0</v>
      </c>
      <c r="AD44" s="8">
        <f t="shared" si="2"/>
        <v>0</v>
      </c>
      <c r="AE44" s="2">
        <f t="shared" si="3"/>
        <v>28890630</v>
      </c>
      <c r="AF44" s="2">
        <f t="shared" si="4"/>
        <v>0</v>
      </c>
      <c r="AG44" s="8">
        <f t="shared" si="5"/>
        <v>0</v>
      </c>
      <c r="AI44">
        <f t="shared" si="6"/>
        <v>0.71991801891253782</v>
      </c>
      <c r="AJ44">
        <f t="shared" si="7"/>
        <v>0.28008198108746218</v>
      </c>
    </row>
    <row r="45" spans="1:36" x14ac:dyDescent="0.25">
      <c r="A45" s="1">
        <v>36647</v>
      </c>
      <c r="B45" s="2">
        <v>123476015</v>
      </c>
      <c r="C45" s="4">
        <v>85344349</v>
      </c>
      <c r="D45" s="4">
        <v>38131666</v>
      </c>
      <c r="E45" s="2">
        <v>559668</v>
      </c>
      <c r="F45" s="2">
        <v>3694149</v>
      </c>
      <c r="G45" s="2">
        <v>859937</v>
      </c>
      <c r="H45" s="2">
        <v>13173644</v>
      </c>
      <c r="I45" s="2">
        <v>12698599</v>
      </c>
      <c r="J45" s="2">
        <v>2448588</v>
      </c>
      <c r="K45" s="2">
        <v>1226847</v>
      </c>
      <c r="L45" s="2">
        <v>4600168</v>
      </c>
      <c r="M45" s="2">
        <v>16000250</v>
      </c>
      <c r="N45" s="2">
        <v>170556</v>
      </c>
      <c r="O45" s="2">
        <v>14754520</v>
      </c>
      <c r="P45" s="2">
        <v>7685594</v>
      </c>
      <c r="Q45" s="6">
        <v>6297114</v>
      </c>
      <c r="R45" s="6">
        <v>12729257</v>
      </c>
      <c r="S45" s="6">
        <v>4208079</v>
      </c>
      <c r="T45" s="6">
        <v>7861448</v>
      </c>
      <c r="U45" s="6">
        <v>2017048</v>
      </c>
      <c r="V45" s="6">
        <v>9878496</v>
      </c>
      <c r="W45" s="6">
        <v>1962247</v>
      </c>
      <c r="X45" s="6">
        <v>3056473</v>
      </c>
      <c r="Y45" s="2">
        <v>7468543</v>
      </c>
      <c r="AB45" s="2">
        <f t="shared" si="0"/>
        <v>85341063</v>
      </c>
      <c r="AC45" s="2">
        <f t="shared" si="1"/>
        <v>-3286</v>
      </c>
      <c r="AD45" s="8">
        <f t="shared" si="2"/>
        <v>-3.8504324700056762E-5</v>
      </c>
      <c r="AE45" s="2">
        <f t="shared" si="3"/>
        <v>38131666</v>
      </c>
      <c r="AF45" s="2">
        <f t="shared" si="4"/>
        <v>0</v>
      </c>
      <c r="AG45" s="8">
        <f t="shared" si="5"/>
        <v>0</v>
      </c>
      <c r="AI45">
        <f t="shared" si="6"/>
        <v>0.69118159506524401</v>
      </c>
      <c r="AJ45">
        <f t="shared" si="7"/>
        <v>0.30881840493475593</v>
      </c>
    </row>
    <row r="46" spans="1:36" x14ac:dyDescent="0.25">
      <c r="A46" s="1">
        <v>36678</v>
      </c>
      <c r="B46" s="2">
        <v>125055951</v>
      </c>
      <c r="C46" s="4">
        <v>85386013</v>
      </c>
      <c r="D46" s="4">
        <v>39669938</v>
      </c>
      <c r="E46" s="2">
        <v>466338</v>
      </c>
      <c r="F46" s="2">
        <v>3931737</v>
      </c>
      <c r="G46" s="2">
        <v>810773</v>
      </c>
      <c r="H46" s="2">
        <v>13030253</v>
      </c>
      <c r="I46" s="2">
        <v>12326477</v>
      </c>
      <c r="J46" s="2">
        <v>2433964</v>
      </c>
      <c r="K46" s="2">
        <v>1263502</v>
      </c>
      <c r="L46" s="2">
        <v>4594389</v>
      </c>
      <c r="M46" s="2">
        <v>15790815</v>
      </c>
      <c r="N46" s="2">
        <v>211389</v>
      </c>
      <c r="O46" s="2">
        <v>15578950</v>
      </c>
      <c r="P46" s="2">
        <v>7684612</v>
      </c>
      <c r="Q46" s="6">
        <v>6408876</v>
      </c>
      <c r="R46" s="6">
        <v>13367937</v>
      </c>
      <c r="S46" s="6">
        <v>3522080</v>
      </c>
      <c r="T46" s="6">
        <v>8331871</v>
      </c>
      <c r="U46" s="6">
        <v>2148003</v>
      </c>
      <c r="V46" s="6">
        <v>10479874</v>
      </c>
      <c r="W46" s="6">
        <v>2541541</v>
      </c>
      <c r="X46" s="6">
        <v>3349630</v>
      </c>
      <c r="Y46" s="2">
        <v>7262814</v>
      </c>
      <c r="AB46" s="2">
        <f t="shared" si="0"/>
        <v>85386013</v>
      </c>
      <c r="AC46" s="2">
        <f t="shared" si="1"/>
        <v>0</v>
      </c>
      <c r="AD46" s="8">
        <f t="shared" si="2"/>
        <v>0</v>
      </c>
      <c r="AE46" s="2">
        <f t="shared" si="3"/>
        <v>39669938</v>
      </c>
      <c r="AF46" s="2">
        <f t="shared" si="4"/>
        <v>0</v>
      </c>
      <c r="AG46" s="8">
        <f t="shared" si="5"/>
        <v>0</v>
      </c>
      <c r="AI46">
        <f t="shared" si="6"/>
        <v>0.68278248509741046</v>
      </c>
      <c r="AJ46">
        <f t="shared" si="7"/>
        <v>0.31721751490258948</v>
      </c>
    </row>
    <row r="47" spans="1:36" x14ac:dyDescent="0.25">
      <c r="A47" s="1">
        <v>36708</v>
      </c>
      <c r="B47" s="2">
        <v>127613691</v>
      </c>
      <c r="C47" s="4">
        <v>86530115</v>
      </c>
      <c r="D47" s="4">
        <v>41083576</v>
      </c>
      <c r="E47" s="2">
        <v>614753</v>
      </c>
      <c r="F47" s="2">
        <v>3866614</v>
      </c>
      <c r="G47" s="2">
        <v>805161</v>
      </c>
      <c r="H47" s="2">
        <v>13549470</v>
      </c>
      <c r="I47" s="2">
        <v>13016231</v>
      </c>
      <c r="J47" s="2">
        <v>2409346</v>
      </c>
      <c r="K47" s="2">
        <v>1456172</v>
      </c>
      <c r="L47" s="2">
        <v>4583276</v>
      </c>
      <c r="M47" s="2">
        <v>15801564</v>
      </c>
      <c r="N47" s="2">
        <v>246647</v>
      </c>
      <c r="O47" s="2">
        <v>14981376</v>
      </c>
      <c r="P47" s="2">
        <v>7563479</v>
      </c>
      <c r="Q47" s="6">
        <v>6429527</v>
      </c>
      <c r="R47" s="6">
        <v>13701219</v>
      </c>
      <c r="S47" s="6">
        <v>3592369</v>
      </c>
      <c r="T47" s="6">
        <v>9303046</v>
      </c>
      <c r="U47" s="6">
        <v>2273780</v>
      </c>
      <c r="V47" s="6">
        <v>11576826</v>
      </c>
      <c r="W47" s="6">
        <v>2512594</v>
      </c>
      <c r="X47" s="6">
        <v>3271041</v>
      </c>
      <c r="Y47" s="2">
        <v>7636026</v>
      </c>
      <c r="AB47" s="2">
        <f t="shared" si="0"/>
        <v>86530115</v>
      </c>
      <c r="AC47" s="2">
        <f t="shared" si="1"/>
        <v>0</v>
      </c>
      <c r="AD47" s="8">
        <f t="shared" si="2"/>
        <v>0</v>
      </c>
      <c r="AE47" s="2">
        <f t="shared" si="3"/>
        <v>41083576</v>
      </c>
      <c r="AF47" s="2">
        <f t="shared" si="4"/>
        <v>0</v>
      </c>
      <c r="AG47" s="8">
        <f t="shared" si="5"/>
        <v>0</v>
      </c>
      <c r="AI47">
        <f t="shared" si="6"/>
        <v>0.67806294388899069</v>
      </c>
      <c r="AJ47">
        <f t="shared" si="7"/>
        <v>0.32193705611100926</v>
      </c>
    </row>
    <row r="48" spans="1:36" x14ac:dyDescent="0.25">
      <c r="A48" s="1">
        <v>36739</v>
      </c>
      <c r="B48" s="2">
        <v>130261400</v>
      </c>
      <c r="C48" s="4">
        <v>87090106</v>
      </c>
      <c r="D48" s="4">
        <v>43171294</v>
      </c>
      <c r="E48" s="2">
        <v>415059</v>
      </c>
      <c r="F48" s="2">
        <v>3859640</v>
      </c>
      <c r="G48" s="2">
        <v>752809</v>
      </c>
      <c r="H48" s="2">
        <v>13675758</v>
      </c>
      <c r="I48" s="2">
        <v>13216198</v>
      </c>
      <c r="J48" s="2">
        <v>2166256</v>
      </c>
      <c r="K48" s="2">
        <v>1505423</v>
      </c>
      <c r="L48" s="2">
        <v>4709413</v>
      </c>
      <c r="M48" s="2">
        <v>15381273</v>
      </c>
      <c r="N48" s="2">
        <v>175251</v>
      </c>
      <c r="O48" s="2">
        <v>15205115</v>
      </c>
      <c r="P48" s="2">
        <v>7657826</v>
      </c>
      <c r="Q48" s="6">
        <v>6586608</v>
      </c>
      <c r="R48" s="6">
        <v>14348476</v>
      </c>
      <c r="S48" s="6">
        <v>3570510</v>
      </c>
      <c r="T48" s="6">
        <v>10469390</v>
      </c>
      <c r="U48" s="6">
        <v>2301115</v>
      </c>
      <c r="V48" s="6">
        <v>12770505</v>
      </c>
      <c r="W48" s="6">
        <v>2546893</v>
      </c>
      <c r="X48" s="6">
        <v>3348302</v>
      </c>
      <c r="Y48" s="2">
        <v>8370085</v>
      </c>
      <c r="AB48" s="2">
        <f t="shared" si="0"/>
        <v>87090106</v>
      </c>
      <c r="AC48" s="2">
        <f t="shared" si="1"/>
        <v>0</v>
      </c>
      <c r="AD48" s="8">
        <f t="shared" si="2"/>
        <v>0</v>
      </c>
      <c r="AE48" s="2">
        <f t="shared" si="3"/>
        <v>43171294</v>
      </c>
      <c r="AF48" s="2">
        <f t="shared" si="4"/>
        <v>0</v>
      </c>
      <c r="AG48" s="8">
        <f t="shared" si="5"/>
        <v>0</v>
      </c>
      <c r="AI48">
        <f t="shared" si="6"/>
        <v>0.66857953315410401</v>
      </c>
      <c r="AJ48">
        <f t="shared" si="7"/>
        <v>0.33142046684589604</v>
      </c>
    </row>
    <row r="49" spans="1:36" x14ac:dyDescent="0.25">
      <c r="A49" s="1">
        <v>36770</v>
      </c>
      <c r="B49" s="2">
        <v>136260999</v>
      </c>
      <c r="C49" s="4">
        <v>90685636</v>
      </c>
      <c r="D49" s="4">
        <v>45575363</v>
      </c>
      <c r="E49" s="2">
        <v>483146</v>
      </c>
      <c r="F49" s="2">
        <v>4452604</v>
      </c>
      <c r="G49" s="2">
        <v>765472</v>
      </c>
      <c r="H49" s="2">
        <v>14224126</v>
      </c>
      <c r="I49" s="2">
        <v>13268367</v>
      </c>
      <c r="J49" s="2">
        <v>2284021</v>
      </c>
      <c r="K49" s="2">
        <v>1735001</v>
      </c>
      <c r="L49" s="2">
        <v>5007931</v>
      </c>
      <c r="M49" s="2">
        <v>15671141</v>
      </c>
      <c r="N49" s="2">
        <v>157415</v>
      </c>
      <c r="O49" s="2">
        <v>15519114</v>
      </c>
      <c r="P49" s="2">
        <v>8711459</v>
      </c>
      <c r="Q49" s="6">
        <v>6682543</v>
      </c>
      <c r="R49" s="6">
        <v>14923114</v>
      </c>
      <c r="S49" s="6">
        <v>3278327</v>
      </c>
      <c r="T49" s="6">
        <v>11931950</v>
      </c>
      <c r="U49" s="6">
        <v>2589925</v>
      </c>
      <c r="V49" s="6">
        <v>14521875</v>
      </c>
      <c r="W49" s="6">
        <v>2725939</v>
      </c>
      <c r="X49" s="6">
        <v>3443565</v>
      </c>
      <c r="Y49" s="2">
        <v>8405839</v>
      </c>
      <c r="AB49" s="2">
        <f t="shared" si="0"/>
        <v>90685636</v>
      </c>
      <c r="AC49" s="2">
        <f t="shared" si="1"/>
        <v>0</v>
      </c>
      <c r="AD49" s="8">
        <f t="shared" si="2"/>
        <v>0</v>
      </c>
      <c r="AE49" s="2">
        <f t="shared" si="3"/>
        <v>45575363</v>
      </c>
      <c r="AF49" s="2">
        <f t="shared" si="4"/>
        <v>0</v>
      </c>
      <c r="AG49" s="8">
        <f t="shared" si="5"/>
        <v>0</v>
      </c>
      <c r="AI49">
        <f t="shared" si="6"/>
        <v>0.66552892365041294</v>
      </c>
      <c r="AJ49">
        <f t="shared" si="7"/>
        <v>0.334471076349587</v>
      </c>
    </row>
    <row r="50" spans="1:36" x14ac:dyDescent="0.25">
      <c r="A50" s="1">
        <v>36800</v>
      </c>
      <c r="B50" s="2">
        <v>143002493</v>
      </c>
      <c r="C50" s="4">
        <v>94938735</v>
      </c>
      <c r="D50" s="4">
        <v>48063758</v>
      </c>
      <c r="E50" s="2">
        <v>513968</v>
      </c>
      <c r="F50" s="2">
        <v>4692739</v>
      </c>
      <c r="G50" s="2">
        <v>782885</v>
      </c>
      <c r="H50" s="2">
        <v>14356595</v>
      </c>
      <c r="I50" s="2">
        <v>14023581</v>
      </c>
      <c r="J50" s="2">
        <v>2459762</v>
      </c>
      <c r="K50" s="2">
        <v>1887607</v>
      </c>
      <c r="L50" s="2">
        <v>5435261</v>
      </c>
      <c r="M50" s="2">
        <v>16693281</v>
      </c>
      <c r="N50" s="2">
        <v>139112</v>
      </c>
      <c r="O50" s="2">
        <v>15752177</v>
      </c>
      <c r="P50" s="2">
        <v>8286557</v>
      </c>
      <c r="Q50" s="6">
        <v>7100220</v>
      </c>
      <c r="R50" s="6">
        <v>15555729</v>
      </c>
      <c r="S50" s="6">
        <v>3255187</v>
      </c>
      <c r="T50" s="6">
        <v>13091184</v>
      </c>
      <c r="U50" s="6">
        <v>2773025</v>
      </c>
      <c r="V50" s="6">
        <v>15864209</v>
      </c>
      <c r="W50" s="6">
        <v>2795291</v>
      </c>
      <c r="X50" s="6">
        <v>3493122</v>
      </c>
      <c r="Y50" s="2">
        <v>9915210</v>
      </c>
      <c r="AB50" s="2">
        <f t="shared" si="0"/>
        <v>94938735</v>
      </c>
      <c r="AC50" s="2">
        <f t="shared" si="1"/>
        <v>0</v>
      </c>
      <c r="AD50" s="8">
        <f t="shared" si="2"/>
        <v>0</v>
      </c>
      <c r="AE50" s="2">
        <f t="shared" si="3"/>
        <v>48063758</v>
      </c>
      <c r="AF50" s="2">
        <f t="shared" si="4"/>
        <v>0</v>
      </c>
      <c r="AG50" s="8">
        <f t="shared" si="5"/>
        <v>0</v>
      </c>
      <c r="AI50">
        <f t="shared" si="6"/>
        <v>0.66389566369307984</v>
      </c>
      <c r="AJ50">
        <f t="shared" si="7"/>
        <v>0.33610433630692022</v>
      </c>
    </row>
    <row r="51" spans="1:36" x14ac:dyDescent="0.25">
      <c r="A51" s="1">
        <v>36831</v>
      </c>
      <c r="B51" s="2">
        <v>150408712</v>
      </c>
      <c r="C51" s="4">
        <v>99740122</v>
      </c>
      <c r="D51" s="4">
        <v>50668590</v>
      </c>
      <c r="E51" s="2">
        <v>496209</v>
      </c>
      <c r="F51" s="2">
        <v>4940830</v>
      </c>
      <c r="G51" s="2">
        <v>810011</v>
      </c>
      <c r="H51" s="2">
        <v>15672726</v>
      </c>
      <c r="I51" s="2">
        <v>15333593</v>
      </c>
      <c r="J51" s="2">
        <v>2479978</v>
      </c>
      <c r="K51" s="2">
        <v>2033826</v>
      </c>
      <c r="L51" s="2">
        <v>5908297</v>
      </c>
      <c r="M51" s="2">
        <v>16833441</v>
      </c>
      <c r="N51" s="2">
        <v>128968</v>
      </c>
      <c r="O51" s="2">
        <v>15956390</v>
      </c>
      <c r="P51" s="2">
        <v>8671260</v>
      </c>
      <c r="Q51" s="6">
        <v>7352513</v>
      </c>
      <c r="R51" s="6">
        <v>16196294</v>
      </c>
      <c r="S51" s="6">
        <v>3227424</v>
      </c>
      <c r="T51" s="6">
        <v>14433804</v>
      </c>
      <c r="U51" s="6">
        <v>2919779</v>
      </c>
      <c r="V51" s="6">
        <v>17353583</v>
      </c>
      <c r="W51" s="6">
        <v>2855210</v>
      </c>
      <c r="X51" s="6">
        <v>3683566</v>
      </c>
      <c r="Y51" s="2">
        <v>10474593</v>
      </c>
      <c r="AB51" s="2">
        <f t="shared" si="0"/>
        <v>99740122</v>
      </c>
      <c r="AC51" s="2">
        <f t="shared" si="1"/>
        <v>0</v>
      </c>
      <c r="AD51" s="8">
        <f t="shared" si="2"/>
        <v>0</v>
      </c>
      <c r="AE51" s="2">
        <f t="shared" si="3"/>
        <v>50668590</v>
      </c>
      <c r="AF51" s="2">
        <f t="shared" si="4"/>
        <v>0</v>
      </c>
      <c r="AG51" s="8">
        <f t="shared" si="5"/>
        <v>0</v>
      </c>
      <c r="AI51">
        <f t="shared" si="6"/>
        <v>0.66312729278607208</v>
      </c>
      <c r="AJ51">
        <f t="shared" si="7"/>
        <v>0.33687270721392787</v>
      </c>
    </row>
    <row r="52" spans="1:36" x14ac:dyDescent="0.25">
      <c r="A52" s="1">
        <v>36861</v>
      </c>
      <c r="B52" s="2">
        <v>153957523</v>
      </c>
      <c r="C52" s="4">
        <v>102621896</v>
      </c>
      <c r="D52" s="4">
        <v>51335627</v>
      </c>
      <c r="E52" s="2">
        <v>583259</v>
      </c>
      <c r="F52" s="2">
        <v>5269627</v>
      </c>
      <c r="G52" s="2">
        <v>867843</v>
      </c>
      <c r="H52" s="2">
        <v>16541795</v>
      </c>
      <c r="I52" s="2">
        <v>15008023</v>
      </c>
      <c r="J52" s="2">
        <v>2676621</v>
      </c>
      <c r="K52" s="2">
        <v>2201145</v>
      </c>
      <c r="L52" s="2">
        <v>6469995</v>
      </c>
      <c r="M52" s="2">
        <v>17304580</v>
      </c>
      <c r="N52" s="2">
        <v>203821</v>
      </c>
      <c r="O52" s="2">
        <v>16406551</v>
      </c>
      <c r="P52" s="2">
        <v>8157308</v>
      </c>
      <c r="Q52" s="6">
        <v>6516708</v>
      </c>
      <c r="R52" s="6">
        <v>16381187</v>
      </c>
      <c r="S52" s="6">
        <v>3102702</v>
      </c>
      <c r="T52" s="6">
        <v>15615585</v>
      </c>
      <c r="U52" s="6">
        <v>3303340</v>
      </c>
      <c r="V52" s="6">
        <v>18918925</v>
      </c>
      <c r="W52" s="6">
        <v>2801847</v>
      </c>
      <c r="X52" s="6">
        <v>3614258</v>
      </c>
      <c r="Y52" s="2">
        <v>10931328</v>
      </c>
      <c r="AB52" s="2">
        <f t="shared" si="0"/>
        <v>102621896</v>
      </c>
      <c r="AC52" s="2">
        <f t="shared" si="1"/>
        <v>0</v>
      </c>
      <c r="AD52" s="8">
        <f t="shared" si="2"/>
        <v>0</v>
      </c>
      <c r="AE52" s="2">
        <f t="shared" si="3"/>
        <v>51335627</v>
      </c>
      <c r="AF52" s="2">
        <f t="shared" si="4"/>
        <v>0</v>
      </c>
      <c r="AG52" s="8">
        <f t="shared" si="5"/>
        <v>0</v>
      </c>
      <c r="AI52">
        <f t="shared" si="6"/>
        <v>0.66655980169283446</v>
      </c>
      <c r="AJ52">
        <f t="shared" si="7"/>
        <v>0.33344019830716554</v>
      </c>
    </row>
    <row r="53" spans="1:36" x14ac:dyDescent="0.25">
      <c r="A53" s="1">
        <v>36892</v>
      </c>
      <c r="B53" s="2">
        <v>157056161</v>
      </c>
      <c r="C53" s="4">
        <v>102418925</v>
      </c>
      <c r="D53" s="4">
        <v>54637236</v>
      </c>
      <c r="E53" s="2">
        <v>594605</v>
      </c>
      <c r="F53" s="2">
        <v>4720233</v>
      </c>
      <c r="G53" s="2">
        <v>774685</v>
      </c>
      <c r="H53" s="2">
        <v>15906783</v>
      </c>
      <c r="I53" s="2">
        <v>15215561</v>
      </c>
      <c r="J53" s="2">
        <v>2665195</v>
      </c>
      <c r="K53" s="2">
        <v>2319928</v>
      </c>
      <c r="L53" s="2">
        <v>6017899</v>
      </c>
      <c r="M53" s="2">
        <v>17210911</v>
      </c>
      <c r="N53" s="2">
        <v>100513</v>
      </c>
      <c r="O53" s="2">
        <v>17257938</v>
      </c>
      <c r="P53" s="2">
        <v>8303891</v>
      </c>
      <c r="Q53" s="6">
        <v>7416955</v>
      </c>
      <c r="R53" s="6">
        <v>17120900</v>
      </c>
      <c r="S53" s="6">
        <v>3138276</v>
      </c>
      <c r="T53" s="6">
        <v>16916468</v>
      </c>
      <c r="U53" s="6">
        <v>3329592</v>
      </c>
      <c r="V53" s="6">
        <v>20246060</v>
      </c>
      <c r="W53" s="6">
        <v>2944531</v>
      </c>
      <c r="X53" s="6">
        <v>3770514</v>
      </c>
      <c r="Y53" s="2">
        <v>11330783</v>
      </c>
      <c r="AB53" s="2">
        <f t="shared" si="0"/>
        <v>102418925</v>
      </c>
      <c r="AC53" s="2">
        <f t="shared" si="1"/>
        <v>0</v>
      </c>
      <c r="AD53" s="8">
        <f t="shared" si="2"/>
        <v>0</v>
      </c>
      <c r="AE53" s="2">
        <f t="shared" si="3"/>
        <v>54637236</v>
      </c>
      <c r="AF53" s="2">
        <f t="shared" si="4"/>
        <v>0</v>
      </c>
      <c r="AG53" s="8">
        <f t="shared" si="5"/>
        <v>0</v>
      </c>
      <c r="AI53">
        <f t="shared" si="6"/>
        <v>0.6521165699446837</v>
      </c>
      <c r="AJ53">
        <f t="shared" si="7"/>
        <v>0.3478834300553163</v>
      </c>
    </row>
    <row r="54" spans="1:36" x14ac:dyDescent="0.25">
      <c r="A54" s="1">
        <v>36923</v>
      </c>
      <c r="B54" s="2">
        <v>162063065</v>
      </c>
      <c r="C54" s="4">
        <v>105758328</v>
      </c>
      <c r="D54" s="4">
        <v>56304737</v>
      </c>
      <c r="E54" s="2">
        <v>561824</v>
      </c>
      <c r="F54" s="2">
        <v>4782589</v>
      </c>
      <c r="G54" s="2">
        <v>751864</v>
      </c>
      <c r="H54" s="2">
        <v>15890413</v>
      </c>
      <c r="I54" s="2">
        <v>15957576</v>
      </c>
      <c r="J54" s="2">
        <v>2592760</v>
      </c>
      <c r="K54" s="2">
        <v>2484717</v>
      </c>
      <c r="L54" s="2">
        <v>5979249</v>
      </c>
      <c r="M54" s="2">
        <v>18071935</v>
      </c>
      <c r="N54" s="2">
        <v>96935</v>
      </c>
      <c r="O54" s="2">
        <v>18313053</v>
      </c>
      <c r="P54" s="2">
        <v>8336992</v>
      </c>
      <c r="Q54" s="6">
        <v>7658225</v>
      </c>
      <c r="R54" s="6">
        <v>17678265</v>
      </c>
      <c r="S54" s="6">
        <v>2888495</v>
      </c>
      <c r="T54" s="6">
        <v>17777526</v>
      </c>
      <c r="U54" s="6">
        <v>3288075</v>
      </c>
      <c r="V54" s="6">
        <v>21065601</v>
      </c>
      <c r="W54" s="6">
        <v>3220919</v>
      </c>
      <c r="X54" s="6">
        <v>3793232</v>
      </c>
      <c r="Y54" s="2">
        <v>11938421</v>
      </c>
      <c r="AB54" s="2">
        <f t="shared" si="0"/>
        <v>105758328</v>
      </c>
      <c r="AC54" s="2">
        <f t="shared" si="1"/>
        <v>0</v>
      </c>
      <c r="AD54" s="8">
        <f t="shared" si="2"/>
        <v>0</v>
      </c>
      <c r="AE54" s="2">
        <f t="shared" si="3"/>
        <v>56304737</v>
      </c>
      <c r="AF54" s="2">
        <f t="shared" si="4"/>
        <v>0</v>
      </c>
      <c r="AG54" s="8">
        <f t="shared" si="5"/>
        <v>0</v>
      </c>
      <c r="AI54">
        <f t="shared" si="6"/>
        <v>0.65257514412676321</v>
      </c>
      <c r="AJ54">
        <f t="shared" si="7"/>
        <v>0.34742485587323674</v>
      </c>
    </row>
    <row r="55" spans="1:36" x14ac:dyDescent="0.25">
      <c r="A55" s="1">
        <v>36951</v>
      </c>
      <c r="B55" s="2">
        <v>170434476</v>
      </c>
      <c r="C55" s="4">
        <v>111016725</v>
      </c>
      <c r="D55" s="4">
        <v>59417751</v>
      </c>
      <c r="E55" s="2">
        <v>445953</v>
      </c>
      <c r="F55" s="2">
        <v>5198371</v>
      </c>
      <c r="G55" s="2">
        <v>806301</v>
      </c>
      <c r="H55" s="2">
        <v>16503891</v>
      </c>
      <c r="I55" s="2">
        <v>15652323</v>
      </c>
      <c r="J55" s="2">
        <v>2607551</v>
      </c>
      <c r="K55" s="2">
        <v>2549268</v>
      </c>
      <c r="L55" s="2">
        <v>5957068</v>
      </c>
      <c r="M55" s="2">
        <v>19676165</v>
      </c>
      <c r="N55" s="2">
        <v>87191</v>
      </c>
      <c r="O55" s="2">
        <v>19710013</v>
      </c>
      <c r="P55" s="2">
        <v>8809677</v>
      </c>
      <c r="Q55" s="6">
        <v>8120350</v>
      </c>
      <c r="R55" s="6">
        <v>18706885</v>
      </c>
      <c r="S55" s="6">
        <v>2877068</v>
      </c>
      <c r="T55" s="6">
        <v>18984914</v>
      </c>
      <c r="U55" s="6">
        <v>3441894</v>
      </c>
      <c r="V55" s="6">
        <v>22426808</v>
      </c>
      <c r="W55" s="6">
        <v>3215763</v>
      </c>
      <c r="X55" s="6">
        <v>4070877</v>
      </c>
      <c r="Y55" s="2">
        <v>13012953</v>
      </c>
      <c r="AB55" s="2">
        <f t="shared" si="0"/>
        <v>111016725</v>
      </c>
      <c r="AC55" s="2">
        <f t="shared" si="1"/>
        <v>0</v>
      </c>
      <c r="AD55" s="8">
        <f t="shared" si="2"/>
        <v>0</v>
      </c>
      <c r="AE55" s="2">
        <f t="shared" si="3"/>
        <v>59417751</v>
      </c>
      <c r="AF55" s="2">
        <f t="shared" si="4"/>
        <v>0</v>
      </c>
      <c r="AG55" s="8">
        <f t="shared" si="5"/>
        <v>0</v>
      </c>
      <c r="AI55">
        <f t="shared" si="6"/>
        <v>0.65137481339162862</v>
      </c>
      <c r="AJ55">
        <f t="shared" si="7"/>
        <v>0.34862518660837144</v>
      </c>
    </row>
    <row r="56" spans="1:36" x14ac:dyDescent="0.25">
      <c r="A56" s="1">
        <v>36982</v>
      </c>
      <c r="B56" s="2">
        <v>176738872</v>
      </c>
      <c r="C56" s="4">
        <v>115312617</v>
      </c>
      <c r="D56" s="4">
        <v>61426255</v>
      </c>
      <c r="E56" s="2">
        <v>455264</v>
      </c>
      <c r="F56" s="2">
        <v>5130225</v>
      </c>
      <c r="G56" s="2">
        <v>793050</v>
      </c>
      <c r="H56" s="2">
        <v>16759728</v>
      </c>
      <c r="I56" s="2">
        <v>16303720</v>
      </c>
      <c r="J56" s="2">
        <v>2590800</v>
      </c>
      <c r="K56" s="2">
        <v>2792341</v>
      </c>
      <c r="L56" s="2">
        <v>5939982</v>
      </c>
      <c r="M56" s="2">
        <v>21265020</v>
      </c>
      <c r="N56" s="2">
        <v>95538</v>
      </c>
      <c r="O56" s="2">
        <v>20837623</v>
      </c>
      <c r="P56" s="2">
        <v>8890129</v>
      </c>
      <c r="Q56" s="6">
        <v>8255924</v>
      </c>
      <c r="R56" s="6">
        <v>19552925</v>
      </c>
      <c r="S56" s="6">
        <v>2846986</v>
      </c>
      <c r="T56" s="6">
        <v>19904088</v>
      </c>
      <c r="U56" s="6">
        <v>3514711</v>
      </c>
      <c r="V56" s="6">
        <v>23418799</v>
      </c>
      <c r="W56" s="6">
        <v>3340776</v>
      </c>
      <c r="X56" s="6">
        <v>4010845</v>
      </c>
      <c r="Y56" s="2">
        <v>13459197</v>
      </c>
      <c r="AB56" s="2">
        <f t="shared" si="0"/>
        <v>115312617</v>
      </c>
      <c r="AC56" s="2">
        <f t="shared" si="1"/>
        <v>0</v>
      </c>
      <c r="AD56" s="8">
        <f t="shared" si="2"/>
        <v>0</v>
      </c>
      <c r="AE56" s="2">
        <f t="shared" si="3"/>
        <v>61426255</v>
      </c>
      <c r="AF56" s="2">
        <f t="shared" si="4"/>
        <v>0</v>
      </c>
      <c r="AG56" s="8">
        <f t="shared" si="5"/>
        <v>0</v>
      </c>
      <c r="AI56">
        <f t="shared" si="6"/>
        <v>0.65244626547124285</v>
      </c>
      <c r="AJ56">
        <f t="shared" si="7"/>
        <v>0.34755373452875721</v>
      </c>
    </row>
    <row r="57" spans="1:36" x14ac:dyDescent="0.25">
      <c r="A57" s="1">
        <v>37012</v>
      </c>
      <c r="B57" s="2">
        <v>181795024</v>
      </c>
      <c r="C57" s="4">
        <v>117856144</v>
      </c>
      <c r="D57" s="4">
        <v>63938880</v>
      </c>
      <c r="E57" s="2">
        <v>521163</v>
      </c>
      <c r="F57" s="2">
        <v>5355680</v>
      </c>
      <c r="G57" s="2">
        <v>782656</v>
      </c>
      <c r="H57" s="2">
        <v>16923818</v>
      </c>
      <c r="I57" s="2">
        <v>16498141</v>
      </c>
      <c r="J57" s="2">
        <v>2571000</v>
      </c>
      <c r="K57" s="2">
        <v>2981519</v>
      </c>
      <c r="L57" s="2">
        <v>5846029</v>
      </c>
      <c r="M57" s="2">
        <v>21816944</v>
      </c>
      <c r="N57" s="2">
        <v>113543</v>
      </c>
      <c r="O57" s="2">
        <v>20474987</v>
      </c>
      <c r="P57" s="2">
        <v>9093217</v>
      </c>
      <c r="Q57" s="6">
        <v>8619206</v>
      </c>
      <c r="R57" s="6">
        <v>20306000</v>
      </c>
      <c r="S57" s="6">
        <v>2887375</v>
      </c>
      <c r="T57" s="6">
        <v>20927450</v>
      </c>
      <c r="U57" s="6">
        <v>3562858</v>
      </c>
      <c r="V57" s="6">
        <v>24490308</v>
      </c>
      <c r="W57" s="6">
        <v>3442233</v>
      </c>
      <c r="X57" s="6">
        <v>4193758</v>
      </c>
      <c r="Y57" s="2">
        <v>14877447</v>
      </c>
      <c r="AB57" s="2">
        <f t="shared" si="0"/>
        <v>117856144</v>
      </c>
      <c r="AC57" s="2">
        <f t="shared" si="1"/>
        <v>0</v>
      </c>
      <c r="AD57" s="8">
        <f t="shared" si="2"/>
        <v>0</v>
      </c>
      <c r="AE57" s="2">
        <f t="shared" si="3"/>
        <v>63938880</v>
      </c>
      <c r="AF57" s="2">
        <f t="shared" si="4"/>
        <v>0</v>
      </c>
      <c r="AG57" s="8">
        <f t="shared" si="5"/>
        <v>0</v>
      </c>
      <c r="AI57">
        <f t="shared" si="6"/>
        <v>0.64829136357439576</v>
      </c>
      <c r="AJ57">
        <f t="shared" si="7"/>
        <v>0.35170863642560424</v>
      </c>
    </row>
    <row r="58" spans="1:36" x14ac:dyDescent="0.25">
      <c r="A58" s="1">
        <v>37043</v>
      </c>
      <c r="B58" s="2">
        <v>184448570</v>
      </c>
      <c r="C58" s="4">
        <v>118845051</v>
      </c>
      <c r="D58" s="4">
        <v>65603519</v>
      </c>
      <c r="E58" s="2">
        <v>501664</v>
      </c>
      <c r="F58" s="2">
        <v>5175142</v>
      </c>
      <c r="G58" s="2">
        <v>799408</v>
      </c>
      <c r="H58" s="2">
        <v>17211197</v>
      </c>
      <c r="I58" s="2">
        <v>17646165</v>
      </c>
      <c r="J58" s="2">
        <v>717456</v>
      </c>
      <c r="K58" s="2">
        <v>3093870</v>
      </c>
      <c r="L58" s="2">
        <v>5827667</v>
      </c>
      <c r="M58" s="2">
        <v>22336714</v>
      </c>
      <c r="N58" s="2">
        <v>91718</v>
      </c>
      <c r="O58" s="2">
        <v>20640348</v>
      </c>
      <c r="P58" s="2">
        <v>9501919</v>
      </c>
      <c r="Q58" s="6">
        <v>8650635</v>
      </c>
      <c r="R58" s="6">
        <v>21248454</v>
      </c>
      <c r="S58" s="6">
        <v>2587024</v>
      </c>
      <c r="T58" s="6">
        <v>21664014</v>
      </c>
      <c r="U58" s="6">
        <v>3587822</v>
      </c>
      <c r="V58" s="6">
        <v>25251836</v>
      </c>
      <c r="W58" s="6">
        <v>3540252</v>
      </c>
      <c r="X58" s="6">
        <v>4325318</v>
      </c>
      <c r="Y58" s="2">
        <v>15301783</v>
      </c>
      <c r="AB58" s="2">
        <f t="shared" si="0"/>
        <v>118845051</v>
      </c>
      <c r="AC58" s="2">
        <f t="shared" si="1"/>
        <v>0</v>
      </c>
      <c r="AD58" s="8">
        <f t="shared" si="2"/>
        <v>0</v>
      </c>
      <c r="AE58" s="2">
        <f t="shared" si="3"/>
        <v>65603519</v>
      </c>
      <c r="AF58" s="2">
        <f t="shared" si="4"/>
        <v>0</v>
      </c>
      <c r="AG58" s="8">
        <f t="shared" si="5"/>
        <v>0</v>
      </c>
      <c r="AI58">
        <f t="shared" si="6"/>
        <v>0.64432622600435452</v>
      </c>
      <c r="AJ58">
        <f t="shared" si="7"/>
        <v>0.35567377399564548</v>
      </c>
    </row>
    <row r="59" spans="1:36" x14ac:dyDescent="0.25">
      <c r="A59" s="1">
        <v>37073</v>
      </c>
      <c r="B59" s="2">
        <v>188252749</v>
      </c>
      <c r="C59" s="4">
        <v>121754743</v>
      </c>
      <c r="D59" s="4">
        <v>66498006</v>
      </c>
      <c r="E59" s="2">
        <v>529542</v>
      </c>
      <c r="F59" s="2">
        <v>4963028</v>
      </c>
      <c r="G59" s="2">
        <v>735521</v>
      </c>
      <c r="H59" s="2">
        <v>18661174</v>
      </c>
      <c r="I59" s="2">
        <v>17801729</v>
      </c>
      <c r="J59" s="2">
        <v>755638</v>
      </c>
      <c r="K59" s="2">
        <v>3219843</v>
      </c>
      <c r="L59" s="2">
        <v>5617533</v>
      </c>
      <c r="M59" s="2">
        <v>23154358</v>
      </c>
      <c r="N59" s="2">
        <v>96552</v>
      </c>
      <c r="O59" s="2">
        <v>20722562</v>
      </c>
      <c r="P59" s="2">
        <v>9508480</v>
      </c>
      <c r="Q59" s="6">
        <v>8774022</v>
      </c>
      <c r="R59" s="6">
        <v>21448760</v>
      </c>
      <c r="S59" s="6">
        <v>2287345</v>
      </c>
      <c r="T59" s="6">
        <v>22277340</v>
      </c>
      <c r="U59" s="6">
        <v>3603450</v>
      </c>
      <c r="V59" s="6">
        <v>25880790</v>
      </c>
      <c r="W59" s="6">
        <v>3670434</v>
      </c>
      <c r="X59" s="6">
        <v>4434297</v>
      </c>
      <c r="Y59" s="2">
        <v>15994699</v>
      </c>
      <c r="AB59" s="2">
        <f t="shared" si="0"/>
        <v>121760659</v>
      </c>
      <c r="AC59" s="2">
        <f t="shared" si="1"/>
        <v>5916</v>
      </c>
      <c r="AD59" s="8">
        <f t="shared" si="2"/>
        <v>4.858712205228784E-5</v>
      </c>
      <c r="AE59" s="2">
        <f t="shared" si="3"/>
        <v>66495648</v>
      </c>
      <c r="AF59" s="2">
        <f t="shared" si="4"/>
        <v>-2358</v>
      </c>
      <c r="AG59" s="8">
        <f t="shared" si="5"/>
        <v>-3.5460967310221563E-5</v>
      </c>
      <c r="AI59">
        <f t="shared" si="6"/>
        <v>0.64676209854444144</v>
      </c>
      <c r="AJ59">
        <f t="shared" si="7"/>
        <v>0.35323790145555856</v>
      </c>
    </row>
    <row r="60" spans="1:36" x14ac:dyDescent="0.25">
      <c r="A60" s="1">
        <v>37104</v>
      </c>
      <c r="B60" s="2">
        <v>192851777</v>
      </c>
      <c r="C60" s="4">
        <v>124982092</v>
      </c>
      <c r="D60" s="4">
        <v>67869685</v>
      </c>
      <c r="E60" s="2">
        <v>577965</v>
      </c>
      <c r="F60" s="2">
        <v>5139666</v>
      </c>
      <c r="G60" s="2">
        <v>751532</v>
      </c>
      <c r="H60" s="2">
        <v>19109454</v>
      </c>
      <c r="I60" s="2">
        <v>18443962</v>
      </c>
      <c r="J60" s="2">
        <v>755151</v>
      </c>
      <c r="K60" s="2">
        <v>3374735</v>
      </c>
      <c r="L60" s="2">
        <v>5510962</v>
      </c>
      <c r="M60" s="2">
        <v>23040460</v>
      </c>
      <c r="N60" s="2">
        <v>100811</v>
      </c>
      <c r="O60" s="2">
        <v>22005067</v>
      </c>
      <c r="P60" s="2">
        <v>9586039</v>
      </c>
      <c r="Q60" s="6">
        <v>8849814</v>
      </c>
      <c r="R60" s="6">
        <v>22060240</v>
      </c>
      <c r="S60" s="6">
        <v>2178402</v>
      </c>
      <c r="T60" s="6">
        <v>22867514</v>
      </c>
      <c r="U60" s="6">
        <v>3715326</v>
      </c>
      <c r="V60" s="6">
        <v>26582840</v>
      </c>
      <c r="W60" s="6">
        <v>3591948</v>
      </c>
      <c r="X60" s="6">
        <v>4606441</v>
      </c>
      <c r="Y60" s="2">
        <v>16586288</v>
      </c>
      <c r="AB60" s="2">
        <f t="shared" si="0"/>
        <v>124982092</v>
      </c>
      <c r="AC60" s="2">
        <f t="shared" si="1"/>
        <v>0</v>
      </c>
      <c r="AD60" s="8">
        <f t="shared" si="2"/>
        <v>0</v>
      </c>
      <c r="AE60" s="2">
        <f t="shared" si="3"/>
        <v>67869685</v>
      </c>
      <c r="AF60" s="2">
        <f t="shared" si="4"/>
        <v>0</v>
      </c>
      <c r="AG60" s="8">
        <f t="shared" si="5"/>
        <v>0</v>
      </c>
      <c r="AI60">
        <f t="shared" si="6"/>
        <v>0.64807332317191979</v>
      </c>
      <c r="AJ60">
        <f t="shared" si="7"/>
        <v>0.35192667682808026</v>
      </c>
    </row>
    <row r="61" spans="1:36" x14ac:dyDescent="0.25">
      <c r="A61" s="1">
        <v>37135</v>
      </c>
      <c r="B61" s="2">
        <v>198514976</v>
      </c>
      <c r="C61" s="4">
        <v>129601233</v>
      </c>
      <c r="D61" s="4">
        <v>68913743</v>
      </c>
      <c r="E61" s="2">
        <v>761477</v>
      </c>
      <c r="F61" s="2">
        <v>5457506</v>
      </c>
      <c r="G61" s="2">
        <v>708395</v>
      </c>
      <c r="H61" s="2">
        <v>20166041</v>
      </c>
      <c r="I61" s="2">
        <v>19486345</v>
      </c>
      <c r="J61" s="2">
        <v>767764</v>
      </c>
      <c r="K61" s="2">
        <v>3428091</v>
      </c>
      <c r="L61" s="2">
        <v>5752543</v>
      </c>
      <c r="M61" s="2">
        <v>22495878</v>
      </c>
      <c r="N61" s="2">
        <v>72785</v>
      </c>
      <c r="O61" s="2">
        <v>23567407</v>
      </c>
      <c r="P61" s="2">
        <v>9795235</v>
      </c>
      <c r="Q61" s="6">
        <v>8883965</v>
      </c>
      <c r="R61" s="6">
        <v>22509943</v>
      </c>
      <c r="S61" s="6">
        <v>2151938</v>
      </c>
      <c r="T61" s="6">
        <v>23296018</v>
      </c>
      <c r="U61" s="6">
        <v>3735969</v>
      </c>
      <c r="V61" s="6">
        <v>27031987</v>
      </c>
      <c r="W61" s="6">
        <v>3491280</v>
      </c>
      <c r="X61" s="6">
        <v>4844630</v>
      </c>
      <c r="Y61" s="2">
        <v>17141766</v>
      </c>
      <c r="AB61" s="2">
        <f t="shared" si="0"/>
        <v>129601233</v>
      </c>
      <c r="AC61" s="2">
        <f t="shared" si="1"/>
        <v>0</v>
      </c>
      <c r="AD61" s="8">
        <f t="shared" si="2"/>
        <v>0</v>
      </c>
      <c r="AE61" s="2">
        <f t="shared" si="3"/>
        <v>68913743</v>
      </c>
      <c r="AF61" s="2">
        <f t="shared" si="4"/>
        <v>0</v>
      </c>
      <c r="AG61" s="8">
        <f t="shared" si="5"/>
        <v>0</v>
      </c>
      <c r="AI61">
        <f t="shared" si="6"/>
        <v>0.65285368193077786</v>
      </c>
      <c r="AJ61">
        <f t="shared" si="7"/>
        <v>0.34714631806922214</v>
      </c>
    </row>
    <row r="62" spans="1:36" x14ac:dyDescent="0.25">
      <c r="A62" s="1">
        <v>37165</v>
      </c>
      <c r="B62" s="2">
        <v>199900434</v>
      </c>
      <c r="C62" s="4">
        <v>129502749</v>
      </c>
      <c r="D62" s="4">
        <v>70397685</v>
      </c>
      <c r="E62" s="2">
        <v>632394</v>
      </c>
      <c r="F62" s="2">
        <v>5382017</v>
      </c>
      <c r="G62" s="2">
        <v>687916</v>
      </c>
      <c r="H62" s="2">
        <v>21186050</v>
      </c>
      <c r="I62" s="2">
        <v>19531014</v>
      </c>
      <c r="J62" s="2">
        <v>767291</v>
      </c>
      <c r="K62" s="2">
        <v>3497755</v>
      </c>
      <c r="L62" s="2">
        <v>5965363</v>
      </c>
      <c r="M62" s="2">
        <v>21369931</v>
      </c>
      <c r="N62" s="2">
        <v>77539</v>
      </c>
      <c r="O62" s="2">
        <v>23866148</v>
      </c>
      <c r="P62" s="2">
        <v>9769035</v>
      </c>
      <c r="Q62" s="6">
        <v>9209102</v>
      </c>
      <c r="R62" s="6">
        <v>22969418</v>
      </c>
      <c r="S62" s="6">
        <v>2093425</v>
      </c>
      <c r="T62" s="6">
        <v>23793225</v>
      </c>
      <c r="U62" s="6">
        <v>3904098</v>
      </c>
      <c r="V62" s="6">
        <v>27697323</v>
      </c>
      <c r="W62" s="6">
        <v>3444537</v>
      </c>
      <c r="X62" s="6">
        <v>4983880</v>
      </c>
      <c r="Y62" s="2">
        <v>16770296</v>
      </c>
      <c r="AB62" s="2">
        <f t="shared" si="0"/>
        <v>129502749</v>
      </c>
      <c r="AC62" s="2">
        <f t="shared" si="1"/>
        <v>0</v>
      </c>
      <c r="AD62" s="8">
        <f t="shared" si="2"/>
        <v>0</v>
      </c>
      <c r="AE62" s="2">
        <f t="shared" si="3"/>
        <v>70397685</v>
      </c>
      <c r="AF62" s="2">
        <f t="shared" si="4"/>
        <v>0</v>
      </c>
      <c r="AG62" s="8">
        <f t="shared" si="5"/>
        <v>0</v>
      </c>
      <c r="AI62">
        <f t="shared" si="6"/>
        <v>0.64783625732398364</v>
      </c>
      <c r="AJ62">
        <f t="shared" si="7"/>
        <v>0.35216374267601641</v>
      </c>
    </row>
    <row r="63" spans="1:36" x14ac:dyDescent="0.25">
      <c r="A63" s="1">
        <v>37196</v>
      </c>
      <c r="B63" s="2">
        <v>197944122</v>
      </c>
      <c r="C63" s="4">
        <v>127717038</v>
      </c>
      <c r="D63" s="4">
        <v>70227084</v>
      </c>
      <c r="E63" s="2">
        <v>504255</v>
      </c>
      <c r="F63" s="2">
        <v>5700958</v>
      </c>
      <c r="G63" s="2">
        <v>676030</v>
      </c>
      <c r="H63" s="2">
        <v>21966211</v>
      </c>
      <c r="I63" s="2">
        <v>20244980</v>
      </c>
      <c r="J63" s="2">
        <v>755695</v>
      </c>
      <c r="K63" s="2">
        <v>3471794</v>
      </c>
      <c r="L63" s="2">
        <v>6259979</v>
      </c>
      <c r="M63" s="2">
        <v>21162466</v>
      </c>
      <c r="N63" s="2">
        <v>72076</v>
      </c>
      <c r="O63" s="2">
        <v>21701906</v>
      </c>
      <c r="P63" s="2">
        <v>9748442</v>
      </c>
      <c r="Q63" s="6">
        <v>8897141</v>
      </c>
      <c r="R63" s="6">
        <v>23053428</v>
      </c>
      <c r="S63" s="6">
        <v>2001430</v>
      </c>
      <c r="T63" s="6">
        <v>24238166</v>
      </c>
      <c r="U63" s="6">
        <v>3852525</v>
      </c>
      <c r="V63" s="6">
        <v>28090691</v>
      </c>
      <c r="W63" s="6">
        <v>3441432</v>
      </c>
      <c r="X63" s="6">
        <v>4742962</v>
      </c>
      <c r="Y63" s="2">
        <v>15452246</v>
      </c>
      <c r="AB63" s="2">
        <f t="shared" si="0"/>
        <v>127717038</v>
      </c>
      <c r="AC63" s="2">
        <f t="shared" si="1"/>
        <v>0</v>
      </c>
      <c r="AD63" s="8">
        <f t="shared" si="2"/>
        <v>0</v>
      </c>
      <c r="AE63" s="2">
        <f t="shared" si="3"/>
        <v>70227084</v>
      </c>
      <c r="AF63" s="2">
        <f t="shared" si="4"/>
        <v>0</v>
      </c>
      <c r="AG63" s="8">
        <f t="shared" si="5"/>
        <v>0</v>
      </c>
      <c r="AI63">
        <f t="shared" si="6"/>
        <v>0.64521763369159302</v>
      </c>
      <c r="AJ63">
        <f t="shared" si="7"/>
        <v>0.35478236630840698</v>
      </c>
    </row>
    <row r="64" spans="1:36" x14ac:dyDescent="0.25">
      <c r="A64" s="1">
        <v>37226</v>
      </c>
      <c r="B64" s="2">
        <v>194105573</v>
      </c>
      <c r="C64" s="4">
        <v>124164622</v>
      </c>
      <c r="D64" s="4">
        <v>69940951</v>
      </c>
      <c r="E64" s="2">
        <v>461853</v>
      </c>
      <c r="F64" s="2">
        <v>6022036</v>
      </c>
      <c r="G64" s="2">
        <v>637126</v>
      </c>
      <c r="H64" s="2">
        <v>22109734</v>
      </c>
      <c r="I64" s="2">
        <v>19860172</v>
      </c>
      <c r="J64" s="2">
        <v>786294</v>
      </c>
      <c r="K64" s="2">
        <v>3593467</v>
      </c>
      <c r="L64" s="2">
        <v>6801843</v>
      </c>
      <c r="M64" s="2">
        <v>20647668</v>
      </c>
      <c r="N64" s="2">
        <v>75482</v>
      </c>
      <c r="O64" s="2">
        <v>19546567</v>
      </c>
      <c r="P64" s="2">
        <v>9601438</v>
      </c>
      <c r="Q64" s="6">
        <v>8141392</v>
      </c>
      <c r="R64" s="6">
        <v>23233463</v>
      </c>
      <c r="S64" s="6">
        <v>1902793</v>
      </c>
      <c r="T64" s="6">
        <v>24685471</v>
      </c>
      <c r="U64" s="6">
        <v>3809564</v>
      </c>
      <c r="V64" s="6">
        <v>28495035</v>
      </c>
      <c r="W64" s="6">
        <v>3391409</v>
      </c>
      <c r="X64" s="6">
        <v>4776679</v>
      </c>
      <c r="Y64" s="2">
        <v>14020942</v>
      </c>
      <c r="AB64" s="2">
        <f t="shared" si="0"/>
        <v>124164622</v>
      </c>
      <c r="AC64" s="2">
        <f t="shared" si="1"/>
        <v>0</v>
      </c>
      <c r="AD64" s="8">
        <f t="shared" si="2"/>
        <v>0</v>
      </c>
      <c r="AE64" s="2">
        <f t="shared" si="3"/>
        <v>69940771</v>
      </c>
      <c r="AF64" s="2">
        <f t="shared" si="4"/>
        <v>-180</v>
      </c>
      <c r="AG64" s="8">
        <f t="shared" si="5"/>
        <v>-2.5736061731432727E-6</v>
      </c>
      <c r="AI64">
        <f t="shared" si="6"/>
        <v>0.6396757191510416</v>
      </c>
      <c r="AJ64">
        <f t="shared" si="7"/>
        <v>0.3603242808489584</v>
      </c>
    </row>
    <row r="65" spans="1:36" x14ac:dyDescent="0.25">
      <c r="A65" s="1">
        <v>37257</v>
      </c>
      <c r="B65" s="2">
        <v>197066721</v>
      </c>
      <c r="C65" s="4">
        <v>124852527</v>
      </c>
      <c r="D65" s="4">
        <v>72214194</v>
      </c>
      <c r="E65" s="2">
        <v>430435</v>
      </c>
      <c r="F65" s="2">
        <v>5585962</v>
      </c>
      <c r="G65" s="2">
        <v>539743</v>
      </c>
      <c r="H65" s="2">
        <v>21874726</v>
      </c>
      <c r="I65" s="2">
        <v>19721945</v>
      </c>
      <c r="J65" s="2">
        <v>764285</v>
      </c>
      <c r="K65" s="2">
        <v>3755182</v>
      </c>
      <c r="L65" s="2">
        <v>6347010</v>
      </c>
      <c r="M65" s="2">
        <v>21013022</v>
      </c>
      <c r="N65" s="2">
        <v>91641</v>
      </c>
      <c r="O65" s="2">
        <v>21048987</v>
      </c>
      <c r="P65" s="2">
        <v>9424802</v>
      </c>
      <c r="Q65" s="6">
        <v>8797818</v>
      </c>
      <c r="R65" s="6">
        <v>23401878</v>
      </c>
      <c r="S65" s="6">
        <v>1911220</v>
      </c>
      <c r="T65" s="6">
        <v>25821105</v>
      </c>
      <c r="U65" s="6">
        <v>4023281</v>
      </c>
      <c r="V65" s="6">
        <v>29844386</v>
      </c>
      <c r="W65" s="6">
        <v>3464236</v>
      </c>
      <c r="X65" s="6">
        <v>4794656</v>
      </c>
      <c r="Y65" s="2">
        <v>14254787</v>
      </c>
      <c r="AB65" s="2">
        <f t="shared" si="0"/>
        <v>124852527</v>
      </c>
      <c r="AC65" s="2">
        <f t="shared" si="1"/>
        <v>0</v>
      </c>
      <c r="AD65" s="8">
        <f t="shared" si="2"/>
        <v>0</v>
      </c>
      <c r="AE65" s="2">
        <f t="shared" si="3"/>
        <v>72214194</v>
      </c>
      <c r="AF65" s="2">
        <f t="shared" si="4"/>
        <v>0</v>
      </c>
      <c r="AG65" s="8">
        <f t="shared" si="5"/>
        <v>0</v>
      </c>
      <c r="AI65">
        <f t="shared" si="6"/>
        <v>0.63355459697327587</v>
      </c>
      <c r="AJ65">
        <f t="shared" si="7"/>
        <v>0.36644540302672413</v>
      </c>
    </row>
    <row r="66" spans="1:36" x14ac:dyDescent="0.25">
      <c r="A66" s="1">
        <v>37288</v>
      </c>
      <c r="B66" s="2">
        <v>197714533</v>
      </c>
      <c r="C66" s="4">
        <v>125083519</v>
      </c>
      <c r="D66" s="4">
        <v>72631014</v>
      </c>
      <c r="E66" s="2">
        <v>586542</v>
      </c>
      <c r="F66" s="2">
        <v>5646057</v>
      </c>
      <c r="G66" s="2">
        <v>514811</v>
      </c>
      <c r="H66" s="2">
        <v>21808923</v>
      </c>
      <c r="I66" s="2">
        <v>20695287</v>
      </c>
      <c r="J66" s="2">
        <v>757850</v>
      </c>
      <c r="K66" s="2">
        <v>3633216</v>
      </c>
      <c r="L66" s="2">
        <v>6241221</v>
      </c>
      <c r="M66" s="2">
        <v>21257668</v>
      </c>
      <c r="N66" s="2">
        <v>82380</v>
      </c>
      <c r="O66" s="2">
        <v>20813503</v>
      </c>
      <c r="P66" s="2">
        <v>9325385</v>
      </c>
      <c r="Q66" s="6">
        <v>9042394</v>
      </c>
      <c r="R66" s="6">
        <v>23708958</v>
      </c>
      <c r="S66" s="6">
        <v>1929584</v>
      </c>
      <c r="T66" s="6">
        <v>25730908</v>
      </c>
      <c r="U66" s="6">
        <v>3773251</v>
      </c>
      <c r="V66" s="6">
        <v>29504159</v>
      </c>
      <c r="W66" s="6">
        <v>3580383</v>
      </c>
      <c r="X66" s="6">
        <v>4865536</v>
      </c>
      <c r="Y66" s="2">
        <v>13720676</v>
      </c>
      <c r="AB66" s="2">
        <f t="shared" si="0"/>
        <v>125083519</v>
      </c>
      <c r="AC66" s="2">
        <f t="shared" si="1"/>
        <v>0</v>
      </c>
      <c r="AD66" s="8">
        <f t="shared" si="2"/>
        <v>0</v>
      </c>
      <c r="AE66" s="2">
        <f t="shared" si="3"/>
        <v>72631014</v>
      </c>
      <c r="AF66" s="2">
        <f t="shared" si="4"/>
        <v>0</v>
      </c>
      <c r="AG66" s="8">
        <f t="shared" si="5"/>
        <v>0</v>
      </c>
      <c r="AI66">
        <f t="shared" si="6"/>
        <v>0.63264706494792666</v>
      </c>
      <c r="AJ66">
        <f t="shared" si="7"/>
        <v>0.36735293505207328</v>
      </c>
    </row>
    <row r="67" spans="1:36" x14ac:dyDescent="0.25">
      <c r="A67" s="1">
        <v>37316</v>
      </c>
      <c r="B67" s="2">
        <v>198915312</v>
      </c>
      <c r="C67" s="4">
        <v>125116501</v>
      </c>
      <c r="D67" s="4">
        <v>73798811</v>
      </c>
      <c r="E67" s="2">
        <v>445003</v>
      </c>
      <c r="F67" s="2">
        <v>5976741</v>
      </c>
      <c r="G67" s="2">
        <v>503494</v>
      </c>
      <c r="H67" s="2">
        <v>22169394</v>
      </c>
      <c r="I67" s="2">
        <v>20520592</v>
      </c>
      <c r="J67" s="2">
        <v>753869</v>
      </c>
      <c r="K67" s="2">
        <v>3637030</v>
      </c>
      <c r="L67" s="2">
        <v>6519888</v>
      </c>
      <c r="M67" s="2">
        <v>21509162</v>
      </c>
      <c r="N67" s="2">
        <v>84694</v>
      </c>
      <c r="O67" s="2">
        <v>20020996</v>
      </c>
      <c r="P67" s="2">
        <v>9507770</v>
      </c>
      <c r="Q67" s="6">
        <v>9013480</v>
      </c>
      <c r="R67" s="6">
        <v>24478001</v>
      </c>
      <c r="S67" s="6">
        <v>1866618</v>
      </c>
      <c r="T67" s="6">
        <v>26209902</v>
      </c>
      <c r="U67" s="6">
        <v>3678548</v>
      </c>
      <c r="V67" s="6">
        <v>29888450</v>
      </c>
      <c r="W67" s="6">
        <v>3785458</v>
      </c>
      <c r="X67" s="6">
        <v>4766804</v>
      </c>
      <c r="Y67" s="2">
        <v>13467868</v>
      </c>
      <c r="AB67" s="2">
        <f t="shared" ref="AB67:AB130" si="8">SUM(E67:P67)+Y67</f>
        <v>125116501</v>
      </c>
      <c r="AC67" s="2">
        <f t="shared" ref="AC67:AC130" si="9">AB67-C67</f>
        <v>0</v>
      </c>
      <c r="AD67" s="8">
        <f t="shared" ref="AD67:AD130" si="10">AC67/AB67</f>
        <v>0</v>
      </c>
      <c r="AE67" s="2">
        <f t="shared" ref="AE67:AE130" si="11">Q67+R67+S67+V67+W67+X67</f>
        <v>73798811</v>
      </c>
      <c r="AF67" s="2">
        <f t="shared" ref="AF67:AF130" si="12">AE67-D67</f>
        <v>0</v>
      </c>
      <c r="AG67" s="8">
        <f t="shared" ref="AG67:AG130" si="13">AF67/AE67</f>
        <v>0</v>
      </c>
      <c r="AI67">
        <f t="shared" ref="AI67:AI130" si="14">C67/B67</f>
        <v>0.62899381521720155</v>
      </c>
      <c r="AJ67">
        <f t="shared" ref="AJ67:AJ130" si="15">D67/B67</f>
        <v>0.3710061847827984</v>
      </c>
    </row>
    <row r="68" spans="1:36" x14ac:dyDescent="0.25">
      <c r="A68" s="1">
        <v>37347</v>
      </c>
      <c r="B68" s="2">
        <v>201545040</v>
      </c>
      <c r="C68" s="4">
        <v>126267995</v>
      </c>
      <c r="D68" s="4">
        <v>75277045</v>
      </c>
      <c r="E68" s="2">
        <v>599083</v>
      </c>
      <c r="F68" s="2">
        <v>5906780</v>
      </c>
      <c r="G68" s="2">
        <v>486539</v>
      </c>
      <c r="H68" s="2">
        <v>22079198</v>
      </c>
      <c r="I68" s="2">
        <v>20762866</v>
      </c>
      <c r="J68" s="2">
        <v>760684</v>
      </c>
      <c r="K68" s="2">
        <v>3707076</v>
      </c>
      <c r="L68" s="2">
        <v>6505056</v>
      </c>
      <c r="M68" s="2">
        <v>21293353</v>
      </c>
      <c r="N68" s="2">
        <v>91982</v>
      </c>
      <c r="O68" s="2">
        <v>20909994</v>
      </c>
      <c r="P68" s="2">
        <v>9875419</v>
      </c>
      <c r="Q68" s="6">
        <v>9336029</v>
      </c>
      <c r="R68" s="6">
        <v>24772330</v>
      </c>
      <c r="S68" s="6">
        <v>1863478</v>
      </c>
      <c r="T68" s="6">
        <v>26637061</v>
      </c>
      <c r="U68" s="6">
        <v>3714719</v>
      </c>
      <c r="V68" s="6">
        <v>30351780</v>
      </c>
      <c r="W68" s="6">
        <v>4077790</v>
      </c>
      <c r="X68" s="6">
        <v>4875638</v>
      </c>
      <c r="Y68" s="2">
        <v>13289965</v>
      </c>
      <c r="AB68" s="2">
        <f t="shared" si="8"/>
        <v>126267995</v>
      </c>
      <c r="AC68" s="2">
        <f t="shared" si="9"/>
        <v>0</v>
      </c>
      <c r="AD68" s="8">
        <f t="shared" si="10"/>
        <v>0</v>
      </c>
      <c r="AE68" s="2">
        <f t="shared" si="11"/>
        <v>75277045</v>
      </c>
      <c r="AF68" s="2">
        <f t="shared" si="12"/>
        <v>0</v>
      </c>
      <c r="AG68" s="8">
        <f t="shared" si="13"/>
        <v>0</v>
      </c>
      <c r="AI68">
        <f t="shared" si="14"/>
        <v>0.62650013614822775</v>
      </c>
      <c r="AJ68">
        <f t="shared" si="15"/>
        <v>0.37349986385177231</v>
      </c>
    </row>
    <row r="69" spans="1:36" x14ac:dyDescent="0.25">
      <c r="A69" s="1">
        <v>37377</v>
      </c>
      <c r="B69" s="2">
        <v>204186087</v>
      </c>
      <c r="C69" s="4">
        <v>127723114</v>
      </c>
      <c r="D69" s="4">
        <v>76462973</v>
      </c>
      <c r="E69" s="2">
        <v>444719</v>
      </c>
      <c r="F69" s="2">
        <v>5752708</v>
      </c>
      <c r="G69" s="2">
        <v>470577</v>
      </c>
      <c r="H69" s="2">
        <v>21858482</v>
      </c>
      <c r="I69" s="2">
        <v>20639731</v>
      </c>
      <c r="J69" s="2">
        <v>756987</v>
      </c>
      <c r="K69" s="2">
        <v>3903199</v>
      </c>
      <c r="L69" s="2">
        <v>6191421</v>
      </c>
      <c r="M69" s="2">
        <v>21762118</v>
      </c>
      <c r="N69" s="2">
        <v>93352</v>
      </c>
      <c r="O69" s="2">
        <v>22395244</v>
      </c>
      <c r="P69" s="2">
        <v>9609637</v>
      </c>
      <c r="Q69" s="6">
        <v>9430272</v>
      </c>
      <c r="R69" s="6">
        <v>25281286</v>
      </c>
      <c r="S69" s="6">
        <v>1888892</v>
      </c>
      <c r="T69" s="6">
        <v>27016351</v>
      </c>
      <c r="U69" s="6">
        <v>3783395</v>
      </c>
      <c r="V69" s="6">
        <v>30799746</v>
      </c>
      <c r="W69" s="6">
        <v>4206750</v>
      </c>
      <c r="X69" s="6">
        <v>4856027</v>
      </c>
      <c r="Y69" s="2">
        <v>13844939</v>
      </c>
      <c r="AB69" s="2">
        <f t="shared" si="8"/>
        <v>127723114</v>
      </c>
      <c r="AC69" s="2">
        <f t="shared" si="9"/>
        <v>0</v>
      </c>
      <c r="AD69" s="8">
        <f t="shared" si="10"/>
        <v>0</v>
      </c>
      <c r="AE69" s="2">
        <f t="shared" si="11"/>
        <v>76462973</v>
      </c>
      <c r="AF69" s="2">
        <f t="shared" si="12"/>
        <v>0</v>
      </c>
      <c r="AG69" s="8">
        <f t="shared" si="13"/>
        <v>0</v>
      </c>
      <c r="AI69">
        <f t="shared" si="14"/>
        <v>0.62552309942645601</v>
      </c>
      <c r="AJ69">
        <f t="shared" si="15"/>
        <v>0.37447690057354399</v>
      </c>
    </row>
    <row r="70" spans="1:36" x14ac:dyDescent="0.25">
      <c r="A70" s="1">
        <v>37408</v>
      </c>
      <c r="B70" s="2">
        <v>209505770</v>
      </c>
      <c r="C70" s="4">
        <v>132986800</v>
      </c>
      <c r="D70" s="4">
        <v>76518970</v>
      </c>
      <c r="E70" s="2">
        <v>461439</v>
      </c>
      <c r="F70" s="2">
        <v>5895244</v>
      </c>
      <c r="G70" s="2">
        <v>482397</v>
      </c>
      <c r="H70" s="2">
        <v>22441286</v>
      </c>
      <c r="I70" s="2">
        <v>20880400</v>
      </c>
      <c r="J70" s="2">
        <v>752191</v>
      </c>
      <c r="K70" s="2">
        <v>4029856</v>
      </c>
      <c r="L70" s="2">
        <v>5992421</v>
      </c>
      <c r="M70" s="2">
        <v>23547791</v>
      </c>
      <c r="N70" s="2">
        <v>133505</v>
      </c>
      <c r="O70" s="2">
        <v>24346783</v>
      </c>
      <c r="P70" s="2">
        <v>9484084</v>
      </c>
      <c r="Q70" s="6">
        <v>9105121</v>
      </c>
      <c r="R70" s="6">
        <v>25432200</v>
      </c>
      <c r="S70" s="6">
        <v>1883069</v>
      </c>
      <c r="T70" s="6">
        <v>27213616</v>
      </c>
      <c r="U70" s="6">
        <v>3828461</v>
      </c>
      <c r="V70" s="6">
        <v>31042077</v>
      </c>
      <c r="W70" s="6">
        <v>4161429</v>
      </c>
      <c r="X70" s="6">
        <v>4895074</v>
      </c>
      <c r="Y70" s="2">
        <v>14539403</v>
      </c>
      <c r="AB70" s="2">
        <f t="shared" si="8"/>
        <v>132986800</v>
      </c>
      <c r="AC70" s="2">
        <f t="shared" si="9"/>
        <v>0</v>
      </c>
      <c r="AD70" s="8">
        <f t="shared" si="10"/>
        <v>0</v>
      </c>
      <c r="AE70" s="2">
        <f t="shared" si="11"/>
        <v>76518970</v>
      </c>
      <c r="AF70" s="2">
        <f t="shared" si="12"/>
        <v>0</v>
      </c>
      <c r="AG70" s="8">
        <f t="shared" si="13"/>
        <v>0</v>
      </c>
      <c r="AI70">
        <f t="shared" si="14"/>
        <v>0.63476437904311656</v>
      </c>
      <c r="AJ70">
        <f t="shared" si="15"/>
        <v>0.36523562095688344</v>
      </c>
    </row>
    <row r="71" spans="1:36" x14ac:dyDescent="0.25">
      <c r="A71" s="1">
        <v>37438</v>
      </c>
      <c r="B71" s="2">
        <v>213137600</v>
      </c>
      <c r="C71" s="4">
        <v>137262761</v>
      </c>
      <c r="D71" s="4">
        <v>75874839</v>
      </c>
      <c r="E71" s="2">
        <v>378169</v>
      </c>
      <c r="F71" s="2">
        <v>5616229</v>
      </c>
      <c r="G71" s="2">
        <v>470121</v>
      </c>
      <c r="H71" s="2">
        <v>23497107</v>
      </c>
      <c r="I71" s="2">
        <v>20445523</v>
      </c>
      <c r="J71" s="2">
        <v>730525</v>
      </c>
      <c r="K71" s="2">
        <v>4090285</v>
      </c>
      <c r="L71" s="2">
        <v>5817875</v>
      </c>
      <c r="M71" s="2">
        <v>23464242</v>
      </c>
      <c r="N71" s="2">
        <v>199490</v>
      </c>
      <c r="O71" s="2">
        <v>26929058</v>
      </c>
      <c r="P71" s="2">
        <v>9352085</v>
      </c>
      <c r="Q71" s="6">
        <v>9125374</v>
      </c>
      <c r="R71" s="6">
        <v>25102437</v>
      </c>
      <c r="S71" s="6">
        <v>1881139</v>
      </c>
      <c r="T71" s="6">
        <v>26917195</v>
      </c>
      <c r="U71" s="6">
        <v>3820211</v>
      </c>
      <c r="V71" s="6">
        <v>30737406</v>
      </c>
      <c r="W71" s="6">
        <v>4114162</v>
      </c>
      <c r="X71" s="6">
        <v>4914321</v>
      </c>
      <c r="Y71" s="2">
        <v>16272052</v>
      </c>
      <c r="AB71" s="2">
        <f t="shared" si="8"/>
        <v>137262761</v>
      </c>
      <c r="AC71" s="2">
        <f t="shared" si="9"/>
        <v>0</v>
      </c>
      <c r="AD71" s="8">
        <f t="shared" si="10"/>
        <v>0</v>
      </c>
      <c r="AE71" s="2">
        <f t="shared" si="11"/>
        <v>75874839</v>
      </c>
      <c r="AF71" s="2">
        <f t="shared" si="12"/>
        <v>0</v>
      </c>
      <c r="AG71" s="8">
        <f t="shared" si="13"/>
        <v>0</v>
      </c>
      <c r="AI71">
        <f t="shared" si="14"/>
        <v>0.64401007142803524</v>
      </c>
      <c r="AJ71">
        <f t="shared" si="15"/>
        <v>0.35598992857196476</v>
      </c>
    </row>
    <row r="72" spans="1:36" x14ac:dyDescent="0.25">
      <c r="A72" s="1">
        <v>37469</v>
      </c>
      <c r="B72" s="2">
        <v>208237789</v>
      </c>
      <c r="C72" s="4">
        <v>132022352</v>
      </c>
      <c r="D72" s="4">
        <v>76215437</v>
      </c>
      <c r="E72" s="2">
        <v>406646</v>
      </c>
      <c r="F72" s="2">
        <v>5653666</v>
      </c>
      <c r="G72" s="2">
        <v>454111</v>
      </c>
      <c r="H72" s="2">
        <v>24750052</v>
      </c>
      <c r="I72" s="2">
        <v>19767599</v>
      </c>
      <c r="J72" s="2">
        <v>705357</v>
      </c>
      <c r="K72" s="2">
        <v>4049411</v>
      </c>
      <c r="L72" s="2">
        <v>6252081</v>
      </c>
      <c r="M72" s="2">
        <v>23237444</v>
      </c>
      <c r="N72" s="2">
        <v>206549</v>
      </c>
      <c r="O72" s="2">
        <v>23513857</v>
      </c>
      <c r="P72" s="2">
        <v>9227140</v>
      </c>
      <c r="Q72" s="6">
        <v>9028536</v>
      </c>
      <c r="R72" s="6">
        <v>25197485</v>
      </c>
      <c r="S72" s="6">
        <v>1857463</v>
      </c>
      <c r="T72" s="6">
        <v>26969487</v>
      </c>
      <c r="U72" s="6">
        <v>3897058</v>
      </c>
      <c r="V72" s="6">
        <v>30866545</v>
      </c>
      <c r="W72" s="6">
        <v>4356437</v>
      </c>
      <c r="X72" s="6">
        <v>4908971</v>
      </c>
      <c r="Y72" s="2">
        <v>13798439</v>
      </c>
      <c r="AB72" s="2">
        <f t="shared" si="8"/>
        <v>132022352</v>
      </c>
      <c r="AC72" s="2">
        <f t="shared" si="9"/>
        <v>0</v>
      </c>
      <c r="AD72" s="8">
        <f t="shared" si="10"/>
        <v>0</v>
      </c>
      <c r="AE72" s="2">
        <f t="shared" si="11"/>
        <v>76215437</v>
      </c>
      <c r="AF72" s="2">
        <f t="shared" si="12"/>
        <v>0</v>
      </c>
      <c r="AG72" s="8">
        <f t="shared" si="13"/>
        <v>0</v>
      </c>
      <c r="AI72">
        <f t="shared" si="14"/>
        <v>0.63399804922054759</v>
      </c>
      <c r="AJ72">
        <f t="shared" si="15"/>
        <v>0.36600195077945241</v>
      </c>
    </row>
    <row r="73" spans="1:36" x14ac:dyDescent="0.25">
      <c r="A73" s="1">
        <v>37500</v>
      </c>
      <c r="B73" s="2">
        <v>218767645</v>
      </c>
      <c r="C73" s="4">
        <v>142012837</v>
      </c>
      <c r="D73" s="4">
        <v>76754808</v>
      </c>
      <c r="E73" s="2">
        <v>603296</v>
      </c>
      <c r="F73" s="2">
        <v>5664725</v>
      </c>
      <c r="G73" s="2">
        <v>446671</v>
      </c>
      <c r="H73" s="2">
        <v>25697340</v>
      </c>
      <c r="I73" s="2">
        <v>20090240</v>
      </c>
      <c r="J73" s="2">
        <v>718569</v>
      </c>
      <c r="K73" s="2">
        <v>4132141</v>
      </c>
      <c r="L73" s="2">
        <v>7020599</v>
      </c>
      <c r="M73" s="2">
        <v>24353767</v>
      </c>
      <c r="N73" s="2">
        <v>251770</v>
      </c>
      <c r="O73" s="2">
        <v>27089194</v>
      </c>
      <c r="P73" s="2">
        <v>9769604</v>
      </c>
      <c r="Q73" s="6">
        <v>9144425</v>
      </c>
      <c r="R73" s="6">
        <v>24781116</v>
      </c>
      <c r="S73" s="6">
        <v>1820425</v>
      </c>
      <c r="T73" s="6">
        <v>26994149</v>
      </c>
      <c r="U73" s="6">
        <v>4347988</v>
      </c>
      <c r="V73" s="6">
        <v>31342137</v>
      </c>
      <c r="W73" s="6">
        <v>4672924</v>
      </c>
      <c r="X73" s="6">
        <v>4993781</v>
      </c>
      <c r="Y73" s="2">
        <v>16174921</v>
      </c>
      <c r="AB73" s="2">
        <f t="shared" si="8"/>
        <v>142012837</v>
      </c>
      <c r="AC73" s="2">
        <f t="shared" si="9"/>
        <v>0</v>
      </c>
      <c r="AD73" s="8">
        <f t="shared" si="10"/>
        <v>0</v>
      </c>
      <c r="AE73" s="2">
        <f t="shared" si="11"/>
        <v>76754808</v>
      </c>
      <c r="AF73" s="2">
        <f t="shared" si="12"/>
        <v>0</v>
      </c>
      <c r="AG73" s="8">
        <f t="shared" si="13"/>
        <v>0</v>
      </c>
      <c r="AI73">
        <f t="shared" si="14"/>
        <v>0.64914917834399144</v>
      </c>
      <c r="AJ73">
        <f t="shared" si="15"/>
        <v>0.35085082165600862</v>
      </c>
    </row>
    <row r="74" spans="1:36" x14ac:dyDescent="0.25">
      <c r="A74" s="1">
        <v>37530</v>
      </c>
      <c r="B74" s="2">
        <v>214086561</v>
      </c>
      <c r="C74" s="4">
        <v>137084466</v>
      </c>
      <c r="D74" s="4">
        <v>77002095</v>
      </c>
      <c r="E74" s="2">
        <v>726184</v>
      </c>
      <c r="F74" s="2">
        <v>5676713</v>
      </c>
      <c r="G74" s="2">
        <v>488390</v>
      </c>
      <c r="H74" s="2">
        <v>26268896</v>
      </c>
      <c r="I74" s="2">
        <v>19910810</v>
      </c>
      <c r="J74" s="2">
        <v>681091</v>
      </c>
      <c r="K74" s="2">
        <v>4176024</v>
      </c>
      <c r="L74" s="2">
        <v>7140488</v>
      </c>
      <c r="M74" s="2">
        <v>24861362</v>
      </c>
      <c r="N74" s="2">
        <v>202949</v>
      </c>
      <c r="O74" s="2">
        <v>23393756</v>
      </c>
      <c r="P74" s="2">
        <v>9327648</v>
      </c>
      <c r="Q74" s="6">
        <v>9303306</v>
      </c>
      <c r="R74" s="6">
        <v>24966698</v>
      </c>
      <c r="S74" s="6">
        <v>1814723</v>
      </c>
      <c r="T74" s="6">
        <v>26978144</v>
      </c>
      <c r="U74" s="6">
        <v>4296901</v>
      </c>
      <c r="V74" s="6">
        <v>31275045</v>
      </c>
      <c r="W74" s="6">
        <v>4587587</v>
      </c>
      <c r="X74" s="6">
        <v>5054736</v>
      </c>
      <c r="Y74" s="2">
        <v>14230155</v>
      </c>
      <c r="AB74" s="2">
        <f t="shared" si="8"/>
        <v>137084466</v>
      </c>
      <c r="AC74" s="2">
        <f t="shared" si="9"/>
        <v>0</v>
      </c>
      <c r="AD74" s="8">
        <f t="shared" si="10"/>
        <v>0</v>
      </c>
      <c r="AE74" s="2">
        <f t="shared" si="11"/>
        <v>77002095</v>
      </c>
      <c r="AF74" s="2">
        <f t="shared" si="12"/>
        <v>0</v>
      </c>
      <c r="AG74" s="8">
        <f t="shared" si="13"/>
        <v>0</v>
      </c>
      <c r="AI74">
        <f t="shared" si="14"/>
        <v>0.64032261231007392</v>
      </c>
      <c r="AJ74">
        <f t="shared" si="15"/>
        <v>0.35967738768992602</v>
      </c>
    </row>
    <row r="75" spans="1:36" x14ac:dyDescent="0.25">
      <c r="A75" s="1">
        <v>37561</v>
      </c>
      <c r="B75" s="2">
        <v>213910083</v>
      </c>
      <c r="C75" s="4">
        <v>136749050</v>
      </c>
      <c r="D75" s="4">
        <v>77161033</v>
      </c>
      <c r="E75" s="2">
        <v>619569</v>
      </c>
      <c r="F75" s="2">
        <v>5955792</v>
      </c>
      <c r="G75" s="2">
        <v>503188</v>
      </c>
      <c r="H75" s="2">
        <v>27614956</v>
      </c>
      <c r="I75" s="2">
        <v>20159661</v>
      </c>
      <c r="J75" s="2">
        <v>660878</v>
      </c>
      <c r="K75" s="2">
        <v>4218109</v>
      </c>
      <c r="L75" s="2">
        <v>7672395</v>
      </c>
      <c r="M75" s="2">
        <v>24605926</v>
      </c>
      <c r="N75" s="2">
        <v>268265</v>
      </c>
      <c r="O75" s="2">
        <v>21452271</v>
      </c>
      <c r="P75" s="2">
        <v>9711787</v>
      </c>
      <c r="Q75" s="6">
        <v>9040297</v>
      </c>
      <c r="R75" s="6">
        <v>25244938</v>
      </c>
      <c r="S75" s="6">
        <v>1805737</v>
      </c>
      <c r="T75" s="6">
        <v>26875738</v>
      </c>
      <c r="U75" s="6">
        <v>4332422</v>
      </c>
      <c r="V75" s="6">
        <v>31208160</v>
      </c>
      <c r="W75" s="6">
        <v>4804804</v>
      </c>
      <c r="X75" s="6">
        <v>5057097</v>
      </c>
      <c r="Y75" s="2">
        <v>13306253</v>
      </c>
      <c r="AB75" s="2">
        <f t="shared" si="8"/>
        <v>136749050</v>
      </c>
      <c r="AC75" s="2">
        <f t="shared" si="9"/>
        <v>0</v>
      </c>
      <c r="AD75" s="8">
        <f t="shared" si="10"/>
        <v>0</v>
      </c>
      <c r="AE75" s="2">
        <f t="shared" si="11"/>
        <v>77161033</v>
      </c>
      <c r="AF75" s="2">
        <f t="shared" si="12"/>
        <v>0</v>
      </c>
      <c r="AG75" s="8">
        <f t="shared" si="13"/>
        <v>0</v>
      </c>
      <c r="AI75">
        <f t="shared" si="14"/>
        <v>0.63928286166856385</v>
      </c>
      <c r="AJ75">
        <f t="shared" si="15"/>
        <v>0.3607171383314362</v>
      </c>
    </row>
    <row r="76" spans="1:36" x14ac:dyDescent="0.25">
      <c r="A76" s="1">
        <v>37591</v>
      </c>
      <c r="B76" s="2">
        <v>212388379</v>
      </c>
      <c r="C76" s="4">
        <v>136228559</v>
      </c>
      <c r="D76" s="4">
        <v>76159820</v>
      </c>
      <c r="E76" s="2">
        <v>608519</v>
      </c>
      <c r="F76" s="2">
        <v>6000101</v>
      </c>
      <c r="G76" s="2">
        <v>520129</v>
      </c>
      <c r="H76" s="2">
        <v>29500879</v>
      </c>
      <c r="I76" s="2">
        <v>20246999</v>
      </c>
      <c r="J76" s="2">
        <v>678061</v>
      </c>
      <c r="K76" s="2">
        <v>4273091</v>
      </c>
      <c r="L76" s="2">
        <v>7852385</v>
      </c>
      <c r="M76" s="2">
        <v>25006921</v>
      </c>
      <c r="N76" s="2">
        <v>243267</v>
      </c>
      <c r="O76" s="2">
        <v>19967214</v>
      </c>
      <c r="P76" s="2">
        <v>9417676</v>
      </c>
      <c r="Q76" s="6">
        <v>8544560</v>
      </c>
      <c r="R76" s="6">
        <v>24553048</v>
      </c>
      <c r="S76" s="6">
        <v>1780042</v>
      </c>
      <c r="T76" s="6">
        <v>26933315</v>
      </c>
      <c r="U76" s="6">
        <v>4578734</v>
      </c>
      <c r="V76" s="6">
        <v>31512049</v>
      </c>
      <c r="W76" s="6">
        <v>4838597</v>
      </c>
      <c r="X76" s="6">
        <v>4937144</v>
      </c>
      <c r="Y76" s="2">
        <v>11942603</v>
      </c>
      <c r="AB76" s="2">
        <f t="shared" si="8"/>
        <v>136257845</v>
      </c>
      <c r="AC76" s="2">
        <f t="shared" si="9"/>
        <v>29286</v>
      </c>
      <c r="AD76" s="8">
        <f t="shared" si="10"/>
        <v>2.1493074398762141E-4</v>
      </c>
      <c r="AE76" s="2">
        <f t="shared" si="11"/>
        <v>76165440</v>
      </c>
      <c r="AF76" s="2">
        <f t="shared" si="12"/>
        <v>5620</v>
      </c>
      <c r="AG76" s="8">
        <f t="shared" si="13"/>
        <v>7.3786746324842341E-5</v>
      </c>
      <c r="AI76">
        <f t="shared" si="14"/>
        <v>0.64141248989898836</v>
      </c>
      <c r="AJ76">
        <f t="shared" si="15"/>
        <v>0.3585875101010117</v>
      </c>
    </row>
    <row r="77" spans="1:36" x14ac:dyDescent="0.25">
      <c r="A77" s="1">
        <v>37622</v>
      </c>
      <c r="B77" s="2">
        <v>213007859</v>
      </c>
      <c r="C77" s="4">
        <v>135188405</v>
      </c>
      <c r="D77" s="4">
        <v>77819454</v>
      </c>
      <c r="E77" s="2">
        <v>512689</v>
      </c>
      <c r="F77" s="2">
        <v>5612216</v>
      </c>
      <c r="G77" s="2">
        <v>470917</v>
      </c>
      <c r="H77" s="2">
        <v>29401846</v>
      </c>
      <c r="I77" s="2">
        <v>20188314</v>
      </c>
      <c r="J77" s="2">
        <v>679773</v>
      </c>
      <c r="K77" s="2">
        <v>4387978</v>
      </c>
      <c r="L77" s="2">
        <v>7426418</v>
      </c>
      <c r="M77" s="2">
        <v>25604511</v>
      </c>
      <c r="N77" s="2">
        <v>274909</v>
      </c>
      <c r="O77" s="2">
        <v>19466913</v>
      </c>
      <c r="P77" s="2">
        <v>9718160</v>
      </c>
      <c r="Q77" s="6">
        <v>9005468</v>
      </c>
      <c r="R77" s="6">
        <v>25040668</v>
      </c>
      <c r="S77" s="6">
        <v>1750751</v>
      </c>
      <c r="T77" s="6">
        <v>27023868</v>
      </c>
      <c r="U77" s="6">
        <v>4653430</v>
      </c>
      <c r="V77" s="6">
        <v>31677298</v>
      </c>
      <c r="W77" s="6">
        <v>5336931</v>
      </c>
      <c r="X77" s="6">
        <v>5013958</v>
      </c>
      <c r="Y77" s="2">
        <v>11473047</v>
      </c>
      <c r="AB77" s="2">
        <f t="shared" si="8"/>
        <v>135217691</v>
      </c>
      <c r="AC77" s="2">
        <f t="shared" si="9"/>
        <v>29286</v>
      </c>
      <c r="AD77" s="8">
        <f t="shared" si="10"/>
        <v>2.1658408587970935E-4</v>
      </c>
      <c r="AE77" s="2">
        <f t="shared" si="11"/>
        <v>77825074</v>
      </c>
      <c r="AF77" s="2">
        <f t="shared" si="12"/>
        <v>5620</v>
      </c>
      <c r="AG77" s="8">
        <f t="shared" si="13"/>
        <v>7.221323040438098E-5</v>
      </c>
      <c r="AI77">
        <f t="shared" si="14"/>
        <v>0.63466393040455849</v>
      </c>
      <c r="AJ77">
        <f t="shared" si="15"/>
        <v>0.36533606959544157</v>
      </c>
    </row>
    <row r="78" spans="1:36" x14ac:dyDescent="0.25">
      <c r="A78" s="1">
        <v>37653</v>
      </c>
      <c r="B78" s="2">
        <v>203226843</v>
      </c>
      <c r="C78" s="4">
        <v>124237344</v>
      </c>
      <c r="D78" s="4">
        <v>78989499</v>
      </c>
      <c r="E78" s="2">
        <v>540513</v>
      </c>
      <c r="F78" s="2">
        <v>5875126</v>
      </c>
      <c r="G78" s="2">
        <v>405130</v>
      </c>
      <c r="H78" s="2">
        <v>29115625</v>
      </c>
      <c r="I78" s="2">
        <v>20797447</v>
      </c>
      <c r="J78" s="2">
        <v>689502</v>
      </c>
      <c r="K78" s="2">
        <v>4171540</v>
      </c>
      <c r="L78" s="2">
        <v>7373779</v>
      </c>
      <c r="M78" s="2">
        <v>25794229</v>
      </c>
      <c r="N78" s="2">
        <v>241956</v>
      </c>
      <c r="O78" s="2">
        <v>19263548</v>
      </c>
      <c r="P78" s="2">
        <v>10099876</v>
      </c>
      <c r="Q78" s="6">
        <v>9114670</v>
      </c>
      <c r="R78" s="6">
        <v>25502926</v>
      </c>
      <c r="S78" s="6">
        <v>1729276</v>
      </c>
      <c r="T78" s="6">
        <v>27093225</v>
      </c>
      <c r="U78" s="6">
        <v>4713711</v>
      </c>
      <c r="V78" s="6">
        <v>31806936</v>
      </c>
      <c r="W78" s="6">
        <v>5764097</v>
      </c>
      <c r="X78" s="6">
        <v>5077214</v>
      </c>
      <c r="Y78" s="2">
        <v>11538344</v>
      </c>
      <c r="AB78" s="2">
        <f t="shared" si="8"/>
        <v>135906615</v>
      </c>
      <c r="AC78" s="2">
        <f t="shared" si="9"/>
        <v>11669271</v>
      </c>
      <c r="AD78" s="8">
        <f t="shared" si="10"/>
        <v>8.5862421045509812E-2</v>
      </c>
      <c r="AE78" s="2">
        <f t="shared" si="11"/>
        <v>78995119</v>
      </c>
      <c r="AF78" s="2">
        <f t="shared" si="12"/>
        <v>5620</v>
      </c>
      <c r="AG78" s="8">
        <f t="shared" si="13"/>
        <v>7.1143636102377416E-5</v>
      </c>
      <c r="AI78">
        <f t="shared" si="14"/>
        <v>0.61132349529240093</v>
      </c>
      <c r="AJ78">
        <f t="shared" si="15"/>
        <v>0.38867650470759907</v>
      </c>
    </row>
    <row r="79" spans="1:36" x14ac:dyDescent="0.25">
      <c r="A79" s="1">
        <v>37681</v>
      </c>
      <c r="B79" s="2">
        <v>215482612</v>
      </c>
      <c r="C79" s="4">
        <v>135913326</v>
      </c>
      <c r="D79" s="4">
        <v>79569286</v>
      </c>
      <c r="E79" s="2">
        <v>568612</v>
      </c>
      <c r="F79" s="2">
        <v>6037336</v>
      </c>
      <c r="G79" s="2">
        <v>277461</v>
      </c>
      <c r="H79" s="2">
        <v>29555907</v>
      </c>
      <c r="I79" s="2">
        <v>21076415</v>
      </c>
      <c r="J79" s="2">
        <v>660687</v>
      </c>
      <c r="K79" s="2">
        <v>4112641</v>
      </c>
      <c r="L79" s="2">
        <v>7645527</v>
      </c>
      <c r="M79" s="2">
        <v>26386967</v>
      </c>
      <c r="N79" s="2">
        <v>220917</v>
      </c>
      <c r="O79" s="2">
        <v>17758282</v>
      </c>
      <c r="P79" s="2">
        <v>10306248</v>
      </c>
      <c r="Q79" s="6">
        <v>9641986</v>
      </c>
      <c r="R79" s="6">
        <v>25815762</v>
      </c>
      <c r="S79" s="6">
        <v>1658483</v>
      </c>
      <c r="T79" s="6">
        <v>26875910</v>
      </c>
      <c r="U79" s="6">
        <v>4402054</v>
      </c>
      <c r="V79" s="6">
        <v>31277964</v>
      </c>
      <c r="W79" s="6">
        <v>5885036</v>
      </c>
      <c r="X79" s="6">
        <v>5290055</v>
      </c>
      <c r="Y79" s="2">
        <v>11306326</v>
      </c>
      <c r="AB79" s="2">
        <f t="shared" si="8"/>
        <v>135913326</v>
      </c>
      <c r="AC79" s="2">
        <f t="shared" si="9"/>
        <v>0</v>
      </c>
      <c r="AD79" s="8">
        <f t="shared" si="10"/>
        <v>0</v>
      </c>
      <c r="AE79" s="2">
        <f t="shared" si="11"/>
        <v>79569286</v>
      </c>
      <c r="AF79" s="2">
        <f t="shared" si="12"/>
        <v>0</v>
      </c>
      <c r="AG79" s="8">
        <f t="shared" si="13"/>
        <v>0</v>
      </c>
      <c r="AI79">
        <f t="shared" si="14"/>
        <v>0.63073918001328111</v>
      </c>
      <c r="AJ79">
        <f t="shared" si="15"/>
        <v>0.36926081998671895</v>
      </c>
    </row>
    <row r="80" spans="1:36" x14ac:dyDescent="0.25">
      <c r="A80" s="1">
        <v>37712</v>
      </c>
      <c r="B80" s="2">
        <v>214610626</v>
      </c>
      <c r="C80" s="4">
        <v>133329205</v>
      </c>
      <c r="D80" s="4">
        <v>81281421</v>
      </c>
      <c r="E80" s="2">
        <v>714139</v>
      </c>
      <c r="F80" s="2">
        <v>6184995</v>
      </c>
      <c r="G80" s="2">
        <v>283011</v>
      </c>
      <c r="H80" s="2">
        <v>29764830</v>
      </c>
      <c r="I80" s="2">
        <v>21481517</v>
      </c>
      <c r="J80" s="2">
        <v>655764</v>
      </c>
      <c r="K80" s="2">
        <v>4070503</v>
      </c>
      <c r="L80" s="2">
        <v>7319349</v>
      </c>
      <c r="M80" s="2">
        <v>26845756</v>
      </c>
      <c r="N80" s="2">
        <v>184879</v>
      </c>
      <c r="O80" s="2">
        <v>15766338</v>
      </c>
      <c r="P80" s="2">
        <v>10585215</v>
      </c>
      <c r="Q80" s="6">
        <v>10025120</v>
      </c>
      <c r="R80" s="6">
        <v>26477679</v>
      </c>
      <c r="S80" s="6">
        <v>1639266</v>
      </c>
      <c r="T80" s="6">
        <v>26894466</v>
      </c>
      <c r="U80" s="6">
        <v>4369611</v>
      </c>
      <c r="V80" s="6">
        <v>31264077</v>
      </c>
      <c r="W80" s="6">
        <v>6499547</v>
      </c>
      <c r="X80" s="6">
        <v>5375732</v>
      </c>
      <c r="Y80" s="2">
        <v>9472909</v>
      </c>
      <c r="AB80" s="2">
        <f t="shared" si="8"/>
        <v>133329205</v>
      </c>
      <c r="AC80" s="2">
        <f t="shared" si="9"/>
        <v>0</v>
      </c>
      <c r="AD80" s="8">
        <f t="shared" si="10"/>
        <v>0</v>
      </c>
      <c r="AE80" s="2">
        <f t="shared" si="11"/>
        <v>81281421</v>
      </c>
      <c r="AF80" s="2">
        <f t="shared" si="12"/>
        <v>0</v>
      </c>
      <c r="AG80" s="8">
        <f t="shared" si="13"/>
        <v>0</v>
      </c>
      <c r="AI80">
        <f t="shared" si="14"/>
        <v>0.62126096682649812</v>
      </c>
      <c r="AJ80">
        <f t="shared" si="15"/>
        <v>0.37873903317350188</v>
      </c>
    </row>
    <row r="81" spans="1:36" x14ac:dyDescent="0.25">
      <c r="A81" s="1">
        <v>37742</v>
      </c>
      <c r="B81" s="2">
        <v>214597115</v>
      </c>
      <c r="C81" s="4">
        <v>132620334</v>
      </c>
      <c r="D81" s="4">
        <v>81976781</v>
      </c>
      <c r="E81" s="2">
        <v>542225</v>
      </c>
      <c r="F81" s="2">
        <v>6348739</v>
      </c>
      <c r="G81" s="2">
        <v>268912</v>
      </c>
      <c r="H81" s="2">
        <v>30545390</v>
      </c>
      <c r="I81" s="2">
        <v>21454342</v>
      </c>
      <c r="J81" s="2">
        <v>653897</v>
      </c>
      <c r="K81" s="2">
        <v>4080864</v>
      </c>
      <c r="L81" s="2">
        <v>6846685</v>
      </c>
      <c r="M81" s="2">
        <v>26681684</v>
      </c>
      <c r="N81" s="2">
        <v>207736</v>
      </c>
      <c r="O81" s="2">
        <v>15182770</v>
      </c>
      <c r="P81" s="2">
        <v>10819362</v>
      </c>
      <c r="Q81" s="6">
        <v>9923444</v>
      </c>
      <c r="R81" s="6">
        <v>27081302</v>
      </c>
      <c r="S81" s="6">
        <v>1691354</v>
      </c>
      <c r="T81" s="6">
        <v>27041986</v>
      </c>
      <c r="U81" s="6">
        <v>4479048</v>
      </c>
      <c r="V81" s="6">
        <v>31521034</v>
      </c>
      <c r="W81" s="6">
        <v>6290899</v>
      </c>
      <c r="X81" s="6">
        <v>5483892</v>
      </c>
      <c r="Y81" s="2">
        <v>9133921</v>
      </c>
      <c r="AB81" s="2">
        <f t="shared" si="8"/>
        <v>132766527</v>
      </c>
      <c r="AC81" s="2">
        <f t="shared" si="9"/>
        <v>146193</v>
      </c>
      <c r="AD81" s="8">
        <f t="shared" si="10"/>
        <v>1.1011284493417531E-3</v>
      </c>
      <c r="AE81" s="2">
        <f t="shared" si="11"/>
        <v>81991925</v>
      </c>
      <c r="AF81" s="2">
        <f t="shared" si="12"/>
        <v>15144</v>
      </c>
      <c r="AG81" s="8">
        <f t="shared" si="13"/>
        <v>1.8470111538422838E-4</v>
      </c>
      <c r="AI81">
        <f t="shared" si="14"/>
        <v>0.61799681696559616</v>
      </c>
      <c r="AJ81">
        <f t="shared" si="15"/>
        <v>0.38200318303440378</v>
      </c>
    </row>
    <row r="82" spans="1:36" x14ac:dyDescent="0.25">
      <c r="A82" s="1">
        <v>37773</v>
      </c>
      <c r="B82" s="2">
        <v>214477214</v>
      </c>
      <c r="C82" s="4">
        <v>132179818</v>
      </c>
      <c r="D82" s="4">
        <v>82297396</v>
      </c>
      <c r="E82" s="2">
        <v>536342</v>
      </c>
      <c r="F82" s="2">
        <v>6413602</v>
      </c>
      <c r="G82" s="2">
        <v>258443</v>
      </c>
      <c r="H82" s="2">
        <v>31046044</v>
      </c>
      <c r="I82" s="2">
        <v>21557796</v>
      </c>
      <c r="J82" s="2">
        <v>623953</v>
      </c>
      <c r="K82" s="2">
        <v>4174417</v>
      </c>
      <c r="L82" s="2">
        <v>6911239</v>
      </c>
      <c r="M82" s="2">
        <v>26190215</v>
      </c>
      <c r="N82" s="2">
        <v>165727</v>
      </c>
      <c r="O82" s="2">
        <v>14654820</v>
      </c>
      <c r="P82" s="2">
        <v>11007044</v>
      </c>
      <c r="Q82" s="6">
        <v>9802895</v>
      </c>
      <c r="R82" s="6">
        <v>27173536</v>
      </c>
      <c r="S82" s="6">
        <v>1477718</v>
      </c>
      <c r="T82" s="6">
        <v>27135992</v>
      </c>
      <c r="U82" s="6">
        <v>4525120</v>
      </c>
      <c r="V82" s="6">
        <v>31661112</v>
      </c>
      <c r="W82" s="6">
        <v>6598521</v>
      </c>
      <c r="X82" s="6">
        <v>5583614</v>
      </c>
      <c r="Y82" s="2">
        <v>8640176</v>
      </c>
      <c r="AB82" s="2">
        <f t="shared" si="8"/>
        <v>132179818</v>
      </c>
      <c r="AC82" s="2">
        <f t="shared" si="9"/>
        <v>0</v>
      </c>
      <c r="AD82" s="8">
        <f t="shared" si="10"/>
        <v>0</v>
      </c>
      <c r="AE82" s="2">
        <f t="shared" si="11"/>
        <v>82297396</v>
      </c>
      <c r="AF82" s="2">
        <f t="shared" si="12"/>
        <v>0</v>
      </c>
      <c r="AG82" s="8">
        <f t="shared" si="13"/>
        <v>0</v>
      </c>
      <c r="AI82">
        <f t="shared" si="14"/>
        <v>0.61628839509263678</v>
      </c>
      <c r="AJ82">
        <f t="shared" si="15"/>
        <v>0.38371160490736328</v>
      </c>
    </row>
    <row r="83" spans="1:36" x14ac:dyDescent="0.25">
      <c r="A83" s="1">
        <v>37803</v>
      </c>
      <c r="B83" s="2">
        <v>212634259</v>
      </c>
      <c r="C83" s="4">
        <v>130139485</v>
      </c>
      <c r="D83" s="4">
        <v>82494774</v>
      </c>
      <c r="E83" s="2">
        <v>515177</v>
      </c>
      <c r="F83" s="2">
        <v>6396039</v>
      </c>
      <c r="G83" s="2">
        <v>267924</v>
      </c>
      <c r="H83" s="2">
        <v>30662007</v>
      </c>
      <c r="I83" s="2">
        <v>20957978</v>
      </c>
      <c r="J83" s="2">
        <v>589136</v>
      </c>
      <c r="K83" s="2">
        <v>4060678</v>
      </c>
      <c r="L83" s="2">
        <v>6558341</v>
      </c>
      <c r="M83" s="2">
        <v>26055828</v>
      </c>
      <c r="N83" s="2">
        <v>131745</v>
      </c>
      <c r="O83" s="2">
        <v>14196549</v>
      </c>
      <c r="P83" s="2">
        <v>10967212</v>
      </c>
      <c r="Q83" s="6">
        <v>9620453</v>
      </c>
      <c r="R83" s="6">
        <v>27483587</v>
      </c>
      <c r="S83" s="6">
        <v>1427924</v>
      </c>
      <c r="T83" s="6">
        <v>27369740</v>
      </c>
      <c r="U83" s="6">
        <v>4590273</v>
      </c>
      <c r="V83" s="6">
        <v>31960013</v>
      </c>
      <c r="W83" s="6">
        <v>6332059</v>
      </c>
      <c r="X83" s="6">
        <v>5670738</v>
      </c>
      <c r="Y83" s="2">
        <v>8780871</v>
      </c>
      <c r="AB83" s="2">
        <f t="shared" si="8"/>
        <v>130139485</v>
      </c>
      <c r="AC83" s="2">
        <f t="shared" si="9"/>
        <v>0</v>
      </c>
      <c r="AD83" s="8">
        <f t="shared" si="10"/>
        <v>0</v>
      </c>
      <c r="AE83" s="2">
        <f t="shared" si="11"/>
        <v>82494774</v>
      </c>
      <c r="AF83" s="2">
        <f t="shared" si="12"/>
        <v>0</v>
      </c>
      <c r="AG83" s="8">
        <f t="shared" si="13"/>
        <v>0</v>
      </c>
      <c r="AI83">
        <f t="shared" si="14"/>
        <v>0.6120344182166807</v>
      </c>
      <c r="AJ83">
        <f t="shared" si="15"/>
        <v>0.3879655817833193</v>
      </c>
    </row>
    <row r="84" spans="1:36" x14ac:dyDescent="0.25">
      <c r="A84" s="1">
        <v>37834</v>
      </c>
      <c r="B84" s="2">
        <v>213925940</v>
      </c>
      <c r="C84" s="4">
        <v>130438761</v>
      </c>
      <c r="D84" s="4">
        <v>83487179</v>
      </c>
      <c r="E84" s="2">
        <v>299457</v>
      </c>
      <c r="F84" s="2">
        <v>6608861</v>
      </c>
      <c r="G84" s="2">
        <v>272934</v>
      </c>
      <c r="H84" s="2">
        <v>31058998</v>
      </c>
      <c r="I84" s="2">
        <v>21112718</v>
      </c>
      <c r="J84" s="2">
        <v>588418</v>
      </c>
      <c r="K84" s="2">
        <v>4065303</v>
      </c>
      <c r="L84" s="2">
        <v>6228178</v>
      </c>
      <c r="M84" s="2">
        <v>26304431</v>
      </c>
      <c r="N84" s="2">
        <v>139525</v>
      </c>
      <c r="O84" s="2">
        <v>13951656</v>
      </c>
      <c r="P84" s="2">
        <v>10966310</v>
      </c>
      <c r="Q84" s="6">
        <v>9451459</v>
      </c>
      <c r="R84" s="6">
        <v>27966779</v>
      </c>
      <c r="S84" s="6">
        <v>1428184</v>
      </c>
      <c r="T84" s="6">
        <v>27568059</v>
      </c>
      <c r="U84" s="6">
        <v>4687123</v>
      </c>
      <c r="V84" s="6">
        <v>32255182</v>
      </c>
      <c r="W84" s="6">
        <v>6617584</v>
      </c>
      <c r="X84" s="6">
        <v>5767991</v>
      </c>
      <c r="Y84" s="2">
        <v>8841972</v>
      </c>
      <c r="AB84" s="2">
        <f t="shared" si="8"/>
        <v>130438761</v>
      </c>
      <c r="AC84" s="2">
        <f t="shared" si="9"/>
        <v>0</v>
      </c>
      <c r="AD84" s="8">
        <f t="shared" si="10"/>
        <v>0</v>
      </c>
      <c r="AE84" s="2">
        <f t="shared" si="11"/>
        <v>83487179</v>
      </c>
      <c r="AF84" s="2">
        <f t="shared" si="12"/>
        <v>0</v>
      </c>
      <c r="AG84" s="8">
        <f t="shared" si="13"/>
        <v>0</v>
      </c>
      <c r="AI84">
        <f t="shared" si="14"/>
        <v>0.60973793547430477</v>
      </c>
      <c r="AJ84">
        <f t="shared" si="15"/>
        <v>0.39026206452569517</v>
      </c>
    </row>
    <row r="85" spans="1:36" x14ac:dyDescent="0.25">
      <c r="A85" s="1">
        <v>37865</v>
      </c>
      <c r="B85" s="2">
        <v>215929402</v>
      </c>
      <c r="C85" s="4">
        <v>131137080</v>
      </c>
      <c r="D85" s="4">
        <v>84792322</v>
      </c>
      <c r="E85" s="2">
        <v>393809</v>
      </c>
      <c r="F85" s="2">
        <v>6857610</v>
      </c>
      <c r="G85" s="2">
        <v>240635</v>
      </c>
      <c r="H85" s="2">
        <v>31485162</v>
      </c>
      <c r="I85" s="2">
        <v>21241643</v>
      </c>
      <c r="J85" s="2">
        <v>576118</v>
      </c>
      <c r="K85" s="2">
        <v>4059768</v>
      </c>
      <c r="L85" s="2">
        <v>6608529</v>
      </c>
      <c r="M85" s="2">
        <v>26371869</v>
      </c>
      <c r="N85" s="2">
        <v>139563</v>
      </c>
      <c r="O85" s="2">
        <v>13175409</v>
      </c>
      <c r="P85" s="2">
        <v>11494171</v>
      </c>
      <c r="Q85" s="6">
        <v>9884802</v>
      </c>
      <c r="R85" s="6">
        <v>28846813</v>
      </c>
      <c r="S85" s="6">
        <v>1409450</v>
      </c>
      <c r="T85" s="6">
        <v>28004124</v>
      </c>
      <c r="U85" s="6">
        <v>4729706</v>
      </c>
      <c r="V85" s="6">
        <v>32733830</v>
      </c>
      <c r="W85" s="6">
        <v>6514264</v>
      </c>
      <c r="X85" s="6">
        <v>5403163</v>
      </c>
      <c r="Y85" s="2">
        <v>8492794</v>
      </c>
      <c r="AB85" s="2">
        <f t="shared" si="8"/>
        <v>131137080</v>
      </c>
      <c r="AC85" s="2">
        <f t="shared" si="9"/>
        <v>0</v>
      </c>
      <c r="AD85" s="8">
        <f t="shared" si="10"/>
        <v>0</v>
      </c>
      <c r="AE85" s="2">
        <f t="shared" si="11"/>
        <v>84792322</v>
      </c>
      <c r="AF85" s="2">
        <f t="shared" si="12"/>
        <v>0</v>
      </c>
      <c r="AG85" s="8">
        <f t="shared" si="13"/>
        <v>0</v>
      </c>
      <c r="AI85">
        <f t="shared" si="14"/>
        <v>0.60731460739191045</v>
      </c>
      <c r="AJ85">
        <f t="shared" si="15"/>
        <v>0.39268539260808955</v>
      </c>
    </row>
    <row r="86" spans="1:36" x14ac:dyDescent="0.25">
      <c r="A86" s="1">
        <v>37895</v>
      </c>
      <c r="B86" s="2">
        <v>217949708</v>
      </c>
      <c r="C86" s="4">
        <v>131662513</v>
      </c>
      <c r="D86" s="4">
        <v>86287195</v>
      </c>
      <c r="E86" s="2">
        <v>607750</v>
      </c>
      <c r="F86" s="2">
        <v>7054068</v>
      </c>
      <c r="G86" s="2">
        <v>244146</v>
      </c>
      <c r="H86" s="2">
        <v>31747971</v>
      </c>
      <c r="I86" s="2">
        <v>21391132</v>
      </c>
      <c r="J86" s="2">
        <v>575589</v>
      </c>
      <c r="K86" s="2">
        <v>4183153</v>
      </c>
      <c r="L86" s="2">
        <v>6787189</v>
      </c>
      <c r="M86" s="2">
        <v>25517293</v>
      </c>
      <c r="N86" s="2">
        <v>142949</v>
      </c>
      <c r="O86" s="2">
        <v>13303581</v>
      </c>
      <c r="P86" s="2">
        <v>11653558</v>
      </c>
      <c r="Q86" s="6">
        <v>9954764</v>
      </c>
      <c r="R86" s="6">
        <v>29579313</v>
      </c>
      <c r="S86" s="6">
        <v>1413502</v>
      </c>
      <c r="T86" s="6">
        <v>28588511</v>
      </c>
      <c r="U86" s="6">
        <v>4831899</v>
      </c>
      <c r="V86" s="6">
        <v>33420422</v>
      </c>
      <c r="W86" s="6">
        <v>6457401</v>
      </c>
      <c r="X86" s="6">
        <v>5461975</v>
      </c>
      <c r="Y86" s="2">
        <v>8213047</v>
      </c>
      <c r="AB86" s="2">
        <f t="shared" si="8"/>
        <v>131421426</v>
      </c>
      <c r="AC86" s="2">
        <f t="shared" si="9"/>
        <v>-241087</v>
      </c>
      <c r="AD86" s="8">
        <f t="shared" si="10"/>
        <v>-1.8344573433558696E-3</v>
      </c>
      <c r="AE86" s="2">
        <f t="shared" si="11"/>
        <v>86287377</v>
      </c>
      <c r="AF86" s="2">
        <f t="shared" si="12"/>
        <v>182</v>
      </c>
      <c r="AG86" s="8">
        <f t="shared" si="13"/>
        <v>2.1092308785791461E-6</v>
      </c>
      <c r="AI86">
        <f t="shared" si="14"/>
        <v>0.60409584490014545</v>
      </c>
      <c r="AJ86">
        <f t="shared" si="15"/>
        <v>0.39590415509985449</v>
      </c>
    </row>
    <row r="87" spans="1:36" x14ac:dyDescent="0.25">
      <c r="A87" s="1">
        <v>37926</v>
      </c>
      <c r="B87" s="2">
        <v>222005421</v>
      </c>
      <c r="C87" s="4">
        <v>134498893</v>
      </c>
      <c r="D87" s="4">
        <v>87506528</v>
      </c>
      <c r="E87" s="2">
        <v>448268</v>
      </c>
      <c r="F87" s="2">
        <v>7366744</v>
      </c>
      <c r="G87" s="2">
        <v>221859</v>
      </c>
      <c r="H87" s="2">
        <v>32156924</v>
      </c>
      <c r="I87" s="2">
        <v>21963265</v>
      </c>
      <c r="J87" s="2">
        <v>575189</v>
      </c>
      <c r="K87" s="2">
        <v>4492963</v>
      </c>
      <c r="L87" s="2">
        <v>7080492</v>
      </c>
      <c r="M87" s="2">
        <v>25387683</v>
      </c>
      <c r="N87" s="2">
        <v>148497</v>
      </c>
      <c r="O87" s="2">
        <v>14315512</v>
      </c>
      <c r="P87" s="2">
        <v>12008391</v>
      </c>
      <c r="Q87" s="6">
        <v>9608547</v>
      </c>
      <c r="R87" s="6">
        <v>30097800</v>
      </c>
      <c r="S87" s="6">
        <v>1392144</v>
      </c>
      <c r="T87" s="6">
        <v>29295440</v>
      </c>
      <c r="U87" s="6">
        <v>4958651</v>
      </c>
      <c r="V87" s="6">
        <v>34254091</v>
      </c>
      <c r="W87" s="6">
        <v>6690878</v>
      </c>
      <c r="X87" s="6">
        <v>5463068</v>
      </c>
      <c r="Y87" s="2">
        <v>8333106</v>
      </c>
      <c r="AB87" s="2">
        <f t="shared" si="8"/>
        <v>134498893</v>
      </c>
      <c r="AC87" s="2">
        <f t="shared" si="9"/>
        <v>0</v>
      </c>
      <c r="AD87" s="8">
        <f t="shared" si="10"/>
        <v>0</v>
      </c>
      <c r="AE87" s="2">
        <f t="shared" si="11"/>
        <v>87506528</v>
      </c>
      <c r="AF87" s="2">
        <f t="shared" si="12"/>
        <v>0</v>
      </c>
      <c r="AG87" s="8">
        <f t="shared" si="13"/>
        <v>0</v>
      </c>
      <c r="AI87">
        <f t="shared" si="14"/>
        <v>0.6058360755073634</v>
      </c>
      <c r="AJ87">
        <f t="shared" si="15"/>
        <v>0.3941639244926366</v>
      </c>
    </row>
    <row r="88" spans="1:36" x14ac:dyDescent="0.25">
      <c r="A88" s="1">
        <v>37956</v>
      </c>
      <c r="B88" s="2">
        <v>224224353</v>
      </c>
      <c r="C88" s="4">
        <v>136125746</v>
      </c>
      <c r="D88" s="4">
        <v>88098607</v>
      </c>
      <c r="E88" s="2">
        <v>534383</v>
      </c>
      <c r="F88" s="2">
        <v>7464080</v>
      </c>
      <c r="G88" s="2">
        <v>250412</v>
      </c>
      <c r="H88" s="2">
        <v>32919663</v>
      </c>
      <c r="I88" s="2">
        <v>21925738</v>
      </c>
      <c r="J88" s="2">
        <v>550773</v>
      </c>
      <c r="K88" s="2">
        <v>4695035</v>
      </c>
      <c r="L88" s="2">
        <v>7876854</v>
      </c>
      <c r="M88" s="2">
        <v>25763826</v>
      </c>
      <c r="N88" s="2">
        <v>186117</v>
      </c>
      <c r="O88" s="2">
        <v>13912859</v>
      </c>
      <c r="P88" s="2">
        <v>11898361</v>
      </c>
      <c r="Q88" s="6">
        <v>8919243</v>
      </c>
      <c r="R88" s="6">
        <v>30494098</v>
      </c>
      <c r="S88" s="6">
        <v>1380862</v>
      </c>
      <c r="T88" s="6">
        <v>29987306</v>
      </c>
      <c r="U88" s="6">
        <v>5343912</v>
      </c>
      <c r="V88" s="6">
        <v>35331218</v>
      </c>
      <c r="W88" s="6">
        <v>6474851</v>
      </c>
      <c r="X88" s="6">
        <v>5498335</v>
      </c>
      <c r="Y88" s="2">
        <v>8147645</v>
      </c>
      <c r="AB88" s="2">
        <f t="shared" si="8"/>
        <v>136125746</v>
      </c>
      <c r="AC88" s="2">
        <f t="shared" si="9"/>
        <v>0</v>
      </c>
      <c r="AD88" s="8">
        <f t="shared" si="10"/>
        <v>0</v>
      </c>
      <c r="AE88" s="2">
        <f t="shared" si="11"/>
        <v>88098607</v>
      </c>
      <c r="AF88" s="2">
        <f t="shared" si="12"/>
        <v>0</v>
      </c>
      <c r="AG88" s="8">
        <f t="shared" si="13"/>
        <v>0</v>
      </c>
      <c r="AI88">
        <f t="shared" si="14"/>
        <v>0.60709617032544183</v>
      </c>
      <c r="AJ88">
        <f t="shared" si="15"/>
        <v>0.39290382967455817</v>
      </c>
    </row>
    <row r="89" spans="1:36" x14ac:dyDescent="0.25">
      <c r="A89" s="1">
        <v>37987</v>
      </c>
      <c r="B89" s="2">
        <v>224659626</v>
      </c>
      <c r="C89" s="4">
        <v>134957066</v>
      </c>
      <c r="D89" s="4">
        <v>89702560</v>
      </c>
      <c r="E89" s="2">
        <v>476945</v>
      </c>
      <c r="F89" s="2">
        <v>6998316</v>
      </c>
      <c r="G89" s="2">
        <v>209760</v>
      </c>
      <c r="H89" s="2">
        <v>31624737</v>
      </c>
      <c r="I89" s="2">
        <v>22301158</v>
      </c>
      <c r="J89" s="2">
        <v>543077</v>
      </c>
      <c r="K89" s="2">
        <v>4862902</v>
      </c>
      <c r="L89" s="2">
        <v>7793340</v>
      </c>
      <c r="M89" s="2">
        <v>25635065</v>
      </c>
      <c r="N89" s="2">
        <v>203644</v>
      </c>
      <c r="O89" s="2">
        <v>14365530</v>
      </c>
      <c r="P89" s="2">
        <v>11767551</v>
      </c>
      <c r="Q89" s="6">
        <v>9355009</v>
      </c>
      <c r="R89" s="6">
        <v>30844349</v>
      </c>
      <c r="S89" s="6">
        <v>1399671</v>
      </c>
      <c r="T89" s="6">
        <v>30619128</v>
      </c>
      <c r="U89" s="6">
        <v>5359944</v>
      </c>
      <c r="V89" s="6">
        <v>35979072</v>
      </c>
      <c r="W89" s="6">
        <v>6657437</v>
      </c>
      <c r="X89" s="6">
        <v>5477099</v>
      </c>
      <c r="Y89" s="2">
        <v>8175041</v>
      </c>
      <c r="AB89" s="2">
        <f t="shared" si="8"/>
        <v>134957066</v>
      </c>
      <c r="AC89" s="2">
        <f t="shared" si="9"/>
        <v>0</v>
      </c>
      <c r="AD89" s="8">
        <f t="shared" si="10"/>
        <v>0</v>
      </c>
      <c r="AE89" s="2">
        <f t="shared" si="11"/>
        <v>89712637</v>
      </c>
      <c r="AF89" s="2">
        <f t="shared" si="12"/>
        <v>10077</v>
      </c>
      <c r="AG89" s="8">
        <f t="shared" si="13"/>
        <v>1.1232531265355626E-4</v>
      </c>
      <c r="AI89">
        <f t="shared" si="14"/>
        <v>0.60071793229104731</v>
      </c>
      <c r="AJ89">
        <f t="shared" si="15"/>
        <v>0.39928206770895275</v>
      </c>
    </row>
    <row r="90" spans="1:36" x14ac:dyDescent="0.25">
      <c r="A90" s="1">
        <v>38018</v>
      </c>
      <c r="B90" s="2">
        <v>228926688</v>
      </c>
      <c r="C90" s="4">
        <v>137333208</v>
      </c>
      <c r="D90" s="4">
        <v>91593480</v>
      </c>
      <c r="E90" s="2">
        <v>864819</v>
      </c>
      <c r="F90" s="2">
        <v>7018612</v>
      </c>
      <c r="G90" s="2">
        <v>190951</v>
      </c>
      <c r="H90" s="2">
        <v>31172188</v>
      </c>
      <c r="I90" s="2">
        <v>23243548</v>
      </c>
      <c r="J90" s="2">
        <v>494246</v>
      </c>
      <c r="K90" s="2">
        <v>4858834</v>
      </c>
      <c r="L90" s="2">
        <v>8002072</v>
      </c>
      <c r="M90" s="2">
        <v>26868376</v>
      </c>
      <c r="N90" s="2">
        <v>216408</v>
      </c>
      <c r="O90" s="2">
        <v>14489736</v>
      </c>
      <c r="P90" s="2">
        <v>11793295</v>
      </c>
      <c r="Q90" s="6">
        <v>9704131</v>
      </c>
      <c r="R90" s="6">
        <v>32001921</v>
      </c>
      <c r="S90" s="6">
        <v>1265029</v>
      </c>
      <c r="T90" s="6">
        <v>31286995</v>
      </c>
      <c r="U90" s="6">
        <v>5356708</v>
      </c>
      <c r="V90" s="6">
        <v>36643703</v>
      </c>
      <c r="W90" s="6">
        <v>6825595</v>
      </c>
      <c r="X90" s="6">
        <v>5153101</v>
      </c>
      <c r="Y90" s="2">
        <v>8120123</v>
      </c>
      <c r="AB90" s="2">
        <f t="shared" si="8"/>
        <v>137333208</v>
      </c>
      <c r="AC90" s="2">
        <f t="shared" si="9"/>
        <v>0</v>
      </c>
      <c r="AD90" s="8">
        <f t="shared" si="10"/>
        <v>0</v>
      </c>
      <c r="AE90" s="2">
        <f t="shared" si="11"/>
        <v>91593480</v>
      </c>
      <c r="AF90" s="2">
        <f t="shared" si="12"/>
        <v>0</v>
      </c>
      <c r="AG90" s="8">
        <f t="shared" si="13"/>
        <v>0</v>
      </c>
      <c r="AI90">
        <f t="shared" si="14"/>
        <v>0.59990038382942923</v>
      </c>
      <c r="AJ90">
        <f t="shared" si="15"/>
        <v>0.40009961617057072</v>
      </c>
    </row>
    <row r="91" spans="1:36" x14ac:dyDescent="0.25">
      <c r="A91" s="1">
        <v>38047</v>
      </c>
      <c r="B91" s="2">
        <v>232618701</v>
      </c>
      <c r="C91" s="4">
        <v>138780301</v>
      </c>
      <c r="D91" s="4">
        <v>93838400</v>
      </c>
      <c r="E91" s="2">
        <v>628451</v>
      </c>
      <c r="F91" s="2">
        <v>7599540</v>
      </c>
      <c r="G91" s="2">
        <v>183172</v>
      </c>
      <c r="H91" s="2">
        <v>31880022</v>
      </c>
      <c r="I91" s="2">
        <v>22501885</v>
      </c>
      <c r="J91" s="2">
        <v>460738</v>
      </c>
      <c r="K91" s="2">
        <v>4991604</v>
      </c>
      <c r="L91" s="2">
        <v>8000924</v>
      </c>
      <c r="M91" s="2">
        <v>27226609</v>
      </c>
      <c r="N91" s="2">
        <v>233150</v>
      </c>
      <c r="O91" s="2">
        <v>15029629</v>
      </c>
      <c r="P91" s="2">
        <v>11867855</v>
      </c>
      <c r="Q91" s="6">
        <v>10213986</v>
      </c>
      <c r="R91" s="6">
        <v>33191270</v>
      </c>
      <c r="S91" s="6">
        <v>1143973</v>
      </c>
      <c r="T91" s="6">
        <v>32040685</v>
      </c>
      <c r="U91" s="6">
        <v>5329472</v>
      </c>
      <c r="V91" s="6">
        <v>37370157</v>
      </c>
      <c r="W91" s="6">
        <v>6732802</v>
      </c>
      <c r="X91" s="6">
        <v>5186212</v>
      </c>
      <c r="Y91" s="2">
        <v>8176722</v>
      </c>
      <c r="AB91" s="2">
        <f t="shared" si="8"/>
        <v>138780301</v>
      </c>
      <c r="AC91" s="2">
        <f t="shared" si="9"/>
        <v>0</v>
      </c>
      <c r="AD91" s="8">
        <f t="shared" si="10"/>
        <v>0</v>
      </c>
      <c r="AE91" s="2">
        <f t="shared" si="11"/>
        <v>93838400</v>
      </c>
      <c r="AF91" s="2">
        <f t="shared" si="12"/>
        <v>0</v>
      </c>
      <c r="AG91" s="8">
        <f t="shared" si="13"/>
        <v>0</v>
      </c>
      <c r="AI91">
        <f t="shared" si="14"/>
        <v>0.59659993114655041</v>
      </c>
      <c r="AJ91">
        <f t="shared" si="15"/>
        <v>0.40340006885344959</v>
      </c>
    </row>
    <row r="92" spans="1:36" x14ac:dyDescent="0.25">
      <c r="A92" s="1">
        <v>38078</v>
      </c>
      <c r="B92" s="2">
        <v>239776129</v>
      </c>
      <c r="C92" s="4">
        <v>143809509</v>
      </c>
      <c r="D92" s="4">
        <v>95966620</v>
      </c>
      <c r="E92" s="2">
        <v>651267</v>
      </c>
      <c r="F92" s="2">
        <v>7750183</v>
      </c>
      <c r="G92" s="2">
        <v>171054</v>
      </c>
      <c r="H92" s="2">
        <v>32143464</v>
      </c>
      <c r="I92" s="2">
        <v>23355615</v>
      </c>
      <c r="J92" s="2">
        <v>452701</v>
      </c>
      <c r="K92" s="2">
        <v>5375532</v>
      </c>
      <c r="L92" s="2">
        <v>8034724</v>
      </c>
      <c r="M92" s="2">
        <v>28698123</v>
      </c>
      <c r="N92" s="2">
        <v>237536</v>
      </c>
      <c r="O92" s="2">
        <v>15819709</v>
      </c>
      <c r="P92" s="2">
        <v>12425437</v>
      </c>
      <c r="Q92" s="6">
        <v>10392231</v>
      </c>
      <c r="R92" s="6">
        <v>34481073</v>
      </c>
      <c r="S92" s="6">
        <v>1065042</v>
      </c>
      <c r="T92" s="6">
        <v>32549853</v>
      </c>
      <c r="U92" s="6">
        <v>5388292</v>
      </c>
      <c r="V92" s="6">
        <v>37938145</v>
      </c>
      <c r="W92" s="6">
        <v>6788170</v>
      </c>
      <c r="X92" s="6">
        <v>5301959</v>
      </c>
      <c r="Y92" s="2">
        <v>8694164</v>
      </c>
      <c r="AB92" s="2">
        <f t="shared" si="8"/>
        <v>143809509</v>
      </c>
      <c r="AC92" s="2">
        <f t="shared" si="9"/>
        <v>0</v>
      </c>
      <c r="AD92" s="8">
        <f t="shared" si="10"/>
        <v>0</v>
      </c>
      <c r="AE92" s="2">
        <f t="shared" si="11"/>
        <v>95966620</v>
      </c>
      <c r="AF92" s="2">
        <f t="shared" si="12"/>
        <v>0</v>
      </c>
      <c r="AG92" s="8">
        <f t="shared" si="13"/>
        <v>0</v>
      </c>
      <c r="AI92">
        <f t="shared" si="14"/>
        <v>0.59976574648930125</v>
      </c>
      <c r="AJ92">
        <f t="shared" si="15"/>
        <v>0.40023425351069875</v>
      </c>
    </row>
    <row r="93" spans="1:36" x14ac:dyDescent="0.25">
      <c r="A93" s="1">
        <v>38108</v>
      </c>
      <c r="B93" s="2">
        <v>248179659</v>
      </c>
      <c r="C93" s="4">
        <v>149930382</v>
      </c>
      <c r="D93" s="4">
        <v>98249277</v>
      </c>
      <c r="E93" s="2">
        <v>532449</v>
      </c>
      <c r="F93" s="2">
        <v>7959717</v>
      </c>
      <c r="G93" s="2">
        <v>183338</v>
      </c>
      <c r="H93" s="2">
        <v>33080183</v>
      </c>
      <c r="I93" s="2">
        <v>23936258</v>
      </c>
      <c r="J93" s="2">
        <v>503126</v>
      </c>
      <c r="K93" s="2">
        <v>5678213</v>
      </c>
      <c r="L93" s="2">
        <v>7823859</v>
      </c>
      <c r="M93" s="2">
        <v>31106125</v>
      </c>
      <c r="N93" s="2">
        <v>242159</v>
      </c>
      <c r="O93" s="2">
        <v>17027042</v>
      </c>
      <c r="P93" s="2">
        <v>12725431</v>
      </c>
      <c r="Q93" s="6">
        <v>10341798</v>
      </c>
      <c r="R93" s="6">
        <v>35739766</v>
      </c>
      <c r="S93" s="6">
        <v>1068202</v>
      </c>
      <c r="T93" s="6">
        <v>33105519</v>
      </c>
      <c r="U93" s="6">
        <v>5536836</v>
      </c>
      <c r="V93" s="6">
        <v>38642355</v>
      </c>
      <c r="W93" s="6">
        <v>7040062</v>
      </c>
      <c r="X93" s="6">
        <v>5417094</v>
      </c>
      <c r="Y93" s="2">
        <v>9132482</v>
      </c>
      <c r="AB93" s="2">
        <f t="shared" si="8"/>
        <v>149930382</v>
      </c>
      <c r="AC93" s="2">
        <f t="shared" si="9"/>
        <v>0</v>
      </c>
      <c r="AD93" s="8">
        <f t="shared" si="10"/>
        <v>0</v>
      </c>
      <c r="AE93" s="2">
        <f t="shared" si="11"/>
        <v>98249277</v>
      </c>
      <c r="AF93" s="2">
        <f t="shared" si="12"/>
        <v>0</v>
      </c>
      <c r="AG93" s="8">
        <f t="shared" si="13"/>
        <v>0</v>
      </c>
      <c r="AI93">
        <f t="shared" si="14"/>
        <v>0.60412034815472127</v>
      </c>
      <c r="AJ93">
        <f t="shared" si="15"/>
        <v>0.39587965184527873</v>
      </c>
    </row>
    <row r="94" spans="1:36" x14ac:dyDescent="0.25">
      <c r="A94" s="1">
        <v>38139</v>
      </c>
      <c r="B94" s="2">
        <v>251730942</v>
      </c>
      <c r="C94" s="4">
        <v>151745273</v>
      </c>
      <c r="D94" s="4">
        <v>99985669</v>
      </c>
      <c r="E94" s="2">
        <v>549697</v>
      </c>
      <c r="F94" s="2">
        <v>8437323</v>
      </c>
      <c r="G94" s="2">
        <v>190520</v>
      </c>
      <c r="H94" s="2">
        <v>34286165</v>
      </c>
      <c r="I94" s="2">
        <v>24331317</v>
      </c>
      <c r="J94" s="2">
        <v>517567</v>
      </c>
      <c r="K94" s="2">
        <v>6072503</v>
      </c>
      <c r="L94" s="2">
        <v>8126760</v>
      </c>
      <c r="M94" s="2">
        <v>29295593</v>
      </c>
      <c r="N94" s="2">
        <v>232003</v>
      </c>
      <c r="O94" s="2">
        <v>17240786</v>
      </c>
      <c r="P94" s="2">
        <v>13304976</v>
      </c>
      <c r="Q94" s="6">
        <v>10422947</v>
      </c>
      <c r="R94" s="6">
        <v>36715137</v>
      </c>
      <c r="S94" s="6">
        <v>1074926</v>
      </c>
      <c r="T94" s="6">
        <v>33591319</v>
      </c>
      <c r="U94" s="6">
        <v>5599317</v>
      </c>
      <c r="V94" s="6">
        <v>39190636</v>
      </c>
      <c r="W94" s="6">
        <v>7196959</v>
      </c>
      <c r="X94" s="6">
        <v>5385064</v>
      </c>
      <c r="Y94" s="2">
        <v>9160063</v>
      </c>
      <c r="AB94" s="2">
        <f t="shared" si="8"/>
        <v>151745273</v>
      </c>
      <c r="AC94" s="2">
        <f t="shared" si="9"/>
        <v>0</v>
      </c>
      <c r="AD94" s="8">
        <f t="shared" si="10"/>
        <v>0</v>
      </c>
      <c r="AE94" s="2">
        <f t="shared" si="11"/>
        <v>99985669</v>
      </c>
      <c r="AF94" s="2">
        <f t="shared" si="12"/>
        <v>0</v>
      </c>
      <c r="AG94" s="8">
        <f t="shared" si="13"/>
        <v>0</v>
      </c>
      <c r="AI94">
        <f t="shared" si="14"/>
        <v>0.60280739345900514</v>
      </c>
      <c r="AJ94">
        <f t="shared" si="15"/>
        <v>0.39719260654099486</v>
      </c>
    </row>
    <row r="95" spans="1:36" x14ac:dyDescent="0.25">
      <c r="A95" s="1">
        <v>38169</v>
      </c>
      <c r="B95" s="2">
        <v>254194151</v>
      </c>
      <c r="C95" s="4">
        <v>152831996</v>
      </c>
      <c r="D95" s="4">
        <v>101362155</v>
      </c>
      <c r="E95" s="2">
        <v>496621</v>
      </c>
      <c r="F95" s="2">
        <v>8492483</v>
      </c>
      <c r="G95" s="2">
        <v>197778</v>
      </c>
      <c r="H95" s="2">
        <v>34569341</v>
      </c>
      <c r="I95" s="2">
        <v>24724740</v>
      </c>
      <c r="J95" s="2">
        <v>516204</v>
      </c>
      <c r="K95" s="2">
        <v>6489045</v>
      </c>
      <c r="L95" s="2">
        <v>8012989</v>
      </c>
      <c r="M95" s="2">
        <v>29136610</v>
      </c>
      <c r="N95" s="2">
        <v>173553</v>
      </c>
      <c r="O95" s="2">
        <v>17381212</v>
      </c>
      <c r="P95" s="2">
        <v>13503637</v>
      </c>
      <c r="Q95" s="6">
        <v>10239355</v>
      </c>
      <c r="R95" s="6">
        <v>37676568</v>
      </c>
      <c r="S95" s="6">
        <v>1071754</v>
      </c>
      <c r="T95" s="6">
        <v>34125996</v>
      </c>
      <c r="U95" s="6">
        <v>5749605</v>
      </c>
      <c r="V95" s="6">
        <v>39875601</v>
      </c>
      <c r="W95" s="6">
        <v>7168399</v>
      </c>
      <c r="X95" s="6">
        <v>5330634</v>
      </c>
      <c r="Y95" s="2">
        <v>9137783</v>
      </c>
      <c r="AB95" s="2">
        <f t="shared" si="8"/>
        <v>152831996</v>
      </c>
      <c r="AC95" s="2">
        <f t="shared" si="9"/>
        <v>0</v>
      </c>
      <c r="AD95" s="8">
        <f t="shared" si="10"/>
        <v>0</v>
      </c>
      <c r="AE95" s="2">
        <f t="shared" si="11"/>
        <v>101362311</v>
      </c>
      <c r="AF95" s="2">
        <f t="shared" si="12"/>
        <v>156</v>
      </c>
      <c r="AG95" s="8">
        <f t="shared" si="13"/>
        <v>1.5390335762964205E-6</v>
      </c>
      <c r="AI95">
        <f t="shared" si="14"/>
        <v>0.60124119850420954</v>
      </c>
      <c r="AJ95">
        <f t="shared" si="15"/>
        <v>0.39875880149579052</v>
      </c>
    </row>
    <row r="96" spans="1:36" x14ac:dyDescent="0.25">
      <c r="A96" s="1">
        <v>38200</v>
      </c>
      <c r="B96" s="2">
        <v>258373865</v>
      </c>
      <c r="C96" s="4">
        <v>154317151</v>
      </c>
      <c r="D96" s="4">
        <v>104056714</v>
      </c>
      <c r="E96" s="2">
        <v>506499</v>
      </c>
      <c r="F96" s="2">
        <v>8769574</v>
      </c>
      <c r="G96" s="2">
        <v>198931</v>
      </c>
      <c r="H96" s="2">
        <v>35690688</v>
      </c>
      <c r="I96" s="2">
        <v>24919172</v>
      </c>
      <c r="J96" s="2">
        <v>512462</v>
      </c>
      <c r="K96" s="2">
        <v>6742552</v>
      </c>
      <c r="L96" s="2">
        <v>8623907</v>
      </c>
      <c r="M96" s="2">
        <v>28280336</v>
      </c>
      <c r="N96" s="2">
        <v>170000</v>
      </c>
      <c r="O96" s="2">
        <v>16395332</v>
      </c>
      <c r="P96" s="2">
        <v>14155270</v>
      </c>
      <c r="Q96" s="6">
        <v>10655283</v>
      </c>
      <c r="R96" s="6">
        <v>38712343</v>
      </c>
      <c r="S96" s="6">
        <v>1069694</v>
      </c>
      <c r="T96" s="6">
        <v>34740423</v>
      </c>
      <c r="U96" s="6">
        <v>5924969</v>
      </c>
      <c r="V96" s="6">
        <v>40665392</v>
      </c>
      <c r="W96" s="6">
        <v>7553542</v>
      </c>
      <c r="X96" s="6">
        <v>5400460</v>
      </c>
      <c r="Y96" s="2">
        <v>9352428</v>
      </c>
      <c r="AB96" s="2">
        <f t="shared" si="8"/>
        <v>154317151</v>
      </c>
      <c r="AC96" s="2">
        <f t="shared" si="9"/>
        <v>0</v>
      </c>
      <c r="AD96" s="8">
        <f t="shared" si="10"/>
        <v>0</v>
      </c>
      <c r="AE96" s="2">
        <f t="shared" si="11"/>
        <v>104056714</v>
      </c>
      <c r="AF96" s="2">
        <f t="shared" si="12"/>
        <v>0</v>
      </c>
      <c r="AG96" s="8">
        <f t="shared" si="13"/>
        <v>0</v>
      </c>
      <c r="AI96">
        <f t="shared" si="14"/>
        <v>0.59726300490957163</v>
      </c>
      <c r="AJ96">
        <f t="shared" si="15"/>
        <v>0.40273699509042837</v>
      </c>
    </row>
    <row r="97" spans="1:36" x14ac:dyDescent="0.25">
      <c r="A97" s="1">
        <v>38231</v>
      </c>
      <c r="B97" s="2">
        <v>263140624</v>
      </c>
      <c r="C97" s="4">
        <v>156601649</v>
      </c>
      <c r="D97" s="4">
        <v>106538975</v>
      </c>
      <c r="E97" s="2">
        <v>313257</v>
      </c>
      <c r="F97" s="2">
        <v>9531094</v>
      </c>
      <c r="G97" s="2">
        <v>213854</v>
      </c>
      <c r="H97" s="2">
        <v>37102525</v>
      </c>
      <c r="I97" s="2">
        <v>25463987</v>
      </c>
      <c r="J97" s="2">
        <v>507442</v>
      </c>
      <c r="K97" s="2">
        <v>7006730</v>
      </c>
      <c r="L97" s="2">
        <v>9053829</v>
      </c>
      <c r="M97" s="2">
        <v>27460333</v>
      </c>
      <c r="N97" s="2">
        <v>170559</v>
      </c>
      <c r="O97" s="2">
        <v>15712720</v>
      </c>
      <c r="P97" s="2">
        <v>15058206</v>
      </c>
      <c r="Q97" s="6">
        <v>10925314</v>
      </c>
      <c r="R97" s="6">
        <v>39888408</v>
      </c>
      <c r="S97" s="6">
        <v>1078273</v>
      </c>
      <c r="T97" s="6">
        <v>35382584</v>
      </c>
      <c r="U97" s="6">
        <v>6179110</v>
      </c>
      <c r="V97" s="6">
        <v>41561694</v>
      </c>
      <c r="W97" s="6">
        <v>7589931</v>
      </c>
      <c r="X97" s="6">
        <v>5495355</v>
      </c>
      <c r="Y97" s="2">
        <v>9007113</v>
      </c>
      <c r="AB97" s="2">
        <f t="shared" si="8"/>
        <v>156601649</v>
      </c>
      <c r="AC97" s="2">
        <f t="shared" si="9"/>
        <v>0</v>
      </c>
      <c r="AD97" s="8">
        <f t="shared" si="10"/>
        <v>0</v>
      </c>
      <c r="AE97" s="2">
        <f t="shared" si="11"/>
        <v>106538975</v>
      </c>
      <c r="AF97" s="2">
        <f t="shared" si="12"/>
        <v>0</v>
      </c>
      <c r="AG97" s="8">
        <f t="shared" si="13"/>
        <v>0</v>
      </c>
      <c r="AI97">
        <f t="shared" si="14"/>
        <v>0.59512532356083492</v>
      </c>
      <c r="AJ97">
        <f t="shared" si="15"/>
        <v>0.40487467643916508</v>
      </c>
    </row>
    <row r="98" spans="1:36" x14ac:dyDescent="0.25">
      <c r="A98" s="1">
        <v>38261</v>
      </c>
      <c r="B98" s="2">
        <v>270080072</v>
      </c>
      <c r="C98" s="4">
        <v>160007373</v>
      </c>
      <c r="D98" s="4">
        <v>110072699</v>
      </c>
      <c r="E98" s="2">
        <v>412611</v>
      </c>
      <c r="F98" s="2">
        <v>9790705</v>
      </c>
      <c r="G98" s="2">
        <v>220023</v>
      </c>
      <c r="H98" s="2">
        <v>38153460</v>
      </c>
      <c r="I98" s="2">
        <v>26033694</v>
      </c>
      <c r="J98" s="2">
        <v>441463</v>
      </c>
      <c r="K98" s="2">
        <v>7335148</v>
      </c>
      <c r="L98" s="2">
        <v>9690361</v>
      </c>
      <c r="M98" s="2">
        <v>26277828</v>
      </c>
      <c r="N98" s="2">
        <v>173274</v>
      </c>
      <c r="O98" s="2">
        <v>16885789</v>
      </c>
      <c r="P98" s="2">
        <v>15740793</v>
      </c>
      <c r="Q98" s="6">
        <v>10725924</v>
      </c>
      <c r="R98" s="6">
        <v>41353350</v>
      </c>
      <c r="S98" s="6">
        <v>1035691</v>
      </c>
      <c r="T98" s="6">
        <v>35572761</v>
      </c>
      <c r="U98" s="6">
        <v>6639404</v>
      </c>
      <c r="V98" s="6">
        <v>42212165</v>
      </c>
      <c r="W98" s="6">
        <v>9186102</v>
      </c>
      <c r="X98" s="6">
        <v>5559467</v>
      </c>
      <c r="Y98" s="2">
        <v>8852224</v>
      </c>
      <c r="AB98" s="2">
        <f t="shared" si="8"/>
        <v>160007373</v>
      </c>
      <c r="AC98" s="2">
        <f t="shared" si="9"/>
        <v>0</v>
      </c>
      <c r="AD98" s="8">
        <f t="shared" si="10"/>
        <v>0</v>
      </c>
      <c r="AE98" s="2">
        <f t="shared" si="11"/>
        <v>110072699</v>
      </c>
      <c r="AF98" s="2">
        <f t="shared" si="12"/>
        <v>0</v>
      </c>
      <c r="AG98" s="8">
        <f t="shared" si="13"/>
        <v>0</v>
      </c>
      <c r="AI98">
        <f t="shared" si="14"/>
        <v>0.59244420299177047</v>
      </c>
      <c r="AJ98">
        <f t="shared" si="15"/>
        <v>0.40755579700822947</v>
      </c>
    </row>
    <row r="99" spans="1:36" x14ac:dyDescent="0.25">
      <c r="A99" s="1">
        <v>38292</v>
      </c>
      <c r="B99" s="2">
        <v>272742744</v>
      </c>
      <c r="C99" s="4">
        <v>160385112</v>
      </c>
      <c r="D99" s="4">
        <v>112357632</v>
      </c>
      <c r="E99" s="2">
        <v>333883</v>
      </c>
      <c r="F99" s="2">
        <v>9895285</v>
      </c>
      <c r="G99" s="2">
        <v>217096</v>
      </c>
      <c r="H99" s="2">
        <v>38752985</v>
      </c>
      <c r="I99" s="2">
        <v>26429398</v>
      </c>
      <c r="J99" s="2">
        <v>454347</v>
      </c>
      <c r="K99" s="2">
        <v>7631959</v>
      </c>
      <c r="L99" s="2">
        <v>10557715</v>
      </c>
      <c r="M99" s="2">
        <v>25196396</v>
      </c>
      <c r="N99" s="2">
        <v>173984</v>
      </c>
      <c r="O99" s="2">
        <v>16076035</v>
      </c>
      <c r="P99" s="2">
        <v>16155827</v>
      </c>
      <c r="Q99" s="6">
        <v>10962962</v>
      </c>
      <c r="R99" s="6">
        <v>42438810</v>
      </c>
      <c r="S99" s="6">
        <v>1071069</v>
      </c>
      <c r="T99" s="6">
        <v>36753547</v>
      </c>
      <c r="U99" s="6">
        <v>6840214</v>
      </c>
      <c r="V99" s="6">
        <v>43593761</v>
      </c>
      <c r="W99" s="6">
        <v>8665710</v>
      </c>
      <c r="X99" s="6">
        <v>5625320</v>
      </c>
      <c r="Y99" s="2">
        <v>8510202</v>
      </c>
      <c r="AB99" s="2">
        <f t="shared" si="8"/>
        <v>160385112</v>
      </c>
      <c r="AC99" s="2">
        <f t="shared" si="9"/>
        <v>0</v>
      </c>
      <c r="AD99" s="8">
        <f t="shared" si="10"/>
        <v>0</v>
      </c>
      <c r="AE99" s="2">
        <f t="shared" si="11"/>
        <v>112357632</v>
      </c>
      <c r="AF99" s="2">
        <f t="shared" si="12"/>
        <v>0</v>
      </c>
      <c r="AG99" s="8">
        <f t="shared" si="13"/>
        <v>0</v>
      </c>
      <c r="AI99">
        <f t="shared" si="14"/>
        <v>0.58804538536137918</v>
      </c>
      <c r="AJ99">
        <f t="shared" si="15"/>
        <v>0.41195461463862076</v>
      </c>
    </row>
    <row r="100" spans="1:36" x14ac:dyDescent="0.25">
      <c r="A100" s="1">
        <v>38322</v>
      </c>
      <c r="B100" s="2">
        <v>271384922</v>
      </c>
      <c r="C100" s="4">
        <v>158112748</v>
      </c>
      <c r="D100" s="4">
        <v>113272174</v>
      </c>
      <c r="E100" s="2">
        <v>387034</v>
      </c>
      <c r="F100" s="2">
        <v>10388073</v>
      </c>
      <c r="G100" s="2">
        <v>221933</v>
      </c>
      <c r="H100" s="2">
        <v>40218363</v>
      </c>
      <c r="I100" s="2">
        <v>25096390</v>
      </c>
      <c r="J100" s="2">
        <v>427406</v>
      </c>
      <c r="K100" s="2">
        <v>8003181</v>
      </c>
      <c r="L100" s="2">
        <v>10254997</v>
      </c>
      <c r="M100" s="2">
        <v>24035775</v>
      </c>
      <c r="N100" s="2">
        <v>155709</v>
      </c>
      <c r="O100" s="2">
        <v>13711194</v>
      </c>
      <c r="P100" s="2">
        <v>16887913</v>
      </c>
      <c r="Q100" s="6">
        <v>9800266</v>
      </c>
      <c r="R100" s="6">
        <v>43422690</v>
      </c>
      <c r="S100" s="6">
        <v>1080286</v>
      </c>
      <c r="T100" s="6">
        <v>38065281</v>
      </c>
      <c r="U100" s="6">
        <v>7224939</v>
      </c>
      <c r="V100" s="6">
        <v>45290220</v>
      </c>
      <c r="W100" s="6">
        <v>8207305</v>
      </c>
      <c r="X100" s="6">
        <v>5471407</v>
      </c>
      <c r="Y100" s="2">
        <v>8324780</v>
      </c>
      <c r="AB100" s="2">
        <f t="shared" si="8"/>
        <v>158112748</v>
      </c>
      <c r="AC100" s="2">
        <f t="shared" si="9"/>
        <v>0</v>
      </c>
      <c r="AD100" s="8">
        <f t="shared" si="10"/>
        <v>0</v>
      </c>
      <c r="AE100" s="2">
        <f t="shared" si="11"/>
        <v>113272174</v>
      </c>
      <c r="AF100" s="2">
        <f t="shared" si="12"/>
        <v>0</v>
      </c>
      <c r="AG100" s="8">
        <f t="shared" si="13"/>
        <v>0</v>
      </c>
      <c r="AI100">
        <f t="shared" si="14"/>
        <v>0.58261434288526903</v>
      </c>
      <c r="AJ100">
        <f t="shared" si="15"/>
        <v>0.41738565711473091</v>
      </c>
    </row>
    <row r="101" spans="1:36" x14ac:dyDescent="0.25">
      <c r="A101" s="1">
        <v>38353</v>
      </c>
      <c r="B101" s="2">
        <v>277513628</v>
      </c>
      <c r="C101" s="4">
        <v>160526744</v>
      </c>
      <c r="D101" s="4">
        <v>116986884</v>
      </c>
      <c r="E101" s="2">
        <v>356734</v>
      </c>
      <c r="F101" s="2">
        <v>9443327</v>
      </c>
      <c r="G101" s="2">
        <v>201745</v>
      </c>
      <c r="H101" s="2">
        <v>40777832</v>
      </c>
      <c r="I101" s="2">
        <v>26257957</v>
      </c>
      <c r="J101" s="2">
        <v>437463</v>
      </c>
      <c r="K101" s="2">
        <v>8259269</v>
      </c>
      <c r="L101" s="2">
        <v>10092405</v>
      </c>
      <c r="M101" s="2">
        <v>24519363</v>
      </c>
      <c r="N101" s="2">
        <v>148902</v>
      </c>
      <c r="O101" s="2">
        <v>14615947</v>
      </c>
      <c r="P101" s="2">
        <v>17234777</v>
      </c>
      <c r="Q101" s="6">
        <v>10567066</v>
      </c>
      <c r="R101" s="6">
        <v>44781159</v>
      </c>
      <c r="S101" s="6">
        <v>1076389</v>
      </c>
      <c r="T101" s="6">
        <v>38855103</v>
      </c>
      <c r="U101" s="6">
        <v>7374918</v>
      </c>
      <c r="V101" s="6">
        <v>46230021</v>
      </c>
      <c r="W101" s="6">
        <v>8711173</v>
      </c>
      <c r="X101" s="6">
        <v>5621076</v>
      </c>
      <c r="Y101" s="2">
        <v>8181023</v>
      </c>
      <c r="AB101" s="2">
        <f t="shared" si="8"/>
        <v>160526744</v>
      </c>
      <c r="AC101" s="2">
        <f t="shared" si="9"/>
        <v>0</v>
      </c>
      <c r="AD101" s="8">
        <f t="shared" si="10"/>
        <v>0</v>
      </c>
      <c r="AE101" s="2">
        <f t="shared" si="11"/>
        <v>116986884</v>
      </c>
      <c r="AF101" s="2">
        <f t="shared" si="12"/>
        <v>0</v>
      </c>
      <c r="AG101" s="8">
        <f t="shared" si="13"/>
        <v>0</v>
      </c>
      <c r="AI101">
        <f t="shared" si="14"/>
        <v>0.5784463457052279</v>
      </c>
      <c r="AJ101">
        <f t="shared" si="15"/>
        <v>0.42155365429477215</v>
      </c>
    </row>
    <row r="102" spans="1:36" x14ac:dyDescent="0.25">
      <c r="A102" s="1">
        <v>38384</v>
      </c>
      <c r="B102" s="2">
        <v>284894607</v>
      </c>
      <c r="C102" s="4">
        <v>163606320</v>
      </c>
      <c r="D102" s="4">
        <v>121288287</v>
      </c>
      <c r="E102" s="2">
        <v>418621</v>
      </c>
      <c r="F102" s="2">
        <v>9277433</v>
      </c>
      <c r="G102" s="2">
        <v>181704</v>
      </c>
      <c r="H102" s="2">
        <v>41799484</v>
      </c>
      <c r="I102" s="2">
        <v>26883713</v>
      </c>
      <c r="J102" s="2">
        <v>435723</v>
      </c>
      <c r="K102" s="2">
        <v>8522771</v>
      </c>
      <c r="L102" s="2">
        <v>10051843</v>
      </c>
      <c r="M102" s="2">
        <v>25305449</v>
      </c>
      <c r="N102" s="2">
        <v>148864</v>
      </c>
      <c r="O102" s="2">
        <v>14995611</v>
      </c>
      <c r="P102" s="2">
        <v>17533755</v>
      </c>
      <c r="Q102" s="6">
        <v>11071342</v>
      </c>
      <c r="R102" s="6">
        <v>47218466</v>
      </c>
      <c r="S102" s="6">
        <v>1071868</v>
      </c>
      <c r="T102" s="6">
        <v>39339842</v>
      </c>
      <c r="U102" s="6">
        <v>7313439</v>
      </c>
      <c r="V102" s="6">
        <v>46653281</v>
      </c>
      <c r="W102" s="6">
        <v>9439745</v>
      </c>
      <c r="X102" s="6">
        <v>5833611</v>
      </c>
      <c r="Y102" s="2">
        <v>8051349</v>
      </c>
      <c r="AB102" s="2">
        <f t="shared" si="8"/>
        <v>163606320</v>
      </c>
      <c r="AC102" s="2">
        <f t="shared" si="9"/>
        <v>0</v>
      </c>
      <c r="AD102" s="8">
        <f t="shared" si="10"/>
        <v>0</v>
      </c>
      <c r="AE102" s="2">
        <f t="shared" si="11"/>
        <v>121288313</v>
      </c>
      <c r="AF102" s="2">
        <f t="shared" si="12"/>
        <v>26</v>
      </c>
      <c r="AG102" s="8">
        <f t="shared" si="13"/>
        <v>2.1436525380644053E-7</v>
      </c>
      <c r="AI102">
        <f t="shared" si="14"/>
        <v>0.57426962806635362</v>
      </c>
      <c r="AJ102">
        <f t="shared" si="15"/>
        <v>0.42573037193364632</v>
      </c>
    </row>
    <row r="103" spans="1:36" x14ac:dyDescent="0.25">
      <c r="A103" s="1">
        <v>38412</v>
      </c>
      <c r="B103" s="2">
        <v>291078482</v>
      </c>
      <c r="C103" s="4">
        <v>165531573</v>
      </c>
      <c r="D103" s="4">
        <v>125546909</v>
      </c>
      <c r="E103" s="2">
        <v>398139</v>
      </c>
      <c r="F103" s="2">
        <v>9608668</v>
      </c>
      <c r="G103" s="2">
        <v>193887</v>
      </c>
      <c r="H103" s="2">
        <v>42868156</v>
      </c>
      <c r="I103" s="2">
        <v>26219906</v>
      </c>
      <c r="J103" s="2">
        <v>447214</v>
      </c>
      <c r="K103" s="2">
        <v>8807221</v>
      </c>
      <c r="L103" s="2">
        <v>9587262</v>
      </c>
      <c r="M103" s="2">
        <v>25874869</v>
      </c>
      <c r="N103" s="2">
        <v>167325</v>
      </c>
      <c r="O103" s="2">
        <v>15587779</v>
      </c>
      <c r="P103" s="2">
        <v>17944559</v>
      </c>
      <c r="Q103" s="6">
        <v>11501746</v>
      </c>
      <c r="R103" s="6">
        <v>49965156</v>
      </c>
      <c r="S103" s="6">
        <v>1057033</v>
      </c>
      <c r="T103" s="6">
        <v>40221467</v>
      </c>
      <c r="U103" s="6">
        <v>7393980</v>
      </c>
      <c r="V103" s="6">
        <v>47615447</v>
      </c>
      <c r="W103" s="6">
        <v>9230843</v>
      </c>
      <c r="X103" s="6">
        <v>6176684</v>
      </c>
      <c r="Y103" s="2">
        <v>7826588</v>
      </c>
      <c r="AB103" s="2">
        <f t="shared" si="8"/>
        <v>165531573</v>
      </c>
      <c r="AC103" s="2">
        <f t="shared" si="9"/>
        <v>0</v>
      </c>
      <c r="AD103" s="8">
        <f t="shared" si="10"/>
        <v>0</v>
      </c>
      <c r="AE103" s="2">
        <f t="shared" si="11"/>
        <v>125546909</v>
      </c>
      <c r="AF103" s="2">
        <f t="shared" si="12"/>
        <v>0</v>
      </c>
      <c r="AG103" s="8">
        <f t="shared" si="13"/>
        <v>0</v>
      </c>
      <c r="AI103">
        <f t="shared" si="14"/>
        <v>0.56868364800665683</v>
      </c>
      <c r="AJ103">
        <f t="shared" si="15"/>
        <v>0.43131635199334317</v>
      </c>
    </row>
    <row r="104" spans="1:36" x14ac:dyDescent="0.25">
      <c r="A104" s="1">
        <v>38443</v>
      </c>
      <c r="B104" s="2">
        <v>299471603</v>
      </c>
      <c r="C104" s="4">
        <v>169633090</v>
      </c>
      <c r="D104" s="4">
        <v>129838513</v>
      </c>
      <c r="E104" s="2">
        <v>421313</v>
      </c>
      <c r="F104" s="2">
        <v>10098663</v>
      </c>
      <c r="G104" s="2">
        <v>198819</v>
      </c>
      <c r="H104" s="2">
        <v>43907129</v>
      </c>
      <c r="I104" s="2">
        <v>27392396</v>
      </c>
      <c r="J104" s="2">
        <v>472256</v>
      </c>
      <c r="K104" s="2">
        <v>9135349</v>
      </c>
      <c r="L104" s="2">
        <v>9676688</v>
      </c>
      <c r="M104" s="2">
        <v>26208008</v>
      </c>
      <c r="N104" s="2">
        <v>158874</v>
      </c>
      <c r="O104" s="2">
        <v>15396982</v>
      </c>
      <c r="P104" s="2">
        <v>18767204</v>
      </c>
      <c r="Q104" s="6">
        <v>11550304</v>
      </c>
      <c r="R104" s="6">
        <v>52332903</v>
      </c>
      <c r="S104" s="6">
        <v>1036165</v>
      </c>
      <c r="T104" s="6">
        <v>40957737</v>
      </c>
      <c r="U104" s="6">
        <v>7577546</v>
      </c>
      <c r="V104" s="6">
        <v>48535283</v>
      </c>
      <c r="W104" s="6">
        <v>9941636</v>
      </c>
      <c r="X104" s="6">
        <v>6436891</v>
      </c>
      <c r="Y104" s="2">
        <v>7799409</v>
      </c>
      <c r="AB104" s="2">
        <f t="shared" si="8"/>
        <v>169633090</v>
      </c>
      <c r="AC104" s="2">
        <f t="shared" si="9"/>
        <v>0</v>
      </c>
      <c r="AD104" s="8">
        <f t="shared" si="10"/>
        <v>0</v>
      </c>
      <c r="AE104" s="2">
        <f t="shared" si="11"/>
        <v>129833182</v>
      </c>
      <c r="AF104" s="2">
        <f t="shared" si="12"/>
        <v>-5331</v>
      </c>
      <c r="AG104" s="8">
        <f t="shared" si="13"/>
        <v>-4.1060381621086663E-5</v>
      </c>
      <c r="AI104">
        <f t="shared" si="14"/>
        <v>0.56644131964659095</v>
      </c>
      <c r="AJ104">
        <f t="shared" si="15"/>
        <v>0.433558680353409</v>
      </c>
    </row>
    <row r="105" spans="1:36" x14ac:dyDescent="0.25">
      <c r="A105" s="1">
        <v>38473</v>
      </c>
      <c r="B105" s="2">
        <v>302051237</v>
      </c>
      <c r="C105" s="4">
        <v>167884008</v>
      </c>
      <c r="D105" s="4">
        <v>134167229</v>
      </c>
      <c r="E105" s="2">
        <v>404788</v>
      </c>
      <c r="F105" s="2">
        <v>9911819</v>
      </c>
      <c r="G105" s="2">
        <v>206405</v>
      </c>
      <c r="H105" s="2">
        <v>43505792</v>
      </c>
      <c r="I105" s="2">
        <v>28210644</v>
      </c>
      <c r="J105" s="2">
        <v>474470</v>
      </c>
      <c r="K105" s="2">
        <v>9219181</v>
      </c>
      <c r="L105" s="2">
        <v>9204658</v>
      </c>
      <c r="M105" s="2">
        <v>25627847</v>
      </c>
      <c r="N105" s="2">
        <v>46486</v>
      </c>
      <c r="O105" s="2">
        <v>14919327</v>
      </c>
      <c r="P105" s="2">
        <v>18684240</v>
      </c>
      <c r="Q105" s="6">
        <v>12044410</v>
      </c>
      <c r="R105" s="6">
        <v>54344976</v>
      </c>
      <c r="S105" s="6">
        <v>1049336</v>
      </c>
      <c r="T105" s="6">
        <v>41795094</v>
      </c>
      <c r="U105" s="6">
        <v>7991679</v>
      </c>
      <c r="V105" s="6">
        <v>49786773</v>
      </c>
      <c r="W105" s="6">
        <v>10051364</v>
      </c>
      <c r="X105" s="6">
        <v>6888526</v>
      </c>
      <c r="Y105" s="2">
        <v>7468351</v>
      </c>
      <c r="AB105" s="2">
        <f t="shared" si="8"/>
        <v>167884008</v>
      </c>
      <c r="AC105" s="2">
        <f t="shared" si="9"/>
        <v>0</v>
      </c>
      <c r="AD105" s="8">
        <f t="shared" si="10"/>
        <v>0</v>
      </c>
      <c r="AE105" s="2">
        <f t="shared" si="11"/>
        <v>134165385</v>
      </c>
      <c r="AF105" s="2">
        <f t="shared" si="12"/>
        <v>-1844</v>
      </c>
      <c r="AG105" s="8">
        <f t="shared" si="13"/>
        <v>-1.3744230674700482E-5</v>
      </c>
      <c r="AI105">
        <f t="shared" si="14"/>
        <v>0.5558130126114994</v>
      </c>
      <c r="AJ105">
        <f t="shared" si="15"/>
        <v>0.4441869873885006</v>
      </c>
    </row>
    <row r="106" spans="1:36" x14ac:dyDescent="0.25">
      <c r="A106" s="1">
        <v>38504</v>
      </c>
      <c r="B106" s="2">
        <v>306497273</v>
      </c>
      <c r="C106" s="4">
        <v>169865405</v>
      </c>
      <c r="D106" s="4">
        <v>136631868</v>
      </c>
      <c r="E106" s="2">
        <v>422996</v>
      </c>
      <c r="F106" s="2">
        <v>9996602</v>
      </c>
      <c r="G106" s="2">
        <v>196850</v>
      </c>
      <c r="H106" s="2">
        <v>44488564</v>
      </c>
      <c r="I106" s="2">
        <v>28378750</v>
      </c>
      <c r="J106" s="2">
        <v>489301</v>
      </c>
      <c r="K106" s="2">
        <v>9446065</v>
      </c>
      <c r="L106" s="2">
        <v>8898044</v>
      </c>
      <c r="M106" s="2">
        <v>25314648</v>
      </c>
      <c r="N106" s="2">
        <v>36600</v>
      </c>
      <c r="O106" s="2">
        <v>14901981</v>
      </c>
      <c r="P106" s="2">
        <v>19787538</v>
      </c>
      <c r="Q106" s="6">
        <v>11790318</v>
      </c>
      <c r="R106" s="6">
        <v>55426011</v>
      </c>
      <c r="S106" s="6">
        <v>1048732</v>
      </c>
      <c r="T106" s="6">
        <v>42722706</v>
      </c>
      <c r="U106" s="6">
        <v>8351397</v>
      </c>
      <c r="V106" s="6">
        <v>51074103</v>
      </c>
      <c r="W106" s="6">
        <v>10196214</v>
      </c>
      <c r="X106" s="6">
        <v>7096557</v>
      </c>
      <c r="Y106" s="2">
        <v>7507466</v>
      </c>
      <c r="AB106" s="2">
        <f t="shared" si="8"/>
        <v>169865405</v>
      </c>
      <c r="AC106" s="2">
        <f t="shared" si="9"/>
        <v>0</v>
      </c>
      <c r="AD106" s="8">
        <f t="shared" si="10"/>
        <v>0</v>
      </c>
      <c r="AE106" s="2">
        <f t="shared" si="11"/>
        <v>136631935</v>
      </c>
      <c r="AF106" s="2">
        <f t="shared" si="12"/>
        <v>67</v>
      </c>
      <c r="AG106" s="8">
        <f t="shared" si="13"/>
        <v>4.9036852182471103E-7</v>
      </c>
      <c r="AI106">
        <f t="shared" si="14"/>
        <v>0.55421506148278199</v>
      </c>
      <c r="AJ106">
        <f t="shared" si="15"/>
        <v>0.44578493851721807</v>
      </c>
    </row>
    <row r="107" spans="1:36" x14ac:dyDescent="0.25">
      <c r="A107" s="1">
        <v>38534</v>
      </c>
      <c r="B107" s="2">
        <v>312348781</v>
      </c>
      <c r="C107" s="4">
        <v>172088402</v>
      </c>
      <c r="D107" s="4">
        <v>140260379</v>
      </c>
      <c r="E107" s="2">
        <v>511247</v>
      </c>
      <c r="F107" s="2">
        <v>9977000</v>
      </c>
      <c r="G107" s="2">
        <v>219661</v>
      </c>
      <c r="H107" s="2">
        <v>45485119</v>
      </c>
      <c r="I107" s="2">
        <v>28513544</v>
      </c>
      <c r="J107" s="2">
        <v>498916</v>
      </c>
      <c r="K107" s="2">
        <v>9595625</v>
      </c>
      <c r="L107" s="2">
        <v>8579367</v>
      </c>
      <c r="M107" s="2">
        <v>25028940</v>
      </c>
      <c r="N107" s="2">
        <v>40478</v>
      </c>
      <c r="O107" s="2">
        <v>15613030</v>
      </c>
      <c r="P107" s="2">
        <v>20178177</v>
      </c>
      <c r="Q107" s="6">
        <v>11646524</v>
      </c>
      <c r="R107" s="6">
        <v>57270000</v>
      </c>
      <c r="S107" s="6">
        <v>1017059</v>
      </c>
      <c r="T107" s="6">
        <v>43636074</v>
      </c>
      <c r="U107" s="6">
        <v>8824004</v>
      </c>
      <c r="V107" s="6">
        <v>52460078</v>
      </c>
      <c r="W107" s="6">
        <v>10511853</v>
      </c>
      <c r="X107" s="6">
        <v>7349412</v>
      </c>
      <c r="Y107" s="2">
        <v>7847298</v>
      </c>
      <c r="AB107" s="2">
        <f t="shared" si="8"/>
        <v>172088402</v>
      </c>
      <c r="AC107" s="2">
        <f t="shared" si="9"/>
        <v>0</v>
      </c>
      <c r="AD107" s="8">
        <f t="shared" si="10"/>
        <v>0</v>
      </c>
      <c r="AE107" s="2">
        <f t="shared" si="11"/>
        <v>140254926</v>
      </c>
      <c r="AF107" s="2">
        <f t="shared" si="12"/>
        <v>-5453</v>
      </c>
      <c r="AG107" s="8">
        <f t="shared" si="13"/>
        <v>-3.8879204855877933E-5</v>
      </c>
      <c r="AI107">
        <f t="shared" si="14"/>
        <v>0.55094949129959947</v>
      </c>
      <c r="AJ107">
        <f t="shared" si="15"/>
        <v>0.44905050870040053</v>
      </c>
    </row>
    <row r="108" spans="1:36" x14ac:dyDescent="0.25">
      <c r="A108" s="1">
        <v>38565</v>
      </c>
      <c r="B108" s="2">
        <v>317535537</v>
      </c>
      <c r="C108" s="4">
        <v>172369819</v>
      </c>
      <c r="D108" s="4">
        <v>145165718</v>
      </c>
      <c r="E108" s="2">
        <v>395173</v>
      </c>
      <c r="F108" s="2">
        <v>9858093</v>
      </c>
      <c r="G108" s="2">
        <v>220396</v>
      </c>
      <c r="H108" s="2">
        <v>46340128</v>
      </c>
      <c r="I108" s="2">
        <v>27897107</v>
      </c>
      <c r="J108" s="2">
        <v>557434</v>
      </c>
      <c r="K108" s="2">
        <v>9692964</v>
      </c>
      <c r="L108" s="2">
        <v>8893284</v>
      </c>
      <c r="M108" s="2">
        <v>24879476</v>
      </c>
      <c r="N108" s="2">
        <v>43838</v>
      </c>
      <c r="O108" s="2">
        <v>15353953</v>
      </c>
      <c r="P108" s="2">
        <v>20436386</v>
      </c>
      <c r="Q108" s="6">
        <v>12265159</v>
      </c>
      <c r="R108" s="6">
        <v>59015306</v>
      </c>
      <c r="S108" s="6">
        <v>1036531</v>
      </c>
      <c r="T108" s="6">
        <v>45043780</v>
      </c>
      <c r="U108" s="6">
        <v>9416143</v>
      </c>
      <c r="V108" s="6">
        <v>54459923</v>
      </c>
      <c r="W108" s="6">
        <v>10687250</v>
      </c>
      <c r="X108" s="6">
        <v>7701548</v>
      </c>
      <c r="Y108" s="2">
        <v>7801587</v>
      </c>
      <c r="AB108" s="2">
        <f t="shared" si="8"/>
        <v>172369819</v>
      </c>
      <c r="AC108" s="2">
        <f t="shared" si="9"/>
        <v>0</v>
      </c>
      <c r="AD108" s="8">
        <f t="shared" si="10"/>
        <v>0</v>
      </c>
      <c r="AE108" s="2">
        <f t="shared" si="11"/>
        <v>145165717</v>
      </c>
      <c r="AF108" s="2">
        <f t="shared" si="12"/>
        <v>-1</v>
      </c>
      <c r="AG108" s="8">
        <f t="shared" si="13"/>
        <v>-6.8886788193937001E-9</v>
      </c>
      <c r="AI108">
        <f t="shared" si="14"/>
        <v>0.54283630937346072</v>
      </c>
      <c r="AJ108">
        <f t="shared" si="15"/>
        <v>0.45716369062653922</v>
      </c>
    </row>
    <row r="109" spans="1:36" x14ac:dyDescent="0.25">
      <c r="A109" s="1">
        <v>38596</v>
      </c>
      <c r="B109" s="2">
        <v>323354719</v>
      </c>
      <c r="C109" s="4">
        <v>174662733</v>
      </c>
      <c r="D109" s="4">
        <v>148691986</v>
      </c>
      <c r="E109" s="2">
        <v>427656</v>
      </c>
      <c r="F109" s="2">
        <v>10194348</v>
      </c>
      <c r="G109" s="2">
        <v>213139</v>
      </c>
      <c r="H109" s="2">
        <v>47405335</v>
      </c>
      <c r="I109" s="2">
        <v>29166478</v>
      </c>
      <c r="J109" s="2">
        <v>553803</v>
      </c>
      <c r="K109" s="2">
        <v>9826122</v>
      </c>
      <c r="L109" s="2">
        <v>9133151</v>
      </c>
      <c r="M109" s="2">
        <v>23628994</v>
      </c>
      <c r="N109" s="2">
        <v>42268</v>
      </c>
      <c r="O109" s="2">
        <v>15013683</v>
      </c>
      <c r="P109" s="2">
        <v>21541120</v>
      </c>
      <c r="Q109" s="6">
        <v>12296649</v>
      </c>
      <c r="R109" s="6">
        <v>60531439</v>
      </c>
      <c r="S109" s="6">
        <v>948109</v>
      </c>
      <c r="T109" s="6">
        <v>46218118</v>
      </c>
      <c r="U109" s="6">
        <v>9470618</v>
      </c>
      <c r="V109" s="6">
        <v>55688736</v>
      </c>
      <c r="W109" s="6">
        <v>11210711</v>
      </c>
      <c r="X109" s="6">
        <v>8016385</v>
      </c>
      <c r="Y109" s="2">
        <v>7516636</v>
      </c>
      <c r="AB109" s="2">
        <f t="shared" si="8"/>
        <v>174662733</v>
      </c>
      <c r="AC109" s="2">
        <f t="shared" si="9"/>
        <v>0</v>
      </c>
      <c r="AD109" s="8">
        <f t="shared" si="10"/>
        <v>0</v>
      </c>
      <c r="AE109" s="2">
        <f t="shared" si="11"/>
        <v>148692029</v>
      </c>
      <c r="AF109" s="2">
        <f t="shared" si="12"/>
        <v>43</v>
      </c>
      <c r="AG109" s="8">
        <f t="shared" si="13"/>
        <v>2.8918833302086422E-7</v>
      </c>
      <c r="AI109">
        <f t="shared" si="14"/>
        <v>0.54015829284990269</v>
      </c>
      <c r="AJ109">
        <f t="shared" si="15"/>
        <v>0.45984170715009731</v>
      </c>
    </row>
    <row r="110" spans="1:36" x14ac:dyDescent="0.25">
      <c r="A110" s="1">
        <v>38626</v>
      </c>
      <c r="B110" s="2">
        <v>330085202</v>
      </c>
      <c r="C110" s="4">
        <v>178312513</v>
      </c>
      <c r="D110" s="4">
        <v>151772689</v>
      </c>
      <c r="E110" s="2">
        <v>487332</v>
      </c>
      <c r="F110" s="2">
        <v>10161779</v>
      </c>
      <c r="G110" s="2">
        <v>220458</v>
      </c>
      <c r="H110" s="2">
        <v>47894826</v>
      </c>
      <c r="I110" s="2">
        <v>30121360</v>
      </c>
      <c r="J110" s="2">
        <v>519081</v>
      </c>
      <c r="K110" s="2">
        <v>10074828</v>
      </c>
      <c r="L110" s="2">
        <v>9096503</v>
      </c>
      <c r="M110" s="2">
        <v>24610269</v>
      </c>
      <c r="N110" s="2">
        <v>55287</v>
      </c>
      <c r="O110" s="2">
        <v>15535929</v>
      </c>
      <c r="P110" s="2">
        <v>21569715</v>
      </c>
      <c r="Q110" s="6">
        <v>12509262</v>
      </c>
      <c r="R110" s="6">
        <v>61650256</v>
      </c>
      <c r="S110" s="6">
        <v>947556</v>
      </c>
      <c r="T110" s="6">
        <v>47406012</v>
      </c>
      <c r="U110" s="6">
        <v>9621180</v>
      </c>
      <c r="V110" s="6">
        <v>57027192</v>
      </c>
      <c r="W110" s="6">
        <v>11494603</v>
      </c>
      <c r="X110" s="6">
        <v>8143922</v>
      </c>
      <c r="Y110" s="2">
        <v>7965146</v>
      </c>
      <c r="AB110" s="2">
        <f t="shared" si="8"/>
        <v>178312513</v>
      </c>
      <c r="AC110" s="2">
        <f t="shared" si="9"/>
        <v>0</v>
      </c>
      <c r="AD110" s="8">
        <f t="shared" si="10"/>
        <v>0</v>
      </c>
      <c r="AE110" s="2">
        <f t="shared" si="11"/>
        <v>151772791</v>
      </c>
      <c r="AF110" s="2">
        <f t="shared" si="12"/>
        <v>102</v>
      </c>
      <c r="AG110" s="8">
        <f t="shared" si="13"/>
        <v>6.7205722005863355E-7</v>
      </c>
      <c r="AI110">
        <f t="shared" si="14"/>
        <v>0.54020147501189708</v>
      </c>
      <c r="AJ110">
        <f t="shared" si="15"/>
        <v>0.45979852498810292</v>
      </c>
    </row>
    <row r="111" spans="1:36" x14ac:dyDescent="0.25">
      <c r="A111" s="1">
        <v>38657</v>
      </c>
      <c r="B111" s="2">
        <v>337994991</v>
      </c>
      <c r="C111" s="4">
        <v>182111469</v>
      </c>
      <c r="D111" s="4">
        <v>155883522</v>
      </c>
      <c r="E111" s="2">
        <v>460792</v>
      </c>
      <c r="F111" s="2">
        <v>10409413</v>
      </c>
      <c r="G111" s="2">
        <v>216923</v>
      </c>
      <c r="H111" s="2">
        <v>50265639</v>
      </c>
      <c r="I111" s="2">
        <v>30434005</v>
      </c>
      <c r="J111" s="2">
        <v>524812</v>
      </c>
      <c r="K111" s="2">
        <v>10571791</v>
      </c>
      <c r="L111" s="2">
        <v>9546143</v>
      </c>
      <c r="M111" s="2">
        <v>23508062</v>
      </c>
      <c r="N111" s="2">
        <v>53343</v>
      </c>
      <c r="O111" s="2">
        <v>15650145</v>
      </c>
      <c r="P111" s="2">
        <v>22653494</v>
      </c>
      <c r="Q111" s="6">
        <v>12527485</v>
      </c>
      <c r="R111" s="6">
        <v>63254734</v>
      </c>
      <c r="S111" s="6">
        <v>947066</v>
      </c>
      <c r="T111" s="6">
        <v>48935289</v>
      </c>
      <c r="U111" s="6">
        <v>10030622</v>
      </c>
      <c r="V111" s="6">
        <v>58965911</v>
      </c>
      <c r="W111" s="6">
        <v>11774338</v>
      </c>
      <c r="X111" s="6">
        <v>8413988</v>
      </c>
      <c r="Y111" s="2">
        <v>7816907</v>
      </c>
      <c r="AB111" s="2">
        <f t="shared" si="8"/>
        <v>182111469</v>
      </c>
      <c r="AC111" s="2">
        <f t="shared" si="9"/>
        <v>0</v>
      </c>
      <c r="AD111" s="8">
        <f t="shared" si="10"/>
        <v>0</v>
      </c>
      <c r="AE111" s="2">
        <f t="shared" si="11"/>
        <v>155883522</v>
      </c>
      <c r="AF111" s="2">
        <f t="shared" si="12"/>
        <v>0</v>
      </c>
      <c r="AG111" s="8">
        <f t="shared" si="13"/>
        <v>0</v>
      </c>
      <c r="AI111">
        <f t="shared" si="14"/>
        <v>0.5387993131531349</v>
      </c>
      <c r="AJ111">
        <f t="shared" si="15"/>
        <v>0.46120068684686516</v>
      </c>
    </row>
    <row r="112" spans="1:36" x14ac:dyDescent="0.25">
      <c r="A112" s="1">
        <v>38687</v>
      </c>
      <c r="B112" s="2">
        <v>340634547</v>
      </c>
      <c r="C112" s="4">
        <v>185444223</v>
      </c>
      <c r="D112" s="4">
        <v>155190324</v>
      </c>
      <c r="E112" s="2">
        <v>468511</v>
      </c>
      <c r="F112" s="2">
        <v>10958103</v>
      </c>
      <c r="G112" s="2">
        <v>220398</v>
      </c>
      <c r="H112" s="2">
        <v>51490568</v>
      </c>
      <c r="I112" s="2">
        <v>29732002</v>
      </c>
      <c r="J112" s="2">
        <v>609392</v>
      </c>
      <c r="K112" s="2">
        <v>11152064</v>
      </c>
      <c r="L112" s="2">
        <v>9987457</v>
      </c>
      <c r="M112" s="2">
        <v>23856159</v>
      </c>
      <c r="N112" s="2">
        <v>57171</v>
      </c>
      <c r="O112" s="2">
        <v>16040804</v>
      </c>
      <c r="P112" s="2">
        <v>22728097</v>
      </c>
      <c r="Q112" s="6">
        <v>10974298</v>
      </c>
      <c r="R112" s="6">
        <v>63443780</v>
      </c>
      <c r="S112" s="6">
        <v>956064</v>
      </c>
      <c r="T112" s="6">
        <v>50684709</v>
      </c>
      <c r="U112" s="6">
        <v>10229173</v>
      </c>
      <c r="V112" s="6">
        <v>60913882</v>
      </c>
      <c r="W112" s="6">
        <v>11259532</v>
      </c>
      <c r="X112" s="6">
        <v>7642768</v>
      </c>
      <c r="Y112" s="2">
        <v>8143497</v>
      </c>
      <c r="AB112" s="2">
        <f t="shared" si="8"/>
        <v>185444223</v>
      </c>
      <c r="AC112" s="2">
        <f t="shared" si="9"/>
        <v>0</v>
      </c>
      <c r="AD112" s="8">
        <f t="shared" si="10"/>
        <v>0</v>
      </c>
      <c r="AE112" s="2">
        <f t="shared" si="11"/>
        <v>155190324</v>
      </c>
      <c r="AF112" s="2">
        <f t="shared" si="12"/>
        <v>0</v>
      </c>
      <c r="AG112" s="8">
        <f t="shared" si="13"/>
        <v>0</v>
      </c>
      <c r="AI112">
        <f t="shared" si="14"/>
        <v>0.54440814836082962</v>
      </c>
      <c r="AJ112">
        <f t="shared" si="15"/>
        <v>0.45559185163917038</v>
      </c>
    </row>
    <row r="113" spans="1:36" x14ac:dyDescent="0.25">
      <c r="A113" s="1">
        <v>38718</v>
      </c>
      <c r="B113" s="2">
        <v>343867597</v>
      </c>
      <c r="C113" s="4">
        <v>183278268</v>
      </c>
      <c r="D113" s="4">
        <v>160589329</v>
      </c>
      <c r="E113" s="2">
        <v>365522</v>
      </c>
      <c r="F113" s="2">
        <v>9924416</v>
      </c>
      <c r="G113" s="2">
        <v>205892</v>
      </c>
      <c r="H113" s="2">
        <v>51197035</v>
      </c>
      <c r="I113" s="2">
        <v>30324409</v>
      </c>
      <c r="J113" s="2">
        <v>623208</v>
      </c>
      <c r="K113" s="2">
        <v>11276958</v>
      </c>
      <c r="L113" s="2">
        <v>9541385</v>
      </c>
      <c r="M113" s="2">
        <v>23398433</v>
      </c>
      <c r="N113" s="2">
        <v>54403</v>
      </c>
      <c r="O113" s="2">
        <v>15612196</v>
      </c>
      <c r="P113" s="2">
        <v>22604725</v>
      </c>
      <c r="Q113" s="6">
        <v>12232465</v>
      </c>
      <c r="R113" s="6">
        <v>65010067</v>
      </c>
      <c r="S113" s="6">
        <v>899582</v>
      </c>
      <c r="T113" s="6">
        <v>51938053</v>
      </c>
      <c r="U113" s="6">
        <v>10241441</v>
      </c>
      <c r="V113" s="6">
        <v>62179494</v>
      </c>
      <c r="W113" s="6">
        <v>11881632</v>
      </c>
      <c r="X113" s="6">
        <v>8386089</v>
      </c>
      <c r="Y113" s="2">
        <v>8149686</v>
      </c>
      <c r="AB113" s="2">
        <f t="shared" si="8"/>
        <v>183278268</v>
      </c>
      <c r="AC113" s="2">
        <f t="shared" si="9"/>
        <v>0</v>
      </c>
      <c r="AD113" s="8">
        <f t="shared" si="10"/>
        <v>0</v>
      </c>
      <c r="AE113" s="2">
        <f t="shared" si="11"/>
        <v>160589329</v>
      </c>
      <c r="AF113" s="2">
        <f t="shared" si="12"/>
        <v>0</v>
      </c>
      <c r="AG113" s="8">
        <f t="shared" si="13"/>
        <v>0</v>
      </c>
      <c r="AI113">
        <f t="shared" si="14"/>
        <v>0.5329908069238638</v>
      </c>
      <c r="AJ113">
        <f t="shared" si="15"/>
        <v>0.4670091930761362</v>
      </c>
    </row>
    <row r="114" spans="1:36" x14ac:dyDescent="0.25">
      <c r="A114" s="1">
        <v>38749</v>
      </c>
      <c r="B114" s="2">
        <v>350258758</v>
      </c>
      <c r="C114" s="4">
        <v>186452452</v>
      </c>
      <c r="D114" s="4">
        <v>163806306</v>
      </c>
      <c r="E114" s="2">
        <v>424097</v>
      </c>
      <c r="F114" s="2">
        <v>10384494</v>
      </c>
      <c r="G114" s="2">
        <v>215161</v>
      </c>
      <c r="H114" s="2">
        <v>52414507</v>
      </c>
      <c r="I114" s="2">
        <v>31294643</v>
      </c>
      <c r="J114" s="2">
        <v>708755</v>
      </c>
      <c r="K114" s="2">
        <v>11669957</v>
      </c>
      <c r="L114" s="2">
        <v>9951206</v>
      </c>
      <c r="M114" s="2">
        <v>23231057</v>
      </c>
      <c r="N114" s="2">
        <v>36258</v>
      </c>
      <c r="O114" s="2">
        <v>15017168</v>
      </c>
      <c r="P114" s="2">
        <v>23102373</v>
      </c>
      <c r="Q114" s="6">
        <v>11789726</v>
      </c>
      <c r="R114" s="6">
        <v>66657810</v>
      </c>
      <c r="S114" s="6">
        <v>841835</v>
      </c>
      <c r="T114" s="6">
        <v>53154236</v>
      </c>
      <c r="U114" s="6">
        <v>10160748</v>
      </c>
      <c r="V114" s="6">
        <v>63314984</v>
      </c>
      <c r="W114" s="6">
        <v>12656926</v>
      </c>
      <c r="X114" s="6">
        <v>8545025</v>
      </c>
      <c r="Y114" s="2">
        <v>8002776</v>
      </c>
      <c r="AB114" s="2">
        <f t="shared" si="8"/>
        <v>186452452</v>
      </c>
      <c r="AC114" s="2">
        <f t="shared" si="9"/>
        <v>0</v>
      </c>
      <c r="AD114" s="8">
        <f t="shared" si="10"/>
        <v>0</v>
      </c>
      <c r="AE114" s="2">
        <f t="shared" si="11"/>
        <v>163806306</v>
      </c>
      <c r="AF114" s="2">
        <f t="shared" si="12"/>
        <v>0</v>
      </c>
      <c r="AG114" s="8">
        <f t="shared" si="13"/>
        <v>0</v>
      </c>
      <c r="AI114">
        <f t="shared" si="14"/>
        <v>0.5323277369698205</v>
      </c>
      <c r="AJ114">
        <f t="shared" si="15"/>
        <v>0.46767226303017956</v>
      </c>
    </row>
    <row r="115" spans="1:36" x14ac:dyDescent="0.25">
      <c r="A115" s="1">
        <v>38777</v>
      </c>
      <c r="B115" s="2">
        <v>357302919</v>
      </c>
      <c r="C115" s="4">
        <v>189202998</v>
      </c>
      <c r="D115" s="4">
        <v>168099921</v>
      </c>
      <c r="E115" s="2">
        <v>393107</v>
      </c>
      <c r="F115" s="2">
        <v>10426655</v>
      </c>
      <c r="G115" s="2">
        <v>213564</v>
      </c>
      <c r="H115" s="2">
        <v>52731174</v>
      </c>
      <c r="I115" s="2">
        <v>30531352</v>
      </c>
      <c r="J115" s="2">
        <v>651860</v>
      </c>
      <c r="K115" s="2">
        <v>11995281</v>
      </c>
      <c r="L115" s="2">
        <v>9790865</v>
      </c>
      <c r="M115" s="2">
        <v>23970427</v>
      </c>
      <c r="N115" s="2">
        <v>41328</v>
      </c>
      <c r="O115" s="2">
        <v>16556003</v>
      </c>
      <c r="P115" s="2">
        <v>23640113</v>
      </c>
      <c r="Q115" s="6">
        <v>12825341</v>
      </c>
      <c r="R115" s="6">
        <v>68390518</v>
      </c>
      <c r="S115" s="6">
        <v>868783</v>
      </c>
      <c r="T115" s="6">
        <v>54305631</v>
      </c>
      <c r="U115" s="6">
        <v>10115085</v>
      </c>
      <c r="V115" s="6">
        <v>64420716</v>
      </c>
      <c r="W115" s="6">
        <v>12492154</v>
      </c>
      <c r="X115" s="6">
        <v>9102409</v>
      </c>
      <c r="Y115" s="2">
        <v>8261269</v>
      </c>
      <c r="AB115" s="2">
        <f t="shared" si="8"/>
        <v>189202998</v>
      </c>
      <c r="AC115" s="2">
        <f t="shared" si="9"/>
        <v>0</v>
      </c>
      <c r="AD115" s="8">
        <f t="shared" si="10"/>
        <v>0</v>
      </c>
      <c r="AE115" s="2">
        <f t="shared" si="11"/>
        <v>168099921</v>
      </c>
      <c r="AF115" s="2">
        <f t="shared" si="12"/>
        <v>0</v>
      </c>
      <c r="AG115" s="8">
        <f t="shared" si="13"/>
        <v>0</v>
      </c>
      <c r="AI115">
        <f t="shared" si="14"/>
        <v>0.52953107276461964</v>
      </c>
      <c r="AJ115">
        <f t="shared" si="15"/>
        <v>0.47046892723538036</v>
      </c>
    </row>
    <row r="116" spans="1:36" x14ac:dyDescent="0.25">
      <c r="A116" s="1">
        <v>38808</v>
      </c>
      <c r="B116" s="2">
        <v>365431382</v>
      </c>
      <c r="C116" s="4">
        <v>193455658</v>
      </c>
      <c r="D116" s="4">
        <v>171975724</v>
      </c>
      <c r="E116" s="2">
        <v>296522</v>
      </c>
      <c r="F116" s="2">
        <v>10737716</v>
      </c>
      <c r="G116" s="2">
        <v>146652</v>
      </c>
      <c r="H116" s="2">
        <v>53130154</v>
      </c>
      <c r="I116" s="2">
        <v>31842842</v>
      </c>
      <c r="J116" s="2">
        <v>637471</v>
      </c>
      <c r="K116" s="2">
        <v>12072585</v>
      </c>
      <c r="L116" s="2">
        <v>9725143</v>
      </c>
      <c r="M116" s="2">
        <v>24969046</v>
      </c>
      <c r="N116" s="2">
        <v>39647</v>
      </c>
      <c r="O116" s="2">
        <v>17082558</v>
      </c>
      <c r="P116" s="2">
        <v>24525419</v>
      </c>
      <c r="Q116" s="6">
        <v>12905085</v>
      </c>
      <c r="R116" s="6">
        <v>70675076</v>
      </c>
      <c r="S116" s="6">
        <v>886339</v>
      </c>
      <c r="T116" s="6">
        <v>55247939</v>
      </c>
      <c r="U116" s="6">
        <v>9965038</v>
      </c>
      <c r="V116" s="6">
        <v>65212977</v>
      </c>
      <c r="W116" s="6">
        <v>12916173</v>
      </c>
      <c r="X116" s="6">
        <v>9380074</v>
      </c>
      <c r="Y116" s="2">
        <v>8249903</v>
      </c>
      <c r="AB116" s="2">
        <f t="shared" si="8"/>
        <v>193455658</v>
      </c>
      <c r="AC116" s="2">
        <f t="shared" si="9"/>
        <v>0</v>
      </c>
      <c r="AD116" s="8">
        <f t="shared" si="10"/>
        <v>0</v>
      </c>
      <c r="AE116" s="2">
        <f t="shared" si="11"/>
        <v>171975724</v>
      </c>
      <c r="AF116" s="2">
        <f t="shared" si="12"/>
        <v>0</v>
      </c>
      <c r="AG116" s="8">
        <f t="shared" si="13"/>
        <v>0</v>
      </c>
      <c r="AI116">
        <f t="shared" si="14"/>
        <v>0.52938983220658375</v>
      </c>
      <c r="AJ116">
        <f t="shared" si="15"/>
        <v>0.4706101677934163</v>
      </c>
    </row>
    <row r="117" spans="1:36" x14ac:dyDescent="0.25">
      <c r="A117" s="1">
        <v>38838</v>
      </c>
      <c r="B117" s="2">
        <v>373413825</v>
      </c>
      <c r="C117" s="4">
        <v>197913238</v>
      </c>
      <c r="D117" s="4">
        <v>175500587</v>
      </c>
      <c r="E117" s="2">
        <v>296528</v>
      </c>
      <c r="F117" s="2">
        <v>10574315</v>
      </c>
      <c r="G117" s="2">
        <v>151695</v>
      </c>
      <c r="H117" s="2">
        <v>54610572</v>
      </c>
      <c r="I117" s="2">
        <v>31354680</v>
      </c>
      <c r="J117" s="2">
        <v>647700</v>
      </c>
      <c r="K117" s="2">
        <v>12193825</v>
      </c>
      <c r="L117" s="2">
        <v>9590133</v>
      </c>
      <c r="M117" s="2">
        <v>26284025</v>
      </c>
      <c r="N117" s="2">
        <v>44093</v>
      </c>
      <c r="O117" s="2">
        <v>17852088</v>
      </c>
      <c r="P117" s="2">
        <v>24992100</v>
      </c>
      <c r="Q117" s="6">
        <v>13302260</v>
      </c>
      <c r="R117" s="6">
        <v>71794140</v>
      </c>
      <c r="S117" s="6">
        <v>919234</v>
      </c>
      <c r="T117" s="6">
        <v>56440924</v>
      </c>
      <c r="U117" s="6">
        <v>10135589</v>
      </c>
      <c r="V117" s="6">
        <v>66576513</v>
      </c>
      <c r="W117" s="6">
        <v>13117330</v>
      </c>
      <c r="X117" s="6">
        <v>9791110</v>
      </c>
      <c r="Y117" s="2">
        <v>9321484</v>
      </c>
      <c r="AB117" s="2">
        <f t="shared" si="8"/>
        <v>197913238</v>
      </c>
      <c r="AC117" s="2">
        <f t="shared" si="9"/>
        <v>0</v>
      </c>
      <c r="AD117" s="8">
        <f t="shared" si="10"/>
        <v>0</v>
      </c>
      <c r="AE117" s="2">
        <f t="shared" si="11"/>
        <v>175500587</v>
      </c>
      <c r="AF117" s="2">
        <f t="shared" si="12"/>
        <v>0</v>
      </c>
      <c r="AG117" s="8">
        <f t="shared" si="13"/>
        <v>0</v>
      </c>
      <c r="AI117">
        <f t="shared" si="14"/>
        <v>0.53001047296521497</v>
      </c>
      <c r="AJ117">
        <f t="shared" si="15"/>
        <v>0.46998952703478508</v>
      </c>
    </row>
    <row r="118" spans="1:36" x14ac:dyDescent="0.25">
      <c r="A118" s="1">
        <v>38869</v>
      </c>
      <c r="B118" s="2">
        <v>376168903</v>
      </c>
      <c r="C118" s="4">
        <v>198986417</v>
      </c>
      <c r="D118" s="4">
        <v>177182486</v>
      </c>
      <c r="E118" s="2">
        <v>310325</v>
      </c>
      <c r="F118" s="2">
        <v>10763085</v>
      </c>
      <c r="G118" s="2">
        <v>162128</v>
      </c>
      <c r="H118" s="2">
        <v>55853035</v>
      </c>
      <c r="I118" s="2">
        <v>32550661</v>
      </c>
      <c r="J118" s="2">
        <v>612474</v>
      </c>
      <c r="K118" s="2">
        <v>12357986</v>
      </c>
      <c r="L118" s="2">
        <v>10125878</v>
      </c>
      <c r="M118" s="2">
        <v>25035548</v>
      </c>
      <c r="N118" s="2">
        <v>39696</v>
      </c>
      <c r="O118" s="2">
        <v>16675703</v>
      </c>
      <c r="P118" s="2">
        <v>25867997</v>
      </c>
      <c r="Q118" s="6">
        <v>13223498</v>
      </c>
      <c r="R118" s="6">
        <v>72973265</v>
      </c>
      <c r="S118" s="6">
        <v>954413</v>
      </c>
      <c r="T118" s="6">
        <v>57141184</v>
      </c>
      <c r="U118" s="6">
        <v>10101677</v>
      </c>
      <c r="V118" s="6">
        <v>67242861</v>
      </c>
      <c r="W118" s="6">
        <v>13081563</v>
      </c>
      <c r="X118" s="6">
        <v>9706886</v>
      </c>
      <c r="Y118" s="2">
        <v>8631901</v>
      </c>
      <c r="AB118" s="2">
        <f t="shared" si="8"/>
        <v>198986417</v>
      </c>
      <c r="AC118" s="2">
        <f t="shared" si="9"/>
        <v>0</v>
      </c>
      <c r="AD118" s="8">
        <f t="shared" si="10"/>
        <v>0</v>
      </c>
      <c r="AE118" s="2">
        <f t="shared" si="11"/>
        <v>177182486</v>
      </c>
      <c r="AF118" s="2">
        <f t="shared" si="12"/>
        <v>0</v>
      </c>
      <c r="AG118" s="8">
        <f t="shared" si="13"/>
        <v>0</v>
      </c>
      <c r="AI118">
        <f t="shared" si="14"/>
        <v>0.52898157028147541</v>
      </c>
      <c r="AJ118">
        <f t="shared" si="15"/>
        <v>0.47101842971852459</v>
      </c>
    </row>
    <row r="119" spans="1:36" x14ac:dyDescent="0.25">
      <c r="A119" s="1">
        <v>38899</v>
      </c>
      <c r="B119" s="2">
        <v>381814804</v>
      </c>
      <c r="C119" s="4">
        <v>201353472</v>
      </c>
      <c r="D119" s="4">
        <v>180461332</v>
      </c>
      <c r="E119" s="2">
        <v>380628</v>
      </c>
      <c r="F119" s="2">
        <v>10542590</v>
      </c>
      <c r="G119" s="2">
        <v>158321</v>
      </c>
      <c r="H119" s="2">
        <v>56588202</v>
      </c>
      <c r="I119" s="2">
        <v>32478933</v>
      </c>
      <c r="J119" s="2">
        <v>600053</v>
      </c>
      <c r="K119" s="2">
        <v>12633545</v>
      </c>
      <c r="L119" s="2">
        <v>10240767</v>
      </c>
      <c r="M119" s="2">
        <v>26619053</v>
      </c>
      <c r="N119" s="2">
        <v>39763</v>
      </c>
      <c r="O119" s="2">
        <v>17696204</v>
      </c>
      <c r="P119" s="2">
        <v>24697767</v>
      </c>
      <c r="Q119" s="6">
        <v>12934017</v>
      </c>
      <c r="R119" s="6">
        <v>74571386</v>
      </c>
      <c r="S119" s="6">
        <v>994049</v>
      </c>
      <c r="T119" s="6">
        <v>58977847</v>
      </c>
      <c r="U119" s="6">
        <v>10139316</v>
      </c>
      <c r="V119" s="6">
        <v>69117163</v>
      </c>
      <c r="W119" s="6">
        <v>12839420</v>
      </c>
      <c r="X119" s="6">
        <v>10005297</v>
      </c>
      <c r="Y119" s="2">
        <v>8665769</v>
      </c>
      <c r="AB119" s="2">
        <f t="shared" si="8"/>
        <v>201341595</v>
      </c>
      <c r="AC119" s="2">
        <f t="shared" si="9"/>
        <v>-11877</v>
      </c>
      <c r="AD119" s="8">
        <f t="shared" si="10"/>
        <v>-5.8989301242001186E-5</v>
      </c>
      <c r="AE119" s="2">
        <f t="shared" si="11"/>
        <v>180461332</v>
      </c>
      <c r="AF119" s="2">
        <f t="shared" si="12"/>
        <v>0</v>
      </c>
      <c r="AG119" s="8">
        <f t="shared" si="13"/>
        <v>0</v>
      </c>
      <c r="AI119">
        <f t="shared" si="14"/>
        <v>0.52735899679782972</v>
      </c>
      <c r="AJ119">
        <f t="shared" si="15"/>
        <v>0.47264100320217023</v>
      </c>
    </row>
    <row r="120" spans="1:36" x14ac:dyDescent="0.25">
      <c r="A120" s="1">
        <v>38930</v>
      </c>
      <c r="B120" s="2">
        <v>383948516</v>
      </c>
      <c r="C120" s="4">
        <v>199808698</v>
      </c>
      <c r="D120" s="4">
        <v>184139818</v>
      </c>
      <c r="E120" s="2">
        <v>358064</v>
      </c>
      <c r="F120" s="2">
        <v>10801811</v>
      </c>
      <c r="G120" s="2">
        <v>163828</v>
      </c>
      <c r="H120" s="2">
        <v>56562231</v>
      </c>
      <c r="I120" s="2">
        <v>31791497</v>
      </c>
      <c r="J120" s="2">
        <v>626512</v>
      </c>
      <c r="K120" s="2">
        <v>13254898</v>
      </c>
      <c r="L120" s="2">
        <v>10148416</v>
      </c>
      <c r="M120" s="2">
        <v>25479240</v>
      </c>
      <c r="N120" s="2">
        <v>12240</v>
      </c>
      <c r="O120" s="2">
        <v>17263213</v>
      </c>
      <c r="P120" s="2">
        <v>24871169</v>
      </c>
      <c r="Q120" s="6">
        <v>13106546</v>
      </c>
      <c r="R120" s="6">
        <v>75971591</v>
      </c>
      <c r="S120" s="6">
        <v>1033250</v>
      </c>
      <c r="T120" s="6">
        <v>60244206</v>
      </c>
      <c r="U120" s="6">
        <v>10114085</v>
      </c>
      <c r="V120" s="6">
        <v>70358291</v>
      </c>
      <c r="W120" s="6">
        <v>13273751</v>
      </c>
      <c r="X120" s="6">
        <v>10396389</v>
      </c>
      <c r="Y120" s="2">
        <v>8463234</v>
      </c>
      <c r="AB120" s="2">
        <f t="shared" si="8"/>
        <v>199796353</v>
      </c>
      <c r="AC120" s="2">
        <f t="shared" si="9"/>
        <v>-12345</v>
      </c>
      <c r="AD120" s="8">
        <f t="shared" si="10"/>
        <v>-6.1787914617240285E-5</v>
      </c>
      <c r="AE120" s="2">
        <f t="shared" si="11"/>
        <v>184139818</v>
      </c>
      <c r="AF120" s="2">
        <f t="shared" si="12"/>
        <v>0</v>
      </c>
      <c r="AG120" s="8">
        <f t="shared" si="13"/>
        <v>0</v>
      </c>
      <c r="AI120">
        <f t="shared" si="14"/>
        <v>0.52040492324757415</v>
      </c>
      <c r="AJ120">
        <f t="shared" si="15"/>
        <v>0.47959507675242585</v>
      </c>
    </row>
    <row r="121" spans="1:36" x14ac:dyDescent="0.25">
      <c r="A121" s="1">
        <v>38961</v>
      </c>
      <c r="B121" s="2">
        <v>391315601</v>
      </c>
      <c r="C121" s="4">
        <v>204660225</v>
      </c>
      <c r="D121" s="4">
        <v>186655376</v>
      </c>
      <c r="E121" s="2">
        <v>439183</v>
      </c>
      <c r="F121" s="2">
        <v>11256774</v>
      </c>
      <c r="G121" s="2">
        <v>175022</v>
      </c>
      <c r="H121" s="2">
        <v>58083829</v>
      </c>
      <c r="I121" s="2">
        <v>32100236</v>
      </c>
      <c r="J121" s="2">
        <v>652454</v>
      </c>
      <c r="K121" s="2">
        <v>13474756</v>
      </c>
      <c r="L121" s="2">
        <v>10218241</v>
      </c>
      <c r="M121" s="2">
        <v>25101716</v>
      </c>
      <c r="N121">
        <v>946</v>
      </c>
      <c r="O121" s="2">
        <v>18748659</v>
      </c>
      <c r="P121" s="2">
        <v>25524924</v>
      </c>
      <c r="Q121" s="6">
        <v>12786941</v>
      </c>
      <c r="R121" s="6">
        <v>77035902</v>
      </c>
      <c r="S121" s="6">
        <v>1063569</v>
      </c>
      <c r="T121" s="6">
        <v>61386834</v>
      </c>
      <c r="U121" s="6">
        <v>9981036</v>
      </c>
      <c r="V121" s="6">
        <v>71367870</v>
      </c>
      <c r="W121" s="6">
        <v>13292637</v>
      </c>
      <c r="X121" s="6">
        <v>11108457</v>
      </c>
      <c r="Y121" s="2">
        <v>8867206</v>
      </c>
      <c r="AB121" s="2">
        <f t="shared" si="8"/>
        <v>204643946</v>
      </c>
      <c r="AC121" s="2">
        <f t="shared" si="9"/>
        <v>-16279</v>
      </c>
      <c r="AD121" s="8">
        <f t="shared" si="10"/>
        <v>-7.9547918803324875E-5</v>
      </c>
      <c r="AE121" s="2">
        <f t="shared" si="11"/>
        <v>186655376</v>
      </c>
      <c r="AF121" s="2">
        <f t="shared" si="12"/>
        <v>0</v>
      </c>
      <c r="AG121" s="8">
        <f t="shared" si="13"/>
        <v>0</v>
      </c>
      <c r="AI121">
        <f t="shared" si="14"/>
        <v>0.52300553434873143</v>
      </c>
      <c r="AJ121">
        <f t="shared" si="15"/>
        <v>0.47699446565126852</v>
      </c>
    </row>
    <row r="122" spans="1:36" x14ac:dyDescent="0.25">
      <c r="A122" s="1">
        <v>38991</v>
      </c>
      <c r="B122" s="2">
        <v>395919959</v>
      </c>
      <c r="C122" s="4">
        <v>206900453</v>
      </c>
      <c r="D122" s="4">
        <v>189019506</v>
      </c>
      <c r="E122" s="2">
        <v>394472</v>
      </c>
      <c r="F122" s="2">
        <v>11309881</v>
      </c>
      <c r="G122" s="2">
        <v>173383</v>
      </c>
      <c r="H122" s="2">
        <v>59719277</v>
      </c>
      <c r="I122" s="2">
        <v>32550702</v>
      </c>
      <c r="J122" s="2">
        <v>680963</v>
      </c>
      <c r="K122" s="2">
        <v>13458183</v>
      </c>
      <c r="L122" s="2">
        <v>10463444</v>
      </c>
      <c r="M122" s="2">
        <v>25498766</v>
      </c>
      <c r="N122" s="2">
        <v>1482</v>
      </c>
      <c r="O122" s="2">
        <v>19117414</v>
      </c>
      <c r="P122" s="2">
        <v>24914185</v>
      </c>
      <c r="Q122" s="6">
        <v>13367795</v>
      </c>
      <c r="R122" s="6">
        <v>78150763</v>
      </c>
      <c r="S122" s="6">
        <v>1115738</v>
      </c>
      <c r="T122" s="6">
        <v>61521834</v>
      </c>
      <c r="U122" s="6">
        <v>10152333</v>
      </c>
      <c r="V122" s="6">
        <v>71674167</v>
      </c>
      <c r="W122" s="6">
        <v>13511493</v>
      </c>
      <c r="X122" s="6">
        <v>11199550</v>
      </c>
      <c r="Y122" s="2">
        <v>8618301</v>
      </c>
      <c r="AB122" s="2">
        <f t="shared" si="8"/>
        <v>206900453</v>
      </c>
      <c r="AC122" s="2">
        <f t="shared" si="9"/>
        <v>0</v>
      </c>
      <c r="AD122" s="8">
        <f t="shared" si="10"/>
        <v>0</v>
      </c>
      <c r="AE122" s="2">
        <f t="shared" si="11"/>
        <v>189019506</v>
      </c>
      <c r="AF122" s="2">
        <f t="shared" si="12"/>
        <v>0</v>
      </c>
      <c r="AG122" s="8">
        <f t="shared" si="13"/>
        <v>0</v>
      </c>
      <c r="AI122">
        <f t="shared" si="14"/>
        <v>0.52258151754354976</v>
      </c>
      <c r="AJ122">
        <f t="shared" si="15"/>
        <v>0.47741848245645024</v>
      </c>
    </row>
    <row r="123" spans="1:36" x14ac:dyDescent="0.25">
      <c r="A123" s="1">
        <v>39022</v>
      </c>
      <c r="B123" s="2">
        <v>404202035</v>
      </c>
      <c r="C123" s="4">
        <v>212159365</v>
      </c>
      <c r="D123" s="4">
        <v>192042670</v>
      </c>
      <c r="E123" s="2">
        <v>343884</v>
      </c>
      <c r="F123" s="2">
        <v>11367257</v>
      </c>
      <c r="G123" s="2">
        <v>165222</v>
      </c>
      <c r="H123" s="2">
        <v>62436720</v>
      </c>
      <c r="I123" s="2">
        <v>33271693</v>
      </c>
      <c r="J123" s="2">
        <v>658695</v>
      </c>
      <c r="K123" s="2">
        <v>13534548</v>
      </c>
      <c r="L123" s="2">
        <v>10648744</v>
      </c>
      <c r="M123" s="2">
        <v>25513897</v>
      </c>
      <c r="N123" s="2">
        <v>1393</v>
      </c>
      <c r="O123" s="2">
        <v>19414093</v>
      </c>
      <c r="P123" s="2">
        <v>26092200</v>
      </c>
      <c r="Q123" s="6">
        <v>13216966</v>
      </c>
      <c r="R123" s="6">
        <v>79699929</v>
      </c>
      <c r="S123" s="6">
        <v>1150529</v>
      </c>
      <c r="T123" s="6">
        <v>62728404</v>
      </c>
      <c r="U123" s="6">
        <v>10247914</v>
      </c>
      <c r="V123" s="6">
        <v>72976318</v>
      </c>
      <c r="W123" s="6">
        <v>13837589</v>
      </c>
      <c r="X123" s="6">
        <v>11161339</v>
      </c>
      <c r="Y123" s="2">
        <v>8679875</v>
      </c>
      <c r="AB123" s="2">
        <f t="shared" si="8"/>
        <v>212128221</v>
      </c>
      <c r="AC123" s="2">
        <f t="shared" si="9"/>
        <v>-31144</v>
      </c>
      <c r="AD123" s="8">
        <f t="shared" si="10"/>
        <v>-1.468168631838948E-4</v>
      </c>
      <c r="AE123" s="2">
        <f t="shared" si="11"/>
        <v>192042670</v>
      </c>
      <c r="AF123" s="2">
        <f t="shared" si="12"/>
        <v>0</v>
      </c>
      <c r="AG123" s="8">
        <f t="shared" si="13"/>
        <v>0</v>
      </c>
      <c r="AI123">
        <f t="shared" si="14"/>
        <v>0.52488445536895922</v>
      </c>
      <c r="AJ123">
        <f t="shared" si="15"/>
        <v>0.47511554463104078</v>
      </c>
    </row>
    <row r="124" spans="1:36" x14ac:dyDescent="0.25">
      <c r="A124" s="1">
        <v>39052</v>
      </c>
      <c r="B124" s="2">
        <v>409467912</v>
      </c>
      <c r="C124" s="4">
        <v>217631208</v>
      </c>
      <c r="D124" s="4">
        <v>191836704</v>
      </c>
      <c r="E124" s="2">
        <v>355367</v>
      </c>
      <c r="F124" s="2">
        <v>12012270</v>
      </c>
      <c r="G124" s="2">
        <v>160143</v>
      </c>
      <c r="H124" s="2">
        <v>67814012</v>
      </c>
      <c r="I124" s="2">
        <v>32854916</v>
      </c>
      <c r="J124" s="2">
        <v>733649</v>
      </c>
      <c r="K124" s="2">
        <v>13491235</v>
      </c>
      <c r="L124" s="2">
        <v>10373956</v>
      </c>
      <c r="M124" s="2">
        <v>25211252</v>
      </c>
      <c r="N124" s="2">
        <v>1265</v>
      </c>
      <c r="O124" s="2">
        <v>19047950</v>
      </c>
      <c r="P124" s="2">
        <v>27229294</v>
      </c>
      <c r="Q124" s="6">
        <v>11760235</v>
      </c>
      <c r="R124" s="6">
        <v>79892776</v>
      </c>
      <c r="S124" s="6">
        <v>1210619</v>
      </c>
      <c r="T124" s="6">
        <v>63474608</v>
      </c>
      <c r="U124" s="6">
        <v>10779218</v>
      </c>
      <c r="V124" s="6">
        <v>74253826</v>
      </c>
      <c r="W124" s="6">
        <v>13418388</v>
      </c>
      <c r="X124" s="6">
        <v>11300860</v>
      </c>
      <c r="Y124" s="2">
        <v>8345879</v>
      </c>
      <c r="AB124" s="2">
        <f t="shared" si="8"/>
        <v>217631188</v>
      </c>
      <c r="AC124" s="2">
        <f t="shared" si="9"/>
        <v>-20</v>
      </c>
      <c r="AD124" s="8">
        <f t="shared" si="10"/>
        <v>-9.1898593137303459E-8</v>
      </c>
      <c r="AE124" s="2">
        <f t="shared" si="11"/>
        <v>191836704</v>
      </c>
      <c r="AF124" s="2">
        <f t="shared" si="12"/>
        <v>0</v>
      </c>
      <c r="AG124" s="8">
        <f t="shared" si="13"/>
        <v>0</v>
      </c>
      <c r="AI124">
        <f t="shared" si="14"/>
        <v>0.53149758899788957</v>
      </c>
      <c r="AJ124">
        <f t="shared" si="15"/>
        <v>0.46850241100211049</v>
      </c>
    </row>
    <row r="125" spans="1:36" x14ac:dyDescent="0.25">
      <c r="A125" s="1">
        <v>39083</v>
      </c>
      <c r="B125" s="2">
        <v>411848297</v>
      </c>
      <c r="C125" s="4">
        <v>215461943</v>
      </c>
      <c r="D125" s="4">
        <v>196386354</v>
      </c>
      <c r="E125" s="2">
        <v>284994</v>
      </c>
      <c r="F125" s="2">
        <v>10837499</v>
      </c>
      <c r="G125" s="2">
        <v>157664</v>
      </c>
      <c r="H125" s="2">
        <v>68200766</v>
      </c>
      <c r="I125" s="2">
        <v>32952304</v>
      </c>
      <c r="J125" s="2">
        <v>734161</v>
      </c>
      <c r="K125" s="2">
        <v>13324876</v>
      </c>
      <c r="L125" s="2">
        <v>9956973</v>
      </c>
      <c r="M125" s="2">
        <v>24581334</v>
      </c>
      <c r="N125">
        <v>552</v>
      </c>
      <c r="O125" s="2">
        <v>19310446</v>
      </c>
      <c r="P125" s="2">
        <v>26587990</v>
      </c>
      <c r="Q125" s="6">
        <v>13312469</v>
      </c>
      <c r="R125" s="6">
        <v>81362286</v>
      </c>
      <c r="S125" s="6">
        <v>1276007</v>
      </c>
      <c r="T125" s="6">
        <v>64465108</v>
      </c>
      <c r="U125" s="6">
        <v>10880913</v>
      </c>
      <c r="V125" s="6">
        <v>75346021</v>
      </c>
      <c r="W125" s="6">
        <v>14135482</v>
      </c>
      <c r="X125" s="6">
        <v>10954089</v>
      </c>
      <c r="Y125" s="2">
        <v>8532364</v>
      </c>
      <c r="AB125" s="2">
        <f t="shared" si="8"/>
        <v>215461923</v>
      </c>
      <c r="AC125" s="2">
        <f t="shared" si="9"/>
        <v>-20</v>
      </c>
      <c r="AD125" s="8">
        <f t="shared" si="10"/>
        <v>-9.2823825767117094E-8</v>
      </c>
      <c r="AE125" s="2">
        <f t="shared" si="11"/>
        <v>196386354</v>
      </c>
      <c r="AF125" s="2">
        <f t="shared" si="12"/>
        <v>0</v>
      </c>
      <c r="AG125" s="8">
        <f t="shared" si="13"/>
        <v>0</v>
      </c>
      <c r="AI125">
        <f t="shared" si="14"/>
        <v>0.5231585138738597</v>
      </c>
      <c r="AJ125">
        <f t="shared" si="15"/>
        <v>0.4768414861261403</v>
      </c>
    </row>
    <row r="126" spans="1:36" x14ac:dyDescent="0.25">
      <c r="A126" s="1">
        <v>39114</v>
      </c>
      <c r="B126" s="2">
        <v>420086587</v>
      </c>
      <c r="C126" s="4">
        <v>219497622</v>
      </c>
      <c r="D126" s="4">
        <v>200588965</v>
      </c>
      <c r="E126" s="2">
        <v>303639</v>
      </c>
      <c r="F126" s="2">
        <v>10900469</v>
      </c>
      <c r="G126" s="2">
        <v>174474</v>
      </c>
      <c r="H126" s="2">
        <v>69184117</v>
      </c>
      <c r="I126" s="2">
        <v>34627493</v>
      </c>
      <c r="J126" s="2">
        <v>767634</v>
      </c>
      <c r="K126" s="2">
        <v>13395314</v>
      </c>
      <c r="L126" s="2">
        <v>10178522</v>
      </c>
      <c r="M126" s="2">
        <v>24772575</v>
      </c>
      <c r="N126">
        <v>442</v>
      </c>
      <c r="O126" s="2">
        <v>19609311</v>
      </c>
      <c r="P126" s="2">
        <v>26771787</v>
      </c>
      <c r="Q126" s="6">
        <v>13821930</v>
      </c>
      <c r="R126" s="6">
        <v>83386147</v>
      </c>
      <c r="S126" s="6">
        <v>1302463</v>
      </c>
      <c r="T126" s="6">
        <v>65293213</v>
      </c>
      <c r="U126" s="6">
        <v>10720904</v>
      </c>
      <c r="V126" s="6">
        <v>76014117</v>
      </c>
      <c r="W126" s="6">
        <v>14972870</v>
      </c>
      <c r="X126" s="6">
        <v>11091438</v>
      </c>
      <c r="Y126" s="2">
        <v>8811825</v>
      </c>
      <c r="AB126" s="2">
        <f t="shared" si="8"/>
        <v>219497602</v>
      </c>
      <c r="AC126" s="2">
        <f t="shared" si="9"/>
        <v>-20</v>
      </c>
      <c r="AD126" s="8">
        <f t="shared" si="10"/>
        <v>-9.1117168560228738E-8</v>
      </c>
      <c r="AE126" s="2">
        <f t="shared" si="11"/>
        <v>200588965</v>
      </c>
      <c r="AF126" s="2">
        <f t="shared" si="12"/>
        <v>0</v>
      </c>
      <c r="AG126" s="8">
        <f t="shared" si="13"/>
        <v>0</v>
      </c>
      <c r="AI126">
        <f t="shared" si="14"/>
        <v>0.5225056661949552</v>
      </c>
      <c r="AJ126">
        <f t="shared" si="15"/>
        <v>0.4774943338050448</v>
      </c>
    </row>
    <row r="127" spans="1:36" x14ac:dyDescent="0.25">
      <c r="A127" s="1">
        <v>39142</v>
      </c>
      <c r="B127" s="2">
        <v>428885615</v>
      </c>
      <c r="C127" s="4">
        <v>224439615</v>
      </c>
      <c r="D127" s="4">
        <v>204446000</v>
      </c>
      <c r="E127" s="2">
        <v>276351</v>
      </c>
      <c r="F127" s="2">
        <v>11643084</v>
      </c>
      <c r="G127" s="2">
        <v>166239</v>
      </c>
      <c r="H127" s="2">
        <v>70155705</v>
      </c>
      <c r="I127" s="2">
        <v>34450737</v>
      </c>
      <c r="J127" s="2">
        <v>782549</v>
      </c>
      <c r="K127" s="2">
        <v>13755330</v>
      </c>
      <c r="L127" s="2">
        <v>10132318</v>
      </c>
      <c r="M127" s="2">
        <v>26395486</v>
      </c>
      <c r="N127">
        <v>323</v>
      </c>
      <c r="O127" s="2">
        <v>19482439</v>
      </c>
      <c r="P127" s="2">
        <v>28235609</v>
      </c>
      <c r="Q127" s="6">
        <v>13799676</v>
      </c>
      <c r="R127" s="6">
        <v>85738317</v>
      </c>
      <c r="S127" s="6">
        <v>1380323</v>
      </c>
      <c r="T127" s="6">
        <v>66975987</v>
      </c>
      <c r="U127" s="6">
        <v>10675667</v>
      </c>
      <c r="V127" s="6">
        <v>77651654</v>
      </c>
      <c r="W127" s="6">
        <v>14926924</v>
      </c>
      <c r="X127" s="6">
        <v>10949106</v>
      </c>
      <c r="Y127" s="2">
        <v>8963429</v>
      </c>
      <c r="AB127" s="2">
        <f t="shared" si="8"/>
        <v>224439599</v>
      </c>
      <c r="AC127" s="2">
        <f t="shared" si="9"/>
        <v>-16</v>
      </c>
      <c r="AD127" s="8">
        <f t="shared" si="10"/>
        <v>-7.1288667736391737E-8</v>
      </c>
      <c r="AE127" s="2">
        <f t="shared" si="11"/>
        <v>204446000</v>
      </c>
      <c r="AF127" s="2">
        <f t="shared" si="12"/>
        <v>0</v>
      </c>
      <c r="AG127" s="8">
        <f t="shared" si="13"/>
        <v>0</v>
      </c>
      <c r="AI127">
        <f t="shared" si="14"/>
        <v>0.52330879644914186</v>
      </c>
      <c r="AJ127">
        <f t="shared" si="15"/>
        <v>0.4766912035508582</v>
      </c>
    </row>
    <row r="128" spans="1:36" x14ac:dyDescent="0.25">
      <c r="A128" s="1">
        <v>39173</v>
      </c>
      <c r="B128" s="2">
        <v>440889088</v>
      </c>
      <c r="C128" s="4">
        <v>231511379</v>
      </c>
      <c r="D128" s="4">
        <v>209377709</v>
      </c>
      <c r="E128" s="2">
        <v>360736</v>
      </c>
      <c r="F128" s="2">
        <v>11701781</v>
      </c>
      <c r="G128" s="2">
        <v>155955</v>
      </c>
      <c r="H128" s="2">
        <v>70406013</v>
      </c>
      <c r="I128" s="2">
        <v>35328462</v>
      </c>
      <c r="J128" s="2">
        <v>868991</v>
      </c>
      <c r="K128" s="2">
        <v>14169191</v>
      </c>
      <c r="L128" s="2">
        <v>9994988</v>
      </c>
      <c r="M128" s="2">
        <v>30410303</v>
      </c>
      <c r="N128">
        <v>214</v>
      </c>
      <c r="O128" s="2">
        <v>20144221</v>
      </c>
      <c r="P128" s="2">
        <v>28848440</v>
      </c>
      <c r="Q128" s="6">
        <v>14255122</v>
      </c>
      <c r="R128" s="6">
        <v>87661160</v>
      </c>
      <c r="S128" s="6">
        <v>1460906</v>
      </c>
      <c r="T128" s="6">
        <v>68284970</v>
      </c>
      <c r="U128" s="6">
        <v>10635727</v>
      </c>
      <c r="V128" s="6">
        <v>78920697</v>
      </c>
      <c r="W128" s="6">
        <v>15627225</v>
      </c>
      <c r="X128" s="6">
        <v>11452599</v>
      </c>
      <c r="Y128" s="2">
        <v>9122053</v>
      </c>
      <c r="AB128" s="2">
        <f t="shared" si="8"/>
        <v>231511348</v>
      </c>
      <c r="AC128" s="2">
        <f t="shared" si="9"/>
        <v>-31</v>
      </c>
      <c r="AD128" s="8">
        <f t="shared" si="10"/>
        <v>-1.3390272342071111E-7</v>
      </c>
      <c r="AE128" s="2">
        <f t="shared" si="11"/>
        <v>209377709</v>
      </c>
      <c r="AF128" s="2">
        <f t="shared" si="12"/>
        <v>0</v>
      </c>
      <c r="AG128" s="8">
        <f t="shared" si="13"/>
        <v>0</v>
      </c>
      <c r="AI128">
        <f t="shared" si="14"/>
        <v>0.525101176920033</v>
      </c>
      <c r="AJ128">
        <f t="shared" si="15"/>
        <v>0.474898823079967</v>
      </c>
    </row>
    <row r="129" spans="1:36" x14ac:dyDescent="0.25">
      <c r="A129" s="1">
        <v>39203</v>
      </c>
      <c r="B129" s="2">
        <v>446454109</v>
      </c>
      <c r="C129" s="4">
        <v>231047223</v>
      </c>
      <c r="D129" s="4">
        <v>215406886</v>
      </c>
      <c r="E129" s="2">
        <v>689870</v>
      </c>
      <c r="F129" s="2">
        <v>11918254</v>
      </c>
      <c r="G129" s="2">
        <v>159972</v>
      </c>
      <c r="H129" s="2">
        <v>71245906</v>
      </c>
      <c r="I129" s="2">
        <v>34768654</v>
      </c>
      <c r="J129" s="2">
        <v>875707</v>
      </c>
      <c r="K129" s="2">
        <v>14636946</v>
      </c>
      <c r="L129" s="2">
        <v>9429771</v>
      </c>
      <c r="M129" s="2">
        <v>28815416</v>
      </c>
      <c r="N129">
        <v>102</v>
      </c>
      <c r="O129" s="2">
        <v>19808826</v>
      </c>
      <c r="P129" s="2">
        <v>29239537</v>
      </c>
      <c r="Q129" s="6">
        <v>14223808</v>
      </c>
      <c r="R129" s="6">
        <v>90891366</v>
      </c>
      <c r="S129" s="6">
        <v>1555129</v>
      </c>
      <c r="T129" s="6">
        <v>69854521</v>
      </c>
      <c r="U129" s="6">
        <v>10948699</v>
      </c>
      <c r="V129" s="6">
        <v>80803220</v>
      </c>
      <c r="W129" s="6">
        <v>15676968</v>
      </c>
      <c r="X129" s="6">
        <v>12256395</v>
      </c>
      <c r="Y129" s="2">
        <v>9458192</v>
      </c>
      <c r="AB129" s="2">
        <f t="shared" si="8"/>
        <v>231047153</v>
      </c>
      <c r="AC129" s="2">
        <f t="shared" si="9"/>
        <v>-70</v>
      </c>
      <c r="AD129" s="8">
        <f t="shared" si="10"/>
        <v>-3.0296845942957799E-7</v>
      </c>
      <c r="AE129" s="2">
        <f t="shared" si="11"/>
        <v>215406886</v>
      </c>
      <c r="AF129" s="2">
        <f t="shared" si="12"/>
        <v>0</v>
      </c>
      <c r="AG129" s="8">
        <f t="shared" si="13"/>
        <v>0</v>
      </c>
      <c r="AI129">
        <f t="shared" si="14"/>
        <v>0.51751617544189743</v>
      </c>
      <c r="AJ129">
        <f t="shared" si="15"/>
        <v>0.48248382455810257</v>
      </c>
    </row>
    <row r="130" spans="1:36" x14ac:dyDescent="0.25">
      <c r="A130" s="1">
        <v>39234</v>
      </c>
      <c r="B130" s="2">
        <v>452495224</v>
      </c>
      <c r="C130" s="4">
        <v>235097959</v>
      </c>
      <c r="D130" s="4">
        <v>217397265</v>
      </c>
      <c r="E130" s="2">
        <v>302304</v>
      </c>
      <c r="F130" s="2">
        <v>12173710</v>
      </c>
      <c r="G130" s="2">
        <v>169053</v>
      </c>
      <c r="H130" s="2">
        <v>73855968</v>
      </c>
      <c r="I130" s="2">
        <v>35953768</v>
      </c>
      <c r="J130" s="2">
        <v>912481</v>
      </c>
      <c r="K130" s="2">
        <v>15332862</v>
      </c>
      <c r="L130" s="2">
        <v>8847058</v>
      </c>
      <c r="M130" s="2">
        <v>26368765</v>
      </c>
      <c r="N130">
        <v>102</v>
      </c>
      <c r="O130" s="2">
        <v>20863821</v>
      </c>
      <c r="P130" s="2">
        <v>30199247</v>
      </c>
      <c r="Q130" s="6">
        <v>13934557</v>
      </c>
      <c r="R130" s="6">
        <v>91846042</v>
      </c>
      <c r="S130" s="6">
        <v>1626649</v>
      </c>
      <c r="T130" s="6">
        <v>71053372</v>
      </c>
      <c r="U130" s="6">
        <v>11008666</v>
      </c>
      <c r="V130" s="6">
        <v>82062038</v>
      </c>
      <c r="W130" s="6">
        <v>15872651</v>
      </c>
      <c r="X130" s="6">
        <v>12055328</v>
      </c>
      <c r="Y130" s="2">
        <v>10118760</v>
      </c>
      <c r="AB130" s="2">
        <f t="shared" si="8"/>
        <v>235097899</v>
      </c>
      <c r="AC130" s="2">
        <f t="shared" si="9"/>
        <v>-60</v>
      </c>
      <c r="AD130" s="8">
        <f t="shared" si="10"/>
        <v>-2.5521282944344818E-7</v>
      </c>
      <c r="AE130" s="2">
        <f t="shared" si="11"/>
        <v>217397265</v>
      </c>
      <c r="AF130" s="2">
        <f t="shared" si="12"/>
        <v>0</v>
      </c>
      <c r="AG130" s="8">
        <f t="shared" si="13"/>
        <v>0</v>
      </c>
      <c r="AI130">
        <f t="shared" si="14"/>
        <v>0.51955898433968883</v>
      </c>
      <c r="AJ130">
        <f t="shared" si="15"/>
        <v>0.48044101566031117</v>
      </c>
    </row>
    <row r="131" spans="1:36" x14ac:dyDescent="0.25">
      <c r="A131" s="1">
        <v>39264</v>
      </c>
      <c r="B131" s="2">
        <v>462194625</v>
      </c>
      <c r="C131" s="4">
        <v>240290160</v>
      </c>
      <c r="D131" s="4">
        <v>221904465</v>
      </c>
      <c r="E131" s="2">
        <v>313266</v>
      </c>
      <c r="F131" s="2">
        <v>11931038</v>
      </c>
      <c r="G131" s="2">
        <v>161493</v>
      </c>
      <c r="H131" s="2">
        <v>75965575</v>
      </c>
      <c r="I131" s="2">
        <v>36729142</v>
      </c>
      <c r="J131" s="2">
        <v>913040</v>
      </c>
      <c r="K131" s="2">
        <v>15509829</v>
      </c>
      <c r="L131" s="2">
        <v>8279815</v>
      </c>
      <c r="M131" s="2">
        <v>27466699</v>
      </c>
      <c r="N131">
        <v>0</v>
      </c>
      <c r="O131" s="2">
        <v>22297395</v>
      </c>
      <c r="P131" s="2">
        <v>30173917</v>
      </c>
      <c r="Q131" s="6">
        <v>14185406</v>
      </c>
      <c r="R131" s="6">
        <v>94013165</v>
      </c>
      <c r="S131" s="6">
        <v>1675592</v>
      </c>
      <c r="T131" s="6">
        <v>72197326</v>
      </c>
      <c r="U131" s="6">
        <v>11199646</v>
      </c>
      <c r="V131" s="6">
        <v>83396972</v>
      </c>
      <c r="W131" s="6">
        <v>16140363</v>
      </c>
      <c r="X131" s="6">
        <v>12492967</v>
      </c>
      <c r="Y131" s="2">
        <v>10548921</v>
      </c>
      <c r="AB131" s="2">
        <f t="shared" ref="AB131:AB194" si="16">SUM(E131:P131)+Y131</f>
        <v>240290130</v>
      </c>
      <c r="AC131" s="2">
        <f t="shared" ref="AC131:AC194" si="17">AB131-C131</f>
        <v>-30</v>
      </c>
      <c r="AD131" s="8">
        <f t="shared" ref="AD131:AD194" si="18">AC131/AB131</f>
        <v>-1.2484907307678431E-7</v>
      </c>
      <c r="AE131" s="2">
        <f t="shared" ref="AE131:AE194" si="19">Q131+R131+S131+V131+W131+X131</f>
        <v>221904465</v>
      </c>
      <c r="AF131" s="2">
        <f t="shared" ref="AF131:AF194" si="20">AE131-D131</f>
        <v>0</v>
      </c>
      <c r="AG131" s="8">
        <f t="shared" ref="AG131:AG194" si="21">AF131/AE131</f>
        <v>0</v>
      </c>
      <c r="AI131">
        <f t="shared" ref="AI131:AI194" si="22">C131/B131</f>
        <v>0.51988955951186144</v>
      </c>
      <c r="AJ131">
        <f t="shared" ref="AJ131:AJ194" si="23">D131/B131</f>
        <v>0.4801104404881385</v>
      </c>
    </row>
    <row r="132" spans="1:36" x14ac:dyDescent="0.25">
      <c r="A132" s="1">
        <v>39295</v>
      </c>
      <c r="B132" s="2">
        <v>474134511</v>
      </c>
      <c r="C132" s="4">
        <v>248152933</v>
      </c>
      <c r="D132" s="4">
        <v>225981578</v>
      </c>
      <c r="E132" s="2">
        <v>652749</v>
      </c>
      <c r="F132" s="2">
        <v>12070765</v>
      </c>
      <c r="G132" s="2">
        <v>160797</v>
      </c>
      <c r="H132" s="2">
        <v>78940423</v>
      </c>
      <c r="I132" s="2">
        <v>35747850</v>
      </c>
      <c r="J132" s="2">
        <v>917105</v>
      </c>
      <c r="K132" s="2">
        <v>15744745</v>
      </c>
      <c r="L132" s="2">
        <v>8415534</v>
      </c>
      <c r="M132" s="2">
        <v>29677000</v>
      </c>
      <c r="N132">
        <v>0</v>
      </c>
      <c r="O132" s="2">
        <v>24407122</v>
      </c>
      <c r="P132" s="2">
        <v>29790307</v>
      </c>
      <c r="Q132" s="6">
        <v>13855519</v>
      </c>
      <c r="R132" s="6">
        <v>95599466</v>
      </c>
      <c r="S132" s="6">
        <v>1772247</v>
      </c>
      <c r="T132" s="6">
        <v>74187395</v>
      </c>
      <c r="U132" s="6">
        <v>11397527</v>
      </c>
      <c r="V132" s="6">
        <v>85584922</v>
      </c>
      <c r="W132" s="6">
        <v>16447678</v>
      </c>
      <c r="X132" s="6">
        <v>12721746</v>
      </c>
      <c r="Y132" s="2">
        <v>11628517</v>
      </c>
      <c r="AB132" s="2">
        <f t="shared" si="16"/>
        <v>248152914</v>
      </c>
      <c r="AC132" s="2">
        <f t="shared" si="17"/>
        <v>-19</v>
      </c>
      <c r="AD132" s="8">
        <f t="shared" si="18"/>
        <v>-7.656569368353257E-8</v>
      </c>
      <c r="AE132" s="2">
        <f t="shared" si="19"/>
        <v>225981578</v>
      </c>
      <c r="AF132" s="2">
        <f t="shared" si="20"/>
        <v>0</v>
      </c>
      <c r="AG132" s="8">
        <f t="shared" si="21"/>
        <v>0</v>
      </c>
      <c r="AI132">
        <f t="shared" si="22"/>
        <v>0.52338087028640701</v>
      </c>
      <c r="AJ132">
        <f t="shared" si="23"/>
        <v>0.47661912971359305</v>
      </c>
    </row>
    <row r="133" spans="1:36" x14ac:dyDescent="0.25">
      <c r="A133" s="1">
        <v>39326</v>
      </c>
      <c r="B133" s="2">
        <v>483626841</v>
      </c>
      <c r="C133" s="4">
        <v>254165708</v>
      </c>
      <c r="D133" s="4">
        <v>229461133</v>
      </c>
      <c r="E133" s="2">
        <v>674328</v>
      </c>
      <c r="F133" s="2">
        <v>12491962</v>
      </c>
      <c r="G133" s="2">
        <v>158784</v>
      </c>
      <c r="H133" s="2">
        <v>82671836</v>
      </c>
      <c r="I133" s="2">
        <v>36900699</v>
      </c>
      <c r="J133" s="2">
        <v>953173</v>
      </c>
      <c r="K133" s="2">
        <v>16192468</v>
      </c>
      <c r="L133" s="2">
        <v>8886886</v>
      </c>
      <c r="M133" s="2">
        <v>29193954</v>
      </c>
      <c r="N133">
        <v>0</v>
      </c>
      <c r="O133" s="2">
        <v>23768025</v>
      </c>
      <c r="P133" s="2">
        <v>30771727</v>
      </c>
      <c r="Q133" s="6">
        <v>13990260</v>
      </c>
      <c r="R133" s="6">
        <v>96778819</v>
      </c>
      <c r="S133" s="6">
        <v>1920928</v>
      </c>
      <c r="T133" s="6">
        <v>76126294</v>
      </c>
      <c r="U133" s="6">
        <v>11448154</v>
      </c>
      <c r="V133" s="6">
        <v>87574448</v>
      </c>
      <c r="W133" s="6">
        <v>16673846</v>
      </c>
      <c r="X133" s="6">
        <v>12522832</v>
      </c>
      <c r="Y133" s="2">
        <v>11501866</v>
      </c>
      <c r="AB133" s="2">
        <f t="shared" si="16"/>
        <v>254165708</v>
      </c>
      <c r="AC133" s="2">
        <f t="shared" si="17"/>
        <v>0</v>
      </c>
      <c r="AD133" s="8">
        <f t="shared" si="18"/>
        <v>0</v>
      </c>
      <c r="AE133" s="2">
        <f t="shared" si="19"/>
        <v>229461133</v>
      </c>
      <c r="AF133" s="2">
        <f t="shared" si="20"/>
        <v>0</v>
      </c>
      <c r="AG133" s="8">
        <f t="shared" si="21"/>
        <v>0</v>
      </c>
      <c r="AI133">
        <f t="shared" si="22"/>
        <v>0.52554094697155151</v>
      </c>
      <c r="AJ133">
        <f t="shared" si="23"/>
        <v>0.47445905302844843</v>
      </c>
    </row>
    <row r="134" spans="1:36" x14ac:dyDescent="0.25">
      <c r="A134" s="1">
        <v>39356</v>
      </c>
      <c r="B134" s="2">
        <v>494011072</v>
      </c>
      <c r="C134" s="4">
        <v>259317212</v>
      </c>
      <c r="D134" s="4">
        <v>234693860</v>
      </c>
      <c r="E134" s="2">
        <v>295514</v>
      </c>
      <c r="F134" s="2">
        <v>12585066</v>
      </c>
      <c r="G134" s="2">
        <v>156512</v>
      </c>
      <c r="H134" s="2">
        <v>85866466</v>
      </c>
      <c r="I134" s="2">
        <v>36928565</v>
      </c>
      <c r="J134" s="2">
        <v>1032950</v>
      </c>
      <c r="K134" s="2">
        <v>16471826</v>
      </c>
      <c r="L134" s="2">
        <v>9492320</v>
      </c>
      <c r="M134" s="2">
        <v>30335326</v>
      </c>
      <c r="N134">
        <v>0</v>
      </c>
      <c r="O134" s="2">
        <v>23251432</v>
      </c>
      <c r="P134" s="2">
        <v>31698842</v>
      </c>
      <c r="Q134" s="6">
        <v>14619903</v>
      </c>
      <c r="R134" s="6">
        <v>98767010</v>
      </c>
      <c r="S134" s="6">
        <v>1966315</v>
      </c>
      <c r="T134" s="6">
        <v>78018562</v>
      </c>
      <c r="U134" s="6">
        <v>11701737</v>
      </c>
      <c r="V134" s="6">
        <v>89720299</v>
      </c>
      <c r="W134" s="6">
        <v>17015601</v>
      </c>
      <c r="X134" s="6">
        <v>12604732</v>
      </c>
      <c r="Y134" s="2">
        <v>11202393</v>
      </c>
      <c r="AB134" s="2">
        <f t="shared" si="16"/>
        <v>259317212</v>
      </c>
      <c r="AC134" s="2">
        <f t="shared" si="17"/>
        <v>0</v>
      </c>
      <c r="AD134" s="8">
        <f t="shared" si="18"/>
        <v>0</v>
      </c>
      <c r="AE134" s="2">
        <f t="shared" si="19"/>
        <v>234693860</v>
      </c>
      <c r="AF134" s="2">
        <f t="shared" si="20"/>
        <v>0</v>
      </c>
      <c r="AG134" s="8">
        <f t="shared" si="21"/>
        <v>0</v>
      </c>
      <c r="AI134">
        <f t="shared" si="22"/>
        <v>0.52492186248003769</v>
      </c>
      <c r="AJ134">
        <f t="shared" si="23"/>
        <v>0.47507813751996231</v>
      </c>
    </row>
    <row r="135" spans="1:36" x14ac:dyDescent="0.25">
      <c r="A135" s="1">
        <v>39387</v>
      </c>
      <c r="B135" s="2">
        <v>510624877</v>
      </c>
      <c r="C135" s="4">
        <v>271172370</v>
      </c>
      <c r="D135" s="4">
        <v>239452507</v>
      </c>
      <c r="E135" s="2">
        <v>347201</v>
      </c>
      <c r="F135" s="2">
        <v>13096268</v>
      </c>
      <c r="G135" s="2">
        <v>169733</v>
      </c>
      <c r="H135" s="2">
        <v>90608316</v>
      </c>
      <c r="I135" s="2">
        <v>38518945</v>
      </c>
      <c r="J135" s="2">
        <v>1144205</v>
      </c>
      <c r="K135" s="2">
        <v>17248719</v>
      </c>
      <c r="L135" s="2">
        <v>10205264</v>
      </c>
      <c r="M135" s="2">
        <v>31480969</v>
      </c>
      <c r="N135">
        <v>0</v>
      </c>
      <c r="O135" s="2">
        <v>24147003</v>
      </c>
      <c r="P135" s="2">
        <v>32191633</v>
      </c>
      <c r="Q135" s="6">
        <v>14451561</v>
      </c>
      <c r="R135" s="6">
        <v>100829966</v>
      </c>
      <c r="S135" s="6">
        <v>2063500</v>
      </c>
      <c r="T135" s="6">
        <v>79542250</v>
      </c>
      <c r="U135" s="6">
        <v>11958376</v>
      </c>
      <c r="V135" s="6">
        <v>91500626</v>
      </c>
      <c r="W135" s="6">
        <v>17610310</v>
      </c>
      <c r="X135" s="6">
        <v>12996544</v>
      </c>
      <c r="Y135" s="2">
        <v>12014114</v>
      </c>
      <c r="AB135" s="2">
        <f t="shared" si="16"/>
        <v>271172370</v>
      </c>
      <c r="AC135" s="2">
        <f t="shared" si="17"/>
        <v>0</v>
      </c>
      <c r="AD135" s="8">
        <f t="shared" si="18"/>
        <v>0</v>
      </c>
      <c r="AE135" s="2">
        <f t="shared" si="19"/>
        <v>239452507</v>
      </c>
      <c r="AF135" s="2">
        <f t="shared" si="20"/>
        <v>0</v>
      </c>
      <c r="AG135" s="8">
        <f t="shared" si="21"/>
        <v>0</v>
      </c>
      <c r="AI135">
        <f t="shared" si="22"/>
        <v>0.53105984885260493</v>
      </c>
      <c r="AJ135">
        <f t="shared" si="23"/>
        <v>0.46894015114739501</v>
      </c>
    </row>
    <row r="136" spans="1:36" x14ac:dyDescent="0.25">
      <c r="A136" s="1">
        <v>39417</v>
      </c>
      <c r="B136" s="2">
        <v>523727373</v>
      </c>
      <c r="C136" s="4">
        <v>283480933</v>
      </c>
      <c r="D136" s="4">
        <v>240246440</v>
      </c>
      <c r="E136" s="2">
        <v>675031</v>
      </c>
      <c r="F136" s="2">
        <v>13742401</v>
      </c>
      <c r="G136" s="2">
        <v>152478</v>
      </c>
      <c r="H136" s="2">
        <v>97427957</v>
      </c>
      <c r="I136" s="2">
        <v>39134969</v>
      </c>
      <c r="J136" s="2">
        <v>1146258</v>
      </c>
      <c r="K136" s="2">
        <v>17936922</v>
      </c>
      <c r="L136" s="2">
        <v>10967962</v>
      </c>
      <c r="M136" s="2">
        <v>30841351</v>
      </c>
      <c r="N136">
        <v>0</v>
      </c>
      <c r="O136" s="2">
        <v>24887367</v>
      </c>
      <c r="P136" s="2">
        <v>33746782</v>
      </c>
      <c r="Q136" s="6">
        <v>12984666</v>
      </c>
      <c r="R136" s="6">
        <v>100928201</v>
      </c>
      <c r="S136" s="6">
        <v>2269537</v>
      </c>
      <c r="T136" s="6">
        <v>81480851</v>
      </c>
      <c r="U136" s="6">
        <v>12460679</v>
      </c>
      <c r="V136" s="6">
        <v>93941530</v>
      </c>
      <c r="W136" s="6">
        <v>17150277</v>
      </c>
      <c r="X136" s="6">
        <v>12972229</v>
      </c>
      <c r="Y136" s="2">
        <v>12821455</v>
      </c>
      <c r="AB136" s="2">
        <f t="shared" si="16"/>
        <v>283480933</v>
      </c>
      <c r="AC136" s="2">
        <f t="shared" si="17"/>
        <v>0</v>
      </c>
      <c r="AD136" s="8">
        <f t="shared" si="18"/>
        <v>0</v>
      </c>
      <c r="AE136" s="2">
        <f t="shared" si="19"/>
        <v>240246440</v>
      </c>
      <c r="AF136" s="2">
        <f t="shared" si="20"/>
        <v>0</v>
      </c>
      <c r="AG136" s="8">
        <f t="shared" si="21"/>
        <v>0</v>
      </c>
      <c r="AI136">
        <f t="shared" si="22"/>
        <v>0.54127576218934803</v>
      </c>
      <c r="AJ136">
        <f t="shared" si="23"/>
        <v>0.45872423781065191</v>
      </c>
    </row>
    <row r="137" spans="1:36" x14ac:dyDescent="0.25">
      <c r="A137" s="1">
        <v>39448</v>
      </c>
      <c r="B137" s="2">
        <v>533192423</v>
      </c>
      <c r="C137" s="4">
        <v>286908567</v>
      </c>
      <c r="D137" s="4">
        <v>246283856</v>
      </c>
      <c r="E137" s="2">
        <v>354344</v>
      </c>
      <c r="F137" s="2">
        <v>12605712</v>
      </c>
      <c r="G137" s="2">
        <v>138619</v>
      </c>
      <c r="H137" s="2">
        <v>103521582</v>
      </c>
      <c r="I137" s="2">
        <v>39179491</v>
      </c>
      <c r="J137" s="2">
        <v>1167855</v>
      </c>
      <c r="K137" s="2">
        <v>16477161</v>
      </c>
      <c r="L137" s="2">
        <v>10058808</v>
      </c>
      <c r="M137" s="2">
        <v>30040011</v>
      </c>
      <c r="N137">
        <v>0</v>
      </c>
      <c r="O137" s="2">
        <v>27272351</v>
      </c>
      <c r="P137" s="2">
        <v>33413393</v>
      </c>
      <c r="Q137" s="6">
        <v>14113742</v>
      </c>
      <c r="R137" s="6">
        <v>103229694</v>
      </c>
      <c r="S137" s="6">
        <v>2316198</v>
      </c>
      <c r="T137" s="6">
        <v>82713576</v>
      </c>
      <c r="U137" s="6">
        <v>12801989</v>
      </c>
      <c r="V137" s="6">
        <v>95515565</v>
      </c>
      <c r="W137" s="6">
        <v>17710806</v>
      </c>
      <c r="X137" s="6">
        <v>13397851</v>
      </c>
      <c r="Y137" s="2">
        <v>12679240</v>
      </c>
      <c r="AB137" s="2">
        <f t="shared" si="16"/>
        <v>286908567</v>
      </c>
      <c r="AC137" s="2">
        <f t="shared" si="17"/>
        <v>0</v>
      </c>
      <c r="AD137" s="8">
        <f t="shared" si="18"/>
        <v>0</v>
      </c>
      <c r="AE137" s="2">
        <f t="shared" si="19"/>
        <v>246283856</v>
      </c>
      <c r="AF137" s="2">
        <f t="shared" si="20"/>
        <v>0</v>
      </c>
      <c r="AG137" s="8">
        <f t="shared" si="21"/>
        <v>0</v>
      </c>
      <c r="AI137">
        <f t="shared" si="22"/>
        <v>0.53809573171672775</v>
      </c>
      <c r="AJ137">
        <f t="shared" si="23"/>
        <v>0.4619042682832723</v>
      </c>
    </row>
    <row r="138" spans="1:36" x14ac:dyDescent="0.25">
      <c r="A138" s="1">
        <v>39479</v>
      </c>
      <c r="B138" s="2">
        <v>541753863</v>
      </c>
      <c r="C138" s="4">
        <v>291718925</v>
      </c>
      <c r="D138" s="4">
        <v>250034938</v>
      </c>
      <c r="E138" s="2">
        <v>345308</v>
      </c>
      <c r="F138" s="2">
        <v>12538046</v>
      </c>
      <c r="G138" s="2">
        <v>154687</v>
      </c>
      <c r="H138" s="2">
        <v>106812541</v>
      </c>
      <c r="I138" s="2">
        <v>40790475</v>
      </c>
      <c r="J138" s="2">
        <v>1177552</v>
      </c>
      <c r="K138" s="2">
        <v>15822035</v>
      </c>
      <c r="L138" s="2">
        <v>10332717</v>
      </c>
      <c r="M138" s="2">
        <v>30940874</v>
      </c>
      <c r="N138">
        <v>0</v>
      </c>
      <c r="O138" s="2">
        <v>27079870</v>
      </c>
      <c r="P138" s="2">
        <v>32596737</v>
      </c>
      <c r="Q138" s="6">
        <v>14840765</v>
      </c>
      <c r="R138" s="6">
        <v>107646459</v>
      </c>
      <c r="S138" s="6">
        <v>2549053</v>
      </c>
      <c r="T138" s="6">
        <v>83405675</v>
      </c>
      <c r="U138" s="6">
        <v>12062162</v>
      </c>
      <c r="V138" s="6">
        <v>95467837</v>
      </c>
      <c r="W138" s="6">
        <v>18498912</v>
      </c>
      <c r="X138" s="6">
        <v>11031912</v>
      </c>
      <c r="Y138" s="2">
        <v>13128083</v>
      </c>
      <c r="AB138" s="2">
        <f t="shared" si="16"/>
        <v>291718925</v>
      </c>
      <c r="AC138" s="2">
        <f t="shared" si="17"/>
        <v>0</v>
      </c>
      <c r="AD138" s="8">
        <f t="shared" si="18"/>
        <v>0</v>
      </c>
      <c r="AE138" s="2">
        <f t="shared" si="19"/>
        <v>250034938</v>
      </c>
      <c r="AF138" s="2">
        <f t="shared" si="20"/>
        <v>0</v>
      </c>
      <c r="AG138" s="8">
        <f t="shared" si="21"/>
        <v>0</v>
      </c>
      <c r="AI138">
        <f t="shared" si="22"/>
        <v>0.53847133342914433</v>
      </c>
      <c r="AJ138">
        <f t="shared" si="23"/>
        <v>0.46152866657085562</v>
      </c>
    </row>
    <row r="139" spans="1:36" x14ac:dyDescent="0.25">
      <c r="A139" s="1">
        <v>39508</v>
      </c>
      <c r="B139" s="2">
        <v>558876097</v>
      </c>
      <c r="C139" s="4">
        <v>305321741</v>
      </c>
      <c r="D139" s="4">
        <v>253554356</v>
      </c>
      <c r="E139" s="2">
        <v>412010</v>
      </c>
      <c r="F139" s="2">
        <v>12724008</v>
      </c>
      <c r="G139" s="2">
        <v>147212</v>
      </c>
      <c r="H139" s="2">
        <v>109803131</v>
      </c>
      <c r="I139" s="2">
        <v>41475523</v>
      </c>
      <c r="J139" s="2">
        <v>1249337</v>
      </c>
      <c r="K139" s="2">
        <v>15810974</v>
      </c>
      <c r="L139" s="2">
        <v>10446909</v>
      </c>
      <c r="M139" s="2">
        <v>32118893</v>
      </c>
      <c r="N139">
        <v>0</v>
      </c>
      <c r="O139" s="2">
        <v>31367474</v>
      </c>
      <c r="P139" s="2">
        <v>34838505</v>
      </c>
      <c r="Q139" s="6">
        <v>15108026</v>
      </c>
      <c r="R139" s="6">
        <v>109979753</v>
      </c>
      <c r="S139" s="6">
        <v>2664665</v>
      </c>
      <c r="T139" s="6">
        <v>83658251</v>
      </c>
      <c r="U139" s="6">
        <v>11968613</v>
      </c>
      <c r="V139" s="6">
        <v>95626864</v>
      </c>
      <c r="W139" s="6">
        <v>18909998</v>
      </c>
      <c r="X139" s="6">
        <v>11265050</v>
      </c>
      <c r="Y139" s="2">
        <v>14927765</v>
      </c>
      <c r="AB139" s="2">
        <f t="shared" si="16"/>
        <v>305321741</v>
      </c>
      <c r="AC139" s="2">
        <f t="shared" si="17"/>
        <v>0</v>
      </c>
      <c r="AD139" s="8">
        <f t="shared" si="18"/>
        <v>0</v>
      </c>
      <c r="AE139" s="2">
        <f t="shared" si="19"/>
        <v>253554356</v>
      </c>
      <c r="AF139" s="2">
        <f t="shared" si="20"/>
        <v>0</v>
      </c>
      <c r="AG139" s="8">
        <f t="shared" si="21"/>
        <v>0</v>
      </c>
      <c r="AI139">
        <f t="shared" si="22"/>
        <v>0.54631382991496946</v>
      </c>
      <c r="AJ139">
        <f t="shared" si="23"/>
        <v>0.45368617008503048</v>
      </c>
    </row>
    <row r="140" spans="1:36" x14ac:dyDescent="0.25">
      <c r="A140" s="1">
        <v>39539</v>
      </c>
      <c r="B140" s="2">
        <v>570788117</v>
      </c>
      <c r="C140" s="4">
        <v>312666571</v>
      </c>
      <c r="D140" s="4">
        <v>258121546</v>
      </c>
      <c r="E140" s="2">
        <v>365520</v>
      </c>
      <c r="F140" s="2">
        <v>12938950</v>
      </c>
      <c r="G140" s="2">
        <v>166834</v>
      </c>
      <c r="H140" s="2">
        <v>117387802</v>
      </c>
      <c r="I140" s="2">
        <v>43156651</v>
      </c>
      <c r="J140" s="2">
        <v>1245606</v>
      </c>
      <c r="K140" s="2">
        <v>15792385</v>
      </c>
      <c r="L140" s="2">
        <v>9833168</v>
      </c>
      <c r="M140" s="2">
        <v>32122406</v>
      </c>
      <c r="N140">
        <v>0</v>
      </c>
      <c r="O140" s="2">
        <v>28798751</v>
      </c>
      <c r="P140" s="2">
        <v>35276580</v>
      </c>
      <c r="Q140" s="6">
        <v>15521956</v>
      </c>
      <c r="R140" s="6">
        <v>112717307</v>
      </c>
      <c r="S140" s="6">
        <v>2822495</v>
      </c>
      <c r="T140" s="6">
        <v>83851786</v>
      </c>
      <c r="U140" s="6">
        <v>11873378</v>
      </c>
      <c r="V140" s="6">
        <v>95725164</v>
      </c>
      <c r="W140" s="6">
        <v>19566359</v>
      </c>
      <c r="X140" s="6">
        <v>11768265</v>
      </c>
      <c r="Y140" s="2">
        <v>15581918</v>
      </c>
      <c r="AB140" s="2">
        <f t="shared" si="16"/>
        <v>312666571</v>
      </c>
      <c r="AC140" s="2">
        <f t="shared" si="17"/>
        <v>0</v>
      </c>
      <c r="AD140" s="8">
        <f t="shared" si="18"/>
        <v>0</v>
      </c>
      <c r="AE140" s="2">
        <f t="shared" si="19"/>
        <v>258121546</v>
      </c>
      <c r="AF140" s="2">
        <f t="shared" si="20"/>
        <v>0</v>
      </c>
      <c r="AG140" s="8">
        <f t="shared" si="21"/>
        <v>0</v>
      </c>
      <c r="AI140">
        <f t="shared" si="22"/>
        <v>0.54778044897525435</v>
      </c>
      <c r="AJ140">
        <f t="shared" si="23"/>
        <v>0.45221955102474565</v>
      </c>
    </row>
    <row r="141" spans="1:36" x14ac:dyDescent="0.25">
      <c r="A141" s="1">
        <v>39569</v>
      </c>
      <c r="B141" s="2">
        <v>585362795</v>
      </c>
      <c r="C141" s="4">
        <v>323639407</v>
      </c>
      <c r="D141" s="4">
        <v>261723388</v>
      </c>
      <c r="E141" s="2">
        <v>379795</v>
      </c>
      <c r="F141" s="2">
        <v>13252717</v>
      </c>
      <c r="G141" s="2">
        <v>197491</v>
      </c>
      <c r="H141" s="2">
        <v>126384454</v>
      </c>
      <c r="I141" s="2">
        <v>44412821</v>
      </c>
      <c r="J141" s="2">
        <v>1202885</v>
      </c>
      <c r="K141" s="2">
        <v>15899419</v>
      </c>
      <c r="L141" s="2">
        <v>9630743</v>
      </c>
      <c r="M141" s="2">
        <v>32775485</v>
      </c>
      <c r="N141">
        <v>0</v>
      </c>
      <c r="O141" s="2">
        <v>27068170</v>
      </c>
      <c r="P141" s="2">
        <v>36072007</v>
      </c>
      <c r="Q141" s="6">
        <v>15571305</v>
      </c>
      <c r="R141" s="6">
        <v>115281812</v>
      </c>
      <c r="S141" s="6">
        <v>2899271</v>
      </c>
      <c r="T141" s="6">
        <v>84109258</v>
      </c>
      <c r="U141" s="6">
        <v>11916515</v>
      </c>
      <c r="V141" s="6">
        <v>96025773</v>
      </c>
      <c r="W141" s="6">
        <v>19929969</v>
      </c>
      <c r="X141" s="6">
        <v>12015258</v>
      </c>
      <c r="Y141" s="2">
        <v>16363420</v>
      </c>
      <c r="AB141" s="2">
        <f t="shared" si="16"/>
        <v>323639407</v>
      </c>
      <c r="AC141" s="2">
        <f t="shared" si="17"/>
        <v>0</v>
      </c>
      <c r="AD141" s="8">
        <f t="shared" si="18"/>
        <v>0</v>
      </c>
      <c r="AE141" s="2">
        <f t="shared" si="19"/>
        <v>261723388</v>
      </c>
      <c r="AF141" s="2">
        <f t="shared" si="20"/>
        <v>0</v>
      </c>
      <c r="AG141" s="8">
        <f t="shared" si="21"/>
        <v>0</v>
      </c>
      <c r="AI141">
        <f t="shared" si="22"/>
        <v>0.55288687590744467</v>
      </c>
      <c r="AJ141">
        <f t="shared" si="23"/>
        <v>0.44711312409255527</v>
      </c>
    </row>
    <row r="142" spans="1:36" x14ac:dyDescent="0.25">
      <c r="A142" s="1">
        <v>39600</v>
      </c>
      <c r="B142" s="2">
        <v>597426046</v>
      </c>
      <c r="C142" s="4">
        <v>334306167</v>
      </c>
      <c r="D142" s="4">
        <v>263119879</v>
      </c>
      <c r="E142" s="2">
        <v>501691</v>
      </c>
      <c r="F142" s="2">
        <v>13593190</v>
      </c>
      <c r="G142" s="2">
        <v>206802</v>
      </c>
      <c r="H142" s="2">
        <v>133454168</v>
      </c>
      <c r="I142" s="2">
        <v>46127509</v>
      </c>
      <c r="J142" s="2">
        <v>1236666</v>
      </c>
      <c r="K142" s="2">
        <v>16271661</v>
      </c>
      <c r="L142" s="2">
        <v>9811837</v>
      </c>
      <c r="M142" s="2">
        <v>32437751</v>
      </c>
      <c r="N142">
        <v>0</v>
      </c>
      <c r="O142" s="2">
        <v>25629327</v>
      </c>
      <c r="P142" s="2">
        <v>38533409</v>
      </c>
      <c r="Q142" s="6">
        <v>15713738</v>
      </c>
      <c r="R142" s="6">
        <v>116331739</v>
      </c>
      <c r="S142" s="6">
        <v>3071824</v>
      </c>
      <c r="T142" s="6">
        <v>83918607</v>
      </c>
      <c r="U142" s="6">
        <v>11821943</v>
      </c>
      <c r="V142" s="6">
        <v>95740550</v>
      </c>
      <c r="W142" s="6">
        <v>20244911</v>
      </c>
      <c r="X142" s="6">
        <v>12017117</v>
      </c>
      <c r="Y142" s="2">
        <v>16502156</v>
      </c>
      <c r="AB142" s="2">
        <f t="shared" si="16"/>
        <v>334306167</v>
      </c>
      <c r="AC142" s="2">
        <f t="shared" si="17"/>
        <v>0</v>
      </c>
      <c r="AD142" s="8">
        <f t="shared" si="18"/>
        <v>0</v>
      </c>
      <c r="AE142" s="2">
        <f t="shared" si="19"/>
        <v>263119879</v>
      </c>
      <c r="AF142" s="2">
        <f t="shared" si="20"/>
        <v>0</v>
      </c>
      <c r="AG142" s="8">
        <f t="shared" si="21"/>
        <v>0</v>
      </c>
      <c r="AI142">
        <f t="shared" si="22"/>
        <v>0.5595774895291391</v>
      </c>
      <c r="AJ142">
        <f t="shared" si="23"/>
        <v>0.44042251047086084</v>
      </c>
    </row>
    <row r="143" spans="1:36" x14ac:dyDescent="0.25">
      <c r="A143" s="1">
        <v>39630</v>
      </c>
      <c r="B143" s="2">
        <v>605029042</v>
      </c>
      <c r="C143" s="4">
        <v>338801840</v>
      </c>
      <c r="D143" s="4">
        <v>266227202</v>
      </c>
      <c r="E143" s="2">
        <v>674599</v>
      </c>
      <c r="F143" s="2">
        <v>13656040</v>
      </c>
      <c r="G143" s="2">
        <v>212727</v>
      </c>
      <c r="H143" s="2">
        <v>138919474</v>
      </c>
      <c r="I143" s="2">
        <v>46574776</v>
      </c>
      <c r="J143" s="2">
        <v>1227828</v>
      </c>
      <c r="K143" s="2">
        <v>16538659</v>
      </c>
      <c r="L143" s="2">
        <v>9875643</v>
      </c>
      <c r="M143" s="2">
        <v>32600304</v>
      </c>
      <c r="N143">
        <v>0</v>
      </c>
      <c r="O143" s="2">
        <v>24461220</v>
      </c>
      <c r="P143" s="2">
        <v>38083934</v>
      </c>
      <c r="Q143" s="6">
        <v>15519212</v>
      </c>
      <c r="R143" s="6">
        <v>118782060</v>
      </c>
      <c r="S143" s="6">
        <v>3066795</v>
      </c>
      <c r="T143" s="6">
        <v>83931321</v>
      </c>
      <c r="U143" s="6">
        <v>12091318</v>
      </c>
      <c r="V143" s="6">
        <v>96022639</v>
      </c>
      <c r="W143" s="6">
        <v>20441822</v>
      </c>
      <c r="X143" s="6">
        <v>12394674</v>
      </c>
      <c r="Y143" s="2">
        <v>15976636</v>
      </c>
      <c r="AB143" s="2">
        <f t="shared" si="16"/>
        <v>338801840</v>
      </c>
      <c r="AC143" s="2">
        <f t="shared" si="17"/>
        <v>0</v>
      </c>
      <c r="AD143" s="8">
        <f t="shared" si="18"/>
        <v>0</v>
      </c>
      <c r="AE143" s="2">
        <f t="shared" si="19"/>
        <v>266227202</v>
      </c>
      <c r="AF143" s="2">
        <f t="shared" si="20"/>
        <v>0</v>
      </c>
      <c r="AG143" s="8">
        <f t="shared" si="21"/>
        <v>0</v>
      </c>
      <c r="AI143">
        <f t="shared" si="22"/>
        <v>0.55997616061544364</v>
      </c>
      <c r="AJ143">
        <f t="shared" si="23"/>
        <v>0.44002383938455636</v>
      </c>
    </row>
    <row r="144" spans="1:36" x14ac:dyDescent="0.25">
      <c r="A144" s="1">
        <v>39661</v>
      </c>
      <c r="B144" s="2">
        <v>617752277</v>
      </c>
      <c r="C144" s="4">
        <v>349292701</v>
      </c>
      <c r="D144" s="4">
        <v>268459576</v>
      </c>
      <c r="E144" s="2">
        <v>748306</v>
      </c>
      <c r="F144" s="2">
        <v>14113905</v>
      </c>
      <c r="G144" s="2">
        <v>239875</v>
      </c>
      <c r="H144" s="2">
        <v>143077077</v>
      </c>
      <c r="I144" s="2">
        <v>48586826</v>
      </c>
      <c r="J144" s="2">
        <v>1225826</v>
      </c>
      <c r="K144" s="2">
        <v>17167203</v>
      </c>
      <c r="L144" s="2">
        <v>10353552</v>
      </c>
      <c r="M144" s="2">
        <v>32954806</v>
      </c>
      <c r="N144">
        <v>0</v>
      </c>
      <c r="O144" s="2">
        <v>25184478</v>
      </c>
      <c r="P144" s="2">
        <v>39179960</v>
      </c>
      <c r="Q144" s="6">
        <v>15460733</v>
      </c>
      <c r="R144" s="6">
        <v>120475817</v>
      </c>
      <c r="S144" s="6">
        <v>3157242</v>
      </c>
      <c r="T144" s="6">
        <v>83553996</v>
      </c>
      <c r="U144" s="6">
        <v>12129305</v>
      </c>
      <c r="V144" s="6">
        <v>95683301</v>
      </c>
      <c r="W144" s="6">
        <v>20806585</v>
      </c>
      <c r="X144" s="6">
        <v>12875898</v>
      </c>
      <c r="Y144" s="2">
        <v>16460887</v>
      </c>
      <c r="AB144" s="2">
        <f t="shared" si="16"/>
        <v>349292701</v>
      </c>
      <c r="AC144" s="2">
        <f t="shared" si="17"/>
        <v>0</v>
      </c>
      <c r="AD144" s="8">
        <f t="shared" si="18"/>
        <v>0</v>
      </c>
      <c r="AE144" s="2">
        <f t="shared" si="19"/>
        <v>268459576</v>
      </c>
      <c r="AF144" s="2">
        <f t="shared" si="20"/>
        <v>0</v>
      </c>
      <c r="AG144" s="8">
        <f t="shared" si="21"/>
        <v>0</v>
      </c>
      <c r="AI144">
        <f t="shared" si="22"/>
        <v>0.56542519389208179</v>
      </c>
      <c r="AJ144">
        <f t="shared" si="23"/>
        <v>0.43457480610791827</v>
      </c>
    </row>
    <row r="145" spans="1:36" x14ac:dyDescent="0.25">
      <c r="A145" s="1">
        <v>39692</v>
      </c>
      <c r="B145" s="2">
        <v>639031340</v>
      </c>
      <c r="C145" s="4">
        <v>368492987</v>
      </c>
      <c r="D145" s="4">
        <v>270538353</v>
      </c>
      <c r="E145" s="2">
        <v>651724</v>
      </c>
      <c r="F145" s="2">
        <v>14513036</v>
      </c>
      <c r="G145" s="2">
        <v>214623</v>
      </c>
      <c r="H145" s="2">
        <v>151269275</v>
      </c>
      <c r="I145" s="2">
        <v>49606081</v>
      </c>
      <c r="J145" s="2">
        <v>1283312</v>
      </c>
      <c r="K145" s="2">
        <v>17177753</v>
      </c>
      <c r="L145" s="2">
        <v>10691851</v>
      </c>
      <c r="M145" s="2">
        <v>36537676</v>
      </c>
      <c r="N145">
        <v>0</v>
      </c>
      <c r="O145" s="2">
        <v>28833815</v>
      </c>
      <c r="P145" s="2">
        <v>39124806</v>
      </c>
      <c r="Q145" s="6">
        <v>15868472</v>
      </c>
      <c r="R145" s="6">
        <v>122430316</v>
      </c>
      <c r="S145" s="6">
        <v>3155427</v>
      </c>
      <c r="T145" s="6">
        <v>83334980</v>
      </c>
      <c r="U145" s="6">
        <v>11711678</v>
      </c>
      <c r="V145" s="6">
        <v>95046658</v>
      </c>
      <c r="W145" s="6">
        <v>21161569</v>
      </c>
      <c r="X145" s="6">
        <v>12875911</v>
      </c>
      <c r="Y145" s="2">
        <v>18589035</v>
      </c>
      <c r="AB145" s="2">
        <f t="shared" si="16"/>
        <v>368492987</v>
      </c>
      <c r="AC145" s="2">
        <f t="shared" si="17"/>
        <v>0</v>
      </c>
      <c r="AD145" s="8">
        <f t="shared" si="18"/>
        <v>0</v>
      </c>
      <c r="AE145" s="2">
        <f t="shared" si="19"/>
        <v>270538353</v>
      </c>
      <c r="AF145" s="2">
        <f t="shared" si="20"/>
        <v>0</v>
      </c>
      <c r="AG145" s="8">
        <f t="shared" si="21"/>
        <v>0</v>
      </c>
      <c r="AI145">
        <f t="shared" si="22"/>
        <v>0.57664305947811578</v>
      </c>
      <c r="AJ145">
        <f t="shared" si="23"/>
        <v>0.42335694052188427</v>
      </c>
    </row>
    <row r="146" spans="1:36" x14ac:dyDescent="0.25">
      <c r="A146" s="1">
        <v>39722</v>
      </c>
      <c r="B146" s="2">
        <v>660236944</v>
      </c>
      <c r="C146" s="4">
        <v>379809005</v>
      </c>
      <c r="D146" s="4">
        <v>280427939</v>
      </c>
      <c r="E146" s="2">
        <v>707782</v>
      </c>
      <c r="F146" s="2">
        <v>14955230</v>
      </c>
      <c r="G146" s="2">
        <v>190819</v>
      </c>
      <c r="H146" s="2">
        <v>158102549</v>
      </c>
      <c r="I146" s="2">
        <v>49947956</v>
      </c>
      <c r="J146" s="2">
        <v>1419581</v>
      </c>
      <c r="K146" s="2">
        <v>17153962</v>
      </c>
      <c r="L146" s="2">
        <v>10554669</v>
      </c>
      <c r="M146" s="2">
        <v>37922135</v>
      </c>
      <c r="N146">
        <v>0</v>
      </c>
      <c r="O146" s="2">
        <v>30405131</v>
      </c>
      <c r="P146" s="2">
        <v>38558082</v>
      </c>
      <c r="Q146" s="6">
        <v>17130547</v>
      </c>
      <c r="R146" s="6">
        <v>132506457</v>
      </c>
      <c r="S146" s="6">
        <v>3332753</v>
      </c>
      <c r="T146" s="6">
        <v>85170420</v>
      </c>
      <c r="U146" s="6">
        <v>11849133</v>
      </c>
      <c r="V146" s="6">
        <v>97019553</v>
      </c>
      <c r="W146" s="6">
        <v>21841671</v>
      </c>
      <c r="X146" s="6">
        <v>8596958</v>
      </c>
      <c r="Y146" s="2">
        <v>19891109</v>
      </c>
      <c r="AB146" s="2">
        <f t="shared" si="16"/>
        <v>379809005</v>
      </c>
      <c r="AC146" s="2">
        <f t="shared" si="17"/>
        <v>0</v>
      </c>
      <c r="AD146" s="8">
        <f t="shared" si="18"/>
        <v>0</v>
      </c>
      <c r="AE146" s="2">
        <f t="shared" si="19"/>
        <v>280427939</v>
      </c>
      <c r="AF146" s="2">
        <f t="shared" si="20"/>
        <v>0</v>
      </c>
      <c r="AG146" s="8">
        <f t="shared" si="21"/>
        <v>0</v>
      </c>
      <c r="AI146">
        <f t="shared" si="22"/>
        <v>0.57526166696906311</v>
      </c>
      <c r="AJ146">
        <f t="shared" si="23"/>
        <v>0.42473833303093683</v>
      </c>
    </row>
    <row r="147" spans="1:36" x14ac:dyDescent="0.25">
      <c r="A147" s="1">
        <v>39753</v>
      </c>
      <c r="B147" s="2">
        <v>671620603</v>
      </c>
      <c r="C147" s="4">
        <v>390831821</v>
      </c>
      <c r="D147" s="4">
        <v>280788782</v>
      </c>
      <c r="E147" s="2">
        <v>1096549</v>
      </c>
      <c r="F147" s="2">
        <v>15431305</v>
      </c>
      <c r="G147" s="2">
        <v>184073</v>
      </c>
      <c r="H147" s="2">
        <v>164190724</v>
      </c>
      <c r="I147" s="2">
        <v>49805541</v>
      </c>
      <c r="J147" s="2">
        <v>1528748</v>
      </c>
      <c r="K147" s="2">
        <v>16738378</v>
      </c>
      <c r="L147" s="2">
        <v>10507116</v>
      </c>
      <c r="M147" s="2">
        <v>41654311</v>
      </c>
      <c r="N147">
        <v>0</v>
      </c>
      <c r="O147" s="2">
        <v>30578473</v>
      </c>
      <c r="P147" s="2">
        <v>38641943</v>
      </c>
      <c r="Q147" s="6">
        <v>16683206</v>
      </c>
      <c r="R147" s="6">
        <v>134199289</v>
      </c>
      <c r="S147" s="6">
        <v>3435808</v>
      </c>
      <c r="T147" s="6">
        <v>83354162</v>
      </c>
      <c r="U147" s="6">
        <v>11799208</v>
      </c>
      <c r="V147" s="6">
        <v>95153370</v>
      </c>
      <c r="W147" s="6">
        <v>22642044</v>
      </c>
      <c r="X147" s="6">
        <v>8675065</v>
      </c>
      <c r="Y147" s="2">
        <v>20474660</v>
      </c>
      <c r="AB147" s="2">
        <f t="shared" si="16"/>
        <v>390831821</v>
      </c>
      <c r="AC147" s="2">
        <f t="shared" si="17"/>
        <v>0</v>
      </c>
      <c r="AD147" s="8">
        <f t="shared" si="18"/>
        <v>0</v>
      </c>
      <c r="AE147" s="2">
        <f t="shared" si="19"/>
        <v>280788782</v>
      </c>
      <c r="AF147" s="2">
        <f t="shared" si="20"/>
        <v>0</v>
      </c>
      <c r="AG147" s="8">
        <f t="shared" si="21"/>
        <v>0</v>
      </c>
      <c r="AI147">
        <f t="shared" si="22"/>
        <v>0.58192351344528359</v>
      </c>
      <c r="AJ147">
        <f t="shared" si="23"/>
        <v>0.41807648655471635</v>
      </c>
    </row>
    <row r="148" spans="1:36" x14ac:dyDescent="0.25">
      <c r="A148" s="1">
        <v>39783</v>
      </c>
      <c r="B148" s="2">
        <v>669086673</v>
      </c>
      <c r="C148" s="4">
        <v>391509833</v>
      </c>
      <c r="D148" s="4">
        <v>277576840</v>
      </c>
      <c r="E148" s="2">
        <v>782304</v>
      </c>
      <c r="F148" s="2">
        <v>15597161</v>
      </c>
      <c r="G148" s="2">
        <v>162421</v>
      </c>
      <c r="H148" s="2">
        <v>170088814</v>
      </c>
      <c r="I148" s="2">
        <v>47511104</v>
      </c>
      <c r="J148" s="2">
        <v>1762740</v>
      </c>
      <c r="K148" s="2">
        <v>15903878</v>
      </c>
      <c r="L148" s="2">
        <v>10150349</v>
      </c>
      <c r="M148" s="2">
        <v>43245226</v>
      </c>
      <c r="N148">
        <v>0</v>
      </c>
      <c r="O148" s="2">
        <v>28523511</v>
      </c>
      <c r="P148" s="2">
        <v>38736474</v>
      </c>
      <c r="Q148" s="6">
        <v>16039502</v>
      </c>
      <c r="R148" s="6">
        <v>133025461</v>
      </c>
      <c r="S148" s="6">
        <v>3553812</v>
      </c>
      <c r="T148" s="6">
        <v>82432528</v>
      </c>
      <c r="U148" s="6">
        <v>11600686</v>
      </c>
      <c r="V148" s="6">
        <v>94033214</v>
      </c>
      <c r="W148" s="6">
        <v>22088249</v>
      </c>
      <c r="X148" s="6">
        <v>8836602</v>
      </c>
      <c r="Y148" s="2">
        <v>19045851</v>
      </c>
      <c r="AB148" s="2">
        <f t="shared" si="16"/>
        <v>391509833</v>
      </c>
      <c r="AC148" s="2">
        <f t="shared" si="17"/>
        <v>0</v>
      </c>
      <c r="AD148" s="8">
        <f t="shared" si="18"/>
        <v>0</v>
      </c>
      <c r="AE148" s="2">
        <f t="shared" si="19"/>
        <v>277576840</v>
      </c>
      <c r="AF148" s="2">
        <f t="shared" si="20"/>
        <v>0</v>
      </c>
      <c r="AG148" s="8">
        <f t="shared" si="21"/>
        <v>0</v>
      </c>
      <c r="AI148">
        <f t="shared" si="22"/>
        <v>0.58514068326092639</v>
      </c>
      <c r="AJ148">
        <f t="shared" si="23"/>
        <v>0.41485931673907367</v>
      </c>
    </row>
    <row r="149" spans="1:36" x14ac:dyDescent="0.25">
      <c r="A149" s="1">
        <v>39814</v>
      </c>
      <c r="B149" s="2">
        <v>664033110</v>
      </c>
      <c r="C149" s="4">
        <v>384645932</v>
      </c>
      <c r="D149" s="4">
        <v>279387178</v>
      </c>
      <c r="E149" s="2">
        <v>947846</v>
      </c>
      <c r="F149" s="2">
        <v>13832022</v>
      </c>
      <c r="G149" s="2">
        <v>155292</v>
      </c>
      <c r="H149" s="2">
        <v>171137914</v>
      </c>
      <c r="I149" s="2">
        <v>47411161</v>
      </c>
      <c r="J149" s="2">
        <v>1751643</v>
      </c>
      <c r="K149" s="2">
        <v>15299299</v>
      </c>
      <c r="L149" s="2">
        <v>9240617</v>
      </c>
      <c r="M149" s="2">
        <v>42764499</v>
      </c>
      <c r="N149">
        <v>0</v>
      </c>
      <c r="O149" s="2">
        <v>26728997</v>
      </c>
      <c r="P149" s="2">
        <v>36933460</v>
      </c>
      <c r="Q149" s="6">
        <v>17109860</v>
      </c>
      <c r="R149" s="6">
        <v>134213794</v>
      </c>
      <c r="S149" s="6">
        <v>3494801</v>
      </c>
      <c r="T149" s="6">
        <v>81626476</v>
      </c>
      <c r="U149" s="6">
        <v>11086144</v>
      </c>
      <c r="V149" s="6">
        <v>92712620</v>
      </c>
      <c r="W149" s="6">
        <v>23018265</v>
      </c>
      <c r="X149" s="6">
        <v>8837838</v>
      </c>
      <c r="Y149" s="2">
        <v>18443182</v>
      </c>
      <c r="AB149" s="2">
        <f t="shared" si="16"/>
        <v>384645932</v>
      </c>
      <c r="AC149" s="2">
        <f t="shared" si="17"/>
        <v>0</v>
      </c>
      <c r="AD149" s="8">
        <f t="shared" si="18"/>
        <v>0</v>
      </c>
      <c r="AE149" s="2">
        <f t="shared" si="19"/>
        <v>279387178</v>
      </c>
      <c r="AF149" s="2">
        <f t="shared" si="20"/>
        <v>0</v>
      </c>
      <c r="AG149" s="8">
        <f t="shared" si="21"/>
        <v>0</v>
      </c>
      <c r="AI149">
        <f t="shared" si="22"/>
        <v>0.57925715782455489</v>
      </c>
      <c r="AJ149">
        <f t="shared" si="23"/>
        <v>0.42074284217544516</v>
      </c>
    </row>
    <row r="150" spans="1:36" x14ac:dyDescent="0.25">
      <c r="A150" s="1">
        <v>39845</v>
      </c>
      <c r="B150" s="2">
        <v>666894339</v>
      </c>
      <c r="C150" s="4">
        <v>385415386</v>
      </c>
      <c r="D150" s="4">
        <v>281478953</v>
      </c>
      <c r="E150" s="2">
        <v>904886</v>
      </c>
      <c r="F150" s="2">
        <v>14059702</v>
      </c>
      <c r="G150" s="2">
        <v>156391</v>
      </c>
      <c r="H150" s="2">
        <v>173903090</v>
      </c>
      <c r="I150" s="2">
        <v>48102839</v>
      </c>
      <c r="J150" s="2">
        <v>1736164</v>
      </c>
      <c r="K150" s="2">
        <v>14657806</v>
      </c>
      <c r="L150" s="2">
        <v>8726206</v>
      </c>
      <c r="M150" s="2">
        <v>43958499</v>
      </c>
      <c r="N150">
        <v>0</v>
      </c>
      <c r="O150" s="2">
        <v>25987445</v>
      </c>
      <c r="P150" s="2">
        <v>35582494</v>
      </c>
      <c r="Q150" s="6">
        <v>17469835</v>
      </c>
      <c r="R150" s="6">
        <v>136004272</v>
      </c>
      <c r="S150" s="6">
        <v>3471140</v>
      </c>
      <c r="T150" s="6">
        <v>81504410</v>
      </c>
      <c r="U150" s="6">
        <v>9797234</v>
      </c>
      <c r="V150" s="6">
        <v>91301644</v>
      </c>
      <c r="W150" s="6">
        <v>24335507</v>
      </c>
      <c r="X150" s="6">
        <v>8896555</v>
      </c>
      <c r="Y150" s="2">
        <v>17639864</v>
      </c>
      <c r="AB150" s="2">
        <f t="shared" si="16"/>
        <v>385415386</v>
      </c>
      <c r="AC150" s="2">
        <f t="shared" si="17"/>
        <v>0</v>
      </c>
      <c r="AD150" s="8">
        <f t="shared" si="18"/>
        <v>0</v>
      </c>
      <c r="AE150" s="2">
        <f t="shared" si="19"/>
        <v>281478953</v>
      </c>
      <c r="AF150" s="2">
        <f t="shared" si="20"/>
        <v>0</v>
      </c>
      <c r="AG150" s="8">
        <f t="shared" si="21"/>
        <v>0</v>
      </c>
      <c r="AI150">
        <f t="shared" si="22"/>
        <v>0.57792571245682745</v>
      </c>
      <c r="AJ150">
        <f t="shared" si="23"/>
        <v>0.42207428754317255</v>
      </c>
    </row>
    <row r="151" spans="1:36" x14ac:dyDescent="0.25">
      <c r="A151" s="1">
        <v>39873</v>
      </c>
      <c r="B151" s="2">
        <v>673876189</v>
      </c>
      <c r="C151" s="4">
        <v>388055188</v>
      </c>
      <c r="D151" s="4">
        <v>285821001</v>
      </c>
      <c r="E151" s="2">
        <v>958950</v>
      </c>
      <c r="F151" s="2">
        <v>14976308</v>
      </c>
      <c r="G151" s="2">
        <v>150919</v>
      </c>
      <c r="H151" s="2">
        <v>178345435</v>
      </c>
      <c r="I151" s="2">
        <v>47696971</v>
      </c>
      <c r="J151" s="2">
        <v>1736580</v>
      </c>
      <c r="K151" s="2">
        <v>14505295</v>
      </c>
      <c r="L151" s="2">
        <v>8607170</v>
      </c>
      <c r="M151" s="2">
        <v>45516165</v>
      </c>
      <c r="N151">
        <v>0</v>
      </c>
      <c r="O151" s="2">
        <v>23932704</v>
      </c>
      <c r="P151" s="2">
        <v>34735280</v>
      </c>
      <c r="Q151" s="6">
        <v>18032603</v>
      </c>
      <c r="R151" s="6">
        <v>138887041</v>
      </c>
      <c r="S151" s="6">
        <v>3667693</v>
      </c>
      <c r="T151" s="6">
        <v>81439634</v>
      </c>
      <c r="U151" s="6">
        <v>9675377</v>
      </c>
      <c r="V151" s="6">
        <v>91115011</v>
      </c>
      <c r="W151" s="6">
        <v>25011300</v>
      </c>
      <c r="X151" s="6">
        <v>9107353</v>
      </c>
      <c r="Y151" s="2">
        <v>16893411</v>
      </c>
      <c r="AB151" s="2">
        <f t="shared" si="16"/>
        <v>388055188</v>
      </c>
      <c r="AC151" s="2">
        <f t="shared" si="17"/>
        <v>0</v>
      </c>
      <c r="AD151" s="8">
        <f t="shared" si="18"/>
        <v>0</v>
      </c>
      <c r="AE151" s="2">
        <f t="shared" si="19"/>
        <v>285821001</v>
      </c>
      <c r="AF151" s="2">
        <f t="shared" si="20"/>
        <v>0</v>
      </c>
      <c r="AG151" s="8">
        <f t="shared" si="21"/>
        <v>0</v>
      </c>
      <c r="AI151">
        <f t="shared" si="22"/>
        <v>0.57585531932187028</v>
      </c>
      <c r="AJ151">
        <f t="shared" si="23"/>
        <v>0.42414468067812972</v>
      </c>
    </row>
    <row r="152" spans="1:36" x14ac:dyDescent="0.25">
      <c r="A152" s="1">
        <v>39904</v>
      </c>
      <c r="B152" s="2">
        <v>675957060</v>
      </c>
      <c r="C152" s="4">
        <v>386260324</v>
      </c>
      <c r="D152" s="4">
        <v>289696736</v>
      </c>
      <c r="E152" s="2">
        <v>920757</v>
      </c>
      <c r="F152" s="2">
        <v>14344844</v>
      </c>
      <c r="G152" s="2">
        <v>145290</v>
      </c>
      <c r="H152" s="2">
        <v>181087298</v>
      </c>
      <c r="I152" s="2">
        <v>47911010</v>
      </c>
      <c r="J152" s="2">
        <v>1812081</v>
      </c>
      <c r="K152" s="2">
        <v>14435777</v>
      </c>
      <c r="L152" s="2">
        <v>8553291</v>
      </c>
      <c r="M152" s="2">
        <v>44465105</v>
      </c>
      <c r="N152">
        <v>0</v>
      </c>
      <c r="O152" s="2">
        <v>21868123</v>
      </c>
      <c r="P152" s="2">
        <v>35031488</v>
      </c>
      <c r="Q152" s="6">
        <v>18052534</v>
      </c>
      <c r="R152" s="6">
        <v>142694146</v>
      </c>
      <c r="S152" s="6">
        <v>3768887</v>
      </c>
      <c r="T152" s="6">
        <v>81235493</v>
      </c>
      <c r="U152" s="6">
        <v>9387300</v>
      </c>
      <c r="V152" s="6">
        <v>90622793</v>
      </c>
      <c r="W152" s="6">
        <v>25390630</v>
      </c>
      <c r="X152" s="6">
        <v>9167746</v>
      </c>
      <c r="Y152" s="2">
        <v>15685260</v>
      </c>
      <c r="AB152" s="2">
        <f t="shared" si="16"/>
        <v>386260324</v>
      </c>
      <c r="AC152" s="2">
        <f t="shared" si="17"/>
        <v>0</v>
      </c>
      <c r="AD152" s="8">
        <f t="shared" si="18"/>
        <v>0</v>
      </c>
      <c r="AE152" s="2">
        <f t="shared" si="19"/>
        <v>289696736</v>
      </c>
      <c r="AF152" s="2">
        <f t="shared" si="20"/>
        <v>0</v>
      </c>
      <c r="AG152" s="8">
        <f t="shared" si="21"/>
        <v>0</v>
      </c>
      <c r="AI152">
        <f t="shared" si="22"/>
        <v>0.57142730930275365</v>
      </c>
      <c r="AJ152">
        <f t="shared" si="23"/>
        <v>0.42857269069724635</v>
      </c>
    </row>
    <row r="153" spans="1:36" x14ac:dyDescent="0.25">
      <c r="A153" s="1">
        <v>39934</v>
      </c>
      <c r="B153" s="2">
        <v>677520206</v>
      </c>
      <c r="C153" s="4">
        <v>382915917</v>
      </c>
      <c r="D153" s="4">
        <v>294604289</v>
      </c>
      <c r="E153" s="2">
        <v>960908</v>
      </c>
      <c r="F153" s="2">
        <v>14393117</v>
      </c>
      <c r="G153" s="2">
        <v>155381</v>
      </c>
      <c r="H153" s="2">
        <v>182703303</v>
      </c>
      <c r="I153" s="2">
        <v>47631914</v>
      </c>
      <c r="J153" s="2">
        <v>1843959</v>
      </c>
      <c r="K153" s="2">
        <v>14529922</v>
      </c>
      <c r="L153" s="2">
        <v>8439731</v>
      </c>
      <c r="M153" s="2">
        <v>43634374</v>
      </c>
      <c r="N153">
        <v>0</v>
      </c>
      <c r="O153" s="2">
        <v>18810557</v>
      </c>
      <c r="P153" s="2">
        <v>35189027</v>
      </c>
      <c r="Q153" s="6">
        <v>17595676</v>
      </c>
      <c r="R153" s="6">
        <v>147101710</v>
      </c>
      <c r="S153" s="6">
        <v>3778604</v>
      </c>
      <c r="T153" s="6">
        <v>81776806</v>
      </c>
      <c r="U153" s="6">
        <v>9186839</v>
      </c>
      <c r="V153" s="6">
        <v>90963645</v>
      </c>
      <c r="W153" s="6">
        <v>25334676</v>
      </c>
      <c r="X153" s="6">
        <v>9829978</v>
      </c>
      <c r="Y153" s="2">
        <v>14623724</v>
      </c>
      <c r="AB153" s="2">
        <f t="shared" si="16"/>
        <v>382915917</v>
      </c>
      <c r="AC153" s="2">
        <f t="shared" si="17"/>
        <v>0</v>
      </c>
      <c r="AD153" s="8">
        <f t="shared" si="18"/>
        <v>0</v>
      </c>
      <c r="AE153" s="2">
        <f t="shared" si="19"/>
        <v>294604289</v>
      </c>
      <c r="AF153" s="2">
        <f t="shared" si="20"/>
        <v>0</v>
      </c>
      <c r="AG153" s="8">
        <f t="shared" si="21"/>
        <v>0</v>
      </c>
      <c r="AI153">
        <f t="shared" si="22"/>
        <v>0.56517268947695409</v>
      </c>
      <c r="AJ153">
        <f t="shared" si="23"/>
        <v>0.43482731052304585</v>
      </c>
    </row>
    <row r="154" spans="1:36" x14ac:dyDescent="0.25">
      <c r="A154" s="1">
        <v>39965</v>
      </c>
      <c r="B154" s="2">
        <v>682072746</v>
      </c>
      <c r="C154" s="4">
        <v>383306705</v>
      </c>
      <c r="D154" s="4">
        <v>298766041</v>
      </c>
      <c r="E154" s="2">
        <v>1053473</v>
      </c>
      <c r="F154" s="2">
        <v>14419694</v>
      </c>
      <c r="G154" s="2">
        <v>172545</v>
      </c>
      <c r="H154" s="2">
        <v>185374017</v>
      </c>
      <c r="I154" s="2">
        <v>46909845</v>
      </c>
      <c r="J154" s="2">
        <v>1904216</v>
      </c>
      <c r="K154" s="2">
        <v>14413532</v>
      </c>
      <c r="L154" s="2">
        <v>8587903</v>
      </c>
      <c r="M154" s="2">
        <v>43247532</v>
      </c>
      <c r="N154">
        <v>0</v>
      </c>
      <c r="O154" s="2">
        <v>17022242</v>
      </c>
      <c r="P154" s="2">
        <v>35951545</v>
      </c>
      <c r="Q154" s="6">
        <v>17876045</v>
      </c>
      <c r="R154" s="6">
        <v>149429293</v>
      </c>
      <c r="S154" s="6">
        <v>3851046</v>
      </c>
      <c r="T154" s="6">
        <v>83219528</v>
      </c>
      <c r="U154" s="6">
        <v>9041862</v>
      </c>
      <c r="V154" s="6">
        <v>92261390</v>
      </c>
      <c r="W154" s="6">
        <v>25385857</v>
      </c>
      <c r="X154" s="6">
        <v>9962410</v>
      </c>
      <c r="Y154" s="2">
        <v>14250161</v>
      </c>
      <c r="AB154" s="2">
        <f t="shared" si="16"/>
        <v>383306705</v>
      </c>
      <c r="AC154" s="2">
        <f t="shared" si="17"/>
        <v>0</v>
      </c>
      <c r="AD154" s="8">
        <f t="shared" si="18"/>
        <v>0</v>
      </c>
      <c r="AE154" s="2">
        <f t="shared" si="19"/>
        <v>298766041</v>
      </c>
      <c r="AF154" s="2">
        <f t="shared" si="20"/>
        <v>0</v>
      </c>
      <c r="AG154" s="8">
        <f t="shared" si="21"/>
        <v>0</v>
      </c>
      <c r="AI154">
        <f t="shared" si="22"/>
        <v>0.56197334851435332</v>
      </c>
      <c r="AJ154">
        <f t="shared" si="23"/>
        <v>0.43802665148564668</v>
      </c>
    </row>
    <row r="155" spans="1:36" x14ac:dyDescent="0.25">
      <c r="A155" s="1">
        <v>39995</v>
      </c>
      <c r="B155" s="2">
        <v>680994212</v>
      </c>
      <c r="C155" s="4">
        <v>379182723</v>
      </c>
      <c r="D155" s="4">
        <v>301811489</v>
      </c>
      <c r="E155" s="2">
        <v>827342</v>
      </c>
      <c r="F155" s="2">
        <v>14176846</v>
      </c>
      <c r="G155" s="2">
        <v>170856</v>
      </c>
      <c r="H155" s="2">
        <v>187004984</v>
      </c>
      <c r="I155" s="2">
        <v>45962367</v>
      </c>
      <c r="J155" s="2">
        <v>1997714</v>
      </c>
      <c r="K155" s="2">
        <v>14523774</v>
      </c>
      <c r="L155" s="2">
        <v>8534868</v>
      </c>
      <c r="M155" s="2">
        <v>41179320</v>
      </c>
      <c r="N155">
        <v>0</v>
      </c>
      <c r="O155" s="2">
        <v>15527901</v>
      </c>
      <c r="P155" s="2">
        <v>35609088</v>
      </c>
      <c r="Q155" s="6">
        <v>17190095</v>
      </c>
      <c r="R155" s="6">
        <v>152444817</v>
      </c>
      <c r="S155" s="6">
        <v>3919273</v>
      </c>
      <c r="T155" s="6">
        <v>84226637</v>
      </c>
      <c r="U155" s="6">
        <v>9006616</v>
      </c>
      <c r="V155" s="6">
        <v>93233253</v>
      </c>
      <c r="W155" s="6">
        <v>25150894</v>
      </c>
      <c r="X155" s="6">
        <v>9873157</v>
      </c>
      <c r="Y155" s="2">
        <v>13667663</v>
      </c>
      <c r="AB155" s="2">
        <f t="shared" si="16"/>
        <v>379182723</v>
      </c>
      <c r="AC155" s="2">
        <f t="shared" si="17"/>
        <v>0</v>
      </c>
      <c r="AD155" s="8">
        <f t="shared" si="18"/>
        <v>0</v>
      </c>
      <c r="AE155" s="2">
        <f t="shared" si="19"/>
        <v>301811489</v>
      </c>
      <c r="AF155" s="2">
        <f t="shared" si="20"/>
        <v>0</v>
      </c>
      <c r="AG155" s="8">
        <f t="shared" si="21"/>
        <v>0</v>
      </c>
      <c r="AI155">
        <f t="shared" si="22"/>
        <v>0.55680755624395817</v>
      </c>
      <c r="AJ155">
        <f t="shared" si="23"/>
        <v>0.44319244375604178</v>
      </c>
    </row>
    <row r="156" spans="1:36" x14ac:dyDescent="0.25">
      <c r="A156" s="1">
        <v>40026</v>
      </c>
      <c r="B156" s="2">
        <v>690638459</v>
      </c>
      <c r="C156" s="4">
        <v>383901184</v>
      </c>
      <c r="D156" s="4">
        <v>306737275</v>
      </c>
      <c r="E156" s="2">
        <v>707943</v>
      </c>
      <c r="F156" s="2">
        <v>14304394</v>
      </c>
      <c r="G156" s="2">
        <v>168899</v>
      </c>
      <c r="H156" s="2">
        <v>192659506</v>
      </c>
      <c r="I156" s="2">
        <v>46455379</v>
      </c>
      <c r="J156" s="2">
        <v>2047906</v>
      </c>
      <c r="K156" s="2">
        <v>14779537</v>
      </c>
      <c r="L156" s="2">
        <v>8613048</v>
      </c>
      <c r="M156" s="2">
        <v>38989337</v>
      </c>
      <c r="N156">
        <v>0</v>
      </c>
      <c r="O156" s="2">
        <v>15175412</v>
      </c>
      <c r="P156" s="2">
        <v>36375245</v>
      </c>
      <c r="Q156" s="6">
        <v>17508572</v>
      </c>
      <c r="R156" s="6">
        <v>155647141</v>
      </c>
      <c r="S156" s="6">
        <v>3973941</v>
      </c>
      <c r="T156" s="6">
        <v>85324592</v>
      </c>
      <c r="U156" s="6">
        <v>8923914</v>
      </c>
      <c r="V156" s="6">
        <v>94248506</v>
      </c>
      <c r="W156" s="6">
        <v>25306807</v>
      </c>
      <c r="X156" s="6">
        <v>10052308</v>
      </c>
      <c r="Y156" s="2">
        <v>13624578</v>
      </c>
      <c r="AB156" s="2">
        <f t="shared" si="16"/>
        <v>383901184</v>
      </c>
      <c r="AC156" s="2">
        <f t="shared" si="17"/>
        <v>0</v>
      </c>
      <c r="AD156" s="8">
        <f t="shared" si="18"/>
        <v>0</v>
      </c>
      <c r="AE156" s="2">
        <f t="shared" si="19"/>
        <v>306737275</v>
      </c>
      <c r="AF156" s="2">
        <f t="shared" si="20"/>
        <v>0</v>
      </c>
      <c r="AG156" s="8">
        <f t="shared" si="21"/>
        <v>0</v>
      </c>
      <c r="AI156">
        <f t="shared" si="22"/>
        <v>0.55586418479484068</v>
      </c>
      <c r="AJ156">
        <f t="shared" si="23"/>
        <v>0.44413581520515932</v>
      </c>
    </row>
    <row r="157" spans="1:36" x14ac:dyDescent="0.25">
      <c r="A157" s="1">
        <v>40057</v>
      </c>
      <c r="B157" s="2">
        <v>698592222</v>
      </c>
      <c r="C157" s="4">
        <v>386156265</v>
      </c>
      <c r="D157" s="4">
        <v>312435957</v>
      </c>
      <c r="E157" s="2">
        <v>658617</v>
      </c>
      <c r="F157" s="2">
        <v>14589357</v>
      </c>
      <c r="G157" s="2">
        <v>150299</v>
      </c>
      <c r="H157" s="2">
        <v>200074701</v>
      </c>
      <c r="I157" s="2">
        <v>45991204</v>
      </c>
      <c r="J157" s="2">
        <v>2102161</v>
      </c>
      <c r="K157" s="2">
        <v>14414015</v>
      </c>
      <c r="L157" s="2">
        <v>8908131</v>
      </c>
      <c r="M157" s="2">
        <v>35651717</v>
      </c>
      <c r="N157">
        <v>0</v>
      </c>
      <c r="O157" s="2">
        <v>13935752</v>
      </c>
      <c r="P157" s="2">
        <v>36870683</v>
      </c>
      <c r="Q157" s="6">
        <v>17514268</v>
      </c>
      <c r="R157" s="6">
        <v>158230339</v>
      </c>
      <c r="S157" s="6">
        <v>4109739</v>
      </c>
      <c r="T157" s="6">
        <v>87955098</v>
      </c>
      <c r="U157" s="6">
        <v>8991672</v>
      </c>
      <c r="V157" s="6">
        <v>96946770</v>
      </c>
      <c r="W157" s="6">
        <v>25635048</v>
      </c>
      <c r="X157" s="6">
        <v>9999793</v>
      </c>
      <c r="Y157" s="2">
        <v>12809628</v>
      </c>
      <c r="AB157" s="2">
        <f t="shared" si="16"/>
        <v>386156265</v>
      </c>
      <c r="AC157" s="2">
        <f t="shared" si="17"/>
        <v>0</v>
      </c>
      <c r="AD157" s="8">
        <f t="shared" si="18"/>
        <v>0</v>
      </c>
      <c r="AE157" s="2">
        <f t="shared" si="19"/>
        <v>312435957</v>
      </c>
      <c r="AF157" s="2">
        <f t="shared" si="20"/>
        <v>0</v>
      </c>
      <c r="AG157" s="8">
        <f t="shared" si="21"/>
        <v>0</v>
      </c>
      <c r="AI157">
        <f t="shared" si="22"/>
        <v>0.55276347608691245</v>
      </c>
      <c r="AJ157">
        <f t="shared" si="23"/>
        <v>0.4472365239130876</v>
      </c>
    </row>
    <row r="158" spans="1:36" x14ac:dyDescent="0.25">
      <c r="A158" s="1">
        <v>40087</v>
      </c>
      <c r="B158" s="2">
        <v>707994199</v>
      </c>
      <c r="C158" s="4">
        <v>389819607</v>
      </c>
      <c r="D158" s="4">
        <v>318174592</v>
      </c>
      <c r="E158" s="2">
        <v>673163</v>
      </c>
      <c r="F158" s="2">
        <v>14827093</v>
      </c>
      <c r="G158" s="2">
        <v>151447</v>
      </c>
      <c r="H158" s="2">
        <v>205022606</v>
      </c>
      <c r="I158" s="2">
        <v>46227047</v>
      </c>
      <c r="J158" s="2">
        <v>2102200</v>
      </c>
      <c r="K158" s="2">
        <v>14989364</v>
      </c>
      <c r="L158" s="2">
        <v>8588946</v>
      </c>
      <c r="M158" s="2">
        <v>34287240</v>
      </c>
      <c r="N158">
        <v>0</v>
      </c>
      <c r="O158" s="2">
        <v>13061821</v>
      </c>
      <c r="P158" s="2">
        <v>37289649</v>
      </c>
      <c r="Q158" s="6">
        <v>17369883</v>
      </c>
      <c r="R158" s="6">
        <v>161821167</v>
      </c>
      <c r="S158" s="6">
        <v>4219645</v>
      </c>
      <c r="T158" s="6">
        <v>90135889</v>
      </c>
      <c r="U158" s="6">
        <v>9132779</v>
      </c>
      <c r="V158" s="6">
        <v>99268668</v>
      </c>
      <c r="W158" s="6">
        <v>25519226</v>
      </c>
      <c r="X158" s="6">
        <v>9976003</v>
      </c>
      <c r="Y158" s="2">
        <v>12599031</v>
      </c>
      <c r="AB158" s="2">
        <f t="shared" si="16"/>
        <v>389819607</v>
      </c>
      <c r="AC158" s="2">
        <f t="shared" si="17"/>
        <v>0</v>
      </c>
      <c r="AD158" s="8">
        <f t="shared" si="18"/>
        <v>0</v>
      </c>
      <c r="AE158" s="2">
        <f t="shared" si="19"/>
        <v>318174592</v>
      </c>
      <c r="AF158" s="2">
        <f t="shared" si="20"/>
        <v>0</v>
      </c>
      <c r="AG158" s="8">
        <f t="shared" si="21"/>
        <v>0</v>
      </c>
      <c r="AI158">
        <f t="shared" si="22"/>
        <v>0.55059717657375895</v>
      </c>
      <c r="AJ158">
        <f t="shared" si="23"/>
        <v>0.4494028234262411</v>
      </c>
    </row>
    <row r="159" spans="1:36" x14ac:dyDescent="0.25">
      <c r="A159" s="1">
        <v>40118</v>
      </c>
      <c r="B159" s="2">
        <v>717589734</v>
      </c>
      <c r="C159" s="4">
        <v>394792877</v>
      </c>
      <c r="D159" s="4">
        <v>322796857</v>
      </c>
      <c r="E159" s="2">
        <v>613198</v>
      </c>
      <c r="F159" s="2">
        <v>15590631</v>
      </c>
      <c r="G159" s="2">
        <v>143342</v>
      </c>
      <c r="H159" s="2">
        <v>211502215</v>
      </c>
      <c r="I159" s="2">
        <v>47158616</v>
      </c>
      <c r="J159" s="2">
        <v>2181777</v>
      </c>
      <c r="K159" s="2">
        <v>14846316</v>
      </c>
      <c r="L159" s="2">
        <v>9199354</v>
      </c>
      <c r="M159" s="2">
        <v>31590301</v>
      </c>
      <c r="N159">
        <v>0</v>
      </c>
      <c r="O159" s="2">
        <v>12843501</v>
      </c>
      <c r="P159" s="2">
        <v>35981377</v>
      </c>
      <c r="Q159" s="6">
        <v>17387382</v>
      </c>
      <c r="R159" s="6">
        <v>163446656</v>
      </c>
      <c r="S159" s="6">
        <v>4356228</v>
      </c>
      <c r="T159" s="6">
        <v>91852127</v>
      </c>
      <c r="U159" s="6">
        <v>9157418</v>
      </c>
      <c r="V159" s="6">
        <v>101009545</v>
      </c>
      <c r="W159" s="6">
        <v>26573592</v>
      </c>
      <c r="X159" s="6">
        <v>10023454</v>
      </c>
      <c r="Y159" s="2">
        <v>13142249</v>
      </c>
      <c r="AB159" s="2">
        <f t="shared" si="16"/>
        <v>394792877</v>
      </c>
      <c r="AC159" s="2">
        <f t="shared" si="17"/>
        <v>0</v>
      </c>
      <c r="AD159" s="8">
        <f t="shared" si="18"/>
        <v>0</v>
      </c>
      <c r="AE159" s="2">
        <f t="shared" si="19"/>
        <v>322796857</v>
      </c>
      <c r="AF159" s="2">
        <f t="shared" si="20"/>
        <v>0</v>
      </c>
      <c r="AG159" s="8">
        <f t="shared" si="21"/>
        <v>0</v>
      </c>
      <c r="AI159">
        <f t="shared" si="22"/>
        <v>0.55016516861151199</v>
      </c>
      <c r="AJ159">
        <f t="shared" si="23"/>
        <v>0.44983483138848807</v>
      </c>
    </row>
    <row r="160" spans="1:36" x14ac:dyDescent="0.25">
      <c r="A160" s="1">
        <v>40148</v>
      </c>
      <c r="B160" s="2">
        <v>721552079</v>
      </c>
      <c r="C160" s="4">
        <v>397770561</v>
      </c>
      <c r="D160" s="4">
        <v>323781518</v>
      </c>
      <c r="E160" s="2">
        <v>607203</v>
      </c>
      <c r="F160" s="2">
        <v>16905463</v>
      </c>
      <c r="G160" s="2">
        <v>148286</v>
      </c>
      <c r="H160" s="2">
        <v>216524593</v>
      </c>
      <c r="I160" s="2">
        <v>44932334</v>
      </c>
      <c r="J160" s="2">
        <v>2280520</v>
      </c>
      <c r="K160" s="2">
        <v>15315658</v>
      </c>
      <c r="L160" s="2">
        <v>9275418</v>
      </c>
      <c r="M160" s="2">
        <v>30052158</v>
      </c>
      <c r="N160">
        <v>0</v>
      </c>
      <c r="O160" s="2">
        <v>11967671</v>
      </c>
      <c r="P160" s="2">
        <v>36877339</v>
      </c>
      <c r="Q160" s="6">
        <v>15787039</v>
      </c>
      <c r="R160" s="6">
        <v>164323490</v>
      </c>
      <c r="S160" s="6">
        <v>4500126</v>
      </c>
      <c r="T160" s="6">
        <v>94133453</v>
      </c>
      <c r="U160" s="6">
        <v>9439570</v>
      </c>
      <c r="V160" s="6">
        <v>103573023</v>
      </c>
      <c r="W160" s="6">
        <v>25668912</v>
      </c>
      <c r="X160" s="6">
        <v>9928928</v>
      </c>
      <c r="Y160" s="2">
        <v>12883918</v>
      </c>
      <c r="AB160" s="2">
        <f t="shared" si="16"/>
        <v>397770561</v>
      </c>
      <c r="AC160" s="2">
        <f t="shared" si="17"/>
        <v>0</v>
      </c>
      <c r="AD160" s="8">
        <f t="shared" si="18"/>
        <v>0</v>
      </c>
      <c r="AE160" s="2">
        <f t="shared" si="19"/>
        <v>323781518</v>
      </c>
      <c r="AF160" s="2">
        <f t="shared" si="20"/>
        <v>0</v>
      </c>
      <c r="AG160" s="8">
        <f t="shared" si="21"/>
        <v>0</v>
      </c>
      <c r="AI160">
        <f t="shared" si="22"/>
        <v>0.55127075726989905</v>
      </c>
      <c r="AJ160">
        <f t="shared" si="23"/>
        <v>0.44872924273010101</v>
      </c>
    </row>
    <row r="161" spans="1:36" x14ac:dyDescent="0.25">
      <c r="A161" s="1">
        <v>40179</v>
      </c>
      <c r="B161" s="2">
        <v>726711945</v>
      </c>
      <c r="C161" s="4">
        <v>396886605</v>
      </c>
      <c r="D161" s="4">
        <v>329825340</v>
      </c>
      <c r="E161" s="2">
        <v>517398</v>
      </c>
      <c r="F161" s="2">
        <v>15635800</v>
      </c>
      <c r="G161" s="2">
        <v>153683</v>
      </c>
      <c r="H161" s="2">
        <v>216381993</v>
      </c>
      <c r="I161" s="2">
        <v>46303412</v>
      </c>
      <c r="J161" s="2">
        <v>2346894</v>
      </c>
      <c r="K161" s="2">
        <v>14930266</v>
      </c>
      <c r="L161" s="2">
        <v>8747860</v>
      </c>
      <c r="M161" s="2">
        <v>30367660</v>
      </c>
      <c r="N161">
        <v>0</v>
      </c>
      <c r="O161" s="2">
        <v>12434248</v>
      </c>
      <c r="P161" s="2">
        <v>35883861</v>
      </c>
      <c r="Q161" s="6">
        <v>16580722</v>
      </c>
      <c r="R161" s="6">
        <v>167112943</v>
      </c>
      <c r="S161" s="6">
        <v>4540105</v>
      </c>
      <c r="T161" s="6">
        <v>95674196</v>
      </c>
      <c r="U161" s="6">
        <v>9289505</v>
      </c>
      <c r="V161" s="6">
        <v>104963701</v>
      </c>
      <c r="W161" s="6">
        <v>26845179</v>
      </c>
      <c r="X161" s="6">
        <v>9782690</v>
      </c>
      <c r="Y161" s="2">
        <v>13183530</v>
      </c>
      <c r="AB161" s="2">
        <f t="shared" si="16"/>
        <v>396886605</v>
      </c>
      <c r="AC161" s="2">
        <f t="shared" si="17"/>
        <v>0</v>
      </c>
      <c r="AD161" s="8">
        <f t="shared" si="18"/>
        <v>0</v>
      </c>
      <c r="AE161" s="2">
        <f t="shared" si="19"/>
        <v>329825340</v>
      </c>
      <c r="AF161" s="2">
        <f t="shared" si="20"/>
        <v>0</v>
      </c>
      <c r="AG161" s="8">
        <f t="shared" si="21"/>
        <v>0</v>
      </c>
      <c r="AI161">
        <f t="shared" si="22"/>
        <v>0.5461401972689468</v>
      </c>
      <c r="AJ161">
        <f t="shared" si="23"/>
        <v>0.4538598027310532</v>
      </c>
    </row>
    <row r="162" spans="1:36" x14ac:dyDescent="0.25">
      <c r="A162" s="1">
        <v>40210</v>
      </c>
      <c r="B162" s="2">
        <v>738234397</v>
      </c>
      <c r="C162" s="4">
        <v>402124411</v>
      </c>
      <c r="D162" s="4">
        <v>336109986</v>
      </c>
      <c r="E162" s="2">
        <v>525471</v>
      </c>
      <c r="F162" s="2">
        <v>15649643</v>
      </c>
      <c r="G162" s="2">
        <v>159152</v>
      </c>
      <c r="H162" s="2">
        <v>219969524</v>
      </c>
      <c r="I162" s="2">
        <v>47924934</v>
      </c>
      <c r="J162" s="2">
        <v>2386115</v>
      </c>
      <c r="K162" s="2">
        <v>15056881</v>
      </c>
      <c r="L162" s="2">
        <v>8754206</v>
      </c>
      <c r="M162" s="2">
        <v>31572441</v>
      </c>
      <c r="N162">
        <v>0</v>
      </c>
      <c r="O162" s="2">
        <v>11452120</v>
      </c>
      <c r="P162" s="2">
        <v>35584167</v>
      </c>
      <c r="Q162" s="6">
        <v>17040835</v>
      </c>
      <c r="R162" s="6">
        <v>170000395</v>
      </c>
      <c r="S162" s="6">
        <v>4681101</v>
      </c>
      <c r="T162" s="6">
        <v>97983469</v>
      </c>
      <c r="U162" s="6">
        <v>9151682</v>
      </c>
      <c r="V162" s="6">
        <v>107135151</v>
      </c>
      <c r="W162" s="6">
        <v>27593556</v>
      </c>
      <c r="X162" s="6">
        <v>9658948</v>
      </c>
      <c r="Y162" s="2">
        <v>13089757</v>
      </c>
      <c r="AB162" s="2">
        <f t="shared" si="16"/>
        <v>402124411</v>
      </c>
      <c r="AC162" s="2">
        <f t="shared" si="17"/>
        <v>0</v>
      </c>
      <c r="AD162" s="8">
        <f t="shared" si="18"/>
        <v>0</v>
      </c>
      <c r="AE162" s="2">
        <f t="shared" si="19"/>
        <v>336109986</v>
      </c>
      <c r="AF162" s="2">
        <f t="shared" si="20"/>
        <v>0</v>
      </c>
      <c r="AG162" s="8">
        <f t="shared" si="21"/>
        <v>0</v>
      </c>
      <c r="AI162">
        <f t="shared" si="22"/>
        <v>0.54471101947312817</v>
      </c>
      <c r="AJ162">
        <f t="shared" si="23"/>
        <v>0.45528898052687189</v>
      </c>
    </row>
    <row r="163" spans="1:36" x14ac:dyDescent="0.25">
      <c r="A163" s="1">
        <v>40238</v>
      </c>
      <c r="B163" s="2">
        <v>747978849</v>
      </c>
      <c r="C163" s="4">
        <v>403476667</v>
      </c>
      <c r="D163" s="4">
        <v>344502182</v>
      </c>
      <c r="E163" s="2">
        <v>426370</v>
      </c>
      <c r="F163" s="2">
        <v>16506186</v>
      </c>
      <c r="G163" s="2">
        <v>148758</v>
      </c>
      <c r="H163" s="2">
        <v>223874798</v>
      </c>
      <c r="I163" s="2">
        <v>47403823</v>
      </c>
      <c r="J163" s="2">
        <v>2560305</v>
      </c>
      <c r="K163" s="2">
        <v>15169820</v>
      </c>
      <c r="L163" s="2">
        <v>8921795</v>
      </c>
      <c r="M163" s="2">
        <v>29480929</v>
      </c>
      <c r="N163">
        <v>0</v>
      </c>
      <c r="O163" s="2">
        <v>10406018</v>
      </c>
      <c r="P163" s="2">
        <v>35539675</v>
      </c>
      <c r="Q163" s="6">
        <v>17591654</v>
      </c>
      <c r="R163" s="6">
        <v>174428918</v>
      </c>
      <c r="S163" s="6">
        <v>4858579</v>
      </c>
      <c r="T163" s="6">
        <v>101941611</v>
      </c>
      <c r="U163" s="6">
        <v>9078461</v>
      </c>
      <c r="V163" s="6">
        <v>111020072</v>
      </c>
      <c r="W163" s="6">
        <v>26975563</v>
      </c>
      <c r="X163" s="6">
        <v>9627396</v>
      </c>
      <c r="Y163" s="2">
        <v>13038190</v>
      </c>
      <c r="AB163" s="2">
        <f t="shared" si="16"/>
        <v>403476667</v>
      </c>
      <c r="AC163" s="2">
        <f t="shared" si="17"/>
        <v>0</v>
      </c>
      <c r="AD163" s="8">
        <f t="shared" si="18"/>
        <v>0</v>
      </c>
      <c r="AE163" s="2">
        <f t="shared" si="19"/>
        <v>344502182</v>
      </c>
      <c r="AF163" s="2">
        <f t="shared" si="20"/>
        <v>0</v>
      </c>
      <c r="AG163" s="8">
        <f t="shared" si="21"/>
        <v>0</v>
      </c>
      <c r="AI163">
        <f t="shared" si="22"/>
        <v>0.5394225619339672</v>
      </c>
      <c r="AJ163">
        <f t="shared" si="23"/>
        <v>0.4605774380660328</v>
      </c>
    </row>
    <row r="164" spans="1:36" x14ac:dyDescent="0.25">
      <c r="A164" s="1">
        <v>40269</v>
      </c>
      <c r="B164" s="2">
        <v>758529692</v>
      </c>
      <c r="C164" s="4">
        <v>405791734</v>
      </c>
      <c r="D164" s="4">
        <v>352737958</v>
      </c>
      <c r="E164" s="2">
        <v>523123</v>
      </c>
      <c r="F164" s="2">
        <v>16329902</v>
      </c>
      <c r="G164" s="2">
        <v>118145</v>
      </c>
      <c r="H164" s="2">
        <v>226291302</v>
      </c>
      <c r="I164" s="2">
        <v>48947523</v>
      </c>
      <c r="J164" s="2">
        <v>2748977</v>
      </c>
      <c r="K164" s="2">
        <v>15594533</v>
      </c>
      <c r="L164" s="2">
        <v>8815265</v>
      </c>
      <c r="M164" s="2">
        <v>29044329</v>
      </c>
      <c r="N164">
        <v>0</v>
      </c>
      <c r="O164" s="2">
        <v>9467289</v>
      </c>
      <c r="P164" s="2">
        <v>35357821</v>
      </c>
      <c r="Q164" s="6">
        <v>17770694</v>
      </c>
      <c r="R164" s="6">
        <v>178705685</v>
      </c>
      <c r="S164" s="6">
        <v>5117902</v>
      </c>
      <c r="T164" s="6">
        <v>105224914</v>
      </c>
      <c r="U164" s="6">
        <v>8970889</v>
      </c>
      <c r="V164" s="6">
        <v>114195803</v>
      </c>
      <c r="W164" s="6">
        <v>27462103</v>
      </c>
      <c r="X164" s="6">
        <v>9485771</v>
      </c>
      <c r="Y164" s="2">
        <v>12553525</v>
      </c>
      <c r="AB164" s="2">
        <f t="shared" si="16"/>
        <v>405791734</v>
      </c>
      <c r="AC164" s="2">
        <f t="shared" si="17"/>
        <v>0</v>
      </c>
      <c r="AD164" s="8">
        <f t="shared" si="18"/>
        <v>0</v>
      </c>
      <c r="AE164" s="2">
        <f t="shared" si="19"/>
        <v>352737958</v>
      </c>
      <c r="AF164" s="2">
        <f t="shared" si="20"/>
        <v>0</v>
      </c>
      <c r="AG164" s="8">
        <f t="shared" si="21"/>
        <v>0</v>
      </c>
      <c r="AI164">
        <f t="shared" si="22"/>
        <v>0.53497145633160004</v>
      </c>
      <c r="AJ164">
        <f t="shared" si="23"/>
        <v>0.46502854366840002</v>
      </c>
    </row>
    <row r="165" spans="1:36" x14ac:dyDescent="0.25">
      <c r="A165" s="1">
        <v>40299</v>
      </c>
      <c r="B165" s="2">
        <v>775409393</v>
      </c>
      <c r="C165" s="4">
        <v>413822634</v>
      </c>
      <c r="D165" s="4">
        <v>361586759</v>
      </c>
      <c r="E165" s="2">
        <v>561363</v>
      </c>
      <c r="F165" s="2">
        <v>16371710</v>
      </c>
      <c r="G165" s="2">
        <v>114872</v>
      </c>
      <c r="H165" s="2">
        <v>230594555</v>
      </c>
      <c r="I165" s="2">
        <v>50239728</v>
      </c>
      <c r="J165" s="2">
        <v>2786395</v>
      </c>
      <c r="K165" s="2">
        <v>15858391</v>
      </c>
      <c r="L165" s="2">
        <v>8749418</v>
      </c>
      <c r="M165" s="2">
        <v>29773144</v>
      </c>
      <c r="N165">
        <v>0</v>
      </c>
      <c r="O165" s="2">
        <v>9574306</v>
      </c>
      <c r="P165" s="2">
        <v>36350235</v>
      </c>
      <c r="Q165" s="6">
        <v>17971999</v>
      </c>
      <c r="R165" s="6">
        <v>183130392</v>
      </c>
      <c r="S165" s="6">
        <v>5317736</v>
      </c>
      <c r="T165" s="6">
        <v>108254447</v>
      </c>
      <c r="U165" s="6">
        <v>9128661</v>
      </c>
      <c r="V165" s="6">
        <v>117383108</v>
      </c>
      <c r="W165" s="6">
        <v>28306573</v>
      </c>
      <c r="X165" s="6">
        <v>9476951</v>
      </c>
      <c r="Y165" s="2">
        <v>12848517</v>
      </c>
      <c r="AB165" s="2">
        <f t="shared" si="16"/>
        <v>413822634</v>
      </c>
      <c r="AC165" s="2">
        <f t="shared" si="17"/>
        <v>0</v>
      </c>
      <c r="AD165" s="8">
        <f t="shared" si="18"/>
        <v>0</v>
      </c>
      <c r="AE165" s="2">
        <f t="shared" si="19"/>
        <v>361586759</v>
      </c>
      <c r="AF165" s="2">
        <f t="shared" si="20"/>
        <v>0</v>
      </c>
      <c r="AG165" s="8">
        <f t="shared" si="21"/>
        <v>0</v>
      </c>
      <c r="AI165">
        <f t="shared" si="22"/>
        <v>0.53368277162461453</v>
      </c>
      <c r="AJ165">
        <f t="shared" si="23"/>
        <v>0.46631722837538542</v>
      </c>
    </row>
    <row r="166" spans="1:36" x14ac:dyDescent="0.25">
      <c r="A166" s="1">
        <v>40330</v>
      </c>
      <c r="B166" s="2">
        <v>792859899</v>
      </c>
      <c r="C166" s="4">
        <v>424505501</v>
      </c>
      <c r="D166" s="4">
        <v>368354398</v>
      </c>
      <c r="E166" s="2">
        <v>694769</v>
      </c>
      <c r="F166" s="2">
        <v>16906690</v>
      </c>
      <c r="G166" s="2">
        <v>123026</v>
      </c>
      <c r="H166" s="2">
        <v>235820391</v>
      </c>
      <c r="I166" s="2">
        <v>51800881</v>
      </c>
      <c r="J166" s="2">
        <v>2976177</v>
      </c>
      <c r="K166" s="2">
        <v>16267231</v>
      </c>
      <c r="L166" s="2">
        <v>8484194</v>
      </c>
      <c r="M166" s="2">
        <v>29818588</v>
      </c>
      <c r="N166">
        <v>0</v>
      </c>
      <c r="O166" s="2">
        <v>8881950</v>
      </c>
      <c r="P166" s="2">
        <v>39671315</v>
      </c>
      <c r="Q166" s="6">
        <v>17963468</v>
      </c>
      <c r="R166" s="6">
        <v>185956447</v>
      </c>
      <c r="S166" s="6">
        <v>5551568</v>
      </c>
      <c r="T166" s="6">
        <v>111228056</v>
      </c>
      <c r="U166" s="6">
        <v>9203669</v>
      </c>
      <c r="V166" s="6">
        <v>120431725</v>
      </c>
      <c r="W166" s="6">
        <v>28549714</v>
      </c>
      <c r="X166" s="6">
        <v>9901476</v>
      </c>
      <c r="Y166" s="2">
        <v>13060289</v>
      </c>
      <c r="AB166" s="2">
        <f t="shared" si="16"/>
        <v>424505501</v>
      </c>
      <c r="AC166" s="2">
        <f t="shared" si="17"/>
        <v>0</v>
      </c>
      <c r="AD166" s="8">
        <f t="shared" si="18"/>
        <v>0</v>
      </c>
      <c r="AE166" s="2">
        <f t="shared" si="19"/>
        <v>368354398</v>
      </c>
      <c r="AF166" s="2">
        <f t="shared" si="20"/>
        <v>0</v>
      </c>
      <c r="AG166" s="8">
        <f t="shared" si="21"/>
        <v>0</v>
      </c>
      <c r="AI166">
        <f t="shared" si="22"/>
        <v>0.53541048240100231</v>
      </c>
      <c r="AJ166">
        <f t="shared" si="23"/>
        <v>0.46458951759899764</v>
      </c>
    </row>
    <row r="167" spans="1:36" x14ac:dyDescent="0.25">
      <c r="A167" s="1">
        <v>40360</v>
      </c>
      <c r="B167" s="2">
        <v>801631504</v>
      </c>
      <c r="C167" s="4">
        <v>425072152</v>
      </c>
      <c r="D167" s="4">
        <v>376559352</v>
      </c>
      <c r="E167" s="2">
        <v>516850</v>
      </c>
      <c r="F167" s="2">
        <v>16609500</v>
      </c>
      <c r="G167" s="2">
        <v>110059</v>
      </c>
      <c r="H167" s="2">
        <v>238214536</v>
      </c>
      <c r="I167" s="2">
        <v>51580129</v>
      </c>
      <c r="J167" s="2">
        <v>3135602</v>
      </c>
      <c r="K167" s="2">
        <v>16357480</v>
      </c>
      <c r="L167" s="2">
        <v>8152625</v>
      </c>
      <c r="M167" s="2">
        <v>29918944</v>
      </c>
      <c r="N167">
        <v>0</v>
      </c>
      <c r="O167" s="2">
        <v>8394970</v>
      </c>
      <c r="P167" s="2">
        <v>39372304</v>
      </c>
      <c r="Q167" s="6">
        <v>17385536</v>
      </c>
      <c r="R167" s="6">
        <v>189072914</v>
      </c>
      <c r="S167" s="6">
        <v>5748310</v>
      </c>
      <c r="T167" s="6">
        <v>117608210</v>
      </c>
      <c r="U167" s="6">
        <v>9283894</v>
      </c>
      <c r="V167" s="6">
        <v>126892104</v>
      </c>
      <c r="W167" s="6">
        <v>28918141</v>
      </c>
      <c r="X167" s="6">
        <v>8542347</v>
      </c>
      <c r="Y167" s="2">
        <v>12709153</v>
      </c>
      <c r="AB167" s="2">
        <f t="shared" si="16"/>
        <v>425072152</v>
      </c>
      <c r="AC167" s="2">
        <f t="shared" si="17"/>
        <v>0</v>
      </c>
      <c r="AD167" s="8">
        <f t="shared" si="18"/>
        <v>0</v>
      </c>
      <c r="AE167" s="2">
        <f t="shared" si="19"/>
        <v>376559352</v>
      </c>
      <c r="AF167" s="2">
        <f t="shared" si="20"/>
        <v>0</v>
      </c>
      <c r="AG167" s="8">
        <f t="shared" si="21"/>
        <v>0</v>
      </c>
      <c r="AI167">
        <f t="shared" si="22"/>
        <v>0.53025879082716287</v>
      </c>
      <c r="AJ167">
        <f t="shared" si="23"/>
        <v>0.46974120917283713</v>
      </c>
    </row>
    <row r="168" spans="1:36" x14ac:dyDescent="0.25">
      <c r="A168" s="1">
        <v>40391</v>
      </c>
      <c r="B168" s="2">
        <v>814782168</v>
      </c>
      <c r="C168" s="4">
        <v>430552784</v>
      </c>
      <c r="D168" s="4">
        <v>384229384</v>
      </c>
      <c r="E168" s="2">
        <v>733057</v>
      </c>
      <c r="F168" s="2">
        <v>16390967</v>
      </c>
      <c r="G168" s="2">
        <v>121672</v>
      </c>
      <c r="H168" s="2">
        <v>242291362</v>
      </c>
      <c r="I168" s="2">
        <v>51490200</v>
      </c>
      <c r="J168" s="2">
        <v>3188226</v>
      </c>
      <c r="K168" s="2">
        <v>16659496</v>
      </c>
      <c r="L168" s="2">
        <v>8281025</v>
      </c>
      <c r="M168" s="2">
        <v>30923939</v>
      </c>
      <c r="N168">
        <v>0</v>
      </c>
      <c r="O168" s="2">
        <v>8291655</v>
      </c>
      <c r="P168" s="2">
        <v>39079047</v>
      </c>
      <c r="Q168" s="6">
        <v>17737167</v>
      </c>
      <c r="R168" s="6">
        <v>193427149</v>
      </c>
      <c r="S168" s="6">
        <v>5982314</v>
      </c>
      <c r="T168" s="6">
        <v>120182316</v>
      </c>
      <c r="U168" s="6">
        <v>9481966</v>
      </c>
      <c r="V168" s="6">
        <v>129664282</v>
      </c>
      <c r="W168" s="6">
        <v>28848632</v>
      </c>
      <c r="X168" s="6">
        <v>8569840</v>
      </c>
      <c r="Y168" s="2">
        <v>13102138</v>
      </c>
      <c r="AB168" s="2">
        <f t="shared" si="16"/>
        <v>430552784</v>
      </c>
      <c r="AC168" s="2">
        <f t="shared" si="17"/>
        <v>0</v>
      </c>
      <c r="AD168" s="8">
        <f t="shared" si="18"/>
        <v>0</v>
      </c>
      <c r="AE168" s="2">
        <f t="shared" si="19"/>
        <v>384229384</v>
      </c>
      <c r="AF168" s="2">
        <f t="shared" si="20"/>
        <v>0</v>
      </c>
      <c r="AG168" s="8">
        <f t="shared" si="21"/>
        <v>0</v>
      </c>
      <c r="AI168">
        <f t="shared" si="22"/>
        <v>0.5284268616934189</v>
      </c>
      <c r="AJ168">
        <f t="shared" si="23"/>
        <v>0.4715731383065811</v>
      </c>
    </row>
    <row r="169" spans="1:36" x14ac:dyDescent="0.25">
      <c r="A169" s="1">
        <v>40422</v>
      </c>
      <c r="B169" s="2">
        <v>835653877</v>
      </c>
      <c r="C169" s="4">
        <v>441997676</v>
      </c>
      <c r="D169" s="4">
        <v>393656201</v>
      </c>
      <c r="E169" s="2">
        <v>753257</v>
      </c>
      <c r="F169" s="2">
        <v>16808280</v>
      </c>
      <c r="G169" s="2">
        <v>219214</v>
      </c>
      <c r="H169" s="2">
        <v>249182821</v>
      </c>
      <c r="I169" s="2">
        <v>52542781</v>
      </c>
      <c r="J169" s="2">
        <v>3259931</v>
      </c>
      <c r="K169" s="2">
        <v>17126942</v>
      </c>
      <c r="L169" s="2">
        <v>8739334</v>
      </c>
      <c r="M169" s="2">
        <v>30292910</v>
      </c>
      <c r="N169">
        <v>0</v>
      </c>
      <c r="O169" s="2">
        <v>8679554</v>
      </c>
      <c r="P169" s="2">
        <v>41764262</v>
      </c>
      <c r="Q169" s="6">
        <v>17548892</v>
      </c>
      <c r="R169" s="6">
        <v>196920824</v>
      </c>
      <c r="S169" s="6">
        <v>6389652</v>
      </c>
      <c r="T169" s="6">
        <v>125515397</v>
      </c>
      <c r="U169" s="6">
        <v>9569927</v>
      </c>
      <c r="V169" s="6">
        <v>135085324</v>
      </c>
      <c r="W169" s="6">
        <v>28978984</v>
      </c>
      <c r="X169" s="6">
        <v>8732525</v>
      </c>
      <c r="Y169" s="2">
        <v>12628390</v>
      </c>
      <c r="AB169" s="2">
        <f t="shared" si="16"/>
        <v>441997676</v>
      </c>
      <c r="AC169" s="2">
        <f t="shared" si="17"/>
        <v>0</v>
      </c>
      <c r="AD169" s="8">
        <f t="shared" si="18"/>
        <v>0</v>
      </c>
      <c r="AE169" s="2">
        <f t="shared" si="19"/>
        <v>393656201</v>
      </c>
      <c r="AF169" s="2">
        <f t="shared" si="20"/>
        <v>0</v>
      </c>
      <c r="AG169" s="8">
        <f t="shared" si="21"/>
        <v>0</v>
      </c>
      <c r="AI169">
        <f t="shared" si="22"/>
        <v>0.52892434076507011</v>
      </c>
      <c r="AJ169">
        <f t="shared" si="23"/>
        <v>0.47107565923492989</v>
      </c>
    </row>
    <row r="170" spans="1:36" x14ac:dyDescent="0.25">
      <c r="A170" s="1">
        <v>40452</v>
      </c>
      <c r="B170" s="2">
        <v>852456174</v>
      </c>
      <c r="C170" s="4">
        <v>449708349</v>
      </c>
      <c r="D170" s="4">
        <v>402747825</v>
      </c>
      <c r="E170" s="2">
        <v>596391</v>
      </c>
      <c r="F170" s="2">
        <v>17296217</v>
      </c>
      <c r="G170" s="2">
        <v>223349</v>
      </c>
      <c r="H170" s="2">
        <v>253520364</v>
      </c>
      <c r="I170" s="2">
        <v>53306828</v>
      </c>
      <c r="J170" s="2">
        <v>3361426</v>
      </c>
      <c r="K170" s="2">
        <v>17609979</v>
      </c>
      <c r="L170" s="2">
        <v>8908117</v>
      </c>
      <c r="M170" s="2">
        <v>31031974</v>
      </c>
      <c r="N170">
        <v>0</v>
      </c>
      <c r="O170" s="2">
        <v>8000642</v>
      </c>
      <c r="P170" s="2">
        <v>42642125</v>
      </c>
      <c r="Q170" s="6">
        <v>17475766</v>
      </c>
      <c r="R170" s="6">
        <v>200119163</v>
      </c>
      <c r="S170" s="6">
        <v>6669577</v>
      </c>
      <c r="T170" s="6">
        <v>130180978</v>
      </c>
      <c r="U170" s="6">
        <v>9764776</v>
      </c>
      <c r="V170" s="6">
        <v>139945754</v>
      </c>
      <c r="W170" s="6">
        <v>29870306</v>
      </c>
      <c r="X170" s="6">
        <v>8667259</v>
      </c>
      <c r="Y170" s="2">
        <v>13210937</v>
      </c>
      <c r="AB170" s="2">
        <f t="shared" si="16"/>
        <v>449708349</v>
      </c>
      <c r="AC170" s="2">
        <f t="shared" si="17"/>
        <v>0</v>
      </c>
      <c r="AD170" s="8">
        <f t="shared" si="18"/>
        <v>0</v>
      </c>
      <c r="AE170" s="2">
        <f t="shared" si="19"/>
        <v>402747825</v>
      </c>
      <c r="AF170" s="2">
        <f t="shared" si="20"/>
        <v>0</v>
      </c>
      <c r="AG170" s="8">
        <f t="shared" si="21"/>
        <v>0</v>
      </c>
      <c r="AI170">
        <f t="shared" si="22"/>
        <v>0.52754424534204847</v>
      </c>
      <c r="AJ170">
        <f t="shared" si="23"/>
        <v>0.47245575465795148</v>
      </c>
    </row>
    <row r="171" spans="1:36" x14ac:dyDescent="0.25">
      <c r="A171" s="1">
        <v>40483</v>
      </c>
      <c r="B171" s="2">
        <v>872211043</v>
      </c>
      <c r="C171" s="4">
        <v>458649751</v>
      </c>
      <c r="D171" s="4">
        <v>413561292</v>
      </c>
      <c r="E171" s="2">
        <v>814039</v>
      </c>
      <c r="F171" s="2">
        <v>17287679</v>
      </c>
      <c r="G171" s="2">
        <v>217966</v>
      </c>
      <c r="H171" s="2">
        <v>260067941</v>
      </c>
      <c r="I171" s="2">
        <v>54495532</v>
      </c>
      <c r="J171" s="2">
        <v>3521950</v>
      </c>
      <c r="K171" s="2">
        <v>18489026</v>
      </c>
      <c r="L171" s="2">
        <v>9145708</v>
      </c>
      <c r="M171" s="2">
        <v>31592316</v>
      </c>
      <c r="N171">
        <v>0</v>
      </c>
      <c r="O171" s="2">
        <v>8189457</v>
      </c>
      <c r="P171" s="2">
        <v>42269238</v>
      </c>
      <c r="Q171" s="6">
        <v>17781686</v>
      </c>
      <c r="R171" s="6">
        <v>203952636</v>
      </c>
      <c r="S171" s="6">
        <v>6948365</v>
      </c>
      <c r="T171" s="6">
        <v>136293387</v>
      </c>
      <c r="U171" s="6">
        <v>9898585</v>
      </c>
      <c r="V171" s="6">
        <v>146191972</v>
      </c>
      <c r="W171" s="6">
        <v>29822258</v>
      </c>
      <c r="X171" s="6">
        <v>8864375</v>
      </c>
      <c r="Y171" s="2">
        <v>12558899</v>
      </c>
      <c r="AB171" s="2">
        <f t="shared" si="16"/>
        <v>458649751</v>
      </c>
      <c r="AC171" s="2">
        <f t="shared" si="17"/>
        <v>0</v>
      </c>
      <c r="AD171" s="8">
        <f t="shared" si="18"/>
        <v>0</v>
      </c>
      <c r="AE171" s="2">
        <f t="shared" si="19"/>
        <v>413561292</v>
      </c>
      <c r="AF171" s="2">
        <f t="shared" si="20"/>
        <v>0</v>
      </c>
      <c r="AG171" s="8">
        <f t="shared" si="21"/>
        <v>0</v>
      </c>
      <c r="AI171">
        <f t="shared" si="22"/>
        <v>0.52584721860715999</v>
      </c>
      <c r="AJ171">
        <f t="shared" si="23"/>
        <v>0.47415278139284006</v>
      </c>
    </row>
    <row r="172" spans="1:36" x14ac:dyDescent="0.25">
      <c r="A172" s="1">
        <v>40513</v>
      </c>
      <c r="B172" s="2">
        <v>880079044</v>
      </c>
      <c r="C172" s="4">
        <v>462732477</v>
      </c>
      <c r="D172" s="4">
        <v>417346567</v>
      </c>
      <c r="E172" s="2">
        <v>677290</v>
      </c>
      <c r="F172" s="2">
        <v>17899851</v>
      </c>
      <c r="G172" s="2">
        <v>210822</v>
      </c>
      <c r="H172" s="2">
        <v>266077928</v>
      </c>
      <c r="I172" s="2">
        <v>53398257</v>
      </c>
      <c r="J172" s="2">
        <v>3694783</v>
      </c>
      <c r="K172" s="2">
        <v>18801315</v>
      </c>
      <c r="L172" s="2">
        <v>9395265</v>
      </c>
      <c r="M172" s="2">
        <v>29350570</v>
      </c>
      <c r="N172">
        <v>0</v>
      </c>
      <c r="O172" s="2">
        <v>7759952</v>
      </c>
      <c r="P172" s="2">
        <v>43714740</v>
      </c>
      <c r="Q172" s="6">
        <v>16262037</v>
      </c>
      <c r="R172" s="6">
        <v>204889796</v>
      </c>
      <c r="S172" s="6">
        <v>7358274</v>
      </c>
      <c r="T172" s="6">
        <v>140339345</v>
      </c>
      <c r="U172" s="6">
        <v>10364331</v>
      </c>
      <c r="V172" s="6">
        <v>150703676</v>
      </c>
      <c r="W172" s="6">
        <v>29170289</v>
      </c>
      <c r="X172" s="6">
        <v>8962495</v>
      </c>
      <c r="Y172" s="2">
        <v>11751704</v>
      </c>
      <c r="AB172" s="2">
        <f t="shared" si="16"/>
        <v>462732477</v>
      </c>
      <c r="AC172" s="2">
        <f t="shared" si="17"/>
        <v>0</v>
      </c>
      <c r="AD172" s="8">
        <f t="shared" si="18"/>
        <v>0</v>
      </c>
      <c r="AE172" s="2">
        <f t="shared" si="19"/>
        <v>417346567</v>
      </c>
      <c r="AF172" s="2">
        <f t="shared" si="20"/>
        <v>0</v>
      </c>
      <c r="AG172" s="8">
        <f t="shared" si="21"/>
        <v>0</v>
      </c>
      <c r="AI172">
        <f t="shared" si="22"/>
        <v>0.52578513277268768</v>
      </c>
      <c r="AJ172">
        <f t="shared" si="23"/>
        <v>0.47421486722731238</v>
      </c>
    </row>
    <row r="173" spans="1:36" x14ac:dyDescent="0.25">
      <c r="A173" s="1">
        <v>40544</v>
      </c>
      <c r="B173" s="2">
        <v>890133108</v>
      </c>
      <c r="C173" s="4">
        <v>462035569</v>
      </c>
      <c r="D173" s="4">
        <v>428097539</v>
      </c>
      <c r="E173" s="2">
        <v>628378</v>
      </c>
      <c r="F173" s="2">
        <v>16055858</v>
      </c>
      <c r="G173" s="2">
        <v>218108</v>
      </c>
      <c r="H173" s="2">
        <v>266429869</v>
      </c>
      <c r="I173" s="2">
        <v>54808471</v>
      </c>
      <c r="J173" s="2">
        <v>3828837</v>
      </c>
      <c r="K173" s="2">
        <v>19013150</v>
      </c>
      <c r="L173" s="2">
        <v>8544454</v>
      </c>
      <c r="M173" s="2">
        <v>31280416</v>
      </c>
      <c r="N173">
        <v>0</v>
      </c>
      <c r="O173" s="2">
        <v>7585396</v>
      </c>
      <c r="P173" s="2">
        <v>41861784</v>
      </c>
      <c r="Q173" s="6">
        <v>18246341</v>
      </c>
      <c r="R173" s="6">
        <v>209328236</v>
      </c>
      <c r="S173" s="6">
        <v>7701263</v>
      </c>
      <c r="T173" s="6">
        <v>142916646</v>
      </c>
      <c r="U173" s="6">
        <v>10485647</v>
      </c>
      <c r="V173" s="6">
        <v>153402293</v>
      </c>
      <c r="W173" s="6">
        <v>30430570</v>
      </c>
      <c r="X173" s="6">
        <v>8988836</v>
      </c>
      <c r="Y173" s="2">
        <v>11780848</v>
      </c>
      <c r="AB173" s="2">
        <f t="shared" si="16"/>
        <v>462035569</v>
      </c>
      <c r="AC173" s="2">
        <f t="shared" si="17"/>
        <v>0</v>
      </c>
      <c r="AD173" s="8">
        <f t="shared" si="18"/>
        <v>0</v>
      </c>
      <c r="AE173" s="2">
        <f t="shared" si="19"/>
        <v>428097539</v>
      </c>
      <c r="AF173" s="2">
        <f t="shared" si="20"/>
        <v>0</v>
      </c>
      <c r="AG173" s="8">
        <f t="shared" si="21"/>
        <v>0</v>
      </c>
      <c r="AI173">
        <f t="shared" si="22"/>
        <v>0.51906345786657337</v>
      </c>
      <c r="AJ173">
        <f t="shared" si="23"/>
        <v>0.48093654213342663</v>
      </c>
    </row>
    <row r="174" spans="1:36" x14ac:dyDescent="0.25">
      <c r="A174" s="1">
        <v>40575</v>
      </c>
      <c r="B174" s="2">
        <v>908022650</v>
      </c>
      <c r="C174" s="4">
        <v>471017147</v>
      </c>
      <c r="D174" s="4">
        <v>437005503</v>
      </c>
      <c r="E174" s="2">
        <v>573338</v>
      </c>
      <c r="F174" s="2">
        <v>16412190</v>
      </c>
      <c r="G174" s="2">
        <v>219659</v>
      </c>
      <c r="H174" s="2">
        <v>269508469</v>
      </c>
      <c r="I174" s="2">
        <v>57243376</v>
      </c>
      <c r="J174" s="2">
        <v>3889218</v>
      </c>
      <c r="K174" s="2">
        <v>19618861</v>
      </c>
      <c r="L174" s="2">
        <v>8702764</v>
      </c>
      <c r="M174" s="2">
        <v>32303319</v>
      </c>
      <c r="N174">
        <v>0</v>
      </c>
      <c r="O174" s="2">
        <v>7618340</v>
      </c>
      <c r="P174" s="2">
        <v>42977823</v>
      </c>
      <c r="Q174" s="6">
        <v>19189357</v>
      </c>
      <c r="R174" s="6">
        <v>211721291</v>
      </c>
      <c r="S174" s="6">
        <v>8229925</v>
      </c>
      <c r="T174" s="6">
        <v>146798789</v>
      </c>
      <c r="U174" s="6">
        <v>9545765</v>
      </c>
      <c r="V174" s="6">
        <v>156344554</v>
      </c>
      <c r="W174" s="6">
        <v>31866722</v>
      </c>
      <c r="X174" s="6">
        <v>9653654</v>
      </c>
      <c r="Y174" s="2">
        <v>11949790</v>
      </c>
      <c r="AB174" s="2">
        <f t="shared" si="16"/>
        <v>471017147</v>
      </c>
      <c r="AC174" s="2">
        <f t="shared" si="17"/>
        <v>0</v>
      </c>
      <c r="AD174" s="8">
        <f t="shared" si="18"/>
        <v>0</v>
      </c>
      <c r="AE174" s="2">
        <f t="shared" si="19"/>
        <v>437005503</v>
      </c>
      <c r="AF174" s="2">
        <f t="shared" si="20"/>
        <v>0</v>
      </c>
      <c r="AG174" s="8">
        <f t="shared" si="21"/>
        <v>0</v>
      </c>
      <c r="AI174">
        <f t="shared" si="22"/>
        <v>0.51872841167563388</v>
      </c>
      <c r="AJ174">
        <f t="shared" si="23"/>
        <v>0.48127158832436612</v>
      </c>
    </row>
    <row r="175" spans="1:36" x14ac:dyDescent="0.25">
      <c r="A175" s="1">
        <v>40603</v>
      </c>
      <c r="B175" s="2">
        <v>919429752</v>
      </c>
      <c r="C175" s="4">
        <v>476411710</v>
      </c>
      <c r="D175" s="4">
        <v>443018042</v>
      </c>
      <c r="E175" s="2">
        <v>655010</v>
      </c>
      <c r="F175" s="2">
        <v>17049014</v>
      </c>
      <c r="G175" s="2">
        <v>187141</v>
      </c>
      <c r="H175" s="2">
        <v>272008538</v>
      </c>
      <c r="I175" s="2">
        <v>57919353</v>
      </c>
      <c r="J175" s="2">
        <v>4159902</v>
      </c>
      <c r="K175" s="2">
        <v>20213522</v>
      </c>
      <c r="L175" s="2">
        <v>9002234</v>
      </c>
      <c r="M175" s="2">
        <v>31883476</v>
      </c>
      <c r="N175">
        <v>0</v>
      </c>
      <c r="O175" s="2">
        <v>7678007</v>
      </c>
      <c r="P175" s="2">
        <v>43679326</v>
      </c>
      <c r="Q175" s="6">
        <v>19359324</v>
      </c>
      <c r="R175" s="6">
        <v>215142928</v>
      </c>
      <c r="S175" s="6">
        <v>8730374</v>
      </c>
      <c r="T175" s="6">
        <v>149294764</v>
      </c>
      <c r="U175" s="6">
        <v>9358818</v>
      </c>
      <c r="V175" s="6">
        <v>158653582</v>
      </c>
      <c r="W175" s="6">
        <v>31625991</v>
      </c>
      <c r="X175" s="6">
        <v>9505843</v>
      </c>
      <c r="Y175" s="2">
        <v>11976187</v>
      </c>
      <c r="AB175" s="2">
        <f t="shared" si="16"/>
        <v>476411710</v>
      </c>
      <c r="AC175" s="2">
        <f t="shared" si="17"/>
        <v>0</v>
      </c>
      <c r="AD175" s="8">
        <f t="shared" si="18"/>
        <v>0</v>
      </c>
      <c r="AE175" s="2">
        <f t="shared" si="19"/>
        <v>443018042</v>
      </c>
      <c r="AF175" s="2">
        <f t="shared" si="20"/>
        <v>0</v>
      </c>
      <c r="AG175" s="8">
        <f t="shared" si="21"/>
        <v>0</v>
      </c>
      <c r="AI175">
        <f t="shared" si="22"/>
        <v>0.51815998880140657</v>
      </c>
      <c r="AJ175">
        <f t="shared" si="23"/>
        <v>0.48184001119859343</v>
      </c>
    </row>
    <row r="176" spans="1:36" x14ac:dyDescent="0.25">
      <c r="A176" s="1">
        <v>40634</v>
      </c>
      <c r="B176" s="2">
        <v>936086634</v>
      </c>
      <c r="C176" s="4">
        <v>484762852</v>
      </c>
      <c r="D176" s="4">
        <v>451323782</v>
      </c>
      <c r="E176" s="2">
        <v>773594</v>
      </c>
      <c r="F176" s="2">
        <v>17098370</v>
      </c>
      <c r="G176" s="2">
        <v>174780</v>
      </c>
      <c r="H176" s="2">
        <v>275740425</v>
      </c>
      <c r="I176" s="2">
        <v>59781152</v>
      </c>
      <c r="J176" s="2">
        <v>4384352</v>
      </c>
      <c r="K176" s="2">
        <v>20638299</v>
      </c>
      <c r="L176" s="2">
        <v>8804994</v>
      </c>
      <c r="M176" s="2">
        <v>34043882</v>
      </c>
      <c r="N176">
        <v>0</v>
      </c>
      <c r="O176" s="2">
        <v>7354266</v>
      </c>
      <c r="P176" s="2">
        <v>43986070</v>
      </c>
      <c r="Q176" s="6">
        <v>19673922</v>
      </c>
      <c r="R176" s="6">
        <v>219028631</v>
      </c>
      <c r="S176" s="6">
        <v>9147435</v>
      </c>
      <c r="T176" s="6">
        <v>152204396</v>
      </c>
      <c r="U176" s="6">
        <v>9188716</v>
      </c>
      <c r="V176" s="6">
        <v>161393112</v>
      </c>
      <c r="W176" s="6">
        <v>32528947</v>
      </c>
      <c r="X176" s="6">
        <v>9551735</v>
      </c>
      <c r="Y176" s="2">
        <v>11982668</v>
      </c>
      <c r="AB176" s="2">
        <f t="shared" si="16"/>
        <v>484762852</v>
      </c>
      <c r="AC176" s="2">
        <f t="shared" si="17"/>
        <v>0</v>
      </c>
      <c r="AD176" s="8">
        <f t="shared" si="18"/>
        <v>0</v>
      </c>
      <c r="AE176" s="2">
        <f t="shared" si="19"/>
        <v>451323782</v>
      </c>
      <c r="AF176" s="2">
        <f t="shared" si="20"/>
        <v>0</v>
      </c>
      <c r="AG176" s="8">
        <f t="shared" si="21"/>
        <v>0</v>
      </c>
      <c r="AI176">
        <f t="shared" si="22"/>
        <v>0.51786109788637358</v>
      </c>
      <c r="AJ176">
        <f t="shared" si="23"/>
        <v>0.48213890211362637</v>
      </c>
    </row>
    <row r="177" spans="1:36" x14ac:dyDescent="0.25">
      <c r="A177" s="1">
        <v>40664</v>
      </c>
      <c r="B177" s="2">
        <v>952286968</v>
      </c>
      <c r="C177" s="4">
        <v>491914507</v>
      </c>
      <c r="D177" s="4">
        <v>460372461</v>
      </c>
      <c r="E177" s="2">
        <v>869408</v>
      </c>
      <c r="F177" s="2">
        <v>17006705</v>
      </c>
      <c r="G177" s="2">
        <v>184574</v>
      </c>
      <c r="H177" s="2">
        <v>279326771</v>
      </c>
      <c r="I177" s="2">
        <v>59243104</v>
      </c>
      <c r="J177" s="2">
        <v>4394419</v>
      </c>
      <c r="K177" s="2">
        <v>21724564</v>
      </c>
      <c r="L177" s="2">
        <v>8521664</v>
      </c>
      <c r="M177" s="2">
        <v>36839927</v>
      </c>
      <c r="N177">
        <v>0</v>
      </c>
      <c r="O177" s="2">
        <v>7323650</v>
      </c>
      <c r="P177" s="2">
        <v>44226185</v>
      </c>
      <c r="Q177" s="6">
        <v>20331172</v>
      </c>
      <c r="R177" s="6">
        <v>223401458</v>
      </c>
      <c r="S177" s="6">
        <v>9578875</v>
      </c>
      <c r="T177" s="6">
        <v>155142142</v>
      </c>
      <c r="U177" s="6">
        <v>9117859</v>
      </c>
      <c r="V177" s="6">
        <v>164260001</v>
      </c>
      <c r="W177" s="6">
        <v>33178771</v>
      </c>
      <c r="X177" s="6">
        <v>9622184</v>
      </c>
      <c r="Y177" s="2">
        <v>12253536</v>
      </c>
      <c r="AB177" s="2">
        <f t="shared" si="16"/>
        <v>491914507</v>
      </c>
      <c r="AC177" s="2">
        <f t="shared" si="17"/>
        <v>0</v>
      </c>
      <c r="AD177" s="8">
        <f t="shared" si="18"/>
        <v>0</v>
      </c>
      <c r="AE177" s="2">
        <f t="shared" si="19"/>
        <v>460372461</v>
      </c>
      <c r="AF177" s="2">
        <f t="shared" si="20"/>
        <v>0</v>
      </c>
      <c r="AG177" s="8">
        <f t="shared" si="21"/>
        <v>0</v>
      </c>
      <c r="AI177">
        <f t="shared" si="22"/>
        <v>0.51656120846967213</v>
      </c>
      <c r="AJ177">
        <f t="shared" si="23"/>
        <v>0.48343879153032787</v>
      </c>
    </row>
    <row r="178" spans="1:36" x14ac:dyDescent="0.25">
      <c r="A178" s="1">
        <v>40695</v>
      </c>
      <c r="B178" s="2">
        <v>969231372</v>
      </c>
      <c r="C178" s="4">
        <v>500662914</v>
      </c>
      <c r="D178" s="4">
        <v>468568458</v>
      </c>
      <c r="E178" s="2">
        <v>2326860</v>
      </c>
      <c r="F178" s="2">
        <v>17948178</v>
      </c>
      <c r="G178" s="2">
        <v>173586</v>
      </c>
      <c r="H178" s="2">
        <v>282610376</v>
      </c>
      <c r="I178" s="2">
        <v>60010900</v>
      </c>
      <c r="J178" s="2">
        <v>4991832</v>
      </c>
      <c r="K178" s="2">
        <v>22400618</v>
      </c>
      <c r="L178" s="2">
        <v>8656745</v>
      </c>
      <c r="M178" s="2">
        <v>36047222</v>
      </c>
      <c r="N178">
        <v>0</v>
      </c>
      <c r="O178" s="2">
        <v>7236913</v>
      </c>
      <c r="P178" s="2">
        <v>46379588</v>
      </c>
      <c r="Q178" s="6">
        <v>20567744</v>
      </c>
      <c r="R178" s="6">
        <v>227600773</v>
      </c>
      <c r="S178" s="6">
        <v>10405735</v>
      </c>
      <c r="T178" s="6">
        <v>158010868</v>
      </c>
      <c r="U178" s="6">
        <v>8960934</v>
      </c>
      <c r="V178" s="6">
        <v>166971802</v>
      </c>
      <c r="W178" s="6">
        <v>33237238</v>
      </c>
      <c r="X178" s="6">
        <v>9785166</v>
      </c>
      <c r="Y178" s="2">
        <v>11880096</v>
      </c>
      <c r="AB178" s="2">
        <f t="shared" si="16"/>
        <v>500662914</v>
      </c>
      <c r="AC178" s="2">
        <f t="shared" si="17"/>
        <v>0</v>
      </c>
      <c r="AD178" s="8">
        <f t="shared" si="18"/>
        <v>0</v>
      </c>
      <c r="AE178" s="2">
        <f t="shared" si="19"/>
        <v>468568458</v>
      </c>
      <c r="AF178" s="2">
        <f t="shared" si="20"/>
        <v>0</v>
      </c>
      <c r="AG178" s="8">
        <f t="shared" si="21"/>
        <v>0</v>
      </c>
      <c r="AI178">
        <f t="shared" si="22"/>
        <v>0.51655665351286217</v>
      </c>
      <c r="AJ178">
        <f t="shared" si="23"/>
        <v>0.48344334648713783</v>
      </c>
    </row>
    <row r="179" spans="1:36" x14ac:dyDescent="0.25">
      <c r="A179" s="1">
        <v>40725</v>
      </c>
      <c r="B179" s="2">
        <v>979457629</v>
      </c>
      <c r="C179" s="4">
        <v>503917370</v>
      </c>
      <c r="D179" s="4">
        <v>475540259</v>
      </c>
      <c r="E179" s="2">
        <v>841472</v>
      </c>
      <c r="F179" s="2">
        <v>17625110</v>
      </c>
      <c r="G179" s="2">
        <v>173650</v>
      </c>
      <c r="H179" s="2">
        <v>286219869</v>
      </c>
      <c r="I179" s="2">
        <v>60240615</v>
      </c>
      <c r="J179" s="2">
        <v>5121690</v>
      </c>
      <c r="K179" s="2">
        <v>22971608</v>
      </c>
      <c r="L179" s="2">
        <v>8239653</v>
      </c>
      <c r="M179" s="2">
        <v>37274369</v>
      </c>
      <c r="N179">
        <v>0</v>
      </c>
      <c r="O179" s="2">
        <v>7515586</v>
      </c>
      <c r="P179" s="2">
        <v>45832620</v>
      </c>
      <c r="Q179" s="6">
        <v>19937784</v>
      </c>
      <c r="R179" s="6">
        <v>231610172</v>
      </c>
      <c r="S179" s="6">
        <v>10886785</v>
      </c>
      <c r="T179" s="6">
        <v>160938748</v>
      </c>
      <c r="U179" s="6">
        <v>9081507</v>
      </c>
      <c r="V179" s="6">
        <v>170020255</v>
      </c>
      <c r="W179" s="6">
        <v>33408126</v>
      </c>
      <c r="X179" s="6">
        <v>9677137</v>
      </c>
      <c r="Y179" s="2">
        <v>11861128</v>
      </c>
      <c r="AB179" s="2">
        <f t="shared" si="16"/>
        <v>503917370</v>
      </c>
      <c r="AC179" s="2">
        <f t="shared" si="17"/>
        <v>0</v>
      </c>
      <c r="AD179" s="8">
        <f t="shared" si="18"/>
        <v>0</v>
      </c>
      <c r="AE179" s="2">
        <f t="shared" si="19"/>
        <v>475540259</v>
      </c>
      <c r="AF179" s="2">
        <f t="shared" si="20"/>
        <v>0</v>
      </c>
      <c r="AG179" s="8">
        <f t="shared" si="21"/>
        <v>0</v>
      </c>
      <c r="AI179">
        <f t="shared" si="22"/>
        <v>0.51448613506077456</v>
      </c>
      <c r="AJ179">
        <f t="shared" si="23"/>
        <v>0.48551386493922544</v>
      </c>
    </row>
    <row r="180" spans="1:36" x14ac:dyDescent="0.25">
      <c r="A180" s="1">
        <v>40756</v>
      </c>
      <c r="B180" s="2">
        <v>995907888</v>
      </c>
      <c r="C180" s="4">
        <v>511997355</v>
      </c>
      <c r="D180" s="4">
        <v>483910533</v>
      </c>
      <c r="E180" s="2">
        <v>789631</v>
      </c>
      <c r="F180" s="2">
        <v>17268555</v>
      </c>
      <c r="G180" s="2">
        <v>156320</v>
      </c>
      <c r="H180" s="2">
        <v>291650444</v>
      </c>
      <c r="I180" s="2">
        <v>59143157</v>
      </c>
      <c r="J180" s="2">
        <v>5518146</v>
      </c>
      <c r="K180" s="2">
        <v>23859405</v>
      </c>
      <c r="L180" s="2">
        <v>8395955</v>
      </c>
      <c r="M180" s="2">
        <v>38532383</v>
      </c>
      <c r="N180">
        <v>0</v>
      </c>
      <c r="O180" s="2">
        <v>7787010</v>
      </c>
      <c r="P180" s="2">
        <v>46499216</v>
      </c>
      <c r="Q180" s="6">
        <v>20861325</v>
      </c>
      <c r="R180" s="6">
        <v>235086185</v>
      </c>
      <c r="S180" s="6">
        <v>11516653</v>
      </c>
      <c r="T180" s="6">
        <v>163935365</v>
      </c>
      <c r="U180" s="6">
        <v>9053267</v>
      </c>
      <c r="V180" s="6">
        <v>172988632</v>
      </c>
      <c r="W180" s="6">
        <v>34304294</v>
      </c>
      <c r="X180" s="6">
        <v>9153444</v>
      </c>
      <c r="Y180" s="2">
        <v>12397133</v>
      </c>
      <c r="AB180" s="2">
        <f t="shared" si="16"/>
        <v>511997355</v>
      </c>
      <c r="AC180" s="2">
        <f t="shared" si="17"/>
        <v>0</v>
      </c>
      <c r="AD180" s="8">
        <f t="shared" si="18"/>
        <v>0</v>
      </c>
      <c r="AE180" s="2">
        <f t="shared" si="19"/>
        <v>483910533</v>
      </c>
      <c r="AF180" s="2">
        <f t="shared" si="20"/>
        <v>0</v>
      </c>
      <c r="AG180" s="8">
        <f t="shared" si="21"/>
        <v>0</v>
      </c>
      <c r="AI180">
        <f t="shared" si="22"/>
        <v>0.5141011143392008</v>
      </c>
      <c r="AJ180">
        <f t="shared" si="23"/>
        <v>0.4858988856607992</v>
      </c>
    </row>
    <row r="181" spans="1:36" x14ac:dyDescent="0.25">
      <c r="A181" s="1">
        <v>40787</v>
      </c>
      <c r="B181" s="2">
        <v>1019153747</v>
      </c>
      <c r="C181" s="4">
        <v>526909804</v>
      </c>
      <c r="D181" s="4">
        <v>492243943</v>
      </c>
      <c r="E181" s="2">
        <v>713728</v>
      </c>
      <c r="F181" s="2">
        <v>18171252</v>
      </c>
      <c r="G181" s="2">
        <v>161155</v>
      </c>
      <c r="H181" s="2">
        <v>296642331</v>
      </c>
      <c r="I181" s="2">
        <v>59502456</v>
      </c>
      <c r="J181" s="2">
        <v>5858694</v>
      </c>
      <c r="K181" s="2">
        <v>24290672</v>
      </c>
      <c r="L181" s="2">
        <v>8902302</v>
      </c>
      <c r="M181" s="2">
        <v>40665602</v>
      </c>
      <c r="N181">
        <v>0</v>
      </c>
      <c r="O181" s="2">
        <v>9005878</v>
      </c>
      <c r="P181" s="2">
        <v>49250397</v>
      </c>
      <c r="Q181" s="6">
        <v>20844467</v>
      </c>
      <c r="R181" s="6">
        <v>238043632</v>
      </c>
      <c r="S181" s="6">
        <v>11993700</v>
      </c>
      <c r="T181" s="6">
        <v>167305347</v>
      </c>
      <c r="U181" s="6">
        <v>9233003</v>
      </c>
      <c r="V181" s="6">
        <v>176538350</v>
      </c>
      <c r="W181" s="6">
        <v>35357140</v>
      </c>
      <c r="X181" s="6">
        <v>9466654</v>
      </c>
      <c r="Y181" s="2">
        <v>13745337</v>
      </c>
      <c r="AB181" s="2">
        <f t="shared" si="16"/>
        <v>526909804</v>
      </c>
      <c r="AC181" s="2">
        <f t="shared" si="17"/>
        <v>0</v>
      </c>
      <c r="AD181" s="8">
        <f t="shared" si="18"/>
        <v>0</v>
      </c>
      <c r="AE181" s="2">
        <f t="shared" si="19"/>
        <v>492243943</v>
      </c>
      <c r="AF181" s="2">
        <f t="shared" si="20"/>
        <v>0</v>
      </c>
      <c r="AG181" s="8">
        <f t="shared" si="21"/>
        <v>0</v>
      </c>
      <c r="AI181">
        <f t="shared" si="22"/>
        <v>0.51700717929068263</v>
      </c>
      <c r="AJ181">
        <f t="shared" si="23"/>
        <v>0.48299282070931737</v>
      </c>
    </row>
    <row r="182" spans="1:36" x14ac:dyDescent="0.25">
      <c r="A182" s="1">
        <v>40817</v>
      </c>
      <c r="B182" s="2">
        <v>1028050800</v>
      </c>
      <c r="C182" s="4">
        <v>529721437</v>
      </c>
      <c r="D182" s="4">
        <v>498329363</v>
      </c>
      <c r="E182" s="2">
        <v>595398</v>
      </c>
      <c r="F182" s="2">
        <v>18027866</v>
      </c>
      <c r="G182" s="2">
        <v>154645</v>
      </c>
      <c r="H182" s="2">
        <v>298847925</v>
      </c>
      <c r="I182" s="2">
        <v>61126885</v>
      </c>
      <c r="J182" s="2">
        <v>6179572</v>
      </c>
      <c r="K182" s="2">
        <v>24740716</v>
      </c>
      <c r="L182" s="2">
        <v>9303662</v>
      </c>
      <c r="M182" s="2">
        <v>40247144</v>
      </c>
      <c r="N182">
        <v>0</v>
      </c>
      <c r="O182" s="2">
        <v>8348366</v>
      </c>
      <c r="P182" s="2">
        <v>48691319</v>
      </c>
      <c r="Q182" s="6">
        <v>21568828</v>
      </c>
      <c r="R182" s="6">
        <v>240666458</v>
      </c>
      <c r="S182" s="6">
        <v>12534186</v>
      </c>
      <c r="T182" s="6">
        <v>168665949</v>
      </c>
      <c r="U182" s="6">
        <v>9034666</v>
      </c>
      <c r="V182" s="6">
        <v>177700615</v>
      </c>
      <c r="W182" s="6">
        <v>36279274</v>
      </c>
      <c r="X182" s="6">
        <v>9580002</v>
      </c>
      <c r="Y182" s="2">
        <v>13457939</v>
      </c>
      <c r="AB182" s="2">
        <f t="shared" si="16"/>
        <v>529721437</v>
      </c>
      <c r="AC182" s="2">
        <f t="shared" si="17"/>
        <v>0</v>
      </c>
      <c r="AD182" s="8">
        <f t="shared" si="18"/>
        <v>0</v>
      </c>
      <c r="AE182" s="2">
        <f t="shared" si="19"/>
        <v>498329363</v>
      </c>
      <c r="AF182" s="2">
        <f t="shared" si="20"/>
        <v>0</v>
      </c>
      <c r="AG182" s="8">
        <f t="shared" si="21"/>
        <v>0</v>
      </c>
      <c r="AI182">
        <f t="shared" si="22"/>
        <v>0.51526776400543628</v>
      </c>
      <c r="AJ182">
        <f t="shared" si="23"/>
        <v>0.48473223599456372</v>
      </c>
    </row>
    <row r="183" spans="1:36" x14ac:dyDescent="0.25">
      <c r="A183" s="1">
        <v>40848</v>
      </c>
      <c r="B183" s="2">
        <v>1045612770</v>
      </c>
      <c r="C183" s="4">
        <v>541418596</v>
      </c>
      <c r="D183" s="4">
        <v>504194174</v>
      </c>
      <c r="E183" s="2">
        <v>894625</v>
      </c>
      <c r="F183" s="2">
        <v>18358962</v>
      </c>
      <c r="G183" s="2">
        <v>152459</v>
      </c>
      <c r="H183" s="2">
        <v>304721583</v>
      </c>
      <c r="I183" s="2">
        <v>61520729</v>
      </c>
      <c r="J183" s="2">
        <v>6408119</v>
      </c>
      <c r="K183" s="2">
        <v>24965495</v>
      </c>
      <c r="L183" s="2">
        <v>9430949</v>
      </c>
      <c r="M183" s="2">
        <v>39469259</v>
      </c>
      <c r="N183">
        <v>0</v>
      </c>
      <c r="O183" s="2">
        <v>8320878</v>
      </c>
      <c r="P183" s="2">
        <v>52924591</v>
      </c>
      <c r="Q183" s="6">
        <v>21035477</v>
      </c>
      <c r="R183" s="6">
        <v>244088071</v>
      </c>
      <c r="S183" s="6">
        <v>13058379</v>
      </c>
      <c r="T183" s="6">
        <v>170562702</v>
      </c>
      <c r="U183" s="6">
        <v>9211378</v>
      </c>
      <c r="V183" s="6">
        <v>179774080</v>
      </c>
      <c r="W183" s="6">
        <v>36433206</v>
      </c>
      <c r="X183" s="6">
        <v>9804961</v>
      </c>
      <c r="Y183" s="2">
        <v>14250947</v>
      </c>
      <c r="AB183" s="2">
        <f t="shared" si="16"/>
        <v>541418596</v>
      </c>
      <c r="AC183" s="2">
        <f t="shared" si="17"/>
        <v>0</v>
      </c>
      <c r="AD183" s="8">
        <f t="shared" si="18"/>
        <v>0</v>
      </c>
      <c r="AE183" s="2">
        <f t="shared" si="19"/>
        <v>504194174</v>
      </c>
      <c r="AF183" s="2">
        <f t="shared" si="20"/>
        <v>0</v>
      </c>
      <c r="AG183" s="8">
        <f t="shared" si="21"/>
        <v>0</v>
      </c>
      <c r="AI183">
        <f t="shared" si="22"/>
        <v>0.51780029044595544</v>
      </c>
      <c r="AJ183">
        <f t="shared" si="23"/>
        <v>0.48219970955404456</v>
      </c>
    </row>
    <row r="184" spans="1:36" x14ac:dyDescent="0.25">
      <c r="A184" s="1">
        <v>40878</v>
      </c>
      <c r="B184" s="2">
        <v>1060444210</v>
      </c>
      <c r="C184" s="4">
        <v>554761740</v>
      </c>
      <c r="D184" s="4">
        <v>505682470</v>
      </c>
      <c r="E184" s="2">
        <v>587665</v>
      </c>
      <c r="F184" s="2">
        <v>20338176</v>
      </c>
      <c r="G184" s="2">
        <v>161150</v>
      </c>
      <c r="H184" s="2">
        <v>313589649</v>
      </c>
      <c r="I184" s="2">
        <v>59724214</v>
      </c>
      <c r="J184" s="2">
        <v>6718309</v>
      </c>
      <c r="K184" s="2">
        <v>26784410</v>
      </c>
      <c r="L184" s="2">
        <v>9660215</v>
      </c>
      <c r="M184" s="2">
        <v>38413337</v>
      </c>
      <c r="N184">
        <v>0</v>
      </c>
      <c r="O184" s="2">
        <v>8552498</v>
      </c>
      <c r="P184" s="2">
        <v>55621601</v>
      </c>
      <c r="Q184" s="6">
        <v>18928244</v>
      </c>
      <c r="R184" s="6">
        <v>244191897</v>
      </c>
      <c r="S184" s="6">
        <v>13938226</v>
      </c>
      <c r="T184" s="6">
        <v>173310158</v>
      </c>
      <c r="U184" s="6">
        <v>9383947</v>
      </c>
      <c r="V184" s="6">
        <v>182694105</v>
      </c>
      <c r="W184" s="6">
        <v>35637974</v>
      </c>
      <c r="X184" s="6">
        <v>10292024</v>
      </c>
      <c r="Y184" s="2">
        <v>14610516</v>
      </c>
      <c r="AB184" s="2">
        <f t="shared" si="16"/>
        <v>554761740</v>
      </c>
      <c r="AC184" s="2">
        <f t="shared" si="17"/>
        <v>0</v>
      </c>
      <c r="AD184" s="8">
        <f t="shared" si="18"/>
        <v>0</v>
      </c>
      <c r="AE184" s="2">
        <f t="shared" si="19"/>
        <v>505682470</v>
      </c>
      <c r="AF184" s="2">
        <f t="shared" si="20"/>
        <v>0</v>
      </c>
      <c r="AG184" s="8">
        <f t="shared" si="21"/>
        <v>0</v>
      </c>
      <c r="AI184">
        <f t="shared" si="22"/>
        <v>0.52314090149070647</v>
      </c>
      <c r="AJ184">
        <f t="shared" si="23"/>
        <v>0.47685909850929359</v>
      </c>
    </row>
    <row r="185" spans="1:36" x14ac:dyDescent="0.25">
      <c r="A185" s="1">
        <v>40909</v>
      </c>
      <c r="B185" s="2">
        <v>1064169687</v>
      </c>
      <c r="C185" s="4">
        <v>549826654</v>
      </c>
      <c r="D185" s="4">
        <v>514343033</v>
      </c>
      <c r="E185" s="2">
        <v>427866</v>
      </c>
      <c r="F185" s="2">
        <v>17421729</v>
      </c>
      <c r="G185" s="2">
        <v>158156</v>
      </c>
      <c r="H185" s="2">
        <v>313136922</v>
      </c>
      <c r="I185" s="2">
        <v>60951587</v>
      </c>
      <c r="J185" s="2">
        <v>6786251</v>
      </c>
      <c r="K185" s="2">
        <v>26805725</v>
      </c>
      <c r="L185" s="2">
        <v>8971125</v>
      </c>
      <c r="M185" s="2">
        <v>38447484</v>
      </c>
      <c r="N185">
        <v>0</v>
      </c>
      <c r="O185" s="2">
        <v>7893045</v>
      </c>
      <c r="P185" s="2">
        <v>54896295</v>
      </c>
      <c r="Q185" s="6">
        <v>21228037</v>
      </c>
      <c r="R185" s="6">
        <v>247177903</v>
      </c>
      <c r="S185" s="6">
        <v>14503397</v>
      </c>
      <c r="T185" s="6">
        <v>175420559</v>
      </c>
      <c r="U185" s="6">
        <v>9333023</v>
      </c>
      <c r="V185" s="6">
        <v>184753582</v>
      </c>
      <c r="W185" s="6">
        <v>36756867</v>
      </c>
      <c r="X185" s="6">
        <v>9923247</v>
      </c>
      <c r="Y185" s="2">
        <v>13930469</v>
      </c>
      <c r="AB185" s="2">
        <f t="shared" si="16"/>
        <v>549826654</v>
      </c>
      <c r="AC185" s="2">
        <f t="shared" si="17"/>
        <v>0</v>
      </c>
      <c r="AD185" s="8">
        <f t="shared" si="18"/>
        <v>0</v>
      </c>
      <c r="AE185" s="2">
        <f t="shared" si="19"/>
        <v>514343033</v>
      </c>
      <c r="AF185" s="2">
        <f t="shared" si="20"/>
        <v>0</v>
      </c>
      <c r="AG185" s="8">
        <f t="shared" si="21"/>
        <v>0</v>
      </c>
      <c r="AI185">
        <f t="shared" si="22"/>
        <v>0.51667197507759866</v>
      </c>
      <c r="AJ185">
        <f t="shared" si="23"/>
        <v>0.48332802492240129</v>
      </c>
    </row>
    <row r="186" spans="1:36" x14ac:dyDescent="0.25">
      <c r="A186" s="1">
        <v>40940</v>
      </c>
      <c r="B186" s="2">
        <v>1071105933</v>
      </c>
      <c r="C186" s="4">
        <v>550130337</v>
      </c>
      <c r="D186" s="4">
        <v>520975596</v>
      </c>
      <c r="E186" s="2">
        <v>393745</v>
      </c>
      <c r="F186" s="2">
        <v>17244663</v>
      </c>
      <c r="G186" s="2">
        <v>158304</v>
      </c>
      <c r="H186" s="2">
        <v>313620944</v>
      </c>
      <c r="I186" s="2">
        <v>62033258</v>
      </c>
      <c r="J186" s="2">
        <v>7175044</v>
      </c>
      <c r="K186" s="2">
        <v>26499468</v>
      </c>
      <c r="L186" s="2">
        <v>8719943</v>
      </c>
      <c r="M186" s="2">
        <v>38892574</v>
      </c>
      <c r="N186">
        <v>0</v>
      </c>
      <c r="O186" s="2">
        <v>7630367</v>
      </c>
      <c r="P186" s="2">
        <v>54324271</v>
      </c>
      <c r="Q186" s="6">
        <v>22063848</v>
      </c>
      <c r="R186" s="6">
        <v>250689275</v>
      </c>
      <c r="S186" s="6">
        <v>14900324</v>
      </c>
      <c r="T186" s="6">
        <v>176199266</v>
      </c>
      <c r="U186" s="6">
        <v>9475721</v>
      </c>
      <c r="V186" s="6">
        <v>185674987</v>
      </c>
      <c r="W186" s="6">
        <v>37654618</v>
      </c>
      <c r="X186" s="6">
        <v>9992544</v>
      </c>
      <c r="Y186" s="2">
        <v>13437756</v>
      </c>
      <c r="AB186" s="2">
        <f t="shared" si="16"/>
        <v>550130337</v>
      </c>
      <c r="AC186" s="2">
        <f t="shared" si="17"/>
        <v>0</v>
      </c>
      <c r="AD186" s="8">
        <f t="shared" si="18"/>
        <v>0</v>
      </c>
      <c r="AE186" s="2">
        <f t="shared" si="19"/>
        <v>520975596</v>
      </c>
      <c r="AF186" s="2">
        <f t="shared" si="20"/>
        <v>0</v>
      </c>
      <c r="AG186" s="8">
        <f t="shared" si="21"/>
        <v>0</v>
      </c>
      <c r="AI186">
        <f t="shared" si="22"/>
        <v>0.51360964406122844</v>
      </c>
      <c r="AJ186">
        <f t="shared" si="23"/>
        <v>0.48639035593877156</v>
      </c>
    </row>
    <row r="187" spans="1:36" x14ac:dyDescent="0.25">
      <c r="A187" s="1">
        <v>40969</v>
      </c>
      <c r="B187" s="2">
        <v>1090024719</v>
      </c>
      <c r="C187" s="4">
        <v>564856847</v>
      </c>
      <c r="D187" s="4">
        <v>525167872</v>
      </c>
      <c r="E187" s="2">
        <v>422835</v>
      </c>
      <c r="F187" s="2">
        <v>18800738</v>
      </c>
      <c r="G187" s="2">
        <v>156781</v>
      </c>
      <c r="H187" s="2">
        <v>318679225</v>
      </c>
      <c r="I187" s="2">
        <v>62307948</v>
      </c>
      <c r="J187" s="2">
        <v>7439755</v>
      </c>
      <c r="K187" s="2">
        <v>27214080</v>
      </c>
      <c r="L187" s="2">
        <v>8978256</v>
      </c>
      <c r="M187" s="2">
        <v>41815509</v>
      </c>
      <c r="N187">
        <v>0</v>
      </c>
      <c r="O187" s="2">
        <v>8395056</v>
      </c>
      <c r="P187" s="2">
        <v>56474672</v>
      </c>
      <c r="Q187" s="6">
        <v>21893258</v>
      </c>
      <c r="R187" s="6">
        <v>253423315</v>
      </c>
      <c r="S187" s="6">
        <v>15472510</v>
      </c>
      <c r="T187" s="6">
        <v>177553608</v>
      </c>
      <c r="U187" s="6">
        <v>9372797</v>
      </c>
      <c r="V187" s="6">
        <v>186926405</v>
      </c>
      <c r="W187" s="6">
        <v>37374418</v>
      </c>
      <c r="X187" s="6">
        <v>10077966</v>
      </c>
      <c r="Y187" s="2">
        <v>14171992</v>
      </c>
      <c r="AB187" s="2">
        <f t="shared" si="16"/>
        <v>564856847</v>
      </c>
      <c r="AC187" s="2">
        <f t="shared" si="17"/>
        <v>0</v>
      </c>
      <c r="AD187" s="8">
        <f t="shared" si="18"/>
        <v>0</v>
      </c>
      <c r="AE187" s="2">
        <f t="shared" si="19"/>
        <v>525167872</v>
      </c>
      <c r="AF187" s="2">
        <f t="shared" si="20"/>
        <v>0</v>
      </c>
      <c r="AG187" s="8">
        <f t="shared" si="21"/>
        <v>0</v>
      </c>
      <c r="AI187">
        <f t="shared" si="22"/>
        <v>0.51820553896998367</v>
      </c>
      <c r="AJ187">
        <f t="shared" si="23"/>
        <v>0.48179446103001633</v>
      </c>
    </row>
    <row r="188" spans="1:36" x14ac:dyDescent="0.25">
      <c r="A188" s="1">
        <v>41000</v>
      </c>
      <c r="B188" s="2">
        <v>1107541194</v>
      </c>
      <c r="C188" s="4">
        <v>575856076</v>
      </c>
      <c r="D188" s="4">
        <v>531685118</v>
      </c>
      <c r="E188" s="2">
        <v>633401</v>
      </c>
      <c r="F188" s="2">
        <v>18620019</v>
      </c>
      <c r="G188" s="2">
        <v>156961</v>
      </c>
      <c r="H188" s="2">
        <v>322394520</v>
      </c>
      <c r="I188" s="2">
        <v>63816366</v>
      </c>
      <c r="J188" s="2">
        <v>7625923</v>
      </c>
      <c r="K188" s="2">
        <v>27212242</v>
      </c>
      <c r="L188" s="2">
        <v>8638508</v>
      </c>
      <c r="M188" s="2">
        <v>45979728</v>
      </c>
      <c r="N188">
        <v>0</v>
      </c>
      <c r="O188" s="2">
        <v>9081599</v>
      </c>
      <c r="P188" s="2">
        <v>57058774</v>
      </c>
      <c r="Q188" s="6">
        <v>22563741</v>
      </c>
      <c r="R188" s="6">
        <v>257581363</v>
      </c>
      <c r="S188" s="6">
        <v>16100129</v>
      </c>
      <c r="T188" s="6">
        <v>178140520</v>
      </c>
      <c r="U188" s="6">
        <v>9324125</v>
      </c>
      <c r="V188" s="6">
        <v>187464645</v>
      </c>
      <c r="W188" s="6">
        <v>37653602</v>
      </c>
      <c r="X188" s="6">
        <v>10321638</v>
      </c>
      <c r="Y188" s="2">
        <v>14638035</v>
      </c>
      <c r="AB188" s="2">
        <f t="shared" si="16"/>
        <v>575856076</v>
      </c>
      <c r="AC188" s="2">
        <f t="shared" si="17"/>
        <v>0</v>
      </c>
      <c r="AD188" s="8">
        <f t="shared" si="18"/>
        <v>0</v>
      </c>
      <c r="AE188" s="2">
        <f t="shared" si="19"/>
        <v>531685118</v>
      </c>
      <c r="AF188" s="2">
        <f t="shared" si="20"/>
        <v>0</v>
      </c>
      <c r="AG188" s="8">
        <f t="shared" si="21"/>
        <v>0</v>
      </c>
      <c r="AI188">
        <f t="shared" si="22"/>
        <v>0.51994100004554777</v>
      </c>
      <c r="AJ188">
        <f t="shared" si="23"/>
        <v>0.48005899995445228</v>
      </c>
    </row>
    <row r="189" spans="1:36" x14ac:dyDescent="0.25">
      <c r="A189" s="1">
        <v>41030</v>
      </c>
      <c r="B189" s="2">
        <v>1124213358</v>
      </c>
      <c r="C189" s="4">
        <v>587255749</v>
      </c>
      <c r="D189" s="4">
        <v>536957609</v>
      </c>
      <c r="E189" s="2">
        <v>379181</v>
      </c>
      <c r="F189" s="2">
        <v>19096130</v>
      </c>
      <c r="G189" s="2">
        <v>148070</v>
      </c>
      <c r="H189" s="2">
        <v>329965323</v>
      </c>
      <c r="I189" s="2">
        <v>62010782</v>
      </c>
      <c r="J189" s="2">
        <v>7988435</v>
      </c>
      <c r="K189" s="2">
        <v>27666624</v>
      </c>
      <c r="L189" s="2">
        <v>8339957</v>
      </c>
      <c r="M189" s="2">
        <v>50069710</v>
      </c>
      <c r="N189">
        <v>0</v>
      </c>
      <c r="O189" s="2">
        <v>10164269</v>
      </c>
      <c r="P189" s="2">
        <v>55662959</v>
      </c>
      <c r="Q189" s="6">
        <v>21951845</v>
      </c>
      <c r="R189" s="6">
        <v>262669530</v>
      </c>
      <c r="S189" s="6">
        <v>16659804</v>
      </c>
      <c r="T189" s="6">
        <v>178447703</v>
      </c>
      <c r="U189" s="6">
        <v>9358474</v>
      </c>
      <c r="V189" s="6">
        <v>187806177</v>
      </c>
      <c r="W189" s="6">
        <v>37024237</v>
      </c>
      <c r="X189" s="6">
        <v>10846016</v>
      </c>
      <c r="Y189" s="2">
        <v>15764309</v>
      </c>
      <c r="AB189" s="2">
        <f t="shared" si="16"/>
        <v>587255749</v>
      </c>
      <c r="AC189" s="2">
        <f t="shared" si="17"/>
        <v>0</v>
      </c>
      <c r="AD189" s="8">
        <f t="shared" si="18"/>
        <v>0</v>
      </c>
      <c r="AE189" s="2">
        <f t="shared" si="19"/>
        <v>536957609</v>
      </c>
      <c r="AF189" s="2">
        <f t="shared" si="20"/>
        <v>0</v>
      </c>
      <c r="AG189" s="8">
        <f t="shared" si="21"/>
        <v>0</v>
      </c>
      <c r="AI189">
        <f t="shared" si="22"/>
        <v>0.52237037108751383</v>
      </c>
      <c r="AJ189">
        <f t="shared" si="23"/>
        <v>0.47762962891248623</v>
      </c>
    </row>
    <row r="190" spans="1:36" x14ac:dyDescent="0.25">
      <c r="A190" s="1">
        <v>41061</v>
      </c>
      <c r="B190" s="2">
        <v>1144670131</v>
      </c>
      <c r="C190" s="4">
        <v>598603150</v>
      </c>
      <c r="D190" s="4">
        <v>546066981</v>
      </c>
      <c r="E190" s="2">
        <v>534781</v>
      </c>
      <c r="F190" s="2">
        <v>20474903</v>
      </c>
      <c r="G190" s="2">
        <v>149847</v>
      </c>
      <c r="H190" s="2">
        <v>337805540</v>
      </c>
      <c r="I190" s="2">
        <v>61839717</v>
      </c>
      <c r="J190" s="2">
        <v>8699778</v>
      </c>
      <c r="K190" s="2">
        <v>27946677</v>
      </c>
      <c r="L190" s="2">
        <v>8106324</v>
      </c>
      <c r="M190" s="2">
        <v>48786167</v>
      </c>
      <c r="N190">
        <v>0</v>
      </c>
      <c r="O190" s="2">
        <v>10197977</v>
      </c>
      <c r="P190" s="2">
        <v>57527465</v>
      </c>
      <c r="Q190" s="6">
        <v>21225960</v>
      </c>
      <c r="R190" s="6">
        <v>267835036</v>
      </c>
      <c r="S190" s="6">
        <v>17160344</v>
      </c>
      <c r="T190" s="6">
        <v>182162176</v>
      </c>
      <c r="U190" s="6">
        <v>9275606</v>
      </c>
      <c r="V190" s="6">
        <v>191437782</v>
      </c>
      <c r="W190" s="6">
        <v>37368388</v>
      </c>
      <c r="X190" s="6">
        <v>11039471</v>
      </c>
      <c r="Y190" s="2">
        <v>16533974</v>
      </c>
      <c r="AB190" s="2">
        <f t="shared" si="16"/>
        <v>598603150</v>
      </c>
      <c r="AC190" s="2">
        <f t="shared" si="17"/>
        <v>0</v>
      </c>
      <c r="AD190" s="8">
        <f t="shared" si="18"/>
        <v>0</v>
      </c>
      <c r="AE190" s="2">
        <f t="shared" si="19"/>
        <v>546066981</v>
      </c>
      <c r="AF190" s="2">
        <f t="shared" si="20"/>
        <v>0</v>
      </c>
      <c r="AG190" s="8">
        <f t="shared" si="21"/>
        <v>0</v>
      </c>
      <c r="AI190">
        <f t="shared" si="22"/>
        <v>0.52294816977276404</v>
      </c>
      <c r="AJ190">
        <f t="shared" si="23"/>
        <v>0.47705183022723602</v>
      </c>
    </row>
    <row r="191" spans="1:36" x14ac:dyDescent="0.25">
      <c r="A191" s="1">
        <v>41091</v>
      </c>
      <c r="B191" s="2">
        <v>1150265168</v>
      </c>
      <c r="C191" s="4">
        <v>599147043</v>
      </c>
      <c r="D191" s="4">
        <v>551118125</v>
      </c>
      <c r="E191" s="2">
        <v>371370</v>
      </c>
      <c r="F191" s="2">
        <v>19396615</v>
      </c>
      <c r="G191" s="2">
        <v>137964</v>
      </c>
      <c r="H191" s="2">
        <v>339705851</v>
      </c>
      <c r="I191" s="2">
        <v>61280207</v>
      </c>
      <c r="J191" s="2">
        <v>8932786</v>
      </c>
      <c r="K191" s="2">
        <v>28201039</v>
      </c>
      <c r="L191" s="2">
        <v>7878542</v>
      </c>
      <c r="M191" s="2">
        <v>50017065</v>
      </c>
      <c r="N191">
        <v>0</v>
      </c>
      <c r="O191" s="2">
        <v>10341428</v>
      </c>
      <c r="P191" s="2">
        <v>56288916</v>
      </c>
      <c r="Q191" s="6">
        <v>21369975</v>
      </c>
      <c r="R191" s="6">
        <v>270359428</v>
      </c>
      <c r="S191" s="6">
        <v>17600641</v>
      </c>
      <c r="T191" s="6">
        <v>183922571</v>
      </c>
      <c r="U191" s="6">
        <v>9172971</v>
      </c>
      <c r="V191" s="6">
        <v>193095542</v>
      </c>
      <c r="W191" s="6">
        <v>37425183</v>
      </c>
      <c r="X191" s="6">
        <v>11267356</v>
      </c>
      <c r="Y191" s="2">
        <v>16595260</v>
      </c>
      <c r="AB191" s="2">
        <f t="shared" si="16"/>
        <v>599147043</v>
      </c>
      <c r="AC191" s="2">
        <f t="shared" si="17"/>
        <v>0</v>
      </c>
      <c r="AD191" s="8">
        <f t="shared" si="18"/>
        <v>0</v>
      </c>
      <c r="AE191" s="2">
        <f t="shared" si="19"/>
        <v>551118125</v>
      </c>
      <c r="AF191" s="2">
        <f t="shared" si="20"/>
        <v>0</v>
      </c>
      <c r="AG191" s="8">
        <f t="shared" si="21"/>
        <v>0</v>
      </c>
      <c r="AI191">
        <f t="shared" si="22"/>
        <v>0.52087732434926692</v>
      </c>
      <c r="AJ191">
        <f t="shared" si="23"/>
        <v>0.47912267565073308</v>
      </c>
    </row>
    <row r="192" spans="1:36" x14ac:dyDescent="0.25">
      <c r="A192" s="1">
        <v>41122</v>
      </c>
      <c r="B192" s="2">
        <v>1162818885</v>
      </c>
      <c r="C192" s="4">
        <v>604093408</v>
      </c>
      <c r="D192" s="4">
        <v>558725477</v>
      </c>
      <c r="E192" s="2">
        <v>391088</v>
      </c>
      <c r="F192" s="2">
        <v>19665135</v>
      </c>
      <c r="G192" s="2">
        <v>131898</v>
      </c>
      <c r="H192" s="2">
        <v>343952802</v>
      </c>
      <c r="I192" s="2">
        <v>59935197</v>
      </c>
      <c r="J192" s="2">
        <v>9473154</v>
      </c>
      <c r="K192" s="2">
        <v>27991003</v>
      </c>
      <c r="L192" s="2">
        <v>7424586</v>
      </c>
      <c r="M192" s="2">
        <v>51620350</v>
      </c>
      <c r="N192">
        <v>0</v>
      </c>
      <c r="O192" s="2">
        <v>10219155</v>
      </c>
      <c r="P192" s="2">
        <v>56633468</v>
      </c>
      <c r="Q192" s="6">
        <v>21111000</v>
      </c>
      <c r="R192" s="6">
        <v>274747895</v>
      </c>
      <c r="S192" s="6">
        <v>18124405</v>
      </c>
      <c r="T192" s="6">
        <v>186594045</v>
      </c>
      <c r="U192" s="6">
        <v>9375199</v>
      </c>
      <c r="V192" s="6">
        <v>195969244</v>
      </c>
      <c r="W192" s="6">
        <v>37276382</v>
      </c>
      <c r="X192" s="6">
        <v>11496551</v>
      </c>
      <c r="Y192" s="2">
        <v>16655572</v>
      </c>
      <c r="AB192" s="2">
        <f t="shared" si="16"/>
        <v>604093408</v>
      </c>
      <c r="AC192" s="2">
        <f t="shared" si="17"/>
        <v>0</v>
      </c>
      <c r="AD192" s="8">
        <f t="shared" si="18"/>
        <v>0</v>
      </c>
      <c r="AE192" s="2">
        <f t="shared" si="19"/>
        <v>558725477</v>
      </c>
      <c r="AF192" s="2">
        <f t="shared" si="20"/>
        <v>0</v>
      </c>
      <c r="AG192" s="8">
        <f t="shared" si="21"/>
        <v>0</v>
      </c>
      <c r="AI192">
        <f t="shared" si="22"/>
        <v>0.51950773744098588</v>
      </c>
      <c r="AJ192">
        <f t="shared" si="23"/>
        <v>0.48049226255901406</v>
      </c>
    </row>
    <row r="193" spans="1:36" x14ac:dyDescent="0.25">
      <c r="A193" s="1">
        <v>41153</v>
      </c>
      <c r="B193" s="2">
        <v>1172915666</v>
      </c>
      <c r="C193" s="4">
        <v>613581566</v>
      </c>
      <c r="D193" s="4">
        <v>559334100</v>
      </c>
      <c r="E193" s="2">
        <v>486565</v>
      </c>
      <c r="F193" s="2">
        <v>21261454</v>
      </c>
      <c r="G193" s="2">
        <v>134113</v>
      </c>
      <c r="H193" s="2">
        <v>349143481</v>
      </c>
      <c r="I193" s="2">
        <v>60620538</v>
      </c>
      <c r="J193" s="2">
        <v>9995257</v>
      </c>
      <c r="K193" s="2">
        <v>27633108</v>
      </c>
      <c r="L193" s="2">
        <v>8010819</v>
      </c>
      <c r="M193" s="2">
        <v>51285579</v>
      </c>
      <c r="N193">
        <v>0</v>
      </c>
      <c r="O193" s="2">
        <v>10243108</v>
      </c>
      <c r="P193" s="2">
        <v>58155259</v>
      </c>
      <c r="Q193" s="6">
        <v>20706147</v>
      </c>
      <c r="R193" s="6">
        <v>274526877</v>
      </c>
      <c r="S193" s="6">
        <v>18748319</v>
      </c>
      <c r="T193" s="6">
        <v>186685843</v>
      </c>
      <c r="U193" s="6">
        <v>9395288</v>
      </c>
      <c r="V193" s="6">
        <v>196081131</v>
      </c>
      <c r="W193" s="6">
        <v>37650840</v>
      </c>
      <c r="X193" s="6">
        <v>11620786</v>
      </c>
      <c r="Y193" s="2">
        <v>16612285</v>
      </c>
      <c r="AB193" s="2">
        <f t="shared" si="16"/>
        <v>613581566</v>
      </c>
      <c r="AC193" s="2">
        <f t="shared" si="17"/>
        <v>0</v>
      </c>
      <c r="AD193" s="8">
        <f t="shared" si="18"/>
        <v>0</v>
      </c>
      <c r="AE193" s="2">
        <f t="shared" si="19"/>
        <v>559334100</v>
      </c>
      <c r="AF193" s="2">
        <f t="shared" si="20"/>
        <v>0</v>
      </c>
      <c r="AG193" s="8">
        <f t="shared" si="21"/>
        <v>0</v>
      </c>
      <c r="AI193">
        <f t="shared" si="22"/>
        <v>0.52312504964018447</v>
      </c>
      <c r="AJ193">
        <f t="shared" si="23"/>
        <v>0.47687495035981553</v>
      </c>
    </row>
    <row r="194" spans="1:36" x14ac:dyDescent="0.25">
      <c r="A194" s="1">
        <v>41183</v>
      </c>
      <c r="B194" s="2">
        <v>1183115575</v>
      </c>
      <c r="C194" s="4">
        <v>619383867</v>
      </c>
      <c r="D194" s="4">
        <v>563731708</v>
      </c>
      <c r="E194" s="2">
        <v>372792</v>
      </c>
      <c r="F194" s="2">
        <v>20734493</v>
      </c>
      <c r="G194" s="2">
        <v>118427</v>
      </c>
      <c r="H194" s="2">
        <v>356740071</v>
      </c>
      <c r="I194" s="2">
        <v>58891316</v>
      </c>
      <c r="J194" s="2">
        <v>10575383</v>
      </c>
      <c r="K194" s="2">
        <v>27838461</v>
      </c>
      <c r="L194" s="2">
        <v>8211555</v>
      </c>
      <c r="M194" s="2">
        <v>51067196</v>
      </c>
      <c r="N194">
        <v>0</v>
      </c>
      <c r="O194" s="2">
        <v>10285696</v>
      </c>
      <c r="P194" s="2">
        <v>58032827</v>
      </c>
      <c r="Q194" s="6">
        <v>21223565</v>
      </c>
      <c r="R194" s="6">
        <v>278054348</v>
      </c>
      <c r="S194" s="6">
        <v>19147229</v>
      </c>
      <c r="T194" s="6">
        <v>186319345</v>
      </c>
      <c r="U194" s="6">
        <v>9701412</v>
      </c>
      <c r="V194" s="6">
        <v>196020757</v>
      </c>
      <c r="W194" s="6">
        <v>37176473</v>
      </c>
      <c r="X194" s="6">
        <v>12109336</v>
      </c>
      <c r="Y194" s="2">
        <v>16515650</v>
      </c>
      <c r="AB194" s="2">
        <f t="shared" si="16"/>
        <v>619383867</v>
      </c>
      <c r="AC194" s="2">
        <f t="shared" si="17"/>
        <v>0</v>
      </c>
      <c r="AD194" s="8">
        <f t="shared" si="18"/>
        <v>0</v>
      </c>
      <c r="AE194" s="2">
        <f t="shared" si="19"/>
        <v>563731708</v>
      </c>
      <c r="AF194" s="2">
        <f t="shared" si="20"/>
        <v>0</v>
      </c>
      <c r="AG194" s="8">
        <f t="shared" si="21"/>
        <v>0</v>
      </c>
      <c r="AI194">
        <f t="shared" si="22"/>
        <v>0.52351932481321617</v>
      </c>
      <c r="AJ194">
        <f t="shared" si="23"/>
        <v>0.47648067518678383</v>
      </c>
    </row>
    <row r="195" spans="1:36" x14ac:dyDescent="0.25">
      <c r="A195" s="1">
        <v>41214</v>
      </c>
      <c r="B195" s="2">
        <v>1193645170</v>
      </c>
      <c r="C195" s="4">
        <v>626294234</v>
      </c>
      <c r="D195" s="4">
        <v>567350936</v>
      </c>
      <c r="E195" s="2">
        <v>464297</v>
      </c>
      <c r="F195" s="2">
        <v>21184429</v>
      </c>
      <c r="G195" s="2">
        <v>114593</v>
      </c>
      <c r="H195" s="2">
        <v>361835309</v>
      </c>
      <c r="I195" s="2">
        <v>59065468</v>
      </c>
      <c r="J195" s="2">
        <v>10956645</v>
      </c>
      <c r="K195" s="2">
        <v>28238578</v>
      </c>
      <c r="L195" s="2">
        <v>8996336</v>
      </c>
      <c r="M195" s="2">
        <v>47264557</v>
      </c>
      <c r="N195">
        <v>0</v>
      </c>
      <c r="O195" s="2">
        <v>11076202</v>
      </c>
      <c r="P195" s="2">
        <v>60262913</v>
      </c>
      <c r="Q195" s="6">
        <v>20580180</v>
      </c>
      <c r="R195" s="6">
        <v>280730258</v>
      </c>
      <c r="S195" s="6">
        <v>19826258</v>
      </c>
      <c r="T195" s="6">
        <v>186387864</v>
      </c>
      <c r="U195" s="6">
        <v>9658934</v>
      </c>
      <c r="V195" s="6">
        <v>196046798</v>
      </c>
      <c r="W195" s="6">
        <v>37561809</v>
      </c>
      <c r="X195" s="6">
        <v>12605633</v>
      </c>
      <c r="Y195" s="2">
        <v>16834907</v>
      </c>
      <c r="AB195" s="2">
        <f t="shared" ref="AB195:AB196" si="24">SUM(E195:P195)+Y195</f>
        <v>626294234</v>
      </c>
      <c r="AC195" s="2">
        <f t="shared" ref="AC195:AC196" si="25">AB195-C195</f>
        <v>0</v>
      </c>
      <c r="AD195" s="8">
        <f t="shared" ref="AD195:AD196" si="26">AC195/AB195</f>
        <v>0</v>
      </c>
      <c r="AE195" s="2">
        <f t="shared" ref="AE195:AE196" si="27">Q195+R195+S195+V195+W195+X195</f>
        <v>567350936</v>
      </c>
      <c r="AF195" s="2">
        <f t="shared" ref="AF195:AF196" si="28">AE195-D195</f>
        <v>0</v>
      </c>
      <c r="AG195" s="8">
        <f t="shared" ref="AG195:AG196" si="29">AF195/AE195</f>
        <v>0</v>
      </c>
      <c r="AI195">
        <f t="shared" ref="AI195:AI196" si="30">C195/B195</f>
        <v>0.52469046056626689</v>
      </c>
      <c r="AJ195">
        <f t="shared" ref="AJ195:AJ196" si="31">D195/B195</f>
        <v>0.47530953943373305</v>
      </c>
    </row>
    <row r="196" spans="1:36" x14ac:dyDescent="0.25">
      <c r="A196" s="1">
        <v>41244</v>
      </c>
      <c r="B196" s="2">
        <v>1205701546</v>
      </c>
      <c r="C196" s="4">
        <v>638505965</v>
      </c>
      <c r="D196" s="4">
        <v>567195581</v>
      </c>
      <c r="E196" s="2">
        <v>417854</v>
      </c>
      <c r="F196" s="2">
        <v>23204531</v>
      </c>
      <c r="G196" s="2">
        <v>116181</v>
      </c>
      <c r="H196" s="2">
        <v>372280627</v>
      </c>
      <c r="I196" s="2">
        <v>57670224</v>
      </c>
      <c r="J196" s="2">
        <v>11412835</v>
      </c>
      <c r="K196" s="2">
        <v>28557692</v>
      </c>
      <c r="L196" s="2">
        <v>9118602</v>
      </c>
      <c r="M196" s="2">
        <v>45328041</v>
      </c>
      <c r="N196">
        <v>0</v>
      </c>
      <c r="O196" s="2">
        <v>10954941</v>
      </c>
      <c r="P196" s="2">
        <v>62969612</v>
      </c>
      <c r="Q196" s="6">
        <v>18891597</v>
      </c>
      <c r="R196" s="6">
        <v>280530543</v>
      </c>
      <c r="S196" s="6">
        <v>20382532</v>
      </c>
      <c r="T196" s="6">
        <v>187500436</v>
      </c>
      <c r="U196" s="6">
        <v>10145718</v>
      </c>
      <c r="V196" s="6">
        <v>197646154</v>
      </c>
      <c r="W196" s="6">
        <v>37107763</v>
      </c>
      <c r="X196" s="6">
        <v>12636992</v>
      </c>
      <c r="Y196" s="2">
        <v>16474825</v>
      </c>
      <c r="AB196" s="2">
        <f t="shared" si="24"/>
        <v>638505965</v>
      </c>
      <c r="AC196" s="2">
        <f t="shared" si="25"/>
        <v>0</v>
      </c>
      <c r="AD196" s="8">
        <f t="shared" si="26"/>
        <v>0</v>
      </c>
      <c r="AE196" s="2">
        <f t="shared" si="27"/>
        <v>567195581</v>
      </c>
      <c r="AF196" s="2">
        <f t="shared" si="28"/>
        <v>0</v>
      </c>
      <c r="AG196" s="8">
        <f t="shared" si="29"/>
        <v>0</v>
      </c>
      <c r="AI196">
        <f t="shared" si="30"/>
        <v>0.5295721541689058</v>
      </c>
      <c r="AJ196">
        <f t="shared" si="31"/>
        <v>0.47042784583109426</v>
      </c>
    </row>
    <row r="197" spans="1:36" x14ac:dyDescent="0.25">
      <c r="A197" t="s">
        <v>12</v>
      </c>
      <c r="B197" t="s">
        <v>29</v>
      </c>
      <c r="C197" s="3" t="s">
        <v>29</v>
      </c>
      <c r="D197" s="3" t="s">
        <v>29</v>
      </c>
      <c r="E197" t="s">
        <v>29</v>
      </c>
      <c r="F197" t="s">
        <v>29</v>
      </c>
      <c r="G197" t="s">
        <v>29</v>
      </c>
      <c r="H197" t="s">
        <v>29</v>
      </c>
      <c r="I197" t="s">
        <v>29</v>
      </c>
      <c r="J197" t="s">
        <v>29</v>
      </c>
      <c r="K197" t="s">
        <v>29</v>
      </c>
      <c r="L197" t="s">
        <v>29</v>
      </c>
      <c r="M197" t="s">
        <v>29</v>
      </c>
      <c r="N197" t="s">
        <v>29</v>
      </c>
      <c r="O197" t="s">
        <v>29</v>
      </c>
      <c r="P197" t="s">
        <v>29</v>
      </c>
      <c r="Q197" s="5" t="s">
        <v>29</v>
      </c>
      <c r="R197" s="5" t="s">
        <v>29</v>
      </c>
      <c r="S197" s="5" t="s">
        <v>29</v>
      </c>
      <c r="T197" s="5" t="s">
        <v>29</v>
      </c>
      <c r="U197" s="5" t="s">
        <v>29</v>
      </c>
      <c r="V197" s="5" t="s">
        <v>29</v>
      </c>
      <c r="W197" s="5" t="s">
        <v>29</v>
      </c>
      <c r="X197" s="5" t="s">
        <v>29</v>
      </c>
      <c r="Y197" t="s">
        <v>29</v>
      </c>
    </row>
  </sheetData>
  <conditionalFormatting sqref="AD1:AD1048576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29"/>
  <sheetViews>
    <sheetView workbookViewId="0">
      <selection activeCell="B1" sqref="B1"/>
    </sheetView>
  </sheetViews>
  <sheetFormatPr defaultRowHeight="15" x14ac:dyDescent="0.25"/>
  <sheetData>
    <row r="1" spans="1:4" x14ac:dyDescent="0.25">
      <c r="A1" t="s">
        <v>0</v>
      </c>
      <c r="B1" t="s">
        <v>34</v>
      </c>
      <c r="C1" t="s">
        <v>33</v>
      </c>
      <c r="D1" t="s">
        <v>32</v>
      </c>
    </row>
    <row r="2" spans="1:4" x14ac:dyDescent="0.25">
      <c r="A2" s="1">
        <v>32295</v>
      </c>
      <c r="B2">
        <v>0</v>
      </c>
      <c r="C2" t="s">
        <v>11</v>
      </c>
      <c r="D2" t="s">
        <v>11</v>
      </c>
    </row>
    <row r="3" spans="1:4" x14ac:dyDescent="0.25">
      <c r="A3" s="1">
        <v>32325</v>
      </c>
      <c r="B3">
        <v>0</v>
      </c>
      <c r="C3" t="s">
        <v>11</v>
      </c>
      <c r="D3" t="s">
        <v>11</v>
      </c>
    </row>
    <row r="4" spans="1:4" x14ac:dyDescent="0.25">
      <c r="A4" s="1">
        <v>32356</v>
      </c>
      <c r="B4">
        <v>0</v>
      </c>
      <c r="C4" t="s">
        <v>11</v>
      </c>
      <c r="D4" t="s">
        <v>11</v>
      </c>
    </row>
    <row r="5" spans="1:4" x14ac:dyDescent="0.25">
      <c r="A5" s="1">
        <v>32387</v>
      </c>
      <c r="B5">
        <v>0</v>
      </c>
      <c r="C5" t="s">
        <v>11</v>
      </c>
      <c r="D5" t="s">
        <v>11</v>
      </c>
    </row>
    <row r="6" spans="1:4" x14ac:dyDescent="0.25">
      <c r="A6" s="1">
        <v>32417</v>
      </c>
      <c r="B6">
        <v>0</v>
      </c>
      <c r="C6" t="s">
        <v>11</v>
      </c>
      <c r="D6" t="s">
        <v>11</v>
      </c>
    </row>
    <row r="7" spans="1:4" x14ac:dyDescent="0.25">
      <c r="A7" s="1">
        <v>32448</v>
      </c>
      <c r="B7">
        <v>0</v>
      </c>
      <c r="C7" t="s">
        <v>11</v>
      </c>
      <c r="D7" t="s">
        <v>11</v>
      </c>
    </row>
    <row r="8" spans="1:4" x14ac:dyDescent="0.25">
      <c r="A8" s="1">
        <v>32478</v>
      </c>
      <c r="B8">
        <v>0</v>
      </c>
      <c r="C8" t="s">
        <v>11</v>
      </c>
      <c r="D8" t="s">
        <v>11</v>
      </c>
    </row>
    <row r="9" spans="1:4" x14ac:dyDescent="0.25">
      <c r="A9" s="1">
        <v>32509</v>
      </c>
      <c r="B9">
        <v>0</v>
      </c>
      <c r="C9" t="s">
        <v>11</v>
      </c>
      <c r="D9" t="s">
        <v>11</v>
      </c>
    </row>
    <row r="10" spans="1:4" x14ac:dyDescent="0.25">
      <c r="A10" s="1">
        <v>32540</v>
      </c>
      <c r="B10">
        <v>0</v>
      </c>
      <c r="C10" t="s">
        <v>11</v>
      </c>
      <c r="D10" t="s">
        <v>11</v>
      </c>
    </row>
    <row r="11" spans="1:4" x14ac:dyDescent="0.25">
      <c r="A11" s="1">
        <v>32568</v>
      </c>
      <c r="B11">
        <v>0</v>
      </c>
      <c r="C11" t="s">
        <v>11</v>
      </c>
      <c r="D11" t="s">
        <v>11</v>
      </c>
    </row>
    <row r="12" spans="1:4" x14ac:dyDescent="0.25">
      <c r="A12" s="1">
        <v>32599</v>
      </c>
      <c r="B12">
        <v>0</v>
      </c>
      <c r="C12" t="s">
        <v>11</v>
      </c>
      <c r="D12" t="s">
        <v>11</v>
      </c>
    </row>
    <row r="13" spans="1:4" x14ac:dyDescent="0.25">
      <c r="A13" s="1">
        <v>32629</v>
      </c>
      <c r="B13">
        <v>0</v>
      </c>
      <c r="C13" t="s">
        <v>11</v>
      </c>
      <c r="D13" t="s">
        <v>11</v>
      </c>
    </row>
    <row r="14" spans="1:4" x14ac:dyDescent="0.25">
      <c r="A14" s="1">
        <v>32660</v>
      </c>
      <c r="B14">
        <v>0</v>
      </c>
      <c r="C14" t="s">
        <v>11</v>
      </c>
      <c r="D14" t="s">
        <v>11</v>
      </c>
    </row>
    <row r="15" spans="1:4" x14ac:dyDescent="0.25">
      <c r="A15" s="1">
        <v>32690</v>
      </c>
      <c r="B15">
        <v>0</v>
      </c>
      <c r="C15" t="s">
        <v>11</v>
      </c>
      <c r="D15" t="s">
        <v>11</v>
      </c>
    </row>
    <row r="16" spans="1:4" x14ac:dyDescent="0.25">
      <c r="A16" s="1">
        <v>32721</v>
      </c>
      <c r="B16">
        <v>0</v>
      </c>
      <c r="C16" t="s">
        <v>11</v>
      </c>
      <c r="D16" t="s">
        <v>11</v>
      </c>
    </row>
    <row r="17" spans="1:4" x14ac:dyDescent="0.25">
      <c r="A17" s="1">
        <v>32752</v>
      </c>
      <c r="B17">
        <v>0</v>
      </c>
      <c r="C17" t="s">
        <v>11</v>
      </c>
      <c r="D17" t="s">
        <v>11</v>
      </c>
    </row>
    <row r="18" spans="1:4" x14ac:dyDescent="0.25">
      <c r="A18" s="1">
        <v>32782</v>
      </c>
      <c r="B18">
        <v>0</v>
      </c>
      <c r="C18" t="s">
        <v>11</v>
      </c>
      <c r="D18" t="s">
        <v>11</v>
      </c>
    </row>
    <row r="19" spans="1:4" x14ac:dyDescent="0.25">
      <c r="A19" s="1">
        <v>32813</v>
      </c>
      <c r="B19">
        <v>0</v>
      </c>
      <c r="C19" t="s">
        <v>11</v>
      </c>
      <c r="D19" t="s">
        <v>11</v>
      </c>
    </row>
    <row r="20" spans="1:4" x14ac:dyDescent="0.25">
      <c r="A20" s="1">
        <v>32843</v>
      </c>
      <c r="B20">
        <v>0</v>
      </c>
      <c r="C20" t="s">
        <v>11</v>
      </c>
      <c r="D20" t="s">
        <v>11</v>
      </c>
    </row>
    <row r="21" spans="1:4" x14ac:dyDescent="0.25">
      <c r="A21" s="1">
        <v>32874</v>
      </c>
      <c r="B21">
        <v>1</v>
      </c>
      <c r="C21" t="s">
        <v>11</v>
      </c>
      <c r="D21" t="s">
        <v>11</v>
      </c>
    </row>
    <row r="22" spans="1:4" x14ac:dyDescent="0.25">
      <c r="A22" s="1">
        <v>32905</v>
      </c>
      <c r="B22">
        <v>1</v>
      </c>
      <c r="C22" t="s">
        <v>11</v>
      </c>
      <c r="D22" t="s">
        <v>11</v>
      </c>
    </row>
    <row r="23" spans="1:4" x14ac:dyDescent="0.25">
      <c r="A23" s="1">
        <v>32933</v>
      </c>
      <c r="B23">
        <v>2</v>
      </c>
      <c r="C23" t="s">
        <v>11</v>
      </c>
      <c r="D23" t="s">
        <v>11</v>
      </c>
    </row>
    <row r="24" spans="1:4" x14ac:dyDescent="0.25">
      <c r="A24" s="1">
        <v>32964</v>
      </c>
      <c r="B24">
        <v>2</v>
      </c>
      <c r="C24" t="s">
        <v>11</v>
      </c>
      <c r="D24" t="s">
        <v>11</v>
      </c>
    </row>
    <row r="25" spans="1:4" x14ac:dyDescent="0.25">
      <c r="A25" s="1">
        <v>32994</v>
      </c>
      <c r="B25">
        <v>2</v>
      </c>
      <c r="C25" t="s">
        <v>11</v>
      </c>
      <c r="D25" t="s">
        <v>11</v>
      </c>
    </row>
    <row r="26" spans="1:4" x14ac:dyDescent="0.25">
      <c r="A26" s="1">
        <v>33025</v>
      </c>
      <c r="B26">
        <v>3</v>
      </c>
      <c r="C26" t="s">
        <v>11</v>
      </c>
      <c r="D26" t="s">
        <v>11</v>
      </c>
    </row>
    <row r="27" spans="1:4" x14ac:dyDescent="0.25">
      <c r="A27" s="1">
        <v>33055</v>
      </c>
      <c r="B27">
        <v>3</v>
      </c>
      <c r="C27" t="s">
        <v>11</v>
      </c>
      <c r="D27" t="s">
        <v>11</v>
      </c>
    </row>
    <row r="28" spans="1:4" x14ac:dyDescent="0.25">
      <c r="A28" s="1">
        <v>33086</v>
      </c>
      <c r="B28">
        <v>3</v>
      </c>
      <c r="C28" t="s">
        <v>11</v>
      </c>
      <c r="D28" t="s">
        <v>11</v>
      </c>
    </row>
    <row r="29" spans="1:4" x14ac:dyDescent="0.25">
      <c r="A29" s="1">
        <v>33117</v>
      </c>
      <c r="B29">
        <v>4</v>
      </c>
      <c r="C29" t="s">
        <v>11</v>
      </c>
      <c r="D29" t="s">
        <v>11</v>
      </c>
    </row>
    <row r="30" spans="1:4" x14ac:dyDescent="0.25">
      <c r="A30" s="1">
        <v>33147</v>
      </c>
      <c r="B30">
        <v>4</v>
      </c>
      <c r="C30" t="s">
        <v>11</v>
      </c>
      <c r="D30" t="s">
        <v>11</v>
      </c>
    </row>
    <row r="31" spans="1:4" x14ac:dyDescent="0.25">
      <c r="A31" s="1">
        <v>33178</v>
      </c>
      <c r="B31">
        <v>5</v>
      </c>
      <c r="C31" t="s">
        <v>11</v>
      </c>
      <c r="D31" t="s">
        <v>11</v>
      </c>
    </row>
    <row r="32" spans="1:4" x14ac:dyDescent="0.25">
      <c r="A32" s="1">
        <v>33208</v>
      </c>
      <c r="B32">
        <v>6</v>
      </c>
      <c r="C32" t="s">
        <v>11</v>
      </c>
      <c r="D32" t="s">
        <v>11</v>
      </c>
    </row>
    <row r="33" spans="1:4" x14ac:dyDescent="0.25">
      <c r="A33" s="1">
        <v>33239</v>
      </c>
      <c r="B33">
        <v>7</v>
      </c>
      <c r="C33" t="s">
        <v>11</v>
      </c>
      <c r="D33" t="s">
        <v>11</v>
      </c>
    </row>
    <row r="34" spans="1:4" x14ac:dyDescent="0.25">
      <c r="A34" s="1">
        <v>33270</v>
      </c>
      <c r="B34">
        <v>8</v>
      </c>
      <c r="C34" t="s">
        <v>11</v>
      </c>
      <c r="D34" t="s">
        <v>11</v>
      </c>
    </row>
    <row r="35" spans="1:4" x14ac:dyDescent="0.25">
      <c r="A35" s="1">
        <v>33298</v>
      </c>
      <c r="B35">
        <v>9</v>
      </c>
      <c r="C35" t="s">
        <v>11</v>
      </c>
      <c r="D35" t="s">
        <v>11</v>
      </c>
    </row>
    <row r="36" spans="1:4" x14ac:dyDescent="0.25">
      <c r="A36" s="1">
        <v>33329</v>
      </c>
      <c r="B36">
        <v>10</v>
      </c>
      <c r="C36" t="s">
        <v>11</v>
      </c>
      <c r="D36" t="s">
        <v>11</v>
      </c>
    </row>
    <row r="37" spans="1:4" x14ac:dyDescent="0.25">
      <c r="A37" s="1">
        <v>33359</v>
      </c>
      <c r="B37">
        <v>11</v>
      </c>
      <c r="C37" t="s">
        <v>11</v>
      </c>
      <c r="D37" t="s">
        <v>11</v>
      </c>
    </row>
    <row r="38" spans="1:4" x14ac:dyDescent="0.25">
      <c r="A38" s="1">
        <v>33390</v>
      </c>
      <c r="B38">
        <v>12</v>
      </c>
      <c r="C38" t="s">
        <v>11</v>
      </c>
      <c r="D38" t="s">
        <v>11</v>
      </c>
    </row>
    <row r="39" spans="1:4" x14ac:dyDescent="0.25">
      <c r="A39" s="1">
        <v>33420</v>
      </c>
      <c r="B39">
        <v>13</v>
      </c>
      <c r="C39" t="s">
        <v>11</v>
      </c>
      <c r="D39" t="s">
        <v>11</v>
      </c>
    </row>
    <row r="40" spans="1:4" x14ac:dyDescent="0.25">
      <c r="A40" s="1">
        <v>33451</v>
      </c>
      <c r="B40">
        <v>15</v>
      </c>
      <c r="C40" t="s">
        <v>11</v>
      </c>
      <c r="D40" t="s">
        <v>11</v>
      </c>
    </row>
    <row r="41" spans="1:4" x14ac:dyDescent="0.25">
      <c r="A41" s="1">
        <v>33482</v>
      </c>
      <c r="B41">
        <v>18</v>
      </c>
      <c r="C41" t="s">
        <v>11</v>
      </c>
      <c r="D41" t="s">
        <v>11</v>
      </c>
    </row>
    <row r="42" spans="1:4" x14ac:dyDescent="0.25">
      <c r="A42" s="1">
        <v>33512</v>
      </c>
      <c r="B42">
        <v>22</v>
      </c>
      <c r="C42" t="s">
        <v>11</v>
      </c>
      <c r="D42" t="s">
        <v>11</v>
      </c>
    </row>
    <row r="43" spans="1:4" x14ac:dyDescent="0.25">
      <c r="A43" s="1">
        <v>33543</v>
      </c>
      <c r="B43">
        <v>28</v>
      </c>
      <c r="C43" t="s">
        <v>11</v>
      </c>
      <c r="D43" t="s">
        <v>11</v>
      </c>
    </row>
    <row r="44" spans="1:4" x14ac:dyDescent="0.25">
      <c r="A44" s="1">
        <v>33573</v>
      </c>
      <c r="B44">
        <v>35</v>
      </c>
      <c r="C44" t="s">
        <v>11</v>
      </c>
      <c r="D44" t="s">
        <v>11</v>
      </c>
    </row>
    <row r="45" spans="1:4" x14ac:dyDescent="0.25">
      <c r="A45" s="1">
        <v>33604</v>
      </c>
      <c r="B45">
        <v>45</v>
      </c>
      <c r="C45" t="s">
        <v>11</v>
      </c>
      <c r="D45" t="s">
        <v>11</v>
      </c>
    </row>
    <row r="46" spans="1:4" x14ac:dyDescent="0.25">
      <c r="A46" s="1">
        <v>33635</v>
      </c>
      <c r="B46">
        <v>56</v>
      </c>
      <c r="C46" t="s">
        <v>11</v>
      </c>
      <c r="D46" t="s">
        <v>11</v>
      </c>
    </row>
    <row r="47" spans="1:4" x14ac:dyDescent="0.25">
      <c r="A47" s="1">
        <v>33664</v>
      </c>
      <c r="B47">
        <v>69</v>
      </c>
      <c r="C47" t="s">
        <v>11</v>
      </c>
      <c r="D47" t="s">
        <v>11</v>
      </c>
    </row>
    <row r="48" spans="1:4" x14ac:dyDescent="0.25">
      <c r="A48" s="1">
        <v>33695</v>
      </c>
      <c r="B48">
        <v>84</v>
      </c>
      <c r="C48" t="s">
        <v>11</v>
      </c>
      <c r="D48" t="s">
        <v>11</v>
      </c>
    </row>
    <row r="49" spans="1:4" x14ac:dyDescent="0.25">
      <c r="A49" s="1">
        <v>33725</v>
      </c>
      <c r="B49">
        <v>103</v>
      </c>
      <c r="C49" t="s">
        <v>11</v>
      </c>
      <c r="D49" t="s">
        <v>11</v>
      </c>
    </row>
    <row r="50" spans="1:4" x14ac:dyDescent="0.25">
      <c r="A50" s="1">
        <v>33756</v>
      </c>
      <c r="B50">
        <v>131</v>
      </c>
      <c r="C50" t="s">
        <v>11</v>
      </c>
      <c r="D50" t="s">
        <v>11</v>
      </c>
    </row>
    <row r="51" spans="1:4" x14ac:dyDescent="0.25">
      <c r="A51" s="1">
        <v>33786</v>
      </c>
      <c r="B51">
        <v>162</v>
      </c>
      <c r="C51" t="s">
        <v>11</v>
      </c>
      <c r="D51" t="s">
        <v>11</v>
      </c>
    </row>
    <row r="52" spans="1:4" x14ac:dyDescent="0.25">
      <c r="A52" s="1">
        <v>33817</v>
      </c>
      <c r="B52">
        <v>202</v>
      </c>
      <c r="C52" t="s">
        <v>11</v>
      </c>
      <c r="D52" t="s">
        <v>11</v>
      </c>
    </row>
    <row r="53" spans="1:4" x14ac:dyDescent="0.25">
      <c r="A53" s="1">
        <v>33848</v>
      </c>
      <c r="B53">
        <v>255</v>
      </c>
      <c r="C53" t="s">
        <v>11</v>
      </c>
      <c r="D53" t="s">
        <v>11</v>
      </c>
    </row>
    <row r="54" spans="1:4" x14ac:dyDescent="0.25">
      <c r="A54" s="1">
        <v>33878</v>
      </c>
      <c r="B54">
        <v>322</v>
      </c>
      <c r="C54" t="s">
        <v>11</v>
      </c>
      <c r="D54" t="s">
        <v>11</v>
      </c>
    </row>
    <row r="55" spans="1:4" x14ac:dyDescent="0.25">
      <c r="A55" s="1">
        <v>33909</v>
      </c>
      <c r="B55">
        <v>409</v>
      </c>
      <c r="C55" t="s">
        <v>11</v>
      </c>
      <c r="D55" t="s">
        <v>11</v>
      </c>
    </row>
    <row r="56" spans="1:4" x14ac:dyDescent="0.25">
      <c r="A56" s="1">
        <v>33939</v>
      </c>
      <c r="B56">
        <v>523</v>
      </c>
      <c r="C56" t="s">
        <v>11</v>
      </c>
      <c r="D56" t="s">
        <v>11</v>
      </c>
    </row>
    <row r="57" spans="1:4" x14ac:dyDescent="0.25">
      <c r="A57" s="1">
        <v>33970</v>
      </c>
      <c r="B57">
        <v>659</v>
      </c>
      <c r="C57" t="s">
        <v>11</v>
      </c>
      <c r="D57" t="s">
        <v>11</v>
      </c>
    </row>
    <row r="58" spans="1:4" x14ac:dyDescent="0.25">
      <c r="A58" s="1">
        <v>34001</v>
      </c>
      <c r="B58">
        <v>843</v>
      </c>
      <c r="C58" t="s">
        <v>11</v>
      </c>
      <c r="D58" t="s">
        <v>11</v>
      </c>
    </row>
    <row r="59" spans="1:4" x14ac:dyDescent="0.25">
      <c r="A59" s="1">
        <v>34029</v>
      </c>
      <c r="B59" s="2">
        <v>1067</v>
      </c>
      <c r="C59" t="s">
        <v>11</v>
      </c>
      <c r="D59" t="s">
        <v>11</v>
      </c>
    </row>
    <row r="60" spans="1:4" x14ac:dyDescent="0.25">
      <c r="A60" s="1">
        <v>34060</v>
      </c>
      <c r="B60" s="2">
        <v>1386</v>
      </c>
      <c r="C60" t="s">
        <v>11</v>
      </c>
      <c r="D60" t="s">
        <v>11</v>
      </c>
    </row>
    <row r="61" spans="1:4" x14ac:dyDescent="0.25">
      <c r="A61" s="1">
        <v>34090</v>
      </c>
      <c r="B61" s="2">
        <v>1838</v>
      </c>
      <c r="C61" t="s">
        <v>11</v>
      </c>
      <c r="D61" t="s">
        <v>11</v>
      </c>
    </row>
    <row r="62" spans="1:4" x14ac:dyDescent="0.25">
      <c r="A62" s="1">
        <v>34121</v>
      </c>
      <c r="B62" s="2">
        <v>2411</v>
      </c>
      <c r="C62" t="s">
        <v>11</v>
      </c>
      <c r="D62" t="s">
        <v>11</v>
      </c>
    </row>
    <row r="63" spans="1:4" x14ac:dyDescent="0.25">
      <c r="A63" s="1">
        <v>34151</v>
      </c>
      <c r="B63" s="2">
        <v>3215</v>
      </c>
      <c r="C63" t="s">
        <v>11</v>
      </c>
      <c r="D63" t="s">
        <v>11</v>
      </c>
    </row>
    <row r="64" spans="1:4" x14ac:dyDescent="0.25">
      <c r="A64" s="1">
        <v>34182</v>
      </c>
      <c r="B64" s="2">
        <v>4348</v>
      </c>
      <c r="C64" t="s">
        <v>11</v>
      </c>
      <c r="D64" t="s">
        <v>11</v>
      </c>
    </row>
    <row r="65" spans="1:4" x14ac:dyDescent="0.25">
      <c r="A65" s="1">
        <v>34213</v>
      </c>
      <c r="B65" s="2">
        <v>5907</v>
      </c>
      <c r="C65" t="s">
        <v>11</v>
      </c>
      <c r="D65" t="s">
        <v>11</v>
      </c>
    </row>
    <row r="66" spans="1:4" x14ac:dyDescent="0.25">
      <c r="A66" s="1">
        <v>34243</v>
      </c>
      <c r="B66" s="2">
        <v>8288</v>
      </c>
      <c r="C66" t="s">
        <v>11</v>
      </c>
      <c r="D66" t="s">
        <v>11</v>
      </c>
    </row>
    <row r="67" spans="1:4" x14ac:dyDescent="0.25">
      <c r="A67" s="1">
        <v>34274</v>
      </c>
      <c r="B67" s="2">
        <v>11427</v>
      </c>
      <c r="C67" t="s">
        <v>11</v>
      </c>
      <c r="D67" t="s">
        <v>11</v>
      </c>
    </row>
    <row r="68" spans="1:4" x14ac:dyDescent="0.25">
      <c r="A68" s="1">
        <v>34304</v>
      </c>
      <c r="B68" s="2">
        <v>15789</v>
      </c>
      <c r="C68" t="s">
        <v>11</v>
      </c>
      <c r="D68" t="s">
        <v>11</v>
      </c>
    </row>
    <row r="69" spans="1:4" x14ac:dyDescent="0.25">
      <c r="A69" s="1">
        <v>34335</v>
      </c>
      <c r="B69" s="2">
        <v>22015</v>
      </c>
      <c r="C69" t="s">
        <v>11</v>
      </c>
      <c r="D69" t="s">
        <v>11</v>
      </c>
    </row>
    <row r="70" spans="1:4" x14ac:dyDescent="0.25">
      <c r="A70" s="1">
        <v>34366</v>
      </c>
      <c r="B70" s="2">
        <v>31619</v>
      </c>
      <c r="C70" t="s">
        <v>11</v>
      </c>
      <c r="D70" t="s">
        <v>11</v>
      </c>
    </row>
    <row r="71" spans="1:4" x14ac:dyDescent="0.25">
      <c r="A71" s="1">
        <v>34394</v>
      </c>
      <c r="B71" s="2">
        <v>45129</v>
      </c>
      <c r="C71" t="s">
        <v>11</v>
      </c>
      <c r="D71" t="s">
        <v>11</v>
      </c>
    </row>
    <row r="72" spans="1:4" x14ac:dyDescent="0.25">
      <c r="A72" s="1">
        <v>34425</v>
      </c>
      <c r="B72" s="2">
        <v>63896</v>
      </c>
      <c r="C72" t="s">
        <v>11</v>
      </c>
      <c r="D72" t="s">
        <v>11</v>
      </c>
    </row>
    <row r="73" spans="1:4" x14ac:dyDescent="0.25">
      <c r="A73" s="1">
        <v>34455</v>
      </c>
      <c r="B73" s="2">
        <v>94895</v>
      </c>
      <c r="C73" t="s">
        <v>11</v>
      </c>
      <c r="D73" t="s">
        <v>11</v>
      </c>
    </row>
    <row r="74" spans="1:4" x14ac:dyDescent="0.25">
      <c r="A74" s="1">
        <v>34486</v>
      </c>
      <c r="B74" s="2">
        <v>140753</v>
      </c>
      <c r="C74" t="s">
        <v>11</v>
      </c>
      <c r="D74" t="s">
        <v>11</v>
      </c>
    </row>
    <row r="75" spans="1:4" x14ac:dyDescent="0.25">
      <c r="A75" s="1">
        <v>34516</v>
      </c>
      <c r="B75" s="2">
        <v>151410</v>
      </c>
      <c r="C75" t="s">
        <v>11</v>
      </c>
      <c r="D75" t="s">
        <v>11</v>
      </c>
    </row>
    <row r="76" spans="1:4" x14ac:dyDescent="0.25">
      <c r="A76" s="1">
        <v>34547</v>
      </c>
      <c r="B76" s="2">
        <v>161528</v>
      </c>
      <c r="C76" t="s">
        <v>11</v>
      </c>
      <c r="D76" t="s">
        <v>11</v>
      </c>
    </row>
    <row r="77" spans="1:4" x14ac:dyDescent="0.25">
      <c r="A77" s="1">
        <v>34578</v>
      </c>
      <c r="B77" s="2">
        <v>170178</v>
      </c>
      <c r="C77" t="s">
        <v>11</v>
      </c>
      <c r="D77" t="s">
        <v>11</v>
      </c>
    </row>
    <row r="78" spans="1:4" x14ac:dyDescent="0.25">
      <c r="A78" s="1">
        <v>34608</v>
      </c>
      <c r="B78" s="2">
        <v>177727</v>
      </c>
      <c r="C78" t="s">
        <v>11</v>
      </c>
      <c r="D78" t="s">
        <v>11</v>
      </c>
    </row>
    <row r="79" spans="1:4" x14ac:dyDescent="0.25">
      <c r="A79" s="1">
        <v>34639</v>
      </c>
      <c r="B79" s="2">
        <v>183928</v>
      </c>
      <c r="C79" t="s">
        <v>11</v>
      </c>
      <c r="D79" t="s">
        <v>11</v>
      </c>
    </row>
    <row r="80" spans="1:4" x14ac:dyDescent="0.25">
      <c r="A80" s="1">
        <v>34669</v>
      </c>
      <c r="B80" s="2">
        <v>186856</v>
      </c>
      <c r="C80" t="s">
        <v>11</v>
      </c>
      <c r="D80" t="s">
        <v>11</v>
      </c>
    </row>
    <row r="81" spans="1:4" x14ac:dyDescent="0.25">
      <c r="A81" s="1">
        <v>34700</v>
      </c>
      <c r="B81" s="2">
        <v>193123</v>
      </c>
      <c r="C81" t="s">
        <v>11</v>
      </c>
      <c r="D81" t="s">
        <v>11</v>
      </c>
    </row>
    <row r="82" spans="1:4" x14ac:dyDescent="0.25">
      <c r="A82" s="1">
        <v>34731</v>
      </c>
      <c r="B82" s="2">
        <v>200569</v>
      </c>
      <c r="C82" t="s">
        <v>11</v>
      </c>
      <c r="D82" t="s">
        <v>11</v>
      </c>
    </row>
    <row r="83" spans="1:4" x14ac:dyDescent="0.25">
      <c r="A83" s="1">
        <v>34759</v>
      </c>
      <c r="B83" s="2">
        <v>207983</v>
      </c>
      <c r="C83" t="s">
        <v>11</v>
      </c>
      <c r="D83" t="s">
        <v>11</v>
      </c>
    </row>
    <row r="84" spans="1:4" x14ac:dyDescent="0.25">
      <c r="A84" s="1">
        <v>34790</v>
      </c>
      <c r="B84" s="2">
        <v>215147</v>
      </c>
      <c r="C84" t="s">
        <v>11</v>
      </c>
      <c r="D84" t="s">
        <v>11</v>
      </c>
    </row>
    <row r="85" spans="1:4" x14ac:dyDescent="0.25">
      <c r="A85" s="1">
        <v>34820</v>
      </c>
      <c r="B85" s="2">
        <v>221882</v>
      </c>
      <c r="C85" t="s">
        <v>11</v>
      </c>
      <c r="D85" t="s">
        <v>11</v>
      </c>
    </row>
    <row r="86" spans="1:4" x14ac:dyDescent="0.25">
      <c r="A86" s="1">
        <v>34851</v>
      </c>
      <c r="B86" s="2">
        <v>226148</v>
      </c>
      <c r="C86" t="s">
        <v>11</v>
      </c>
      <c r="D86" t="s">
        <v>11</v>
      </c>
    </row>
    <row r="87" spans="1:4" x14ac:dyDescent="0.25">
      <c r="A87" s="1">
        <v>34881</v>
      </c>
      <c r="B87" s="2">
        <v>223165</v>
      </c>
      <c r="C87" t="s">
        <v>11</v>
      </c>
      <c r="D87" t="s">
        <v>11</v>
      </c>
    </row>
    <row r="88" spans="1:4" x14ac:dyDescent="0.25">
      <c r="A88" s="1">
        <v>34912</v>
      </c>
      <c r="B88" s="2">
        <v>224534</v>
      </c>
      <c r="C88" t="s">
        <v>11</v>
      </c>
      <c r="D88" t="s">
        <v>11</v>
      </c>
    </row>
    <row r="89" spans="1:4" x14ac:dyDescent="0.25">
      <c r="A89" s="1">
        <v>34943</v>
      </c>
      <c r="B89" s="2">
        <v>229352</v>
      </c>
      <c r="C89" t="s">
        <v>11</v>
      </c>
      <c r="D89" t="s">
        <v>11</v>
      </c>
    </row>
    <row r="90" spans="1:4" x14ac:dyDescent="0.25">
      <c r="A90" s="1">
        <v>34973</v>
      </c>
      <c r="B90" s="2">
        <v>233029</v>
      </c>
      <c r="C90" t="s">
        <v>11</v>
      </c>
      <c r="D90" t="s">
        <v>11</v>
      </c>
    </row>
    <row r="91" spans="1:4" x14ac:dyDescent="0.25">
      <c r="A91" s="1">
        <v>35004</v>
      </c>
      <c r="B91" s="2">
        <v>237909</v>
      </c>
      <c r="C91" t="s">
        <v>11</v>
      </c>
      <c r="D91" t="s">
        <v>11</v>
      </c>
    </row>
    <row r="92" spans="1:4" x14ac:dyDescent="0.25">
      <c r="A92" s="1">
        <v>35034</v>
      </c>
      <c r="B92" s="2">
        <v>238644</v>
      </c>
      <c r="C92" t="s">
        <v>11</v>
      </c>
      <c r="D92" t="s">
        <v>11</v>
      </c>
    </row>
    <row r="93" spans="1:4" x14ac:dyDescent="0.25">
      <c r="A93" s="1">
        <v>35065</v>
      </c>
      <c r="B93" s="2">
        <v>237355</v>
      </c>
      <c r="C93" t="s">
        <v>11</v>
      </c>
      <c r="D93" t="s">
        <v>11</v>
      </c>
    </row>
    <row r="94" spans="1:4" x14ac:dyDescent="0.25">
      <c r="A94" s="1">
        <v>35096</v>
      </c>
      <c r="B94" s="2">
        <v>240545</v>
      </c>
      <c r="C94" t="s">
        <v>11</v>
      </c>
      <c r="D94" t="s">
        <v>11</v>
      </c>
    </row>
    <row r="95" spans="1:4" x14ac:dyDescent="0.25">
      <c r="A95" s="1">
        <v>35125</v>
      </c>
      <c r="B95" s="2">
        <v>244550</v>
      </c>
      <c r="C95" t="s">
        <v>11</v>
      </c>
      <c r="D95" t="s">
        <v>11</v>
      </c>
    </row>
    <row r="96" spans="1:4" x14ac:dyDescent="0.25">
      <c r="A96" s="1">
        <v>35156</v>
      </c>
      <c r="B96" s="2">
        <v>245389</v>
      </c>
      <c r="C96" t="s">
        <v>11</v>
      </c>
      <c r="D96" t="s">
        <v>11</v>
      </c>
    </row>
    <row r="97" spans="1:4" x14ac:dyDescent="0.25">
      <c r="A97" s="1">
        <v>35186</v>
      </c>
      <c r="B97" s="2">
        <v>246296</v>
      </c>
      <c r="C97" t="s">
        <v>11</v>
      </c>
      <c r="D97" t="s">
        <v>11</v>
      </c>
    </row>
    <row r="98" spans="1:4" x14ac:dyDescent="0.25">
      <c r="A98" s="1">
        <v>35217</v>
      </c>
      <c r="B98" s="2">
        <v>247998</v>
      </c>
      <c r="C98" t="s">
        <v>11</v>
      </c>
      <c r="D98" t="s">
        <v>11</v>
      </c>
    </row>
    <row r="99" spans="1:4" x14ac:dyDescent="0.25">
      <c r="A99" s="1">
        <v>35247</v>
      </c>
      <c r="B99" s="2">
        <v>248124</v>
      </c>
      <c r="C99" t="s">
        <v>11</v>
      </c>
      <c r="D99" t="s">
        <v>11</v>
      </c>
    </row>
    <row r="100" spans="1:4" x14ac:dyDescent="0.25">
      <c r="A100" s="1">
        <v>35278</v>
      </c>
      <c r="B100" s="2">
        <v>247309</v>
      </c>
      <c r="C100" t="s">
        <v>11</v>
      </c>
      <c r="D100" t="s">
        <v>11</v>
      </c>
    </row>
    <row r="101" spans="1:4" x14ac:dyDescent="0.25">
      <c r="A101" s="1">
        <v>35309</v>
      </c>
      <c r="B101" s="2">
        <v>248882</v>
      </c>
      <c r="C101" t="s">
        <v>11</v>
      </c>
      <c r="D101" t="s">
        <v>11</v>
      </c>
    </row>
    <row r="102" spans="1:4" x14ac:dyDescent="0.25">
      <c r="A102" s="1">
        <v>35339</v>
      </c>
      <c r="B102" s="2">
        <v>252646</v>
      </c>
      <c r="C102" t="s">
        <v>11</v>
      </c>
      <c r="D102" t="s">
        <v>11</v>
      </c>
    </row>
    <row r="103" spans="1:4" x14ac:dyDescent="0.25">
      <c r="A103" s="1">
        <v>35370</v>
      </c>
      <c r="B103" s="2">
        <v>251760</v>
      </c>
      <c r="C103" t="s">
        <v>11</v>
      </c>
      <c r="D103" t="s">
        <v>11</v>
      </c>
    </row>
    <row r="104" spans="1:4" x14ac:dyDescent="0.25">
      <c r="A104" s="1">
        <v>35400</v>
      </c>
      <c r="B104" s="2">
        <v>252507</v>
      </c>
      <c r="C104" t="s">
        <v>11</v>
      </c>
      <c r="D104" t="s">
        <v>11</v>
      </c>
    </row>
    <row r="105" spans="1:4" x14ac:dyDescent="0.25">
      <c r="A105" s="1">
        <v>35431</v>
      </c>
      <c r="B105" s="2">
        <v>254729</v>
      </c>
      <c r="C105" t="s">
        <v>11</v>
      </c>
      <c r="D105" t="s">
        <v>11</v>
      </c>
    </row>
    <row r="106" spans="1:4" x14ac:dyDescent="0.25">
      <c r="A106" s="1">
        <v>35462</v>
      </c>
      <c r="B106" s="2">
        <v>257380</v>
      </c>
      <c r="C106" t="s">
        <v>11</v>
      </c>
      <c r="D106" t="s">
        <v>11</v>
      </c>
    </row>
    <row r="107" spans="1:4" x14ac:dyDescent="0.25">
      <c r="A107" s="1">
        <v>35490</v>
      </c>
      <c r="B107" s="2">
        <v>259971</v>
      </c>
      <c r="C107" t="s">
        <v>11</v>
      </c>
      <c r="D107" t="s">
        <v>11</v>
      </c>
    </row>
    <row r="108" spans="1:4" x14ac:dyDescent="0.25">
      <c r="A108" s="1">
        <v>35521</v>
      </c>
      <c r="B108" s="2">
        <v>263138</v>
      </c>
      <c r="C108" t="s">
        <v>11</v>
      </c>
      <c r="D108" t="s">
        <v>11</v>
      </c>
    </row>
    <row r="109" spans="1:4" x14ac:dyDescent="0.25">
      <c r="A109" s="1">
        <v>35551</v>
      </c>
      <c r="B109" s="2">
        <v>267567</v>
      </c>
      <c r="C109" t="s">
        <v>11</v>
      </c>
      <c r="D109" t="s">
        <v>11</v>
      </c>
    </row>
    <row r="110" spans="1:4" x14ac:dyDescent="0.25">
      <c r="A110" s="1">
        <v>35582</v>
      </c>
      <c r="B110" s="2">
        <v>272685</v>
      </c>
      <c r="C110" t="s">
        <v>11</v>
      </c>
      <c r="D110" t="s">
        <v>11</v>
      </c>
    </row>
    <row r="111" spans="1:4" x14ac:dyDescent="0.25">
      <c r="A111" s="1">
        <v>35612</v>
      </c>
      <c r="B111" s="2">
        <v>276711</v>
      </c>
      <c r="C111" t="s">
        <v>11</v>
      </c>
      <c r="D111" t="s">
        <v>11</v>
      </c>
    </row>
    <row r="112" spans="1:4" x14ac:dyDescent="0.25">
      <c r="A112" s="1">
        <v>35643</v>
      </c>
      <c r="B112" s="2">
        <v>281114</v>
      </c>
      <c r="C112" t="s">
        <v>11</v>
      </c>
      <c r="D112" t="s">
        <v>11</v>
      </c>
    </row>
    <row r="113" spans="1:4" x14ac:dyDescent="0.25">
      <c r="A113" s="1">
        <v>35674</v>
      </c>
      <c r="B113" s="2">
        <v>285783</v>
      </c>
      <c r="C113" t="s">
        <v>11</v>
      </c>
      <c r="D113" t="s">
        <v>11</v>
      </c>
    </row>
    <row r="114" spans="1:4" x14ac:dyDescent="0.25">
      <c r="A114" s="1">
        <v>35704</v>
      </c>
      <c r="B114" s="2">
        <v>290084</v>
      </c>
      <c r="C114" t="s">
        <v>11</v>
      </c>
      <c r="D114" t="s">
        <v>11</v>
      </c>
    </row>
    <row r="115" spans="1:4" x14ac:dyDescent="0.25">
      <c r="A115" s="1">
        <v>35735</v>
      </c>
      <c r="B115" s="2">
        <v>292603</v>
      </c>
      <c r="C115" t="s">
        <v>11</v>
      </c>
      <c r="D115" t="s">
        <v>11</v>
      </c>
    </row>
    <row r="116" spans="1:4" x14ac:dyDescent="0.25">
      <c r="A116" s="1">
        <v>35765</v>
      </c>
      <c r="B116" s="2">
        <v>259689</v>
      </c>
      <c r="C116" t="s">
        <v>11</v>
      </c>
      <c r="D116" t="s">
        <v>11</v>
      </c>
    </row>
    <row r="117" spans="1:4" x14ac:dyDescent="0.25">
      <c r="A117" s="1">
        <v>35796</v>
      </c>
      <c r="B117" s="2">
        <v>259247</v>
      </c>
      <c r="C117" t="s">
        <v>11</v>
      </c>
      <c r="D117" t="s">
        <v>11</v>
      </c>
    </row>
    <row r="118" spans="1:4" x14ac:dyDescent="0.25">
      <c r="A118" s="1">
        <v>35827</v>
      </c>
      <c r="B118" s="2">
        <v>264561</v>
      </c>
      <c r="C118" t="s">
        <v>11</v>
      </c>
      <c r="D118" t="s">
        <v>11</v>
      </c>
    </row>
    <row r="119" spans="1:4" x14ac:dyDescent="0.25">
      <c r="A119" s="1">
        <v>35855</v>
      </c>
      <c r="B119" s="2">
        <v>264251</v>
      </c>
      <c r="C119" t="s">
        <v>11</v>
      </c>
      <c r="D119" t="s">
        <v>11</v>
      </c>
    </row>
    <row r="120" spans="1:4" x14ac:dyDescent="0.25">
      <c r="A120" s="1">
        <v>35886</v>
      </c>
      <c r="B120" s="2">
        <v>266188</v>
      </c>
      <c r="C120" t="s">
        <v>11</v>
      </c>
      <c r="D120" t="s">
        <v>11</v>
      </c>
    </row>
    <row r="121" spans="1:4" x14ac:dyDescent="0.25">
      <c r="A121" s="1">
        <v>35916</v>
      </c>
      <c r="B121" s="2">
        <v>268014</v>
      </c>
      <c r="C121" t="s">
        <v>11</v>
      </c>
      <c r="D121" t="s">
        <v>11</v>
      </c>
    </row>
    <row r="122" spans="1:4" x14ac:dyDescent="0.25">
      <c r="A122" s="1">
        <v>35947</v>
      </c>
      <c r="B122" s="2">
        <v>267094</v>
      </c>
      <c r="C122" t="s">
        <v>11</v>
      </c>
      <c r="D122" t="s">
        <v>11</v>
      </c>
    </row>
    <row r="123" spans="1:4" x14ac:dyDescent="0.25">
      <c r="A123" s="1">
        <v>35977</v>
      </c>
      <c r="B123" s="2">
        <v>266781</v>
      </c>
      <c r="C123" t="s">
        <v>11</v>
      </c>
      <c r="D123" t="s">
        <v>11</v>
      </c>
    </row>
    <row r="124" spans="1:4" x14ac:dyDescent="0.25">
      <c r="A124" s="1">
        <v>36008</v>
      </c>
      <c r="B124" s="2">
        <v>268189</v>
      </c>
      <c r="C124" t="s">
        <v>11</v>
      </c>
      <c r="D124" t="s">
        <v>11</v>
      </c>
    </row>
    <row r="125" spans="1:4" x14ac:dyDescent="0.25">
      <c r="A125" s="1">
        <v>36039</v>
      </c>
      <c r="B125" s="2">
        <v>271290</v>
      </c>
      <c r="C125" t="s">
        <v>11</v>
      </c>
      <c r="D125" t="s">
        <v>11</v>
      </c>
    </row>
    <row r="126" spans="1:4" x14ac:dyDescent="0.25">
      <c r="A126" s="1">
        <v>36069</v>
      </c>
      <c r="B126" s="2">
        <v>271372</v>
      </c>
      <c r="C126" t="s">
        <v>11</v>
      </c>
      <c r="D126" t="s">
        <v>11</v>
      </c>
    </row>
    <row r="127" spans="1:4" x14ac:dyDescent="0.25">
      <c r="A127" s="1">
        <v>36100</v>
      </c>
      <c r="B127" s="2">
        <v>278754</v>
      </c>
      <c r="C127" t="s">
        <v>11</v>
      </c>
      <c r="D127" t="s">
        <v>11</v>
      </c>
    </row>
    <row r="128" spans="1:4" x14ac:dyDescent="0.25">
      <c r="A128" s="1">
        <v>36130</v>
      </c>
      <c r="B128" s="2">
        <v>276888</v>
      </c>
      <c r="C128" t="s">
        <v>11</v>
      </c>
      <c r="D128" t="s">
        <v>11</v>
      </c>
    </row>
    <row r="129" spans="1:4" x14ac:dyDescent="0.25">
      <c r="A129" s="1">
        <v>36161</v>
      </c>
      <c r="B129" s="2">
        <v>285572</v>
      </c>
      <c r="C129" t="s">
        <v>11</v>
      </c>
      <c r="D129" t="s">
        <v>11</v>
      </c>
    </row>
    <row r="130" spans="1:4" x14ac:dyDescent="0.25">
      <c r="A130" s="1">
        <v>36192</v>
      </c>
      <c r="B130" s="2">
        <v>288519</v>
      </c>
      <c r="C130" t="s">
        <v>11</v>
      </c>
      <c r="D130" t="s">
        <v>11</v>
      </c>
    </row>
    <row r="131" spans="1:4" x14ac:dyDescent="0.25">
      <c r="A131" s="1">
        <v>36220</v>
      </c>
      <c r="B131" s="2">
        <v>281128</v>
      </c>
      <c r="C131" t="s">
        <v>11</v>
      </c>
      <c r="D131" t="s">
        <v>11</v>
      </c>
    </row>
    <row r="132" spans="1:4" x14ac:dyDescent="0.25">
      <c r="A132" s="1">
        <v>36251</v>
      </c>
      <c r="B132" s="2">
        <v>278607</v>
      </c>
      <c r="C132" t="s">
        <v>11</v>
      </c>
      <c r="D132" t="s">
        <v>11</v>
      </c>
    </row>
    <row r="133" spans="1:4" x14ac:dyDescent="0.25">
      <c r="A133" s="1">
        <v>36281</v>
      </c>
      <c r="B133" s="2">
        <v>280168</v>
      </c>
      <c r="C133" t="s">
        <v>11</v>
      </c>
      <c r="D133" t="s">
        <v>11</v>
      </c>
    </row>
    <row r="134" spans="1:4" x14ac:dyDescent="0.25">
      <c r="A134" s="1">
        <v>36312</v>
      </c>
      <c r="B134" s="2">
        <v>280154</v>
      </c>
      <c r="C134" t="s">
        <v>11</v>
      </c>
      <c r="D134" t="s">
        <v>11</v>
      </c>
    </row>
    <row r="135" spans="1:4" x14ac:dyDescent="0.25">
      <c r="A135" s="1">
        <v>36342</v>
      </c>
      <c r="B135" s="2">
        <v>282091</v>
      </c>
      <c r="C135" t="s">
        <v>11</v>
      </c>
      <c r="D135" t="s">
        <v>11</v>
      </c>
    </row>
    <row r="136" spans="1:4" x14ac:dyDescent="0.25">
      <c r="A136" s="1">
        <v>36373</v>
      </c>
      <c r="B136" s="2">
        <v>284365</v>
      </c>
      <c r="C136" t="s">
        <v>11</v>
      </c>
      <c r="D136" t="s">
        <v>11</v>
      </c>
    </row>
    <row r="137" spans="1:4" x14ac:dyDescent="0.25">
      <c r="A137" s="1">
        <v>36404</v>
      </c>
      <c r="B137" s="2">
        <v>287791</v>
      </c>
      <c r="C137" t="s">
        <v>11</v>
      </c>
      <c r="D137" t="s">
        <v>11</v>
      </c>
    </row>
    <row r="138" spans="1:4" x14ac:dyDescent="0.25">
      <c r="A138" s="1">
        <v>36434</v>
      </c>
      <c r="B138" s="2">
        <v>292800</v>
      </c>
      <c r="C138" t="s">
        <v>11</v>
      </c>
      <c r="D138" t="s">
        <v>11</v>
      </c>
    </row>
    <row r="139" spans="1:4" x14ac:dyDescent="0.25">
      <c r="A139" s="1">
        <v>36465</v>
      </c>
      <c r="B139" s="2">
        <v>295824</v>
      </c>
      <c r="C139" t="s">
        <v>11</v>
      </c>
      <c r="D139" t="s">
        <v>11</v>
      </c>
    </row>
    <row r="140" spans="1:4" x14ac:dyDescent="0.25">
      <c r="A140" s="1">
        <v>36495</v>
      </c>
      <c r="B140" s="2">
        <v>288505</v>
      </c>
      <c r="C140" t="s">
        <v>11</v>
      </c>
      <c r="D140" t="s">
        <v>11</v>
      </c>
    </row>
    <row r="141" spans="1:4" x14ac:dyDescent="0.25">
      <c r="A141" s="1">
        <v>36526</v>
      </c>
      <c r="B141" s="2">
        <v>289197</v>
      </c>
      <c r="C141" t="s">
        <v>11</v>
      </c>
      <c r="D141" t="s">
        <v>11</v>
      </c>
    </row>
    <row r="142" spans="1:4" x14ac:dyDescent="0.25">
      <c r="A142" s="1">
        <v>36557</v>
      </c>
      <c r="B142" s="2">
        <v>287573</v>
      </c>
      <c r="C142" t="s">
        <v>11</v>
      </c>
      <c r="D142" t="s">
        <v>11</v>
      </c>
    </row>
    <row r="143" spans="1:4" x14ac:dyDescent="0.25">
      <c r="A143" s="1">
        <v>36586</v>
      </c>
      <c r="B143" s="2">
        <v>286084</v>
      </c>
      <c r="C143" t="s">
        <v>11</v>
      </c>
      <c r="D143" t="s">
        <v>11</v>
      </c>
    </row>
    <row r="144" spans="1:4" x14ac:dyDescent="0.25">
      <c r="A144" s="1">
        <v>36617</v>
      </c>
      <c r="B144" s="2">
        <v>291609</v>
      </c>
      <c r="C144" t="s">
        <v>11</v>
      </c>
      <c r="D144" t="s">
        <v>11</v>
      </c>
    </row>
    <row r="145" spans="1:4" x14ac:dyDescent="0.25">
      <c r="A145" s="1">
        <v>36647</v>
      </c>
      <c r="B145" s="2">
        <v>312232</v>
      </c>
      <c r="C145" t="s">
        <v>11</v>
      </c>
      <c r="D145" t="s">
        <v>11</v>
      </c>
    </row>
    <row r="146" spans="1:4" x14ac:dyDescent="0.25">
      <c r="A146" s="1">
        <v>36678</v>
      </c>
      <c r="B146" s="2">
        <v>307011</v>
      </c>
      <c r="C146" t="s">
        <v>11</v>
      </c>
      <c r="D146" t="s">
        <v>11</v>
      </c>
    </row>
    <row r="147" spans="1:4" x14ac:dyDescent="0.25">
      <c r="A147" s="1">
        <v>36708</v>
      </c>
      <c r="B147" s="2">
        <v>309905</v>
      </c>
      <c r="C147" t="s">
        <v>11</v>
      </c>
      <c r="D147" t="s">
        <v>11</v>
      </c>
    </row>
    <row r="148" spans="1:4" x14ac:dyDescent="0.25">
      <c r="A148" s="1">
        <v>36739</v>
      </c>
      <c r="B148" s="2">
        <v>310257</v>
      </c>
      <c r="C148" t="s">
        <v>11</v>
      </c>
      <c r="D148" t="s">
        <v>11</v>
      </c>
    </row>
    <row r="149" spans="1:4" x14ac:dyDescent="0.25">
      <c r="A149" s="1">
        <v>36770</v>
      </c>
      <c r="B149" s="2">
        <v>308673</v>
      </c>
      <c r="C149" t="s">
        <v>11</v>
      </c>
      <c r="D149" t="s">
        <v>11</v>
      </c>
    </row>
    <row r="150" spans="1:4" x14ac:dyDescent="0.25">
      <c r="A150" s="1">
        <v>36800</v>
      </c>
      <c r="B150" s="2">
        <v>312895</v>
      </c>
      <c r="C150" t="s">
        <v>11</v>
      </c>
      <c r="D150" t="s">
        <v>11</v>
      </c>
    </row>
    <row r="151" spans="1:4" x14ac:dyDescent="0.25">
      <c r="A151" s="1">
        <v>36831</v>
      </c>
      <c r="B151" s="2">
        <v>320782</v>
      </c>
      <c r="C151" t="s">
        <v>11</v>
      </c>
      <c r="D151" t="s">
        <v>11</v>
      </c>
    </row>
    <row r="152" spans="1:4" x14ac:dyDescent="0.25">
      <c r="A152" s="1">
        <v>36861</v>
      </c>
      <c r="B152" s="2">
        <v>326826</v>
      </c>
      <c r="C152" t="s">
        <v>11</v>
      </c>
      <c r="D152" t="s">
        <v>11</v>
      </c>
    </row>
    <row r="153" spans="1:4" x14ac:dyDescent="0.25">
      <c r="A153" s="1">
        <v>36892</v>
      </c>
      <c r="B153" s="2">
        <v>326686</v>
      </c>
      <c r="C153" t="s">
        <v>11</v>
      </c>
      <c r="D153" t="s">
        <v>11</v>
      </c>
    </row>
    <row r="154" spans="1:4" x14ac:dyDescent="0.25">
      <c r="A154" s="1">
        <v>36923</v>
      </c>
      <c r="B154" s="2">
        <v>335278</v>
      </c>
      <c r="C154" t="s">
        <v>11</v>
      </c>
      <c r="D154" t="s">
        <v>11</v>
      </c>
    </row>
    <row r="155" spans="1:4" x14ac:dyDescent="0.25">
      <c r="A155" s="1">
        <v>36951</v>
      </c>
      <c r="B155" s="2">
        <v>343913</v>
      </c>
      <c r="C155" t="s">
        <v>11</v>
      </c>
      <c r="D155" t="s">
        <v>11</v>
      </c>
    </row>
    <row r="156" spans="1:4" x14ac:dyDescent="0.25">
      <c r="A156" s="1">
        <v>36982</v>
      </c>
      <c r="B156" s="2">
        <v>349563</v>
      </c>
      <c r="C156" t="s">
        <v>11</v>
      </c>
      <c r="D156" t="s">
        <v>11</v>
      </c>
    </row>
    <row r="157" spans="1:4" x14ac:dyDescent="0.25">
      <c r="A157" s="1">
        <v>37012</v>
      </c>
      <c r="B157" s="2">
        <v>355931</v>
      </c>
      <c r="C157" t="s">
        <v>11</v>
      </c>
      <c r="D157" t="s">
        <v>11</v>
      </c>
    </row>
    <row r="158" spans="1:4" x14ac:dyDescent="0.25">
      <c r="A158" s="1">
        <v>37043</v>
      </c>
      <c r="B158" s="2">
        <v>319496</v>
      </c>
      <c r="C158" t="s">
        <v>11</v>
      </c>
      <c r="D158" t="s">
        <v>11</v>
      </c>
    </row>
    <row r="159" spans="1:4" x14ac:dyDescent="0.25">
      <c r="A159" s="1">
        <v>37073</v>
      </c>
      <c r="B159" s="2">
        <v>324558</v>
      </c>
      <c r="C159" t="s">
        <v>11</v>
      </c>
      <c r="D159" t="s">
        <v>11</v>
      </c>
    </row>
    <row r="160" spans="1:4" x14ac:dyDescent="0.25">
      <c r="A160" s="1">
        <v>37104</v>
      </c>
      <c r="B160" s="2">
        <v>332145</v>
      </c>
      <c r="C160" t="s">
        <v>11</v>
      </c>
      <c r="D160" t="s">
        <v>11</v>
      </c>
    </row>
    <row r="161" spans="1:4" x14ac:dyDescent="0.25">
      <c r="A161" s="1">
        <v>37135</v>
      </c>
      <c r="B161" s="2">
        <v>340660</v>
      </c>
      <c r="C161" t="s">
        <v>11</v>
      </c>
      <c r="D161" t="s">
        <v>11</v>
      </c>
    </row>
    <row r="162" spans="1:4" x14ac:dyDescent="0.25">
      <c r="A162" s="1">
        <v>37165</v>
      </c>
      <c r="B162" s="2">
        <v>343567</v>
      </c>
      <c r="C162" t="s">
        <v>11</v>
      </c>
      <c r="D162" t="s">
        <v>11</v>
      </c>
    </row>
    <row r="163" spans="1:4" x14ac:dyDescent="0.25">
      <c r="A163" s="1">
        <v>37196</v>
      </c>
      <c r="B163" s="2">
        <v>345008</v>
      </c>
      <c r="C163" t="s">
        <v>11</v>
      </c>
      <c r="D163" t="s">
        <v>11</v>
      </c>
    </row>
    <row r="164" spans="1:4" x14ac:dyDescent="0.25">
      <c r="A164" s="1">
        <v>37226</v>
      </c>
      <c r="B164" s="2">
        <v>336376</v>
      </c>
      <c r="C164" t="s">
        <v>11</v>
      </c>
      <c r="D164" t="s">
        <v>11</v>
      </c>
    </row>
    <row r="165" spans="1:4" x14ac:dyDescent="0.25">
      <c r="A165" s="1">
        <v>37257</v>
      </c>
      <c r="B165" s="2">
        <v>337735</v>
      </c>
      <c r="C165" t="s">
        <v>11</v>
      </c>
      <c r="D165" t="s">
        <v>11</v>
      </c>
    </row>
    <row r="166" spans="1:4" x14ac:dyDescent="0.25">
      <c r="A166" s="1">
        <v>37288</v>
      </c>
      <c r="B166" s="2">
        <v>340040</v>
      </c>
      <c r="C166" t="s">
        <v>11</v>
      </c>
      <c r="D166" t="s">
        <v>11</v>
      </c>
    </row>
    <row r="167" spans="1:4" x14ac:dyDescent="0.25">
      <c r="A167" s="1">
        <v>37316</v>
      </c>
      <c r="B167" s="2">
        <v>341234</v>
      </c>
      <c r="C167" t="s">
        <v>11</v>
      </c>
      <c r="D167" t="s">
        <v>11</v>
      </c>
    </row>
    <row r="168" spans="1:4" x14ac:dyDescent="0.25">
      <c r="A168" s="1">
        <v>37347</v>
      </c>
      <c r="B168" s="2">
        <v>344649</v>
      </c>
      <c r="C168" t="s">
        <v>11</v>
      </c>
      <c r="D168" t="s">
        <v>11</v>
      </c>
    </row>
    <row r="169" spans="1:4" x14ac:dyDescent="0.25">
      <c r="A169" s="1">
        <v>37377</v>
      </c>
      <c r="B169" s="2">
        <v>349678</v>
      </c>
      <c r="C169" t="s">
        <v>11</v>
      </c>
      <c r="D169" t="s">
        <v>11</v>
      </c>
    </row>
    <row r="170" spans="1:4" x14ac:dyDescent="0.25">
      <c r="A170" s="1">
        <v>37408</v>
      </c>
      <c r="B170" s="2">
        <v>357544</v>
      </c>
      <c r="C170" t="s">
        <v>11</v>
      </c>
      <c r="D170" t="s">
        <v>11</v>
      </c>
    </row>
    <row r="171" spans="1:4" x14ac:dyDescent="0.25">
      <c r="A171" s="1">
        <v>37438</v>
      </c>
      <c r="B171" s="2">
        <v>364476</v>
      </c>
      <c r="C171" t="s">
        <v>11</v>
      </c>
      <c r="D171" t="s">
        <v>11</v>
      </c>
    </row>
    <row r="172" spans="1:4" x14ac:dyDescent="0.25">
      <c r="A172" s="1">
        <v>37469</v>
      </c>
      <c r="B172" s="2">
        <v>359768</v>
      </c>
      <c r="C172" t="s">
        <v>11</v>
      </c>
      <c r="D172" t="s">
        <v>11</v>
      </c>
    </row>
    <row r="173" spans="1:4" x14ac:dyDescent="0.25">
      <c r="A173" s="1">
        <v>37500</v>
      </c>
      <c r="B173" s="2">
        <v>381788</v>
      </c>
      <c r="C173" t="s">
        <v>11</v>
      </c>
      <c r="D173" t="s">
        <v>11</v>
      </c>
    </row>
    <row r="174" spans="1:4" x14ac:dyDescent="0.25">
      <c r="A174" s="1">
        <v>37530</v>
      </c>
      <c r="B174" s="2">
        <v>378612</v>
      </c>
      <c r="C174" t="s">
        <v>11</v>
      </c>
      <c r="D174" t="s">
        <v>11</v>
      </c>
    </row>
    <row r="175" spans="1:4" x14ac:dyDescent="0.25">
      <c r="A175" s="1">
        <v>37561</v>
      </c>
      <c r="B175" s="2">
        <v>381846</v>
      </c>
      <c r="C175" t="s">
        <v>11</v>
      </c>
      <c r="D175" t="s">
        <v>11</v>
      </c>
    </row>
    <row r="176" spans="1:4" x14ac:dyDescent="0.25">
      <c r="A176" s="1">
        <v>37591</v>
      </c>
      <c r="B176" s="2">
        <v>384396</v>
      </c>
      <c r="C176" t="s">
        <v>11</v>
      </c>
      <c r="D176" t="s">
        <v>11</v>
      </c>
    </row>
    <row r="177" spans="1:4" x14ac:dyDescent="0.25">
      <c r="A177" s="1">
        <v>37622</v>
      </c>
      <c r="B177" s="2">
        <v>384508</v>
      </c>
      <c r="C177" t="s">
        <v>11</v>
      </c>
      <c r="D177" t="s">
        <v>11</v>
      </c>
    </row>
    <row r="178" spans="1:4" x14ac:dyDescent="0.25">
      <c r="A178" s="1">
        <v>37653</v>
      </c>
      <c r="B178" s="2">
        <v>388320</v>
      </c>
      <c r="C178" t="s">
        <v>11</v>
      </c>
      <c r="D178" t="s">
        <v>11</v>
      </c>
    </row>
    <row r="179" spans="1:4" x14ac:dyDescent="0.25">
      <c r="A179" s="1">
        <v>37681</v>
      </c>
      <c r="B179" s="2">
        <v>386969</v>
      </c>
      <c r="C179" t="s">
        <v>11</v>
      </c>
      <c r="D179" t="s">
        <v>11</v>
      </c>
    </row>
    <row r="180" spans="1:4" x14ac:dyDescent="0.25">
      <c r="A180" s="1">
        <v>37712</v>
      </c>
      <c r="B180" s="2">
        <v>383307</v>
      </c>
      <c r="C180" t="s">
        <v>11</v>
      </c>
      <c r="D180" t="s">
        <v>11</v>
      </c>
    </row>
    <row r="181" spans="1:4" x14ac:dyDescent="0.25">
      <c r="A181" s="1">
        <v>37742</v>
      </c>
      <c r="B181" s="2">
        <v>386300</v>
      </c>
      <c r="C181" t="s">
        <v>11</v>
      </c>
      <c r="D181" t="s">
        <v>11</v>
      </c>
    </row>
    <row r="182" spans="1:4" x14ac:dyDescent="0.25">
      <c r="A182" s="1">
        <v>37773</v>
      </c>
      <c r="B182" s="2">
        <v>388582</v>
      </c>
      <c r="C182" t="s">
        <v>11</v>
      </c>
      <c r="D182" t="s">
        <v>11</v>
      </c>
    </row>
    <row r="183" spans="1:4" x14ac:dyDescent="0.25">
      <c r="A183" s="1">
        <v>37803</v>
      </c>
      <c r="B183" s="2">
        <v>389881</v>
      </c>
      <c r="C183" t="s">
        <v>11</v>
      </c>
      <c r="D183" t="s">
        <v>11</v>
      </c>
    </row>
    <row r="184" spans="1:4" x14ac:dyDescent="0.25">
      <c r="A184" s="1">
        <v>37834</v>
      </c>
      <c r="B184" s="2">
        <v>392427</v>
      </c>
      <c r="C184" t="s">
        <v>11</v>
      </c>
      <c r="D184" t="s">
        <v>11</v>
      </c>
    </row>
    <row r="185" spans="1:4" x14ac:dyDescent="0.25">
      <c r="A185" s="1">
        <v>37865</v>
      </c>
      <c r="B185" s="2">
        <v>397523</v>
      </c>
      <c r="C185" t="s">
        <v>11</v>
      </c>
      <c r="D185" t="s">
        <v>11</v>
      </c>
    </row>
    <row r="186" spans="1:4" x14ac:dyDescent="0.25">
      <c r="A186" s="1">
        <v>37895</v>
      </c>
      <c r="B186" s="2">
        <v>403151</v>
      </c>
      <c r="C186" t="s">
        <v>11</v>
      </c>
      <c r="D186" t="s">
        <v>11</v>
      </c>
    </row>
    <row r="187" spans="1:4" x14ac:dyDescent="0.25">
      <c r="A187" s="1">
        <v>37926</v>
      </c>
      <c r="B187" s="2">
        <v>413115</v>
      </c>
      <c r="C187" t="s">
        <v>11</v>
      </c>
      <c r="D187" t="s">
        <v>11</v>
      </c>
    </row>
    <row r="188" spans="1:4" x14ac:dyDescent="0.25">
      <c r="A188" s="1">
        <v>37956</v>
      </c>
      <c r="B188" s="2">
        <v>418258</v>
      </c>
      <c r="C188" t="s">
        <v>11</v>
      </c>
      <c r="D188" t="s">
        <v>11</v>
      </c>
    </row>
    <row r="189" spans="1:4" x14ac:dyDescent="0.25">
      <c r="A189" s="1">
        <v>37987</v>
      </c>
      <c r="B189" s="2">
        <v>417770</v>
      </c>
      <c r="C189" t="s">
        <v>11</v>
      </c>
      <c r="D189" t="s">
        <v>11</v>
      </c>
    </row>
    <row r="190" spans="1:4" x14ac:dyDescent="0.25">
      <c r="A190" s="1">
        <v>38018</v>
      </c>
      <c r="B190" s="2">
        <v>420849</v>
      </c>
      <c r="C190" t="s">
        <v>11</v>
      </c>
      <c r="D190" t="s">
        <v>11</v>
      </c>
    </row>
    <row r="191" spans="1:4" x14ac:dyDescent="0.25">
      <c r="A191" s="1">
        <v>38047</v>
      </c>
      <c r="B191" s="2">
        <v>423347</v>
      </c>
      <c r="C191" t="s">
        <v>11</v>
      </c>
      <c r="D191" t="s">
        <v>11</v>
      </c>
    </row>
    <row r="192" spans="1:4" x14ac:dyDescent="0.25">
      <c r="A192" s="1">
        <v>38078</v>
      </c>
      <c r="B192" s="2">
        <v>435554</v>
      </c>
      <c r="C192" t="s">
        <v>11</v>
      </c>
      <c r="D192" t="s">
        <v>11</v>
      </c>
    </row>
    <row r="193" spans="1:4" x14ac:dyDescent="0.25">
      <c r="A193" s="1">
        <v>38108</v>
      </c>
      <c r="B193" s="2">
        <v>445864</v>
      </c>
      <c r="C193" t="s">
        <v>11</v>
      </c>
      <c r="D193" t="s">
        <v>11</v>
      </c>
    </row>
    <row r="194" spans="1:4" x14ac:dyDescent="0.25">
      <c r="A194" s="1">
        <v>38139</v>
      </c>
      <c r="B194" s="2">
        <v>452933</v>
      </c>
      <c r="C194" t="s">
        <v>11</v>
      </c>
      <c r="D194" t="s">
        <v>11</v>
      </c>
    </row>
    <row r="195" spans="1:4" x14ac:dyDescent="0.25">
      <c r="A195" s="1">
        <v>38169</v>
      </c>
      <c r="B195" s="2">
        <v>457302</v>
      </c>
      <c r="C195" t="s">
        <v>11</v>
      </c>
      <c r="D195" t="s">
        <v>11</v>
      </c>
    </row>
    <row r="196" spans="1:4" x14ac:dyDescent="0.25">
      <c r="A196" s="1">
        <v>38200</v>
      </c>
      <c r="B196" s="2">
        <v>464457</v>
      </c>
      <c r="C196" t="s">
        <v>11</v>
      </c>
      <c r="D196" t="s">
        <v>11</v>
      </c>
    </row>
    <row r="197" spans="1:4" x14ac:dyDescent="0.25">
      <c r="A197" s="1">
        <v>38231</v>
      </c>
      <c r="B197" s="2">
        <v>473707</v>
      </c>
      <c r="C197" t="s">
        <v>11</v>
      </c>
      <c r="D197" t="s">
        <v>11</v>
      </c>
    </row>
    <row r="198" spans="1:4" x14ac:dyDescent="0.25">
      <c r="A198" s="1">
        <v>38261</v>
      </c>
      <c r="B198" s="2">
        <v>487245</v>
      </c>
      <c r="C198" t="s">
        <v>11</v>
      </c>
      <c r="D198" t="s">
        <v>11</v>
      </c>
    </row>
    <row r="199" spans="1:4" x14ac:dyDescent="0.25">
      <c r="A199" s="1">
        <v>38292</v>
      </c>
      <c r="B199" s="2">
        <v>493284</v>
      </c>
      <c r="C199" t="s">
        <v>11</v>
      </c>
      <c r="D199" t="s">
        <v>11</v>
      </c>
    </row>
    <row r="200" spans="1:4" x14ac:dyDescent="0.25">
      <c r="A200" s="1">
        <v>38322</v>
      </c>
      <c r="B200" s="2">
        <v>498722</v>
      </c>
      <c r="C200" t="s">
        <v>11</v>
      </c>
      <c r="D200" t="s">
        <v>11</v>
      </c>
    </row>
    <row r="201" spans="1:4" x14ac:dyDescent="0.25">
      <c r="A201" s="1">
        <v>38353</v>
      </c>
      <c r="B201" s="2">
        <v>505701</v>
      </c>
      <c r="C201" t="s">
        <v>11</v>
      </c>
      <c r="D201" t="s">
        <v>11</v>
      </c>
    </row>
    <row r="202" spans="1:4" x14ac:dyDescent="0.25">
      <c r="A202" s="1">
        <v>38384</v>
      </c>
      <c r="B202" s="2">
        <v>511638</v>
      </c>
      <c r="C202" t="s">
        <v>11</v>
      </c>
      <c r="D202" t="s">
        <v>11</v>
      </c>
    </row>
    <row r="203" spans="1:4" x14ac:dyDescent="0.25">
      <c r="A203" s="1">
        <v>38412</v>
      </c>
      <c r="B203" s="2">
        <v>520285</v>
      </c>
      <c r="C203" t="s">
        <v>11</v>
      </c>
      <c r="D203" t="s">
        <v>11</v>
      </c>
    </row>
    <row r="204" spans="1:4" x14ac:dyDescent="0.25">
      <c r="A204" s="1">
        <v>38443</v>
      </c>
      <c r="B204" s="2">
        <v>530000</v>
      </c>
      <c r="C204" t="s">
        <v>11</v>
      </c>
      <c r="D204" t="s">
        <v>11</v>
      </c>
    </row>
    <row r="205" spans="1:4" x14ac:dyDescent="0.25">
      <c r="A205" s="1">
        <v>38473</v>
      </c>
      <c r="B205" s="2">
        <v>533930</v>
      </c>
      <c r="C205" t="s">
        <v>11</v>
      </c>
      <c r="D205" t="s">
        <v>11</v>
      </c>
    </row>
    <row r="206" spans="1:4" x14ac:dyDescent="0.25">
      <c r="A206" s="1">
        <v>38504</v>
      </c>
      <c r="B206" s="2">
        <v>541320</v>
      </c>
      <c r="C206" t="s">
        <v>11</v>
      </c>
      <c r="D206" t="s">
        <v>11</v>
      </c>
    </row>
    <row r="207" spans="1:4" x14ac:dyDescent="0.25">
      <c r="A207" s="1">
        <v>38534</v>
      </c>
      <c r="B207" s="2">
        <v>548819</v>
      </c>
      <c r="C207" t="s">
        <v>11</v>
      </c>
      <c r="D207" t="s">
        <v>11</v>
      </c>
    </row>
    <row r="208" spans="1:4" x14ac:dyDescent="0.25">
      <c r="A208" s="1">
        <v>38565</v>
      </c>
      <c r="B208" s="2">
        <v>557835</v>
      </c>
      <c r="C208" t="s">
        <v>11</v>
      </c>
      <c r="D208" t="s">
        <v>11</v>
      </c>
    </row>
    <row r="209" spans="1:4" x14ac:dyDescent="0.25">
      <c r="A209" s="1">
        <v>38596</v>
      </c>
      <c r="B209" s="2">
        <v>564357</v>
      </c>
      <c r="C209" t="s">
        <v>11</v>
      </c>
      <c r="D209" t="s">
        <v>11</v>
      </c>
    </row>
    <row r="210" spans="1:4" x14ac:dyDescent="0.25">
      <c r="A210" s="1">
        <v>38626</v>
      </c>
      <c r="B210" s="2">
        <v>575972</v>
      </c>
      <c r="C210" t="s">
        <v>11</v>
      </c>
      <c r="D210" t="s">
        <v>11</v>
      </c>
    </row>
    <row r="211" spans="1:4" x14ac:dyDescent="0.25">
      <c r="A211" s="1">
        <v>38657</v>
      </c>
      <c r="B211" s="2">
        <v>590126</v>
      </c>
      <c r="C211" t="s">
        <v>11</v>
      </c>
      <c r="D211" t="s">
        <v>11</v>
      </c>
    </row>
    <row r="212" spans="1:4" x14ac:dyDescent="0.25">
      <c r="A212" s="1">
        <v>38687</v>
      </c>
      <c r="B212" s="2">
        <v>607023</v>
      </c>
      <c r="C212" t="s">
        <v>11</v>
      </c>
      <c r="D212" t="s">
        <v>11</v>
      </c>
    </row>
    <row r="213" spans="1:4" x14ac:dyDescent="0.25">
      <c r="A213" s="1">
        <v>38718</v>
      </c>
      <c r="B213" s="2">
        <v>608729</v>
      </c>
      <c r="C213" t="s">
        <v>11</v>
      </c>
      <c r="D213" t="s">
        <v>11</v>
      </c>
    </row>
    <row r="214" spans="1:4" x14ac:dyDescent="0.25">
      <c r="A214" s="1">
        <v>38749</v>
      </c>
      <c r="B214" s="2">
        <v>615673</v>
      </c>
      <c r="C214" t="s">
        <v>11</v>
      </c>
      <c r="D214" t="s">
        <v>11</v>
      </c>
    </row>
    <row r="215" spans="1:4" x14ac:dyDescent="0.25">
      <c r="A215" s="1">
        <v>38777</v>
      </c>
      <c r="B215" s="2">
        <v>625790</v>
      </c>
      <c r="C215" t="s">
        <v>11</v>
      </c>
      <c r="D215" t="s">
        <v>11</v>
      </c>
    </row>
    <row r="216" spans="1:4" x14ac:dyDescent="0.25">
      <c r="A216" s="1">
        <v>38808</v>
      </c>
      <c r="B216" s="2">
        <v>637440</v>
      </c>
      <c r="C216" t="s">
        <v>11</v>
      </c>
      <c r="D216" t="s">
        <v>11</v>
      </c>
    </row>
    <row r="217" spans="1:4" x14ac:dyDescent="0.25">
      <c r="A217" s="1">
        <v>38838</v>
      </c>
      <c r="B217" s="2">
        <v>654129</v>
      </c>
      <c r="C217" t="s">
        <v>11</v>
      </c>
      <c r="D217" t="s">
        <v>11</v>
      </c>
    </row>
    <row r="218" spans="1:4" x14ac:dyDescent="0.25">
      <c r="A218" s="1">
        <v>38869</v>
      </c>
      <c r="B218" s="2">
        <v>658510</v>
      </c>
      <c r="C218" t="s">
        <v>11</v>
      </c>
      <c r="D218" t="s">
        <v>11</v>
      </c>
    </row>
    <row r="219" spans="1:4" x14ac:dyDescent="0.25">
      <c r="A219" s="1">
        <v>38899</v>
      </c>
      <c r="B219" s="2">
        <v>669514</v>
      </c>
      <c r="C219" t="s">
        <v>11</v>
      </c>
      <c r="D219" t="s">
        <v>11</v>
      </c>
    </row>
    <row r="220" spans="1:4" x14ac:dyDescent="0.25">
      <c r="A220" s="1">
        <v>38930</v>
      </c>
      <c r="B220" s="2">
        <v>674302</v>
      </c>
      <c r="C220" t="s">
        <v>11</v>
      </c>
      <c r="D220" t="s">
        <v>11</v>
      </c>
    </row>
    <row r="221" spans="1:4" x14ac:dyDescent="0.25">
      <c r="A221" s="1">
        <v>38961</v>
      </c>
      <c r="B221" s="2">
        <v>684392</v>
      </c>
      <c r="C221" t="s">
        <v>11</v>
      </c>
      <c r="D221" t="s">
        <v>11</v>
      </c>
    </row>
    <row r="222" spans="1:4" x14ac:dyDescent="0.25">
      <c r="A222" s="1">
        <v>38991</v>
      </c>
      <c r="B222" s="2">
        <v>697581</v>
      </c>
      <c r="C222" t="s">
        <v>11</v>
      </c>
      <c r="D222" t="s">
        <v>11</v>
      </c>
    </row>
    <row r="223" spans="1:4" x14ac:dyDescent="0.25">
      <c r="A223" s="1">
        <v>39022</v>
      </c>
      <c r="B223" s="2">
        <v>717045</v>
      </c>
      <c r="C223" t="s">
        <v>11</v>
      </c>
      <c r="D223" t="s">
        <v>11</v>
      </c>
    </row>
    <row r="224" spans="1:4" x14ac:dyDescent="0.25">
      <c r="A224" s="1">
        <v>39052</v>
      </c>
      <c r="B224" s="2">
        <v>732590</v>
      </c>
      <c r="C224" t="s">
        <v>11</v>
      </c>
      <c r="D224" t="s">
        <v>11</v>
      </c>
    </row>
    <row r="225" spans="1:4" x14ac:dyDescent="0.25">
      <c r="A225" s="1">
        <v>39083</v>
      </c>
      <c r="B225" s="2">
        <v>738456</v>
      </c>
      <c r="C225" t="s">
        <v>11</v>
      </c>
      <c r="D225" t="s">
        <v>11</v>
      </c>
    </row>
    <row r="226" spans="1:4" x14ac:dyDescent="0.25">
      <c r="A226" s="1">
        <v>39114</v>
      </c>
      <c r="B226" s="2">
        <v>748518</v>
      </c>
      <c r="C226" t="s">
        <v>11</v>
      </c>
      <c r="D226" t="s">
        <v>11</v>
      </c>
    </row>
    <row r="227" spans="1:4" x14ac:dyDescent="0.25">
      <c r="A227" s="1">
        <v>39142</v>
      </c>
      <c r="B227" s="2">
        <v>762353</v>
      </c>
      <c r="C227" s="2">
        <v>413952</v>
      </c>
      <c r="D227" s="2">
        <v>348401</v>
      </c>
    </row>
    <row r="228" spans="1:4" x14ac:dyDescent="0.25">
      <c r="A228" s="1">
        <v>39173</v>
      </c>
      <c r="B228" s="2">
        <v>781888</v>
      </c>
      <c r="C228" s="2">
        <v>424836</v>
      </c>
      <c r="D228" s="2">
        <v>357052</v>
      </c>
    </row>
    <row r="229" spans="1:4" x14ac:dyDescent="0.25">
      <c r="A229" s="1">
        <v>39203</v>
      </c>
      <c r="B229" s="2">
        <v>793133</v>
      </c>
      <c r="C229" s="2">
        <v>425838</v>
      </c>
      <c r="D229" s="2">
        <v>367295</v>
      </c>
    </row>
    <row r="230" spans="1:4" x14ac:dyDescent="0.25">
      <c r="A230" s="1">
        <v>39234</v>
      </c>
      <c r="B230" s="2">
        <v>805488</v>
      </c>
      <c r="C230" s="2">
        <v>430511</v>
      </c>
      <c r="D230" s="2">
        <v>374977</v>
      </c>
    </row>
    <row r="231" spans="1:4" x14ac:dyDescent="0.25">
      <c r="A231" s="1">
        <v>39264</v>
      </c>
      <c r="B231" s="2">
        <v>824442</v>
      </c>
      <c r="C231" s="2">
        <v>439052</v>
      </c>
      <c r="D231" s="2">
        <v>385390</v>
      </c>
    </row>
    <row r="232" spans="1:4" x14ac:dyDescent="0.25">
      <c r="A232" s="1">
        <v>39295</v>
      </c>
      <c r="B232" s="2">
        <v>849829</v>
      </c>
      <c r="C232" s="2">
        <v>456966</v>
      </c>
      <c r="D232" s="2">
        <v>392862</v>
      </c>
    </row>
    <row r="233" spans="1:4" x14ac:dyDescent="0.25">
      <c r="A233" s="1">
        <v>39326</v>
      </c>
      <c r="B233" s="2">
        <v>865511</v>
      </c>
      <c r="C233" s="2">
        <v>464106</v>
      </c>
      <c r="D233" s="2">
        <v>401403</v>
      </c>
    </row>
    <row r="234" spans="1:4" x14ac:dyDescent="0.25">
      <c r="A234" s="1">
        <v>39356</v>
      </c>
      <c r="B234" s="2">
        <v>889035</v>
      </c>
      <c r="C234" s="2">
        <v>475254</v>
      </c>
      <c r="D234" s="2">
        <v>413781</v>
      </c>
    </row>
    <row r="235" spans="1:4" x14ac:dyDescent="0.25">
      <c r="A235" s="1">
        <v>39387</v>
      </c>
      <c r="B235" s="2">
        <v>918815</v>
      </c>
      <c r="C235" s="2">
        <v>494849</v>
      </c>
      <c r="D235" s="2">
        <v>423966</v>
      </c>
    </row>
    <row r="236" spans="1:4" x14ac:dyDescent="0.25">
      <c r="A236" s="1">
        <v>39417</v>
      </c>
      <c r="B236" s="2">
        <v>943922</v>
      </c>
      <c r="C236" s="2">
        <v>512056</v>
      </c>
      <c r="D236" s="2">
        <v>431865</v>
      </c>
    </row>
    <row r="237" spans="1:4" x14ac:dyDescent="0.25">
      <c r="A237" s="1">
        <v>39448</v>
      </c>
      <c r="B237" s="2">
        <v>953413</v>
      </c>
      <c r="C237" s="2">
        <v>513560</v>
      </c>
      <c r="D237" s="2">
        <v>439854</v>
      </c>
    </row>
    <row r="238" spans="1:4" x14ac:dyDescent="0.25">
      <c r="A238" s="1">
        <v>39479</v>
      </c>
      <c r="B238" s="2">
        <v>967443</v>
      </c>
      <c r="C238" s="2">
        <v>522260</v>
      </c>
      <c r="D238" s="2">
        <v>445183</v>
      </c>
    </row>
    <row r="239" spans="1:4" x14ac:dyDescent="0.25">
      <c r="A239" s="1">
        <v>39508</v>
      </c>
      <c r="B239" s="2">
        <v>1001598</v>
      </c>
      <c r="C239" s="2">
        <v>544862</v>
      </c>
      <c r="D239" s="2">
        <v>456737</v>
      </c>
    </row>
    <row r="240" spans="1:4" x14ac:dyDescent="0.25">
      <c r="A240" s="1">
        <v>39539</v>
      </c>
      <c r="B240" s="2">
        <v>1026847</v>
      </c>
      <c r="C240" s="2">
        <v>557409</v>
      </c>
      <c r="D240" s="2">
        <v>469437</v>
      </c>
    </row>
    <row r="241" spans="1:4" x14ac:dyDescent="0.25">
      <c r="A241" s="1">
        <v>39569</v>
      </c>
      <c r="B241" s="2">
        <v>1053889</v>
      </c>
      <c r="C241" s="2">
        <v>572822</v>
      </c>
      <c r="D241" s="2">
        <v>481067</v>
      </c>
    </row>
    <row r="242" spans="1:4" x14ac:dyDescent="0.25">
      <c r="A242" s="1">
        <v>39600</v>
      </c>
      <c r="B242" s="2">
        <v>1076833</v>
      </c>
      <c r="C242" s="2">
        <v>587334</v>
      </c>
      <c r="D242" s="2">
        <v>489499</v>
      </c>
    </row>
    <row r="243" spans="1:4" x14ac:dyDescent="0.25">
      <c r="A243" s="1">
        <v>39630</v>
      </c>
      <c r="B243" s="2">
        <v>1094368</v>
      </c>
      <c r="C243" s="2">
        <v>598386</v>
      </c>
      <c r="D243" s="2">
        <v>495983</v>
      </c>
    </row>
    <row r="244" spans="1:4" x14ac:dyDescent="0.25">
      <c r="A244" s="1">
        <v>39661</v>
      </c>
      <c r="B244" s="2">
        <v>1119457</v>
      </c>
      <c r="C244" s="2">
        <v>615495</v>
      </c>
      <c r="D244" s="2">
        <v>503962</v>
      </c>
    </row>
    <row r="245" spans="1:4" x14ac:dyDescent="0.25">
      <c r="A245" s="1">
        <v>39692</v>
      </c>
      <c r="B245" s="2">
        <v>1160687</v>
      </c>
      <c r="C245" s="2">
        <v>646485</v>
      </c>
      <c r="D245" s="2">
        <v>514202</v>
      </c>
    </row>
    <row r="246" spans="1:4" x14ac:dyDescent="0.25">
      <c r="A246" s="1">
        <v>39722</v>
      </c>
      <c r="B246" s="2">
        <v>1193073</v>
      </c>
      <c r="C246" s="2">
        <v>668184</v>
      </c>
      <c r="D246" s="2">
        <v>524889</v>
      </c>
    </row>
    <row r="247" spans="1:4" x14ac:dyDescent="0.25">
      <c r="A247" s="1">
        <v>39753</v>
      </c>
      <c r="B247" s="2">
        <v>1215779</v>
      </c>
      <c r="C247" s="2">
        <v>688358</v>
      </c>
      <c r="D247" s="2">
        <v>527421</v>
      </c>
    </row>
    <row r="248" spans="1:4" x14ac:dyDescent="0.25">
      <c r="A248" s="1">
        <v>39783</v>
      </c>
      <c r="B248" s="2">
        <v>1233987</v>
      </c>
      <c r="C248" s="2">
        <v>699775</v>
      </c>
      <c r="D248" s="2">
        <v>534213</v>
      </c>
    </row>
    <row r="249" spans="1:4" x14ac:dyDescent="0.25">
      <c r="A249" s="1">
        <v>39814</v>
      </c>
      <c r="B249" s="2">
        <v>1235244</v>
      </c>
      <c r="C249" s="2">
        <v>698197</v>
      </c>
      <c r="D249" s="2">
        <v>537046</v>
      </c>
    </row>
    <row r="250" spans="1:4" x14ac:dyDescent="0.25">
      <c r="A250" s="1">
        <v>39845</v>
      </c>
      <c r="B250" s="2">
        <v>1234825</v>
      </c>
      <c r="C250" s="2">
        <v>698600</v>
      </c>
      <c r="D250" s="2">
        <v>536225</v>
      </c>
    </row>
    <row r="251" spans="1:4" x14ac:dyDescent="0.25">
      <c r="A251" s="1">
        <v>39873</v>
      </c>
      <c r="B251" s="2">
        <v>1248303</v>
      </c>
      <c r="C251" s="2">
        <v>705416</v>
      </c>
      <c r="D251" s="2">
        <v>542887</v>
      </c>
    </row>
    <row r="252" spans="1:4" x14ac:dyDescent="0.25">
      <c r="A252" s="1">
        <v>39904</v>
      </c>
      <c r="B252" s="2">
        <v>1254564</v>
      </c>
      <c r="C252" s="2">
        <v>703231</v>
      </c>
      <c r="D252" s="2">
        <v>551333</v>
      </c>
    </row>
    <row r="253" spans="1:4" x14ac:dyDescent="0.25">
      <c r="A253" s="1">
        <v>39934</v>
      </c>
      <c r="B253" s="2">
        <v>1266918</v>
      </c>
      <c r="C253" s="2">
        <v>703135</v>
      </c>
      <c r="D253" s="2">
        <v>563782</v>
      </c>
    </row>
    <row r="254" spans="1:4" x14ac:dyDescent="0.25">
      <c r="A254" s="1">
        <v>39965</v>
      </c>
      <c r="B254" s="2">
        <v>1282923</v>
      </c>
      <c r="C254" s="2">
        <v>709695</v>
      </c>
      <c r="D254" s="2">
        <v>573227</v>
      </c>
    </row>
    <row r="255" spans="1:4" x14ac:dyDescent="0.25">
      <c r="A255" s="1">
        <v>39995</v>
      </c>
      <c r="B255" s="2">
        <v>1313534</v>
      </c>
      <c r="C255" s="2">
        <v>734148</v>
      </c>
      <c r="D255" s="2">
        <v>579386</v>
      </c>
    </row>
    <row r="256" spans="1:4" x14ac:dyDescent="0.25">
      <c r="A256" s="1">
        <v>40026</v>
      </c>
      <c r="B256" s="2">
        <v>1333320</v>
      </c>
      <c r="C256" s="2">
        <v>744780</v>
      </c>
      <c r="D256" s="2">
        <v>588539</v>
      </c>
    </row>
    <row r="257" spans="1:4" x14ac:dyDescent="0.25">
      <c r="A257" s="1">
        <v>40057</v>
      </c>
      <c r="B257" s="2">
        <v>1353111</v>
      </c>
      <c r="C257" s="2">
        <v>753080</v>
      </c>
      <c r="D257" s="2">
        <v>600032</v>
      </c>
    </row>
    <row r="258" spans="1:4" x14ac:dyDescent="0.25">
      <c r="A258" s="1">
        <v>40087</v>
      </c>
      <c r="B258" s="2">
        <v>1372244</v>
      </c>
      <c r="C258" s="2">
        <v>763694</v>
      </c>
      <c r="D258" s="2">
        <v>608549</v>
      </c>
    </row>
    <row r="259" spans="1:4" x14ac:dyDescent="0.25">
      <c r="A259" s="1">
        <v>40118</v>
      </c>
      <c r="B259" s="2">
        <v>1392918</v>
      </c>
      <c r="C259" s="2">
        <v>777239</v>
      </c>
      <c r="D259" s="2">
        <v>615678</v>
      </c>
    </row>
    <row r="260" spans="1:4" x14ac:dyDescent="0.25">
      <c r="A260" s="1">
        <v>40148</v>
      </c>
      <c r="B260" s="2">
        <v>1420515</v>
      </c>
      <c r="C260" s="2">
        <v>793960</v>
      </c>
      <c r="D260" s="2">
        <v>626556</v>
      </c>
    </row>
    <row r="261" spans="1:4" x14ac:dyDescent="0.25">
      <c r="A261" s="1">
        <v>40179</v>
      </c>
      <c r="B261" s="2">
        <v>1430550</v>
      </c>
      <c r="C261" s="2">
        <v>794589</v>
      </c>
      <c r="D261" s="2">
        <v>635960</v>
      </c>
    </row>
    <row r="262" spans="1:4" x14ac:dyDescent="0.25">
      <c r="A262" s="1">
        <v>40210</v>
      </c>
      <c r="B262" s="2">
        <v>1441519</v>
      </c>
      <c r="C262" s="2">
        <v>799320</v>
      </c>
      <c r="D262" s="2">
        <v>642199</v>
      </c>
    </row>
    <row r="263" spans="1:4" x14ac:dyDescent="0.25">
      <c r="A263" s="1">
        <v>40238</v>
      </c>
      <c r="B263" s="2">
        <v>1458091</v>
      </c>
      <c r="C263" s="2">
        <v>803921</v>
      </c>
      <c r="D263" s="2">
        <v>654170</v>
      </c>
    </row>
    <row r="264" spans="1:4" x14ac:dyDescent="0.25">
      <c r="A264" s="1">
        <v>40269</v>
      </c>
      <c r="B264" s="2">
        <v>1474310</v>
      </c>
      <c r="C264" s="2">
        <v>810261</v>
      </c>
      <c r="D264" s="2">
        <v>664048</v>
      </c>
    </row>
    <row r="265" spans="1:4" x14ac:dyDescent="0.25">
      <c r="A265" s="1">
        <v>40299</v>
      </c>
      <c r="B265" s="2">
        <v>1505517</v>
      </c>
      <c r="C265" s="2">
        <v>827703</v>
      </c>
      <c r="D265" s="2">
        <v>677815</v>
      </c>
    </row>
    <row r="266" spans="1:4" x14ac:dyDescent="0.25">
      <c r="A266" s="1">
        <v>40330</v>
      </c>
      <c r="B266" s="2">
        <v>1536422</v>
      </c>
      <c r="C266" s="2">
        <v>850742</v>
      </c>
      <c r="D266" s="2">
        <v>685682</v>
      </c>
    </row>
    <row r="267" spans="1:4" x14ac:dyDescent="0.25">
      <c r="A267" s="1">
        <v>40360</v>
      </c>
      <c r="B267" s="2">
        <v>1556280</v>
      </c>
      <c r="C267" s="2">
        <v>856268</v>
      </c>
      <c r="D267" s="2">
        <v>700012</v>
      </c>
    </row>
    <row r="268" spans="1:4" x14ac:dyDescent="0.25">
      <c r="A268" s="1">
        <v>40391</v>
      </c>
      <c r="B268" s="2">
        <v>1589856</v>
      </c>
      <c r="C268" s="2">
        <v>876241</v>
      </c>
      <c r="D268" s="2">
        <v>713615</v>
      </c>
    </row>
    <row r="269" spans="1:4" x14ac:dyDescent="0.25">
      <c r="A269" s="1">
        <v>40422</v>
      </c>
      <c r="B269" s="2">
        <v>1621541</v>
      </c>
      <c r="C269" s="2">
        <v>894120</v>
      </c>
      <c r="D269" s="2">
        <v>727421</v>
      </c>
    </row>
    <row r="270" spans="1:4" x14ac:dyDescent="0.25">
      <c r="A270" s="1">
        <v>40452</v>
      </c>
      <c r="B270" s="2">
        <v>1651813</v>
      </c>
      <c r="C270" s="2">
        <v>910493</v>
      </c>
      <c r="D270" s="2">
        <v>741319</v>
      </c>
    </row>
    <row r="271" spans="1:4" x14ac:dyDescent="0.25">
      <c r="A271" s="1">
        <v>40483</v>
      </c>
      <c r="B271" s="2">
        <v>1685712</v>
      </c>
      <c r="C271" s="2">
        <v>927066</v>
      </c>
      <c r="D271" s="2">
        <v>758646</v>
      </c>
    </row>
    <row r="272" spans="1:4" x14ac:dyDescent="0.25">
      <c r="A272" s="1">
        <v>40513</v>
      </c>
      <c r="B272" s="2">
        <v>1712708</v>
      </c>
      <c r="C272" s="2">
        <v>936912</v>
      </c>
      <c r="D272" s="2">
        <v>775797</v>
      </c>
    </row>
    <row r="273" spans="1:4" x14ac:dyDescent="0.25">
      <c r="A273" s="1">
        <v>40544</v>
      </c>
      <c r="B273" s="2">
        <v>1718711</v>
      </c>
      <c r="C273" s="2">
        <v>933467</v>
      </c>
      <c r="D273" s="2">
        <v>785244</v>
      </c>
    </row>
    <row r="274" spans="1:4" x14ac:dyDescent="0.25">
      <c r="A274" s="1">
        <v>40575</v>
      </c>
      <c r="B274" s="2">
        <v>1741509</v>
      </c>
      <c r="C274" s="2">
        <v>947964</v>
      </c>
      <c r="D274" s="2">
        <v>793544</v>
      </c>
    </row>
    <row r="275" spans="1:4" x14ac:dyDescent="0.25">
      <c r="A275" s="1">
        <v>40603</v>
      </c>
      <c r="B275" s="2">
        <v>1759678</v>
      </c>
      <c r="C275" s="2">
        <v>958884</v>
      </c>
      <c r="D275" s="2">
        <v>800794</v>
      </c>
    </row>
    <row r="276" spans="1:4" x14ac:dyDescent="0.25">
      <c r="A276" s="1">
        <v>40634</v>
      </c>
      <c r="B276" s="2">
        <v>1783487</v>
      </c>
      <c r="C276" s="2">
        <v>971825</v>
      </c>
      <c r="D276" s="2">
        <v>811662</v>
      </c>
    </row>
    <row r="277" spans="1:4" x14ac:dyDescent="0.25">
      <c r="A277" s="1">
        <v>40664</v>
      </c>
      <c r="B277" s="2">
        <v>1812128</v>
      </c>
      <c r="C277" s="2">
        <v>986470</v>
      </c>
      <c r="D277" s="2">
        <v>825658</v>
      </c>
    </row>
    <row r="278" spans="1:4" x14ac:dyDescent="0.25">
      <c r="A278" s="1">
        <v>40695</v>
      </c>
      <c r="B278" s="2">
        <v>1840157</v>
      </c>
      <c r="C278" s="2">
        <v>1002021</v>
      </c>
      <c r="D278" s="2">
        <v>838136</v>
      </c>
    </row>
    <row r="279" spans="1:4" x14ac:dyDescent="0.25">
      <c r="A279" s="1">
        <v>40725</v>
      </c>
      <c r="B279" s="2">
        <v>1861598</v>
      </c>
      <c r="C279" s="2">
        <v>1012580</v>
      </c>
      <c r="D279" s="2">
        <v>849018</v>
      </c>
    </row>
    <row r="280" spans="1:4" x14ac:dyDescent="0.25">
      <c r="A280" s="1">
        <v>40756</v>
      </c>
      <c r="B280" s="2">
        <v>1894713</v>
      </c>
      <c r="C280" s="2">
        <v>1025674</v>
      </c>
      <c r="D280" s="2">
        <v>869039</v>
      </c>
    </row>
    <row r="281" spans="1:4" x14ac:dyDescent="0.25">
      <c r="A281" s="1">
        <v>40787</v>
      </c>
      <c r="B281" s="2">
        <v>1935781</v>
      </c>
      <c r="C281" s="2">
        <v>1053850</v>
      </c>
      <c r="D281" s="2">
        <v>881931</v>
      </c>
    </row>
    <row r="282" spans="1:4" x14ac:dyDescent="0.25">
      <c r="A282" s="1">
        <v>40817</v>
      </c>
      <c r="B282" s="2">
        <v>1950658</v>
      </c>
      <c r="C282" s="2">
        <v>1056671</v>
      </c>
      <c r="D282" s="2">
        <v>893987</v>
      </c>
    </row>
    <row r="283" spans="1:4" x14ac:dyDescent="0.25">
      <c r="A283" s="1">
        <v>40848</v>
      </c>
      <c r="B283" s="2">
        <v>1988613</v>
      </c>
      <c r="C283" s="2">
        <v>1080026</v>
      </c>
      <c r="D283" s="2">
        <v>908586</v>
      </c>
    </row>
    <row r="284" spans="1:4" x14ac:dyDescent="0.25">
      <c r="A284" s="1">
        <v>40878</v>
      </c>
      <c r="B284" s="2">
        <v>2033954</v>
      </c>
      <c r="C284" s="2">
        <v>1112355</v>
      </c>
      <c r="D284" s="2">
        <v>921598</v>
      </c>
    </row>
    <row r="285" spans="1:4" x14ac:dyDescent="0.25">
      <c r="A285" s="1">
        <v>40909</v>
      </c>
      <c r="B285" s="2">
        <v>2033185</v>
      </c>
      <c r="C285" s="2">
        <v>1099064</v>
      </c>
      <c r="D285" s="2">
        <v>934121</v>
      </c>
    </row>
    <row r="286" spans="1:4" x14ac:dyDescent="0.25">
      <c r="A286" s="1">
        <v>40940</v>
      </c>
      <c r="B286" s="2">
        <v>2041040</v>
      </c>
      <c r="C286" s="2">
        <v>1099920</v>
      </c>
      <c r="D286" s="2">
        <v>941121</v>
      </c>
    </row>
    <row r="287" spans="1:4" x14ac:dyDescent="0.25">
      <c r="A287" s="1">
        <v>40969</v>
      </c>
      <c r="B287" s="2">
        <v>2078912</v>
      </c>
      <c r="C287" s="2">
        <v>1125741</v>
      </c>
      <c r="D287" s="2">
        <v>953171</v>
      </c>
    </row>
    <row r="288" spans="1:4" x14ac:dyDescent="0.25">
      <c r="A288" s="1">
        <v>41000</v>
      </c>
      <c r="B288" s="2">
        <v>2106585</v>
      </c>
      <c r="C288" s="2">
        <v>1141731</v>
      </c>
      <c r="D288" s="2">
        <v>964854</v>
      </c>
    </row>
    <row r="289" spans="1:4" x14ac:dyDescent="0.25">
      <c r="A289" s="1">
        <v>41030</v>
      </c>
      <c r="B289" s="2">
        <v>2142061</v>
      </c>
      <c r="C289" s="2">
        <v>1161233</v>
      </c>
      <c r="D289" s="2">
        <v>980828</v>
      </c>
    </row>
    <row r="290" spans="1:4" x14ac:dyDescent="0.25">
      <c r="A290" s="1">
        <v>41061</v>
      </c>
      <c r="B290" s="2">
        <v>2175135</v>
      </c>
      <c r="C290" s="2">
        <v>1180998</v>
      </c>
      <c r="D290" s="2">
        <v>994137</v>
      </c>
    </row>
    <row r="291" spans="1:4" x14ac:dyDescent="0.25">
      <c r="A291" s="1">
        <v>41091</v>
      </c>
      <c r="B291" s="2">
        <v>2192888</v>
      </c>
      <c r="C291" s="2">
        <v>1188704</v>
      </c>
      <c r="D291" s="2">
        <v>1004184</v>
      </c>
    </row>
    <row r="292" spans="1:4" x14ac:dyDescent="0.25">
      <c r="A292" s="1">
        <v>41122</v>
      </c>
      <c r="B292" s="2">
        <v>2219866</v>
      </c>
      <c r="C292" s="2">
        <v>1197310</v>
      </c>
      <c r="D292" s="2">
        <v>1022556</v>
      </c>
    </row>
    <row r="293" spans="1:4" x14ac:dyDescent="0.25">
      <c r="A293" s="1">
        <v>41153</v>
      </c>
      <c r="B293" s="2">
        <v>2244474</v>
      </c>
      <c r="C293" s="2">
        <v>1218829</v>
      </c>
      <c r="D293" s="2">
        <v>1025645</v>
      </c>
    </row>
    <row r="294" spans="1:4" x14ac:dyDescent="0.25">
      <c r="A294" s="1">
        <v>41183</v>
      </c>
      <c r="B294" s="2">
        <v>2276286</v>
      </c>
      <c r="C294" s="2">
        <v>1234774</v>
      </c>
      <c r="D294" s="2">
        <v>1041511</v>
      </c>
    </row>
    <row r="295" spans="1:4" x14ac:dyDescent="0.25">
      <c r="A295" s="1">
        <v>41214</v>
      </c>
      <c r="B295" s="2">
        <v>2310841</v>
      </c>
      <c r="C295" s="2">
        <v>1254604</v>
      </c>
      <c r="D295" s="2">
        <v>1056237</v>
      </c>
    </row>
    <row r="296" spans="1:4" x14ac:dyDescent="0.25">
      <c r="A296" s="1">
        <v>41244</v>
      </c>
      <c r="B296" s="2">
        <v>2368338</v>
      </c>
      <c r="C296" s="2">
        <v>1291867</v>
      </c>
      <c r="D296" s="2">
        <v>1076471</v>
      </c>
    </row>
    <row r="297" spans="1:4" x14ac:dyDescent="0.25">
      <c r="A297" s="1">
        <v>41275</v>
      </c>
      <c r="B297" s="2">
        <v>2366165</v>
      </c>
      <c r="C297" s="2">
        <v>1277890</v>
      </c>
      <c r="D297" s="2">
        <v>1088275</v>
      </c>
    </row>
    <row r="298" spans="1:4" x14ac:dyDescent="0.25">
      <c r="A298" s="1">
        <v>41306</v>
      </c>
      <c r="B298" s="2">
        <v>2383597</v>
      </c>
      <c r="C298" s="2">
        <v>1288822</v>
      </c>
      <c r="D298" s="2">
        <v>1094775</v>
      </c>
    </row>
    <row r="299" spans="1:4" x14ac:dyDescent="0.25">
      <c r="A299" s="1">
        <v>41334</v>
      </c>
      <c r="B299" s="2">
        <v>2427062</v>
      </c>
      <c r="C299" s="2">
        <v>1319047</v>
      </c>
      <c r="D299" s="2">
        <v>1108015</v>
      </c>
    </row>
    <row r="300" spans="1:4" x14ac:dyDescent="0.25">
      <c r="A300" s="1">
        <v>41365</v>
      </c>
      <c r="B300" s="2">
        <v>2449147</v>
      </c>
      <c r="C300" s="2">
        <v>1324301</v>
      </c>
      <c r="D300" s="2">
        <v>1124846</v>
      </c>
    </row>
    <row r="301" spans="1:4" x14ac:dyDescent="0.25">
      <c r="A301" s="1">
        <v>41395</v>
      </c>
      <c r="B301" s="2">
        <v>2487294</v>
      </c>
      <c r="C301" s="2">
        <v>1343310</v>
      </c>
      <c r="D301" s="2">
        <v>1143984</v>
      </c>
    </row>
    <row r="302" spans="1:4" x14ac:dyDescent="0.25">
      <c r="A302" s="1">
        <v>41426</v>
      </c>
      <c r="B302" s="2">
        <v>2531576</v>
      </c>
      <c r="C302" s="2">
        <v>1371462</v>
      </c>
      <c r="D302" s="2">
        <v>1160114</v>
      </c>
    </row>
    <row r="303" spans="1:4" x14ac:dyDescent="0.25">
      <c r="A303" s="1">
        <v>41456</v>
      </c>
      <c r="B303" s="2">
        <v>2545127</v>
      </c>
      <c r="C303" s="2">
        <v>1371133</v>
      </c>
      <c r="D303" s="2">
        <v>1173994</v>
      </c>
    </row>
    <row r="304" spans="1:4" x14ac:dyDescent="0.25">
      <c r="A304" s="1">
        <v>41487</v>
      </c>
      <c r="B304" s="2">
        <v>2577874</v>
      </c>
      <c r="C304" s="2">
        <v>1387379</v>
      </c>
      <c r="D304" s="2">
        <v>1190495</v>
      </c>
    </row>
    <row r="305" spans="1:4" x14ac:dyDescent="0.25">
      <c r="A305" s="1">
        <v>41518</v>
      </c>
      <c r="B305" s="2">
        <v>2597168</v>
      </c>
      <c r="C305" s="2">
        <v>1394720</v>
      </c>
      <c r="D305" s="2">
        <v>1202447</v>
      </c>
    </row>
    <row r="306" spans="1:4" x14ac:dyDescent="0.25">
      <c r="A306" s="1">
        <v>41548</v>
      </c>
      <c r="B306" s="2">
        <v>2604241</v>
      </c>
      <c r="C306" s="2">
        <v>1391759</v>
      </c>
      <c r="D306" s="2">
        <v>1212482</v>
      </c>
    </row>
    <row r="307" spans="1:4" x14ac:dyDescent="0.25">
      <c r="A307" s="1">
        <v>41579</v>
      </c>
      <c r="B307" s="2">
        <v>2646873</v>
      </c>
      <c r="C307" s="2">
        <v>1418888</v>
      </c>
      <c r="D307" s="2">
        <v>1227984</v>
      </c>
    </row>
    <row r="308" spans="1:4" x14ac:dyDescent="0.25">
      <c r="A308" s="1">
        <v>41609</v>
      </c>
      <c r="B308" s="2">
        <v>2711371</v>
      </c>
      <c r="C308" s="2">
        <v>1461999</v>
      </c>
      <c r="D308" s="2">
        <v>1249372</v>
      </c>
    </row>
    <row r="309" spans="1:4" x14ac:dyDescent="0.25">
      <c r="A309" s="1">
        <v>41640</v>
      </c>
      <c r="B309" s="2">
        <v>2713271</v>
      </c>
      <c r="C309" s="2">
        <v>1450143</v>
      </c>
      <c r="D309" s="2">
        <v>1263128</v>
      </c>
    </row>
    <row r="310" spans="1:4" x14ac:dyDescent="0.25">
      <c r="A310" s="1">
        <v>41671</v>
      </c>
      <c r="B310" s="2">
        <v>2725652</v>
      </c>
      <c r="C310" s="2">
        <v>1455446</v>
      </c>
      <c r="D310" s="2">
        <v>1270206</v>
      </c>
    </row>
    <row r="311" spans="1:4" x14ac:dyDescent="0.25">
      <c r="A311" s="1">
        <v>41699</v>
      </c>
      <c r="B311" s="2">
        <v>2752289</v>
      </c>
      <c r="C311" s="2">
        <v>1470686</v>
      </c>
      <c r="D311" s="2">
        <v>1281603</v>
      </c>
    </row>
    <row r="312" spans="1:4" x14ac:dyDescent="0.25">
      <c r="A312" s="1">
        <v>41730</v>
      </c>
      <c r="B312" s="2">
        <v>2771347</v>
      </c>
      <c r="C312" s="2">
        <v>1477149</v>
      </c>
      <c r="D312" s="2">
        <v>1294198</v>
      </c>
    </row>
    <row r="313" spans="1:4" x14ac:dyDescent="0.25">
      <c r="A313" s="1">
        <v>41760</v>
      </c>
      <c r="B313" s="2">
        <v>2798015</v>
      </c>
      <c r="C313" s="2">
        <v>1486831</v>
      </c>
      <c r="D313" s="2">
        <v>1311184</v>
      </c>
    </row>
    <row r="314" spans="1:4" x14ac:dyDescent="0.25">
      <c r="A314" s="1">
        <v>41791</v>
      </c>
      <c r="B314" s="2">
        <v>2824626</v>
      </c>
      <c r="C314" s="2">
        <v>1499849</v>
      </c>
      <c r="D314" s="2">
        <v>1324777</v>
      </c>
    </row>
    <row r="315" spans="1:4" x14ac:dyDescent="0.25">
      <c r="A315" s="1">
        <v>41821</v>
      </c>
      <c r="B315" s="2">
        <v>2830844</v>
      </c>
      <c r="C315" s="2">
        <v>1497784</v>
      </c>
      <c r="D315" s="2">
        <v>1333060</v>
      </c>
    </row>
    <row r="316" spans="1:4" x14ac:dyDescent="0.25">
      <c r="A316" s="1">
        <v>41852</v>
      </c>
      <c r="B316" s="2">
        <v>2857674</v>
      </c>
      <c r="C316" s="2">
        <v>1509536</v>
      </c>
      <c r="D316" s="2">
        <v>1348138</v>
      </c>
    </row>
    <row r="317" spans="1:4" x14ac:dyDescent="0.25">
      <c r="A317" s="1">
        <v>41883</v>
      </c>
      <c r="B317" s="2">
        <v>2896570</v>
      </c>
      <c r="C317" s="2">
        <v>1535565</v>
      </c>
      <c r="D317" s="2">
        <v>1361005</v>
      </c>
    </row>
    <row r="318" spans="1:4" x14ac:dyDescent="0.25">
      <c r="A318" s="1">
        <v>41913</v>
      </c>
      <c r="B318" s="2">
        <v>2919447</v>
      </c>
      <c r="C318" s="2">
        <v>1541066</v>
      </c>
      <c r="D318" s="2">
        <v>1378381</v>
      </c>
    </row>
    <row r="319" spans="1:4" x14ac:dyDescent="0.25">
      <c r="A319" s="1">
        <v>41944</v>
      </c>
      <c r="B319" s="2">
        <v>2956599</v>
      </c>
      <c r="C319" s="2">
        <v>1566044</v>
      </c>
      <c r="D319" s="2">
        <v>1390556</v>
      </c>
    </row>
    <row r="320" spans="1:4" x14ac:dyDescent="0.25">
      <c r="A320" s="1">
        <v>41974</v>
      </c>
      <c r="B320" s="2">
        <v>3017456</v>
      </c>
      <c r="C320" s="2">
        <v>1601391</v>
      </c>
      <c r="D320" s="2">
        <v>1416065</v>
      </c>
    </row>
    <row r="321" spans="1:4" x14ac:dyDescent="0.25">
      <c r="A321" s="1">
        <v>42005</v>
      </c>
      <c r="B321" s="2">
        <v>3021469</v>
      </c>
      <c r="C321" s="2">
        <v>1591349</v>
      </c>
      <c r="D321" s="2">
        <v>1430120</v>
      </c>
    </row>
    <row r="322" spans="1:4" x14ac:dyDescent="0.25">
      <c r="A322" s="1">
        <v>42036</v>
      </c>
      <c r="B322" s="2">
        <v>3033503</v>
      </c>
      <c r="C322" s="2">
        <v>1599734</v>
      </c>
      <c r="D322" s="2">
        <v>1433769</v>
      </c>
    </row>
    <row r="323" spans="1:4" x14ac:dyDescent="0.25">
      <c r="A323" s="1">
        <v>42064</v>
      </c>
      <c r="B323" s="2">
        <v>3070618</v>
      </c>
      <c r="C323" s="2">
        <v>1625477</v>
      </c>
      <c r="D323" s="2">
        <v>1445141</v>
      </c>
    </row>
    <row r="324" spans="1:4" x14ac:dyDescent="0.25">
      <c r="A324" s="1">
        <v>42095</v>
      </c>
      <c r="B324" s="2">
        <v>3070707</v>
      </c>
      <c r="C324" s="2">
        <v>1617486</v>
      </c>
      <c r="D324" s="2">
        <v>1453221</v>
      </c>
    </row>
    <row r="325" spans="1:4" x14ac:dyDescent="0.25">
      <c r="A325" s="1">
        <v>42125</v>
      </c>
      <c r="B325" s="2">
        <v>3092373</v>
      </c>
      <c r="C325" s="2">
        <v>1630568</v>
      </c>
      <c r="D325" s="2">
        <v>1461804</v>
      </c>
    </row>
    <row r="326" spans="1:4" x14ac:dyDescent="0.25">
      <c r="A326" s="1">
        <v>42156</v>
      </c>
      <c r="B326" s="2">
        <v>3109967</v>
      </c>
      <c r="C326" s="2">
        <v>1640086</v>
      </c>
      <c r="D326" s="2">
        <v>1469882</v>
      </c>
    </row>
    <row r="327" spans="1:4" x14ac:dyDescent="0.25">
      <c r="A327" s="1">
        <v>42186</v>
      </c>
      <c r="B327" s="2">
        <v>3119102</v>
      </c>
      <c r="C327" s="2">
        <v>1643742</v>
      </c>
      <c r="D327" s="2">
        <v>1475360</v>
      </c>
    </row>
    <row r="328" spans="1:4" x14ac:dyDescent="0.25">
      <c r="A328" s="1">
        <v>42217</v>
      </c>
      <c r="B328" s="2">
        <v>3143987</v>
      </c>
      <c r="C328" s="2">
        <v>1657395</v>
      </c>
      <c r="D328" s="2">
        <v>1486592</v>
      </c>
    </row>
    <row r="329" spans="1:4" x14ac:dyDescent="0.25">
      <c r="A329" s="1">
        <v>42248</v>
      </c>
      <c r="B329" s="2">
        <v>3174090</v>
      </c>
      <c r="C329" s="2">
        <v>1681022</v>
      </c>
      <c r="D329" s="2">
        <v>1493068</v>
      </c>
    </row>
    <row r="330" spans="1:4" x14ac:dyDescent="0.25">
      <c r="A330" s="1">
        <v>42278</v>
      </c>
      <c r="B330" s="2">
        <v>3166774</v>
      </c>
      <c r="C330" s="2">
        <v>1670159</v>
      </c>
      <c r="D330" s="2">
        <v>1496614</v>
      </c>
    </row>
    <row r="331" spans="1:4" x14ac:dyDescent="0.25">
      <c r="A331" s="1">
        <v>42309</v>
      </c>
      <c r="B331" s="2">
        <v>3186591</v>
      </c>
      <c r="C331" s="2">
        <v>1678370</v>
      </c>
      <c r="D331" s="2">
        <v>1508221</v>
      </c>
    </row>
    <row r="332" spans="1:4" x14ac:dyDescent="0.25">
      <c r="A332" s="1">
        <v>42339</v>
      </c>
      <c r="B332" s="2">
        <v>3229576</v>
      </c>
      <c r="C332" s="2">
        <v>1710914</v>
      </c>
      <c r="D332" s="2">
        <v>1518662</v>
      </c>
    </row>
    <row r="333" spans="1:4" x14ac:dyDescent="0.25">
      <c r="A333" s="1">
        <v>42370</v>
      </c>
      <c r="B333" s="2">
        <v>3208123</v>
      </c>
      <c r="C333" s="2">
        <v>1686224</v>
      </c>
      <c r="D333" s="2">
        <v>1521900</v>
      </c>
    </row>
    <row r="334" spans="1:4" x14ac:dyDescent="0.25">
      <c r="A334" s="1">
        <v>42401</v>
      </c>
      <c r="B334" s="2">
        <v>3192287</v>
      </c>
      <c r="C334" s="2">
        <v>1669474</v>
      </c>
      <c r="D334" s="2">
        <v>1522813</v>
      </c>
    </row>
    <row r="335" spans="1:4" x14ac:dyDescent="0.25">
      <c r="A335" s="1">
        <v>42430</v>
      </c>
      <c r="B335" s="2">
        <v>3170854</v>
      </c>
      <c r="C335" s="2">
        <v>1643265</v>
      </c>
      <c r="D335" s="2">
        <v>1527590</v>
      </c>
    </row>
    <row r="336" spans="1:4" x14ac:dyDescent="0.25">
      <c r="A336" s="1">
        <v>42461</v>
      </c>
      <c r="B336" s="2">
        <v>3150823</v>
      </c>
      <c r="C336" s="2">
        <v>1624448</v>
      </c>
      <c r="D336" s="2">
        <v>1526375</v>
      </c>
    </row>
    <row r="337" spans="1:4" x14ac:dyDescent="0.25">
      <c r="A337" s="1">
        <v>42491</v>
      </c>
      <c r="B337" s="2">
        <v>3157795</v>
      </c>
      <c r="C337" s="2">
        <v>1624441</v>
      </c>
      <c r="D337" s="2">
        <v>1533354</v>
      </c>
    </row>
    <row r="338" spans="1:4" x14ac:dyDescent="0.25">
      <c r="A338" s="1">
        <v>42522</v>
      </c>
      <c r="B338" s="2">
        <v>3140231</v>
      </c>
      <c r="C338" s="2">
        <v>1603433</v>
      </c>
      <c r="D338" s="2">
        <v>1536798</v>
      </c>
    </row>
    <row r="339" spans="1:4" x14ac:dyDescent="0.25">
      <c r="A339" s="1">
        <v>42552</v>
      </c>
      <c r="B339" s="2">
        <v>3126702</v>
      </c>
      <c r="C339" s="2">
        <v>1588513</v>
      </c>
      <c r="D339" s="2">
        <v>1538189</v>
      </c>
    </row>
    <row r="340" spans="1:4" x14ac:dyDescent="0.25">
      <c r="A340" s="1">
        <v>42583</v>
      </c>
      <c r="B340" s="2">
        <v>3125535</v>
      </c>
      <c r="C340" s="2">
        <v>1578740</v>
      </c>
      <c r="D340" s="2">
        <v>1546795</v>
      </c>
    </row>
    <row r="341" spans="1:4" x14ac:dyDescent="0.25">
      <c r="A341" s="1">
        <v>42614</v>
      </c>
      <c r="B341" s="2">
        <v>3121960</v>
      </c>
      <c r="C341" s="2">
        <v>1571752</v>
      </c>
      <c r="D341" s="2">
        <v>1550208</v>
      </c>
    </row>
    <row r="342" spans="1:4" x14ac:dyDescent="0.25">
      <c r="A342" s="1">
        <v>42644</v>
      </c>
      <c r="B342" s="2">
        <v>3105525</v>
      </c>
      <c r="C342" s="2">
        <v>1557581</v>
      </c>
      <c r="D342" s="2">
        <v>1547944</v>
      </c>
    </row>
    <row r="343" spans="1:4" x14ac:dyDescent="0.25">
      <c r="A343" s="1">
        <v>42675</v>
      </c>
      <c r="B343" s="2">
        <v>3114587</v>
      </c>
      <c r="C343" s="2">
        <v>1556307</v>
      </c>
      <c r="D343" s="2">
        <v>1558281</v>
      </c>
    </row>
    <row r="344" spans="1:4" x14ac:dyDescent="0.25">
      <c r="A344" s="1">
        <v>42705</v>
      </c>
      <c r="B344" s="2">
        <v>3117809</v>
      </c>
      <c r="C344" s="2">
        <v>1548645</v>
      </c>
      <c r="D344" s="2">
        <v>1569164</v>
      </c>
    </row>
    <row r="345" spans="1:4" x14ac:dyDescent="0.25">
      <c r="A345" s="1">
        <v>42736</v>
      </c>
      <c r="B345" s="2">
        <v>3086116</v>
      </c>
      <c r="C345" s="2">
        <v>1511586</v>
      </c>
      <c r="D345" s="2">
        <v>1574530</v>
      </c>
    </row>
    <row r="346" spans="1:4" x14ac:dyDescent="0.25">
      <c r="A346" s="1">
        <v>42767</v>
      </c>
      <c r="B346" s="2">
        <v>3083038</v>
      </c>
      <c r="C346" s="2">
        <v>1507526</v>
      </c>
      <c r="D346" s="2">
        <v>1575512</v>
      </c>
    </row>
    <row r="347" spans="1:4" x14ac:dyDescent="0.25">
      <c r="A347" s="1">
        <v>42795</v>
      </c>
      <c r="B347" s="2">
        <v>3090455</v>
      </c>
      <c r="C347" s="2">
        <v>1505787</v>
      </c>
      <c r="D347" s="2">
        <v>1584667</v>
      </c>
    </row>
    <row r="348" spans="1:4" x14ac:dyDescent="0.25">
      <c r="A348" s="1">
        <v>42826</v>
      </c>
      <c r="B348" s="2">
        <v>3082414</v>
      </c>
      <c r="C348" s="2">
        <v>1496040</v>
      </c>
      <c r="D348" s="2">
        <v>1586373</v>
      </c>
    </row>
    <row r="349" spans="1:4" x14ac:dyDescent="0.25">
      <c r="A349" s="1">
        <v>42856</v>
      </c>
      <c r="B349" s="2">
        <v>3077588</v>
      </c>
      <c r="C349" s="2">
        <v>1480996</v>
      </c>
      <c r="D349" s="2">
        <v>1596592</v>
      </c>
    </row>
    <row r="350" spans="1:4" x14ac:dyDescent="0.25">
      <c r="A350" s="1">
        <v>42887</v>
      </c>
      <c r="B350" s="2">
        <v>3090213</v>
      </c>
      <c r="C350" s="2">
        <v>1485896</v>
      </c>
      <c r="D350" s="2">
        <v>1604318</v>
      </c>
    </row>
    <row r="351" spans="1:4" x14ac:dyDescent="0.25">
      <c r="A351" s="1">
        <v>42917</v>
      </c>
      <c r="B351" s="2">
        <v>3065064</v>
      </c>
      <c r="C351" s="2">
        <v>1456057</v>
      </c>
      <c r="D351" s="2">
        <v>1609007</v>
      </c>
    </row>
    <row r="352" spans="1:4" x14ac:dyDescent="0.25">
      <c r="A352" s="1">
        <v>42948</v>
      </c>
      <c r="B352" s="2">
        <v>3063766</v>
      </c>
      <c r="C352" s="2">
        <v>1442958</v>
      </c>
      <c r="D352" s="2">
        <v>1620808</v>
      </c>
    </row>
    <row r="353" spans="1:4" x14ac:dyDescent="0.25">
      <c r="A353" s="1">
        <v>42979</v>
      </c>
      <c r="B353" s="2">
        <v>3063640</v>
      </c>
      <c r="C353" s="2">
        <v>1439429</v>
      </c>
      <c r="D353" s="2">
        <v>1624211</v>
      </c>
    </row>
    <row r="354" spans="1:4" x14ac:dyDescent="0.25">
      <c r="A354" s="1">
        <v>43009</v>
      </c>
      <c r="B354" s="2">
        <v>3068523</v>
      </c>
      <c r="C354" s="2">
        <v>1432195</v>
      </c>
      <c r="D354" s="2">
        <v>1636329</v>
      </c>
    </row>
    <row r="355" spans="1:4" x14ac:dyDescent="0.25">
      <c r="A355" s="1">
        <v>43040</v>
      </c>
      <c r="B355" s="2">
        <v>3080362</v>
      </c>
      <c r="C355" s="2">
        <v>1429364</v>
      </c>
      <c r="D355" s="2">
        <v>1650998</v>
      </c>
    </row>
    <row r="356" spans="1:4" x14ac:dyDescent="0.25">
      <c r="A356" s="1">
        <v>43070</v>
      </c>
      <c r="B356" s="2">
        <v>3105277</v>
      </c>
      <c r="C356" s="2">
        <v>1445115</v>
      </c>
      <c r="D356" s="2">
        <v>1660162</v>
      </c>
    </row>
    <row r="357" spans="1:4" x14ac:dyDescent="0.25">
      <c r="A357" s="1">
        <v>43101</v>
      </c>
      <c r="B357" s="2">
        <v>3080974</v>
      </c>
      <c r="C357" s="2">
        <v>1410571</v>
      </c>
      <c r="D357" s="2">
        <v>1670402</v>
      </c>
    </row>
    <row r="358" spans="1:4" x14ac:dyDescent="0.25">
      <c r="A358" s="1">
        <v>43132</v>
      </c>
      <c r="B358" s="2">
        <v>3074312</v>
      </c>
      <c r="C358" s="2">
        <v>1405303</v>
      </c>
      <c r="D358" s="2">
        <v>1669009</v>
      </c>
    </row>
    <row r="359" spans="1:4" x14ac:dyDescent="0.25">
      <c r="A359" s="1">
        <v>43160</v>
      </c>
      <c r="B359" s="2">
        <v>3094386</v>
      </c>
      <c r="C359" s="2">
        <v>1415763</v>
      </c>
      <c r="D359" s="2">
        <v>1678623</v>
      </c>
    </row>
    <row r="360" spans="1:4" x14ac:dyDescent="0.25">
      <c r="A360" s="1">
        <v>43191</v>
      </c>
      <c r="B360" s="2">
        <v>3103899</v>
      </c>
      <c r="C360" s="2">
        <v>1414907</v>
      </c>
      <c r="D360" s="2">
        <v>1688992</v>
      </c>
    </row>
    <row r="361" spans="1:4" x14ac:dyDescent="0.25">
      <c r="A361" s="1">
        <v>43221</v>
      </c>
      <c r="B361" s="2">
        <v>3117593</v>
      </c>
      <c r="C361" s="2">
        <v>1419445</v>
      </c>
      <c r="D361" s="2">
        <v>1698149</v>
      </c>
    </row>
    <row r="362" spans="1:4" x14ac:dyDescent="0.25">
      <c r="A362" s="1">
        <v>43252</v>
      </c>
      <c r="B362" s="2">
        <v>3138842</v>
      </c>
      <c r="C362" s="2">
        <v>1432717</v>
      </c>
      <c r="D362" s="2">
        <v>1706124</v>
      </c>
    </row>
    <row r="363" spans="1:4" x14ac:dyDescent="0.25">
      <c r="A363" s="1">
        <v>43282</v>
      </c>
      <c r="B363" s="2">
        <v>3134446</v>
      </c>
      <c r="C363" s="2">
        <v>1420881</v>
      </c>
      <c r="D363" s="2">
        <v>1713564</v>
      </c>
    </row>
    <row r="364" spans="1:4" x14ac:dyDescent="0.25">
      <c r="A364" s="1">
        <v>43313</v>
      </c>
      <c r="B364" s="2">
        <v>3166304</v>
      </c>
      <c r="C364" s="2">
        <v>1434320</v>
      </c>
      <c r="D364" s="2">
        <v>1731984</v>
      </c>
    </row>
    <row r="365" spans="1:4" x14ac:dyDescent="0.25">
      <c r="A365" s="1">
        <v>43344</v>
      </c>
      <c r="B365" s="2">
        <v>3181647</v>
      </c>
      <c r="C365" s="2">
        <v>1440877</v>
      </c>
      <c r="D365" s="2">
        <v>1740771</v>
      </c>
    </row>
    <row r="366" spans="1:4" x14ac:dyDescent="0.25">
      <c r="A366" s="1">
        <v>43374</v>
      </c>
      <c r="B366" s="2">
        <v>3177146</v>
      </c>
      <c r="C366" s="2">
        <v>1417390</v>
      </c>
      <c r="D366" s="2">
        <v>1759757</v>
      </c>
    </row>
    <row r="367" spans="1:4" x14ac:dyDescent="0.25">
      <c r="A367" s="1">
        <v>43405</v>
      </c>
      <c r="B367" s="2">
        <v>3212535</v>
      </c>
      <c r="C367" s="2">
        <v>1427818</v>
      </c>
      <c r="D367" s="2">
        <v>1784716</v>
      </c>
    </row>
    <row r="368" spans="1:4" x14ac:dyDescent="0.25">
      <c r="A368" s="1">
        <v>43435</v>
      </c>
      <c r="B368" s="2">
        <v>3265064</v>
      </c>
      <c r="C368" s="2">
        <v>1462037</v>
      </c>
      <c r="D368" s="2">
        <v>1803027</v>
      </c>
    </row>
    <row r="369" spans="1:4" x14ac:dyDescent="0.25">
      <c r="A369" s="1">
        <v>43466</v>
      </c>
      <c r="B369" s="2">
        <v>3237076</v>
      </c>
      <c r="C369" s="2">
        <v>1423002</v>
      </c>
      <c r="D369" s="2">
        <v>1814074</v>
      </c>
    </row>
    <row r="370" spans="1:4" x14ac:dyDescent="0.25">
      <c r="A370" s="1">
        <v>43497</v>
      </c>
      <c r="B370" s="2">
        <v>3247396</v>
      </c>
      <c r="C370" s="2">
        <v>1424211</v>
      </c>
      <c r="D370" s="2">
        <v>1823184</v>
      </c>
    </row>
    <row r="371" spans="1:4" x14ac:dyDescent="0.25">
      <c r="A371" s="1">
        <v>43525</v>
      </c>
      <c r="B371" s="2">
        <v>3273000</v>
      </c>
      <c r="C371" s="2">
        <v>1436695</v>
      </c>
      <c r="D371" s="2">
        <v>1836305</v>
      </c>
    </row>
    <row r="372" spans="1:4" x14ac:dyDescent="0.25">
      <c r="A372" s="1">
        <v>43556</v>
      </c>
      <c r="B372" s="2">
        <v>3272570</v>
      </c>
      <c r="C372" s="2">
        <v>1420024</v>
      </c>
      <c r="D372" s="2">
        <v>1852546</v>
      </c>
    </row>
    <row r="373" spans="1:4" x14ac:dyDescent="0.25">
      <c r="A373" s="1">
        <v>43586</v>
      </c>
      <c r="B373" s="2">
        <v>3291212</v>
      </c>
      <c r="C373" s="2">
        <v>1420549</v>
      </c>
      <c r="D373" s="2">
        <v>1870663</v>
      </c>
    </row>
    <row r="374" spans="1:4" x14ac:dyDescent="0.25">
      <c r="A374" s="1">
        <v>43617</v>
      </c>
      <c r="B374" s="2">
        <v>3301611</v>
      </c>
      <c r="C374" s="2">
        <v>1419273</v>
      </c>
      <c r="D374" s="2">
        <v>1882338</v>
      </c>
    </row>
    <row r="375" spans="1:4" x14ac:dyDescent="0.25">
      <c r="A375" s="1">
        <v>43647</v>
      </c>
      <c r="B375" s="2">
        <v>3296187</v>
      </c>
      <c r="C375" s="2">
        <v>1396922</v>
      </c>
      <c r="D375" s="2">
        <v>1899265</v>
      </c>
    </row>
    <row r="376" spans="1:4" x14ac:dyDescent="0.25">
      <c r="A376" s="1">
        <v>43678</v>
      </c>
      <c r="B376" s="2">
        <v>3333007</v>
      </c>
      <c r="C376" s="2">
        <v>1411215</v>
      </c>
      <c r="D376" s="2">
        <v>1921792</v>
      </c>
    </row>
    <row r="377" spans="1:4" x14ac:dyDescent="0.25">
      <c r="A377" s="1">
        <v>43709</v>
      </c>
      <c r="B377" s="2">
        <v>3368801</v>
      </c>
      <c r="C377" s="2">
        <v>1427524</v>
      </c>
      <c r="D377" s="2">
        <v>1941277</v>
      </c>
    </row>
    <row r="378" spans="1:4" x14ac:dyDescent="0.25">
      <c r="A378" s="1">
        <v>43739</v>
      </c>
      <c r="B378" s="2">
        <v>3380309</v>
      </c>
      <c r="C378" s="2">
        <v>1415578</v>
      </c>
      <c r="D378" s="2">
        <v>1964732</v>
      </c>
    </row>
    <row r="379" spans="1:4" x14ac:dyDescent="0.25">
      <c r="A379" s="1">
        <v>43770</v>
      </c>
      <c r="B379" s="2">
        <v>3423121</v>
      </c>
      <c r="C379" s="2">
        <v>1435147</v>
      </c>
      <c r="D379" s="2">
        <v>1987974</v>
      </c>
    </row>
    <row r="380" spans="1:4" x14ac:dyDescent="0.25">
      <c r="A380" s="1">
        <v>43800</v>
      </c>
      <c r="B380" s="2">
        <v>3475872</v>
      </c>
      <c r="C380" s="2">
        <v>1458826</v>
      </c>
      <c r="D380" s="2">
        <v>2017046</v>
      </c>
    </row>
    <row r="381" spans="1:4" x14ac:dyDescent="0.25">
      <c r="A381" s="1">
        <v>43831</v>
      </c>
      <c r="B381" s="2">
        <v>3465268</v>
      </c>
      <c r="C381" s="2">
        <v>1431634</v>
      </c>
      <c r="D381" s="2">
        <v>2033634</v>
      </c>
    </row>
    <row r="382" spans="1:4" x14ac:dyDescent="0.25">
      <c r="A382" s="1">
        <v>43862</v>
      </c>
      <c r="B382" s="2">
        <v>3484672</v>
      </c>
      <c r="C382" s="2">
        <v>1442009</v>
      </c>
      <c r="D382" s="2">
        <v>2042663</v>
      </c>
    </row>
    <row r="383" spans="1:4" x14ac:dyDescent="0.25">
      <c r="A383" s="1">
        <v>43891</v>
      </c>
      <c r="B383" s="2">
        <v>3583600</v>
      </c>
      <c r="C383" s="2">
        <v>1534303</v>
      </c>
      <c r="D383" s="2">
        <v>2049296</v>
      </c>
    </row>
    <row r="384" spans="1:4" x14ac:dyDescent="0.25">
      <c r="A384" s="1">
        <v>43922</v>
      </c>
      <c r="B384" s="2">
        <v>3583689</v>
      </c>
      <c r="C384" s="2">
        <v>1554328</v>
      </c>
      <c r="D384" s="2">
        <v>2029361</v>
      </c>
    </row>
    <row r="385" spans="1:4" x14ac:dyDescent="0.25">
      <c r="A385" s="1">
        <v>43952</v>
      </c>
      <c r="B385" s="2">
        <v>3595958</v>
      </c>
      <c r="C385" s="2">
        <v>1568161</v>
      </c>
      <c r="D385" s="2">
        <v>2027797</v>
      </c>
    </row>
    <row r="386" spans="1:4" x14ac:dyDescent="0.25">
      <c r="A386" s="1">
        <v>43983</v>
      </c>
      <c r="B386" s="2">
        <v>3622966</v>
      </c>
      <c r="C386" s="2">
        <v>1581817</v>
      </c>
      <c r="D386" s="2">
        <v>2041149</v>
      </c>
    </row>
    <row r="387" spans="1:4" x14ac:dyDescent="0.25">
      <c r="A387" s="1">
        <v>44013</v>
      </c>
      <c r="B387" s="2">
        <v>3670223</v>
      </c>
      <c r="C387" s="2">
        <v>1609796</v>
      </c>
      <c r="D387" s="2">
        <v>2060427</v>
      </c>
    </row>
    <row r="388" spans="1:4" x14ac:dyDescent="0.25">
      <c r="A388" s="1">
        <v>44044</v>
      </c>
      <c r="B388" s="2">
        <v>3741903</v>
      </c>
      <c r="C388" s="2">
        <v>1649768</v>
      </c>
      <c r="D388" s="2">
        <v>2092135</v>
      </c>
    </row>
    <row r="389" spans="1:4" x14ac:dyDescent="0.25">
      <c r="A389" s="1">
        <v>44075</v>
      </c>
      <c r="B389" s="2">
        <v>3820765</v>
      </c>
      <c r="C389" s="2">
        <v>1697670</v>
      </c>
      <c r="D389" s="2">
        <v>2123095</v>
      </c>
    </row>
    <row r="390" spans="1:4" x14ac:dyDescent="0.25">
      <c r="A390" s="1">
        <v>44105</v>
      </c>
      <c r="B390" s="2">
        <v>3878484</v>
      </c>
      <c r="C390" s="2">
        <v>1719393</v>
      </c>
      <c r="D390" s="2">
        <v>2159091</v>
      </c>
    </row>
    <row r="391" spans="1:4" x14ac:dyDescent="0.25">
      <c r="A391" s="1">
        <v>44136</v>
      </c>
      <c r="B391" s="2">
        <v>3957054</v>
      </c>
      <c r="C391" s="2">
        <v>1751350</v>
      </c>
      <c r="D391" s="2">
        <v>2205704</v>
      </c>
    </row>
    <row r="392" spans="1:4" x14ac:dyDescent="0.25">
      <c r="A392" s="1">
        <v>44166</v>
      </c>
      <c r="B392" s="2">
        <v>4021534</v>
      </c>
      <c r="C392" s="2">
        <v>1780450</v>
      </c>
      <c r="D392" s="2">
        <v>2241084</v>
      </c>
    </row>
    <row r="393" spans="1:4" x14ac:dyDescent="0.25">
      <c r="A393" s="1">
        <v>44197</v>
      </c>
      <c r="B393" s="2">
        <v>4018815</v>
      </c>
      <c r="C393" s="2">
        <v>1764350</v>
      </c>
      <c r="D393" s="2">
        <v>2254465</v>
      </c>
    </row>
    <row r="394" spans="1:4" x14ac:dyDescent="0.25">
      <c r="A394" s="1">
        <v>44228</v>
      </c>
      <c r="B394" s="2">
        <v>4046150</v>
      </c>
      <c r="C394" s="2">
        <v>1774313</v>
      </c>
      <c r="D394" s="2">
        <v>2271837</v>
      </c>
    </row>
    <row r="395" spans="1:4" x14ac:dyDescent="0.25">
      <c r="A395" s="1">
        <v>44256</v>
      </c>
      <c r="B395" s="2">
        <v>4107730</v>
      </c>
      <c r="C395" s="2">
        <v>1809384</v>
      </c>
      <c r="D395" s="2">
        <v>2298345</v>
      </c>
    </row>
    <row r="396" spans="1:4" x14ac:dyDescent="0.25">
      <c r="A396" s="1">
        <v>44287</v>
      </c>
      <c r="B396" s="2">
        <v>4128186</v>
      </c>
      <c r="C396" s="2">
        <v>1804880</v>
      </c>
      <c r="D396" s="2">
        <v>2323306</v>
      </c>
    </row>
    <row r="397" spans="1:4" x14ac:dyDescent="0.25">
      <c r="A397" s="1">
        <v>44317</v>
      </c>
      <c r="B397" s="2">
        <v>4176747</v>
      </c>
      <c r="C397" s="2">
        <v>1814790</v>
      </c>
      <c r="D397" s="2">
        <v>2361957</v>
      </c>
    </row>
    <row r="398" spans="1:4" x14ac:dyDescent="0.25">
      <c r="A398" s="1">
        <v>44348</v>
      </c>
      <c r="B398" s="2">
        <v>4213673</v>
      </c>
      <c r="C398" s="2">
        <v>1814263</v>
      </c>
      <c r="D398" s="2">
        <v>2399411</v>
      </c>
    </row>
    <row r="399" spans="1:4" x14ac:dyDescent="0.25">
      <c r="A399" s="1">
        <v>44378</v>
      </c>
      <c r="B399" s="2">
        <v>4271337</v>
      </c>
      <c r="C399" s="2">
        <v>1830524</v>
      </c>
      <c r="D399" s="2">
        <v>2440812</v>
      </c>
    </row>
    <row r="400" spans="1:4" x14ac:dyDescent="0.25">
      <c r="A400" s="1">
        <v>44409</v>
      </c>
      <c r="B400" s="2">
        <v>4345830</v>
      </c>
      <c r="C400" s="2">
        <v>1848208</v>
      </c>
      <c r="D400" s="2">
        <v>2497623</v>
      </c>
    </row>
    <row r="401" spans="1:4" x14ac:dyDescent="0.25">
      <c r="A401" s="1">
        <v>44440</v>
      </c>
      <c r="B401" s="2">
        <v>4440759</v>
      </c>
      <c r="C401" s="2">
        <v>1891192</v>
      </c>
      <c r="D401" s="2">
        <v>2549567</v>
      </c>
    </row>
    <row r="402" spans="1:4" x14ac:dyDescent="0.25">
      <c r="A402" s="1">
        <v>44470</v>
      </c>
      <c r="B402" s="2">
        <v>4511578</v>
      </c>
      <c r="C402" s="2">
        <v>1907849</v>
      </c>
      <c r="D402" s="2">
        <v>2603729</v>
      </c>
    </row>
    <row r="403" spans="1:4" x14ac:dyDescent="0.25">
      <c r="A403" s="1">
        <v>44501</v>
      </c>
      <c r="B403" s="2">
        <v>4596690</v>
      </c>
      <c r="C403" s="2">
        <v>1929659</v>
      </c>
      <c r="D403" s="2">
        <v>2667031</v>
      </c>
    </row>
    <row r="404" spans="1:4" x14ac:dyDescent="0.25">
      <c r="A404" s="1">
        <v>44531</v>
      </c>
      <c r="B404" s="2">
        <v>4681433</v>
      </c>
      <c r="C404" s="2">
        <v>1970605</v>
      </c>
      <c r="D404" s="2">
        <v>2710829</v>
      </c>
    </row>
    <row r="405" spans="1:4" x14ac:dyDescent="0.25">
      <c r="A405" s="1">
        <v>44562</v>
      </c>
      <c r="B405" s="2">
        <v>4681229</v>
      </c>
      <c r="C405" s="2">
        <v>1943805</v>
      </c>
      <c r="D405" s="2">
        <v>2737424</v>
      </c>
    </row>
    <row r="406" spans="1:4" x14ac:dyDescent="0.25">
      <c r="A406" s="1">
        <v>44593</v>
      </c>
      <c r="B406" s="2">
        <v>4725519</v>
      </c>
      <c r="C406" s="2">
        <v>1967754</v>
      </c>
      <c r="D406" s="2">
        <v>2757765</v>
      </c>
    </row>
    <row r="407" spans="1:4" x14ac:dyDescent="0.25">
      <c r="A407" s="1">
        <v>44621</v>
      </c>
      <c r="B407" s="2">
        <v>4792178</v>
      </c>
      <c r="C407" s="2">
        <v>1990048</v>
      </c>
      <c r="D407" s="2">
        <v>2802130</v>
      </c>
    </row>
    <row r="408" spans="1:4" x14ac:dyDescent="0.25">
      <c r="A408" s="1">
        <v>44652</v>
      </c>
      <c r="B408" s="2">
        <v>4830690</v>
      </c>
      <c r="C408" s="2">
        <v>1998547</v>
      </c>
      <c r="D408" s="2">
        <v>2832143</v>
      </c>
    </row>
    <row r="409" spans="1:4" x14ac:dyDescent="0.25">
      <c r="A409" s="1">
        <v>44682</v>
      </c>
      <c r="B409" s="2">
        <v>4885588</v>
      </c>
      <c r="C409" s="2">
        <v>2008336</v>
      </c>
      <c r="D409" s="2">
        <v>2877252</v>
      </c>
    </row>
    <row r="410" spans="1:4" x14ac:dyDescent="0.25">
      <c r="A410" s="1">
        <v>44713</v>
      </c>
      <c r="B410" s="2">
        <v>4963563</v>
      </c>
      <c r="C410" s="2">
        <v>2047451</v>
      </c>
      <c r="D410" s="2">
        <v>2916112</v>
      </c>
    </row>
    <row r="411" spans="1:4" x14ac:dyDescent="0.25">
      <c r="A411" s="1">
        <v>44743</v>
      </c>
      <c r="B411" s="2">
        <v>4999003</v>
      </c>
      <c r="C411" s="2">
        <v>2041622</v>
      </c>
      <c r="D411" s="2">
        <v>2957380</v>
      </c>
    </row>
    <row r="412" spans="1:4" x14ac:dyDescent="0.25">
      <c r="A412" s="1">
        <v>44774</v>
      </c>
      <c r="B412" s="2">
        <v>5071967</v>
      </c>
      <c r="C412" s="2">
        <v>2058843</v>
      </c>
      <c r="D412" s="2">
        <v>3013124</v>
      </c>
    </row>
    <row r="413" spans="1:4" x14ac:dyDescent="0.25">
      <c r="A413" s="1">
        <v>44805</v>
      </c>
      <c r="B413" s="2">
        <v>5162922</v>
      </c>
      <c r="C413" s="2">
        <v>2104721</v>
      </c>
      <c r="D413" s="2">
        <v>3058200</v>
      </c>
    </row>
    <row r="414" spans="1:4" x14ac:dyDescent="0.25">
      <c r="A414" s="1">
        <v>44835</v>
      </c>
      <c r="B414" s="2">
        <v>5214157</v>
      </c>
      <c r="C414" s="2">
        <v>2100060</v>
      </c>
      <c r="D414" s="2">
        <v>3114096</v>
      </c>
    </row>
    <row r="415" spans="1:4" x14ac:dyDescent="0.25">
      <c r="A415" s="1">
        <v>44866</v>
      </c>
      <c r="B415" s="2">
        <v>5281035</v>
      </c>
      <c r="C415" s="2">
        <v>2121812</v>
      </c>
      <c r="D415" s="2">
        <v>3159223</v>
      </c>
    </row>
    <row r="416" spans="1:4" x14ac:dyDescent="0.25">
      <c r="A416" s="1">
        <v>44896</v>
      </c>
      <c r="B416" s="2">
        <v>5361248</v>
      </c>
      <c r="C416" s="2">
        <v>2170267</v>
      </c>
      <c r="D416" s="2">
        <v>3190981</v>
      </c>
    </row>
    <row r="417" spans="1:4" x14ac:dyDescent="0.25">
      <c r="A417" s="1">
        <v>44927</v>
      </c>
      <c r="B417" s="2">
        <v>5370166</v>
      </c>
      <c r="C417" s="2">
        <v>2143696</v>
      </c>
      <c r="D417" s="2">
        <v>3226470</v>
      </c>
    </row>
    <row r="418" spans="1:4" x14ac:dyDescent="0.25">
      <c r="A418" s="1">
        <v>44958</v>
      </c>
      <c r="B418" s="2">
        <v>5369275</v>
      </c>
      <c r="C418" s="2">
        <v>2128587</v>
      </c>
      <c r="D418" s="2">
        <v>3240687</v>
      </c>
    </row>
    <row r="419" spans="1:4" x14ac:dyDescent="0.25">
      <c r="A419" s="1">
        <v>44986</v>
      </c>
      <c r="B419" s="2">
        <v>5420800</v>
      </c>
      <c r="C419" s="2">
        <v>2146398</v>
      </c>
      <c r="D419" s="2">
        <v>3274402</v>
      </c>
    </row>
    <row r="420" spans="1:4" x14ac:dyDescent="0.25">
      <c r="A420" s="1">
        <v>45017</v>
      </c>
      <c r="B420" s="2">
        <v>5423027</v>
      </c>
      <c r="C420" s="2">
        <v>2136652</v>
      </c>
      <c r="D420" s="2">
        <v>3286375</v>
      </c>
    </row>
    <row r="421" spans="1:4" x14ac:dyDescent="0.25">
      <c r="A421" s="1">
        <v>45047</v>
      </c>
      <c r="B421" s="2">
        <v>5450904</v>
      </c>
      <c r="C421" s="2">
        <v>2137582</v>
      </c>
      <c r="D421" s="2">
        <v>3313322</v>
      </c>
    </row>
    <row r="422" spans="1:4" x14ac:dyDescent="0.25">
      <c r="A422" s="1">
        <v>45078</v>
      </c>
      <c r="B422" s="2">
        <v>5476264</v>
      </c>
      <c r="C422" s="2">
        <v>2161280</v>
      </c>
      <c r="D422" s="2">
        <v>3314984</v>
      </c>
    </row>
    <row r="423" spans="1:4" x14ac:dyDescent="0.25">
      <c r="A423" s="1">
        <v>45108</v>
      </c>
      <c r="B423" s="2">
        <v>5480552</v>
      </c>
      <c r="C423" s="2">
        <v>2144276</v>
      </c>
      <c r="D423" s="2">
        <v>3336276</v>
      </c>
    </row>
    <row r="424" spans="1:4" x14ac:dyDescent="0.25">
      <c r="A424" s="1">
        <v>45139</v>
      </c>
      <c r="B424" s="2">
        <v>5553902</v>
      </c>
      <c r="C424" s="2">
        <v>2162297</v>
      </c>
      <c r="D424" s="2">
        <v>3391605</v>
      </c>
    </row>
    <row r="425" spans="1:4" x14ac:dyDescent="0.25">
      <c r="A425" s="1">
        <v>45170</v>
      </c>
      <c r="B425" s="2">
        <v>5614668</v>
      </c>
      <c r="C425" s="2">
        <v>2198726</v>
      </c>
      <c r="D425" s="2">
        <v>3415942</v>
      </c>
    </row>
    <row r="426" spans="1:4" x14ac:dyDescent="0.25">
      <c r="A426" s="1">
        <v>45200</v>
      </c>
      <c r="B426" s="2">
        <v>5636980</v>
      </c>
      <c r="C426" s="2">
        <v>2187318</v>
      </c>
      <c r="D426" s="2">
        <v>3449663</v>
      </c>
    </row>
    <row r="427" spans="1:4" x14ac:dyDescent="0.25">
      <c r="A427" s="1">
        <v>45231</v>
      </c>
      <c r="B427" s="2">
        <v>5700558</v>
      </c>
      <c r="C427" s="2">
        <v>2210084</v>
      </c>
      <c r="D427" s="2">
        <v>3490474</v>
      </c>
    </row>
    <row r="428" spans="1:4" x14ac:dyDescent="0.25">
      <c r="A428" s="1">
        <v>45261</v>
      </c>
      <c r="B428" s="2">
        <v>5782505</v>
      </c>
      <c r="C428" s="2">
        <v>2267908</v>
      </c>
      <c r="D428" s="2">
        <v>3514597</v>
      </c>
    </row>
    <row r="429" spans="1:4" x14ac:dyDescent="0.25">
      <c r="A429" t="s">
        <v>12</v>
      </c>
      <c r="B429" t="s">
        <v>13</v>
      </c>
      <c r="C429" t="s">
        <v>13</v>
      </c>
      <c r="D429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25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s="3" t="s">
        <v>2</v>
      </c>
    </row>
    <row r="4" spans="1:1" x14ac:dyDescent="0.25">
      <c r="A4" s="3" t="s">
        <v>3</v>
      </c>
    </row>
    <row r="5" spans="1:1" x14ac:dyDescent="0.25">
      <c r="A5" s="3" t="s">
        <v>4</v>
      </c>
    </row>
    <row r="6" spans="1:1" x14ac:dyDescent="0.25">
      <c r="A6" s="3" t="s">
        <v>5</v>
      </c>
    </row>
    <row r="7" spans="1:1" x14ac:dyDescent="0.25">
      <c r="A7" s="3" t="s">
        <v>6</v>
      </c>
    </row>
    <row r="8" spans="1:1" x14ac:dyDescent="0.25">
      <c r="A8" s="3" t="s">
        <v>7</v>
      </c>
    </row>
    <row r="9" spans="1:1" x14ac:dyDescent="0.25">
      <c r="A9" s="3" t="s">
        <v>8</v>
      </c>
    </row>
    <row r="10" spans="1:1" x14ac:dyDescent="0.25">
      <c r="A10" s="3" t="s">
        <v>9</v>
      </c>
    </row>
    <row r="11" spans="1:1" x14ac:dyDescent="0.25">
      <c r="A11" s="3" t="s">
        <v>10</v>
      </c>
    </row>
    <row r="12" spans="1:1" x14ac:dyDescent="0.25">
      <c r="A12" s="3" t="s">
        <v>14</v>
      </c>
    </row>
    <row r="13" spans="1:1" x14ac:dyDescent="0.25">
      <c r="A13" s="3" t="s">
        <v>15</v>
      </c>
    </row>
    <row r="14" spans="1:1" x14ac:dyDescent="0.25">
      <c r="A14" s="3" t="s">
        <v>16</v>
      </c>
    </row>
    <row r="15" spans="1:1" x14ac:dyDescent="0.25">
      <c r="A15" s="3" t="s">
        <v>17</v>
      </c>
    </row>
    <row r="16" spans="1:1" x14ac:dyDescent="0.25">
      <c r="A16" s="3" t="s">
        <v>18</v>
      </c>
    </row>
    <row r="17" spans="1:1" x14ac:dyDescent="0.25">
      <c r="A17" s="5" t="s">
        <v>19</v>
      </c>
    </row>
    <row r="18" spans="1:1" x14ac:dyDescent="0.25">
      <c r="A18" s="5" t="s">
        <v>20</v>
      </c>
    </row>
    <row r="19" spans="1:1" x14ac:dyDescent="0.25">
      <c r="A19" s="5" t="s">
        <v>21</v>
      </c>
    </row>
    <row r="20" spans="1:1" x14ac:dyDescent="0.25">
      <c r="A20" s="5" t="s">
        <v>22</v>
      </c>
    </row>
    <row r="21" spans="1:1" x14ac:dyDescent="0.25">
      <c r="A21" s="5" t="s">
        <v>23</v>
      </c>
    </row>
    <row r="22" spans="1:1" x14ac:dyDescent="0.25">
      <c r="A22" s="5" t="s">
        <v>24</v>
      </c>
    </row>
    <row r="23" spans="1:1" x14ac:dyDescent="0.25">
      <c r="A23" s="5" t="s">
        <v>25</v>
      </c>
    </row>
    <row r="24" spans="1:1" x14ac:dyDescent="0.25">
      <c r="A24" s="5" t="s">
        <v>26</v>
      </c>
    </row>
    <row r="25" spans="1:1" x14ac:dyDescent="0.25">
      <c r="A25" s="3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53"/>
  <sheetViews>
    <sheetView workbookViewId="0">
      <selection activeCell="C1" sqref="C1"/>
    </sheetView>
  </sheetViews>
  <sheetFormatPr defaultRowHeight="15" x14ac:dyDescent="0.25"/>
  <sheetData>
    <row r="1" spans="1:4" x14ac:dyDescent="0.25">
      <c r="A1" t="s">
        <v>0</v>
      </c>
      <c r="B1" t="s">
        <v>35</v>
      </c>
      <c r="C1" t="s">
        <v>36</v>
      </c>
      <c r="D1" t="s">
        <v>37</v>
      </c>
    </row>
    <row r="2" spans="1:4" x14ac:dyDescent="0.25">
      <c r="A2" s="1">
        <v>36678</v>
      </c>
      <c r="B2" s="2">
        <v>137800</v>
      </c>
      <c r="C2" s="2">
        <v>78459</v>
      </c>
      <c r="D2" s="2">
        <v>59340</v>
      </c>
    </row>
    <row r="3" spans="1:4" x14ac:dyDescent="0.25">
      <c r="A3" s="1">
        <v>36708</v>
      </c>
      <c r="B3" s="2">
        <v>138272</v>
      </c>
      <c r="C3" s="2">
        <v>78522</v>
      </c>
      <c r="D3" s="2">
        <v>59751</v>
      </c>
    </row>
    <row r="4" spans="1:4" x14ac:dyDescent="0.25">
      <c r="A4" s="1">
        <v>36739</v>
      </c>
      <c r="B4" s="2">
        <v>135818</v>
      </c>
      <c r="C4" s="2">
        <v>78141</v>
      </c>
      <c r="D4" s="2">
        <v>57677</v>
      </c>
    </row>
    <row r="5" spans="1:4" x14ac:dyDescent="0.25">
      <c r="A5" s="1">
        <v>36770</v>
      </c>
      <c r="B5" s="2">
        <v>134477</v>
      </c>
      <c r="C5" s="2">
        <v>76536</v>
      </c>
      <c r="D5" s="2">
        <v>57941</v>
      </c>
    </row>
    <row r="6" spans="1:4" x14ac:dyDescent="0.25">
      <c r="A6" s="1">
        <v>36800</v>
      </c>
      <c r="B6" s="2">
        <v>134689</v>
      </c>
      <c r="C6" s="2">
        <v>75178</v>
      </c>
      <c r="D6" s="2">
        <v>59511</v>
      </c>
    </row>
    <row r="7" spans="1:4" x14ac:dyDescent="0.25">
      <c r="A7" s="1">
        <v>36831</v>
      </c>
      <c r="B7" s="2">
        <v>135823</v>
      </c>
      <c r="C7" s="2">
        <v>73673</v>
      </c>
      <c r="D7" s="2">
        <v>62151</v>
      </c>
    </row>
    <row r="8" spans="1:4" x14ac:dyDescent="0.25">
      <c r="A8" s="1">
        <v>36861</v>
      </c>
      <c r="B8" s="2">
        <v>138684</v>
      </c>
      <c r="C8" s="2">
        <v>73730</v>
      </c>
      <c r="D8" s="2">
        <v>64954</v>
      </c>
    </row>
    <row r="9" spans="1:4" x14ac:dyDescent="0.25">
      <c r="A9" s="1">
        <v>36892</v>
      </c>
      <c r="B9" s="2">
        <v>136740</v>
      </c>
      <c r="C9" s="2">
        <v>71605</v>
      </c>
      <c r="D9" s="2">
        <v>65135</v>
      </c>
    </row>
    <row r="10" spans="1:4" x14ac:dyDescent="0.25">
      <c r="A10" s="1">
        <v>36923</v>
      </c>
      <c r="B10" s="2">
        <v>138110</v>
      </c>
      <c r="C10" s="2">
        <v>71774</v>
      </c>
      <c r="D10" s="2">
        <v>66336</v>
      </c>
    </row>
    <row r="11" spans="1:4" x14ac:dyDescent="0.25">
      <c r="A11" s="1">
        <v>36951</v>
      </c>
      <c r="B11" s="2">
        <v>140001</v>
      </c>
      <c r="C11" s="2">
        <v>71756</v>
      </c>
      <c r="D11" s="2">
        <v>68244</v>
      </c>
    </row>
    <row r="12" spans="1:4" x14ac:dyDescent="0.25">
      <c r="A12" s="1">
        <v>36982</v>
      </c>
      <c r="B12" s="2">
        <v>138372</v>
      </c>
      <c r="C12" s="2">
        <v>71674</v>
      </c>
      <c r="D12" s="2">
        <v>66697</v>
      </c>
    </row>
    <row r="13" spans="1:4" x14ac:dyDescent="0.25">
      <c r="A13" s="1">
        <v>37012</v>
      </c>
      <c r="B13" s="2">
        <v>139535</v>
      </c>
      <c r="C13" s="2">
        <v>71638</v>
      </c>
      <c r="D13" s="2">
        <v>67897</v>
      </c>
    </row>
    <row r="14" spans="1:4" x14ac:dyDescent="0.25">
      <c r="A14" s="1">
        <v>37043</v>
      </c>
      <c r="B14" s="2">
        <v>105240</v>
      </c>
      <c r="C14" s="2">
        <v>37775</v>
      </c>
      <c r="D14" s="2">
        <v>67465</v>
      </c>
    </row>
    <row r="15" spans="1:4" x14ac:dyDescent="0.25">
      <c r="A15" s="1">
        <v>37073</v>
      </c>
      <c r="B15" s="2">
        <v>106786</v>
      </c>
      <c r="C15" s="2">
        <v>38341</v>
      </c>
      <c r="D15" s="2">
        <v>68445</v>
      </c>
    </row>
    <row r="16" spans="1:4" x14ac:dyDescent="0.25">
      <c r="A16" s="1">
        <v>37104</v>
      </c>
      <c r="B16" s="2">
        <v>110494</v>
      </c>
      <c r="C16" s="2">
        <v>39003</v>
      </c>
      <c r="D16" s="2">
        <v>71491</v>
      </c>
    </row>
    <row r="17" spans="1:4" x14ac:dyDescent="0.25">
      <c r="A17" s="1">
        <v>37135</v>
      </c>
      <c r="B17" s="2">
        <v>113025</v>
      </c>
      <c r="C17" s="2">
        <v>40294</v>
      </c>
      <c r="D17" s="2">
        <v>72730</v>
      </c>
    </row>
    <row r="18" spans="1:4" x14ac:dyDescent="0.25">
      <c r="A18" s="1">
        <v>37165</v>
      </c>
      <c r="B18" s="2">
        <v>114419</v>
      </c>
      <c r="C18" s="2">
        <v>41323</v>
      </c>
      <c r="D18" s="2">
        <v>73096</v>
      </c>
    </row>
    <row r="19" spans="1:4" x14ac:dyDescent="0.25">
      <c r="A19" s="1">
        <v>37196</v>
      </c>
      <c r="B19" s="2">
        <v>115610</v>
      </c>
      <c r="C19" s="2">
        <v>42143</v>
      </c>
      <c r="D19" s="2">
        <v>73466</v>
      </c>
    </row>
    <row r="20" spans="1:4" x14ac:dyDescent="0.25">
      <c r="A20" s="1">
        <v>37226</v>
      </c>
      <c r="B20" s="2">
        <v>115490</v>
      </c>
      <c r="C20" s="2">
        <v>41744</v>
      </c>
      <c r="D20" s="2">
        <v>73746</v>
      </c>
    </row>
    <row r="21" spans="1:4" x14ac:dyDescent="0.25">
      <c r="A21" s="1">
        <v>37257</v>
      </c>
      <c r="B21" s="2">
        <v>116356</v>
      </c>
      <c r="C21" s="2">
        <v>41859</v>
      </c>
      <c r="D21" s="2">
        <v>74497</v>
      </c>
    </row>
    <row r="22" spans="1:4" x14ac:dyDescent="0.25">
      <c r="A22" s="1">
        <v>37288</v>
      </c>
      <c r="B22" s="2">
        <v>117659</v>
      </c>
      <c r="C22" s="2">
        <v>42533</v>
      </c>
      <c r="D22" s="2">
        <v>75126</v>
      </c>
    </row>
    <row r="23" spans="1:4" x14ac:dyDescent="0.25">
      <c r="A23" s="1">
        <v>37316</v>
      </c>
      <c r="B23" s="2">
        <v>117682</v>
      </c>
      <c r="C23" s="2">
        <v>42246</v>
      </c>
      <c r="D23" s="2">
        <v>75436</v>
      </c>
    </row>
    <row r="24" spans="1:4" x14ac:dyDescent="0.25">
      <c r="A24" s="1">
        <v>37347</v>
      </c>
      <c r="B24" s="2">
        <v>118247</v>
      </c>
      <c r="C24" s="2">
        <v>42313</v>
      </c>
      <c r="D24" s="2">
        <v>75935</v>
      </c>
    </row>
    <row r="25" spans="1:4" x14ac:dyDescent="0.25">
      <c r="A25" s="1">
        <v>37377</v>
      </c>
      <c r="B25" s="2">
        <v>120084</v>
      </c>
      <c r="C25" s="2">
        <v>42642</v>
      </c>
      <c r="D25" s="2">
        <v>77441</v>
      </c>
    </row>
    <row r="26" spans="1:4" x14ac:dyDescent="0.25">
      <c r="A26" s="1">
        <v>37408</v>
      </c>
      <c r="B26" s="2">
        <v>121182</v>
      </c>
      <c r="C26" s="2">
        <v>42698</v>
      </c>
      <c r="D26" s="2">
        <v>78484</v>
      </c>
    </row>
    <row r="27" spans="1:4" x14ac:dyDescent="0.25">
      <c r="A27" s="1">
        <v>37438</v>
      </c>
      <c r="B27" s="2">
        <v>124436</v>
      </c>
      <c r="C27" s="2">
        <v>42107</v>
      </c>
      <c r="D27" s="2">
        <v>82329</v>
      </c>
    </row>
    <row r="28" spans="1:4" x14ac:dyDescent="0.25">
      <c r="A28" s="1">
        <v>37469</v>
      </c>
      <c r="B28" s="2">
        <v>125373</v>
      </c>
      <c r="C28" s="2">
        <v>42248</v>
      </c>
      <c r="D28" s="2">
        <v>83125</v>
      </c>
    </row>
    <row r="29" spans="1:4" x14ac:dyDescent="0.25">
      <c r="A29" s="1">
        <v>37500</v>
      </c>
      <c r="B29" s="2">
        <v>136352</v>
      </c>
      <c r="C29" s="2">
        <v>43921</v>
      </c>
      <c r="D29" s="2">
        <v>92430</v>
      </c>
    </row>
    <row r="30" spans="1:4" x14ac:dyDescent="0.25">
      <c r="A30" s="1">
        <v>37530</v>
      </c>
      <c r="B30" s="2">
        <v>138147</v>
      </c>
      <c r="C30" s="2">
        <v>45086</v>
      </c>
      <c r="D30" s="2">
        <v>93061</v>
      </c>
    </row>
    <row r="31" spans="1:4" x14ac:dyDescent="0.25">
      <c r="A31" s="1">
        <v>37561</v>
      </c>
      <c r="B31" s="2">
        <v>140234</v>
      </c>
      <c r="C31" s="2">
        <v>46040</v>
      </c>
      <c r="D31" s="2">
        <v>94194</v>
      </c>
    </row>
    <row r="32" spans="1:4" x14ac:dyDescent="0.25">
      <c r="A32" s="1">
        <v>37591</v>
      </c>
      <c r="B32" s="2">
        <v>144187</v>
      </c>
      <c r="C32" s="2">
        <v>47459</v>
      </c>
      <c r="D32" s="2">
        <v>96728</v>
      </c>
    </row>
    <row r="33" spans="1:4" x14ac:dyDescent="0.25">
      <c r="A33" s="1">
        <v>37622</v>
      </c>
      <c r="B33" s="2">
        <v>145759</v>
      </c>
      <c r="C33" s="2">
        <v>48545</v>
      </c>
      <c r="D33" s="2">
        <v>97214</v>
      </c>
    </row>
    <row r="34" spans="1:4" x14ac:dyDescent="0.25">
      <c r="A34" s="1">
        <v>37653</v>
      </c>
      <c r="B34" s="2">
        <v>147400</v>
      </c>
      <c r="C34" s="2">
        <v>49500</v>
      </c>
      <c r="D34" s="2">
        <v>97900</v>
      </c>
    </row>
    <row r="35" spans="1:4" x14ac:dyDescent="0.25">
      <c r="A35" s="1">
        <v>37681</v>
      </c>
      <c r="B35" s="2">
        <v>145972</v>
      </c>
      <c r="C35" s="2">
        <v>49823</v>
      </c>
      <c r="D35" s="2">
        <v>96149</v>
      </c>
    </row>
    <row r="36" spans="1:4" x14ac:dyDescent="0.25">
      <c r="A36" s="1">
        <v>37712</v>
      </c>
      <c r="B36" s="2">
        <v>143041</v>
      </c>
      <c r="C36" s="2">
        <v>50496</v>
      </c>
      <c r="D36" s="2">
        <v>92545</v>
      </c>
    </row>
    <row r="37" spans="1:4" x14ac:dyDescent="0.25">
      <c r="A37" s="1">
        <v>37742</v>
      </c>
      <c r="B37" s="2">
        <v>144371</v>
      </c>
      <c r="C37" s="2">
        <v>51406</v>
      </c>
      <c r="D37" s="2">
        <v>92965</v>
      </c>
    </row>
    <row r="38" spans="1:4" x14ac:dyDescent="0.25">
      <c r="A38" s="1">
        <v>37773</v>
      </c>
      <c r="B38" s="2">
        <v>146760</v>
      </c>
      <c r="C38" s="2">
        <v>52981</v>
      </c>
      <c r="D38" s="2">
        <v>93779</v>
      </c>
    </row>
    <row r="39" spans="1:4" x14ac:dyDescent="0.25">
      <c r="A39" s="1">
        <v>37803</v>
      </c>
      <c r="B39" s="2">
        <v>148947</v>
      </c>
      <c r="C39" s="2">
        <v>52539</v>
      </c>
      <c r="D39" s="2">
        <v>96408</v>
      </c>
    </row>
    <row r="40" spans="1:4" x14ac:dyDescent="0.25">
      <c r="A40" s="1">
        <v>37834</v>
      </c>
      <c r="B40" s="2">
        <v>149644</v>
      </c>
      <c r="C40" s="2">
        <v>53305</v>
      </c>
      <c r="D40" s="2">
        <v>96339</v>
      </c>
    </row>
    <row r="41" spans="1:4" x14ac:dyDescent="0.25">
      <c r="A41" s="1">
        <v>37865</v>
      </c>
      <c r="B41" s="2">
        <v>152035</v>
      </c>
      <c r="C41" s="2">
        <v>55267</v>
      </c>
      <c r="D41" s="2">
        <v>96768</v>
      </c>
    </row>
    <row r="42" spans="1:4" x14ac:dyDescent="0.25">
      <c r="A42" s="1">
        <v>37895</v>
      </c>
      <c r="B42" s="2">
        <v>154720</v>
      </c>
      <c r="C42" s="2">
        <v>56924</v>
      </c>
      <c r="D42" s="2">
        <v>97796</v>
      </c>
    </row>
    <row r="43" spans="1:4" x14ac:dyDescent="0.25">
      <c r="A43" s="1">
        <v>37926</v>
      </c>
      <c r="B43" s="2">
        <v>160334</v>
      </c>
      <c r="C43" s="2">
        <v>57562</v>
      </c>
      <c r="D43" s="2">
        <v>102772</v>
      </c>
    </row>
    <row r="44" spans="1:4" x14ac:dyDescent="0.25">
      <c r="A44" s="1">
        <v>37956</v>
      </c>
      <c r="B44" s="2">
        <v>162617</v>
      </c>
      <c r="C44" s="2">
        <v>58249</v>
      </c>
      <c r="D44" s="2">
        <v>104368</v>
      </c>
    </row>
    <row r="45" spans="1:4" x14ac:dyDescent="0.25">
      <c r="A45" s="1">
        <v>37987</v>
      </c>
      <c r="B45" s="2">
        <v>162827</v>
      </c>
      <c r="C45" s="2">
        <v>57558</v>
      </c>
      <c r="D45" s="2">
        <v>105269</v>
      </c>
    </row>
    <row r="46" spans="1:4" x14ac:dyDescent="0.25">
      <c r="A46" s="1">
        <v>38018</v>
      </c>
      <c r="B46" s="2">
        <v>161735</v>
      </c>
      <c r="C46" s="2">
        <v>57364</v>
      </c>
      <c r="D46" s="2">
        <v>104371</v>
      </c>
    </row>
    <row r="47" spans="1:4" x14ac:dyDescent="0.25">
      <c r="A47" s="1">
        <v>38047</v>
      </c>
      <c r="B47" s="2">
        <v>163454</v>
      </c>
      <c r="C47" s="2">
        <v>57370</v>
      </c>
      <c r="D47" s="2">
        <v>106084</v>
      </c>
    </row>
    <row r="48" spans="1:4" x14ac:dyDescent="0.25">
      <c r="A48" s="1">
        <v>38078</v>
      </c>
      <c r="B48" s="2">
        <v>165995</v>
      </c>
      <c r="C48" s="2">
        <v>58175</v>
      </c>
      <c r="D48" s="2">
        <v>107820</v>
      </c>
    </row>
    <row r="49" spans="1:4" x14ac:dyDescent="0.25">
      <c r="A49" s="1">
        <v>38108</v>
      </c>
      <c r="B49" s="2">
        <v>167473</v>
      </c>
      <c r="C49" s="2">
        <v>58905</v>
      </c>
      <c r="D49" s="2">
        <v>108568</v>
      </c>
    </row>
    <row r="50" spans="1:4" x14ac:dyDescent="0.25">
      <c r="A50" s="1">
        <v>38139</v>
      </c>
      <c r="B50" s="2">
        <v>170168</v>
      </c>
      <c r="C50" s="2">
        <v>59980</v>
      </c>
      <c r="D50" s="2">
        <v>110188</v>
      </c>
    </row>
    <row r="51" spans="1:4" x14ac:dyDescent="0.25">
      <c r="A51" s="1">
        <v>38169</v>
      </c>
      <c r="B51" s="2">
        <v>169517</v>
      </c>
      <c r="C51" s="2">
        <v>58807</v>
      </c>
      <c r="D51" s="2">
        <v>110710</v>
      </c>
    </row>
    <row r="52" spans="1:4" x14ac:dyDescent="0.25">
      <c r="A52" s="1">
        <v>38200</v>
      </c>
      <c r="B52" s="2">
        <v>171365</v>
      </c>
      <c r="C52" s="2">
        <v>59733</v>
      </c>
      <c r="D52" s="2">
        <v>111633</v>
      </c>
    </row>
    <row r="53" spans="1:4" x14ac:dyDescent="0.25">
      <c r="A53" s="1">
        <v>38231</v>
      </c>
      <c r="B53" s="2">
        <v>173997</v>
      </c>
      <c r="C53" s="2">
        <v>61529</v>
      </c>
      <c r="D53" s="2">
        <v>112467</v>
      </c>
    </row>
    <row r="54" spans="1:4" x14ac:dyDescent="0.25">
      <c r="A54" s="1">
        <v>38261</v>
      </c>
      <c r="B54" s="2">
        <v>177029</v>
      </c>
      <c r="C54" s="2">
        <v>62982</v>
      </c>
      <c r="D54" s="2">
        <v>114047</v>
      </c>
    </row>
    <row r="55" spans="1:4" x14ac:dyDescent="0.25">
      <c r="A55" s="1">
        <v>38292</v>
      </c>
      <c r="B55" s="2">
        <v>178744</v>
      </c>
      <c r="C55" s="2">
        <v>64079</v>
      </c>
      <c r="D55" s="2">
        <v>114665</v>
      </c>
    </row>
    <row r="56" spans="1:4" x14ac:dyDescent="0.25">
      <c r="A56" s="1">
        <v>38322</v>
      </c>
      <c r="B56" s="2">
        <v>180805</v>
      </c>
      <c r="C56" s="2">
        <v>65406</v>
      </c>
      <c r="D56" s="2">
        <v>115399</v>
      </c>
    </row>
    <row r="57" spans="1:4" x14ac:dyDescent="0.25">
      <c r="A57" s="1">
        <v>38353</v>
      </c>
      <c r="B57" s="2">
        <v>181329</v>
      </c>
      <c r="C57" s="2">
        <v>65263</v>
      </c>
      <c r="D57" s="2">
        <v>116066</v>
      </c>
    </row>
    <row r="58" spans="1:4" x14ac:dyDescent="0.25">
      <c r="A58" s="1">
        <v>38384</v>
      </c>
      <c r="B58" s="2">
        <v>181413</v>
      </c>
      <c r="C58" s="2">
        <v>65047</v>
      </c>
      <c r="D58" s="2">
        <v>116366</v>
      </c>
    </row>
    <row r="59" spans="1:4" x14ac:dyDescent="0.25">
      <c r="A59" s="1">
        <v>38412</v>
      </c>
      <c r="B59" s="2">
        <v>183061</v>
      </c>
      <c r="C59" s="2">
        <v>65444</v>
      </c>
      <c r="D59" s="2">
        <v>117617</v>
      </c>
    </row>
    <row r="60" spans="1:4" x14ac:dyDescent="0.25">
      <c r="A60" s="1">
        <v>38443</v>
      </c>
      <c r="B60" s="2">
        <v>183567</v>
      </c>
      <c r="C60" s="2">
        <v>66268</v>
      </c>
      <c r="D60" s="2">
        <v>117299</v>
      </c>
    </row>
    <row r="61" spans="1:4" x14ac:dyDescent="0.25">
      <c r="A61" s="1">
        <v>38473</v>
      </c>
      <c r="B61" s="2">
        <v>183490</v>
      </c>
      <c r="C61" s="2">
        <v>66478</v>
      </c>
      <c r="D61" s="2">
        <v>117012</v>
      </c>
    </row>
    <row r="62" spans="1:4" x14ac:dyDescent="0.25">
      <c r="A62" s="1">
        <v>38504</v>
      </c>
      <c r="B62" s="2">
        <v>185044</v>
      </c>
      <c r="C62" s="2">
        <v>66838</v>
      </c>
      <c r="D62" s="2">
        <v>118206</v>
      </c>
    </row>
    <row r="63" spans="1:4" x14ac:dyDescent="0.25">
      <c r="A63" s="1">
        <v>38534</v>
      </c>
      <c r="B63" s="2">
        <v>185258</v>
      </c>
      <c r="C63" s="2">
        <v>65623</v>
      </c>
      <c r="D63" s="2">
        <v>119635</v>
      </c>
    </row>
    <row r="64" spans="1:4" x14ac:dyDescent="0.25">
      <c r="A64" s="1">
        <v>38565</v>
      </c>
      <c r="B64" s="2">
        <v>187233</v>
      </c>
      <c r="C64" s="2">
        <v>65362</v>
      </c>
      <c r="D64" s="2">
        <v>121871</v>
      </c>
    </row>
    <row r="65" spans="1:4" x14ac:dyDescent="0.25">
      <c r="A65" s="1">
        <v>38596</v>
      </c>
      <c r="B65" s="2">
        <v>187851</v>
      </c>
      <c r="C65" s="2">
        <v>66858</v>
      </c>
      <c r="D65" s="2">
        <v>120993</v>
      </c>
    </row>
    <row r="66" spans="1:4" x14ac:dyDescent="0.25">
      <c r="A66" s="1">
        <v>38626</v>
      </c>
      <c r="B66" s="2">
        <v>190247</v>
      </c>
      <c r="C66" s="2">
        <v>69319</v>
      </c>
      <c r="D66" s="2">
        <v>120928</v>
      </c>
    </row>
    <row r="67" spans="1:4" x14ac:dyDescent="0.25">
      <c r="A67" s="1">
        <v>38657</v>
      </c>
      <c r="B67" s="2">
        <v>195153</v>
      </c>
      <c r="C67" s="2">
        <v>71019</v>
      </c>
      <c r="D67" s="2">
        <v>124134</v>
      </c>
    </row>
    <row r="68" spans="1:4" x14ac:dyDescent="0.25">
      <c r="A68" s="1">
        <v>38687</v>
      </c>
      <c r="B68" s="2">
        <v>203316</v>
      </c>
      <c r="C68" s="2">
        <v>73237</v>
      </c>
      <c r="D68" s="2">
        <v>130079</v>
      </c>
    </row>
    <row r="69" spans="1:4" x14ac:dyDescent="0.25">
      <c r="A69" s="1">
        <v>38718</v>
      </c>
      <c r="B69" s="2">
        <v>203263</v>
      </c>
      <c r="C69" s="2">
        <v>73905</v>
      </c>
      <c r="D69" s="2">
        <v>129358</v>
      </c>
    </row>
    <row r="70" spans="1:4" x14ac:dyDescent="0.25">
      <c r="A70" s="1">
        <v>38749</v>
      </c>
      <c r="B70" s="2">
        <v>202680</v>
      </c>
      <c r="C70" s="2">
        <v>74247</v>
      </c>
      <c r="D70" s="2">
        <v>128434</v>
      </c>
    </row>
    <row r="71" spans="1:4" x14ac:dyDescent="0.25">
      <c r="A71" s="1">
        <v>38777</v>
      </c>
      <c r="B71" s="2">
        <v>204720</v>
      </c>
      <c r="C71" s="2">
        <v>75508</v>
      </c>
      <c r="D71" s="2">
        <v>129213</v>
      </c>
    </row>
    <row r="72" spans="1:4" x14ac:dyDescent="0.25">
      <c r="A72" s="1">
        <v>38808</v>
      </c>
      <c r="B72" s="2">
        <v>206639</v>
      </c>
      <c r="C72" s="2">
        <v>76613</v>
      </c>
      <c r="D72" s="2">
        <v>130026</v>
      </c>
    </row>
    <row r="73" spans="1:4" x14ac:dyDescent="0.25">
      <c r="A73" s="1">
        <v>38838</v>
      </c>
      <c r="B73" s="2">
        <v>211109</v>
      </c>
      <c r="C73" s="2">
        <v>78187</v>
      </c>
      <c r="D73" s="2">
        <v>132922</v>
      </c>
    </row>
    <row r="74" spans="1:4" x14ac:dyDescent="0.25">
      <c r="A74" s="1">
        <v>38869</v>
      </c>
      <c r="B74" s="2">
        <v>212808</v>
      </c>
      <c r="C74" s="2">
        <v>79425</v>
      </c>
      <c r="D74" s="2">
        <v>133383</v>
      </c>
    </row>
    <row r="75" spans="1:4" x14ac:dyDescent="0.25">
      <c r="A75" s="1">
        <v>38899</v>
      </c>
      <c r="B75" s="2">
        <v>214372</v>
      </c>
      <c r="C75" s="2">
        <v>79271</v>
      </c>
      <c r="D75" s="2">
        <v>135101</v>
      </c>
    </row>
    <row r="76" spans="1:4" x14ac:dyDescent="0.25">
      <c r="A76" s="1">
        <v>38930</v>
      </c>
      <c r="B76" s="2">
        <v>215118</v>
      </c>
      <c r="C76" s="2">
        <v>80316</v>
      </c>
      <c r="D76" s="2">
        <v>134802</v>
      </c>
    </row>
    <row r="77" spans="1:4" x14ac:dyDescent="0.25">
      <c r="A77" s="1">
        <v>38961</v>
      </c>
      <c r="B77" s="2">
        <v>218333</v>
      </c>
      <c r="C77" s="2">
        <v>82424</v>
      </c>
      <c r="D77" s="2">
        <v>135909</v>
      </c>
    </row>
    <row r="78" spans="1:4" x14ac:dyDescent="0.25">
      <c r="A78" s="1">
        <v>38991</v>
      </c>
      <c r="B78" s="2">
        <v>221661</v>
      </c>
      <c r="C78" s="2">
        <v>85172</v>
      </c>
      <c r="D78" s="2">
        <v>136489</v>
      </c>
    </row>
    <row r="79" spans="1:4" x14ac:dyDescent="0.25">
      <c r="A79" s="1">
        <v>39022</v>
      </c>
      <c r="B79" s="2">
        <v>227837</v>
      </c>
      <c r="C79" s="2">
        <v>87215</v>
      </c>
      <c r="D79" s="2">
        <v>140622</v>
      </c>
    </row>
    <row r="80" spans="1:4" x14ac:dyDescent="0.25">
      <c r="A80" s="1">
        <v>39052</v>
      </c>
      <c r="B80" s="2">
        <v>234258</v>
      </c>
      <c r="C80" s="2">
        <v>88855</v>
      </c>
      <c r="D80" s="2">
        <v>145403</v>
      </c>
    </row>
    <row r="81" spans="1:4" x14ac:dyDescent="0.25">
      <c r="A81" s="1">
        <v>39083</v>
      </c>
      <c r="B81" s="2">
        <v>237155</v>
      </c>
      <c r="C81" s="2">
        <v>89850</v>
      </c>
      <c r="D81" s="2">
        <v>147305</v>
      </c>
    </row>
    <row r="82" spans="1:4" x14ac:dyDescent="0.25">
      <c r="A82" s="1">
        <v>39114</v>
      </c>
      <c r="B82" s="2">
        <v>237226</v>
      </c>
      <c r="C82" s="2">
        <v>90648</v>
      </c>
      <c r="D82" s="2">
        <v>146578</v>
      </c>
    </row>
    <row r="83" spans="1:4" x14ac:dyDescent="0.25">
      <c r="A83" s="1">
        <v>39142</v>
      </c>
      <c r="B83" s="2">
        <v>238049</v>
      </c>
      <c r="C83" s="2">
        <v>92071</v>
      </c>
      <c r="D83" s="2">
        <v>145978</v>
      </c>
    </row>
    <row r="84" spans="1:4" x14ac:dyDescent="0.25">
      <c r="A84" s="1">
        <v>39173</v>
      </c>
      <c r="B84" s="2">
        <v>239736</v>
      </c>
      <c r="C84" s="2">
        <v>93319</v>
      </c>
      <c r="D84" s="2">
        <v>146417</v>
      </c>
    </row>
    <row r="85" spans="1:4" x14ac:dyDescent="0.25">
      <c r="A85" s="1">
        <v>39203</v>
      </c>
      <c r="B85" s="2">
        <v>240233</v>
      </c>
      <c r="C85" s="2">
        <v>95117</v>
      </c>
      <c r="D85" s="2">
        <v>145116</v>
      </c>
    </row>
    <row r="86" spans="1:4" x14ac:dyDescent="0.25">
      <c r="A86" s="1">
        <v>39234</v>
      </c>
      <c r="B86" s="2">
        <v>242504</v>
      </c>
      <c r="C86" s="2">
        <v>96276</v>
      </c>
      <c r="D86" s="2">
        <v>146227</v>
      </c>
    </row>
    <row r="87" spans="1:4" x14ac:dyDescent="0.25">
      <c r="A87" s="1">
        <v>39264</v>
      </c>
      <c r="B87" s="2">
        <v>245212</v>
      </c>
      <c r="C87" s="2">
        <v>95945</v>
      </c>
      <c r="D87" s="2">
        <v>149268</v>
      </c>
    </row>
    <row r="88" spans="1:4" x14ac:dyDescent="0.25">
      <c r="A88" s="1">
        <v>39295</v>
      </c>
      <c r="B88" s="2">
        <v>251498</v>
      </c>
      <c r="C88" s="2">
        <v>97673</v>
      </c>
      <c r="D88" s="2">
        <v>153825</v>
      </c>
    </row>
    <row r="89" spans="1:4" x14ac:dyDescent="0.25">
      <c r="A89" s="1">
        <v>39326</v>
      </c>
      <c r="B89" s="2">
        <v>255077</v>
      </c>
      <c r="C89" s="2">
        <v>100038</v>
      </c>
      <c r="D89" s="2">
        <v>155040</v>
      </c>
    </row>
    <row r="90" spans="1:4" x14ac:dyDescent="0.25">
      <c r="A90" s="1">
        <v>39356</v>
      </c>
      <c r="B90" s="2">
        <v>262229</v>
      </c>
      <c r="C90" s="2">
        <v>102987</v>
      </c>
      <c r="D90" s="2">
        <v>159242</v>
      </c>
    </row>
    <row r="91" spans="1:4" x14ac:dyDescent="0.25">
      <c r="A91" s="1">
        <v>39387</v>
      </c>
      <c r="B91" s="2">
        <v>269020</v>
      </c>
      <c r="C91" s="2">
        <v>105293</v>
      </c>
      <c r="D91" s="2">
        <v>163727</v>
      </c>
    </row>
    <row r="92" spans="1:4" x14ac:dyDescent="0.25">
      <c r="A92" s="1">
        <v>39417</v>
      </c>
      <c r="B92" s="2">
        <v>275162</v>
      </c>
      <c r="C92" s="2">
        <v>107853</v>
      </c>
      <c r="D92" s="2">
        <v>167309</v>
      </c>
    </row>
    <row r="93" spans="1:4" x14ac:dyDescent="0.25">
      <c r="A93" s="1">
        <v>39448</v>
      </c>
      <c r="B93" s="2">
        <v>277590</v>
      </c>
      <c r="C93" s="2">
        <v>108760</v>
      </c>
      <c r="D93" s="2">
        <v>168830</v>
      </c>
    </row>
    <row r="94" spans="1:4" x14ac:dyDescent="0.25">
      <c r="A94" s="1">
        <v>39479</v>
      </c>
      <c r="B94" s="2">
        <v>279400</v>
      </c>
      <c r="C94" s="2">
        <v>110069</v>
      </c>
      <c r="D94" s="2">
        <v>169331</v>
      </c>
    </row>
    <row r="95" spans="1:4" x14ac:dyDescent="0.25">
      <c r="A95" s="1">
        <v>39508</v>
      </c>
      <c r="B95" s="2">
        <v>287588</v>
      </c>
      <c r="C95" s="2">
        <v>112592</v>
      </c>
      <c r="D95" s="2">
        <v>174996</v>
      </c>
    </row>
    <row r="96" spans="1:4" x14ac:dyDescent="0.25">
      <c r="A96" s="1">
        <v>39539</v>
      </c>
      <c r="B96" s="2">
        <v>292805</v>
      </c>
      <c r="C96" s="2">
        <v>115272</v>
      </c>
      <c r="D96" s="2">
        <v>177533</v>
      </c>
    </row>
    <row r="97" spans="1:4" x14ac:dyDescent="0.25">
      <c r="A97" s="1">
        <v>39569</v>
      </c>
      <c r="B97" s="2">
        <v>298821</v>
      </c>
      <c r="C97" s="2">
        <v>118744</v>
      </c>
      <c r="D97" s="2">
        <v>180077</v>
      </c>
    </row>
    <row r="98" spans="1:4" x14ac:dyDescent="0.25">
      <c r="A98" s="1">
        <v>39600</v>
      </c>
      <c r="B98" s="2">
        <v>303939</v>
      </c>
      <c r="C98" s="2">
        <v>121981</v>
      </c>
      <c r="D98" s="2">
        <v>181958</v>
      </c>
    </row>
    <row r="99" spans="1:4" x14ac:dyDescent="0.25">
      <c r="A99" s="1">
        <v>39630</v>
      </c>
      <c r="B99" s="2">
        <v>307530</v>
      </c>
      <c r="C99" s="2">
        <v>123530</v>
      </c>
      <c r="D99" s="2">
        <v>184000</v>
      </c>
    </row>
    <row r="100" spans="1:4" x14ac:dyDescent="0.25">
      <c r="A100" s="1">
        <v>39661</v>
      </c>
      <c r="B100" s="2">
        <v>311938</v>
      </c>
      <c r="C100" s="2">
        <v>126102</v>
      </c>
      <c r="D100" s="2">
        <v>185836</v>
      </c>
    </row>
    <row r="101" spans="1:4" x14ac:dyDescent="0.25">
      <c r="A101" s="1">
        <v>39692</v>
      </c>
      <c r="B101" s="2">
        <v>324089</v>
      </c>
      <c r="C101" s="2">
        <v>130763</v>
      </c>
      <c r="D101" s="2">
        <v>193326</v>
      </c>
    </row>
    <row r="102" spans="1:4" x14ac:dyDescent="0.25">
      <c r="A102" s="1">
        <v>39722</v>
      </c>
      <c r="B102" s="2">
        <v>336805</v>
      </c>
      <c r="C102" s="2">
        <v>133983</v>
      </c>
      <c r="D102" s="2">
        <v>202822</v>
      </c>
    </row>
    <row r="103" spans="1:4" x14ac:dyDescent="0.25">
      <c r="A103" s="1">
        <v>39753</v>
      </c>
      <c r="B103" s="2">
        <v>345755</v>
      </c>
      <c r="C103" s="2">
        <v>135561</v>
      </c>
      <c r="D103" s="2">
        <v>210194</v>
      </c>
    </row>
    <row r="104" spans="1:4" x14ac:dyDescent="0.25">
      <c r="A104" s="1">
        <v>39783</v>
      </c>
      <c r="B104" s="2">
        <v>356117</v>
      </c>
      <c r="C104" s="2">
        <v>138019</v>
      </c>
      <c r="D104" s="2">
        <v>218098</v>
      </c>
    </row>
    <row r="105" spans="1:4" x14ac:dyDescent="0.25">
      <c r="A105" s="1">
        <v>39814</v>
      </c>
      <c r="B105" s="2">
        <v>357865</v>
      </c>
      <c r="C105" s="2">
        <v>139062</v>
      </c>
      <c r="D105" s="2">
        <v>218803</v>
      </c>
    </row>
    <row r="106" spans="1:4" x14ac:dyDescent="0.25">
      <c r="A106" s="1">
        <v>39845</v>
      </c>
      <c r="B106" s="2">
        <v>362313</v>
      </c>
      <c r="C106" s="2">
        <v>140717</v>
      </c>
      <c r="D106" s="2">
        <v>221596</v>
      </c>
    </row>
    <row r="107" spans="1:4" x14ac:dyDescent="0.25">
      <c r="A107" s="1">
        <v>39873</v>
      </c>
      <c r="B107" s="2">
        <v>365758</v>
      </c>
      <c r="C107" s="2">
        <v>141124</v>
      </c>
      <c r="D107" s="2">
        <v>224634</v>
      </c>
    </row>
    <row r="108" spans="1:4" x14ac:dyDescent="0.25">
      <c r="A108" s="1">
        <v>39904</v>
      </c>
      <c r="B108" s="2">
        <v>369180</v>
      </c>
      <c r="C108" s="2">
        <v>143333</v>
      </c>
      <c r="D108" s="2">
        <v>225847</v>
      </c>
    </row>
    <row r="109" spans="1:4" x14ac:dyDescent="0.25">
      <c r="A109" s="1">
        <v>39934</v>
      </c>
      <c r="B109" s="2">
        <v>370774</v>
      </c>
      <c r="C109" s="2">
        <v>145737</v>
      </c>
      <c r="D109" s="2">
        <v>225037</v>
      </c>
    </row>
    <row r="110" spans="1:4" x14ac:dyDescent="0.25">
      <c r="A110" s="1">
        <v>39965</v>
      </c>
      <c r="B110" s="2">
        <v>378042</v>
      </c>
      <c r="C110" s="2">
        <v>147255</v>
      </c>
      <c r="D110" s="2">
        <v>230787</v>
      </c>
    </row>
    <row r="111" spans="1:4" x14ac:dyDescent="0.25">
      <c r="A111" s="1">
        <v>39995</v>
      </c>
      <c r="B111" s="2">
        <v>407069</v>
      </c>
      <c r="C111" s="2">
        <v>149978</v>
      </c>
      <c r="D111" s="2">
        <v>257090</v>
      </c>
    </row>
    <row r="112" spans="1:4" x14ac:dyDescent="0.25">
      <c r="A112" s="1">
        <v>40026</v>
      </c>
      <c r="B112" s="2">
        <v>417426</v>
      </c>
      <c r="C112" s="2">
        <v>154655</v>
      </c>
      <c r="D112" s="2">
        <v>262771</v>
      </c>
    </row>
    <row r="113" spans="1:4" x14ac:dyDescent="0.25">
      <c r="A113" s="1">
        <v>40057</v>
      </c>
      <c r="B113" s="2">
        <v>426201</v>
      </c>
      <c r="C113" s="2">
        <v>158623</v>
      </c>
      <c r="D113" s="2">
        <v>267578</v>
      </c>
    </row>
    <row r="114" spans="1:4" x14ac:dyDescent="0.25">
      <c r="A114" s="1">
        <v>40087</v>
      </c>
      <c r="B114" s="2">
        <v>435174</v>
      </c>
      <c r="C114" s="2">
        <v>163093</v>
      </c>
      <c r="D114" s="2">
        <v>272081</v>
      </c>
    </row>
    <row r="115" spans="1:4" x14ac:dyDescent="0.25">
      <c r="A115" s="1">
        <v>40118</v>
      </c>
      <c r="B115" s="2">
        <v>442768</v>
      </c>
      <c r="C115" s="2">
        <v>164338</v>
      </c>
      <c r="D115" s="2">
        <v>278430</v>
      </c>
    </row>
    <row r="116" spans="1:4" x14ac:dyDescent="0.25">
      <c r="A116" s="1">
        <v>40148</v>
      </c>
      <c r="B116" s="2">
        <v>459781</v>
      </c>
      <c r="C116" s="2">
        <v>166076</v>
      </c>
      <c r="D116" s="2">
        <v>293704</v>
      </c>
    </row>
    <row r="117" spans="1:4" x14ac:dyDescent="0.25">
      <c r="A117" s="1">
        <v>40179</v>
      </c>
      <c r="B117" s="2">
        <v>468531</v>
      </c>
      <c r="C117" s="2">
        <v>169463</v>
      </c>
      <c r="D117" s="2">
        <v>299068</v>
      </c>
    </row>
    <row r="118" spans="1:4" x14ac:dyDescent="0.25">
      <c r="A118" s="1">
        <v>40210</v>
      </c>
      <c r="B118" s="2">
        <v>472696</v>
      </c>
      <c r="C118" s="2">
        <v>172280</v>
      </c>
      <c r="D118" s="2">
        <v>300417</v>
      </c>
    </row>
    <row r="119" spans="1:4" x14ac:dyDescent="0.25">
      <c r="A119" s="1">
        <v>40238</v>
      </c>
      <c r="B119" s="2">
        <v>482327</v>
      </c>
      <c r="C119" s="2">
        <v>176868</v>
      </c>
      <c r="D119" s="2">
        <v>305459</v>
      </c>
    </row>
    <row r="120" spans="1:4" x14ac:dyDescent="0.25">
      <c r="A120" s="1">
        <v>40269</v>
      </c>
      <c r="B120" s="2">
        <v>486760</v>
      </c>
      <c r="C120" s="2">
        <v>179828</v>
      </c>
      <c r="D120" s="2">
        <v>306932</v>
      </c>
    </row>
    <row r="121" spans="1:4" x14ac:dyDescent="0.25">
      <c r="A121" s="1">
        <v>40299</v>
      </c>
      <c r="B121" s="2">
        <v>499522</v>
      </c>
      <c r="C121" s="2">
        <v>184103</v>
      </c>
      <c r="D121" s="2">
        <v>315420</v>
      </c>
    </row>
    <row r="122" spans="1:4" x14ac:dyDescent="0.25">
      <c r="A122" s="1">
        <v>40330</v>
      </c>
      <c r="B122" s="2">
        <v>512795</v>
      </c>
      <c r="C122" s="2">
        <v>186393</v>
      </c>
      <c r="D122" s="2">
        <v>326402</v>
      </c>
    </row>
    <row r="123" spans="1:4" x14ac:dyDescent="0.25">
      <c r="A123" s="1">
        <v>40360</v>
      </c>
      <c r="B123" s="2">
        <v>523130</v>
      </c>
      <c r="C123" s="2">
        <v>188920</v>
      </c>
      <c r="D123" s="2">
        <v>334210</v>
      </c>
    </row>
    <row r="124" spans="1:4" x14ac:dyDescent="0.25">
      <c r="A124" s="1">
        <v>40391</v>
      </c>
      <c r="B124" s="2">
        <v>542192</v>
      </c>
      <c r="C124" s="2">
        <v>194806</v>
      </c>
      <c r="D124" s="2">
        <v>347386</v>
      </c>
    </row>
    <row r="125" spans="1:4" x14ac:dyDescent="0.25">
      <c r="A125" s="1">
        <v>40422</v>
      </c>
      <c r="B125" s="2">
        <v>552088</v>
      </c>
      <c r="C125" s="2">
        <v>201312</v>
      </c>
      <c r="D125" s="2">
        <v>350776</v>
      </c>
    </row>
    <row r="126" spans="1:4" x14ac:dyDescent="0.25">
      <c r="A126" s="1">
        <v>40452</v>
      </c>
      <c r="B126" s="2">
        <v>564982</v>
      </c>
      <c r="C126" s="2">
        <v>206248</v>
      </c>
      <c r="D126" s="2">
        <v>358734</v>
      </c>
    </row>
    <row r="127" spans="1:4" x14ac:dyDescent="0.25">
      <c r="A127" s="1">
        <v>40483</v>
      </c>
      <c r="B127" s="2">
        <v>577513</v>
      </c>
      <c r="C127" s="2">
        <v>211293</v>
      </c>
      <c r="D127" s="2">
        <v>366220</v>
      </c>
    </row>
    <row r="128" spans="1:4" x14ac:dyDescent="0.25">
      <c r="A128" s="1">
        <v>40513</v>
      </c>
      <c r="B128" s="2">
        <v>589765</v>
      </c>
      <c r="C128" s="2">
        <v>218208</v>
      </c>
      <c r="D128" s="2">
        <v>371557</v>
      </c>
    </row>
    <row r="129" spans="1:4" x14ac:dyDescent="0.25">
      <c r="A129" s="1">
        <v>40544</v>
      </c>
      <c r="B129" s="2">
        <v>594950</v>
      </c>
      <c r="C129" s="2">
        <v>221300</v>
      </c>
      <c r="D129" s="2">
        <v>373650</v>
      </c>
    </row>
    <row r="130" spans="1:4" x14ac:dyDescent="0.25">
      <c r="A130" s="1">
        <v>40575</v>
      </c>
      <c r="B130" s="2">
        <v>602389</v>
      </c>
      <c r="C130" s="2">
        <v>225074</v>
      </c>
      <c r="D130" s="2">
        <v>377315</v>
      </c>
    </row>
    <row r="131" spans="1:4" x14ac:dyDescent="0.25">
      <c r="A131" s="1">
        <v>40603</v>
      </c>
      <c r="B131" s="2">
        <v>608562</v>
      </c>
      <c r="C131" s="2">
        <v>230738</v>
      </c>
      <c r="D131" s="2">
        <v>377824</v>
      </c>
    </row>
    <row r="132" spans="1:4" x14ac:dyDescent="0.25">
      <c r="A132" s="1">
        <v>40634</v>
      </c>
      <c r="B132" s="2">
        <v>615381</v>
      </c>
      <c r="C132" s="2">
        <v>236584</v>
      </c>
      <c r="D132" s="2">
        <v>378797</v>
      </c>
    </row>
    <row r="133" spans="1:4" x14ac:dyDescent="0.25">
      <c r="A133" s="1">
        <v>40664</v>
      </c>
      <c r="B133" s="2">
        <v>626551</v>
      </c>
      <c r="C133" s="2">
        <v>243681</v>
      </c>
      <c r="D133" s="2">
        <v>382870</v>
      </c>
    </row>
    <row r="134" spans="1:4" x14ac:dyDescent="0.25">
      <c r="A134" s="1">
        <v>40695</v>
      </c>
      <c r="B134" s="2">
        <v>639472</v>
      </c>
      <c r="C134" s="2">
        <v>253179</v>
      </c>
      <c r="D134" s="2">
        <v>386293</v>
      </c>
    </row>
    <row r="135" spans="1:4" x14ac:dyDescent="0.25">
      <c r="A135" s="1">
        <v>40725</v>
      </c>
      <c r="B135" s="2">
        <v>646282</v>
      </c>
      <c r="C135" s="2">
        <v>253559</v>
      </c>
      <c r="D135" s="2">
        <v>392723</v>
      </c>
    </row>
    <row r="136" spans="1:4" x14ac:dyDescent="0.25">
      <c r="A136" s="1">
        <v>40756</v>
      </c>
      <c r="B136" s="2">
        <v>663754</v>
      </c>
      <c r="C136" s="2">
        <v>263815</v>
      </c>
      <c r="D136" s="2">
        <v>399939</v>
      </c>
    </row>
    <row r="137" spans="1:4" x14ac:dyDescent="0.25">
      <c r="A137" s="1">
        <v>40787</v>
      </c>
      <c r="B137" s="2">
        <v>682135</v>
      </c>
      <c r="C137" s="2">
        <v>269683</v>
      </c>
      <c r="D137" s="2">
        <v>412452</v>
      </c>
    </row>
    <row r="138" spans="1:4" x14ac:dyDescent="0.25">
      <c r="A138" s="1">
        <v>40817</v>
      </c>
      <c r="B138" s="2">
        <v>686687</v>
      </c>
      <c r="C138" s="2">
        <v>275236</v>
      </c>
      <c r="D138" s="2">
        <v>411451</v>
      </c>
    </row>
    <row r="139" spans="1:4" x14ac:dyDescent="0.25">
      <c r="A139" s="1">
        <v>40848</v>
      </c>
      <c r="B139" s="2">
        <v>706266</v>
      </c>
      <c r="C139" s="2">
        <v>282399</v>
      </c>
      <c r="D139" s="2">
        <v>423867</v>
      </c>
    </row>
    <row r="140" spans="1:4" x14ac:dyDescent="0.25">
      <c r="A140" s="1">
        <v>40878</v>
      </c>
      <c r="B140" s="2">
        <v>725237</v>
      </c>
      <c r="C140" s="2">
        <v>289328</v>
      </c>
      <c r="D140" s="2">
        <v>435909</v>
      </c>
    </row>
    <row r="141" spans="1:4" x14ac:dyDescent="0.25">
      <c r="A141" s="1">
        <v>40909</v>
      </c>
      <c r="B141" s="2">
        <v>726825</v>
      </c>
      <c r="C141" s="2">
        <v>295067</v>
      </c>
      <c r="D141" s="2">
        <v>431758</v>
      </c>
    </row>
    <row r="142" spans="1:4" x14ac:dyDescent="0.25">
      <c r="A142" s="1">
        <v>40940</v>
      </c>
      <c r="B142" s="2">
        <v>731633</v>
      </c>
      <c r="C142" s="2">
        <v>299258</v>
      </c>
      <c r="D142" s="2">
        <v>432375</v>
      </c>
    </row>
    <row r="143" spans="1:4" x14ac:dyDescent="0.25">
      <c r="A143" s="1">
        <v>40969</v>
      </c>
      <c r="B143" s="2">
        <v>743474</v>
      </c>
      <c r="C143" s="2">
        <v>305928</v>
      </c>
      <c r="D143" s="2">
        <v>437546</v>
      </c>
    </row>
    <row r="144" spans="1:4" x14ac:dyDescent="0.25">
      <c r="A144" s="1">
        <v>41000</v>
      </c>
      <c r="B144" s="2">
        <v>752194</v>
      </c>
      <c r="C144" s="2">
        <v>310372</v>
      </c>
      <c r="D144" s="2">
        <v>441822</v>
      </c>
    </row>
    <row r="145" spans="1:4" x14ac:dyDescent="0.25">
      <c r="A145" s="1">
        <v>41030</v>
      </c>
      <c r="B145" s="2">
        <v>767301</v>
      </c>
      <c r="C145" s="2">
        <v>317987</v>
      </c>
      <c r="D145" s="2">
        <v>449314</v>
      </c>
    </row>
    <row r="146" spans="1:4" x14ac:dyDescent="0.25">
      <c r="A146" s="1">
        <v>41061</v>
      </c>
      <c r="B146" s="2">
        <v>777552</v>
      </c>
      <c r="C146" s="2">
        <v>326108</v>
      </c>
      <c r="D146" s="2">
        <v>451444</v>
      </c>
    </row>
    <row r="147" spans="1:4" x14ac:dyDescent="0.25">
      <c r="A147" s="1">
        <v>41091</v>
      </c>
      <c r="B147" s="2">
        <v>787844</v>
      </c>
      <c r="C147" s="2">
        <v>329188</v>
      </c>
      <c r="D147" s="2">
        <v>458656</v>
      </c>
    </row>
    <row r="148" spans="1:4" x14ac:dyDescent="0.25">
      <c r="A148" s="1">
        <v>41122</v>
      </c>
      <c r="B148" s="2">
        <v>801560</v>
      </c>
      <c r="C148" s="2">
        <v>342004</v>
      </c>
      <c r="D148" s="2">
        <v>459556</v>
      </c>
    </row>
    <row r="149" spans="1:4" x14ac:dyDescent="0.25">
      <c r="A149" s="1">
        <v>41153</v>
      </c>
      <c r="B149" s="2">
        <v>814264</v>
      </c>
      <c r="C149" s="2">
        <v>350789</v>
      </c>
      <c r="D149" s="2">
        <v>463475</v>
      </c>
    </row>
    <row r="150" spans="1:4" x14ac:dyDescent="0.25">
      <c r="A150" s="1">
        <v>41183</v>
      </c>
      <c r="B150" s="2">
        <v>831001</v>
      </c>
      <c r="C150" s="2">
        <v>361257</v>
      </c>
      <c r="D150" s="2">
        <v>469744</v>
      </c>
    </row>
    <row r="151" spans="1:4" x14ac:dyDescent="0.25">
      <c r="A151" s="1">
        <v>41214</v>
      </c>
      <c r="B151" s="2">
        <v>848856</v>
      </c>
      <c r="C151" s="2">
        <v>370228</v>
      </c>
      <c r="D151" s="2">
        <v>478627</v>
      </c>
    </row>
    <row r="152" spans="1:4" x14ac:dyDescent="0.25">
      <c r="A152" s="1">
        <v>41244</v>
      </c>
      <c r="B152" s="2">
        <v>873767</v>
      </c>
      <c r="C152" s="2">
        <v>383645</v>
      </c>
      <c r="D152" s="2">
        <v>490122</v>
      </c>
    </row>
    <row r="153" spans="1:4" x14ac:dyDescent="0.25">
      <c r="A153" t="s">
        <v>12</v>
      </c>
      <c r="B153" t="s">
        <v>13</v>
      </c>
      <c r="C153" t="s">
        <v>38</v>
      </c>
      <c r="D153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K331"/>
  <sheetViews>
    <sheetView tabSelected="1" zoomScale="55" zoomScaleNormal="55" workbookViewId="0">
      <pane xSplit="1" ySplit="3" topLeftCell="J126" activePane="bottomRight" state="frozen"/>
      <selection pane="topRight" activeCell="B1" sqref="B1"/>
      <selection pane="bottomLeft" activeCell="A4" sqref="A4"/>
      <selection pane="bottomRight" activeCell="W170" sqref="W170"/>
    </sheetView>
  </sheetViews>
  <sheetFormatPr defaultRowHeight="15" x14ac:dyDescent="0.25"/>
  <cols>
    <col min="2" max="2" width="16.85546875" style="9" bestFit="1" customWidth="1"/>
    <col min="3" max="4" width="15.28515625" style="9" bestFit="1" customWidth="1"/>
    <col min="5" max="7" width="19.7109375" customWidth="1"/>
    <col min="8" max="13" width="12.7109375" customWidth="1"/>
    <col min="15" max="15" width="13.140625" customWidth="1"/>
    <col min="16" max="16" width="13.28515625" bestFit="1" customWidth="1"/>
    <col min="17" max="17" width="15.140625" customWidth="1"/>
    <col min="18" max="20" width="13.7109375" customWidth="1"/>
    <col min="22" max="22" width="9.140625" style="7"/>
    <col min="28" max="28" width="11.5703125" bestFit="1" customWidth="1"/>
    <col min="30" max="30" width="11.5703125" bestFit="1" customWidth="1"/>
    <col min="32" max="32" width="16" customWidth="1"/>
    <col min="33" max="33" width="1.28515625" customWidth="1"/>
    <col min="36" max="36" width="9.5703125" bestFit="1" customWidth="1"/>
    <col min="37" max="37" width="13.28515625" bestFit="1" customWidth="1"/>
  </cols>
  <sheetData>
    <row r="1" spans="1:37" s="10" customFormat="1" x14ac:dyDescent="0.25">
      <c r="B1" s="25" t="s">
        <v>51</v>
      </c>
      <c r="C1" s="25"/>
      <c r="D1" s="25"/>
      <c r="E1" s="25"/>
      <c r="F1" s="25"/>
      <c r="G1" s="25"/>
      <c r="H1" s="26" t="s">
        <v>52</v>
      </c>
      <c r="I1" s="26"/>
      <c r="J1" s="26"/>
      <c r="K1" s="26"/>
      <c r="L1" s="26"/>
      <c r="M1" s="26"/>
      <c r="O1" s="10" t="s">
        <v>53</v>
      </c>
      <c r="P1" s="10" t="s">
        <v>54</v>
      </c>
      <c r="Q1" s="10" t="s">
        <v>55</v>
      </c>
      <c r="R1" s="10" t="s">
        <v>56</v>
      </c>
      <c r="S1" s="10" t="s">
        <v>65</v>
      </c>
      <c r="T1" s="10" t="s">
        <v>64</v>
      </c>
      <c r="V1" s="12" t="s">
        <v>57</v>
      </c>
      <c r="W1" s="10" t="s">
        <v>58</v>
      </c>
      <c r="Y1" s="10" t="s">
        <v>59</v>
      </c>
      <c r="Z1" s="10" t="s">
        <v>60</v>
      </c>
      <c r="AB1" s="10" t="s">
        <v>61</v>
      </c>
      <c r="AD1" s="10" t="s">
        <v>66</v>
      </c>
      <c r="AF1" s="10" t="s">
        <v>62</v>
      </c>
      <c r="AK1" s="10" t="s">
        <v>63</v>
      </c>
    </row>
    <row r="2" spans="1:37" x14ac:dyDescent="0.25">
      <c r="B2" s="9" t="s">
        <v>45</v>
      </c>
      <c r="C2" s="9" t="s">
        <v>46</v>
      </c>
      <c r="D2" s="9" t="s">
        <v>47</v>
      </c>
      <c r="E2" s="9" t="s">
        <v>48</v>
      </c>
      <c r="F2" s="9" t="s">
        <v>49</v>
      </c>
      <c r="G2" s="9" t="s">
        <v>50</v>
      </c>
      <c r="H2" s="9" t="s">
        <v>45</v>
      </c>
      <c r="I2" s="9" t="s">
        <v>46</v>
      </c>
      <c r="J2" s="9" t="s">
        <v>47</v>
      </c>
      <c r="K2" s="9" t="s">
        <v>48</v>
      </c>
      <c r="L2" s="9" t="s">
        <v>49</v>
      </c>
      <c r="M2" s="9" t="s">
        <v>50</v>
      </c>
    </row>
    <row r="3" spans="1:37" x14ac:dyDescent="0.25">
      <c r="A3" t="s">
        <v>0</v>
      </c>
      <c r="B3" s="9" t="s">
        <v>1</v>
      </c>
      <c r="C3" s="9" t="s">
        <v>2</v>
      </c>
      <c r="D3" s="9" t="s">
        <v>3</v>
      </c>
      <c r="E3" t="s">
        <v>35</v>
      </c>
      <c r="F3" t="s">
        <v>36</v>
      </c>
      <c r="G3" t="s">
        <v>37</v>
      </c>
      <c r="H3" t="s">
        <v>39</v>
      </c>
      <c r="I3" t="s">
        <v>40</v>
      </c>
      <c r="J3" t="s">
        <v>41</v>
      </c>
      <c r="K3" t="s">
        <v>42</v>
      </c>
      <c r="L3" t="s">
        <v>44</v>
      </c>
      <c r="M3" t="s">
        <v>43</v>
      </c>
      <c r="AJ3" t="s">
        <v>68</v>
      </c>
      <c r="AK3" t="s">
        <v>67</v>
      </c>
    </row>
    <row r="4" spans="1:37" x14ac:dyDescent="0.25">
      <c r="A4" s="1">
        <v>35339</v>
      </c>
      <c r="B4" s="9">
        <f>IFERROR(VLOOKUP($A4,ANTIGA_LIVRES!$A:$P,MATCH(APENDICE_BCB!B$3,ANTIGA_LIVRES!$1:$1,0),0)/1000,0)</f>
        <v>74723.881999999998</v>
      </c>
      <c r="C4" s="9">
        <f>IFERROR(VLOOKUP($A4,ANTIGA_LIVRES!$A:$P,MATCH(APENDICE_BCB!C$3,ANTIGA_LIVRES!$1:$1,0),0)/1000,0)</f>
        <v>58980.771000000001</v>
      </c>
      <c r="D4" s="9">
        <f>IFERROR(VLOOKUP($A4,ANTIGA_LIVRES!$A:$P,MATCH(APENDICE_BCB!D$3,ANTIGA_LIVRES!$1:$1,0),0)/1000,0)</f>
        <v>15743.11</v>
      </c>
      <c r="E4" s="9">
        <f>IFERROR(VLOOKUP($A4,ANTIGA_DIRECIONADOS!$A:$P,MATCH(APENDICE_BCB!E$3,ANTIGA_DIRECIONADOS!$1:$1,0),0),0)</f>
        <v>0</v>
      </c>
      <c r="F4" s="9">
        <f>IFERROR(VLOOKUP($A4,ANTIGA_DIRECIONADOS!$A:$P,MATCH(APENDICE_BCB!F$3,ANTIGA_DIRECIONADOS!$1:$1,0),0),0)</f>
        <v>0</v>
      </c>
      <c r="G4" s="9">
        <f>IFERROR(VLOOKUP($A4,ANTIGA_DIRECIONADOS!$A:$P,MATCH(APENDICE_BCB!G$3,ANTIGA_DIRECIONADOS!$1:$1,0),0),0)</f>
        <v>0</v>
      </c>
      <c r="H4" s="9">
        <f>IFERROR(VLOOKUP($A4,ATUAL_LIV_E_DIR!$A:$P,MATCH(APENDICE_BCB!H$3,ATUAL_LIV_E_DIR!$1:$1,0),0),0)</f>
        <v>0</v>
      </c>
      <c r="I4" s="9">
        <f>IFERROR(VLOOKUP($A4,ATUAL_LIV_E_DIR!$A:$P,MATCH(APENDICE_BCB!I$3,ATUAL_LIV_E_DIR!$1:$1,0),0),0)</f>
        <v>0</v>
      </c>
      <c r="J4" s="9">
        <f>IFERROR(VLOOKUP($A4,ATUAL_LIV_E_DIR!$A:$P,MATCH(APENDICE_BCB!J$3,ATUAL_LIV_E_DIR!$1:$1,0),0),0)</f>
        <v>0</v>
      </c>
      <c r="K4" s="9">
        <f>IFERROR(VLOOKUP($A4,ATUAL_LIV_E_DIR!$A:$P,MATCH(APENDICE_BCB!K$3,ATUAL_LIV_E_DIR!$1:$1,0),0),0)</f>
        <v>0</v>
      </c>
      <c r="L4" s="9">
        <f>IFERROR(VLOOKUP($A4,ATUAL_LIV_E_DIR!$A:$P,MATCH(APENDICE_BCB!L$3,ATUAL_LIV_E_DIR!$1:$1,0),0),0)</f>
        <v>0</v>
      </c>
      <c r="M4" s="9">
        <f>IFERROR(VLOOKUP($A4,ATUAL_LIV_E_DIR!$A:$P,MATCH(APENDICE_BCB!M$3,ATUAL_LIV_E_DIR!$1:$1,0),0),0)</f>
        <v>0</v>
      </c>
      <c r="O4" s="11">
        <f>B4+E4</f>
        <v>74723.881999999998</v>
      </c>
      <c r="P4" s="11">
        <f>H4+K4</f>
        <v>0</v>
      </c>
      <c r="Q4" s="11">
        <f>C4+G4</f>
        <v>58980.771000000001</v>
      </c>
      <c r="R4" s="11">
        <f>I4+M4</f>
        <v>0</v>
      </c>
      <c r="S4" s="11"/>
      <c r="T4" s="11"/>
      <c r="V4" s="7">
        <f>IFERROR(S4/O4,0)</f>
        <v>0</v>
      </c>
      <c r="W4">
        <f>IFERROR(T4/P4,0)</f>
        <v>0</v>
      </c>
      <c r="AB4" s="11"/>
      <c r="AD4" s="9"/>
      <c r="AI4" s="1">
        <v>36861</v>
      </c>
      <c r="AJ4" s="16">
        <v>2000</v>
      </c>
      <c r="AK4" s="19">
        <f>VLOOKUP(AI4,AE:AF,2,0)/1000</f>
        <v>112.55311158250655</v>
      </c>
    </row>
    <row r="5" spans="1:37" x14ac:dyDescent="0.25">
      <c r="A5" s="1">
        <v>35370</v>
      </c>
      <c r="B5" s="9">
        <f>IFERROR(VLOOKUP($A5,ANTIGA_LIVRES!$A:$P,MATCH(APENDICE_BCB!B$3,ANTIGA_LIVRES!$1:$1,0),0)/1000,0)</f>
        <v>78285.546000000002</v>
      </c>
      <c r="C5" s="9">
        <f>IFERROR(VLOOKUP($A5,ANTIGA_LIVRES!$A:$P,MATCH(APENDICE_BCB!C$3,ANTIGA_LIVRES!$1:$1,0),0)/1000,0)</f>
        <v>61076.091</v>
      </c>
      <c r="D5" s="9">
        <f>IFERROR(VLOOKUP($A5,ANTIGA_LIVRES!$A:$P,MATCH(APENDICE_BCB!D$3,ANTIGA_LIVRES!$1:$1,0),0)/1000,0)</f>
        <v>17209.455000000002</v>
      </c>
      <c r="E5" s="9">
        <f>IFERROR(VLOOKUP($A5,ANTIGA_DIRECIONADOS!$A:$P,MATCH(APENDICE_BCB!E$3,ANTIGA_DIRECIONADOS!$1:$1,0),0),0)</f>
        <v>0</v>
      </c>
      <c r="F5" s="9">
        <f>IFERROR(VLOOKUP($A5,ANTIGA_DIRECIONADOS!$A:$P,MATCH(APENDICE_BCB!F$3,ANTIGA_DIRECIONADOS!$1:$1,0),0),0)</f>
        <v>0</v>
      </c>
      <c r="G5" s="9">
        <f>IFERROR(VLOOKUP($A5,ANTIGA_DIRECIONADOS!$A:$P,MATCH(APENDICE_BCB!G$3,ANTIGA_DIRECIONADOS!$1:$1,0),0),0)</f>
        <v>0</v>
      </c>
      <c r="H5" s="9">
        <f>IFERROR(VLOOKUP($A5,ATUAL_LIV_E_DIR!$A:$P,MATCH(APENDICE_BCB!H$3,ATUAL_LIV_E_DIR!$1:$1,0),0),0)</f>
        <v>0</v>
      </c>
      <c r="I5" s="9">
        <f>IFERROR(VLOOKUP($A5,ATUAL_LIV_E_DIR!$A:$P,MATCH(APENDICE_BCB!I$3,ATUAL_LIV_E_DIR!$1:$1,0),0),0)</f>
        <v>0</v>
      </c>
      <c r="J5" s="9">
        <f>IFERROR(VLOOKUP($A5,ATUAL_LIV_E_DIR!$A:$P,MATCH(APENDICE_BCB!J$3,ATUAL_LIV_E_DIR!$1:$1,0),0),0)</f>
        <v>0</v>
      </c>
      <c r="K5" s="9">
        <f>IFERROR(VLOOKUP($A5,ATUAL_LIV_E_DIR!$A:$P,MATCH(APENDICE_BCB!K$3,ATUAL_LIV_E_DIR!$1:$1,0),0),0)</f>
        <v>0</v>
      </c>
      <c r="L5" s="9">
        <f>IFERROR(VLOOKUP($A5,ATUAL_LIV_E_DIR!$A:$P,MATCH(APENDICE_BCB!L$3,ATUAL_LIV_E_DIR!$1:$1,0),0),0)</f>
        <v>0</v>
      </c>
      <c r="M5" s="9">
        <f>IFERROR(VLOOKUP($A5,ATUAL_LIV_E_DIR!$A:$P,MATCH(APENDICE_BCB!M$3,ATUAL_LIV_E_DIR!$1:$1,0),0),0)</f>
        <v>0</v>
      </c>
      <c r="O5" s="11">
        <f t="shared" ref="O5:O68" si="0">B5+E5</f>
        <v>78285.546000000002</v>
      </c>
      <c r="P5" s="11">
        <f t="shared" ref="P5:P68" si="1">H5+K5</f>
        <v>0</v>
      </c>
      <c r="Q5" s="11">
        <f t="shared" ref="Q5:Q68" si="2">C5+G5</f>
        <v>61076.091</v>
      </c>
      <c r="R5" s="11">
        <f t="shared" ref="R5:R68" si="3">I5+M5</f>
        <v>0</v>
      </c>
      <c r="S5" s="11"/>
      <c r="T5" s="11"/>
      <c r="V5" s="7">
        <f t="shared" ref="V5:V68" si="4">IFERROR(S5/O5,0)</f>
        <v>0</v>
      </c>
      <c r="W5">
        <f t="shared" ref="W5:W68" si="5">IFERROR(T5/P5,0)</f>
        <v>0</v>
      </c>
      <c r="Y5" s="8">
        <f>IFERROR(O5/O4-1,0)</f>
        <v>4.766433307091833E-2</v>
      </c>
      <c r="Z5" s="8"/>
      <c r="AB5" s="11"/>
      <c r="AD5" s="9"/>
      <c r="AI5" s="1">
        <v>37226</v>
      </c>
      <c r="AJ5" s="16">
        <v>2001</v>
      </c>
      <c r="AK5" s="19">
        <f t="shared" ref="AK5:AK27" si="6">VLOOKUP(AI5,AE:AF,2,0)/1000</f>
        <v>127.66372525094241</v>
      </c>
    </row>
    <row r="6" spans="1:37" x14ac:dyDescent="0.25">
      <c r="A6" s="1">
        <v>35400</v>
      </c>
      <c r="B6" s="9">
        <f>IFERROR(VLOOKUP($A6,ANTIGA_LIVRES!$A:$P,MATCH(APENDICE_BCB!B$3,ANTIGA_LIVRES!$1:$1,0),0)/1000,0)</f>
        <v>77475.044999999998</v>
      </c>
      <c r="C6" s="9">
        <f>IFERROR(VLOOKUP($A6,ANTIGA_LIVRES!$A:$P,MATCH(APENDICE_BCB!C$3,ANTIGA_LIVRES!$1:$1,0),0)/1000,0)</f>
        <v>59403.624000000003</v>
      </c>
      <c r="D6" s="9">
        <f>IFERROR(VLOOKUP($A6,ANTIGA_LIVRES!$A:$P,MATCH(APENDICE_BCB!D$3,ANTIGA_LIVRES!$1:$1,0),0)/1000,0)</f>
        <v>18071.420999999998</v>
      </c>
      <c r="E6" s="9">
        <f>IFERROR(VLOOKUP($A6,ANTIGA_DIRECIONADOS!$A:$P,MATCH(APENDICE_BCB!E$3,ANTIGA_DIRECIONADOS!$1:$1,0),0),0)</f>
        <v>0</v>
      </c>
      <c r="F6" s="9">
        <f>IFERROR(VLOOKUP($A6,ANTIGA_DIRECIONADOS!$A:$P,MATCH(APENDICE_BCB!F$3,ANTIGA_DIRECIONADOS!$1:$1,0),0),0)</f>
        <v>0</v>
      </c>
      <c r="G6" s="9">
        <f>IFERROR(VLOOKUP($A6,ANTIGA_DIRECIONADOS!$A:$P,MATCH(APENDICE_BCB!G$3,ANTIGA_DIRECIONADOS!$1:$1,0),0),0)</f>
        <v>0</v>
      </c>
      <c r="H6" s="9">
        <f>IFERROR(VLOOKUP($A6,ATUAL_LIV_E_DIR!$A:$P,MATCH(APENDICE_BCB!H$3,ATUAL_LIV_E_DIR!$1:$1,0),0),0)</f>
        <v>0</v>
      </c>
      <c r="I6" s="9">
        <f>IFERROR(VLOOKUP($A6,ATUAL_LIV_E_DIR!$A:$P,MATCH(APENDICE_BCB!I$3,ATUAL_LIV_E_DIR!$1:$1,0),0),0)</f>
        <v>0</v>
      </c>
      <c r="J6" s="9">
        <f>IFERROR(VLOOKUP($A6,ATUAL_LIV_E_DIR!$A:$P,MATCH(APENDICE_BCB!J$3,ATUAL_LIV_E_DIR!$1:$1,0),0),0)</f>
        <v>0</v>
      </c>
      <c r="K6" s="9">
        <f>IFERROR(VLOOKUP($A6,ATUAL_LIV_E_DIR!$A:$P,MATCH(APENDICE_BCB!K$3,ATUAL_LIV_E_DIR!$1:$1,0),0),0)</f>
        <v>0</v>
      </c>
      <c r="L6" s="9">
        <f>IFERROR(VLOOKUP($A6,ATUAL_LIV_E_DIR!$A:$P,MATCH(APENDICE_BCB!L$3,ATUAL_LIV_E_DIR!$1:$1,0),0),0)</f>
        <v>0</v>
      </c>
      <c r="M6" s="9">
        <f>IFERROR(VLOOKUP($A6,ATUAL_LIV_E_DIR!$A:$P,MATCH(APENDICE_BCB!M$3,ATUAL_LIV_E_DIR!$1:$1,0),0),0)</f>
        <v>0</v>
      </c>
      <c r="O6" s="11">
        <f t="shared" si="0"/>
        <v>77475.044999999998</v>
      </c>
      <c r="P6" s="11">
        <f t="shared" si="1"/>
        <v>0</v>
      </c>
      <c r="Q6" s="11">
        <f t="shared" si="2"/>
        <v>59403.624000000003</v>
      </c>
      <c r="R6" s="11">
        <f t="shared" si="3"/>
        <v>0</v>
      </c>
      <c r="S6" s="11"/>
      <c r="T6" s="11"/>
      <c r="V6" s="7">
        <f t="shared" si="4"/>
        <v>0</v>
      </c>
      <c r="W6">
        <f t="shared" si="5"/>
        <v>0</v>
      </c>
      <c r="Y6" s="8">
        <f t="shared" ref="Y6:Y69" si="7">IFERROR(O6/O5-1,0)</f>
        <v>-1.0353137218970243E-2</v>
      </c>
      <c r="Z6" s="8"/>
      <c r="AB6" s="11"/>
      <c r="AD6" s="9"/>
      <c r="AI6" s="1">
        <v>37591</v>
      </c>
      <c r="AJ6" s="16">
        <v>2002</v>
      </c>
      <c r="AK6" s="19">
        <f t="shared" si="6"/>
        <v>141.3049737768672</v>
      </c>
    </row>
    <row r="7" spans="1:37" x14ac:dyDescent="0.25">
      <c r="A7" s="1">
        <v>35431</v>
      </c>
      <c r="B7" s="9">
        <f>IFERROR(VLOOKUP($A7,ANTIGA_LIVRES!$A:$P,MATCH(APENDICE_BCB!B$3,ANTIGA_LIVRES!$1:$1,0),0)/1000,0)</f>
        <v>79197.178</v>
      </c>
      <c r="C7" s="9">
        <f>IFERROR(VLOOKUP($A7,ANTIGA_LIVRES!$A:$P,MATCH(APENDICE_BCB!C$3,ANTIGA_LIVRES!$1:$1,0),0)/1000,0)</f>
        <v>59188.991000000002</v>
      </c>
      <c r="D7" s="9">
        <f>IFERROR(VLOOKUP($A7,ANTIGA_LIVRES!$A:$P,MATCH(APENDICE_BCB!D$3,ANTIGA_LIVRES!$1:$1,0),0)/1000,0)</f>
        <v>20008.185000000001</v>
      </c>
      <c r="E7" s="9">
        <f>IFERROR(VLOOKUP($A7,ANTIGA_DIRECIONADOS!$A:$P,MATCH(APENDICE_BCB!E$3,ANTIGA_DIRECIONADOS!$1:$1,0),0),0)</f>
        <v>0</v>
      </c>
      <c r="F7" s="9">
        <f>IFERROR(VLOOKUP($A7,ANTIGA_DIRECIONADOS!$A:$P,MATCH(APENDICE_BCB!F$3,ANTIGA_DIRECIONADOS!$1:$1,0),0),0)</f>
        <v>0</v>
      </c>
      <c r="G7" s="9">
        <f>IFERROR(VLOOKUP($A7,ANTIGA_DIRECIONADOS!$A:$P,MATCH(APENDICE_BCB!G$3,ANTIGA_DIRECIONADOS!$1:$1,0),0),0)</f>
        <v>0</v>
      </c>
      <c r="H7" s="9">
        <f>IFERROR(VLOOKUP($A7,ATUAL_LIV_E_DIR!$A:$P,MATCH(APENDICE_BCB!H$3,ATUAL_LIV_E_DIR!$1:$1,0),0),0)</f>
        <v>0</v>
      </c>
      <c r="I7" s="9">
        <f>IFERROR(VLOOKUP($A7,ATUAL_LIV_E_DIR!$A:$P,MATCH(APENDICE_BCB!I$3,ATUAL_LIV_E_DIR!$1:$1,0),0),0)</f>
        <v>0</v>
      </c>
      <c r="J7" s="9">
        <f>IFERROR(VLOOKUP($A7,ATUAL_LIV_E_DIR!$A:$P,MATCH(APENDICE_BCB!J$3,ATUAL_LIV_E_DIR!$1:$1,0),0),0)</f>
        <v>0</v>
      </c>
      <c r="K7" s="9">
        <f>IFERROR(VLOOKUP($A7,ATUAL_LIV_E_DIR!$A:$P,MATCH(APENDICE_BCB!K$3,ATUAL_LIV_E_DIR!$1:$1,0),0),0)</f>
        <v>0</v>
      </c>
      <c r="L7" s="9">
        <f>IFERROR(VLOOKUP($A7,ATUAL_LIV_E_DIR!$A:$P,MATCH(APENDICE_BCB!L$3,ATUAL_LIV_E_DIR!$1:$1,0),0),0)</f>
        <v>0</v>
      </c>
      <c r="M7" s="9">
        <f>IFERROR(VLOOKUP($A7,ATUAL_LIV_E_DIR!$A:$P,MATCH(APENDICE_BCB!M$3,ATUAL_LIV_E_DIR!$1:$1,0),0),0)</f>
        <v>0</v>
      </c>
      <c r="O7" s="11">
        <f t="shared" si="0"/>
        <v>79197.178</v>
      </c>
      <c r="P7" s="11">
        <f t="shared" si="1"/>
        <v>0</v>
      </c>
      <c r="Q7" s="11">
        <f t="shared" si="2"/>
        <v>59188.991000000002</v>
      </c>
      <c r="R7" s="11">
        <f t="shared" si="3"/>
        <v>0</v>
      </c>
      <c r="S7" s="11"/>
      <c r="T7" s="11"/>
      <c r="V7" s="7">
        <f t="shared" si="4"/>
        <v>0</v>
      </c>
      <c r="W7">
        <f t="shared" si="5"/>
        <v>0</v>
      </c>
      <c r="Y7" s="8">
        <f t="shared" si="7"/>
        <v>2.222822845730521E-2</v>
      </c>
      <c r="Z7" s="8"/>
      <c r="AB7" s="11"/>
      <c r="AD7" s="9"/>
      <c r="AI7" s="1">
        <v>37956</v>
      </c>
      <c r="AJ7" s="16">
        <v>2003</v>
      </c>
      <c r="AK7" s="19">
        <f t="shared" si="6"/>
        <v>167.28557002438845</v>
      </c>
    </row>
    <row r="8" spans="1:37" x14ac:dyDescent="0.25">
      <c r="A8" s="1">
        <v>35462</v>
      </c>
      <c r="B8" s="9">
        <f>IFERROR(VLOOKUP($A8,ANTIGA_LIVRES!$A:$P,MATCH(APENDICE_BCB!B$3,ANTIGA_LIVRES!$1:$1,0),0)/1000,0)</f>
        <v>79089.59</v>
      </c>
      <c r="C8" s="9">
        <f>IFERROR(VLOOKUP($A8,ANTIGA_LIVRES!$A:$P,MATCH(APENDICE_BCB!C$3,ANTIGA_LIVRES!$1:$1,0),0)/1000,0)</f>
        <v>57954.52</v>
      </c>
      <c r="D8" s="9">
        <f>IFERROR(VLOOKUP($A8,ANTIGA_LIVRES!$A:$P,MATCH(APENDICE_BCB!D$3,ANTIGA_LIVRES!$1:$1,0),0)/1000,0)</f>
        <v>21135.069</v>
      </c>
      <c r="E8" s="9">
        <f>IFERROR(VLOOKUP($A8,ANTIGA_DIRECIONADOS!$A:$P,MATCH(APENDICE_BCB!E$3,ANTIGA_DIRECIONADOS!$1:$1,0),0),0)</f>
        <v>0</v>
      </c>
      <c r="F8" s="9">
        <f>IFERROR(VLOOKUP($A8,ANTIGA_DIRECIONADOS!$A:$P,MATCH(APENDICE_BCB!F$3,ANTIGA_DIRECIONADOS!$1:$1,0),0),0)</f>
        <v>0</v>
      </c>
      <c r="G8" s="9">
        <f>IFERROR(VLOOKUP($A8,ANTIGA_DIRECIONADOS!$A:$P,MATCH(APENDICE_BCB!G$3,ANTIGA_DIRECIONADOS!$1:$1,0),0),0)</f>
        <v>0</v>
      </c>
      <c r="H8" s="9">
        <f>IFERROR(VLOOKUP($A8,ATUAL_LIV_E_DIR!$A:$P,MATCH(APENDICE_BCB!H$3,ATUAL_LIV_E_DIR!$1:$1,0),0),0)</f>
        <v>0</v>
      </c>
      <c r="I8" s="9">
        <f>IFERROR(VLOOKUP($A8,ATUAL_LIV_E_DIR!$A:$P,MATCH(APENDICE_BCB!I$3,ATUAL_LIV_E_DIR!$1:$1,0),0),0)</f>
        <v>0</v>
      </c>
      <c r="J8" s="9">
        <f>IFERROR(VLOOKUP($A8,ATUAL_LIV_E_DIR!$A:$P,MATCH(APENDICE_BCB!J$3,ATUAL_LIV_E_DIR!$1:$1,0),0),0)</f>
        <v>0</v>
      </c>
      <c r="K8" s="9">
        <f>IFERROR(VLOOKUP($A8,ATUAL_LIV_E_DIR!$A:$P,MATCH(APENDICE_BCB!K$3,ATUAL_LIV_E_DIR!$1:$1,0),0),0)</f>
        <v>0</v>
      </c>
      <c r="L8" s="9">
        <f>IFERROR(VLOOKUP($A8,ATUAL_LIV_E_DIR!$A:$P,MATCH(APENDICE_BCB!L$3,ATUAL_LIV_E_DIR!$1:$1,0),0),0)</f>
        <v>0</v>
      </c>
      <c r="M8" s="9">
        <f>IFERROR(VLOOKUP($A8,ATUAL_LIV_E_DIR!$A:$P,MATCH(APENDICE_BCB!M$3,ATUAL_LIV_E_DIR!$1:$1,0),0),0)</f>
        <v>0</v>
      </c>
      <c r="O8" s="11">
        <f t="shared" si="0"/>
        <v>79089.59</v>
      </c>
      <c r="P8" s="11">
        <f t="shared" si="1"/>
        <v>0</v>
      </c>
      <c r="Q8" s="11">
        <f t="shared" si="2"/>
        <v>57954.52</v>
      </c>
      <c r="R8" s="11">
        <f t="shared" si="3"/>
        <v>0</v>
      </c>
      <c r="S8" s="11"/>
      <c r="T8" s="11"/>
      <c r="V8" s="7">
        <f t="shared" si="4"/>
        <v>0</v>
      </c>
      <c r="W8">
        <f t="shared" si="5"/>
        <v>0</v>
      </c>
      <c r="Y8" s="8">
        <f t="shared" si="7"/>
        <v>-1.3584827479585782E-3</v>
      </c>
      <c r="Z8" s="8"/>
      <c r="AB8" s="11"/>
      <c r="AD8" s="9"/>
      <c r="AI8" s="1">
        <v>38322</v>
      </c>
      <c r="AJ8" s="16">
        <v>2004</v>
      </c>
      <c r="AK8" s="19">
        <f t="shared" si="6"/>
        <v>204.24167365105498</v>
      </c>
    </row>
    <row r="9" spans="1:37" x14ac:dyDescent="0.25">
      <c r="A9" s="1">
        <v>35490</v>
      </c>
      <c r="B9" s="9">
        <f>IFERROR(VLOOKUP($A9,ANTIGA_LIVRES!$A:$P,MATCH(APENDICE_BCB!B$3,ANTIGA_LIVRES!$1:$1,0),0)/1000,0)</f>
        <v>83038.191999999995</v>
      </c>
      <c r="C9" s="9">
        <f>IFERROR(VLOOKUP($A9,ANTIGA_LIVRES!$A:$P,MATCH(APENDICE_BCB!C$3,ANTIGA_LIVRES!$1:$1,0),0)/1000,0)</f>
        <v>61316.508000000002</v>
      </c>
      <c r="D9" s="9">
        <f>IFERROR(VLOOKUP($A9,ANTIGA_LIVRES!$A:$P,MATCH(APENDICE_BCB!D$3,ANTIGA_LIVRES!$1:$1,0),0)/1000,0)</f>
        <v>21721.683000000001</v>
      </c>
      <c r="E9" s="9">
        <f>IFERROR(VLOOKUP($A9,ANTIGA_DIRECIONADOS!$A:$P,MATCH(APENDICE_BCB!E$3,ANTIGA_DIRECIONADOS!$1:$1,0),0),0)</f>
        <v>0</v>
      </c>
      <c r="F9" s="9">
        <f>IFERROR(VLOOKUP($A9,ANTIGA_DIRECIONADOS!$A:$P,MATCH(APENDICE_BCB!F$3,ANTIGA_DIRECIONADOS!$1:$1,0),0),0)</f>
        <v>0</v>
      </c>
      <c r="G9" s="9">
        <f>IFERROR(VLOOKUP($A9,ANTIGA_DIRECIONADOS!$A:$P,MATCH(APENDICE_BCB!G$3,ANTIGA_DIRECIONADOS!$1:$1,0),0),0)</f>
        <v>0</v>
      </c>
      <c r="H9" s="9">
        <f>IFERROR(VLOOKUP($A9,ATUAL_LIV_E_DIR!$A:$P,MATCH(APENDICE_BCB!H$3,ATUAL_LIV_E_DIR!$1:$1,0),0),0)</f>
        <v>0</v>
      </c>
      <c r="I9" s="9">
        <f>IFERROR(VLOOKUP($A9,ATUAL_LIV_E_DIR!$A:$P,MATCH(APENDICE_BCB!I$3,ATUAL_LIV_E_DIR!$1:$1,0),0),0)</f>
        <v>0</v>
      </c>
      <c r="J9" s="9">
        <f>IFERROR(VLOOKUP($A9,ATUAL_LIV_E_DIR!$A:$P,MATCH(APENDICE_BCB!J$3,ATUAL_LIV_E_DIR!$1:$1,0),0),0)</f>
        <v>0</v>
      </c>
      <c r="K9" s="9">
        <f>IFERROR(VLOOKUP($A9,ATUAL_LIV_E_DIR!$A:$P,MATCH(APENDICE_BCB!K$3,ATUAL_LIV_E_DIR!$1:$1,0),0),0)</f>
        <v>0</v>
      </c>
      <c r="L9" s="9">
        <f>IFERROR(VLOOKUP($A9,ATUAL_LIV_E_DIR!$A:$P,MATCH(APENDICE_BCB!L$3,ATUAL_LIV_E_DIR!$1:$1,0),0),0)</f>
        <v>0</v>
      </c>
      <c r="M9" s="9">
        <f>IFERROR(VLOOKUP($A9,ATUAL_LIV_E_DIR!$A:$P,MATCH(APENDICE_BCB!M$3,ATUAL_LIV_E_DIR!$1:$1,0),0),0)</f>
        <v>0</v>
      </c>
      <c r="O9" s="11">
        <f t="shared" si="0"/>
        <v>83038.191999999995</v>
      </c>
      <c r="P9" s="11">
        <f t="shared" si="1"/>
        <v>0</v>
      </c>
      <c r="Q9" s="11">
        <f t="shared" si="2"/>
        <v>61316.508000000002</v>
      </c>
      <c r="R9" s="11">
        <f t="shared" si="3"/>
        <v>0</v>
      </c>
      <c r="S9" s="11"/>
      <c r="T9" s="11"/>
      <c r="V9" s="7">
        <f t="shared" si="4"/>
        <v>0</v>
      </c>
      <c r="W9">
        <f t="shared" si="5"/>
        <v>0</v>
      </c>
      <c r="Y9" s="8">
        <f t="shared" si="7"/>
        <v>4.9925685542180798E-2</v>
      </c>
      <c r="Z9" s="8"/>
      <c r="AB9" s="11"/>
      <c r="AD9" s="9"/>
      <c r="AI9" s="1">
        <v>38687</v>
      </c>
      <c r="AJ9" s="16">
        <v>2005</v>
      </c>
      <c r="AK9" s="19">
        <f t="shared" si="6"/>
        <v>261.10843824378793</v>
      </c>
    </row>
    <row r="10" spans="1:37" x14ac:dyDescent="0.25">
      <c r="A10" s="1">
        <v>35521</v>
      </c>
      <c r="B10" s="9">
        <f>IFERROR(VLOOKUP($A10,ANTIGA_LIVRES!$A:$P,MATCH(APENDICE_BCB!B$3,ANTIGA_LIVRES!$1:$1,0),0)/1000,0)</f>
        <v>84332.785999999993</v>
      </c>
      <c r="C10" s="9">
        <f>IFERROR(VLOOKUP($A10,ANTIGA_LIVRES!$A:$P,MATCH(APENDICE_BCB!C$3,ANTIGA_LIVRES!$1:$1,0),0)/1000,0)</f>
        <v>61247.148999999998</v>
      </c>
      <c r="D10" s="9">
        <f>IFERROR(VLOOKUP($A10,ANTIGA_LIVRES!$A:$P,MATCH(APENDICE_BCB!D$3,ANTIGA_LIVRES!$1:$1,0),0)/1000,0)</f>
        <v>23085.635999999999</v>
      </c>
      <c r="E10" s="9">
        <f>IFERROR(VLOOKUP($A10,ANTIGA_DIRECIONADOS!$A:$P,MATCH(APENDICE_BCB!E$3,ANTIGA_DIRECIONADOS!$1:$1,0),0),0)</f>
        <v>0</v>
      </c>
      <c r="F10" s="9">
        <f>IFERROR(VLOOKUP($A10,ANTIGA_DIRECIONADOS!$A:$P,MATCH(APENDICE_BCB!F$3,ANTIGA_DIRECIONADOS!$1:$1,0),0),0)</f>
        <v>0</v>
      </c>
      <c r="G10" s="9">
        <f>IFERROR(VLOOKUP($A10,ANTIGA_DIRECIONADOS!$A:$P,MATCH(APENDICE_BCB!G$3,ANTIGA_DIRECIONADOS!$1:$1,0),0),0)</f>
        <v>0</v>
      </c>
      <c r="H10" s="9">
        <f>IFERROR(VLOOKUP($A10,ATUAL_LIV_E_DIR!$A:$P,MATCH(APENDICE_BCB!H$3,ATUAL_LIV_E_DIR!$1:$1,0),0),0)</f>
        <v>0</v>
      </c>
      <c r="I10" s="9">
        <f>IFERROR(VLOOKUP($A10,ATUAL_LIV_E_DIR!$A:$P,MATCH(APENDICE_BCB!I$3,ATUAL_LIV_E_DIR!$1:$1,0),0),0)</f>
        <v>0</v>
      </c>
      <c r="J10" s="9">
        <f>IFERROR(VLOOKUP($A10,ATUAL_LIV_E_DIR!$A:$P,MATCH(APENDICE_BCB!J$3,ATUAL_LIV_E_DIR!$1:$1,0),0),0)</f>
        <v>0</v>
      </c>
      <c r="K10" s="9">
        <f>IFERROR(VLOOKUP($A10,ATUAL_LIV_E_DIR!$A:$P,MATCH(APENDICE_BCB!K$3,ATUAL_LIV_E_DIR!$1:$1,0),0),0)</f>
        <v>0</v>
      </c>
      <c r="L10" s="9">
        <f>IFERROR(VLOOKUP($A10,ATUAL_LIV_E_DIR!$A:$P,MATCH(APENDICE_BCB!L$3,ATUAL_LIV_E_DIR!$1:$1,0),0),0)</f>
        <v>0</v>
      </c>
      <c r="M10" s="9">
        <f>IFERROR(VLOOKUP($A10,ATUAL_LIV_E_DIR!$A:$P,MATCH(APENDICE_BCB!M$3,ATUAL_LIV_E_DIR!$1:$1,0),0),0)</f>
        <v>0</v>
      </c>
      <c r="O10" s="11">
        <f t="shared" si="0"/>
        <v>84332.785999999993</v>
      </c>
      <c r="P10" s="11">
        <f t="shared" si="1"/>
        <v>0</v>
      </c>
      <c r="Q10" s="11">
        <f t="shared" si="2"/>
        <v>61247.148999999998</v>
      </c>
      <c r="R10" s="11">
        <f t="shared" si="3"/>
        <v>0</v>
      </c>
      <c r="S10" s="11"/>
      <c r="T10" s="11"/>
      <c r="V10" s="7">
        <f t="shared" si="4"/>
        <v>0</v>
      </c>
      <c r="W10">
        <f t="shared" si="5"/>
        <v>0</v>
      </c>
      <c r="Y10" s="8">
        <f t="shared" si="7"/>
        <v>1.559034425990391E-2</v>
      </c>
      <c r="Z10" s="8"/>
      <c r="AB10" s="11"/>
      <c r="AD10" s="9"/>
      <c r="AI10" s="1">
        <v>39052</v>
      </c>
      <c r="AJ10" s="16">
        <v>2006</v>
      </c>
      <c r="AK10" s="19">
        <f t="shared" si="6"/>
        <v>320.85028697979936</v>
      </c>
    </row>
    <row r="11" spans="1:37" x14ac:dyDescent="0.25">
      <c r="A11" s="1">
        <v>35551</v>
      </c>
      <c r="B11" s="9">
        <f>IFERROR(VLOOKUP($A11,ANTIGA_LIVRES!$A:$P,MATCH(APENDICE_BCB!B$3,ANTIGA_LIVRES!$1:$1,0),0)/1000,0)</f>
        <v>86217.578999999998</v>
      </c>
      <c r="C11" s="9">
        <f>IFERROR(VLOOKUP($A11,ANTIGA_LIVRES!$A:$P,MATCH(APENDICE_BCB!C$3,ANTIGA_LIVRES!$1:$1,0),0)/1000,0)</f>
        <v>63038.788</v>
      </c>
      <c r="D11" s="9">
        <f>IFERROR(VLOOKUP($A11,ANTIGA_LIVRES!$A:$P,MATCH(APENDICE_BCB!D$3,ANTIGA_LIVRES!$1:$1,0),0)/1000,0)</f>
        <v>23178.791000000001</v>
      </c>
      <c r="E11" s="9">
        <f>IFERROR(VLOOKUP($A11,ANTIGA_DIRECIONADOS!$A:$P,MATCH(APENDICE_BCB!E$3,ANTIGA_DIRECIONADOS!$1:$1,0),0),0)</f>
        <v>0</v>
      </c>
      <c r="F11" s="9">
        <f>IFERROR(VLOOKUP($A11,ANTIGA_DIRECIONADOS!$A:$P,MATCH(APENDICE_BCB!F$3,ANTIGA_DIRECIONADOS!$1:$1,0),0),0)</f>
        <v>0</v>
      </c>
      <c r="G11" s="9">
        <f>IFERROR(VLOOKUP($A11,ANTIGA_DIRECIONADOS!$A:$P,MATCH(APENDICE_BCB!G$3,ANTIGA_DIRECIONADOS!$1:$1,0),0),0)</f>
        <v>0</v>
      </c>
      <c r="H11" s="9">
        <f>IFERROR(VLOOKUP($A11,ATUAL_LIV_E_DIR!$A:$P,MATCH(APENDICE_BCB!H$3,ATUAL_LIV_E_DIR!$1:$1,0),0),0)</f>
        <v>0</v>
      </c>
      <c r="I11" s="9">
        <f>IFERROR(VLOOKUP($A11,ATUAL_LIV_E_DIR!$A:$P,MATCH(APENDICE_BCB!I$3,ATUAL_LIV_E_DIR!$1:$1,0),0),0)</f>
        <v>0</v>
      </c>
      <c r="J11" s="9">
        <f>IFERROR(VLOOKUP($A11,ATUAL_LIV_E_DIR!$A:$P,MATCH(APENDICE_BCB!J$3,ATUAL_LIV_E_DIR!$1:$1,0),0),0)</f>
        <v>0</v>
      </c>
      <c r="K11" s="9">
        <f>IFERROR(VLOOKUP($A11,ATUAL_LIV_E_DIR!$A:$P,MATCH(APENDICE_BCB!K$3,ATUAL_LIV_E_DIR!$1:$1,0),0),0)</f>
        <v>0</v>
      </c>
      <c r="L11" s="9">
        <f>IFERROR(VLOOKUP($A11,ATUAL_LIV_E_DIR!$A:$P,MATCH(APENDICE_BCB!L$3,ATUAL_LIV_E_DIR!$1:$1,0),0),0)</f>
        <v>0</v>
      </c>
      <c r="M11" s="9">
        <f>IFERROR(VLOOKUP($A11,ATUAL_LIV_E_DIR!$A:$P,MATCH(APENDICE_BCB!M$3,ATUAL_LIV_E_DIR!$1:$1,0),0),0)</f>
        <v>0</v>
      </c>
      <c r="O11" s="11">
        <f t="shared" si="0"/>
        <v>86217.578999999998</v>
      </c>
      <c r="P11" s="11">
        <f t="shared" si="1"/>
        <v>0</v>
      </c>
      <c r="Q11" s="11">
        <f t="shared" si="2"/>
        <v>63038.788</v>
      </c>
      <c r="R11" s="11">
        <f t="shared" si="3"/>
        <v>0</v>
      </c>
      <c r="S11" s="11"/>
      <c r="T11" s="11"/>
      <c r="V11" s="7">
        <f t="shared" si="4"/>
        <v>0</v>
      </c>
      <c r="W11">
        <f t="shared" si="5"/>
        <v>0</v>
      </c>
      <c r="Y11" s="8">
        <f t="shared" si="7"/>
        <v>2.2349469161377034E-2</v>
      </c>
      <c r="Z11" s="8"/>
      <c r="AB11" s="11"/>
      <c r="AD11" s="9"/>
      <c r="AI11" s="1">
        <v>39417</v>
      </c>
      <c r="AJ11" s="16">
        <v>2007</v>
      </c>
      <c r="AK11" s="19">
        <f t="shared" si="6"/>
        <v>431.86500000000001</v>
      </c>
    </row>
    <row r="12" spans="1:37" x14ac:dyDescent="0.25">
      <c r="A12" s="1">
        <v>35582</v>
      </c>
      <c r="B12" s="9">
        <f>IFERROR(VLOOKUP($A12,ANTIGA_LIVRES!$A:$P,MATCH(APENDICE_BCB!B$3,ANTIGA_LIVRES!$1:$1,0),0)/1000,0)</f>
        <v>87567.012000000002</v>
      </c>
      <c r="C12" s="9">
        <f>IFERROR(VLOOKUP($A12,ANTIGA_LIVRES!$A:$P,MATCH(APENDICE_BCB!C$3,ANTIGA_LIVRES!$1:$1,0),0)/1000,0)</f>
        <v>63369.216999999997</v>
      </c>
      <c r="D12" s="9">
        <f>IFERROR(VLOOKUP($A12,ANTIGA_LIVRES!$A:$P,MATCH(APENDICE_BCB!D$3,ANTIGA_LIVRES!$1:$1,0),0)/1000,0)</f>
        <v>24197.794000000002</v>
      </c>
      <c r="E12" s="9">
        <f>IFERROR(VLOOKUP($A12,ANTIGA_DIRECIONADOS!$A:$P,MATCH(APENDICE_BCB!E$3,ANTIGA_DIRECIONADOS!$1:$1,0),0),0)</f>
        <v>0</v>
      </c>
      <c r="F12" s="9">
        <f>IFERROR(VLOOKUP($A12,ANTIGA_DIRECIONADOS!$A:$P,MATCH(APENDICE_BCB!F$3,ANTIGA_DIRECIONADOS!$1:$1,0),0),0)</f>
        <v>0</v>
      </c>
      <c r="G12" s="9">
        <f>IFERROR(VLOOKUP($A12,ANTIGA_DIRECIONADOS!$A:$P,MATCH(APENDICE_BCB!G$3,ANTIGA_DIRECIONADOS!$1:$1,0),0),0)</f>
        <v>0</v>
      </c>
      <c r="H12" s="9">
        <f>IFERROR(VLOOKUP($A12,ATUAL_LIV_E_DIR!$A:$P,MATCH(APENDICE_BCB!H$3,ATUAL_LIV_E_DIR!$1:$1,0),0),0)</f>
        <v>0</v>
      </c>
      <c r="I12" s="9">
        <f>IFERROR(VLOOKUP($A12,ATUAL_LIV_E_DIR!$A:$P,MATCH(APENDICE_BCB!I$3,ATUAL_LIV_E_DIR!$1:$1,0),0),0)</f>
        <v>0</v>
      </c>
      <c r="J12" s="9">
        <f>IFERROR(VLOOKUP($A12,ATUAL_LIV_E_DIR!$A:$P,MATCH(APENDICE_BCB!J$3,ATUAL_LIV_E_DIR!$1:$1,0),0),0)</f>
        <v>0</v>
      </c>
      <c r="K12" s="9">
        <f>IFERROR(VLOOKUP($A12,ATUAL_LIV_E_DIR!$A:$P,MATCH(APENDICE_BCB!K$3,ATUAL_LIV_E_DIR!$1:$1,0),0),0)</f>
        <v>0</v>
      </c>
      <c r="L12" s="9">
        <f>IFERROR(VLOOKUP($A12,ATUAL_LIV_E_DIR!$A:$P,MATCH(APENDICE_BCB!L$3,ATUAL_LIV_E_DIR!$1:$1,0),0),0)</f>
        <v>0</v>
      </c>
      <c r="M12" s="9">
        <f>IFERROR(VLOOKUP($A12,ATUAL_LIV_E_DIR!$A:$P,MATCH(APENDICE_BCB!M$3,ATUAL_LIV_E_DIR!$1:$1,0),0),0)</f>
        <v>0</v>
      </c>
      <c r="O12" s="11">
        <f t="shared" si="0"/>
        <v>87567.012000000002</v>
      </c>
      <c r="P12" s="11">
        <f t="shared" si="1"/>
        <v>0</v>
      </c>
      <c r="Q12" s="11">
        <f t="shared" si="2"/>
        <v>63369.216999999997</v>
      </c>
      <c r="R12" s="11">
        <f t="shared" si="3"/>
        <v>0</v>
      </c>
      <c r="S12" s="11"/>
      <c r="T12" s="11"/>
      <c r="V12" s="7">
        <f t="shared" si="4"/>
        <v>0</v>
      </c>
      <c r="W12">
        <f t="shared" si="5"/>
        <v>0</v>
      </c>
      <c r="Y12" s="8">
        <f t="shared" si="7"/>
        <v>1.5651483324531812E-2</v>
      </c>
      <c r="Z12" s="8"/>
      <c r="AB12" s="11"/>
      <c r="AD12" s="9"/>
      <c r="AI12" s="1">
        <v>39783</v>
      </c>
      <c r="AJ12" s="16">
        <v>2008</v>
      </c>
      <c r="AK12" s="19">
        <f t="shared" si="6"/>
        <v>534.21199999999999</v>
      </c>
    </row>
    <row r="13" spans="1:37" x14ac:dyDescent="0.25">
      <c r="A13" s="1">
        <v>35612</v>
      </c>
      <c r="B13" s="9">
        <f>IFERROR(VLOOKUP($A13,ANTIGA_LIVRES!$A:$P,MATCH(APENDICE_BCB!B$3,ANTIGA_LIVRES!$1:$1,0),0)/1000,0)</f>
        <v>87322.332999999999</v>
      </c>
      <c r="C13" s="9">
        <f>IFERROR(VLOOKUP($A13,ANTIGA_LIVRES!$A:$P,MATCH(APENDICE_BCB!C$3,ANTIGA_LIVRES!$1:$1,0),0)/1000,0)</f>
        <v>62823.898000000001</v>
      </c>
      <c r="D13" s="9">
        <f>IFERROR(VLOOKUP($A13,ANTIGA_LIVRES!$A:$P,MATCH(APENDICE_BCB!D$3,ANTIGA_LIVRES!$1:$1,0),0)/1000,0)</f>
        <v>24498.436000000002</v>
      </c>
      <c r="E13" s="9">
        <f>IFERROR(VLOOKUP($A13,ANTIGA_DIRECIONADOS!$A:$P,MATCH(APENDICE_BCB!E$3,ANTIGA_DIRECIONADOS!$1:$1,0),0),0)</f>
        <v>0</v>
      </c>
      <c r="F13" s="9">
        <f>IFERROR(VLOOKUP($A13,ANTIGA_DIRECIONADOS!$A:$P,MATCH(APENDICE_BCB!F$3,ANTIGA_DIRECIONADOS!$1:$1,0),0),0)</f>
        <v>0</v>
      </c>
      <c r="G13" s="9">
        <f>IFERROR(VLOOKUP($A13,ANTIGA_DIRECIONADOS!$A:$P,MATCH(APENDICE_BCB!G$3,ANTIGA_DIRECIONADOS!$1:$1,0),0),0)</f>
        <v>0</v>
      </c>
      <c r="H13" s="9">
        <f>IFERROR(VLOOKUP($A13,ATUAL_LIV_E_DIR!$A:$P,MATCH(APENDICE_BCB!H$3,ATUAL_LIV_E_DIR!$1:$1,0),0),0)</f>
        <v>0</v>
      </c>
      <c r="I13" s="9">
        <f>IFERROR(VLOOKUP($A13,ATUAL_LIV_E_DIR!$A:$P,MATCH(APENDICE_BCB!I$3,ATUAL_LIV_E_DIR!$1:$1,0),0),0)</f>
        <v>0</v>
      </c>
      <c r="J13" s="9">
        <f>IFERROR(VLOOKUP($A13,ATUAL_LIV_E_DIR!$A:$P,MATCH(APENDICE_BCB!J$3,ATUAL_LIV_E_DIR!$1:$1,0),0),0)</f>
        <v>0</v>
      </c>
      <c r="K13" s="9">
        <f>IFERROR(VLOOKUP($A13,ATUAL_LIV_E_DIR!$A:$P,MATCH(APENDICE_BCB!K$3,ATUAL_LIV_E_DIR!$1:$1,0),0),0)</f>
        <v>0</v>
      </c>
      <c r="L13" s="9">
        <f>IFERROR(VLOOKUP($A13,ATUAL_LIV_E_DIR!$A:$P,MATCH(APENDICE_BCB!L$3,ATUAL_LIV_E_DIR!$1:$1,0),0),0)</f>
        <v>0</v>
      </c>
      <c r="M13" s="9">
        <f>IFERROR(VLOOKUP($A13,ATUAL_LIV_E_DIR!$A:$P,MATCH(APENDICE_BCB!M$3,ATUAL_LIV_E_DIR!$1:$1,0),0),0)</f>
        <v>0</v>
      </c>
      <c r="O13" s="11">
        <f t="shared" si="0"/>
        <v>87322.332999999999</v>
      </c>
      <c r="P13" s="11">
        <f t="shared" si="1"/>
        <v>0</v>
      </c>
      <c r="Q13" s="11">
        <f t="shared" si="2"/>
        <v>62823.898000000001</v>
      </c>
      <c r="R13" s="11">
        <f t="shared" si="3"/>
        <v>0</v>
      </c>
      <c r="S13" s="11"/>
      <c r="T13" s="11"/>
      <c r="V13" s="7">
        <f t="shared" si="4"/>
        <v>0</v>
      </c>
      <c r="W13">
        <f t="shared" si="5"/>
        <v>0</v>
      </c>
      <c r="Y13" s="8">
        <f t="shared" si="7"/>
        <v>-2.7941914930248446E-3</v>
      </c>
      <c r="Z13" s="8"/>
      <c r="AB13" s="11"/>
      <c r="AD13" s="9"/>
      <c r="AI13" s="1">
        <v>40148</v>
      </c>
      <c r="AJ13" s="16">
        <v>2009</v>
      </c>
      <c r="AK13" s="19">
        <f t="shared" si="6"/>
        <v>626.55499999999995</v>
      </c>
    </row>
    <row r="14" spans="1:37" x14ac:dyDescent="0.25">
      <c r="A14" s="1">
        <v>35643</v>
      </c>
      <c r="B14" s="9">
        <f>IFERROR(VLOOKUP($A14,ANTIGA_LIVRES!$A:$P,MATCH(APENDICE_BCB!B$3,ANTIGA_LIVRES!$1:$1,0),0)/1000,0)</f>
        <v>88014.763999999996</v>
      </c>
      <c r="C14" s="9">
        <f>IFERROR(VLOOKUP($A14,ANTIGA_LIVRES!$A:$P,MATCH(APENDICE_BCB!C$3,ANTIGA_LIVRES!$1:$1,0),0)/1000,0)</f>
        <v>63175.341999999997</v>
      </c>
      <c r="D14" s="9">
        <f>IFERROR(VLOOKUP($A14,ANTIGA_LIVRES!$A:$P,MATCH(APENDICE_BCB!D$3,ANTIGA_LIVRES!$1:$1,0),0)/1000,0)</f>
        <v>24839.420999999998</v>
      </c>
      <c r="E14" s="9">
        <f>IFERROR(VLOOKUP($A14,ANTIGA_DIRECIONADOS!$A:$P,MATCH(APENDICE_BCB!E$3,ANTIGA_DIRECIONADOS!$1:$1,0),0),0)</f>
        <v>0</v>
      </c>
      <c r="F14" s="9">
        <f>IFERROR(VLOOKUP($A14,ANTIGA_DIRECIONADOS!$A:$P,MATCH(APENDICE_BCB!F$3,ANTIGA_DIRECIONADOS!$1:$1,0),0),0)</f>
        <v>0</v>
      </c>
      <c r="G14" s="9">
        <f>IFERROR(VLOOKUP($A14,ANTIGA_DIRECIONADOS!$A:$P,MATCH(APENDICE_BCB!G$3,ANTIGA_DIRECIONADOS!$1:$1,0),0),0)</f>
        <v>0</v>
      </c>
      <c r="H14" s="9">
        <f>IFERROR(VLOOKUP($A14,ATUAL_LIV_E_DIR!$A:$P,MATCH(APENDICE_BCB!H$3,ATUAL_LIV_E_DIR!$1:$1,0),0),0)</f>
        <v>0</v>
      </c>
      <c r="I14" s="9">
        <f>IFERROR(VLOOKUP($A14,ATUAL_LIV_E_DIR!$A:$P,MATCH(APENDICE_BCB!I$3,ATUAL_LIV_E_DIR!$1:$1,0),0),0)</f>
        <v>0</v>
      </c>
      <c r="J14" s="9">
        <f>IFERROR(VLOOKUP($A14,ATUAL_LIV_E_DIR!$A:$P,MATCH(APENDICE_BCB!J$3,ATUAL_LIV_E_DIR!$1:$1,0),0),0)</f>
        <v>0</v>
      </c>
      <c r="K14" s="9">
        <f>IFERROR(VLOOKUP($A14,ATUAL_LIV_E_DIR!$A:$P,MATCH(APENDICE_BCB!K$3,ATUAL_LIV_E_DIR!$1:$1,0),0),0)</f>
        <v>0</v>
      </c>
      <c r="L14" s="9">
        <f>IFERROR(VLOOKUP($A14,ATUAL_LIV_E_DIR!$A:$P,MATCH(APENDICE_BCB!L$3,ATUAL_LIV_E_DIR!$1:$1,0),0),0)</f>
        <v>0</v>
      </c>
      <c r="M14" s="9">
        <f>IFERROR(VLOOKUP($A14,ATUAL_LIV_E_DIR!$A:$P,MATCH(APENDICE_BCB!M$3,ATUAL_LIV_E_DIR!$1:$1,0),0),0)</f>
        <v>0</v>
      </c>
      <c r="O14" s="11">
        <f t="shared" si="0"/>
        <v>88014.763999999996</v>
      </c>
      <c r="P14" s="11">
        <f t="shared" si="1"/>
        <v>0</v>
      </c>
      <c r="Q14" s="11">
        <f t="shared" si="2"/>
        <v>63175.341999999997</v>
      </c>
      <c r="R14" s="11">
        <f t="shared" si="3"/>
        <v>0</v>
      </c>
      <c r="S14" s="11"/>
      <c r="T14" s="11"/>
      <c r="V14" s="7">
        <f t="shared" si="4"/>
        <v>0</v>
      </c>
      <c r="W14">
        <f t="shared" si="5"/>
        <v>0</v>
      </c>
      <c r="Y14" s="8">
        <f t="shared" si="7"/>
        <v>7.9295980330713611E-3</v>
      </c>
      <c r="Z14" s="8"/>
      <c r="AB14" s="11"/>
      <c r="AD14" s="9"/>
      <c r="AI14" s="1">
        <v>40513</v>
      </c>
      <c r="AJ14" s="16">
        <v>2010</v>
      </c>
      <c r="AK14" s="19">
        <f t="shared" si="6"/>
        <v>775.79700000000003</v>
      </c>
    </row>
    <row r="15" spans="1:37" x14ac:dyDescent="0.25">
      <c r="A15" s="1">
        <v>35674</v>
      </c>
      <c r="B15" s="9">
        <f>IFERROR(VLOOKUP($A15,ANTIGA_LIVRES!$A:$P,MATCH(APENDICE_BCB!B$3,ANTIGA_LIVRES!$1:$1,0),0)/1000,0)</f>
        <v>88157.467999999993</v>
      </c>
      <c r="C15" s="9">
        <f>IFERROR(VLOOKUP($A15,ANTIGA_LIVRES!$A:$P,MATCH(APENDICE_BCB!C$3,ANTIGA_LIVRES!$1:$1,0),0)/1000,0)</f>
        <v>64225.305999999997</v>
      </c>
      <c r="D15" s="9">
        <f>IFERROR(VLOOKUP($A15,ANTIGA_LIVRES!$A:$P,MATCH(APENDICE_BCB!D$3,ANTIGA_LIVRES!$1:$1,0),0)/1000,0)</f>
        <v>23932.162</v>
      </c>
      <c r="E15" s="9">
        <f>IFERROR(VLOOKUP($A15,ANTIGA_DIRECIONADOS!$A:$P,MATCH(APENDICE_BCB!E$3,ANTIGA_DIRECIONADOS!$1:$1,0),0),0)</f>
        <v>0</v>
      </c>
      <c r="F15" s="9">
        <f>IFERROR(VLOOKUP($A15,ANTIGA_DIRECIONADOS!$A:$P,MATCH(APENDICE_BCB!F$3,ANTIGA_DIRECIONADOS!$1:$1,0),0),0)</f>
        <v>0</v>
      </c>
      <c r="G15" s="9">
        <f>IFERROR(VLOOKUP($A15,ANTIGA_DIRECIONADOS!$A:$P,MATCH(APENDICE_BCB!G$3,ANTIGA_DIRECIONADOS!$1:$1,0),0),0)</f>
        <v>0</v>
      </c>
      <c r="H15" s="9">
        <f>IFERROR(VLOOKUP($A15,ATUAL_LIV_E_DIR!$A:$P,MATCH(APENDICE_BCB!H$3,ATUAL_LIV_E_DIR!$1:$1,0),0),0)</f>
        <v>0</v>
      </c>
      <c r="I15" s="9">
        <f>IFERROR(VLOOKUP($A15,ATUAL_LIV_E_DIR!$A:$P,MATCH(APENDICE_BCB!I$3,ATUAL_LIV_E_DIR!$1:$1,0),0),0)</f>
        <v>0</v>
      </c>
      <c r="J15" s="9">
        <f>IFERROR(VLOOKUP($A15,ATUAL_LIV_E_DIR!$A:$P,MATCH(APENDICE_BCB!J$3,ATUAL_LIV_E_DIR!$1:$1,0),0),0)</f>
        <v>0</v>
      </c>
      <c r="K15" s="9">
        <f>IFERROR(VLOOKUP($A15,ATUAL_LIV_E_DIR!$A:$P,MATCH(APENDICE_BCB!K$3,ATUAL_LIV_E_DIR!$1:$1,0),0),0)</f>
        <v>0</v>
      </c>
      <c r="L15" s="9">
        <f>IFERROR(VLOOKUP($A15,ATUAL_LIV_E_DIR!$A:$P,MATCH(APENDICE_BCB!L$3,ATUAL_LIV_E_DIR!$1:$1,0),0),0)</f>
        <v>0</v>
      </c>
      <c r="M15" s="9">
        <f>IFERROR(VLOOKUP($A15,ATUAL_LIV_E_DIR!$A:$P,MATCH(APENDICE_BCB!M$3,ATUAL_LIV_E_DIR!$1:$1,0),0),0)</f>
        <v>0</v>
      </c>
      <c r="O15" s="11">
        <f t="shared" si="0"/>
        <v>88157.467999999993</v>
      </c>
      <c r="P15" s="11">
        <f t="shared" si="1"/>
        <v>0</v>
      </c>
      <c r="Q15" s="11">
        <f t="shared" si="2"/>
        <v>64225.305999999997</v>
      </c>
      <c r="R15" s="11">
        <f t="shared" si="3"/>
        <v>0</v>
      </c>
      <c r="S15" s="11"/>
      <c r="T15" s="11"/>
      <c r="V15" s="7">
        <f t="shared" si="4"/>
        <v>0</v>
      </c>
      <c r="W15">
        <f t="shared" si="5"/>
        <v>0</v>
      </c>
      <c r="Y15" s="8">
        <f t="shared" si="7"/>
        <v>1.6213643429185964E-3</v>
      </c>
      <c r="Z15" s="8"/>
      <c r="AB15" s="11"/>
      <c r="AD15" s="9"/>
      <c r="AI15" s="1">
        <v>40878</v>
      </c>
      <c r="AJ15" s="16">
        <v>2011</v>
      </c>
      <c r="AK15" s="19">
        <f t="shared" si="6"/>
        <v>921.59799999999996</v>
      </c>
    </row>
    <row r="16" spans="1:37" x14ac:dyDescent="0.25">
      <c r="A16" s="1">
        <v>35704</v>
      </c>
      <c r="B16" s="9">
        <f>IFERROR(VLOOKUP($A16,ANTIGA_LIVRES!$A:$P,MATCH(APENDICE_BCB!B$3,ANTIGA_LIVRES!$1:$1,0),0)/1000,0)</f>
        <v>88734.642000000007</v>
      </c>
      <c r="C16" s="9">
        <f>IFERROR(VLOOKUP($A16,ANTIGA_LIVRES!$A:$P,MATCH(APENDICE_BCB!C$3,ANTIGA_LIVRES!$1:$1,0),0)/1000,0)</f>
        <v>64516.343000000001</v>
      </c>
      <c r="D16" s="9">
        <f>IFERROR(VLOOKUP($A16,ANTIGA_LIVRES!$A:$P,MATCH(APENDICE_BCB!D$3,ANTIGA_LIVRES!$1:$1,0),0)/1000,0)</f>
        <v>24218.297999999999</v>
      </c>
      <c r="E16" s="9">
        <f>IFERROR(VLOOKUP($A16,ANTIGA_DIRECIONADOS!$A:$P,MATCH(APENDICE_BCB!E$3,ANTIGA_DIRECIONADOS!$1:$1,0),0),0)</f>
        <v>0</v>
      </c>
      <c r="F16" s="9">
        <f>IFERROR(VLOOKUP($A16,ANTIGA_DIRECIONADOS!$A:$P,MATCH(APENDICE_BCB!F$3,ANTIGA_DIRECIONADOS!$1:$1,0),0),0)</f>
        <v>0</v>
      </c>
      <c r="G16" s="9">
        <f>IFERROR(VLOOKUP($A16,ANTIGA_DIRECIONADOS!$A:$P,MATCH(APENDICE_BCB!G$3,ANTIGA_DIRECIONADOS!$1:$1,0),0),0)</f>
        <v>0</v>
      </c>
      <c r="H16" s="9">
        <f>IFERROR(VLOOKUP($A16,ATUAL_LIV_E_DIR!$A:$P,MATCH(APENDICE_BCB!H$3,ATUAL_LIV_E_DIR!$1:$1,0),0),0)</f>
        <v>0</v>
      </c>
      <c r="I16" s="9">
        <f>IFERROR(VLOOKUP($A16,ATUAL_LIV_E_DIR!$A:$P,MATCH(APENDICE_BCB!I$3,ATUAL_LIV_E_DIR!$1:$1,0),0),0)</f>
        <v>0</v>
      </c>
      <c r="J16" s="9">
        <f>IFERROR(VLOOKUP($A16,ATUAL_LIV_E_DIR!$A:$P,MATCH(APENDICE_BCB!J$3,ATUAL_LIV_E_DIR!$1:$1,0),0),0)</f>
        <v>0</v>
      </c>
      <c r="K16" s="9">
        <f>IFERROR(VLOOKUP($A16,ATUAL_LIV_E_DIR!$A:$P,MATCH(APENDICE_BCB!K$3,ATUAL_LIV_E_DIR!$1:$1,0),0),0)</f>
        <v>0</v>
      </c>
      <c r="L16" s="9">
        <f>IFERROR(VLOOKUP($A16,ATUAL_LIV_E_DIR!$A:$P,MATCH(APENDICE_BCB!L$3,ATUAL_LIV_E_DIR!$1:$1,0),0),0)</f>
        <v>0</v>
      </c>
      <c r="M16" s="9">
        <f>IFERROR(VLOOKUP($A16,ATUAL_LIV_E_DIR!$A:$P,MATCH(APENDICE_BCB!M$3,ATUAL_LIV_E_DIR!$1:$1,0),0),0)</f>
        <v>0</v>
      </c>
      <c r="O16" s="11">
        <f t="shared" si="0"/>
        <v>88734.642000000007</v>
      </c>
      <c r="P16" s="11">
        <f t="shared" si="1"/>
        <v>0</v>
      </c>
      <c r="Q16" s="11">
        <f t="shared" si="2"/>
        <v>64516.343000000001</v>
      </c>
      <c r="R16" s="11">
        <f t="shared" si="3"/>
        <v>0</v>
      </c>
      <c r="S16" s="11"/>
      <c r="T16" s="11"/>
      <c r="V16" s="7">
        <f t="shared" si="4"/>
        <v>0</v>
      </c>
      <c r="W16">
        <f t="shared" si="5"/>
        <v>0</v>
      </c>
      <c r="Y16" s="8">
        <f t="shared" si="7"/>
        <v>6.5470800499851656E-3</v>
      </c>
      <c r="Z16" s="8"/>
      <c r="AB16" s="11"/>
      <c r="AD16" s="9"/>
      <c r="AI16" s="1">
        <v>41244</v>
      </c>
      <c r="AJ16" s="16">
        <v>2012</v>
      </c>
      <c r="AK16" s="19">
        <f t="shared" si="6"/>
        <v>1076.471</v>
      </c>
    </row>
    <row r="17" spans="1:37" x14ac:dyDescent="0.25">
      <c r="A17" s="1">
        <v>35735</v>
      </c>
      <c r="B17" s="9">
        <f>IFERROR(VLOOKUP($A17,ANTIGA_LIVRES!$A:$P,MATCH(APENDICE_BCB!B$3,ANTIGA_LIVRES!$1:$1,0),0)/1000,0)</f>
        <v>88106.567999999999</v>
      </c>
      <c r="C17" s="9">
        <f>IFERROR(VLOOKUP($A17,ANTIGA_LIVRES!$A:$P,MATCH(APENDICE_BCB!C$3,ANTIGA_LIVRES!$1:$1,0),0)/1000,0)</f>
        <v>64806.953999999998</v>
      </c>
      <c r="D17" s="9">
        <f>IFERROR(VLOOKUP($A17,ANTIGA_LIVRES!$A:$P,MATCH(APENDICE_BCB!D$3,ANTIGA_LIVRES!$1:$1,0),0)/1000,0)</f>
        <v>23299.614000000001</v>
      </c>
      <c r="E17" s="9">
        <f>IFERROR(VLOOKUP($A17,ANTIGA_DIRECIONADOS!$A:$P,MATCH(APENDICE_BCB!E$3,ANTIGA_DIRECIONADOS!$1:$1,0),0),0)</f>
        <v>0</v>
      </c>
      <c r="F17" s="9">
        <f>IFERROR(VLOOKUP($A17,ANTIGA_DIRECIONADOS!$A:$P,MATCH(APENDICE_BCB!F$3,ANTIGA_DIRECIONADOS!$1:$1,0),0),0)</f>
        <v>0</v>
      </c>
      <c r="G17" s="9">
        <f>IFERROR(VLOOKUP($A17,ANTIGA_DIRECIONADOS!$A:$P,MATCH(APENDICE_BCB!G$3,ANTIGA_DIRECIONADOS!$1:$1,0),0),0)</f>
        <v>0</v>
      </c>
      <c r="H17" s="9">
        <f>IFERROR(VLOOKUP($A17,ATUAL_LIV_E_DIR!$A:$P,MATCH(APENDICE_BCB!H$3,ATUAL_LIV_E_DIR!$1:$1,0),0),0)</f>
        <v>0</v>
      </c>
      <c r="I17" s="9">
        <f>IFERROR(VLOOKUP($A17,ATUAL_LIV_E_DIR!$A:$P,MATCH(APENDICE_BCB!I$3,ATUAL_LIV_E_DIR!$1:$1,0),0),0)</f>
        <v>0</v>
      </c>
      <c r="J17" s="9">
        <f>IFERROR(VLOOKUP($A17,ATUAL_LIV_E_DIR!$A:$P,MATCH(APENDICE_BCB!J$3,ATUAL_LIV_E_DIR!$1:$1,0),0),0)</f>
        <v>0</v>
      </c>
      <c r="K17" s="9">
        <f>IFERROR(VLOOKUP($A17,ATUAL_LIV_E_DIR!$A:$P,MATCH(APENDICE_BCB!K$3,ATUAL_LIV_E_DIR!$1:$1,0),0),0)</f>
        <v>0</v>
      </c>
      <c r="L17" s="9">
        <f>IFERROR(VLOOKUP($A17,ATUAL_LIV_E_DIR!$A:$P,MATCH(APENDICE_BCB!L$3,ATUAL_LIV_E_DIR!$1:$1,0),0),0)</f>
        <v>0</v>
      </c>
      <c r="M17" s="9">
        <f>IFERROR(VLOOKUP($A17,ATUAL_LIV_E_DIR!$A:$P,MATCH(APENDICE_BCB!M$3,ATUAL_LIV_E_DIR!$1:$1,0),0),0)</f>
        <v>0</v>
      </c>
      <c r="O17" s="11">
        <f t="shared" si="0"/>
        <v>88106.567999999999</v>
      </c>
      <c r="P17" s="11">
        <f t="shared" si="1"/>
        <v>0</v>
      </c>
      <c r="Q17" s="11">
        <f t="shared" si="2"/>
        <v>64806.953999999998</v>
      </c>
      <c r="R17" s="11">
        <f t="shared" si="3"/>
        <v>0</v>
      </c>
      <c r="S17" s="11"/>
      <c r="T17" s="11"/>
      <c r="V17" s="7">
        <f t="shared" si="4"/>
        <v>0</v>
      </c>
      <c r="W17">
        <f t="shared" si="5"/>
        <v>0</v>
      </c>
      <c r="Y17" s="8">
        <f t="shared" si="7"/>
        <v>-7.0781149936910426E-3</v>
      </c>
      <c r="Z17" s="8"/>
      <c r="AB17" s="11"/>
      <c r="AD17" s="9"/>
      <c r="AI17" s="1">
        <v>41609</v>
      </c>
      <c r="AJ17" s="16">
        <v>2013</v>
      </c>
      <c r="AK17" s="19">
        <f t="shared" si="6"/>
        <v>1249.3710000000001</v>
      </c>
    </row>
    <row r="18" spans="1:37" x14ac:dyDescent="0.25">
      <c r="A18" s="1">
        <v>35765</v>
      </c>
      <c r="B18" s="9">
        <f>IFERROR(VLOOKUP($A18,ANTIGA_LIVRES!$A:$P,MATCH(APENDICE_BCB!B$3,ANTIGA_LIVRES!$1:$1,0),0)/1000,0)</f>
        <v>85531.05</v>
      </c>
      <c r="C18" s="9">
        <f>IFERROR(VLOOKUP($A18,ANTIGA_LIVRES!$A:$P,MATCH(APENDICE_BCB!C$3,ANTIGA_LIVRES!$1:$1,0),0)/1000,0)</f>
        <v>63270.074000000001</v>
      </c>
      <c r="D18" s="9">
        <f>IFERROR(VLOOKUP($A18,ANTIGA_LIVRES!$A:$P,MATCH(APENDICE_BCB!D$3,ANTIGA_LIVRES!$1:$1,0),0)/1000,0)</f>
        <v>22260.975999999999</v>
      </c>
      <c r="E18" s="9">
        <f>IFERROR(VLOOKUP($A18,ANTIGA_DIRECIONADOS!$A:$P,MATCH(APENDICE_BCB!E$3,ANTIGA_DIRECIONADOS!$1:$1,0),0),0)</f>
        <v>0</v>
      </c>
      <c r="F18" s="9">
        <f>IFERROR(VLOOKUP($A18,ANTIGA_DIRECIONADOS!$A:$P,MATCH(APENDICE_BCB!F$3,ANTIGA_DIRECIONADOS!$1:$1,0),0),0)</f>
        <v>0</v>
      </c>
      <c r="G18" s="9">
        <f>IFERROR(VLOOKUP($A18,ANTIGA_DIRECIONADOS!$A:$P,MATCH(APENDICE_BCB!G$3,ANTIGA_DIRECIONADOS!$1:$1,0),0),0)</f>
        <v>0</v>
      </c>
      <c r="H18" s="9">
        <f>IFERROR(VLOOKUP($A18,ATUAL_LIV_E_DIR!$A:$P,MATCH(APENDICE_BCB!H$3,ATUAL_LIV_E_DIR!$1:$1,0),0),0)</f>
        <v>0</v>
      </c>
      <c r="I18" s="9">
        <f>IFERROR(VLOOKUP($A18,ATUAL_LIV_E_DIR!$A:$P,MATCH(APENDICE_BCB!I$3,ATUAL_LIV_E_DIR!$1:$1,0),0),0)</f>
        <v>0</v>
      </c>
      <c r="J18" s="9">
        <f>IFERROR(VLOOKUP($A18,ATUAL_LIV_E_DIR!$A:$P,MATCH(APENDICE_BCB!J$3,ATUAL_LIV_E_DIR!$1:$1,0),0),0)</f>
        <v>0</v>
      </c>
      <c r="K18" s="9">
        <f>IFERROR(VLOOKUP($A18,ATUAL_LIV_E_DIR!$A:$P,MATCH(APENDICE_BCB!K$3,ATUAL_LIV_E_DIR!$1:$1,0),0),0)</f>
        <v>0</v>
      </c>
      <c r="L18" s="9">
        <f>IFERROR(VLOOKUP($A18,ATUAL_LIV_E_DIR!$A:$P,MATCH(APENDICE_BCB!L$3,ATUAL_LIV_E_DIR!$1:$1,0),0),0)</f>
        <v>0</v>
      </c>
      <c r="M18" s="9">
        <f>IFERROR(VLOOKUP($A18,ATUAL_LIV_E_DIR!$A:$P,MATCH(APENDICE_BCB!M$3,ATUAL_LIV_E_DIR!$1:$1,0),0),0)</f>
        <v>0</v>
      </c>
      <c r="O18" s="11">
        <f t="shared" si="0"/>
        <v>85531.05</v>
      </c>
      <c r="P18" s="11">
        <f t="shared" si="1"/>
        <v>0</v>
      </c>
      <c r="Q18" s="11">
        <f t="shared" si="2"/>
        <v>63270.074000000001</v>
      </c>
      <c r="R18" s="11">
        <f t="shared" si="3"/>
        <v>0</v>
      </c>
      <c r="S18" s="11"/>
      <c r="T18" s="11"/>
      <c r="V18" s="7">
        <f t="shared" si="4"/>
        <v>0</v>
      </c>
      <c r="W18">
        <f t="shared" si="5"/>
        <v>0</v>
      </c>
      <c r="Y18" s="8">
        <f t="shared" si="7"/>
        <v>-2.9231850229372136E-2</v>
      </c>
      <c r="Z18" s="8"/>
      <c r="AB18" s="11"/>
      <c r="AD18" s="9"/>
      <c r="AI18" s="1">
        <v>41974</v>
      </c>
      <c r="AJ18" s="16">
        <v>2014</v>
      </c>
      <c r="AK18" s="19">
        <f t="shared" si="6"/>
        <v>1416.0650000000001</v>
      </c>
    </row>
    <row r="19" spans="1:37" x14ac:dyDescent="0.25">
      <c r="A19" s="1">
        <v>35796</v>
      </c>
      <c r="B19" s="9">
        <f>IFERROR(VLOOKUP($A19,ANTIGA_LIVRES!$A:$P,MATCH(APENDICE_BCB!B$3,ANTIGA_LIVRES!$1:$1,0),0)/1000,0)</f>
        <v>84627.957999999999</v>
      </c>
      <c r="C19" s="9">
        <f>IFERROR(VLOOKUP($A19,ANTIGA_LIVRES!$A:$P,MATCH(APENDICE_BCB!C$3,ANTIGA_LIVRES!$1:$1,0),0)/1000,0)</f>
        <v>62191.809000000001</v>
      </c>
      <c r="D19" s="9">
        <f>IFERROR(VLOOKUP($A19,ANTIGA_LIVRES!$A:$P,MATCH(APENDICE_BCB!D$3,ANTIGA_LIVRES!$1:$1,0),0)/1000,0)</f>
        <v>22436.148000000001</v>
      </c>
      <c r="E19" s="9">
        <f>IFERROR(VLOOKUP($A19,ANTIGA_DIRECIONADOS!$A:$P,MATCH(APENDICE_BCB!E$3,ANTIGA_DIRECIONADOS!$1:$1,0),0),0)</f>
        <v>0</v>
      </c>
      <c r="F19" s="9">
        <f>IFERROR(VLOOKUP($A19,ANTIGA_DIRECIONADOS!$A:$P,MATCH(APENDICE_BCB!F$3,ANTIGA_DIRECIONADOS!$1:$1,0),0),0)</f>
        <v>0</v>
      </c>
      <c r="G19" s="9">
        <f>IFERROR(VLOOKUP($A19,ANTIGA_DIRECIONADOS!$A:$P,MATCH(APENDICE_BCB!G$3,ANTIGA_DIRECIONADOS!$1:$1,0),0),0)</f>
        <v>0</v>
      </c>
      <c r="H19" s="9">
        <f>IFERROR(VLOOKUP($A19,ATUAL_LIV_E_DIR!$A:$P,MATCH(APENDICE_BCB!H$3,ATUAL_LIV_E_DIR!$1:$1,0),0),0)</f>
        <v>0</v>
      </c>
      <c r="I19" s="9">
        <f>IFERROR(VLOOKUP($A19,ATUAL_LIV_E_DIR!$A:$P,MATCH(APENDICE_BCB!I$3,ATUAL_LIV_E_DIR!$1:$1,0),0),0)</f>
        <v>0</v>
      </c>
      <c r="J19" s="9">
        <f>IFERROR(VLOOKUP($A19,ATUAL_LIV_E_DIR!$A:$P,MATCH(APENDICE_BCB!J$3,ATUAL_LIV_E_DIR!$1:$1,0),0),0)</f>
        <v>0</v>
      </c>
      <c r="K19" s="9">
        <f>IFERROR(VLOOKUP($A19,ATUAL_LIV_E_DIR!$A:$P,MATCH(APENDICE_BCB!K$3,ATUAL_LIV_E_DIR!$1:$1,0),0),0)</f>
        <v>0</v>
      </c>
      <c r="L19" s="9">
        <f>IFERROR(VLOOKUP($A19,ATUAL_LIV_E_DIR!$A:$P,MATCH(APENDICE_BCB!L$3,ATUAL_LIV_E_DIR!$1:$1,0),0),0)</f>
        <v>0</v>
      </c>
      <c r="M19" s="9">
        <f>IFERROR(VLOOKUP($A19,ATUAL_LIV_E_DIR!$A:$P,MATCH(APENDICE_BCB!M$3,ATUAL_LIV_E_DIR!$1:$1,0),0),0)</f>
        <v>0</v>
      </c>
      <c r="O19" s="11">
        <f t="shared" si="0"/>
        <v>84627.957999999999</v>
      </c>
      <c r="P19" s="11">
        <f t="shared" si="1"/>
        <v>0</v>
      </c>
      <c r="Q19" s="11">
        <f t="shared" si="2"/>
        <v>62191.809000000001</v>
      </c>
      <c r="R19" s="11">
        <f t="shared" si="3"/>
        <v>0</v>
      </c>
      <c r="S19" s="11"/>
      <c r="T19" s="11"/>
      <c r="V19" s="7">
        <f t="shared" si="4"/>
        <v>0</v>
      </c>
      <c r="W19">
        <f t="shared" si="5"/>
        <v>0</v>
      </c>
      <c r="Y19" s="8">
        <f t="shared" si="7"/>
        <v>-1.0558645076846451E-2</v>
      </c>
      <c r="Z19" s="8"/>
      <c r="AB19" s="11"/>
      <c r="AD19" s="9"/>
      <c r="AI19" s="1">
        <v>42339</v>
      </c>
      <c r="AJ19" s="16">
        <v>2015</v>
      </c>
      <c r="AK19" s="19">
        <f t="shared" si="6"/>
        <v>1518.663</v>
      </c>
    </row>
    <row r="20" spans="1:37" x14ac:dyDescent="0.25">
      <c r="A20" s="1">
        <v>35827</v>
      </c>
      <c r="B20" s="9">
        <f>IFERROR(VLOOKUP($A20,ANTIGA_LIVRES!$A:$P,MATCH(APENDICE_BCB!B$3,ANTIGA_LIVRES!$1:$1,0),0)/1000,0)</f>
        <v>84838.328999999998</v>
      </c>
      <c r="C20" s="9">
        <f>IFERROR(VLOOKUP($A20,ANTIGA_LIVRES!$A:$P,MATCH(APENDICE_BCB!C$3,ANTIGA_LIVRES!$1:$1,0),0)/1000,0)</f>
        <v>62445.451000000001</v>
      </c>
      <c r="D20" s="9">
        <f>IFERROR(VLOOKUP($A20,ANTIGA_LIVRES!$A:$P,MATCH(APENDICE_BCB!D$3,ANTIGA_LIVRES!$1:$1,0),0)/1000,0)</f>
        <v>22392.877</v>
      </c>
      <c r="E20" s="9">
        <f>IFERROR(VLOOKUP($A20,ANTIGA_DIRECIONADOS!$A:$P,MATCH(APENDICE_BCB!E$3,ANTIGA_DIRECIONADOS!$1:$1,0),0),0)</f>
        <v>0</v>
      </c>
      <c r="F20" s="9">
        <f>IFERROR(VLOOKUP($A20,ANTIGA_DIRECIONADOS!$A:$P,MATCH(APENDICE_BCB!F$3,ANTIGA_DIRECIONADOS!$1:$1,0),0),0)</f>
        <v>0</v>
      </c>
      <c r="G20" s="9">
        <f>IFERROR(VLOOKUP($A20,ANTIGA_DIRECIONADOS!$A:$P,MATCH(APENDICE_BCB!G$3,ANTIGA_DIRECIONADOS!$1:$1,0),0),0)</f>
        <v>0</v>
      </c>
      <c r="H20" s="9">
        <f>IFERROR(VLOOKUP($A20,ATUAL_LIV_E_DIR!$A:$P,MATCH(APENDICE_BCB!H$3,ATUAL_LIV_E_DIR!$1:$1,0),0),0)</f>
        <v>0</v>
      </c>
      <c r="I20" s="9">
        <f>IFERROR(VLOOKUP($A20,ATUAL_LIV_E_DIR!$A:$P,MATCH(APENDICE_BCB!I$3,ATUAL_LIV_E_DIR!$1:$1,0),0),0)</f>
        <v>0</v>
      </c>
      <c r="J20" s="9">
        <f>IFERROR(VLOOKUP($A20,ATUAL_LIV_E_DIR!$A:$P,MATCH(APENDICE_BCB!J$3,ATUAL_LIV_E_DIR!$1:$1,0),0),0)</f>
        <v>0</v>
      </c>
      <c r="K20" s="9">
        <f>IFERROR(VLOOKUP($A20,ATUAL_LIV_E_DIR!$A:$P,MATCH(APENDICE_BCB!K$3,ATUAL_LIV_E_DIR!$1:$1,0),0),0)</f>
        <v>0</v>
      </c>
      <c r="L20" s="9">
        <f>IFERROR(VLOOKUP($A20,ATUAL_LIV_E_DIR!$A:$P,MATCH(APENDICE_BCB!L$3,ATUAL_LIV_E_DIR!$1:$1,0),0),0)</f>
        <v>0</v>
      </c>
      <c r="M20" s="9">
        <f>IFERROR(VLOOKUP($A20,ATUAL_LIV_E_DIR!$A:$P,MATCH(APENDICE_BCB!M$3,ATUAL_LIV_E_DIR!$1:$1,0),0),0)</f>
        <v>0</v>
      </c>
      <c r="O20" s="11">
        <f t="shared" si="0"/>
        <v>84838.328999999998</v>
      </c>
      <c r="P20" s="11">
        <f t="shared" si="1"/>
        <v>0</v>
      </c>
      <c r="Q20" s="11">
        <f t="shared" si="2"/>
        <v>62445.451000000001</v>
      </c>
      <c r="R20" s="11">
        <f t="shared" si="3"/>
        <v>0</v>
      </c>
      <c r="S20" s="11"/>
      <c r="T20" s="11"/>
      <c r="V20" s="7">
        <f t="shared" si="4"/>
        <v>0</v>
      </c>
      <c r="W20">
        <f t="shared" si="5"/>
        <v>0</v>
      </c>
      <c r="Y20" s="8">
        <f t="shared" si="7"/>
        <v>2.4858333459965021E-3</v>
      </c>
      <c r="Z20" s="8"/>
      <c r="AB20" s="11"/>
      <c r="AD20" s="9"/>
      <c r="AI20" s="1">
        <v>42705</v>
      </c>
      <c r="AJ20" s="16">
        <v>2016</v>
      </c>
      <c r="AK20" s="19">
        <f t="shared" si="6"/>
        <v>1569.163</v>
      </c>
    </row>
    <row r="21" spans="1:37" x14ac:dyDescent="0.25">
      <c r="A21" s="1">
        <v>35855</v>
      </c>
      <c r="B21" s="9">
        <f>IFERROR(VLOOKUP($A21,ANTIGA_LIVRES!$A:$P,MATCH(APENDICE_BCB!B$3,ANTIGA_LIVRES!$1:$1,0),0)/1000,0)</f>
        <v>84648.453999999998</v>
      </c>
      <c r="C21" s="9">
        <f>IFERROR(VLOOKUP($A21,ANTIGA_LIVRES!$A:$P,MATCH(APENDICE_BCB!C$3,ANTIGA_LIVRES!$1:$1,0),0)/1000,0)</f>
        <v>62494.995000000003</v>
      </c>
      <c r="D21" s="9">
        <f>IFERROR(VLOOKUP($A21,ANTIGA_LIVRES!$A:$P,MATCH(APENDICE_BCB!D$3,ANTIGA_LIVRES!$1:$1,0),0)/1000,0)</f>
        <v>22153.458999999999</v>
      </c>
      <c r="E21" s="9">
        <f>IFERROR(VLOOKUP($A21,ANTIGA_DIRECIONADOS!$A:$P,MATCH(APENDICE_BCB!E$3,ANTIGA_DIRECIONADOS!$1:$1,0),0),0)</f>
        <v>0</v>
      </c>
      <c r="F21" s="9">
        <f>IFERROR(VLOOKUP($A21,ANTIGA_DIRECIONADOS!$A:$P,MATCH(APENDICE_BCB!F$3,ANTIGA_DIRECIONADOS!$1:$1,0),0),0)</f>
        <v>0</v>
      </c>
      <c r="G21" s="9">
        <f>IFERROR(VLOOKUP($A21,ANTIGA_DIRECIONADOS!$A:$P,MATCH(APENDICE_BCB!G$3,ANTIGA_DIRECIONADOS!$1:$1,0),0),0)</f>
        <v>0</v>
      </c>
      <c r="H21" s="9">
        <f>IFERROR(VLOOKUP($A21,ATUAL_LIV_E_DIR!$A:$P,MATCH(APENDICE_BCB!H$3,ATUAL_LIV_E_DIR!$1:$1,0),0),0)</f>
        <v>0</v>
      </c>
      <c r="I21" s="9">
        <f>IFERROR(VLOOKUP($A21,ATUAL_LIV_E_DIR!$A:$P,MATCH(APENDICE_BCB!I$3,ATUAL_LIV_E_DIR!$1:$1,0),0),0)</f>
        <v>0</v>
      </c>
      <c r="J21" s="9">
        <f>IFERROR(VLOOKUP($A21,ATUAL_LIV_E_DIR!$A:$P,MATCH(APENDICE_BCB!J$3,ATUAL_LIV_E_DIR!$1:$1,0),0),0)</f>
        <v>0</v>
      </c>
      <c r="K21" s="9">
        <f>IFERROR(VLOOKUP($A21,ATUAL_LIV_E_DIR!$A:$P,MATCH(APENDICE_BCB!K$3,ATUAL_LIV_E_DIR!$1:$1,0),0),0)</f>
        <v>0</v>
      </c>
      <c r="L21" s="9">
        <f>IFERROR(VLOOKUP($A21,ATUAL_LIV_E_DIR!$A:$P,MATCH(APENDICE_BCB!L$3,ATUAL_LIV_E_DIR!$1:$1,0),0),0)</f>
        <v>0</v>
      </c>
      <c r="M21" s="9">
        <f>IFERROR(VLOOKUP($A21,ATUAL_LIV_E_DIR!$A:$P,MATCH(APENDICE_BCB!M$3,ATUAL_LIV_E_DIR!$1:$1,0),0),0)</f>
        <v>0</v>
      </c>
      <c r="O21" s="11">
        <f t="shared" si="0"/>
        <v>84648.453999999998</v>
      </c>
      <c r="P21" s="11">
        <f t="shared" si="1"/>
        <v>0</v>
      </c>
      <c r="Q21" s="11">
        <f t="shared" si="2"/>
        <v>62494.995000000003</v>
      </c>
      <c r="R21" s="11">
        <f t="shared" si="3"/>
        <v>0</v>
      </c>
      <c r="S21" s="11"/>
      <c r="T21" s="11"/>
      <c r="V21" s="7">
        <f t="shared" si="4"/>
        <v>0</v>
      </c>
      <c r="W21">
        <f t="shared" si="5"/>
        <v>0</v>
      </c>
      <c r="Y21" s="8">
        <f t="shared" si="7"/>
        <v>-2.2380803846336894E-3</v>
      </c>
      <c r="Z21" s="8"/>
      <c r="AB21" s="11"/>
      <c r="AD21" s="9"/>
      <c r="AI21" s="1">
        <v>43070</v>
      </c>
      <c r="AJ21" s="16">
        <v>2017</v>
      </c>
      <c r="AK21" s="19">
        <f t="shared" si="6"/>
        <v>1660.162</v>
      </c>
    </row>
    <row r="22" spans="1:37" x14ac:dyDescent="0.25">
      <c r="A22" s="1">
        <v>35886</v>
      </c>
      <c r="B22" s="9">
        <f>IFERROR(VLOOKUP($A22,ANTIGA_LIVRES!$A:$P,MATCH(APENDICE_BCB!B$3,ANTIGA_LIVRES!$1:$1,0),0)/1000,0)</f>
        <v>85095.448999999993</v>
      </c>
      <c r="C22" s="9">
        <f>IFERROR(VLOOKUP($A22,ANTIGA_LIVRES!$A:$P,MATCH(APENDICE_BCB!C$3,ANTIGA_LIVRES!$1:$1,0),0)/1000,0)</f>
        <v>63048.241999999998</v>
      </c>
      <c r="D22" s="9">
        <f>IFERROR(VLOOKUP($A22,ANTIGA_LIVRES!$A:$P,MATCH(APENDICE_BCB!D$3,ANTIGA_LIVRES!$1:$1,0),0)/1000,0)</f>
        <v>22047.207999999999</v>
      </c>
      <c r="E22" s="9">
        <f>IFERROR(VLOOKUP($A22,ANTIGA_DIRECIONADOS!$A:$P,MATCH(APENDICE_BCB!E$3,ANTIGA_DIRECIONADOS!$1:$1,0),0),0)</f>
        <v>0</v>
      </c>
      <c r="F22" s="9">
        <f>IFERROR(VLOOKUP($A22,ANTIGA_DIRECIONADOS!$A:$P,MATCH(APENDICE_BCB!F$3,ANTIGA_DIRECIONADOS!$1:$1,0),0),0)</f>
        <v>0</v>
      </c>
      <c r="G22" s="9">
        <f>IFERROR(VLOOKUP($A22,ANTIGA_DIRECIONADOS!$A:$P,MATCH(APENDICE_BCB!G$3,ANTIGA_DIRECIONADOS!$1:$1,0),0),0)</f>
        <v>0</v>
      </c>
      <c r="H22" s="9">
        <f>IFERROR(VLOOKUP($A22,ATUAL_LIV_E_DIR!$A:$P,MATCH(APENDICE_BCB!H$3,ATUAL_LIV_E_DIR!$1:$1,0),0),0)</f>
        <v>0</v>
      </c>
      <c r="I22" s="9">
        <f>IFERROR(VLOOKUP($A22,ATUAL_LIV_E_DIR!$A:$P,MATCH(APENDICE_BCB!I$3,ATUAL_LIV_E_DIR!$1:$1,0),0),0)</f>
        <v>0</v>
      </c>
      <c r="J22" s="9">
        <f>IFERROR(VLOOKUP($A22,ATUAL_LIV_E_DIR!$A:$P,MATCH(APENDICE_BCB!J$3,ATUAL_LIV_E_DIR!$1:$1,0),0),0)</f>
        <v>0</v>
      </c>
      <c r="K22" s="9">
        <f>IFERROR(VLOOKUP($A22,ATUAL_LIV_E_DIR!$A:$P,MATCH(APENDICE_BCB!K$3,ATUAL_LIV_E_DIR!$1:$1,0),0),0)</f>
        <v>0</v>
      </c>
      <c r="L22" s="9">
        <f>IFERROR(VLOOKUP($A22,ATUAL_LIV_E_DIR!$A:$P,MATCH(APENDICE_BCB!L$3,ATUAL_LIV_E_DIR!$1:$1,0),0),0)</f>
        <v>0</v>
      </c>
      <c r="M22" s="9">
        <f>IFERROR(VLOOKUP($A22,ATUAL_LIV_E_DIR!$A:$P,MATCH(APENDICE_BCB!M$3,ATUAL_LIV_E_DIR!$1:$1,0),0),0)</f>
        <v>0</v>
      </c>
      <c r="O22" s="11">
        <f t="shared" si="0"/>
        <v>85095.448999999993</v>
      </c>
      <c r="P22" s="11">
        <f t="shared" si="1"/>
        <v>0</v>
      </c>
      <c r="Q22" s="11">
        <f t="shared" si="2"/>
        <v>63048.241999999998</v>
      </c>
      <c r="R22" s="11">
        <f t="shared" si="3"/>
        <v>0</v>
      </c>
      <c r="S22" s="11"/>
      <c r="T22" s="11"/>
      <c r="V22" s="7">
        <f t="shared" si="4"/>
        <v>0</v>
      </c>
      <c r="W22">
        <f t="shared" si="5"/>
        <v>0</v>
      </c>
      <c r="Y22" s="8">
        <f t="shared" si="7"/>
        <v>5.2806044160003118E-3</v>
      </c>
      <c r="Z22" s="8"/>
      <c r="AB22" s="11"/>
      <c r="AD22" s="9"/>
      <c r="AI22" s="1">
        <v>43435</v>
      </c>
      <c r="AJ22" s="16">
        <v>2018</v>
      </c>
      <c r="AK22" s="19">
        <f t="shared" si="6"/>
        <v>1803.027</v>
      </c>
    </row>
    <row r="23" spans="1:37" x14ac:dyDescent="0.25">
      <c r="A23" s="1">
        <v>35916</v>
      </c>
      <c r="B23" s="9">
        <f>IFERROR(VLOOKUP($A23,ANTIGA_LIVRES!$A:$P,MATCH(APENDICE_BCB!B$3,ANTIGA_LIVRES!$1:$1,0),0)/1000,0)</f>
        <v>84350.320999999996</v>
      </c>
      <c r="C23" s="9">
        <f>IFERROR(VLOOKUP($A23,ANTIGA_LIVRES!$A:$P,MATCH(APENDICE_BCB!C$3,ANTIGA_LIVRES!$1:$1,0),0)/1000,0)</f>
        <v>63048.144999999997</v>
      </c>
      <c r="D23" s="9">
        <f>IFERROR(VLOOKUP($A23,ANTIGA_LIVRES!$A:$P,MATCH(APENDICE_BCB!D$3,ANTIGA_LIVRES!$1:$1,0),0)/1000,0)</f>
        <v>21302.177</v>
      </c>
      <c r="E23" s="9">
        <f>IFERROR(VLOOKUP($A23,ANTIGA_DIRECIONADOS!$A:$P,MATCH(APENDICE_BCB!E$3,ANTIGA_DIRECIONADOS!$1:$1,0),0),0)</f>
        <v>0</v>
      </c>
      <c r="F23" s="9">
        <f>IFERROR(VLOOKUP($A23,ANTIGA_DIRECIONADOS!$A:$P,MATCH(APENDICE_BCB!F$3,ANTIGA_DIRECIONADOS!$1:$1,0),0),0)</f>
        <v>0</v>
      </c>
      <c r="G23" s="9">
        <f>IFERROR(VLOOKUP($A23,ANTIGA_DIRECIONADOS!$A:$P,MATCH(APENDICE_BCB!G$3,ANTIGA_DIRECIONADOS!$1:$1,0),0),0)</f>
        <v>0</v>
      </c>
      <c r="H23" s="9">
        <f>IFERROR(VLOOKUP($A23,ATUAL_LIV_E_DIR!$A:$P,MATCH(APENDICE_BCB!H$3,ATUAL_LIV_E_DIR!$1:$1,0),0),0)</f>
        <v>0</v>
      </c>
      <c r="I23" s="9">
        <f>IFERROR(VLOOKUP($A23,ATUAL_LIV_E_DIR!$A:$P,MATCH(APENDICE_BCB!I$3,ATUAL_LIV_E_DIR!$1:$1,0),0),0)</f>
        <v>0</v>
      </c>
      <c r="J23" s="9">
        <f>IFERROR(VLOOKUP($A23,ATUAL_LIV_E_DIR!$A:$P,MATCH(APENDICE_BCB!J$3,ATUAL_LIV_E_DIR!$1:$1,0),0),0)</f>
        <v>0</v>
      </c>
      <c r="K23" s="9">
        <f>IFERROR(VLOOKUP($A23,ATUAL_LIV_E_DIR!$A:$P,MATCH(APENDICE_BCB!K$3,ATUAL_LIV_E_DIR!$1:$1,0),0),0)</f>
        <v>0</v>
      </c>
      <c r="L23" s="9">
        <f>IFERROR(VLOOKUP($A23,ATUAL_LIV_E_DIR!$A:$P,MATCH(APENDICE_BCB!L$3,ATUAL_LIV_E_DIR!$1:$1,0),0),0)</f>
        <v>0</v>
      </c>
      <c r="M23" s="9">
        <f>IFERROR(VLOOKUP($A23,ATUAL_LIV_E_DIR!$A:$P,MATCH(APENDICE_BCB!M$3,ATUAL_LIV_E_DIR!$1:$1,0),0),0)</f>
        <v>0</v>
      </c>
      <c r="O23" s="11">
        <f t="shared" si="0"/>
        <v>84350.320999999996</v>
      </c>
      <c r="P23" s="11">
        <f t="shared" si="1"/>
        <v>0</v>
      </c>
      <c r="Q23" s="11">
        <f t="shared" si="2"/>
        <v>63048.144999999997</v>
      </c>
      <c r="R23" s="11">
        <f t="shared" si="3"/>
        <v>0</v>
      </c>
      <c r="S23" s="11"/>
      <c r="T23" s="11"/>
      <c r="V23" s="7">
        <f t="shared" si="4"/>
        <v>0</v>
      </c>
      <c r="W23">
        <f t="shared" si="5"/>
        <v>0</v>
      </c>
      <c r="Y23" s="8">
        <f t="shared" si="7"/>
        <v>-8.7563789692207683E-3</v>
      </c>
      <c r="Z23" s="8"/>
      <c r="AB23" s="11"/>
      <c r="AD23" s="9"/>
      <c r="AI23" s="1">
        <v>43800</v>
      </c>
      <c r="AJ23" s="16">
        <v>2019</v>
      </c>
      <c r="AK23" s="19">
        <f t="shared" si="6"/>
        <v>2017.046</v>
      </c>
    </row>
    <row r="24" spans="1:37" x14ac:dyDescent="0.25">
      <c r="A24" s="1">
        <v>35947</v>
      </c>
      <c r="B24" s="9">
        <f>IFERROR(VLOOKUP($A24,ANTIGA_LIVRES!$A:$P,MATCH(APENDICE_BCB!B$3,ANTIGA_LIVRES!$1:$1,0),0)/1000,0)</f>
        <v>84497.831000000006</v>
      </c>
      <c r="C24" s="9">
        <f>IFERROR(VLOOKUP($A24,ANTIGA_LIVRES!$A:$P,MATCH(APENDICE_BCB!C$3,ANTIGA_LIVRES!$1:$1,0),0)/1000,0)</f>
        <v>63491.021999999997</v>
      </c>
      <c r="D24" s="9">
        <f>IFERROR(VLOOKUP($A24,ANTIGA_LIVRES!$A:$P,MATCH(APENDICE_BCB!D$3,ANTIGA_LIVRES!$1:$1,0),0)/1000,0)</f>
        <v>21006.809000000001</v>
      </c>
      <c r="E24" s="9">
        <f>IFERROR(VLOOKUP($A24,ANTIGA_DIRECIONADOS!$A:$P,MATCH(APENDICE_BCB!E$3,ANTIGA_DIRECIONADOS!$1:$1,0),0),0)</f>
        <v>0</v>
      </c>
      <c r="F24" s="9">
        <f>IFERROR(VLOOKUP($A24,ANTIGA_DIRECIONADOS!$A:$P,MATCH(APENDICE_BCB!F$3,ANTIGA_DIRECIONADOS!$1:$1,0),0),0)</f>
        <v>0</v>
      </c>
      <c r="G24" s="9">
        <f>IFERROR(VLOOKUP($A24,ANTIGA_DIRECIONADOS!$A:$P,MATCH(APENDICE_BCB!G$3,ANTIGA_DIRECIONADOS!$1:$1,0),0),0)</f>
        <v>0</v>
      </c>
      <c r="H24" s="9">
        <f>IFERROR(VLOOKUP($A24,ATUAL_LIV_E_DIR!$A:$P,MATCH(APENDICE_BCB!H$3,ATUAL_LIV_E_DIR!$1:$1,0),0),0)</f>
        <v>0</v>
      </c>
      <c r="I24" s="9">
        <f>IFERROR(VLOOKUP($A24,ATUAL_LIV_E_DIR!$A:$P,MATCH(APENDICE_BCB!I$3,ATUAL_LIV_E_DIR!$1:$1,0),0),0)</f>
        <v>0</v>
      </c>
      <c r="J24" s="9">
        <f>IFERROR(VLOOKUP($A24,ATUAL_LIV_E_DIR!$A:$P,MATCH(APENDICE_BCB!J$3,ATUAL_LIV_E_DIR!$1:$1,0),0),0)</f>
        <v>0</v>
      </c>
      <c r="K24" s="9">
        <f>IFERROR(VLOOKUP($A24,ATUAL_LIV_E_DIR!$A:$P,MATCH(APENDICE_BCB!K$3,ATUAL_LIV_E_DIR!$1:$1,0),0),0)</f>
        <v>0</v>
      </c>
      <c r="L24" s="9">
        <f>IFERROR(VLOOKUP($A24,ATUAL_LIV_E_DIR!$A:$P,MATCH(APENDICE_BCB!L$3,ATUAL_LIV_E_DIR!$1:$1,0),0),0)</f>
        <v>0</v>
      </c>
      <c r="M24" s="9">
        <f>IFERROR(VLOOKUP($A24,ATUAL_LIV_E_DIR!$A:$P,MATCH(APENDICE_BCB!M$3,ATUAL_LIV_E_DIR!$1:$1,0),0),0)</f>
        <v>0</v>
      </c>
      <c r="O24" s="11">
        <f t="shared" si="0"/>
        <v>84497.831000000006</v>
      </c>
      <c r="P24" s="11">
        <f t="shared" si="1"/>
        <v>0</v>
      </c>
      <c r="Q24" s="11">
        <f t="shared" si="2"/>
        <v>63491.021999999997</v>
      </c>
      <c r="R24" s="11">
        <f t="shared" si="3"/>
        <v>0</v>
      </c>
      <c r="S24" s="11"/>
      <c r="T24" s="11"/>
      <c r="V24" s="7">
        <f t="shared" si="4"/>
        <v>0</v>
      </c>
      <c r="W24">
        <f t="shared" si="5"/>
        <v>0</v>
      </c>
      <c r="Y24" s="8">
        <f t="shared" si="7"/>
        <v>1.7487781700322724E-3</v>
      </c>
      <c r="Z24" s="8"/>
      <c r="AB24" s="11"/>
      <c r="AD24" s="9"/>
      <c r="AI24" s="1">
        <v>44166</v>
      </c>
      <c r="AJ24" s="16">
        <v>2020</v>
      </c>
      <c r="AK24" s="19">
        <f t="shared" si="6"/>
        <v>2241.085</v>
      </c>
    </row>
    <row r="25" spans="1:37" x14ac:dyDescent="0.25">
      <c r="A25" s="1">
        <v>35977</v>
      </c>
      <c r="B25" s="9">
        <f>IFERROR(VLOOKUP($A25,ANTIGA_LIVRES!$A:$P,MATCH(APENDICE_BCB!B$3,ANTIGA_LIVRES!$1:$1,0),0)/1000,0)</f>
        <v>83941.057000000001</v>
      </c>
      <c r="C25" s="9">
        <f>IFERROR(VLOOKUP($A25,ANTIGA_LIVRES!$A:$P,MATCH(APENDICE_BCB!C$3,ANTIGA_LIVRES!$1:$1,0),0)/1000,0)</f>
        <v>63201.523000000001</v>
      </c>
      <c r="D25" s="9">
        <f>IFERROR(VLOOKUP($A25,ANTIGA_LIVRES!$A:$P,MATCH(APENDICE_BCB!D$3,ANTIGA_LIVRES!$1:$1,0),0)/1000,0)</f>
        <v>20739.534</v>
      </c>
      <c r="E25" s="9">
        <f>IFERROR(VLOOKUP($A25,ANTIGA_DIRECIONADOS!$A:$P,MATCH(APENDICE_BCB!E$3,ANTIGA_DIRECIONADOS!$1:$1,0),0),0)</f>
        <v>0</v>
      </c>
      <c r="F25" s="9">
        <f>IFERROR(VLOOKUP($A25,ANTIGA_DIRECIONADOS!$A:$P,MATCH(APENDICE_BCB!F$3,ANTIGA_DIRECIONADOS!$1:$1,0),0),0)</f>
        <v>0</v>
      </c>
      <c r="G25" s="9">
        <f>IFERROR(VLOOKUP($A25,ANTIGA_DIRECIONADOS!$A:$P,MATCH(APENDICE_BCB!G$3,ANTIGA_DIRECIONADOS!$1:$1,0),0),0)</f>
        <v>0</v>
      </c>
      <c r="H25" s="9">
        <f>IFERROR(VLOOKUP($A25,ATUAL_LIV_E_DIR!$A:$P,MATCH(APENDICE_BCB!H$3,ATUAL_LIV_E_DIR!$1:$1,0),0),0)</f>
        <v>0</v>
      </c>
      <c r="I25" s="9">
        <f>IFERROR(VLOOKUP($A25,ATUAL_LIV_E_DIR!$A:$P,MATCH(APENDICE_BCB!I$3,ATUAL_LIV_E_DIR!$1:$1,0),0),0)</f>
        <v>0</v>
      </c>
      <c r="J25" s="9">
        <f>IFERROR(VLOOKUP($A25,ATUAL_LIV_E_DIR!$A:$P,MATCH(APENDICE_BCB!J$3,ATUAL_LIV_E_DIR!$1:$1,0),0),0)</f>
        <v>0</v>
      </c>
      <c r="K25" s="9">
        <f>IFERROR(VLOOKUP($A25,ATUAL_LIV_E_DIR!$A:$P,MATCH(APENDICE_BCB!K$3,ATUAL_LIV_E_DIR!$1:$1,0),0),0)</f>
        <v>0</v>
      </c>
      <c r="L25" s="9">
        <f>IFERROR(VLOOKUP($A25,ATUAL_LIV_E_DIR!$A:$P,MATCH(APENDICE_BCB!L$3,ATUAL_LIV_E_DIR!$1:$1,0),0),0)</f>
        <v>0</v>
      </c>
      <c r="M25" s="9">
        <f>IFERROR(VLOOKUP($A25,ATUAL_LIV_E_DIR!$A:$P,MATCH(APENDICE_BCB!M$3,ATUAL_LIV_E_DIR!$1:$1,0),0),0)</f>
        <v>0</v>
      </c>
      <c r="O25" s="11">
        <f t="shared" si="0"/>
        <v>83941.057000000001</v>
      </c>
      <c r="P25" s="11">
        <f t="shared" si="1"/>
        <v>0</v>
      </c>
      <c r="Q25" s="11">
        <f t="shared" si="2"/>
        <v>63201.523000000001</v>
      </c>
      <c r="R25" s="11">
        <f t="shared" si="3"/>
        <v>0</v>
      </c>
      <c r="S25" s="11"/>
      <c r="T25" s="11"/>
      <c r="V25" s="7">
        <f t="shared" si="4"/>
        <v>0</v>
      </c>
      <c r="W25">
        <f t="shared" si="5"/>
        <v>0</v>
      </c>
      <c r="Y25" s="8">
        <f t="shared" si="7"/>
        <v>-6.5892105561857761E-3</v>
      </c>
      <c r="Z25" s="8"/>
      <c r="AB25" s="11"/>
      <c r="AD25" s="9"/>
      <c r="AI25" s="1">
        <v>44531</v>
      </c>
      <c r="AJ25" s="16">
        <v>2021</v>
      </c>
      <c r="AK25" s="19">
        <f t="shared" si="6"/>
        <v>2710.828</v>
      </c>
    </row>
    <row r="26" spans="1:37" x14ac:dyDescent="0.25">
      <c r="A26" s="1">
        <v>36008</v>
      </c>
      <c r="B26" s="9">
        <f>IFERROR(VLOOKUP($A26,ANTIGA_LIVRES!$A:$P,MATCH(APENDICE_BCB!B$3,ANTIGA_LIVRES!$1:$1,0),0)/1000,0)</f>
        <v>84032.87</v>
      </c>
      <c r="C26" s="9">
        <f>IFERROR(VLOOKUP($A26,ANTIGA_LIVRES!$A:$P,MATCH(APENDICE_BCB!C$3,ANTIGA_LIVRES!$1:$1,0),0)/1000,0)</f>
        <v>63416.553</v>
      </c>
      <c r="D26" s="9">
        <f>IFERROR(VLOOKUP($A26,ANTIGA_LIVRES!$A:$P,MATCH(APENDICE_BCB!D$3,ANTIGA_LIVRES!$1:$1,0),0)/1000,0)</f>
        <v>20616.317999999999</v>
      </c>
      <c r="E26" s="9">
        <f>IFERROR(VLOOKUP($A26,ANTIGA_DIRECIONADOS!$A:$P,MATCH(APENDICE_BCB!E$3,ANTIGA_DIRECIONADOS!$1:$1,0),0),0)</f>
        <v>0</v>
      </c>
      <c r="F26" s="9">
        <f>IFERROR(VLOOKUP($A26,ANTIGA_DIRECIONADOS!$A:$P,MATCH(APENDICE_BCB!F$3,ANTIGA_DIRECIONADOS!$1:$1,0),0),0)</f>
        <v>0</v>
      </c>
      <c r="G26" s="9">
        <f>IFERROR(VLOOKUP($A26,ANTIGA_DIRECIONADOS!$A:$P,MATCH(APENDICE_BCB!G$3,ANTIGA_DIRECIONADOS!$1:$1,0),0),0)</f>
        <v>0</v>
      </c>
      <c r="H26" s="9">
        <f>IFERROR(VLOOKUP($A26,ATUAL_LIV_E_DIR!$A:$P,MATCH(APENDICE_BCB!H$3,ATUAL_LIV_E_DIR!$1:$1,0),0),0)</f>
        <v>0</v>
      </c>
      <c r="I26" s="9">
        <f>IFERROR(VLOOKUP($A26,ATUAL_LIV_E_DIR!$A:$P,MATCH(APENDICE_BCB!I$3,ATUAL_LIV_E_DIR!$1:$1,0),0),0)</f>
        <v>0</v>
      </c>
      <c r="J26" s="9">
        <f>IFERROR(VLOOKUP($A26,ATUAL_LIV_E_DIR!$A:$P,MATCH(APENDICE_BCB!J$3,ATUAL_LIV_E_DIR!$1:$1,0),0),0)</f>
        <v>0</v>
      </c>
      <c r="K26" s="9">
        <f>IFERROR(VLOOKUP($A26,ATUAL_LIV_E_DIR!$A:$P,MATCH(APENDICE_BCB!K$3,ATUAL_LIV_E_DIR!$1:$1,0),0),0)</f>
        <v>0</v>
      </c>
      <c r="L26" s="9">
        <f>IFERROR(VLOOKUP($A26,ATUAL_LIV_E_DIR!$A:$P,MATCH(APENDICE_BCB!L$3,ATUAL_LIV_E_DIR!$1:$1,0),0),0)</f>
        <v>0</v>
      </c>
      <c r="M26" s="9">
        <f>IFERROR(VLOOKUP($A26,ATUAL_LIV_E_DIR!$A:$P,MATCH(APENDICE_BCB!M$3,ATUAL_LIV_E_DIR!$1:$1,0),0),0)</f>
        <v>0</v>
      </c>
      <c r="O26" s="11">
        <f t="shared" si="0"/>
        <v>84032.87</v>
      </c>
      <c r="P26" s="11">
        <f t="shared" si="1"/>
        <v>0</v>
      </c>
      <c r="Q26" s="11">
        <f t="shared" si="2"/>
        <v>63416.553</v>
      </c>
      <c r="R26" s="11">
        <f t="shared" si="3"/>
        <v>0</v>
      </c>
      <c r="S26" s="11"/>
      <c r="T26" s="11"/>
      <c r="V26" s="7">
        <f t="shared" si="4"/>
        <v>0</v>
      </c>
      <c r="W26">
        <f t="shared" si="5"/>
        <v>0</v>
      </c>
      <c r="Y26" s="8">
        <f t="shared" si="7"/>
        <v>1.0937794123797584E-3</v>
      </c>
      <c r="Z26" s="8"/>
      <c r="AB26" s="11"/>
      <c r="AD26" s="9"/>
      <c r="AI26" s="1">
        <v>44896</v>
      </c>
      <c r="AJ26" s="16">
        <v>2022</v>
      </c>
      <c r="AK26" s="19">
        <f t="shared" si="6"/>
        <v>3190.9810000000002</v>
      </c>
    </row>
    <row r="27" spans="1:37" x14ac:dyDescent="0.25">
      <c r="A27" s="1">
        <v>36039</v>
      </c>
      <c r="B27" s="9">
        <f>IFERROR(VLOOKUP($A27,ANTIGA_LIVRES!$A:$P,MATCH(APENDICE_BCB!B$3,ANTIGA_LIVRES!$1:$1,0),0)/1000,0)</f>
        <v>82575.042000000001</v>
      </c>
      <c r="C27" s="9">
        <f>IFERROR(VLOOKUP($A27,ANTIGA_LIVRES!$A:$P,MATCH(APENDICE_BCB!C$3,ANTIGA_LIVRES!$1:$1,0),0)/1000,0)</f>
        <v>62502.169000000002</v>
      </c>
      <c r="D27" s="9">
        <f>IFERROR(VLOOKUP($A27,ANTIGA_LIVRES!$A:$P,MATCH(APENDICE_BCB!D$3,ANTIGA_LIVRES!$1:$1,0),0)/1000,0)</f>
        <v>20072.870999999999</v>
      </c>
      <c r="E27" s="9">
        <f>IFERROR(VLOOKUP($A27,ANTIGA_DIRECIONADOS!$A:$P,MATCH(APENDICE_BCB!E$3,ANTIGA_DIRECIONADOS!$1:$1,0),0),0)</f>
        <v>0</v>
      </c>
      <c r="F27" s="9">
        <f>IFERROR(VLOOKUP($A27,ANTIGA_DIRECIONADOS!$A:$P,MATCH(APENDICE_BCB!F$3,ANTIGA_DIRECIONADOS!$1:$1,0),0),0)</f>
        <v>0</v>
      </c>
      <c r="G27" s="9">
        <f>IFERROR(VLOOKUP($A27,ANTIGA_DIRECIONADOS!$A:$P,MATCH(APENDICE_BCB!G$3,ANTIGA_DIRECIONADOS!$1:$1,0),0),0)</f>
        <v>0</v>
      </c>
      <c r="H27" s="9">
        <f>IFERROR(VLOOKUP($A27,ATUAL_LIV_E_DIR!$A:$P,MATCH(APENDICE_BCB!H$3,ATUAL_LIV_E_DIR!$1:$1,0),0),0)</f>
        <v>0</v>
      </c>
      <c r="I27" s="9">
        <f>IFERROR(VLOOKUP($A27,ATUAL_LIV_E_DIR!$A:$P,MATCH(APENDICE_BCB!I$3,ATUAL_LIV_E_DIR!$1:$1,0),0),0)</f>
        <v>0</v>
      </c>
      <c r="J27" s="9">
        <f>IFERROR(VLOOKUP($A27,ATUAL_LIV_E_DIR!$A:$P,MATCH(APENDICE_BCB!J$3,ATUAL_LIV_E_DIR!$1:$1,0),0),0)</f>
        <v>0</v>
      </c>
      <c r="K27" s="9">
        <f>IFERROR(VLOOKUP($A27,ATUAL_LIV_E_DIR!$A:$P,MATCH(APENDICE_BCB!K$3,ATUAL_LIV_E_DIR!$1:$1,0),0),0)</f>
        <v>0</v>
      </c>
      <c r="L27" s="9">
        <f>IFERROR(VLOOKUP($A27,ATUAL_LIV_E_DIR!$A:$P,MATCH(APENDICE_BCB!L$3,ATUAL_LIV_E_DIR!$1:$1,0),0),0)</f>
        <v>0</v>
      </c>
      <c r="M27" s="9">
        <f>IFERROR(VLOOKUP($A27,ATUAL_LIV_E_DIR!$A:$P,MATCH(APENDICE_BCB!M$3,ATUAL_LIV_E_DIR!$1:$1,0),0),0)</f>
        <v>0</v>
      </c>
      <c r="O27" s="11">
        <f t="shared" si="0"/>
        <v>82575.042000000001</v>
      </c>
      <c r="P27" s="11">
        <f t="shared" si="1"/>
        <v>0</v>
      </c>
      <c r="Q27" s="11">
        <f t="shared" si="2"/>
        <v>62502.169000000002</v>
      </c>
      <c r="R27" s="11">
        <f t="shared" si="3"/>
        <v>0</v>
      </c>
      <c r="S27" s="11"/>
      <c r="T27" s="11"/>
      <c r="V27" s="7">
        <f t="shared" si="4"/>
        <v>0</v>
      </c>
      <c r="W27">
        <f t="shared" si="5"/>
        <v>0</v>
      </c>
      <c r="Y27" s="8">
        <f t="shared" si="7"/>
        <v>-1.7348306680469161E-2</v>
      </c>
      <c r="Z27" s="8"/>
      <c r="AB27" s="11"/>
      <c r="AD27" s="9"/>
      <c r="AI27" s="1">
        <v>45261</v>
      </c>
      <c r="AJ27" s="16">
        <v>2023</v>
      </c>
      <c r="AK27" s="19">
        <f t="shared" si="6"/>
        <v>3514.5970000000002</v>
      </c>
    </row>
    <row r="28" spans="1:37" x14ac:dyDescent="0.25">
      <c r="A28" s="1">
        <v>36069</v>
      </c>
      <c r="B28" s="9">
        <f>IFERROR(VLOOKUP($A28,ANTIGA_LIVRES!$A:$P,MATCH(APENDICE_BCB!B$3,ANTIGA_LIVRES!$1:$1,0),0)/1000,0)</f>
        <v>81834.709000000003</v>
      </c>
      <c r="C28" s="9">
        <f>IFERROR(VLOOKUP($A28,ANTIGA_LIVRES!$A:$P,MATCH(APENDICE_BCB!C$3,ANTIGA_LIVRES!$1:$1,0),0)/1000,0)</f>
        <v>62300.964</v>
      </c>
      <c r="D28" s="9">
        <f>IFERROR(VLOOKUP($A28,ANTIGA_LIVRES!$A:$P,MATCH(APENDICE_BCB!D$3,ANTIGA_LIVRES!$1:$1,0),0)/1000,0)</f>
        <v>19533.744999999999</v>
      </c>
      <c r="E28" s="9">
        <f>IFERROR(VLOOKUP($A28,ANTIGA_DIRECIONADOS!$A:$P,MATCH(APENDICE_BCB!E$3,ANTIGA_DIRECIONADOS!$1:$1,0),0),0)</f>
        <v>0</v>
      </c>
      <c r="F28" s="9">
        <f>IFERROR(VLOOKUP($A28,ANTIGA_DIRECIONADOS!$A:$P,MATCH(APENDICE_BCB!F$3,ANTIGA_DIRECIONADOS!$1:$1,0),0),0)</f>
        <v>0</v>
      </c>
      <c r="G28" s="9">
        <f>IFERROR(VLOOKUP($A28,ANTIGA_DIRECIONADOS!$A:$P,MATCH(APENDICE_BCB!G$3,ANTIGA_DIRECIONADOS!$1:$1,0),0),0)</f>
        <v>0</v>
      </c>
      <c r="H28" s="9">
        <f>IFERROR(VLOOKUP($A28,ATUAL_LIV_E_DIR!$A:$P,MATCH(APENDICE_BCB!H$3,ATUAL_LIV_E_DIR!$1:$1,0),0),0)</f>
        <v>0</v>
      </c>
      <c r="I28" s="9">
        <f>IFERROR(VLOOKUP($A28,ATUAL_LIV_E_DIR!$A:$P,MATCH(APENDICE_BCB!I$3,ATUAL_LIV_E_DIR!$1:$1,0),0),0)</f>
        <v>0</v>
      </c>
      <c r="J28" s="9">
        <f>IFERROR(VLOOKUP($A28,ATUAL_LIV_E_DIR!$A:$P,MATCH(APENDICE_BCB!J$3,ATUAL_LIV_E_DIR!$1:$1,0),0),0)</f>
        <v>0</v>
      </c>
      <c r="K28" s="9">
        <f>IFERROR(VLOOKUP($A28,ATUAL_LIV_E_DIR!$A:$P,MATCH(APENDICE_BCB!K$3,ATUAL_LIV_E_DIR!$1:$1,0),0),0)</f>
        <v>0</v>
      </c>
      <c r="L28" s="9">
        <f>IFERROR(VLOOKUP($A28,ATUAL_LIV_E_DIR!$A:$P,MATCH(APENDICE_BCB!L$3,ATUAL_LIV_E_DIR!$1:$1,0),0),0)</f>
        <v>0</v>
      </c>
      <c r="M28" s="9">
        <f>IFERROR(VLOOKUP($A28,ATUAL_LIV_E_DIR!$A:$P,MATCH(APENDICE_BCB!M$3,ATUAL_LIV_E_DIR!$1:$1,0),0),0)</f>
        <v>0</v>
      </c>
      <c r="O28" s="11">
        <f t="shared" si="0"/>
        <v>81834.709000000003</v>
      </c>
      <c r="P28" s="11">
        <f t="shared" si="1"/>
        <v>0</v>
      </c>
      <c r="Q28" s="11">
        <f t="shared" si="2"/>
        <v>62300.964</v>
      </c>
      <c r="R28" s="11">
        <f t="shared" si="3"/>
        <v>0</v>
      </c>
      <c r="S28" s="11"/>
      <c r="T28" s="11"/>
      <c r="V28" s="7">
        <f t="shared" si="4"/>
        <v>0</v>
      </c>
      <c r="W28">
        <f t="shared" si="5"/>
        <v>0</v>
      </c>
      <c r="Y28" s="8">
        <f t="shared" si="7"/>
        <v>-8.9655782433631925E-3</v>
      </c>
      <c r="Z28" s="8"/>
      <c r="AB28" s="11"/>
      <c r="AD28" s="9"/>
    </row>
    <row r="29" spans="1:37" x14ac:dyDescent="0.25">
      <c r="A29" s="1">
        <v>36100</v>
      </c>
      <c r="B29" s="9">
        <f>IFERROR(VLOOKUP($A29,ANTIGA_LIVRES!$A:$P,MATCH(APENDICE_BCB!B$3,ANTIGA_LIVRES!$1:$1,0),0)/1000,0)</f>
        <v>81670.460000000006</v>
      </c>
      <c r="C29" s="9">
        <f>IFERROR(VLOOKUP($A29,ANTIGA_LIVRES!$A:$P,MATCH(APENDICE_BCB!C$3,ANTIGA_LIVRES!$1:$1,0),0)/1000,0)</f>
        <v>62336.330999999998</v>
      </c>
      <c r="D29" s="9">
        <f>IFERROR(VLOOKUP($A29,ANTIGA_LIVRES!$A:$P,MATCH(APENDICE_BCB!D$3,ANTIGA_LIVRES!$1:$1,0),0)/1000,0)</f>
        <v>19334.129000000001</v>
      </c>
      <c r="E29" s="9">
        <f>IFERROR(VLOOKUP($A29,ANTIGA_DIRECIONADOS!$A:$P,MATCH(APENDICE_BCB!E$3,ANTIGA_DIRECIONADOS!$1:$1,0),0),0)</f>
        <v>0</v>
      </c>
      <c r="F29" s="9">
        <f>IFERROR(VLOOKUP($A29,ANTIGA_DIRECIONADOS!$A:$P,MATCH(APENDICE_BCB!F$3,ANTIGA_DIRECIONADOS!$1:$1,0),0),0)</f>
        <v>0</v>
      </c>
      <c r="G29" s="9">
        <f>IFERROR(VLOOKUP($A29,ANTIGA_DIRECIONADOS!$A:$P,MATCH(APENDICE_BCB!G$3,ANTIGA_DIRECIONADOS!$1:$1,0),0),0)</f>
        <v>0</v>
      </c>
      <c r="H29" s="9">
        <f>IFERROR(VLOOKUP($A29,ATUAL_LIV_E_DIR!$A:$P,MATCH(APENDICE_BCB!H$3,ATUAL_LIV_E_DIR!$1:$1,0),0),0)</f>
        <v>0</v>
      </c>
      <c r="I29" s="9">
        <f>IFERROR(VLOOKUP($A29,ATUAL_LIV_E_DIR!$A:$P,MATCH(APENDICE_BCB!I$3,ATUAL_LIV_E_DIR!$1:$1,0),0),0)</f>
        <v>0</v>
      </c>
      <c r="J29" s="9">
        <f>IFERROR(VLOOKUP($A29,ATUAL_LIV_E_DIR!$A:$P,MATCH(APENDICE_BCB!J$3,ATUAL_LIV_E_DIR!$1:$1,0),0),0)</f>
        <v>0</v>
      </c>
      <c r="K29" s="9">
        <f>IFERROR(VLOOKUP($A29,ATUAL_LIV_E_DIR!$A:$P,MATCH(APENDICE_BCB!K$3,ATUAL_LIV_E_DIR!$1:$1,0),0),0)</f>
        <v>0</v>
      </c>
      <c r="L29" s="9">
        <f>IFERROR(VLOOKUP($A29,ATUAL_LIV_E_DIR!$A:$P,MATCH(APENDICE_BCB!L$3,ATUAL_LIV_E_DIR!$1:$1,0),0),0)</f>
        <v>0</v>
      </c>
      <c r="M29" s="9">
        <f>IFERROR(VLOOKUP($A29,ATUAL_LIV_E_DIR!$A:$P,MATCH(APENDICE_BCB!M$3,ATUAL_LIV_E_DIR!$1:$1,0),0),0)</f>
        <v>0</v>
      </c>
      <c r="O29" s="11">
        <f t="shared" si="0"/>
        <v>81670.460000000006</v>
      </c>
      <c r="P29" s="11">
        <f t="shared" si="1"/>
        <v>0</v>
      </c>
      <c r="Q29" s="11">
        <f t="shared" si="2"/>
        <v>62336.330999999998</v>
      </c>
      <c r="R29" s="11">
        <f t="shared" si="3"/>
        <v>0</v>
      </c>
      <c r="S29" s="11"/>
      <c r="T29" s="11"/>
      <c r="V29" s="7">
        <f t="shared" si="4"/>
        <v>0</v>
      </c>
      <c r="W29">
        <f t="shared" si="5"/>
        <v>0</v>
      </c>
      <c r="Y29" s="8">
        <f t="shared" si="7"/>
        <v>-2.0070823493733014E-3</v>
      </c>
      <c r="Z29" s="8"/>
      <c r="AB29" s="11"/>
      <c r="AD29" s="9"/>
    </row>
    <row r="30" spans="1:37" x14ac:dyDescent="0.25">
      <c r="A30" s="1">
        <v>36130</v>
      </c>
      <c r="B30" s="9">
        <f>IFERROR(VLOOKUP($A30,ANTIGA_LIVRES!$A:$P,MATCH(APENDICE_BCB!B$3,ANTIGA_LIVRES!$1:$1,0),0)/1000,0)</f>
        <v>79885.481</v>
      </c>
      <c r="C30" s="9">
        <f>IFERROR(VLOOKUP($A30,ANTIGA_LIVRES!$A:$P,MATCH(APENDICE_BCB!C$3,ANTIGA_LIVRES!$1:$1,0),0)/1000,0)</f>
        <v>60903.824999999997</v>
      </c>
      <c r="D30" s="9">
        <f>IFERROR(VLOOKUP($A30,ANTIGA_LIVRES!$A:$P,MATCH(APENDICE_BCB!D$3,ANTIGA_LIVRES!$1:$1,0),0)/1000,0)</f>
        <v>18981.655999999999</v>
      </c>
      <c r="E30" s="9">
        <f>IFERROR(VLOOKUP($A30,ANTIGA_DIRECIONADOS!$A:$P,MATCH(APENDICE_BCB!E$3,ANTIGA_DIRECIONADOS!$1:$1,0),0),0)</f>
        <v>0</v>
      </c>
      <c r="F30" s="9">
        <f>IFERROR(VLOOKUP($A30,ANTIGA_DIRECIONADOS!$A:$P,MATCH(APENDICE_BCB!F$3,ANTIGA_DIRECIONADOS!$1:$1,0),0),0)</f>
        <v>0</v>
      </c>
      <c r="G30" s="9">
        <f>IFERROR(VLOOKUP($A30,ANTIGA_DIRECIONADOS!$A:$P,MATCH(APENDICE_BCB!G$3,ANTIGA_DIRECIONADOS!$1:$1,0),0),0)</f>
        <v>0</v>
      </c>
      <c r="H30" s="9">
        <f>IFERROR(VLOOKUP($A30,ATUAL_LIV_E_DIR!$A:$P,MATCH(APENDICE_BCB!H$3,ATUAL_LIV_E_DIR!$1:$1,0),0),0)</f>
        <v>0</v>
      </c>
      <c r="I30" s="9">
        <f>IFERROR(VLOOKUP($A30,ATUAL_LIV_E_DIR!$A:$P,MATCH(APENDICE_BCB!I$3,ATUAL_LIV_E_DIR!$1:$1,0),0),0)</f>
        <v>0</v>
      </c>
      <c r="J30" s="9">
        <f>IFERROR(VLOOKUP($A30,ATUAL_LIV_E_DIR!$A:$P,MATCH(APENDICE_BCB!J$3,ATUAL_LIV_E_DIR!$1:$1,0),0),0)</f>
        <v>0</v>
      </c>
      <c r="K30" s="9">
        <f>IFERROR(VLOOKUP($A30,ATUAL_LIV_E_DIR!$A:$P,MATCH(APENDICE_BCB!K$3,ATUAL_LIV_E_DIR!$1:$1,0),0),0)</f>
        <v>0</v>
      </c>
      <c r="L30" s="9">
        <f>IFERROR(VLOOKUP($A30,ATUAL_LIV_E_DIR!$A:$P,MATCH(APENDICE_BCB!L$3,ATUAL_LIV_E_DIR!$1:$1,0),0),0)</f>
        <v>0</v>
      </c>
      <c r="M30" s="9">
        <f>IFERROR(VLOOKUP($A30,ATUAL_LIV_E_DIR!$A:$P,MATCH(APENDICE_BCB!M$3,ATUAL_LIV_E_DIR!$1:$1,0),0),0)</f>
        <v>0</v>
      </c>
      <c r="O30" s="11">
        <f t="shared" si="0"/>
        <v>79885.481</v>
      </c>
      <c r="P30" s="11">
        <f t="shared" si="1"/>
        <v>0</v>
      </c>
      <c r="Q30" s="11">
        <f t="shared" si="2"/>
        <v>60903.824999999997</v>
      </c>
      <c r="R30" s="11">
        <f t="shared" si="3"/>
        <v>0</v>
      </c>
      <c r="S30" s="11"/>
      <c r="T30" s="11"/>
      <c r="V30" s="7">
        <f t="shared" si="4"/>
        <v>0</v>
      </c>
      <c r="W30">
        <f t="shared" si="5"/>
        <v>0</v>
      </c>
      <c r="Y30" s="8">
        <f t="shared" si="7"/>
        <v>-2.1855870531401478E-2</v>
      </c>
      <c r="Z30" s="8"/>
      <c r="AB30" s="11"/>
      <c r="AD30" s="9"/>
    </row>
    <row r="31" spans="1:37" x14ac:dyDescent="0.25">
      <c r="A31" s="1">
        <v>36161</v>
      </c>
      <c r="B31" s="9">
        <f>IFERROR(VLOOKUP($A31,ANTIGA_LIVRES!$A:$P,MATCH(APENDICE_BCB!B$3,ANTIGA_LIVRES!$1:$1,0),0)/1000,0)</f>
        <v>80927.009999999995</v>
      </c>
      <c r="C31" s="9">
        <f>IFERROR(VLOOKUP($A31,ANTIGA_LIVRES!$A:$P,MATCH(APENDICE_BCB!C$3,ANTIGA_LIVRES!$1:$1,0),0)/1000,0)</f>
        <v>61732.881999999998</v>
      </c>
      <c r="D31" s="9">
        <f>IFERROR(VLOOKUP($A31,ANTIGA_LIVRES!$A:$P,MATCH(APENDICE_BCB!D$3,ANTIGA_LIVRES!$1:$1,0),0)/1000,0)</f>
        <v>19194.129000000001</v>
      </c>
      <c r="E31" s="9">
        <f>IFERROR(VLOOKUP($A31,ANTIGA_DIRECIONADOS!$A:$P,MATCH(APENDICE_BCB!E$3,ANTIGA_DIRECIONADOS!$1:$1,0),0),0)</f>
        <v>0</v>
      </c>
      <c r="F31" s="9">
        <f>IFERROR(VLOOKUP($A31,ANTIGA_DIRECIONADOS!$A:$P,MATCH(APENDICE_BCB!F$3,ANTIGA_DIRECIONADOS!$1:$1,0),0),0)</f>
        <v>0</v>
      </c>
      <c r="G31" s="9">
        <f>IFERROR(VLOOKUP($A31,ANTIGA_DIRECIONADOS!$A:$P,MATCH(APENDICE_BCB!G$3,ANTIGA_DIRECIONADOS!$1:$1,0),0),0)</f>
        <v>0</v>
      </c>
      <c r="H31" s="9">
        <f>IFERROR(VLOOKUP($A31,ATUAL_LIV_E_DIR!$A:$P,MATCH(APENDICE_BCB!H$3,ATUAL_LIV_E_DIR!$1:$1,0),0),0)</f>
        <v>0</v>
      </c>
      <c r="I31" s="9">
        <f>IFERROR(VLOOKUP($A31,ATUAL_LIV_E_DIR!$A:$P,MATCH(APENDICE_BCB!I$3,ATUAL_LIV_E_DIR!$1:$1,0),0),0)</f>
        <v>0</v>
      </c>
      <c r="J31" s="9">
        <f>IFERROR(VLOOKUP($A31,ATUAL_LIV_E_DIR!$A:$P,MATCH(APENDICE_BCB!J$3,ATUAL_LIV_E_DIR!$1:$1,0),0),0)</f>
        <v>0</v>
      </c>
      <c r="K31" s="9">
        <f>IFERROR(VLOOKUP($A31,ATUAL_LIV_E_DIR!$A:$P,MATCH(APENDICE_BCB!K$3,ATUAL_LIV_E_DIR!$1:$1,0),0),0)</f>
        <v>0</v>
      </c>
      <c r="L31" s="9">
        <f>IFERROR(VLOOKUP($A31,ATUAL_LIV_E_DIR!$A:$P,MATCH(APENDICE_BCB!L$3,ATUAL_LIV_E_DIR!$1:$1,0),0),0)</f>
        <v>0</v>
      </c>
      <c r="M31" s="9">
        <f>IFERROR(VLOOKUP($A31,ATUAL_LIV_E_DIR!$A:$P,MATCH(APENDICE_BCB!M$3,ATUAL_LIV_E_DIR!$1:$1,0),0),0)</f>
        <v>0</v>
      </c>
      <c r="O31" s="11">
        <f t="shared" si="0"/>
        <v>80927.009999999995</v>
      </c>
      <c r="P31" s="11">
        <f t="shared" si="1"/>
        <v>0</v>
      </c>
      <c r="Q31" s="11">
        <f t="shared" si="2"/>
        <v>61732.881999999998</v>
      </c>
      <c r="R31" s="11">
        <f t="shared" si="3"/>
        <v>0</v>
      </c>
      <c r="S31" s="11"/>
      <c r="T31" s="11"/>
      <c r="V31" s="7">
        <f t="shared" si="4"/>
        <v>0</v>
      </c>
      <c r="W31">
        <f t="shared" si="5"/>
        <v>0</v>
      </c>
      <c r="Y31" s="8">
        <f t="shared" si="7"/>
        <v>1.3037775913247618E-2</v>
      </c>
      <c r="Z31" s="8"/>
      <c r="AB31" s="11"/>
      <c r="AD31" s="9"/>
    </row>
    <row r="32" spans="1:37" x14ac:dyDescent="0.25">
      <c r="A32" s="1">
        <v>36192</v>
      </c>
      <c r="B32" s="9">
        <f>IFERROR(VLOOKUP($A32,ANTIGA_LIVRES!$A:$P,MATCH(APENDICE_BCB!B$3,ANTIGA_LIVRES!$1:$1,0),0)/1000,0)</f>
        <v>82023.281000000003</v>
      </c>
      <c r="C32" s="9">
        <f>IFERROR(VLOOKUP($A32,ANTIGA_LIVRES!$A:$P,MATCH(APENDICE_BCB!C$3,ANTIGA_LIVRES!$1:$1,0),0)/1000,0)</f>
        <v>63195.474000000002</v>
      </c>
      <c r="D32" s="9">
        <f>IFERROR(VLOOKUP($A32,ANTIGA_LIVRES!$A:$P,MATCH(APENDICE_BCB!D$3,ANTIGA_LIVRES!$1:$1,0),0)/1000,0)</f>
        <v>18827.806</v>
      </c>
      <c r="E32" s="9">
        <f>IFERROR(VLOOKUP($A32,ANTIGA_DIRECIONADOS!$A:$P,MATCH(APENDICE_BCB!E$3,ANTIGA_DIRECIONADOS!$1:$1,0),0),0)</f>
        <v>0</v>
      </c>
      <c r="F32" s="9">
        <f>IFERROR(VLOOKUP($A32,ANTIGA_DIRECIONADOS!$A:$P,MATCH(APENDICE_BCB!F$3,ANTIGA_DIRECIONADOS!$1:$1,0),0),0)</f>
        <v>0</v>
      </c>
      <c r="G32" s="9">
        <f>IFERROR(VLOOKUP($A32,ANTIGA_DIRECIONADOS!$A:$P,MATCH(APENDICE_BCB!G$3,ANTIGA_DIRECIONADOS!$1:$1,0),0),0)</f>
        <v>0</v>
      </c>
      <c r="H32" s="9">
        <f>IFERROR(VLOOKUP($A32,ATUAL_LIV_E_DIR!$A:$P,MATCH(APENDICE_BCB!H$3,ATUAL_LIV_E_DIR!$1:$1,0),0),0)</f>
        <v>0</v>
      </c>
      <c r="I32" s="9">
        <f>IFERROR(VLOOKUP($A32,ATUAL_LIV_E_DIR!$A:$P,MATCH(APENDICE_BCB!I$3,ATUAL_LIV_E_DIR!$1:$1,0),0),0)</f>
        <v>0</v>
      </c>
      <c r="J32" s="9">
        <f>IFERROR(VLOOKUP($A32,ATUAL_LIV_E_DIR!$A:$P,MATCH(APENDICE_BCB!J$3,ATUAL_LIV_E_DIR!$1:$1,0),0),0)</f>
        <v>0</v>
      </c>
      <c r="K32" s="9">
        <f>IFERROR(VLOOKUP($A32,ATUAL_LIV_E_DIR!$A:$P,MATCH(APENDICE_BCB!K$3,ATUAL_LIV_E_DIR!$1:$1,0),0),0)</f>
        <v>0</v>
      </c>
      <c r="L32" s="9">
        <f>IFERROR(VLOOKUP($A32,ATUAL_LIV_E_DIR!$A:$P,MATCH(APENDICE_BCB!L$3,ATUAL_LIV_E_DIR!$1:$1,0),0),0)</f>
        <v>0</v>
      </c>
      <c r="M32" s="9">
        <f>IFERROR(VLOOKUP($A32,ATUAL_LIV_E_DIR!$A:$P,MATCH(APENDICE_BCB!M$3,ATUAL_LIV_E_DIR!$1:$1,0),0),0)</f>
        <v>0</v>
      </c>
      <c r="O32" s="11">
        <f t="shared" si="0"/>
        <v>82023.281000000003</v>
      </c>
      <c r="P32" s="11">
        <f t="shared" si="1"/>
        <v>0</v>
      </c>
      <c r="Q32" s="11">
        <f t="shared" si="2"/>
        <v>63195.474000000002</v>
      </c>
      <c r="R32" s="11">
        <f t="shared" si="3"/>
        <v>0</v>
      </c>
      <c r="S32" s="11"/>
      <c r="T32" s="11"/>
      <c r="V32" s="7">
        <f t="shared" si="4"/>
        <v>0</v>
      </c>
      <c r="W32">
        <f t="shared" si="5"/>
        <v>0</v>
      </c>
      <c r="Y32" s="8">
        <f t="shared" si="7"/>
        <v>1.3546416703150266E-2</v>
      </c>
      <c r="Z32" s="8"/>
      <c r="AB32" s="11"/>
      <c r="AD32" s="9"/>
    </row>
    <row r="33" spans="1:32" x14ac:dyDescent="0.25">
      <c r="A33" s="1">
        <v>36220</v>
      </c>
      <c r="B33" s="9">
        <f>IFERROR(VLOOKUP($A33,ANTIGA_LIVRES!$A:$P,MATCH(APENDICE_BCB!B$3,ANTIGA_LIVRES!$1:$1,0),0)/1000,0)</f>
        <v>81592.841</v>
      </c>
      <c r="C33" s="9">
        <f>IFERROR(VLOOKUP($A33,ANTIGA_LIVRES!$A:$P,MATCH(APENDICE_BCB!C$3,ANTIGA_LIVRES!$1:$1,0),0)/1000,0)</f>
        <v>62733.167999999998</v>
      </c>
      <c r="D33" s="9">
        <f>IFERROR(VLOOKUP($A33,ANTIGA_LIVRES!$A:$P,MATCH(APENDICE_BCB!D$3,ANTIGA_LIVRES!$1:$1,0),0)/1000,0)</f>
        <v>18859.672999999999</v>
      </c>
      <c r="E33" s="9">
        <f>IFERROR(VLOOKUP($A33,ANTIGA_DIRECIONADOS!$A:$P,MATCH(APENDICE_BCB!E$3,ANTIGA_DIRECIONADOS!$1:$1,0),0),0)</f>
        <v>0</v>
      </c>
      <c r="F33" s="9">
        <f>IFERROR(VLOOKUP($A33,ANTIGA_DIRECIONADOS!$A:$P,MATCH(APENDICE_BCB!F$3,ANTIGA_DIRECIONADOS!$1:$1,0),0),0)</f>
        <v>0</v>
      </c>
      <c r="G33" s="9">
        <f>IFERROR(VLOOKUP($A33,ANTIGA_DIRECIONADOS!$A:$P,MATCH(APENDICE_BCB!G$3,ANTIGA_DIRECIONADOS!$1:$1,0),0),0)</f>
        <v>0</v>
      </c>
      <c r="H33" s="9">
        <f>IFERROR(VLOOKUP($A33,ATUAL_LIV_E_DIR!$A:$P,MATCH(APENDICE_BCB!H$3,ATUAL_LIV_E_DIR!$1:$1,0),0),0)</f>
        <v>0</v>
      </c>
      <c r="I33" s="9">
        <f>IFERROR(VLOOKUP($A33,ATUAL_LIV_E_DIR!$A:$P,MATCH(APENDICE_BCB!I$3,ATUAL_LIV_E_DIR!$1:$1,0),0),0)</f>
        <v>0</v>
      </c>
      <c r="J33" s="9">
        <f>IFERROR(VLOOKUP($A33,ATUAL_LIV_E_DIR!$A:$P,MATCH(APENDICE_BCB!J$3,ATUAL_LIV_E_DIR!$1:$1,0),0),0)</f>
        <v>0</v>
      </c>
      <c r="K33" s="9">
        <f>IFERROR(VLOOKUP($A33,ATUAL_LIV_E_DIR!$A:$P,MATCH(APENDICE_BCB!K$3,ATUAL_LIV_E_DIR!$1:$1,0),0),0)</f>
        <v>0</v>
      </c>
      <c r="L33" s="9">
        <f>IFERROR(VLOOKUP($A33,ATUAL_LIV_E_DIR!$A:$P,MATCH(APENDICE_BCB!L$3,ATUAL_LIV_E_DIR!$1:$1,0),0),0)</f>
        <v>0</v>
      </c>
      <c r="M33" s="9">
        <f>IFERROR(VLOOKUP($A33,ATUAL_LIV_E_DIR!$A:$P,MATCH(APENDICE_BCB!M$3,ATUAL_LIV_E_DIR!$1:$1,0),0),0)</f>
        <v>0</v>
      </c>
      <c r="O33" s="11">
        <f t="shared" si="0"/>
        <v>81592.841</v>
      </c>
      <c r="P33" s="11">
        <f t="shared" si="1"/>
        <v>0</v>
      </c>
      <c r="Q33" s="11">
        <f t="shared" si="2"/>
        <v>62733.167999999998</v>
      </c>
      <c r="R33" s="11">
        <f t="shared" si="3"/>
        <v>0</v>
      </c>
      <c r="S33" s="11"/>
      <c r="T33" s="11"/>
      <c r="V33" s="7">
        <f t="shared" si="4"/>
        <v>0</v>
      </c>
      <c r="W33">
        <f t="shared" si="5"/>
        <v>0</v>
      </c>
      <c r="Y33" s="8">
        <f t="shared" si="7"/>
        <v>-5.2477783716065041E-3</v>
      </c>
      <c r="Z33" s="8"/>
      <c r="AB33" s="11"/>
      <c r="AD33" s="9"/>
    </row>
    <row r="34" spans="1:32" x14ac:dyDescent="0.25">
      <c r="A34" s="1">
        <v>36251</v>
      </c>
      <c r="B34" s="9">
        <f>IFERROR(VLOOKUP($A34,ANTIGA_LIVRES!$A:$P,MATCH(APENDICE_BCB!B$3,ANTIGA_LIVRES!$1:$1,0),0)/1000,0)</f>
        <v>82644.929000000004</v>
      </c>
      <c r="C34" s="9">
        <f>IFERROR(VLOOKUP($A34,ANTIGA_LIVRES!$A:$P,MATCH(APENDICE_BCB!C$3,ANTIGA_LIVRES!$1:$1,0),0)/1000,0)</f>
        <v>63515.368999999999</v>
      </c>
      <c r="D34" s="9">
        <f>IFERROR(VLOOKUP($A34,ANTIGA_LIVRES!$A:$P,MATCH(APENDICE_BCB!D$3,ANTIGA_LIVRES!$1:$1,0),0)/1000,0)</f>
        <v>19129.559000000001</v>
      </c>
      <c r="E34" s="9">
        <f>IFERROR(VLOOKUP($A34,ANTIGA_DIRECIONADOS!$A:$P,MATCH(APENDICE_BCB!E$3,ANTIGA_DIRECIONADOS!$1:$1,0),0),0)</f>
        <v>0</v>
      </c>
      <c r="F34" s="9">
        <f>IFERROR(VLOOKUP($A34,ANTIGA_DIRECIONADOS!$A:$P,MATCH(APENDICE_BCB!F$3,ANTIGA_DIRECIONADOS!$1:$1,0),0),0)</f>
        <v>0</v>
      </c>
      <c r="G34" s="9">
        <f>IFERROR(VLOOKUP($A34,ANTIGA_DIRECIONADOS!$A:$P,MATCH(APENDICE_BCB!G$3,ANTIGA_DIRECIONADOS!$1:$1,0),0),0)</f>
        <v>0</v>
      </c>
      <c r="H34" s="9">
        <f>IFERROR(VLOOKUP($A34,ATUAL_LIV_E_DIR!$A:$P,MATCH(APENDICE_BCB!H$3,ATUAL_LIV_E_DIR!$1:$1,0),0),0)</f>
        <v>0</v>
      </c>
      <c r="I34" s="9">
        <f>IFERROR(VLOOKUP($A34,ATUAL_LIV_E_DIR!$A:$P,MATCH(APENDICE_BCB!I$3,ATUAL_LIV_E_DIR!$1:$1,0),0),0)</f>
        <v>0</v>
      </c>
      <c r="J34" s="9">
        <f>IFERROR(VLOOKUP($A34,ATUAL_LIV_E_DIR!$A:$P,MATCH(APENDICE_BCB!J$3,ATUAL_LIV_E_DIR!$1:$1,0),0),0)</f>
        <v>0</v>
      </c>
      <c r="K34" s="9">
        <f>IFERROR(VLOOKUP($A34,ATUAL_LIV_E_DIR!$A:$P,MATCH(APENDICE_BCB!K$3,ATUAL_LIV_E_DIR!$1:$1,0),0),0)</f>
        <v>0</v>
      </c>
      <c r="L34" s="9">
        <f>IFERROR(VLOOKUP($A34,ATUAL_LIV_E_DIR!$A:$P,MATCH(APENDICE_BCB!L$3,ATUAL_LIV_E_DIR!$1:$1,0),0),0)</f>
        <v>0</v>
      </c>
      <c r="M34" s="9">
        <f>IFERROR(VLOOKUP($A34,ATUAL_LIV_E_DIR!$A:$P,MATCH(APENDICE_BCB!M$3,ATUAL_LIV_E_DIR!$1:$1,0),0),0)</f>
        <v>0</v>
      </c>
      <c r="O34" s="11">
        <f t="shared" si="0"/>
        <v>82644.929000000004</v>
      </c>
      <c r="P34" s="11">
        <f t="shared" si="1"/>
        <v>0</v>
      </c>
      <c r="Q34" s="11">
        <f t="shared" si="2"/>
        <v>63515.368999999999</v>
      </c>
      <c r="R34" s="11">
        <f t="shared" si="3"/>
        <v>0</v>
      </c>
      <c r="S34" s="11"/>
      <c r="T34" s="11"/>
      <c r="V34" s="7">
        <f t="shared" si="4"/>
        <v>0</v>
      </c>
      <c r="W34">
        <f t="shared" si="5"/>
        <v>0</v>
      </c>
      <c r="Y34" s="8">
        <f t="shared" si="7"/>
        <v>1.2894366553555914E-2</v>
      </c>
      <c r="Z34" s="8"/>
      <c r="AB34" s="11"/>
      <c r="AD34" s="9"/>
    </row>
    <row r="35" spans="1:32" x14ac:dyDescent="0.25">
      <c r="A35" s="1">
        <v>36281</v>
      </c>
      <c r="B35" s="9">
        <f>IFERROR(VLOOKUP($A35,ANTIGA_LIVRES!$A:$P,MATCH(APENDICE_BCB!B$3,ANTIGA_LIVRES!$1:$1,0),0)/1000,0)</f>
        <v>82195.600000000006</v>
      </c>
      <c r="C35" s="9">
        <f>IFERROR(VLOOKUP($A35,ANTIGA_LIVRES!$A:$P,MATCH(APENDICE_BCB!C$3,ANTIGA_LIVRES!$1:$1,0),0)/1000,0)</f>
        <v>62842.940999999999</v>
      </c>
      <c r="D35" s="9">
        <f>IFERROR(VLOOKUP($A35,ANTIGA_LIVRES!$A:$P,MATCH(APENDICE_BCB!D$3,ANTIGA_LIVRES!$1:$1,0),0)/1000,0)</f>
        <v>19352.66</v>
      </c>
      <c r="E35" s="9">
        <f>IFERROR(VLOOKUP($A35,ANTIGA_DIRECIONADOS!$A:$P,MATCH(APENDICE_BCB!E$3,ANTIGA_DIRECIONADOS!$1:$1,0),0),0)</f>
        <v>0</v>
      </c>
      <c r="F35" s="9">
        <f>IFERROR(VLOOKUP($A35,ANTIGA_DIRECIONADOS!$A:$P,MATCH(APENDICE_BCB!F$3,ANTIGA_DIRECIONADOS!$1:$1,0),0),0)</f>
        <v>0</v>
      </c>
      <c r="G35" s="9">
        <f>IFERROR(VLOOKUP($A35,ANTIGA_DIRECIONADOS!$A:$P,MATCH(APENDICE_BCB!G$3,ANTIGA_DIRECIONADOS!$1:$1,0),0),0)</f>
        <v>0</v>
      </c>
      <c r="H35" s="9">
        <f>IFERROR(VLOOKUP($A35,ATUAL_LIV_E_DIR!$A:$P,MATCH(APENDICE_BCB!H$3,ATUAL_LIV_E_DIR!$1:$1,0),0),0)</f>
        <v>0</v>
      </c>
      <c r="I35" s="9">
        <f>IFERROR(VLOOKUP($A35,ATUAL_LIV_E_DIR!$A:$P,MATCH(APENDICE_BCB!I$3,ATUAL_LIV_E_DIR!$1:$1,0),0),0)</f>
        <v>0</v>
      </c>
      <c r="J35" s="9">
        <f>IFERROR(VLOOKUP($A35,ATUAL_LIV_E_DIR!$A:$P,MATCH(APENDICE_BCB!J$3,ATUAL_LIV_E_DIR!$1:$1,0),0),0)</f>
        <v>0</v>
      </c>
      <c r="K35" s="9">
        <f>IFERROR(VLOOKUP($A35,ATUAL_LIV_E_DIR!$A:$P,MATCH(APENDICE_BCB!K$3,ATUAL_LIV_E_DIR!$1:$1,0),0),0)</f>
        <v>0</v>
      </c>
      <c r="L35" s="9">
        <f>IFERROR(VLOOKUP($A35,ATUAL_LIV_E_DIR!$A:$P,MATCH(APENDICE_BCB!L$3,ATUAL_LIV_E_DIR!$1:$1,0),0),0)</f>
        <v>0</v>
      </c>
      <c r="M35" s="9">
        <f>IFERROR(VLOOKUP($A35,ATUAL_LIV_E_DIR!$A:$P,MATCH(APENDICE_BCB!M$3,ATUAL_LIV_E_DIR!$1:$1,0),0),0)</f>
        <v>0</v>
      </c>
      <c r="O35" s="11">
        <f t="shared" si="0"/>
        <v>82195.600000000006</v>
      </c>
      <c r="P35" s="11">
        <f t="shared" si="1"/>
        <v>0</v>
      </c>
      <c r="Q35" s="11">
        <f t="shared" si="2"/>
        <v>62842.940999999999</v>
      </c>
      <c r="R35" s="11">
        <f t="shared" si="3"/>
        <v>0</v>
      </c>
      <c r="S35" s="11"/>
      <c r="T35" s="11"/>
      <c r="V35" s="7">
        <f t="shared" si="4"/>
        <v>0</v>
      </c>
      <c r="W35">
        <f t="shared" si="5"/>
        <v>0</v>
      </c>
      <c r="Y35" s="8">
        <f t="shared" si="7"/>
        <v>-5.4368611049323556E-3</v>
      </c>
      <c r="Z35" s="8"/>
      <c r="AB35" s="11"/>
      <c r="AD35" s="9"/>
    </row>
    <row r="36" spans="1:32" x14ac:dyDescent="0.25">
      <c r="A36" s="1">
        <v>36312</v>
      </c>
      <c r="B36" s="9">
        <f>IFERROR(VLOOKUP($A36,ANTIGA_LIVRES!$A:$P,MATCH(APENDICE_BCB!B$3,ANTIGA_LIVRES!$1:$1,0),0)/1000,0)</f>
        <v>83228.457999999999</v>
      </c>
      <c r="C36" s="9">
        <f>IFERROR(VLOOKUP($A36,ANTIGA_LIVRES!$A:$P,MATCH(APENDICE_BCB!C$3,ANTIGA_LIVRES!$1:$1,0),0)/1000,0)</f>
        <v>63837.544999999998</v>
      </c>
      <c r="D36" s="9">
        <f>IFERROR(VLOOKUP($A36,ANTIGA_LIVRES!$A:$P,MATCH(APENDICE_BCB!D$3,ANTIGA_LIVRES!$1:$1,0),0)/1000,0)</f>
        <v>19390.913</v>
      </c>
      <c r="E36" s="9">
        <f>IFERROR(VLOOKUP($A36,ANTIGA_DIRECIONADOS!$A:$P,MATCH(APENDICE_BCB!E$3,ANTIGA_DIRECIONADOS!$1:$1,0),0),0)</f>
        <v>0</v>
      </c>
      <c r="F36" s="9">
        <f>IFERROR(VLOOKUP($A36,ANTIGA_DIRECIONADOS!$A:$P,MATCH(APENDICE_BCB!F$3,ANTIGA_DIRECIONADOS!$1:$1,0),0),0)</f>
        <v>0</v>
      </c>
      <c r="G36" s="9">
        <f>IFERROR(VLOOKUP($A36,ANTIGA_DIRECIONADOS!$A:$P,MATCH(APENDICE_BCB!G$3,ANTIGA_DIRECIONADOS!$1:$1,0),0),0)</f>
        <v>0</v>
      </c>
      <c r="H36" s="9">
        <f>IFERROR(VLOOKUP($A36,ATUAL_LIV_E_DIR!$A:$P,MATCH(APENDICE_BCB!H$3,ATUAL_LIV_E_DIR!$1:$1,0),0),0)</f>
        <v>0</v>
      </c>
      <c r="I36" s="9">
        <f>IFERROR(VLOOKUP($A36,ATUAL_LIV_E_DIR!$A:$P,MATCH(APENDICE_BCB!I$3,ATUAL_LIV_E_DIR!$1:$1,0),0),0)</f>
        <v>0</v>
      </c>
      <c r="J36" s="9">
        <f>IFERROR(VLOOKUP($A36,ATUAL_LIV_E_DIR!$A:$P,MATCH(APENDICE_BCB!J$3,ATUAL_LIV_E_DIR!$1:$1,0),0),0)</f>
        <v>0</v>
      </c>
      <c r="K36" s="9">
        <f>IFERROR(VLOOKUP($A36,ATUAL_LIV_E_DIR!$A:$P,MATCH(APENDICE_BCB!K$3,ATUAL_LIV_E_DIR!$1:$1,0),0),0)</f>
        <v>0</v>
      </c>
      <c r="L36" s="9">
        <f>IFERROR(VLOOKUP($A36,ATUAL_LIV_E_DIR!$A:$P,MATCH(APENDICE_BCB!L$3,ATUAL_LIV_E_DIR!$1:$1,0),0),0)</f>
        <v>0</v>
      </c>
      <c r="M36" s="9">
        <f>IFERROR(VLOOKUP($A36,ATUAL_LIV_E_DIR!$A:$P,MATCH(APENDICE_BCB!M$3,ATUAL_LIV_E_DIR!$1:$1,0),0),0)</f>
        <v>0</v>
      </c>
      <c r="O36" s="11">
        <f t="shared" si="0"/>
        <v>83228.457999999999</v>
      </c>
      <c r="P36" s="11">
        <f t="shared" si="1"/>
        <v>0</v>
      </c>
      <c r="Q36" s="11">
        <f t="shared" si="2"/>
        <v>63837.544999999998</v>
      </c>
      <c r="R36" s="11">
        <f t="shared" si="3"/>
        <v>0</v>
      </c>
      <c r="S36" s="11"/>
      <c r="T36" s="11"/>
      <c r="V36" s="7">
        <f t="shared" si="4"/>
        <v>0</v>
      </c>
      <c r="W36">
        <f t="shared" si="5"/>
        <v>0</v>
      </c>
      <c r="Y36" s="8">
        <f t="shared" si="7"/>
        <v>1.2565855106599244E-2</v>
      </c>
      <c r="Z36" s="8"/>
      <c r="AB36" s="11"/>
      <c r="AD36" s="9"/>
    </row>
    <row r="37" spans="1:32" x14ac:dyDescent="0.25">
      <c r="A37" s="1">
        <v>36342</v>
      </c>
      <c r="B37" s="9">
        <f>IFERROR(VLOOKUP($A37,ANTIGA_LIVRES!$A:$P,MATCH(APENDICE_BCB!B$3,ANTIGA_LIVRES!$1:$1,0),0)/1000,0)</f>
        <v>85471.308999999994</v>
      </c>
      <c r="C37" s="9">
        <f>IFERROR(VLOOKUP($A37,ANTIGA_LIVRES!$A:$P,MATCH(APENDICE_BCB!C$3,ANTIGA_LIVRES!$1:$1,0),0)/1000,0)</f>
        <v>65492.063000000002</v>
      </c>
      <c r="D37" s="9">
        <f>IFERROR(VLOOKUP($A37,ANTIGA_LIVRES!$A:$P,MATCH(APENDICE_BCB!D$3,ANTIGA_LIVRES!$1:$1,0),0)/1000,0)</f>
        <v>19979.246999999999</v>
      </c>
      <c r="E37" s="9">
        <f>IFERROR(VLOOKUP($A37,ANTIGA_DIRECIONADOS!$A:$P,MATCH(APENDICE_BCB!E$3,ANTIGA_DIRECIONADOS!$1:$1,0),0),0)</f>
        <v>0</v>
      </c>
      <c r="F37" s="9">
        <f>IFERROR(VLOOKUP($A37,ANTIGA_DIRECIONADOS!$A:$P,MATCH(APENDICE_BCB!F$3,ANTIGA_DIRECIONADOS!$1:$1,0),0),0)</f>
        <v>0</v>
      </c>
      <c r="G37" s="9">
        <f>IFERROR(VLOOKUP($A37,ANTIGA_DIRECIONADOS!$A:$P,MATCH(APENDICE_BCB!G$3,ANTIGA_DIRECIONADOS!$1:$1,0),0),0)</f>
        <v>0</v>
      </c>
      <c r="H37" s="9">
        <f>IFERROR(VLOOKUP($A37,ATUAL_LIV_E_DIR!$A:$P,MATCH(APENDICE_BCB!H$3,ATUAL_LIV_E_DIR!$1:$1,0),0),0)</f>
        <v>0</v>
      </c>
      <c r="I37" s="9">
        <f>IFERROR(VLOOKUP($A37,ATUAL_LIV_E_DIR!$A:$P,MATCH(APENDICE_BCB!I$3,ATUAL_LIV_E_DIR!$1:$1,0),0),0)</f>
        <v>0</v>
      </c>
      <c r="J37" s="9">
        <f>IFERROR(VLOOKUP($A37,ATUAL_LIV_E_DIR!$A:$P,MATCH(APENDICE_BCB!J$3,ATUAL_LIV_E_DIR!$1:$1,0),0),0)</f>
        <v>0</v>
      </c>
      <c r="K37" s="9">
        <f>IFERROR(VLOOKUP($A37,ATUAL_LIV_E_DIR!$A:$P,MATCH(APENDICE_BCB!K$3,ATUAL_LIV_E_DIR!$1:$1,0),0),0)</f>
        <v>0</v>
      </c>
      <c r="L37" s="9">
        <f>IFERROR(VLOOKUP($A37,ATUAL_LIV_E_DIR!$A:$P,MATCH(APENDICE_BCB!L$3,ATUAL_LIV_E_DIR!$1:$1,0),0),0)</f>
        <v>0</v>
      </c>
      <c r="M37" s="9">
        <f>IFERROR(VLOOKUP($A37,ATUAL_LIV_E_DIR!$A:$P,MATCH(APENDICE_BCB!M$3,ATUAL_LIV_E_DIR!$1:$1,0),0),0)</f>
        <v>0</v>
      </c>
      <c r="O37" s="11">
        <f t="shared" si="0"/>
        <v>85471.308999999994</v>
      </c>
      <c r="P37" s="11">
        <f t="shared" si="1"/>
        <v>0</v>
      </c>
      <c r="Q37" s="11">
        <f t="shared" si="2"/>
        <v>65492.063000000002</v>
      </c>
      <c r="R37" s="11">
        <f t="shared" si="3"/>
        <v>0</v>
      </c>
      <c r="S37" s="11"/>
      <c r="T37" s="11"/>
      <c r="V37" s="7">
        <f t="shared" si="4"/>
        <v>0</v>
      </c>
      <c r="W37">
        <f t="shared" si="5"/>
        <v>0</v>
      </c>
      <c r="Y37" s="8">
        <f t="shared" si="7"/>
        <v>2.694812632477217E-2</v>
      </c>
      <c r="Z37" s="8"/>
      <c r="AB37" s="11"/>
      <c r="AD37" s="9"/>
    </row>
    <row r="38" spans="1:32" x14ac:dyDescent="0.25">
      <c r="A38" s="1">
        <v>36373</v>
      </c>
      <c r="B38" s="9">
        <f>IFERROR(VLOOKUP($A38,ANTIGA_LIVRES!$A:$P,MATCH(APENDICE_BCB!B$3,ANTIGA_LIVRES!$1:$1,0),0)/1000,0)</f>
        <v>86107.55</v>
      </c>
      <c r="C38" s="9">
        <f>IFERROR(VLOOKUP($A38,ANTIGA_LIVRES!$A:$P,MATCH(APENDICE_BCB!C$3,ANTIGA_LIVRES!$1:$1,0),0)/1000,0)</f>
        <v>65400.366000000002</v>
      </c>
      <c r="D38" s="9">
        <f>IFERROR(VLOOKUP($A38,ANTIGA_LIVRES!$A:$P,MATCH(APENDICE_BCB!D$3,ANTIGA_LIVRES!$1:$1,0),0)/1000,0)</f>
        <v>20707.184000000001</v>
      </c>
      <c r="E38" s="9">
        <f>IFERROR(VLOOKUP($A38,ANTIGA_DIRECIONADOS!$A:$P,MATCH(APENDICE_BCB!E$3,ANTIGA_DIRECIONADOS!$1:$1,0),0),0)</f>
        <v>0</v>
      </c>
      <c r="F38" s="9">
        <f>IFERROR(VLOOKUP($A38,ANTIGA_DIRECIONADOS!$A:$P,MATCH(APENDICE_BCB!F$3,ANTIGA_DIRECIONADOS!$1:$1,0),0),0)</f>
        <v>0</v>
      </c>
      <c r="G38" s="9">
        <f>IFERROR(VLOOKUP($A38,ANTIGA_DIRECIONADOS!$A:$P,MATCH(APENDICE_BCB!G$3,ANTIGA_DIRECIONADOS!$1:$1,0),0),0)</f>
        <v>0</v>
      </c>
      <c r="H38" s="9">
        <f>IFERROR(VLOOKUP($A38,ATUAL_LIV_E_DIR!$A:$P,MATCH(APENDICE_BCB!H$3,ATUAL_LIV_E_DIR!$1:$1,0),0),0)</f>
        <v>0</v>
      </c>
      <c r="I38" s="9">
        <f>IFERROR(VLOOKUP($A38,ATUAL_LIV_E_DIR!$A:$P,MATCH(APENDICE_BCB!I$3,ATUAL_LIV_E_DIR!$1:$1,0),0),0)</f>
        <v>0</v>
      </c>
      <c r="J38" s="9">
        <f>IFERROR(VLOOKUP($A38,ATUAL_LIV_E_DIR!$A:$P,MATCH(APENDICE_BCB!J$3,ATUAL_LIV_E_DIR!$1:$1,0),0),0)</f>
        <v>0</v>
      </c>
      <c r="K38" s="9">
        <f>IFERROR(VLOOKUP($A38,ATUAL_LIV_E_DIR!$A:$P,MATCH(APENDICE_BCB!K$3,ATUAL_LIV_E_DIR!$1:$1,0),0),0)</f>
        <v>0</v>
      </c>
      <c r="L38" s="9">
        <f>IFERROR(VLOOKUP($A38,ATUAL_LIV_E_DIR!$A:$P,MATCH(APENDICE_BCB!L$3,ATUAL_LIV_E_DIR!$1:$1,0),0),0)</f>
        <v>0</v>
      </c>
      <c r="M38" s="9">
        <f>IFERROR(VLOOKUP($A38,ATUAL_LIV_E_DIR!$A:$P,MATCH(APENDICE_BCB!M$3,ATUAL_LIV_E_DIR!$1:$1,0),0),0)</f>
        <v>0</v>
      </c>
      <c r="O38" s="11">
        <f t="shared" si="0"/>
        <v>86107.55</v>
      </c>
      <c r="P38" s="11">
        <f t="shared" si="1"/>
        <v>0</v>
      </c>
      <c r="Q38" s="11">
        <f t="shared" si="2"/>
        <v>65400.366000000002</v>
      </c>
      <c r="R38" s="11">
        <f t="shared" si="3"/>
        <v>0</v>
      </c>
      <c r="S38" s="11"/>
      <c r="T38" s="11"/>
      <c r="V38" s="7">
        <f t="shared" si="4"/>
        <v>0</v>
      </c>
      <c r="W38">
        <f t="shared" si="5"/>
        <v>0</v>
      </c>
      <c r="Y38" s="8">
        <f t="shared" si="7"/>
        <v>7.4439131381502932E-3</v>
      </c>
      <c r="Z38" s="8"/>
      <c r="AB38" s="11"/>
      <c r="AD38" s="9"/>
    </row>
    <row r="39" spans="1:32" x14ac:dyDescent="0.25">
      <c r="A39" s="1">
        <v>36404</v>
      </c>
      <c r="B39" s="9">
        <f>IFERROR(VLOOKUP($A39,ANTIGA_LIVRES!$A:$P,MATCH(APENDICE_BCB!B$3,ANTIGA_LIVRES!$1:$1,0),0)/1000,0)</f>
        <v>89119.784</v>
      </c>
      <c r="C39" s="9">
        <f>IFERROR(VLOOKUP($A39,ANTIGA_LIVRES!$A:$P,MATCH(APENDICE_BCB!C$3,ANTIGA_LIVRES!$1:$1,0),0)/1000,0)</f>
        <v>67705.981</v>
      </c>
      <c r="D39" s="9">
        <f>IFERROR(VLOOKUP($A39,ANTIGA_LIVRES!$A:$P,MATCH(APENDICE_BCB!D$3,ANTIGA_LIVRES!$1:$1,0),0)/1000,0)</f>
        <v>21413.803</v>
      </c>
      <c r="E39" s="9">
        <f>IFERROR(VLOOKUP($A39,ANTIGA_DIRECIONADOS!$A:$P,MATCH(APENDICE_BCB!E$3,ANTIGA_DIRECIONADOS!$1:$1,0),0),0)</f>
        <v>0</v>
      </c>
      <c r="F39" s="9">
        <f>IFERROR(VLOOKUP($A39,ANTIGA_DIRECIONADOS!$A:$P,MATCH(APENDICE_BCB!F$3,ANTIGA_DIRECIONADOS!$1:$1,0),0),0)</f>
        <v>0</v>
      </c>
      <c r="G39" s="9">
        <f>IFERROR(VLOOKUP($A39,ANTIGA_DIRECIONADOS!$A:$P,MATCH(APENDICE_BCB!G$3,ANTIGA_DIRECIONADOS!$1:$1,0),0),0)</f>
        <v>0</v>
      </c>
      <c r="H39" s="9">
        <f>IFERROR(VLOOKUP($A39,ATUAL_LIV_E_DIR!$A:$P,MATCH(APENDICE_BCB!H$3,ATUAL_LIV_E_DIR!$1:$1,0),0),0)</f>
        <v>0</v>
      </c>
      <c r="I39" s="9">
        <f>IFERROR(VLOOKUP($A39,ATUAL_LIV_E_DIR!$A:$P,MATCH(APENDICE_BCB!I$3,ATUAL_LIV_E_DIR!$1:$1,0),0),0)</f>
        <v>0</v>
      </c>
      <c r="J39" s="9">
        <f>IFERROR(VLOOKUP($A39,ATUAL_LIV_E_DIR!$A:$P,MATCH(APENDICE_BCB!J$3,ATUAL_LIV_E_DIR!$1:$1,0),0),0)</f>
        <v>0</v>
      </c>
      <c r="K39" s="9">
        <f>IFERROR(VLOOKUP($A39,ATUAL_LIV_E_DIR!$A:$P,MATCH(APENDICE_BCB!K$3,ATUAL_LIV_E_DIR!$1:$1,0),0),0)</f>
        <v>0</v>
      </c>
      <c r="L39" s="9">
        <f>IFERROR(VLOOKUP($A39,ATUAL_LIV_E_DIR!$A:$P,MATCH(APENDICE_BCB!L$3,ATUAL_LIV_E_DIR!$1:$1,0),0),0)</f>
        <v>0</v>
      </c>
      <c r="M39" s="9">
        <f>IFERROR(VLOOKUP($A39,ATUAL_LIV_E_DIR!$A:$P,MATCH(APENDICE_BCB!M$3,ATUAL_LIV_E_DIR!$1:$1,0),0),0)</f>
        <v>0</v>
      </c>
      <c r="O39" s="11">
        <f t="shared" si="0"/>
        <v>89119.784</v>
      </c>
      <c r="P39" s="11">
        <f t="shared" si="1"/>
        <v>0</v>
      </c>
      <c r="Q39" s="11">
        <f t="shared" si="2"/>
        <v>67705.981</v>
      </c>
      <c r="R39" s="11">
        <f t="shared" si="3"/>
        <v>0</v>
      </c>
      <c r="S39" s="11"/>
      <c r="T39" s="11"/>
      <c r="V39" s="7">
        <f t="shared" si="4"/>
        <v>0</v>
      </c>
      <c r="W39">
        <f t="shared" si="5"/>
        <v>0</v>
      </c>
      <c r="Y39" s="8">
        <f t="shared" si="7"/>
        <v>3.4982228619906186E-2</v>
      </c>
      <c r="Z39" s="8"/>
      <c r="AB39" s="11"/>
      <c r="AD39" s="9"/>
    </row>
    <row r="40" spans="1:32" x14ac:dyDescent="0.25">
      <c r="A40" s="1">
        <v>36434</v>
      </c>
      <c r="B40" s="9">
        <f>IFERROR(VLOOKUP($A40,ANTIGA_LIVRES!$A:$P,MATCH(APENDICE_BCB!B$3,ANTIGA_LIVRES!$1:$1,0),0)/1000,0)</f>
        <v>91510.414999999994</v>
      </c>
      <c r="C40" s="9">
        <f>IFERROR(VLOOKUP($A40,ANTIGA_LIVRES!$A:$P,MATCH(APENDICE_BCB!C$3,ANTIGA_LIVRES!$1:$1,0),0)/1000,0)</f>
        <v>69736.125</v>
      </c>
      <c r="D40" s="9">
        <f>IFERROR(VLOOKUP($A40,ANTIGA_LIVRES!$A:$P,MATCH(APENDICE_BCB!D$3,ANTIGA_LIVRES!$1:$1,0),0)/1000,0)</f>
        <v>21774.29</v>
      </c>
      <c r="E40" s="9">
        <f>IFERROR(VLOOKUP($A40,ANTIGA_DIRECIONADOS!$A:$P,MATCH(APENDICE_BCB!E$3,ANTIGA_DIRECIONADOS!$1:$1,0),0),0)</f>
        <v>0</v>
      </c>
      <c r="F40" s="9">
        <f>IFERROR(VLOOKUP($A40,ANTIGA_DIRECIONADOS!$A:$P,MATCH(APENDICE_BCB!F$3,ANTIGA_DIRECIONADOS!$1:$1,0),0),0)</f>
        <v>0</v>
      </c>
      <c r="G40" s="9">
        <f>IFERROR(VLOOKUP($A40,ANTIGA_DIRECIONADOS!$A:$P,MATCH(APENDICE_BCB!G$3,ANTIGA_DIRECIONADOS!$1:$1,0),0),0)</f>
        <v>0</v>
      </c>
      <c r="H40" s="9">
        <f>IFERROR(VLOOKUP($A40,ATUAL_LIV_E_DIR!$A:$P,MATCH(APENDICE_BCB!H$3,ATUAL_LIV_E_DIR!$1:$1,0),0),0)</f>
        <v>0</v>
      </c>
      <c r="I40" s="9">
        <f>IFERROR(VLOOKUP($A40,ATUAL_LIV_E_DIR!$A:$P,MATCH(APENDICE_BCB!I$3,ATUAL_LIV_E_DIR!$1:$1,0),0),0)</f>
        <v>0</v>
      </c>
      <c r="J40" s="9">
        <f>IFERROR(VLOOKUP($A40,ATUAL_LIV_E_DIR!$A:$P,MATCH(APENDICE_BCB!J$3,ATUAL_LIV_E_DIR!$1:$1,0),0),0)</f>
        <v>0</v>
      </c>
      <c r="K40" s="9">
        <f>IFERROR(VLOOKUP($A40,ATUAL_LIV_E_DIR!$A:$P,MATCH(APENDICE_BCB!K$3,ATUAL_LIV_E_DIR!$1:$1,0),0),0)</f>
        <v>0</v>
      </c>
      <c r="L40" s="9">
        <f>IFERROR(VLOOKUP($A40,ATUAL_LIV_E_DIR!$A:$P,MATCH(APENDICE_BCB!L$3,ATUAL_LIV_E_DIR!$1:$1,0),0),0)</f>
        <v>0</v>
      </c>
      <c r="M40" s="9">
        <f>IFERROR(VLOOKUP($A40,ATUAL_LIV_E_DIR!$A:$P,MATCH(APENDICE_BCB!M$3,ATUAL_LIV_E_DIR!$1:$1,0),0),0)</f>
        <v>0</v>
      </c>
      <c r="O40" s="11">
        <f t="shared" si="0"/>
        <v>91510.414999999994</v>
      </c>
      <c r="P40" s="11">
        <f t="shared" si="1"/>
        <v>0</v>
      </c>
      <c r="Q40" s="11">
        <f t="shared" si="2"/>
        <v>69736.125</v>
      </c>
      <c r="R40" s="11">
        <f t="shared" si="3"/>
        <v>0</v>
      </c>
      <c r="S40" s="11"/>
      <c r="T40" s="11"/>
      <c r="V40" s="7">
        <f t="shared" si="4"/>
        <v>0</v>
      </c>
      <c r="W40">
        <f t="shared" si="5"/>
        <v>0</v>
      </c>
      <c r="Y40" s="8">
        <f t="shared" si="7"/>
        <v>2.6824919144777137E-2</v>
      </c>
      <c r="Z40" s="8"/>
      <c r="AB40" s="11"/>
      <c r="AD40" s="9"/>
    </row>
    <row r="41" spans="1:32" x14ac:dyDescent="0.25">
      <c r="A41" s="1">
        <v>36465</v>
      </c>
      <c r="B41" s="9">
        <f>IFERROR(VLOOKUP($A41,ANTIGA_LIVRES!$A:$P,MATCH(APENDICE_BCB!B$3,ANTIGA_LIVRES!$1:$1,0),0)/1000,0)</f>
        <v>94019.298999999999</v>
      </c>
      <c r="C41" s="9">
        <f>IFERROR(VLOOKUP($A41,ANTIGA_LIVRES!$A:$P,MATCH(APENDICE_BCB!C$3,ANTIGA_LIVRES!$1:$1,0),0)/1000,0)</f>
        <v>71143.815000000002</v>
      </c>
      <c r="D41" s="9">
        <f>IFERROR(VLOOKUP($A41,ANTIGA_LIVRES!$A:$P,MATCH(APENDICE_BCB!D$3,ANTIGA_LIVRES!$1:$1,0),0)/1000,0)</f>
        <v>22875.485000000001</v>
      </c>
      <c r="E41" s="9">
        <f>IFERROR(VLOOKUP($A41,ANTIGA_DIRECIONADOS!$A:$P,MATCH(APENDICE_BCB!E$3,ANTIGA_DIRECIONADOS!$1:$1,0),0),0)</f>
        <v>0</v>
      </c>
      <c r="F41" s="9">
        <f>IFERROR(VLOOKUP($A41,ANTIGA_DIRECIONADOS!$A:$P,MATCH(APENDICE_BCB!F$3,ANTIGA_DIRECIONADOS!$1:$1,0),0),0)</f>
        <v>0</v>
      </c>
      <c r="G41" s="9">
        <f>IFERROR(VLOOKUP($A41,ANTIGA_DIRECIONADOS!$A:$P,MATCH(APENDICE_BCB!G$3,ANTIGA_DIRECIONADOS!$1:$1,0),0),0)</f>
        <v>0</v>
      </c>
      <c r="H41" s="9">
        <f>IFERROR(VLOOKUP($A41,ATUAL_LIV_E_DIR!$A:$P,MATCH(APENDICE_BCB!H$3,ATUAL_LIV_E_DIR!$1:$1,0),0),0)</f>
        <v>0</v>
      </c>
      <c r="I41" s="9">
        <f>IFERROR(VLOOKUP($A41,ATUAL_LIV_E_DIR!$A:$P,MATCH(APENDICE_BCB!I$3,ATUAL_LIV_E_DIR!$1:$1,0),0),0)</f>
        <v>0</v>
      </c>
      <c r="J41" s="9">
        <f>IFERROR(VLOOKUP($A41,ATUAL_LIV_E_DIR!$A:$P,MATCH(APENDICE_BCB!J$3,ATUAL_LIV_E_DIR!$1:$1,0),0),0)</f>
        <v>0</v>
      </c>
      <c r="K41" s="9">
        <f>IFERROR(VLOOKUP($A41,ATUAL_LIV_E_DIR!$A:$P,MATCH(APENDICE_BCB!K$3,ATUAL_LIV_E_DIR!$1:$1,0),0),0)</f>
        <v>0</v>
      </c>
      <c r="L41" s="9">
        <f>IFERROR(VLOOKUP($A41,ATUAL_LIV_E_DIR!$A:$P,MATCH(APENDICE_BCB!L$3,ATUAL_LIV_E_DIR!$1:$1,0),0),0)</f>
        <v>0</v>
      </c>
      <c r="M41" s="9">
        <f>IFERROR(VLOOKUP($A41,ATUAL_LIV_E_DIR!$A:$P,MATCH(APENDICE_BCB!M$3,ATUAL_LIV_E_DIR!$1:$1,0),0),0)</f>
        <v>0</v>
      </c>
      <c r="O41" s="11">
        <f t="shared" si="0"/>
        <v>94019.298999999999</v>
      </c>
      <c r="P41" s="11">
        <f t="shared" si="1"/>
        <v>0</v>
      </c>
      <c r="Q41" s="11">
        <f t="shared" si="2"/>
        <v>71143.815000000002</v>
      </c>
      <c r="R41" s="11">
        <f t="shared" si="3"/>
        <v>0</v>
      </c>
      <c r="S41" s="11"/>
      <c r="T41" s="11"/>
      <c r="V41" s="7">
        <f t="shared" si="4"/>
        <v>0</v>
      </c>
      <c r="W41">
        <f t="shared" si="5"/>
        <v>0</v>
      </c>
      <c r="Y41" s="8">
        <f t="shared" si="7"/>
        <v>2.7416376594948222E-2</v>
      </c>
      <c r="Z41" s="8"/>
      <c r="AB41" s="11"/>
      <c r="AD41" s="9"/>
    </row>
    <row r="42" spans="1:32" x14ac:dyDescent="0.25">
      <c r="A42" s="1">
        <v>36495</v>
      </c>
      <c r="B42" s="9">
        <f>IFERROR(VLOOKUP($A42,ANTIGA_LIVRES!$A:$P,MATCH(APENDICE_BCB!B$3,ANTIGA_LIVRES!$1:$1,0),0)/1000,0)</f>
        <v>92527.843999999997</v>
      </c>
      <c r="C42" s="9">
        <f>IFERROR(VLOOKUP($A42,ANTIGA_LIVRES!$A:$P,MATCH(APENDICE_BCB!C$3,ANTIGA_LIVRES!$1:$1,0),0)/1000,0)</f>
        <v>70107.264999999999</v>
      </c>
      <c r="D42" s="9">
        <f>IFERROR(VLOOKUP($A42,ANTIGA_LIVRES!$A:$P,MATCH(APENDICE_BCB!D$3,ANTIGA_LIVRES!$1:$1,0),0)/1000,0)</f>
        <v>22420.58</v>
      </c>
      <c r="E42" s="9">
        <f>IFERROR(VLOOKUP($A42,ANTIGA_DIRECIONADOS!$A:$P,MATCH(APENDICE_BCB!E$3,ANTIGA_DIRECIONADOS!$1:$1,0),0),0)</f>
        <v>0</v>
      </c>
      <c r="F42" s="9">
        <f>IFERROR(VLOOKUP($A42,ANTIGA_DIRECIONADOS!$A:$P,MATCH(APENDICE_BCB!F$3,ANTIGA_DIRECIONADOS!$1:$1,0),0),0)</f>
        <v>0</v>
      </c>
      <c r="G42" s="9">
        <f>IFERROR(VLOOKUP($A42,ANTIGA_DIRECIONADOS!$A:$P,MATCH(APENDICE_BCB!G$3,ANTIGA_DIRECIONADOS!$1:$1,0),0),0)</f>
        <v>0</v>
      </c>
      <c r="H42" s="9">
        <f>IFERROR(VLOOKUP($A42,ATUAL_LIV_E_DIR!$A:$P,MATCH(APENDICE_BCB!H$3,ATUAL_LIV_E_DIR!$1:$1,0),0),0)</f>
        <v>0</v>
      </c>
      <c r="I42" s="9">
        <f>IFERROR(VLOOKUP($A42,ATUAL_LIV_E_DIR!$A:$P,MATCH(APENDICE_BCB!I$3,ATUAL_LIV_E_DIR!$1:$1,0),0),0)</f>
        <v>0</v>
      </c>
      <c r="J42" s="9">
        <f>IFERROR(VLOOKUP($A42,ATUAL_LIV_E_DIR!$A:$P,MATCH(APENDICE_BCB!J$3,ATUAL_LIV_E_DIR!$1:$1,0),0),0)</f>
        <v>0</v>
      </c>
      <c r="K42" s="9">
        <f>IFERROR(VLOOKUP($A42,ATUAL_LIV_E_DIR!$A:$P,MATCH(APENDICE_BCB!K$3,ATUAL_LIV_E_DIR!$1:$1,0),0),0)</f>
        <v>0</v>
      </c>
      <c r="L42" s="9">
        <f>IFERROR(VLOOKUP($A42,ATUAL_LIV_E_DIR!$A:$P,MATCH(APENDICE_BCB!L$3,ATUAL_LIV_E_DIR!$1:$1,0),0),0)</f>
        <v>0</v>
      </c>
      <c r="M42" s="9">
        <f>IFERROR(VLOOKUP($A42,ATUAL_LIV_E_DIR!$A:$P,MATCH(APENDICE_BCB!M$3,ATUAL_LIV_E_DIR!$1:$1,0),0),0)</f>
        <v>0</v>
      </c>
      <c r="O42" s="11">
        <f t="shared" si="0"/>
        <v>92527.843999999997</v>
      </c>
      <c r="P42" s="11">
        <f t="shared" si="1"/>
        <v>0</v>
      </c>
      <c r="Q42" s="11">
        <f t="shared" si="2"/>
        <v>70107.264999999999</v>
      </c>
      <c r="R42" s="11">
        <f t="shared" si="3"/>
        <v>0</v>
      </c>
      <c r="S42" s="11"/>
      <c r="T42" s="11"/>
      <c r="V42" s="7">
        <f t="shared" si="4"/>
        <v>0</v>
      </c>
      <c r="W42">
        <f t="shared" si="5"/>
        <v>0</v>
      </c>
      <c r="Y42" s="8">
        <f t="shared" si="7"/>
        <v>-1.5863285685633555E-2</v>
      </c>
      <c r="Z42" s="8"/>
      <c r="AB42" s="11"/>
      <c r="AD42" s="9"/>
    </row>
    <row r="43" spans="1:32" x14ac:dyDescent="0.25">
      <c r="A43" s="1">
        <v>36526</v>
      </c>
      <c r="B43" s="9">
        <f>IFERROR(VLOOKUP($A43,ANTIGA_LIVRES!$A:$P,MATCH(APENDICE_BCB!B$3,ANTIGA_LIVRES!$1:$1,0),0)/1000,0)</f>
        <v>93944.581999999995</v>
      </c>
      <c r="C43" s="9">
        <f>IFERROR(VLOOKUP($A43,ANTIGA_LIVRES!$A:$P,MATCH(APENDICE_BCB!C$3,ANTIGA_LIVRES!$1:$1,0),0)/1000,0)</f>
        <v>69745.951000000001</v>
      </c>
      <c r="D43" s="9">
        <f>IFERROR(VLOOKUP($A43,ANTIGA_LIVRES!$A:$P,MATCH(APENDICE_BCB!D$3,ANTIGA_LIVRES!$1:$1,0),0)/1000,0)</f>
        <v>24198.63</v>
      </c>
      <c r="E43" s="9">
        <f>IFERROR(VLOOKUP($A43,ANTIGA_DIRECIONADOS!$A:$P,MATCH(APENDICE_BCB!E$3,ANTIGA_DIRECIONADOS!$1:$1,0),0),0)</f>
        <v>0</v>
      </c>
      <c r="F43" s="9">
        <f>IFERROR(VLOOKUP($A43,ANTIGA_DIRECIONADOS!$A:$P,MATCH(APENDICE_BCB!F$3,ANTIGA_DIRECIONADOS!$1:$1,0),0),0)</f>
        <v>0</v>
      </c>
      <c r="G43" s="9">
        <f>IFERROR(VLOOKUP($A43,ANTIGA_DIRECIONADOS!$A:$P,MATCH(APENDICE_BCB!G$3,ANTIGA_DIRECIONADOS!$1:$1,0),0),0)</f>
        <v>0</v>
      </c>
      <c r="H43" s="9">
        <f>IFERROR(VLOOKUP($A43,ATUAL_LIV_E_DIR!$A:$P,MATCH(APENDICE_BCB!H$3,ATUAL_LIV_E_DIR!$1:$1,0),0),0)</f>
        <v>0</v>
      </c>
      <c r="I43" s="9">
        <f>IFERROR(VLOOKUP($A43,ATUAL_LIV_E_DIR!$A:$P,MATCH(APENDICE_BCB!I$3,ATUAL_LIV_E_DIR!$1:$1,0),0),0)</f>
        <v>0</v>
      </c>
      <c r="J43" s="9">
        <f>IFERROR(VLOOKUP($A43,ATUAL_LIV_E_DIR!$A:$P,MATCH(APENDICE_BCB!J$3,ATUAL_LIV_E_DIR!$1:$1,0),0),0)</f>
        <v>0</v>
      </c>
      <c r="K43" s="9">
        <f>IFERROR(VLOOKUP($A43,ATUAL_LIV_E_DIR!$A:$P,MATCH(APENDICE_BCB!K$3,ATUAL_LIV_E_DIR!$1:$1,0),0),0)</f>
        <v>0</v>
      </c>
      <c r="L43" s="9">
        <f>IFERROR(VLOOKUP($A43,ATUAL_LIV_E_DIR!$A:$P,MATCH(APENDICE_BCB!L$3,ATUAL_LIV_E_DIR!$1:$1,0),0),0)</f>
        <v>0</v>
      </c>
      <c r="M43" s="9">
        <f>IFERROR(VLOOKUP($A43,ATUAL_LIV_E_DIR!$A:$P,MATCH(APENDICE_BCB!M$3,ATUAL_LIV_E_DIR!$1:$1,0),0),0)</f>
        <v>0</v>
      </c>
      <c r="O43" s="11">
        <f t="shared" si="0"/>
        <v>93944.581999999995</v>
      </c>
      <c r="P43" s="11">
        <f t="shared" si="1"/>
        <v>0</v>
      </c>
      <c r="Q43" s="11">
        <f t="shared" si="2"/>
        <v>69745.951000000001</v>
      </c>
      <c r="R43" s="11">
        <f t="shared" si="3"/>
        <v>0</v>
      </c>
      <c r="S43" s="11"/>
      <c r="T43" s="11"/>
      <c r="V43" s="7">
        <f t="shared" si="4"/>
        <v>0</v>
      </c>
      <c r="W43">
        <f t="shared" si="5"/>
        <v>0</v>
      </c>
      <c r="Y43" s="8">
        <f t="shared" si="7"/>
        <v>1.5311477483469726E-2</v>
      </c>
      <c r="Z43" s="8"/>
      <c r="AB43" s="11"/>
      <c r="AD43" s="9"/>
    </row>
    <row r="44" spans="1:32" x14ac:dyDescent="0.25">
      <c r="A44" s="1">
        <v>36557</v>
      </c>
      <c r="B44" s="9">
        <f>IFERROR(VLOOKUP($A44,ANTIGA_LIVRES!$A:$P,MATCH(APENDICE_BCB!B$3,ANTIGA_LIVRES!$1:$1,0),0)/1000,0)</f>
        <v>94690.14</v>
      </c>
      <c r="C44" s="9">
        <f>IFERROR(VLOOKUP($A44,ANTIGA_LIVRES!$A:$P,MATCH(APENDICE_BCB!C$3,ANTIGA_LIVRES!$1:$1,0),0)/1000,0)</f>
        <v>68851.360000000001</v>
      </c>
      <c r="D44" s="9">
        <f>IFERROR(VLOOKUP($A44,ANTIGA_LIVRES!$A:$P,MATCH(APENDICE_BCB!D$3,ANTIGA_LIVRES!$1:$1,0),0)/1000,0)</f>
        <v>25838.78</v>
      </c>
      <c r="E44" s="9">
        <f>IFERROR(VLOOKUP($A44,ANTIGA_DIRECIONADOS!$A:$P,MATCH(APENDICE_BCB!E$3,ANTIGA_DIRECIONADOS!$1:$1,0),0),0)</f>
        <v>0</v>
      </c>
      <c r="F44" s="9">
        <f>IFERROR(VLOOKUP($A44,ANTIGA_DIRECIONADOS!$A:$P,MATCH(APENDICE_BCB!F$3,ANTIGA_DIRECIONADOS!$1:$1,0),0),0)</f>
        <v>0</v>
      </c>
      <c r="G44" s="9">
        <f>IFERROR(VLOOKUP($A44,ANTIGA_DIRECIONADOS!$A:$P,MATCH(APENDICE_BCB!G$3,ANTIGA_DIRECIONADOS!$1:$1,0),0),0)</f>
        <v>0</v>
      </c>
      <c r="H44" s="9">
        <f>IFERROR(VLOOKUP($A44,ATUAL_LIV_E_DIR!$A:$P,MATCH(APENDICE_BCB!H$3,ATUAL_LIV_E_DIR!$1:$1,0),0),0)</f>
        <v>0</v>
      </c>
      <c r="I44" s="9">
        <f>IFERROR(VLOOKUP($A44,ATUAL_LIV_E_DIR!$A:$P,MATCH(APENDICE_BCB!I$3,ATUAL_LIV_E_DIR!$1:$1,0),0),0)</f>
        <v>0</v>
      </c>
      <c r="J44" s="9">
        <f>IFERROR(VLOOKUP($A44,ATUAL_LIV_E_DIR!$A:$P,MATCH(APENDICE_BCB!J$3,ATUAL_LIV_E_DIR!$1:$1,0),0),0)</f>
        <v>0</v>
      </c>
      <c r="K44" s="9">
        <f>IFERROR(VLOOKUP($A44,ATUAL_LIV_E_DIR!$A:$P,MATCH(APENDICE_BCB!K$3,ATUAL_LIV_E_DIR!$1:$1,0),0),0)</f>
        <v>0</v>
      </c>
      <c r="L44" s="9">
        <f>IFERROR(VLOOKUP($A44,ATUAL_LIV_E_DIR!$A:$P,MATCH(APENDICE_BCB!L$3,ATUAL_LIV_E_DIR!$1:$1,0),0),0)</f>
        <v>0</v>
      </c>
      <c r="M44" s="9">
        <f>IFERROR(VLOOKUP($A44,ATUAL_LIV_E_DIR!$A:$P,MATCH(APENDICE_BCB!M$3,ATUAL_LIV_E_DIR!$1:$1,0),0),0)</f>
        <v>0</v>
      </c>
      <c r="O44" s="11">
        <f t="shared" si="0"/>
        <v>94690.14</v>
      </c>
      <c r="P44" s="11">
        <f t="shared" si="1"/>
        <v>0</v>
      </c>
      <c r="Q44" s="11">
        <f t="shared" si="2"/>
        <v>68851.360000000001</v>
      </c>
      <c r="R44" s="11">
        <f t="shared" si="3"/>
        <v>0</v>
      </c>
      <c r="S44" s="11"/>
      <c r="T44" s="11"/>
      <c r="V44" s="7">
        <f t="shared" si="4"/>
        <v>0</v>
      </c>
      <c r="W44">
        <f t="shared" si="5"/>
        <v>0</v>
      </c>
      <c r="Y44" s="8">
        <f t="shared" si="7"/>
        <v>7.9361468658192269E-3</v>
      </c>
      <c r="Z44" s="8"/>
      <c r="AB44" s="11"/>
      <c r="AD44" s="9"/>
    </row>
    <row r="45" spans="1:32" x14ac:dyDescent="0.25">
      <c r="A45" s="1">
        <v>36586</v>
      </c>
      <c r="B45" s="9">
        <f>IFERROR(VLOOKUP($A45,ANTIGA_LIVRES!$A:$P,MATCH(APENDICE_BCB!B$3,ANTIGA_LIVRES!$1:$1,0),0)/1000,0)</f>
        <v>96750.61</v>
      </c>
      <c r="C45" s="9">
        <f>IFERROR(VLOOKUP($A45,ANTIGA_LIVRES!$A:$P,MATCH(APENDICE_BCB!C$3,ANTIGA_LIVRES!$1:$1,0),0)/1000,0)</f>
        <v>69674.83</v>
      </c>
      <c r="D45" s="9">
        <f>IFERROR(VLOOKUP($A45,ANTIGA_LIVRES!$A:$P,MATCH(APENDICE_BCB!D$3,ANTIGA_LIVRES!$1:$1,0),0)/1000,0)</f>
        <v>27075.78</v>
      </c>
      <c r="E45" s="9">
        <f>IFERROR(VLOOKUP($A45,ANTIGA_DIRECIONADOS!$A:$P,MATCH(APENDICE_BCB!E$3,ANTIGA_DIRECIONADOS!$1:$1,0),0),0)</f>
        <v>0</v>
      </c>
      <c r="F45" s="9">
        <f>IFERROR(VLOOKUP($A45,ANTIGA_DIRECIONADOS!$A:$P,MATCH(APENDICE_BCB!F$3,ANTIGA_DIRECIONADOS!$1:$1,0),0),0)</f>
        <v>0</v>
      </c>
      <c r="G45" s="9">
        <f>IFERROR(VLOOKUP($A45,ANTIGA_DIRECIONADOS!$A:$P,MATCH(APENDICE_BCB!G$3,ANTIGA_DIRECIONADOS!$1:$1,0),0),0)</f>
        <v>0</v>
      </c>
      <c r="H45" s="9">
        <f>IFERROR(VLOOKUP($A45,ATUAL_LIV_E_DIR!$A:$P,MATCH(APENDICE_BCB!H$3,ATUAL_LIV_E_DIR!$1:$1,0),0),0)</f>
        <v>0</v>
      </c>
      <c r="I45" s="9">
        <f>IFERROR(VLOOKUP($A45,ATUAL_LIV_E_DIR!$A:$P,MATCH(APENDICE_BCB!I$3,ATUAL_LIV_E_DIR!$1:$1,0),0),0)</f>
        <v>0</v>
      </c>
      <c r="J45" s="9">
        <f>IFERROR(VLOOKUP($A45,ATUAL_LIV_E_DIR!$A:$P,MATCH(APENDICE_BCB!J$3,ATUAL_LIV_E_DIR!$1:$1,0),0),0)</f>
        <v>0</v>
      </c>
      <c r="K45" s="9">
        <f>IFERROR(VLOOKUP($A45,ATUAL_LIV_E_DIR!$A:$P,MATCH(APENDICE_BCB!K$3,ATUAL_LIV_E_DIR!$1:$1,0),0),0)</f>
        <v>0</v>
      </c>
      <c r="L45" s="9">
        <f>IFERROR(VLOOKUP($A45,ATUAL_LIV_E_DIR!$A:$P,MATCH(APENDICE_BCB!L$3,ATUAL_LIV_E_DIR!$1:$1,0),0),0)</f>
        <v>0</v>
      </c>
      <c r="M45" s="9">
        <f>IFERROR(VLOOKUP($A45,ATUAL_LIV_E_DIR!$A:$P,MATCH(APENDICE_BCB!M$3,ATUAL_LIV_E_DIR!$1:$1,0),0),0)</f>
        <v>0</v>
      </c>
      <c r="O45" s="11">
        <f t="shared" si="0"/>
        <v>96750.61</v>
      </c>
      <c r="P45" s="11">
        <f t="shared" si="1"/>
        <v>0</v>
      </c>
      <c r="Q45" s="11">
        <f t="shared" si="2"/>
        <v>69674.83</v>
      </c>
      <c r="R45" s="11">
        <f t="shared" si="3"/>
        <v>0</v>
      </c>
      <c r="S45" s="11"/>
      <c r="T45" s="11"/>
      <c r="V45" s="7">
        <f t="shared" si="4"/>
        <v>0</v>
      </c>
      <c r="W45">
        <f t="shared" si="5"/>
        <v>0</v>
      </c>
      <c r="Y45" s="8">
        <f t="shared" si="7"/>
        <v>2.1760132575577629E-2</v>
      </c>
      <c r="Z45" s="8"/>
      <c r="AB45" s="11"/>
      <c r="AD45" s="9"/>
    </row>
    <row r="46" spans="1:32" x14ac:dyDescent="0.25">
      <c r="A46" s="1">
        <v>36617</v>
      </c>
      <c r="B46" s="9">
        <f>IFERROR(VLOOKUP($A46,ANTIGA_LIVRES!$A:$P,MATCH(APENDICE_BCB!B$3,ANTIGA_LIVRES!$1:$1,0),0)/1000,0)</f>
        <v>103150.62</v>
      </c>
      <c r="C46" s="9">
        <f>IFERROR(VLOOKUP($A46,ANTIGA_LIVRES!$A:$P,MATCH(APENDICE_BCB!C$3,ANTIGA_LIVRES!$1:$1,0),0)/1000,0)</f>
        <v>74259.990000000005</v>
      </c>
      <c r="D46" s="9">
        <f>IFERROR(VLOOKUP($A46,ANTIGA_LIVRES!$A:$P,MATCH(APENDICE_BCB!D$3,ANTIGA_LIVRES!$1:$1,0),0)/1000,0)</f>
        <v>28890.63</v>
      </c>
      <c r="E46" s="9">
        <f>IFERROR(VLOOKUP($A46,ANTIGA_DIRECIONADOS!$A:$P,MATCH(APENDICE_BCB!E$3,ANTIGA_DIRECIONADOS!$1:$1,0),0),0)</f>
        <v>0</v>
      </c>
      <c r="F46" s="9">
        <f>IFERROR(VLOOKUP($A46,ANTIGA_DIRECIONADOS!$A:$P,MATCH(APENDICE_BCB!F$3,ANTIGA_DIRECIONADOS!$1:$1,0),0),0)</f>
        <v>0</v>
      </c>
      <c r="G46" s="9">
        <f>IFERROR(VLOOKUP($A46,ANTIGA_DIRECIONADOS!$A:$P,MATCH(APENDICE_BCB!G$3,ANTIGA_DIRECIONADOS!$1:$1,0),0),0)</f>
        <v>0</v>
      </c>
      <c r="H46" s="9">
        <f>IFERROR(VLOOKUP($A46,ATUAL_LIV_E_DIR!$A:$P,MATCH(APENDICE_BCB!H$3,ATUAL_LIV_E_DIR!$1:$1,0),0),0)</f>
        <v>0</v>
      </c>
      <c r="I46" s="9">
        <f>IFERROR(VLOOKUP($A46,ATUAL_LIV_E_DIR!$A:$P,MATCH(APENDICE_BCB!I$3,ATUAL_LIV_E_DIR!$1:$1,0),0),0)</f>
        <v>0</v>
      </c>
      <c r="J46" s="9">
        <f>IFERROR(VLOOKUP($A46,ATUAL_LIV_E_DIR!$A:$P,MATCH(APENDICE_BCB!J$3,ATUAL_LIV_E_DIR!$1:$1,0),0),0)</f>
        <v>0</v>
      </c>
      <c r="K46" s="9">
        <f>IFERROR(VLOOKUP($A46,ATUAL_LIV_E_DIR!$A:$P,MATCH(APENDICE_BCB!K$3,ATUAL_LIV_E_DIR!$1:$1,0),0),0)</f>
        <v>0</v>
      </c>
      <c r="L46" s="9">
        <f>IFERROR(VLOOKUP($A46,ATUAL_LIV_E_DIR!$A:$P,MATCH(APENDICE_BCB!L$3,ATUAL_LIV_E_DIR!$1:$1,0),0),0)</f>
        <v>0</v>
      </c>
      <c r="M46" s="9">
        <f>IFERROR(VLOOKUP($A46,ATUAL_LIV_E_DIR!$A:$P,MATCH(APENDICE_BCB!M$3,ATUAL_LIV_E_DIR!$1:$1,0),0),0)</f>
        <v>0</v>
      </c>
      <c r="O46" s="11">
        <f t="shared" si="0"/>
        <v>103150.62</v>
      </c>
      <c r="P46" s="11">
        <f t="shared" si="1"/>
        <v>0</v>
      </c>
      <c r="Q46" s="11">
        <f t="shared" si="2"/>
        <v>74259.990000000005</v>
      </c>
      <c r="R46" s="11">
        <f t="shared" si="3"/>
        <v>0</v>
      </c>
      <c r="S46" s="11"/>
      <c r="T46" s="11"/>
      <c r="V46" s="7">
        <f t="shared" si="4"/>
        <v>0</v>
      </c>
      <c r="W46">
        <f t="shared" si="5"/>
        <v>0</v>
      </c>
      <c r="Y46" s="8">
        <f t="shared" si="7"/>
        <v>6.6149557093231781E-2</v>
      </c>
      <c r="Z46" s="8"/>
      <c r="AB46" s="11"/>
      <c r="AD46" s="9"/>
    </row>
    <row r="47" spans="1:32" x14ac:dyDescent="0.25">
      <c r="A47" s="1">
        <v>36647</v>
      </c>
      <c r="B47" s="9">
        <f>IFERROR(VLOOKUP($A47,ANTIGA_LIVRES!$A:$P,MATCH(APENDICE_BCB!B$3,ANTIGA_LIVRES!$1:$1,0),0)/1000,0)</f>
        <v>123476.015</v>
      </c>
      <c r="C47" s="9">
        <f>IFERROR(VLOOKUP($A47,ANTIGA_LIVRES!$A:$P,MATCH(APENDICE_BCB!C$3,ANTIGA_LIVRES!$1:$1,0),0)/1000,0)</f>
        <v>85344.349000000002</v>
      </c>
      <c r="D47" s="9">
        <f>IFERROR(VLOOKUP($A47,ANTIGA_LIVRES!$A:$P,MATCH(APENDICE_BCB!D$3,ANTIGA_LIVRES!$1:$1,0),0)/1000,0)</f>
        <v>38131.665999999997</v>
      </c>
      <c r="E47" s="9">
        <f>IFERROR(VLOOKUP($A47,ANTIGA_DIRECIONADOS!$A:$P,MATCH(APENDICE_BCB!E$3,ANTIGA_DIRECIONADOS!$1:$1,0),0),0)</f>
        <v>0</v>
      </c>
      <c r="F47" s="9">
        <f>IFERROR(VLOOKUP($A47,ANTIGA_DIRECIONADOS!$A:$P,MATCH(APENDICE_BCB!F$3,ANTIGA_DIRECIONADOS!$1:$1,0),0),0)</f>
        <v>0</v>
      </c>
      <c r="G47" s="9">
        <f>IFERROR(VLOOKUP($A47,ANTIGA_DIRECIONADOS!$A:$P,MATCH(APENDICE_BCB!G$3,ANTIGA_DIRECIONADOS!$1:$1,0),0),0)</f>
        <v>0</v>
      </c>
      <c r="H47" s="9">
        <f>IFERROR(VLOOKUP($A47,ATUAL_LIV_E_DIR!$A:$P,MATCH(APENDICE_BCB!H$3,ATUAL_LIV_E_DIR!$1:$1,0),0),0)</f>
        <v>0</v>
      </c>
      <c r="I47" s="9">
        <f>IFERROR(VLOOKUP($A47,ATUAL_LIV_E_DIR!$A:$P,MATCH(APENDICE_BCB!I$3,ATUAL_LIV_E_DIR!$1:$1,0),0),0)</f>
        <v>0</v>
      </c>
      <c r="J47" s="9">
        <f>IFERROR(VLOOKUP($A47,ATUAL_LIV_E_DIR!$A:$P,MATCH(APENDICE_BCB!J$3,ATUAL_LIV_E_DIR!$1:$1,0),0),0)</f>
        <v>0</v>
      </c>
      <c r="K47" s="9">
        <f>IFERROR(VLOOKUP($A47,ATUAL_LIV_E_DIR!$A:$P,MATCH(APENDICE_BCB!K$3,ATUAL_LIV_E_DIR!$1:$1,0),0),0)</f>
        <v>0</v>
      </c>
      <c r="L47" s="9">
        <f>IFERROR(VLOOKUP($A47,ATUAL_LIV_E_DIR!$A:$P,MATCH(APENDICE_BCB!L$3,ATUAL_LIV_E_DIR!$1:$1,0),0),0)</f>
        <v>0</v>
      </c>
      <c r="M47" s="9">
        <f>IFERROR(VLOOKUP($A47,ATUAL_LIV_E_DIR!$A:$P,MATCH(APENDICE_BCB!M$3,ATUAL_LIV_E_DIR!$1:$1,0),0),0)</f>
        <v>0</v>
      </c>
      <c r="O47" s="11">
        <f t="shared" si="0"/>
        <v>123476.015</v>
      </c>
      <c r="P47" s="11">
        <f t="shared" si="1"/>
        <v>0</v>
      </c>
      <c r="Q47" s="11">
        <f t="shared" si="2"/>
        <v>85344.349000000002</v>
      </c>
      <c r="R47" s="11">
        <f t="shared" si="3"/>
        <v>0</v>
      </c>
      <c r="S47" s="11"/>
      <c r="T47" s="11"/>
      <c r="V47" s="7">
        <f t="shared" si="4"/>
        <v>0</v>
      </c>
      <c r="W47">
        <f t="shared" si="5"/>
        <v>0</v>
      </c>
      <c r="Y47" s="8">
        <f t="shared" si="7"/>
        <v>0.19704578605538203</v>
      </c>
      <c r="Z47" s="8"/>
      <c r="AB47" s="11"/>
      <c r="AD47" s="9"/>
    </row>
    <row r="48" spans="1:32" x14ac:dyDescent="0.25">
      <c r="A48" s="1">
        <v>36678</v>
      </c>
      <c r="B48" s="9">
        <f>IFERROR(VLOOKUP($A48,ANTIGA_LIVRES!$A:$P,MATCH(APENDICE_BCB!B$3,ANTIGA_LIVRES!$1:$1,0),0)/1000,0)</f>
        <v>125055.951</v>
      </c>
      <c r="C48" s="9">
        <f>IFERROR(VLOOKUP($A48,ANTIGA_LIVRES!$A:$P,MATCH(APENDICE_BCB!C$3,ANTIGA_LIVRES!$1:$1,0),0)/1000,0)</f>
        <v>85386.013000000006</v>
      </c>
      <c r="D48" s="9">
        <f>IFERROR(VLOOKUP($A48,ANTIGA_LIVRES!$A:$P,MATCH(APENDICE_BCB!D$3,ANTIGA_LIVRES!$1:$1,0),0)/1000,0)</f>
        <v>39669.938000000002</v>
      </c>
      <c r="E48" s="9">
        <f>IFERROR(VLOOKUP($A48,ANTIGA_DIRECIONADOS!$A:$P,MATCH(APENDICE_BCB!E$3,ANTIGA_DIRECIONADOS!$1:$1,0),0),0)</f>
        <v>137800</v>
      </c>
      <c r="F48" s="14">
        <f>IFERROR(VLOOKUP($A48,ANTIGA_DIRECIONADOS!$A:$P,MATCH(APENDICE_BCB!F$3,ANTIGA_DIRECIONADOS!$1:$1,0),0),0)</f>
        <v>78459</v>
      </c>
      <c r="G48" s="9">
        <f>IFERROR(VLOOKUP($A48,ANTIGA_DIRECIONADOS!$A:$P,MATCH(APENDICE_BCB!G$3,ANTIGA_DIRECIONADOS!$1:$1,0),0),0)</f>
        <v>59340</v>
      </c>
      <c r="H48" s="9">
        <f>IFERROR(VLOOKUP($A48,ATUAL_LIV_E_DIR!$A:$P,MATCH(APENDICE_BCB!H$3,ATUAL_LIV_E_DIR!$1:$1,0),0),0)</f>
        <v>0</v>
      </c>
      <c r="I48" s="9">
        <f>IFERROR(VLOOKUP($A48,ATUAL_LIV_E_DIR!$A:$P,MATCH(APENDICE_BCB!I$3,ATUAL_LIV_E_DIR!$1:$1,0),0),0)</f>
        <v>0</v>
      </c>
      <c r="J48" s="9">
        <f>IFERROR(VLOOKUP($A48,ATUAL_LIV_E_DIR!$A:$P,MATCH(APENDICE_BCB!J$3,ATUAL_LIV_E_DIR!$1:$1,0),0),0)</f>
        <v>0</v>
      </c>
      <c r="K48" s="9">
        <f>IFERROR(VLOOKUP($A48,ATUAL_LIV_E_DIR!$A:$P,MATCH(APENDICE_BCB!K$3,ATUAL_LIV_E_DIR!$1:$1,0),0),0)</f>
        <v>0</v>
      </c>
      <c r="L48" s="9">
        <f>IFERROR(VLOOKUP($A48,ATUAL_LIV_E_DIR!$A:$P,MATCH(APENDICE_BCB!L$3,ATUAL_LIV_E_DIR!$1:$1,0),0),0)</f>
        <v>0</v>
      </c>
      <c r="M48" s="9">
        <f>IFERROR(VLOOKUP($A48,ATUAL_LIV_E_DIR!$A:$P,MATCH(APENDICE_BCB!M$3,ATUAL_LIV_E_DIR!$1:$1,0),0),0)</f>
        <v>0</v>
      </c>
      <c r="O48" s="15">
        <f>B48+E48-26600</f>
        <v>236255.951</v>
      </c>
      <c r="P48" s="11">
        <f t="shared" si="1"/>
        <v>0</v>
      </c>
      <c r="Q48" s="11">
        <f t="shared" si="2"/>
        <v>144726.01300000001</v>
      </c>
      <c r="R48" s="11">
        <f t="shared" si="3"/>
        <v>0</v>
      </c>
      <c r="S48" s="15">
        <f>D48+F48-26600</f>
        <v>91528.937999999995</v>
      </c>
      <c r="T48" s="11"/>
      <c r="V48" s="13">
        <f>IFERROR(S48/O48,0)</f>
        <v>0.38741431744929883</v>
      </c>
      <c r="W48">
        <f t="shared" si="5"/>
        <v>0</v>
      </c>
      <c r="Y48" s="8">
        <f t="shared" si="7"/>
        <v>0.91337524943609494</v>
      </c>
      <c r="Z48" s="8"/>
      <c r="AB48" s="11">
        <f t="shared" ref="AB48:AB68" si="8">(O48/O49)*AB49</f>
        <v>270057.10749126907</v>
      </c>
      <c r="AC48" s="1">
        <f>A48</f>
        <v>36678</v>
      </c>
      <c r="AD48" s="9">
        <f t="shared" ref="AD48:AD68" si="9">AB48*V48</f>
        <v>104623.98997106194</v>
      </c>
      <c r="AE48" s="1">
        <f>A48</f>
        <v>36678</v>
      </c>
      <c r="AF48" s="11">
        <f>AD48</f>
        <v>104623.98997106194</v>
      </c>
    </row>
    <row r="49" spans="1:32" x14ac:dyDescent="0.25">
      <c r="A49" s="1">
        <v>36708</v>
      </c>
      <c r="B49" s="9">
        <f>IFERROR(VLOOKUP($A49,ANTIGA_LIVRES!$A:$P,MATCH(APENDICE_BCB!B$3,ANTIGA_LIVRES!$1:$1,0),0)/1000,0)</f>
        <v>127613.69100000001</v>
      </c>
      <c r="C49" s="9">
        <f>IFERROR(VLOOKUP($A49,ANTIGA_LIVRES!$A:$P,MATCH(APENDICE_BCB!C$3,ANTIGA_LIVRES!$1:$1,0),0)/1000,0)</f>
        <v>86530.115000000005</v>
      </c>
      <c r="D49" s="9">
        <f>IFERROR(VLOOKUP($A49,ANTIGA_LIVRES!$A:$P,MATCH(APENDICE_BCB!D$3,ANTIGA_LIVRES!$1:$1,0),0)/1000,0)</f>
        <v>41083.576000000001</v>
      </c>
      <c r="E49" s="9">
        <f>IFERROR(VLOOKUP($A49,ANTIGA_DIRECIONADOS!$A:$P,MATCH(APENDICE_BCB!E$3,ANTIGA_DIRECIONADOS!$1:$1,0),0),0)</f>
        <v>138272</v>
      </c>
      <c r="F49" s="14">
        <f>IFERROR(VLOOKUP($A49,ANTIGA_DIRECIONADOS!$A:$P,MATCH(APENDICE_BCB!F$3,ANTIGA_DIRECIONADOS!$1:$1,0),0),0)</f>
        <v>78522</v>
      </c>
      <c r="G49" s="9">
        <f>IFERROR(VLOOKUP($A49,ANTIGA_DIRECIONADOS!$A:$P,MATCH(APENDICE_BCB!G$3,ANTIGA_DIRECIONADOS!$1:$1,0),0),0)</f>
        <v>59751</v>
      </c>
      <c r="H49" s="9">
        <f>IFERROR(VLOOKUP($A49,ATUAL_LIV_E_DIR!$A:$P,MATCH(APENDICE_BCB!H$3,ATUAL_LIV_E_DIR!$1:$1,0),0),0)</f>
        <v>0</v>
      </c>
      <c r="I49" s="9">
        <f>IFERROR(VLOOKUP($A49,ATUAL_LIV_E_DIR!$A:$P,MATCH(APENDICE_BCB!I$3,ATUAL_LIV_E_DIR!$1:$1,0),0),0)</f>
        <v>0</v>
      </c>
      <c r="J49" s="9">
        <f>IFERROR(VLOOKUP($A49,ATUAL_LIV_E_DIR!$A:$P,MATCH(APENDICE_BCB!J$3,ATUAL_LIV_E_DIR!$1:$1,0),0),0)</f>
        <v>0</v>
      </c>
      <c r="K49" s="9">
        <f>IFERROR(VLOOKUP($A49,ATUAL_LIV_E_DIR!$A:$P,MATCH(APENDICE_BCB!K$3,ATUAL_LIV_E_DIR!$1:$1,0),0),0)</f>
        <v>0</v>
      </c>
      <c r="L49" s="9">
        <f>IFERROR(VLOOKUP($A49,ATUAL_LIV_E_DIR!$A:$P,MATCH(APENDICE_BCB!L$3,ATUAL_LIV_E_DIR!$1:$1,0),0),0)</f>
        <v>0</v>
      </c>
      <c r="M49" s="9">
        <f>IFERROR(VLOOKUP($A49,ATUAL_LIV_E_DIR!$A:$P,MATCH(APENDICE_BCB!M$3,ATUAL_LIV_E_DIR!$1:$1,0),0),0)</f>
        <v>0</v>
      </c>
      <c r="O49" s="15">
        <f t="shared" ref="O49:O59" si="10">B49+E49-26600</f>
        <v>239285.69099999999</v>
      </c>
      <c r="P49" s="11">
        <f t="shared" si="1"/>
        <v>0</v>
      </c>
      <c r="Q49" s="11">
        <f t="shared" si="2"/>
        <v>146281.11499999999</v>
      </c>
      <c r="R49" s="11">
        <f t="shared" si="3"/>
        <v>0</v>
      </c>
      <c r="S49" s="15">
        <f t="shared" ref="S49:S59" si="11">D49+F49-26600</f>
        <v>93005.576000000001</v>
      </c>
      <c r="T49" s="11"/>
      <c r="V49" s="13">
        <f t="shared" si="4"/>
        <v>0.38868005692826824</v>
      </c>
      <c r="W49">
        <f t="shared" si="5"/>
        <v>0</v>
      </c>
      <c r="Y49" s="8">
        <f t="shared" si="7"/>
        <v>1.2823973267873434E-2</v>
      </c>
      <c r="Z49" s="8"/>
      <c r="AB49" s="11">
        <f t="shared" si="8"/>
        <v>273520.31261853629</v>
      </c>
      <c r="AC49" s="1">
        <f t="shared" ref="AC49:AC112" si="12">A49</f>
        <v>36708</v>
      </c>
      <c r="AD49" s="9">
        <f t="shared" si="9"/>
        <v>106311.89067961041</v>
      </c>
      <c r="AE49" s="1">
        <f t="shared" ref="AE49:AE112" si="13">A49</f>
        <v>36708</v>
      </c>
      <c r="AF49" s="11">
        <f t="shared" ref="AF49:AF112" si="14">AD49</f>
        <v>106311.89067961041</v>
      </c>
    </row>
    <row r="50" spans="1:32" x14ac:dyDescent="0.25">
      <c r="A50" s="1">
        <v>36739</v>
      </c>
      <c r="B50" s="9">
        <f>IFERROR(VLOOKUP($A50,ANTIGA_LIVRES!$A:$P,MATCH(APENDICE_BCB!B$3,ANTIGA_LIVRES!$1:$1,0),0)/1000,0)</f>
        <v>130261.4</v>
      </c>
      <c r="C50" s="9">
        <f>IFERROR(VLOOKUP($A50,ANTIGA_LIVRES!$A:$P,MATCH(APENDICE_BCB!C$3,ANTIGA_LIVRES!$1:$1,0),0)/1000,0)</f>
        <v>87090.106</v>
      </c>
      <c r="D50" s="9">
        <f>IFERROR(VLOOKUP($A50,ANTIGA_LIVRES!$A:$P,MATCH(APENDICE_BCB!D$3,ANTIGA_LIVRES!$1:$1,0),0)/1000,0)</f>
        <v>43171.294000000002</v>
      </c>
      <c r="E50" s="9">
        <f>IFERROR(VLOOKUP($A50,ANTIGA_DIRECIONADOS!$A:$P,MATCH(APENDICE_BCB!E$3,ANTIGA_DIRECIONADOS!$1:$1,0),0),0)</f>
        <v>135818</v>
      </c>
      <c r="F50" s="14">
        <f>IFERROR(VLOOKUP($A50,ANTIGA_DIRECIONADOS!$A:$P,MATCH(APENDICE_BCB!F$3,ANTIGA_DIRECIONADOS!$1:$1,0),0),0)</f>
        <v>78141</v>
      </c>
      <c r="G50" s="9">
        <f>IFERROR(VLOOKUP($A50,ANTIGA_DIRECIONADOS!$A:$P,MATCH(APENDICE_BCB!G$3,ANTIGA_DIRECIONADOS!$1:$1,0),0),0)</f>
        <v>57677</v>
      </c>
      <c r="H50" s="9">
        <f>IFERROR(VLOOKUP($A50,ATUAL_LIV_E_DIR!$A:$P,MATCH(APENDICE_BCB!H$3,ATUAL_LIV_E_DIR!$1:$1,0),0),0)</f>
        <v>0</v>
      </c>
      <c r="I50" s="9">
        <f>IFERROR(VLOOKUP($A50,ATUAL_LIV_E_DIR!$A:$P,MATCH(APENDICE_BCB!I$3,ATUAL_LIV_E_DIR!$1:$1,0),0),0)</f>
        <v>0</v>
      </c>
      <c r="J50" s="9">
        <f>IFERROR(VLOOKUP($A50,ATUAL_LIV_E_DIR!$A:$P,MATCH(APENDICE_BCB!J$3,ATUAL_LIV_E_DIR!$1:$1,0),0),0)</f>
        <v>0</v>
      </c>
      <c r="K50" s="9">
        <f>IFERROR(VLOOKUP($A50,ATUAL_LIV_E_DIR!$A:$P,MATCH(APENDICE_BCB!K$3,ATUAL_LIV_E_DIR!$1:$1,0),0),0)</f>
        <v>0</v>
      </c>
      <c r="L50" s="9">
        <f>IFERROR(VLOOKUP($A50,ATUAL_LIV_E_DIR!$A:$P,MATCH(APENDICE_BCB!L$3,ATUAL_LIV_E_DIR!$1:$1,0),0),0)</f>
        <v>0</v>
      </c>
      <c r="M50" s="9">
        <f>IFERROR(VLOOKUP($A50,ATUAL_LIV_E_DIR!$A:$P,MATCH(APENDICE_BCB!M$3,ATUAL_LIV_E_DIR!$1:$1,0),0),0)</f>
        <v>0</v>
      </c>
      <c r="O50" s="15">
        <f t="shared" si="10"/>
        <v>239479.40000000002</v>
      </c>
      <c r="P50" s="11">
        <f t="shared" si="1"/>
        <v>0</v>
      </c>
      <c r="Q50" s="11">
        <f t="shared" si="2"/>
        <v>144767.106</v>
      </c>
      <c r="R50" s="11">
        <f t="shared" si="3"/>
        <v>0</v>
      </c>
      <c r="S50" s="15">
        <f t="shared" si="11"/>
        <v>94712.293999999994</v>
      </c>
      <c r="T50" s="11"/>
      <c r="V50" s="13">
        <f t="shared" si="4"/>
        <v>0.39549244736708039</v>
      </c>
      <c r="W50">
        <f t="shared" si="5"/>
        <v>0</v>
      </c>
      <c r="Y50" s="8">
        <f t="shared" si="7"/>
        <v>8.0953022803198493E-4</v>
      </c>
      <c r="Z50" s="8"/>
      <c r="AB50" s="11">
        <f t="shared" si="8"/>
        <v>273741.73557958176</v>
      </c>
      <c r="AC50" s="1">
        <f t="shared" si="12"/>
        <v>36739</v>
      </c>
      <c r="AD50" s="9">
        <f t="shared" si="9"/>
        <v>108262.78895088097</v>
      </c>
      <c r="AE50" s="1">
        <f t="shared" si="13"/>
        <v>36739</v>
      </c>
      <c r="AF50" s="11">
        <f t="shared" si="14"/>
        <v>108262.78895088097</v>
      </c>
    </row>
    <row r="51" spans="1:32" x14ac:dyDescent="0.25">
      <c r="A51" s="1">
        <v>36770</v>
      </c>
      <c r="B51" s="9">
        <f>IFERROR(VLOOKUP($A51,ANTIGA_LIVRES!$A:$P,MATCH(APENDICE_BCB!B$3,ANTIGA_LIVRES!$1:$1,0),0)/1000,0)</f>
        <v>136260.99900000001</v>
      </c>
      <c r="C51" s="9">
        <f>IFERROR(VLOOKUP($A51,ANTIGA_LIVRES!$A:$P,MATCH(APENDICE_BCB!C$3,ANTIGA_LIVRES!$1:$1,0),0)/1000,0)</f>
        <v>90685.635999999999</v>
      </c>
      <c r="D51" s="9">
        <f>IFERROR(VLOOKUP($A51,ANTIGA_LIVRES!$A:$P,MATCH(APENDICE_BCB!D$3,ANTIGA_LIVRES!$1:$1,0),0)/1000,0)</f>
        <v>45575.362999999998</v>
      </c>
      <c r="E51" s="9">
        <f>IFERROR(VLOOKUP($A51,ANTIGA_DIRECIONADOS!$A:$P,MATCH(APENDICE_BCB!E$3,ANTIGA_DIRECIONADOS!$1:$1,0),0),0)</f>
        <v>134477</v>
      </c>
      <c r="F51" s="14">
        <f>IFERROR(VLOOKUP($A51,ANTIGA_DIRECIONADOS!$A:$P,MATCH(APENDICE_BCB!F$3,ANTIGA_DIRECIONADOS!$1:$1,0),0),0)</f>
        <v>76536</v>
      </c>
      <c r="G51" s="9">
        <f>IFERROR(VLOOKUP($A51,ANTIGA_DIRECIONADOS!$A:$P,MATCH(APENDICE_BCB!G$3,ANTIGA_DIRECIONADOS!$1:$1,0),0),0)</f>
        <v>57941</v>
      </c>
      <c r="H51" s="9">
        <f>IFERROR(VLOOKUP($A51,ATUAL_LIV_E_DIR!$A:$P,MATCH(APENDICE_BCB!H$3,ATUAL_LIV_E_DIR!$1:$1,0),0),0)</f>
        <v>0</v>
      </c>
      <c r="I51" s="9">
        <f>IFERROR(VLOOKUP($A51,ATUAL_LIV_E_DIR!$A:$P,MATCH(APENDICE_BCB!I$3,ATUAL_LIV_E_DIR!$1:$1,0),0),0)</f>
        <v>0</v>
      </c>
      <c r="J51" s="9">
        <f>IFERROR(VLOOKUP($A51,ATUAL_LIV_E_DIR!$A:$P,MATCH(APENDICE_BCB!J$3,ATUAL_LIV_E_DIR!$1:$1,0),0),0)</f>
        <v>0</v>
      </c>
      <c r="K51" s="9">
        <f>IFERROR(VLOOKUP($A51,ATUAL_LIV_E_DIR!$A:$P,MATCH(APENDICE_BCB!K$3,ATUAL_LIV_E_DIR!$1:$1,0),0),0)</f>
        <v>0</v>
      </c>
      <c r="L51" s="9">
        <f>IFERROR(VLOOKUP($A51,ATUAL_LIV_E_DIR!$A:$P,MATCH(APENDICE_BCB!L$3,ATUAL_LIV_E_DIR!$1:$1,0),0),0)</f>
        <v>0</v>
      </c>
      <c r="M51" s="9">
        <f>IFERROR(VLOOKUP($A51,ATUAL_LIV_E_DIR!$A:$P,MATCH(APENDICE_BCB!M$3,ATUAL_LIV_E_DIR!$1:$1,0),0),0)</f>
        <v>0</v>
      </c>
      <c r="O51" s="15">
        <f t="shared" si="10"/>
        <v>244137.99900000001</v>
      </c>
      <c r="P51" s="11">
        <f t="shared" si="1"/>
        <v>0</v>
      </c>
      <c r="Q51" s="11">
        <f t="shared" si="2"/>
        <v>148626.636</v>
      </c>
      <c r="R51" s="11">
        <f t="shared" si="3"/>
        <v>0</v>
      </c>
      <c r="S51" s="15">
        <f t="shared" si="11"/>
        <v>95511.362999999998</v>
      </c>
      <c r="T51" s="11"/>
      <c r="V51" s="13">
        <f t="shared" si="4"/>
        <v>0.39121875083444096</v>
      </c>
      <c r="W51">
        <f t="shared" si="5"/>
        <v>0</v>
      </c>
      <c r="Y51" s="8">
        <f t="shared" si="7"/>
        <v>1.9453026022280051E-2</v>
      </c>
      <c r="Z51" s="8"/>
      <c r="AB51" s="11">
        <f t="shared" si="8"/>
        <v>279066.84068519541</v>
      </c>
      <c r="AC51" s="1">
        <f t="shared" si="12"/>
        <v>36770</v>
      </c>
      <c r="AD51" s="9">
        <f t="shared" si="9"/>
        <v>109176.1808121761</v>
      </c>
      <c r="AE51" s="1">
        <f t="shared" si="13"/>
        <v>36770</v>
      </c>
      <c r="AF51" s="11">
        <f t="shared" si="14"/>
        <v>109176.1808121761</v>
      </c>
    </row>
    <row r="52" spans="1:32" x14ac:dyDescent="0.25">
      <c r="A52" s="1">
        <v>36800</v>
      </c>
      <c r="B52" s="9">
        <f>IFERROR(VLOOKUP($A52,ANTIGA_LIVRES!$A:$P,MATCH(APENDICE_BCB!B$3,ANTIGA_LIVRES!$1:$1,0),0)/1000,0)</f>
        <v>143002.49299999999</v>
      </c>
      <c r="C52" s="9">
        <f>IFERROR(VLOOKUP($A52,ANTIGA_LIVRES!$A:$P,MATCH(APENDICE_BCB!C$3,ANTIGA_LIVRES!$1:$1,0),0)/1000,0)</f>
        <v>94938.735000000001</v>
      </c>
      <c r="D52" s="9">
        <f>IFERROR(VLOOKUP($A52,ANTIGA_LIVRES!$A:$P,MATCH(APENDICE_BCB!D$3,ANTIGA_LIVRES!$1:$1,0),0)/1000,0)</f>
        <v>48063.758000000002</v>
      </c>
      <c r="E52" s="9">
        <f>IFERROR(VLOOKUP($A52,ANTIGA_DIRECIONADOS!$A:$P,MATCH(APENDICE_BCB!E$3,ANTIGA_DIRECIONADOS!$1:$1,0),0),0)</f>
        <v>134689</v>
      </c>
      <c r="F52" s="14">
        <f>IFERROR(VLOOKUP($A52,ANTIGA_DIRECIONADOS!$A:$P,MATCH(APENDICE_BCB!F$3,ANTIGA_DIRECIONADOS!$1:$1,0),0),0)</f>
        <v>75178</v>
      </c>
      <c r="G52" s="9">
        <f>IFERROR(VLOOKUP($A52,ANTIGA_DIRECIONADOS!$A:$P,MATCH(APENDICE_BCB!G$3,ANTIGA_DIRECIONADOS!$1:$1,0),0),0)</f>
        <v>59511</v>
      </c>
      <c r="H52" s="9">
        <f>IFERROR(VLOOKUP($A52,ATUAL_LIV_E_DIR!$A:$P,MATCH(APENDICE_BCB!H$3,ATUAL_LIV_E_DIR!$1:$1,0),0),0)</f>
        <v>0</v>
      </c>
      <c r="I52" s="9">
        <f>IFERROR(VLOOKUP($A52,ATUAL_LIV_E_DIR!$A:$P,MATCH(APENDICE_BCB!I$3,ATUAL_LIV_E_DIR!$1:$1,0),0),0)</f>
        <v>0</v>
      </c>
      <c r="J52" s="9">
        <f>IFERROR(VLOOKUP($A52,ATUAL_LIV_E_DIR!$A:$P,MATCH(APENDICE_BCB!J$3,ATUAL_LIV_E_DIR!$1:$1,0),0),0)</f>
        <v>0</v>
      </c>
      <c r="K52" s="9">
        <f>IFERROR(VLOOKUP($A52,ATUAL_LIV_E_DIR!$A:$P,MATCH(APENDICE_BCB!K$3,ATUAL_LIV_E_DIR!$1:$1,0),0),0)</f>
        <v>0</v>
      </c>
      <c r="L52" s="9">
        <f>IFERROR(VLOOKUP($A52,ATUAL_LIV_E_DIR!$A:$P,MATCH(APENDICE_BCB!L$3,ATUAL_LIV_E_DIR!$1:$1,0),0),0)</f>
        <v>0</v>
      </c>
      <c r="M52" s="9">
        <f>IFERROR(VLOOKUP($A52,ATUAL_LIV_E_DIR!$A:$P,MATCH(APENDICE_BCB!M$3,ATUAL_LIV_E_DIR!$1:$1,0),0),0)</f>
        <v>0</v>
      </c>
      <c r="O52" s="15">
        <f t="shared" si="10"/>
        <v>251091.49300000002</v>
      </c>
      <c r="P52" s="11">
        <f t="shared" si="1"/>
        <v>0</v>
      </c>
      <c r="Q52" s="11">
        <f t="shared" si="2"/>
        <v>154449.73499999999</v>
      </c>
      <c r="R52" s="11">
        <f t="shared" si="3"/>
        <v>0</v>
      </c>
      <c r="S52" s="15">
        <f t="shared" si="11"/>
        <v>96641.758000000002</v>
      </c>
      <c r="T52" s="11"/>
      <c r="V52" s="13">
        <f t="shared" si="4"/>
        <v>0.3848866277600253</v>
      </c>
      <c r="W52">
        <f t="shared" si="5"/>
        <v>0</v>
      </c>
      <c r="Y52" s="8">
        <f t="shared" si="7"/>
        <v>2.8481817777166185E-2</v>
      </c>
      <c r="Z52" s="8"/>
      <c r="AB52" s="11">
        <f t="shared" si="8"/>
        <v>287015.17158924061</v>
      </c>
      <c r="AC52" s="1">
        <f t="shared" si="12"/>
        <v>36800</v>
      </c>
      <c r="AD52" s="9">
        <f t="shared" si="9"/>
        <v>110468.30150894784</v>
      </c>
      <c r="AE52" s="1">
        <f t="shared" si="13"/>
        <v>36800</v>
      </c>
      <c r="AF52" s="11">
        <f t="shared" si="14"/>
        <v>110468.30150894784</v>
      </c>
    </row>
    <row r="53" spans="1:32" x14ac:dyDescent="0.25">
      <c r="A53" s="1">
        <v>36831</v>
      </c>
      <c r="B53" s="9">
        <f>IFERROR(VLOOKUP($A53,ANTIGA_LIVRES!$A:$P,MATCH(APENDICE_BCB!B$3,ANTIGA_LIVRES!$1:$1,0),0)/1000,0)</f>
        <v>150408.712</v>
      </c>
      <c r="C53" s="9">
        <f>IFERROR(VLOOKUP($A53,ANTIGA_LIVRES!$A:$P,MATCH(APENDICE_BCB!C$3,ANTIGA_LIVRES!$1:$1,0),0)/1000,0)</f>
        <v>99740.122000000003</v>
      </c>
      <c r="D53" s="9">
        <f>IFERROR(VLOOKUP($A53,ANTIGA_LIVRES!$A:$P,MATCH(APENDICE_BCB!D$3,ANTIGA_LIVRES!$1:$1,0),0)/1000,0)</f>
        <v>50668.59</v>
      </c>
      <c r="E53" s="9">
        <f>IFERROR(VLOOKUP($A53,ANTIGA_DIRECIONADOS!$A:$P,MATCH(APENDICE_BCB!E$3,ANTIGA_DIRECIONADOS!$1:$1,0),0),0)</f>
        <v>135823</v>
      </c>
      <c r="F53" s="14">
        <f>IFERROR(VLOOKUP($A53,ANTIGA_DIRECIONADOS!$A:$P,MATCH(APENDICE_BCB!F$3,ANTIGA_DIRECIONADOS!$1:$1,0),0),0)</f>
        <v>73673</v>
      </c>
      <c r="G53" s="9">
        <f>IFERROR(VLOOKUP($A53,ANTIGA_DIRECIONADOS!$A:$P,MATCH(APENDICE_BCB!G$3,ANTIGA_DIRECIONADOS!$1:$1,0),0),0)</f>
        <v>62151</v>
      </c>
      <c r="H53" s="9">
        <f>IFERROR(VLOOKUP($A53,ATUAL_LIV_E_DIR!$A:$P,MATCH(APENDICE_BCB!H$3,ATUAL_LIV_E_DIR!$1:$1,0),0),0)</f>
        <v>0</v>
      </c>
      <c r="I53" s="9">
        <f>IFERROR(VLOOKUP($A53,ATUAL_LIV_E_DIR!$A:$P,MATCH(APENDICE_BCB!I$3,ATUAL_LIV_E_DIR!$1:$1,0),0),0)</f>
        <v>0</v>
      </c>
      <c r="J53" s="9">
        <f>IFERROR(VLOOKUP($A53,ATUAL_LIV_E_DIR!$A:$P,MATCH(APENDICE_BCB!J$3,ATUAL_LIV_E_DIR!$1:$1,0),0),0)</f>
        <v>0</v>
      </c>
      <c r="K53" s="9">
        <f>IFERROR(VLOOKUP($A53,ATUAL_LIV_E_DIR!$A:$P,MATCH(APENDICE_BCB!K$3,ATUAL_LIV_E_DIR!$1:$1,0),0),0)</f>
        <v>0</v>
      </c>
      <c r="L53" s="9">
        <f>IFERROR(VLOOKUP($A53,ATUAL_LIV_E_DIR!$A:$P,MATCH(APENDICE_BCB!L$3,ATUAL_LIV_E_DIR!$1:$1,0),0),0)</f>
        <v>0</v>
      </c>
      <c r="M53" s="9">
        <f>IFERROR(VLOOKUP($A53,ATUAL_LIV_E_DIR!$A:$P,MATCH(APENDICE_BCB!M$3,ATUAL_LIV_E_DIR!$1:$1,0),0),0)</f>
        <v>0</v>
      </c>
      <c r="O53" s="15">
        <f t="shared" si="10"/>
        <v>259631.712</v>
      </c>
      <c r="P53" s="11">
        <f t="shared" si="1"/>
        <v>0</v>
      </c>
      <c r="Q53" s="11">
        <f t="shared" si="2"/>
        <v>161891.122</v>
      </c>
      <c r="R53" s="11">
        <f t="shared" si="3"/>
        <v>0</v>
      </c>
      <c r="S53" s="15">
        <f t="shared" si="11"/>
        <v>97741.59</v>
      </c>
      <c r="T53" s="11"/>
      <c r="V53" s="13">
        <f t="shared" si="4"/>
        <v>0.3764624484700852</v>
      </c>
      <c r="W53">
        <f t="shared" si="5"/>
        <v>0</v>
      </c>
      <c r="Y53" s="8">
        <f t="shared" si="7"/>
        <v>3.4012378906042695E-2</v>
      </c>
      <c r="Z53" s="8"/>
      <c r="AB53" s="11">
        <f t="shared" si="8"/>
        <v>296777.24035711674</v>
      </c>
      <c r="AC53" s="1">
        <f t="shared" si="12"/>
        <v>36831</v>
      </c>
      <c r="AD53" s="9">
        <f t="shared" si="9"/>
        <v>111725.48655503515</v>
      </c>
      <c r="AE53" s="1">
        <f t="shared" si="13"/>
        <v>36831</v>
      </c>
      <c r="AF53" s="11">
        <f t="shared" si="14"/>
        <v>111725.48655503515</v>
      </c>
    </row>
    <row r="54" spans="1:32" x14ac:dyDescent="0.25">
      <c r="A54" s="1">
        <v>36861</v>
      </c>
      <c r="B54" s="9">
        <f>IFERROR(VLOOKUP($A54,ANTIGA_LIVRES!$A:$P,MATCH(APENDICE_BCB!B$3,ANTIGA_LIVRES!$1:$1,0),0)/1000,0)</f>
        <v>153957.52299999999</v>
      </c>
      <c r="C54" s="9">
        <f>IFERROR(VLOOKUP($A54,ANTIGA_LIVRES!$A:$P,MATCH(APENDICE_BCB!C$3,ANTIGA_LIVRES!$1:$1,0),0)/1000,0)</f>
        <v>102621.89599999999</v>
      </c>
      <c r="D54" s="9">
        <f>IFERROR(VLOOKUP($A54,ANTIGA_LIVRES!$A:$P,MATCH(APENDICE_BCB!D$3,ANTIGA_LIVRES!$1:$1,0),0)/1000,0)</f>
        <v>51335.627</v>
      </c>
      <c r="E54" s="9">
        <f>IFERROR(VLOOKUP($A54,ANTIGA_DIRECIONADOS!$A:$P,MATCH(APENDICE_BCB!E$3,ANTIGA_DIRECIONADOS!$1:$1,0),0),0)</f>
        <v>138684</v>
      </c>
      <c r="F54" s="14">
        <f>IFERROR(VLOOKUP($A54,ANTIGA_DIRECIONADOS!$A:$P,MATCH(APENDICE_BCB!F$3,ANTIGA_DIRECIONADOS!$1:$1,0),0),0)</f>
        <v>73730</v>
      </c>
      <c r="G54" s="9">
        <f>IFERROR(VLOOKUP($A54,ANTIGA_DIRECIONADOS!$A:$P,MATCH(APENDICE_BCB!G$3,ANTIGA_DIRECIONADOS!$1:$1,0),0),0)</f>
        <v>64954</v>
      </c>
      <c r="H54" s="9">
        <f>IFERROR(VLOOKUP($A54,ATUAL_LIV_E_DIR!$A:$P,MATCH(APENDICE_BCB!H$3,ATUAL_LIV_E_DIR!$1:$1,0),0),0)</f>
        <v>0</v>
      </c>
      <c r="I54" s="9">
        <f>IFERROR(VLOOKUP($A54,ATUAL_LIV_E_DIR!$A:$P,MATCH(APENDICE_BCB!I$3,ATUAL_LIV_E_DIR!$1:$1,0),0),0)</f>
        <v>0</v>
      </c>
      <c r="J54" s="9">
        <f>IFERROR(VLOOKUP($A54,ATUAL_LIV_E_DIR!$A:$P,MATCH(APENDICE_BCB!J$3,ATUAL_LIV_E_DIR!$1:$1,0),0),0)</f>
        <v>0</v>
      </c>
      <c r="K54" s="9">
        <f>IFERROR(VLOOKUP($A54,ATUAL_LIV_E_DIR!$A:$P,MATCH(APENDICE_BCB!K$3,ATUAL_LIV_E_DIR!$1:$1,0),0),0)</f>
        <v>0</v>
      </c>
      <c r="L54" s="9">
        <f>IFERROR(VLOOKUP($A54,ATUAL_LIV_E_DIR!$A:$P,MATCH(APENDICE_BCB!L$3,ATUAL_LIV_E_DIR!$1:$1,0),0),0)</f>
        <v>0</v>
      </c>
      <c r="M54" s="9">
        <f>IFERROR(VLOOKUP($A54,ATUAL_LIV_E_DIR!$A:$P,MATCH(APENDICE_BCB!M$3,ATUAL_LIV_E_DIR!$1:$1,0),0),0)</f>
        <v>0</v>
      </c>
      <c r="O54" s="15">
        <f t="shared" si="10"/>
        <v>266041.52299999999</v>
      </c>
      <c r="P54" s="11">
        <f t="shared" si="1"/>
        <v>0</v>
      </c>
      <c r="Q54" s="11">
        <f t="shared" si="2"/>
        <v>167575.89600000001</v>
      </c>
      <c r="R54" s="11">
        <f t="shared" si="3"/>
        <v>0</v>
      </c>
      <c r="S54" s="15">
        <f t="shared" si="11"/>
        <v>98465.627000000008</v>
      </c>
      <c r="T54" s="11"/>
      <c r="V54" s="13">
        <f t="shared" si="4"/>
        <v>0.37011375476150771</v>
      </c>
      <c r="W54">
        <f t="shared" si="5"/>
        <v>0</v>
      </c>
      <c r="Y54" s="8">
        <f t="shared" si="7"/>
        <v>2.4688089719949069E-2</v>
      </c>
      <c r="Z54" s="8"/>
      <c r="AB54" s="11">
        <f t="shared" si="8"/>
        <v>304104.10349389212</v>
      </c>
      <c r="AC54" s="1">
        <f t="shared" si="12"/>
        <v>36861</v>
      </c>
      <c r="AD54" s="9">
        <f t="shared" si="9"/>
        <v>112553.11158250655</v>
      </c>
      <c r="AE54" s="1">
        <f t="shared" si="13"/>
        <v>36861</v>
      </c>
      <c r="AF54" s="11">
        <f t="shared" si="14"/>
        <v>112553.11158250655</v>
      </c>
    </row>
    <row r="55" spans="1:32" x14ac:dyDescent="0.25">
      <c r="A55" s="1">
        <v>36892</v>
      </c>
      <c r="B55" s="9">
        <f>IFERROR(VLOOKUP($A55,ANTIGA_LIVRES!$A:$P,MATCH(APENDICE_BCB!B$3,ANTIGA_LIVRES!$1:$1,0),0)/1000,0)</f>
        <v>157056.16099999999</v>
      </c>
      <c r="C55" s="9">
        <f>IFERROR(VLOOKUP($A55,ANTIGA_LIVRES!$A:$P,MATCH(APENDICE_BCB!C$3,ANTIGA_LIVRES!$1:$1,0),0)/1000,0)</f>
        <v>102418.925</v>
      </c>
      <c r="D55" s="9">
        <f>IFERROR(VLOOKUP($A55,ANTIGA_LIVRES!$A:$P,MATCH(APENDICE_BCB!D$3,ANTIGA_LIVRES!$1:$1,0),0)/1000,0)</f>
        <v>54637.235999999997</v>
      </c>
      <c r="E55" s="9">
        <f>IFERROR(VLOOKUP($A55,ANTIGA_DIRECIONADOS!$A:$P,MATCH(APENDICE_BCB!E$3,ANTIGA_DIRECIONADOS!$1:$1,0),0),0)</f>
        <v>136740</v>
      </c>
      <c r="F55" s="14">
        <f>IFERROR(VLOOKUP($A55,ANTIGA_DIRECIONADOS!$A:$P,MATCH(APENDICE_BCB!F$3,ANTIGA_DIRECIONADOS!$1:$1,0),0),0)</f>
        <v>71605</v>
      </c>
      <c r="G55" s="9">
        <f>IFERROR(VLOOKUP($A55,ANTIGA_DIRECIONADOS!$A:$P,MATCH(APENDICE_BCB!G$3,ANTIGA_DIRECIONADOS!$1:$1,0),0),0)</f>
        <v>65135</v>
      </c>
      <c r="H55" s="9">
        <f>IFERROR(VLOOKUP($A55,ATUAL_LIV_E_DIR!$A:$P,MATCH(APENDICE_BCB!H$3,ATUAL_LIV_E_DIR!$1:$1,0),0),0)</f>
        <v>0</v>
      </c>
      <c r="I55" s="9">
        <f>IFERROR(VLOOKUP($A55,ATUAL_LIV_E_DIR!$A:$P,MATCH(APENDICE_BCB!I$3,ATUAL_LIV_E_DIR!$1:$1,0),0),0)</f>
        <v>0</v>
      </c>
      <c r="J55" s="9">
        <f>IFERROR(VLOOKUP($A55,ATUAL_LIV_E_DIR!$A:$P,MATCH(APENDICE_BCB!J$3,ATUAL_LIV_E_DIR!$1:$1,0),0),0)</f>
        <v>0</v>
      </c>
      <c r="K55" s="9">
        <f>IFERROR(VLOOKUP($A55,ATUAL_LIV_E_DIR!$A:$P,MATCH(APENDICE_BCB!K$3,ATUAL_LIV_E_DIR!$1:$1,0),0),0)</f>
        <v>0</v>
      </c>
      <c r="L55" s="9">
        <f>IFERROR(VLOOKUP($A55,ATUAL_LIV_E_DIR!$A:$P,MATCH(APENDICE_BCB!L$3,ATUAL_LIV_E_DIR!$1:$1,0),0),0)</f>
        <v>0</v>
      </c>
      <c r="M55" s="9">
        <f>IFERROR(VLOOKUP($A55,ATUAL_LIV_E_DIR!$A:$P,MATCH(APENDICE_BCB!M$3,ATUAL_LIV_E_DIR!$1:$1,0),0),0)</f>
        <v>0</v>
      </c>
      <c r="O55" s="15">
        <f t="shared" si="10"/>
        <v>267196.16099999996</v>
      </c>
      <c r="P55" s="11">
        <f t="shared" si="1"/>
        <v>0</v>
      </c>
      <c r="Q55" s="11">
        <f t="shared" si="2"/>
        <v>167553.92499999999</v>
      </c>
      <c r="R55" s="11">
        <f t="shared" si="3"/>
        <v>0</v>
      </c>
      <c r="S55" s="15">
        <f t="shared" si="11"/>
        <v>99642.236000000004</v>
      </c>
      <c r="T55" s="11"/>
      <c r="V55" s="13">
        <f t="shared" si="4"/>
        <v>0.37291791778400596</v>
      </c>
      <c r="W55">
        <f t="shared" si="5"/>
        <v>0</v>
      </c>
      <c r="Y55" s="8">
        <f t="shared" si="7"/>
        <v>4.3400668699373757E-3</v>
      </c>
      <c r="Z55" s="8"/>
      <c r="AB55" s="11">
        <f t="shared" si="8"/>
        <v>305423.93563847797</v>
      </c>
      <c r="AC55" s="1">
        <f t="shared" si="12"/>
        <v>36892</v>
      </c>
      <c r="AD55" s="9">
        <f t="shared" si="9"/>
        <v>113898.05811969745</v>
      </c>
      <c r="AE55" s="1">
        <f t="shared" si="13"/>
        <v>36892</v>
      </c>
      <c r="AF55" s="11">
        <f t="shared" si="14"/>
        <v>113898.05811969745</v>
      </c>
    </row>
    <row r="56" spans="1:32" x14ac:dyDescent="0.25">
      <c r="A56" s="1">
        <v>36923</v>
      </c>
      <c r="B56" s="9">
        <f>IFERROR(VLOOKUP($A56,ANTIGA_LIVRES!$A:$P,MATCH(APENDICE_BCB!B$3,ANTIGA_LIVRES!$1:$1,0),0)/1000,0)</f>
        <v>162063.065</v>
      </c>
      <c r="C56" s="9">
        <f>IFERROR(VLOOKUP($A56,ANTIGA_LIVRES!$A:$P,MATCH(APENDICE_BCB!C$3,ANTIGA_LIVRES!$1:$1,0),0)/1000,0)</f>
        <v>105758.32799999999</v>
      </c>
      <c r="D56" s="9">
        <f>IFERROR(VLOOKUP($A56,ANTIGA_LIVRES!$A:$P,MATCH(APENDICE_BCB!D$3,ANTIGA_LIVRES!$1:$1,0),0)/1000,0)</f>
        <v>56304.737000000001</v>
      </c>
      <c r="E56" s="9">
        <f>IFERROR(VLOOKUP($A56,ANTIGA_DIRECIONADOS!$A:$P,MATCH(APENDICE_BCB!E$3,ANTIGA_DIRECIONADOS!$1:$1,0),0),0)</f>
        <v>138110</v>
      </c>
      <c r="F56" s="14">
        <f>IFERROR(VLOOKUP($A56,ANTIGA_DIRECIONADOS!$A:$P,MATCH(APENDICE_BCB!F$3,ANTIGA_DIRECIONADOS!$1:$1,0),0),0)</f>
        <v>71774</v>
      </c>
      <c r="G56" s="9">
        <f>IFERROR(VLOOKUP($A56,ANTIGA_DIRECIONADOS!$A:$P,MATCH(APENDICE_BCB!G$3,ANTIGA_DIRECIONADOS!$1:$1,0),0),0)</f>
        <v>66336</v>
      </c>
      <c r="H56" s="9">
        <f>IFERROR(VLOOKUP($A56,ATUAL_LIV_E_DIR!$A:$P,MATCH(APENDICE_BCB!H$3,ATUAL_LIV_E_DIR!$1:$1,0),0),0)</f>
        <v>0</v>
      </c>
      <c r="I56" s="9">
        <f>IFERROR(VLOOKUP($A56,ATUAL_LIV_E_DIR!$A:$P,MATCH(APENDICE_BCB!I$3,ATUAL_LIV_E_DIR!$1:$1,0),0),0)</f>
        <v>0</v>
      </c>
      <c r="J56" s="9">
        <f>IFERROR(VLOOKUP($A56,ATUAL_LIV_E_DIR!$A:$P,MATCH(APENDICE_BCB!J$3,ATUAL_LIV_E_DIR!$1:$1,0),0),0)</f>
        <v>0</v>
      </c>
      <c r="K56" s="9">
        <f>IFERROR(VLOOKUP($A56,ATUAL_LIV_E_DIR!$A:$P,MATCH(APENDICE_BCB!K$3,ATUAL_LIV_E_DIR!$1:$1,0),0),0)</f>
        <v>0</v>
      </c>
      <c r="L56" s="9">
        <f>IFERROR(VLOOKUP($A56,ATUAL_LIV_E_DIR!$A:$P,MATCH(APENDICE_BCB!L$3,ATUAL_LIV_E_DIR!$1:$1,0),0),0)</f>
        <v>0</v>
      </c>
      <c r="M56" s="9">
        <f>IFERROR(VLOOKUP($A56,ATUAL_LIV_E_DIR!$A:$P,MATCH(APENDICE_BCB!M$3,ATUAL_LIV_E_DIR!$1:$1,0),0),0)</f>
        <v>0</v>
      </c>
      <c r="O56" s="15">
        <f t="shared" si="10"/>
        <v>273573.065</v>
      </c>
      <c r="P56" s="11">
        <f t="shared" si="1"/>
        <v>0</v>
      </c>
      <c r="Q56" s="11">
        <f t="shared" si="2"/>
        <v>172094.32799999998</v>
      </c>
      <c r="R56" s="11">
        <f t="shared" si="3"/>
        <v>0</v>
      </c>
      <c r="S56" s="15">
        <f t="shared" si="11"/>
        <v>101478.73699999999</v>
      </c>
      <c r="T56" s="11"/>
      <c r="V56" s="13">
        <f t="shared" si="4"/>
        <v>0.37093833415215782</v>
      </c>
      <c r="W56">
        <f t="shared" si="5"/>
        <v>0</v>
      </c>
      <c r="Y56" s="8">
        <f t="shared" si="7"/>
        <v>2.3866001577769858E-2</v>
      </c>
      <c r="Z56" s="8"/>
      <c r="AB56" s="11">
        <f t="shared" si="8"/>
        <v>312713.18376831454</v>
      </c>
      <c r="AC56" s="1">
        <f t="shared" si="12"/>
        <v>36923</v>
      </c>
      <c r="AD56" s="9">
        <f t="shared" si="9"/>
        <v>115997.3074544362</v>
      </c>
      <c r="AE56" s="1">
        <f t="shared" si="13"/>
        <v>36923</v>
      </c>
      <c r="AF56" s="11">
        <f t="shared" si="14"/>
        <v>115997.3074544362</v>
      </c>
    </row>
    <row r="57" spans="1:32" x14ac:dyDescent="0.25">
      <c r="A57" s="1">
        <v>36951</v>
      </c>
      <c r="B57" s="9">
        <f>IFERROR(VLOOKUP($A57,ANTIGA_LIVRES!$A:$P,MATCH(APENDICE_BCB!B$3,ANTIGA_LIVRES!$1:$1,0),0)/1000,0)</f>
        <v>170434.476</v>
      </c>
      <c r="C57" s="9">
        <f>IFERROR(VLOOKUP($A57,ANTIGA_LIVRES!$A:$P,MATCH(APENDICE_BCB!C$3,ANTIGA_LIVRES!$1:$1,0),0)/1000,0)</f>
        <v>111016.72500000001</v>
      </c>
      <c r="D57" s="9">
        <f>IFERROR(VLOOKUP($A57,ANTIGA_LIVRES!$A:$P,MATCH(APENDICE_BCB!D$3,ANTIGA_LIVRES!$1:$1,0),0)/1000,0)</f>
        <v>59417.750999999997</v>
      </c>
      <c r="E57" s="9">
        <f>IFERROR(VLOOKUP($A57,ANTIGA_DIRECIONADOS!$A:$P,MATCH(APENDICE_BCB!E$3,ANTIGA_DIRECIONADOS!$1:$1,0),0),0)</f>
        <v>140001</v>
      </c>
      <c r="F57" s="14">
        <f>IFERROR(VLOOKUP($A57,ANTIGA_DIRECIONADOS!$A:$P,MATCH(APENDICE_BCB!F$3,ANTIGA_DIRECIONADOS!$1:$1,0),0),0)</f>
        <v>71756</v>
      </c>
      <c r="G57" s="9">
        <f>IFERROR(VLOOKUP($A57,ANTIGA_DIRECIONADOS!$A:$P,MATCH(APENDICE_BCB!G$3,ANTIGA_DIRECIONADOS!$1:$1,0),0),0)</f>
        <v>68244</v>
      </c>
      <c r="H57" s="9">
        <f>IFERROR(VLOOKUP($A57,ATUAL_LIV_E_DIR!$A:$P,MATCH(APENDICE_BCB!H$3,ATUAL_LIV_E_DIR!$1:$1,0),0),0)</f>
        <v>0</v>
      </c>
      <c r="I57" s="9">
        <f>IFERROR(VLOOKUP($A57,ATUAL_LIV_E_DIR!$A:$P,MATCH(APENDICE_BCB!I$3,ATUAL_LIV_E_DIR!$1:$1,0),0),0)</f>
        <v>0</v>
      </c>
      <c r="J57" s="9">
        <f>IFERROR(VLOOKUP($A57,ATUAL_LIV_E_DIR!$A:$P,MATCH(APENDICE_BCB!J$3,ATUAL_LIV_E_DIR!$1:$1,0),0),0)</f>
        <v>0</v>
      </c>
      <c r="K57" s="9">
        <f>IFERROR(VLOOKUP($A57,ATUAL_LIV_E_DIR!$A:$P,MATCH(APENDICE_BCB!K$3,ATUAL_LIV_E_DIR!$1:$1,0),0),0)</f>
        <v>0</v>
      </c>
      <c r="L57" s="9">
        <f>IFERROR(VLOOKUP($A57,ATUAL_LIV_E_DIR!$A:$P,MATCH(APENDICE_BCB!L$3,ATUAL_LIV_E_DIR!$1:$1,0),0),0)</f>
        <v>0</v>
      </c>
      <c r="M57" s="9">
        <f>IFERROR(VLOOKUP($A57,ATUAL_LIV_E_DIR!$A:$P,MATCH(APENDICE_BCB!M$3,ATUAL_LIV_E_DIR!$1:$1,0),0),0)</f>
        <v>0</v>
      </c>
      <c r="O57" s="15">
        <f t="shared" si="10"/>
        <v>283835.47600000002</v>
      </c>
      <c r="P57" s="11">
        <f t="shared" si="1"/>
        <v>0</v>
      </c>
      <c r="Q57" s="11">
        <f t="shared" si="2"/>
        <v>179260.72500000001</v>
      </c>
      <c r="R57" s="11">
        <f t="shared" si="3"/>
        <v>0</v>
      </c>
      <c r="S57" s="15">
        <f t="shared" si="11"/>
        <v>104573.75099999999</v>
      </c>
      <c r="T57" s="11"/>
      <c r="V57" s="13">
        <f t="shared" si="4"/>
        <v>0.36843086873326569</v>
      </c>
      <c r="W57">
        <f t="shared" si="5"/>
        <v>0</v>
      </c>
      <c r="Y57" s="8">
        <f t="shared" si="7"/>
        <v>3.7512505114492889E-2</v>
      </c>
      <c r="Z57" s="8"/>
      <c r="AB57" s="11">
        <f t="shared" si="8"/>
        <v>324443.83867379284</v>
      </c>
      <c r="AC57" s="1">
        <f t="shared" si="12"/>
        <v>36951</v>
      </c>
      <c r="AD57" s="9">
        <f t="shared" si="9"/>
        <v>119535.125337741</v>
      </c>
      <c r="AE57" s="1">
        <f t="shared" si="13"/>
        <v>36951</v>
      </c>
      <c r="AF57" s="11">
        <f t="shared" si="14"/>
        <v>119535.125337741</v>
      </c>
    </row>
    <row r="58" spans="1:32" x14ac:dyDescent="0.25">
      <c r="A58" s="1">
        <v>36982</v>
      </c>
      <c r="B58" s="9">
        <f>IFERROR(VLOOKUP($A58,ANTIGA_LIVRES!$A:$P,MATCH(APENDICE_BCB!B$3,ANTIGA_LIVRES!$1:$1,0),0)/1000,0)</f>
        <v>176738.872</v>
      </c>
      <c r="C58" s="9">
        <f>IFERROR(VLOOKUP($A58,ANTIGA_LIVRES!$A:$P,MATCH(APENDICE_BCB!C$3,ANTIGA_LIVRES!$1:$1,0),0)/1000,0)</f>
        <v>115312.617</v>
      </c>
      <c r="D58" s="9">
        <f>IFERROR(VLOOKUP($A58,ANTIGA_LIVRES!$A:$P,MATCH(APENDICE_BCB!D$3,ANTIGA_LIVRES!$1:$1,0),0)/1000,0)</f>
        <v>61426.254999999997</v>
      </c>
      <c r="E58" s="9">
        <f>IFERROR(VLOOKUP($A58,ANTIGA_DIRECIONADOS!$A:$P,MATCH(APENDICE_BCB!E$3,ANTIGA_DIRECIONADOS!$1:$1,0),0),0)</f>
        <v>138372</v>
      </c>
      <c r="F58" s="14">
        <f>IFERROR(VLOOKUP($A58,ANTIGA_DIRECIONADOS!$A:$P,MATCH(APENDICE_BCB!F$3,ANTIGA_DIRECIONADOS!$1:$1,0),0),0)</f>
        <v>71674</v>
      </c>
      <c r="G58" s="9">
        <f>IFERROR(VLOOKUP($A58,ANTIGA_DIRECIONADOS!$A:$P,MATCH(APENDICE_BCB!G$3,ANTIGA_DIRECIONADOS!$1:$1,0),0),0)</f>
        <v>66697</v>
      </c>
      <c r="H58" s="9">
        <f>IFERROR(VLOOKUP($A58,ATUAL_LIV_E_DIR!$A:$P,MATCH(APENDICE_BCB!H$3,ATUAL_LIV_E_DIR!$1:$1,0),0),0)</f>
        <v>0</v>
      </c>
      <c r="I58" s="9">
        <f>IFERROR(VLOOKUP($A58,ATUAL_LIV_E_DIR!$A:$P,MATCH(APENDICE_BCB!I$3,ATUAL_LIV_E_DIR!$1:$1,0),0),0)</f>
        <v>0</v>
      </c>
      <c r="J58" s="9">
        <f>IFERROR(VLOOKUP($A58,ATUAL_LIV_E_DIR!$A:$P,MATCH(APENDICE_BCB!J$3,ATUAL_LIV_E_DIR!$1:$1,0),0),0)</f>
        <v>0</v>
      </c>
      <c r="K58" s="9">
        <f>IFERROR(VLOOKUP($A58,ATUAL_LIV_E_DIR!$A:$P,MATCH(APENDICE_BCB!K$3,ATUAL_LIV_E_DIR!$1:$1,0),0),0)</f>
        <v>0</v>
      </c>
      <c r="L58" s="9">
        <f>IFERROR(VLOOKUP($A58,ATUAL_LIV_E_DIR!$A:$P,MATCH(APENDICE_BCB!L$3,ATUAL_LIV_E_DIR!$1:$1,0),0),0)</f>
        <v>0</v>
      </c>
      <c r="M58" s="9">
        <f>IFERROR(VLOOKUP($A58,ATUAL_LIV_E_DIR!$A:$P,MATCH(APENDICE_BCB!M$3,ATUAL_LIV_E_DIR!$1:$1,0),0),0)</f>
        <v>0</v>
      </c>
      <c r="O58" s="15">
        <f t="shared" si="10"/>
        <v>288510.87199999997</v>
      </c>
      <c r="P58" s="11">
        <f t="shared" si="1"/>
        <v>0</v>
      </c>
      <c r="Q58" s="11">
        <f t="shared" si="2"/>
        <v>182009.617</v>
      </c>
      <c r="R58" s="11">
        <f t="shared" si="3"/>
        <v>0</v>
      </c>
      <c r="S58" s="15">
        <f t="shared" si="11"/>
        <v>106500.255</v>
      </c>
      <c r="T58" s="11"/>
      <c r="V58" s="13">
        <f t="shared" si="4"/>
        <v>0.36913775297868157</v>
      </c>
      <c r="W58">
        <f t="shared" si="5"/>
        <v>0</v>
      </c>
      <c r="Y58" s="8">
        <f t="shared" si="7"/>
        <v>1.6472204482289365E-2</v>
      </c>
      <c r="Z58" s="8"/>
      <c r="AB58" s="11">
        <f t="shared" si="8"/>
        <v>329788.14392744645</v>
      </c>
      <c r="AC58" s="1">
        <f t="shared" si="12"/>
        <v>36982</v>
      </c>
      <c r="AD58" s="9">
        <f t="shared" si="9"/>
        <v>121737.25440838761</v>
      </c>
      <c r="AE58" s="1">
        <f t="shared" si="13"/>
        <v>36982</v>
      </c>
      <c r="AF58" s="11">
        <f t="shared" si="14"/>
        <v>121737.25440838761</v>
      </c>
    </row>
    <row r="59" spans="1:32" x14ac:dyDescent="0.25">
      <c r="A59" s="1">
        <v>37012</v>
      </c>
      <c r="B59" s="9">
        <f>IFERROR(VLOOKUP($A59,ANTIGA_LIVRES!$A:$P,MATCH(APENDICE_BCB!B$3,ANTIGA_LIVRES!$1:$1,0),0)/1000,0)</f>
        <v>181795.024</v>
      </c>
      <c r="C59" s="9">
        <f>IFERROR(VLOOKUP($A59,ANTIGA_LIVRES!$A:$P,MATCH(APENDICE_BCB!C$3,ANTIGA_LIVRES!$1:$1,0),0)/1000,0)</f>
        <v>117856.144</v>
      </c>
      <c r="D59" s="9">
        <f>IFERROR(VLOOKUP($A59,ANTIGA_LIVRES!$A:$P,MATCH(APENDICE_BCB!D$3,ANTIGA_LIVRES!$1:$1,0),0)/1000,0)</f>
        <v>63938.879999999997</v>
      </c>
      <c r="E59" s="9">
        <f>IFERROR(VLOOKUP($A59,ANTIGA_DIRECIONADOS!$A:$P,MATCH(APENDICE_BCB!E$3,ANTIGA_DIRECIONADOS!$1:$1,0),0),0)</f>
        <v>139535</v>
      </c>
      <c r="F59" s="14">
        <f>IFERROR(VLOOKUP($A59,ANTIGA_DIRECIONADOS!$A:$P,MATCH(APENDICE_BCB!F$3,ANTIGA_DIRECIONADOS!$1:$1,0),0),0)</f>
        <v>71638</v>
      </c>
      <c r="G59" s="9">
        <f>IFERROR(VLOOKUP($A59,ANTIGA_DIRECIONADOS!$A:$P,MATCH(APENDICE_BCB!G$3,ANTIGA_DIRECIONADOS!$1:$1,0),0),0)</f>
        <v>67897</v>
      </c>
      <c r="H59" s="9">
        <f>IFERROR(VLOOKUP($A59,ATUAL_LIV_E_DIR!$A:$P,MATCH(APENDICE_BCB!H$3,ATUAL_LIV_E_DIR!$1:$1,0),0),0)</f>
        <v>0</v>
      </c>
      <c r="I59" s="9">
        <f>IFERROR(VLOOKUP($A59,ATUAL_LIV_E_DIR!$A:$P,MATCH(APENDICE_BCB!I$3,ATUAL_LIV_E_DIR!$1:$1,0),0),0)</f>
        <v>0</v>
      </c>
      <c r="J59" s="9">
        <f>IFERROR(VLOOKUP($A59,ATUAL_LIV_E_DIR!$A:$P,MATCH(APENDICE_BCB!J$3,ATUAL_LIV_E_DIR!$1:$1,0),0),0)</f>
        <v>0</v>
      </c>
      <c r="K59" s="9">
        <f>IFERROR(VLOOKUP($A59,ATUAL_LIV_E_DIR!$A:$P,MATCH(APENDICE_BCB!K$3,ATUAL_LIV_E_DIR!$1:$1,0),0),0)</f>
        <v>0</v>
      </c>
      <c r="L59" s="9">
        <f>IFERROR(VLOOKUP($A59,ATUAL_LIV_E_DIR!$A:$P,MATCH(APENDICE_BCB!L$3,ATUAL_LIV_E_DIR!$1:$1,0),0),0)</f>
        <v>0</v>
      </c>
      <c r="M59" s="9">
        <f>IFERROR(VLOOKUP($A59,ATUAL_LIV_E_DIR!$A:$P,MATCH(APENDICE_BCB!M$3,ATUAL_LIV_E_DIR!$1:$1,0),0),0)</f>
        <v>0</v>
      </c>
      <c r="O59" s="15">
        <f t="shared" si="10"/>
        <v>294730.02399999998</v>
      </c>
      <c r="P59" s="11">
        <f t="shared" si="1"/>
        <v>0</v>
      </c>
      <c r="Q59" s="11">
        <f t="shared" si="2"/>
        <v>185753.144</v>
      </c>
      <c r="R59" s="11">
        <f t="shared" si="3"/>
        <v>0</v>
      </c>
      <c r="S59" s="15">
        <f t="shared" si="11"/>
        <v>108976.88</v>
      </c>
      <c r="T59" s="11"/>
      <c r="V59" s="13">
        <f t="shared" si="4"/>
        <v>0.36975153912381864</v>
      </c>
      <c r="W59">
        <f t="shared" si="5"/>
        <v>0</v>
      </c>
      <c r="Y59" s="8">
        <f t="shared" si="7"/>
        <v>2.1556040356080608E-2</v>
      </c>
      <c r="Z59" s="8"/>
      <c r="AB59" s="11">
        <f t="shared" si="8"/>
        <v>336897.07046690345</v>
      </c>
      <c r="AC59" s="1">
        <f t="shared" si="12"/>
        <v>37012</v>
      </c>
      <c r="AD59" s="9">
        <f t="shared" si="9"/>
        <v>124568.21033144313</v>
      </c>
      <c r="AE59" s="1">
        <f t="shared" si="13"/>
        <v>37012</v>
      </c>
      <c r="AF59" s="11">
        <f t="shared" si="14"/>
        <v>124568.21033144313</v>
      </c>
    </row>
    <row r="60" spans="1:32" x14ac:dyDescent="0.25">
      <c r="A60" s="1">
        <v>37043</v>
      </c>
      <c r="B60" s="9">
        <f>IFERROR(VLOOKUP($A60,ANTIGA_LIVRES!$A:$P,MATCH(APENDICE_BCB!B$3,ANTIGA_LIVRES!$1:$1,0),0)/1000,0)</f>
        <v>184448.57</v>
      </c>
      <c r="C60" s="9">
        <f>IFERROR(VLOOKUP($A60,ANTIGA_LIVRES!$A:$P,MATCH(APENDICE_BCB!C$3,ANTIGA_LIVRES!$1:$1,0),0)/1000,0)</f>
        <v>118845.05100000001</v>
      </c>
      <c r="D60" s="9">
        <f>IFERROR(VLOOKUP($A60,ANTIGA_LIVRES!$A:$P,MATCH(APENDICE_BCB!D$3,ANTIGA_LIVRES!$1:$1,0),0)/1000,0)</f>
        <v>65603.519</v>
      </c>
      <c r="E60" s="9">
        <f>IFERROR(VLOOKUP($A60,ANTIGA_DIRECIONADOS!$A:$P,MATCH(APENDICE_BCB!E$3,ANTIGA_DIRECIONADOS!$1:$1,0),0),0)</f>
        <v>105240</v>
      </c>
      <c r="F60" s="9">
        <f>IFERROR(VLOOKUP($A60,ANTIGA_DIRECIONADOS!$A:$P,MATCH(APENDICE_BCB!F$3,ANTIGA_DIRECIONADOS!$1:$1,0),0),0)</f>
        <v>37775</v>
      </c>
      <c r="G60" s="9">
        <f>IFERROR(VLOOKUP($A60,ANTIGA_DIRECIONADOS!$A:$P,MATCH(APENDICE_BCB!G$3,ANTIGA_DIRECIONADOS!$1:$1,0),0),0)</f>
        <v>67465</v>
      </c>
      <c r="H60" s="9">
        <f>IFERROR(VLOOKUP($A60,ATUAL_LIV_E_DIR!$A:$P,MATCH(APENDICE_BCB!H$3,ATUAL_LIV_E_DIR!$1:$1,0),0),0)</f>
        <v>0</v>
      </c>
      <c r="I60" s="9">
        <f>IFERROR(VLOOKUP($A60,ATUAL_LIV_E_DIR!$A:$P,MATCH(APENDICE_BCB!I$3,ATUAL_LIV_E_DIR!$1:$1,0),0),0)</f>
        <v>0</v>
      </c>
      <c r="J60" s="9">
        <f>IFERROR(VLOOKUP($A60,ATUAL_LIV_E_DIR!$A:$P,MATCH(APENDICE_BCB!J$3,ATUAL_LIV_E_DIR!$1:$1,0),0),0)</f>
        <v>0</v>
      </c>
      <c r="K60" s="9">
        <f>IFERROR(VLOOKUP($A60,ATUAL_LIV_E_DIR!$A:$P,MATCH(APENDICE_BCB!K$3,ATUAL_LIV_E_DIR!$1:$1,0),0),0)</f>
        <v>0</v>
      </c>
      <c r="L60" s="9">
        <f>IFERROR(VLOOKUP($A60,ATUAL_LIV_E_DIR!$A:$P,MATCH(APENDICE_BCB!L$3,ATUAL_LIV_E_DIR!$1:$1,0),0),0)</f>
        <v>0</v>
      </c>
      <c r="M60" s="9">
        <f>IFERROR(VLOOKUP($A60,ATUAL_LIV_E_DIR!$A:$P,MATCH(APENDICE_BCB!M$3,ATUAL_LIV_E_DIR!$1:$1,0),0),0)</f>
        <v>0</v>
      </c>
      <c r="O60" s="11">
        <f t="shared" si="0"/>
        <v>289688.57</v>
      </c>
      <c r="P60" s="11">
        <f t="shared" si="1"/>
        <v>0</v>
      </c>
      <c r="Q60" s="11">
        <f t="shared" si="2"/>
        <v>186310.05100000001</v>
      </c>
      <c r="R60" s="11">
        <f t="shared" si="3"/>
        <v>0</v>
      </c>
      <c r="S60" s="11">
        <f t="shared" ref="S60:S68" si="15">D60+F60</f>
        <v>103378.519</v>
      </c>
      <c r="T60" s="11"/>
      <c r="V60" s="7">
        <f t="shared" si="4"/>
        <v>0.35686088339626237</v>
      </c>
      <c r="W60">
        <f t="shared" si="5"/>
        <v>0</v>
      </c>
      <c r="Y60" s="8">
        <f t="shared" si="7"/>
        <v>-1.7105328909415629E-2</v>
      </c>
      <c r="Z60" s="8"/>
      <c r="AB60" s="11">
        <f t="shared" si="8"/>
        <v>331134.33526794845</v>
      </c>
      <c r="AC60" s="1">
        <f t="shared" si="12"/>
        <v>37043</v>
      </c>
      <c r="AD60" s="9">
        <f t="shared" si="9"/>
        <v>118168.8914065542</v>
      </c>
      <c r="AE60" s="1">
        <f t="shared" si="13"/>
        <v>37043</v>
      </c>
      <c r="AF60" s="11">
        <f t="shared" si="14"/>
        <v>118168.8914065542</v>
      </c>
    </row>
    <row r="61" spans="1:32" x14ac:dyDescent="0.25">
      <c r="A61" s="1">
        <v>37073</v>
      </c>
      <c r="B61" s="9">
        <f>IFERROR(VLOOKUP($A61,ANTIGA_LIVRES!$A:$P,MATCH(APENDICE_BCB!B$3,ANTIGA_LIVRES!$1:$1,0),0)/1000,0)</f>
        <v>188252.74900000001</v>
      </c>
      <c r="C61" s="9">
        <f>IFERROR(VLOOKUP($A61,ANTIGA_LIVRES!$A:$P,MATCH(APENDICE_BCB!C$3,ANTIGA_LIVRES!$1:$1,0),0)/1000,0)</f>
        <v>121754.743</v>
      </c>
      <c r="D61" s="9">
        <f>IFERROR(VLOOKUP($A61,ANTIGA_LIVRES!$A:$P,MATCH(APENDICE_BCB!D$3,ANTIGA_LIVRES!$1:$1,0),0)/1000,0)</f>
        <v>66498.005999999994</v>
      </c>
      <c r="E61" s="9">
        <f>IFERROR(VLOOKUP($A61,ANTIGA_DIRECIONADOS!$A:$P,MATCH(APENDICE_BCB!E$3,ANTIGA_DIRECIONADOS!$1:$1,0),0),0)</f>
        <v>106786</v>
      </c>
      <c r="F61" s="9">
        <f>IFERROR(VLOOKUP($A61,ANTIGA_DIRECIONADOS!$A:$P,MATCH(APENDICE_BCB!F$3,ANTIGA_DIRECIONADOS!$1:$1,0),0),0)</f>
        <v>38341</v>
      </c>
      <c r="G61" s="9">
        <f>IFERROR(VLOOKUP($A61,ANTIGA_DIRECIONADOS!$A:$P,MATCH(APENDICE_BCB!G$3,ANTIGA_DIRECIONADOS!$1:$1,0),0),0)</f>
        <v>68445</v>
      </c>
      <c r="H61" s="9">
        <f>IFERROR(VLOOKUP($A61,ATUAL_LIV_E_DIR!$A:$P,MATCH(APENDICE_BCB!H$3,ATUAL_LIV_E_DIR!$1:$1,0),0),0)</f>
        <v>0</v>
      </c>
      <c r="I61" s="9">
        <f>IFERROR(VLOOKUP($A61,ATUAL_LIV_E_DIR!$A:$P,MATCH(APENDICE_BCB!I$3,ATUAL_LIV_E_DIR!$1:$1,0),0),0)</f>
        <v>0</v>
      </c>
      <c r="J61" s="9">
        <f>IFERROR(VLOOKUP($A61,ATUAL_LIV_E_DIR!$A:$P,MATCH(APENDICE_BCB!J$3,ATUAL_LIV_E_DIR!$1:$1,0),0),0)</f>
        <v>0</v>
      </c>
      <c r="K61" s="9">
        <f>IFERROR(VLOOKUP($A61,ATUAL_LIV_E_DIR!$A:$P,MATCH(APENDICE_BCB!K$3,ATUAL_LIV_E_DIR!$1:$1,0),0),0)</f>
        <v>0</v>
      </c>
      <c r="L61" s="9">
        <f>IFERROR(VLOOKUP($A61,ATUAL_LIV_E_DIR!$A:$P,MATCH(APENDICE_BCB!L$3,ATUAL_LIV_E_DIR!$1:$1,0),0),0)</f>
        <v>0</v>
      </c>
      <c r="M61" s="9">
        <f>IFERROR(VLOOKUP($A61,ATUAL_LIV_E_DIR!$A:$P,MATCH(APENDICE_BCB!M$3,ATUAL_LIV_E_DIR!$1:$1,0),0),0)</f>
        <v>0</v>
      </c>
      <c r="O61" s="11">
        <f t="shared" si="0"/>
        <v>295038.74900000001</v>
      </c>
      <c r="P61" s="11">
        <f t="shared" si="1"/>
        <v>0</v>
      </c>
      <c r="Q61" s="11">
        <f t="shared" si="2"/>
        <v>190199.74300000002</v>
      </c>
      <c r="R61" s="11">
        <f t="shared" si="3"/>
        <v>0</v>
      </c>
      <c r="S61" s="11">
        <f t="shared" si="15"/>
        <v>104839.00599999999</v>
      </c>
      <c r="T61" s="11"/>
      <c r="V61" s="7">
        <f t="shared" si="4"/>
        <v>0.35533978623262125</v>
      </c>
      <c r="W61">
        <f t="shared" si="5"/>
        <v>0</v>
      </c>
      <c r="Y61" s="8">
        <f t="shared" si="7"/>
        <v>1.846872660526433E-2</v>
      </c>
      <c r="Z61" s="8"/>
      <c r="AB61" s="11">
        <f t="shared" si="8"/>
        <v>337249.96477562818</v>
      </c>
      <c r="AC61" s="1">
        <f t="shared" si="12"/>
        <v>37073</v>
      </c>
      <c r="AD61" s="9">
        <f t="shared" si="9"/>
        <v>119838.33039033077</v>
      </c>
      <c r="AE61" s="1">
        <f t="shared" si="13"/>
        <v>37073</v>
      </c>
      <c r="AF61" s="11">
        <f t="shared" si="14"/>
        <v>119838.33039033077</v>
      </c>
    </row>
    <row r="62" spans="1:32" x14ac:dyDescent="0.25">
      <c r="A62" s="1">
        <v>37104</v>
      </c>
      <c r="B62" s="9">
        <f>IFERROR(VLOOKUP($A62,ANTIGA_LIVRES!$A:$P,MATCH(APENDICE_BCB!B$3,ANTIGA_LIVRES!$1:$1,0),0)/1000,0)</f>
        <v>192851.777</v>
      </c>
      <c r="C62" s="9">
        <f>IFERROR(VLOOKUP($A62,ANTIGA_LIVRES!$A:$P,MATCH(APENDICE_BCB!C$3,ANTIGA_LIVRES!$1:$1,0),0)/1000,0)</f>
        <v>124982.092</v>
      </c>
      <c r="D62" s="9">
        <f>IFERROR(VLOOKUP($A62,ANTIGA_LIVRES!$A:$P,MATCH(APENDICE_BCB!D$3,ANTIGA_LIVRES!$1:$1,0),0)/1000,0)</f>
        <v>67869.684999999998</v>
      </c>
      <c r="E62" s="9">
        <f>IFERROR(VLOOKUP($A62,ANTIGA_DIRECIONADOS!$A:$P,MATCH(APENDICE_BCB!E$3,ANTIGA_DIRECIONADOS!$1:$1,0),0),0)</f>
        <v>110494</v>
      </c>
      <c r="F62" s="9">
        <f>IFERROR(VLOOKUP($A62,ANTIGA_DIRECIONADOS!$A:$P,MATCH(APENDICE_BCB!F$3,ANTIGA_DIRECIONADOS!$1:$1,0),0),0)</f>
        <v>39003</v>
      </c>
      <c r="G62" s="9">
        <f>IFERROR(VLOOKUP($A62,ANTIGA_DIRECIONADOS!$A:$P,MATCH(APENDICE_BCB!G$3,ANTIGA_DIRECIONADOS!$1:$1,0),0),0)</f>
        <v>71491</v>
      </c>
      <c r="H62" s="9">
        <f>IFERROR(VLOOKUP($A62,ATUAL_LIV_E_DIR!$A:$P,MATCH(APENDICE_BCB!H$3,ATUAL_LIV_E_DIR!$1:$1,0),0),0)</f>
        <v>0</v>
      </c>
      <c r="I62" s="9">
        <f>IFERROR(VLOOKUP($A62,ATUAL_LIV_E_DIR!$A:$P,MATCH(APENDICE_BCB!I$3,ATUAL_LIV_E_DIR!$1:$1,0),0),0)</f>
        <v>0</v>
      </c>
      <c r="J62" s="9">
        <f>IFERROR(VLOOKUP($A62,ATUAL_LIV_E_DIR!$A:$P,MATCH(APENDICE_BCB!J$3,ATUAL_LIV_E_DIR!$1:$1,0),0),0)</f>
        <v>0</v>
      </c>
      <c r="K62" s="9">
        <f>IFERROR(VLOOKUP($A62,ATUAL_LIV_E_DIR!$A:$P,MATCH(APENDICE_BCB!K$3,ATUAL_LIV_E_DIR!$1:$1,0),0),0)</f>
        <v>0</v>
      </c>
      <c r="L62" s="9">
        <f>IFERROR(VLOOKUP($A62,ATUAL_LIV_E_DIR!$A:$P,MATCH(APENDICE_BCB!L$3,ATUAL_LIV_E_DIR!$1:$1,0),0),0)</f>
        <v>0</v>
      </c>
      <c r="M62" s="9">
        <f>IFERROR(VLOOKUP($A62,ATUAL_LIV_E_DIR!$A:$P,MATCH(APENDICE_BCB!M$3,ATUAL_LIV_E_DIR!$1:$1,0),0),0)</f>
        <v>0</v>
      </c>
      <c r="O62" s="11">
        <f t="shared" si="0"/>
        <v>303345.777</v>
      </c>
      <c r="P62" s="11">
        <f t="shared" si="1"/>
        <v>0</v>
      </c>
      <c r="Q62" s="11">
        <f t="shared" si="2"/>
        <v>196473.092</v>
      </c>
      <c r="R62" s="11">
        <f t="shared" si="3"/>
        <v>0</v>
      </c>
      <c r="S62" s="11">
        <f t="shared" si="15"/>
        <v>106872.685</v>
      </c>
      <c r="T62" s="11"/>
      <c r="V62" s="7">
        <f t="shared" si="4"/>
        <v>0.35231308000045108</v>
      </c>
      <c r="W62">
        <f t="shared" si="5"/>
        <v>0</v>
      </c>
      <c r="Y62" s="8">
        <f t="shared" si="7"/>
        <v>2.815571862392896E-2</v>
      </c>
      <c r="Z62" s="8"/>
      <c r="AB62" s="11">
        <f t="shared" si="8"/>
        <v>346745.47988978069</v>
      </c>
      <c r="AC62" s="1">
        <f t="shared" si="12"/>
        <v>37104</v>
      </c>
      <c r="AD62" s="9">
        <f t="shared" si="9"/>
        <v>122162.96799620311</v>
      </c>
      <c r="AE62" s="1">
        <f t="shared" si="13"/>
        <v>37104</v>
      </c>
      <c r="AF62" s="11">
        <f t="shared" si="14"/>
        <v>122162.96799620311</v>
      </c>
    </row>
    <row r="63" spans="1:32" x14ac:dyDescent="0.25">
      <c r="A63" s="1">
        <v>37135</v>
      </c>
      <c r="B63" s="9">
        <f>IFERROR(VLOOKUP($A63,ANTIGA_LIVRES!$A:$P,MATCH(APENDICE_BCB!B$3,ANTIGA_LIVRES!$1:$1,0),0)/1000,0)</f>
        <v>198514.976</v>
      </c>
      <c r="C63" s="9">
        <f>IFERROR(VLOOKUP($A63,ANTIGA_LIVRES!$A:$P,MATCH(APENDICE_BCB!C$3,ANTIGA_LIVRES!$1:$1,0),0)/1000,0)</f>
        <v>129601.23299999999</v>
      </c>
      <c r="D63" s="9">
        <f>IFERROR(VLOOKUP($A63,ANTIGA_LIVRES!$A:$P,MATCH(APENDICE_BCB!D$3,ANTIGA_LIVRES!$1:$1,0),0)/1000,0)</f>
        <v>68913.743000000002</v>
      </c>
      <c r="E63" s="9">
        <f>IFERROR(VLOOKUP($A63,ANTIGA_DIRECIONADOS!$A:$P,MATCH(APENDICE_BCB!E$3,ANTIGA_DIRECIONADOS!$1:$1,0),0),0)</f>
        <v>113025</v>
      </c>
      <c r="F63" s="9">
        <f>IFERROR(VLOOKUP($A63,ANTIGA_DIRECIONADOS!$A:$P,MATCH(APENDICE_BCB!F$3,ANTIGA_DIRECIONADOS!$1:$1,0),0),0)</f>
        <v>40294</v>
      </c>
      <c r="G63" s="9">
        <f>IFERROR(VLOOKUP($A63,ANTIGA_DIRECIONADOS!$A:$P,MATCH(APENDICE_BCB!G$3,ANTIGA_DIRECIONADOS!$1:$1,0),0),0)</f>
        <v>72730</v>
      </c>
      <c r="H63" s="9">
        <f>IFERROR(VLOOKUP($A63,ATUAL_LIV_E_DIR!$A:$P,MATCH(APENDICE_BCB!H$3,ATUAL_LIV_E_DIR!$1:$1,0),0),0)</f>
        <v>0</v>
      </c>
      <c r="I63" s="9">
        <f>IFERROR(VLOOKUP($A63,ATUAL_LIV_E_DIR!$A:$P,MATCH(APENDICE_BCB!I$3,ATUAL_LIV_E_DIR!$1:$1,0),0),0)</f>
        <v>0</v>
      </c>
      <c r="J63" s="9">
        <f>IFERROR(VLOOKUP($A63,ATUAL_LIV_E_DIR!$A:$P,MATCH(APENDICE_BCB!J$3,ATUAL_LIV_E_DIR!$1:$1,0),0),0)</f>
        <v>0</v>
      </c>
      <c r="K63" s="9">
        <f>IFERROR(VLOOKUP($A63,ATUAL_LIV_E_DIR!$A:$P,MATCH(APENDICE_BCB!K$3,ATUAL_LIV_E_DIR!$1:$1,0),0),0)</f>
        <v>0</v>
      </c>
      <c r="L63" s="9">
        <f>IFERROR(VLOOKUP($A63,ATUAL_LIV_E_DIR!$A:$P,MATCH(APENDICE_BCB!L$3,ATUAL_LIV_E_DIR!$1:$1,0),0),0)</f>
        <v>0</v>
      </c>
      <c r="M63" s="9">
        <f>IFERROR(VLOOKUP($A63,ATUAL_LIV_E_DIR!$A:$P,MATCH(APENDICE_BCB!M$3,ATUAL_LIV_E_DIR!$1:$1,0),0),0)</f>
        <v>0</v>
      </c>
      <c r="O63" s="11">
        <f t="shared" si="0"/>
        <v>311539.97600000002</v>
      </c>
      <c r="P63" s="11">
        <f t="shared" si="1"/>
        <v>0</v>
      </c>
      <c r="Q63" s="11">
        <f t="shared" si="2"/>
        <v>202331.23300000001</v>
      </c>
      <c r="R63" s="11">
        <f t="shared" si="3"/>
        <v>0</v>
      </c>
      <c r="S63" s="11">
        <f t="shared" si="15"/>
        <v>109207.743</v>
      </c>
      <c r="T63" s="11"/>
      <c r="V63" s="7">
        <f t="shared" si="4"/>
        <v>0.35054166852731605</v>
      </c>
      <c r="W63">
        <f t="shared" si="5"/>
        <v>0</v>
      </c>
      <c r="Y63" s="8">
        <f t="shared" si="7"/>
        <v>2.7012734711648889E-2</v>
      </c>
      <c r="Z63" s="8"/>
      <c r="AB63" s="11">
        <f t="shared" si="8"/>
        <v>356112.02355050674</v>
      </c>
      <c r="AC63" s="1">
        <f t="shared" si="12"/>
        <v>37135</v>
      </c>
      <c r="AD63" s="9">
        <f t="shared" si="9"/>
        <v>124832.1029180335</v>
      </c>
      <c r="AE63" s="1">
        <f t="shared" si="13"/>
        <v>37135</v>
      </c>
      <c r="AF63" s="11">
        <f t="shared" si="14"/>
        <v>124832.1029180335</v>
      </c>
    </row>
    <row r="64" spans="1:32" x14ac:dyDescent="0.25">
      <c r="A64" s="1">
        <v>37165</v>
      </c>
      <c r="B64" s="9">
        <f>IFERROR(VLOOKUP($A64,ANTIGA_LIVRES!$A:$P,MATCH(APENDICE_BCB!B$3,ANTIGA_LIVRES!$1:$1,0),0)/1000,0)</f>
        <v>199900.43400000001</v>
      </c>
      <c r="C64" s="9">
        <f>IFERROR(VLOOKUP($A64,ANTIGA_LIVRES!$A:$P,MATCH(APENDICE_BCB!C$3,ANTIGA_LIVRES!$1:$1,0),0)/1000,0)</f>
        <v>129502.749</v>
      </c>
      <c r="D64" s="9">
        <f>IFERROR(VLOOKUP($A64,ANTIGA_LIVRES!$A:$P,MATCH(APENDICE_BCB!D$3,ANTIGA_LIVRES!$1:$1,0),0)/1000,0)</f>
        <v>70397.684999999998</v>
      </c>
      <c r="E64" s="9">
        <f>IFERROR(VLOOKUP($A64,ANTIGA_DIRECIONADOS!$A:$P,MATCH(APENDICE_BCB!E$3,ANTIGA_DIRECIONADOS!$1:$1,0),0),0)</f>
        <v>114419</v>
      </c>
      <c r="F64" s="9">
        <f>IFERROR(VLOOKUP($A64,ANTIGA_DIRECIONADOS!$A:$P,MATCH(APENDICE_BCB!F$3,ANTIGA_DIRECIONADOS!$1:$1,0),0),0)</f>
        <v>41323</v>
      </c>
      <c r="G64" s="9">
        <f>IFERROR(VLOOKUP($A64,ANTIGA_DIRECIONADOS!$A:$P,MATCH(APENDICE_BCB!G$3,ANTIGA_DIRECIONADOS!$1:$1,0),0),0)</f>
        <v>73096</v>
      </c>
      <c r="H64" s="9">
        <f>IFERROR(VLOOKUP($A64,ATUAL_LIV_E_DIR!$A:$P,MATCH(APENDICE_BCB!H$3,ATUAL_LIV_E_DIR!$1:$1,0),0),0)</f>
        <v>0</v>
      </c>
      <c r="I64" s="9">
        <f>IFERROR(VLOOKUP($A64,ATUAL_LIV_E_DIR!$A:$P,MATCH(APENDICE_BCB!I$3,ATUAL_LIV_E_DIR!$1:$1,0),0),0)</f>
        <v>0</v>
      </c>
      <c r="J64" s="9">
        <f>IFERROR(VLOOKUP($A64,ATUAL_LIV_E_DIR!$A:$P,MATCH(APENDICE_BCB!J$3,ATUAL_LIV_E_DIR!$1:$1,0),0),0)</f>
        <v>0</v>
      </c>
      <c r="K64" s="9">
        <f>IFERROR(VLOOKUP($A64,ATUAL_LIV_E_DIR!$A:$P,MATCH(APENDICE_BCB!K$3,ATUAL_LIV_E_DIR!$1:$1,0),0),0)</f>
        <v>0</v>
      </c>
      <c r="L64" s="9">
        <f>IFERROR(VLOOKUP($A64,ATUAL_LIV_E_DIR!$A:$P,MATCH(APENDICE_BCB!L$3,ATUAL_LIV_E_DIR!$1:$1,0),0),0)</f>
        <v>0</v>
      </c>
      <c r="M64" s="9">
        <f>IFERROR(VLOOKUP($A64,ATUAL_LIV_E_DIR!$A:$P,MATCH(APENDICE_BCB!M$3,ATUAL_LIV_E_DIR!$1:$1,0),0),0)</f>
        <v>0</v>
      </c>
      <c r="O64" s="11">
        <f t="shared" si="0"/>
        <v>314319.43400000001</v>
      </c>
      <c r="P64" s="11">
        <f t="shared" si="1"/>
        <v>0</v>
      </c>
      <c r="Q64" s="11">
        <f t="shared" si="2"/>
        <v>202598.74900000001</v>
      </c>
      <c r="R64" s="11">
        <f t="shared" si="3"/>
        <v>0</v>
      </c>
      <c r="S64" s="11">
        <f t="shared" si="15"/>
        <v>111720.685</v>
      </c>
      <c r="T64" s="11"/>
      <c r="V64" s="7">
        <f t="shared" si="4"/>
        <v>0.3554367720069132</v>
      </c>
      <c r="W64">
        <f t="shared" si="5"/>
        <v>0</v>
      </c>
      <c r="Y64" s="8">
        <f t="shared" si="7"/>
        <v>8.9216736666886121E-3</v>
      </c>
      <c r="Z64" s="8"/>
      <c r="AB64" s="11">
        <f t="shared" si="8"/>
        <v>359289.13881340844</v>
      </c>
      <c r="AC64" s="1">
        <f t="shared" si="12"/>
        <v>37165</v>
      </c>
      <c r="AD64" s="9">
        <f t="shared" si="9"/>
        <v>127704.57171698165</v>
      </c>
      <c r="AE64" s="1">
        <f t="shared" si="13"/>
        <v>37165</v>
      </c>
      <c r="AF64" s="11">
        <f t="shared" si="14"/>
        <v>127704.57171698165</v>
      </c>
    </row>
    <row r="65" spans="1:32" x14ac:dyDescent="0.25">
      <c r="A65" s="1">
        <v>37196</v>
      </c>
      <c r="B65" s="9">
        <f>IFERROR(VLOOKUP($A65,ANTIGA_LIVRES!$A:$P,MATCH(APENDICE_BCB!B$3,ANTIGA_LIVRES!$1:$1,0),0)/1000,0)</f>
        <v>197944.122</v>
      </c>
      <c r="C65" s="9">
        <f>IFERROR(VLOOKUP($A65,ANTIGA_LIVRES!$A:$P,MATCH(APENDICE_BCB!C$3,ANTIGA_LIVRES!$1:$1,0),0)/1000,0)</f>
        <v>127717.038</v>
      </c>
      <c r="D65" s="9">
        <f>IFERROR(VLOOKUP($A65,ANTIGA_LIVRES!$A:$P,MATCH(APENDICE_BCB!D$3,ANTIGA_LIVRES!$1:$1,0),0)/1000,0)</f>
        <v>70227.084000000003</v>
      </c>
      <c r="E65" s="9">
        <f>IFERROR(VLOOKUP($A65,ANTIGA_DIRECIONADOS!$A:$P,MATCH(APENDICE_BCB!E$3,ANTIGA_DIRECIONADOS!$1:$1,0),0),0)</f>
        <v>115610</v>
      </c>
      <c r="F65" s="9">
        <f>IFERROR(VLOOKUP($A65,ANTIGA_DIRECIONADOS!$A:$P,MATCH(APENDICE_BCB!F$3,ANTIGA_DIRECIONADOS!$1:$1,0),0),0)</f>
        <v>42143</v>
      </c>
      <c r="G65" s="9">
        <f>IFERROR(VLOOKUP($A65,ANTIGA_DIRECIONADOS!$A:$P,MATCH(APENDICE_BCB!G$3,ANTIGA_DIRECIONADOS!$1:$1,0),0),0)</f>
        <v>73466</v>
      </c>
      <c r="H65" s="9">
        <f>IFERROR(VLOOKUP($A65,ATUAL_LIV_E_DIR!$A:$P,MATCH(APENDICE_BCB!H$3,ATUAL_LIV_E_DIR!$1:$1,0),0),0)</f>
        <v>0</v>
      </c>
      <c r="I65" s="9">
        <f>IFERROR(VLOOKUP($A65,ATUAL_LIV_E_DIR!$A:$P,MATCH(APENDICE_BCB!I$3,ATUAL_LIV_E_DIR!$1:$1,0),0),0)</f>
        <v>0</v>
      </c>
      <c r="J65" s="9">
        <f>IFERROR(VLOOKUP($A65,ATUAL_LIV_E_DIR!$A:$P,MATCH(APENDICE_BCB!J$3,ATUAL_LIV_E_DIR!$1:$1,0),0),0)</f>
        <v>0</v>
      </c>
      <c r="K65" s="9">
        <f>IFERROR(VLOOKUP($A65,ATUAL_LIV_E_DIR!$A:$P,MATCH(APENDICE_BCB!K$3,ATUAL_LIV_E_DIR!$1:$1,0),0),0)</f>
        <v>0</v>
      </c>
      <c r="L65" s="9">
        <f>IFERROR(VLOOKUP($A65,ATUAL_LIV_E_DIR!$A:$P,MATCH(APENDICE_BCB!L$3,ATUAL_LIV_E_DIR!$1:$1,0),0),0)</f>
        <v>0</v>
      </c>
      <c r="M65" s="9">
        <f>IFERROR(VLOOKUP($A65,ATUAL_LIV_E_DIR!$A:$P,MATCH(APENDICE_BCB!M$3,ATUAL_LIV_E_DIR!$1:$1,0),0),0)</f>
        <v>0</v>
      </c>
      <c r="O65" s="11">
        <f t="shared" si="0"/>
        <v>313554.12199999997</v>
      </c>
      <c r="P65" s="11">
        <f t="shared" si="1"/>
        <v>0</v>
      </c>
      <c r="Q65" s="11">
        <f t="shared" si="2"/>
        <v>201183.038</v>
      </c>
      <c r="R65" s="11">
        <f t="shared" si="3"/>
        <v>0</v>
      </c>
      <c r="S65" s="11">
        <f t="shared" si="15"/>
        <v>112370.084</v>
      </c>
      <c r="T65" s="11"/>
      <c r="V65" s="7">
        <f t="shared" si="4"/>
        <v>0.35837540033997706</v>
      </c>
      <c r="W65">
        <f t="shared" si="5"/>
        <v>0</v>
      </c>
      <c r="Y65" s="8">
        <f t="shared" si="7"/>
        <v>-2.4348224042679556E-3</v>
      </c>
      <c r="Z65" s="8"/>
      <c r="AB65" s="11">
        <f t="shared" si="8"/>
        <v>358414.33356861543</v>
      </c>
      <c r="AC65" s="1">
        <f t="shared" si="12"/>
        <v>37196</v>
      </c>
      <c r="AD65" s="9">
        <f t="shared" si="9"/>
        <v>128446.88028023863</v>
      </c>
      <c r="AE65" s="1">
        <f t="shared" si="13"/>
        <v>37196</v>
      </c>
      <c r="AF65" s="11">
        <f t="shared" si="14"/>
        <v>128446.88028023863</v>
      </c>
    </row>
    <row r="66" spans="1:32" x14ac:dyDescent="0.25">
      <c r="A66" s="1">
        <v>37226</v>
      </c>
      <c r="B66" s="9">
        <f>IFERROR(VLOOKUP($A66,ANTIGA_LIVRES!$A:$P,MATCH(APENDICE_BCB!B$3,ANTIGA_LIVRES!$1:$1,0),0)/1000,0)</f>
        <v>194105.573</v>
      </c>
      <c r="C66" s="9">
        <f>IFERROR(VLOOKUP($A66,ANTIGA_LIVRES!$A:$P,MATCH(APENDICE_BCB!C$3,ANTIGA_LIVRES!$1:$1,0),0)/1000,0)</f>
        <v>124164.622</v>
      </c>
      <c r="D66" s="9">
        <f>IFERROR(VLOOKUP($A66,ANTIGA_LIVRES!$A:$P,MATCH(APENDICE_BCB!D$3,ANTIGA_LIVRES!$1:$1,0),0)/1000,0)</f>
        <v>69940.951000000001</v>
      </c>
      <c r="E66" s="9">
        <f>IFERROR(VLOOKUP($A66,ANTIGA_DIRECIONADOS!$A:$P,MATCH(APENDICE_BCB!E$3,ANTIGA_DIRECIONADOS!$1:$1,0),0),0)</f>
        <v>115490</v>
      </c>
      <c r="F66" s="9">
        <f>IFERROR(VLOOKUP($A66,ANTIGA_DIRECIONADOS!$A:$P,MATCH(APENDICE_BCB!F$3,ANTIGA_DIRECIONADOS!$1:$1,0),0),0)</f>
        <v>41744</v>
      </c>
      <c r="G66" s="9">
        <f>IFERROR(VLOOKUP($A66,ANTIGA_DIRECIONADOS!$A:$P,MATCH(APENDICE_BCB!G$3,ANTIGA_DIRECIONADOS!$1:$1,0),0),0)</f>
        <v>73746</v>
      </c>
      <c r="H66" s="9">
        <f>IFERROR(VLOOKUP($A66,ATUAL_LIV_E_DIR!$A:$P,MATCH(APENDICE_BCB!H$3,ATUAL_LIV_E_DIR!$1:$1,0),0),0)</f>
        <v>0</v>
      </c>
      <c r="I66" s="9">
        <f>IFERROR(VLOOKUP($A66,ATUAL_LIV_E_DIR!$A:$P,MATCH(APENDICE_BCB!I$3,ATUAL_LIV_E_DIR!$1:$1,0),0),0)</f>
        <v>0</v>
      </c>
      <c r="J66" s="9">
        <f>IFERROR(VLOOKUP($A66,ATUAL_LIV_E_DIR!$A:$P,MATCH(APENDICE_BCB!J$3,ATUAL_LIV_E_DIR!$1:$1,0),0),0)</f>
        <v>0</v>
      </c>
      <c r="K66" s="9">
        <f>IFERROR(VLOOKUP($A66,ATUAL_LIV_E_DIR!$A:$P,MATCH(APENDICE_BCB!K$3,ATUAL_LIV_E_DIR!$1:$1,0),0),0)</f>
        <v>0</v>
      </c>
      <c r="L66" s="9">
        <f>IFERROR(VLOOKUP($A66,ATUAL_LIV_E_DIR!$A:$P,MATCH(APENDICE_BCB!L$3,ATUAL_LIV_E_DIR!$1:$1,0),0),0)</f>
        <v>0</v>
      </c>
      <c r="M66" s="9">
        <f>IFERROR(VLOOKUP($A66,ATUAL_LIV_E_DIR!$A:$P,MATCH(APENDICE_BCB!M$3,ATUAL_LIV_E_DIR!$1:$1,0),0),0)</f>
        <v>0</v>
      </c>
      <c r="O66" s="11">
        <f t="shared" si="0"/>
        <v>309595.57299999997</v>
      </c>
      <c r="P66" s="11">
        <f t="shared" si="1"/>
        <v>0</v>
      </c>
      <c r="Q66" s="11">
        <f t="shared" si="2"/>
        <v>197910.622</v>
      </c>
      <c r="R66" s="11">
        <f t="shared" si="3"/>
        <v>0</v>
      </c>
      <c r="S66" s="11">
        <f t="shared" si="15"/>
        <v>111684.951</v>
      </c>
      <c r="T66" s="11"/>
      <c r="V66" s="7">
        <f t="shared" si="4"/>
        <v>0.36074466413639583</v>
      </c>
      <c r="W66">
        <f t="shared" si="5"/>
        <v>0</v>
      </c>
      <c r="Y66" s="8">
        <f t="shared" si="7"/>
        <v>-1.2624771043513783E-2</v>
      </c>
      <c r="Z66" s="8"/>
      <c r="AB66" s="11">
        <f t="shared" si="8"/>
        <v>353889.43466859806</v>
      </c>
      <c r="AC66" s="1">
        <f t="shared" si="12"/>
        <v>37226</v>
      </c>
      <c r="AD66" s="9">
        <f t="shared" si="9"/>
        <v>127663.7252509424</v>
      </c>
      <c r="AE66" s="1">
        <f t="shared" si="13"/>
        <v>37226</v>
      </c>
      <c r="AF66" s="11">
        <f t="shared" si="14"/>
        <v>127663.7252509424</v>
      </c>
    </row>
    <row r="67" spans="1:32" x14ac:dyDescent="0.25">
      <c r="A67" s="1">
        <v>37257</v>
      </c>
      <c r="B67" s="9">
        <f>IFERROR(VLOOKUP($A67,ANTIGA_LIVRES!$A:$P,MATCH(APENDICE_BCB!B$3,ANTIGA_LIVRES!$1:$1,0),0)/1000,0)</f>
        <v>197066.72099999999</v>
      </c>
      <c r="C67" s="9">
        <f>IFERROR(VLOOKUP($A67,ANTIGA_LIVRES!$A:$P,MATCH(APENDICE_BCB!C$3,ANTIGA_LIVRES!$1:$1,0),0)/1000,0)</f>
        <v>124852.527</v>
      </c>
      <c r="D67" s="9">
        <f>IFERROR(VLOOKUP($A67,ANTIGA_LIVRES!$A:$P,MATCH(APENDICE_BCB!D$3,ANTIGA_LIVRES!$1:$1,0),0)/1000,0)</f>
        <v>72214.194000000003</v>
      </c>
      <c r="E67" s="9">
        <f>IFERROR(VLOOKUP($A67,ANTIGA_DIRECIONADOS!$A:$P,MATCH(APENDICE_BCB!E$3,ANTIGA_DIRECIONADOS!$1:$1,0),0),0)</f>
        <v>116356</v>
      </c>
      <c r="F67" s="9">
        <f>IFERROR(VLOOKUP($A67,ANTIGA_DIRECIONADOS!$A:$P,MATCH(APENDICE_BCB!F$3,ANTIGA_DIRECIONADOS!$1:$1,0),0),0)</f>
        <v>41859</v>
      </c>
      <c r="G67" s="9">
        <f>IFERROR(VLOOKUP($A67,ANTIGA_DIRECIONADOS!$A:$P,MATCH(APENDICE_BCB!G$3,ANTIGA_DIRECIONADOS!$1:$1,0),0),0)</f>
        <v>74497</v>
      </c>
      <c r="H67" s="9">
        <f>IFERROR(VLOOKUP($A67,ATUAL_LIV_E_DIR!$A:$P,MATCH(APENDICE_BCB!H$3,ATUAL_LIV_E_DIR!$1:$1,0),0),0)</f>
        <v>0</v>
      </c>
      <c r="I67" s="9">
        <f>IFERROR(VLOOKUP($A67,ATUAL_LIV_E_DIR!$A:$P,MATCH(APENDICE_BCB!I$3,ATUAL_LIV_E_DIR!$1:$1,0),0),0)</f>
        <v>0</v>
      </c>
      <c r="J67" s="9">
        <f>IFERROR(VLOOKUP($A67,ATUAL_LIV_E_DIR!$A:$P,MATCH(APENDICE_BCB!J$3,ATUAL_LIV_E_DIR!$1:$1,0),0),0)</f>
        <v>0</v>
      </c>
      <c r="K67" s="9">
        <f>IFERROR(VLOOKUP($A67,ATUAL_LIV_E_DIR!$A:$P,MATCH(APENDICE_BCB!K$3,ATUAL_LIV_E_DIR!$1:$1,0),0),0)</f>
        <v>0</v>
      </c>
      <c r="L67" s="9">
        <f>IFERROR(VLOOKUP($A67,ATUAL_LIV_E_DIR!$A:$P,MATCH(APENDICE_BCB!L$3,ATUAL_LIV_E_DIR!$1:$1,0),0),0)</f>
        <v>0</v>
      </c>
      <c r="M67" s="9">
        <f>IFERROR(VLOOKUP($A67,ATUAL_LIV_E_DIR!$A:$P,MATCH(APENDICE_BCB!M$3,ATUAL_LIV_E_DIR!$1:$1,0),0),0)</f>
        <v>0</v>
      </c>
      <c r="O67" s="11">
        <f t="shared" si="0"/>
        <v>313422.72100000002</v>
      </c>
      <c r="P67" s="11">
        <f t="shared" si="1"/>
        <v>0</v>
      </c>
      <c r="Q67" s="11">
        <f t="shared" si="2"/>
        <v>199349.527</v>
      </c>
      <c r="R67" s="11">
        <f t="shared" si="3"/>
        <v>0</v>
      </c>
      <c r="S67" s="11">
        <f t="shared" si="15"/>
        <v>114073.194</v>
      </c>
      <c r="T67" s="11"/>
      <c r="V67" s="7">
        <f t="shared" si="4"/>
        <v>0.36395955480202724</v>
      </c>
      <c r="W67">
        <f t="shared" si="5"/>
        <v>0</v>
      </c>
      <c r="Y67" s="8">
        <f t="shared" si="7"/>
        <v>1.2361765909359557E-2</v>
      </c>
      <c r="Z67" s="8"/>
      <c r="AB67" s="11">
        <f t="shared" si="8"/>
        <v>358264.13301776687</v>
      </c>
      <c r="AC67" s="1">
        <f t="shared" si="12"/>
        <v>37257</v>
      </c>
      <c r="AD67" s="9">
        <f t="shared" si="9"/>
        <v>130393.65435468069</v>
      </c>
      <c r="AE67" s="1">
        <f t="shared" si="13"/>
        <v>37257</v>
      </c>
      <c r="AF67" s="11">
        <f t="shared" si="14"/>
        <v>130393.65435468069</v>
      </c>
    </row>
    <row r="68" spans="1:32" x14ac:dyDescent="0.25">
      <c r="A68" s="1">
        <v>37288</v>
      </c>
      <c r="B68" s="9">
        <f>IFERROR(VLOOKUP($A68,ANTIGA_LIVRES!$A:$P,MATCH(APENDICE_BCB!B$3,ANTIGA_LIVRES!$1:$1,0),0)/1000,0)</f>
        <v>197714.533</v>
      </c>
      <c r="C68" s="9">
        <f>IFERROR(VLOOKUP($A68,ANTIGA_LIVRES!$A:$P,MATCH(APENDICE_BCB!C$3,ANTIGA_LIVRES!$1:$1,0),0)/1000,0)</f>
        <v>125083.519</v>
      </c>
      <c r="D68" s="9">
        <f>IFERROR(VLOOKUP($A68,ANTIGA_LIVRES!$A:$P,MATCH(APENDICE_BCB!D$3,ANTIGA_LIVRES!$1:$1,0),0)/1000,0)</f>
        <v>72631.013999999996</v>
      </c>
      <c r="E68" s="9">
        <f>IFERROR(VLOOKUP($A68,ANTIGA_DIRECIONADOS!$A:$P,MATCH(APENDICE_BCB!E$3,ANTIGA_DIRECIONADOS!$1:$1,0),0),0)</f>
        <v>117659</v>
      </c>
      <c r="F68" s="9">
        <f>IFERROR(VLOOKUP($A68,ANTIGA_DIRECIONADOS!$A:$P,MATCH(APENDICE_BCB!F$3,ANTIGA_DIRECIONADOS!$1:$1,0),0),0)</f>
        <v>42533</v>
      </c>
      <c r="G68" s="9">
        <f>IFERROR(VLOOKUP($A68,ANTIGA_DIRECIONADOS!$A:$P,MATCH(APENDICE_BCB!G$3,ANTIGA_DIRECIONADOS!$1:$1,0),0),0)</f>
        <v>75126</v>
      </c>
      <c r="H68" s="9">
        <f>IFERROR(VLOOKUP($A68,ATUAL_LIV_E_DIR!$A:$P,MATCH(APENDICE_BCB!H$3,ATUAL_LIV_E_DIR!$1:$1,0),0),0)</f>
        <v>0</v>
      </c>
      <c r="I68" s="9">
        <f>IFERROR(VLOOKUP($A68,ATUAL_LIV_E_DIR!$A:$P,MATCH(APENDICE_BCB!I$3,ATUAL_LIV_E_DIR!$1:$1,0),0),0)</f>
        <v>0</v>
      </c>
      <c r="J68" s="9">
        <f>IFERROR(VLOOKUP($A68,ATUAL_LIV_E_DIR!$A:$P,MATCH(APENDICE_BCB!J$3,ATUAL_LIV_E_DIR!$1:$1,0),0),0)</f>
        <v>0</v>
      </c>
      <c r="K68" s="9">
        <f>IFERROR(VLOOKUP($A68,ATUAL_LIV_E_DIR!$A:$P,MATCH(APENDICE_BCB!K$3,ATUAL_LIV_E_DIR!$1:$1,0),0),0)</f>
        <v>0</v>
      </c>
      <c r="L68" s="9">
        <f>IFERROR(VLOOKUP($A68,ATUAL_LIV_E_DIR!$A:$P,MATCH(APENDICE_BCB!L$3,ATUAL_LIV_E_DIR!$1:$1,0),0),0)</f>
        <v>0</v>
      </c>
      <c r="M68" s="9">
        <f>IFERROR(VLOOKUP($A68,ATUAL_LIV_E_DIR!$A:$P,MATCH(APENDICE_BCB!M$3,ATUAL_LIV_E_DIR!$1:$1,0),0),0)</f>
        <v>0</v>
      </c>
      <c r="O68" s="11">
        <f t="shared" si="0"/>
        <v>315373.533</v>
      </c>
      <c r="P68" s="11">
        <f t="shared" si="1"/>
        <v>0</v>
      </c>
      <c r="Q68" s="11">
        <f t="shared" si="2"/>
        <v>200209.519</v>
      </c>
      <c r="R68" s="11">
        <f t="shared" si="3"/>
        <v>0</v>
      </c>
      <c r="S68" s="11">
        <f t="shared" si="15"/>
        <v>115164.014</v>
      </c>
      <c r="T68" s="11"/>
      <c r="V68" s="7">
        <f t="shared" si="4"/>
        <v>0.36516702243368027</v>
      </c>
      <c r="W68">
        <f t="shared" si="5"/>
        <v>0</v>
      </c>
      <c r="Y68" s="8">
        <f t="shared" si="7"/>
        <v>6.2242201004947262E-3</v>
      </c>
      <c r="Z68" s="8"/>
      <c r="AB68" s="11">
        <f t="shared" si="8"/>
        <v>360494.0478357824</v>
      </c>
      <c r="AC68" s="1">
        <f t="shared" si="12"/>
        <v>37288</v>
      </c>
      <c r="AD68" s="9">
        <f t="shared" si="9"/>
        <v>131640.53805325736</v>
      </c>
      <c r="AE68" s="1">
        <f t="shared" si="13"/>
        <v>37288</v>
      </c>
      <c r="AF68" s="11">
        <f t="shared" si="14"/>
        <v>131640.53805325736</v>
      </c>
    </row>
    <row r="69" spans="1:32" x14ac:dyDescent="0.25">
      <c r="A69" s="1">
        <v>37316</v>
      </c>
      <c r="B69" s="9">
        <f>IFERROR(VLOOKUP($A69,ANTIGA_LIVRES!$A:$P,MATCH(APENDICE_BCB!B$3,ANTIGA_LIVRES!$1:$1,0),0)/1000,0)</f>
        <v>198915.31200000001</v>
      </c>
      <c r="C69" s="9">
        <f>IFERROR(VLOOKUP($A69,ANTIGA_LIVRES!$A:$P,MATCH(APENDICE_BCB!C$3,ANTIGA_LIVRES!$1:$1,0),0)/1000,0)</f>
        <v>125116.501</v>
      </c>
      <c r="D69" s="9">
        <f>IFERROR(VLOOKUP($A69,ANTIGA_LIVRES!$A:$P,MATCH(APENDICE_BCB!D$3,ANTIGA_LIVRES!$1:$1,0),0)/1000,0)</f>
        <v>73798.811000000002</v>
      </c>
      <c r="E69" s="9">
        <f>IFERROR(VLOOKUP($A69,ANTIGA_DIRECIONADOS!$A:$P,MATCH(APENDICE_BCB!E$3,ANTIGA_DIRECIONADOS!$1:$1,0),0),0)</f>
        <v>117682</v>
      </c>
      <c r="F69" s="9">
        <f>IFERROR(VLOOKUP($A69,ANTIGA_DIRECIONADOS!$A:$P,MATCH(APENDICE_BCB!F$3,ANTIGA_DIRECIONADOS!$1:$1,0),0),0)</f>
        <v>42246</v>
      </c>
      <c r="G69" s="9">
        <f>IFERROR(VLOOKUP($A69,ANTIGA_DIRECIONADOS!$A:$P,MATCH(APENDICE_BCB!G$3,ANTIGA_DIRECIONADOS!$1:$1,0),0),0)</f>
        <v>75436</v>
      </c>
      <c r="H69" s="9">
        <f>IFERROR(VLOOKUP($A69,ATUAL_LIV_E_DIR!$A:$P,MATCH(APENDICE_BCB!H$3,ATUAL_LIV_E_DIR!$1:$1,0),0),0)</f>
        <v>0</v>
      </c>
      <c r="I69" s="9">
        <f>IFERROR(VLOOKUP($A69,ATUAL_LIV_E_DIR!$A:$P,MATCH(APENDICE_BCB!I$3,ATUAL_LIV_E_DIR!$1:$1,0),0),0)</f>
        <v>0</v>
      </c>
      <c r="J69" s="9">
        <f>IFERROR(VLOOKUP($A69,ATUAL_LIV_E_DIR!$A:$P,MATCH(APENDICE_BCB!J$3,ATUAL_LIV_E_DIR!$1:$1,0),0),0)</f>
        <v>0</v>
      </c>
      <c r="K69" s="9">
        <f>IFERROR(VLOOKUP($A69,ATUAL_LIV_E_DIR!$A:$P,MATCH(APENDICE_BCB!K$3,ATUAL_LIV_E_DIR!$1:$1,0),0),0)</f>
        <v>0</v>
      </c>
      <c r="L69" s="9">
        <f>IFERROR(VLOOKUP($A69,ATUAL_LIV_E_DIR!$A:$P,MATCH(APENDICE_BCB!L$3,ATUAL_LIV_E_DIR!$1:$1,0),0),0)</f>
        <v>0</v>
      </c>
      <c r="M69" s="9">
        <f>IFERROR(VLOOKUP($A69,ATUAL_LIV_E_DIR!$A:$P,MATCH(APENDICE_BCB!M$3,ATUAL_LIV_E_DIR!$1:$1,0),0),0)</f>
        <v>0</v>
      </c>
      <c r="O69" s="11">
        <f t="shared" ref="O69:O132" si="16">B69+E69</f>
        <v>316597.31200000003</v>
      </c>
      <c r="P69" s="11">
        <f t="shared" ref="P69:P132" si="17">H69+K69</f>
        <v>0</v>
      </c>
      <c r="Q69" s="11">
        <f t="shared" ref="Q69:Q132" si="18">C69+G69</f>
        <v>200552.50099999999</v>
      </c>
      <c r="R69" s="11">
        <f t="shared" ref="R69:R132" si="19">I69+M69</f>
        <v>0</v>
      </c>
      <c r="S69" s="11">
        <f t="shared" ref="S69:S132" si="20">D69+F69</f>
        <v>116044.811</v>
      </c>
      <c r="T69" s="11"/>
      <c r="V69" s="7">
        <f t="shared" ref="V69:V132" si="21">IFERROR(S69/O69,0)</f>
        <v>0.36653757502527373</v>
      </c>
      <c r="W69">
        <f t="shared" ref="W69:W132" si="22">IFERROR(T69/P69,0)</f>
        <v>0</v>
      </c>
      <c r="Y69" s="8">
        <f t="shared" si="7"/>
        <v>3.8804112328603146E-3</v>
      </c>
      <c r="Z69" s="8"/>
      <c r="AB69" s="11">
        <f t="shared" ref="AB69:AB126" si="23">(O69/O70)*AB70</f>
        <v>361892.91298838361</v>
      </c>
      <c r="AC69" s="1">
        <f t="shared" si="12"/>
        <v>37316</v>
      </c>
      <c r="AD69" s="9">
        <f t="shared" ref="AD69:AD128" si="24">AB69*V69</f>
        <v>132647.35074559451</v>
      </c>
      <c r="AE69" s="1">
        <f t="shared" si="13"/>
        <v>37316</v>
      </c>
      <c r="AF69" s="11">
        <f t="shared" si="14"/>
        <v>132647.35074559451</v>
      </c>
    </row>
    <row r="70" spans="1:32" x14ac:dyDescent="0.25">
      <c r="A70" s="1">
        <v>37347</v>
      </c>
      <c r="B70" s="9">
        <f>IFERROR(VLOOKUP($A70,ANTIGA_LIVRES!$A:$P,MATCH(APENDICE_BCB!B$3,ANTIGA_LIVRES!$1:$1,0),0)/1000,0)</f>
        <v>201545.04</v>
      </c>
      <c r="C70" s="9">
        <f>IFERROR(VLOOKUP($A70,ANTIGA_LIVRES!$A:$P,MATCH(APENDICE_BCB!C$3,ANTIGA_LIVRES!$1:$1,0),0)/1000,0)</f>
        <v>126267.995</v>
      </c>
      <c r="D70" s="9">
        <f>IFERROR(VLOOKUP($A70,ANTIGA_LIVRES!$A:$P,MATCH(APENDICE_BCB!D$3,ANTIGA_LIVRES!$1:$1,0),0)/1000,0)</f>
        <v>75277.044999999998</v>
      </c>
      <c r="E70" s="9">
        <f>IFERROR(VLOOKUP($A70,ANTIGA_DIRECIONADOS!$A:$P,MATCH(APENDICE_BCB!E$3,ANTIGA_DIRECIONADOS!$1:$1,0),0),0)</f>
        <v>118247</v>
      </c>
      <c r="F70" s="9">
        <f>IFERROR(VLOOKUP($A70,ANTIGA_DIRECIONADOS!$A:$P,MATCH(APENDICE_BCB!F$3,ANTIGA_DIRECIONADOS!$1:$1,0),0),0)</f>
        <v>42313</v>
      </c>
      <c r="G70" s="9">
        <f>IFERROR(VLOOKUP($A70,ANTIGA_DIRECIONADOS!$A:$P,MATCH(APENDICE_BCB!G$3,ANTIGA_DIRECIONADOS!$1:$1,0),0),0)</f>
        <v>75935</v>
      </c>
      <c r="H70" s="9">
        <f>IFERROR(VLOOKUP($A70,ATUAL_LIV_E_DIR!$A:$P,MATCH(APENDICE_BCB!H$3,ATUAL_LIV_E_DIR!$1:$1,0),0),0)</f>
        <v>0</v>
      </c>
      <c r="I70" s="9">
        <f>IFERROR(VLOOKUP($A70,ATUAL_LIV_E_DIR!$A:$P,MATCH(APENDICE_BCB!I$3,ATUAL_LIV_E_DIR!$1:$1,0),0),0)</f>
        <v>0</v>
      </c>
      <c r="J70" s="9">
        <f>IFERROR(VLOOKUP($A70,ATUAL_LIV_E_DIR!$A:$P,MATCH(APENDICE_BCB!J$3,ATUAL_LIV_E_DIR!$1:$1,0),0),0)</f>
        <v>0</v>
      </c>
      <c r="K70" s="9">
        <f>IFERROR(VLOOKUP($A70,ATUAL_LIV_E_DIR!$A:$P,MATCH(APENDICE_BCB!K$3,ATUAL_LIV_E_DIR!$1:$1,0),0),0)</f>
        <v>0</v>
      </c>
      <c r="L70" s="9">
        <f>IFERROR(VLOOKUP($A70,ATUAL_LIV_E_DIR!$A:$P,MATCH(APENDICE_BCB!L$3,ATUAL_LIV_E_DIR!$1:$1,0),0),0)</f>
        <v>0</v>
      </c>
      <c r="M70" s="9">
        <f>IFERROR(VLOOKUP($A70,ATUAL_LIV_E_DIR!$A:$P,MATCH(APENDICE_BCB!M$3,ATUAL_LIV_E_DIR!$1:$1,0),0),0)</f>
        <v>0</v>
      </c>
      <c r="O70" s="11">
        <f t="shared" si="16"/>
        <v>319792.04000000004</v>
      </c>
      <c r="P70" s="11">
        <f t="shared" si="17"/>
        <v>0</v>
      </c>
      <c r="Q70" s="11">
        <f t="shared" si="18"/>
        <v>202202.995</v>
      </c>
      <c r="R70" s="11">
        <f t="shared" si="19"/>
        <v>0</v>
      </c>
      <c r="S70" s="11">
        <f t="shared" si="20"/>
        <v>117590.045</v>
      </c>
      <c r="T70" s="11"/>
      <c r="V70" s="7">
        <f t="shared" si="21"/>
        <v>0.3677078547671167</v>
      </c>
      <c r="W70">
        <f t="shared" si="22"/>
        <v>0</v>
      </c>
      <c r="Y70" s="8">
        <f t="shared" ref="Y70:Y133" si="25">IFERROR(O70/O69-1,0)</f>
        <v>1.0090824776175067E-2</v>
      </c>
      <c r="Z70" s="8"/>
      <c r="AB70" s="11">
        <f t="shared" si="23"/>
        <v>365544.71096108895</v>
      </c>
      <c r="AC70" s="1">
        <f t="shared" si="12"/>
        <v>37347</v>
      </c>
      <c r="AD70" s="9">
        <f t="shared" si="24"/>
        <v>134413.66148896774</v>
      </c>
      <c r="AE70" s="1">
        <f t="shared" si="13"/>
        <v>37347</v>
      </c>
      <c r="AF70" s="11">
        <f t="shared" si="14"/>
        <v>134413.66148896774</v>
      </c>
    </row>
    <row r="71" spans="1:32" x14ac:dyDescent="0.25">
      <c r="A71" s="1">
        <v>37377</v>
      </c>
      <c r="B71" s="9">
        <f>IFERROR(VLOOKUP($A71,ANTIGA_LIVRES!$A:$P,MATCH(APENDICE_BCB!B$3,ANTIGA_LIVRES!$1:$1,0),0)/1000,0)</f>
        <v>204186.087</v>
      </c>
      <c r="C71" s="9">
        <f>IFERROR(VLOOKUP($A71,ANTIGA_LIVRES!$A:$P,MATCH(APENDICE_BCB!C$3,ANTIGA_LIVRES!$1:$1,0),0)/1000,0)</f>
        <v>127723.114</v>
      </c>
      <c r="D71" s="9">
        <f>IFERROR(VLOOKUP($A71,ANTIGA_LIVRES!$A:$P,MATCH(APENDICE_BCB!D$3,ANTIGA_LIVRES!$1:$1,0),0)/1000,0)</f>
        <v>76462.972999999998</v>
      </c>
      <c r="E71" s="9">
        <f>IFERROR(VLOOKUP($A71,ANTIGA_DIRECIONADOS!$A:$P,MATCH(APENDICE_BCB!E$3,ANTIGA_DIRECIONADOS!$1:$1,0),0),0)</f>
        <v>120084</v>
      </c>
      <c r="F71" s="9">
        <f>IFERROR(VLOOKUP($A71,ANTIGA_DIRECIONADOS!$A:$P,MATCH(APENDICE_BCB!F$3,ANTIGA_DIRECIONADOS!$1:$1,0),0),0)</f>
        <v>42642</v>
      </c>
      <c r="G71" s="9">
        <f>IFERROR(VLOOKUP($A71,ANTIGA_DIRECIONADOS!$A:$P,MATCH(APENDICE_BCB!G$3,ANTIGA_DIRECIONADOS!$1:$1,0),0),0)</f>
        <v>77441</v>
      </c>
      <c r="H71" s="9">
        <f>IFERROR(VLOOKUP($A71,ATUAL_LIV_E_DIR!$A:$P,MATCH(APENDICE_BCB!H$3,ATUAL_LIV_E_DIR!$1:$1,0),0),0)</f>
        <v>0</v>
      </c>
      <c r="I71" s="9">
        <f>IFERROR(VLOOKUP($A71,ATUAL_LIV_E_DIR!$A:$P,MATCH(APENDICE_BCB!I$3,ATUAL_LIV_E_DIR!$1:$1,0),0),0)</f>
        <v>0</v>
      </c>
      <c r="J71" s="9">
        <f>IFERROR(VLOOKUP($A71,ATUAL_LIV_E_DIR!$A:$P,MATCH(APENDICE_BCB!J$3,ATUAL_LIV_E_DIR!$1:$1,0),0),0)</f>
        <v>0</v>
      </c>
      <c r="K71" s="9">
        <f>IFERROR(VLOOKUP($A71,ATUAL_LIV_E_DIR!$A:$P,MATCH(APENDICE_BCB!K$3,ATUAL_LIV_E_DIR!$1:$1,0),0),0)</f>
        <v>0</v>
      </c>
      <c r="L71" s="9">
        <f>IFERROR(VLOOKUP($A71,ATUAL_LIV_E_DIR!$A:$P,MATCH(APENDICE_BCB!L$3,ATUAL_LIV_E_DIR!$1:$1,0),0),0)</f>
        <v>0</v>
      </c>
      <c r="M71" s="9">
        <f>IFERROR(VLOOKUP($A71,ATUAL_LIV_E_DIR!$A:$P,MATCH(APENDICE_BCB!M$3,ATUAL_LIV_E_DIR!$1:$1,0),0),0)</f>
        <v>0</v>
      </c>
      <c r="O71" s="11">
        <f t="shared" si="16"/>
        <v>324270.087</v>
      </c>
      <c r="P71" s="11">
        <f t="shared" si="17"/>
        <v>0</v>
      </c>
      <c r="Q71" s="11">
        <f t="shared" si="18"/>
        <v>205164.114</v>
      </c>
      <c r="R71" s="11">
        <f t="shared" si="19"/>
        <v>0</v>
      </c>
      <c r="S71" s="11">
        <f t="shared" si="20"/>
        <v>119104.973</v>
      </c>
      <c r="T71" s="11"/>
      <c r="V71" s="7">
        <f t="shared" si="21"/>
        <v>0.36730175793242376</v>
      </c>
      <c r="W71">
        <f t="shared" si="22"/>
        <v>0</v>
      </c>
      <c r="Y71" s="8">
        <f t="shared" si="25"/>
        <v>1.4002997072722456E-2</v>
      </c>
      <c r="Z71" s="8"/>
      <c r="AB71" s="11">
        <f t="shared" si="23"/>
        <v>370663.43247862626</v>
      </c>
      <c r="AC71" s="1">
        <f t="shared" si="12"/>
        <v>37377</v>
      </c>
      <c r="AD71" s="9">
        <f t="shared" si="24"/>
        <v>136145.33035066567</v>
      </c>
      <c r="AE71" s="1">
        <f t="shared" si="13"/>
        <v>37377</v>
      </c>
      <c r="AF71" s="11">
        <f t="shared" si="14"/>
        <v>136145.33035066567</v>
      </c>
    </row>
    <row r="72" spans="1:32" x14ac:dyDescent="0.25">
      <c r="A72" s="1">
        <v>37408</v>
      </c>
      <c r="B72" s="9">
        <f>IFERROR(VLOOKUP($A72,ANTIGA_LIVRES!$A:$P,MATCH(APENDICE_BCB!B$3,ANTIGA_LIVRES!$1:$1,0),0)/1000,0)</f>
        <v>209505.77</v>
      </c>
      <c r="C72" s="9">
        <f>IFERROR(VLOOKUP($A72,ANTIGA_LIVRES!$A:$P,MATCH(APENDICE_BCB!C$3,ANTIGA_LIVRES!$1:$1,0),0)/1000,0)</f>
        <v>132986.79999999999</v>
      </c>
      <c r="D72" s="9">
        <f>IFERROR(VLOOKUP($A72,ANTIGA_LIVRES!$A:$P,MATCH(APENDICE_BCB!D$3,ANTIGA_LIVRES!$1:$1,0),0)/1000,0)</f>
        <v>76518.97</v>
      </c>
      <c r="E72" s="9">
        <f>IFERROR(VLOOKUP($A72,ANTIGA_DIRECIONADOS!$A:$P,MATCH(APENDICE_BCB!E$3,ANTIGA_DIRECIONADOS!$1:$1,0),0),0)</f>
        <v>121182</v>
      </c>
      <c r="F72" s="9">
        <f>IFERROR(VLOOKUP($A72,ANTIGA_DIRECIONADOS!$A:$P,MATCH(APENDICE_BCB!F$3,ANTIGA_DIRECIONADOS!$1:$1,0),0),0)</f>
        <v>42698</v>
      </c>
      <c r="G72" s="9">
        <f>IFERROR(VLOOKUP($A72,ANTIGA_DIRECIONADOS!$A:$P,MATCH(APENDICE_BCB!G$3,ANTIGA_DIRECIONADOS!$1:$1,0),0),0)</f>
        <v>78484</v>
      </c>
      <c r="H72" s="9">
        <f>IFERROR(VLOOKUP($A72,ATUAL_LIV_E_DIR!$A:$P,MATCH(APENDICE_BCB!H$3,ATUAL_LIV_E_DIR!$1:$1,0),0),0)</f>
        <v>0</v>
      </c>
      <c r="I72" s="9">
        <f>IFERROR(VLOOKUP($A72,ATUAL_LIV_E_DIR!$A:$P,MATCH(APENDICE_BCB!I$3,ATUAL_LIV_E_DIR!$1:$1,0),0),0)</f>
        <v>0</v>
      </c>
      <c r="J72" s="9">
        <f>IFERROR(VLOOKUP($A72,ATUAL_LIV_E_DIR!$A:$P,MATCH(APENDICE_BCB!J$3,ATUAL_LIV_E_DIR!$1:$1,0),0),0)</f>
        <v>0</v>
      </c>
      <c r="K72" s="9">
        <f>IFERROR(VLOOKUP($A72,ATUAL_LIV_E_DIR!$A:$P,MATCH(APENDICE_BCB!K$3,ATUAL_LIV_E_DIR!$1:$1,0),0),0)</f>
        <v>0</v>
      </c>
      <c r="L72" s="9">
        <f>IFERROR(VLOOKUP($A72,ATUAL_LIV_E_DIR!$A:$P,MATCH(APENDICE_BCB!L$3,ATUAL_LIV_E_DIR!$1:$1,0),0),0)</f>
        <v>0</v>
      </c>
      <c r="M72" s="9">
        <f>IFERROR(VLOOKUP($A72,ATUAL_LIV_E_DIR!$A:$P,MATCH(APENDICE_BCB!M$3,ATUAL_LIV_E_DIR!$1:$1,0),0),0)</f>
        <v>0</v>
      </c>
      <c r="O72" s="11">
        <f t="shared" si="16"/>
        <v>330687.77</v>
      </c>
      <c r="P72" s="11">
        <f t="shared" si="17"/>
        <v>0</v>
      </c>
      <c r="Q72" s="11">
        <f t="shared" si="18"/>
        <v>211470.8</v>
      </c>
      <c r="R72" s="11">
        <f t="shared" si="19"/>
        <v>0</v>
      </c>
      <c r="S72" s="11">
        <f t="shared" si="20"/>
        <v>119216.97</v>
      </c>
      <c r="T72" s="11"/>
      <c r="V72" s="7">
        <f t="shared" si="21"/>
        <v>0.3605121834411959</v>
      </c>
      <c r="W72">
        <f t="shared" si="22"/>
        <v>0</v>
      </c>
      <c r="Y72" s="8">
        <f t="shared" si="25"/>
        <v>1.9791165627929264E-2</v>
      </c>
      <c r="Z72" s="8"/>
      <c r="AB72" s="11">
        <f t="shared" si="23"/>
        <v>377999.29386302747</v>
      </c>
      <c r="AC72" s="1">
        <f t="shared" si="12"/>
        <v>37408</v>
      </c>
      <c r="AD72" s="9">
        <f t="shared" si="24"/>
        <v>136273.35076979027</v>
      </c>
      <c r="AE72" s="1">
        <f t="shared" si="13"/>
        <v>37408</v>
      </c>
      <c r="AF72" s="11">
        <f t="shared" si="14"/>
        <v>136273.35076979027</v>
      </c>
    </row>
    <row r="73" spans="1:32" x14ac:dyDescent="0.25">
      <c r="A73" s="1">
        <v>37438</v>
      </c>
      <c r="B73" s="9">
        <f>IFERROR(VLOOKUP($A73,ANTIGA_LIVRES!$A:$P,MATCH(APENDICE_BCB!B$3,ANTIGA_LIVRES!$1:$1,0),0)/1000,0)</f>
        <v>213137.6</v>
      </c>
      <c r="C73" s="9">
        <f>IFERROR(VLOOKUP($A73,ANTIGA_LIVRES!$A:$P,MATCH(APENDICE_BCB!C$3,ANTIGA_LIVRES!$1:$1,0),0)/1000,0)</f>
        <v>137262.761</v>
      </c>
      <c r="D73" s="9">
        <f>IFERROR(VLOOKUP($A73,ANTIGA_LIVRES!$A:$P,MATCH(APENDICE_BCB!D$3,ANTIGA_LIVRES!$1:$1,0),0)/1000,0)</f>
        <v>75874.839000000007</v>
      </c>
      <c r="E73" s="9">
        <f>IFERROR(VLOOKUP($A73,ANTIGA_DIRECIONADOS!$A:$P,MATCH(APENDICE_BCB!E$3,ANTIGA_DIRECIONADOS!$1:$1,0),0),0)</f>
        <v>124436</v>
      </c>
      <c r="F73" s="9">
        <f>IFERROR(VLOOKUP($A73,ANTIGA_DIRECIONADOS!$A:$P,MATCH(APENDICE_BCB!F$3,ANTIGA_DIRECIONADOS!$1:$1,0),0),0)</f>
        <v>42107</v>
      </c>
      <c r="G73" s="9">
        <f>IFERROR(VLOOKUP($A73,ANTIGA_DIRECIONADOS!$A:$P,MATCH(APENDICE_BCB!G$3,ANTIGA_DIRECIONADOS!$1:$1,0),0),0)</f>
        <v>82329</v>
      </c>
      <c r="H73" s="9">
        <f>IFERROR(VLOOKUP($A73,ATUAL_LIV_E_DIR!$A:$P,MATCH(APENDICE_BCB!H$3,ATUAL_LIV_E_DIR!$1:$1,0),0),0)</f>
        <v>0</v>
      </c>
      <c r="I73" s="9">
        <f>IFERROR(VLOOKUP($A73,ATUAL_LIV_E_DIR!$A:$P,MATCH(APENDICE_BCB!I$3,ATUAL_LIV_E_DIR!$1:$1,0),0),0)</f>
        <v>0</v>
      </c>
      <c r="J73" s="9">
        <f>IFERROR(VLOOKUP($A73,ATUAL_LIV_E_DIR!$A:$P,MATCH(APENDICE_BCB!J$3,ATUAL_LIV_E_DIR!$1:$1,0),0),0)</f>
        <v>0</v>
      </c>
      <c r="K73" s="9">
        <f>IFERROR(VLOOKUP($A73,ATUAL_LIV_E_DIR!$A:$P,MATCH(APENDICE_BCB!K$3,ATUAL_LIV_E_DIR!$1:$1,0),0),0)</f>
        <v>0</v>
      </c>
      <c r="L73" s="9">
        <f>IFERROR(VLOOKUP($A73,ATUAL_LIV_E_DIR!$A:$P,MATCH(APENDICE_BCB!L$3,ATUAL_LIV_E_DIR!$1:$1,0),0),0)</f>
        <v>0</v>
      </c>
      <c r="M73" s="9">
        <f>IFERROR(VLOOKUP($A73,ATUAL_LIV_E_DIR!$A:$P,MATCH(APENDICE_BCB!M$3,ATUAL_LIV_E_DIR!$1:$1,0),0),0)</f>
        <v>0</v>
      </c>
      <c r="O73" s="11">
        <f t="shared" si="16"/>
        <v>337573.6</v>
      </c>
      <c r="P73" s="11">
        <f t="shared" si="17"/>
        <v>0</v>
      </c>
      <c r="Q73" s="11">
        <f t="shared" si="18"/>
        <v>219591.761</v>
      </c>
      <c r="R73" s="11">
        <f t="shared" si="19"/>
        <v>0</v>
      </c>
      <c r="S73" s="11">
        <f t="shared" si="20"/>
        <v>117981.83900000001</v>
      </c>
      <c r="T73" s="11"/>
      <c r="V73" s="7">
        <f t="shared" si="21"/>
        <v>0.34949960245706424</v>
      </c>
      <c r="W73">
        <f t="shared" si="22"/>
        <v>0</v>
      </c>
      <c r="Y73" s="8">
        <f t="shared" si="25"/>
        <v>2.0822753741391642E-2</v>
      </c>
      <c r="Z73" s="8"/>
      <c r="AB73" s="11">
        <f t="shared" si="23"/>
        <v>385870.28007355722</v>
      </c>
      <c r="AC73" s="1">
        <f t="shared" si="12"/>
        <v>37438</v>
      </c>
      <c r="AD73" s="9">
        <f t="shared" si="24"/>
        <v>134861.5094857043</v>
      </c>
      <c r="AE73" s="1">
        <f t="shared" si="13"/>
        <v>37438</v>
      </c>
      <c r="AF73" s="11">
        <f t="shared" si="14"/>
        <v>134861.5094857043</v>
      </c>
    </row>
    <row r="74" spans="1:32" x14ac:dyDescent="0.25">
      <c r="A74" s="1">
        <v>37469</v>
      </c>
      <c r="B74" s="9">
        <f>IFERROR(VLOOKUP($A74,ANTIGA_LIVRES!$A:$P,MATCH(APENDICE_BCB!B$3,ANTIGA_LIVRES!$1:$1,0),0)/1000,0)</f>
        <v>208237.78899999999</v>
      </c>
      <c r="C74" s="9">
        <f>IFERROR(VLOOKUP($A74,ANTIGA_LIVRES!$A:$P,MATCH(APENDICE_BCB!C$3,ANTIGA_LIVRES!$1:$1,0),0)/1000,0)</f>
        <v>132022.35200000001</v>
      </c>
      <c r="D74" s="9">
        <f>IFERROR(VLOOKUP($A74,ANTIGA_LIVRES!$A:$P,MATCH(APENDICE_BCB!D$3,ANTIGA_LIVRES!$1:$1,0),0)/1000,0)</f>
        <v>76215.437000000005</v>
      </c>
      <c r="E74" s="9">
        <f>IFERROR(VLOOKUP($A74,ANTIGA_DIRECIONADOS!$A:$P,MATCH(APENDICE_BCB!E$3,ANTIGA_DIRECIONADOS!$1:$1,0),0),0)</f>
        <v>125373</v>
      </c>
      <c r="F74" s="9">
        <f>IFERROR(VLOOKUP($A74,ANTIGA_DIRECIONADOS!$A:$P,MATCH(APENDICE_BCB!F$3,ANTIGA_DIRECIONADOS!$1:$1,0),0),0)</f>
        <v>42248</v>
      </c>
      <c r="G74" s="9">
        <f>IFERROR(VLOOKUP($A74,ANTIGA_DIRECIONADOS!$A:$P,MATCH(APENDICE_BCB!G$3,ANTIGA_DIRECIONADOS!$1:$1,0),0),0)</f>
        <v>83125</v>
      </c>
      <c r="H74" s="9">
        <f>IFERROR(VLOOKUP($A74,ATUAL_LIV_E_DIR!$A:$P,MATCH(APENDICE_BCB!H$3,ATUAL_LIV_E_DIR!$1:$1,0),0),0)</f>
        <v>0</v>
      </c>
      <c r="I74" s="9">
        <f>IFERROR(VLOOKUP($A74,ATUAL_LIV_E_DIR!$A:$P,MATCH(APENDICE_BCB!I$3,ATUAL_LIV_E_DIR!$1:$1,0),0),0)</f>
        <v>0</v>
      </c>
      <c r="J74" s="9">
        <f>IFERROR(VLOOKUP($A74,ATUAL_LIV_E_DIR!$A:$P,MATCH(APENDICE_BCB!J$3,ATUAL_LIV_E_DIR!$1:$1,0),0),0)</f>
        <v>0</v>
      </c>
      <c r="K74" s="9">
        <f>IFERROR(VLOOKUP($A74,ATUAL_LIV_E_DIR!$A:$P,MATCH(APENDICE_BCB!K$3,ATUAL_LIV_E_DIR!$1:$1,0),0),0)</f>
        <v>0</v>
      </c>
      <c r="L74" s="9">
        <f>IFERROR(VLOOKUP($A74,ATUAL_LIV_E_DIR!$A:$P,MATCH(APENDICE_BCB!L$3,ATUAL_LIV_E_DIR!$1:$1,0),0),0)</f>
        <v>0</v>
      </c>
      <c r="M74" s="9">
        <f>IFERROR(VLOOKUP($A74,ATUAL_LIV_E_DIR!$A:$P,MATCH(APENDICE_BCB!M$3,ATUAL_LIV_E_DIR!$1:$1,0),0),0)</f>
        <v>0</v>
      </c>
      <c r="O74" s="11">
        <f t="shared" si="16"/>
        <v>333610.78899999999</v>
      </c>
      <c r="P74" s="11">
        <f t="shared" si="17"/>
        <v>0</v>
      </c>
      <c r="Q74" s="11">
        <f t="shared" si="18"/>
        <v>215147.35200000001</v>
      </c>
      <c r="R74" s="11">
        <f t="shared" si="19"/>
        <v>0</v>
      </c>
      <c r="S74" s="11">
        <f t="shared" si="20"/>
        <v>118463.43700000001</v>
      </c>
      <c r="T74" s="11"/>
      <c r="V74" s="7">
        <f t="shared" si="21"/>
        <v>0.35509474185500639</v>
      </c>
      <c r="W74">
        <f t="shared" si="22"/>
        <v>0</v>
      </c>
      <c r="Y74" s="8">
        <f t="shared" si="25"/>
        <v>-1.1739102228373266E-2</v>
      </c>
      <c r="Z74" s="8"/>
      <c r="AB74" s="11">
        <f t="shared" si="23"/>
        <v>381340.5094088827</v>
      </c>
      <c r="AC74" s="1">
        <f t="shared" si="12"/>
        <v>37469</v>
      </c>
      <c r="AD74" s="9">
        <f t="shared" si="24"/>
        <v>135412.00974740385</v>
      </c>
      <c r="AE74" s="1">
        <f t="shared" si="13"/>
        <v>37469</v>
      </c>
      <c r="AF74" s="11">
        <f t="shared" si="14"/>
        <v>135412.00974740385</v>
      </c>
    </row>
    <row r="75" spans="1:32" x14ac:dyDescent="0.25">
      <c r="A75" s="1">
        <v>37500</v>
      </c>
      <c r="B75" s="9">
        <f>IFERROR(VLOOKUP($A75,ANTIGA_LIVRES!$A:$P,MATCH(APENDICE_BCB!B$3,ANTIGA_LIVRES!$1:$1,0),0)/1000,0)</f>
        <v>218767.64499999999</v>
      </c>
      <c r="C75" s="9">
        <f>IFERROR(VLOOKUP($A75,ANTIGA_LIVRES!$A:$P,MATCH(APENDICE_BCB!C$3,ANTIGA_LIVRES!$1:$1,0),0)/1000,0)</f>
        <v>142012.837</v>
      </c>
      <c r="D75" s="9">
        <f>IFERROR(VLOOKUP($A75,ANTIGA_LIVRES!$A:$P,MATCH(APENDICE_BCB!D$3,ANTIGA_LIVRES!$1:$1,0),0)/1000,0)</f>
        <v>76754.808000000005</v>
      </c>
      <c r="E75" s="9">
        <f>IFERROR(VLOOKUP($A75,ANTIGA_DIRECIONADOS!$A:$P,MATCH(APENDICE_BCB!E$3,ANTIGA_DIRECIONADOS!$1:$1,0),0),0)</f>
        <v>136352</v>
      </c>
      <c r="F75" s="9">
        <f>IFERROR(VLOOKUP($A75,ANTIGA_DIRECIONADOS!$A:$P,MATCH(APENDICE_BCB!F$3,ANTIGA_DIRECIONADOS!$1:$1,0),0),0)</f>
        <v>43921</v>
      </c>
      <c r="G75" s="9">
        <f>IFERROR(VLOOKUP($A75,ANTIGA_DIRECIONADOS!$A:$P,MATCH(APENDICE_BCB!G$3,ANTIGA_DIRECIONADOS!$1:$1,0),0),0)</f>
        <v>92430</v>
      </c>
      <c r="H75" s="9">
        <f>IFERROR(VLOOKUP($A75,ATUAL_LIV_E_DIR!$A:$P,MATCH(APENDICE_BCB!H$3,ATUAL_LIV_E_DIR!$1:$1,0),0),0)</f>
        <v>0</v>
      </c>
      <c r="I75" s="9">
        <f>IFERROR(VLOOKUP($A75,ATUAL_LIV_E_DIR!$A:$P,MATCH(APENDICE_BCB!I$3,ATUAL_LIV_E_DIR!$1:$1,0),0),0)</f>
        <v>0</v>
      </c>
      <c r="J75" s="9">
        <f>IFERROR(VLOOKUP($A75,ATUAL_LIV_E_DIR!$A:$P,MATCH(APENDICE_BCB!J$3,ATUAL_LIV_E_DIR!$1:$1,0),0),0)</f>
        <v>0</v>
      </c>
      <c r="K75" s="9">
        <f>IFERROR(VLOOKUP($A75,ATUAL_LIV_E_DIR!$A:$P,MATCH(APENDICE_BCB!K$3,ATUAL_LIV_E_DIR!$1:$1,0),0),0)</f>
        <v>0</v>
      </c>
      <c r="L75" s="9">
        <f>IFERROR(VLOOKUP($A75,ATUAL_LIV_E_DIR!$A:$P,MATCH(APENDICE_BCB!L$3,ATUAL_LIV_E_DIR!$1:$1,0),0),0)</f>
        <v>0</v>
      </c>
      <c r="M75" s="9">
        <f>IFERROR(VLOOKUP($A75,ATUAL_LIV_E_DIR!$A:$P,MATCH(APENDICE_BCB!M$3,ATUAL_LIV_E_DIR!$1:$1,0),0),0)</f>
        <v>0</v>
      </c>
      <c r="O75" s="11">
        <f t="shared" si="16"/>
        <v>355119.64500000002</v>
      </c>
      <c r="P75" s="11">
        <f t="shared" si="17"/>
        <v>0</v>
      </c>
      <c r="Q75" s="11">
        <f t="shared" si="18"/>
        <v>234442.837</v>
      </c>
      <c r="R75" s="11">
        <f t="shared" si="19"/>
        <v>0</v>
      </c>
      <c r="S75" s="11">
        <f t="shared" si="20"/>
        <v>120675.808</v>
      </c>
      <c r="T75" s="11"/>
      <c r="V75" s="7">
        <f t="shared" si="21"/>
        <v>0.33981732551011085</v>
      </c>
      <c r="W75">
        <f t="shared" si="22"/>
        <v>0</v>
      </c>
      <c r="Y75" s="8">
        <f t="shared" si="25"/>
        <v>6.4472902883245808E-2</v>
      </c>
      <c r="Z75" s="8"/>
      <c r="AB75" s="11">
        <f t="shared" si="23"/>
        <v>405926.63903744915</v>
      </c>
      <c r="AC75" s="1">
        <f t="shared" si="12"/>
        <v>37500</v>
      </c>
      <c r="AD75" s="9">
        <f t="shared" si="24"/>
        <v>137940.90483101414</v>
      </c>
      <c r="AE75" s="1">
        <f t="shared" si="13"/>
        <v>37500</v>
      </c>
      <c r="AF75" s="11">
        <f t="shared" si="14"/>
        <v>137940.90483101414</v>
      </c>
    </row>
    <row r="76" spans="1:32" x14ac:dyDescent="0.25">
      <c r="A76" s="1">
        <v>37530</v>
      </c>
      <c r="B76" s="9">
        <f>IFERROR(VLOOKUP($A76,ANTIGA_LIVRES!$A:$P,MATCH(APENDICE_BCB!B$3,ANTIGA_LIVRES!$1:$1,0),0)/1000,0)</f>
        <v>214086.56099999999</v>
      </c>
      <c r="C76" s="9">
        <f>IFERROR(VLOOKUP($A76,ANTIGA_LIVRES!$A:$P,MATCH(APENDICE_BCB!C$3,ANTIGA_LIVRES!$1:$1,0),0)/1000,0)</f>
        <v>137084.46599999999</v>
      </c>
      <c r="D76" s="9">
        <f>IFERROR(VLOOKUP($A76,ANTIGA_LIVRES!$A:$P,MATCH(APENDICE_BCB!D$3,ANTIGA_LIVRES!$1:$1,0),0)/1000,0)</f>
        <v>77002.095000000001</v>
      </c>
      <c r="E76" s="9">
        <f>IFERROR(VLOOKUP($A76,ANTIGA_DIRECIONADOS!$A:$P,MATCH(APENDICE_BCB!E$3,ANTIGA_DIRECIONADOS!$1:$1,0),0),0)</f>
        <v>138147</v>
      </c>
      <c r="F76" s="9">
        <f>IFERROR(VLOOKUP($A76,ANTIGA_DIRECIONADOS!$A:$P,MATCH(APENDICE_BCB!F$3,ANTIGA_DIRECIONADOS!$1:$1,0),0),0)</f>
        <v>45086</v>
      </c>
      <c r="G76" s="9">
        <f>IFERROR(VLOOKUP($A76,ANTIGA_DIRECIONADOS!$A:$P,MATCH(APENDICE_BCB!G$3,ANTIGA_DIRECIONADOS!$1:$1,0),0),0)</f>
        <v>93061</v>
      </c>
      <c r="H76" s="9">
        <f>IFERROR(VLOOKUP($A76,ATUAL_LIV_E_DIR!$A:$P,MATCH(APENDICE_BCB!H$3,ATUAL_LIV_E_DIR!$1:$1,0),0),0)</f>
        <v>0</v>
      </c>
      <c r="I76" s="9">
        <f>IFERROR(VLOOKUP($A76,ATUAL_LIV_E_DIR!$A:$P,MATCH(APENDICE_BCB!I$3,ATUAL_LIV_E_DIR!$1:$1,0),0),0)</f>
        <v>0</v>
      </c>
      <c r="J76" s="9">
        <f>IFERROR(VLOOKUP($A76,ATUAL_LIV_E_DIR!$A:$P,MATCH(APENDICE_BCB!J$3,ATUAL_LIV_E_DIR!$1:$1,0),0),0)</f>
        <v>0</v>
      </c>
      <c r="K76" s="9">
        <f>IFERROR(VLOOKUP($A76,ATUAL_LIV_E_DIR!$A:$P,MATCH(APENDICE_BCB!K$3,ATUAL_LIV_E_DIR!$1:$1,0),0),0)</f>
        <v>0</v>
      </c>
      <c r="L76" s="9">
        <f>IFERROR(VLOOKUP($A76,ATUAL_LIV_E_DIR!$A:$P,MATCH(APENDICE_BCB!L$3,ATUAL_LIV_E_DIR!$1:$1,0),0),0)</f>
        <v>0</v>
      </c>
      <c r="M76" s="9">
        <f>IFERROR(VLOOKUP($A76,ATUAL_LIV_E_DIR!$A:$P,MATCH(APENDICE_BCB!M$3,ATUAL_LIV_E_DIR!$1:$1,0),0),0)</f>
        <v>0</v>
      </c>
      <c r="O76" s="11">
        <f t="shared" si="16"/>
        <v>352233.56099999999</v>
      </c>
      <c r="P76" s="11">
        <f t="shared" si="17"/>
        <v>0</v>
      </c>
      <c r="Q76" s="11">
        <f t="shared" si="18"/>
        <v>230145.46599999999</v>
      </c>
      <c r="R76" s="11">
        <f t="shared" si="19"/>
        <v>0</v>
      </c>
      <c r="S76" s="11">
        <f t="shared" si="20"/>
        <v>122088.095</v>
      </c>
      <c r="T76" s="11"/>
      <c r="V76" s="7">
        <f t="shared" si="21"/>
        <v>0.34661119358810899</v>
      </c>
      <c r="W76">
        <f t="shared" si="22"/>
        <v>0</v>
      </c>
      <c r="Y76" s="8">
        <f t="shared" si="25"/>
        <v>-8.1270750312898432E-3</v>
      </c>
      <c r="Z76" s="8"/>
      <c r="AB76" s="11">
        <f t="shared" si="23"/>
        <v>402627.64278479241</v>
      </c>
      <c r="AC76" s="1">
        <f t="shared" si="12"/>
        <v>37530</v>
      </c>
      <c r="AD76" s="9">
        <f t="shared" si="24"/>
        <v>139555.24783720367</v>
      </c>
      <c r="AE76" s="1">
        <f t="shared" si="13"/>
        <v>37530</v>
      </c>
      <c r="AF76" s="11">
        <f t="shared" si="14"/>
        <v>139555.24783720367</v>
      </c>
    </row>
    <row r="77" spans="1:32" x14ac:dyDescent="0.25">
      <c r="A77" s="1">
        <v>37561</v>
      </c>
      <c r="B77" s="9">
        <f>IFERROR(VLOOKUP($A77,ANTIGA_LIVRES!$A:$P,MATCH(APENDICE_BCB!B$3,ANTIGA_LIVRES!$1:$1,0),0)/1000,0)</f>
        <v>213910.08300000001</v>
      </c>
      <c r="C77" s="9">
        <f>IFERROR(VLOOKUP($A77,ANTIGA_LIVRES!$A:$P,MATCH(APENDICE_BCB!C$3,ANTIGA_LIVRES!$1:$1,0),0)/1000,0)</f>
        <v>136749.04999999999</v>
      </c>
      <c r="D77" s="9">
        <f>IFERROR(VLOOKUP($A77,ANTIGA_LIVRES!$A:$P,MATCH(APENDICE_BCB!D$3,ANTIGA_LIVRES!$1:$1,0),0)/1000,0)</f>
        <v>77161.032999999996</v>
      </c>
      <c r="E77" s="9">
        <f>IFERROR(VLOOKUP($A77,ANTIGA_DIRECIONADOS!$A:$P,MATCH(APENDICE_BCB!E$3,ANTIGA_DIRECIONADOS!$1:$1,0),0),0)</f>
        <v>140234</v>
      </c>
      <c r="F77" s="9">
        <f>IFERROR(VLOOKUP($A77,ANTIGA_DIRECIONADOS!$A:$P,MATCH(APENDICE_BCB!F$3,ANTIGA_DIRECIONADOS!$1:$1,0),0),0)</f>
        <v>46040</v>
      </c>
      <c r="G77" s="9">
        <f>IFERROR(VLOOKUP($A77,ANTIGA_DIRECIONADOS!$A:$P,MATCH(APENDICE_BCB!G$3,ANTIGA_DIRECIONADOS!$1:$1,0),0),0)</f>
        <v>94194</v>
      </c>
      <c r="H77" s="9">
        <f>IFERROR(VLOOKUP($A77,ATUAL_LIV_E_DIR!$A:$P,MATCH(APENDICE_BCB!H$3,ATUAL_LIV_E_DIR!$1:$1,0),0),0)</f>
        <v>0</v>
      </c>
      <c r="I77" s="9">
        <f>IFERROR(VLOOKUP($A77,ATUAL_LIV_E_DIR!$A:$P,MATCH(APENDICE_BCB!I$3,ATUAL_LIV_E_DIR!$1:$1,0),0),0)</f>
        <v>0</v>
      </c>
      <c r="J77" s="9">
        <f>IFERROR(VLOOKUP($A77,ATUAL_LIV_E_DIR!$A:$P,MATCH(APENDICE_BCB!J$3,ATUAL_LIV_E_DIR!$1:$1,0),0),0)</f>
        <v>0</v>
      </c>
      <c r="K77" s="9">
        <f>IFERROR(VLOOKUP($A77,ATUAL_LIV_E_DIR!$A:$P,MATCH(APENDICE_BCB!K$3,ATUAL_LIV_E_DIR!$1:$1,0),0),0)</f>
        <v>0</v>
      </c>
      <c r="L77" s="9">
        <f>IFERROR(VLOOKUP($A77,ATUAL_LIV_E_DIR!$A:$P,MATCH(APENDICE_BCB!L$3,ATUAL_LIV_E_DIR!$1:$1,0),0),0)</f>
        <v>0</v>
      </c>
      <c r="M77" s="9">
        <f>IFERROR(VLOOKUP($A77,ATUAL_LIV_E_DIR!$A:$P,MATCH(APENDICE_BCB!M$3,ATUAL_LIV_E_DIR!$1:$1,0),0),0)</f>
        <v>0</v>
      </c>
      <c r="O77" s="11">
        <f t="shared" si="16"/>
        <v>354144.08299999998</v>
      </c>
      <c r="P77" s="11">
        <f t="shared" si="17"/>
        <v>0</v>
      </c>
      <c r="Q77" s="11">
        <f t="shared" si="18"/>
        <v>230943.05</v>
      </c>
      <c r="R77" s="11">
        <f t="shared" si="19"/>
        <v>0</v>
      </c>
      <c r="S77" s="11">
        <f t="shared" si="20"/>
        <v>123201.033</v>
      </c>
      <c r="T77" s="11"/>
      <c r="V77" s="7">
        <f t="shared" si="21"/>
        <v>0.34788392327876333</v>
      </c>
      <c r="W77">
        <f t="shared" si="22"/>
        <v>0</v>
      </c>
      <c r="Y77" s="8">
        <f t="shared" si="25"/>
        <v>5.4240203420026223E-3</v>
      </c>
      <c r="Z77" s="8"/>
      <c r="AB77" s="11">
        <f t="shared" si="23"/>
        <v>404811.50330950966</v>
      </c>
      <c r="AC77" s="1">
        <f t="shared" si="12"/>
        <v>37561</v>
      </c>
      <c r="AD77" s="9">
        <f t="shared" si="24"/>
        <v>140827.4139596863</v>
      </c>
      <c r="AE77" s="1">
        <f t="shared" si="13"/>
        <v>37561</v>
      </c>
      <c r="AF77" s="11">
        <f t="shared" si="14"/>
        <v>140827.4139596863</v>
      </c>
    </row>
    <row r="78" spans="1:32" x14ac:dyDescent="0.25">
      <c r="A78" s="1">
        <v>37591</v>
      </c>
      <c r="B78" s="9">
        <f>IFERROR(VLOOKUP($A78,ANTIGA_LIVRES!$A:$P,MATCH(APENDICE_BCB!B$3,ANTIGA_LIVRES!$1:$1,0),0)/1000,0)</f>
        <v>212388.37899999999</v>
      </c>
      <c r="C78" s="9">
        <f>IFERROR(VLOOKUP($A78,ANTIGA_LIVRES!$A:$P,MATCH(APENDICE_BCB!C$3,ANTIGA_LIVRES!$1:$1,0),0)/1000,0)</f>
        <v>136228.55900000001</v>
      </c>
      <c r="D78" s="9">
        <f>IFERROR(VLOOKUP($A78,ANTIGA_LIVRES!$A:$P,MATCH(APENDICE_BCB!D$3,ANTIGA_LIVRES!$1:$1,0),0)/1000,0)</f>
        <v>76159.820000000007</v>
      </c>
      <c r="E78" s="9">
        <f>IFERROR(VLOOKUP($A78,ANTIGA_DIRECIONADOS!$A:$P,MATCH(APENDICE_BCB!E$3,ANTIGA_DIRECIONADOS!$1:$1,0),0),0)</f>
        <v>144187</v>
      </c>
      <c r="F78" s="9">
        <f>IFERROR(VLOOKUP($A78,ANTIGA_DIRECIONADOS!$A:$P,MATCH(APENDICE_BCB!F$3,ANTIGA_DIRECIONADOS!$1:$1,0),0),0)</f>
        <v>47459</v>
      </c>
      <c r="G78" s="9">
        <f>IFERROR(VLOOKUP($A78,ANTIGA_DIRECIONADOS!$A:$P,MATCH(APENDICE_BCB!G$3,ANTIGA_DIRECIONADOS!$1:$1,0),0),0)</f>
        <v>96728</v>
      </c>
      <c r="H78" s="9">
        <f>IFERROR(VLOOKUP($A78,ATUAL_LIV_E_DIR!$A:$P,MATCH(APENDICE_BCB!H$3,ATUAL_LIV_E_DIR!$1:$1,0),0),0)</f>
        <v>0</v>
      </c>
      <c r="I78" s="9">
        <f>IFERROR(VLOOKUP($A78,ATUAL_LIV_E_DIR!$A:$P,MATCH(APENDICE_BCB!I$3,ATUAL_LIV_E_DIR!$1:$1,0),0),0)</f>
        <v>0</v>
      </c>
      <c r="J78" s="9">
        <f>IFERROR(VLOOKUP($A78,ATUAL_LIV_E_DIR!$A:$P,MATCH(APENDICE_BCB!J$3,ATUAL_LIV_E_DIR!$1:$1,0),0),0)</f>
        <v>0</v>
      </c>
      <c r="K78" s="9">
        <f>IFERROR(VLOOKUP($A78,ATUAL_LIV_E_DIR!$A:$P,MATCH(APENDICE_BCB!K$3,ATUAL_LIV_E_DIR!$1:$1,0),0),0)</f>
        <v>0</v>
      </c>
      <c r="L78" s="9">
        <f>IFERROR(VLOOKUP($A78,ATUAL_LIV_E_DIR!$A:$P,MATCH(APENDICE_BCB!L$3,ATUAL_LIV_E_DIR!$1:$1,0),0),0)</f>
        <v>0</v>
      </c>
      <c r="M78" s="9">
        <f>IFERROR(VLOOKUP($A78,ATUAL_LIV_E_DIR!$A:$P,MATCH(APENDICE_BCB!M$3,ATUAL_LIV_E_DIR!$1:$1,0),0),0)</f>
        <v>0</v>
      </c>
      <c r="O78" s="11">
        <f t="shared" si="16"/>
        <v>356575.37899999996</v>
      </c>
      <c r="P78" s="11">
        <f t="shared" si="17"/>
        <v>0</v>
      </c>
      <c r="Q78" s="11">
        <f t="shared" si="18"/>
        <v>232956.55900000001</v>
      </c>
      <c r="R78" s="11">
        <f t="shared" si="19"/>
        <v>0</v>
      </c>
      <c r="S78" s="11">
        <f t="shared" si="20"/>
        <v>123618.82</v>
      </c>
      <c r="T78" s="11"/>
      <c r="V78" s="7">
        <f t="shared" si="21"/>
        <v>0.34668355495178488</v>
      </c>
      <c r="W78">
        <f t="shared" si="22"/>
        <v>0</v>
      </c>
      <c r="Y78" s="8">
        <f t="shared" si="25"/>
        <v>6.8652735333147863E-3</v>
      </c>
      <c r="Z78" s="8"/>
      <c r="AB78" s="11">
        <f t="shared" si="23"/>
        <v>407590.64500916185</v>
      </c>
      <c r="AC78" s="1">
        <f t="shared" si="12"/>
        <v>37591</v>
      </c>
      <c r="AD78" s="9">
        <f t="shared" si="24"/>
        <v>141304.97377686721</v>
      </c>
      <c r="AE78" s="1">
        <f t="shared" si="13"/>
        <v>37591</v>
      </c>
      <c r="AF78" s="11">
        <f t="shared" si="14"/>
        <v>141304.97377686721</v>
      </c>
    </row>
    <row r="79" spans="1:32" x14ac:dyDescent="0.25">
      <c r="A79" s="1">
        <v>37622</v>
      </c>
      <c r="B79" s="9">
        <f>IFERROR(VLOOKUP($A79,ANTIGA_LIVRES!$A:$P,MATCH(APENDICE_BCB!B$3,ANTIGA_LIVRES!$1:$1,0),0)/1000,0)</f>
        <v>213007.859</v>
      </c>
      <c r="C79" s="9">
        <f>IFERROR(VLOOKUP($A79,ANTIGA_LIVRES!$A:$P,MATCH(APENDICE_BCB!C$3,ANTIGA_LIVRES!$1:$1,0),0)/1000,0)</f>
        <v>135188.405</v>
      </c>
      <c r="D79" s="9">
        <f>IFERROR(VLOOKUP($A79,ANTIGA_LIVRES!$A:$P,MATCH(APENDICE_BCB!D$3,ANTIGA_LIVRES!$1:$1,0),0)/1000,0)</f>
        <v>77819.453999999998</v>
      </c>
      <c r="E79" s="9">
        <f>IFERROR(VLOOKUP($A79,ANTIGA_DIRECIONADOS!$A:$P,MATCH(APENDICE_BCB!E$3,ANTIGA_DIRECIONADOS!$1:$1,0),0),0)</f>
        <v>145759</v>
      </c>
      <c r="F79" s="9">
        <f>IFERROR(VLOOKUP($A79,ANTIGA_DIRECIONADOS!$A:$P,MATCH(APENDICE_BCB!F$3,ANTIGA_DIRECIONADOS!$1:$1,0),0),0)</f>
        <v>48545</v>
      </c>
      <c r="G79" s="9">
        <f>IFERROR(VLOOKUP($A79,ANTIGA_DIRECIONADOS!$A:$P,MATCH(APENDICE_BCB!G$3,ANTIGA_DIRECIONADOS!$1:$1,0),0),0)</f>
        <v>97214</v>
      </c>
      <c r="H79" s="9">
        <f>IFERROR(VLOOKUP($A79,ATUAL_LIV_E_DIR!$A:$P,MATCH(APENDICE_BCB!H$3,ATUAL_LIV_E_DIR!$1:$1,0),0),0)</f>
        <v>0</v>
      </c>
      <c r="I79" s="9">
        <f>IFERROR(VLOOKUP($A79,ATUAL_LIV_E_DIR!$A:$P,MATCH(APENDICE_BCB!I$3,ATUAL_LIV_E_DIR!$1:$1,0),0),0)</f>
        <v>0</v>
      </c>
      <c r="J79" s="9">
        <f>IFERROR(VLOOKUP($A79,ATUAL_LIV_E_DIR!$A:$P,MATCH(APENDICE_BCB!J$3,ATUAL_LIV_E_DIR!$1:$1,0),0),0)</f>
        <v>0</v>
      </c>
      <c r="K79" s="9">
        <f>IFERROR(VLOOKUP($A79,ATUAL_LIV_E_DIR!$A:$P,MATCH(APENDICE_BCB!K$3,ATUAL_LIV_E_DIR!$1:$1,0),0),0)</f>
        <v>0</v>
      </c>
      <c r="L79" s="9">
        <f>IFERROR(VLOOKUP($A79,ATUAL_LIV_E_DIR!$A:$P,MATCH(APENDICE_BCB!L$3,ATUAL_LIV_E_DIR!$1:$1,0),0),0)</f>
        <v>0</v>
      </c>
      <c r="M79" s="9">
        <f>IFERROR(VLOOKUP($A79,ATUAL_LIV_E_DIR!$A:$P,MATCH(APENDICE_BCB!M$3,ATUAL_LIV_E_DIR!$1:$1,0),0),0)</f>
        <v>0</v>
      </c>
      <c r="O79" s="11">
        <f t="shared" si="16"/>
        <v>358766.859</v>
      </c>
      <c r="P79" s="11">
        <f t="shared" si="17"/>
        <v>0</v>
      </c>
      <c r="Q79" s="11">
        <f t="shared" si="18"/>
        <v>232402.405</v>
      </c>
      <c r="R79" s="11">
        <f t="shared" si="19"/>
        <v>0</v>
      </c>
      <c r="S79" s="11">
        <f t="shared" si="20"/>
        <v>126364.454</v>
      </c>
      <c r="T79" s="11"/>
      <c r="V79" s="7">
        <f t="shared" si="21"/>
        <v>0.35221885976931888</v>
      </c>
      <c r="W79">
        <f t="shared" si="22"/>
        <v>0</v>
      </c>
      <c r="Y79" s="8">
        <f t="shared" si="25"/>
        <v>6.1459094740246023E-3</v>
      </c>
      <c r="Z79" s="8"/>
      <c r="AB79" s="11">
        <f t="shared" si="23"/>
        <v>410095.66021584749</v>
      </c>
      <c r="AC79" s="1">
        <f t="shared" si="12"/>
        <v>37622</v>
      </c>
      <c r="AD79" s="9">
        <f t="shared" si="24"/>
        <v>144443.42583757182</v>
      </c>
      <c r="AE79" s="1">
        <f t="shared" si="13"/>
        <v>37622</v>
      </c>
      <c r="AF79" s="11">
        <f t="shared" si="14"/>
        <v>144443.42583757182</v>
      </c>
    </row>
    <row r="80" spans="1:32" x14ac:dyDescent="0.25">
      <c r="A80" s="1">
        <v>37653</v>
      </c>
      <c r="B80" s="9">
        <f>IFERROR(VLOOKUP($A80,ANTIGA_LIVRES!$A:$P,MATCH(APENDICE_BCB!B$3,ANTIGA_LIVRES!$1:$1,0),0)/1000,0)</f>
        <v>203226.84299999999</v>
      </c>
      <c r="C80" s="9">
        <f>IFERROR(VLOOKUP($A80,ANTIGA_LIVRES!$A:$P,MATCH(APENDICE_BCB!C$3,ANTIGA_LIVRES!$1:$1,0),0)/1000,0)</f>
        <v>124237.344</v>
      </c>
      <c r="D80" s="9">
        <f>IFERROR(VLOOKUP($A80,ANTIGA_LIVRES!$A:$P,MATCH(APENDICE_BCB!D$3,ANTIGA_LIVRES!$1:$1,0),0)/1000,0)</f>
        <v>78989.498999999996</v>
      </c>
      <c r="E80" s="9">
        <f>IFERROR(VLOOKUP($A80,ANTIGA_DIRECIONADOS!$A:$P,MATCH(APENDICE_BCB!E$3,ANTIGA_DIRECIONADOS!$1:$1,0),0),0)</f>
        <v>147400</v>
      </c>
      <c r="F80" s="9">
        <f>IFERROR(VLOOKUP($A80,ANTIGA_DIRECIONADOS!$A:$P,MATCH(APENDICE_BCB!F$3,ANTIGA_DIRECIONADOS!$1:$1,0),0),0)</f>
        <v>49500</v>
      </c>
      <c r="G80" s="9">
        <f>IFERROR(VLOOKUP($A80,ANTIGA_DIRECIONADOS!$A:$P,MATCH(APENDICE_BCB!G$3,ANTIGA_DIRECIONADOS!$1:$1,0),0),0)</f>
        <v>97900</v>
      </c>
      <c r="H80" s="9">
        <f>IFERROR(VLOOKUP($A80,ATUAL_LIV_E_DIR!$A:$P,MATCH(APENDICE_BCB!H$3,ATUAL_LIV_E_DIR!$1:$1,0),0),0)</f>
        <v>0</v>
      </c>
      <c r="I80" s="9">
        <f>IFERROR(VLOOKUP($A80,ATUAL_LIV_E_DIR!$A:$P,MATCH(APENDICE_BCB!I$3,ATUAL_LIV_E_DIR!$1:$1,0),0),0)</f>
        <v>0</v>
      </c>
      <c r="J80" s="9">
        <f>IFERROR(VLOOKUP($A80,ATUAL_LIV_E_DIR!$A:$P,MATCH(APENDICE_BCB!J$3,ATUAL_LIV_E_DIR!$1:$1,0),0),0)</f>
        <v>0</v>
      </c>
      <c r="K80" s="9">
        <f>IFERROR(VLOOKUP($A80,ATUAL_LIV_E_DIR!$A:$P,MATCH(APENDICE_BCB!K$3,ATUAL_LIV_E_DIR!$1:$1,0),0),0)</f>
        <v>0</v>
      </c>
      <c r="L80" s="9">
        <f>IFERROR(VLOOKUP($A80,ATUAL_LIV_E_DIR!$A:$P,MATCH(APENDICE_BCB!L$3,ATUAL_LIV_E_DIR!$1:$1,0),0),0)</f>
        <v>0</v>
      </c>
      <c r="M80" s="9">
        <f>IFERROR(VLOOKUP($A80,ATUAL_LIV_E_DIR!$A:$P,MATCH(APENDICE_BCB!M$3,ATUAL_LIV_E_DIR!$1:$1,0),0),0)</f>
        <v>0</v>
      </c>
      <c r="O80" s="11">
        <f t="shared" si="16"/>
        <v>350626.84299999999</v>
      </c>
      <c r="P80" s="11">
        <f t="shared" si="17"/>
        <v>0</v>
      </c>
      <c r="Q80" s="11">
        <f t="shared" si="18"/>
        <v>222137.34399999998</v>
      </c>
      <c r="R80" s="11">
        <f t="shared" si="19"/>
        <v>0</v>
      </c>
      <c r="S80" s="11">
        <f t="shared" si="20"/>
        <v>128489.499</v>
      </c>
      <c r="T80" s="11"/>
      <c r="V80" s="7">
        <f t="shared" si="21"/>
        <v>0.36645653795536698</v>
      </c>
      <c r="W80">
        <f t="shared" si="22"/>
        <v>0</v>
      </c>
      <c r="Y80" s="8">
        <f t="shared" si="25"/>
        <v>-2.268887383491569E-2</v>
      </c>
      <c r="Z80" s="8"/>
      <c r="AB80" s="11">
        <f t="shared" si="23"/>
        <v>400791.05152096367</v>
      </c>
      <c r="AC80" s="1">
        <f t="shared" si="12"/>
        <v>37653</v>
      </c>
      <c r="AD80" s="9">
        <f t="shared" si="24"/>
        <v>146872.50118386347</v>
      </c>
      <c r="AE80" s="1">
        <f t="shared" si="13"/>
        <v>37653</v>
      </c>
      <c r="AF80" s="11">
        <f t="shared" si="14"/>
        <v>146872.50118386347</v>
      </c>
    </row>
    <row r="81" spans="1:32" x14ac:dyDescent="0.25">
      <c r="A81" s="1">
        <v>37681</v>
      </c>
      <c r="B81" s="9">
        <f>IFERROR(VLOOKUP($A81,ANTIGA_LIVRES!$A:$P,MATCH(APENDICE_BCB!B$3,ANTIGA_LIVRES!$1:$1,0),0)/1000,0)</f>
        <v>215482.61199999999</v>
      </c>
      <c r="C81" s="9">
        <f>IFERROR(VLOOKUP($A81,ANTIGA_LIVRES!$A:$P,MATCH(APENDICE_BCB!C$3,ANTIGA_LIVRES!$1:$1,0),0)/1000,0)</f>
        <v>135913.326</v>
      </c>
      <c r="D81" s="9">
        <f>IFERROR(VLOOKUP($A81,ANTIGA_LIVRES!$A:$P,MATCH(APENDICE_BCB!D$3,ANTIGA_LIVRES!$1:$1,0),0)/1000,0)</f>
        <v>79569.285999999993</v>
      </c>
      <c r="E81" s="9">
        <f>IFERROR(VLOOKUP($A81,ANTIGA_DIRECIONADOS!$A:$P,MATCH(APENDICE_BCB!E$3,ANTIGA_DIRECIONADOS!$1:$1,0),0),0)</f>
        <v>145972</v>
      </c>
      <c r="F81" s="9">
        <f>IFERROR(VLOOKUP($A81,ANTIGA_DIRECIONADOS!$A:$P,MATCH(APENDICE_BCB!F$3,ANTIGA_DIRECIONADOS!$1:$1,0),0),0)</f>
        <v>49823</v>
      </c>
      <c r="G81" s="9">
        <f>IFERROR(VLOOKUP($A81,ANTIGA_DIRECIONADOS!$A:$P,MATCH(APENDICE_BCB!G$3,ANTIGA_DIRECIONADOS!$1:$1,0),0),0)</f>
        <v>96149</v>
      </c>
      <c r="H81" s="9">
        <f>IFERROR(VLOOKUP($A81,ATUAL_LIV_E_DIR!$A:$P,MATCH(APENDICE_BCB!H$3,ATUAL_LIV_E_DIR!$1:$1,0),0),0)</f>
        <v>0</v>
      </c>
      <c r="I81" s="9">
        <f>IFERROR(VLOOKUP($A81,ATUAL_LIV_E_DIR!$A:$P,MATCH(APENDICE_BCB!I$3,ATUAL_LIV_E_DIR!$1:$1,0),0),0)</f>
        <v>0</v>
      </c>
      <c r="J81" s="9">
        <f>IFERROR(VLOOKUP($A81,ATUAL_LIV_E_DIR!$A:$P,MATCH(APENDICE_BCB!J$3,ATUAL_LIV_E_DIR!$1:$1,0),0),0)</f>
        <v>0</v>
      </c>
      <c r="K81" s="9">
        <f>IFERROR(VLOOKUP($A81,ATUAL_LIV_E_DIR!$A:$P,MATCH(APENDICE_BCB!K$3,ATUAL_LIV_E_DIR!$1:$1,0),0),0)</f>
        <v>0</v>
      </c>
      <c r="L81" s="9">
        <f>IFERROR(VLOOKUP($A81,ATUAL_LIV_E_DIR!$A:$P,MATCH(APENDICE_BCB!L$3,ATUAL_LIV_E_DIR!$1:$1,0),0),0)</f>
        <v>0</v>
      </c>
      <c r="M81" s="9">
        <f>IFERROR(VLOOKUP($A81,ATUAL_LIV_E_DIR!$A:$P,MATCH(APENDICE_BCB!M$3,ATUAL_LIV_E_DIR!$1:$1,0),0),0)</f>
        <v>0</v>
      </c>
      <c r="O81" s="11">
        <f t="shared" si="16"/>
        <v>361454.61199999996</v>
      </c>
      <c r="P81" s="11">
        <f t="shared" si="17"/>
        <v>0</v>
      </c>
      <c r="Q81" s="11">
        <f t="shared" si="18"/>
        <v>232062.326</v>
      </c>
      <c r="R81" s="11">
        <f t="shared" si="19"/>
        <v>0</v>
      </c>
      <c r="S81" s="11">
        <f t="shared" si="20"/>
        <v>129392.28599999999</v>
      </c>
      <c r="T81" s="11"/>
      <c r="V81" s="7">
        <f t="shared" si="21"/>
        <v>0.35797658047312453</v>
      </c>
      <c r="W81">
        <f t="shared" si="22"/>
        <v>0</v>
      </c>
      <c r="Y81" s="8">
        <f t="shared" si="25"/>
        <v>3.0881175289822149E-2</v>
      </c>
      <c r="Z81" s="8"/>
      <c r="AB81" s="11">
        <f t="shared" si="23"/>
        <v>413167.9502375747</v>
      </c>
      <c r="AC81" s="1">
        <f t="shared" si="12"/>
        <v>37681</v>
      </c>
      <c r="AD81" s="9">
        <f t="shared" si="24"/>
        <v>147904.44998713708</v>
      </c>
      <c r="AE81" s="1">
        <f t="shared" si="13"/>
        <v>37681</v>
      </c>
      <c r="AF81" s="11">
        <f t="shared" si="14"/>
        <v>147904.44998713708</v>
      </c>
    </row>
    <row r="82" spans="1:32" x14ac:dyDescent="0.25">
      <c r="A82" s="1">
        <v>37712</v>
      </c>
      <c r="B82" s="9">
        <f>IFERROR(VLOOKUP($A82,ANTIGA_LIVRES!$A:$P,MATCH(APENDICE_BCB!B$3,ANTIGA_LIVRES!$1:$1,0),0)/1000,0)</f>
        <v>214610.62599999999</v>
      </c>
      <c r="C82" s="9">
        <f>IFERROR(VLOOKUP($A82,ANTIGA_LIVRES!$A:$P,MATCH(APENDICE_BCB!C$3,ANTIGA_LIVRES!$1:$1,0),0)/1000,0)</f>
        <v>133329.20499999999</v>
      </c>
      <c r="D82" s="9">
        <f>IFERROR(VLOOKUP($A82,ANTIGA_LIVRES!$A:$P,MATCH(APENDICE_BCB!D$3,ANTIGA_LIVRES!$1:$1,0),0)/1000,0)</f>
        <v>81281.421000000002</v>
      </c>
      <c r="E82" s="9">
        <f>IFERROR(VLOOKUP($A82,ANTIGA_DIRECIONADOS!$A:$P,MATCH(APENDICE_BCB!E$3,ANTIGA_DIRECIONADOS!$1:$1,0),0),0)</f>
        <v>143041</v>
      </c>
      <c r="F82" s="9">
        <f>IFERROR(VLOOKUP($A82,ANTIGA_DIRECIONADOS!$A:$P,MATCH(APENDICE_BCB!F$3,ANTIGA_DIRECIONADOS!$1:$1,0),0),0)</f>
        <v>50496</v>
      </c>
      <c r="G82" s="9">
        <f>IFERROR(VLOOKUP($A82,ANTIGA_DIRECIONADOS!$A:$P,MATCH(APENDICE_BCB!G$3,ANTIGA_DIRECIONADOS!$1:$1,0),0),0)</f>
        <v>92545</v>
      </c>
      <c r="H82" s="9">
        <f>IFERROR(VLOOKUP($A82,ATUAL_LIV_E_DIR!$A:$P,MATCH(APENDICE_BCB!H$3,ATUAL_LIV_E_DIR!$1:$1,0),0),0)</f>
        <v>0</v>
      </c>
      <c r="I82" s="9">
        <f>IFERROR(VLOOKUP($A82,ATUAL_LIV_E_DIR!$A:$P,MATCH(APENDICE_BCB!I$3,ATUAL_LIV_E_DIR!$1:$1,0),0),0)</f>
        <v>0</v>
      </c>
      <c r="J82" s="9">
        <f>IFERROR(VLOOKUP($A82,ATUAL_LIV_E_DIR!$A:$P,MATCH(APENDICE_BCB!J$3,ATUAL_LIV_E_DIR!$1:$1,0),0),0)</f>
        <v>0</v>
      </c>
      <c r="K82" s="9">
        <f>IFERROR(VLOOKUP($A82,ATUAL_LIV_E_DIR!$A:$P,MATCH(APENDICE_BCB!K$3,ATUAL_LIV_E_DIR!$1:$1,0),0),0)</f>
        <v>0</v>
      </c>
      <c r="L82" s="9">
        <f>IFERROR(VLOOKUP($A82,ATUAL_LIV_E_DIR!$A:$P,MATCH(APENDICE_BCB!L$3,ATUAL_LIV_E_DIR!$1:$1,0),0),0)</f>
        <v>0</v>
      </c>
      <c r="M82" s="9">
        <f>IFERROR(VLOOKUP($A82,ATUAL_LIV_E_DIR!$A:$P,MATCH(APENDICE_BCB!M$3,ATUAL_LIV_E_DIR!$1:$1,0),0),0)</f>
        <v>0</v>
      </c>
      <c r="O82" s="11">
        <f t="shared" si="16"/>
        <v>357651.62599999999</v>
      </c>
      <c r="P82" s="11">
        <f t="shared" si="17"/>
        <v>0</v>
      </c>
      <c r="Q82" s="11">
        <f t="shared" si="18"/>
        <v>225874.20499999999</v>
      </c>
      <c r="R82" s="11">
        <f t="shared" si="19"/>
        <v>0</v>
      </c>
      <c r="S82" s="11">
        <f t="shared" si="20"/>
        <v>131777.421</v>
      </c>
      <c r="T82" s="11"/>
      <c r="V82" s="7">
        <f t="shared" si="21"/>
        <v>0.36845189961473851</v>
      </c>
      <c r="W82">
        <f t="shared" si="22"/>
        <v>0</v>
      </c>
      <c r="Y82" s="8">
        <f t="shared" si="25"/>
        <v>-1.0521337600196357E-2</v>
      </c>
      <c r="Z82" s="8"/>
      <c r="AB82" s="11">
        <f t="shared" si="23"/>
        <v>408820.87074754405</v>
      </c>
      <c r="AC82" s="1">
        <f t="shared" si="12"/>
        <v>37712</v>
      </c>
      <c r="AD82" s="9">
        <f t="shared" si="24"/>
        <v>150630.82642908409</v>
      </c>
      <c r="AE82" s="1">
        <f t="shared" si="13"/>
        <v>37712</v>
      </c>
      <c r="AF82" s="11">
        <f t="shared" si="14"/>
        <v>150630.82642908409</v>
      </c>
    </row>
    <row r="83" spans="1:32" x14ac:dyDescent="0.25">
      <c r="A83" s="1">
        <v>37742</v>
      </c>
      <c r="B83" s="9">
        <f>IFERROR(VLOOKUP($A83,ANTIGA_LIVRES!$A:$P,MATCH(APENDICE_BCB!B$3,ANTIGA_LIVRES!$1:$1,0),0)/1000,0)</f>
        <v>214597.11499999999</v>
      </c>
      <c r="C83" s="9">
        <f>IFERROR(VLOOKUP($A83,ANTIGA_LIVRES!$A:$P,MATCH(APENDICE_BCB!C$3,ANTIGA_LIVRES!$1:$1,0),0)/1000,0)</f>
        <v>132620.334</v>
      </c>
      <c r="D83" s="9">
        <f>IFERROR(VLOOKUP($A83,ANTIGA_LIVRES!$A:$P,MATCH(APENDICE_BCB!D$3,ANTIGA_LIVRES!$1:$1,0),0)/1000,0)</f>
        <v>81976.781000000003</v>
      </c>
      <c r="E83" s="9">
        <f>IFERROR(VLOOKUP($A83,ANTIGA_DIRECIONADOS!$A:$P,MATCH(APENDICE_BCB!E$3,ANTIGA_DIRECIONADOS!$1:$1,0),0),0)</f>
        <v>144371</v>
      </c>
      <c r="F83" s="9">
        <f>IFERROR(VLOOKUP($A83,ANTIGA_DIRECIONADOS!$A:$P,MATCH(APENDICE_BCB!F$3,ANTIGA_DIRECIONADOS!$1:$1,0),0),0)</f>
        <v>51406</v>
      </c>
      <c r="G83" s="9">
        <f>IFERROR(VLOOKUP($A83,ANTIGA_DIRECIONADOS!$A:$P,MATCH(APENDICE_BCB!G$3,ANTIGA_DIRECIONADOS!$1:$1,0),0),0)</f>
        <v>92965</v>
      </c>
      <c r="H83" s="9">
        <f>IFERROR(VLOOKUP($A83,ATUAL_LIV_E_DIR!$A:$P,MATCH(APENDICE_BCB!H$3,ATUAL_LIV_E_DIR!$1:$1,0),0),0)</f>
        <v>0</v>
      </c>
      <c r="I83" s="9">
        <f>IFERROR(VLOOKUP($A83,ATUAL_LIV_E_DIR!$A:$P,MATCH(APENDICE_BCB!I$3,ATUAL_LIV_E_DIR!$1:$1,0),0),0)</f>
        <v>0</v>
      </c>
      <c r="J83" s="9">
        <f>IFERROR(VLOOKUP($A83,ATUAL_LIV_E_DIR!$A:$P,MATCH(APENDICE_BCB!J$3,ATUAL_LIV_E_DIR!$1:$1,0),0),0)</f>
        <v>0</v>
      </c>
      <c r="K83" s="9">
        <f>IFERROR(VLOOKUP($A83,ATUAL_LIV_E_DIR!$A:$P,MATCH(APENDICE_BCB!K$3,ATUAL_LIV_E_DIR!$1:$1,0),0),0)</f>
        <v>0</v>
      </c>
      <c r="L83" s="9">
        <f>IFERROR(VLOOKUP($A83,ATUAL_LIV_E_DIR!$A:$P,MATCH(APENDICE_BCB!L$3,ATUAL_LIV_E_DIR!$1:$1,0),0),0)</f>
        <v>0</v>
      </c>
      <c r="M83" s="9">
        <f>IFERROR(VLOOKUP($A83,ATUAL_LIV_E_DIR!$A:$P,MATCH(APENDICE_BCB!M$3,ATUAL_LIV_E_DIR!$1:$1,0),0),0)</f>
        <v>0</v>
      </c>
      <c r="O83" s="11">
        <f t="shared" si="16"/>
        <v>358968.11499999999</v>
      </c>
      <c r="P83" s="11">
        <f t="shared" si="17"/>
        <v>0</v>
      </c>
      <c r="Q83" s="11">
        <f t="shared" si="18"/>
        <v>225585.334</v>
      </c>
      <c r="R83" s="11">
        <f t="shared" si="19"/>
        <v>0</v>
      </c>
      <c r="S83" s="11">
        <f t="shared" si="20"/>
        <v>133382.78100000002</v>
      </c>
      <c r="T83" s="11"/>
      <c r="V83" s="7">
        <f t="shared" si="21"/>
        <v>0.37157278161042245</v>
      </c>
      <c r="W83">
        <f t="shared" si="22"/>
        <v>0</v>
      </c>
      <c r="Y83" s="8">
        <f t="shared" si="25"/>
        <v>3.6809255272336472E-3</v>
      </c>
      <c r="Z83" s="8"/>
      <c r="AB83" s="11">
        <f t="shared" si="23"/>
        <v>410325.70992674457</v>
      </c>
      <c r="AC83" s="1">
        <f t="shared" si="12"/>
        <v>37742</v>
      </c>
      <c r="AD83" s="9">
        <f t="shared" si="24"/>
        <v>152465.86540375181</v>
      </c>
      <c r="AE83" s="1">
        <f t="shared" si="13"/>
        <v>37742</v>
      </c>
      <c r="AF83" s="11">
        <f t="shared" si="14"/>
        <v>152465.86540375181</v>
      </c>
    </row>
    <row r="84" spans="1:32" x14ac:dyDescent="0.25">
      <c r="A84" s="1">
        <v>37773</v>
      </c>
      <c r="B84" s="9">
        <f>IFERROR(VLOOKUP($A84,ANTIGA_LIVRES!$A:$P,MATCH(APENDICE_BCB!B$3,ANTIGA_LIVRES!$1:$1,0),0)/1000,0)</f>
        <v>214477.21400000001</v>
      </c>
      <c r="C84" s="9">
        <f>IFERROR(VLOOKUP($A84,ANTIGA_LIVRES!$A:$P,MATCH(APENDICE_BCB!C$3,ANTIGA_LIVRES!$1:$1,0),0)/1000,0)</f>
        <v>132179.818</v>
      </c>
      <c r="D84" s="9">
        <f>IFERROR(VLOOKUP($A84,ANTIGA_LIVRES!$A:$P,MATCH(APENDICE_BCB!D$3,ANTIGA_LIVRES!$1:$1,0),0)/1000,0)</f>
        <v>82297.395999999993</v>
      </c>
      <c r="E84" s="9">
        <f>IFERROR(VLOOKUP($A84,ANTIGA_DIRECIONADOS!$A:$P,MATCH(APENDICE_BCB!E$3,ANTIGA_DIRECIONADOS!$1:$1,0),0),0)</f>
        <v>146760</v>
      </c>
      <c r="F84" s="9">
        <f>IFERROR(VLOOKUP($A84,ANTIGA_DIRECIONADOS!$A:$P,MATCH(APENDICE_BCB!F$3,ANTIGA_DIRECIONADOS!$1:$1,0),0),0)</f>
        <v>52981</v>
      </c>
      <c r="G84" s="9">
        <f>IFERROR(VLOOKUP($A84,ANTIGA_DIRECIONADOS!$A:$P,MATCH(APENDICE_BCB!G$3,ANTIGA_DIRECIONADOS!$1:$1,0),0),0)</f>
        <v>93779</v>
      </c>
      <c r="H84" s="9">
        <f>IFERROR(VLOOKUP($A84,ATUAL_LIV_E_DIR!$A:$P,MATCH(APENDICE_BCB!H$3,ATUAL_LIV_E_DIR!$1:$1,0),0),0)</f>
        <v>0</v>
      </c>
      <c r="I84" s="9">
        <f>IFERROR(VLOOKUP($A84,ATUAL_LIV_E_DIR!$A:$P,MATCH(APENDICE_BCB!I$3,ATUAL_LIV_E_DIR!$1:$1,0),0),0)</f>
        <v>0</v>
      </c>
      <c r="J84" s="9">
        <f>IFERROR(VLOOKUP($A84,ATUAL_LIV_E_DIR!$A:$P,MATCH(APENDICE_BCB!J$3,ATUAL_LIV_E_DIR!$1:$1,0),0),0)</f>
        <v>0</v>
      </c>
      <c r="K84" s="9">
        <f>IFERROR(VLOOKUP($A84,ATUAL_LIV_E_DIR!$A:$P,MATCH(APENDICE_BCB!K$3,ATUAL_LIV_E_DIR!$1:$1,0),0),0)</f>
        <v>0</v>
      </c>
      <c r="L84" s="9">
        <f>IFERROR(VLOOKUP($A84,ATUAL_LIV_E_DIR!$A:$P,MATCH(APENDICE_BCB!L$3,ATUAL_LIV_E_DIR!$1:$1,0),0),0)</f>
        <v>0</v>
      </c>
      <c r="M84" s="9">
        <f>IFERROR(VLOOKUP($A84,ATUAL_LIV_E_DIR!$A:$P,MATCH(APENDICE_BCB!M$3,ATUAL_LIV_E_DIR!$1:$1,0),0),0)</f>
        <v>0</v>
      </c>
      <c r="O84" s="11">
        <f t="shared" si="16"/>
        <v>361237.21400000004</v>
      </c>
      <c r="P84" s="11">
        <f t="shared" si="17"/>
        <v>0</v>
      </c>
      <c r="Q84" s="11">
        <f t="shared" si="18"/>
        <v>225958.818</v>
      </c>
      <c r="R84" s="11">
        <f t="shared" si="19"/>
        <v>0</v>
      </c>
      <c r="S84" s="11">
        <f t="shared" si="20"/>
        <v>135278.39600000001</v>
      </c>
      <c r="T84" s="11"/>
      <c r="V84" s="7">
        <f t="shared" si="21"/>
        <v>0.374486322995504</v>
      </c>
      <c r="W84">
        <f t="shared" si="22"/>
        <v>0</v>
      </c>
      <c r="Y84" s="8">
        <f t="shared" si="25"/>
        <v>6.321171450004881E-3</v>
      </c>
      <c r="Z84" s="8"/>
      <c r="AB84" s="11">
        <f t="shared" si="23"/>
        <v>412919.4490895365</v>
      </c>
      <c r="AC84" s="1">
        <f t="shared" si="12"/>
        <v>37773</v>
      </c>
      <c r="AD84" s="9">
        <f t="shared" si="24"/>
        <v>154632.68618286974</v>
      </c>
      <c r="AE84" s="1">
        <f t="shared" si="13"/>
        <v>37773</v>
      </c>
      <c r="AF84" s="11">
        <f t="shared" si="14"/>
        <v>154632.68618286974</v>
      </c>
    </row>
    <row r="85" spans="1:32" x14ac:dyDescent="0.25">
      <c r="A85" s="1">
        <v>37803</v>
      </c>
      <c r="B85" s="9">
        <f>IFERROR(VLOOKUP($A85,ANTIGA_LIVRES!$A:$P,MATCH(APENDICE_BCB!B$3,ANTIGA_LIVRES!$1:$1,0),0)/1000,0)</f>
        <v>212634.25899999999</v>
      </c>
      <c r="C85" s="9">
        <f>IFERROR(VLOOKUP($A85,ANTIGA_LIVRES!$A:$P,MATCH(APENDICE_BCB!C$3,ANTIGA_LIVRES!$1:$1,0),0)/1000,0)</f>
        <v>130139.485</v>
      </c>
      <c r="D85" s="9">
        <f>IFERROR(VLOOKUP($A85,ANTIGA_LIVRES!$A:$P,MATCH(APENDICE_BCB!D$3,ANTIGA_LIVRES!$1:$1,0),0)/1000,0)</f>
        <v>82494.774000000005</v>
      </c>
      <c r="E85" s="9">
        <f>IFERROR(VLOOKUP($A85,ANTIGA_DIRECIONADOS!$A:$P,MATCH(APENDICE_BCB!E$3,ANTIGA_DIRECIONADOS!$1:$1,0),0),0)</f>
        <v>148947</v>
      </c>
      <c r="F85" s="9">
        <f>IFERROR(VLOOKUP($A85,ANTIGA_DIRECIONADOS!$A:$P,MATCH(APENDICE_BCB!F$3,ANTIGA_DIRECIONADOS!$1:$1,0),0),0)</f>
        <v>52539</v>
      </c>
      <c r="G85" s="9">
        <f>IFERROR(VLOOKUP($A85,ANTIGA_DIRECIONADOS!$A:$P,MATCH(APENDICE_BCB!G$3,ANTIGA_DIRECIONADOS!$1:$1,0),0),0)</f>
        <v>96408</v>
      </c>
      <c r="H85" s="9">
        <f>IFERROR(VLOOKUP($A85,ATUAL_LIV_E_DIR!$A:$P,MATCH(APENDICE_BCB!H$3,ATUAL_LIV_E_DIR!$1:$1,0),0),0)</f>
        <v>0</v>
      </c>
      <c r="I85" s="9">
        <f>IFERROR(VLOOKUP($A85,ATUAL_LIV_E_DIR!$A:$P,MATCH(APENDICE_BCB!I$3,ATUAL_LIV_E_DIR!$1:$1,0),0),0)</f>
        <v>0</v>
      </c>
      <c r="J85" s="9">
        <f>IFERROR(VLOOKUP($A85,ATUAL_LIV_E_DIR!$A:$P,MATCH(APENDICE_BCB!J$3,ATUAL_LIV_E_DIR!$1:$1,0),0),0)</f>
        <v>0</v>
      </c>
      <c r="K85" s="9">
        <f>IFERROR(VLOOKUP($A85,ATUAL_LIV_E_DIR!$A:$P,MATCH(APENDICE_BCB!K$3,ATUAL_LIV_E_DIR!$1:$1,0),0),0)</f>
        <v>0</v>
      </c>
      <c r="L85" s="9">
        <f>IFERROR(VLOOKUP($A85,ATUAL_LIV_E_DIR!$A:$P,MATCH(APENDICE_BCB!L$3,ATUAL_LIV_E_DIR!$1:$1,0),0),0)</f>
        <v>0</v>
      </c>
      <c r="M85" s="9">
        <f>IFERROR(VLOOKUP($A85,ATUAL_LIV_E_DIR!$A:$P,MATCH(APENDICE_BCB!M$3,ATUAL_LIV_E_DIR!$1:$1,0),0),0)</f>
        <v>0</v>
      </c>
      <c r="O85" s="11">
        <f t="shared" si="16"/>
        <v>361581.25899999996</v>
      </c>
      <c r="P85" s="11">
        <f t="shared" si="17"/>
        <v>0</v>
      </c>
      <c r="Q85" s="11">
        <f t="shared" si="18"/>
        <v>226547.48499999999</v>
      </c>
      <c r="R85" s="11">
        <f t="shared" si="19"/>
        <v>0</v>
      </c>
      <c r="S85" s="11">
        <f t="shared" si="20"/>
        <v>135033.774</v>
      </c>
      <c r="T85" s="11"/>
      <c r="V85" s="7">
        <f t="shared" si="21"/>
        <v>0.37345346485449354</v>
      </c>
      <c r="W85">
        <f t="shared" si="22"/>
        <v>0</v>
      </c>
      <c r="Y85" s="8">
        <f t="shared" si="25"/>
        <v>9.5240741171243037E-4</v>
      </c>
      <c r="Z85" s="8"/>
      <c r="AB85" s="11">
        <f t="shared" si="23"/>
        <v>413312.71663328953</v>
      </c>
      <c r="AC85" s="1">
        <f t="shared" si="12"/>
        <v>37803</v>
      </c>
      <c r="AD85" s="9">
        <f t="shared" si="24"/>
        <v>154353.06609512545</v>
      </c>
      <c r="AE85" s="1">
        <f t="shared" si="13"/>
        <v>37803</v>
      </c>
      <c r="AF85" s="11">
        <f t="shared" si="14"/>
        <v>154353.06609512545</v>
      </c>
    </row>
    <row r="86" spans="1:32" x14ac:dyDescent="0.25">
      <c r="A86" s="1">
        <v>37834</v>
      </c>
      <c r="B86" s="9">
        <f>IFERROR(VLOOKUP($A86,ANTIGA_LIVRES!$A:$P,MATCH(APENDICE_BCB!B$3,ANTIGA_LIVRES!$1:$1,0),0)/1000,0)</f>
        <v>213925.94</v>
      </c>
      <c r="C86" s="9">
        <f>IFERROR(VLOOKUP($A86,ANTIGA_LIVRES!$A:$P,MATCH(APENDICE_BCB!C$3,ANTIGA_LIVRES!$1:$1,0),0)/1000,0)</f>
        <v>130438.761</v>
      </c>
      <c r="D86" s="9">
        <f>IFERROR(VLOOKUP($A86,ANTIGA_LIVRES!$A:$P,MATCH(APENDICE_BCB!D$3,ANTIGA_LIVRES!$1:$1,0),0)/1000,0)</f>
        <v>83487.179000000004</v>
      </c>
      <c r="E86" s="9">
        <f>IFERROR(VLOOKUP($A86,ANTIGA_DIRECIONADOS!$A:$P,MATCH(APENDICE_BCB!E$3,ANTIGA_DIRECIONADOS!$1:$1,0),0),0)</f>
        <v>149644</v>
      </c>
      <c r="F86" s="9">
        <f>IFERROR(VLOOKUP($A86,ANTIGA_DIRECIONADOS!$A:$P,MATCH(APENDICE_BCB!F$3,ANTIGA_DIRECIONADOS!$1:$1,0),0),0)</f>
        <v>53305</v>
      </c>
      <c r="G86" s="9">
        <f>IFERROR(VLOOKUP($A86,ANTIGA_DIRECIONADOS!$A:$P,MATCH(APENDICE_BCB!G$3,ANTIGA_DIRECIONADOS!$1:$1,0),0),0)</f>
        <v>96339</v>
      </c>
      <c r="H86" s="9">
        <f>IFERROR(VLOOKUP($A86,ATUAL_LIV_E_DIR!$A:$P,MATCH(APENDICE_BCB!H$3,ATUAL_LIV_E_DIR!$1:$1,0),0),0)</f>
        <v>0</v>
      </c>
      <c r="I86" s="9">
        <f>IFERROR(VLOOKUP($A86,ATUAL_LIV_E_DIR!$A:$P,MATCH(APENDICE_BCB!I$3,ATUAL_LIV_E_DIR!$1:$1,0),0),0)</f>
        <v>0</v>
      </c>
      <c r="J86" s="9">
        <f>IFERROR(VLOOKUP($A86,ATUAL_LIV_E_DIR!$A:$P,MATCH(APENDICE_BCB!J$3,ATUAL_LIV_E_DIR!$1:$1,0),0),0)</f>
        <v>0</v>
      </c>
      <c r="K86" s="9">
        <f>IFERROR(VLOOKUP($A86,ATUAL_LIV_E_DIR!$A:$P,MATCH(APENDICE_BCB!K$3,ATUAL_LIV_E_DIR!$1:$1,0),0),0)</f>
        <v>0</v>
      </c>
      <c r="L86" s="9">
        <f>IFERROR(VLOOKUP($A86,ATUAL_LIV_E_DIR!$A:$P,MATCH(APENDICE_BCB!L$3,ATUAL_LIV_E_DIR!$1:$1,0),0),0)</f>
        <v>0</v>
      </c>
      <c r="M86" s="9">
        <f>IFERROR(VLOOKUP($A86,ATUAL_LIV_E_DIR!$A:$P,MATCH(APENDICE_BCB!M$3,ATUAL_LIV_E_DIR!$1:$1,0),0),0)</f>
        <v>0</v>
      </c>
      <c r="O86" s="11">
        <f t="shared" si="16"/>
        <v>363569.94</v>
      </c>
      <c r="P86" s="11">
        <f t="shared" si="17"/>
        <v>0</v>
      </c>
      <c r="Q86" s="11">
        <f t="shared" si="18"/>
        <v>226777.761</v>
      </c>
      <c r="R86" s="11">
        <f t="shared" si="19"/>
        <v>0</v>
      </c>
      <c r="S86" s="11">
        <f t="shared" si="20"/>
        <v>136792.179</v>
      </c>
      <c r="T86" s="11"/>
      <c r="V86" s="7">
        <f t="shared" si="21"/>
        <v>0.37624721944834055</v>
      </c>
      <c r="W86">
        <f t="shared" si="22"/>
        <v>0</v>
      </c>
      <c r="Y86" s="8">
        <f t="shared" si="25"/>
        <v>5.4999559587241009E-3</v>
      </c>
      <c r="Z86" s="8"/>
      <c r="AB86" s="11">
        <f t="shared" si="23"/>
        <v>415585.91837195324</v>
      </c>
      <c r="AC86" s="1">
        <f t="shared" si="12"/>
        <v>37834</v>
      </c>
      <c r="AD86" s="9">
        <f t="shared" si="24"/>
        <v>156363.04622933242</v>
      </c>
      <c r="AE86" s="1">
        <f t="shared" si="13"/>
        <v>37834</v>
      </c>
      <c r="AF86" s="11">
        <f t="shared" si="14"/>
        <v>156363.04622933242</v>
      </c>
    </row>
    <row r="87" spans="1:32" x14ac:dyDescent="0.25">
      <c r="A87" s="1">
        <v>37865</v>
      </c>
      <c r="B87" s="9">
        <f>IFERROR(VLOOKUP($A87,ANTIGA_LIVRES!$A:$P,MATCH(APENDICE_BCB!B$3,ANTIGA_LIVRES!$1:$1,0),0)/1000,0)</f>
        <v>215929.402</v>
      </c>
      <c r="C87" s="9">
        <f>IFERROR(VLOOKUP($A87,ANTIGA_LIVRES!$A:$P,MATCH(APENDICE_BCB!C$3,ANTIGA_LIVRES!$1:$1,0),0)/1000,0)</f>
        <v>131137.07999999999</v>
      </c>
      <c r="D87" s="9">
        <f>IFERROR(VLOOKUP($A87,ANTIGA_LIVRES!$A:$P,MATCH(APENDICE_BCB!D$3,ANTIGA_LIVRES!$1:$1,0),0)/1000,0)</f>
        <v>84792.322</v>
      </c>
      <c r="E87" s="9">
        <f>IFERROR(VLOOKUP($A87,ANTIGA_DIRECIONADOS!$A:$P,MATCH(APENDICE_BCB!E$3,ANTIGA_DIRECIONADOS!$1:$1,0),0),0)</f>
        <v>152035</v>
      </c>
      <c r="F87" s="9">
        <f>IFERROR(VLOOKUP($A87,ANTIGA_DIRECIONADOS!$A:$P,MATCH(APENDICE_BCB!F$3,ANTIGA_DIRECIONADOS!$1:$1,0),0),0)</f>
        <v>55267</v>
      </c>
      <c r="G87" s="9">
        <f>IFERROR(VLOOKUP($A87,ANTIGA_DIRECIONADOS!$A:$P,MATCH(APENDICE_BCB!G$3,ANTIGA_DIRECIONADOS!$1:$1,0),0),0)</f>
        <v>96768</v>
      </c>
      <c r="H87" s="9">
        <f>IFERROR(VLOOKUP($A87,ATUAL_LIV_E_DIR!$A:$P,MATCH(APENDICE_BCB!H$3,ATUAL_LIV_E_DIR!$1:$1,0),0),0)</f>
        <v>0</v>
      </c>
      <c r="I87" s="9">
        <f>IFERROR(VLOOKUP($A87,ATUAL_LIV_E_DIR!$A:$P,MATCH(APENDICE_BCB!I$3,ATUAL_LIV_E_DIR!$1:$1,0),0),0)</f>
        <v>0</v>
      </c>
      <c r="J87" s="9">
        <f>IFERROR(VLOOKUP($A87,ATUAL_LIV_E_DIR!$A:$P,MATCH(APENDICE_BCB!J$3,ATUAL_LIV_E_DIR!$1:$1,0),0),0)</f>
        <v>0</v>
      </c>
      <c r="K87" s="9">
        <f>IFERROR(VLOOKUP($A87,ATUAL_LIV_E_DIR!$A:$P,MATCH(APENDICE_BCB!K$3,ATUAL_LIV_E_DIR!$1:$1,0),0),0)</f>
        <v>0</v>
      </c>
      <c r="L87" s="9">
        <f>IFERROR(VLOOKUP($A87,ATUAL_LIV_E_DIR!$A:$P,MATCH(APENDICE_BCB!L$3,ATUAL_LIV_E_DIR!$1:$1,0),0),0)</f>
        <v>0</v>
      </c>
      <c r="M87" s="9">
        <f>IFERROR(VLOOKUP($A87,ATUAL_LIV_E_DIR!$A:$P,MATCH(APENDICE_BCB!M$3,ATUAL_LIV_E_DIR!$1:$1,0),0),0)</f>
        <v>0</v>
      </c>
      <c r="O87" s="11">
        <f t="shared" si="16"/>
        <v>367964.402</v>
      </c>
      <c r="P87" s="11">
        <f t="shared" si="17"/>
        <v>0</v>
      </c>
      <c r="Q87" s="11">
        <f t="shared" si="18"/>
        <v>227905.08</v>
      </c>
      <c r="R87" s="11">
        <f t="shared" si="19"/>
        <v>0</v>
      </c>
      <c r="S87" s="11">
        <f t="shared" si="20"/>
        <v>140059.32199999999</v>
      </c>
      <c r="T87" s="11"/>
      <c r="V87" s="7">
        <f t="shared" si="21"/>
        <v>0.38063280371344177</v>
      </c>
      <c r="W87">
        <f t="shared" si="22"/>
        <v>0</v>
      </c>
      <c r="Y87" s="8">
        <f t="shared" si="25"/>
        <v>1.2086978367903622E-2</v>
      </c>
      <c r="Z87" s="8"/>
      <c r="AB87" s="11">
        <f t="shared" si="23"/>
        <v>420609.09637732035</v>
      </c>
      <c r="AC87" s="1">
        <f t="shared" si="12"/>
        <v>37865</v>
      </c>
      <c r="AD87" s="9">
        <f t="shared" si="24"/>
        <v>160097.61962147668</v>
      </c>
      <c r="AE87" s="1">
        <f t="shared" si="13"/>
        <v>37865</v>
      </c>
      <c r="AF87" s="11">
        <f t="shared" si="14"/>
        <v>160097.61962147668</v>
      </c>
    </row>
    <row r="88" spans="1:32" x14ac:dyDescent="0.25">
      <c r="A88" s="1">
        <v>37895</v>
      </c>
      <c r="B88" s="9">
        <f>IFERROR(VLOOKUP($A88,ANTIGA_LIVRES!$A:$P,MATCH(APENDICE_BCB!B$3,ANTIGA_LIVRES!$1:$1,0),0)/1000,0)</f>
        <v>217949.70800000001</v>
      </c>
      <c r="C88" s="9">
        <f>IFERROR(VLOOKUP($A88,ANTIGA_LIVRES!$A:$P,MATCH(APENDICE_BCB!C$3,ANTIGA_LIVRES!$1:$1,0),0)/1000,0)</f>
        <v>131662.51300000001</v>
      </c>
      <c r="D88" s="9">
        <f>IFERROR(VLOOKUP($A88,ANTIGA_LIVRES!$A:$P,MATCH(APENDICE_BCB!D$3,ANTIGA_LIVRES!$1:$1,0),0)/1000,0)</f>
        <v>86287.195000000007</v>
      </c>
      <c r="E88" s="9">
        <f>IFERROR(VLOOKUP($A88,ANTIGA_DIRECIONADOS!$A:$P,MATCH(APENDICE_BCB!E$3,ANTIGA_DIRECIONADOS!$1:$1,0),0),0)</f>
        <v>154720</v>
      </c>
      <c r="F88" s="9">
        <f>IFERROR(VLOOKUP($A88,ANTIGA_DIRECIONADOS!$A:$P,MATCH(APENDICE_BCB!F$3,ANTIGA_DIRECIONADOS!$1:$1,0),0),0)</f>
        <v>56924</v>
      </c>
      <c r="G88" s="9">
        <f>IFERROR(VLOOKUP($A88,ANTIGA_DIRECIONADOS!$A:$P,MATCH(APENDICE_BCB!G$3,ANTIGA_DIRECIONADOS!$1:$1,0),0),0)</f>
        <v>97796</v>
      </c>
      <c r="H88" s="9">
        <f>IFERROR(VLOOKUP($A88,ATUAL_LIV_E_DIR!$A:$P,MATCH(APENDICE_BCB!H$3,ATUAL_LIV_E_DIR!$1:$1,0),0),0)</f>
        <v>0</v>
      </c>
      <c r="I88" s="9">
        <f>IFERROR(VLOOKUP($A88,ATUAL_LIV_E_DIR!$A:$P,MATCH(APENDICE_BCB!I$3,ATUAL_LIV_E_DIR!$1:$1,0),0),0)</f>
        <v>0</v>
      </c>
      <c r="J88" s="9">
        <f>IFERROR(VLOOKUP($A88,ATUAL_LIV_E_DIR!$A:$P,MATCH(APENDICE_BCB!J$3,ATUAL_LIV_E_DIR!$1:$1,0),0),0)</f>
        <v>0</v>
      </c>
      <c r="K88" s="9">
        <f>IFERROR(VLOOKUP($A88,ATUAL_LIV_E_DIR!$A:$P,MATCH(APENDICE_BCB!K$3,ATUAL_LIV_E_DIR!$1:$1,0),0),0)</f>
        <v>0</v>
      </c>
      <c r="L88" s="9">
        <f>IFERROR(VLOOKUP($A88,ATUAL_LIV_E_DIR!$A:$P,MATCH(APENDICE_BCB!L$3,ATUAL_LIV_E_DIR!$1:$1,0),0),0)</f>
        <v>0</v>
      </c>
      <c r="M88" s="9">
        <f>IFERROR(VLOOKUP($A88,ATUAL_LIV_E_DIR!$A:$P,MATCH(APENDICE_BCB!M$3,ATUAL_LIV_E_DIR!$1:$1,0),0),0)</f>
        <v>0</v>
      </c>
      <c r="O88" s="11">
        <f t="shared" si="16"/>
        <v>372669.70799999998</v>
      </c>
      <c r="P88" s="11">
        <f t="shared" si="17"/>
        <v>0</v>
      </c>
      <c r="Q88" s="11">
        <f t="shared" si="18"/>
        <v>229458.51300000001</v>
      </c>
      <c r="R88" s="11">
        <f t="shared" si="19"/>
        <v>0</v>
      </c>
      <c r="S88" s="11">
        <f t="shared" si="20"/>
        <v>143211.19500000001</v>
      </c>
      <c r="T88" s="11"/>
      <c r="V88" s="7">
        <f t="shared" si="21"/>
        <v>0.38428450696615246</v>
      </c>
      <c r="W88">
        <f t="shared" si="22"/>
        <v>0</v>
      </c>
      <c r="Y88" s="8">
        <f t="shared" si="25"/>
        <v>1.2787394580631162E-2</v>
      </c>
      <c r="Z88" s="8"/>
      <c r="AB88" s="11">
        <f t="shared" si="23"/>
        <v>425987.59085689986</v>
      </c>
      <c r="AC88" s="1">
        <f t="shared" si="12"/>
        <v>37895</v>
      </c>
      <c r="AD88" s="9">
        <f t="shared" si="24"/>
        <v>163700.43132614283</v>
      </c>
      <c r="AE88" s="1">
        <f t="shared" si="13"/>
        <v>37895</v>
      </c>
      <c r="AF88" s="11">
        <f t="shared" si="14"/>
        <v>163700.43132614283</v>
      </c>
    </row>
    <row r="89" spans="1:32" x14ac:dyDescent="0.25">
      <c r="A89" s="1">
        <v>37926</v>
      </c>
      <c r="B89" s="9">
        <f>IFERROR(VLOOKUP($A89,ANTIGA_LIVRES!$A:$P,MATCH(APENDICE_BCB!B$3,ANTIGA_LIVRES!$1:$1,0),0)/1000,0)</f>
        <v>222005.421</v>
      </c>
      <c r="C89" s="9">
        <f>IFERROR(VLOOKUP($A89,ANTIGA_LIVRES!$A:$P,MATCH(APENDICE_BCB!C$3,ANTIGA_LIVRES!$1:$1,0),0)/1000,0)</f>
        <v>134498.89300000001</v>
      </c>
      <c r="D89" s="9">
        <f>IFERROR(VLOOKUP($A89,ANTIGA_LIVRES!$A:$P,MATCH(APENDICE_BCB!D$3,ANTIGA_LIVRES!$1:$1,0),0)/1000,0)</f>
        <v>87506.528000000006</v>
      </c>
      <c r="E89" s="9">
        <f>IFERROR(VLOOKUP($A89,ANTIGA_DIRECIONADOS!$A:$P,MATCH(APENDICE_BCB!E$3,ANTIGA_DIRECIONADOS!$1:$1,0),0),0)</f>
        <v>160334</v>
      </c>
      <c r="F89" s="9">
        <f>IFERROR(VLOOKUP($A89,ANTIGA_DIRECIONADOS!$A:$P,MATCH(APENDICE_BCB!F$3,ANTIGA_DIRECIONADOS!$1:$1,0),0),0)</f>
        <v>57562</v>
      </c>
      <c r="G89" s="9">
        <f>IFERROR(VLOOKUP($A89,ANTIGA_DIRECIONADOS!$A:$P,MATCH(APENDICE_BCB!G$3,ANTIGA_DIRECIONADOS!$1:$1,0),0),0)</f>
        <v>102772</v>
      </c>
      <c r="H89" s="9">
        <f>IFERROR(VLOOKUP($A89,ATUAL_LIV_E_DIR!$A:$P,MATCH(APENDICE_BCB!H$3,ATUAL_LIV_E_DIR!$1:$1,0),0),0)</f>
        <v>0</v>
      </c>
      <c r="I89" s="9">
        <f>IFERROR(VLOOKUP($A89,ATUAL_LIV_E_DIR!$A:$P,MATCH(APENDICE_BCB!I$3,ATUAL_LIV_E_DIR!$1:$1,0),0),0)</f>
        <v>0</v>
      </c>
      <c r="J89" s="9">
        <f>IFERROR(VLOOKUP($A89,ATUAL_LIV_E_DIR!$A:$P,MATCH(APENDICE_BCB!J$3,ATUAL_LIV_E_DIR!$1:$1,0),0),0)</f>
        <v>0</v>
      </c>
      <c r="K89" s="9">
        <f>IFERROR(VLOOKUP($A89,ATUAL_LIV_E_DIR!$A:$P,MATCH(APENDICE_BCB!K$3,ATUAL_LIV_E_DIR!$1:$1,0),0),0)</f>
        <v>0</v>
      </c>
      <c r="L89" s="9">
        <f>IFERROR(VLOOKUP($A89,ATUAL_LIV_E_DIR!$A:$P,MATCH(APENDICE_BCB!L$3,ATUAL_LIV_E_DIR!$1:$1,0),0),0)</f>
        <v>0</v>
      </c>
      <c r="M89" s="9">
        <f>IFERROR(VLOOKUP($A89,ATUAL_LIV_E_DIR!$A:$P,MATCH(APENDICE_BCB!M$3,ATUAL_LIV_E_DIR!$1:$1,0),0),0)</f>
        <v>0</v>
      </c>
      <c r="O89" s="11">
        <f t="shared" si="16"/>
        <v>382339.42099999997</v>
      </c>
      <c r="P89" s="11">
        <f t="shared" si="17"/>
        <v>0</v>
      </c>
      <c r="Q89" s="11">
        <f t="shared" si="18"/>
        <v>237270.89300000001</v>
      </c>
      <c r="R89" s="11">
        <f t="shared" si="19"/>
        <v>0</v>
      </c>
      <c r="S89" s="11">
        <f t="shared" si="20"/>
        <v>145068.52799999999</v>
      </c>
      <c r="T89" s="11"/>
      <c r="V89" s="7">
        <f t="shared" si="21"/>
        <v>0.37942341289469078</v>
      </c>
      <c r="W89">
        <f t="shared" si="22"/>
        <v>0</v>
      </c>
      <c r="Y89" s="8">
        <f t="shared" si="25"/>
        <v>2.5947139765918337E-2</v>
      </c>
      <c r="Z89" s="8"/>
      <c r="AB89" s="11">
        <f t="shared" si="23"/>
        <v>437040.75041541073</v>
      </c>
      <c r="AC89" s="1">
        <f t="shared" si="12"/>
        <v>37926</v>
      </c>
      <c r="AD89" s="9">
        <f t="shared" si="24"/>
        <v>165823.49309667188</v>
      </c>
      <c r="AE89" s="1">
        <f t="shared" si="13"/>
        <v>37926</v>
      </c>
      <c r="AF89" s="11">
        <f t="shared" si="14"/>
        <v>165823.49309667188</v>
      </c>
    </row>
    <row r="90" spans="1:32" x14ac:dyDescent="0.25">
      <c r="A90" s="1">
        <v>37956</v>
      </c>
      <c r="B90" s="9">
        <f>IFERROR(VLOOKUP($A90,ANTIGA_LIVRES!$A:$P,MATCH(APENDICE_BCB!B$3,ANTIGA_LIVRES!$1:$1,0),0)/1000,0)</f>
        <v>224224.353</v>
      </c>
      <c r="C90" s="9">
        <f>IFERROR(VLOOKUP($A90,ANTIGA_LIVRES!$A:$P,MATCH(APENDICE_BCB!C$3,ANTIGA_LIVRES!$1:$1,0),0)/1000,0)</f>
        <v>136125.74600000001</v>
      </c>
      <c r="D90" s="9">
        <f>IFERROR(VLOOKUP($A90,ANTIGA_LIVRES!$A:$P,MATCH(APENDICE_BCB!D$3,ANTIGA_LIVRES!$1:$1,0),0)/1000,0)</f>
        <v>88098.607000000004</v>
      </c>
      <c r="E90" s="9">
        <f>IFERROR(VLOOKUP($A90,ANTIGA_DIRECIONADOS!$A:$P,MATCH(APENDICE_BCB!E$3,ANTIGA_DIRECIONADOS!$1:$1,0),0),0)</f>
        <v>162617</v>
      </c>
      <c r="F90" s="9">
        <f>IFERROR(VLOOKUP($A90,ANTIGA_DIRECIONADOS!$A:$P,MATCH(APENDICE_BCB!F$3,ANTIGA_DIRECIONADOS!$1:$1,0),0),0)</f>
        <v>58249</v>
      </c>
      <c r="G90" s="9">
        <f>IFERROR(VLOOKUP($A90,ANTIGA_DIRECIONADOS!$A:$P,MATCH(APENDICE_BCB!G$3,ANTIGA_DIRECIONADOS!$1:$1,0),0),0)</f>
        <v>104368</v>
      </c>
      <c r="H90" s="9">
        <f>IFERROR(VLOOKUP($A90,ATUAL_LIV_E_DIR!$A:$P,MATCH(APENDICE_BCB!H$3,ATUAL_LIV_E_DIR!$1:$1,0),0),0)</f>
        <v>0</v>
      </c>
      <c r="I90" s="9">
        <f>IFERROR(VLOOKUP($A90,ATUAL_LIV_E_DIR!$A:$P,MATCH(APENDICE_BCB!I$3,ATUAL_LIV_E_DIR!$1:$1,0),0),0)</f>
        <v>0</v>
      </c>
      <c r="J90" s="9">
        <f>IFERROR(VLOOKUP($A90,ATUAL_LIV_E_DIR!$A:$P,MATCH(APENDICE_BCB!J$3,ATUAL_LIV_E_DIR!$1:$1,0),0),0)</f>
        <v>0</v>
      </c>
      <c r="K90" s="9">
        <f>IFERROR(VLOOKUP($A90,ATUAL_LIV_E_DIR!$A:$P,MATCH(APENDICE_BCB!K$3,ATUAL_LIV_E_DIR!$1:$1,0),0),0)</f>
        <v>0</v>
      </c>
      <c r="L90" s="9">
        <f>IFERROR(VLOOKUP($A90,ATUAL_LIV_E_DIR!$A:$P,MATCH(APENDICE_BCB!L$3,ATUAL_LIV_E_DIR!$1:$1,0),0),0)</f>
        <v>0</v>
      </c>
      <c r="M90" s="9">
        <f>IFERROR(VLOOKUP($A90,ATUAL_LIV_E_DIR!$A:$P,MATCH(APENDICE_BCB!M$3,ATUAL_LIV_E_DIR!$1:$1,0),0),0)</f>
        <v>0</v>
      </c>
      <c r="O90" s="11">
        <f t="shared" si="16"/>
        <v>386841.353</v>
      </c>
      <c r="P90" s="11">
        <f t="shared" si="17"/>
        <v>0</v>
      </c>
      <c r="Q90" s="11">
        <f t="shared" si="18"/>
        <v>240493.74600000001</v>
      </c>
      <c r="R90" s="11">
        <f t="shared" si="19"/>
        <v>0</v>
      </c>
      <c r="S90" s="11">
        <f t="shared" si="20"/>
        <v>146347.60700000002</v>
      </c>
      <c r="T90" s="11"/>
      <c r="V90" s="7">
        <f t="shared" si="21"/>
        <v>0.37831427758448571</v>
      </c>
      <c r="W90">
        <f t="shared" si="22"/>
        <v>0</v>
      </c>
      <c r="Y90" s="8">
        <f t="shared" si="25"/>
        <v>1.1774700051136122E-2</v>
      </c>
      <c r="Z90" s="8"/>
      <c r="AB90" s="11">
        <f t="shared" si="23"/>
        <v>442186.7741616756</v>
      </c>
      <c r="AC90" s="1">
        <f t="shared" si="12"/>
        <v>37956</v>
      </c>
      <c r="AD90" s="9">
        <f t="shared" si="24"/>
        <v>167285.57002438843</v>
      </c>
      <c r="AE90" s="1">
        <f t="shared" si="13"/>
        <v>37956</v>
      </c>
      <c r="AF90" s="11">
        <f t="shared" si="14"/>
        <v>167285.57002438843</v>
      </c>
    </row>
    <row r="91" spans="1:32" x14ac:dyDescent="0.25">
      <c r="A91" s="1">
        <v>37987</v>
      </c>
      <c r="B91" s="9">
        <f>IFERROR(VLOOKUP($A91,ANTIGA_LIVRES!$A:$P,MATCH(APENDICE_BCB!B$3,ANTIGA_LIVRES!$1:$1,0),0)/1000,0)</f>
        <v>224659.62599999999</v>
      </c>
      <c r="C91" s="9">
        <f>IFERROR(VLOOKUP($A91,ANTIGA_LIVRES!$A:$P,MATCH(APENDICE_BCB!C$3,ANTIGA_LIVRES!$1:$1,0),0)/1000,0)</f>
        <v>134957.06599999999</v>
      </c>
      <c r="D91" s="9">
        <f>IFERROR(VLOOKUP($A91,ANTIGA_LIVRES!$A:$P,MATCH(APENDICE_BCB!D$3,ANTIGA_LIVRES!$1:$1,0),0)/1000,0)</f>
        <v>89702.56</v>
      </c>
      <c r="E91" s="9">
        <f>IFERROR(VLOOKUP($A91,ANTIGA_DIRECIONADOS!$A:$P,MATCH(APENDICE_BCB!E$3,ANTIGA_DIRECIONADOS!$1:$1,0),0),0)</f>
        <v>162827</v>
      </c>
      <c r="F91" s="9">
        <f>IFERROR(VLOOKUP($A91,ANTIGA_DIRECIONADOS!$A:$P,MATCH(APENDICE_BCB!F$3,ANTIGA_DIRECIONADOS!$1:$1,0),0),0)</f>
        <v>57558</v>
      </c>
      <c r="G91" s="9">
        <f>IFERROR(VLOOKUP($A91,ANTIGA_DIRECIONADOS!$A:$P,MATCH(APENDICE_BCB!G$3,ANTIGA_DIRECIONADOS!$1:$1,0),0),0)</f>
        <v>105269</v>
      </c>
      <c r="H91" s="9">
        <f>IFERROR(VLOOKUP($A91,ATUAL_LIV_E_DIR!$A:$P,MATCH(APENDICE_BCB!H$3,ATUAL_LIV_E_DIR!$1:$1,0),0),0)</f>
        <v>0</v>
      </c>
      <c r="I91" s="9">
        <f>IFERROR(VLOOKUP($A91,ATUAL_LIV_E_DIR!$A:$P,MATCH(APENDICE_BCB!I$3,ATUAL_LIV_E_DIR!$1:$1,0),0),0)</f>
        <v>0</v>
      </c>
      <c r="J91" s="9">
        <f>IFERROR(VLOOKUP($A91,ATUAL_LIV_E_DIR!$A:$P,MATCH(APENDICE_BCB!J$3,ATUAL_LIV_E_DIR!$1:$1,0),0),0)</f>
        <v>0</v>
      </c>
      <c r="K91" s="9">
        <f>IFERROR(VLOOKUP($A91,ATUAL_LIV_E_DIR!$A:$P,MATCH(APENDICE_BCB!K$3,ATUAL_LIV_E_DIR!$1:$1,0),0),0)</f>
        <v>0</v>
      </c>
      <c r="L91" s="9">
        <f>IFERROR(VLOOKUP($A91,ATUAL_LIV_E_DIR!$A:$P,MATCH(APENDICE_BCB!L$3,ATUAL_LIV_E_DIR!$1:$1,0),0),0)</f>
        <v>0</v>
      </c>
      <c r="M91" s="9">
        <f>IFERROR(VLOOKUP($A91,ATUAL_LIV_E_DIR!$A:$P,MATCH(APENDICE_BCB!M$3,ATUAL_LIV_E_DIR!$1:$1,0),0),0)</f>
        <v>0</v>
      </c>
      <c r="O91" s="11">
        <f t="shared" si="16"/>
        <v>387486.62599999999</v>
      </c>
      <c r="P91" s="11">
        <f t="shared" si="17"/>
        <v>0</v>
      </c>
      <c r="Q91" s="11">
        <f t="shared" si="18"/>
        <v>240226.06599999999</v>
      </c>
      <c r="R91" s="11">
        <f t="shared" si="19"/>
        <v>0</v>
      </c>
      <c r="S91" s="11">
        <f t="shared" si="20"/>
        <v>147260.56</v>
      </c>
      <c r="T91" s="11"/>
      <c r="V91" s="7">
        <f t="shared" si="21"/>
        <v>0.38004036815453857</v>
      </c>
      <c r="W91">
        <f t="shared" si="22"/>
        <v>0</v>
      </c>
      <c r="Y91" s="8">
        <f t="shared" si="25"/>
        <v>1.6680558968058534E-3</v>
      </c>
      <c r="Z91" s="8"/>
      <c r="AB91" s="11">
        <f t="shared" si="23"/>
        <v>442924.36641780549</v>
      </c>
      <c r="AC91" s="1">
        <f t="shared" si="12"/>
        <v>37987</v>
      </c>
      <c r="AD91" s="9">
        <f t="shared" si="24"/>
        <v>168329.13927803855</v>
      </c>
      <c r="AE91" s="1">
        <f t="shared" si="13"/>
        <v>37987</v>
      </c>
      <c r="AF91" s="11">
        <f t="shared" si="14"/>
        <v>168329.13927803855</v>
      </c>
    </row>
    <row r="92" spans="1:32" x14ac:dyDescent="0.25">
      <c r="A92" s="1">
        <v>38018</v>
      </c>
      <c r="B92" s="9">
        <f>IFERROR(VLOOKUP($A92,ANTIGA_LIVRES!$A:$P,MATCH(APENDICE_BCB!B$3,ANTIGA_LIVRES!$1:$1,0),0)/1000,0)</f>
        <v>228926.68799999999</v>
      </c>
      <c r="C92" s="9">
        <f>IFERROR(VLOOKUP($A92,ANTIGA_LIVRES!$A:$P,MATCH(APENDICE_BCB!C$3,ANTIGA_LIVRES!$1:$1,0),0)/1000,0)</f>
        <v>137333.20800000001</v>
      </c>
      <c r="D92" s="9">
        <f>IFERROR(VLOOKUP($A92,ANTIGA_LIVRES!$A:$P,MATCH(APENDICE_BCB!D$3,ANTIGA_LIVRES!$1:$1,0),0)/1000,0)</f>
        <v>91593.48</v>
      </c>
      <c r="E92" s="9">
        <f>IFERROR(VLOOKUP($A92,ANTIGA_DIRECIONADOS!$A:$P,MATCH(APENDICE_BCB!E$3,ANTIGA_DIRECIONADOS!$1:$1,0),0),0)</f>
        <v>161735</v>
      </c>
      <c r="F92" s="9">
        <f>IFERROR(VLOOKUP($A92,ANTIGA_DIRECIONADOS!$A:$P,MATCH(APENDICE_BCB!F$3,ANTIGA_DIRECIONADOS!$1:$1,0),0),0)</f>
        <v>57364</v>
      </c>
      <c r="G92" s="9">
        <f>IFERROR(VLOOKUP($A92,ANTIGA_DIRECIONADOS!$A:$P,MATCH(APENDICE_BCB!G$3,ANTIGA_DIRECIONADOS!$1:$1,0),0),0)</f>
        <v>104371</v>
      </c>
      <c r="H92" s="9">
        <f>IFERROR(VLOOKUP($A92,ATUAL_LIV_E_DIR!$A:$P,MATCH(APENDICE_BCB!H$3,ATUAL_LIV_E_DIR!$1:$1,0),0),0)</f>
        <v>0</v>
      </c>
      <c r="I92" s="9">
        <f>IFERROR(VLOOKUP($A92,ATUAL_LIV_E_DIR!$A:$P,MATCH(APENDICE_BCB!I$3,ATUAL_LIV_E_DIR!$1:$1,0),0),0)</f>
        <v>0</v>
      </c>
      <c r="J92" s="9">
        <f>IFERROR(VLOOKUP($A92,ATUAL_LIV_E_DIR!$A:$P,MATCH(APENDICE_BCB!J$3,ATUAL_LIV_E_DIR!$1:$1,0),0),0)</f>
        <v>0</v>
      </c>
      <c r="K92" s="9">
        <f>IFERROR(VLOOKUP($A92,ATUAL_LIV_E_DIR!$A:$P,MATCH(APENDICE_BCB!K$3,ATUAL_LIV_E_DIR!$1:$1,0),0),0)</f>
        <v>0</v>
      </c>
      <c r="L92" s="9">
        <f>IFERROR(VLOOKUP($A92,ATUAL_LIV_E_DIR!$A:$P,MATCH(APENDICE_BCB!L$3,ATUAL_LIV_E_DIR!$1:$1,0),0),0)</f>
        <v>0</v>
      </c>
      <c r="M92" s="9">
        <f>IFERROR(VLOOKUP($A92,ATUAL_LIV_E_DIR!$A:$P,MATCH(APENDICE_BCB!M$3,ATUAL_LIV_E_DIR!$1:$1,0),0),0)</f>
        <v>0</v>
      </c>
      <c r="O92" s="11">
        <f t="shared" si="16"/>
        <v>390661.68799999997</v>
      </c>
      <c r="P92" s="11">
        <f t="shared" si="17"/>
        <v>0</v>
      </c>
      <c r="Q92" s="11">
        <f t="shared" si="18"/>
        <v>241704.20800000001</v>
      </c>
      <c r="R92" s="11">
        <f t="shared" si="19"/>
        <v>0</v>
      </c>
      <c r="S92" s="11">
        <f t="shared" si="20"/>
        <v>148957.47999999998</v>
      </c>
      <c r="T92" s="11"/>
      <c r="V92" s="7">
        <f t="shared" si="21"/>
        <v>0.38129533705388585</v>
      </c>
      <c r="W92">
        <f t="shared" si="22"/>
        <v>0</v>
      </c>
      <c r="Y92" s="8">
        <f t="shared" si="25"/>
        <v>8.1939911908082141E-3</v>
      </c>
      <c r="Z92" s="8"/>
      <c r="AB92" s="11">
        <f t="shared" si="23"/>
        <v>446553.68477442727</v>
      </c>
      <c r="AC92" s="1">
        <f t="shared" si="12"/>
        <v>38018</v>
      </c>
      <c r="AD92" s="9">
        <f t="shared" si="24"/>
        <v>170268.83774871993</v>
      </c>
      <c r="AE92" s="1">
        <f t="shared" si="13"/>
        <v>38018</v>
      </c>
      <c r="AF92" s="11">
        <f t="shared" si="14"/>
        <v>170268.83774871993</v>
      </c>
    </row>
    <row r="93" spans="1:32" x14ac:dyDescent="0.25">
      <c r="A93" s="1">
        <v>38047</v>
      </c>
      <c r="B93" s="9">
        <f>IFERROR(VLOOKUP($A93,ANTIGA_LIVRES!$A:$P,MATCH(APENDICE_BCB!B$3,ANTIGA_LIVRES!$1:$1,0),0)/1000,0)</f>
        <v>232618.701</v>
      </c>
      <c r="C93" s="9">
        <f>IFERROR(VLOOKUP($A93,ANTIGA_LIVRES!$A:$P,MATCH(APENDICE_BCB!C$3,ANTIGA_LIVRES!$1:$1,0),0)/1000,0)</f>
        <v>138780.30100000001</v>
      </c>
      <c r="D93" s="9">
        <f>IFERROR(VLOOKUP($A93,ANTIGA_LIVRES!$A:$P,MATCH(APENDICE_BCB!D$3,ANTIGA_LIVRES!$1:$1,0),0)/1000,0)</f>
        <v>93838.399999999994</v>
      </c>
      <c r="E93" s="9">
        <f>IFERROR(VLOOKUP($A93,ANTIGA_DIRECIONADOS!$A:$P,MATCH(APENDICE_BCB!E$3,ANTIGA_DIRECIONADOS!$1:$1,0),0),0)</f>
        <v>163454</v>
      </c>
      <c r="F93" s="9">
        <f>IFERROR(VLOOKUP($A93,ANTIGA_DIRECIONADOS!$A:$P,MATCH(APENDICE_BCB!F$3,ANTIGA_DIRECIONADOS!$1:$1,0),0),0)</f>
        <v>57370</v>
      </c>
      <c r="G93" s="9">
        <f>IFERROR(VLOOKUP($A93,ANTIGA_DIRECIONADOS!$A:$P,MATCH(APENDICE_BCB!G$3,ANTIGA_DIRECIONADOS!$1:$1,0),0),0)</f>
        <v>106084</v>
      </c>
      <c r="H93" s="9">
        <f>IFERROR(VLOOKUP($A93,ATUAL_LIV_E_DIR!$A:$P,MATCH(APENDICE_BCB!H$3,ATUAL_LIV_E_DIR!$1:$1,0),0),0)</f>
        <v>0</v>
      </c>
      <c r="I93" s="9">
        <f>IFERROR(VLOOKUP($A93,ATUAL_LIV_E_DIR!$A:$P,MATCH(APENDICE_BCB!I$3,ATUAL_LIV_E_DIR!$1:$1,0),0),0)</f>
        <v>0</v>
      </c>
      <c r="J93" s="9">
        <f>IFERROR(VLOOKUP($A93,ATUAL_LIV_E_DIR!$A:$P,MATCH(APENDICE_BCB!J$3,ATUAL_LIV_E_DIR!$1:$1,0),0),0)</f>
        <v>0</v>
      </c>
      <c r="K93" s="9">
        <f>IFERROR(VLOOKUP($A93,ATUAL_LIV_E_DIR!$A:$P,MATCH(APENDICE_BCB!K$3,ATUAL_LIV_E_DIR!$1:$1,0),0),0)</f>
        <v>0</v>
      </c>
      <c r="L93" s="9">
        <f>IFERROR(VLOOKUP($A93,ATUAL_LIV_E_DIR!$A:$P,MATCH(APENDICE_BCB!L$3,ATUAL_LIV_E_DIR!$1:$1,0),0),0)</f>
        <v>0</v>
      </c>
      <c r="M93" s="9">
        <f>IFERROR(VLOOKUP($A93,ATUAL_LIV_E_DIR!$A:$P,MATCH(APENDICE_BCB!M$3,ATUAL_LIV_E_DIR!$1:$1,0),0),0)</f>
        <v>0</v>
      </c>
      <c r="O93" s="11">
        <f t="shared" si="16"/>
        <v>396072.701</v>
      </c>
      <c r="P93" s="11">
        <f t="shared" si="17"/>
        <v>0</v>
      </c>
      <c r="Q93" s="11">
        <f t="shared" si="18"/>
        <v>244864.30100000001</v>
      </c>
      <c r="R93" s="11">
        <f t="shared" si="19"/>
        <v>0</v>
      </c>
      <c r="S93" s="11">
        <f t="shared" si="20"/>
        <v>151208.4</v>
      </c>
      <c r="T93" s="11"/>
      <c r="V93" s="7">
        <f t="shared" si="21"/>
        <v>0.38176930552959265</v>
      </c>
      <c r="W93">
        <f t="shared" si="22"/>
        <v>0</v>
      </c>
      <c r="Y93" s="8">
        <f t="shared" si="25"/>
        <v>1.385089238645798E-2</v>
      </c>
      <c r="Z93" s="8"/>
      <c r="AB93" s="11">
        <f t="shared" si="23"/>
        <v>452738.85180701414</v>
      </c>
      <c r="AC93" s="1">
        <f t="shared" si="12"/>
        <v>38047</v>
      </c>
      <c r="AD93" s="9">
        <f t="shared" si="24"/>
        <v>172841.79704062894</v>
      </c>
      <c r="AE93" s="1">
        <f t="shared" si="13"/>
        <v>38047</v>
      </c>
      <c r="AF93" s="11">
        <f t="shared" si="14"/>
        <v>172841.79704062894</v>
      </c>
    </row>
    <row r="94" spans="1:32" x14ac:dyDescent="0.25">
      <c r="A94" s="1">
        <v>38078</v>
      </c>
      <c r="B94" s="9">
        <f>IFERROR(VLOOKUP($A94,ANTIGA_LIVRES!$A:$P,MATCH(APENDICE_BCB!B$3,ANTIGA_LIVRES!$1:$1,0),0)/1000,0)</f>
        <v>239776.12899999999</v>
      </c>
      <c r="C94" s="9">
        <f>IFERROR(VLOOKUP($A94,ANTIGA_LIVRES!$A:$P,MATCH(APENDICE_BCB!C$3,ANTIGA_LIVRES!$1:$1,0),0)/1000,0)</f>
        <v>143809.50899999999</v>
      </c>
      <c r="D94" s="9">
        <f>IFERROR(VLOOKUP($A94,ANTIGA_LIVRES!$A:$P,MATCH(APENDICE_BCB!D$3,ANTIGA_LIVRES!$1:$1,0),0)/1000,0)</f>
        <v>95966.62</v>
      </c>
      <c r="E94" s="9">
        <f>IFERROR(VLOOKUP($A94,ANTIGA_DIRECIONADOS!$A:$P,MATCH(APENDICE_BCB!E$3,ANTIGA_DIRECIONADOS!$1:$1,0),0),0)</f>
        <v>165995</v>
      </c>
      <c r="F94" s="9">
        <f>IFERROR(VLOOKUP($A94,ANTIGA_DIRECIONADOS!$A:$P,MATCH(APENDICE_BCB!F$3,ANTIGA_DIRECIONADOS!$1:$1,0),0),0)</f>
        <v>58175</v>
      </c>
      <c r="G94" s="9">
        <f>IFERROR(VLOOKUP($A94,ANTIGA_DIRECIONADOS!$A:$P,MATCH(APENDICE_BCB!G$3,ANTIGA_DIRECIONADOS!$1:$1,0),0),0)</f>
        <v>107820</v>
      </c>
      <c r="H94" s="9">
        <f>IFERROR(VLOOKUP($A94,ATUAL_LIV_E_DIR!$A:$P,MATCH(APENDICE_BCB!H$3,ATUAL_LIV_E_DIR!$1:$1,0),0),0)</f>
        <v>0</v>
      </c>
      <c r="I94" s="9">
        <f>IFERROR(VLOOKUP($A94,ATUAL_LIV_E_DIR!$A:$P,MATCH(APENDICE_BCB!I$3,ATUAL_LIV_E_DIR!$1:$1,0),0),0)</f>
        <v>0</v>
      </c>
      <c r="J94" s="9">
        <f>IFERROR(VLOOKUP($A94,ATUAL_LIV_E_DIR!$A:$P,MATCH(APENDICE_BCB!J$3,ATUAL_LIV_E_DIR!$1:$1,0),0),0)</f>
        <v>0</v>
      </c>
      <c r="K94" s="9">
        <f>IFERROR(VLOOKUP($A94,ATUAL_LIV_E_DIR!$A:$P,MATCH(APENDICE_BCB!K$3,ATUAL_LIV_E_DIR!$1:$1,0),0),0)</f>
        <v>0</v>
      </c>
      <c r="L94" s="9">
        <f>IFERROR(VLOOKUP($A94,ATUAL_LIV_E_DIR!$A:$P,MATCH(APENDICE_BCB!L$3,ATUAL_LIV_E_DIR!$1:$1,0),0),0)</f>
        <v>0</v>
      </c>
      <c r="M94" s="9">
        <f>IFERROR(VLOOKUP($A94,ATUAL_LIV_E_DIR!$A:$P,MATCH(APENDICE_BCB!M$3,ATUAL_LIV_E_DIR!$1:$1,0),0),0)</f>
        <v>0</v>
      </c>
      <c r="O94" s="11">
        <f t="shared" si="16"/>
        <v>405771.12899999996</v>
      </c>
      <c r="P94" s="11">
        <f t="shared" si="17"/>
        <v>0</v>
      </c>
      <c r="Q94" s="11">
        <f t="shared" si="18"/>
        <v>251629.50899999999</v>
      </c>
      <c r="R94" s="11">
        <f t="shared" si="19"/>
        <v>0</v>
      </c>
      <c r="S94" s="11">
        <f t="shared" si="20"/>
        <v>154141.62</v>
      </c>
      <c r="T94" s="11"/>
      <c r="V94" s="7">
        <f t="shared" si="21"/>
        <v>0.37987330537752478</v>
      </c>
      <c r="W94">
        <f t="shared" si="22"/>
        <v>0</v>
      </c>
      <c r="Y94" s="8">
        <f t="shared" si="25"/>
        <v>2.4486484363889449E-2</v>
      </c>
      <c r="Z94" s="8"/>
      <c r="AB94" s="11">
        <f t="shared" si="23"/>
        <v>463824.83462271182</v>
      </c>
      <c r="AC94" s="1">
        <f t="shared" si="12"/>
        <v>38078</v>
      </c>
      <c r="AD94" s="9">
        <f t="shared" si="24"/>
        <v>176194.67304431333</v>
      </c>
      <c r="AE94" s="1">
        <f t="shared" si="13"/>
        <v>38078</v>
      </c>
      <c r="AF94" s="11">
        <f t="shared" si="14"/>
        <v>176194.67304431333</v>
      </c>
    </row>
    <row r="95" spans="1:32" x14ac:dyDescent="0.25">
      <c r="A95" s="1">
        <v>38108</v>
      </c>
      <c r="B95" s="9">
        <f>IFERROR(VLOOKUP($A95,ANTIGA_LIVRES!$A:$P,MATCH(APENDICE_BCB!B$3,ANTIGA_LIVRES!$1:$1,0),0)/1000,0)</f>
        <v>248179.65900000001</v>
      </c>
      <c r="C95" s="9">
        <f>IFERROR(VLOOKUP($A95,ANTIGA_LIVRES!$A:$P,MATCH(APENDICE_BCB!C$3,ANTIGA_LIVRES!$1:$1,0),0)/1000,0)</f>
        <v>149930.38200000001</v>
      </c>
      <c r="D95" s="9">
        <f>IFERROR(VLOOKUP($A95,ANTIGA_LIVRES!$A:$P,MATCH(APENDICE_BCB!D$3,ANTIGA_LIVRES!$1:$1,0),0)/1000,0)</f>
        <v>98249.277000000002</v>
      </c>
      <c r="E95" s="9">
        <f>IFERROR(VLOOKUP($A95,ANTIGA_DIRECIONADOS!$A:$P,MATCH(APENDICE_BCB!E$3,ANTIGA_DIRECIONADOS!$1:$1,0),0),0)</f>
        <v>167473</v>
      </c>
      <c r="F95" s="9">
        <f>IFERROR(VLOOKUP($A95,ANTIGA_DIRECIONADOS!$A:$P,MATCH(APENDICE_BCB!F$3,ANTIGA_DIRECIONADOS!$1:$1,0),0),0)</f>
        <v>58905</v>
      </c>
      <c r="G95" s="9">
        <f>IFERROR(VLOOKUP($A95,ANTIGA_DIRECIONADOS!$A:$P,MATCH(APENDICE_BCB!G$3,ANTIGA_DIRECIONADOS!$1:$1,0),0),0)</f>
        <v>108568</v>
      </c>
      <c r="H95" s="9">
        <f>IFERROR(VLOOKUP($A95,ATUAL_LIV_E_DIR!$A:$P,MATCH(APENDICE_BCB!H$3,ATUAL_LIV_E_DIR!$1:$1,0),0),0)</f>
        <v>0</v>
      </c>
      <c r="I95" s="9">
        <f>IFERROR(VLOOKUP($A95,ATUAL_LIV_E_DIR!$A:$P,MATCH(APENDICE_BCB!I$3,ATUAL_LIV_E_DIR!$1:$1,0),0),0)</f>
        <v>0</v>
      </c>
      <c r="J95" s="9">
        <f>IFERROR(VLOOKUP($A95,ATUAL_LIV_E_DIR!$A:$P,MATCH(APENDICE_BCB!J$3,ATUAL_LIV_E_DIR!$1:$1,0),0),0)</f>
        <v>0</v>
      </c>
      <c r="K95" s="9">
        <f>IFERROR(VLOOKUP($A95,ATUAL_LIV_E_DIR!$A:$P,MATCH(APENDICE_BCB!K$3,ATUAL_LIV_E_DIR!$1:$1,0),0),0)</f>
        <v>0</v>
      </c>
      <c r="L95" s="9">
        <f>IFERROR(VLOOKUP($A95,ATUAL_LIV_E_DIR!$A:$P,MATCH(APENDICE_BCB!L$3,ATUAL_LIV_E_DIR!$1:$1,0),0),0)</f>
        <v>0</v>
      </c>
      <c r="M95" s="9">
        <f>IFERROR(VLOOKUP($A95,ATUAL_LIV_E_DIR!$A:$P,MATCH(APENDICE_BCB!M$3,ATUAL_LIV_E_DIR!$1:$1,0),0),0)</f>
        <v>0</v>
      </c>
      <c r="O95" s="11">
        <f t="shared" si="16"/>
        <v>415652.65899999999</v>
      </c>
      <c r="P95" s="11">
        <f t="shared" si="17"/>
        <v>0</v>
      </c>
      <c r="Q95" s="11">
        <f t="shared" si="18"/>
        <v>258498.38200000001</v>
      </c>
      <c r="R95" s="11">
        <f t="shared" si="19"/>
        <v>0</v>
      </c>
      <c r="S95" s="11">
        <f t="shared" si="20"/>
        <v>157154.277</v>
      </c>
      <c r="T95" s="11"/>
      <c r="V95" s="7">
        <f t="shared" si="21"/>
        <v>0.37809039253613919</v>
      </c>
      <c r="W95">
        <f t="shared" si="22"/>
        <v>0</v>
      </c>
      <c r="Y95" s="8">
        <f t="shared" si="25"/>
        <v>2.4352471858588132E-2</v>
      </c>
      <c r="Z95" s="8"/>
      <c r="AB95" s="11">
        <f t="shared" si="23"/>
        <v>475120.11585517571</v>
      </c>
      <c r="AC95" s="1">
        <f t="shared" si="12"/>
        <v>38108</v>
      </c>
      <c r="AD95" s="9">
        <f t="shared" si="24"/>
        <v>179638.35110549931</v>
      </c>
      <c r="AE95" s="1">
        <f t="shared" si="13"/>
        <v>38108</v>
      </c>
      <c r="AF95" s="11">
        <f t="shared" si="14"/>
        <v>179638.35110549931</v>
      </c>
    </row>
    <row r="96" spans="1:32" x14ac:dyDescent="0.25">
      <c r="A96" s="1">
        <v>38139</v>
      </c>
      <c r="B96" s="9">
        <f>IFERROR(VLOOKUP($A96,ANTIGA_LIVRES!$A:$P,MATCH(APENDICE_BCB!B$3,ANTIGA_LIVRES!$1:$1,0),0)/1000,0)</f>
        <v>251730.94200000001</v>
      </c>
      <c r="C96" s="9">
        <f>IFERROR(VLOOKUP($A96,ANTIGA_LIVRES!$A:$P,MATCH(APENDICE_BCB!C$3,ANTIGA_LIVRES!$1:$1,0),0)/1000,0)</f>
        <v>151745.27299999999</v>
      </c>
      <c r="D96" s="9">
        <f>IFERROR(VLOOKUP($A96,ANTIGA_LIVRES!$A:$P,MATCH(APENDICE_BCB!D$3,ANTIGA_LIVRES!$1:$1,0),0)/1000,0)</f>
        <v>99985.668999999994</v>
      </c>
      <c r="E96" s="9">
        <f>IFERROR(VLOOKUP($A96,ANTIGA_DIRECIONADOS!$A:$P,MATCH(APENDICE_BCB!E$3,ANTIGA_DIRECIONADOS!$1:$1,0),0),0)</f>
        <v>170168</v>
      </c>
      <c r="F96" s="9">
        <f>IFERROR(VLOOKUP($A96,ANTIGA_DIRECIONADOS!$A:$P,MATCH(APENDICE_BCB!F$3,ANTIGA_DIRECIONADOS!$1:$1,0),0),0)</f>
        <v>59980</v>
      </c>
      <c r="G96" s="9">
        <f>IFERROR(VLOOKUP($A96,ANTIGA_DIRECIONADOS!$A:$P,MATCH(APENDICE_BCB!G$3,ANTIGA_DIRECIONADOS!$1:$1,0),0),0)</f>
        <v>110188</v>
      </c>
      <c r="H96" s="9">
        <f>IFERROR(VLOOKUP($A96,ATUAL_LIV_E_DIR!$A:$P,MATCH(APENDICE_BCB!H$3,ATUAL_LIV_E_DIR!$1:$1,0),0),0)</f>
        <v>0</v>
      </c>
      <c r="I96" s="9">
        <f>IFERROR(VLOOKUP($A96,ATUAL_LIV_E_DIR!$A:$P,MATCH(APENDICE_BCB!I$3,ATUAL_LIV_E_DIR!$1:$1,0),0),0)</f>
        <v>0</v>
      </c>
      <c r="J96" s="9">
        <f>IFERROR(VLOOKUP($A96,ATUAL_LIV_E_DIR!$A:$P,MATCH(APENDICE_BCB!J$3,ATUAL_LIV_E_DIR!$1:$1,0),0),0)</f>
        <v>0</v>
      </c>
      <c r="K96" s="9">
        <f>IFERROR(VLOOKUP($A96,ATUAL_LIV_E_DIR!$A:$P,MATCH(APENDICE_BCB!K$3,ATUAL_LIV_E_DIR!$1:$1,0),0),0)</f>
        <v>0</v>
      </c>
      <c r="L96" s="9">
        <f>IFERROR(VLOOKUP($A96,ATUAL_LIV_E_DIR!$A:$P,MATCH(APENDICE_BCB!L$3,ATUAL_LIV_E_DIR!$1:$1,0),0),0)</f>
        <v>0</v>
      </c>
      <c r="M96" s="9">
        <f>IFERROR(VLOOKUP($A96,ATUAL_LIV_E_DIR!$A:$P,MATCH(APENDICE_BCB!M$3,ATUAL_LIV_E_DIR!$1:$1,0),0),0)</f>
        <v>0</v>
      </c>
      <c r="O96" s="11">
        <f t="shared" si="16"/>
        <v>421898.94200000004</v>
      </c>
      <c r="P96" s="11">
        <f t="shared" si="17"/>
        <v>0</v>
      </c>
      <c r="Q96" s="11">
        <f t="shared" si="18"/>
        <v>261933.27299999999</v>
      </c>
      <c r="R96" s="11">
        <f t="shared" si="19"/>
        <v>0</v>
      </c>
      <c r="S96" s="11">
        <f t="shared" si="20"/>
        <v>159965.66899999999</v>
      </c>
      <c r="T96" s="11"/>
      <c r="V96" s="7">
        <f t="shared" si="21"/>
        <v>0.37915636441676592</v>
      </c>
      <c r="W96">
        <f t="shared" si="22"/>
        <v>0</v>
      </c>
      <c r="Y96" s="8">
        <f t="shared" si="25"/>
        <v>1.5027650767416523E-2</v>
      </c>
      <c r="Z96" s="8"/>
      <c r="AB96" s="11">
        <f t="shared" si="23"/>
        <v>482260.05502882175</v>
      </c>
      <c r="AC96" s="1">
        <f t="shared" si="12"/>
        <v>38139</v>
      </c>
      <c r="AD96" s="9">
        <f t="shared" si="24"/>
        <v>182851.96916815752</v>
      </c>
      <c r="AE96" s="1">
        <f t="shared" si="13"/>
        <v>38139</v>
      </c>
      <c r="AF96" s="11">
        <f t="shared" si="14"/>
        <v>182851.96916815752</v>
      </c>
    </row>
    <row r="97" spans="1:32" x14ac:dyDescent="0.25">
      <c r="A97" s="1">
        <v>38169</v>
      </c>
      <c r="B97" s="9">
        <f>IFERROR(VLOOKUP($A97,ANTIGA_LIVRES!$A:$P,MATCH(APENDICE_BCB!B$3,ANTIGA_LIVRES!$1:$1,0),0)/1000,0)</f>
        <v>254194.15100000001</v>
      </c>
      <c r="C97" s="9">
        <f>IFERROR(VLOOKUP($A97,ANTIGA_LIVRES!$A:$P,MATCH(APENDICE_BCB!C$3,ANTIGA_LIVRES!$1:$1,0),0)/1000,0)</f>
        <v>152831.99600000001</v>
      </c>
      <c r="D97" s="9">
        <f>IFERROR(VLOOKUP($A97,ANTIGA_LIVRES!$A:$P,MATCH(APENDICE_BCB!D$3,ANTIGA_LIVRES!$1:$1,0),0)/1000,0)</f>
        <v>101362.155</v>
      </c>
      <c r="E97" s="9">
        <f>IFERROR(VLOOKUP($A97,ANTIGA_DIRECIONADOS!$A:$P,MATCH(APENDICE_BCB!E$3,ANTIGA_DIRECIONADOS!$1:$1,0),0),0)</f>
        <v>169517</v>
      </c>
      <c r="F97" s="9">
        <f>IFERROR(VLOOKUP($A97,ANTIGA_DIRECIONADOS!$A:$P,MATCH(APENDICE_BCB!F$3,ANTIGA_DIRECIONADOS!$1:$1,0),0),0)</f>
        <v>58807</v>
      </c>
      <c r="G97" s="9">
        <f>IFERROR(VLOOKUP($A97,ANTIGA_DIRECIONADOS!$A:$P,MATCH(APENDICE_BCB!G$3,ANTIGA_DIRECIONADOS!$1:$1,0),0),0)</f>
        <v>110710</v>
      </c>
      <c r="H97" s="9">
        <f>IFERROR(VLOOKUP($A97,ATUAL_LIV_E_DIR!$A:$P,MATCH(APENDICE_BCB!H$3,ATUAL_LIV_E_DIR!$1:$1,0),0),0)</f>
        <v>0</v>
      </c>
      <c r="I97" s="9">
        <f>IFERROR(VLOOKUP($A97,ATUAL_LIV_E_DIR!$A:$P,MATCH(APENDICE_BCB!I$3,ATUAL_LIV_E_DIR!$1:$1,0),0),0)</f>
        <v>0</v>
      </c>
      <c r="J97" s="9">
        <f>IFERROR(VLOOKUP($A97,ATUAL_LIV_E_DIR!$A:$P,MATCH(APENDICE_BCB!J$3,ATUAL_LIV_E_DIR!$1:$1,0),0),0)</f>
        <v>0</v>
      </c>
      <c r="K97" s="9">
        <f>IFERROR(VLOOKUP($A97,ATUAL_LIV_E_DIR!$A:$P,MATCH(APENDICE_BCB!K$3,ATUAL_LIV_E_DIR!$1:$1,0),0),0)</f>
        <v>0</v>
      </c>
      <c r="L97" s="9">
        <f>IFERROR(VLOOKUP($A97,ATUAL_LIV_E_DIR!$A:$P,MATCH(APENDICE_BCB!L$3,ATUAL_LIV_E_DIR!$1:$1,0),0),0)</f>
        <v>0</v>
      </c>
      <c r="M97" s="9">
        <f>IFERROR(VLOOKUP($A97,ATUAL_LIV_E_DIR!$A:$P,MATCH(APENDICE_BCB!M$3,ATUAL_LIV_E_DIR!$1:$1,0),0),0)</f>
        <v>0</v>
      </c>
      <c r="O97" s="11">
        <f t="shared" si="16"/>
        <v>423711.15100000001</v>
      </c>
      <c r="P97" s="11">
        <f t="shared" si="17"/>
        <v>0</v>
      </c>
      <c r="Q97" s="11">
        <f t="shared" si="18"/>
        <v>263541.99600000004</v>
      </c>
      <c r="R97" s="11">
        <f t="shared" si="19"/>
        <v>0</v>
      </c>
      <c r="S97" s="11">
        <f t="shared" si="20"/>
        <v>160169.155</v>
      </c>
      <c r="T97" s="11"/>
      <c r="V97" s="7">
        <f t="shared" si="21"/>
        <v>0.3780149628396256</v>
      </c>
      <c r="W97">
        <f t="shared" si="22"/>
        <v>0</v>
      </c>
      <c r="Y97" s="8">
        <f t="shared" si="25"/>
        <v>4.2953627506370218E-3</v>
      </c>
      <c r="Z97" s="8"/>
      <c r="AB97" s="11">
        <f t="shared" si="23"/>
        <v>484331.53690531274</v>
      </c>
      <c r="AC97" s="1">
        <f t="shared" si="12"/>
        <v>38169</v>
      </c>
      <c r="AD97" s="9">
        <f t="shared" si="24"/>
        <v>183084.56792532056</v>
      </c>
      <c r="AE97" s="1">
        <f t="shared" si="13"/>
        <v>38169</v>
      </c>
      <c r="AF97" s="11">
        <f t="shared" si="14"/>
        <v>183084.56792532056</v>
      </c>
    </row>
    <row r="98" spans="1:32" x14ac:dyDescent="0.25">
      <c r="A98" s="1">
        <v>38200</v>
      </c>
      <c r="B98" s="9">
        <f>IFERROR(VLOOKUP($A98,ANTIGA_LIVRES!$A:$P,MATCH(APENDICE_BCB!B$3,ANTIGA_LIVRES!$1:$1,0),0)/1000,0)</f>
        <v>258373.86499999999</v>
      </c>
      <c r="C98" s="9">
        <f>IFERROR(VLOOKUP($A98,ANTIGA_LIVRES!$A:$P,MATCH(APENDICE_BCB!C$3,ANTIGA_LIVRES!$1:$1,0),0)/1000,0)</f>
        <v>154317.15100000001</v>
      </c>
      <c r="D98" s="9">
        <f>IFERROR(VLOOKUP($A98,ANTIGA_LIVRES!$A:$P,MATCH(APENDICE_BCB!D$3,ANTIGA_LIVRES!$1:$1,0),0)/1000,0)</f>
        <v>104056.71400000001</v>
      </c>
      <c r="E98" s="9">
        <f>IFERROR(VLOOKUP($A98,ANTIGA_DIRECIONADOS!$A:$P,MATCH(APENDICE_BCB!E$3,ANTIGA_DIRECIONADOS!$1:$1,0),0),0)</f>
        <v>171365</v>
      </c>
      <c r="F98" s="9">
        <f>IFERROR(VLOOKUP($A98,ANTIGA_DIRECIONADOS!$A:$P,MATCH(APENDICE_BCB!F$3,ANTIGA_DIRECIONADOS!$1:$1,0),0),0)</f>
        <v>59733</v>
      </c>
      <c r="G98" s="9">
        <f>IFERROR(VLOOKUP($A98,ANTIGA_DIRECIONADOS!$A:$P,MATCH(APENDICE_BCB!G$3,ANTIGA_DIRECIONADOS!$1:$1,0),0),0)</f>
        <v>111633</v>
      </c>
      <c r="H98" s="9">
        <f>IFERROR(VLOOKUP($A98,ATUAL_LIV_E_DIR!$A:$P,MATCH(APENDICE_BCB!H$3,ATUAL_LIV_E_DIR!$1:$1,0),0),0)</f>
        <v>0</v>
      </c>
      <c r="I98" s="9">
        <f>IFERROR(VLOOKUP($A98,ATUAL_LIV_E_DIR!$A:$P,MATCH(APENDICE_BCB!I$3,ATUAL_LIV_E_DIR!$1:$1,0),0),0)</f>
        <v>0</v>
      </c>
      <c r="J98" s="9">
        <f>IFERROR(VLOOKUP($A98,ATUAL_LIV_E_DIR!$A:$P,MATCH(APENDICE_BCB!J$3,ATUAL_LIV_E_DIR!$1:$1,0),0),0)</f>
        <v>0</v>
      </c>
      <c r="K98" s="9">
        <f>IFERROR(VLOOKUP($A98,ATUAL_LIV_E_DIR!$A:$P,MATCH(APENDICE_BCB!K$3,ATUAL_LIV_E_DIR!$1:$1,0),0),0)</f>
        <v>0</v>
      </c>
      <c r="L98" s="9">
        <f>IFERROR(VLOOKUP($A98,ATUAL_LIV_E_DIR!$A:$P,MATCH(APENDICE_BCB!L$3,ATUAL_LIV_E_DIR!$1:$1,0),0),0)</f>
        <v>0</v>
      </c>
      <c r="M98" s="9">
        <f>IFERROR(VLOOKUP($A98,ATUAL_LIV_E_DIR!$A:$P,MATCH(APENDICE_BCB!M$3,ATUAL_LIV_E_DIR!$1:$1,0),0),0)</f>
        <v>0</v>
      </c>
      <c r="O98" s="11">
        <f t="shared" si="16"/>
        <v>429738.86499999999</v>
      </c>
      <c r="P98" s="11">
        <f t="shared" si="17"/>
        <v>0</v>
      </c>
      <c r="Q98" s="11">
        <f t="shared" si="18"/>
        <v>265950.15100000001</v>
      </c>
      <c r="R98" s="11">
        <f t="shared" si="19"/>
        <v>0</v>
      </c>
      <c r="S98" s="11">
        <f t="shared" si="20"/>
        <v>163789.71400000001</v>
      </c>
      <c r="T98" s="11"/>
      <c r="V98" s="7">
        <f t="shared" si="21"/>
        <v>0.38113777305201385</v>
      </c>
      <c r="W98">
        <f t="shared" si="22"/>
        <v>0</v>
      </c>
      <c r="Y98" s="8">
        <f t="shared" si="25"/>
        <v>1.4225998031380582E-2</v>
      </c>
      <c r="Z98" s="8"/>
      <c r="AB98" s="11">
        <f t="shared" si="23"/>
        <v>491221.6363958632</v>
      </c>
      <c r="AC98" s="1">
        <f t="shared" si="12"/>
        <v>38200</v>
      </c>
      <c r="AD98" s="9">
        <f t="shared" si="24"/>
        <v>187223.12057088537</v>
      </c>
      <c r="AE98" s="1">
        <f t="shared" si="13"/>
        <v>38200</v>
      </c>
      <c r="AF98" s="11">
        <f t="shared" si="14"/>
        <v>187223.12057088537</v>
      </c>
    </row>
    <row r="99" spans="1:32" x14ac:dyDescent="0.25">
      <c r="A99" s="1">
        <v>38231</v>
      </c>
      <c r="B99" s="9">
        <f>IFERROR(VLOOKUP($A99,ANTIGA_LIVRES!$A:$P,MATCH(APENDICE_BCB!B$3,ANTIGA_LIVRES!$1:$1,0),0)/1000,0)</f>
        <v>263140.62400000001</v>
      </c>
      <c r="C99" s="9">
        <f>IFERROR(VLOOKUP($A99,ANTIGA_LIVRES!$A:$P,MATCH(APENDICE_BCB!C$3,ANTIGA_LIVRES!$1:$1,0),0)/1000,0)</f>
        <v>156601.649</v>
      </c>
      <c r="D99" s="9">
        <f>IFERROR(VLOOKUP($A99,ANTIGA_LIVRES!$A:$P,MATCH(APENDICE_BCB!D$3,ANTIGA_LIVRES!$1:$1,0),0)/1000,0)</f>
        <v>106538.97500000001</v>
      </c>
      <c r="E99" s="9">
        <f>IFERROR(VLOOKUP($A99,ANTIGA_DIRECIONADOS!$A:$P,MATCH(APENDICE_BCB!E$3,ANTIGA_DIRECIONADOS!$1:$1,0),0),0)</f>
        <v>173997</v>
      </c>
      <c r="F99" s="9">
        <f>IFERROR(VLOOKUP($A99,ANTIGA_DIRECIONADOS!$A:$P,MATCH(APENDICE_BCB!F$3,ANTIGA_DIRECIONADOS!$1:$1,0),0),0)</f>
        <v>61529</v>
      </c>
      <c r="G99" s="9">
        <f>IFERROR(VLOOKUP($A99,ANTIGA_DIRECIONADOS!$A:$P,MATCH(APENDICE_BCB!G$3,ANTIGA_DIRECIONADOS!$1:$1,0),0),0)</f>
        <v>112467</v>
      </c>
      <c r="H99" s="9">
        <f>IFERROR(VLOOKUP($A99,ATUAL_LIV_E_DIR!$A:$P,MATCH(APENDICE_BCB!H$3,ATUAL_LIV_E_DIR!$1:$1,0),0),0)</f>
        <v>0</v>
      </c>
      <c r="I99" s="9">
        <f>IFERROR(VLOOKUP($A99,ATUAL_LIV_E_DIR!$A:$P,MATCH(APENDICE_BCB!I$3,ATUAL_LIV_E_DIR!$1:$1,0),0),0)</f>
        <v>0</v>
      </c>
      <c r="J99" s="9">
        <f>IFERROR(VLOOKUP($A99,ATUAL_LIV_E_DIR!$A:$P,MATCH(APENDICE_BCB!J$3,ATUAL_LIV_E_DIR!$1:$1,0),0),0)</f>
        <v>0</v>
      </c>
      <c r="K99" s="9">
        <f>IFERROR(VLOOKUP($A99,ATUAL_LIV_E_DIR!$A:$P,MATCH(APENDICE_BCB!K$3,ATUAL_LIV_E_DIR!$1:$1,0),0),0)</f>
        <v>0</v>
      </c>
      <c r="L99" s="9">
        <f>IFERROR(VLOOKUP($A99,ATUAL_LIV_E_DIR!$A:$P,MATCH(APENDICE_BCB!L$3,ATUAL_LIV_E_DIR!$1:$1,0),0),0)</f>
        <v>0</v>
      </c>
      <c r="M99" s="9">
        <f>IFERROR(VLOOKUP($A99,ATUAL_LIV_E_DIR!$A:$P,MATCH(APENDICE_BCB!M$3,ATUAL_LIV_E_DIR!$1:$1,0),0),0)</f>
        <v>0</v>
      </c>
      <c r="O99" s="11">
        <f t="shared" si="16"/>
        <v>437137.62400000001</v>
      </c>
      <c r="P99" s="11">
        <f t="shared" si="17"/>
        <v>0</v>
      </c>
      <c r="Q99" s="11">
        <f t="shared" si="18"/>
        <v>269068.64899999998</v>
      </c>
      <c r="R99" s="11">
        <f t="shared" si="19"/>
        <v>0</v>
      </c>
      <c r="S99" s="11">
        <f t="shared" si="20"/>
        <v>168067.97500000001</v>
      </c>
      <c r="T99" s="11"/>
      <c r="V99" s="7">
        <f t="shared" si="21"/>
        <v>0.38447382648536332</v>
      </c>
      <c r="W99">
        <f t="shared" si="22"/>
        <v>0</v>
      </c>
      <c r="Y99" s="8">
        <f t="shared" si="25"/>
        <v>1.7216871925233024E-2</v>
      </c>
      <c r="Z99" s="8"/>
      <c r="AB99" s="11">
        <f t="shared" si="23"/>
        <v>499678.93639659416</v>
      </c>
      <c r="AC99" s="1">
        <f t="shared" si="12"/>
        <v>38231</v>
      </c>
      <c r="AD99" s="9">
        <f t="shared" si="24"/>
        <v>192113.47269053504</v>
      </c>
      <c r="AE99" s="1">
        <f t="shared" si="13"/>
        <v>38231</v>
      </c>
      <c r="AF99" s="11">
        <f t="shared" si="14"/>
        <v>192113.47269053504</v>
      </c>
    </row>
    <row r="100" spans="1:32" x14ac:dyDescent="0.25">
      <c r="A100" s="1">
        <v>38261</v>
      </c>
      <c r="B100" s="9">
        <f>IFERROR(VLOOKUP($A100,ANTIGA_LIVRES!$A:$P,MATCH(APENDICE_BCB!B$3,ANTIGA_LIVRES!$1:$1,0),0)/1000,0)</f>
        <v>270080.07199999999</v>
      </c>
      <c r="C100" s="9">
        <f>IFERROR(VLOOKUP($A100,ANTIGA_LIVRES!$A:$P,MATCH(APENDICE_BCB!C$3,ANTIGA_LIVRES!$1:$1,0),0)/1000,0)</f>
        <v>160007.37299999999</v>
      </c>
      <c r="D100" s="9">
        <f>IFERROR(VLOOKUP($A100,ANTIGA_LIVRES!$A:$P,MATCH(APENDICE_BCB!D$3,ANTIGA_LIVRES!$1:$1,0),0)/1000,0)</f>
        <v>110072.69899999999</v>
      </c>
      <c r="E100" s="9">
        <f>IFERROR(VLOOKUP($A100,ANTIGA_DIRECIONADOS!$A:$P,MATCH(APENDICE_BCB!E$3,ANTIGA_DIRECIONADOS!$1:$1,0),0),0)</f>
        <v>177029</v>
      </c>
      <c r="F100" s="9">
        <f>IFERROR(VLOOKUP($A100,ANTIGA_DIRECIONADOS!$A:$P,MATCH(APENDICE_BCB!F$3,ANTIGA_DIRECIONADOS!$1:$1,0),0),0)</f>
        <v>62982</v>
      </c>
      <c r="G100" s="9">
        <f>IFERROR(VLOOKUP($A100,ANTIGA_DIRECIONADOS!$A:$P,MATCH(APENDICE_BCB!G$3,ANTIGA_DIRECIONADOS!$1:$1,0),0),0)</f>
        <v>114047</v>
      </c>
      <c r="H100" s="9">
        <f>IFERROR(VLOOKUP($A100,ATUAL_LIV_E_DIR!$A:$P,MATCH(APENDICE_BCB!H$3,ATUAL_LIV_E_DIR!$1:$1,0),0),0)</f>
        <v>0</v>
      </c>
      <c r="I100" s="9">
        <f>IFERROR(VLOOKUP($A100,ATUAL_LIV_E_DIR!$A:$P,MATCH(APENDICE_BCB!I$3,ATUAL_LIV_E_DIR!$1:$1,0),0),0)</f>
        <v>0</v>
      </c>
      <c r="J100" s="9">
        <f>IFERROR(VLOOKUP($A100,ATUAL_LIV_E_DIR!$A:$P,MATCH(APENDICE_BCB!J$3,ATUAL_LIV_E_DIR!$1:$1,0),0),0)</f>
        <v>0</v>
      </c>
      <c r="K100" s="9">
        <f>IFERROR(VLOOKUP($A100,ATUAL_LIV_E_DIR!$A:$P,MATCH(APENDICE_BCB!K$3,ATUAL_LIV_E_DIR!$1:$1,0),0),0)</f>
        <v>0</v>
      </c>
      <c r="L100" s="9">
        <f>IFERROR(VLOOKUP($A100,ATUAL_LIV_E_DIR!$A:$P,MATCH(APENDICE_BCB!L$3,ATUAL_LIV_E_DIR!$1:$1,0),0),0)</f>
        <v>0</v>
      </c>
      <c r="M100" s="9">
        <f>IFERROR(VLOOKUP($A100,ATUAL_LIV_E_DIR!$A:$P,MATCH(APENDICE_BCB!M$3,ATUAL_LIV_E_DIR!$1:$1,0),0),0)</f>
        <v>0</v>
      </c>
      <c r="O100" s="11">
        <f t="shared" si="16"/>
        <v>447109.07199999999</v>
      </c>
      <c r="P100" s="11">
        <f t="shared" si="17"/>
        <v>0</v>
      </c>
      <c r="Q100" s="11">
        <f t="shared" si="18"/>
        <v>274054.37300000002</v>
      </c>
      <c r="R100" s="11">
        <f t="shared" si="19"/>
        <v>0</v>
      </c>
      <c r="S100" s="11">
        <f t="shared" si="20"/>
        <v>173054.69899999999</v>
      </c>
      <c r="T100" s="11"/>
      <c r="V100" s="7">
        <f t="shared" si="21"/>
        <v>0.38705253334694134</v>
      </c>
      <c r="W100">
        <f t="shared" si="22"/>
        <v>0</v>
      </c>
      <c r="Y100" s="8">
        <f t="shared" si="25"/>
        <v>2.281077503408846E-2</v>
      </c>
      <c r="Z100" s="8"/>
      <c r="AB100" s="11">
        <f t="shared" si="23"/>
        <v>511077.00020400947</v>
      </c>
      <c r="AC100" s="1">
        <f t="shared" si="12"/>
        <v>38261</v>
      </c>
      <c r="AD100" s="9">
        <f t="shared" si="24"/>
        <v>197813.64766431713</v>
      </c>
      <c r="AE100" s="1">
        <f t="shared" si="13"/>
        <v>38261</v>
      </c>
      <c r="AF100" s="11">
        <f t="shared" si="14"/>
        <v>197813.64766431713</v>
      </c>
    </row>
    <row r="101" spans="1:32" x14ac:dyDescent="0.25">
      <c r="A101" s="1">
        <v>38292</v>
      </c>
      <c r="B101" s="9">
        <f>IFERROR(VLOOKUP($A101,ANTIGA_LIVRES!$A:$P,MATCH(APENDICE_BCB!B$3,ANTIGA_LIVRES!$1:$1,0),0)/1000,0)</f>
        <v>272742.74400000001</v>
      </c>
      <c r="C101" s="9">
        <f>IFERROR(VLOOKUP($A101,ANTIGA_LIVRES!$A:$P,MATCH(APENDICE_BCB!C$3,ANTIGA_LIVRES!$1:$1,0),0)/1000,0)</f>
        <v>160385.11199999999</v>
      </c>
      <c r="D101" s="9">
        <f>IFERROR(VLOOKUP($A101,ANTIGA_LIVRES!$A:$P,MATCH(APENDICE_BCB!D$3,ANTIGA_LIVRES!$1:$1,0),0)/1000,0)</f>
        <v>112357.632</v>
      </c>
      <c r="E101" s="9">
        <f>IFERROR(VLOOKUP($A101,ANTIGA_DIRECIONADOS!$A:$P,MATCH(APENDICE_BCB!E$3,ANTIGA_DIRECIONADOS!$1:$1,0),0),0)</f>
        <v>178744</v>
      </c>
      <c r="F101" s="9">
        <f>IFERROR(VLOOKUP($A101,ANTIGA_DIRECIONADOS!$A:$P,MATCH(APENDICE_BCB!F$3,ANTIGA_DIRECIONADOS!$1:$1,0),0),0)</f>
        <v>64079</v>
      </c>
      <c r="G101" s="9">
        <f>IFERROR(VLOOKUP($A101,ANTIGA_DIRECIONADOS!$A:$P,MATCH(APENDICE_BCB!G$3,ANTIGA_DIRECIONADOS!$1:$1,0),0),0)</f>
        <v>114665</v>
      </c>
      <c r="H101" s="9">
        <f>IFERROR(VLOOKUP($A101,ATUAL_LIV_E_DIR!$A:$P,MATCH(APENDICE_BCB!H$3,ATUAL_LIV_E_DIR!$1:$1,0),0),0)</f>
        <v>0</v>
      </c>
      <c r="I101" s="9">
        <f>IFERROR(VLOOKUP($A101,ATUAL_LIV_E_DIR!$A:$P,MATCH(APENDICE_BCB!I$3,ATUAL_LIV_E_DIR!$1:$1,0),0),0)</f>
        <v>0</v>
      </c>
      <c r="J101" s="9">
        <f>IFERROR(VLOOKUP($A101,ATUAL_LIV_E_DIR!$A:$P,MATCH(APENDICE_BCB!J$3,ATUAL_LIV_E_DIR!$1:$1,0),0),0)</f>
        <v>0</v>
      </c>
      <c r="K101" s="9">
        <f>IFERROR(VLOOKUP($A101,ATUAL_LIV_E_DIR!$A:$P,MATCH(APENDICE_BCB!K$3,ATUAL_LIV_E_DIR!$1:$1,0),0),0)</f>
        <v>0</v>
      </c>
      <c r="L101" s="9">
        <f>IFERROR(VLOOKUP($A101,ATUAL_LIV_E_DIR!$A:$P,MATCH(APENDICE_BCB!L$3,ATUAL_LIV_E_DIR!$1:$1,0),0),0)</f>
        <v>0</v>
      </c>
      <c r="M101" s="9">
        <f>IFERROR(VLOOKUP($A101,ATUAL_LIV_E_DIR!$A:$P,MATCH(APENDICE_BCB!M$3,ATUAL_LIV_E_DIR!$1:$1,0),0),0)</f>
        <v>0</v>
      </c>
      <c r="O101" s="11">
        <f t="shared" si="16"/>
        <v>451486.74400000001</v>
      </c>
      <c r="P101" s="11">
        <f t="shared" si="17"/>
        <v>0</v>
      </c>
      <c r="Q101" s="11">
        <f t="shared" si="18"/>
        <v>275050.11199999996</v>
      </c>
      <c r="R101" s="11">
        <f t="shared" si="19"/>
        <v>0</v>
      </c>
      <c r="S101" s="11">
        <f t="shared" si="20"/>
        <v>176436.63199999998</v>
      </c>
      <c r="T101" s="11"/>
      <c r="V101" s="7">
        <f t="shared" si="21"/>
        <v>0.39079028198444732</v>
      </c>
      <c r="W101">
        <f t="shared" si="22"/>
        <v>0</v>
      </c>
      <c r="Y101" s="8">
        <f t="shared" si="25"/>
        <v>9.7910605580375787E-3</v>
      </c>
      <c r="Z101" s="8"/>
      <c r="AB101" s="11">
        <f t="shared" si="23"/>
        <v>516080.98606282711</v>
      </c>
      <c r="AC101" s="1">
        <f t="shared" si="12"/>
        <v>38292</v>
      </c>
      <c r="AD101" s="9">
        <f t="shared" si="24"/>
        <v>201679.43407030383</v>
      </c>
      <c r="AE101" s="1">
        <f t="shared" si="13"/>
        <v>38292</v>
      </c>
      <c r="AF101" s="11">
        <f t="shared" si="14"/>
        <v>201679.43407030383</v>
      </c>
    </row>
    <row r="102" spans="1:32" x14ac:dyDescent="0.25">
      <c r="A102" s="1">
        <v>38322</v>
      </c>
      <c r="B102" s="9">
        <f>IFERROR(VLOOKUP($A102,ANTIGA_LIVRES!$A:$P,MATCH(APENDICE_BCB!B$3,ANTIGA_LIVRES!$1:$1,0),0)/1000,0)</f>
        <v>271384.92200000002</v>
      </c>
      <c r="C102" s="9">
        <f>IFERROR(VLOOKUP($A102,ANTIGA_LIVRES!$A:$P,MATCH(APENDICE_BCB!C$3,ANTIGA_LIVRES!$1:$1,0),0)/1000,0)</f>
        <v>158112.74799999999</v>
      </c>
      <c r="D102" s="9">
        <f>IFERROR(VLOOKUP($A102,ANTIGA_LIVRES!$A:$P,MATCH(APENDICE_BCB!D$3,ANTIGA_LIVRES!$1:$1,0),0)/1000,0)</f>
        <v>113272.174</v>
      </c>
      <c r="E102" s="9">
        <f>IFERROR(VLOOKUP($A102,ANTIGA_DIRECIONADOS!$A:$P,MATCH(APENDICE_BCB!E$3,ANTIGA_DIRECIONADOS!$1:$1,0),0),0)</f>
        <v>180805</v>
      </c>
      <c r="F102" s="9">
        <f>IFERROR(VLOOKUP($A102,ANTIGA_DIRECIONADOS!$A:$P,MATCH(APENDICE_BCB!F$3,ANTIGA_DIRECIONADOS!$1:$1,0),0),0)</f>
        <v>65406</v>
      </c>
      <c r="G102" s="9">
        <f>IFERROR(VLOOKUP($A102,ANTIGA_DIRECIONADOS!$A:$P,MATCH(APENDICE_BCB!G$3,ANTIGA_DIRECIONADOS!$1:$1,0),0),0)</f>
        <v>115399</v>
      </c>
      <c r="H102" s="9">
        <f>IFERROR(VLOOKUP($A102,ATUAL_LIV_E_DIR!$A:$P,MATCH(APENDICE_BCB!H$3,ATUAL_LIV_E_DIR!$1:$1,0),0),0)</f>
        <v>0</v>
      </c>
      <c r="I102" s="9">
        <f>IFERROR(VLOOKUP($A102,ATUAL_LIV_E_DIR!$A:$P,MATCH(APENDICE_BCB!I$3,ATUAL_LIV_E_DIR!$1:$1,0),0),0)</f>
        <v>0</v>
      </c>
      <c r="J102" s="9">
        <f>IFERROR(VLOOKUP($A102,ATUAL_LIV_E_DIR!$A:$P,MATCH(APENDICE_BCB!J$3,ATUAL_LIV_E_DIR!$1:$1,0),0),0)</f>
        <v>0</v>
      </c>
      <c r="K102" s="9">
        <f>IFERROR(VLOOKUP($A102,ATUAL_LIV_E_DIR!$A:$P,MATCH(APENDICE_BCB!K$3,ATUAL_LIV_E_DIR!$1:$1,0),0),0)</f>
        <v>0</v>
      </c>
      <c r="L102" s="9">
        <f>IFERROR(VLOOKUP($A102,ATUAL_LIV_E_DIR!$A:$P,MATCH(APENDICE_BCB!L$3,ATUAL_LIV_E_DIR!$1:$1,0),0),0)</f>
        <v>0</v>
      </c>
      <c r="M102" s="9">
        <f>IFERROR(VLOOKUP($A102,ATUAL_LIV_E_DIR!$A:$P,MATCH(APENDICE_BCB!M$3,ATUAL_LIV_E_DIR!$1:$1,0),0),0)</f>
        <v>0</v>
      </c>
      <c r="O102" s="11">
        <f t="shared" si="16"/>
        <v>452189.92200000002</v>
      </c>
      <c r="P102" s="11">
        <f t="shared" si="17"/>
        <v>0</v>
      </c>
      <c r="Q102" s="11">
        <f t="shared" si="18"/>
        <v>273511.74800000002</v>
      </c>
      <c r="R102" s="11">
        <f t="shared" si="19"/>
        <v>0</v>
      </c>
      <c r="S102" s="11">
        <f t="shared" si="20"/>
        <v>178678.174</v>
      </c>
      <c r="T102" s="11"/>
      <c r="V102" s="7">
        <f t="shared" si="21"/>
        <v>0.39513966434661052</v>
      </c>
      <c r="W102">
        <f t="shared" si="22"/>
        <v>0</v>
      </c>
      <c r="Y102" s="8">
        <f t="shared" si="25"/>
        <v>1.5574720838316125E-3</v>
      </c>
      <c r="Z102" s="8"/>
      <c r="AB102" s="11">
        <f t="shared" si="23"/>
        <v>516884.76779161626</v>
      </c>
      <c r="AC102" s="1">
        <f t="shared" si="12"/>
        <v>38322</v>
      </c>
      <c r="AD102" s="9">
        <f t="shared" si="24"/>
        <v>204241.67365105497</v>
      </c>
      <c r="AE102" s="1">
        <f t="shared" si="13"/>
        <v>38322</v>
      </c>
      <c r="AF102" s="11">
        <f t="shared" si="14"/>
        <v>204241.67365105497</v>
      </c>
    </row>
    <row r="103" spans="1:32" x14ac:dyDescent="0.25">
      <c r="A103" s="1">
        <v>38353</v>
      </c>
      <c r="B103" s="9">
        <f>IFERROR(VLOOKUP($A103,ANTIGA_LIVRES!$A:$P,MATCH(APENDICE_BCB!B$3,ANTIGA_LIVRES!$1:$1,0),0)/1000,0)</f>
        <v>277513.62800000003</v>
      </c>
      <c r="C103" s="9">
        <f>IFERROR(VLOOKUP($A103,ANTIGA_LIVRES!$A:$P,MATCH(APENDICE_BCB!C$3,ANTIGA_LIVRES!$1:$1,0),0)/1000,0)</f>
        <v>160526.74400000001</v>
      </c>
      <c r="D103" s="9">
        <f>IFERROR(VLOOKUP($A103,ANTIGA_LIVRES!$A:$P,MATCH(APENDICE_BCB!D$3,ANTIGA_LIVRES!$1:$1,0),0)/1000,0)</f>
        <v>116986.88400000001</v>
      </c>
      <c r="E103" s="9">
        <f>IFERROR(VLOOKUP($A103,ANTIGA_DIRECIONADOS!$A:$P,MATCH(APENDICE_BCB!E$3,ANTIGA_DIRECIONADOS!$1:$1,0),0),0)</f>
        <v>181329</v>
      </c>
      <c r="F103" s="9">
        <f>IFERROR(VLOOKUP($A103,ANTIGA_DIRECIONADOS!$A:$P,MATCH(APENDICE_BCB!F$3,ANTIGA_DIRECIONADOS!$1:$1,0),0),0)</f>
        <v>65263</v>
      </c>
      <c r="G103" s="9">
        <f>IFERROR(VLOOKUP($A103,ANTIGA_DIRECIONADOS!$A:$P,MATCH(APENDICE_BCB!G$3,ANTIGA_DIRECIONADOS!$1:$1,0),0),0)</f>
        <v>116066</v>
      </c>
      <c r="H103" s="9">
        <f>IFERROR(VLOOKUP($A103,ATUAL_LIV_E_DIR!$A:$P,MATCH(APENDICE_BCB!H$3,ATUAL_LIV_E_DIR!$1:$1,0),0),0)</f>
        <v>0</v>
      </c>
      <c r="I103" s="9">
        <f>IFERROR(VLOOKUP($A103,ATUAL_LIV_E_DIR!$A:$P,MATCH(APENDICE_BCB!I$3,ATUAL_LIV_E_DIR!$1:$1,0),0),0)</f>
        <v>0</v>
      </c>
      <c r="J103" s="9">
        <f>IFERROR(VLOOKUP($A103,ATUAL_LIV_E_DIR!$A:$P,MATCH(APENDICE_BCB!J$3,ATUAL_LIV_E_DIR!$1:$1,0),0),0)</f>
        <v>0</v>
      </c>
      <c r="K103" s="9">
        <f>IFERROR(VLOOKUP($A103,ATUAL_LIV_E_DIR!$A:$P,MATCH(APENDICE_BCB!K$3,ATUAL_LIV_E_DIR!$1:$1,0),0),0)</f>
        <v>0</v>
      </c>
      <c r="L103" s="9">
        <f>IFERROR(VLOOKUP($A103,ATUAL_LIV_E_DIR!$A:$P,MATCH(APENDICE_BCB!L$3,ATUAL_LIV_E_DIR!$1:$1,0),0),0)</f>
        <v>0</v>
      </c>
      <c r="M103" s="9">
        <f>IFERROR(VLOOKUP($A103,ATUAL_LIV_E_DIR!$A:$P,MATCH(APENDICE_BCB!M$3,ATUAL_LIV_E_DIR!$1:$1,0),0),0)</f>
        <v>0</v>
      </c>
      <c r="O103" s="11">
        <f t="shared" si="16"/>
        <v>458842.62800000003</v>
      </c>
      <c r="P103" s="11">
        <f t="shared" si="17"/>
        <v>0</v>
      </c>
      <c r="Q103" s="11">
        <f t="shared" si="18"/>
        <v>276592.74400000001</v>
      </c>
      <c r="R103" s="11">
        <f t="shared" si="19"/>
        <v>0</v>
      </c>
      <c r="S103" s="11">
        <f t="shared" si="20"/>
        <v>182249.88400000002</v>
      </c>
      <c r="T103" s="11"/>
      <c r="V103" s="7">
        <f t="shared" si="21"/>
        <v>0.39719475235853635</v>
      </c>
      <c r="W103">
        <f t="shared" si="22"/>
        <v>0</v>
      </c>
      <c r="Y103" s="8">
        <f t="shared" si="25"/>
        <v>1.4712194315555704E-2</v>
      </c>
      <c r="Z103" s="8"/>
      <c r="AB103" s="11">
        <f t="shared" si="23"/>
        <v>524489.27693411743</v>
      </c>
      <c r="AC103" s="1">
        <f t="shared" si="12"/>
        <v>38353</v>
      </c>
      <c r="AD103" s="9">
        <f t="shared" si="24"/>
        <v>208324.38846655458</v>
      </c>
      <c r="AE103" s="1">
        <f t="shared" si="13"/>
        <v>38353</v>
      </c>
      <c r="AF103" s="11">
        <f t="shared" si="14"/>
        <v>208324.38846655458</v>
      </c>
    </row>
    <row r="104" spans="1:32" x14ac:dyDescent="0.25">
      <c r="A104" s="1">
        <v>38384</v>
      </c>
      <c r="B104" s="9">
        <f>IFERROR(VLOOKUP($A104,ANTIGA_LIVRES!$A:$P,MATCH(APENDICE_BCB!B$3,ANTIGA_LIVRES!$1:$1,0),0)/1000,0)</f>
        <v>284894.60700000002</v>
      </c>
      <c r="C104" s="9">
        <f>IFERROR(VLOOKUP($A104,ANTIGA_LIVRES!$A:$P,MATCH(APENDICE_BCB!C$3,ANTIGA_LIVRES!$1:$1,0),0)/1000,0)</f>
        <v>163606.32</v>
      </c>
      <c r="D104" s="9">
        <f>IFERROR(VLOOKUP($A104,ANTIGA_LIVRES!$A:$P,MATCH(APENDICE_BCB!D$3,ANTIGA_LIVRES!$1:$1,0),0)/1000,0)</f>
        <v>121288.287</v>
      </c>
      <c r="E104" s="9">
        <f>IFERROR(VLOOKUP($A104,ANTIGA_DIRECIONADOS!$A:$P,MATCH(APENDICE_BCB!E$3,ANTIGA_DIRECIONADOS!$1:$1,0),0),0)</f>
        <v>181413</v>
      </c>
      <c r="F104" s="9">
        <f>IFERROR(VLOOKUP($A104,ANTIGA_DIRECIONADOS!$A:$P,MATCH(APENDICE_BCB!F$3,ANTIGA_DIRECIONADOS!$1:$1,0),0),0)</f>
        <v>65047</v>
      </c>
      <c r="G104" s="9">
        <f>IFERROR(VLOOKUP($A104,ANTIGA_DIRECIONADOS!$A:$P,MATCH(APENDICE_BCB!G$3,ANTIGA_DIRECIONADOS!$1:$1,0),0),0)</f>
        <v>116366</v>
      </c>
      <c r="H104" s="9">
        <f>IFERROR(VLOOKUP($A104,ATUAL_LIV_E_DIR!$A:$P,MATCH(APENDICE_BCB!H$3,ATUAL_LIV_E_DIR!$1:$1,0),0),0)</f>
        <v>0</v>
      </c>
      <c r="I104" s="9">
        <f>IFERROR(VLOOKUP($A104,ATUAL_LIV_E_DIR!$A:$P,MATCH(APENDICE_BCB!I$3,ATUAL_LIV_E_DIR!$1:$1,0),0),0)</f>
        <v>0</v>
      </c>
      <c r="J104" s="9">
        <f>IFERROR(VLOOKUP($A104,ATUAL_LIV_E_DIR!$A:$P,MATCH(APENDICE_BCB!J$3,ATUAL_LIV_E_DIR!$1:$1,0),0),0)</f>
        <v>0</v>
      </c>
      <c r="K104" s="9">
        <f>IFERROR(VLOOKUP($A104,ATUAL_LIV_E_DIR!$A:$P,MATCH(APENDICE_BCB!K$3,ATUAL_LIV_E_DIR!$1:$1,0),0),0)</f>
        <v>0</v>
      </c>
      <c r="L104" s="9">
        <f>IFERROR(VLOOKUP($A104,ATUAL_LIV_E_DIR!$A:$P,MATCH(APENDICE_BCB!L$3,ATUAL_LIV_E_DIR!$1:$1,0),0),0)</f>
        <v>0</v>
      </c>
      <c r="M104" s="9">
        <f>IFERROR(VLOOKUP($A104,ATUAL_LIV_E_DIR!$A:$P,MATCH(APENDICE_BCB!M$3,ATUAL_LIV_E_DIR!$1:$1,0),0),0)</f>
        <v>0</v>
      </c>
      <c r="O104" s="11">
        <f t="shared" si="16"/>
        <v>466307.60700000002</v>
      </c>
      <c r="P104" s="11">
        <f t="shared" si="17"/>
        <v>0</v>
      </c>
      <c r="Q104" s="11">
        <f t="shared" si="18"/>
        <v>279972.32</v>
      </c>
      <c r="R104" s="11">
        <f t="shared" si="19"/>
        <v>0</v>
      </c>
      <c r="S104" s="11">
        <f t="shared" si="20"/>
        <v>186335.28700000001</v>
      </c>
      <c r="T104" s="11"/>
      <c r="V104" s="7">
        <f t="shared" si="21"/>
        <v>0.3995973563433633</v>
      </c>
      <c r="W104">
        <f t="shared" si="22"/>
        <v>0</v>
      </c>
      <c r="Y104" s="8">
        <f t="shared" si="25"/>
        <v>1.6269148820235557E-2</v>
      </c>
      <c r="Z104" s="8"/>
      <c r="AB104" s="11">
        <f t="shared" si="23"/>
        <v>533022.27103517635</v>
      </c>
      <c r="AC104" s="1">
        <f t="shared" si="12"/>
        <v>38384</v>
      </c>
      <c r="AD104" s="9">
        <f t="shared" si="24"/>
        <v>212994.29037779215</v>
      </c>
      <c r="AE104" s="1">
        <f t="shared" si="13"/>
        <v>38384</v>
      </c>
      <c r="AF104" s="11">
        <f t="shared" si="14"/>
        <v>212994.29037779215</v>
      </c>
    </row>
    <row r="105" spans="1:32" x14ac:dyDescent="0.25">
      <c r="A105" s="1">
        <v>38412</v>
      </c>
      <c r="B105" s="9">
        <f>IFERROR(VLOOKUP($A105,ANTIGA_LIVRES!$A:$P,MATCH(APENDICE_BCB!B$3,ANTIGA_LIVRES!$1:$1,0),0)/1000,0)</f>
        <v>291078.48200000002</v>
      </c>
      <c r="C105" s="9">
        <f>IFERROR(VLOOKUP($A105,ANTIGA_LIVRES!$A:$P,MATCH(APENDICE_BCB!C$3,ANTIGA_LIVRES!$1:$1,0),0)/1000,0)</f>
        <v>165531.573</v>
      </c>
      <c r="D105" s="9">
        <f>IFERROR(VLOOKUP($A105,ANTIGA_LIVRES!$A:$P,MATCH(APENDICE_BCB!D$3,ANTIGA_LIVRES!$1:$1,0),0)/1000,0)</f>
        <v>125546.909</v>
      </c>
      <c r="E105" s="9">
        <f>IFERROR(VLOOKUP($A105,ANTIGA_DIRECIONADOS!$A:$P,MATCH(APENDICE_BCB!E$3,ANTIGA_DIRECIONADOS!$1:$1,0),0),0)</f>
        <v>183061</v>
      </c>
      <c r="F105" s="9">
        <f>IFERROR(VLOOKUP($A105,ANTIGA_DIRECIONADOS!$A:$P,MATCH(APENDICE_BCB!F$3,ANTIGA_DIRECIONADOS!$1:$1,0),0),0)</f>
        <v>65444</v>
      </c>
      <c r="G105" s="9">
        <f>IFERROR(VLOOKUP($A105,ANTIGA_DIRECIONADOS!$A:$P,MATCH(APENDICE_BCB!G$3,ANTIGA_DIRECIONADOS!$1:$1,0),0),0)</f>
        <v>117617</v>
      </c>
      <c r="H105" s="9">
        <f>IFERROR(VLOOKUP($A105,ATUAL_LIV_E_DIR!$A:$P,MATCH(APENDICE_BCB!H$3,ATUAL_LIV_E_DIR!$1:$1,0),0),0)</f>
        <v>0</v>
      </c>
      <c r="I105" s="9">
        <f>IFERROR(VLOOKUP($A105,ATUAL_LIV_E_DIR!$A:$P,MATCH(APENDICE_BCB!I$3,ATUAL_LIV_E_DIR!$1:$1,0),0),0)</f>
        <v>0</v>
      </c>
      <c r="J105" s="9">
        <f>IFERROR(VLOOKUP($A105,ATUAL_LIV_E_DIR!$A:$P,MATCH(APENDICE_BCB!J$3,ATUAL_LIV_E_DIR!$1:$1,0),0),0)</f>
        <v>0</v>
      </c>
      <c r="K105" s="9">
        <f>IFERROR(VLOOKUP($A105,ATUAL_LIV_E_DIR!$A:$P,MATCH(APENDICE_BCB!K$3,ATUAL_LIV_E_DIR!$1:$1,0),0),0)</f>
        <v>0</v>
      </c>
      <c r="L105" s="9">
        <f>IFERROR(VLOOKUP($A105,ATUAL_LIV_E_DIR!$A:$P,MATCH(APENDICE_BCB!L$3,ATUAL_LIV_E_DIR!$1:$1,0),0),0)</f>
        <v>0</v>
      </c>
      <c r="M105" s="9">
        <f>IFERROR(VLOOKUP($A105,ATUAL_LIV_E_DIR!$A:$P,MATCH(APENDICE_BCB!M$3,ATUAL_LIV_E_DIR!$1:$1,0),0),0)</f>
        <v>0</v>
      </c>
      <c r="O105" s="11">
        <f t="shared" si="16"/>
        <v>474139.48200000002</v>
      </c>
      <c r="P105" s="11">
        <f t="shared" si="17"/>
        <v>0</v>
      </c>
      <c r="Q105" s="11">
        <f t="shared" si="18"/>
        <v>283148.57299999997</v>
      </c>
      <c r="R105" s="11">
        <f t="shared" si="19"/>
        <v>0</v>
      </c>
      <c r="S105" s="11">
        <f t="shared" si="20"/>
        <v>190990.90899999999</v>
      </c>
      <c r="T105" s="11"/>
      <c r="V105" s="7">
        <f t="shared" si="21"/>
        <v>0.40281587222892351</v>
      </c>
      <c r="W105">
        <f t="shared" si="22"/>
        <v>0</v>
      </c>
      <c r="Y105" s="8">
        <f t="shared" si="25"/>
        <v>1.6795511980571165E-2</v>
      </c>
      <c r="Z105" s="8"/>
      <c r="AB105" s="11">
        <f t="shared" si="23"/>
        <v>541974.65297425899</v>
      </c>
      <c r="AC105" s="1">
        <f t="shared" si="12"/>
        <v>38412</v>
      </c>
      <c r="AD105" s="9">
        <f t="shared" si="24"/>
        <v>218315.99256379428</v>
      </c>
      <c r="AE105" s="1">
        <f t="shared" si="13"/>
        <v>38412</v>
      </c>
      <c r="AF105" s="11">
        <f t="shared" si="14"/>
        <v>218315.99256379428</v>
      </c>
    </row>
    <row r="106" spans="1:32" x14ac:dyDescent="0.25">
      <c r="A106" s="1">
        <v>38443</v>
      </c>
      <c r="B106" s="9">
        <f>IFERROR(VLOOKUP($A106,ANTIGA_LIVRES!$A:$P,MATCH(APENDICE_BCB!B$3,ANTIGA_LIVRES!$1:$1,0),0)/1000,0)</f>
        <v>299471.603</v>
      </c>
      <c r="C106" s="9">
        <f>IFERROR(VLOOKUP($A106,ANTIGA_LIVRES!$A:$P,MATCH(APENDICE_BCB!C$3,ANTIGA_LIVRES!$1:$1,0),0)/1000,0)</f>
        <v>169633.09</v>
      </c>
      <c r="D106" s="9">
        <f>IFERROR(VLOOKUP($A106,ANTIGA_LIVRES!$A:$P,MATCH(APENDICE_BCB!D$3,ANTIGA_LIVRES!$1:$1,0),0)/1000,0)</f>
        <v>129838.51300000001</v>
      </c>
      <c r="E106" s="9">
        <f>IFERROR(VLOOKUP($A106,ANTIGA_DIRECIONADOS!$A:$P,MATCH(APENDICE_BCB!E$3,ANTIGA_DIRECIONADOS!$1:$1,0),0),0)</f>
        <v>183567</v>
      </c>
      <c r="F106" s="9">
        <f>IFERROR(VLOOKUP($A106,ANTIGA_DIRECIONADOS!$A:$P,MATCH(APENDICE_BCB!F$3,ANTIGA_DIRECIONADOS!$1:$1,0),0),0)</f>
        <v>66268</v>
      </c>
      <c r="G106" s="9">
        <f>IFERROR(VLOOKUP($A106,ANTIGA_DIRECIONADOS!$A:$P,MATCH(APENDICE_BCB!G$3,ANTIGA_DIRECIONADOS!$1:$1,0),0),0)</f>
        <v>117299</v>
      </c>
      <c r="H106" s="9">
        <f>IFERROR(VLOOKUP($A106,ATUAL_LIV_E_DIR!$A:$P,MATCH(APENDICE_BCB!H$3,ATUAL_LIV_E_DIR!$1:$1,0),0),0)</f>
        <v>0</v>
      </c>
      <c r="I106" s="9">
        <f>IFERROR(VLOOKUP($A106,ATUAL_LIV_E_DIR!$A:$P,MATCH(APENDICE_BCB!I$3,ATUAL_LIV_E_DIR!$1:$1,0),0),0)</f>
        <v>0</v>
      </c>
      <c r="J106" s="9">
        <f>IFERROR(VLOOKUP($A106,ATUAL_LIV_E_DIR!$A:$P,MATCH(APENDICE_BCB!J$3,ATUAL_LIV_E_DIR!$1:$1,0),0),0)</f>
        <v>0</v>
      </c>
      <c r="K106" s="9">
        <f>IFERROR(VLOOKUP($A106,ATUAL_LIV_E_DIR!$A:$P,MATCH(APENDICE_BCB!K$3,ATUAL_LIV_E_DIR!$1:$1,0),0),0)</f>
        <v>0</v>
      </c>
      <c r="L106" s="9">
        <f>IFERROR(VLOOKUP($A106,ATUAL_LIV_E_DIR!$A:$P,MATCH(APENDICE_BCB!L$3,ATUAL_LIV_E_DIR!$1:$1,0),0),0)</f>
        <v>0</v>
      </c>
      <c r="M106" s="9">
        <f>IFERROR(VLOOKUP($A106,ATUAL_LIV_E_DIR!$A:$P,MATCH(APENDICE_BCB!M$3,ATUAL_LIV_E_DIR!$1:$1,0),0),0)</f>
        <v>0</v>
      </c>
      <c r="O106" s="11">
        <f t="shared" si="16"/>
        <v>483038.603</v>
      </c>
      <c r="P106" s="11">
        <f t="shared" si="17"/>
        <v>0</v>
      </c>
      <c r="Q106" s="11">
        <f t="shared" si="18"/>
        <v>286932.08999999997</v>
      </c>
      <c r="R106" s="11">
        <f t="shared" si="19"/>
        <v>0</v>
      </c>
      <c r="S106" s="11">
        <f t="shared" si="20"/>
        <v>196106.51300000001</v>
      </c>
      <c r="T106" s="11"/>
      <c r="V106" s="7">
        <f t="shared" si="21"/>
        <v>0.40598517754490937</v>
      </c>
      <c r="W106">
        <f t="shared" si="22"/>
        <v>0</v>
      </c>
      <c r="Y106" s="8">
        <f t="shared" si="25"/>
        <v>1.8768993804232359E-2</v>
      </c>
      <c r="Z106" s="8"/>
      <c r="AB106" s="11">
        <f t="shared" si="23"/>
        <v>552146.97187798389</v>
      </c>
      <c r="AC106" s="1">
        <f t="shared" si="12"/>
        <v>38443</v>
      </c>
      <c r="AD106" s="9">
        <f t="shared" si="24"/>
        <v>224163.48640876738</v>
      </c>
      <c r="AE106" s="1">
        <f t="shared" si="13"/>
        <v>38443</v>
      </c>
      <c r="AF106" s="11">
        <f t="shared" si="14"/>
        <v>224163.48640876738</v>
      </c>
    </row>
    <row r="107" spans="1:32" x14ac:dyDescent="0.25">
      <c r="A107" s="1">
        <v>38473</v>
      </c>
      <c r="B107" s="9">
        <f>IFERROR(VLOOKUP($A107,ANTIGA_LIVRES!$A:$P,MATCH(APENDICE_BCB!B$3,ANTIGA_LIVRES!$1:$1,0),0)/1000,0)</f>
        <v>302051.23700000002</v>
      </c>
      <c r="C107" s="9">
        <f>IFERROR(VLOOKUP($A107,ANTIGA_LIVRES!$A:$P,MATCH(APENDICE_BCB!C$3,ANTIGA_LIVRES!$1:$1,0),0)/1000,0)</f>
        <v>167884.008</v>
      </c>
      <c r="D107" s="9">
        <f>IFERROR(VLOOKUP($A107,ANTIGA_LIVRES!$A:$P,MATCH(APENDICE_BCB!D$3,ANTIGA_LIVRES!$1:$1,0),0)/1000,0)</f>
        <v>134167.22899999999</v>
      </c>
      <c r="E107" s="9">
        <f>IFERROR(VLOOKUP($A107,ANTIGA_DIRECIONADOS!$A:$P,MATCH(APENDICE_BCB!E$3,ANTIGA_DIRECIONADOS!$1:$1,0),0),0)</f>
        <v>183490</v>
      </c>
      <c r="F107" s="9">
        <f>IFERROR(VLOOKUP($A107,ANTIGA_DIRECIONADOS!$A:$P,MATCH(APENDICE_BCB!F$3,ANTIGA_DIRECIONADOS!$1:$1,0),0),0)</f>
        <v>66478</v>
      </c>
      <c r="G107" s="9">
        <f>IFERROR(VLOOKUP($A107,ANTIGA_DIRECIONADOS!$A:$P,MATCH(APENDICE_BCB!G$3,ANTIGA_DIRECIONADOS!$1:$1,0),0),0)</f>
        <v>117012</v>
      </c>
      <c r="H107" s="9">
        <f>IFERROR(VLOOKUP($A107,ATUAL_LIV_E_DIR!$A:$P,MATCH(APENDICE_BCB!H$3,ATUAL_LIV_E_DIR!$1:$1,0),0),0)</f>
        <v>0</v>
      </c>
      <c r="I107" s="9">
        <f>IFERROR(VLOOKUP($A107,ATUAL_LIV_E_DIR!$A:$P,MATCH(APENDICE_BCB!I$3,ATUAL_LIV_E_DIR!$1:$1,0),0),0)</f>
        <v>0</v>
      </c>
      <c r="J107" s="9">
        <f>IFERROR(VLOOKUP($A107,ATUAL_LIV_E_DIR!$A:$P,MATCH(APENDICE_BCB!J$3,ATUAL_LIV_E_DIR!$1:$1,0),0),0)</f>
        <v>0</v>
      </c>
      <c r="K107" s="9">
        <f>IFERROR(VLOOKUP($A107,ATUAL_LIV_E_DIR!$A:$P,MATCH(APENDICE_BCB!K$3,ATUAL_LIV_E_DIR!$1:$1,0),0),0)</f>
        <v>0</v>
      </c>
      <c r="L107" s="9">
        <f>IFERROR(VLOOKUP($A107,ATUAL_LIV_E_DIR!$A:$P,MATCH(APENDICE_BCB!L$3,ATUAL_LIV_E_DIR!$1:$1,0),0),0)</f>
        <v>0</v>
      </c>
      <c r="M107" s="9">
        <f>IFERROR(VLOOKUP($A107,ATUAL_LIV_E_DIR!$A:$P,MATCH(APENDICE_BCB!M$3,ATUAL_LIV_E_DIR!$1:$1,0),0),0)</f>
        <v>0</v>
      </c>
      <c r="O107" s="11">
        <f t="shared" si="16"/>
        <v>485541.23700000002</v>
      </c>
      <c r="P107" s="11">
        <f t="shared" si="17"/>
        <v>0</v>
      </c>
      <c r="Q107" s="11">
        <f t="shared" si="18"/>
        <v>284896.00800000003</v>
      </c>
      <c r="R107" s="11">
        <f t="shared" si="19"/>
        <v>0</v>
      </c>
      <c r="S107" s="11">
        <f t="shared" si="20"/>
        <v>200645.22899999999</v>
      </c>
      <c r="T107" s="11"/>
      <c r="V107" s="7">
        <f t="shared" si="21"/>
        <v>0.41324034646309554</v>
      </c>
      <c r="W107">
        <f t="shared" si="22"/>
        <v>0</v>
      </c>
      <c r="Y107" s="8">
        <f t="shared" si="25"/>
        <v>5.1810227680706422E-3</v>
      </c>
      <c r="Z107" s="8"/>
      <c r="AB107" s="11">
        <f t="shared" si="23"/>
        <v>555007.65791060496</v>
      </c>
      <c r="AC107" s="1">
        <f t="shared" si="12"/>
        <v>38473</v>
      </c>
      <c r="AD107" s="9">
        <f t="shared" si="24"/>
        <v>229351.5568446496</v>
      </c>
      <c r="AE107" s="1">
        <f t="shared" si="13"/>
        <v>38473</v>
      </c>
      <c r="AF107" s="11">
        <f t="shared" si="14"/>
        <v>229351.5568446496</v>
      </c>
    </row>
    <row r="108" spans="1:32" x14ac:dyDescent="0.25">
      <c r="A108" s="1">
        <v>38504</v>
      </c>
      <c r="B108" s="9">
        <f>IFERROR(VLOOKUP($A108,ANTIGA_LIVRES!$A:$P,MATCH(APENDICE_BCB!B$3,ANTIGA_LIVRES!$1:$1,0),0)/1000,0)</f>
        <v>306497.27299999999</v>
      </c>
      <c r="C108" s="9">
        <f>IFERROR(VLOOKUP($A108,ANTIGA_LIVRES!$A:$P,MATCH(APENDICE_BCB!C$3,ANTIGA_LIVRES!$1:$1,0),0)/1000,0)</f>
        <v>169865.405</v>
      </c>
      <c r="D108" s="9">
        <f>IFERROR(VLOOKUP($A108,ANTIGA_LIVRES!$A:$P,MATCH(APENDICE_BCB!D$3,ANTIGA_LIVRES!$1:$1,0),0)/1000,0)</f>
        <v>136631.86799999999</v>
      </c>
      <c r="E108" s="9">
        <f>IFERROR(VLOOKUP($A108,ANTIGA_DIRECIONADOS!$A:$P,MATCH(APENDICE_BCB!E$3,ANTIGA_DIRECIONADOS!$1:$1,0),0),0)</f>
        <v>185044</v>
      </c>
      <c r="F108" s="9">
        <f>IFERROR(VLOOKUP($A108,ANTIGA_DIRECIONADOS!$A:$P,MATCH(APENDICE_BCB!F$3,ANTIGA_DIRECIONADOS!$1:$1,0),0),0)</f>
        <v>66838</v>
      </c>
      <c r="G108" s="9">
        <f>IFERROR(VLOOKUP($A108,ANTIGA_DIRECIONADOS!$A:$P,MATCH(APENDICE_BCB!G$3,ANTIGA_DIRECIONADOS!$1:$1,0),0),0)</f>
        <v>118206</v>
      </c>
      <c r="H108" s="9">
        <f>IFERROR(VLOOKUP($A108,ATUAL_LIV_E_DIR!$A:$P,MATCH(APENDICE_BCB!H$3,ATUAL_LIV_E_DIR!$1:$1,0),0),0)</f>
        <v>0</v>
      </c>
      <c r="I108" s="9">
        <f>IFERROR(VLOOKUP($A108,ATUAL_LIV_E_DIR!$A:$P,MATCH(APENDICE_BCB!I$3,ATUAL_LIV_E_DIR!$1:$1,0),0),0)</f>
        <v>0</v>
      </c>
      <c r="J108" s="9">
        <f>IFERROR(VLOOKUP($A108,ATUAL_LIV_E_DIR!$A:$P,MATCH(APENDICE_BCB!J$3,ATUAL_LIV_E_DIR!$1:$1,0),0),0)</f>
        <v>0</v>
      </c>
      <c r="K108" s="9">
        <f>IFERROR(VLOOKUP($A108,ATUAL_LIV_E_DIR!$A:$P,MATCH(APENDICE_BCB!K$3,ATUAL_LIV_E_DIR!$1:$1,0),0),0)</f>
        <v>0</v>
      </c>
      <c r="L108" s="9">
        <f>IFERROR(VLOOKUP($A108,ATUAL_LIV_E_DIR!$A:$P,MATCH(APENDICE_BCB!L$3,ATUAL_LIV_E_DIR!$1:$1,0),0),0)</f>
        <v>0</v>
      </c>
      <c r="M108" s="9">
        <f>IFERROR(VLOOKUP($A108,ATUAL_LIV_E_DIR!$A:$P,MATCH(APENDICE_BCB!M$3,ATUAL_LIV_E_DIR!$1:$1,0),0),0)</f>
        <v>0</v>
      </c>
      <c r="O108" s="11">
        <f t="shared" si="16"/>
        <v>491541.27299999999</v>
      </c>
      <c r="P108" s="11">
        <f t="shared" si="17"/>
        <v>0</v>
      </c>
      <c r="Q108" s="11">
        <f t="shared" si="18"/>
        <v>288071.40500000003</v>
      </c>
      <c r="R108" s="11">
        <f t="shared" si="19"/>
        <v>0</v>
      </c>
      <c r="S108" s="11">
        <f t="shared" si="20"/>
        <v>203469.86799999999</v>
      </c>
      <c r="T108" s="11"/>
      <c r="V108" s="7">
        <f t="shared" si="21"/>
        <v>0.4139425907374415</v>
      </c>
      <c r="W108">
        <f t="shared" si="22"/>
        <v>0</v>
      </c>
      <c r="Y108" s="8">
        <f t="shared" si="25"/>
        <v>1.2357417955006778E-2</v>
      </c>
      <c r="Z108" s="8"/>
      <c r="AB108" s="11">
        <f t="shared" si="23"/>
        <v>561866.11950763571</v>
      </c>
      <c r="AC108" s="1">
        <f t="shared" si="12"/>
        <v>38504</v>
      </c>
      <c r="AD108" s="9">
        <f t="shared" si="24"/>
        <v>232580.31715658365</v>
      </c>
      <c r="AE108" s="1">
        <f t="shared" si="13"/>
        <v>38504</v>
      </c>
      <c r="AF108" s="11">
        <f t="shared" si="14"/>
        <v>232580.31715658365</v>
      </c>
    </row>
    <row r="109" spans="1:32" x14ac:dyDescent="0.25">
      <c r="A109" s="1">
        <v>38534</v>
      </c>
      <c r="B109" s="9">
        <f>IFERROR(VLOOKUP($A109,ANTIGA_LIVRES!$A:$P,MATCH(APENDICE_BCB!B$3,ANTIGA_LIVRES!$1:$1,0),0)/1000,0)</f>
        <v>312348.78100000002</v>
      </c>
      <c r="C109" s="9">
        <f>IFERROR(VLOOKUP($A109,ANTIGA_LIVRES!$A:$P,MATCH(APENDICE_BCB!C$3,ANTIGA_LIVRES!$1:$1,0),0)/1000,0)</f>
        <v>172088.402</v>
      </c>
      <c r="D109" s="9">
        <f>IFERROR(VLOOKUP($A109,ANTIGA_LIVRES!$A:$P,MATCH(APENDICE_BCB!D$3,ANTIGA_LIVRES!$1:$1,0),0)/1000,0)</f>
        <v>140260.37899999999</v>
      </c>
      <c r="E109" s="9">
        <f>IFERROR(VLOOKUP($A109,ANTIGA_DIRECIONADOS!$A:$P,MATCH(APENDICE_BCB!E$3,ANTIGA_DIRECIONADOS!$1:$1,0),0),0)</f>
        <v>185258</v>
      </c>
      <c r="F109" s="9">
        <f>IFERROR(VLOOKUP($A109,ANTIGA_DIRECIONADOS!$A:$P,MATCH(APENDICE_BCB!F$3,ANTIGA_DIRECIONADOS!$1:$1,0),0),0)</f>
        <v>65623</v>
      </c>
      <c r="G109" s="9">
        <f>IFERROR(VLOOKUP($A109,ANTIGA_DIRECIONADOS!$A:$P,MATCH(APENDICE_BCB!G$3,ANTIGA_DIRECIONADOS!$1:$1,0),0),0)</f>
        <v>119635</v>
      </c>
      <c r="H109" s="9">
        <f>IFERROR(VLOOKUP($A109,ATUAL_LIV_E_DIR!$A:$P,MATCH(APENDICE_BCB!H$3,ATUAL_LIV_E_DIR!$1:$1,0),0),0)</f>
        <v>0</v>
      </c>
      <c r="I109" s="9">
        <f>IFERROR(VLOOKUP($A109,ATUAL_LIV_E_DIR!$A:$P,MATCH(APENDICE_BCB!I$3,ATUAL_LIV_E_DIR!$1:$1,0),0),0)</f>
        <v>0</v>
      </c>
      <c r="J109" s="9">
        <f>IFERROR(VLOOKUP($A109,ATUAL_LIV_E_DIR!$A:$P,MATCH(APENDICE_BCB!J$3,ATUAL_LIV_E_DIR!$1:$1,0),0),0)</f>
        <v>0</v>
      </c>
      <c r="K109" s="9">
        <f>IFERROR(VLOOKUP($A109,ATUAL_LIV_E_DIR!$A:$P,MATCH(APENDICE_BCB!K$3,ATUAL_LIV_E_DIR!$1:$1,0),0),0)</f>
        <v>0</v>
      </c>
      <c r="L109" s="9">
        <f>IFERROR(VLOOKUP($A109,ATUAL_LIV_E_DIR!$A:$P,MATCH(APENDICE_BCB!L$3,ATUAL_LIV_E_DIR!$1:$1,0),0),0)</f>
        <v>0</v>
      </c>
      <c r="M109" s="9">
        <f>IFERROR(VLOOKUP($A109,ATUAL_LIV_E_DIR!$A:$P,MATCH(APENDICE_BCB!M$3,ATUAL_LIV_E_DIR!$1:$1,0),0),0)</f>
        <v>0</v>
      </c>
      <c r="O109" s="11">
        <f t="shared" si="16"/>
        <v>497606.78100000002</v>
      </c>
      <c r="P109" s="11">
        <f t="shared" si="17"/>
        <v>0</v>
      </c>
      <c r="Q109" s="11">
        <f t="shared" si="18"/>
        <v>291723.402</v>
      </c>
      <c r="R109" s="11">
        <f t="shared" si="19"/>
        <v>0</v>
      </c>
      <c r="S109" s="11">
        <f t="shared" si="20"/>
        <v>205883.37899999999</v>
      </c>
      <c r="T109" s="11"/>
      <c r="V109" s="7">
        <f t="shared" si="21"/>
        <v>0.41374713299978116</v>
      </c>
      <c r="W109">
        <f t="shared" si="22"/>
        <v>0</v>
      </c>
      <c r="Y109" s="8">
        <f t="shared" si="25"/>
        <v>1.2339773551426791E-2</v>
      </c>
      <c r="Z109" s="8"/>
      <c r="AB109" s="11">
        <f t="shared" si="23"/>
        <v>568799.42018857878</v>
      </c>
      <c r="AC109" s="1">
        <f t="shared" si="12"/>
        <v>38534</v>
      </c>
      <c r="AD109" s="9">
        <f t="shared" si="24"/>
        <v>235339.12935496232</v>
      </c>
      <c r="AE109" s="1">
        <f t="shared" si="13"/>
        <v>38534</v>
      </c>
      <c r="AF109" s="11">
        <f t="shared" si="14"/>
        <v>235339.12935496232</v>
      </c>
    </row>
    <row r="110" spans="1:32" x14ac:dyDescent="0.25">
      <c r="A110" s="1">
        <v>38565</v>
      </c>
      <c r="B110" s="9">
        <f>IFERROR(VLOOKUP($A110,ANTIGA_LIVRES!$A:$P,MATCH(APENDICE_BCB!B$3,ANTIGA_LIVRES!$1:$1,0),0)/1000,0)</f>
        <v>317535.53700000001</v>
      </c>
      <c r="C110" s="9">
        <f>IFERROR(VLOOKUP($A110,ANTIGA_LIVRES!$A:$P,MATCH(APENDICE_BCB!C$3,ANTIGA_LIVRES!$1:$1,0),0)/1000,0)</f>
        <v>172369.81899999999</v>
      </c>
      <c r="D110" s="9">
        <f>IFERROR(VLOOKUP($A110,ANTIGA_LIVRES!$A:$P,MATCH(APENDICE_BCB!D$3,ANTIGA_LIVRES!$1:$1,0),0)/1000,0)</f>
        <v>145165.71799999999</v>
      </c>
      <c r="E110" s="9">
        <f>IFERROR(VLOOKUP($A110,ANTIGA_DIRECIONADOS!$A:$P,MATCH(APENDICE_BCB!E$3,ANTIGA_DIRECIONADOS!$1:$1,0),0),0)</f>
        <v>187233</v>
      </c>
      <c r="F110" s="9">
        <f>IFERROR(VLOOKUP($A110,ANTIGA_DIRECIONADOS!$A:$P,MATCH(APENDICE_BCB!F$3,ANTIGA_DIRECIONADOS!$1:$1,0),0),0)</f>
        <v>65362</v>
      </c>
      <c r="G110" s="9">
        <f>IFERROR(VLOOKUP($A110,ANTIGA_DIRECIONADOS!$A:$P,MATCH(APENDICE_BCB!G$3,ANTIGA_DIRECIONADOS!$1:$1,0),0),0)</f>
        <v>121871</v>
      </c>
      <c r="H110" s="9">
        <f>IFERROR(VLOOKUP($A110,ATUAL_LIV_E_DIR!$A:$P,MATCH(APENDICE_BCB!H$3,ATUAL_LIV_E_DIR!$1:$1,0),0),0)</f>
        <v>0</v>
      </c>
      <c r="I110" s="9">
        <f>IFERROR(VLOOKUP($A110,ATUAL_LIV_E_DIR!$A:$P,MATCH(APENDICE_BCB!I$3,ATUAL_LIV_E_DIR!$1:$1,0),0),0)</f>
        <v>0</v>
      </c>
      <c r="J110" s="9">
        <f>IFERROR(VLOOKUP($A110,ATUAL_LIV_E_DIR!$A:$P,MATCH(APENDICE_BCB!J$3,ATUAL_LIV_E_DIR!$1:$1,0),0),0)</f>
        <v>0</v>
      </c>
      <c r="K110" s="9">
        <f>IFERROR(VLOOKUP($A110,ATUAL_LIV_E_DIR!$A:$P,MATCH(APENDICE_BCB!K$3,ATUAL_LIV_E_DIR!$1:$1,0),0),0)</f>
        <v>0</v>
      </c>
      <c r="L110" s="9">
        <f>IFERROR(VLOOKUP($A110,ATUAL_LIV_E_DIR!$A:$P,MATCH(APENDICE_BCB!L$3,ATUAL_LIV_E_DIR!$1:$1,0),0),0)</f>
        <v>0</v>
      </c>
      <c r="M110" s="9">
        <f>IFERROR(VLOOKUP($A110,ATUAL_LIV_E_DIR!$A:$P,MATCH(APENDICE_BCB!M$3,ATUAL_LIV_E_DIR!$1:$1,0),0),0)</f>
        <v>0</v>
      </c>
      <c r="O110" s="11">
        <f t="shared" si="16"/>
        <v>504768.53700000001</v>
      </c>
      <c r="P110" s="11">
        <f t="shared" si="17"/>
        <v>0</v>
      </c>
      <c r="Q110" s="11">
        <f t="shared" si="18"/>
        <v>294240.81900000002</v>
      </c>
      <c r="R110" s="11">
        <f t="shared" si="19"/>
        <v>0</v>
      </c>
      <c r="S110" s="11">
        <f t="shared" si="20"/>
        <v>210527.71799999999</v>
      </c>
      <c r="T110" s="11"/>
      <c r="V110" s="7">
        <f t="shared" si="21"/>
        <v>0.41707773477965404</v>
      </c>
      <c r="W110">
        <f t="shared" si="22"/>
        <v>0</v>
      </c>
      <c r="Y110" s="8">
        <f t="shared" si="25"/>
        <v>1.4392400331859623E-2</v>
      </c>
      <c r="Z110" s="8"/>
      <c r="AB110" s="11">
        <f t="shared" si="23"/>
        <v>576985.8091524624</v>
      </c>
      <c r="AC110" s="1">
        <f t="shared" si="12"/>
        <v>38565</v>
      </c>
      <c r="AD110" s="9">
        <f t="shared" si="24"/>
        <v>240647.93428131481</v>
      </c>
      <c r="AE110" s="1">
        <f t="shared" si="13"/>
        <v>38565</v>
      </c>
      <c r="AF110" s="11">
        <f t="shared" si="14"/>
        <v>240647.93428131481</v>
      </c>
    </row>
    <row r="111" spans="1:32" x14ac:dyDescent="0.25">
      <c r="A111" s="1">
        <v>38596</v>
      </c>
      <c r="B111" s="9">
        <f>IFERROR(VLOOKUP($A111,ANTIGA_LIVRES!$A:$P,MATCH(APENDICE_BCB!B$3,ANTIGA_LIVRES!$1:$1,0),0)/1000,0)</f>
        <v>323354.71899999998</v>
      </c>
      <c r="C111" s="9">
        <f>IFERROR(VLOOKUP($A111,ANTIGA_LIVRES!$A:$P,MATCH(APENDICE_BCB!C$3,ANTIGA_LIVRES!$1:$1,0),0)/1000,0)</f>
        <v>174662.73300000001</v>
      </c>
      <c r="D111" s="9">
        <f>IFERROR(VLOOKUP($A111,ANTIGA_LIVRES!$A:$P,MATCH(APENDICE_BCB!D$3,ANTIGA_LIVRES!$1:$1,0),0)/1000,0)</f>
        <v>148691.986</v>
      </c>
      <c r="E111" s="9">
        <f>IFERROR(VLOOKUP($A111,ANTIGA_DIRECIONADOS!$A:$P,MATCH(APENDICE_BCB!E$3,ANTIGA_DIRECIONADOS!$1:$1,0),0),0)</f>
        <v>187851</v>
      </c>
      <c r="F111" s="9">
        <f>IFERROR(VLOOKUP($A111,ANTIGA_DIRECIONADOS!$A:$P,MATCH(APENDICE_BCB!F$3,ANTIGA_DIRECIONADOS!$1:$1,0),0),0)</f>
        <v>66858</v>
      </c>
      <c r="G111" s="9">
        <f>IFERROR(VLOOKUP($A111,ANTIGA_DIRECIONADOS!$A:$P,MATCH(APENDICE_BCB!G$3,ANTIGA_DIRECIONADOS!$1:$1,0),0),0)</f>
        <v>120993</v>
      </c>
      <c r="H111" s="9">
        <f>IFERROR(VLOOKUP($A111,ATUAL_LIV_E_DIR!$A:$P,MATCH(APENDICE_BCB!H$3,ATUAL_LIV_E_DIR!$1:$1,0),0),0)</f>
        <v>0</v>
      </c>
      <c r="I111" s="9">
        <f>IFERROR(VLOOKUP($A111,ATUAL_LIV_E_DIR!$A:$P,MATCH(APENDICE_BCB!I$3,ATUAL_LIV_E_DIR!$1:$1,0),0),0)</f>
        <v>0</v>
      </c>
      <c r="J111" s="9">
        <f>IFERROR(VLOOKUP($A111,ATUAL_LIV_E_DIR!$A:$P,MATCH(APENDICE_BCB!J$3,ATUAL_LIV_E_DIR!$1:$1,0),0),0)</f>
        <v>0</v>
      </c>
      <c r="K111" s="9">
        <f>IFERROR(VLOOKUP($A111,ATUAL_LIV_E_DIR!$A:$P,MATCH(APENDICE_BCB!K$3,ATUAL_LIV_E_DIR!$1:$1,0),0),0)</f>
        <v>0</v>
      </c>
      <c r="L111" s="9">
        <f>IFERROR(VLOOKUP($A111,ATUAL_LIV_E_DIR!$A:$P,MATCH(APENDICE_BCB!L$3,ATUAL_LIV_E_DIR!$1:$1,0),0),0)</f>
        <v>0</v>
      </c>
      <c r="M111" s="9">
        <f>IFERROR(VLOOKUP($A111,ATUAL_LIV_E_DIR!$A:$P,MATCH(APENDICE_BCB!M$3,ATUAL_LIV_E_DIR!$1:$1,0),0),0)</f>
        <v>0</v>
      </c>
      <c r="O111" s="11">
        <f t="shared" si="16"/>
        <v>511205.71899999998</v>
      </c>
      <c r="P111" s="11">
        <f t="shared" si="17"/>
        <v>0</v>
      </c>
      <c r="Q111" s="11">
        <f t="shared" si="18"/>
        <v>295655.73300000001</v>
      </c>
      <c r="R111" s="11">
        <f t="shared" si="19"/>
        <v>0</v>
      </c>
      <c r="S111" s="11">
        <f t="shared" si="20"/>
        <v>215549.986</v>
      </c>
      <c r="T111" s="11"/>
      <c r="V111" s="7">
        <f t="shared" si="21"/>
        <v>0.42165018502071966</v>
      </c>
      <c r="W111">
        <f t="shared" si="22"/>
        <v>0</v>
      </c>
      <c r="Y111" s="8">
        <f t="shared" si="25"/>
        <v>1.2752740173264776E-2</v>
      </c>
      <c r="Z111" s="8"/>
      <c r="AB111" s="11">
        <f t="shared" si="23"/>
        <v>584343.95926024474</v>
      </c>
      <c r="AC111" s="1">
        <f t="shared" si="12"/>
        <v>38596</v>
      </c>
      <c r="AD111" s="9">
        <f t="shared" si="24"/>
        <v>246388.73853782206</v>
      </c>
      <c r="AE111" s="1">
        <f t="shared" si="13"/>
        <v>38596</v>
      </c>
      <c r="AF111" s="11">
        <f t="shared" si="14"/>
        <v>246388.73853782206</v>
      </c>
    </row>
    <row r="112" spans="1:32" x14ac:dyDescent="0.25">
      <c r="A112" s="1">
        <v>38626</v>
      </c>
      <c r="B112" s="9">
        <f>IFERROR(VLOOKUP($A112,ANTIGA_LIVRES!$A:$P,MATCH(APENDICE_BCB!B$3,ANTIGA_LIVRES!$1:$1,0),0)/1000,0)</f>
        <v>330085.20199999999</v>
      </c>
      <c r="C112" s="9">
        <f>IFERROR(VLOOKUP($A112,ANTIGA_LIVRES!$A:$P,MATCH(APENDICE_BCB!C$3,ANTIGA_LIVRES!$1:$1,0),0)/1000,0)</f>
        <v>178312.51300000001</v>
      </c>
      <c r="D112" s="9">
        <f>IFERROR(VLOOKUP($A112,ANTIGA_LIVRES!$A:$P,MATCH(APENDICE_BCB!D$3,ANTIGA_LIVRES!$1:$1,0),0)/1000,0)</f>
        <v>151772.68900000001</v>
      </c>
      <c r="E112" s="9">
        <f>IFERROR(VLOOKUP($A112,ANTIGA_DIRECIONADOS!$A:$P,MATCH(APENDICE_BCB!E$3,ANTIGA_DIRECIONADOS!$1:$1,0),0),0)</f>
        <v>190247</v>
      </c>
      <c r="F112" s="9">
        <f>IFERROR(VLOOKUP($A112,ANTIGA_DIRECIONADOS!$A:$P,MATCH(APENDICE_BCB!F$3,ANTIGA_DIRECIONADOS!$1:$1,0),0),0)</f>
        <v>69319</v>
      </c>
      <c r="G112" s="9">
        <f>IFERROR(VLOOKUP($A112,ANTIGA_DIRECIONADOS!$A:$P,MATCH(APENDICE_BCB!G$3,ANTIGA_DIRECIONADOS!$1:$1,0),0),0)</f>
        <v>120928</v>
      </c>
      <c r="H112" s="9">
        <f>IFERROR(VLOOKUP($A112,ATUAL_LIV_E_DIR!$A:$P,MATCH(APENDICE_BCB!H$3,ATUAL_LIV_E_DIR!$1:$1,0),0),0)</f>
        <v>0</v>
      </c>
      <c r="I112" s="9">
        <f>IFERROR(VLOOKUP($A112,ATUAL_LIV_E_DIR!$A:$P,MATCH(APENDICE_BCB!I$3,ATUAL_LIV_E_DIR!$1:$1,0),0),0)</f>
        <v>0</v>
      </c>
      <c r="J112" s="9">
        <f>IFERROR(VLOOKUP($A112,ATUAL_LIV_E_DIR!$A:$P,MATCH(APENDICE_BCB!J$3,ATUAL_LIV_E_DIR!$1:$1,0),0),0)</f>
        <v>0</v>
      </c>
      <c r="K112" s="9">
        <f>IFERROR(VLOOKUP($A112,ATUAL_LIV_E_DIR!$A:$P,MATCH(APENDICE_BCB!K$3,ATUAL_LIV_E_DIR!$1:$1,0),0),0)</f>
        <v>0</v>
      </c>
      <c r="L112" s="9">
        <f>IFERROR(VLOOKUP($A112,ATUAL_LIV_E_DIR!$A:$P,MATCH(APENDICE_BCB!L$3,ATUAL_LIV_E_DIR!$1:$1,0),0),0)</f>
        <v>0</v>
      </c>
      <c r="M112" s="9">
        <f>IFERROR(VLOOKUP($A112,ATUAL_LIV_E_DIR!$A:$P,MATCH(APENDICE_BCB!M$3,ATUAL_LIV_E_DIR!$1:$1,0),0),0)</f>
        <v>0</v>
      </c>
      <c r="O112" s="11">
        <f t="shared" si="16"/>
        <v>520332.20199999999</v>
      </c>
      <c r="P112" s="11">
        <f t="shared" si="17"/>
        <v>0</v>
      </c>
      <c r="Q112" s="11">
        <f t="shared" si="18"/>
        <v>299240.51300000004</v>
      </c>
      <c r="R112" s="11">
        <f t="shared" si="19"/>
        <v>0</v>
      </c>
      <c r="S112" s="11">
        <f t="shared" si="20"/>
        <v>221091.68900000001</v>
      </c>
      <c r="T112" s="11"/>
      <c r="V112" s="7">
        <f t="shared" si="21"/>
        <v>0.42490487452091236</v>
      </c>
      <c r="W112">
        <f t="shared" si="22"/>
        <v>0</v>
      </c>
      <c r="Y112" s="8">
        <f t="shared" si="25"/>
        <v>1.7852857784636855E-2</v>
      </c>
      <c r="Z112" s="8"/>
      <c r="AB112" s="11">
        <f t="shared" si="23"/>
        <v>594776.16886222945</v>
      </c>
      <c r="AC112" s="1">
        <f t="shared" si="12"/>
        <v>38626</v>
      </c>
      <c r="AD112" s="9">
        <f t="shared" si="24"/>
        <v>252723.29339843459</v>
      </c>
      <c r="AE112" s="1">
        <f t="shared" si="13"/>
        <v>38626</v>
      </c>
      <c r="AF112" s="11">
        <f t="shared" si="14"/>
        <v>252723.29339843459</v>
      </c>
    </row>
    <row r="113" spans="1:32" x14ac:dyDescent="0.25">
      <c r="A113" s="1">
        <v>38657</v>
      </c>
      <c r="B113" s="9">
        <f>IFERROR(VLOOKUP($A113,ANTIGA_LIVRES!$A:$P,MATCH(APENDICE_BCB!B$3,ANTIGA_LIVRES!$1:$1,0),0)/1000,0)</f>
        <v>337994.99099999998</v>
      </c>
      <c r="C113" s="9">
        <f>IFERROR(VLOOKUP($A113,ANTIGA_LIVRES!$A:$P,MATCH(APENDICE_BCB!C$3,ANTIGA_LIVRES!$1:$1,0),0)/1000,0)</f>
        <v>182111.46900000001</v>
      </c>
      <c r="D113" s="9">
        <f>IFERROR(VLOOKUP($A113,ANTIGA_LIVRES!$A:$P,MATCH(APENDICE_BCB!D$3,ANTIGA_LIVRES!$1:$1,0),0)/1000,0)</f>
        <v>155883.522</v>
      </c>
      <c r="E113" s="9">
        <f>IFERROR(VLOOKUP($A113,ANTIGA_DIRECIONADOS!$A:$P,MATCH(APENDICE_BCB!E$3,ANTIGA_DIRECIONADOS!$1:$1,0),0),0)</f>
        <v>195153</v>
      </c>
      <c r="F113" s="9">
        <f>IFERROR(VLOOKUP($A113,ANTIGA_DIRECIONADOS!$A:$P,MATCH(APENDICE_BCB!F$3,ANTIGA_DIRECIONADOS!$1:$1,0),0),0)</f>
        <v>71019</v>
      </c>
      <c r="G113" s="9">
        <f>IFERROR(VLOOKUP($A113,ANTIGA_DIRECIONADOS!$A:$P,MATCH(APENDICE_BCB!G$3,ANTIGA_DIRECIONADOS!$1:$1,0),0),0)</f>
        <v>124134</v>
      </c>
      <c r="H113" s="9">
        <f>IFERROR(VLOOKUP($A113,ATUAL_LIV_E_DIR!$A:$P,MATCH(APENDICE_BCB!H$3,ATUAL_LIV_E_DIR!$1:$1,0),0),0)</f>
        <v>0</v>
      </c>
      <c r="I113" s="9">
        <f>IFERROR(VLOOKUP($A113,ATUAL_LIV_E_DIR!$A:$P,MATCH(APENDICE_BCB!I$3,ATUAL_LIV_E_DIR!$1:$1,0),0),0)</f>
        <v>0</v>
      </c>
      <c r="J113" s="9">
        <f>IFERROR(VLOOKUP($A113,ATUAL_LIV_E_DIR!$A:$P,MATCH(APENDICE_BCB!J$3,ATUAL_LIV_E_DIR!$1:$1,0),0),0)</f>
        <v>0</v>
      </c>
      <c r="K113" s="9">
        <f>IFERROR(VLOOKUP($A113,ATUAL_LIV_E_DIR!$A:$P,MATCH(APENDICE_BCB!K$3,ATUAL_LIV_E_DIR!$1:$1,0),0),0)</f>
        <v>0</v>
      </c>
      <c r="L113" s="9">
        <f>IFERROR(VLOOKUP($A113,ATUAL_LIV_E_DIR!$A:$P,MATCH(APENDICE_BCB!L$3,ATUAL_LIV_E_DIR!$1:$1,0),0),0)</f>
        <v>0</v>
      </c>
      <c r="M113" s="9">
        <f>IFERROR(VLOOKUP($A113,ATUAL_LIV_E_DIR!$A:$P,MATCH(APENDICE_BCB!M$3,ATUAL_LIV_E_DIR!$1:$1,0),0),0)</f>
        <v>0</v>
      </c>
      <c r="O113" s="11">
        <f t="shared" si="16"/>
        <v>533147.99099999992</v>
      </c>
      <c r="P113" s="11">
        <f t="shared" si="17"/>
        <v>0</v>
      </c>
      <c r="Q113" s="11">
        <f t="shared" si="18"/>
        <v>306245.46900000004</v>
      </c>
      <c r="R113" s="11">
        <f t="shared" si="19"/>
        <v>0</v>
      </c>
      <c r="S113" s="11">
        <f t="shared" si="20"/>
        <v>226902.522</v>
      </c>
      <c r="T113" s="11"/>
      <c r="V113" s="7">
        <f t="shared" si="21"/>
        <v>0.42559012850148775</v>
      </c>
      <c r="W113">
        <f t="shared" si="22"/>
        <v>0</v>
      </c>
      <c r="Y113" s="8">
        <f t="shared" si="25"/>
        <v>2.4630013192994626E-2</v>
      </c>
      <c r="Z113" s="8"/>
      <c r="AB113" s="11">
        <f t="shared" si="23"/>
        <v>609425.51374818489</v>
      </c>
      <c r="AC113" s="1">
        <f t="shared" ref="AC113:AC128" si="26">A113</f>
        <v>38657</v>
      </c>
      <c r="AD113" s="9">
        <f t="shared" si="24"/>
        <v>259365.4827081752</v>
      </c>
      <c r="AE113" s="1">
        <f t="shared" ref="AE113:AE129" si="27">A113</f>
        <v>38657</v>
      </c>
      <c r="AF113" s="11">
        <f t="shared" ref="AF113:AF127" si="28">AD113</f>
        <v>259365.4827081752</v>
      </c>
    </row>
    <row r="114" spans="1:32" x14ac:dyDescent="0.25">
      <c r="A114" s="1">
        <v>38687</v>
      </c>
      <c r="B114" s="9">
        <f>IFERROR(VLOOKUP($A114,ANTIGA_LIVRES!$A:$P,MATCH(APENDICE_BCB!B$3,ANTIGA_LIVRES!$1:$1,0),0)/1000,0)</f>
        <v>340634.54700000002</v>
      </c>
      <c r="C114" s="9">
        <f>IFERROR(VLOOKUP($A114,ANTIGA_LIVRES!$A:$P,MATCH(APENDICE_BCB!C$3,ANTIGA_LIVRES!$1:$1,0),0)/1000,0)</f>
        <v>185444.223</v>
      </c>
      <c r="D114" s="9">
        <f>IFERROR(VLOOKUP($A114,ANTIGA_LIVRES!$A:$P,MATCH(APENDICE_BCB!D$3,ANTIGA_LIVRES!$1:$1,0),0)/1000,0)</f>
        <v>155190.32399999999</v>
      </c>
      <c r="E114" s="9">
        <f>IFERROR(VLOOKUP($A114,ANTIGA_DIRECIONADOS!$A:$P,MATCH(APENDICE_BCB!E$3,ANTIGA_DIRECIONADOS!$1:$1,0),0),0)</f>
        <v>203316</v>
      </c>
      <c r="F114" s="9">
        <f>IFERROR(VLOOKUP($A114,ANTIGA_DIRECIONADOS!$A:$P,MATCH(APENDICE_BCB!F$3,ANTIGA_DIRECIONADOS!$1:$1,0),0),0)</f>
        <v>73237</v>
      </c>
      <c r="G114" s="9">
        <f>IFERROR(VLOOKUP($A114,ANTIGA_DIRECIONADOS!$A:$P,MATCH(APENDICE_BCB!G$3,ANTIGA_DIRECIONADOS!$1:$1,0),0),0)</f>
        <v>130079</v>
      </c>
      <c r="H114" s="9">
        <f>IFERROR(VLOOKUP($A114,ATUAL_LIV_E_DIR!$A:$P,MATCH(APENDICE_BCB!H$3,ATUAL_LIV_E_DIR!$1:$1,0),0),0)</f>
        <v>0</v>
      </c>
      <c r="I114" s="9">
        <f>IFERROR(VLOOKUP($A114,ATUAL_LIV_E_DIR!$A:$P,MATCH(APENDICE_BCB!I$3,ATUAL_LIV_E_DIR!$1:$1,0),0),0)</f>
        <v>0</v>
      </c>
      <c r="J114" s="9">
        <f>IFERROR(VLOOKUP($A114,ATUAL_LIV_E_DIR!$A:$P,MATCH(APENDICE_BCB!J$3,ATUAL_LIV_E_DIR!$1:$1,0),0),0)</f>
        <v>0</v>
      </c>
      <c r="K114" s="9">
        <f>IFERROR(VLOOKUP($A114,ATUAL_LIV_E_DIR!$A:$P,MATCH(APENDICE_BCB!K$3,ATUAL_LIV_E_DIR!$1:$1,0),0),0)</f>
        <v>0</v>
      </c>
      <c r="L114" s="9">
        <f>IFERROR(VLOOKUP($A114,ATUAL_LIV_E_DIR!$A:$P,MATCH(APENDICE_BCB!L$3,ATUAL_LIV_E_DIR!$1:$1,0),0),0)</f>
        <v>0</v>
      </c>
      <c r="M114" s="9">
        <f>IFERROR(VLOOKUP($A114,ATUAL_LIV_E_DIR!$A:$P,MATCH(APENDICE_BCB!M$3,ATUAL_LIV_E_DIR!$1:$1,0),0),0)</f>
        <v>0</v>
      </c>
      <c r="O114" s="11">
        <f t="shared" si="16"/>
        <v>543950.54700000002</v>
      </c>
      <c r="P114" s="11">
        <f t="shared" si="17"/>
        <v>0</v>
      </c>
      <c r="Q114" s="11">
        <f t="shared" si="18"/>
        <v>315523.223</v>
      </c>
      <c r="R114" s="11">
        <f t="shared" si="19"/>
        <v>0</v>
      </c>
      <c r="S114" s="11">
        <f t="shared" si="20"/>
        <v>228427.32399999999</v>
      </c>
      <c r="T114" s="11"/>
      <c r="V114" s="7">
        <f t="shared" si="21"/>
        <v>0.41994134441048736</v>
      </c>
      <c r="W114">
        <f t="shared" si="22"/>
        <v>0</v>
      </c>
      <c r="Y114" s="8">
        <f t="shared" si="25"/>
        <v>2.0261833829174236E-2</v>
      </c>
      <c r="Z114" s="8"/>
      <c r="AB114" s="11">
        <f t="shared" si="23"/>
        <v>621773.5922390098</v>
      </c>
      <c r="AC114" s="1">
        <f t="shared" si="26"/>
        <v>38687</v>
      </c>
      <c r="AD114" s="9">
        <f t="shared" si="24"/>
        <v>261108.43824378794</v>
      </c>
      <c r="AE114" s="1">
        <f t="shared" si="27"/>
        <v>38687</v>
      </c>
      <c r="AF114" s="11">
        <f t="shared" si="28"/>
        <v>261108.43824378794</v>
      </c>
    </row>
    <row r="115" spans="1:32" x14ac:dyDescent="0.25">
      <c r="A115" s="1">
        <v>38718</v>
      </c>
      <c r="B115" s="9">
        <f>IFERROR(VLOOKUP($A115,ANTIGA_LIVRES!$A:$P,MATCH(APENDICE_BCB!B$3,ANTIGA_LIVRES!$1:$1,0),0)/1000,0)</f>
        <v>343867.59700000001</v>
      </c>
      <c r="C115" s="9">
        <f>IFERROR(VLOOKUP($A115,ANTIGA_LIVRES!$A:$P,MATCH(APENDICE_BCB!C$3,ANTIGA_LIVRES!$1:$1,0),0)/1000,0)</f>
        <v>183278.26800000001</v>
      </c>
      <c r="D115" s="9">
        <f>IFERROR(VLOOKUP($A115,ANTIGA_LIVRES!$A:$P,MATCH(APENDICE_BCB!D$3,ANTIGA_LIVRES!$1:$1,0),0)/1000,0)</f>
        <v>160589.329</v>
      </c>
      <c r="E115" s="9">
        <f>IFERROR(VLOOKUP($A115,ANTIGA_DIRECIONADOS!$A:$P,MATCH(APENDICE_BCB!E$3,ANTIGA_DIRECIONADOS!$1:$1,0),0),0)</f>
        <v>203263</v>
      </c>
      <c r="F115" s="9">
        <f>IFERROR(VLOOKUP($A115,ANTIGA_DIRECIONADOS!$A:$P,MATCH(APENDICE_BCB!F$3,ANTIGA_DIRECIONADOS!$1:$1,0),0),0)</f>
        <v>73905</v>
      </c>
      <c r="G115" s="9">
        <f>IFERROR(VLOOKUP($A115,ANTIGA_DIRECIONADOS!$A:$P,MATCH(APENDICE_BCB!G$3,ANTIGA_DIRECIONADOS!$1:$1,0),0),0)</f>
        <v>129358</v>
      </c>
      <c r="H115" s="9">
        <f>IFERROR(VLOOKUP($A115,ATUAL_LIV_E_DIR!$A:$P,MATCH(APENDICE_BCB!H$3,ATUAL_LIV_E_DIR!$1:$1,0),0),0)</f>
        <v>0</v>
      </c>
      <c r="I115" s="9">
        <f>IFERROR(VLOOKUP($A115,ATUAL_LIV_E_DIR!$A:$P,MATCH(APENDICE_BCB!I$3,ATUAL_LIV_E_DIR!$1:$1,0),0),0)</f>
        <v>0</v>
      </c>
      <c r="J115" s="9">
        <f>IFERROR(VLOOKUP($A115,ATUAL_LIV_E_DIR!$A:$P,MATCH(APENDICE_BCB!J$3,ATUAL_LIV_E_DIR!$1:$1,0),0),0)</f>
        <v>0</v>
      </c>
      <c r="K115" s="9">
        <f>IFERROR(VLOOKUP($A115,ATUAL_LIV_E_DIR!$A:$P,MATCH(APENDICE_BCB!K$3,ATUAL_LIV_E_DIR!$1:$1,0),0),0)</f>
        <v>0</v>
      </c>
      <c r="L115" s="9">
        <f>IFERROR(VLOOKUP($A115,ATUAL_LIV_E_DIR!$A:$P,MATCH(APENDICE_BCB!L$3,ATUAL_LIV_E_DIR!$1:$1,0),0),0)</f>
        <v>0</v>
      </c>
      <c r="M115" s="9">
        <f>IFERROR(VLOOKUP($A115,ATUAL_LIV_E_DIR!$A:$P,MATCH(APENDICE_BCB!M$3,ATUAL_LIV_E_DIR!$1:$1,0),0),0)</f>
        <v>0</v>
      </c>
      <c r="O115" s="11">
        <f t="shared" si="16"/>
        <v>547130.59700000007</v>
      </c>
      <c r="P115" s="11">
        <f t="shared" si="17"/>
        <v>0</v>
      </c>
      <c r="Q115" s="11">
        <f t="shared" si="18"/>
        <v>312636.26800000004</v>
      </c>
      <c r="R115" s="11">
        <f t="shared" si="19"/>
        <v>0</v>
      </c>
      <c r="S115" s="11">
        <f t="shared" si="20"/>
        <v>234494.329</v>
      </c>
      <c r="T115" s="11"/>
      <c r="V115" s="7">
        <f t="shared" si="21"/>
        <v>0.42858931722292248</v>
      </c>
      <c r="W115">
        <f t="shared" si="22"/>
        <v>0</v>
      </c>
      <c r="Y115" s="8">
        <f t="shared" si="25"/>
        <v>5.8462116042325984E-3</v>
      </c>
      <c r="Z115" s="8"/>
      <c r="AB115" s="11">
        <f t="shared" si="23"/>
        <v>625408.61222916294</v>
      </c>
      <c r="AC115" s="1">
        <f t="shared" si="26"/>
        <v>38718</v>
      </c>
      <c r="AD115" s="9">
        <f t="shared" si="24"/>
        <v>268043.45010063244</v>
      </c>
      <c r="AE115" s="1">
        <f t="shared" si="27"/>
        <v>38718</v>
      </c>
      <c r="AF115" s="11">
        <f t="shared" si="28"/>
        <v>268043.45010063244</v>
      </c>
    </row>
    <row r="116" spans="1:32" x14ac:dyDescent="0.25">
      <c r="A116" s="1">
        <v>38749</v>
      </c>
      <c r="B116" s="9">
        <f>IFERROR(VLOOKUP($A116,ANTIGA_LIVRES!$A:$P,MATCH(APENDICE_BCB!B$3,ANTIGA_LIVRES!$1:$1,0),0)/1000,0)</f>
        <v>350258.75799999997</v>
      </c>
      <c r="C116" s="9">
        <f>IFERROR(VLOOKUP($A116,ANTIGA_LIVRES!$A:$P,MATCH(APENDICE_BCB!C$3,ANTIGA_LIVRES!$1:$1,0),0)/1000,0)</f>
        <v>186452.45199999999</v>
      </c>
      <c r="D116" s="9">
        <f>IFERROR(VLOOKUP($A116,ANTIGA_LIVRES!$A:$P,MATCH(APENDICE_BCB!D$3,ANTIGA_LIVRES!$1:$1,0),0)/1000,0)</f>
        <v>163806.30600000001</v>
      </c>
      <c r="E116" s="9">
        <f>IFERROR(VLOOKUP($A116,ANTIGA_DIRECIONADOS!$A:$P,MATCH(APENDICE_BCB!E$3,ANTIGA_DIRECIONADOS!$1:$1,0),0),0)</f>
        <v>202680</v>
      </c>
      <c r="F116" s="9">
        <f>IFERROR(VLOOKUP($A116,ANTIGA_DIRECIONADOS!$A:$P,MATCH(APENDICE_BCB!F$3,ANTIGA_DIRECIONADOS!$1:$1,0),0),0)</f>
        <v>74247</v>
      </c>
      <c r="G116" s="9">
        <f>IFERROR(VLOOKUP($A116,ANTIGA_DIRECIONADOS!$A:$P,MATCH(APENDICE_BCB!G$3,ANTIGA_DIRECIONADOS!$1:$1,0),0),0)</f>
        <v>128434</v>
      </c>
      <c r="H116" s="9">
        <f>IFERROR(VLOOKUP($A116,ATUAL_LIV_E_DIR!$A:$P,MATCH(APENDICE_BCB!H$3,ATUAL_LIV_E_DIR!$1:$1,0),0),0)</f>
        <v>0</v>
      </c>
      <c r="I116" s="9">
        <f>IFERROR(VLOOKUP($A116,ATUAL_LIV_E_DIR!$A:$P,MATCH(APENDICE_BCB!I$3,ATUAL_LIV_E_DIR!$1:$1,0),0),0)</f>
        <v>0</v>
      </c>
      <c r="J116" s="9">
        <f>IFERROR(VLOOKUP($A116,ATUAL_LIV_E_DIR!$A:$P,MATCH(APENDICE_BCB!J$3,ATUAL_LIV_E_DIR!$1:$1,0),0),0)</f>
        <v>0</v>
      </c>
      <c r="K116" s="9">
        <f>IFERROR(VLOOKUP($A116,ATUAL_LIV_E_DIR!$A:$P,MATCH(APENDICE_BCB!K$3,ATUAL_LIV_E_DIR!$1:$1,0),0),0)</f>
        <v>0</v>
      </c>
      <c r="L116" s="9">
        <f>IFERROR(VLOOKUP($A116,ATUAL_LIV_E_DIR!$A:$P,MATCH(APENDICE_BCB!L$3,ATUAL_LIV_E_DIR!$1:$1,0),0),0)</f>
        <v>0</v>
      </c>
      <c r="M116" s="9">
        <f>IFERROR(VLOOKUP($A116,ATUAL_LIV_E_DIR!$A:$P,MATCH(APENDICE_BCB!M$3,ATUAL_LIV_E_DIR!$1:$1,0),0),0)</f>
        <v>0</v>
      </c>
      <c r="O116" s="11">
        <f t="shared" si="16"/>
        <v>552938.75799999991</v>
      </c>
      <c r="P116" s="11">
        <f t="shared" si="17"/>
        <v>0</v>
      </c>
      <c r="Q116" s="11">
        <f t="shared" si="18"/>
        <v>314886.45199999999</v>
      </c>
      <c r="R116" s="11">
        <f t="shared" si="19"/>
        <v>0</v>
      </c>
      <c r="S116" s="11">
        <f t="shared" si="20"/>
        <v>238053.30600000001</v>
      </c>
      <c r="T116" s="11"/>
      <c r="V116" s="7">
        <f t="shared" si="21"/>
        <v>0.4305238194208843</v>
      </c>
      <c r="W116">
        <f t="shared" si="22"/>
        <v>0</v>
      </c>
      <c r="Y116" s="8">
        <f t="shared" si="25"/>
        <v>1.0615675730523799E-2</v>
      </c>
      <c r="Z116" s="8"/>
      <c r="AB116" s="11">
        <f t="shared" si="23"/>
        <v>632047.74725566455</v>
      </c>
      <c r="AC116" s="1">
        <f t="shared" si="26"/>
        <v>38749</v>
      </c>
      <c r="AD116" s="9">
        <f t="shared" si="24"/>
        <v>272111.61020487442</v>
      </c>
      <c r="AE116" s="1">
        <f t="shared" si="27"/>
        <v>38749</v>
      </c>
      <c r="AF116" s="11">
        <f t="shared" si="28"/>
        <v>272111.61020487442</v>
      </c>
    </row>
    <row r="117" spans="1:32" x14ac:dyDescent="0.25">
      <c r="A117" s="1">
        <v>38777</v>
      </c>
      <c r="B117" s="9">
        <f>IFERROR(VLOOKUP($A117,ANTIGA_LIVRES!$A:$P,MATCH(APENDICE_BCB!B$3,ANTIGA_LIVRES!$1:$1,0),0)/1000,0)</f>
        <v>357302.91899999999</v>
      </c>
      <c r="C117" s="9">
        <f>IFERROR(VLOOKUP($A117,ANTIGA_LIVRES!$A:$P,MATCH(APENDICE_BCB!C$3,ANTIGA_LIVRES!$1:$1,0),0)/1000,0)</f>
        <v>189202.99799999999</v>
      </c>
      <c r="D117" s="9">
        <f>IFERROR(VLOOKUP($A117,ANTIGA_LIVRES!$A:$P,MATCH(APENDICE_BCB!D$3,ANTIGA_LIVRES!$1:$1,0),0)/1000,0)</f>
        <v>168099.921</v>
      </c>
      <c r="E117" s="9">
        <f>IFERROR(VLOOKUP($A117,ANTIGA_DIRECIONADOS!$A:$P,MATCH(APENDICE_BCB!E$3,ANTIGA_DIRECIONADOS!$1:$1,0),0),0)</f>
        <v>204720</v>
      </c>
      <c r="F117" s="9">
        <f>IFERROR(VLOOKUP($A117,ANTIGA_DIRECIONADOS!$A:$P,MATCH(APENDICE_BCB!F$3,ANTIGA_DIRECIONADOS!$1:$1,0),0),0)</f>
        <v>75508</v>
      </c>
      <c r="G117" s="9">
        <f>IFERROR(VLOOKUP($A117,ANTIGA_DIRECIONADOS!$A:$P,MATCH(APENDICE_BCB!G$3,ANTIGA_DIRECIONADOS!$1:$1,0),0),0)</f>
        <v>129213</v>
      </c>
      <c r="H117" s="9">
        <f>IFERROR(VLOOKUP($A117,ATUAL_LIV_E_DIR!$A:$P,MATCH(APENDICE_BCB!H$3,ATUAL_LIV_E_DIR!$1:$1,0),0),0)</f>
        <v>0</v>
      </c>
      <c r="I117" s="9">
        <f>IFERROR(VLOOKUP($A117,ATUAL_LIV_E_DIR!$A:$P,MATCH(APENDICE_BCB!I$3,ATUAL_LIV_E_DIR!$1:$1,0),0),0)</f>
        <v>0</v>
      </c>
      <c r="J117" s="9">
        <f>IFERROR(VLOOKUP($A117,ATUAL_LIV_E_DIR!$A:$P,MATCH(APENDICE_BCB!J$3,ATUAL_LIV_E_DIR!$1:$1,0),0),0)</f>
        <v>0</v>
      </c>
      <c r="K117" s="9">
        <f>IFERROR(VLOOKUP($A117,ATUAL_LIV_E_DIR!$A:$P,MATCH(APENDICE_BCB!K$3,ATUAL_LIV_E_DIR!$1:$1,0),0),0)</f>
        <v>0</v>
      </c>
      <c r="L117" s="9">
        <f>IFERROR(VLOOKUP($A117,ATUAL_LIV_E_DIR!$A:$P,MATCH(APENDICE_BCB!L$3,ATUAL_LIV_E_DIR!$1:$1,0),0),0)</f>
        <v>0</v>
      </c>
      <c r="M117" s="9">
        <f>IFERROR(VLOOKUP($A117,ATUAL_LIV_E_DIR!$A:$P,MATCH(APENDICE_BCB!M$3,ATUAL_LIV_E_DIR!$1:$1,0),0),0)</f>
        <v>0</v>
      </c>
      <c r="O117" s="11">
        <f t="shared" si="16"/>
        <v>562022.91899999999</v>
      </c>
      <c r="P117" s="11">
        <f t="shared" si="17"/>
        <v>0</v>
      </c>
      <c r="Q117" s="11">
        <f t="shared" si="18"/>
        <v>318415.99800000002</v>
      </c>
      <c r="R117" s="11">
        <f t="shared" si="19"/>
        <v>0</v>
      </c>
      <c r="S117" s="11">
        <f t="shared" si="20"/>
        <v>243607.921</v>
      </c>
      <c r="T117" s="11"/>
      <c r="V117" s="7">
        <f t="shared" si="21"/>
        <v>0.43344837508308093</v>
      </c>
      <c r="W117">
        <f t="shared" si="22"/>
        <v>0</v>
      </c>
      <c r="Y117" s="8">
        <f t="shared" si="25"/>
        <v>1.6428873665607746E-2</v>
      </c>
      <c r="Z117" s="8"/>
      <c r="AB117" s="11">
        <f t="shared" si="23"/>
        <v>642431.5798459599</v>
      </c>
      <c r="AC117" s="1">
        <f t="shared" si="26"/>
        <v>38777</v>
      </c>
      <c r="AD117" s="9">
        <f t="shared" si="24"/>
        <v>278460.92438628786</v>
      </c>
      <c r="AE117" s="1">
        <f t="shared" si="27"/>
        <v>38777</v>
      </c>
      <c r="AF117" s="11">
        <f t="shared" si="28"/>
        <v>278460.92438628786</v>
      </c>
    </row>
    <row r="118" spans="1:32" x14ac:dyDescent="0.25">
      <c r="A118" s="1">
        <v>38808</v>
      </c>
      <c r="B118" s="9">
        <f>IFERROR(VLOOKUP($A118,ANTIGA_LIVRES!$A:$P,MATCH(APENDICE_BCB!B$3,ANTIGA_LIVRES!$1:$1,0),0)/1000,0)</f>
        <v>365431.38199999998</v>
      </c>
      <c r="C118" s="9">
        <f>IFERROR(VLOOKUP($A118,ANTIGA_LIVRES!$A:$P,MATCH(APENDICE_BCB!C$3,ANTIGA_LIVRES!$1:$1,0),0)/1000,0)</f>
        <v>193455.658</v>
      </c>
      <c r="D118" s="9">
        <f>IFERROR(VLOOKUP($A118,ANTIGA_LIVRES!$A:$P,MATCH(APENDICE_BCB!D$3,ANTIGA_LIVRES!$1:$1,0),0)/1000,0)</f>
        <v>171975.72399999999</v>
      </c>
      <c r="E118" s="9">
        <f>IFERROR(VLOOKUP($A118,ANTIGA_DIRECIONADOS!$A:$P,MATCH(APENDICE_BCB!E$3,ANTIGA_DIRECIONADOS!$1:$1,0),0),0)</f>
        <v>206639</v>
      </c>
      <c r="F118" s="9">
        <f>IFERROR(VLOOKUP($A118,ANTIGA_DIRECIONADOS!$A:$P,MATCH(APENDICE_BCB!F$3,ANTIGA_DIRECIONADOS!$1:$1,0),0),0)</f>
        <v>76613</v>
      </c>
      <c r="G118" s="9">
        <f>IFERROR(VLOOKUP($A118,ANTIGA_DIRECIONADOS!$A:$P,MATCH(APENDICE_BCB!G$3,ANTIGA_DIRECIONADOS!$1:$1,0),0),0)</f>
        <v>130026</v>
      </c>
      <c r="H118" s="9">
        <f>IFERROR(VLOOKUP($A118,ATUAL_LIV_E_DIR!$A:$P,MATCH(APENDICE_BCB!H$3,ATUAL_LIV_E_DIR!$1:$1,0),0),0)</f>
        <v>0</v>
      </c>
      <c r="I118" s="9">
        <f>IFERROR(VLOOKUP($A118,ATUAL_LIV_E_DIR!$A:$P,MATCH(APENDICE_BCB!I$3,ATUAL_LIV_E_DIR!$1:$1,0),0),0)</f>
        <v>0</v>
      </c>
      <c r="J118" s="9">
        <f>IFERROR(VLOOKUP($A118,ATUAL_LIV_E_DIR!$A:$P,MATCH(APENDICE_BCB!J$3,ATUAL_LIV_E_DIR!$1:$1,0),0),0)</f>
        <v>0</v>
      </c>
      <c r="K118" s="9">
        <f>IFERROR(VLOOKUP($A118,ATUAL_LIV_E_DIR!$A:$P,MATCH(APENDICE_BCB!K$3,ATUAL_LIV_E_DIR!$1:$1,0),0),0)</f>
        <v>0</v>
      </c>
      <c r="L118" s="9">
        <f>IFERROR(VLOOKUP($A118,ATUAL_LIV_E_DIR!$A:$P,MATCH(APENDICE_BCB!L$3,ATUAL_LIV_E_DIR!$1:$1,0),0),0)</f>
        <v>0</v>
      </c>
      <c r="M118" s="9">
        <f>IFERROR(VLOOKUP($A118,ATUAL_LIV_E_DIR!$A:$P,MATCH(APENDICE_BCB!M$3,ATUAL_LIV_E_DIR!$1:$1,0),0),0)</f>
        <v>0</v>
      </c>
      <c r="O118" s="11">
        <f t="shared" si="16"/>
        <v>572070.38199999998</v>
      </c>
      <c r="P118" s="11">
        <f t="shared" si="17"/>
        <v>0</v>
      </c>
      <c r="Q118" s="11">
        <f t="shared" si="18"/>
        <v>323481.658</v>
      </c>
      <c r="R118" s="11">
        <f t="shared" si="19"/>
        <v>0</v>
      </c>
      <c r="S118" s="11">
        <f t="shared" si="20"/>
        <v>248588.72399999999</v>
      </c>
      <c r="T118" s="11"/>
      <c r="V118" s="7">
        <f t="shared" si="21"/>
        <v>0.43454220288579803</v>
      </c>
      <c r="W118">
        <f t="shared" si="22"/>
        <v>0</v>
      </c>
      <c r="Y118" s="8">
        <f t="shared" si="25"/>
        <v>1.787731898527789E-2</v>
      </c>
      <c r="Z118" s="8"/>
      <c r="AB118" s="11">
        <f t="shared" si="23"/>
        <v>653916.53412508208</v>
      </c>
      <c r="AC118" s="1">
        <f t="shared" si="26"/>
        <v>38808</v>
      </c>
      <c r="AD118" s="9">
        <f t="shared" si="24"/>
        <v>284154.3312421593</v>
      </c>
      <c r="AE118" s="1">
        <f t="shared" si="27"/>
        <v>38808</v>
      </c>
      <c r="AF118" s="11">
        <f t="shared" si="28"/>
        <v>284154.3312421593</v>
      </c>
    </row>
    <row r="119" spans="1:32" x14ac:dyDescent="0.25">
      <c r="A119" s="1">
        <v>38838</v>
      </c>
      <c r="B119" s="9">
        <f>IFERROR(VLOOKUP($A119,ANTIGA_LIVRES!$A:$P,MATCH(APENDICE_BCB!B$3,ANTIGA_LIVRES!$1:$1,0),0)/1000,0)</f>
        <v>373413.82500000001</v>
      </c>
      <c r="C119" s="9">
        <f>IFERROR(VLOOKUP($A119,ANTIGA_LIVRES!$A:$P,MATCH(APENDICE_BCB!C$3,ANTIGA_LIVRES!$1:$1,0),0)/1000,0)</f>
        <v>197913.23800000001</v>
      </c>
      <c r="D119" s="9">
        <f>IFERROR(VLOOKUP($A119,ANTIGA_LIVRES!$A:$P,MATCH(APENDICE_BCB!D$3,ANTIGA_LIVRES!$1:$1,0),0)/1000,0)</f>
        <v>175500.587</v>
      </c>
      <c r="E119" s="9">
        <f>IFERROR(VLOOKUP($A119,ANTIGA_DIRECIONADOS!$A:$P,MATCH(APENDICE_BCB!E$3,ANTIGA_DIRECIONADOS!$1:$1,0),0),0)</f>
        <v>211109</v>
      </c>
      <c r="F119" s="9">
        <f>IFERROR(VLOOKUP($A119,ANTIGA_DIRECIONADOS!$A:$P,MATCH(APENDICE_BCB!F$3,ANTIGA_DIRECIONADOS!$1:$1,0),0),0)</f>
        <v>78187</v>
      </c>
      <c r="G119" s="9">
        <f>IFERROR(VLOOKUP($A119,ANTIGA_DIRECIONADOS!$A:$P,MATCH(APENDICE_BCB!G$3,ANTIGA_DIRECIONADOS!$1:$1,0),0),0)</f>
        <v>132922</v>
      </c>
      <c r="H119" s="9">
        <f>IFERROR(VLOOKUP($A119,ATUAL_LIV_E_DIR!$A:$P,MATCH(APENDICE_BCB!H$3,ATUAL_LIV_E_DIR!$1:$1,0),0),0)</f>
        <v>0</v>
      </c>
      <c r="I119" s="9">
        <f>IFERROR(VLOOKUP($A119,ATUAL_LIV_E_DIR!$A:$P,MATCH(APENDICE_BCB!I$3,ATUAL_LIV_E_DIR!$1:$1,0),0),0)</f>
        <v>0</v>
      </c>
      <c r="J119" s="9">
        <f>IFERROR(VLOOKUP($A119,ATUAL_LIV_E_DIR!$A:$P,MATCH(APENDICE_BCB!J$3,ATUAL_LIV_E_DIR!$1:$1,0),0),0)</f>
        <v>0</v>
      </c>
      <c r="K119" s="9">
        <f>IFERROR(VLOOKUP($A119,ATUAL_LIV_E_DIR!$A:$P,MATCH(APENDICE_BCB!K$3,ATUAL_LIV_E_DIR!$1:$1,0),0),0)</f>
        <v>0</v>
      </c>
      <c r="L119" s="9">
        <f>IFERROR(VLOOKUP($A119,ATUAL_LIV_E_DIR!$A:$P,MATCH(APENDICE_BCB!L$3,ATUAL_LIV_E_DIR!$1:$1,0),0),0)</f>
        <v>0</v>
      </c>
      <c r="M119" s="9">
        <f>IFERROR(VLOOKUP($A119,ATUAL_LIV_E_DIR!$A:$P,MATCH(APENDICE_BCB!M$3,ATUAL_LIV_E_DIR!$1:$1,0),0),0)</f>
        <v>0</v>
      </c>
      <c r="O119" s="11">
        <f t="shared" si="16"/>
        <v>584522.82499999995</v>
      </c>
      <c r="P119" s="11">
        <f t="shared" si="17"/>
        <v>0</v>
      </c>
      <c r="Q119" s="11">
        <f t="shared" si="18"/>
        <v>330835.23800000001</v>
      </c>
      <c r="R119" s="11">
        <f t="shared" si="19"/>
        <v>0</v>
      </c>
      <c r="S119" s="11">
        <f t="shared" si="20"/>
        <v>253687.587</v>
      </c>
      <c r="T119" s="11"/>
      <c r="V119" s="7">
        <f t="shared" si="21"/>
        <v>0.4340080081560545</v>
      </c>
      <c r="W119">
        <f t="shared" si="22"/>
        <v>0</v>
      </c>
      <c r="Y119" s="8">
        <f t="shared" si="25"/>
        <v>2.1767326874125636E-2</v>
      </c>
      <c r="Z119" s="8"/>
      <c r="AB119" s="11">
        <f t="shared" si="23"/>
        <v>668150.54907177819</v>
      </c>
      <c r="AC119" s="1">
        <f t="shared" si="26"/>
        <v>38838</v>
      </c>
      <c r="AD119" s="9">
        <f t="shared" si="24"/>
        <v>289982.68895101658</v>
      </c>
      <c r="AE119" s="1">
        <f t="shared" si="27"/>
        <v>38838</v>
      </c>
      <c r="AF119" s="11">
        <f t="shared" si="28"/>
        <v>289982.68895101658</v>
      </c>
    </row>
    <row r="120" spans="1:32" x14ac:dyDescent="0.25">
      <c r="A120" s="1">
        <v>38869</v>
      </c>
      <c r="B120" s="9">
        <f>IFERROR(VLOOKUP($A120,ANTIGA_LIVRES!$A:$P,MATCH(APENDICE_BCB!B$3,ANTIGA_LIVRES!$1:$1,0),0)/1000,0)</f>
        <v>376168.90299999999</v>
      </c>
      <c r="C120" s="9">
        <f>IFERROR(VLOOKUP($A120,ANTIGA_LIVRES!$A:$P,MATCH(APENDICE_BCB!C$3,ANTIGA_LIVRES!$1:$1,0),0)/1000,0)</f>
        <v>198986.41699999999</v>
      </c>
      <c r="D120" s="9">
        <f>IFERROR(VLOOKUP($A120,ANTIGA_LIVRES!$A:$P,MATCH(APENDICE_BCB!D$3,ANTIGA_LIVRES!$1:$1,0),0)/1000,0)</f>
        <v>177182.486</v>
      </c>
      <c r="E120" s="9">
        <f>IFERROR(VLOOKUP($A120,ANTIGA_DIRECIONADOS!$A:$P,MATCH(APENDICE_BCB!E$3,ANTIGA_DIRECIONADOS!$1:$1,0),0),0)</f>
        <v>212808</v>
      </c>
      <c r="F120" s="9">
        <f>IFERROR(VLOOKUP($A120,ANTIGA_DIRECIONADOS!$A:$P,MATCH(APENDICE_BCB!F$3,ANTIGA_DIRECIONADOS!$1:$1,0),0),0)</f>
        <v>79425</v>
      </c>
      <c r="G120" s="9">
        <f>IFERROR(VLOOKUP($A120,ANTIGA_DIRECIONADOS!$A:$P,MATCH(APENDICE_BCB!G$3,ANTIGA_DIRECIONADOS!$1:$1,0),0),0)</f>
        <v>133383</v>
      </c>
      <c r="H120" s="9">
        <f>IFERROR(VLOOKUP($A120,ATUAL_LIV_E_DIR!$A:$P,MATCH(APENDICE_BCB!H$3,ATUAL_LIV_E_DIR!$1:$1,0),0),0)</f>
        <v>0</v>
      </c>
      <c r="I120" s="9">
        <f>IFERROR(VLOOKUP($A120,ATUAL_LIV_E_DIR!$A:$P,MATCH(APENDICE_BCB!I$3,ATUAL_LIV_E_DIR!$1:$1,0),0),0)</f>
        <v>0</v>
      </c>
      <c r="J120" s="9">
        <f>IFERROR(VLOOKUP($A120,ATUAL_LIV_E_DIR!$A:$P,MATCH(APENDICE_BCB!J$3,ATUAL_LIV_E_DIR!$1:$1,0),0),0)</f>
        <v>0</v>
      </c>
      <c r="K120" s="9">
        <f>IFERROR(VLOOKUP($A120,ATUAL_LIV_E_DIR!$A:$P,MATCH(APENDICE_BCB!K$3,ATUAL_LIV_E_DIR!$1:$1,0),0),0)</f>
        <v>0</v>
      </c>
      <c r="L120" s="9">
        <f>IFERROR(VLOOKUP($A120,ATUAL_LIV_E_DIR!$A:$P,MATCH(APENDICE_BCB!L$3,ATUAL_LIV_E_DIR!$1:$1,0),0),0)</f>
        <v>0</v>
      </c>
      <c r="M120" s="9">
        <f>IFERROR(VLOOKUP($A120,ATUAL_LIV_E_DIR!$A:$P,MATCH(APENDICE_BCB!M$3,ATUAL_LIV_E_DIR!$1:$1,0),0),0)</f>
        <v>0</v>
      </c>
      <c r="O120" s="11">
        <f t="shared" si="16"/>
        <v>588976.90299999993</v>
      </c>
      <c r="P120" s="11">
        <f t="shared" si="17"/>
        <v>0</v>
      </c>
      <c r="Q120" s="11">
        <f t="shared" si="18"/>
        <v>332369.41700000002</v>
      </c>
      <c r="R120" s="11">
        <f t="shared" si="19"/>
        <v>0</v>
      </c>
      <c r="S120" s="11">
        <f t="shared" si="20"/>
        <v>256607.486</v>
      </c>
      <c r="T120" s="11"/>
      <c r="V120" s="7">
        <f t="shared" si="21"/>
        <v>0.43568344478866605</v>
      </c>
      <c r="W120">
        <f t="shared" si="22"/>
        <v>0</v>
      </c>
      <c r="Y120" s="8">
        <f t="shared" si="25"/>
        <v>7.6200240769039862E-3</v>
      </c>
      <c r="Z120" s="8"/>
      <c r="AB120" s="11">
        <f t="shared" si="23"/>
        <v>673241.87234270177</v>
      </c>
      <c r="AC120" s="1">
        <f t="shared" si="26"/>
        <v>38869</v>
      </c>
      <c r="AD120" s="9">
        <f t="shared" si="24"/>
        <v>293320.33811823966</v>
      </c>
      <c r="AE120" s="1">
        <f t="shared" si="27"/>
        <v>38869</v>
      </c>
      <c r="AF120" s="11">
        <f t="shared" si="28"/>
        <v>293320.33811823966</v>
      </c>
    </row>
    <row r="121" spans="1:32" x14ac:dyDescent="0.25">
      <c r="A121" s="1">
        <v>38899</v>
      </c>
      <c r="B121" s="9">
        <f>IFERROR(VLOOKUP($A121,ANTIGA_LIVRES!$A:$P,MATCH(APENDICE_BCB!B$3,ANTIGA_LIVRES!$1:$1,0),0)/1000,0)</f>
        <v>381814.804</v>
      </c>
      <c r="C121" s="9">
        <f>IFERROR(VLOOKUP($A121,ANTIGA_LIVRES!$A:$P,MATCH(APENDICE_BCB!C$3,ANTIGA_LIVRES!$1:$1,0),0)/1000,0)</f>
        <v>201353.47200000001</v>
      </c>
      <c r="D121" s="9">
        <f>IFERROR(VLOOKUP($A121,ANTIGA_LIVRES!$A:$P,MATCH(APENDICE_BCB!D$3,ANTIGA_LIVRES!$1:$1,0),0)/1000,0)</f>
        <v>180461.33199999999</v>
      </c>
      <c r="E121" s="9">
        <f>IFERROR(VLOOKUP($A121,ANTIGA_DIRECIONADOS!$A:$P,MATCH(APENDICE_BCB!E$3,ANTIGA_DIRECIONADOS!$1:$1,0),0),0)</f>
        <v>214372</v>
      </c>
      <c r="F121" s="9">
        <f>IFERROR(VLOOKUP($A121,ANTIGA_DIRECIONADOS!$A:$P,MATCH(APENDICE_BCB!F$3,ANTIGA_DIRECIONADOS!$1:$1,0),0),0)</f>
        <v>79271</v>
      </c>
      <c r="G121" s="9">
        <f>IFERROR(VLOOKUP($A121,ANTIGA_DIRECIONADOS!$A:$P,MATCH(APENDICE_BCB!G$3,ANTIGA_DIRECIONADOS!$1:$1,0),0),0)</f>
        <v>135101</v>
      </c>
      <c r="H121" s="9">
        <f>IFERROR(VLOOKUP($A121,ATUAL_LIV_E_DIR!$A:$P,MATCH(APENDICE_BCB!H$3,ATUAL_LIV_E_DIR!$1:$1,0),0),0)</f>
        <v>0</v>
      </c>
      <c r="I121" s="9">
        <f>IFERROR(VLOOKUP($A121,ATUAL_LIV_E_DIR!$A:$P,MATCH(APENDICE_BCB!I$3,ATUAL_LIV_E_DIR!$1:$1,0),0),0)</f>
        <v>0</v>
      </c>
      <c r="J121" s="9">
        <f>IFERROR(VLOOKUP($A121,ATUAL_LIV_E_DIR!$A:$P,MATCH(APENDICE_BCB!J$3,ATUAL_LIV_E_DIR!$1:$1,0),0),0)</f>
        <v>0</v>
      </c>
      <c r="K121" s="9">
        <f>IFERROR(VLOOKUP($A121,ATUAL_LIV_E_DIR!$A:$P,MATCH(APENDICE_BCB!K$3,ATUAL_LIV_E_DIR!$1:$1,0),0),0)</f>
        <v>0</v>
      </c>
      <c r="L121" s="9">
        <f>IFERROR(VLOOKUP($A121,ATUAL_LIV_E_DIR!$A:$P,MATCH(APENDICE_BCB!L$3,ATUAL_LIV_E_DIR!$1:$1,0),0),0)</f>
        <v>0</v>
      </c>
      <c r="M121" s="9">
        <f>IFERROR(VLOOKUP($A121,ATUAL_LIV_E_DIR!$A:$P,MATCH(APENDICE_BCB!M$3,ATUAL_LIV_E_DIR!$1:$1,0),0),0)</f>
        <v>0</v>
      </c>
      <c r="O121" s="11">
        <f t="shared" si="16"/>
        <v>596186.804</v>
      </c>
      <c r="P121" s="11">
        <f t="shared" si="17"/>
        <v>0</v>
      </c>
      <c r="Q121" s="11">
        <f t="shared" si="18"/>
        <v>336454.47200000001</v>
      </c>
      <c r="R121" s="11">
        <f t="shared" si="19"/>
        <v>0</v>
      </c>
      <c r="S121" s="11">
        <f t="shared" si="20"/>
        <v>259732.33199999999</v>
      </c>
      <c r="T121" s="11"/>
      <c r="V121" s="7">
        <f t="shared" si="21"/>
        <v>0.4356559559141131</v>
      </c>
      <c r="W121">
        <f t="shared" si="22"/>
        <v>0</v>
      </c>
      <c r="Y121" s="8">
        <f t="shared" si="25"/>
        <v>1.2241398539188708E-2</v>
      </c>
      <c r="Z121" s="8"/>
      <c r="AB121" s="11">
        <f t="shared" si="23"/>
        <v>681483.29441531841</v>
      </c>
      <c r="AC121" s="1">
        <f t="shared" si="26"/>
        <v>38899</v>
      </c>
      <c r="AD121" s="9">
        <f t="shared" si="24"/>
        <v>296892.25606800453</v>
      </c>
      <c r="AE121" s="1">
        <f t="shared" si="27"/>
        <v>38899</v>
      </c>
      <c r="AF121" s="11">
        <f t="shared" si="28"/>
        <v>296892.25606800453</v>
      </c>
    </row>
    <row r="122" spans="1:32" x14ac:dyDescent="0.25">
      <c r="A122" s="1">
        <v>38930</v>
      </c>
      <c r="B122" s="9">
        <f>IFERROR(VLOOKUP($A122,ANTIGA_LIVRES!$A:$P,MATCH(APENDICE_BCB!B$3,ANTIGA_LIVRES!$1:$1,0),0)/1000,0)</f>
        <v>383948.516</v>
      </c>
      <c r="C122" s="9">
        <f>IFERROR(VLOOKUP($A122,ANTIGA_LIVRES!$A:$P,MATCH(APENDICE_BCB!C$3,ANTIGA_LIVRES!$1:$1,0),0)/1000,0)</f>
        <v>199808.698</v>
      </c>
      <c r="D122" s="9">
        <f>IFERROR(VLOOKUP($A122,ANTIGA_LIVRES!$A:$P,MATCH(APENDICE_BCB!D$3,ANTIGA_LIVRES!$1:$1,0),0)/1000,0)</f>
        <v>184139.818</v>
      </c>
      <c r="E122" s="9">
        <f>IFERROR(VLOOKUP($A122,ANTIGA_DIRECIONADOS!$A:$P,MATCH(APENDICE_BCB!E$3,ANTIGA_DIRECIONADOS!$1:$1,0),0),0)</f>
        <v>215118</v>
      </c>
      <c r="F122" s="9">
        <f>IFERROR(VLOOKUP($A122,ANTIGA_DIRECIONADOS!$A:$P,MATCH(APENDICE_BCB!F$3,ANTIGA_DIRECIONADOS!$1:$1,0),0),0)</f>
        <v>80316</v>
      </c>
      <c r="G122" s="9">
        <f>IFERROR(VLOOKUP($A122,ANTIGA_DIRECIONADOS!$A:$P,MATCH(APENDICE_BCB!G$3,ANTIGA_DIRECIONADOS!$1:$1,0),0),0)</f>
        <v>134802</v>
      </c>
      <c r="H122" s="9">
        <f>IFERROR(VLOOKUP($A122,ATUAL_LIV_E_DIR!$A:$P,MATCH(APENDICE_BCB!H$3,ATUAL_LIV_E_DIR!$1:$1,0),0),0)</f>
        <v>0</v>
      </c>
      <c r="I122" s="9">
        <f>IFERROR(VLOOKUP($A122,ATUAL_LIV_E_DIR!$A:$P,MATCH(APENDICE_BCB!I$3,ATUAL_LIV_E_DIR!$1:$1,0),0),0)</f>
        <v>0</v>
      </c>
      <c r="J122" s="9">
        <f>IFERROR(VLOOKUP($A122,ATUAL_LIV_E_DIR!$A:$P,MATCH(APENDICE_BCB!J$3,ATUAL_LIV_E_DIR!$1:$1,0),0),0)</f>
        <v>0</v>
      </c>
      <c r="K122" s="9">
        <f>IFERROR(VLOOKUP($A122,ATUAL_LIV_E_DIR!$A:$P,MATCH(APENDICE_BCB!K$3,ATUAL_LIV_E_DIR!$1:$1,0),0),0)</f>
        <v>0</v>
      </c>
      <c r="L122" s="9">
        <f>IFERROR(VLOOKUP($A122,ATUAL_LIV_E_DIR!$A:$P,MATCH(APENDICE_BCB!L$3,ATUAL_LIV_E_DIR!$1:$1,0),0),0)</f>
        <v>0</v>
      </c>
      <c r="M122" s="9">
        <f>IFERROR(VLOOKUP($A122,ATUAL_LIV_E_DIR!$A:$P,MATCH(APENDICE_BCB!M$3,ATUAL_LIV_E_DIR!$1:$1,0),0),0)</f>
        <v>0</v>
      </c>
      <c r="O122" s="11">
        <f t="shared" si="16"/>
        <v>599066.51600000006</v>
      </c>
      <c r="P122" s="11">
        <f t="shared" si="17"/>
        <v>0</v>
      </c>
      <c r="Q122" s="11">
        <f t="shared" si="18"/>
        <v>334610.69799999997</v>
      </c>
      <c r="R122" s="11">
        <f t="shared" si="19"/>
        <v>0</v>
      </c>
      <c r="S122" s="11">
        <f t="shared" si="20"/>
        <v>264455.81799999997</v>
      </c>
      <c r="T122" s="11"/>
      <c r="V122" s="7">
        <f t="shared" si="21"/>
        <v>0.44144650207757552</v>
      </c>
      <c r="W122">
        <f t="shared" si="22"/>
        <v>0</v>
      </c>
      <c r="Y122" s="8">
        <f t="shared" si="25"/>
        <v>4.8302176107877237E-3</v>
      </c>
      <c r="Z122" s="8"/>
      <c r="AB122" s="11">
        <f t="shared" si="23"/>
        <v>684775.00702546095</v>
      </c>
      <c r="AC122" s="1">
        <f t="shared" si="26"/>
        <v>38930</v>
      </c>
      <c r="AD122" s="9">
        <f t="shared" si="24"/>
        <v>302291.53156153695</v>
      </c>
      <c r="AE122" s="1">
        <f t="shared" si="27"/>
        <v>38930</v>
      </c>
      <c r="AF122" s="11">
        <f t="shared" si="28"/>
        <v>302291.53156153695</v>
      </c>
    </row>
    <row r="123" spans="1:32" x14ac:dyDescent="0.25">
      <c r="A123" s="1">
        <v>38961</v>
      </c>
      <c r="B123" s="9">
        <f>IFERROR(VLOOKUP($A123,ANTIGA_LIVRES!$A:$P,MATCH(APENDICE_BCB!B$3,ANTIGA_LIVRES!$1:$1,0),0)/1000,0)</f>
        <v>391315.60100000002</v>
      </c>
      <c r="C123" s="9">
        <f>IFERROR(VLOOKUP($A123,ANTIGA_LIVRES!$A:$P,MATCH(APENDICE_BCB!C$3,ANTIGA_LIVRES!$1:$1,0),0)/1000,0)</f>
        <v>204660.22500000001</v>
      </c>
      <c r="D123" s="9">
        <f>IFERROR(VLOOKUP($A123,ANTIGA_LIVRES!$A:$P,MATCH(APENDICE_BCB!D$3,ANTIGA_LIVRES!$1:$1,0),0)/1000,0)</f>
        <v>186655.37599999999</v>
      </c>
      <c r="E123" s="9">
        <f>IFERROR(VLOOKUP($A123,ANTIGA_DIRECIONADOS!$A:$P,MATCH(APENDICE_BCB!E$3,ANTIGA_DIRECIONADOS!$1:$1,0),0),0)</f>
        <v>218333</v>
      </c>
      <c r="F123" s="9">
        <f>IFERROR(VLOOKUP($A123,ANTIGA_DIRECIONADOS!$A:$P,MATCH(APENDICE_BCB!F$3,ANTIGA_DIRECIONADOS!$1:$1,0),0),0)</f>
        <v>82424</v>
      </c>
      <c r="G123" s="9">
        <f>IFERROR(VLOOKUP($A123,ANTIGA_DIRECIONADOS!$A:$P,MATCH(APENDICE_BCB!G$3,ANTIGA_DIRECIONADOS!$1:$1,0),0),0)</f>
        <v>135909</v>
      </c>
      <c r="H123" s="9">
        <f>IFERROR(VLOOKUP($A123,ATUAL_LIV_E_DIR!$A:$P,MATCH(APENDICE_BCB!H$3,ATUAL_LIV_E_DIR!$1:$1,0),0),0)</f>
        <v>0</v>
      </c>
      <c r="I123" s="9">
        <f>IFERROR(VLOOKUP($A123,ATUAL_LIV_E_DIR!$A:$P,MATCH(APENDICE_BCB!I$3,ATUAL_LIV_E_DIR!$1:$1,0),0),0)</f>
        <v>0</v>
      </c>
      <c r="J123" s="9">
        <f>IFERROR(VLOOKUP($A123,ATUAL_LIV_E_DIR!$A:$P,MATCH(APENDICE_BCB!J$3,ATUAL_LIV_E_DIR!$1:$1,0),0),0)</f>
        <v>0</v>
      </c>
      <c r="K123" s="9">
        <f>IFERROR(VLOOKUP($A123,ATUAL_LIV_E_DIR!$A:$P,MATCH(APENDICE_BCB!K$3,ATUAL_LIV_E_DIR!$1:$1,0),0),0)</f>
        <v>0</v>
      </c>
      <c r="L123" s="9">
        <f>IFERROR(VLOOKUP($A123,ATUAL_LIV_E_DIR!$A:$P,MATCH(APENDICE_BCB!L$3,ATUAL_LIV_E_DIR!$1:$1,0),0),0)</f>
        <v>0</v>
      </c>
      <c r="M123" s="9">
        <f>IFERROR(VLOOKUP($A123,ATUAL_LIV_E_DIR!$A:$P,MATCH(APENDICE_BCB!M$3,ATUAL_LIV_E_DIR!$1:$1,0),0),0)</f>
        <v>0</v>
      </c>
      <c r="O123" s="11">
        <f t="shared" si="16"/>
        <v>609648.60100000002</v>
      </c>
      <c r="P123" s="11">
        <f t="shared" si="17"/>
        <v>0</v>
      </c>
      <c r="Q123" s="11">
        <f t="shared" si="18"/>
        <v>340569.22499999998</v>
      </c>
      <c r="R123" s="11">
        <f t="shared" si="19"/>
        <v>0</v>
      </c>
      <c r="S123" s="11">
        <f t="shared" si="20"/>
        <v>269079.37599999999</v>
      </c>
      <c r="T123" s="11"/>
      <c r="V123" s="7">
        <f t="shared" si="21"/>
        <v>0.44136798732685023</v>
      </c>
      <c r="W123">
        <f t="shared" si="22"/>
        <v>0</v>
      </c>
      <c r="Y123" s="8">
        <f t="shared" si="25"/>
        <v>1.7664290554339601E-2</v>
      </c>
      <c r="Z123" s="8"/>
      <c r="AB123" s="11">
        <f t="shared" si="23"/>
        <v>696871.07171390869</v>
      </c>
      <c r="AC123" s="1">
        <f t="shared" si="26"/>
        <v>38961</v>
      </c>
      <c r="AD123" s="9">
        <f t="shared" si="24"/>
        <v>307576.58234867296</v>
      </c>
      <c r="AE123" s="1">
        <f t="shared" si="27"/>
        <v>38961</v>
      </c>
      <c r="AF123" s="11">
        <f t="shared" si="28"/>
        <v>307576.58234867296</v>
      </c>
    </row>
    <row r="124" spans="1:32" x14ac:dyDescent="0.25">
      <c r="A124" s="1">
        <v>38991</v>
      </c>
      <c r="B124" s="9">
        <f>IFERROR(VLOOKUP($A124,ANTIGA_LIVRES!$A:$P,MATCH(APENDICE_BCB!B$3,ANTIGA_LIVRES!$1:$1,0),0)/1000,0)</f>
        <v>395919.95899999997</v>
      </c>
      <c r="C124" s="9">
        <f>IFERROR(VLOOKUP($A124,ANTIGA_LIVRES!$A:$P,MATCH(APENDICE_BCB!C$3,ANTIGA_LIVRES!$1:$1,0),0)/1000,0)</f>
        <v>206900.45300000001</v>
      </c>
      <c r="D124" s="9">
        <f>IFERROR(VLOOKUP($A124,ANTIGA_LIVRES!$A:$P,MATCH(APENDICE_BCB!D$3,ANTIGA_LIVRES!$1:$1,0),0)/1000,0)</f>
        <v>189019.50599999999</v>
      </c>
      <c r="E124" s="9">
        <f>IFERROR(VLOOKUP($A124,ANTIGA_DIRECIONADOS!$A:$P,MATCH(APENDICE_BCB!E$3,ANTIGA_DIRECIONADOS!$1:$1,0),0),0)</f>
        <v>221661</v>
      </c>
      <c r="F124" s="9">
        <f>IFERROR(VLOOKUP($A124,ANTIGA_DIRECIONADOS!$A:$P,MATCH(APENDICE_BCB!F$3,ANTIGA_DIRECIONADOS!$1:$1,0),0),0)</f>
        <v>85172</v>
      </c>
      <c r="G124" s="9">
        <f>IFERROR(VLOOKUP($A124,ANTIGA_DIRECIONADOS!$A:$P,MATCH(APENDICE_BCB!G$3,ANTIGA_DIRECIONADOS!$1:$1,0),0),0)</f>
        <v>136489</v>
      </c>
      <c r="H124" s="9">
        <f>IFERROR(VLOOKUP($A124,ATUAL_LIV_E_DIR!$A:$P,MATCH(APENDICE_BCB!H$3,ATUAL_LIV_E_DIR!$1:$1,0),0),0)</f>
        <v>0</v>
      </c>
      <c r="I124" s="9">
        <f>IFERROR(VLOOKUP($A124,ATUAL_LIV_E_DIR!$A:$P,MATCH(APENDICE_BCB!I$3,ATUAL_LIV_E_DIR!$1:$1,0),0),0)</f>
        <v>0</v>
      </c>
      <c r="J124" s="9">
        <f>IFERROR(VLOOKUP($A124,ATUAL_LIV_E_DIR!$A:$P,MATCH(APENDICE_BCB!J$3,ATUAL_LIV_E_DIR!$1:$1,0),0),0)</f>
        <v>0</v>
      </c>
      <c r="K124" s="9">
        <f>IFERROR(VLOOKUP($A124,ATUAL_LIV_E_DIR!$A:$P,MATCH(APENDICE_BCB!K$3,ATUAL_LIV_E_DIR!$1:$1,0),0),0)</f>
        <v>0</v>
      </c>
      <c r="L124" s="9">
        <f>IFERROR(VLOOKUP($A124,ATUAL_LIV_E_DIR!$A:$P,MATCH(APENDICE_BCB!L$3,ATUAL_LIV_E_DIR!$1:$1,0),0),0)</f>
        <v>0</v>
      </c>
      <c r="M124" s="9">
        <f>IFERROR(VLOOKUP($A124,ATUAL_LIV_E_DIR!$A:$P,MATCH(APENDICE_BCB!M$3,ATUAL_LIV_E_DIR!$1:$1,0),0),0)</f>
        <v>0</v>
      </c>
      <c r="O124" s="11">
        <f t="shared" si="16"/>
        <v>617580.95900000003</v>
      </c>
      <c r="P124" s="11">
        <f t="shared" si="17"/>
        <v>0</v>
      </c>
      <c r="Q124" s="11">
        <f t="shared" si="18"/>
        <v>343389.45299999998</v>
      </c>
      <c r="R124" s="11">
        <f t="shared" si="19"/>
        <v>0</v>
      </c>
      <c r="S124" s="11">
        <f t="shared" si="20"/>
        <v>274191.50599999999</v>
      </c>
      <c r="T124" s="11"/>
      <c r="V124" s="7">
        <f t="shared" si="21"/>
        <v>0.44397661878043748</v>
      </c>
      <c r="W124">
        <f t="shared" si="22"/>
        <v>0</v>
      </c>
      <c r="Y124" s="8">
        <f t="shared" si="25"/>
        <v>1.3011360949551243E-2</v>
      </c>
      <c r="Z124" s="8"/>
      <c r="AB124" s="11">
        <f t="shared" si="23"/>
        <v>705938.31276327907</v>
      </c>
      <c r="AC124" s="1">
        <f t="shared" si="26"/>
        <v>38991</v>
      </c>
      <c r="AD124" s="9">
        <f t="shared" si="24"/>
        <v>313420.10516820761</v>
      </c>
      <c r="AE124" s="1">
        <f t="shared" si="27"/>
        <v>38991</v>
      </c>
      <c r="AF124" s="11">
        <f t="shared" si="28"/>
        <v>313420.10516820761</v>
      </c>
    </row>
    <row r="125" spans="1:32" x14ac:dyDescent="0.25">
      <c r="A125" s="1">
        <v>39022</v>
      </c>
      <c r="B125" s="9">
        <f>IFERROR(VLOOKUP($A125,ANTIGA_LIVRES!$A:$P,MATCH(APENDICE_BCB!B$3,ANTIGA_LIVRES!$1:$1,0),0)/1000,0)</f>
        <v>404202.03499999997</v>
      </c>
      <c r="C125" s="9">
        <f>IFERROR(VLOOKUP($A125,ANTIGA_LIVRES!$A:$P,MATCH(APENDICE_BCB!C$3,ANTIGA_LIVRES!$1:$1,0),0)/1000,0)</f>
        <v>212159.36499999999</v>
      </c>
      <c r="D125" s="9">
        <f>IFERROR(VLOOKUP($A125,ANTIGA_LIVRES!$A:$P,MATCH(APENDICE_BCB!D$3,ANTIGA_LIVRES!$1:$1,0),0)/1000,0)</f>
        <v>192042.67</v>
      </c>
      <c r="E125" s="9">
        <f>IFERROR(VLOOKUP($A125,ANTIGA_DIRECIONADOS!$A:$P,MATCH(APENDICE_BCB!E$3,ANTIGA_DIRECIONADOS!$1:$1,0),0),0)</f>
        <v>227837</v>
      </c>
      <c r="F125" s="9">
        <f>IFERROR(VLOOKUP($A125,ANTIGA_DIRECIONADOS!$A:$P,MATCH(APENDICE_BCB!F$3,ANTIGA_DIRECIONADOS!$1:$1,0),0),0)</f>
        <v>87215</v>
      </c>
      <c r="G125" s="9">
        <f>IFERROR(VLOOKUP($A125,ANTIGA_DIRECIONADOS!$A:$P,MATCH(APENDICE_BCB!G$3,ANTIGA_DIRECIONADOS!$1:$1,0),0),0)</f>
        <v>140622</v>
      </c>
      <c r="H125" s="9">
        <f>IFERROR(VLOOKUP($A125,ATUAL_LIV_E_DIR!$A:$P,MATCH(APENDICE_BCB!H$3,ATUAL_LIV_E_DIR!$1:$1,0),0),0)</f>
        <v>0</v>
      </c>
      <c r="I125" s="9">
        <f>IFERROR(VLOOKUP($A125,ATUAL_LIV_E_DIR!$A:$P,MATCH(APENDICE_BCB!I$3,ATUAL_LIV_E_DIR!$1:$1,0),0),0)</f>
        <v>0</v>
      </c>
      <c r="J125" s="9">
        <f>IFERROR(VLOOKUP($A125,ATUAL_LIV_E_DIR!$A:$P,MATCH(APENDICE_BCB!J$3,ATUAL_LIV_E_DIR!$1:$1,0),0),0)</f>
        <v>0</v>
      </c>
      <c r="K125" s="9">
        <f>IFERROR(VLOOKUP($A125,ATUAL_LIV_E_DIR!$A:$P,MATCH(APENDICE_BCB!K$3,ATUAL_LIV_E_DIR!$1:$1,0),0),0)</f>
        <v>0</v>
      </c>
      <c r="L125" s="9">
        <f>IFERROR(VLOOKUP($A125,ATUAL_LIV_E_DIR!$A:$P,MATCH(APENDICE_BCB!L$3,ATUAL_LIV_E_DIR!$1:$1,0),0),0)</f>
        <v>0</v>
      </c>
      <c r="M125" s="9">
        <f>IFERROR(VLOOKUP($A125,ATUAL_LIV_E_DIR!$A:$P,MATCH(APENDICE_BCB!M$3,ATUAL_LIV_E_DIR!$1:$1,0),0),0)</f>
        <v>0</v>
      </c>
      <c r="O125" s="11">
        <f t="shared" si="16"/>
        <v>632039.03499999992</v>
      </c>
      <c r="P125" s="11">
        <f t="shared" si="17"/>
        <v>0</v>
      </c>
      <c r="Q125" s="11">
        <f t="shared" si="18"/>
        <v>352781.36499999999</v>
      </c>
      <c r="R125" s="11">
        <f t="shared" si="19"/>
        <v>0</v>
      </c>
      <c r="S125" s="11">
        <f t="shared" si="20"/>
        <v>279257.67000000004</v>
      </c>
      <c r="T125" s="11"/>
      <c r="V125" s="7">
        <f t="shared" si="21"/>
        <v>0.44183611222683433</v>
      </c>
      <c r="W125">
        <f t="shared" si="22"/>
        <v>0</v>
      </c>
      <c r="Y125" s="8">
        <f t="shared" si="25"/>
        <v>2.3410818920665433E-2</v>
      </c>
      <c r="Z125" s="8"/>
      <c r="AB125" s="11">
        <f t="shared" si="23"/>
        <v>722464.90677254018</v>
      </c>
      <c r="AC125" s="1">
        <f t="shared" si="26"/>
        <v>39022</v>
      </c>
      <c r="AD125" s="9">
        <f t="shared" si="24"/>
        <v>319211.08562870149</v>
      </c>
      <c r="AE125" s="1">
        <f t="shared" si="27"/>
        <v>39022</v>
      </c>
      <c r="AF125" s="11">
        <f t="shared" si="28"/>
        <v>319211.08562870149</v>
      </c>
    </row>
    <row r="126" spans="1:32" x14ac:dyDescent="0.25">
      <c r="A126" s="1">
        <v>39052</v>
      </c>
      <c r="B126" s="9">
        <f>IFERROR(VLOOKUP($A126,ANTIGA_LIVRES!$A:$P,MATCH(APENDICE_BCB!B$3,ANTIGA_LIVRES!$1:$1,0),0)/1000,0)</f>
        <v>409467.91200000001</v>
      </c>
      <c r="C126" s="9">
        <f>IFERROR(VLOOKUP($A126,ANTIGA_LIVRES!$A:$P,MATCH(APENDICE_BCB!C$3,ANTIGA_LIVRES!$1:$1,0),0)/1000,0)</f>
        <v>217631.20800000001</v>
      </c>
      <c r="D126" s="9">
        <f>IFERROR(VLOOKUP($A126,ANTIGA_LIVRES!$A:$P,MATCH(APENDICE_BCB!D$3,ANTIGA_LIVRES!$1:$1,0),0)/1000,0)</f>
        <v>191836.704</v>
      </c>
      <c r="E126" s="9">
        <f>IFERROR(VLOOKUP($A126,ANTIGA_DIRECIONADOS!$A:$P,MATCH(APENDICE_BCB!E$3,ANTIGA_DIRECIONADOS!$1:$1,0),0),0)</f>
        <v>234258</v>
      </c>
      <c r="F126" s="9">
        <f>IFERROR(VLOOKUP($A126,ANTIGA_DIRECIONADOS!$A:$P,MATCH(APENDICE_BCB!F$3,ANTIGA_DIRECIONADOS!$1:$1,0),0),0)</f>
        <v>88855</v>
      </c>
      <c r="G126" s="9">
        <f>IFERROR(VLOOKUP($A126,ANTIGA_DIRECIONADOS!$A:$P,MATCH(APENDICE_BCB!G$3,ANTIGA_DIRECIONADOS!$1:$1,0),0),0)</f>
        <v>145403</v>
      </c>
      <c r="H126" s="9">
        <f>IFERROR(VLOOKUP($A126,ATUAL_LIV_E_DIR!$A:$P,MATCH(APENDICE_BCB!H$3,ATUAL_LIV_E_DIR!$1:$1,0),0),0)</f>
        <v>0</v>
      </c>
      <c r="I126" s="9">
        <f>IFERROR(VLOOKUP($A126,ATUAL_LIV_E_DIR!$A:$P,MATCH(APENDICE_BCB!I$3,ATUAL_LIV_E_DIR!$1:$1,0),0),0)</f>
        <v>0</v>
      </c>
      <c r="J126" s="9">
        <f>IFERROR(VLOOKUP($A126,ATUAL_LIV_E_DIR!$A:$P,MATCH(APENDICE_BCB!J$3,ATUAL_LIV_E_DIR!$1:$1,0),0),0)</f>
        <v>0</v>
      </c>
      <c r="K126" s="9">
        <f>IFERROR(VLOOKUP($A126,ATUAL_LIV_E_DIR!$A:$P,MATCH(APENDICE_BCB!K$3,ATUAL_LIV_E_DIR!$1:$1,0),0),0)</f>
        <v>0</v>
      </c>
      <c r="L126" s="9">
        <f>IFERROR(VLOOKUP($A126,ATUAL_LIV_E_DIR!$A:$P,MATCH(APENDICE_BCB!L$3,ATUAL_LIV_E_DIR!$1:$1,0),0),0)</f>
        <v>0</v>
      </c>
      <c r="M126" s="9">
        <f>IFERROR(VLOOKUP($A126,ATUAL_LIV_E_DIR!$A:$P,MATCH(APENDICE_BCB!M$3,ATUAL_LIV_E_DIR!$1:$1,0),0),0)</f>
        <v>0</v>
      </c>
      <c r="O126" s="11">
        <f t="shared" si="16"/>
        <v>643725.91200000001</v>
      </c>
      <c r="P126" s="11">
        <f t="shared" si="17"/>
        <v>0</v>
      </c>
      <c r="Q126" s="11">
        <f t="shared" si="18"/>
        <v>363034.20799999998</v>
      </c>
      <c r="R126" s="11">
        <f t="shared" si="19"/>
        <v>0</v>
      </c>
      <c r="S126" s="11">
        <f t="shared" si="20"/>
        <v>280691.70400000003</v>
      </c>
      <c r="T126" s="11"/>
      <c r="V126" s="7">
        <f t="shared" si="21"/>
        <v>0.43604226390066464</v>
      </c>
      <c r="W126">
        <f t="shared" si="22"/>
        <v>0</v>
      </c>
      <c r="Y126" s="8">
        <f t="shared" si="25"/>
        <v>1.8490751920093196E-2</v>
      </c>
      <c r="Z126" s="8"/>
      <c r="AB126" s="11">
        <f t="shared" si="23"/>
        <v>735823.82613464445</v>
      </c>
      <c r="AC126" s="1">
        <f t="shared" si="26"/>
        <v>39052</v>
      </c>
      <c r="AD126" s="9">
        <f t="shared" si="24"/>
        <v>320850.28697979939</v>
      </c>
      <c r="AE126" s="1">
        <f t="shared" si="27"/>
        <v>39052</v>
      </c>
      <c r="AF126" s="11">
        <f t="shared" si="28"/>
        <v>320850.28697979939</v>
      </c>
    </row>
    <row r="127" spans="1:32" x14ac:dyDescent="0.25">
      <c r="A127" s="1">
        <v>39083</v>
      </c>
      <c r="B127" s="9">
        <f>IFERROR(VLOOKUP($A127,ANTIGA_LIVRES!$A:$P,MATCH(APENDICE_BCB!B$3,ANTIGA_LIVRES!$1:$1,0),0)/1000,0)</f>
        <v>411848.29700000002</v>
      </c>
      <c r="C127" s="9">
        <f>IFERROR(VLOOKUP($A127,ANTIGA_LIVRES!$A:$P,MATCH(APENDICE_BCB!C$3,ANTIGA_LIVRES!$1:$1,0),0)/1000,0)</f>
        <v>215461.943</v>
      </c>
      <c r="D127" s="9">
        <f>IFERROR(VLOOKUP($A127,ANTIGA_LIVRES!$A:$P,MATCH(APENDICE_BCB!D$3,ANTIGA_LIVRES!$1:$1,0),0)/1000,0)</f>
        <v>196386.35399999999</v>
      </c>
      <c r="E127" s="9">
        <f>IFERROR(VLOOKUP($A127,ANTIGA_DIRECIONADOS!$A:$P,MATCH(APENDICE_BCB!E$3,ANTIGA_DIRECIONADOS!$1:$1,0),0),0)</f>
        <v>237155</v>
      </c>
      <c r="F127" s="9">
        <f>IFERROR(VLOOKUP($A127,ANTIGA_DIRECIONADOS!$A:$P,MATCH(APENDICE_BCB!F$3,ANTIGA_DIRECIONADOS!$1:$1,0),0),0)</f>
        <v>89850</v>
      </c>
      <c r="G127" s="9">
        <f>IFERROR(VLOOKUP($A127,ANTIGA_DIRECIONADOS!$A:$P,MATCH(APENDICE_BCB!G$3,ANTIGA_DIRECIONADOS!$1:$1,0),0),0)</f>
        <v>147305</v>
      </c>
      <c r="H127" s="9">
        <f>IFERROR(VLOOKUP($A127,ATUAL_LIV_E_DIR!$A:$P,MATCH(APENDICE_BCB!H$3,ATUAL_LIV_E_DIR!$1:$1,0),0),0)</f>
        <v>0</v>
      </c>
      <c r="I127" s="9">
        <f>IFERROR(VLOOKUP($A127,ATUAL_LIV_E_DIR!$A:$P,MATCH(APENDICE_BCB!I$3,ATUAL_LIV_E_DIR!$1:$1,0),0),0)</f>
        <v>0</v>
      </c>
      <c r="J127" s="9">
        <f>IFERROR(VLOOKUP($A127,ATUAL_LIV_E_DIR!$A:$P,MATCH(APENDICE_BCB!J$3,ATUAL_LIV_E_DIR!$1:$1,0),0),0)</f>
        <v>0</v>
      </c>
      <c r="K127" s="9">
        <f>IFERROR(VLOOKUP($A127,ATUAL_LIV_E_DIR!$A:$P,MATCH(APENDICE_BCB!K$3,ATUAL_LIV_E_DIR!$1:$1,0),0),0)</f>
        <v>0</v>
      </c>
      <c r="L127" s="9">
        <f>IFERROR(VLOOKUP($A127,ATUAL_LIV_E_DIR!$A:$P,MATCH(APENDICE_BCB!L$3,ATUAL_LIV_E_DIR!$1:$1,0),0),0)</f>
        <v>0</v>
      </c>
      <c r="M127" s="9">
        <f>IFERROR(VLOOKUP($A127,ATUAL_LIV_E_DIR!$A:$P,MATCH(APENDICE_BCB!M$3,ATUAL_LIV_E_DIR!$1:$1,0),0),0)</f>
        <v>0</v>
      </c>
      <c r="O127" s="11">
        <f t="shared" si="16"/>
        <v>649003.29700000002</v>
      </c>
      <c r="P127" s="11">
        <f t="shared" si="17"/>
        <v>0</v>
      </c>
      <c r="Q127" s="11">
        <f t="shared" si="18"/>
        <v>362766.94299999997</v>
      </c>
      <c r="R127" s="11">
        <f t="shared" si="19"/>
        <v>0</v>
      </c>
      <c r="S127" s="11">
        <f t="shared" si="20"/>
        <v>286236.35399999999</v>
      </c>
      <c r="T127" s="11"/>
      <c r="V127" s="7">
        <f t="shared" si="21"/>
        <v>0.4410399073827817</v>
      </c>
      <c r="W127">
        <f t="shared" si="22"/>
        <v>0</v>
      </c>
      <c r="Y127" s="8">
        <f t="shared" si="25"/>
        <v>8.1981863734577054E-3</v>
      </c>
      <c r="Z127" s="8"/>
      <c r="AB127" s="11">
        <f>(O127/O128)*AB128</f>
        <v>741856.24699932698</v>
      </c>
      <c r="AC127" s="1">
        <f t="shared" si="26"/>
        <v>39083</v>
      </c>
      <c r="AD127" s="9">
        <f t="shared" si="24"/>
        <v>327188.21046792122</v>
      </c>
      <c r="AE127" s="1">
        <f t="shared" si="27"/>
        <v>39083</v>
      </c>
      <c r="AF127" s="11">
        <f t="shared" si="28"/>
        <v>327188.21046792122</v>
      </c>
    </row>
    <row r="128" spans="1:32" x14ac:dyDescent="0.25">
      <c r="A128" s="1">
        <v>39114</v>
      </c>
      <c r="B128" s="9">
        <f>IFERROR(VLOOKUP($A128,ANTIGA_LIVRES!$A:$P,MATCH(APENDICE_BCB!B$3,ANTIGA_LIVRES!$1:$1,0),0)/1000,0)</f>
        <v>420086.587</v>
      </c>
      <c r="C128" s="9">
        <f>IFERROR(VLOOKUP($A128,ANTIGA_LIVRES!$A:$P,MATCH(APENDICE_BCB!C$3,ANTIGA_LIVRES!$1:$1,0),0)/1000,0)</f>
        <v>219497.622</v>
      </c>
      <c r="D128" s="9">
        <f>IFERROR(VLOOKUP($A128,ANTIGA_LIVRES!$A:$P,MATCH(APENDICE_BCB!D$3,ANTIGA_LIVRES!$1:$1,0),0)/1000,0)</f>
        <v>200588.965</v>
      </c>
      <c r="E128" s="9">
        <f>IFERROR(VLOOKUP($A128,ANTIGA_DIRECIONADOS!$A:$P,MATCH(APENDICE_BCB!E$3,ANTIGA_DIRECIONADOS!$1:$1,0),0),0)</f>
        <v>237226</v>
      </c>
      <c r="F128" s="9">
        <f>IFERROR(VLOOKUP($A128,ANTIGA_DIRECIONADOS!$A:$P,MATCH(APENDICE_BCB!F$3,ANTIGA_DIRECIONADOS!$1:$1,0),0),0)</f>
        <v>90648</v>
      </c>
      <c r="G128" s="9">
        <f>IFERROR(VLOOKUP($A128,ANTIGA_DIRECIONADOS!$A:$P,MATCH(APENDICE_BCB!G$3,ANTIGA_DIRECIONADOS!$1:$1,0),0),0)</f>
        <v>146578</v>
      </c>
      <c r="H128" s="9">
        <f>IFERROR(VLOOKUP($A128,ATUAL_LIV_E_DIR!$A:$P,MATCH(APENDICE_BCB!H$3,ATUAL_LIV_E_DIR!$1:$1,0),0),0)</f>
        <v>0</v>
      </c>
      <c r="I128" s="9">
        <f>IFERROR(VLOOKUP($A128,ATUAL_LIV_E_DIR!$A:$P,MATCH(APENDICE_BCB!I$3,ATUAL_LIV_E_DIR!$1:$1,0),0),0)</f>
        <v>0</v>
      </c>
      <c r="J128" s="9">
        <f>IFERROR(VLOOKUP($A128,ATUAL_LIV_E_DIR!$A:$P,MATCH(APENDICE_BCB!J$3,ATUAL_LIV_E_DIR!$1:$1,0),0),0)</f>
        <v>0</v>
      </c>
      <c r="K128" s="9">
        <f>IFERROR(VLOOKUP($A128,ATUAL_LIV_E_DIR!$A:$P,MATCH(APENDICE_BCB!K$3,ATUAL_LIV_E_DIR!$1:$1,0),0),0)</f>
        <v>0</v>
      </c>
      <c r="L128" s="9">
        <f>IFERROR(VLOOKUP($A128,ATUAL_LIV_E_DIR!$A:$P,MATCH(APENDICE_BCB!L$3,ATUAL_LIV_E_DIR!$1:$1,0),0),0)</f>
        <v>0</v>
      </c>
      <c r="M128" s="9">
        <f>IFERROR(VLOOKUP($A128,ATUAL_LIV_E_DIR!$A:$P,MATCH(APENDICE_BCB!M$3,ATUAL_LIV_E_DIR!$1:$1,0),0),0)</f>
        <v>0</v>
      </c>
      <c r="O128" s="11">
        <f t="shared" si="16"/>
        <v>657312.58700000006</v>
      </c>
      <c r="P128" s="11">
        <f t="shared" si="17"/>
        <v>0</v>
      </c>
      <c r="Q128" s="11">
        <f t="shared" si="18"/>
        <v>366075.62199999997</v>
      </c>
      <c r="R128" s="11">
        <f t="shared" si="19"/>
        <v>0</v>
      </c>
      <c r="S128" s="11">
        <f t="shared" si="20"/>
        <v>291236.96499999997</v>
      </c>
      <c r="T128" s="11"/>
      <c r="V128" s="7">
        <f t="shared" si="21"/>
        <v>0.44307224714685089</v>
      </c>
      <c r="W128">
        <f t="shared" si="22"/>
        <v>0</v>
      </c>
      <c r="Y128" s="8">
        <f t="shared" si="25"/>
        <v>1.2803155297375968E-2</v>
      </c>
      <c r="Z128" s="8"/>
      <c r="AB128" s="11">
        <f>(O128/O129)*P129</f>
        <v>751354.34773798788</v>
      </c>
      <c r="AC128" s="1">
        <f t="shared" si="26"/>
        <v>39114</v>
      </c>
      <c r="AD128" s="9">
        <f t="shared" si="24"/>
        <v>332904.25925582671</v>
      </c>
      <c r="AE128" s="1">
        <f t="shared" si="27"/>
        <v>39114</v>
      </c>
      <c r="AF128" s="11">
        <f>AD128</f>
        <v>332904.25925582671</v>
      </c>
    </row>
    <row r="129" spans="1:32" x14ac:dyDescent="0.25">
      <c r="A129" s="1">
        <v>39142</v>
      </c>
      <c r="B129" s="9">
        <f>IFERROR(VLOOKUP($A129,ANTIGA_LIVRES!$A:$P,MATCH(APENDICE_BCB!B$3,ANTIGA_LIVRES!$1:$1,0),0)/1000,0)</f>
        <v>428885.61499999999</v>
      </c>
      <c r="C129" s="9">
        <f>IFERROR(VLOOKUP($A129,ANTIGA_LIVRES!$A:$P,MATCH(APENDICE_BCB!C$3,ANTIGA_LIVRES!$1:$1,0),0)/1000,0)</f>
        <v>224439.61499999999</v>
      </c>
      <c r="D129" s="9">
        <f>IFERROR(VLOOKUP($A129,ANTIGA_LIVRES!$A:$P,MATCH(APENDICE_BCB!D$3,ANTIGA_LIVRES!$1:$1,0),0)/1000,0)</f>
        <v>204446</v>
      </c>
      <c r="E129" s="9">
        <f>IFERROR(VLOOKUP($A129,ANTIGA_DIRECIONADOS!$A:$P,MATCH(APENDICE_BCB!E$3,ANTIGA_DIRECIONADOS!$1:$1,0),0),0)</f>
        <v>238049</v>
      </c>
      <c r="F129" s="9">
        <f>IFERROR(VLOOKUP($A129,ANTIGA_DIRECIONADOS!$A:$P,MATCH(APENDICE_BCB!F$3,ANTIGA_DIRECIONADOS!$1:$1,0),0),0)</f>
        <v>92071</v>
      </c>
      <c r="G129" s="9">
        <f>IFERROR(VLOOKUP($A129,ANTIGA_DIRECIONADOS!$A:$P,MATCH(APENDICE_BCB!G$3,ANTIGA_DIRECIONADOS!$1:$1,0),0),0)</f>
        <v>145978</v>
      </c>
      <c r="H129" s="9">
        <f>IFERROR(VLOOKUP($A129,ATUAL_LIV_E_DIR!$A:$P,MATCH(APENDICE_BCB!H$3,ATUAL_LIV_E_DIR!$1:$1,0),0),0)</f>
        <v>490460</v>
      </c>
      <c r="I129" s="9">
        <f>IFERROR(VLOOKUP($A129,ATUAL_LIV_E_DIR!$A:$P,MATCH(APENDICE_BCB!I$3,ATUAL_LIV_E_DIR!$1:$1,0),0),0)</f>
        <v>244636</v>
      </c>
      <c r="J129" s="9">
        <f>IFERROR(VLOOKUP($A129,ATUAL_LIV_E_DIR!$A:$P,MATCH(APENDICE_BCB!J$3,ATUAL_LIV_E_DIR!$1:$1,0),0),0)</f>
        <v>245824</v>
      </c>
      <c r="K129" s="9">
        <f>IFERROR(VLOOKUP($A129,ATUAL_LIV_E_DIR!$A:$P,MATCH(APENDICE_BCB!K$3,ATUAL_LIV_E_DIR!$1:$1,0),0),0)</f>
        <v>271893</v>
      </c>
      <c r="L129" s="9">
        <f>IFERROR(VLOOKUP($A129,ATUAL_LIV_E_DIR!$A:$P,MATCH(APENDICE_BCB!L$3,ATUAL_LIV_E_DIR!$1:$1,0),0),0)</f>
        <v>102577</v>
      </c>
      <c r="M129" s="9">
        <f>IFERROR(VLOOKUP($A129,ATUAL_LIV_E_DIR!$A:$P,MATCH(APENDICE_BCB!M$3,ATUAL_LIV_E_DIR!$1:$1,0),0),0)</f>
        <v>169316</v>
      </c>
      <c r="O129" s="11">
        <f t="shared" si="16"/>
        <v>666934.61499999999</v>
      </c>
      <c r="P129" s="11">
        <f t="shared" si="17"/>
        <v>762353</v>
      </c>
      <c r="Q129" s="11">
        <f t="shared" si="18"/>
        <v>370417.61499999999</v>
      </c>
      <c r="R129" s="11">
        <f t="shared" si="19"/>
        <v>413952</v>
      </c>
      <c r="S129" s="11">
        <f t="shared" si="20"/>
        <v>296517</v>
      </c>
      <c r="T129" s="11">
        <f t="shared" ref="T129:T132" si="29">J129+L129</f>
        <v>348401</v>
      </c>
      <c r="V129" s="7">
        <f t="shared" si="21"/>
        <v>0.44459680654002343</v>
      </c>
      <c r="W129">
        <f t="shared" si="22"/>
        <v>0.45700744930498077</v>
      </c>
      <c r="Y129" s="8">
        <f t="shared" si="25"/>
        <v>1.4638435639754421E-2</v>
      </c>
      <c r="Z129" s="8"/>
      <c r="AC129" s="8"/>
      <c r="AE129" s="1">
        <f t="shared" si="27"/>
        <v>39142</v>
      </c>
      <c r="AF129" s="11">
        <f>T129</f>
        <v>348401</v>
      </c>
    </row>
    <row r="130" spans="1:32" x14ac:dyDescent="0.25">
      <c r="A130" s="1">
        <v>39173</v>
      </c>
      <c r="B130" s="9">
        <f>IFERROR(VLOOKUP($A130,ANTIGA_LIVRES!$A:$P,MATCH(APENDICE_BCB!B$3,ANTIGA_LIVRES!$1:$1,0),0)/1000,0)</f>
        <v>440889.08799999999</v>
      </c>
      <c r="C130" s="9">
        <f>IFERROR(VLOOKUP($A130,ANTIGA_LIVRES!$A:$P,MATCH(APENDICE_BCB!C$3,ANTIGA_LIVRES!$1:$1,0),0)/1000,0)</f>
        <v>231511.37899999999</v>
      </c>
      <c r="D130" s="9">
        <f>IFERROR(VLOOKUP($A130,ANTIGA_LIVRES!$A:$P,MATCH(APENDICE_BCB!D$3,ANTIGA_LIVRES!$1:$1,0),0)/1000,0)</f>
        <v>209377.709</v>
      </c>
      <c r="E130" s="9">
        <f>IFERROR(VLOOKUP($A130,ANTIGA_DIRECIONADOS!$A:$P,MATCH(APENDICE_BCB!E$3,ANTIGA_DIRECIONADOS!$1:$1,0),0),0)</f>
        <v>239736</v>
      </c>
      <c r="F130" s="9">
        <f>IFERROR(VLOOKUP($A130,ANTIGA_DIRECIONADOS!$A:$P,MATCH(APENDICE_BCB!F$3,ANTIGA_DIRECIONADOS!$1:$1,0),0),0)</f>
        <v>93319</v>
      </c>
      <c r="G130" s="9">
        <f>IFERROR(VLOOKUP($A130,ANTIGA_DIRECIONADOS!$A:$P,MATCH(APENDICE_BCB!G$3,ANTIGA_DIRECIONADOS!$1:$1,0),0),0)</f>
        <v>146417</v>
      </c>
      <c r="H130" s="9">
        <f>IFERROR(VLOOKUP($A130,ATUAL_LIV_E_DIR!$A:$P,MATCH(APENDICE_BCB!H$3,ATUAL_LIV_E_DIR!$1:$1,0),0),0)</f>
        <v>505753</v>
      </c>
      <c r="I130" s="9">
        <f>IFERROR(VLOOKUP($A130,ATUAL_LIV_E_DIR!$A:$P,MATCH(APENDICE_BCB!I$3,ATUAL_LIV_E_DIR!$1:$1,0),0),0)</f>
        <v>252815</v>
      </c>
      <c r="J130" s="9">
        <f>IFERROR(VLOOKUP($A130,ATUAL_LIV_E_DIR!$A:$P,MATCH(APENDICE_BCB!J$3,ATUAL_LIV_E_DIR!$1:$1,0),0),0)</f>
        <v>252938</v>
      </c>
      <c r="K130" s="9">
        <f>IFERROR(VLOOKUP($A130,ATUAL_LIV_E_DIR!$A:$P,MATCH(APENDICE_BCB!K$3,ATUAL_LIV_E_DIR!$1:$1,0),0),0)</f>
        <v>276135</v>
      </c>
      <c r="L130" s="9">
        <f>IFERROR(VLOOKUP($A130,ATUAL_LIV_E_DIR!$A:$P,MATCH(APENDICE_BCB!L$3,ATUAL_LIV_E_DIR!$1:$1,0),0),0)</f>
        <v>104113</v>
      </c>
      <c r="M130" s="9">
        <f>IFERROR(VLOOKUP($A130,ATUAL_LIV_E_DIR!$A:$P,MATCH(APENDICE_BCB!M$3,ATUAL_LIV_E_DIR!$1:$1,0),0),0)</f>
        <v>172021</v>
      </c>
      <c r="O130" s="11">
        <f t="shared" si="16"/>
        <v>680625.08799999999</v>
      </c>
      <c r="P130" s="11">
        <f t="shared" si="17"/>
        <v>781888</v>
      </c>
      <c r="Q130" s="11">
        <f t="shared" si="18"/>
        <v>377928.37899999996</v>
      </c>
      <c r="R130" s="11">
        <f t="shared" si="19"/>
        <v>424836</v>
      </c>
      <c r="S130" s="11">
        <f t="shared" si="20"/>
        <v>302696.70900000003</v>
      </c>
      <c r="T130" s="11">
        <f t="shared" si="29"/>
        <v>357051</v>
      </c>
      <c r="V130" s="7">
        <f t="shared" si="21"/>
        <v>0.44473339924842742</v>
      </c>
      <c r="W130">
        <f t="shared" si="22"/>
        <v>0.45665235941720556</v>
      </c>
      <c r="Y130" s="8">
        <f t="shared" si="25"/>
        <v>2.0527459052338992E-2</v>
      </c>
      <c r="Z130" s="8">
        <f t="shared" ref="Z130:Z133" si="30">IFERROR(P130/P129-1,0)</f>
        <v>2.5624612220323195E-2</v>
      </c>
      <c r="AE130" s="1">
        <f t="shared" ref="AE130:AE193" si="31">A130</f>
        <v>39173</v>
      </c>
      <c r="AF130" s="11">
        <f t="shared" ref="AF130:AF193" si="32">T130</f>
        <v>357051</v>
      </c>
    </row>
    <row r="131" spans="1:32" x14ac:dyDescent="0.25">
      <c r="A131" s="1">
        <v>39203</v>
      </c>
      <c r="B131" s="9">
        <f>IFERROR(VLOOKUP($A131,ANTIGA_LIVRES!$A:$P,MATCH(APENDICE_BCB!B$3,ANTIGA_LIVRES!$1:$1,0),0)/1000,0)</f>
        <v>446454.109</v>
      </c>
      <c r="C131" s="9">
        <f>IFERROR(VLOOKUP($A131,ANTIGA_LIVRES!$A:$P,MATCH(APENDICE_BCB!C$3,ANTIGA_LIVRES!$1:$1,0),0)/1000,0)</f>
        <v>231047.223</v>
      </c>
      <c r="D131" s="9">
        <f>IFERROR(VLOOKUP($A131,ANTIGA_LIVRES!$A:$P,MATCH(APENDICE_BCB!D$3,ANTIGA_LIVRES!$1:$1,0),0)/1000,0)</f>
        <v>215406.886</v>
      </c>
      <c r="E131" s="9">
        <f>IFERROR(VLOOKUP($A131,ANTIGA_DIRECIONADOS!$A:$P,MATCH(APENDICE_BCB!E$3,ANTIGA_DIRECIONADOS!$1:$1,0),0),0)</f>
        <v>240233</v>
      </c>
      <c r="F131" s="9">
        <f>IFERROR(VLOOKUP($A131,ANTIGA_DIRECIONADOS!$A:$P,MATCH(APENDICE_BCB!F$3,ANTIGA_DIRECIONADOS!$1:$1,0),0),0)</f>
        <v>95117</v>
      </c>
      <c r="G131" s="9">
        <f>IFERROR(VLOOKUP($A131,ANTIGA_DIRECIONADOS!$A:$P,MATCH(APENDICE_BCB!G$3,ANTIGA_DIRECIONADOS!$1:$1,0),0),0)</f>
        <v>145116</v>
      </c>
      <c r="H131" s="9">
        <f>IFERROR(VLOOKUP($A131,ATUAL_LIV_E_DIR!$A:$P,MATCH(APENDICE_BCB!H$3,ATUAL_LIV_E_DIR!$1:$1,0),0),0)</f>
        <v>514647</v>
      </c>
      <c r="I131" s="9">
        <f>IFERROR(VLOOKUP($A131,ATUAL_LIV_E_DIR!$A:$P,MATCH(APENDICE_BCB!I$3,ATUAL_LIV_E_DIR!$1:$1,0),0),0)</f>
        <v>253195</v>
      </c>
      <c r="J131" s="9">
        <f>IFERROR(VLOOKUP($A131,ATUAL_LIV_E_DIR!$A:$P,MATCH(APENDICE_BCB!J$3,ATUAL_LIV_E_DIR!$1:$1,0),0),0)</f>
        <v>261453</v>
      </c>
      <c r="K131" s="9">
        <f>IFERROR(VLOOKUP($A131,ATUAL_LIV_E_DIR!$A:$P,MATCH(APENDICE_BCB!K$3,ATUAL_LIV_E_DIR!$1:$1,0),0),0)</f>
        <v>278486</v>
      </c>
      <c r="L131" s="9">
        <f>IFERROR(VLOOKUP($A131,ATUAL_LIV_E_DIR!$A:$P,MATCH(APENDICE_BCB!L$3,ATUAL_LIV_E_DIR!$1:$1,0),0),0)</f>
        <v>105844</v>
      </c>
      <c r="M131" s="9">
        <f>IFERROR(VLOOKUP($A131,ATUAL_LIV_E_DIR!$A:$P,MATCH(APENDICE_BCB!M$3,ATUAL_LIV_E_DIR!$1:$1,0),0),0)</f>
        <v>172644</v>
      </c>
      <c r="O131" s="11">
        <f t="shared" si="16"/>
        <v>686687.10899999994</v>
      </c>
      <c r="P131" s="11">
        <f t="shared" si="17"/>
        <v>793133</v>
      </c>
      <c r="Q131" s="11">
        <f t="shared" si="18"/>
        <v>376163.223</v>
      </c>
      <c r="R131" s="11">
        <f t="shared" si="19"/>
        <v>425839</v>
      </c>
      <c r="S131" s="11">
        <f t="shared" si="20"/>
        <v>310523.886</v>
      </c>
      <c r="T131" s="11">
        <f t="shared" si="29"/>
        <v>367297</v>
      </c>
      <c r="V131" s="7">
        <f t="shared" si="21"/>
        <v>0.45220578911435488</v>
      </c>
      <c r="W131">
        <f t="shared" si="22"/>
        <v>0.46309635332283489</v>
      </c>
      <c r="Y131" s="8">
        <f t="shared" si="25"/>
        <v>8.9065494453239857E-3</v>
      </c>
      <c r="Z131" s="8">
        <f t="shared" si="30"/>
        <v>1.4381855201768046E-2</v>
      </c>
      <c r="AE131" s="1">
        <f t="shared" si="31"/>
        <v>39203</v>
      </c>
      <c r="AF131" s="11">
        <f t="shared" si="32"/>
        <v>367297</v>
      </c>
    </row>
    <row r="132" spans="1:32" x14ac:dyDescent="0.25">
      <c r="A132" s="1">
        <v>39234</v>
      </c>
      <c r="B132" s="9">
        <f>IFERROR(VLOOKUP($A132,ANTIGA_LIVRES!$A:$P,MATCH(APENDICE_BCB!B$3,ANTIGA_LIVRES!$1:$1,0),0)/1000,0)</f>
        <v>452495.22399999999</v>
      </c>
      <c r="C132" s="9">
        <f>IFERROR(VLOOKUP($A132,ANTIGA_LIVRES!$A:$P,MATCH(APENDICE_BCB!C$3,ANTIGA_LIVRES!$1:$1,0),0)/1000,0)</f>
        <v>235097.959</v>
      </c>
      <c r="D132" s="9">
        <f>IFERROR(VLOOKUP($A132,ANTIGA_LIVRES!$A:$P,MATCH(APENDICE_BCB!D$3,ANTIGA_LIVRES!$1:$1,0),0)/1000,0)</f>
        <v>217397.26500000001</v>
      </c>
      <c r="E132" s="9">
        <f>IFERROR(VLOOKUP($A132,ANTIGA_DIRECIONADOS!$A:$P,MATCH(APENDICE_BCB!E$3,ANTIGA_DIRECIONADOS!$1:$1,0),0),0)</f>
        <v>242504</v>
      </c>
      <c r="F132" s="9">
        <f>IFERROR(VLOOKUP($A132,ANTIGA_DIRECIONADOS!$A:$P,MATCH(APENDICE_BCB!F$3,ANTIGA_DIRECIONADOS!$1:$1,0),0),0)</f>
        <v>96276</v>
      </c>
      <c r="G132" s="9">
        <f>IFERROR(VLOOKUP($A132,ANTIGA_DIRECIONADOS!$A:$P,MATCH(APENDICE_BCB!G$3,ANTIGA_DIRECIONADOS!$1:$1,0),0),0)</f>
        <v>146227</v>
      </c>
      <c r="H132" s="9">
        <f>IFERROR(VLOOKUP($A132,ATUAL_LIV_E_DIR!$A:$P,MATCH(APENDICE_BCB!H$3,ATUAL_LIV_E_DIR!$1:$1,0),0),0)</f>
        <v>525046</v>
      </c>
      <c r="I132" s="9">
        <f>IFERROR(VLOOKUP($A132,ATUAL_LIV_E_DIR!$A:$P,MATCH(APENDICE_BCB!I$3,ATUAL_LIV_E_DIR!$1:$1,0),0),0)</f>
        <v>257083</v>
      </c>
      <c r="J132" s="9">
        <f>IFERROR(VLOOKUP($A132,ATUAL_LIV_E_DIR!$A:$P,MATCH(APENDICE_BCB!J$3,ATUAL_LIV_E_DIR!$1:$1,0),0),0)</f>
        <v>267963</v>
      </c>
      <c r="K132" s="9">
        <f>IFERROR(VLOOKUP($A132,ATUAL_LIV_E_DIR!$A:$P,MATCH(APENDICE_BCB!K$3,ATUAL_LIV_E_DIR!$1:$1,0),0),0)</f>
        <v>280442</v>
      </c>
      <c r="L132" s="9">
        <f>IFERROR(VLOOKUP($A132,ATUAL_LIV_E_DIR!$A:$P,MATCH(APENDICE_BCB!L$3,ATUAL_LIV_E_DIR!$1:$1,0),0),0)</f>
        <v>107014</v>
      </c>
      <c r="M132" s="9">
        <f>IFERROR(VLOOKUP($A132,ATUAL_LIV_E_DIR!$A:$P,MATCH(APENDICE_BCB!M$3,ATUAL_LIV_E_DIR!$1:$1,0),0),0)</f>
        <v>173427</v>
      </c>
      <c r="O132" s="11">
        <f t="shared" si="16"/>
        <v>694999.22399999993</v>
      </c>
      <c r="P132" s="11">
        <f t="shared" si="17"/>
        <v>805488</v>
      </c>
      <c r="Q132" s="11">
        <f t="shared" si="18"/>
        <v>381324.95900000003</v>
      </c>
      <c r="R132" s="11">
        <f t="shared" si="19"/>
        <v>430510</v>
      </c>
      <c r="S132" s="11">
        <f t="shared" si="20"/>
        <v>313673.26500000001</v>
      </c>
      <c r="T132" s="11">
        <f t="shared" si="29"/>
        <v>374977</v>
      </c>
      <c r="V132" s="7">
        <f t="shared" si="21"/>
        <v>0.45132894277879088</v>
      </c>
      <c r="W132">
        <f t="shared" si="22"/>
        <v>0.46552772977375206</v>
      </c>
      <c r="Y132" s="8">
        <f t="shared" si="25"/>
        <v>1.2104661484186874E-2</v>
      </c>
      <c r="Z132" s="8">
        <f t="shared" si="30"/>
        <v>1.5577463048441986E-2</v>
      </c>
      <c r="AE132" s="1">
        <f t="shared" si="31"/>
        <v>39234</v>
      </c>
      <c r="AF132" s="11">
        <f t="shared" si="32"/>
        <v>374977</v>
      </c>
    </row>
    <row r="133" spans="1:32" x14ac:dyDescent="0.25">
      <c r="A133" s="1">
        <v>39264</v>
      </c>
      <c r="B133" s="9">
        <f>IFERROR(VLOOKUP($A133,ANTIGA_LIVRES!$A:$P,MATCH(APENDICE_BCB!B$3,ANTIGA_LIVRES!$1:$1,0),0)/1000,0)</f>
        <v>462194.625</v>
      </c>
      <c r="C133" s="9">
        <f>IFERROR(VLOOKUP($A133,ANTIGA_LIVRES!$A:$P,MATCH(APENDICE_BCB!C$3,ANTIGA_LIVRES!$1:$1,0),0)/1000,0)</f>
        <v>240290.16</v>
      </c>
      <c r="D133" s="9">
        <f>IFERROR(VLOOKUP($A133,ANTIGA_LIVRES!$A:$P,MATCH(APENDICE_BCB!D$3,ANTIGA_LIVRES!$1:$1,0),0)/1000,0)</f>
        <v>221904.465</v>
      </c>
      <c r="E133" s="9">
        <f>IFERROR(VLOOKUP($A133,ANTIGA_DIRECIONADOS!$A:$P,MATCH(APENDICE_BCB!E$3,ANTIGA_DIRECIONADOS!$1:$1,0),0),0)</f>
        <v>245212</v>
      </c>
      <c r="F133" s="9">
        <f>IFERROR(VLOOKUP($A133,ANTIGA_DIRECIONADOS!$A:$P,MATCH(APENDICE_BCB!F$3,ANTIGA_DIRECIONADOS!$1:$1,0),0),0)</f>
        <v>95945</v>
      </c>
      <c r="G133" s="9">
        <f>IFERROR(VLOOKUP($A133,ANTIGA_DIRECIONADOS!$A:$P,MATCH(APENDICE_BCB!G$3,ANTIGA_DIRECIONADOS!$1:$1,0),0),0)</f>
        <v>149268</v>
      </c>
      <c r="H133" s="9">
        <f>IFERROR(VLOOKUP($A133,ATUAL_LIV_E_DIR!$A:$P,MATCH(APENDICE_BCB!H$3,ATUAL_LIV_E_DIR!$1:$1,0),0),0)</f>
        <v>541348</v>
      </c>
      <c r="I133" s="9">
        <f>IFERROR(VLOOKUP($A133,ATUAL_LIV_E_DIR!$A:$P,MATCH(APENDICE_BCB!I$3,ATUAL_LIV_E_DIR!$1:$1,0),0),0)</f>
        <v>263382</v>
      </c>
      <c r="J133" s="9">
        <f>IFERROR(VLOOKUP($A133,ATUAL_LIV_E_DIR!$A:$P,MATCH(APENDICE_BCB!J$3,ATUAL_LIV_E_DIR!$1:$1,0),0),0)</f>
        <v>277967</v>
      </c>
      <c r="K133" s="9">
        <f>IFERROR(VLOOKUP($A133,ATUAL_LIV_E_DIR!$A:$P,MATCH(APENDICE_BCB!K$3,ATUAL_LIV_E_DIR!$1:$1,0),0),0)</f>
        <v>283093</v>
      </c>
      <c r="L133" s="9">
        <f>IFERROR(VLOOKUP($A133,ATUAL_LIV_E_DIR!$A:$P,MATCH(APENDICE_BCB!L$3,ATUAL_LIV_E_DIR!$1:$1,0),0),0)</f>
        <v>107422</v>
      </c>
      <c r="M133" s="9">
        <f>IFERROR(VLOOKUP($A133,ATUAL_LIV_E_DIR!$A:$P,MATCH(APENDICE_BCB!M$3,ATUAL_LIV_E_DIR!$1:$1,0),0),0)</f>
        <v>175669</v>
      </c>
      <c r="O133" s="11">
        <f t="shared" ref="O133:O196" si="33">B133+E133</f>
        <v>707406.625</v>
      </c>
      <c r="P133" s="11">
        <f t="shared" ref="P133:P196" si="34">H133+K133</f>
        <v>824441</v>
      </c>
      <c r="Q133" s="11">
        <f t="shared" ref="Q133:Q196" si="35">C133+G133</f>
        <v>389558.16000000003</v>
      </c>
      <c r="R133" s="11">
        <f t="shared" ref="R133:R196" si="36">I133+M133</f>
        <v>439051</v>
      </c>
      <c r="S133" s="11">
        <f t="shared" ref="S133:S196" si="37">D133+F133</f>
        <v>317849.46499999997</v>
      </c>
      <c r="T133" s="11">
        <f t="shared" ref="T133:T196" si="38">J133+L133</f>
        <v>385389</v>
      </c>
      <c r="V133" s="7">
        <f t="shared" ref="V133:V196" si="39">IFERROR(S133/O133,0)</f>
        <v>0.44931649459743178</v>
      </c>
      <c r="W133">
        <f t="shared" ref="W133:W196" si="40">IFERROR(T133/P133,0)</f>
        <v>0.46745491793833638</v>
      </c>
      <c r="Y133" s="8">
        <f t="shared" si="25"/>
        <v>1.7852395472602867E-2</v>
      </c>
      <c r="Z133" s="8">
        <f t="shared" si="30"/>
        <v>2.3529835329638704E-2</v>
      </c>
      <c r="AE133" s="1">
        <f t="shared" si="31"/>
        <v>39264</v>
      </c>
      <c r="AF133" s="11">
        <f t="shared" si="32"/>
        <v>385389</v>
      </c>
    </row>
    <row r="134" spans="1:32" x14ac:dyDescent="0.25">
      <c r="A134" s="1">
        <v>39295</v>
      </c>
      <c r="B134" s="9">
        <f>IFERROR(VLOOKUP($A134,ANTIGA_LIVRES!$A:$P,MATCH(APENDICE_BCB!B$3,ANTIGA_LIVRES!$1:$1,0),0)/1000,0)</f>
        <v>474134.511</v>
      </c>
      <c r="C134" s="9">
        <f>IFERROR(VLOOKUP($A134,ANTIGA_LIVRES!$A:$P,MATCH(APENDICE_BCB!C$3,ANTIGA_LIVRES!$1:$1,0),0)/1000,0)</f>
        <v>248152.93299999999</v>
      </c>
      <c r="D134" s="9">
        <f>IFERROR(VLOOKUP($A134,ANTIGA_LIVRES!$A:$P,MATCH(APENDICE_BCB!D$3,ANTIGA_LIVRES!$1:$1,0),0)/1000,0)</f>
        <v>225981.57800000001</v>
      </c>
      <c r="E134" s="9">
        <f>IFERROR(VLOOKUP($A134,ANTIGA_DIRECIONADOS!$A:$P,MATCH(APENDICE_BCB!E$3,ANTIGA_DIRECIONADOS!$1:$1,0),0),0)</f>
        <v>251498</v>
      </c>
      <c r="F134" s="9">
        <f>IFERROR(VLOOKUP($A134,ANTIGA_DIRECIONADOS!$A:$P,MATCH(APENDICE_BCB!F$3,ANTIGA_DIRECIONADOS!$1:$1,0),0),0)</f>
        <v>97673</v>
      </c>
      <c r="G134" s="9">
        <f>IFERROR(VLOOKUP($A134,ANTIGA_DIRECIONADOS!$A:$P,MATCH(APENDICE_BCB!G$3,ANTIGA_DIRECIONADOS!$1:$1,0),0),0)</f>
        <v>153825</v>
      </c>
      <c r="H134" s="9">
        <f>IFERROR(VLOOKUP($A134,ATUAL_LIV_E_DIR!$A:$P,MATCH(APENDICE_BCB!H$3,ATUAL_LIV_E_DIR!$1:$1,0),0),0)</f>
        <v>559351</v>
      </c>
      <c r="I134" s="9">
        <f>IFERROR(VLOOKUP($A134,ATUAL_LIV_E_DIR!$A:$P,MATCH(APENDICE_BCB!I$3,ATUAL_LIV_E_DIR!$1:$1,0),0),0)</f>
        <v>275010</v>
      </c>
      <c r="J134" s="9">
        <f>IFERROR(VLOOKUP($A134,ATUAL_LIV_E_DIR!$A:$P,MATCH(APENDICE_BCB!J$3,ATUAL_LIV_E_DIR!$1:$1,0),0),0)</f>
        <v>284340</v>
      </c>
      <c r="K134" s="9">
        <f>IFERROR(VLOOKUP($A134,ATUAL_LIV_E_DIR!$A:$P,MATCH(APENDICE_BCB!K$3,ATUAL_LIV_E_DIR!$1:$1,0),0),0)</f>
        <v>290477</v>
      </c>
      <c r="L134" s="9">
        <f>IFERROR(VLOOKUP($A134,ATUAL_LIV_E_DIR!$A:$P,MATCH(APENDICE_BCB!L$3,ATUAL_LIV_E_DIR!$1:$1,0),0),0)</f>
        <v>108522</v>
      </c>
      <c r="M134" s="9">
        <f>IFERROR(VLOOKUP($A134,ATUAL_LIV_E_DIR!$A:$P,MATCH(APENDICE_BCB!M$3,ATUAL_LIV_E_DIR!$1:$1,0),0),0)</f>
        <v>181955</v>
      </c>
      <c r="O134" s="11">
        <f t="shared" si="33"/>
        <v>725632.51099999994</v>
      </c>
      <c r="P134" s="11">
        <f t="shared" si="34"/>
        <v>849828</v>
      </c>
      <c r="Q134" s="11">
        <f t="shared" si="35"/>
        <v>401977.93299999996</v>
      </c>
      <c r="R134" s="11">
        <f t="shared" si="36"/>
        <v>456965</v>
      </c>
      <c r="S134" s="11">
        <f t="shared" si="37"/>
        <v>323654.57799999998</v>
      </c>
      <c r="T134" s="11">
        <f t="shared" si="38"/>
        <v>392862</v>
      </c>
      <c r="V134" s="7">
        <f t="shared" si="39"/>
        <v>0.44603097724214291</v>
      </c>
      <c r="W134">
        <f t="shared" si="40"/>
        <v>0.46228413278922326</v>
      </c>
      <c r="Y134" s="8">
        <f t="shared" ref="Y134:Y197" si="41">IFERROR(O134/O133-1,0)</f>
        <v>2.5764369961901235E-2</v>
      </c>
      <c r="Z134" s="8">
        <f t="shared" ref="Z134:Z197" si="42">IFERROR(P134/P133-1,0)</f>
        <v>3.0792985792797767E-2</v>
      </c>
      <c r="AE134" s="1">
        <f t="shared" si="31"/>
        <v>39295</v>
      </c>
      <c r="AF134" s="11">
        <f t="shared" si="32"/>
        <v>392862</v>
      </c>
    </row>
    <row r="135" spans="1:32" x14ac:dyDescent="0.25">
      <c r="A135" s="1">
        <v>39326</v>
      </c>
      <c r="B135" s="9">
        <f>IFERROR(VLOOKUP($A135,ANTIGA_LIVRES!$A:$P,MATCH(APENDICE_BCB!B$3,ANTIGA_LIVRES!$1:$1,0),0)/1000,0)</f>
        <v>483626.84100000001</v>
      </c>
      <c r="C135" s="9">
        <f>IFERROR(VLOOKUP($A135,ANTIGA_LIVRES!$A:$P,MATCH(APENDICE_BCB!C$3,ANTIGA_LIVRES!$1:$1,0),0)/1000,0)</f>
        <v>254165.70800000001</v>
      </c>
      <c r="D135" s="9">
        <f>IFERROR(VLOOKUP($A135,ANTIGA_LIVRES!$A:$P,MATCH(APENDICE_BCB!D$3,ANTIGA_LIVRES!$1:$1,0),0)/1000,0)</f>
        <v>229461.133</v>
      </c>
      <c r="E135" s="9">
        <f>IFERROR(VLOOKUP($A135,ANTIGA_DIRECIONADOS!$A:$P,MATCH(APENDICE_BCB!E$3,ANTIGA_DIRECIONADOS!$1:$1,0),0),0)</f>
        <v>255077</v>
      </c>
      <c r="F135" s="9">
        <f>IFERROR(VLOOKUP($A135,ANTIGA_DIRECIONADOS!$A:$P,MATCH(APENDICE_BCB!F$3,ANTIGA_DIRECIONADOS!$1:$1,0),0),0)</f>
        <v>100038</v>
      </c>
      <c r="G135" s="9">
        <f>IFERROR(VLOOKUP($A135,ANTIGA_DIRECIONADOS!$A:$P,MATCH(APENDICE_BCB!G$3,ANTIGA_DIRECIONADOS!$1:$1,0),0),0)</f>
        <v>155040</v>
      </c>
      <c r="H135" s="9">
        <f>IFERROR(VLOOKUP($A135,ATUAL_LIV_E_DIR!$A:$P,MATCH(APENDICE_BCB!H$3,ATUAL_LIV_E_DIR!$1:$1,0),0),0)</f>
        <v>571372</v>
      </c>
      <c r="I135" s="9">
        <f>IFERROR(VLOOKUP($A135,ATUAL_LIV_E_DIR!$A:$P,MATCH(APENDICE_BCB!I$3,ATUAL_LIV_E_DIR!$1:$1,0),0),0)</f>
        <v>280693</v>
      </c>
      <c r="J135" s="9">
        <f>IFERROR(VLOOKUP($A135,ATUAL_LIV_E_DIR!$A:$P,MATCH(APENDICE_BCB!J$3,ATUAL_LIV_E_DIR!$1:$1,0),0),0)</f>
        <v>290679</v>
      </c>
      <c r="K135" s="9">
        <f>IFERROR(VLOOKUP($A135,ATUAL_LIV_E_DIR!$A:$P,MATCH(APENDICE_BCB!K$3,ATUAL_LIV_E_DIR!$1:$1,0),0),0)</f>
        <v>294138</v>
      </c>
      <c r="L135" s="9">
        <f>IFERROR(VLOOKUP($A135,ATUAL_LIV_E_DIR!$A:$P,MATCH(APENDICE_BCB!L$3,ATUAL_LIV_E_DIR!$1:$1,0),0),0)</f>
        <v>110725</v>
      </c>
      <c r="M135" s="9">
        <f>IFERROR(VLOOKUP($A135,ATUAL_LIV_E_DIR!$A:$P,MATCH(APENDICE_BCB!M$3,ATUAL_LIV_E_DIR!$1:$1,0),0),0)</f>
        <v>183412</v>
      </c>
      <c r="O135" s="11">
        <f t="shared" si="33"/>
        <v>738703.84100000001</v>
      </c>
      <c r="P135" s="11">
        <f t="shared" si="34"/>
        <v>865510</v>
      </c>
      <c r="Q135" s="11">
        <f t="shared" si="35"/>
        <v>409205.70799999998</v>
      </c>
      <c r="R135" s="11">
        <f t="shared" si="36"/>
        <v>464105</v>
      </c>
      <c r="S135" s="11">
        <f t="shared" si="37"/>
        <v>329499.13300000003</v>
      </c>
      <c r="T135" s="11">
        <f t="shared" si="38"/>
        <v>401404</v>
      </c>
      <c r="V135" s="7">
        <f t="shared" si="39"/>
        <v>0.44605038543450598</v>
      </c>
      <c r="W135">
        <f t="shared" si="40"/>
        <v>0.46377742602627353</v>
      </c>
      <c r="Y135" s="8">
        <f t="shared" si="41"/>
        <v>1.8013705011626913E-2</v>
      </c>
      <c r="Z135" s="8">
        <f t="shared" si="42"/>
        <v>1.8453145813035032E-2</v>
      </c>
      <c r="AE135" s="1">
        <f t="shared" si="31"/>
        <v>39326</v>
      </c>
      <c r="AF135" s="11">
        <f t="shared" si="32"/>
        <v>401404</v>
      </c>
    </row>
    <row r="136" spans="1:32" x14ac:dyDescent="0.25">
      <c r="A136" s="1">
        <v>39356</v>
      </c>
      <c r="B136" s="9">
        <f>IFERROR(VLOOKUP($A136,ANTIGA_LIVRES!$A:$P,MATCH(APENDICE_BCB!B$3,ANTIGA_LIVRES!$1:$1,0),0)/1000,0)</f>
        <v>494011.07199999999</v>
      </c>
      <c r="C136" s="9">
        <f>IFERROR(VLOOKUP($A136,ANTIGA_LIVRES!$A:$P,MATCH(APENDICE_BCB!C$3,ANTIGA_LIVRES!$1:$1,0),0)/1000,0)</f>
        <v>259317.212</v>
      </c>
      <c r="D136" s="9">
        <f>IFERROR(VLOOKUP($A136,ANTIGA_LIVRES!$A:$P,MATCH(APENDICE_BCB!D$3,ANTIGA_LIVRES!$1:$1,0),0)/1000,0)</f>
        <v>234693.86</v>
      </c>
      <c r="E136" s="9">
        <f>IFERROR(VLOOKUP($A136,ANTIGA_DIRECIONADOS!$A:$P,MATCH(APENDICE_BCB!E$3,ANTIGA_DIRECIONADOS!$1:$1,0),0),0)</f>
        <v>262229</v>
      </c>
      <c r="F136" s="9">
        <f>IFERROR(VLOOKUP($A136,ANTIGA_DIRECIONADOS!$A:$P,MATCH(APENDICE_BCB!F$3,ANTIGA_DIRECIONADOS!$1:$1,0),0),0)</f>
        <v>102987</v>
      </c>
      <c r="G136" s="9">
        <f>IFERROR(VLOOKUP($A136,ANTIGA_DIRECIONADOS!$A:$P,MATCH(APENDICE_BCB!G$3,ANTIGA_DIRECIONADOS!$1:$1,0),0),0)</f>
        <v>159242</v>
      </c>
      <c r="H136" s="9">
        <f>IFERROR(VLOOKUP($A136,ATUAL_LIV_E_DIR!$A:$P,MATCH(APENDICE_BCB!H$3,ATUAL_LIV_E_DIR!$1:$1,0),0),0)</f>
        <v>586902</v>
      </c>
      <c r="I136" s="9">
        <f>IFERROR(VLOOKUP($A136,ATUAL_LIV_E_DIR!$A:$P,MATCH(APENDICE_BCB!I$3,ATUAL_LIV_E_DIR!$1:$1,0),0),0)</f>
        <v>286485</v>
      </c>
      <c r="J136" s="9">
        <f>IFERROR(VLOOKUP($A136,ATUAL_LIV_E_DIR!$A:$P,MATCH(APENDICE_BCB!J$3,ATUAL_LIV_E_DIR!$1:$1,0),0),0)</f>
        <v>300417</v>
      </c>
      <c r="K136" s="9">
        <f>IFERROR(VLOOKUP($A136,ATUAL_LIV_E_DIR!$A:$P,MATCH(APENDICE_BCB!K$3,ATUAL_LIV_E_DIR!$1:$1,0),0),0)</f>
        <v>302134</v>
      </c>
      <c r="L136" s="9">
        <f>IFERROR(VLOOKUP($A136,ATUAL_LIV_E_DIR!$A:$P,MATCH(APENDICE_BCB!L$3,ATUAL_LIV_E_DIR!$1:$1,0),0),0)</f>
        <v>113365</v>
      </c>
      <c r="M136" s="9">
        <f>IFERROR(VLOOKUP($A136,ATUAL_LIV_E_DIR!$A:$P,MATCH(APENDICE_BCB!M$3,ATUAL_LIV_E_DIR!$1:$1,0),0),0)</f>
        <v>188769</v>
      </c>
      <c r="O136" s="11">
        <f t="shared" si="33"/>
        <v>756240.07199999993</v>
      </c>
      <c r="P136" s="11">
        <f t="shared" si="34"/>
        <v>889036</v>
      </c>
      <c r="Q136" s="11">
        <f t="shared" si="35"/>
        <v>418559.212</v>
      </c>
      <c r="R136" s="11">
        <f t="shared" si="36"/>
        <v>475254</v>
      </c>
      <c r="S136" s="11">
        <f t="shared" si="37"/>
        <v>337680.86</v>
      </c>
      <c r="T136" s="11">
        <f t="shared" si="38"/>
        <v>413782</v>
      </c>
      <c r="V136" s="7">
        <f t="shared" si="39"/>
        <v>0.4465260074184485</v>
      </c>
      <c r="W136">
        <f t="shared" si="40"/>
        <v>0.46542772171205665</v>
      </c>
      <c r="Y136" s="8">
        <f t="shared" si="41"/>
        <v>2.3739190223054374E-2</v>
      </c>
      <c r="Z136" s="8">
        <f t="shared" si="42"/>
        <v>2.7181661679241076E-2</v>
      </c>
      <c r="AE136" s="1">
        <f t="shared" si="31"/>
        <v>39356</v>
      </c>
      <c r="AF136" s="11">
        <f t="shared" si="32"/>
        <v>413782</v>
      </c>
    </row>
    <row r="137" spans="1:32" x14ac:dyDescent="0.25">
      <c r="A137" s="1">
        <v>39387</v>
      </c>
      <c r="B137" s="9">
        <f>IFERROR(VLOOKUP($A137,ANTIGA_LIVRES!$A:$P,MATCH(APENDICE_BCB!B$3,ANTIGA_LIVRES!$1:$1,0),0)/1000,0)</f>
        <v>510624.87699999998</v>
      </c>
      <c r="C137" s="9">
        <f>IFERROR(VLOOKUP($A137,ANTIGA_LIVRES!$A:$P,MATCH(APENDICE_BCB!C$3,ANTIGA_LIVRES!$1:$1,0),0)/1000,0)</f>
        <v>271172.37</v>
      </c>
      <c r="D137" s="9">
        <f>IFERROR(VLOOKUP($A137,ANTIGA_LIVRES!$A:$P,MATCH(APENDICE_BCB!D$3,ANTIGA_LIVRES!$1:$1,0),0)/1000,0)</f>
        <v>239452.50700000001</v>
      </c>
      <c r="E137" s="9">
        <f>IFERROR(VLOOKUP($A137,ANTIGA_DIRECIONADOS!$A:$P,MATCH(APENDICE_BCB!E$3,ANTIGA_DIRECIONADOS!$1:$1,0),0),0)</f>
        <v>269020</v>
      </c>
      <c r="F137" s="9">
        <f>IFERROR(VLOOKUP($A137,ANTIGA_DIRECIONADOS!$A:$P,MATCH(APENDICE_BCB!F$3,ANTIGA_DIRECIONADOS!$1:$1,0),0),0)</f>
        <v>105293</v>
      </c>
      <c r="G137" s="9">
        <f>IFERROR(VLOOKUP($A137,ANTIGA_DIRECIONADOS!$A:$P,MATCH(APENDICE_BCB!G$3,ANTIGA_DIRECIONADOS!$1:$1,0),0),0)</f>
        <v>163727</v>
      </c>
      <c r="H137" s="9">
        <f>IFERROR(VLOOKUP($A137,ATUAL_LIV_E_DIR!$A:$P,MATCH(APENDICE_BCB!H$3,ATUAL_LIV_E_DIR!$1:$1,0),0),0)</f>
        <v>607215</v>
      </c>
      <c r="I137" s="9">
        <f>IFERROR(VLOOKUP($A137,ATUAL_LIV_E_DIR!$A:$P,MATCH(APENDICE_BCB!I$3,ATUAL_LIV_E_DIR!$1:$1,0),0),0)</f>
        <v>299250</v>
      </c>
      <c r="J137" s="9">
        <f>IFERROR(VLOOKUP($A137,ATUAL_LIV_E_DIR!$A:$P,MATCH(APENDICE_BCB!J$3,ATUAL_LIV_E_DIR!$1:$1,0),0),0)</f>
        <v>307966</v>
      </c>
      <c r="K137" s="9">
        <f>IFERROR(VLOOKUP($A137,ATUAL_LIV_E_DIR!$A:$P,MATCH(APENDICE_BCB!K$3,ATUAL_LIV_E_DIR!$1:$1,0),0),0)</f>
        <v>311599</v>
      </c>
      <c r="L137" s="9">
        <f>IFERROR(VLOOKUP($A137,ATUAL_LIV_E_DIR!$A:$P,MATCH(APENDICE_BCB!L$3,ATUAL_LIV_E_DIR!$1:$1,0),0),0)</f>
        <v>116000</v>
      </c>
      <c r="M137" s="9">
        <f>IFERROR(VLOOKUP($A137,ATUAL_LIV_E_DIR!$A:$P,MATCH(APENDICE_BCB!M$3,ATUAL_LIV_E_DIR!$1:$1,0),0),0)</f>
        <v>195600</v>
      </c>
      <c r="O137" s="11">
        <f t="shared" si="33"/>
        <v>779644.87699999998</v>
      </c>
      <c r="P137" s="11">
        <f t="shared" si="34"/>
        <v>918814</v>
      </c>
      <c r="Q137" s="11">
        <f t="shared" si="35"/>
        <v>434899.37</v>
      </c>
      <c r="R137" s="11">
        <f t="shared" si="36"/>
        <v>494850</v>
      </c>
      <c r="S137" s="11">
        <f t="shared" si="37"/>
        <v>344745.50699999998</v>
      </c>
      <c r="T137" s="11">
        <f t="shared" si="38"/>
        <v>423966</v>
      </c>
      <c r="V137" s="7">
        <f t="shared" si="39"/>
        <v>0.44218273879583253</v>
      </c>
      <c r="W137">
        <f t="shared" si="40"/>
        <v>0.46142744886342613</v>
      </c>
      <c r="Y137" s="8">
        <f t="shared" si="41"/>
        <v>3.094890877456713E-2</v>
      </c>
      <c r="Z137" s="8">
        <f t="shared" si="42"/>
        <v>3.3494706626053361E-2</v>
      </c>
      <c r="AE137" s="1">
        <f t="shared" si="31"/>
        <v>39387</v>
      </c>
      <c r="AF137" s="11">
        <f t="shared" si="32"/>
        <v>423966</v>
      </c>
    </row>
    <row r="138" spans="1:32" x14ac:dyDescent="0.25">
      <c r="A138" s="1">
        <v>39417</v>
      </c>
      <c r="B138" s="9">
        <f>IFERROR(VLOOKUP($A138,ANTIGA_LIVRES!$A:$P,MATCH(APENDICE_BCB!B$3,ANTIGA_LIVRES!$1:$1,0),0)/1000,0)</f>
        <v>523727.37300000002</v>
      </c>
      <c r="C138" s="9">
        <f>IFERROR(VLOOKUP($A138,ANTIGA_LIVRES!$A:$P,MATCH(APENDICE_BCB!C$3,ANTIGA_LIVRES!$1:$1,0),0)/1000,0)</f>
        <v>283480.93300000002</v>
      </c>
      <c r="D138" s="9">
        <f>IFERROR(VLOOKUP($A138,ANTIGA_LIVRES!$A:$P,MATCH(APENDICE_BCB!D$3,ANTIGA_LIVRES!$1:$1,0),0)/1000,0)</f>
        <v>240246.44</v>
      </c>
      <c r="E138" s="9">
        <f>IFERROR(VLOOKUP($A138,ANTIGA_DIRECIONADOS!$A:$P,MATCH(APENDICE_BCB!E$3,ANTIGA_DIRECIONADOS!$1:$1,0),0),0)</f>
        <v>275162</v>
      </c>
      <c r="F138" s="9">
        <f>IFERROR(VLOOKUP($A138,ANTIGA_DIRECIONADOS!$A:$P,MATCH(APENDICE_BCB!F$3,ANTIGA_DIRECIONADOS!$1:$1,0),0),0)</f>
        <v>107853</v>
      </c>
      <c r="G138" s="9">
        <f>IFERROR(VLOOKUP($A138,ANTIGA_DIRECIONADOS!$A:$P,MATCH(APENDICE_BCB!G$3,ANTIGA_DIRECIONADOS!$1:$1,0),0),0)</f>
        <v>167309</v>
      </c>
      <c r="H138" s="9">
        <f>IFERROR(VLOOKUP($A138,ATUAL_LIV_E_DIR!$A:$P,MATCH(APENDICE_BCB!H$3,ATUAL_LIV_E_DIR!$1:$1,0),0),0)</f>
        <v>627514</v>
      </c>
      <c r="I138" s="9">
        <f>IFERROR(VLOOKUP($A138,ATUAL_LIV_E_DIR!$A:$P,MATCH(APENDICE_BCB!I$3,ATUAL_LIV_E_DIR!$1:$1,0),0),0)</f>
        <v>312741</v>
      </c>
      <c r="J138" s="9">
        <f>IFERROR(VLOOKUP($A138,ATUAL_LIV_E_DIR!$A:$P,MATCH(APENDICE_BCB!J$3,ATUAL_LIV_E_DIR!$1:$1,0),0),0)</f>
        <v>314773</v>
      </c>
      <c r="K138" s="9">
        <f>IFERROR(VLOOKUP($A138,ATUAL_LIV_E_DIR!$A:$P,MATCH(APENDICE_BCB!K$3,ATUAL_LIV_E_DIR!$1:$1,0),0),0)</f>
        <v>316407</v>
      </c>
      <c r="L138" s="9">
        <f>IFERROR(VLOOKUP($A138,ATUAL_LIV_E_DIR!$A:$P,MATCH(APENDICE_BCB!L$3,ATUAL_LIV_E_DIR!$1:$1,0),0),0)</f>
        <v>117092</v>
      </c>
      <c r="M138" s="9">
        <f>IFERROR(VLOOKUP($A138,ATUAL_LIV_E_DIR!$A:$P,MATCH(APENDICE_BCB!M$3,ATUAL_LIV_E_DIR!$1:$1,0),0),0)</f>
        <v>199315</v>
      </c>
      <c r="O138" s="11">
        <f t="shared" si="33"/>
        <v>798889.37300000002</v>
      </c>
      <c r="P138" s="11">
        <f t="shared" si="34"/>
        <v>943921</v>
      </c>
      <c r="Q138" s="11">
        <f t="shared" si="35"/>
        <v>450789.93300000002</v>
      </c>
      <c r="R138" s="11">
        <f t="shared" si="36"/>
        <v>512056</v>
      </c>
      <c r="S138" s="11">
        <f t="shared" si="37"/>
        <v>348099.44</v>
      </c>
      <c r="T138" s="11">
        <f t="shared" si="38"/>
        <v>431865</v>
      </c>
      <c r="V138" s="7">
        <f t="shared" si="39"/>
        <v>0.43572921578968105</v>
      </c>
      <c r="W138">
        <f t="shared" si="40"/>
        <v>0.45752239859056004</v>
      </c>
      <c r="Y138" s="8">
        <f t="shared" si="41"/>
        <v>2.468366889557605E-2</v>
      </c>
      <c r="Z138" s="8">
        <f t="shared" si="42"/>
        <v>2.7325443452102416E-2</v>
      </c>
      <c r="AE138" s="1">
        <f t="shared" si="31"/>
        <v>39417</v>
      </c>
      <c r="AF138" s="11">
        <f t="shared" si="32"/>
        <v>431865</v>
      </c>
    </row>
    <row r="139" spans="1:32" x14ac:dyDescent="0.25">
      <c r="A139" s="1">
        <v>39448</v>
      </c>
      <c r="B139" s="9">
        <f>IFERROR(VLOOKUP($A139,ANTIGA_LIVRES!$A:$P,MATCH(APENDICE_BCB!B$3,ANTIGA_LIVRES!$1:$1,0),0)/1000,0)</f>
        <v>533192.42299999995</v>
      </c>
      <c r="C139" s="9">
        <f>IFERROR(VLOOKUP($A139,ANTIGA_LIVRES!$A:$P,MATCH(APENDICE_BCB!C$3,ANTIGA_LIVRES!$1:$1,0),0)/1000,0)</f>
        <v>286908.56699999998</v>
      </c>
      <c r="D139" s="9">
        <f>IFERROR(VLOOKUP($A139,ANTIGA_LIVRES!$A:$P,MATCH(APENDICE_BCB!D$3,ANTIGA_LIVRES!$1:$1,0),0)/1000,0)</f>
        <v>246283.856</v>
      </c>
      <c r="E139" s="9">
        <f>IFERROR(VLOOKUP($A139,ANTIGA_DIRECIONADOS!$A:$P,MATCH(APENDICE_BCB!E$3,ANTIGA_DIRECIONADOS!$1:$1,0),0),0)</f>
        <v>277590</v>
      </c>
      <c r="F139" s="9">
        <f>IFERROR(VLOOKUP($A139,ANTIGA_DIRECIONADOS!$A:$P,MATCH(APENDICE_BCB!F$3,ANTIGA_DIRECIONADOS!$1:$1,0),0),0)</f>
        <v>108760</v>
      </c>
      <c r="G139" s="9">
        <f>IFERROR(VLOOKUP($A139,ANTIGA_DIRECIONADOS!$A:$P,MATCH(APENDICE_BCB!G$3,ANTIGA_DIRECIONADOS!$1:$1,0),0),0)</f>
        <v>168830</v>
      </c>
      <c r="H139" s="9">
        <f>IFERROR(VLOOKUP($A139,ATUAL_LIV_E_DIR!$A:$P,MATCH(APENDICE_BCB!H$3,ATUAL_LIV_E_DIR!$1:$1,0),0),0)</f>
        <v>637031</v>
      </c>
      <c r="I139" s="9">
        <f>IFERROR(VLOOKUP($A139,ATUAL_LIV_E_DIR!$A:$P,MATCH(APENDICE_BCB!I$3,ATUAL_LIV_E_DIR!$1:$1,0),0),0)</f>
        <v>314967</v>
      </c>
      <c r="J139" s="9">
        <f>IFERROR(VLOOKUP($A139,ATUAL_LIV_E_DIR!$A:$P,MATCH(APENDICE_BCB!J$3,ATUAL_LIV_E_DIR!$1:$1,0),0),0)</f>
        <v>322064</v>
      </c>
      <c r="K139" s="9">
        <f>IFERROR(VLOOKUP($A139,ATUAL_LIV_E_DIR!$A:$P,MATCH(APENDICE_BCB!K$3,ATUAL_LIV_E_DIR!$1:$1,0),0),0)</f>
        <v>316383</v>
      </c>
      <c r="L139" s="9">
        <f>IFERROR(VLOOKUP($A139,ATUAL_LIV_E_DIR!$A:$P,MATCH(APENDICE_BCB!L$3,ATUAL_LIV_E_DIR!$1:$1,0),0),0)</f>
        <v>117789</v>
      </c>
      <c r="M139" s="9">
        <f>IFERROR(VLOOKUP($A139,ATUAL_LIV_E_DIR!$A:$P,MATCH(APENDICE_BCB!M$3,ATUAL_LIV_E_DIR!$1:$1,0),0),0)</f>
        <v>198593</v>
      </c>
      <c r="O139" s="11">
        <f t="shared" si="33"/>
        <v>810782.42299999995</v>
      </c>
      <c r="P139" s="11">
        <f t="shared" si="34"/>
        <v>953414</v>
      </c>
      <c r="Q139" s="11">
        <f t="shared" si="35"/>
        <v>455738.56699999998</v>
      </c>
      <c r="R139" s="11">
        <f t="shared" si="36"/>
        <v>513560</v>
      </c>
      <c r="S139" s="11">
        <f t="shared" si="37"/>
        <v>355043.85600000003</v>
      </c>
      <c r="T139" s="11">
        <f t="shared" si="38"/>
        <v>439853</v>
      </c>
      <c r="V139" s="7">
        <f t="shared" si="39"/>
        <v>0.43790275409066193</v>
      </c>
      <c r="W139">
        <f t="shared" si="40"/>
        <v>0.46134522883028778</v>
      </c>
      <c r="Y139" s="8">
        <f t="shared" si="41"/>
        <v>1.4886979852215321E-2</v>
      </c>
      <c r="Z139" s="8">
        <f t="shared" si="42"/>
        <v>1.0056985701133891E-2</v>
      </c>
      <c r="AE139" s="1">
        <f t="shared" si="31"/>
        <v>39448</v>
      </c>
      <c r="AF139" s="11">
        <f t="shared" si="32"/>
        <v>439853</v>
      </c>
    </row>
    <row r="140" spans="1:32" x14ac:dyDescent="0.25">
      <c r="A140" s="1">
        <v>39479</v>
      </c>
      <c r="B140" s="9">
        <f>IFERROR(VLOOKUP($A140,ANTIGA_LIVRES!$A:$P,MATCH(APENDICE_BCB!B$3,ANTIGA_LIVRES!$1:$1,0),0)/1000,0)</f>
        <v>541753.86300000001</v>
      </c>
      <c r="C140" s="9">
        <f>IFERROR(VLOOKUP($A140,ANTIGA_LIVRES!$A:$P,MATCH(APENDICE_BCB!C$3,ANTIGA_LIVRES!$1:$1,0),0)/1000,0)</f>
        <v>291718.92499999999</v>
      </c>
      <c r="D140" s="9">
        <f>IFERROR(VLOOKUP($A140,ANTIGA_LIVRES!$A:$P,MATCH(APENDICE_BCB!D$3,ANTIGA_LIVRES!$1:$1,0),0)/1000,0)</f>
        <v>250034.93799999999</v>
      </c>
      <c r="E140" s="9">
        <f>IFERROR(VLOOKUP($A140,ANTIGA_DIRECIONADOS!$A:$P,MATCH(APENDICE_BCB!E$3,ANTIGA_DIRECIONADOS!$1:$1,0),0),0)</f>
        <v>279400</v>
      </c>
      <c r="F140" s="9">
        <f>IFERROR(VLOOKUP($A140,ANTIGA_DIRECIONADOS!$A:$P,MATCH(APENDICE_BCB!F$3,ANTIGA_DIRECIONADOS!$1:$1,0),0),0)</f>
        <v>110069</v>
      </c>
      <c r="G140" s="9">
        <f>IFERROR(VLOOKUP($A140,ANTIGA_DIRECIONADOS!$A:$P,MATCH(APENDICE_BCB!G$3,ANTIGA_DIRECIONADOS!$1:$1,0),0),0)</f>
        <v>169331</v>
      </c>
      <c r="H140" s="9">
        <f>IFERROR(VLOOKUP($A140,ATUAL_LIV_E_DIR!$A:$P,MATCH(APENDICE_BCB!H$3,ATUAL_LIV_E_DIR!$1:$1,0),0),0)</f>
        <v>650206</v>
      </c>
      <c r="I140" s="9">
        <f>IFERROR(VLOOKUP($A140,ATUAL_LIV_E_DIR!$A:$P,MATCH(APENDICE_BCB!I$3,ATUAL_LIV_E_DIR!$1:$1,0),0),0)</f>
        <v>323258</v>
      </c>
      <c r="J140" s="9">
        <f>IFERROR(VLOOKUP($A140,ATUAL_LIV_E_DIR!$A:$P,MATCH(APENDICE_BCB!J$3,ATUAL_LIV_E_DIR!$1:$1,0),0),0)</f>
        <v>326948</v>
      </c>
      <c r="K140" s="9">
        <f>IFERROR(VLOOKUP($A140,ATUAL_LIV_E_DIR!$A:$P,MATCH(APENDICE_BCB!K$3,ATUAL_LIV_E_DIR!$1:$1,0),0),0)</f>
        <v>317237</v>
      </c>
      <c r="L140" s="9">
        <f>IFERROR(VLOOKUP($A140,ATUAL_LIV_E_DIR!$A:$P,MATCH(APENDICE_BCB!L$3,ATUAL_LIV_E_DIR!$1:$1,0),0),0)</f>
        <v>118235</v>
      </c>
      <c r="M140" s="9">
        <f>IFERROR(VLOOKUP($A140,ATUAL_LIV_E_DIR!$A:$P,MATCH(APENDICE_BCB!M$3,ATUAL_LIV_E_DIR!$1:$1,0),0),0)</f>
        <v>199002</v>
      </c>
      <c r="O140" s="11">
        <f t="shared" si="33"/>
        <v>821153.86300000001</v>
      </c>
      <c r="P140" s="11">
        <f t="shared" si="34"/>
        <v>967443</v>
      </c>
      <c r="Q140" s="11">
        <f t="shared" si="35"/>
        <v>461049.92499999999</v>
      </c>
      <c r="R140" s="11">
        <f t="shared" si="36"/>
        <v>522260</v>
      </c>
      <c r="S140" s="11">
        <f t="shared" si="37"/>
        <v>360103.93799999997</v>
      </c>
      <c r="T140" s="11">
        <f t="shared" si="38"/>
        <v>445183</v>
      </c>
      <c r="V140" s="7">
        <f t="shared" si="39"/>
        <v>0.43853406069892648</v>
      </c>
      <c r="W140">
        <f t="shared" si="40"/>
        <v>0.4601645781715305</v>
      </c>
      <c r="Y140" s="8">
        <f t="shared" si="41"/>
        <v>1.2791890531647754E-2</v>
      </c>
      <c r="Z140" s="8">
        <f t="shared" si="42"/>
        <v>1.4714489193571767E-2</v>
      </c>
      <c r="AE140" s="1">
        <f t="shared" si="31"/>
        <v>39479</v>
      </c>
      <c r="AF140" s="11">
        <f t="shared" si="32"/>
        <v>445183</v>
      </c>
    </row>
    <row r="141" spans="1:32" x14ac:dyDescent="0.25">
      <c r="A141" s="1">
        <v>39508</v>
      </c>
      <c r="B141" s="9">
        <f>IFERROR(VLOOKUP($A141,ANTIGA_LIVRES!$A:$P,MATCH(APENDICE_BCB!B$3,ANTIGA_LIVRES!$1:$1,0),0)/1000,0)</f>
        <v>558876.09699999995</v>
      </c>
      <c r="C141" s="9">
        <f>IFERROR(VLOOKUP($A141,ANTIGA_LIVRES!$A:$P,MATCH(APENDICE_BCB!C$3,ANTIGA_LIVRES!$1:$1,0),0)/1000,0)</f>
        <v>305321.74099999998</v>
      </c>
      <c r="D141" s="9">
        <f>IFERROR(VLOOKUP($A141,ANTIGA_LIVRES!$A:$P,MATCH(APENDICE_BCB!D$3,ANTIGA_LIVRES!$1:$1,0),0)/1000,0)</f>
        <v>253554.356</v>
      </c>
      <c r="E141" s="9">
        <f>IFERROR(VLOOKUP($A141,ANTIGA_DIRECIONADOS!$A:$P,MATCH(APENDICE_BCB!E$3,ANTIGA_DIRECIONADOS!$1:$1,0),0),0)</f>
        <v>287588</v>
      </c>
      <c r="F141" s="9">
        <f>IFERROR(VLOOKUP($A141,ANTIGA_DIRECIONADOS!$A:$P,MATCH(APENDICE_BCB!F$3,ANTIGA_DIRECIONADOS!$1:$1,0),0),0)</f>
        <v>112592</v>
      </c>
      <c r="G141" s="9">
        <f>IFERROR(VLOOKUP($A141,ANTIGA_DIRECIONADOS!$A:$P,MATCH(APENDICE_BCB!G$3,ANTIGA_DIRECIONADOS!$1:$1,0),0),0)</f>
        <v>174996</v>
      </c>
      <c r="H141" s="9">
        <f>IFERROR(VLOOKUP($A141,ATUAL_LIV_E_DIR!$A:$P,MATCH(APENDICE_BCB!H$3,ATUAL_LIV_E_DIR!$1:$1,0),0),0)</f>
        <v>675746</v>
      </c>
      <c r="I141" s="9">
        <f>IFERROR(VLOOKUP($A141,ATUAL_LIV_E_DIR!$A:$P,MATCH(APENDICE_BCB!I$3,ATUAL_LIV_E_DIR!$1:$1,0),0),0)</f>
        <v>338649</v>
      </c>
      <c r="J141" s="9">
        <f>IFERROR(VLOOKUP($A141,ATUAL_LIV_E_DIR!$A:$P,MATCH(APENDICE_BCB!J$3,ATUAL_LIV_E_DIR!$1:$1,0),0),0)</f>
        <v>337096</v>
      </c>
      <c r="K141" s="9">
        <f>IFERROR(VLOOKUP($A141,ATUAL_LIV_E_DIR!$A:$P,MATCH(APENDICE_BCB!K$3,ATUAL_LIV_E_DIR!$1:$1,0),0),0)</f>
        <v>325853</v>
      </c>
      <c r="L141" s="9">
        <f>IFERROR(VLOOKUP($A141,ATUAL_LIV_E_DIR!$A:$P,MATCH(APENDICE_BCB!L$3,ATUAL_LIV_E_DIR!$1:$1,0),0),0)</f>
        <v>119639</v>
      </c>
      <c r="M141" s="9">
        <f>IFERROR(VLOOKUP($A141,ATUAL_LIV_E_DIR!$A:$P,MATCH(APENDICE_BCB!M$3,ATUAL_LIV_E_DIR!$1:$1,0),0),0)</f>
        <v>206213</v>
      </c>
      <c r="O141" s="11">
        <f t="shared" si="33"/>
        <v>846464.09699999995</v>
      </c>
      <c r="P141" s="11">
        <f t="shared" si="34"/>
        <v>1001599</v>
      </c>
      <c r="Q141" s="11">
        <f t="shared" si="35"/>
        <v>480317.74099999998</v>
      </c>
      <c r="R141" s="11">
        <f t="shared" si="36"/>
        <v>544862</v>
      </c>
      <c r="S141" s="11">
        <f t="shared" si="37"/>
        <v>366146.35600000003</v>
      </c>
      <c r="T141" s="11">
        <f t="shared" si="38"/>
        <v>456735</v>
      </c>
      <c r="V141" s="7">
        <f t="shared" si="39"/>
        <v>0.43255981830496948</v>
      </c>
      <c r="W141">
        <f t="shared" si="40"/>
        <v>0.45600584665120475</v>
      </c>
      <c r="Y141" s="8">
        <f t="shared" si="41"/>
        <v>3.0822766768132448E-2</v>
      </c>
      <c r="Z141" s="8">
        <f t="shared" si="42"/>
        <v>3.5305439183497045E-2</v>
      </c>
      <c r="AE141" s="1">
        <f t="shared" si="31"/>
        <v>39508</v>
      </c>
      <c r="AF141" s="11">
        <f t="shared" si="32"/>
        <v>456735</v>
      </c>
    </row>
    <row r="142" spans="1:32" x14ac:dyDescent="0.25">
      <c r="A142" s="1">
        <v>39539</v>
      </c>
      <c r="B142" s="9">
        <f>IFERROR(VLOOKUP($A142,ANTIGA_LIVRES!$A:$P,MATCH(APENDICE_BCB!B$3,ANTIGA_LIVRES!$1:$1,0),0)/1000,0)</f>
        <v>570788.11699999997</v>
      </c>
      <c r="C142" s="9">
        <f>IFERROR(VLOOKUP($A142,ANTIGA_LIVRES!$A:$P,MATCH(APENDICE_BCB!C$3,ANTIGA_LIVRES!$1:$1,0),0)/1000,0)</f>
        <v>312666.571</v>
      </c>
      <c r="D142" s="9">
        <f>IFERROR(VLOOKUP($A142,ANTIGA_LIVRES!$A:$P,MATCH(APENDICE_BCB!D$3,ANTIGA_LIVRES!$1:$1,0),0)/1000,0)</f>
        <v>258121.546</v>
      </c>
      <c r="E142" s="9">
        <f>IFERROR(VLOOKUP($A142,ANTIGA_DIRECIONADOS!$A:$P,MATCH(APENDICE_BCB!E$3,ANTIGA_DIRECIONADOS!$1:$1,0),0),0)</f>
        <v>292805</v>
      </c>
      <c r="F142" s="9">
        <f>IFERROR(VLOOKUP($A142,ANTIGA_DIRECIONADOS!$A:$P,MATCH(APENDICE_BCB!F$3,ANTIGA_DIRECIONADOS!$1:$1,0),0),0)</f>
        <v>115272</v>
      </c>
      <c r="G142" s="9">
        <f>IFERROR(VLOOKUP($A142,ANTIGA_DIRECIONADOS!$A:$P,MATCH(APENDICE_BCB!G$3,ANTIGA_DIRECIONADOS!$1:$1,0),0),0)</f>
        <v>177533</v>
      </c>
      <c r="H142" s="9">
        <f>IFERROR(VLOOKUP($A142,ATUAL_LIV_E_DIR!$A:$P,MATCH(APENDICE_BCB!H$3,ATUAL_LIV_E_DIR!$1:$1,0),0),0)</f>
        <v>694533</v>
      </c>
      <c r="I142" s="9">
        <f>IFERROR(VLOOKUP($A142,ATUAL_LIV_E_DIR!$A:$P,MATCH(APENDICE_BCB!I$3,ATUAL_LIV_E_DIR!$1:$1,0),0),0)</f>
        <v>347020</v>
      </c>
      <c r="J142" s="9">
        <f>IFERROR(VLOOKUP($A142,ATUAL_LIV_E_DIR!$A:$P,MATCH(APENDICE_BCB!J$3,ATUAL_LIV_E_DIR!$1:$1,0),0),0)</f>
        <v>347513</v>
      </c>
      <c r="K142" s="9">
        <f>IFERROR(VLOOKUP($A142,ATUAL_LIV_E_DIR!$A:$P,MATCH(APENDICE_BCB!K$3,ATUAL_LIV_E_DIR!$1:$1,0),0),0)</f>
        <v>332314</v>
      </c>
      <c r="L142" s="9">
        <f>IFERROR(VLOOKUP($A142,ATUAL_LIV_E_DIR!$A:$P,MATCH(APENDICE_BCB!L$3,ATUAL_LIV_E_DIR!$1:$1,0),0),0)</f>
        <v>121924</v>
      </c>
      <c r="M142" s="9">
        <f>IFERROR(VLOOKUP($A142,ATUAL_LIV_E_DIR!$A:$P,MATCH(APENDICE_BCB!M$3,ATUAL_LIV_E_DIR!$1:$1,0),0),0)</f>
        <v>210389</v>
      </c>
      <c r="O142" s="11">
        <f t="shared" si="33"/>
        <v>863593.11699999997</v>
      </c>
      <c r="P142" s="11">
        <f t="shared" si="34"/>
        <v>1026847</v>
      </c>
      <c r="Q142" s="11">
        <f t="shared" si="35"/>
        <v>490199.571</v>
      </c>
      <c r="R142" s="11">
        <f t="shared" si="36"/>
        <v>557409</v>
      </c>
      <c r="S142" s="11">
        <f t="shared" si="37"/>
        <v>373393.54599999997</v>
      </c>
      <c r="T142" s="11">
        <f t="shared" si="38"/>
        <v>469437</v>
      </c>
      <c r="V142" s="7">
        <f t="shared" si="39"/>
        <v>0.43237207273850931</v>
      </c>
      <c r="W142">
        <f t="shared" si="40"/>
        <v>0.45716353069152466</v>
      </c>
      <c r="Y142" s="8">
        <f t="shared" si="41"/>
        <v>2.0235967551025302E-2</v>
      </c>
      <c r="Z142" s="8">
        <f t="shared" si="42"/>
        <v>2.5207692899054335E-2</v>
      </c>
      <c r="AE142" s="1">
        <f t="shared" si="31"/>
        <v>39539</v>
      </c>
      <c r="AF142" s="11">
        <f t="shared" si="32"/>
        <v>469437</v>
      </c>
    </row>
    <row r="143" spans="1:32" x14ac:dyDescent="0.25">
      <c r="A143" s="1">
        <v>39569</v>
      </c>
      <c r="B143" s="9">
        <f>IFERROR(VLOOKUP($A143,ANTIGA_LIVRES!$A:$P,MATCH(APENDICE_BCB!B$3,ANTIGA_LIVRES!$1:$1,0),0)/1000,0)</f>
        <v>585362.79500000004</v>
      </c>
      <c r="C143" s="9">
        <f>IFERROR(VLOOKUP($A143,ANTIGA_LIVRES!$A:$P,MATCH(APENDICE_BCB!C$3,ANTIGA_LIVRES!$1:$1,0),0)/1000,0)</f>
        <v>323639.40700000001</v>
      </c>
      <c r="D143" s="9">
        <f>IFERROR(VLOOKUP($A143,ANTIGA_LIVRES!$A:$P,MATCH(APENDICE_BCB!D$3,ANTIGA_LIVRES!$1:$1,0),0)/1000,0)</f>
        <v>261723.38800000001</v>
      </c>
      <c r="E143" s="9">
        <f>IFERROR(VLOOKUP($A143,ANTIGA_DIRECIONADOS!$A:$P,MATCH(APENDICE_BCB!E$3,ANTIGA_DIRECIONADOS!$1:$1,0),0),0)</f>
        <v>298821</v>
      </c>
      <c r="F143" s="9">
        <f>IFERROR(VLOOKUP($A143,ANTIGA_DIRECIONADOS!$A:$P,MATCH(APENDICE_BCB!F$3,ANTIGA_DIRECIONADOS!$1:$1,0),0),0)</f>
        <v>118744</v>
      </c>
      <c r="G143" s="9">
        <f>IFERROR(VLOOKUP($A143,ANTIGA_DIRECIONADOS!$A:$P,MATCH(APENDICE_BCB!G$3,ANTIGA_DIRECIONADOS!$1:$1,0),0),0)</f>
        <v>180077</v>
      </c>
      <c r="H143" s="9">
        <f>IFERROR(VLOOKUP($A143,ATUAL_LIV_E_DIR!$A:$P,MATCH(APENDICE_BCB!H$3,ATUAL_LIV_E_DIR!$1:$1,0),0),0)</f>
        <v>714469</v>
      </c>
      <c r="I143" s="9">
        <f>IFERROR(VLOOKUP($A143,ATUAL_LIV_E_DIR!$A:$P,MATCH(APENDICE_BCB!I$3,ATUAL_LIV_E_DIR!$1:$1,0),0),0)</f>
        <v>358109</v>
      </c>
      <c r="J143" s="9">
        <f>IFERROR(VLOOKUP($A143,ATUAL_LIV_E_DIR!$A:$P,MATCH(APENDICE_BCB!J$3,ATUAL_LIV_E_DIR!$1:$1,0),0),0)</f>
        <v>356360</v>
      </c>
      <c r="K143" s="9">
        <f>IFERROR(VLOOKUP($A143,ATUAL_LIV_E_DIR!$A:$P,MATCH(APENDICE_BCB!K$3,ATUAL_LIV_E_DIR!$1:$1,0),0),0)</f>
        <v>339420</v>
      </c>
      <c r="L143" s="9">
        <f>IFERROR(VLOOKUP($A143,ATUAL_LIV_E_DIR!$A:$P,MATCH(APENDICE_BCB!L$3,ATUAL_LIV_E_DIR!$1:$1,0),0),0)</f>
        <v>124706</v>
      </c>
      <c r="M143" s="9">
        <f>IFERROR(VLOOKUP($A143,ATUAL_LIV_E_DIR!$A:$P,MATCH(APENDICE_BCB!M$3,ATUAL_LIV_E_DIR!$1:$1,0),0),0)</f>
        <v>214714</v>
      </c>
      <c r="O143" s="11">
        <f t="shared" si="33"/>
        <v>884183.79500000004</v>
      </c>
      <c r="P143" s="11">
        <f t="shared" si="34"/>
        <v>1053889</v>
      </c>
      <c r="Q143" s="11">
        <f t="shared" si="35"/>
        <v>503716.40700000001</v>
      </c>
      <c r="R143" s="11">
        <f t="shared" si="36"/>
        <v>572823</v>
      </c>
      <c r="S143" s="11">
        <f t="shared" si="37"/>
        <v>380467.38800000004</v>
      </c>
      <c r="T143" s="11">
        <f t="shared" si="38"/>
        <v>481066</v>
      </c>
      <c r="V143" s="7">
        <f t="shared" si="39"/>
        <v>0.43030350720236848</v>
      </c>
      <c r="W143">
        <f t="shared" si="40"/>
        <v>0.45646742683527392</v>
      </c>
      <c r="Y143" s="8">
        <f t="shared" si="41"/>
        <v>2.3843031625274236E-2</v>
      </c>
      <c r="Z143" s="8">
        <f t="shared" si="42"/>
        <v>2.6334984666654293E-2</v>
      </c>
      <c r="AE143" s="1">
        <f t="shared" si="31"/>
        <v>39569</v>
      </c>
      <c r="AF143" s="11">
        <f t="shared" si="32"/>
        <v>481066</v>
      </c>
    </row>
    <row r="144" spans="1:32" x14ac:dyDescent="0.25">
      <c r="A144" s="1">
        <v>39600</v>
      </c>
      <c r="B144" s="9">
        <f>IFERROR(VLOOKUP($A144,ANTIGA_LIVRES!$A:$P,MATCH(APENDICE_BCB!B$3,ANTIGA_LIVRES!$1:$1,0),0)/1000,0)</f>
        <v>597426.04599999997</v>
      </c>
      <c r="C144" s="9">
        <f>IFERROR(VLOOKUP($A144,ANTIGA_LIVRES!$A:$P,MATCH(APENDICE_BCB!C$3,ANTIGA_LIVRES!$1:$1,0),0)/1000,0)</f>
        <v>334306.16700000002</v>
      </c>
      <c r="D144" s="9">
        <f>IFERROR(VLOOKUP($A144,ANTIGA_LIVRES!$A:$P,MATCH(APENDICE_BCB!D$3,ANTIGA_LIVRES!$1:$1,0),0)/1000,0)</f>
        <v>263119.87900000002</v>
      </c>
      <c r="E144" s="9">
        <f>IFERROR(VLOOKUP($A144,ANTIGA_DIRECIONADOS!$A:$P,MATCH(APENDICE_BCB!E$3,ANTIGA_DIRECIONADOS!$1:$1,0),0),0)</f>
        <v>303939</v>
      </c>
      <c r="F144" s="9">
        <f>IFERROR(VLOOKUP($A144,ANTIGA_DIRECIONADOS!$A:$P,MATCH(APENDICE_BCB!F$3,ANTIGA_DIRECIONADOS!$1:$1,0),0),0)</f>
        <v>121981</v>
      </c>
      <c r="G144" s="9">
        <f>IFERROR(VLOOKUP($A144,ANTIGA_DIRECIONADOS!$A:$P,MATCH(APENDICE_BCB!G$3,ANTIGA_DIRECIONADOS!$1:$1,0),0),0)</f>
        <v>181958</v>
      </c>
      <c r="H144" s="9">
        <f>IFERROR(VLOOKUP($A144,ATUAL_LIV_E_DIR!$A:$P,MATCH(APENDICE_BCB!H$3,ATUAL_LIV_E_DIR!$1:$1,0),0),0)</f>
        <v>730738</v>
      </c>
      <c r="I144" s="9">
        <f>IFERROR(VLOOKUP($A144,ATUAL_LIV_E_DIR!$A:$P,MATCH(APENDICE_BCB!I$3,ATUAL_LIV_E_DIR!$1:$1,0),0),0)</f>
        <v>368805</v>
      </c>
      <c r="J144" s="9">
        <f>IFERROR(VLOOKUP($A144,ATUAL_LIV_E_DIR!$A:$P,MATCH(APENDICE_BCB!J$3,ATUAL_LIV_E_DIR!$1:$1,0),0),0)</f>
        <v>361933</v>
      </c>
      <c r="K144" s="9">
        <f>IFERROR(VLOOKUP($A144,ATUAL_LIV_E_DIR!$A:$P,MATCH(APENDICE_BCB!K$3,ATUAL_LIV_E_DIR!$1:$1,0),0),0)</f>
        <v>346095</v>
      </c>
      <c r="L144" s="9">
        <f>IFERROR(VLOOKUP($A144,ATUAL_LIV_E_DIR!$A:$P,MATCH(APENDICE_BCB!L$3,ATUAL_LIV_E_DIR!$1:$1,0),0),0)</f>
        <v>127566</v>
      </c>
      <c r="M144" s="9">
        <f>IFERROR(VLOOKUP($A144,ATUAL_LIV_E_DIR!$A:$P,MATCH(APENDICE_BCB!M$3,ATUAL_LIV_E_DIR!$1:$1,0),0),0)</f>
        <v>218529</v>
      </c>
      <c r="O144" s="11">
        <f t="shared" si="33"/>
        <v>901365.04599999997</v>
      </c>
      <c r="P144" s="11">
        <f t="shared" si="34"/>
        <v>1076833</v>
      </c>
      <c r="Q144" s="11">
        <f t="shared" si="35"/>
        <v>516264.16700000002</v>
      </c>
      <c r="R144" s="11">
        <f t="shared" si="36"/>
        <v>587334</v>
      </c>
      <c r="S144" s="11">
        <f t="shared" si="37"/>
        <v>385100.87900000002</v>
      </c>
      <c r="T144" s="11">
        <f t="shared" si="38"/>
        <v>489499</v>
      </c>
      <c r="V144" s="7">
        <f t="shared" si="39"/>
        <v>0.4272418602307328</v>
      </c>
      <c r="W144">
        <f t="shared" si="40"/>
        <v>0.45457280748268303</v>
      </c>
      <c r="Y144" s="8">
        <f t="shared" si="41"/>
        <v>1.9431764184277833E-2</v>
      </c>
      <c r="Z144" s="8">
        <f t="shared" si="42"/>
        <v>2.1770793698387525E-2</v>
      </c>
      <c r="AE144" s="1">
        <f t="shared" si="31"/>
        <v>39600</v>
      </c>
      <c r="AF144" s="11">
        <f t="shared" si="32"/>
        <v>489499</v>
      </c>
    </row>
    <row r="145" spans="1:32" x14ac:dyDescent="0.25">
      <c r="A145" s="1">
        <v>39630</v>
      </c>
      <c r="B145" s="9">
        <f>IFERROR(VLOOKUP($A145,ANTIGA_LIVRES!$A:$P,MATCH(APENDICE_BCB!B$3,ANTIGA_LIVRES!$1:$1,0),0)/1000,0)</f>
        <v>605029.04200000002</v>
      </c>
      <c r="C145" s="9">
        <f>IFERROR(VLOOKUP($A145,ANTIGA_LIVRES!$A:$P,MATCH(APENDICE_BCB!C$3,ANTIGA_LIVRES!$1:$1,0),0)/1000,0)</f>
        <v>338801.84</v>
      </c>
      <c r="D145" s="9">
        <f>IFERROR(VLOOKUP($A145,ANTIGA_LIVRES!$A:$P,MATCH(APENDICE_BCB!D$3,ANTIGA_LIVRES!$1:$1,0),0)/1000,0)</f>
        <v>266227.20199999999</v>
      </c>
      <c r="E145" s="9">
        <f>IFERROR(VLOOKUP($A145,ANTIGA_DIRECIONADOS!$A:$P,MATCH(APENDICE_BCB!E$3,ANTIGA_DIRECIONADOS!$1:$1,0),0),0)</f>
        <v>307530</v>
      </c>
      <c r="F145" s="9">
        <f>IFERROR(VLOOKUP($A145,ANTIGA_DIRECIONADOS!$A:$P,MATCH(APENDICE_BCB!F$3,ANTIGA_DIRECIONADOS!$1:$1,0),0),0)</f>
        <v>123530</v>
      </c>
      <c r="G145" s="9">
        <f>IFERROR(VLOOKUP($A145,ANTIGA_DIRECIONADOS!$A:$P,MATCH(APENDICE_BCB!G$3,ANTIGA_DIRECIONADOS!$1:$1,0),0),0)</f>
        <v>184000</v>
      </c>
      <c r="H145" s="9">
        <f>IFERROR(VLOOKUP($A145,ATUAL_LIV_E_DIR!$A:$P,MATCH(APENDICE_BCB!H$3,ATUAL_LIV_E_DIR!$1:$1,0),0),0)</f>
        <v>747211</v>
      </c>
      <c r="I145" s="9">
        <f>IFERROR(VLOOKUP($A145,ATUAL_LIV_E_DIR!$A:$P,MATCH(APENDICE_BCB!I$3,ATUAL_LIV_E_DIR!$1:$1,0),0),0)</f>
        <v>376515</v>
      </c>
      <c r="J145" s="9">
        <f>IFERROR(VLOOKUP($A145,ATUAL_LIV_E_DIR!$A:$P,MATCH(APENDICE_BCB!J$3,ATUAL_LIV_E_DIR!$1:$1,0),0),0)</f>
        <v>370696</v>
      </c>
      <c r="K145" s="9">
        <f>IFERROR(VLOOKUP($A145,ATUAL_LIV_E_DIR!$A:$P,MATCH(APENDICE_BCB!K$3,ATUAL_LIV_E_DIR!$1:$1,0),0),0)</f>
        <v>347158</v>
      </c>
      <c r="L145" s="9">
        <f>IFERROR(VLOOKUP($A145,ATUAL_LIV_E_DIR!$A:$P,MATCH(APENDICE_BCB!L$3,ATUAL_LIV_E_DIR!$1:$1,0),0),0)</f>
        <v>125287</v>
      </c>
      <c r="M145" s="9">
        <f>IFERROR(VLOOKUP($A145,ATUAL_LIV_E_DIR!$A:$P,MATCH(APENDICE_BCB!M$3,ATUAL_LIV_E_DIR!$1:$1,0),0),0)</f>
        <v>221872</v>
      </c>
      <c r="O145" s="11">
        <f t="shared" si="33"/>
        <v>912559.04200000002</v>
      </c>
      <c r="P145" s="11">
        <f t="shared" si="34"/>
        <v>1094369</v>
      </c>
      <c r="Q145" s="11">
        <f t="shared" si="35"/>
        <v>522801.84</v>
      </c>
      <c r="R145" s="11">
        <f t="shared" si="36"/>
        <v>598387</v>
      </c>
      <c r="S145" s="11">
        <f t="shared" si="37"/>
        <v>389757.20199999999</v>
      </c>
      <c r="T145" s="11">
        <f t="shared" si="38"/>
        <v>495983</v>
      </c>
      <c r="V145" s="7">
        <f t="shared" si="39"/>
        <v>0.42710354515341042</v>
      </c>
      <c r="W145">
        <f t="shared" si="40"/>
        <v>0.45321367838453025</v>
      </c>
      <c r="Y145" s="8">
        <f t="shared" si="41"/>
        <v>1.2418937310333611E-2</v>
      </c>
      <c r="Z145" s="8">
        <f t="shared" si="42"/>
        <v>1.6284790677848937E-2</v>
      </c>
      <c r="AE145" s="1">
        <f t="shared" si="31"/>
        <v>39630</v>
      </c>
      <c r="AF145" s="11">
        <f t="shared" si="32"/>
        <v>495983</v>
      </c>
    </row>
    <row r="146" spans="1:32" x14ac:dyDescent="0.25">
      <c r="A146" s="1">
        <v>39661</v>
      </c>
      <c r="B146" s="9">
        <f>IFERROR(VLOOKUP($A146,ANTIGA_LIVRES!$A:$P,MATCH(APENDICE_BCB!B$3,ANTIGA_LIVRES!$1:$1,0),0)/1000,0)</f>
        <v>617752.277</v>
      </c>
      <c r="C146" s="9">
        <f>IFERROR(VLOOKUP($A146,ANTIGA_LIVRES!$A:$P,MATCH(APENDICE_BCB!C$3,ANTIGA_LIVRES!$1:$1,0),0)/1000,0)</f>
        <v>349292.701</v>
      </c>
      <c r="D146" s="9">
        <f>IFERROR(VLOOKUP($A146,ANTIGA_LIVRES!$A:$P,MATCH(APENDICE_BCB!D$3,ANTIGA_LIVRES!$1:$1,0),0)/1000,0)</f>
        <v>268459.576</v>
      </c>
      <c r="E146" s="9">
        <f>IFERROR(VLOOKUP($A146,ANTIGA_DIRECIONADOS!$A:$P,MATCH(APENDICE_BCB!E$3,ANTIGA_DIRECIONADOS!$1:$1,0),0),0)</f>
        <v>311938</v>
      </c>
      <c r="F146" s="9">
        <f>IFERROR(VLOOKUP($A146,ANTIGA_DIRECIONADOS!$A:$P,MATCH(APENDICE_BCB!F$3,ANTIGA_DIRECIONADOS!$1:$1,0),0),0)</f>
        <v>126102</v>
      </c>
      <c r="G146" s="9">
        <f>IFERROR(VLOOKUP($A146,ANTIGA_DIRECIONADOS!$A:$P,MATCH(APENDICE_BCB!G$3,ANTIGA_DIRECIONADOS!$1:$1,0),0),0)</f>
        <v>185836</v>
      </c>
      <c r="H146" s="9">
        <f>IFERROR(VLOOKUP($A146,ATUAL_LIV_E_DIR!$A:$P,MATCH(APENDICE_BCB!H$3,ATUAL_LIV_E_DIR!$1:$1,0),0),0)</f>
        <v>765976</v>
      </c>
      <c r="I146" s="9">
        <f>IFERROR(VLOOKUP($A146,ATUAL_LIV_E_DIR!$A:$P,MATCH(APENDICE_BCB!I$3,ATUAL_LIV_E_DIR!$1:$1,0),0),0)</f>
        <v>388464</v>
      </c>
      <c r="J146" s="9">
        <f>IFERROR(VLOOKUP($A146,ATUAL_LIV_E_DIR!$A:$P,MATCH(APENDICE_BCB!J$3,ATUAL_LIV_E_DIR!$1:$1,0),0),0)</f>
        <v>377510</v>
      </c>
      <c r="K146" s="9">
        <f>IFERROR(VLOOKUP($A146,ATUAL_LIV_E_DIR!$A:$P,MATCH(APENDICE_BCB!K$3,ATUAL_LIV_E_DIR!$1:$1,0),0),0)</f>
        <v>353481</v>
      </c>
      <c r="L146" s="9">
        <f>IFERROR(VLOOKUP($A146,ATUAL_LIV_E_DIR!$A:$P,MATCH(APENDICE_BCB!L$3,ATUAL_LIV_E_DIR!$1:$1,0),0),0)</f>
        <v>126451</v>
      </c>
      <c r="M146" s="9">
        <f>IFERROR(VLOOKUP($A146,ATUAL_LIV_E_DIR!$A:$P,MATCH(APENDICE_BCB!M$3,ATUAL_LIV_E_DIR!$1:$1,0),0),0)</f>
        <v>227030</v>
      </c>
      <c r="O146" s="11">
        <f t="shared" si="33"/>
        <v>929690.277</v>
      </c>
      <c r="P146" s="11">
        <f t="shared" si="34"/>
        <v>1119457</v>
      </c>
      <c r="Q146" s="11">
        <f t="shared" si="35"/>
        <v>535128.701</v>
      </c>
      <c r="R146" s="11">
        <f t="shared" si="36"/>
        <v>615494</v>
      </c>
      <c r="S146" s="11">
        <f t="shared" si="37"/>
        <v>394561.576</v>
      </c>
      <c r="T146" s="11">
        <f t="shared" si="38"/>
        <v>503961</v>
      </c>
      <c r="V146" s="7">
        <f t="shared" si="39"/>
        <v>0.42440109976540069</v>
      </c>
      <c r="W146">
        <f t="shared" si="40"/>
        <v>0.45018343714854614</v>
      </c>
      <c r="Y146" s="8">
        <f t="shared" si="41"/>
        <v>1.8772741501146495E-2</v>
      </c>
      <c r="Z146" s="8">
        <f t="shared" si="42"/>
        <v>2.2924625971678658E-2</v>
      </c>
      <c r="AE146" s="1">
        <f t="shared" si="31"/>
        <v>39661</v>
      </c>
      <c r="AF146" s="11">
        <f t="shared" si="32"/>
        <v>503961</v>
      </c>
    </row>
    <row r="147" spans="1:32" x14ac:dyDescent="0.25">
      <c r="A147" s="1">
        <v>39692</v>
      </c>
      <c r="B147" s="9">
        <f>IFERROR(VLOOKUP($A147,ANTIGA_LIVRES!$A:$P,MATCH(APENDICE_BCB!B$3,ANTIGA_LIVRES!$1:$1,0),0)/1000,0)</f>
        <v>639031.34</v>
      </c>
      <c r="C147" s="9">
        <f>IFERROR(VLOOKUP($A147,ANTIGA_LIVRES!$A:$P,MATCH(APENDICE_BCB!C$3,ANTIGA_LIVRES!$1:$1,0),0)/1000,0)</f>
        <v>368492.98700000002</v>
      </c>
      <c r="D147" s="9">
        <f>IFERROR(VLOOKUP($A147,ANTIGA_LIVRES!$A:$P,MATCH(APENDICE_BCB!D$3,ANTIGA_LIVRES!$1:$1,0),0)/1000,0)</f>
        <v>270538.353</v>
      </c>
      <c r="E147" s="9">
        <f>IFERROR(VLOOKUP($A147,ANTIGA_DIRECIONADOS!$A:$P,MATCH(APENDICE_BCB!E$3,ANTIGA_DIRECIONADOS!$1:$1,0),0),0)</f>
        <v>324089</v>
      </c>
      <c r="F147" s="9">
        <f>IFERROR(VLOOKUP($A147,ANTIGA_DIRECIONADOS!$A:$P,MATCH(APENDICE_BCB!F$3,ANTIGA_DIRECIONADOS!$1:$1,0),0),0)</f>
        <v>130763</v>
      </c>
      <c r="G147" s="9">
        <f>IFERROR(VLOOKUP($A147,ANTIGA_DIRECIONADOS!$A:$P,MATCH(APENDICE_BCB!G$3,ANTIGA_DIRECIONADOS!$1:$1,0),0),0)</f>
        <v>193326</v>
      </c>
      <c r="H147" s="9">
        <f>IFERROR(VLOOKUP($A147,ATUAL_LIV_E_DIR!$A:$P,MATCH(APENDICE_BCB!H$3,ATUAL_LIV_E_DIR!$1:$1,0),0),0)</f>
        <v>794301</v>
      </c>
      <c r="I147" s="9">
        <f>IFERROR(VLOOKUP($A147,ATUAL_LIV_E_DIR!$A:$P,MATCH(APENDICE_BCB!I$3,ATUAL_LIV_E_DIR!$1:$1,0),0),0)</f>
        <v>410844</v>
      </c>
      <c r="J147" s="9">
        <f>IFERROR(VLOOKUP($A147,ATUAL_LIV_E_DIR!$A:$P,MATCH(APENDICE_BCB!J$3,ATUAL_LIV_E_DIR!$1:$1,0),0),0)</f>
        <v>383459</v>
      </c>
      <c r="K147" s="9">
        <f>IFERROR(VLOOKUP($A147,ATUAL_LIV_E_DIR!$A:$P,MATCH(APENDICE_BCB!K$3,ATUAL_LIV_E_DIR!$1:$1,0),0),0)</f>
        <v>366386</v>
      </c>
      <c r="L147" s="9">
        <f>IFERROR(VLOOKUP($A147,ATUAL_LIV_E_DIR!$A:$P,MATCH(APENDICE_BCB!L$3,ATUAL_LIV_E_DIR!$1:$1,0),0),0)</f>
        <v>130744</v>
      </c>
      <c r="M147" s="9">
        <f>IFERROR(VLOOKUP($A147,ATUAL_LIV_E_DIR!$A:$P,MATCH(APENDICE_BCB!M$3,ATUAL_LIV_E_DIR!$1:$1,0),0),0)</f>
        <v>235643</v>
      </c>
      <c r="O147" s="11">
        <f t="shared" si="33"/>
        <v>963120.34</v>
      </c>
      <c r="P147" s="11">
        <f t="shared" si="34"/>
        <v>1160687</v>
      </c>
      <c r="Q147" s="11">
        <f t="shared" si="35"/>
        <v>561818.98699999996</v>
      </c>
      <c r="R147" s="11">
        <f t="shared" si="36"/>
        <v>646487</v>
      </c>
      <c r="S147" s="11">
        <f t="shared" si="37"/>
        <v>401301.353</v>
      </c>
      <c r="T147" s="11">
        <f t="shared" si="38"/>
        <v>514203</v>
      </c>
      <c r="V147" s="7">
        <f t="shared" si="39"/>
        <v>0.41666792438419481</v>
      </c>
      <c r="W147">
        <f t="shared" si="40"/>
        <v>0.44301607582405939</v>
      </c>
      <c r="Y147" s="8">
        <f t="shared" si="41"/>
        <v>3.5958279684149108E-2</v>
      </c>
      <c r="Z147" s="8">
        <f t="shared" si="42"/>
        <v>3.6830356145881371E-2</v>
      </c>
      <c r="AE147" s="1">
        <f t="shared" si="31"/>
        <v>39692</v>
      </c>
      <c r="AF147" s="11">
        <f t="shared" si="32"/>
        <v>514203</v>
      </c>
    </row>
    <row r="148" spans="1:32" x14ac:dyDescent="0.25">
      <c r="A148" s="1">
        <v>39722</v>
      </c>
      <c r="B148" s="9">
        <f>IFERROR(VLOOKUP($A148,ANTIGA_LIVRES!$A:$P,MATCH(APENDICE_BCB!B$3,ANTIGA_LIVRES!$1:$1,0),0)/1000,0)</f>
        <v>660236.94400000002</v>
      </c>
      <c r="C148" s="9">
        <f>IFERROR(VLOOKUP($A148,ANTIGA_LIVRES!$A:$P,MATCH(APENDICE_BCB!C$3,ANTIGA_LIVRES!$1:$1,0),0)/1000,0)</f>
        <v>379809.005</v>
      </c>
      <c r="D148" s="9">
        <f>IFERROR(VLOOKUP($A148,ANTIGA_LIVRES!$A:$P,MATCH(APENDICE_BCB!D$3,ANTIGA_LIVRES!$1:$1,0),0)/1000,0)</f>
        <v>280427.93900000001</v>
      </c>
      <c r="E148" s="9">
        <f>IFERROR(VLOOKUP($A148,ANTIGA_DIRECIONADOS!$A:$P,MATCH(APENDICE_BCB!E$3,ANTIGA_DIRECIONADOS!$1:$1,0),0),0)</f>
        <v>336805</v>
      </c>
      <c r="F148" s="9">
        <f>IFERROR(VLOOKUP($A148,ANTIGA_DIRECIONADOS!$A:$P,MATCH(APENDICE_BCB!F$3,ANTIGA_DIRECIONADOS!$1:$1,0),0),0)</f>
        <v>133983</v>
      </c>
      <c r="G148" s="9">
        <f>IFERROR(VLOOKUP($A148,ANTIGA_DIRECIONADOS!$A:$P,MATCH(APENDICE_BCB!G$3,ANTIGA_DIRECIONADOS!$1:$1,0),0),0)</f>
        <v>202822</v>
      </c>
      <c r="H148" s="9">
        <f>IFERROR(VLOOKUP($A148,ATUAL_LIV_E_DIR!$A:$P,MATCH(APENDICE_BCB!H$3,ATUAL_LIV_E_DIR!$1:$1,0),0),0)</f>
        <v>814746</v>
      </c>
      <c r="I148" s="9">
        <f>IFERROR(VLOOKUP($A148,ATUAL_LIV_E_DIR!$A:$P,MATCH(APENDICE_BCB!I$3,ATUAL_LIV_E_DIR!$1:$1,0),0),0)</f>
        <v>422735</v>
      </c>
      <c r="J148" s="9">
        <f>IFERROR(VLOOKUP($A148,ATUAL_LIV_E_DIR!$A:$P,MATCH(APENDICE_BCB!J$3,ATUAL_LIV_E_DIR!$1:$1,0),0),0)</f>
        <v>392010</v>
      </c>
      <c r="K148" s="9">
        <f>IFERROR(VLOOKUP($A148,ATUAL_LIV_E_DIR!$A:$P,MATCH(APENDICE_BCB!K$3,ATUAL_LIV_E_DIR!$1:$1,0),0),0)</f>
        <v>378327</v>
      </c>
      <c r="L148" s="9">
        <f>IFERROR(VLOOKUP($A148,ATUAL_LIV_E_DIR!$A:$P,MATCH(APENDICE_BCB!L$3,ATUAL_LIV_E_DIR!$1:$1,0),0),0)</f>
        <v>132879</v>
      </c>
      <c r="M148" s="9">
        <f>IFERROR(VLOOKUP($A148,ATUAL_LIV_E_DIR!$A:$P,MATCH(APENDICE_BCB!M$3,ATUAL_LIV_E_DIR!$1:$1,0),0),0)</f>
        <v>245448</v>
      </c>
      <c r="O148" s="11">
        <f t="shared" si="33"/>
        <v>997041.94400000002</v>
      </c>
      <c r="P148" s="11">
        <f t="shared" si="34"/>
        <v>1193073</v>
      </c>
      <c r="Q148" s="11">
        <f t="shared" si="35"/>
        <v>582631.005</v>
      </c>
      <c r="R148" s="11">
        <f t="shared" si="36"/>
        <v>668183</v>
      </c>
      <c r="S148" s="11">
        <f t="shared" si="37"/>
        <v>414410.93900000001</v>
      </c>
      <c r="T148" s="11">
        <f t="shared" si="38"/>
        <v>524889</v>
      </c>
      <c r="V148" s="7">
        <f t="shared" si="39"/>
        <v>0.41564042665791801</v>
      </c>
      <c r="W148">
        <f t="shared" si="40"/>
        <v>0.43994709460359926</v>
      </c>
      <c r="Y148" s="8">
        <f t="shared" si="41"/>
        <v>3.5220524986524504E-2</v>
      </c>
      <c r="Z148" s="8">
        <f t="shared" si="42"/>
        <v>2.7902440537371342E-2</v>
      </c>
      <c r="AE148" s="1">
        <f t="shared" si="31"/>
        <v>39722</v>
      </c>
      <c r="AF148" s="11">
        <f t="shared" si="32"/>
        <v>524889</v>
      </c>
    </row>
    <row r="149" spans="1:32" x14ac:dyDescent="0.25">
      <c r="A149" s="1">
        <v>39753</v>
      </c>
      <c r="B149" s="9">
        <f>IFERROR(VLOOKUP($A149,ANTIGA_LIVRES!$A:$P,MATCH(APENDICE_BCB!B$3,ANTIGA_LIVRES!$1:$1,0),0)/1000,0)</f>
        <v>671620.603</v>
      </c>
      <c r="C149" s="9">
        <f>IFERROR(VLOOKUP($A149,ANTIGA_LIVRES!$A:$P,MATCH(APENDICE_BCB!C$3,ANTIGA_LIVRES!$1:$1,0),0)/1000,0)</f>
        <v>390831.821</v>
      </c>
      <c r="D149" s="9">
        <f>IFERROR(VLOOKUP($A149,ANTIGA_LIVRES!$A:$P,MATCH(APENDICE_BCB!D$3,ANTIGA_LIVRES!$1:$1,0),0)/1000,0)</f>
        <v>280788.78200000001</v>
      </c>
      <c r="E149" s="9">
        <f>IFERROR(VLOOKUP($A149,ANTIGA_DIRECIONADOS!$A:$P,MATCH(APENDICE_BCB!E$3,ANTIGA_DIRECIONADOS!$1:$1,0),0),0)</f>
        <v>345755</v>
      </c>
      <c r="F149" s="9">
        <f>IFERROR(VLOOKUP($A149,ANTIGA_DIRECIONADOS!$A:$P,MATCH(APENDICE_BCB!F$3,ANTIGA_DIRECIONADOS!$1:$1,0),0),0)</f>
        <v>135561</v>
      </c>
      <c r="G149" s="9">
        <f>IFERROR(VLOOKUP($A149,ANTIGA_DIRECIONADOS!$A:$P,MATCH(APENDICE_BCB!G$3,ANTIGA_DIRECIONADOS!$1:$1,0),0),0)</f>
        <v>210194</v>
      </c>
      <c r="H149" s="9">
        <f>IFERROR(VLOOKUP($A149,ATUAL_LIV_E_DIR!$A:$P,MATCH(APENDICE_BCB!H$3,ATUAL_LIV_E_DIR!$1:$1,0),0),0)</f>
        <v>825652</v>
      </c>
      <c r="I149" s="9">
        <f>IFERROR(VLOOKUP($A149,ATUAL_LIV_E_DIR!$A:$P,MATCH(APENDICE_BCB!I$3,ATUAL_LIV_E_DIR!$1:$1,0),0),0)</f>
        <v>433868</v>
      </c>
      <c r="J149" s="9">
        <f>IFERROR(VLOOKUP($A149,ATUAL_LIV_E_DIR!$A:$P,MATCH(APENDICE_BCB!J$3,ATUAL_LIV_E_DIR!$1:$1,0),0),0)</f>
        <v>391784</v>
      </c>
      <c r="K149" s="9">
        <f>IFERROR(VLOOKUP($A149,ATUAL_LIV_E_DIR!$A:$P,MATCH(APENDICE_BCB!K$3,ATUAL_LIV_E_DIR!$1:$1,0),0),0)</f>
        <v>390127</v>
      </c>
      <c r="L149" s="9">
        <f>IFERROR(VLOOKUP($A149,ATUAL_LIV_E_DIR!$A:$P,MATCH(APENDICE_BCB!L$3,ATUAL_LIV_E_DIR!$1:$1,0),0),0)</f>
        <v>135637</v>
      </c>
      <c r="M149" s="9">
        <f>IFERROR(VLOOKUP($A149,ATUAL_LIV_E_DIR!$A:$P,MATCH(APENDICE_BCB!M$3,ATUAL_LIV_E_DIR!$1:$1,0),0),0)</f>
        <v>254490</v>
      </c>
      <c r="O149" s="11">
        <f t="shared" si="33"/>
        <v>1017375.603</v>
      </c>
      <c r="P149" s="11">
        <f t="shared" si="34"/>
        <v>1215779</v>
      </c>
      <c r="Q149" s="11">
        <f t="shared" si="35"/>
        <v>601025.821</v>
      </c>
      <c r="R149" s="11">
        <f t="shared" si="36"/>
        <v>688358</v>
      </c>
      <c r="S149" s="11">
        <f t="shared" si="37"/>
        <v>416349.78200000001</v>
      </c>
      <c r="T149" s="11">
        <f t="shared" si="38"/>
        <v>527421</v>
      </c>
      <c r="V149" s="7">
        <f t="shared" si="39"/>
        <v>0.40923900747401742</v>
      </c>
      <c r="W149">
        <f t="shared" si="40"/>
        <v>0.43381321769828235</v>
      </c>
      <c r="Y149" s="8">
        <f t="shared" si="41"/>
        <v>2.039398555132399E-2</v>
      </c>
      <c r="Z149" s="8">
        <f t="shared" si="42"/>
        <v>1.9031526151375378E-2</v>
      </c>
      <c r="AE149" s="1">
        <f t="shared" si="31"/>
        <v>39753</v>
      </c>
      <c r="AF149" s="11">
        <f t="shared" si="32"/>
        <v>527421</v>
      </c>
    </row>
    <row r="150" spans="1:32" x14ac:dyDescent="0.25">
      <c r="A150" s="1">
        <v>39783</v>
      </c>
      <c r="B150" s="9">
        <f>IFERROR(VLOOKUP($A150,ANTIGA_LIVRES!$A:$P,MATCH(APENDICE_BCB!B$3,ANTIGA_LIVRES!$1:$1,0),0)/1000,0)</f>
        <v>669086.67299999995</v>
      </c>
      <c r="C150" s="9">
        <f>IFERROR(VLOOKUP($A150,ANTIGA_LIVRES!$A:$P,MATCH(APENDICE_BCB!C$3,ANTIGA_LIVRES!$1:$1,0),0)/1000,0)</f>
        <v>391509.83299999998</v>
      </c>
      <c r="D150" s="9">
        <f>IFERROR(VLOOKUP($A150,ANTIGA_LIVRES!$A:$P,MATCH(APENDICE_BCB!D$3,ANTIGA_LIVRES!$1:$1,0),0)/1000,0)</f>
        <v>277576.84000000003</v>
      </c>
      <c r="E150" s="9">
        <f>IFERROR(VLOOKUP($A150,ANTIGA_DIRECIONADOS!$A:$P,MATCH(APENDICE_BCB!E$3,ANTIGA_DIRECIONADOS!$1:$1,0),0),0)</f>
        <v>356117</v>
      </c>
      <c r="F150" s="9">
        <f>IFERROR(VLOOKUP($A150,ANTIGA_DIRECIONADOS!$A:$P,MATCH(APENDICE_BCB!F$3,ANTIGA_DIRECIONADOS!$1:$1,0),0),0)</f>
        <v>138019</v>
      </c>
      <c r="G150" s="9">
        <f>IFERROR(VLOOKUP($A150,ANTIGA_DIRECIONADOS!$A:$P,MATCH(APENDICE_BCB!G$3,ANTIGA_DIRECIONADOS!$1:$1,0),0),0)</f>
        <v>218098</v>
      </c>
      <c r="H150" s="9">
        <f>IFERROR(VLOOKUP($A150,ATUAL_LIV_E_DIR!$A:$P,MATCH(APENDICE_BCB!H$3,ATUAL_LIV_E_DIR!$1:$1,0),0),0)</f>
        <v>833190</v>
      </c>
      <c r="I150" s="9">
        <f>IFERROR(VLOOKUP($A150,ATUAL_LIV_E_DIR!$A:$P,MATCH(APENDICE_BCB!I$3,ATUAL_LIV_E_DIR!$1:$1,0),0),0)</f>
        <v>437273</v>
      </c>
      <c r="J150" s="9">
        <f>IFERROR(VLOOKUP($A150,ATUAL_LIV_E_DIR!$A:$P,MATCH(APENDICE_BCB!J$3,ATUAL_LIV_E_DIR!$1:$1,0),0),0)</f>
        <v>395916</v>
      </c>
      <c r="K150" s="9">
        <f>IFERROR(VLOOKUP($A150,ATUAL_LIV_E_DIR!$A:$P,MATCH(APENDICE_BCB!K$3,ATUAL_LIV_E_DIR!$1:$1,0),0),0)</f>
        <v>400798</v>
      </c>
      <c r="L150" s="9">
        <f>IFERROR(VLOOKUP($A150,ATUAL_LIV_E_DIR!$A:$P,MATCH(APENDICE_BCB!L$3,ATUAL_LIV_E_DIR!$1:$1,0),0),0)</f>
        <v>138296</v>
      </c>
      <c r="M150" s="9">
        <f>IFERROR(VLOOKUP($A150,ATUAL_LIV_E_DIR!$A:$P,MATCH(APENDICE_BCB!M$3,ATUAL_LIV_E_DIR!$1:$1,0),0),0)</f>
        <v>262502</v>
      </c>
      <c r="O150" s="11">
        <f t="shared" si="33"/>
        <v>1025203.673</v>
      </c>
      <c r="P150" s="11">
        <f t="shared" si="34"/>
        <v>1233988</v>
      </c>
      <c r="Q150" s="11">
        <f t="shared" si="35"/>
        <v>609607.83299999998</v>
      </c>
      <c r="R150" s="11">
        <f t="shared" si="36"/>
        <v>699775</v>
      </c>
      <c r="S150" s="11">
        <f t="shared" si="37"/>
        <v>415595.84</v>
      </c>
      <c r="T150" s="11">
        <f t="shared" si="38"/>
        <v>534212</v>
      </c>
      <c r="V150" s="7">
        <f t="shared" si="39"/>
        <v>0.40537880515377361</v>
      </c>
      <c r="W150">
        <f t="shared" si="40"/>
        <v>0.43291506886614783</v>
      </c>
      <c r="Y150" s="8">
        <f t="shared" si="41"/>
        <v>7.6943755845106931E-3</v>
      </c>
      <c r="Z150" s="8">
        <f t="shared" si="42"/>
        <v>1.4977228591709579E-2</v>
      </c>
      <c r="AE150" s="1">
        <f t="shared" si="31"/>
        <v>39783</v>
      </c>
      <c r="AF150" s="11">
        <f t="shared" si="32"/>
        <v>534212</v>
      </c>
    </row>
    <row r="151" spans="1:32" x14ac:dyDescent="0.25">
      <c r="A151" s="1">
        <v>39814</v>
      </c>
      <c r="B151" s="9">
        <f>IFERROR(VLOOKUP($A151,ANTIGA_LIVRES!$A:$P,MATCH(APENDICE_BCB!B$3,ANTIGA_LIVRES!$1:$1,0),0)/1000,0)</f>
        <v>664033.11</v>
      </c>
      <c r="C151" s="9">
        <f>IFERROR(VLOOKUP($A151,ANTIGA_LIVRES!$A:$P,MATCH(APENDICE_BCB!C$3,ANTIGA_LIVRES!$1:$1,0),0)/1000,0)</f>
        <v>384645.93199999997</v>
      </c>
      <c r="D151" s="9">
        <f>IFERROR(VLOOKUP($A151,ANTIGA_LIVRES!$A:$P,MATCH(APENDICE_BCB!D$3,ANTIGA_LIVRES!$1:$1,0),0)/1000,0)</f>
        <v>279387.17800000001</v>
      </c>
      <c r="E151" s="9">
        <f>IFERROR(VLOOKUP($A151,ANTIGA_DIRECIONADOS!$A:$P,MATCH(APENDICE_BCB!E$3,ANTIGA_DIRECIONADOS!$1:$1,0),0),0)</f>
        <v>357865</v>
      </c>
      <c r="F151" s="9">
        <f>IFERROR(VLOOKUP($A151,ANTIGA_DIRECIONADOS!$A:$P,MATCH(APENDICE_BCB!F$3,ANTIGA_DIRECIONADOS!$1:$1,0),0),0)</f>
        <v>139062</v>
      </c>
      <c r="G151" s="9">
        <f>IFERROR(VLOOKUP($A151,ANTIGA_DIRECIONADOS!$A:$P,MATCH(APENDICE_BCB!G$3,ANTIGA_DIRECIONADOS!$1:$1,0),0),0)</f>
        <v>218803</v>
      </c>
      <c r="H151" s="9">
        <f>IFERROR(VLOOKUP($A151,ATUAL_LIV_E_DIR!$A:$P,MATCH(APENDICE_BCB!H$3,ATUAL_LIV_E_DIR!$1:$1,0),0),0)</f>
        <v>828359</v>
      </c>
      <c r="I151" s="9">
        <f>IFERROR(VLOOKUP($A151,ATUAL_LIV_E_DIR!$A:$P,MATCH(APENDICE_BCB!I$3,ATUAL_LIV_E_DIR!$1:$1,0),0),0)</f>
        <v>431339</v>
      </c>
      <c r="J151" s="9">
        <f>IFERROR(VLOOKUP($A151,ATUAL_LIV_E_DIR!$A:$P,MATCH(APENDICE_BCB!J$3,ATUAL_LIV_E_DIR!$1:$1,0),0),0)</f>
        <v>397020</v>
      </c>
      <c r="K151" s="9">
        <f>IFERROR(VLOOKUP($A151,ATUAL_LIV_E_DIR!$A:$P,MATCH(APENDICE_BCB!K$3,ATUAL_LIV_E_DIR!$1:$1,0),0),0)</f>
        <v>406883</v>
      </c>
      <c r="L151" s="9">
        <f>IFERROR(VLOOKUP($A151,ATUAL_LIV_E_DIR!$A:$P,MATCH(APENDICE_BCB!L$3,ATUAL_LIV_E_DIR!$1:$1,0),0),0)</f>
        <v>140026</v>
      </c>
      <c r="M151" s="9">
        <f>IFERROR(VLOOKUP($A151,ATUAL_LIV_E_DIR!$A:$P,MATCH(APENDICE_BCB!M$3,ATUAL_LIV_E_DIR!$1:$1,0),0),0)</f>
        <v>266858</v>
      </c>
      <c r="O151" s="11">
        <f t="shared" si="33"/>
        <v>1021898.11</v>
      </c>
      <c r="P151" s="11">
        <f t="shared" si="34"/>
        <v>1235242</v>
      </c>
      <c r="Q151" s="11">
        <f t="shared" si="35"/>
        <v>603448.93200000003</v>
      </c>
      <c r="R151" s="11">
        <f t="shared" si="36"/>
        <v>698197</v>
      </c>
      <c r="S151" s="11">
        <f t="shared" si="37"/>
        <v>418449.17800000001</v>
      </c>
      <c r="T151" s="11">
        <f t="shared" si="38"/>
        <v>537046</v>
      </c>
      <c r="V151" s="7">
        <f t="shared" si="39"/>
        <v>0.40948228977544543</v>
      </c>
      <c r="W151">
        <f t="shared" si="40"/>
        <v>0.43476986695724401</v>
      </c>
      <c r="Y151" s="8">
        <f t="shared" si="41"/>
        <v>-3.2242988267171535E-3</v>
      </c>
      <c r="Z151" s="8">
        <f t="shared" si="42"/>
        <v>1.0162173376078165E-3</v>
      </c>
      <c r="AE151" s="1">
        <f t="shared" si="31"/>
        <v>39814</v>
      </c>
      <c r="AF151" s="11">
        <f t="shared" si="32"/>
        <v>537046</v>
      </c>
    </row>
    <row r="152" spans="1:32" x14ac:dyDescent="0.25">
      <c r="A152" s="1">
        <v>39845</v>
      </c>
      <c r="B152" s="9">
        <f>IFERROR(VLOOKUP($A152,ANTIGA_LIVRES!$A:$P,MATCH(APENDICE_BCB!B$3,ANTIGA_LIVRES!$1:$1,0),0)/1000,0)</f>
        <v>666894.33900000004</v>
      </c>
      <c r="C152" s="9">
        <f>IFERROR(VLOOKUP($A152,ANTIGA_LIVRES!$A:$P,MATCH(APENDICE_BCB!C$3,ANTIGA_LIVRES!$1:$1,0),0)/1000,0)</f>
        <v>385415.386</v>
      </c>
      <c r="D152" s="9">
        <f>IFERROR(VLOOKUP($A152,ANTIGA_LIVRES!$A:$P,MATCH(APENDICE_BCB!D$3,ANTIGA_LIVRES!$1:$1,0),0)/1000,0)</f>
        <v>281478.95299999998</v>
      </c>
      <c r="E152" s="9">
        <f>IFERROR(VLOOKUP($A152,ANTIGA_DIRECIONADOS!$A:$P,MATCH(APENDICE_BCB!E$3,ANTIGA_DIRECIONADOS!$1:$1,0),0),0)</f>
        <v>362313</v>
      </c>
      <c r="F152" s="9">
        <f>IFERROR(VLOOKUP($A152,ANTIGA_DIRECIONADOS!$A:$P,MATCH(APENDICE_BCB!F$3,ANTIGA_DIRECIONADOS!$1:$1,0),0),0)</f>
        <v>140717</v>
      </c>
      <c r="G152" s="9">
        <f>IFERROR(VLOOKUP($A152,ANTIGA_DIRECIONADOS!$A:$P,MATCH(APENDICE_BCB!G$3,ANTIGA_DIRECIONADOS!$1:$1,0),0),0)</f>
        <v>221596</v>
      </c>
      <c r="H152" s="9">
        <f>IFERROR(VLOOKUP($A152,ATUAL_LIV_E_DIR!$A:$P,MATCH(APENDICE_BCB!H$3,ATUAL_LIV_E_DIR!$1:$1,0),0),0)</f>
        <v>826524</v>
      </c>
      <c r="I152" s="9">
        <f>IFERROR(VLOOKUP($A152,ATUAL_LIV_E_DIR!$A:$P,MATCH(APENDICE_BCB!I$3,ATUAL_LIV_E_DIR!$1:$1,0),0),0)</f>
        <v>431847</v>
      </c>
      <c r="J152" s="9">
        <f>IFERROR(VLOOKUP($A152,ATUAL_LIV_E_DIR!$A:$P,MATCH(APENDICE_BCB!J$3,ATUAL_LIV_E_DIR!$1:$1,0),0),0)</f>
        <v>394677</v>
      </c>
      <c r="K152" s="9">
        <f>IFERROR(VLOOKUP($A152,ATUAL_LIV_E_DIR!$A:$P,MATCH(APENDICE_BCB!K$3,ATUAL_LIV_E_DIR!$1:$1,0),0),0)</f>
        <v>408301</v>
      </c>
      <c r="L152" s="9">
        <f>IFERROR(VLOOKUP($A152,ATUAL_LIV_E_DIR!$A:$P,MATCH(APENDICE_BCB!L$3,ATUAL_LIV_E_DIR!$1:$1,0),0),0)</f>
        <v>141548</v>
      </c>
      <c r="M152" s="9">
        <f>IFERROR(VLOOKUP($A152,ATUAL_LIV_E_DIR!$A:$P,MATCH(APENDICE_BCB!M$3,ATUAL_LIV_E_DIR!$1:$1,0),0),0)</f>
        <v>266753</v>
      </c>
      <c r="O152" s="11">
        <f t="shared" si="33"/>
        <v>1029207.339</v>
      </c>
      <c r="P152" s="11">
        <f t="shared" si="34"/>
        <v>1234825</v>
      </c>
      <c r="Q152" s="11">
        <f t="shared" si="35"/>
        <v>607011.38599999994</v>
      </c>
      <c r="R152" s="11">
        <f t="shared" si="36"/>
        <v>698600</v>
      </c>
      <c r="S152" s="11">
        <f t="shared" si="37"/>
        <v>422195.95299999998</v>
      </c>
      <c r="T152" s="11">
        <f t="shared" si="38"/>
        <v>536225</v>
      </c>
      <c r="V152" s="7">
        <f t="shared" si="39"/>
        <v>0.4102146739550212</v>
      </c>
      <c r="W152">
        <f t="shared" si="40"/>
        <v>0.43425181705909743</v>
      </c>
      <c r="Y152" s="8">
        <f t="shared" si="41"/>
        <v>7.152600566019407E-3</v>
      </c>
      <c r="Z152" s="8">
        <f t="shared" si="42"/>
        <v>-3.3758567147168517E-4</v>
      </c>
      <c r="AE152" s="1">
        <f t="shared" si="31"/>
        <v>39845</v>
      </c>
      <c r="AF152" s="11">
        <f t="shared" si="32"/>
        <v>536225</v>
      </c>
    </row>
    <row r="153" spans="1:32" x14ac:dyDescent="0.25">
      <c r="A153" s="1">
        <v>39873</v>
      </c>
      <c r="B153" s="9">
        <f>IFERROR(VLOOKUP($A153,ANTIGA_LIVRES!$A:$P,MATCH(APENDICE_BCB!B$3,ANTIGA_LIVRES!$1:$1,0),0)/1000,0)</f>
        <v>673876.18900000001</v>
      </c>
      <c r="C153" s="9">
        <f>IFERROR(VLOOKUP($A153,ANTIGA_LIVRES!$A:$P,MATCH(APENDICE_BCB!C$3,ANTIGA_LIVRES!$1:$1,0),0)/1000,0)</f>
        <v>388055.18800000002</v>
      </c>
      <c r="D153" s="9">
        <f>IFERROR(VLOOKUP($A153,ANTIGA_LIVRES!$A:$P,MATCH(APENDICE_BCB!D$3,ANTIGA_LIVRES!$1:$1,0),0)/1000,0)</f>
        <v>285821.00099999999</v>
      </c>
      <c r="E153" s="9">
        <f>IFERROR(VLOOKUP($A153,ANTIGA_DIRECIONADOS!$A:$P,MATCH(APENDICE_BCB!E$3,ANTIGA_DIRECIONADOS!$1:$1,0),0),0)</f>
        <v>365758</v>
      </c>
      <c r="F153" s="9">
        <f>IFERROR(VLOOKUP($A153,ANTIGA_DIRECIONADOS!$A:$P,MATCH(APENDICE_BCB!F$3,ANTIGA_DIRECIONADOS!$1:$1,0),0),0)</f>
        <v>141124</v>
      </c>
      <c r="G153" s="9">
        <f>IFERROR(VLOOKUP($A153,ANTIGA_DIRECIONADOS!$A:$P,MATCH(APENDICE_BCB!G$3,ANTIGA_DIRECIONADOS!$1:$1,0),0),0)</f>
        <v>224634</v>
      </c>
      <c r="H153" s="9">
        <f>IFERROR(VLOOKUP($A153,ATUAL_LIV_E_DIR!$A:$P,MATCH(APENDICE_BCB!H$3,ATUAL_LIV_E_DIR!$1:$1,0),0),0)</f>
        <v>834475</v>
      </c>
      <c r="I153" s="9">
        <f>IFERROR(VLOOKUP($A153,ATUAL_LIV_E_DIR!$A:$P,MATCH(APENDICE_BCB!I$3,ATUAL_LIV_E_DIR!$1:$1,0),0),0)</f>
        <v>435098</v>
      </c>
      <c r="J153" s="9">
        <f>IFERROR(VLOOKUP($A153,ATUAL_LIV_E_DIR!$A:$P,MATCH(APENDICE_BCB!J$3,ATUAL_LIV_E_DIR!$1:$1,0),0),0)</f>
        <v>399378</v>
      </c>
      <c r="K153" s="9">
        <f>IFERROR(VLOOKUP($A153,ATUAL_LIV_E_DIR!$A:$P,MATCH(APENDICE_BCB!K$3,ATUAL_LIV_E_DIR!$1:$1,0),0),0)</f>
        <v>413828</v>
      </c>
      <c r="L153" s="9">
        <f>IFERROR(VLOOKUP($A153,ATUAL_LIV_E_DIR!$A:$P,MATCH(APENDICE_BCB!L$3,ATUAL_LIV_E_DIR!$1:$1,0),0),0)</f>
        <v>143509</v>
      </c>
      <c r="M153" s="9">
        <f>IFERROR(VLOOKUP($A153,ATUAL_LIV_E_DIR!$A:$P,MATCH(APENDICE_BCB!M$3,ATUAL_LIV_E_DIR!$1:$1,0),0),0)</f>
        <v>270318</v>
      </c>
      <c r="O153" s="11">
        <f t="shared" si="33"/>
        <v>1039634.189</v>
      </c>
      <c r="P153" s="11">
        <f t="shared" si="34"/>
        <v>1248303</v>
      </c>
      <c r="Q153" s="11">
        <f t="shared" si="35"/>
        <v>612689.18800000008</v>
      </c>
      <c r="R153" s="11">
        <f t="shared" si="36"/>
        <v>705416</v>
      </c>
      <c r="S153" s="11">
        <f t="shared" si="37"/>
        <v>426945.00099999999</v>
      </c>
      <c r="T153" s="11">
        <f t="shared" si="38"/>
        <v>542887</v>
      </c>
      <c r="V153" s="7">
        <f t="shared" si="39"/>
        <v>0.41066848851004839</v>
      </c>
      <c r="W153">
        <f t="shared" si="40"/>
        <v>0.43490002026751517</v>
      </c>
      <c r="Y153" s="8">
        <f t="shared" si="41"/>
        <v>1.013095185478452E-2</v>
      </c>
      <c r="Z153" s="8">
        <f t="shared" si="42"/>
        <v>1.0914906970623361E-2</v>
      </c>
      <c r="AE153" s="1">
        <f t="shared" si="31"/>
        <v>39873</v>
      </c>
      <c r="AF153" s="11">
        <f t="shared" si="32"/>
        <v>542887</v>
      </c>
    </row>
    <row r="154" spans="1:32" x14ac:dyDescent="0.25">
      <c r="A154" s="1">
        <v>39904</v>
      </c>
      <c r="B154" s="9">
        <f>IFERROR(VLOOKUP($A154,ANTIGA_LIVRES!$A:$P,MATCH(APENDICE_BCB!B$3,ANTIGA_LIVRES!$1:$1,0),0)/1000,0)</f>
        <v>675957.06</v>
      </c>
      <c r="C154" s="9">
        <f>IFERROR(VLOOKUP($A154,ANTIGA_LIVRES!$A:$P,MATCH(APENDICE_BCB!C$3,ANTIGA_LIVRES!$1:$1,0),0)/1000,0)</f>
        <v>386260.32400000002</v>
      </c>
      <c r="D154" s="9">
        <f>IFERROR(VLOOKUP($A154,ANTIGA_LIVRES!$A:$P,MATCH(APENDICE_BCB!D$3,ANTIGA_LIVRES!$1:$1,0),0)/1000,0)</f>
        <v>289696.73599999998</v>
      </c>
      <c r="E154" s="9">
        <f>IFERROR(VLOOKUP($A154,ANTIGA_DIRECIONADOS!$A:$P,MATCH(APENDICE_BCB!E$3,ANTIGA_DIRECIONADOS!$1:$1,0),0),0)</f>
        <v>369180</v>
      </c>
      <c r="F154" s="9">
        <f>IFERROR(VLOOKUP($A154,ANTIGA_DIRECIONADOS!$A:$P,MATCH(APENDICE_BCB!F$3,ANTIGA_DIRECIONADOS!$1:$1,0),0),0)</f>
        <v>143333</v>
      </c>
      <c r="G154" s="9">
        <f>IFERROR(VLOOKUP($A154,ANTIGA_DIRECIONADOS!$A:$P,MATCH(APENDICE_BCB!G$3,ANTIGA_DIRECIONADOS!$1:$1,0),0),0)</f>
        <v>225847</v>
      </c>
      <c r="H154" s="9">
        <f>IFERROR(VLOOKUP($A154,ATUAL_LIV_E_DIR!$A:$P,MATCH(APENDICE_BCB!H$3,ATUAL_LIV_E_DIR!$1:$1,0),0),0)</f>
        <v>838679</v>
      </c>
      <c r="I154" s="9">
        <f>IFERROR(VLOOKUP($A154,ATUAL_LIV_E_DIR!$A:$P,MATCH(APENDICE_BCB!I$3,ATUAL_LIV_E_DIR!$1:$1,0),0),0)</f>
        <v>432965</v>
      </c>
      <c r="J154" s="9">
        <f>IFERROR(VLOOKUP($A154,ATUAL_LIV_E_DIR!$A:$P,MATCH(APENDICE_BCB!J$3,ATUAL_LIV_E_DIR!$1:$1,0),0),0)</f>
        <v>405714</v>
      </c>
      <c r="K154" s="9">
        <f>IFERROR(VLOOKUP($A154,ATUAL_LIV_E_DIR!$A:$P,MATCH(APENDICE_BCB!K$3,ATUAL_LIV_E_DIR!$1:$1,0),0),0)</f>
        <v>415885</v>
      </c>
      <c r="L154" s="9">
        <f>IFERROR(VLOOKUP($A154,ATUAL_LIV_E_DIR!$A:$P,MATCH(APENDICE_BCB!L$3,ATUAL_LIV_E_DIR!$1:$1,0),0),0)</f>
        <v>145619</v>
      </c>
      <c r="M154" s="9">
        <f>IFERROR(VLOOKUP($A154,ATUAL_LIV_E_DIR!$A:$P,MATCH(APENDICE_BCB!M$3,ATUAL_LIV_E_DIR!$1:$1,0),0),0)</f>
        <v>270265</v>
      </c>
      <c r="O154" s="11">
        <f t="shared" si="33"/>
        <v>1045137.06</v>
      </c>
      <c r="P154" s="11">
        <f t="shared" si="34"/>
        <v>1254564</v>
      </c>
      <c r="Q154" s="11">
        <f t="shared" si="35"/>
        <v>612107.32400000002</v>
      </c>
      <c r="R154" s="11">
        <f t="shared" si="36"/>
        <v>703230</v>
      </c>
      <c r="S154" s="11">
        <f t="shared" si="37"/>
        <v>433029.73599999998</v>
      </c>
      <c r="T154" s="11">
        <f t="shared" si="38"/>
        <v>551333</v>
      </c>
      <c r="V154" s="7">
        <f t="shared" si="39"/>
        <v>0.41432818007620931</v>
      </c>
      <c r="W154">
        <f t="shared" si="40"/>
        <v>0.43946183694096114</v>
      </c>
      <c r="Y154" s="8">
        <f t="shared" si="41"/>
        <v>5.2930839118450201E-3</v>
      </c>
      <c r="Z154" s="8">
        <f t="shared" si="42"/>
        <v>5.0156091910378287E-3</v>
      </c>
      <c r="AE154" s="1">
        <f t="shared" si="31"/>
        <v>39904</v>
      </c>
      <c r="AF154" s="11">
        <f t="shared" si="32"/>
        <v>551333</v>
      </c>
    </row>
    <row r="155" spans="1:32" x14ac:dyDescent="0.25">
      <c r="A155" s="1">
        <v>39934</v>
      </c>
      <c r="B155" s="9">
        <f>IFERROR(VLOOKUP($A155,ANTIGA_LIVRES!$A:$P,MATCH(APENDICE_BCB!B$3,ANTIGA_LIVRES!$1:$1,0),0)/1000,0)</f>
        <v>677520.20600000001</v>
      </c>
      <c r="C155" s="9">
        <f>IFERROR(VLOOKUP($A155,ANTIGA_LIVRES!$A:$P,MATCH(APENDICE_BCB!C$3,ANTIGA_LIVRES!$1:$1,0),0)/1000,0)</f>
        <v>382915.91700000002</v>
      </c>
      <c r="D155" s="9">
        <f>IFERROR(VLOOKUP($A155,ANTIGA_LIVRES!$A:$P,MATCH(APENDICE_BCB!D$3,ANTIGA_LIVRES!$1:$1,0),0)/1000,0)</f>
        <v>294604.28899999999</v>
      </c>
      <c r="E155" s="9">
        <f>IFERROR(VLOOKUP($A155,ANTIGA_DIRECIONADOS!$A:$P,MATCH(APENDICE_BCB!E$3,ANTIGA_DIRECIONADOS!$1:$1,0),0),0)</f>
        <v>370774</v>
      </c>
      <c r="F155" s="9">
        <f>IFERROR(VLOOKUP($A155,ANTIGA_DIRECIONADOS!$A:$P,MATCH(APENDICE_BCB!F$3,ANTIGA_DIRECIONADOS!$1:$1,0),0),0)</f>
        <v>145737</v>
      </c>
      <c r="G155" s="9">
        <f>IFERROR(VLOOKUP($A155,ANTIGA_DIRECIONADOS!$A:$P,MATCH(APENDICE_BCB!G$3,ANTIGA_DIRECIONADOS!$1:$1,0),0),0)</f>
        <v>225037</v>
      </c>
      <c r="H155" s="9">
        <f>IFERROR(VLOOKUP($A155,ATUAL_LIV_E_DIR!$A:$P,MATCH(APENDICE_BCB!H$3,ATUAL_LIV_E_DIR!$1:$1,0),0),0)</f>
        <v>847745</v>
      </c>
      <c r="I155" s="9">
        <f>IFERROR(VLOOKUP($A155,ATUAL_LIV_E_DIR!$A:$P,MATCH(APENDICE_BCB!I$3,ATUAL_LIV_E_DIR!$1:$1,0),0),0)</f>
        <v>431929</v>
      </c>
      <c r="J155" s="9">
        <f>IFERROR(VLOOKUP($A155,ATUAL_LIV_E_DIR!$A:$P,MATCH(APENDICE_BCB!J$3,ATUAL_LIV_E_DIR!$1:$1,0),0),0)</f>
        <v>415815</v>
      </c>
      <c r="K155" s="9">
        <f>IFERROR(VLOOKUP($A155,ATUAL_LIV_E_DIR!$A:$P,MATCH(APENDICE_BCB!K$3,ATUAL_LIV_E_DIR!$1:$1,0),0),0)</f>
        <v>419172</v>
      </c>
      <c r="L155" s="9">
        <f>IFERROR(VLOOKUP($A155,ATUAL_LIV_E_DIR!$A:$P,MATCH(APENDICE_BCB!L$3,ATUAL_LIV_E_DIR!$1:$1,0),0),0)</f>
        <v>147967</v>
      </c>
      <c r="M155" s="9">
        <f>IFERROR(VLOOKUP($A155,ATUAL_LIV_E_DIR!$A:$P,MATCH(APENDICE_BCB!M$3,ATUAL_LIV_E_DIR!$1:$1,0),0),0)</f>
        <v>271205</v>
      </c>
      <c r="O155" s="11">
        <f t="shared" si="33"/>
        <v>1048294.206</v>
      </c>
      <c r="P155" s="11">
        <f t="shared" si="34"/>
        <v>1266917</v>
      </c>
      <c r="Q155" s="11">
        <f t="shared" si="35"/>
        <v>607952.91700000002</v>
      </c>
      <c r="R155" s="11">
        <f t="shared" si="36"/>
        <v>703134</v>
      </c>
      <c r="S155" s="11">
        <f t="shared" si="37"/>
        <v>440341.28899999999</v>
      </c>
      <c r="T155" s="11">
        <f t="shared" si="38"/>
        <v>563782</v>
      </c>
      <c r="V155" s="7">
        <f t="shared" si="39"/>
        <v>0.42005506324433506</v>
      </c>
      <c r="W155">
        <f t="shared" si="40"/>
        <v>0.44500310596511056</v>
      </c>
      <c r="Y155" s="8">
        <f t="shared" si="41"/>
        <v>3.0207961432349162E-3</v>
      </c>
      <c r="Z155" s="8">
        <f t="shared" si="42"/>
        <v>9.8464486467011447E-3</v>
      </c>
      <c r="AE155" s="1">
        <f t="shared" si="31"/>
        <v>39934</v>
      </c>
      <c r="AF155" s="11">
        <f t="shared" si="32"/>
        <v>563782</v>
      </c>
    </row>
    <row r="156" spans="1:32" x14ac:dyDescent="0.25">
      <c r="A156" s="1">
        <v>39965</v>
      </c>
      <c r="B156" s="9">
        <f>IFERROR(VLOOKUP($A156,ANTIGA_LIVRES!$A:$P,MATCH(APENDICE_BCB!B$3,ANTIGA_LIVRES!$1:$1,0),0)/1000,0)</f>
        <v>682072.74600000004</v>
      </c>
      <c r="C156" s="9">
        <f>IFERROR(VLOOKUP($A156,ANTIGA_LIVRES!$A:$P,MATCH(APENDICE_BCB!C$3,ANTIGA_LIVRES!$1:$1,0),0)/1000,0)</f>
        <v>383306.70500000002</v>
      </c>
      <c r="D156" s="9">
        <f>IFERROR(VLOOKUP($A156,ANTIGA_LIVRES!$A:$P,MATCH(APENDICE_BCB!D$3,ANTIGA_LIVRES!$1:$1,0),0)/1000,0)</f>
        <v>298766.04100000003</v>
      </c>
      <c r="E156" s="9">
        <f>IFERROR(VLOOKUP($A156,ANTIGA_DIRECIONADOS!$A:$P,MATCH(APENDICE_BCB!E$3,ANTIGA_DIRECIONADOS!$1:$1,0),0),0)</f>
        <v>378042</v>
      </c>
      <c r="F156" s="9">
        <f>IFERROR(VLOOKUP($A156,ANTIGA_DIRECIONADOS!$A:$P,MATCH(APENDICE_BCB!F$3,ANTIGA_DIRECIONADOS!$1:$1,0),0),0)</f>
        <v>147255</v>
      </c>
      <c r="G156" s="9">
        <f>IFERROR(VLOOKUP($A156,ANTIGA_DIRECIONADOS!$A:$P,MATCH(APENDICE_BCB!G$3,ANTIGA_DIRECIONADOS!$1:$1,0),0),0)</f>
        <v>230787</v>
      </c>
      <c r="H156" s="9">
        <f>IFERROR(VLOOKUP($A156,ATUAL_LIV_E_DIR!$A:$P,MATCH(APENDICE_BCB!H$3,ATUAL_LIV_E_DIR!$1:$1,0),0),0)</f>
        <v>854231</v>
      </c>
      <c r="I156" s="9">
        <f>IFERROR(VLOOKUP($A156,ATUAL_LIV_E_DIR!$A:$P,MATCH(APENDICE_BCB!I$3,ATUAL_LIV_E_DIR!$1:$1,0),0),0)</f>
        <v>431977</v>
      </c>
      <c r="J156" s="9">
        <f>IFERROR(VLOOKUP($A156,ATUAL_LIV_E_DIR!$A:$P,MATCH(APENDICE_BCB!J$3,ATUAL_LIV_E_DIR!$1:$1,0),0),0)</f>
        <v>422254</v>
      </c>
      <c r="K156" s="9">
        <f>IFERROR(VLOOKUP($A156,ATUAL_LIV_E_DIR!$A:$P,MATCH(APENDICE_BCB!K$3,ATUAL_LIV_E_DIR!$1:$1,0),0),0)</f>
        <v>428691</v>
      </c>
      <c r="L156" s="9">
        <f>IFERROR(VLOOKUP($A156,ATUAL_LIV_E_DIR!$A:$P,MATCH(APENDICE_BCB!L$3,ATUAL_LIV_E_DIR!$1:$1,0),0),0)</f>
        <v>150973</v>
      </c>
      <c r="M156" s="9">
        <f>IFERROR(VLOOKUP($A156,ATUAL_LIV_E_DIR!$A:$P,MATCH(APENDICE_BCB!M$3,ATUAL_LIV_E_DIR!$1:$1,0),0),0)</f>
        <v>277717</v>
      </c>
      <c r="O156" s="11">
        <f t="shared" si="33"/>
        <v>1060114.746</v>
      </c>
      <c r="P156" s="11">
        <f t="shared" si="34"/>
        <v>1282922</v>
      </c>
      <c r="Q156" s="11">
        <f t="shared" si="35"/>
        <v>614093.70500000007</v>
      </c>
      <c r="R156" s="11">
        <f t="shared" si="36"/>
        <v>709694</v>
      </c>
      <c r="S156" s="11">
        <f t="shared" si="37"/>
        <v>446021.04100000003</v>
      </c>
      <c r="T156" s="11">
        <f t="shared" si="38"/>
        <v>573227</v>
      </c>
      <c r="V156" s="7">
        <f t="shared" si="39"/>
        <v>0.42072902266751416</v>
      </c>
      <c r="W156">
        <f t="shared" si="40"/>
        <v>0.44681360207401544</v>
      </c>
      <c r="Y156" s="8">
        <f t="shared" si="41"/>
        <v>1.1275975706384944E-2</v>
      </c>
      <c r="Z156" s="8">
        <f t="shared" si="42"/>
        <v>1.2633029630196857E-2</v>
      </c>
      <c r="AE156" s="1">
        <f t="shared" si="31"/>
        <v>39965</v>
      </c>
      <c r="AF156" s="11">
        <f t="shared" si="32"/>
        <v>573227</v>
      </c>
    </row>
    <row r="157" spans="1:32" x14ac:dyDescent="0.25">
      <c r="A157" s="1">
        <v>39995</v>
      </c>
      <c r="B157" s="9">
        <f>IFERROR(VLOOKUP($A157,ANTIGA_LIVRES!$A:$P,MATCH(APENDICE_BCB!B$3,ANTIGA_LIVRES!$1:$1,0),0)/1000,0)</f>
        <v>680994.21200000006</v>
      </c>
      <c r="C157" s="9">
        <f>IFERROR(VLOOKUP($A157,ANTIGA_LIVRES!$A:$P,MATCH(APENDICE_BCB!C$3,ANTIGA_LIVRES!$1:$1,0),0)/1000,0)</f>
        <v>379182.723</v>
      </c>
      <c r="D157" s="9">
        <f>IFERROR(VLOOKUP($A157,ANTIGA_LIVRES!$A:$P,MATCH(APENDICE_BCB!D$3,ANTIGA_LIVRES!$1:$1,0),0)/1000,0)</f>
        <v>301811.489</v>
      </c>
      <c r="E157" s="9">
        <f>IFERROR(VLOOKUP($A157,ANTIGA_DIRECIONADOS!$A:$P,MATCH(APENDICE_BCB!E$3,ANTIGA_DIRECIONADOS!$1:$1,0),0),0)</f>
        <v>407069</v>
      </c>
      <c r="F157" s="9">
        <f>IFERROR(VLOOKUP($A157,ANTIGA_DIRECIONADOS!$A:$P,MATCH(APENDICE_BCB!F$3,ANTIGA_DIRECIONADOS!$1:$1,0),0),0)</f>
        <v>149978</v>
      </c>
      <c r="G157" s="9">
        <f>IFERROR(VLOOKUP($A157,ANTIGA_DIRECIONADOS!$A:$P,MATCH(APENDICE_BCB!G$3,ANTIGA_DIRECIONADOS!$1:$1,0),0),0)</f>
        <v>257090</v>
      </c>
      <c r="H157" s="9">
        <f>IFERROR(VLOOKUP($A157,ATUAL_LIV_E_DIR!$A:$P,MATCH(APENDICE_BCB!H$3,ATUAL_LIV_E_DIR!$1:$1,0),0),0)</f>
        <v>852380</v>
      </c>
      <c r="I157" s="9">
        <f>IFERROR(VLOOKUP($A157,ATUAL_LIV_E_DIR!$A:$P,MATCH(APENDICE_BCB!I$3,ATUAL_LIV_E_DIR!$1:$1,0),0),0)</f>
        <v>426256</v>
      </c>
      <c r="J157" s="9">
        <f>IFERROR(VLOOKUP($A157,ATUAL_LIV_E_DIR!$A:$P,MATCH(APENDICE_BCB!J$3,ATUAL_LIV_E_DIR!$1:$1,0),0),0)</f>
        <v>426124</v>
      </c>
      <c r="K157" s="9">
        <f>IFERROR(VLOOKUP($A157,ATUAL_LIV_E_DIR!$A:$P,MATCH(APENDICE_BCB!K$3,ATUAL_LIV_E_DIR!$1:$1,0),0),0)</f>
        <v>461154</v>
      </c>
      <c r="L157" s="9">
        <f>IFERROR(VLOOKUP($A157,ATUAL_LIV_E_DIR!$A:$P,MATCH(APENDICE_BCB!L$3,ATUAL_LIV_E_DIR!$1:$1,0),0),0)</f>
        <v>153262</v>
      </c>
      <c r="M157" s="9">
        <f>IFERROR(VLOOKUP($A157,ATUAL_LIV_E_DIR!$A:$P,MATCH(APENDICE_BCB!M$3,ATUAL_LIV_E_DIR!$1:$1,0),0),0)</f>
        <v>307892</v>
      </c>
      <c r="O157" s="11">
        <f t="shared" si="33"/>
        <v>1088063.2120000001</v>
      </c>
      <c r="P157" s="11">
        <f t="shared" si="34"/>
        <v>1313534</v>
      </c>
      <c r="Q157" s="11">
        <f t="shared" si="35"/>
        <v>636272.723</v>
      </c>
      <c r="R157" s="11">
        <f t="shared" si="36"/>
        <v>734148</v>
      </c>
      <c r="S157" s="11">
        <f t="shared" si="37"/>
        <v>451789.489</v>
      </c>
      <c r="T157" s="11">
        <f t="shared" si="38"/>
        <v>579386</v>
      </c>
      <c r="V157" s="7">
        <f t="shared" si="39"/>
        <v>0.41522356791160397</v>
      </c>
      <c r="W157">
        <f t="shared" si="40"/>
        <v>0.44108945790516274</v>
      </c>
      <c r="Y157" s="8">
        <f t="shared" si="41"/>
        <v>2.6363623471378439E-2</v>
      </c>
      <c r="Z157" s="8">
        <f t="shared" si="42"/>
        <v>2.386115445833803E-2</v>
      </c>
      <c r="AE157" s="1">
        <f t="shared" si="31"/>
        <v>39995</v>
      </c>
      <c r="AF157" s="11">
        <f t="shared" si="32"/>
        <v>579386</v>
      </c>
    </row>
    <row r="158" spans="1:32" x14ac:dyDescent="0.25">
      <c r="A158" s="1">
        <v>40026</v>
      </c>
      <c r="B158" s="9">
        <f>IFERROR(VLOOKUP($A158,ANTIGA_LIVRES!$A:$P,MATCH(APENDICE_BCB!B$3,ANTIGA_LIVRES!$1:$1,0),0)/1000,0)</f>
        <v>690638.45900000003</v>
      </c>
      <c r="C158" s="9">
        <f>IFERROR(VLOOKUP($A158,ANTIGA_LIVRES!$A:$P,MATCH(APENDICE_BCB!C$3,ANTIGA_LIVRES!$1:$1,0),0)/1000,0)</f>
        <v>383901.18400000001</v>
      </c>
      <c r="D158" s="9">
        <f>IFERROR(VLOOKUP($A158,ANTIGA_LIVRES!$A:$P,MATCH(APENDICE_BCB!D$3,ANTIGA_LIVRES!$1:$1,0),0)/1000,0)</f>
        <v>306737.27500000002</v>
      </c>
      <c r="E158" s="9">
        <f>IFERROR(VLOOKUP($A158,ANTIGA_DIRECIONADOS!$A:$P,MATCH(APENDICE_BCB!E$3,ANTIGA_DIRECIONADOS!$1:$1,0),0),0)</f>
        <v>417426</v>
      </c>
      <c r="F158" s="9">
        <f>IFERROR(VLOOKUP($A158,ANTIGA_DIRECIONADOS!$A:$P,MATCH(APENDICE_BCB!F$3,ANTIGA_DIRECIONADOS!$1:$1,0),0),0)</f>
        <v>154655</v>
      </c>
      <c r="G158" s="9">
        <f>IFERROR(VLOOKUP($A158,ANTIGA_DIRECIONADOS!$A:$P,MATCH(APENDICE_BCB!G$3,ANTIGA_DIRECIONADOS!$1:$1,0),0),0)</f>
        <v>262771</v>
      </c>
      <c r="H158" s="9">
        <f>IFERROR(VLOOKUP($A158,ATUAL_LIV_E_DIR!$A:$P,MATCH(APENDICE_BCB!H$3,ATUAL_LIV_E_DIR!$1:$1,0),0),0)</f>
        <v>861333</v>
      </c>
      <c r="I158" s="9">
        <f>IFERROR(VLOOKUP($A158,ATUAL_LIV_E_DIR!$A:$P,MATCH(APENDICE_BCB!I$3,ATUAL_LIV_E_DIR!$1:$1,0),0),0)</f>
        <v>429557</v>
      </c>
      <c r="J158" s="9">
        <f>IFERROR(VLOOKUP($A158,ATUAL_LIV_E_DIR!$A:$P,MATCH(APENDICE_BCB!J$3,ATUAL_LIV_E_DIR!$1:$1,0),0),0)</f>
        <v>431775</v>
      </c>
      <c r="K158" s="9">
        <f>IFERROR(VLOOKUP($A158,ATUAL_LIV_E_DIR!$A:$P,MATCH(APENDICE_BCB!K$3,ATUAL_LIV_E_DIR!$1:$1,0),0),0)</f>
        <v>471987</v>
      </c>
      <c r="L158" s="9">
        <f>IFERROR(VLOOKUP($A158,ATUAL_LIV_E_DIR!$A:$P,MATCH(APENDICE_BCB!L$3,ATUAL_LIV_E_DIR!$1:$1,0),0),0)</f>
        <v>156763</v>
      </c>
      <c r="M158" s="9">
        <f>IFERROR(VLOOKUP($A158,ATUAL_LIV_E_DIR!$A:$P,MATCH(APENDICE_BCB!M$3,ATUAL_LIV_E_DIR!$1:$1,0),0),0)</f>
        <v>315223</v>
      </c>
      <c r="O158" s="11">
        <f t="shared" si="33"/>
        <v>1108064.459</v>
      </c>
      <c r="P158" s="11">
        <f t="shared" si="34"/>
        <v>1333320</v>
      </c>
      <c r="Q158" s="11">
        <f t="shared" si="35"/>
        <v>646672.18400000001</v>
      </c>
      <c r="R158" s="11">
        <f t="shared" si="36"/>
        <v>744780</v>
      </c>
      <c r="S158" s="11">
        <f t="shared" si="37"/>
        <v>461392.27500000002</v>
      </c>
      <c r="T158" s="11">
        <f t="shared" si="38"/>
        <v>588538</v>
      </c>
      <c r="V158" s="7">
        <f t="shared" si="39"/>
        <v>0.41639479657744355</v>
      </c>
      <c r="W158">
        <f t="shared" si="40"/>
        <v>0.44140791407914082</v>
      </c>
      <c r="Y158" s="8">
        <f t="shared" si="41"/>
        <v>1.8382431075153249E-2</v>
      </c>
      <c r="Z158" s="8">
        <f t="shared" si="42"/>
        <v>1.5063180701831769E-2</v>
      </c>
      <c r="AE158" s="1">
        <f t="shared" si="31"/>
        <v>40026</v>
      </c>
      <c r="AF158" s="11">
        <f t="shared" si="32"/>
        <v>588538</v>
      </c>
    </row>
    <row r="159" spans="1:32" x14ac:dyDescent="0.25">
      <c r="A159" s="1">
        <v>40057</v>
      </c>
      <c r="B159" s="9">
        <f>IFERROR(VLOOKUP($A159,ANTIGA_LIVRES!$A:$P,MATCH(APENDICE_BCB!B$3,ANTIGA_LIVRES!$1:$1,0),0)/1000,0)</f>
        <v>698592.22199999995</v>
      </c>
      <c r="C159" s="9">
        <f>IFERROR(VLOOKUP($A159,ANTIGA_LIVRES!$A:$P,MATCH(APENDICE_BCB!C$3,ANTIGA_LIVRES!$1:$1,0),0)/1000,0)</f>
        <v>386156.26500000001</v>
      </c>
      <c r="D159" s="9">
        <f>IFERROR(VLOOKUP($A159,ANTIGA_LIVRES!$A:$P,MATCH(APENDICE_BCB!D$3,ANTIGA_LIVRES!$1:$1,0),0)/1000,0)</f>
        <v>312435.95699999999</v>
      </c>
      <c r="E159" s="9">
        <f>IFERROR(VLOOKUP($A159,ANTIGA_DIRECIONADOS!$A:$P,MATCH(APENDICE_BCB!E$3,ANTIGA_DIRECIONADOS!$1:$1,0),0),0)</f>
        <v>426201</v>
      </c>
      <c r="F159" s="9">
        <f>IFERROR(VLOOKUP($A159,ANTIGA_DIRECIONADOS!$A:$P,MATCH(APENDICE_BCB!F$3,ANTIGA_DIRECIONADOS!$1:$1,0),0),0)</f>
        <v>158623</v>
      </c>
      <c r="G159" s="9">
        <f>IFERROR(VLOOKUP($A159,ANTIGA_DIRECIONADOS!$A:$P,MATCH(APENDICE_BCB!G$3,ANTIGA_DIRECIONADOS!$1:$1,0),0),0)</f>
        <v>267578</v>
      </c>
      <c r="H159" s="9">
        <f>IFERROR(VLOOKUP($A159,ATUAL_LIV_E_DIR!$A:$P,MATCH(APENDICE_BCB!H$3,ATUAL_LIV_E_DIR!$1:$1,0),0),0)</f>
        <v>870856</v>
      </c>
      <c r="I159" s="9">
        <f>IFERROR(VLOOKUP($A159,ATUAL_LIV_E_DIR!$A:$P,MATCH(APENDICE_BCB!I$3,ATUAL_LIV_E_DIR!$1:$1,0),0),0)</f>
        <v>431901</v>
      </c>
      <c r="J159" s="9">
        <f>IFERROR(VLOOKUP($A159,ATUAL_LIV_E_DIR!$A:$P,MATCH(APENDICE_BCB!J$3,ATUAL_LIV_E_DIR!$1:$1,0),0),0)</f>
        <v>438957</v>
      </c>
      <c r="K159" s="9">
        <f>IFERROR(VLOOKUP($A159,ATUAL_LIV_E_DIR!$A:$P,MATCH(APENDICE_BCB!K$3,ATUAL_LIV_E_DIR!$1:$1,0),0),0)</f>
        <v>482255</v>
      </c>
      <c r="L159" s="9">
        <f>IFERROR(VLOOKUP($A159,ATUAL_LIV_E_DIR!$A:$P,MATCH(APENDICE_BCB!L$3,ATUAL_LIV_E_DIR!$1:$1,0),0),0)</f>
        <v>161075</v>
      </c>
      <c r="M159" s="9">
        <f>IFERROR(VLOOKUP($A159,ATUAL_LIV_E_DIR!$A:$P,MATCH(APENDICE_BCB!M$3,ATUAL_LIV_E_DIR!$1:$1,0),0),0)</f>
        <v>321180</v>
      </c>
      <c r="O159" s="11">
        <f t="shared" si="33"/>
        <v>1124793.2220000001</v>
      </c>
      <c r="P159" s="11">
        <f t="shared" si="34"/>
        <v>1353111</v>
      </c>
      <c r="Q159" s="11">
        <f t="shared" si="35"/>
        <v>653734.26500000001</v>
      </c>
      <c r="R159" s="11">
        <f t="shared" si="36"/>
        <v>753081</v>
      </c>
      <c r="S159" s="11">
        <f t="shared" si="37"/>
        <v>471058.95699999999</v>
      </c>
      <c r="T159" s="11">
        <f t="shared" si="38"/>
        <v>600032</v>
      </c>
      <c r="V159" s="7">
        <f t="shared" si="39"/>
        <v>0.41879604871943293</v>
      </c>
      <c r="W159">
        <f t="shared" si="40"/>
        <v>0.44344625089885459</v>
      </c>
      <c r="Y159" s="8">
        <f t="shared" si="41"/>
        <v>1.5097283252905047E-2</v>
      </c>
      <c r="Z159" s="8">
        <f t="shared" si="42"/>
        <v>1.4843398433984412E-2</v>
      </c>
      <c r="AE159" s="1">
        <f t="shared" si="31"/>
        <v>40057</v>
      </c>
      <c r="AF159" s="11">
        <f t="shared" si="32"/>
        <v>600032</v>
      </c>
    </row>
    <row r="160" spans="1:32" x14ac:dyDescent="0.25">
      <c r="A160" s="1">
        <v>40087</v>
      </c>
      <c r="B160" s="9">
        <f>IFERROR(VLOOKUP($A160,ANTIGA_LIVRES!$A:$P,MATCH(APENDICE_BCB!B$3,ANTIGA_LIVRES!$1:$1,0),0)/1000,0)</f>
        <v>707994.19900000002</v>
      </c>
      <c r="C160" s="9">
        <f>IFERROR(VLOOKUP($A160,ANTIGA_LIVRES!$A:$P,MATCH(APENDICE_BCB!C$3,ANTIGA_LIVRES!$1:$1,0),0)/1000,0)</f>
        <v>389819.60700000002</v>
      </c>
      <c r="D160" s="9">
        <f>IFERROR(VLOOKUP($A160,ANTIGA_LIVRES!$A:$P,MATCH(APENDICE_BCB!D$3,ANTIGA_LIVRES!$1:$1,0),0)/1000,0)</f>
        <v>318174.592</v>
      </c>
      <c r="E160" s="9">
        <f>IFERROR(VLOOKUP($A160,ANTIGA_DIRECIONADOS!$A:$P,MATCH(APENDICE_BCB!E$3,ANTIGA_DIRECIONADOS!$1:$1,0),0),0)</f>
        <v>435174</v>
      </c>
      <c r="F160" s="9">
        <f>IFERROR(VLOOKUP($A160,ANTIGA_DIRECIONADOS!$A:$P,MATCH(APENDICE_BCB!F$3,ANTIGA_DIRECIONADOS!$1:$1,0),0),0)</f>
        <v>163093</v>
      </c>
      <c r="G160" s="9">
        <f>IFERROR(VLOOKUP($A160,ANTIGA_DIRECIONADOS!$A:$P,MATCH(APENDICE_BCB!G$3,ANTIGA_DIRECIONADOS!$1:$1,0),0),0)</f>
        <v>272081</v>
      </c>
      <c r="H160" s="9">
        <f>IFERROR(VLOOKUP($A160,ATUAL_LIV_E_DIR!$A:$P,MATCH(APENDICE_BCB!H$3,ATUAL_LIV_E_DIR!$1:$1,0),0),0)</f>
        <v>879979</v>
      </c>
      <c r="I160" s="9">
        <f>IFERROR(VLOOKUP($A160,ATUAL_LIV_E_DIR!$A:$P,MATCH(APENDICE_BCB!I$3,ATUAL_LIV_E_DIR!$1:$1,0),0),0)</f>
        <v>435750</v>
      </c>
      <c r="J160" s="9">
        <f>IFERROR(VLOOKUP($A160,ATUAL_LIV_E_DIR!$A:$P,MATCH(APENDICE_BCB!J$3,ATUAL_LIV_E_DIR!$1:$1,0),0),0)</f>
        <v>444230</v>
      </c>
      <c r="K160" s="9">
        <f>IFERROR(VLOOKUP($A160,ATUAL_LIV_E_DIR!$A:$P,MATCH(APENDICE_BCB!K$3,ATUAL_LIV_E_DIR!$1:$1,0),0),0)</f>
        <v>492264</v>
      </c>
      <c r="L160" s="9">
        <f>IFERROR(VLOOKUP($A160,ATUAL_LIV_E_DIR!$A:$P,MATCH(APENDICE_BCB!L$3,ATUAL_LIV_E_DIR!$1:$1,0),0),0)</f>
        <v>164319</v>
      </c>
      <c r="M160" s="9">
        <f>IFERROR(VLOOKUP($A160,ATUAL_LIV_E_DIR!$A:$P,MATCH(APENDICE_BCB!M$3,ATUAL_LIV_E_DIR!$1:$1,0),0),0)</f>
        <v>327944</v>
      </c>
      <c r="O160" s="11">
        <f t="shared" si="33"/>
        <v>1143168.199</v>
      </c>
      <c r="P160" s="11">
        <f t="shared" si="34"/>
        <v>1372243</v>
      </c>
      <c r="Q160" s="11">
        <f t="shared" si="35"/>
        <v>661900.60700000008</v>
      </c>
      <c r="R160" s="11">
        <f t="shared" si="36"/>
        <v>763694</v>
      </c>
      <c r="S160" s="11">
        <f t="shared" si="37"/>
        <v>481267.592</v>
      </c>
      <c r="T160" s="11">
        <f t="shared" si="38"/>
        <v>608549</v>
      </c>
      <c r="V160" s="7">
        <f t="shared" si="39"/>
        <v>0.42099455917422701</v>
      </c>
      <c r="W160">
        <f t="shared" si="40"/>
        <v>0.44347028915432618</v>
      </c>
      <c r="Y160" s="8">
        <f t="shared" si="41"/>
        <v>1.6336315547250013E-2</v>
      </c>
      <c r="Z160" s="8">
        <f t="shared" si="42"/>
        <v>1.4139268692664464E-2</v>
      </c>
      <c r="AE160" s="1">
        <f t="shared" si="31"/>
        <v>40087</v>
      </c>
      <c r="AF160" s="11">
        <f t="shared" si="32"/>
        <v>608549</v>
      </c>
    </row>
    <row r="161" spans="1:32" x14ac:dyDescent="0.25">
      <c r="A161" s="1">
        <v>40118</v>
      </c>
      <c r="B161" s="9">
        <f>IFERROR(VLOOKUP($A161,ANTIGA_LIVRES!$A:$P,MATCH(APENDICE_BCB!B$3,ANTIGA_LIVRES!$1:$1,0),0)/1000,0)</f>
        <v>717589.73400000005</v>
      </c>
      <c r="C161" s="9">
        <f>IFERROR(VLOOKUP($A161,ANTIGA_LIVRES!$A:$P,MATCH(APENDICE_BCB!C$3,ANTIGA_LIVRES!$1:$1,0),0)/1000,0)</f>
        <v>394792.87699999998</v>
      </c>
      <c r="D161" s="9">
        <f>IFERROR(VLOOKUP($A161,ANTIGA_LIVRES!$A:$P,MATCH(APENDICE_BCB!D$3,ANTIGA_LIVRES!$1:$1,0),0)/1000,0)</f>
        <v>322796.85700000002</v>
      </c>
      <c r="E161" s="9">
        <f>IFERROR(VLOOKUP($A161,ANTIGA_DIRECIONADOS!$A:$P,MATCH(APENDICE_BCB!E$3,ANTIGA_DIRECIONADOS!$1:$1,0),0),0)</f>
        <v>442768</v>
      </c>
      <c r="F161" s="9">
        <f>IFERROR(VLOOKUP($A161,ANTIGA_DIRECIONADOS!$A:$P,MATCH(APENDICE_BCB!F$3,ANTIGA_DIRECIONADOS!$1:$1,0),0),0)</f>
        <v>164338</v>
      </c>
      <c r="G161" s="9">
        <f>IFERROR(VLOOKUP($A161,ANTIGA_DIRECIONADOS!$A:$P,MATCH(APENDICE_BCB!G$3,ANTIGA_DIRECIONADOS!$1:$1,0),0),0)</f>
        <v>278430</v>
      </c>
      <c r="H161" s="9">
        <f>IFERROR(VLOOKUP($A161,ATUAL_LIV_E_DIR!$A:$P,MATCH(APENDICE_BCB!H$3,ATUAL_LIV_E_DIR!$1:$1,0),0),0)</f>
        <v>892321</v>
      </c>
      <c r="I161" s="9">
        <f>IFERROR(VLOOKUP($A161,ATUAL_LIV_E_DIR!$A:$P,MATCH(APENDICE_BCB!I$3,ATUAL_LIV_E_DIR!$1:$1,0),0),0)</f>
        <v>442062</v>
      </c>
      <c r="J161" s="9">
        <f>IFERROR(VLOOKUP($A161,ATUAL_LIV_E_DIR!$A:$P,MATCH(APENDICE_BCB!J$3,ATUAL_LIV_E_DIR!$1:$1,0),0),0)</f>
        <v>450259</v>
      </c>
      <c r="K161" s="9">
        <f>IFERROR(VLOOKUP($A161,ATUAL_LIV_E_DIR!$A:$P,MATCH(APENDICE_BCB!K$3,ATUAL_LIV_E_DIR!$1:$1,0),0),0)</f>
        <v>500596</v>
      </c>
      <c r="L161" s="9">
        <f>IFERROR(VLOOKUP($A161,ATUAL_LIV_E_DIR!$A:$P,MATCH(APENDICE_BCB!L$3,ATUAL_LIV_E_DIR!$1:$1,0),0),0)</f>
        <v>165419</v>
      </c>
      <c r="M161" s="9">
        <f>IFERROR(VLOOKUP($A161,ATUAL_LIV_E_DIR!$A:$P,MATCH(APENDICE_BCB!M$3,ATUAL_LIV_E_DIR!$1:$1,0),0),0)</f>
        <v>335177</v>
      </c>
      <c r="O161" s="11">
        <f t="shared" si="33"/>
        <v>1160357.7340000002</v>
      </c>
      <c r="P161" s="11">
        <f t="shared" si="34"/>
        <v>1392917</v>
      </c>
      <c r="Q161" s="11">
        <f t="shared" si="35"/>
        <v>673222.87699999998</v>
      </c>
      <c r="R161" s="11">
        <f t="shared" si="36"/>
        <v>777239</v>
      </c>
      <c r="S161" s="11">
        <f t="shared" si="37"/>
        <v>487134.85700000002</v>
      </c>
      <c r="T161" s="11">
        <f t="shared" si="38"/>
        <v>615678</v>
      </c>
      <c r="V161" s="7">
        <f t="shared" si="39"/>
        <v>0.41981437510718567</v>
      </c>
      <c r="W161">
        <f t="shared" si="40"/>
        <v>0.44200623583458309</v>
      </c>
      <c r="Y161" s="8">
        <f t="shared" si="41"/>
        <v>1.503675051058706E-2</v>
      </c>
      <c r="Z161" s="8">
        <f t="shared" si="42"/>
        <v>1.5065844751986246E-2</v>
      </c>
      <c r="AE161" s="1">
        <f t="shared" si="31"/>
        <v>40118</v>
      </c>
      <c r="AF161" s="11">
        <f t="shared" si="32"/>
        <v>615678</v>
      </c>
    </row>
    <row r="162" spans="1:32" x14ac:dyDescent="0.25">
      <c r="A162" s="1">
        <v>40148</v>
      </c>
      <c r="B162" s="9">
        <f>IFERROR(VLOOKUP($A162,ANTIGA_LIVRES!$A:$P,MATCH(APENDICE_BCB!B$3,ANTIGA_LIVRES!$1:$1,0),0)/1000,0)</f>
        <v>721552.07900000003</v>
      </c>
      <c r="C162" s="9">
        <f>IFERROR(VLOOKUP($A162,ANTIGA_LIVRES!$A:$P,MATCH(APENDICE_BCB!C$3,ANTIGA_LIVRES!$1:$1,0),0)/1000,0)</f>
        <v>397770.56099999999</v>
      </c>
      <c r="D162" s="9">
        <f>IFERROR(VLOOKUP($A162,ANTIGA_LIVRES!$A:$P,MATCH(APENDICE_BCB!D$3,ANTIGA_LIVRES!$1:$1,0),0)/1000,0)</f>
        <v>323781.51799999998</v>
      </c>
      <c r="E162" s="9">
        <f>IFERROR(VLOOKUP($A162,ANTIGA_DIRECIONADOS!$A:$P,MATCH(APENDICE_BCB!E$3,ANTIGA_DIRECIONADOS!$1:$1,0),0),0)</f>
        <v>459781</v>
      </c>
      <c r="F162" s="9">
        <f>IFERROR(VLOOKUP($A162,ANTIGA_DIRECIONADOS!$A:$P,MATCH(APENDICE_BCB!F$3,ANTIGA_DIRECIONADOS!$1:$1,0),0),0)</f>
        <v>166076</v>
      </c>
      <c r="G162" s="9">
        <f>IFERROR(VLOOKUP($A162,ANTIGA_DIRECIONADOS!$A:$P,MATCH(APENDICE_BCB!G$3,ANTIGA_DIRECIONADOS!$1:$1,0),0),0)</f>
        <v>293704</v>
      </c>
      <c r="H162" s="9">
        <f>IFERROR(VLOOKUP($A162,ATUAL_LIV_E_DIR!$A:$P,MATCH(APENDICE_BCB!H$3,ATUAL_LIV_E_DIR!$1:$1,0),0),0)</f>
        <v>902959</v>
      </c>
      <c r="I162" s="9">
        <f>IFERROR(VLOOKUP($A162,ATUAL_LIV_E_DIR!$A:$P,MATCH(APENDICE_BCB!I$3,ATUAL_LIV_E_DIR!$1:$1,0),0),0)</f>
        <v>444271</v>
      </c>
      <c r="J162" s="9">
        <f>IFERROR(VLOOKUP($A162,ATUAL_LIV_E_DIR!$A:$P,MATCH(APENDICE_BCB!J$3,ATUAL_LIV_E_DIR!$1:$1,0),0),0)</f>
        <v>458687</v>
      </c>
      <c r="K162" s="9">
        <f>IFERROR(VLOOKUP($A162,ATUAL_LIV_E_DIR!$A:$P,MATCH(APENDICE_BCB!K$3,ATUAL_LIV_E_DIR!$1:$1,0),0),0)</f>
        <v>517557</v>
      </c>
      <c r="L162" s="9">
        <f>IFERROR(VLOOKUP($A162,ATUAL_LIV_E_DIR!$A:$P,MATCH(APENDICE_BCB!L$3,ATUAL_LIV_E_DIR!$1:$1,0),0),0)</f>
        <v>167868</v>
      </c>
      <c r="M162" s="9">
        <f>IFERROR(VLOOKUP($A162,ATUAL_LIV_E_DIR!$A:$P,MATCH(APENDICE_BCB!M$3,ATUAL_LIV_E_DIR!$1:$1,0),0),0)</f>
        <v>349688</v>
      </c>
      <c r="O162" s="11">
        <f t="shared" si="33"/>
        <v>1181333.0789999999</v>
      </c>
      <c r="P162" s="11">
        <f t="shared" si="34"/>
        <v>1420516</v>
      </c>
      <c r="Q162" s="11">
        <f t="shared" si="35"/>
        <v>691474.56099999999</v>
      </c>
      <c r="R162" s="11">
        <f t="shared" si="36"/>
        <v>793959</v>
      </c>
      <c r="S162" s="11">
        <f t="shared" si="37"/>
        <v>489857.51799999998</v>
      </c>
      <c r="T162" s="11">
        <f t="shared" si="38"/>
        <v>626555</v>
      </c>
      <c r="V162" s="7">
        <f t="shared" si="39"/>
        <v>0.41466503114825587</v>
      </c>
      <c r="W162">
        <f t="shared" si="40"/>
        <v>0.4410756373036277</v>
      </c>
      <c r="Y162" s="8">
        <f t="shared" si="41"/>
        <v>1.8076619291960361E-2</v>
      </c>
      <c r="Z162" s="8">
        <f t="shared" si="42"/>
        <v>1.9813815180660388E-2</v>
      </c>
      <c r="AE162" s="1">
        <f t="shared" si="31"/>
        <v>40148</v>
      </c>
      <c r="AF162" s="11">
        <f t="shared" si="32"/>
        <v>626555</v>
      </c>
    </row>
    <row r="163" spans="1:32" x14ac:dyDescent="0.25">
      <c r="A163" s="1">
        <v>40179</v>
      </c>
      <c r="B163" s="9">
        <f>IFERROR(VLOOKUP($A163,ANTIGA_LIVRES!$A:$P,MATCH(APENDICE_BCB!B$3,ANTIGA_LIVRES!$1:$1,0),0)/1000,0)</f>
        <v>726711.94499999995</v>
      </c>
      <c r="C163" s="9">
        <f>IFERROR(VLOOKUP($A163,ANTIGA_LIVRES!$A:$P,MATCH(APENDICE_BCB!C$3,ANTIGA_LIVRES!$1:$1,0),0)/1000,0)</f>
        <v>396886.60499999998</v>
      </c>
      <c r="D163" s="9">
        <f>IFERROR(VLOOKUP($A163,ANTIGA_LIVRES!$A:$P,MATCH(APENDICE_BCB!D$3,ANTIGA_LIVRES!$1:$1,0),0)/1000,0)</f>
        <v>329825.34000000003</v>
      </c>
      <c r="E163" s="9">
        <f>IFERROR(VLOOKUP($A163,ANTIGA_DIRECIONADOS!$A:$P,MATCH(APENDICE_BCB!E$3,ANTIGA_DIRECIONADOS!$1:$1,0),0),0)</f>
        <v>468531</v>
      </c>
      <c r="F163" s="9">
        <f>IFERROR(VLOOKUP($A163,ANTIGA_DIRECIONADOS!$A:$P,MATCH(APENDICE_BCB!F$3,ANTIGA_DIRECIONADOS!$1:$1,0),0),0)</f>
        <v>169463</v>
      </c>
      <c r="G163" s="9">
        <f>IFERROR(VLOOKUP($A163,ANTIGA_DIRECIONADOS!$A:$P,MATCH(APENDICE_BCB!G$3,ANTIGA_DIRECIONADOS!$1:$1,0),0),0)</f>
        <v>299068</v>
      </c>
      <c r="H163" s="9">
        <f>IFERROR(VLOOKUP($A163,ATUAL_LIV_E_DIR!$A:$P,MATCH(APENDICE_BCB!H$3,ATUAL_LIV_E_DIR!$1:$1,0),0),0)</f>
        <v>904156</v>
      </c>
      <c r="I163" s="9">
        <f>IFERROR(VLOOKUP($A163,ATUAL_LIV_E_DIR!$A:$P,MATCH(APENDICE_BCB!I$3,ATUAL_LIV_E_DIR!$1:$1,0),0),0)</f>
        <v>441652</v>
      </c>
      <c r="J163" s="9">
        <f>IFERROR(VLOOKUP($A163,ATUAL_LIV_E_DIR!$A:$P,MATCH(APENDICE_BCB!J$3,ATUAL_LIV_E_DIR!$1:$1,0),0),0)</f>
        <v>462504</v>
      </c>
      <c r="K163" s="9">
        <f>IFERROR(VLOOKUP($A163,ATUAL_LIV_E_DIR!$A:$P,MATCH(APENDICE_BCB!K$3,ATUAL_LIV_E_DIR!$1:$1,0),0),0)</f>
        <v>526393</v>
      </c>
      <c r="L163" s="9">
        <f>IFERROR(VLOOKUP($A163,ATUAL_LIV_E_DIR!$A:$P,MATCH(APENDICE_BCB!L$3,ATUAL_LIV_E_DIR!$1:$1,0),0),0)</f>
        <v>173456</v>
      </c>
      <c r="M163" s="9">
        <f>IFERROR(VLOOKUP($A163,ATUAL_LIV_E_DIR!$A:$P,MATCH(APENDICE_BCB!M$3,ATUAL_LIV_E_DIR!$1:$1,0),0),0)</f>
        <v>352937</v>
      </c>
      <c r="O163" s="11">
        <f t="shared" si="33"/>
        <v>1195242.9449999998</v>
      </c>
      <c r="P163" s="11">
        <f t="shared" si="34"/>
        <v>1430549</v>
      </c>
      <c r="Q163" s="11">
        <f t="shared" si="35"/>
        <v>695954.60499999998</v>
      </c>
      <c r="R163" s="11">
        <f t="shared" si="36"/>
        <v>794589</v>
      </c>
      <c r="S163" s="11">
        <f t="shared" si="37"/>
        <v>499288.34</v>
      </c>
      <c r="T163" s="11">
        <f t="shared" si="38"/>
        <v>635960</v>
      </c>
      <c r="V163" s="7">
        <f t="shared" si="39"/>
        <v>0.41772958551116995</v>
      </c>
      <c r="W163">
        <f t="shared" si="40"/>
        <v>0.44455660029820721</v>
      </c>
      <c r="Y163" s="8">
        <f t="shared" si="41"/>
        <v>1.1774719803643086E-2</v>
      </c>
      <c r="Z163" s="8">
        <f t="shared" si="42"/>
        <v>7.0629264295509753E-3</v>
      </c>
      <c r="AE163" s="1">
        <f t="shared" si="31"/>
        <v>40179</v>
      </c>
      <c r="AF163" s="11">
        <f t="shared" si="32"/>
        <v>635960</v>
      </c>
    </row>
    <row r="164" spans="1:32" x14ac:dyDescent="0.25">
      <c r="A164" s="1">
        <v>40210</v>
      </c>
      <c r="B164" s="9">
        <f>IFERROR(VLOOKUP($A164,ANTIGA_LIVRES!$A:$P,MATCH(APENDICE_BCB!B$3,ANTIGA_LIVRES!$1:$1,0),0)/1000,0)</f>
        <v>738234.397</v>
      </c>
      <c r="C164" s="9">
        <f>IFERROR(VLOOKUP($A164,ANTIGA_LIVRES!$A:$P,MATCH(APENDICE_BCB!C$3,ANTIGA_LIVRES!$1:$1,0),0)/1000,0)</f>
        <v>402124.41100000002</v>
      </c>
      <c r="D164" s="9">
        <f>IFERROR(VLOOKUP($A164,ANTIGA_LIVRES!$A:$P,MATCH(APENDICE_BCB!D$3,ANTIGA_LIVRES!$1:$1,0),0)/1000,0)</f>
        <v>336109.98599999998</v>
      </c>
      <c r="E164" s="9">
        <f>IFERROR(VLOOKUP($A164,ANTIGA_DIRECIONADOS!$A:$P,MATCH(APENDICE_BCB!E$3,ANTIGA_DIRECIONADOS!$1:$1,0),0),0)</f>
        <v>472696</v>
      </c>
      <c r="F164" s="9">
        <f>IFERROR(VLOOKUP($A164,ANTIGA_DIRECIONADOS!$A:$P,MATCH(APENDICE_BCB!F$3,ANTIGA_DIRECIONADOS!$1:$1,0),0),0)</f>
        <v>172280</v>
      </c>
      <c r="G164" s="9">
        <f>IFERROR(VLOOKUP($A164,ANTIGA_DIRECIONADOS!$A:$P,MATCH(APENDICE_BCB!G$3,ANTIGA_DIRECIONADOS!$1:$1,0),0),0)</f>
        <v>300417</v>
      </c>
      <c r="H164" s="9">
        <f>IFERROR(VLOOKUP($A164,ATUAL_LIV_E_DIR!$A:$P,MATCH(APENDICE_BCB!H$3,ATUAL_LIV_E_DIR!$1:$1,0),0),0)</f>
        <v>912036</v>
      </c>
      <c r="I164" s="9">
        <f>IFERROR(VLOOKUP($A164,ATUAL_LIV_E_DIR!$A:$P,MATCH(APENDICE_BCB!I$3,ATUAL_LIV_E_DIR!$1:$1,0),0),0)</f>
        <v>446465</v>
      </c>
      <c r="J164" s="9">
        <f>IFERROR(VLOOKUP($A164,ATUAL_LIV_E_DIR!$A:$P,MATCH(APENDICE_BCB!J$3,ATUAL_LIV_E_DIR!$1:$1,0),0),0)</f>
        <v>465571</v>
      </c>
      <c r="K164" s="9">
        <f>IFERROR(VLOOKUP($A164,ATUAL_LIV_E_DIR!$A:$P,MATCH(APENDICE_BCB!K$3,ATUAL_LIV_E_DIR!$1:$1,0),0),0)</f>
        <v>529483</v>
      </c>
      <c r="L164" s="9">
        <f>IFERROR(VLOOKUP($A164,ATUAL_LIV_E_DIR!$A:$P,MATCH(APENDICE_BCB!L$3,ATUAL_LIV_E_DIR!$1:$1,0),0),0)</f>
        <v>176629</v>
      </c>
      <c r="M164" s="9">
        <f>IFERROR(VLOOKUP($A164,ATUAL_LIV_E_DIR!$A:$P,MATCH(APENDICE_BCB!M$3,ATUAL_LIV_E_DIR!$1:$1,0),0),0)</f>
        <v>352855</v>
      </c>
      <c r="O164" s="11">
        <f t="shared" si="33"/>
        <v>1210930.3969999999</v>
      </c>
      <c r="P164" s="11">
        <f t="shared" si="34"/>
        <v>1441519</v>
      </c>
      <c r="Q164" s="11">
        <f t="shared" si="35"/>
        <v>702541.41100000008</v>
      </c>
      <c r="R164" s="11">
        <f t="shared" si="36"/>
        <v>799320</v>
      </c>
      <c r="S164" s="11">
        <f t="shared" si="37"/>
        <v>508389.98599999998</v>
      </c>
      <c r="T164" s="11">
        <f t="shared" si="38"/>
        <v>642200</v>
      </c>
      <c r="V164" s="7">
        <f t="shared" si="39"/>
        <v>0.41983419299697372</v>
      </c>
      <c r="W164">
        <f t="shared" si="40"/>
        <v>0.44550227919299018</v>
      </c>
      <c r="Y164" s="8">
        <f t="shared" si="41"/>
        <v>1.3124906585413987E-2</v>
      </c>
      <c r="Z164" s="8">
        <f t="shared" si="42"/>
        <v>7.6683846551219847E-3</v>
      </c>
      <c r="AE164" s="1">
        <f t="shared" si="31"/>
        <v>40210</v>
      </c>
      <c r="AF164" s="11">
        <f t="shared" si="32"/>
        <v>642200</v>
      </c>
    </row>
    <row r="165" spans="1:32" x14ac:dyDescent="0.25">
      <c r="A165" s="1">
        <v>40238</v>
      </c>
      <c r="B165" s="9">
        <f>IFERROR(VLOOKUP($A165,ANTIGA_LIVRES!$A:$P,MATCH(APENDICE_BCB!B$3,ANTIGA_LIVRES!$1:$1,0),0)/1000,0)</f>
        <v>747978.84900000005</v>
      </c>
      <c r="C165" s="9">
        <f>IFERROR(VLOOKUP($A165,ANTIGA_LIVRES!$A:$P,MATCH(APENDICE_BCB!C$3,ANTIGA_LIVRES!$1:$1,0),0)/1000,0)</f>
        <v>403476.66700000002</v>
      </c>
      <c r="D165" s="9">
        <f>IFERROR(VLOOKUP($A165,ANTIGA_LIVRES!$A:$P,MATCH(APENDICE_BCB!D$3,ANTIGA_LIVRES!$1:$1,0),0)/1000,0)</f>
        <v>344502.18199999997</v>
      </c>
      <c r="E165" s="9">
        <f>IFERROR(VLOOKUP($A165,ANTIGA_DIRECIONADOS!$A:$P,MATCH(APENDICE_BCB!E$3,ANTIGA_DIRECIONADOS!$1:$1,0),0),0)</f>
        <v>482327</v>
      </c>
      <c r="F165" s="9">
        <f>IFERROR(VLOOKUP($A165,ANTIGA_DIRECIONADOS!$A:$P,MATCH(APENDICE_BCB!F$3,ANTIGA_DIRECIONADOS!$1:$1,0),0),0)</f>
        <v>176868</v>
      </c>
      <c r="G165" s="9">
        <f>IFERROR(VLOOKUP($A165,ANTIGA_DIRECIONADOS!$A:$P,MATCH(APENDICE_BCB!G$3,ANTIGA_DIRECIONADOS!$1:$1,0),0),0)</f>
        <v>305459</v>
      </c>
      <c r="H165" s="9">
        <f>IFERROR(VLOOKUP($A165,ATUAL_LIV_E_DIR!$A:$P,MATCH(APENDICE_BCB!H$3,ATUAL_LIV_E_DIR!$1:$1,0),0),0)</f>
        <v>922991</v>
      </c>
      <c r="I165" s="9">
        <f>IFERROR(VLOOKUP($A165,ATUAL_LIV_E_DIR!$A:$P,MATCH(APENDICE_BCB!I$3,ATUAL_LIV_E_DIR!$1:$1,0),0),0)</f>
        <v>449413</v>
      </c>
      <c r="J165" s="9">
        <f>IFERROR(VLOOKUP($A165,ATUAL_LIV_E_DIR!$A:$P,MATCH(APENDICE_BCB!J$3,ATUAL_LIV_E_DIR!$1:$1,0),0),0)</f>
        <v>473579</v>
      </c>
      <c r="K165" s="9">
        <f>IFERROR(VLOOKUP($A165,ATUAL_LIV_E_DIR!$A:$P,MATCH(APENDICE_BCB!K$3,ATUAL_LIV_E_DIR!$1:$1,0),0),0)</f>
        <v>535100</v>
      </c>
      <c r="L165" s="9">
        <f>IFERROR(VLOOKUP($A165,ATUAL_LIV_E_DIR!$A:$P,MATCH(APENDICE_BCB!L$3,ATUAL_LIV_E_DIR!$1:$1,0),0),0)</f>
        <v>180591</v>
      </c>
      <c r="M165" s="9">
        <f>IFERROR(VLOOKUP($A165,ATUAL_LIV_E_DIR!$A:$P,MATCH(APENDICE_BCB!M$3,ATUAL_LIV_E_DIR!$1:$1,0),0),0)</f>
        <v>354509</v>
      </c>
      <c r="O165" s="11">
        <f t="shared" si="33"/>
        <v>1230305.8489999999</v>
      </c>
      <c r="P165" s="11">
        <f t="shared" si="34"/>
        <v>1458091</v>
      </c>
      <c r="Q165" s="11">
        <f t="shared" si="35"/>
        <v>708935.66700000002</v>
      </c>
      <c r="R165" s="11">
        <f t="shared" si="36"/>
        <v>803922</v>
      </c>
      <c r="S165" s="11">
        <f t="shared" si="37"/>
        <v>521370.18199999997</v>
      </c>
      <c r="T165" s="11">
        <f t="shared" si="38"/>
        <v>654170</v>
      </c>
      <c r="V165" s="7">
        <f t="shared" si="39"/>
        <v>0.42377282236264491</v>
      </c>
      <c r="W165">
        <f t="shared" si="40"/>
        <v>0.44864826680913605</v>
      </c>
      <c r="Y165" s="8">
        <f t="shared" si="41"/>
        <v>1.6000467118507666E-2</v>
      </c>
      <c r="Z165" s="8">
        <f t="shared" si="42"/>
        <v>1.1496206432242584E-2</v>
      </c>
      <c r="AE165" s="1">
        <f t="shared" si="31"/>
        <v>40238</v>
      </c>
      <c r="AF165" s="11">
        <f t="shared" si="32"/>
        <v>654170</v>
      </c>
    </row>
    <row r="166" spans="1:32" x14ac:dyDescent="0.25">
      <c r="A166" s="1">
        <v>40269</v>
      </c>
      <c r="B166" s="9">
        <f>IFERROR(VLOOKUP($A166,ANTIGA_LIVRES!$A:$P,MATCH(APENDICE_BCB!B$3,ANTIGA_LIVRES!$1:$1,0),0)/1000,0)</f>
        <v>758529.69200000004</v>
      </c>
      <c r="C166" s="9">
        <f>IFERROR(VLOOKUP($A166,ANTIGA_LIVRES!$A:$P,MATCH(APENDICE_BCB!C$3,ANTIGA_LIVRES!$1:$1,0),0)/1000,0)</f>
        <v>405791.734</v>
      </c>
      <c r="D166" s="9">
        <f>IFERROR(VLOOKUP($A166,ANTIGA_LIVRES!$A:$P,MATCH(APENDICE_BCB!D$3,ANTIGA_LIVRES!$1:$1,0),0)/1000,0)</f>
        <v>352737.95799999998</v>
      </c>
      <c r="E166" s="9">
        <f>IFERROR(VLOOKUP($A166,ANTIGA_DIRECIONADOS!$A:$P,MATCH(APENDICE_BCB!E$3,ANTIGA_DIRECIONADOS!$1:$1,0),0),0)</f>
        <v>486760</v>
      </c>
      <c r="F166" s="9">
        <f>IFERROR(VLOOKUP($A166,ANTIGA_DIRECIONADOS!$A:$P,MATCH(APENDICE_BCB!F$3,ANTIGA_DIRECIONADOS!$1:$1,0),0),0)</f>
        <v>179828</v>
      </c>
      <c r="G166" s="9">
        <f>IFERROR(VLOOKUP($A166,ANTIGA_DIRECIONADOS!$A:$P,MATCH(APENDICE_BCB!G$3,ANTIGA_DIRECIONADOS!$1:$1,0),0),0)</f>
        <v>306932</v>
      </c>
      <c r="H166" s="9">
        <f>IFERROR(VLOOKUP($A166,ATUAL_LIV_E_DIR!$A:$P,MATCH(APENDICE_BCB!H$3,ATUAL_LIV_E_DIR!$1:$1,0),0),0)</f>
        <v>931127</v>
      </c>
      <c r="I166" s="9">
        <f>IFERROR(VLOOKUP($A166,ATUAL_LIV_E_DIR!$A:$P,MATCH(APENDICE_BCB!I$3,ATUAL_LIV_E_DIR!$1:$1,0),0),0)</f>
        <v>451701</v>
      </c>
      <c r="J166" s="9">
        <f>IFERROR(VLOOKUP($A166,ATUAL_LIV_E_DIR!$A:$P,MATCH(APENDICE_BCB!J$3,ATUAL_LIV_E_DIR!$1:$1,0),0),0)</f>
        <v>479427</v>
      </c>
      <c r="K166" s="9">
        <f>IFERROR(VLOOKUP($A166,ATUAL_LIV_E_DIR!$A:$P,MATCH(APENDICE_BCB!K$3,ATUAL_LIV_E_DIR!$1:$1,0),0),0)</f>
        <v>543183</v>
      </c>
      <c r="L166" s="9">
        <f>IFERROR(VLOOKUP($A166,ATUAL_LIV_E_DIR!$A:$P,MATCH(APENDICE_BCB!L$3,ATUAL_LIV_E_DIR!$1:$1,0),0),0)</f>
        <v>184622</v>
      </c>
      <c r="M166" s="9">
        <f>IFERROR(VLOOKUP($A166,ATUAL_LIV_E_DIR!$A:$P,MATCH(APENDICE_BCB!M$3,ATUAL_LIV_E_DIR!$1:$1,0),0),0)</f>
        <v>358560</v>
      </c>
      <c r="O166" s="11">
        <f t="shared" si="33"/>
        <v>1245289.692</v>
      </c>
      <c r="P166" s="11">
        <f t="shared" si="34"/>
        <v>1474310</v>
      </c>
      <c r="Q166" s="11">
        <f t="shared" si="35"/>
        <v>712723.73399999994</v>
      </c>
      <c r="R166" s="11">
        <f t="shared" si="36"/>
        <v>810261</v>
      </c>
      <c r="S166" s="11">
        <f t="shared" si="37"/>
        <v>532565.95799999998</v>
      </c>
      <c r="T166" s="11">
        <f t="shared" si="38"/>
        <v>664049</v>
      </c>
      <c r="V166" s="7">
        <f t="shared" si="39"/>
        <v>0.42766431089995721</v>
      </c>
      <c r="W166">
        <f t="shared" si="40"/>
        <v>0.45041341373252575</v>
      </c>
      <c r="Y166" s="8">
        <f t="shared" si="41"/>
        <v>1.2178957786943112E-2</v>
      </c>
      <c r="Z166" s="8">
        <f t="shared" si="42"/>
        <v>1.1123448399311231E-2</v>
      </c>
      <c r="AE166" s="1">
        <f t="shared" si="31"/>
        <v>40269</v>
      </c>
      <c r="AF166" s="11">
        <f t="shared" si="32"/>
        <v>664049</v>
      </c>
    </row>
    <row r="167" spans="1:32" x14ac:dyDescent="0.25">
      <c r="A167" s="1">
        <v>40299</v>
      </c>
      <c r="B167" s="9">
        <f>IFERROR(VLOOKUP($A167,ANTIGA_LIVRES!$A:$P,MATCH(APENDICE_BCB!B$3,ANTIGA_LIVRES!$1:$1,0),0)/1000,0)</f>
        <v>775409.39300000004</v>
      </c>
      <c r="C167" s="9">
        <f>IFERROR(VLOOKUP($A167,ANTIGA_LIVRES!$A:$P,MATCH(APENDICE_BCB!C$3,ANTIGA_LIVRES!$1:$1,0),0)/1000,0)</f>
        <v>413822.63400000002</v>
      </c>
      <c r="D167" s="9">
        <f>IFERROR(VLOOKUP($A167,ANTIGA_LIVRES!$A:$P,MATCH(APENDICE_BCB!D$3,ANTIGA_LIVRES!$1:$1,0),0)/1000,0)</f>
        <v>361586.75900000002</v>
      </c>
      <c r="E167" s="9">
        <f>IFERROR(VLOOKUP($A167,ANTIGA_DIRECIONADOS!$A:$P,MATCH(APENDICE_BCB!E$3,ANTIGA_DIRECIONADOS!$1:$1,0),0),0)</f>
        <v>499522</v>
      </c>
      <c r="F167" s="9">
        <f>IFERROR(VLOOKUP($A167,ANTIGA_DIRECIONADOS!$A:$P,MATCH(APENDICE_BCB!F$3,ANTIGA_DIRECIONADOS!$1:$1,0),0),0)</f>
        <v>184103</v>
      </c>
      <c r="G167" s="9">
        <f>IFERROR(VLOOKUP($A167,ANTIGA_DIRECIONADOS!$A:$P,MATCH(APENDICE_BCB!G$3,ANTIGA_DIRECIONADOS!$1:$1,0),0),0)</f>
        <v>315420</v>
      </c>
      <c r="H167" s="9">
        <f>IFERROR(VLOOKUP($A167,ATUAL_LIV_E_DIR!$A:$P,MATCH(APENDICE_BCB!H$3,ATUAL_LIV_E_DIR!$1:$1,0),0),0)</f>
        <v>946955</v>
      </c>
      <c r="I167" s="9">
        <f>IFERROR(VLOOKUP($A167,ATUAL_LIV_E_DIR!$A:$P,MATCH(APENDICE_BCB!I$3,ATUAL_LIV_E_DIR!$1:$1,0),0),0)</f>
        <v>457899</v>
      </c>
      <c r="J167" s="9">
        <f>IFERROR(VLOOKUP($A167,ATUAL_LIV_E_DIR!$A:$P,MATCH(APENDICE_BCB!J$3,ATUAL_LIV_E_DIR!$1:$1,0),0),0)</f>
        <v>489056</v>
      </c>
      <c r="K167" s="9">
        <f>IFERROR(VLOOKUP($A167,ATUAL_LIV_E_DIR!$A:$P,MATCH(APENDICE_BCB!K$3,ATUAL_LIV_E_DIR!$1:$1,0),0),0)</f>
        <v>558562</v>
      </c>
      <c r="L167" s="9">
        <f>IFERROR(VLOOKUP($A167,ATUAL_LIV_E_DIR!$A:$P,MATCH(APENDICE_BCB!L$3,ATUAL_LIV_E_DIR!$1:$1,0),0),0)</f>
        <v>188760</v>
      </c>
      <c r="M167" s="9">
        <f>IFERROR(VLOOKUP($A167,ATUAL_LIV_E_DIR!$A:$P,MATCH(APENDICE_BCB!M$3,ATUAL_LIV_E_DIR!$1:$1,0),0),0)</f>
        <v>369804</v>
      </c>
      <c r="O167" s="11">
        <f t="shared" si="33"/>
        <v>1274931.3930000002</v>
      </c>
      <c r="P167" s="11">
        <f t="shared" si="34"/>
        <v>1505517</v>
      </c>
      <c r="Q167" s="11">
        <f t="shared" si="35"/>
        <v>729242.63400000008</v>
      </c>
      <c r="R167" s="11">
        <f t="shared" si="36"/>
        <v>827703</v>
      </c>
      <c r="S167" s="11">
        <f t="shared" si="37"/>
        <v>545689.75900000008</v>
      </c>
      <c r="T167" s="11">
        <f t="shared" si="38"/>
        <v>677816</v>
      </c>
      <c r="V167" s="7">
        <f t="shared" si="39"/>
        <v>0.42801499907846413</v>
      </c>
      <c r="W167">
        <f t="shared" si="40"/>
        <v>0.45022141895441897</v>
      </c>
      <c r="Y167" s="8">
        <f t="shared" si="41"/>
        <v>2.3803056582275328E-2</v>
      </c>
      <c r="Z167" s="8">
        <f t="shared" si="42"/>
        <v>2.1167190075357389E-2</v>
      </c>
      <c r="AE167" s="1">
        <f t="shared" si="31"/>
        <v>40299</v>
      </c>
      <c r="AF167" s="11">
        <f t="shared" si="32"/>
        <v>677816</v>
      </c>
    </row>
    <row r="168" spans="1:32" x14ac:dyDescent="0.25">
      <c r="A168" s="1">
        <v>40330</v>
      </c>
      <c r="B168" s="9">
        <f>IFERROR(VLOOKUP($A168,ANTIGA_LIVRES!$A:$P,MATCH(APENDICE_BCB!B$3,ANTIGA_LIVRES!$1:$1,0),0)/1000,0)</f>
        <v>792859.89899999998</v>
      </c>
      <c r="C168" s="9">
        <f>IFERROR(VLOOKUP($A168,ANTIGA_LIVRES!$A:$P,MATCH(APENDICE_BCB!C$3,ANTIGA_LIVRES!$1:$1,0),0)/1000,0)</f>
        <v>424505.50099999999</v>
      </c>
      <c r="D168" s="9">
        <f>IFERROR(VLOOKUP($A168,ANTIGA_LIVRES!$A:$P,MATCH(APENDICE_BCB!D$3,ANTIGA_LIVRES!$1:$1,0),0)/1000,0)</f>
        <v>368354.39799999999</v>
      </c>
      <c r="E168" s="9">
        <f>IFERROR(VLOOKUP($A168,ANTIGA_DIRECIONADOS!$A:$P,MATCH(APENDICE_BCB!E$3,ANTIGA_DIRECIONADOS!$1:$1,0),0),0)</f>
        <v>512795</v>
      </c>
      <c r="F168" s="9">
        <f>IFERROR(VLOOKUP($A168,ANTIGA_DIRECIONADOS!$A:$P,MATCH(APENDICE_BCB!F$3,ANTIGA_DIRECIONADOS!$1:$1,0),0),0)</f>
        <v>186393</v>
      </c>
      <c r="G168" s="9">
        <f>IFERROR(VLOOKUP($A168,ANTIGA_DIRECIONADOS!$A:$P,MATCH(APENDICE_BCB!G$3,ANTIGA_DIRECIONADOS!$1:$1,0),0),0)</f>
        <v>326402</v>
      </c>
      <c r="H168" s="9">
        <f>IFERROR(VLOOKUP($A168,ATUAL_LIV_E_DIR!$A:$P,MATCH(APENDICE_BCB!H$3,ATUAL_LIV_E_DIR!$1:$1,0),0),0)</f>
        <v>961569</v>
      </c>
      <c r="I168" s="9">
        <f>IFERROR(VLOOKUP($A168,ATUAL_LIV_E_DIR!$A:$P,MATCH(APENDICE_BCB!I$3,ATUAL_LIV_E_DIR!$1:$1,0),0),0)</f>
        <v>467882</v>
      </c>
      <c r="J168" s="9">
        <f>IFERROR(VLOOKUP($A168,ATUAL_LIV_E_DIR!$A:$P,MATCH(APENDICE_BCB!J$3,ATUAL_LIV_E_DIR!$1:$1,0),0),0)</f>
        <v>493687</v>
      </c>
      <c r="K168" s="9">
        <f>IFERROR(VLOOKUP($A168,ATUAL_LIV_E_DIR!$A:$P,MATCH(APENDICE_BCB!K$3,ATUAL_LIV_E_DIR!$1:$1,0),0),0)</f>
        <v>574855</v>
      </c>
      <c r="L168" s="9">
        <f>IFERROR(VLOOKUP($A168,ATUAL_LIV_E_DIR!$A:$P,MATCH(APENDICE_BCB!L$3,ATUAL_LIV_E_DIR!$1:$1,0),0),0)</f>
        <v>191995</v>
      </c>
      <c r="M168" s="9">
        <f>IFERROR(VLOOKUP($A168,ATUAL_LIV_E_DIR!$A:$P,MATCH(APENDICE_BCB!M$3,ATUAL_LIV_E_DIR!$1:$1,0),0),0)</f>
        <v>382860</v>
      </c>
      <c r="O168" s="11">
        <f t="shared" si="33"/>
        <v>1305654.899</v>
      </c>
      <c r="P168" s="11">
        <f t="shared" si="34"/>
        <v>1536424</v>
      </c>
      <c r="Q168" s="11">
        <f t="shared" si="35"/>
        <v>750907.50099999993</v>
      </c>
      <c r="R168" s="11">
        <f t="shared" si="36"/>
        <v>850742</v>
      </c>
      <c r="S168" s="11">
        <f t="shared" si="37"/>
        <v>554747.39800000004</v>
      </c>
      <c r="T168" s="11">
        <f t="shared" si="38"/>
        <v>685682</v>
      </c>
      <c r="V168" s="7">
        <f t="shared" si="39"/>
        <v>0.42488057022179493</v>
      </c>
      <c r="W168">
        <f t="shared" si="40"/>
        <v>0.4462843590050663</v>
      </c>
      <c r="Y168" s="8">
        <f t="shared" si="41"/>
        <v>2.4098164159018332E-2</v>
      </c>
      <c r="Z168" s="8">
        <f t="shared" si="42"/>
        <v>2.0529160414661574E-2</v>
      </c>
      <c r="AE168" s="1">
        <f t="shared" si="31"/>
        <v>40330</v>
      </c>
      <c r="AF168" s="11">
        <f t="shared" si="32"/>
        <v>685682</v>
      </c>
    </row>
    <row r="169" spans="1:32" x14ac:dyDescent="0.25">
      <c r="A169" s="1">
        <v>40360</v>
      </c>
      <c r="B169" s="9">
        <f>IFERROR(VLOOKUP($A169,ANTIGA_LIVRES!$A:$P,MATCH(APENDICE_BCB!B$3,ANTIGA_LIVRES!$1:$1,0),0)/1000,0)</f>
        <v>801631.50399999996</v>
      </c>
      <c r="C169" s="9">
        <f>IFERROR(VLOOKUP($A169,ANTIGA_LIVRES!$A:$P,MATCH(APENDICE_BCB!C$3,ANTIGA_LIVRES!$1:$1,0),0)/1000,0)</f>
        <v>425072.152</v>
      </c>
      <c r="D169" s="9">
        <f>IFERROR(VLOOKUP($A169,ANTIGA_LIVRES!$A:$P,MATCH(APENDICE_BCB!D$3,ANTIGA_LIVRES!$1:$1,0),0)/1000,0)</f>
        <v>376559.35200000001</v>
      </c>
      <c r="E169" s="9">
        <f>IFERROR(VLOOKUP($A169,ANTIGA_DIRECIONADOS!$A:$P,MATCH(APENDICE_BCB!E$3,ANTIGA_DIRECIONADOS!$1:$1,0),0),0)</f>
        <v>523130</v>
      </c>
      <c r="F169" s="9">
        <f>IFERROR(VLOOKUP($A169,ANTIGA_DIRECIONADOS!$A:$P,MATCH(APENDICE_BCB!F$3,ANTIGA_DIRECIONADOS!$1:$1,0),0),0)</f>
        <v>188920</v>
      </c>
      <c r="G169" s="9">
        <f>IFERROR(VLOOKUP($A169,ANTIGA_DIRECIONADOS!$A:$P,MATCH(APENDICE_BCB!G$3,ANTIGA_DIRECIONADOS!$1:$1,0),0),0)</f>
        <v>334210</v>
      </c>
      <c r="H169" s="9">
        <f>IFERROR(VLOOKUP($A169,ATUAL_LIV_E_DIR!$A:$P,MATCH(APENDICE_BCB!H$3,ATUAL_LIV_E_DIR!$1:$1,0),0),0)</f>
        <v>969380</v>
      </c>
      <c r="I169" s="9">
        <f>IFERROR(VLOOKUP($A169,ATUAL_LIV_E_DIR!$A:$P,MATCH(APENDICE_BCB!I$3,ATUAL_LIV_E_DIR!$1:$1,0),0),0)</f>
        <v>464292</v>
      </c>
      <c r="J169" s="9">
        <f>IFERROR(VLOOKUP($A169,ATUAL_LIV_E_DIR!$A:$P,MATCH(APENDICE_BCB!J$3,ATUAL_LIV_E_DIR!$1:$1,0),0),0)</f>
        <v>505089</v>
      </c>
      <c r="K169" s="9">
        <f>IFERROR(VLOOKUP($A169,ATUAL_LIV_E_DIR!$A:$P,MATCH(APENDICE_BCB!K$3,ATUAL_LIV_E_DIR!$1:$1,0),0),0)</f>
        <v>586899</v>
      </c>
      <c r="L169" s="9">
        <f>IFERROR(VLOOKUP($A169,ATUAL_LIV_E_DIR!$A:$P,MATCH(APENDICE_BCB!L$3,ATUAL_LIV_E_DIR!$1:$1,0),0),0)</f>
        <v>194923</v>
      </c>
      <c r="M169" s="9">
        <f>IFERROR(VLOOKUP($A169,ATUAL_LIV_E_DIR!$A:$P,MATCH(APENDICE_BCB!M$3,ATUAL_LIV_E_DIR!$1:$1,0),0),0)</f>
        <v>391976</v>
      </c>
      <c r="O169" s="11">
        <f t="shared" si="33"/>
        <v>1324761.504</v>
      </c>
      <c r="P169" s="11">
        <f t="shared" si="34"/>
        <v>1556279</v>
      </c>
      <c r="Q169" s="11">
        <f t="shared" si="35"/>
        <v>759282.152</v>
      </c>
      <c r="R169" s="11">
        <f t="shared" si="36"/>
        <v>856268</v>
      </c>
      <c r="S169" s="11">
        <f t="shared" si="37"/>
        <v>565479.35199999996</v>
      </c>
      <c r="T169" s="11">
        <f t="shared" si="38"/>
        <v>700012</v>
      </c>
      <c r="V169" s="7">
        <f t="shared" si="39"/>
        <v>0.42685370181167337</v>
      </c>
      <c r="W169">
        <f t="shared" si="40"/>
        <v>0.44979852584273128</v>
      </c>
      <c r="Y169" s="8">
        <f t="shared" si="41"/>
        <v>1.4633732860523718E-2</v>
      </c>
      <c r="Z169" s="8">
        <f t="shared" si="42"/>
        <v>1.2922865042462206E-2</v>
      </c>
      <c r="AE169" s="1">
        <f t="shared" si="31"/>
        <v>40360</v>
      </c>
      <c r="AF169" s="11">
        <f t="shared" si="32"/>
        <v>700012</v>
      </c>
    </row>
    <row r="170" spans="1:32" x14ac:dyDescent="0.25">
      <c r="A170" s="1">
        <v>40391</v>
      </c>
      <c r="B170" s="9">
        <f>IFERROR(VLOOKUP($A170,ANTIGA_LIVRES!$A:$P,MATCH(APENDICE_BCB!B$3,ANTIGA_LIVRES!$1:$1,0),0)/1000,0)</f>
        <v>814782.16799999995</v>
      </c>
      <c r="C170" s="9">
        <f>IFERROR(VLOOKUP($A170,ANTIGA_LIVRES!$A:$P,MATCH(APENDICE_BCB!C$3,ANTIGA_LIVRES!$1:$1,0),0)/1000,0)</f>
        <v>430552.78399999999</v>
      </c>
      <c r="D170" s="9">
        <f>IFERROR(VLOOKUP($A170,ANTIGA_LIVRES!$A:$P,MATCH(APENDICE_BCB!D$3,ANTIGA_LIVRES!$1:$1,0),0)/1000,0)</f>
        <v>384229.38400000002</v>
      </c>
      <c r="E170" s="9">
        <f>IFERROR(VLOOKUP($A170,ANTIGA_DIRECIONADOS!$A:$P,MATCH(APENDICE_BCB!E$3,ANTIGA_DIRECIONADOS!$1:$1,0),0),0)</f>
        <v>542192</v>
      </c>
      <c r="F170" s="9">
        <f>IFERROR(VLOOKUP($A170,ANTIGA_DIRECIONADOS!$A:$P,MATCH(APENDICE_BCB!F$3,ANTIGA_DIRECIONADOS!$1:$1,0),0),0)</f>
        <v>194806</v>
      </c>
      <c r="G170" s="9">
        <f>IFERROR(VLOOKUP($A170,ANTIGA_DIRECIONADOS!$A:$P,MATCH(APENDICE_BCB!G$3,ANTIGA_DIRECIONADOS!$1:$1,0),0),0)</f>
        <v>347386</v>
      </c>
      <c r="H170" s="9">
        <f>IFERROR(VLOOKUP($A170,ATUAL_LIV_E_DIR!$A:$P,MATCH(APENDICE_BCB!H$3,ATUAL_LIV_E_DIR!$1:$1,0),0),0)</f>
        <v>982429</v>
      </c>
      <c r="I170" s="9">
        <f>IFERROR(VLOOKUP($A170,ATUAL_LIV_E_DIR!$A:$P,MATCH(APENDICE_BCB!I$3,ATUAL_LIV_E_DIR!$1:$1,0),0),0)</f>
        <v>469154</v>
      </c>
      <c r="J170" s="9">
        <f>IFERROR(VLOOKUP($A170,ATUAL_LIV_E_DIR!$A:$P,MATCH(APENDICE_BCB!J$3,ATUAL_LIV_E_DIR!$1:$1,0),0),0)</f>
        <v>513275</v>
      </c>
      <c r="K170" s="9">
        <f>IFERROR(VLOOKUP($A170,ATUAL_LIV_E_DIR!$A:$P,MATCH(APENDICE_BCB!K$3,ATUAL_LIV_E_DIR!$1:$1,0),0),0)</f>
        <v>607428</v>
      </c>
      <c r="L170" s="9">
        <f>IFERROR(VLOOKUP($A170,ATUAL_LIV_E_DIR!$A:$P,MATCH(APENDICE_BCB!L$3,ATUAL_LIV_E_DIR!$1:$1,0),0),0)</f>
        <v>200339</v>
      </c>
      <c r="M170" s="9">
        <f>IFERROR(VLOOKUP($A170,ATUAL_LIV_E_DIR!$A:$P,MATCH(APENDICE_BCB!M$3,ATUAL_LIV_E_DIR!$1:$1,0),0),0)</f>
        <v>407088</v>
      </c>
      <c r="O170" s="11">
        <f t="shared" si="33"/>
        <v>1356974.1680000001</v>
      </c>
      <c r="P170" s="11">
        <f t="shared" si="34"/>
        <v>1589857</v>
      </c>
      <c r="Q170" s="11">
        <f t="shared" si="35"/>
        <v>777938.78399999999</v>
      </c>
      <c r="R170" s="11">
        <f t="shared" si="36"/>
        <v>876242</v>
      </c>
      <c r="S170" s="11">
        <f t="shared" si="37"/>
        <v>579035.38400000008</v>
      </c>
      <c r="T170" s="11">
        <f t="shared" si="38"/>
        <v>713614</v>
      </c>
      <c r="V170" s="7">
        <f t="shared" si="39"/>
        <v>0.42671069033939052</v>
      </c>
      <c r="W170">
        <f t="shared" si="40"/>
        <v>0.44885420512662461</v>
      </c>
      <c r="Y170" s="8">
        <f t="shared" si="41"/>
        <v>2.4315821302730134E-2</v>
      </c>
      <c r="Z170" s="8">
        <f t="shared" si="42"/>
        <v>2.1575822844104531E-2</v>
      </c>
      <c r="AE170" s="1">
        <f t="shared" si="31"/>
        <v>40391</v>
      </c>
      <c r="AF170" s="11">
        <f t="shared" si="32"/>
        <v>713614</v>
      </c>
    </row>
    <row r="171" spans="1:32" x14ac:dyDescent="0.25">
      <c r="A171" s="1">
        <v>40422</v>
      </c>
      <c r="B171" s="9">
        <f>IFERROR(VLOOKUP($A171,ANTIGA_LIVRES!$A:$P,MATCH(APENDICE_BCB!B$3,ANTIGA_LIVRES!$1:$1,0),0)/1000,0)</f>
        <v>835653.87699999998</v>
      </c>
      <c r="C171" s="9">
        <f>IFERROR(VLOOKUP($A171,ANTIGA_LIVRES!$A:$P,MATCH(APENDICE_BCB!C$3,ANTIGA_LIVRES!$1:$1,0),0)/1000,0)</f>
        <v>441997.67599999998</v>
      </c>
      <c r="D171" s="9">
        <f>IFERROR(VLOOKUP($A171,ANTIGA_LIVRES!$A:$P,MATCH(APENDICE_BCB!D$3,ANTIGA_LIVRES!$1:$1,0),0)/1000,0)</f>
        <v>393656.201</v>
      </c>
      <c r="E171" s="9">
        <f>IFERROR(VLOOKUP($A171,ANTIGA_DIRECIONADOS!$A:$P,MATCH(APENDICE_BCB!E$3,ANTIGA_DIRECIONADOS!$1:$1,0),0),0)</f>
        <v>552088</v>
      </c>
      <c r="F171" s="9">
        <f>IFERROR(VLOOKUP($A171,ANTIGA_DIRECIONADOS!$A:$P,MATCH(APENDICE_BCB!F$3,ANTIGA_DIRECIONADOS!$1:$1,0),0),0)</f>
        <v>201312</v>
      </c>
      <c r="G171" s="9">
        <f>IFERROR(VLOOKUP($A171,ANTIGA_DIRECIONADOS!$A:$P,MATCH(APENDICE_BCB!G$3,ANTIGA_DIRECIONADOS!$1:$1,0),0),0)</f>
        <v>350776</v>
      </c>
      <c r="H171" s="9">
        <f>IFERROR(VLOOKUP($A171,ATUAL_LIV_E_DIR!$A:$P,MATCH(APENDICE_BCB!H$3,ATUAL_LIV_E_DIR!$1:$1,0),0),0)</f>
        <v>1002374</v>
      </c>
      <c r="I171" s="9">
        <f>IFERROR(VLOOKUP($A171,ATUAL_LIV_E_DIR!$A:$P,MATCH(APENDICE_BCB!I$3,ATUAL_LIV_E_DIR!$1:$1,0),0),0)</f>
        <v>481684</v>
      </c>
      <c r="J171" s="9">
        <f>IFERROR(VLOOKUP($A171,ATUAL_LIV_E_DIR!$A:$P,MATCH(APENDICE_BCB!J$3,ATUAL_LIV_E_DIR!$1:$1,0),0),0)</f>
        <v>520690</v>
      </c>
      <c r="K171" s="9">
        <f>IFERROR(VLOOKUP($A171,ATUAL_LIV_E_DIR!$A:$P,MATCH(APENDICE_BCB!K$3,ATUAL_LIV_E_DIR!$1:$1,0),0),0)</f>
        <v>619166</v>
      </c>
      <c r="L171" s="9">
        <f>IFERROR(VLOOKUP($A171,ATUAL_LIV_E_DIR!$A:$P,MATCH(APENDICE_BCB!L$3,ATUAL_LIV_E_DIR!$1:$1,0),0),0)</f>
        <v>206731</v>
      </c>
      <c r="M171" s="9">
        <f>IFERROR(VLOOKUP($A171,ATUAL_LIV_E_DIR!$A:$P,MATCH(APENDICE_BCB!M$3,ATUAL_LIV_E_DIR!$1:$1,0),0),0)</f>
        <v>412435</v>
      </c>
      <c r="O171" s="11">
        <f t="shared" si="33"/>
        <v>1387741.8769999999</v>
      </c>
      <c r="P171" s="11">
        <f t="shared" si="34"/>
        <v>1621540</v>
      </c>
      <c r="Q171" s="11">
        <f t="shared" si="35"/>
        <v>792773.67599999998</v>
      </c>
      <c r="R171" s="11">
        <f t="shared" si="36"/>
        <v>894119</v>
      </c>
      <c r="S171" s="11">
        <f t="shared" si="37"/>
        <v>594968.201</v>
      </c>
      <c r="T171" s="11">
        <f t="shared" si="38"/>
        <v>727421</v>
      </c>
      <c r="V171" s="7">
        <f t="shared" si="39"/>
        <v>0.42873117174080932</v>
      </c>
      <c r="W171">
        <f t="shared" si="40"/>
        <v>0.44859886280942807</v>
      </c>
      <c r="Y171" s="8">
        <f t="shared" si="41"/>
        <v>2.2673761760216404E-2</v>
      </c>
      <c r="Z171" s="8">
        <f t="shared" si="42"/>
        <v>1.9928207379657392E-2</v>
      </c>
      <c r="AE171" s="1">
        <f t="shared" si="31"/>
        <v>40422</v>
      </c>
      <c r="AF171" s="11">
        <f t="shared" si="32"/>
        <v>727421</v>
      </c>
    </row>
    <row r="172" spans="1:32" x14ac:dyDescent="0.25">
      <c r="A172" s="1">
        <v>40452</v>
      </c>
      <c r="B172" s="9">
        <f>IFERROR(VLOOKUP($A172,ANTIGA_LIVRES!$A:$P,MATCH(APENDICE_BCB!B$3,ANTIGA_LIVRES!$1:$1,0),0)/1000,0)</f>
        <v>852456.174</v>
      </c>
      <c r="C172" s="9">
        <f>IFERROR(VLOOKUP($A172,ANTIGA_LIVRES!$A:$P,MATCH(APENDICE_BCB!C$3,ANTIGA_LIVRES!$1:$1,0),0)/1000,0)</f>
        <v>449708.34899999999</v>
      </c>
      <c r="D172" s="9">
        <f>IFERROR(VLOOKUP($A172,ANTIGA_LIVRES!$A:$P,MATCH(APENDICE_BCB!D$3,ANTIGA_LIVRES!$1:$1,0),0)/1000,0)</f>
        <v>402747.82500000001</v>
      </c>
      <c r="E172" s="9">
        <f>IFERROR(VLOOKUP($A172,ANTIGA_DIRECIONADOS!$A:$P,MATCH(APENDICE_BCB!E$3,ANTIGA_DIRECIONADOS!$1:$1,0),0),0)</f>
        <v>564982</v>
      </c>
      <c r="F172" s="9">
        <f>IFERROR(VLOOKUP($A172,ANTIGA_DIRECIONADOS!$A:$P,MATCH(APENDICE_BCB!F$3,ANTIGA_DIRECIONADOS!$1:$1,0),0),0)</f>
        <v>206248</v>
      </c>
      <c r="G172" s="9">
        <f>IFERROR(VLOOKUP($A172,ANTIGA_DIRECIONADOS!$A:$P,MATCH(APENDICE_BCB!G$3,ANTIGA_DIRECIONADOS!$1:$1,0),0),0)</f>
        <v>358734</v>
      </c>
      <c r="H172" s="9">
        <f>IFERROR(VLOOKUP($A172,ATUAL_LIV_E_DIR!$A:$P,MATCH(APENDICE_BCB!H$3,ATUAL_LIV_E_DIR!$1:$1,0),0),0)</f>
        <v>1018637</v>
      </c>
      <c r="I172" s="9">
        <f>IFERROR(VLOOKUP($A172,ATUAL_LIV_E_DIR!$A:$P,MATCH(APENDICE_BCB!I$3,ATUAL_LIV_E_DIR!$1:$1,0),0),0)</f>
        <v>489128</v>
      </c>
      <c r="J172" s="9">
        <f>IFERROR(VLOOKUP($A172,ATUAL_LIV_E_DIR!$A:$P,MATCH(APENDICE_BCB!J$3,ATUAL_LIV_E_DIR!$1:$1,0),0),0)</f>
        <v>529509</v>
      </c>
      <c r="K172" s="9">
        <f>IFERROR(VLOOKUP($A172,ATUAL_LIV_E_DIR!$A:$P,MATCH(APENDICE_BCB!K$3,ATUAL_LIV_E_DIR!$1:$1,0),0),0)</f>
        <v>633176</v>
      </c>
      <c r="L172" s="9">
        <f>IFERROR(VLOOKUP($A172,ATUAL_LIV_E_DIR!$A:$P,MATCH(APENDICE_BCB!L$3,ATUAL_LIV_E_DIR!$1:$1,0),0),0)</f>
        <v>211810</v>
      </c>
      <c r="M172" s="9">
        <f>IFERROR(VLOOKUP($A172,ATUAL_LIV_E_DIR!$A:$P,MATCH(APENDICE_BCB!M$3,ATUAL_LIV_E_DIR!$1:$1,0),0),0)</f>
        <v>421365</v>
      </c>
      <c r="O172" s="11">
        <f t="shared" si="33"/>
        <v>1417438.1740000001</v>
      </c>
      <c r="P172" s="11">
        <f t="shared" si="34"/>
        <v>1651813</v>
      </c>
      <c r="Q172" s="11">
        <f t="shared" si="35"/>
        <v>808442.34899999993</v>
      </c>
      <c r="R172" s="11">
        <f t="shared" si="36"/>
        <v>910493</v>
      </c>
      <c r="S172" s="11">
        <f t="shared" si="37"/>
        <v>608995.82499999995</v>
      </c>
      <c r="T172" s="11">
        <f t="shared" si="38"/>
        <v>741319</v>
      </c>
      <c r="V172" s="7">
        <f t="shared" si="39"/>
        <v>0.42964542381514831</v>
      </c>
      <c r="W172">
        <f t="shared" si="40"/>
        <v>0.44879111618566991</v>
      </c>
      <c r="Y172" s="8">
        <f t="shared" si="41"/>
        <v>2.1399006178438151E-2</v>
      </c>
      <c r="Z172" s="8">
        <f t="shared" si="42"/>
        <v>1.8669289687580859E-2</v>
      </c>
      <c r="AE172" s="1">
        <f t="shared" si="31"/>
        <v>40452</v>
      </c>
      <c r="AF172" s="11">
        <f t="shared" si="32"/>
        <v>741319</v>
      </c>
    </row>
    <row r="173" spans="1:32" x14ac:dyDescent="0.25">
      <c r="A173" s="1">
        <v>40483</v>
      </c>
      <c r="B173" s="9">
        <f>IFERROR(VLOOKUP($A173,ANTIGA_LIVRES!$A:$P,MATCH(APENDICE_BCB!B$3,ANTIGA_LIVRES!$1:$1,0),0)/1000,0)</f>
        <v>872211.04299999995</v>
      </c>
      <c r="C173" s="9">
        <f>IFERROR(VLOOKUP($A173,ANTIGA_LIVRES!$A:$P,MATCH(APENDICE_BCB!C$3,ANTIGA_LIVRES!$1:$1,0),0)/1000,0)</f>
        <v>458649.75099999999</v>
      </c>
      <c r="D173" s="9">
        <f>IFERROR(VLOOKUP($A173,ANTIGA_LIVRES!$A:$P,MATCH(APENDICE_BCB!D$3,ANTIGA_LIVRES!$1:$1,0),0)/1000,0)</f>
        <v>413561.29200000002</v>
      </c>
      <c r="E173" s="9">
        <f>IFERROR(VLOOKUP($A173,ANTIGA_DIRECIONADOS!$A:$P,MATCH(APENDICE_BCB!E$3,ANTIGA_DIRECIONADOS!$1:$1,0),0),0)</f>
        <v>577513</v>
      </c>
      <c r="F173" s="9">
        <f>IFERROR(VLOOKUP($A173,ANTIGA_DIRECIONADOS!$A:$P,MATCH(APENDICE_BCB!F$3,ANTIGA_DIRECIONADOS!$1:$1,0),0),0)</f>
        <v>211293</v>
      </c>
      <c r="G173" s="9">
        <f>IFERROR(VLOOKUP($A173,ANTIGA_DIRECIONADOS!$A:$P,MATCH(APENDICE_BCB!G$3,ANTIGA_DIRECIONADOS!$1:$1,0),0),0)</f>
        <v>366220</v>
      </c>
      <c r="H173" s="9">
        <f>IFERROR(VLOOKUP($A173,ATUAL_LIV_E_DIR!$A:$P,MATCH(APENDICE_BCB!H$3,ATUAL_LIV_E_DIR!$1:$1,0),0),0)</f>
        <v>1039882</v>
      </c>
      <c r="I173" s="9">
        <f>IFERROR(VLOOKUP($A173,ATUAL_LIV_E_DIR!$A:$P,MATCH(APENDICE_BCB!I$3,ATUAL_LIV_E_DIR!$1:$1,0),0),0)</f>
        <v>498148</v>
      </c>
      <c r="J173" s="9">
        <f>IFERROR(VLOOKUP($A173,ATUAL_LIV_E_DIR!$A:$P,MATCH(APENDICE_BCB!J$3,ATUAL_LIV_E_DIR!$1:$1,0),0),0)</f>
        <v>541734</v>
      </c>
      <c r="K173" s="9">
        <f>IFERROR(VLOOKUP($A173,ATUAL_LIV_E_DIR!$A:$P,MATCH(APENDICE_BCB!K$3,ATUAL_LIV_E_DIR!$1:$1,0),0),0)</f>
        <v>645830</v>
      </c>
      <c r="L173" s="9">
        <f>IFERROR(VLOOKUP($A173,ATUAL_LIV_E_DIR!$A:$P,MATCH(APENDICE_BCB!L$3,ATUAL_LIV_E_DIR!$1:$1,0),0),0)</f>
        <v>216912</v>
      </c>
      <c r="M173" s="9">
        <f>IFERROR(VLOOKUP($A173,ATUAL_LIV_E_DIR!$A:$P,MATCH(APENDICE_BCB!M$3,ATUAL_LIV_E_DIR!$1:$1,0),0),0)</f>
        <v>428918</v>
      </c>
      <c r="O173" s="11">
        <f t="shared" si="33"/>
        <v>1449724.0430000001</v>
      </c>
      <c r="P173" s="11">
        <f t="shared" si="34"/>
        <v>1685712</v>
      </c>
      <c r="Q173" s="11">
        <f t="shared" si="35"/>
        <v>824869.75099999993</v>
      </c>
      <c r="R173" s="11">
        <f t="shared" si="36"/>
        <v>927066</v>
      </c>
      <c r="S173" s="11">
        <f t="shared" si="37"/>
        <v>624854.29200000002</v>
      </c>
      <c r="T173" s="11">
        <f t="shared" si="38"/>
        <v>758646</v>
      </c>
      <c r="V173" s="7">
        <f t="shared" si="39"/>
        <v>0.4310160233715597</v>
      </c>
      <c r="W173">
        <f t="shared" si="40"/>
        <v>0.45004484751843732</v>
      </c>
      <c r="Y173" s="8">
        <f t="shared" si="41"/>
        <v>2.2777620634337303E-2</v>
      </c>
      <c r="Z173" s="8">
        <f t="shared" si="42"/>
        <v>2.0522298831647356E-2</v>
      </c>
      <c r="AE173" s="1">
        <f t="shared" si="31"/>
        <v>40483</v>
      </c>
      <c r="AF173" s="11">
        <f t="shared" si="32"/>
        <v>758646</v>
      </c>
    </row>
    <row r="174" spans="1:32" x14ac:dyDescent="0.25">
      <c r="A174" s="1">
        <v>40513</v>
      </c>
      <c r="B174" s="9">
        <f>IFERROR(VLOOKUP($A174,ANTIGA_LIVRES!$A:$P,MATCH(APENDICE_BCB!B$3,ANTIGA_LIVRES!$1:$1,0),0)/1000,0)</f>
        <v>880079.04399999999</v>
      </c>
      <c r="C174" s="9">
        <f>IFERROR(VLOOKUP($A174,ANTIGA_LIVRES!$A:$P,MATCH(APENDICE_BCB!C$3,ANTIGA_LIVRES!$1:$1,0),0)/1000,0)</f>
        <v>462732.47700000001</v>
      </c>
      <c r="D174" s="9">
        <f>IFERROR(VLOOKUP($A174,ANTIGA_LIVRES!$A:$P,MATCH(APENDICE_BCB!D$3,ANTIGA_LIVRES!$1:$1,0),0)/1000,0)</f>
        <v>417346.56699999998</v>
      </c>
      <c r="E174" s="9">
        <f>IFERROR(VLOOKUP($A174,ANTIGA_DIRECIONADOS!$A:$P,MATCH(APENDICE_BCB!E$3,ANTIGA_DIRECIONADOS!$1:$1,0),0),0)</f>
        <v>589765</v>
      </c>
      <c r="F174" s="9">
        <f>IFERROR(VLOOKUP($A174,ANTIGA_DIRECIONADOS!$A:$P,MATCH(APENDICE_BCB!F$3,ANTIGA_DIRECIONADOS!$1:$1,0),0),0)</f>
        <v>218208</v>
      </c>
      <c r="G174" s="9">
        <f>IFERROR(VLOOKUP($A174,ANTIGA_DIRECIONADOS!$A:$P,MATCH(APENDICE_BCB!G$3,ANTIGA_DIRECIONADOS!$1:$1,0),0),0)</f>
        <v>371557</v>
      </c>
      <c r="H174" s="9">
        <f>IFERROR(VLOOKUP($A174,ATUAL_LIV_E_DIR!$A:$P,MATCH(APENDICE_BCB!H$3,ATUAL_LIV_E_DIR!$1:$1,0),0),0)</f>
        <v>1055664</v>
      </c>
      <c r="I174" s="9">
        <f>IFERROR(VLOOKUP($A174,ATUAL_LIV_E_DIR!$A:$P,MATCH(APENDICE_BCB!I$3,ATUAL_LIV_E_DIR!$1:$1,0),0),0)</f>
        <v>502801</v>
      </c>
      <c r="J174" s="9">
        <f>IFERROR(VLOOKUP($A174,ATUAL_LIV_E_DIR!$A:$P,MATCH(APENDICE_BCB!J$3,ATUAL_LIV_E_DIR!$1:$1,0),0),0)</f>
        <v>552863</v>
      </c>
      <c r="K174" s="9">
        <f>IFERROR(VLOOKUP($A174,ATUAL_LIV_E_DIR!$A:$P,MATCH(APENDICE_BCB!K$3,ATUAL_LIV_E_DIR!$1:$1,0),0),0)</f>
        <v>657044</v>
      </c>
      <c r="L174" s="9">
        <f>IFERROR(VLOOKUP($A174,ATUAL_LIV_E_DIR!$A:$P,MATCH(APENDICE_BCB!L$3,ATUAL_LIV_E_DIR!$1:$1,0),0),0)</f>
        <v>222934</v>
      </c>
      <c r="M174" s="9">
        <f>IFERROR(VLOOKUP($A174,ATUAL_LIV_E_DIR!$A:$P,MATCH(APENDICE_BCB!M$3,ATUAL_LIV_E_DIR!$1:$1,0),0),0)</f>
        <v>434109</v>
      </c>
      <c r="O174" s="11">
        <f t="shared" si="33"/>
        <v>1469844.044</v>
      </c>
      <c r="P174" s="11">
        <f t="shared" si="34"/>
        <v>1712708</v>
      </c>
      <c r="Q174" s="11">
        <f t="shared" si="35"/>
        <v>834289.47699999996</v>
      </c>
      <c r="R174" s="11">
        <f t="shared" si="36"/>
        <v>936910</v>
      </c>
      <c r="S174" s="11">
        <f t="shared" si="37"/>
        <v>635554.56700000004</v>
      </c>
      <c r="T174" s="11">
        <f t="shared" si="38"/>
        <v>775797</v>
      </c>
      <c r="V174" s="7">
        <f t="shared" si="39"/>
        <v>0.43239591954967982</v>
      </c>
      <c r="W174">
        <f t="shared" si="40"/>
        <v>0.45296512890697072</v>
      </c>
      <c r="Y174" s="8">
        <f t="shared" si="41"/>
        <v>1.3878504048511431E-2</v>
      </c>
      <c r="Z174" s="8">
        <f t="shared" si="42"/>
        <v>1.6014597985895662E-2</v>
      </c>
      <c r="AE174" s="1">
        <f t="shared" si="31"/>
        <v>40513</v>
      </c>
      <c r="AF174" s="11">
        <f t="shared" si="32"/>
        <v>775797</v>
      </c>
    </row>
    <row r="175" spans="1:32" x14ac:dyDescent="0.25">
      <c r="A175" s="1">
        <v>40544</v>
      </c>
      <c r="B175" s="9">
        <f>IFERROR(VLOOKUP($A175,ANTIGA_LIVRES!$A:$P,MATCH(APENDICE_BCB!B$3,ANTIGA_LIVRES!$1:$1,0),0)/1000,0)</f>
        <v>890133.10800000001</v>
      </c>
      <c r="C175" s="9">
        <f>IFERROR(VLOOKUP($A175,ANTIGA_LIVRES!$A:$P,MATCH(APENDICE_BCB!C$3,ANTIGA_LIVRES!$1:$1,0),0)/1000,0)</f>
        <v>462035.56900000002</v>
      </c>
      <c r="D175" s="9">
        <f>IFERROR(VLOOKUP($A175,ANTIGA_LIVRES!$A:$P,MATCH(APENDICE_BCB!D$3,ANTIGA_LIVRES!$1:$1,0),0)/1000,0)</f>
        <v>428097.53899999999</v>
      </c>
      <c r="E175" s="9">
        <f>IFERROR(VLOOKUP($A175,ANTIGA_DIRECIONADOS!$A:$P,MATCH(APENDICE_BCB!E$3,ANTIGA_DIRECIONADOS!$1:$1,0),0),0)</f>
        <v>594950</v>
      </c>
      <c r="F175" s="9">
        <f>IFERROR(VLOOKUP($A175,ANTIGA_DIRECIONADOS!$A:$P,MATCH(APENDICE_BCB!F$3,ANTIGA_DIRECIONADOS!$1:$1,0),0),0)</f>
        <v>221300</v>
      </c>
      <c r="G175" s="9">
        <f>IFERROR(VLOOKUP($A175,ANTIGA_DIRECIONADOS!$A:$P,MATCH(APENDICE_BCB!G$3,ANTIGA_DIRECIONADOS!$1:$1,0),0),0)</f>
        <v>373650</v>
      </c>
      <c r="H175" s="9">
        <f>IFERROR(VLOOKUP($A175,ATUAL_LIV_E_DIR!$A:$P,MATCH(APENDICE_BCB!H$3,ATUAL_LIV_E_DIR!$1:$1,0),0),0)</f>
        <v>1056671</v>
      </c>
      <c r="I175" s="9">
        <f>IFERROR(VLOOKUP($A175,ATUAL_LIV_E_DIR!$A:$P,MATCH(APENDICE_BCB!I$3,ATUAL_LIV_E_DIR!$1:$1,0),0),0)</f>
        <v>498699</v>
      </c>
      <c r="J175" s="9">
        <f>IFERROR(VLOOKUP($A175,ATUAL_LIV_E_DIR!$A:$P,MATCH(APENDICE_BCB!J$3,ATUAL_LIV_E_DIR!$1:$1,0),0),0)</f>
        <v>557973</v>
      </c>
      <c r="K175" s="9">
        <f>IFERROR(VLOOKUP($A175,ATUAL_LIV_E_DIR!$A:$P,MATCH(APENDICE_BCB!K$3,ATUAL_LIV_E_DIR!$1:$1,0),0),0)</f>
        <v>662040</v>
      </c>
      <c r="L175" s="9">
        <f>IFERROR(VLOOKUP($A175,ATUAL_LIV_E_DIR!$A:$P,MATCH(APENDICE_BCB!L$3,ATUAL_LIV_E_DIR!$1:$1,0),0),0)</f>
        <v>227272</v>
      </c>
      <c r="M175" s="9">
        <f>IFERROR(VLOOKUP($A175,ATUAL_LIV_E_DIR!$A:$P,MATCH(APENDICE_BCB!M$3,ATUAL_LIV_E_DIR!$1:$1,0),0),0)</f>
        <v>434768</v>
      </c>
      <c r="O175" s="11">
        <f t="shared" si="33"/>
        <v>1485083.108</v>
      </c>
      <c r="P175" s="11">
        <f t="shared" si="34"/>
        <v>1718711</v>
      </c>
      <c r="Q175" s="11">
        <f t="shared" si="35"/>
        <v>835685.56900000002</v>
      </c>
      <c r="R175" s="11">
        <f t="shared" si="36"/>
        <v>933467</v>
      </c>
      <c r="S175" s="11">
        <f t="shared" si="37"/>
        <v>649397.53899999999</v>
      </c>
      <c r="T175" s="11">
        <f t="shared" si="38"/>
        <v>785245</v>
      </c>
      <c r="V175" s="7">
        <f t="shared" si="39"/>
        <v>0.43728026768452072</v>
      </c>
      <c r="W175">
        <f t="shared" si="40"/>
        <v>0.45688018520856621</v>
      </c>
      <c r="Y175" s="8">
        <f t="shared" si="41"/>
        <v>1.0367810151156398E-2</v>
      </c>
      <c r="Z175" s="8">
        <f t="shared" si="42"/>
        <v>3.5049757460114961E-3</v>
      </c>
      <c r="AE175" s="1">
        <f t="shared" si="31"/>
        <v>40544</v>
      </c>
      <c r="AF175" s="11">
        <f t="shared" si="32"/>
        <v>785245</v>
      </c>
    </row>
    <row r="176" spans="1:32" x14ac:dyDescent="0.25">
      <c r="A176" s="1">
        <v>40575</v>
      </c>
      <c r="B176" s="9">
        <f>IFERROR(VLOOKUP($A176,ANTIGA_LIVRES!$A:$P,MATCH(APENDICE_BCB!B$3,ANTIGA_LIVRES!$1:$1,0),0)/1000,0)</f>
        <v>908022.65</v>
      </c>
      <c r="C176" s="9">
        <f>IFERROR(VLOOKUP($A176,ANTIGA_LIVRES!$A:$P,MATCH(APENDICE_BCB!C$3,ANTIGA_LIVRES!$1:$1,0),0)/1000,0)</f>
        <v>471017.147</v>
      </c>
      <c r="D176" s="9">
        <f>IFERROR(VLOOKUP($A176,ANTIGA_LIVRES!$A:$P,MATCH(APENDICE_BCB!D$3,ANTIGA_LIVRES!$1:$1,0),0)/1000,0)</f>
        <v>437005.50300000003</v>
      </c>
      <c r="E176" s="9">
        <f>IFERROR(VLOOKUP($A176,ANTIGA_DIRECIONADOS!$A:$P,MATCH(APENDICE_BCB!E$3,ANTIGA_DIRECIONADOS!$1:$1,0),0),0)</f>
        <v>602389</v>
      </c>
      <c r="F176" s="9">
        <f>IFERROR(VLOOKUP($A176,ANTIGA_DIRECIONADOS!$A:$P,MATCH(APENDICE_BCB!F$3,ANTIGA_DIRECIONADOS!$1:$1,0),0),0)</f>
        <v>225074</v>
      </c>
      <c r="G176" s="9">
        <f>IFERROR(VLOOKUP($A176,ANTIGA_DIRECIONADOS!$A:$P,MATCH(APENDICE_BCB!G$3,ANTIGA_DIRECIONADOS!$1:$1,0),0),0)</f>
        <v>377315</v>
      </c>
      <c r="H176" s="9">
        <f>IFERROR(VLOOKUP($A176,ATUAL_LIV_E_DIR!$A:$P,MATCH(APENDICE_BCB!H$3,ATUAL_LIV_E_DIR!$1:$1,0),0),0)</f>
        <v>1071299</v>
      </c>
      <c r="I176" s="9">
        <f>IFERROR(VLOOKUP($A176,ATUAL_LIV_E_DIR!$A:$P,MATCH(APENDICE_BCB!I$3,ATUAL_LIV_E_DIR!$1:$1,0),0),0)</f>
        <v>509832</v>
      </c>
      <c r="J176" s="9">
        <f>IFERROR(VLOOKUP($A176,ATUAL_LIV_E_DIR!$A:$P,MATCH(APENDICE_BCB!J$3,ATUAL_LIV_E_DIR!$1:$1,0),0),0)</f>
        <v>561466</v>
      </c>
      <c r="K176" s="9">
        <f>IFERROR(VLOOKUP($A176,ATUAL_LIV_E_DIR!$A:$P,MATCH(APENDICE_BCB!K$3,ATUAL_LIV_E_DIR!$1:$1,0),0),0)</f>
        <v>670209</v>
      </c>
      <c r="L176" s="9">
        <f>IFERROR(VLOOKUP($A176,ATUAL_LIV_E_DIR!$A:$P,MATCH(APENDICE_BCB!L$3,ATUAL_LIV_E_DIR!$1:$1,0),0),0)</f>
        <v>232078</v>
      </c>
      <c r="M176" s="9">
        <f>IFERROR(VLOOKUP($A176,ATUAL_LIV_E_DIR!$A:$P,MATCH(APENDICE_BCB!M$3,ATUAL_LIV_E_DIR!$1:$1,0),0),0)</f>
        <v>438131</v>
      </c>
      <c r="O176" s="11">
        <f t="shared" si="33"/>
        <v>1510411.65</v>
      </c>
      <c r="P176" s="11">
        <f t="shared" si="34"/>
        <v>1741508</v>
      </c>
      <c r="Q176" s="11">
        <f t="shared" si="35"/>
        <v>848332.147</v>
      </c>
      <c r="R176" s="11">
        <f t="shared" si="36"/>
        <v>947963</v>
      </c>
      <c r="S176" s="11">
        <f t="shared" si="37"/>
        <v>662079.50300000003</v>
      </c>
      <c r="T176" s="11">
        <f t="shared" si="38"/>
        <v>793544</v>
      </c>
      <c r="V176" s="7">
        <f t="shared" si="39"/>
        <v>0.43834374754723326</v>
      </c>
      <c r="W176">
        <f t="shared" si="40"/>
        <v>0.45566486056911598</v>
      </c>
      <c r="Y176" s="8">
        <f t="shared" si="41"/>
        <v>1.7055302739326539E-2</v>
      </c>
      <c r="Z176" s="8">
        <f t="shared" si="42"/>
        <v>1.3264010063355647E-2</v>
      </c>
      <c r="AE176" s="1">
        <f t="shared" si="31"/>
        <v>40575</v>
      </c>
      <c r="AF176" s="11">
        <f t="shared" si="32"/>
        <v>793544</v>
      </c>
    </row>
    <row r="177" spans="1:32" x14ac:dyDescent="0.25">
      <c r="A177" s="1">
        <v>40603</v>
      </c>
      <c r="B177" s="9">
        <f>IFERROR(VLOOKUP($A177,ANTIGA_LIVRES!$A:$P,MATCH(APENDICE_BCB!B$3,ANTIGA_LIVRES!$1:$1,0),0)/1000,0)</f>
        <v>919429.75199999998</v>
      </c>
      <c r="C177" s="9">
        <f>IFERROR(VLOOKUP($A177,ANTIGA_LIVRES!$A:$P,MATCH(APENDICE_BCB!C$3,ANTIGA_LIVRES!$1:$1,0),0)/1000,0)</f>
        <v>476411.71</v>
      </c>
      <c r="D177" s="9">
        <f>IFERROR(VLOOKUP($A177,ANTIGA_LIVRES!$A:$P,MATCH(APENDICE_BCB!D$3,ANTIGA_LIVRES!$1:$1,0),0)/1000,0)</f>
        <v>443018.04200000002</v>
      </c>
      <c r="E177" s="9">
        <f>IFERROR(VLOOKUP($A177,ANTIGA_DIRECIONADOS!$A:$P,MATCH(APENDICE_BCB!E$3,ANTIGA_DIRECIONADOS!$1:$1,0),0),0)</f>
        <v>608562</v>
      </c>
      <c r="F177" s="9">
        <f>IFERROR(VLOOKUP($A177,ANTIGA_DIRECIONADOS!$A:$P,MATCH(APENDICE_BCB!F$3,ANTIGA_DIRECIONADOS!$1:$1,0),0),0)</f>
        <v>230738</v>
      </c>
      <c r="G177" s="9">
        <f>IFERROR(VLOOKUP($A177,ANTIGA_DIRECIONADOS!$A:$P,MATCH(APENDICE_BCB!G$3,ANTIGA_DIRECIONADOS!$1:$1,0),0),0)</f>
        <v>377824</v>
      </c>
      <c r="H177" s="9">
        <f>IFERROR(VLOOKUP($A177,ATUAL_LIV_E_DIR!$A:$P,MATCH(APENDICE_BCB!H$3,ATUAL_LIV_E_DIR!$1:$1,0),0),0)</f>
        <v>1085864</v>
      </c>
      <c r="I177" s="9">
        <f>IFERROR(VLOOKUP($A177,ATUAL_LIV_E_DIR!$A:$P,MATCH(APENDICE_BCB!I$3,ATUAL_LIV_E_DIR!$1:$1,0),0),0)</f>
        <v>521988</v>
      </c>
      <c r="J177" s="9">
        <f>IFERROR(VLOOKUP($A177,ATUAL_LIV_E_DIR!$A:$P,MATCH(APENDICE_BCB!J$3,ATUAL_LIV_E_DIR!$1:$1,0),0),0)</f>
        <v>563875</v>
      </c>
      <c r="K177" s="9">
        <f>IFERROR(VLOOKUP($A177,ATUAL_LIV_E_DIR!$A:$P,MATCH(APENDICE_BCB!K$3,ATUAL_LIV_E_DIR!$1:$1,0),0),0)</f>
        <v>673815</v>
      </c>
      <c r="L177" s="9">
        <f>IFERROR(VLOOKUP($A177,ATUAL_LIV_E_DIR!$A:$P,MATCH(APENDICE_BCB!L$3,ATUAL_LIV_E_DIR!$1:$1,0),0),0)</f>
        <v>236919</v>
      </c>
      <c r="M177" s="9">
        <f>IFERROR(VLOOKUP($A177,ATUAL_LIV_E_DIR!$A:$P,MATCH(APENDICE_BCB!M$3,ATUAL_LIV_E_DIR!$1:$1,0),0),0)</f>
        <v>436896</v>
      </c>
      <c r="O177" s="11">
        <f t="shared" si="33"/>
        <v>1527991.7519999999</v>
      </c>
      <c r="P177" s="11">
        <f t="shared" si="34"/>
        <v>1759679</v>
      </c>
      <c r="Q177" s="11">
        <f t="shared" si="35"/>
        <v>854235.71</v>
      </c>
      <c r="R177" s="11">
        <f t="shared" si="36"/>
        <v>958884</v>
      </c>
      <c r="S177" s="11">
        <f t="shared" si="37"/>
        <v>673756.04200000002</v>
      </c>
      <c r="T177" s="11">
        <f t="shared" si="38"/>
        <v>800794</v>
      </c>
      <c r="V177" s="7">
        <f t="shared" si="39"/>
        <v>0.44094219822725855</v>
      </c>
      <c r="W177">
        <f t="shared" si="40"/>
        <v>0.4550795912208988</v>
      </c>
      <c r="Y177" s="8">
        <f t="shared" si="41"/>
        <v>1.1639278603286618E-2</v>
      </c>
      <c r="Z177" s="8">
        <f t="shared" si="42"/>
        <v>1.0434060595759576E-2</v>
      </c>
      <c r="AE177" s="1">
        <f t="shared" si="31"/>
        <v>40603</v>
      </c>
      <c r="AF177" s="11">
        <f t="shared" si="32"/>
        <v>800794</v>
      </c>
    </row>
    <row r="178" spans="1:32" x14ac:dyDescent="0.25">
      <c r="A178" s="1">
        <v>40634</v>
      </c>
      <c r="B178" s="9">
        <f>IFERROR(VLOOKUP($A178,ANTIGA_LIVRES!$A:$P,MATCH(APENDICE_BCB!B$3,ANTIGA_LIVRES!$1:$1,0),0)/1000,0)</f>
        <v>936086.63399999996</v>
      </c>
      <c r="C178" s="9">
        <f>IFERROR(VLOOKUP($A178,ANTIGA_LIVRES!$A:$P,MATCH(APENDICE_BCB!C$3,ANTIGA_LIVRES!$1:$1,0),0)/1000,0)</f>
        <v>484762.85200000001</v>
      </c>
      <c r="D178" s="9">
        <f>IFERROR(VLOOKUP($A178,ANTIGA_LIVRES!$A:$P,MATCH(APENDICE_BCB!D$3,ANTIGA_LIVRES!$1:$1,0),0)/1000,0)</f>
        <v>451323.78200000001</v>
      </c>
      <c r="E178" s="9">
        <f>IFERROR(VLOOKUP($A178,ANTIGA_DIRECIONADOS!$A:$P,MATCH(APENDICE_BCB!E$3,ANTIGA_DIRECIONADOS!$1:$1,0),0),0)</f>
        <v>615381</v>
      </c>
      <c r="F178" s="9">
        <f>IFERROR(VLOOKUP($A178,ANTIGA_DIRECIONADOS!$A:$P,MATCH(APENDICE_BCB!F$3,ANTIGA_DIRECIONADOS!$1:$1,0),0),0)</f>
        <v>236584</v>
      </c>
      <c r="G178" s="9">
        <f>IFERROR(VLOOKUP($A178,ANTIGA_DIRECIONADOS!$A:$P,MATCH(APENDICE_BCB!G$3,ANTIGA_DIRECIONADOS!$1:$1,0),0),0)</f>
        <v>378797</v>
      </c>
      <c r="H178" s="9">
        <f>IFERROR(VLOOKUP($A178,ATUAL_LIV_E_DIR!$A:$P,MATCH(APENDICE_BCB!H$3,ATUAL_LIV_E_DIR!$1:$1,0),0),0)</f>
        <v>1102691</v>
      </c>
      <c r="I178" s="9">
        <f>IFERROR(VLOOKUP($A178,ATUAL_LIV_E_DIR!$A:$P,MATCH(APENDICE_BCB!I$3,ATUAL_LIV_E_DIR!$1:$1,0),0),0)</f>
        <v>532237</v>
      </c>
      <c r="J178" s="9">
        <f>IFERROR(VLOOKUP($A178,ATUAL_LIV_E_DIR!$A:$P,MATCH(APENDICE_BCB!J$3,ATUAL_LIV_E_DIR!$1:$1,0),0),0)</f>
        <v>570454</v>
      </c>
      <c r="K178" s="9">
        <f>IFERROR(VLOOKUP($A178,ATUAL_LIV_E_DIR!$A:$P,MATCH(APENDICE_BCB!K$3,ATUAL_LIV_E_DIR!$1:$1,0),0),0)</f>
        <v>680796</v>
      </c>
      <c r="L178" s="9">
        <f>IFERROR(VLOOKUP($A178,ATUAL_LIV_E_DIR!$A:$P,MATCH(APENDICE_BCB!L$3,ATUAL_LIV_E_DIR!$1:$1,0),0),0)</f>
        <v>241207</v>
      </c>
      <c r="M178" s="9">
        <f>IFERROR(VLOOKUP($A178,ATUAL_LIV_E_DIR!$A:$P,MATCH(APENDICE_BCB!M$3,ATUAL_LIV_E_DIR!$1:$1,0),0),0)</f>
        <v>439588</v>
      </c>
      <c r="O178" s="11">
        <f t="shared" si="33"/>
        <v>1551467.6340000001</v>
      </c>
      <c r="P178" s="11">
        <f t="shared" si="34"/>
        <v>1783487</v>
      </c>
      <c r="Q178" s="11">
        <f t="shared" si="35"/>
        <v>863559.85199999996</v>
      </c>
      <c r="R178" s="11">
        <f t="shared" si="36"/>
        <v>971825</v>
      </c>
      <c r="S178" s="11">
        <f t="shared" si="37"/>
        <v>687907.78200000001</v>
      </c>
      <c r="T178" s="11">
        <f t="shared" si="38"/>
        <v>811661</v>
      </c>
      <c r="V178" s="7">
        <f t="shared" si="39"/>
        <v>0.44339164216170812</v>
      </c>
      <c r="W178">
        <f t="shared" si="40"/>
        <v>0.45509779437697051</v>
      </c>
      <c r="Y178" s="8">
        <f t="shared" si="41"/>
        <v>1.5363880053195667E-2</v>
      </c>
      <c r="Z178" s="8">
        <f t="shared" si="42"/>
        <v>1.3529740367419274E-2</v>
      </c>
      <c r="AE178" s="1">
        <f t="shared" si="31"/>
        <v>40634</v>
      </c>
      <c r="AF178" s="11">
        <f t="shared" si="32"/>
        <v>811661</v>
      </c>
    </row>
    <row r="179" spans="1:32" x14ac:dyDescent="0.25">
      <c r="A179" s="1">
        <v>40664</v>
      </c>
      <c r="B179" s="9">
        <f>IFERROR(VLOOKUP($A179,ANTIGA_LIVRES!$A:$P,MATCH(APENDICE_BCB!B$3,ANTIGA_LIVRES!$1:$1,0),0)/1000,0)</f>
        <v>952286.96799999999</v>
      </c>
      <c r="C179" s="9">
        <f>IFERROR(VLOOKUP($A179,ANTIGA_LIVRES!$A:$P,MATCH(APENDICE_BCB!C$3,ANTIGA_LIVRES!$1:$1,0),0)/1000,0)</f>
        <v>491914.50699999998</v>
      </c>
      <c r="D179" s="9">
        <f>IFERROR(VLOOKUP($A179,ANTIGA_LIVRES!$A:$P,MATCH(APENDICE_BCB!D$3,ANTIGA_LIVRES!$1:$1,0),0)/1000,0)</f>
        <v>460372.46100000001</v>
      </c>
      <c r="E179" s="9">
        <f>IFERROR(VLOOKUP($A179,ANTIGA_DIRECIONADOS!$A:$P,MATCH(APENDICE_BCB!E$3,ANTIGA_DIRECIONADOS!$1:$1,0),0),0)</f>
        <v>626551</v>
      </c>
      <c r="F179" s="9">
        <f>IFERROR(VLOOKUP($A179,ANTIGA_DIRECIONADOS!$A:$P,MATCH(APENDICE_BCB!F$3,ANTIGA_DIRECIONADOS!$1:$1,0),0),0)</f>
        <v>243681</v>
      </c>
      <c r="G179" s="9">
        <f>IFERROR(VLOOKUP($A179,ANTIGA_DIRECIONADOS!$A:$P,MATCH(APENDICE_BCB!G$3,ANTIGA_DIRECIONADOS!$1:$1,0),0),0)</f>
        <v>382870</v>
      </c>
      <c r="H179" s="9">
        <f>IFERROR(VLOOKUP($A179,ATUAL_LIV_E_DIR!$A:$P,MATCH(APENDICE_BCB!H$3,ATUAL_LIV_E_DIR!$1:$1,0),0),0)</f>
        <v>1119373</v>
      </c>
      <c r="I179" s="9">
        <f>IFERROR(VLOOKUP($A179,ATUAL_LIV_E_DIR!$A:$P,MATCH(APENDICE_BCB!I$3,ATUAL_LIV_E_DIR!$1:$1,0),0),0)</f>
        <v>540988</v>
      </c>
      <c r="J179" s="9">
        <f>IFERROR(VLOOKUP($A179,ATUAL_LIV_E_DIR!$A:$P,MATCH(APENDICE_BCB!J$3,ATUAL_LIV_E_DIR!$1:$1,0),0),0)</f>
        <v>578386</v>
      </c>
      <c r="K179" s="9">
        <f>IFERROR(VLOOKUP($A179,ATUAL_LIV_E_DIR!$A:$P,MATCH(APENDICE_BCB!K$3,ATUAL_LIV_E_DIR!$1:$1,0),0),0)</f>
        <v>692755</v>
      </c>
      <c r="L179" s="9">
        <f>IFERROR(VLOOKUP($A179,ATUAL_LIV_E_DIR!$A:$P,MATCH(APENDICE_BCB!L$3,ATUAL_LIV_E_DIR!$1:$1,0),0),0)</f>
        <v>247273</v>
      </c>
      <c r="M179" s="9">
        <f>IFERROR(VLOOKUP($A179,ATUAL_LIV_E_DIR!$A:$P,MATCH(APENDICE_BCB!M$3,ATUAL_LIV_E_DIR!$1:$1,0),0),0)</f>
        <v>445482</v>
      </c>
      <c r="O179" s="11">
        <f t="shared" si="33"/>
        <v>1578837.9679999999</v>
      </c>
      <c r="P179" s="11">
        <f t="shared" si="34"/>
        <v>1812128</v>
      </c>
      <c r="Q179" s="11">
        <f t="shared" si="35"/>
        <v>874784.50699999998</v>
      </c>
      <c r="R179" s="11">
        <f t="shared" si="36"/>
        <v>986470</v>
      </c>
      <c r="S179" s="11">
        <f t="shared" si="37"/>
        <v>704053.46100000001</v>
      </c>
      <c r="T179" s="11">
        <f t="shared" si="38"/>
        <v>825659</v>
      </c>
      <c r="V179" s="7">
        <f t="shared" si="39"/>
        <v>0.44593142252074347</v>
      </c>
      <c r="W179">
        <f t="shared" si="40"/>
        <v>0.45562951402991403</v>
      </c>
      <c r="Y179" s="8">
        <f t="shared" si="41"/>
        <v>1.7641575886074623E-2</v>
      </c>
      <c r="Z179" s="8">
        <f t="shared" si="42"/>
        <v>1.6058990057118416E-2</v>
      </c>
      <c r="AE179" s="1">
        <f t="shared" si="31"/>
        <v>40664</v>
      </c>
      <c r="AF179" s="11">
        <f t="shared" si="32"/>
        <v>825659</v>
      </c>
    </row>
    <row r="180" spans="1:32" x14ac:dyDescent="0.25">
      <c r="A180" s="1">
        <v>40695</v>
      </c>
      <c r="B180" s="9">
        <f>IFERROR(VLOOKUP($A180,ANTIGA_LIVRES!$A:$P,MATCH(APENDICE_BCB!B$3,ANTIGA_LIVRES!$1:$1,0),0)/1000,0)</f>
        <v>969231.37199999997</v>
      </c>
      <c r="C180" s="9">
        <f>IFERROR(VLOOKUP($A180,ANTIGA_LIVRES!$A:$P,MATCH(APENDICE_BCB!C$3,ANTIGA_LIVRES!$1:$1,0),0)/1000,0)</f>
        <v>500662.91399999999</v>
      </c>
      <c r="D180" s="9">
        <f>IFERROR(VLOOKUP($A180,ANTIGA_LIVRES!$A:$P,MATCH(APENDICE_BCB!D$3,ANTIGA_LIVRES!$1:$1,0),0)/1000,0)</f>
        <v>468568.45799999998</v>
      </c>
      <c r="E180" s="9">
        <f>IFERROR(VLOOKUP($A180,ANTIGA_DIRECIONADOS!$A:$P,MATCH(APENDICE_BCB!E$3,ANTIGA_DIRECIONADOS!$1:$1,0),0),0)</f>
        <v>639472</v>
      </c>
      <c r="F180" s="9">
        <f>IFERROR(VLOOKUP($A180,ANTIGA_DIRECIONADOS!$A:$P,MATCH(APENDICE_BCB!F$3,ANTIGA_DIRECIONADOS!$1:$1,0),0),0)</f>
        <v>253179</v>
      </c>
      <c r="G180" s="9">
        <f>IFERROR(VLOOKUP($A180,ANTIGA_DIRECIONADOS!$A:$P,MATCH(APENDICE_BCB!G$3,ANTIGA_DIRECIONADOS!$1:$1,0),0),0)</f>
        <v>386293</v>
      </c>
      <c r="H180" s="9">
        <f>IFERROR(VLOOKUP($A180,ATUAL_LIV_E_DIR!$A:$P,MATCH(APENDICE_BCB!H$3,ATUAL_LIV_E_DIR!$1:$1,0),0),0)</f>
        <v>1135815</v>
      </c>
      <c r="I180" s="9">
        <f>IFERROR(VLOOKUP($A180,ATUAL_LIV_E_DIR!$A:$P,MATCH(APENDICE_BCB!I$3,ATUAL_LIV_E_DIR!$1:$1,0),0),0)</f>
        <v>550548</v>
      </c>
      <c r="J180" s="9">
        <f>IFERROR(VLOOKUP($A180,ATUAL_LIV_E_DIR!$A:$P,MATCH(APENDICE_BCB!J$3,ATUAL_LIV_E_DIR!$1:$1,0),0),0)</f>
        <v>585267</v>
      </c>
      <c r="K180" s="9">
        <f>IFERROR(VLOOKUP($A180,ATUAL_LIV_E_DIR!$A:$P,MATCH(APENDICE_BCB!K$3,ATUAL_LIV_E_DIR!$1:$1,0),0),0)</f>
        <v>704342</v>
      </c>
      <c r="L180" s="9">
        <f>IFERROR(VLOOKUP($A180,ATUAL_LIV_E_DIR!$A:$P,MATCH(APENDICE_BCB!L$3,ATUAL_LIV_E_DIR!$1:$1,0),0),0)</f>
        <v>252869</v>
      </c>
      <c r="M180" s="9">
        <f>IFERROR(VLOOKUP($A180,ATUAL_LIV_E_DIR!$A:$P,MATCH(APENDICE_BCB!M$3,ATUAL_LIV_E_DIR!$1:$1,0),0),0)</f>
        <v>451473</v>
      </c>
      <c r="O180" s="11">
        <f t="shared" si="33"/>
        <v>1608703.372</v>
      </c>
      <c r="P180" s="11">
        <f t="shared" si="34"/>
        <v>1840157</v>
      </c>
      <c r="Q180" s="11">
        <f t="shared" si="35"/>
        <v>886955.91399999999</v>
      </c>
      <c r="R180" s="11">
        <f t="shared" si="36"/>
        <v>1002021</v>
      </c>
      <c r="S180" s="11">
        <f t="shared" si="37"/>
        <v>721747.45799999998</v>
      </c>
      <c r="T180" s="11">
        <f t="shared" si="38"/>
        <v>838136</v>
      </c>
      <c r="V180" s="7">
        <f t="shared" si="39"/>
        <v>0.44865167224874819</v>
      </c>
      <c r="W180">
        <f t="shared" si="40"/>
        <v>0.4554698321936661</v>
      </c>
      <c r="Y180" s="8">
        <f t="shared" si="41"/>
        <v>1.8916066502905338E-2</v>
      </c>
      <c r="Z180" s="8">
        <f t="shared" si="42"/>
        <v>1.5467450422928186E-2</v>
      </c>
      <c r="AE180" s="1">
        <f t="shared" si="31"/>
        <v>40695</v>
      </c>
      <c r="AF180" s="11">
        <f t="shared" si="32"/>
        <v>838136</v>
      </c>
    </row>
    <row r="181" spans="1:32" x14ac:dyDescent="0.25">
      <c r="A181" s="1">
        <v>40725</v>
      </c>
      <c r="B181" s="9">
        <f>IFERROR(VLOOKUP($A181,ANTIGA_LIVRES!$A:$P,MATCH(APENDICE_BCB!B$3,ANTIGA_LIVRES!$1:$1,0),0)/1000,0)</f>
        <v>979457.62899999996</v>
      </c>
      <c r="C181" s="9">
        <f>IFERROR(VLOOKUP($A181,ANTIGA_LIVRES!$A:$P,MATCH(APENDICE_BCB!C$3,ANTIGA_LIVRES!$1:$1,0),0)/1000,0)</f>
        <v>503917.37</v>
      </c>
      <c r="D181" s="9">
        <f>IFERROR(VLOOKUP($A181,ANTIGA_LIVRES!$A:$P,MATCH(APENDICE_BCB!D$3,ANTIGA_LIVRES!$1:$1,0),0)/1000,0)</f>
        <v>475540.25900000002</v>
      </c>
      <c r="E181" s="9">
        <f>IFERROR(VLOOKUP($A181,ANTIGA_DIRECIONADOS!$A:$P,MATCH(APENDICE_BCB!E$3,ANTIGA_DIRECIONADOS!$1:$1,0),0),0)</f>
        <v>646282</v>
      </c>
      <c r="F181" s="9">
        <f>IFERROR(VLOOKUP($A181,ANTIGA_DIRECIONADOS!$A:$P,MATCH(APENDICE_BCB!F$3,ANTIGA_DIRECIONADOS!$1:$1,0),0),0)</f>
        <v>253559</v>
      </c>
      <c r="G181" s="9">
        <f>IFERROR(VLOOKUP($A181,ANTIGA_DIRECIONADOS!$A:$P,MATCH(APENDICE_BCB!G$3,ANTIGA_DIRECIONADOS!$1:$1,0),0),0)</f>
        <v>392723</v>
      </c>
      <c r="H181" s="9">
        <f>IFERROR(VLOOKUP($A181,ATUAL_LIV_E_DIR!$A:$P,MATCH(APENDICE_BCB!H$3,ATUAL_LIV_E_DIR!$1:$1,0),0),0)</f>
        <v>1144393</v>
      </c>
      <c r="I181" s="9">
        <f>IFERROR(VLOOKUP($A181,ATUAL_LIV_E_DIR!$A:$P,MATCH(APENDICE_BCB!I$3,ATUAL_LIV_E_DIR!$1:$1,0),0),0)</f>
        <v>553363</v>
      </c>
      <c r="J181" s="9">
        <f>IFERROR(VLOOKUP($A181,ATUAL_LIV_E_DIR!$A:$P,MATCH(APENDICE_BCB!J$3,ATUAL_LIV_E_DIR!$1:$1,0),0),0)</f>
        <v>591030</v>
      </c>
      <c r="K181" s="9">
        <f>IFERROR(VLOOKUP($A181,ATUAL_LIV_E_DIR!$A:$P,MATCH(APENDICE_BCB!K$3,ATUAL_LIV_E_DIR!$1:$1,0),0),0)</f>
        <v>717204</v>
      </c>
      <c r="L181" s="9">
        <f>IFERROR(VLOOKUP($A181,ATUAL_LIV_E_DIR!$A:$P,MATCH(APENDICE_BCB!L$3,ATUAL_LIV_E_DIR!$1:$1,0),0),0)</f>
        <v>257987</v>
      </c>
      <c r="M181" s="9">
        <f>IFERROR(VLOOKUP($A181,ATUAL_LIV_E_DIR!$A:$P,MATCH(APENDICE_BCB!M$3,ATUAL_LIV_E_DIR!$1:$1,0),0),0)</f>
        <v>459217</v>
      </c>
      <c r="O181" s="11">
        <f t="shared" si="33"/>
        <v>1625739.629</v>
      </c>
      <c r="P181" s="11">
        <f t="shared" si="34"/>
        <v>1861597</v>
      </c>
      <c r="Q181" s="11">
        <f t="shared" si="35"/>
        <v>896640.37</v>
      </c>
      <c r="R181" s="11">
        <f t="shared" si="36"/>
        <v>1012580</v>
      </c>
      <c r="S181" s="11">
        <f t="shared" si="37"/>
        <v>729099.25900000008</v>
      </c>
      <c r="T181" s="11">
        <f t="shared" si="38"/>
        <v>849017</v>
      </c>
      <c r="V181" s="7">
        <f t="shared" si="39"/>
        <v>0.44847234206160824</v>
      </c>
      <c r="W181">
        <f t="shared" si="40"/>
        <v>0.45606917071740016</v>
      </c>
      <c r="Y181" s="8">
        <f t="shared" si="41"/>
        <v>1.0590054883032884E-2</v>
      </c>
      <c r="Z181" s="8">
        <f t="shared" si="42"/>
        <v>1.1651179763465747E-2</v>
      </c>
      <c r="AE181" s="1">
        <f t="shared" si="31"/>
        <v>40725</v>
      </c>
      <c r="AF181" s="11">
        <f t="shared" si="32"/>
        <v>849017</v>
      </c>
    </row>
    <row r="182" spans="1:32" x14ac:dyDescent="0.25">
      <c r="A182" s="1">
        <v>40756</v>
      </c>
      <c r="B182" s="9">
        <f>IFERROR(VLOOKUP($A182,ANTIGA_LIVRES!$A:$P,MATCH(APENDICE_BCB!B$3,ANTIGA_LIVRES!$1:$1,0),0)/1000,0)</f>
        <v>995907.88800000004</v>
      </c>
      <c r="C182" s="9">
        <f>IFERROR(VLOOKUP($A182,ANTIGA_LIVRES!$A:$P,MATCH(APENDICE_BCB!C$3,ANTIGA_LIVRES!$1:$1,0),0)/1000,0)</f>
        <v>511997.35499999998</v>
      </c>
      <c r="D182" s="9">
        <f>IFERROR(VLOOKUP($A182,ANTIGA_LIVRES!$A:$P,MATCH(APENDICE_BCB!D$3,ANTIGA_LIVRES!$1:$1,0),0)/1000,0)</f>
        <v>483910.533</v>
      </c>
      <c r="E182" s="9">
        <f>IFERROR(VLOOKUP($A182,ANTIGA_DIRECIONADOS!$A:$P,MATCH(APENDICE_BCB!E$3,ANTIGA_DIRECIONADOS!$1:$1,0),0),0)</f>
        <v>663754</v>
      </c>
      <c r="F182" s="9">
        <f>IFERROR(VLOOKUP($A182,ANTIGA_DIRECIONADOS!$A:$P,MATCH(APENDICE_BCB!F$3,ANTIGA_DIRECIONADOS!$1:$1,0),0),0)</f>
        <v>263815</v>
      </c>
      <c r="G182" s="9">
        <f>IFERROR(VLOOKUP($A182,ANTIGA_DIRECIONADOS!$A:$P,MATCH(APENDICE_BCB!G$3,ANTIGA_DIRECIONADOS!$1:$1,0),0),0)</f>
        <v>399939</v>
      </c>
      <c r="H182" s="9">
        <f>IFERROR(VLOOKUP($A182,ATUAL_LIV_E_DIR!$A:$P,MATCH(APENDICE_BCB!H$3,ATUAL_LIV_E_DIR!$1:$1,0),0),0)</f>
        <v>1159928</v>
      </c>
      <c r="I182" s="9">
        <f>IFERROR(VLOOKUP($A182,ATUAL_LIV_E_DIR!$A:$P,MATCH(APENDICE_BCB!I$3,ATUAL_LIV_E_DIR!$1:$1,0),0),0)</f>
        <v>560004</v>
      </c>
      <c r="J182" s="9">
        <f>IFERROR(VLOOKUP($A182,ATUAL_LIV_E_DIR!$A:$P,MATCH(APENDICE_BCB!J$3,ATUAL_LIV_E_DIR!$1:$1,0),0),0)</f>
        <v>599924</v>
      </c>
      <c r="K182" s="9">
        <f>IFERROR(VLOOKUP($A182,ATUAL_LIV_E_DIR!$A:$P,MATCH(APENDICE_BCB!K$3,ATUAL_LIV_E_DIR!$1:$1,0),0),0)</f>
        <v>734785</v>
      </c>
      <c r="L182" s="9">
        <f>IFERROR(VLOOKUP($A182,ATUAL_LIV_E_DIR!$A:$P,MATCH(APENDICE_BCB!L$3,ATUAL_LIV_E_DIR!$1:$1,0),0),0)</f>
        <v>269115</v>
      </c>
      <c r="M182" s="9">
        <f>IFERROR(VLOOKUP($A182,ATUAL_LIV_E_DIR!$A:$P,MATCH(APENDICE_BCB!M$3,ATUAL_LIV_E_DIR!$1:$1,0),0),0)</f>
        <v>465670</v>
      </c>
      <c r="O182" s="11">
        <f t="shared" si="33"/>
        <v>1659661.888</v>
      </c>
      <c r="P182" s="11">
        <f t="shared" si="34"/>
        <v>1894713</v>
      </c>
      <c r="Q182" s="11">
        <f t="shared" si="35"/>
        <v>911936.35499999998</v>
      </c>
      <c r="R182" s="11">
        <f t="shared" si="36"/>
        <v>1025674</v>
      </c>
      <c r="S182" s="11">
        <f t="shared" si="37"/>
        <v>747725.53300000005</v>
      </c>
      <c r="T182" s="11">
        <f t="shared" si="38"/>
        <v>869039</v>
      </c>
      <c r="V182" s="7">
        <f t="shared" si="39"/>
        <v>0.45052883265341337</v>
      </c>
      <c r="W182">
        <f t="shared" si="40"/>
        <v>0.45866524375987289</v>
      </c>
      <c r="Y182" s="8">
        <f t="shared" si="41"/>
        <v>2.0865739134910521E-2</v>
      </c>
      <c r="Z182" s="8">
        <f t="shared" si="42"/>
        <v>1.7789027378106059E-2</v>
      </c>
      <c r="AE182" s="1">
        <f t="shared" si="31"/>
        <v>40756</v>
      </c>
      <c r="AF182" s="11">
        <f t="shared" si="32"/>
        <v>869039</v>
      </c>
    </row>
    <row r="183" spans="1:32" x14ac:dyDescent="0.25">
      <c r="A183" s="1">
        <v>40787</v>
      </c>
      <c r="B183" s="9">
        <f>IFERROR(VLOOKUP($A183,ANTIGA_LIVRES!$A:$P,MATCH(APENDICE_BCB!B$3,ANTIGA_LIVRES!$1:$1,0),0)/1000,0)</f>
        <v>1019153.747</v>
      </c>
      <c r="C183" s="9">
        <f>IFERROR(VLOOKUP($A183,ANTIGA_LIVRES!$A:$P,MATCH(APENDICE_BCB!C$3,ANTIGA_LIVRES!$1:$1,0),0)/1000,0)</f>
        <v>526909.804</v>
      </c>
      <c r="D183" s="9">
        <f>IFERROR(VLOOKUP($A183,ANTIGA_LIVRES!$A:$P,MATCH(APENDICE_BCB!D$3,ANTIGA_LIVRES!$1:$1,0),0)/1000,0)</f>
        <v>492243.94300000003</v>
      </c>
      <c r="E183" s="9">
        <f>IFERROR(VLOOKUP($A183,ANTIGA_DIRECIONADOS!$A:$P,MATCH(APENDICE_BCB!E$3,ANTIGA_DIRECIONADOS!$1:$1,0),0),0)</f>
        <v>682135</v>
      </c>
      <c r="F183" s="9">
        <f>IFERROR(VLOOKUP($A183,ANTIGA_DIRECIONADOS!$A:$P,MATCH(APENDICE_BCB!F$3,ANTIGA_DIRECIONADOS!$1:$1,0),0),0)</f>
        <v>269683</v>
      </c>
      <c r="G183" s="9">
        <f>IFERROR(VLOOKUP($A183,ANTIGA_DIRECIONADOS!$A:$P,MATCH(APENDICE_BCB!G$3,ANTIGA_DIRECIONADOS!$1:$1,0),0),0)</f>
        <v>412452</v>
      </c>
      <c r="H183" s="9">
        <f>IFERROR(VLOOKUP($A183,ATUAL_LIV_E_DIR!$A:$P,MATCH(APENDICE_BCB!H$3,ATUAL_LIV_E_DIR!$1:$1,0),0),0)</f>
        <v>1182011</v>
      </c>
      <c r="I183" s="9">
        <f>IFERROR(VLOOKUP($A183,ATUAL_LIV_E_DIR!$A:$P,MATCH(APENDICE_BCB!I$3,ATUAL_LIV_E_DIR!$1:$1,0),0),0)</f>
        <v>575035</v>
      </c>
      <c r="J183" s="9">
        <f>IFERROR(VLOOKUP($A183,ATUAL_LIV_E_DIR!$A:$P,MATCH(APENDICE_BCB!J$3,ATUAL_LIV_E_DIR!$1:$1,0),0),0)</f>
        <v>606977</v>
      </c>
      <c r="K183" s="9">
        <f>IFERROR(VLOOKUP($A183,ATUAL_LIV_E_DIR!$A:$P,MATCH(APENDICE_BCB!K$3,ATUAL_LIV_E_DIR!$1:$1,0),0),0)</f>
        <v>753770</v>
      </c>
      <c r="L183" s="9">
        <f>IFERROR(VLOOKUP($A183,ATUAL_LIV_E_DIR!$A:$P,MATCH(APENDICE_BCB!L$3,ATUAL_LIV_E_DIR!$1:$1,0),0),0)</f>
        <v>274954</v>
      </c>
      <c r="M183" s="9">
        <f>IFERROR(VLOOKUP($A183,ATUAL_LIV_E_DIR!$A:$P,MATCH(APENDICE_BCB!M$3,ATUAL_LIV_E_DIR!$1:$1,0),0),0)</f>
        <v>478815</v>
      </c>
      <c r="O183" s="11">
        <f t="shared" si="33"/>
        <v>1701288.747</v>
      </c>
      <c r="P183" s="11">
        <f t="shared" si="34"/>
        <v>1935781</v>
      </c>
      <c r="Q183" s="11">
        <f t="shared" si="35"/>
        <v>939361.804</v>
      </c>
      <c r="R183" s="11">
        <f t="shared" si="36"/>
        <v>1053850</v>
      </c>
      <c r="S183" s="11">
        <f t="shared" si="37"/>
        <v>761926.94299999997</v>
      </c>
      <c r="T183" s="11">
        <f t="shared" si="38"/>
        <v>881931</v>
      </c>
      <c r="V183" s="7">
        <f t="shared" si="39"/>
        <v>0.44785280825701013</v>
      </c>
      <c r="W183">
        <f t="shared" si="40"/>
        <v>0.45559440866502976</v>
      </c>
      <c r="Y183" s="8">
        <f t="shared" si="41"/>
        <v>2.5081529738664399E-2</v>
      </c>
      <c r="Z183" s="8">
        <f t="shared" si="42"/>
        <v>2.1675050522163453E-2</v>
      </c>
      <c r="AE183" s="1">
        <f t="shared" si="31"/>
        <v>40787</v>
      </c>
      <c r="AF183" s="11">
        <f t="shared" si="32"/>
        <v>881931</v>
      </c>
    </row>
    <row r="184" spans="1:32" x14ac:dyDescent="0.25">
      <c r="A184" s="1">
        <v>40817</v>
      </c>
      <c r="B184" s="9">
        <f>IFERROR(VLOOKUP($A184,ANTIGA_LIVRES!$A:$P,MATCH(APENDICE_BCB!B$3,ANTIGA_LIVRES!$1:$1,0),0)/1000,0)</f>
        <v>1028050.8</v>
      </c>
      <c r="C184" s="9">
        <f>IFERROR(VLOOKUP($A184,ANTIGA_LIVRES!$A:$P,MATCH(APENDICE_BCB!C$3,ANTIGA_LIVRES!$1:$1,0),0)/1000,0)</f>
        <v>529721.43700000003</v>
      </c>
      <c r="D184" s="9">
        <f>IFERROR(VLOOKUP($A184,ANTIGA_LIVRES!$A:$P,MATCH(APENDICE_BCB!D$3,ANTIGA_LIVRES!$1:$1,0),0)/1000,0)</f>
        <v>498329.36300000001</v>
      </c>
      <c r="E184" s="9">
        <f>IFERROR(VLOOKUP($A184,ANTIGA_DIRECIONADOS!$A:$P,MATCH(APENDICE_BCB!E$3,ANTIGA_DIRECIONADOS!$1:$1,0),0),0)</f>
        <v>686687</v>
      </c>
      <c r="F184" s="9">
        <f>IFERROR(VLOOKUP($A184,ANTIGA_DIRECIONADOS!$A:$P,MATCH(APENDICE_BCB!F$3,ANTIGA_DIRECIONADOS!$1:$1,0),0),0)</f>
        <v>275236</v>
      </c>
      <c r="G184" s="9">
        <f>IFERROR(VLOOKUP($A184,ANTIGA_DIRECIONADOS!$A:$P,MATCH(APENDICE_BCB!G$3,ANTIGA_DIRECIONADOS!$1:$1,0),0),0)</f>
        <v>411451</v>
      </c>
      <c r="H184" s="9">
        <f>IFERROR(VLOOKUP($A184,ATUAL_LIV_E_DIR!$A:$P,MATCH(APENDICE_BCB!H$3,ATUAL_LIV_E_DIR!$1:$1,0),0),0)</f>
        <v>1190057</v>
      </c>
      <c r="I184" s="9">
        <f>IFERROR(VLOOKUP($A184,ATUAL_LIV_E_DIR!$A:$P,MATCH(APENDICE_BCB!I$3,ATUAL_LIV_E_DIR!$1:$1,0),0),0)</f>
        <v>577573</v>
      </c>
      <c r="J184" s="9">
        <f>IFERROR(VLOOKUP($A184,ATUAL_LIV_E_DIR!$A:$P,MATCH(APENDICE_BCB!J$3,ATUAL_LIV_E_DIR!$1:$1,0),0),0)</f>
        <v>612484</v>
      </c>
      <c r="K184" s="9">
        <f>IFERROR(VLOOKUP($A184,ATUAL_LIV_E_DIR!$A:$P,MATCH(APENDICE_BCB!K$3,ATUAL_LIV_E_DIR!$1:$1,0),0),0)</f>
        <v>760601</v>
      </c>
      <c r="L184" s="9">
        <f>IFERROR(VLOOKUP($A184,ATUAL_LIV_E_DIR!$A:$P,MATCH(APENDICE_BCB!L$3,ATUAL_LIV_E_DIR!$1:$1,0),0),0)</f>
        <v>281504</v>
      </c>
      <c r="M184" s="9">
        <f>IFERROR(VLOOKUP($A184,ATUAL_LIV_E_DIR!$A:$P,MATCH(APENDICE_BCB!M$3,ATUAL_LIV_E_DIR!$1:$1,0),0),0)</f>
        <v>479097</v>
      </c>
      <c r="O184" s="11">
        <f t="shared" si="33"/>
        <v>1714737.8</v>
      </c>
      <c r="P184" s="11">
        <f t="shared" si="34"/>
        <v>1950658</v>
      </c>
      <c r="Q184" s="11">
        <f t="shared" si="35"/>
        <v>941172.43700000003</v>
      </c>
      <c r="R184" s="11">
        <f t="shared" si="36"/>
        <v>1056670</v>
      </c>
      <c r="S184" s="11">
        <f t="shared" si="37"/>
        <v>773565.36300000001</v>
      </c>
      <c r="T184" s="11">
        <f t="shared" si="38"/>
        <v>893988</v>
      </c>
      <c r="V184" s="7">
        <f t="shared" si="39"/>
        <v>0.45112749191159135</v>
      </c>
      <c r="W184">
        <f t="shared" si="40"/>
        <v>0.45830073749473255</v>
      </c>
      <c r="Y184" s="8">
        <f t="shared" si="41"/>
        <v>7.9052148106637521E-3</v>
      </c>
      <c r="Z184" s="8">
        <f t="shared" si="42"/>
        <v>7.6852701829390746E-3</v>
      </c>
      <c r="AE184" s="1">
        <f t="shared" si="31"/>
        <v>40817</v>
      </c>
      <c r="AF184" s="11">
        <f t="shared" si="32"/>
        <v>893988</v>
      </c>
    </row>
    <row r="185" spans="1:32" x14ac:dyDescent="0.25">
      <c r="A185" s="1">
        <v>40848</v>
      </c>
      <c r="B185" s="9">
        <f>IFERROR(VLOOKUP($A185,ANTIGA_LIVRES!$A:$P,MATCH(APENDICE_BCB!B$3,ANTIGA_LIVRES!$1:$1,0),0)/1000,0)</f>
        <v>1045612.77</v>
      </c>
      <c r="C185" s="9">
        <f>IFERROR(VLOOKUP($A185,ANTIGA_LIVRES!$A:$P,MATCH(APENDICE_BCB!C$3,ANTIGA_LIVRES!$1:$1,0),0)/1000,0)</f>
        <v>541418.59600000002</v>
      </c>
      <c r="D185" s="9">
        <f>IFERROR(VLOOKUP($A185,ANTIGA_LIVRES!$A:$P,MATCH(APENDICE_BCB!D$3,ANTIGA_LIVRES!$1:$1,0),0)/1000,0)</f>
        <v>504194.174</v>
      </c>
      <c r="E185" s="9">
        <f>IFERROR(VLOOKUP($A185,ANTIGA_DIRECIONADOS!$A:$P,MATCH(APENDICE_BCB!E$3,ANTIGA_DIRECIONADOS!$1:$1,0),0),0)</f>
        <v>706266</v>
      </c>
      <c r="F185" s="9">
        <f>IFERROR(VLOOKUP($A185,ANTIGA_DIRECIONADOS!$A:$P,MATCH(APENDICE_BCB!F$3,ANTIGA_DIRECIONADOS!$1:$1,0),0),0)</f>
        <v>282399</v>
      </c>
      <c r="G185" s="9">
        <f>IFERROR(VLOOKUP($A185,ANTIGA_DIRECIONADOS!$A:$P,MATCH(APENDICE_BCB!G$3,ANTIGA_DIRECIONADOS!$1:$1,0),0),0)</f>
        <v>423867</v>
      </c>
      <c r="H185" s="9">
        <f>IFERROR(VLOOKUP($A185,ATUAL_LIV_E_DIR!$A:$P,MATCH(APENDICE_BCB!H$3,ATUAL_LIV_E_DIR!$1:$1,0),0),0)</f>
        <v>1208449</v>
      </c>
      <c r="I185" s="9">
        <f>IFERROR(VLOOKUP($A185,ATUAL_LIV_E_DIR!$A:$P,MATCH(APENDICE_BCB!I$3,ATUAL_LIV_E_DIR!$1:$1,0),0),0)</f>
        <v>588361</v>
      </c>
      <c r="J185" s="9">
        <f>IFERROR(VLOOKUP($A185,ATUAL_LIV_E_DIR!$A:$P,MATCH(APENDICE_BCB!J$3,ATUAL_LIV_E_DIR!$1:$1,0),0),0)</f>
        <v>620089</v>
      </c>
      <c r="K185" s="9">
        <f>IFERROR(VLOOKUP($A185,ATUAL_LIV_E_DIR!$A:$P,MATCH(APENDICE_BCB!K$3,ATUAL_LIV_E_DIR!$1:$1,0),0),0)</f>
        <v>780163</v>
      </c>
      <c r="L185" s="9">
        <f>IFERROR(VLOOKUP($A185,ATUAL_LIV_E_DIR!$A:$P,MATCH(APENDICE_BCB!L$3,ATUAL_LIV_E_DIR!$1:$1,0),0),0)</f>
        <v>288498</v>
      </c>
      <c r="M185" s="9">
        <f>IFERROR(VLOOKUP($A185,ATUAL_LIV_E_DIR!$A:$P,MATCH(APENDICE_BCB!M$3,ATUAL_LIV_E_DIR!$1:$1,0),0),0)</f>
        <v>491666</v>
      </c>
      <c r="O185" s="11">
        <f t="shared" si="33"/>
        <v>1751878.77</v>
      </c>
      <c r="P185" s="11">
        <f t="shared" si="34"/>
        <v>1988612</v>
      </c>
      <c r="Q185" s="11">
        <f t="shared" si="35"/>
        <v>965285.59600000002</v>
      </c>
      <c r="R185" s="11">
        <f t="shared" si="36"/>
        <v>1080027</v>
      </c>
      <c r="S185" s="11">
        <f t="shared" si="37"/>
        <v>786593.174</v>
      </c>
      <c r="T185" s="11">
        <f t="shared" si="38"/>
        <v>908587</v>
      </c>
      <c r="V185" s="7">
        <f t="shared" si="39"/>
        <v>0.4489997752527134</v>
      </c>
      <c r="W185">
        <f t="shared" si="40"/>
        <v>0.45689506047434092</v>
      </c>
      <c r="Y185" s="8">
        <f t="shared" si="41"/>
        <v>2.1659853768896786E-2</v>
      </c>
      <c r="Z185" s="8">
        <f t="shared" si="42"/>
        <v>1.9457024245152166E-2</v>
      </c>
      <c r="AE185" s="1">
        <f t="shared" si="31"/>
        <v>40848</v>
      </c>
      <c r="AF185" s="11">
        <f t="shared" si="32"/>
        <v>908587</v>
      </c>
    </row>
    <row r="186" spans="1:32" x14ac:dyDescent="0.25">
      <c r="A186" s="1">
        <v>40878</v>
      </c>
      <c r="B186" s="9">
        <f>IFERROR(VLOOKUP($A186,ANTIGA_LIVRES!$A:$P,MATCH(APENDICE_BCB!B$3,ANTIGA_LIVRES!$1:$1,0),0)/1000,0)</f>
        <v>1060444.21</v>
      </c>
      <c r="C186" s="9">
        <f>IFERROR(VLOOKUP($A186,ANTIGA_LIVRES!$A:$P,MATCH(APENDICE_BCB!C$3,ANTIGA_LIVRES!$1:$1,0),0)/1000,0)</f>
        <v>554761.74</v>
      </c>
      <c r="D186" s="9">
        <f>IFERROR(VLOOKUP($A186,ANTIGA_LIVRES!$A:$P,MATCH(APENDICE_BCB!D$3,ANTIGA_LIVRES!$1:$1,0),0)/1000,0)</f>
        <v>505682.47</v>
      </c>
      <c r="E186" s="9">
        <f>IFERROR(VLOOKUP($A186,ANTIGA_DIRECIONADOS!$A:$P,MATCH(APENDICE_BCB!E$3,ANTIGA_DIRECIONADOS!$1:$1,0),0),0)</f>
        <v>725237</v>
      </c>
      <c r="F186" s="9">
        <f>IFERROR(VLOOKUP($A186,ANTIGA_DIRECIONADOS!$A:$P,MATCH(APENDICE_BCB!F$3,ANTIGA_DIRECIONADOS!$1:$1,0),0),0)</f>
        <v>289328</v>
      </c>
      <c r="G186" s="9">
        <f>IFERROR(VLOOKUP($A186,ANTIGA_DIRECIONADOS!$A:$P,MATCH(APENDICE_BCB!G$3,ANTIGA_DIRECIONADOS!$1:$1,0),0),0)</f>
        <v>435909</v>
      </c>
      <c r="H186" s="9">
        <f>IFERROR(VLOOKUP($A186,ATUAL_LIV_E_DIR!$A:$P,MATCH(APENDICE_BCB!H$3,ATUAL_LIV_E_DIR!$1:$1,0),0),0)</f>
        <v>1231641</v>
      </c>
      <c r="I186" s="9">
        <f>IFERROR(VLOOKUP($A186,ATUAL_LIV_E_DIR!$A:$P,MATCH(APENDICE_BCB!I$3,ATUAL_LIV_E_DIR!$1:$1,0),0),0)</f>
        <v>605358</v>
      </c>
      <c r="J186" s="9">
        <f>IFERROR(VLOOKUP($A186,ATUAL_LIV_E_DIR!$A:$P,MATCH(APENDICE_BCB!J$3,ATUAL_LIV_E_DIR!$1:$1,0),0),0)</f>
        <v>626283</v>
      </c>
      <c r="K186" s="9">
        <f>IFERROR(VLOOKUP($A186,ATUAL_LIV_E_DIR!$A:$P,MATCH(APENDICE_BCB!K$3,ATUAL_LIV_E_DIR!$1:$1,0),0),0)</f>
        <v>802312</v>
      </c>
      <c r="L186" s="9">
        <f>IFERROR(VLOOKUP($A186,ATUAL_LIV_E_DIR!$A:$P,MATCH(APENDICE_BCB!L$3,ATUAL_LIV_E_DIR!$1:$1,0),0),0)</f>
        <v>295315</v>
      </c>
      <c r="M186" s="9">
        <f>IFERROR(VLOOKUP($A186,ATUAL_LIV_E_DIR!$A:$P,MATCH(APENDICE_BCB!M$3,ATUAL_LIV_E_DIR!$1:$1,0),0),0)</f>
        <v>506997</v>
      </c>
      <c r="O186" s="11">
        <f t="shared" si="33"/>
        <v>1785681.21</v>
      </c>
      <c r="P186" s="11">
        <f t="shared" si="34"/>
        <v>2033953</v>
      </c>
      <c r="Q186" s="11">
        <f t="shared" si="35"/>
        <v>990670.74</v>
      </c>
      <c r="R186" s="11">
        <f t="shared" si="36"/>
        <v>1112355</v>
      </c>
      <c r="S186" s="11">
        <f t="shared" si="37"/>
        <v>795010.47</v>
      </c>
      <c r="T186" s="11">
        <f t="shared" si="38"/>
        <v>921598</v>
      </c>
      <c r="V186" s="7">
        <f t="shared" si="39"/>
        <v>0.4452141096338243</v>
      </c>
      <c r="W186">
        <f t="shared" si="40"/>
        <v>0.45310683186877965</v>
      </c>
      <c r="Y186" s="8">
        <f t="shared" si="41"/>
        <v>1.9294965256071883E-2</v>
      </c>
      <c r="Z186" s="8">
        <f t="shared" si="42"/>
        <v>2.2800325050839509E-2</v>
      </c>
      <c r="AE186" s="1">
        <f t="shared" si="31"/>
        <v>40878</v>
      </c>
      <c r="AF186" s="11">
        <f t="shared" si="32"/>
        <v>921598</v>
      </c>
    </row>
    <row r="187" spans="1:32" x14ac:dyDescent="0.25">
      <c r="A187" s="1">
        <v>40909</v>
      </c>
      <c r="B187" s="9">
        <f>IFERROR(VLOOKUP($A187,ANTIGA_LIVRES!$A:$P,MATCH(APENDICE_BCB!B$3,ANTIGA_LIVRES!$1:$1,0),0)/1000,0)</f>
        <v>1064169.6869999999</v>
      </c>
      <c r="C187" s="9">
        <f>IFERROR(VLOOKUP($A187,ANTIGA_LIVRES!$A:$P,MATCH(APENDICE_BCB!C$3,ANTIGA_LIVRES!$1:$1,0),0)/1000,0)</f>
        <v>549826.65399999998</v>
      </c>
      <c r="D187" s="9">
        <f>IFERROR(VLOOKUP($A187,ANTIGA_LIVRES!$A:$P,MATCH(APENDICE_BCB!D$3,ANTIGA_LIVRES!$1:$1,0),0)/1000,0)</f>
        <v>514343.033</v>
      </c>
      <c r="E187" s="9">
        <f>IFERROR(VLOOKUP($A187,ANTIGA_DIRECIONADOS!$A:$P,MATCH(APENDICE_BCB!E$3,ANTIGA_DIRECIONADOS!$1:$1,0),0),0)</f>
        <v>726825</v>
      </c>
      <c r="F187" s="9">
        <f>IFERROR(VLOOKUP($A187,ANTIGA_DIRECIONADOS!$A:$P,MATCH(APENDICE_BCB!F$3,ANTIGA_DIRECIONADOS!$1:$1,0),0),0)</f>
        <v>295067</v>
      </c>
      <c r="G187" s="9">
        <f>IFERROR(VLOOKUP($A187,ANTIGA_DIRECIONADOS!$A:$P,MATCH(APENDICE_BCB!G$3,ANTIGA_DIRECIONADOS!$1:$1,0),0),0)</f>
        <v>431758</v>
      </c>
      <c r="H187" s="9">
        <f>IFERROR(VLOOKUP($A187,ATUAL_LIV_E_DIR!$A:$P,MATCH(APENDICE_BCB!H$3,ATUAL_LIV_E_DIR!$1:$1,0),0),0)</f>
        <v>1228104</v>
      </c>
      <c r="I187" s="9">
        <f>IFERROR(VLOOKUP($A187,ATUAL_LIV_E_DIR!$A:$P,MATCH(APENDICE_BCB!I$3,ATUAL_LIV_E_DIR!$1:$1,0),0),0)</f>
        <v>595664</v>
      </c>
      <c r="J187" s="9">
        <f>IFERROR(VLOOKUP($A187,ATUAL_LIV_E_DIR!$A:$P,MATCH(APENDICE_BCB!J$3,ATUAL_LIV_E_DIR!$1:$1,0),0),0)</f>
        <v>632440</v>
      </c>
      <c r="K187" s="9">
        <f>IFERROR(VLOOKUP($A187,ATUAL_LIV_E_DIR!$A:$P,MATCH(APENDICE_BCB!K$3,ATUAL_LIV_E_DIR!$1:$1,0),0),0)</f>
        <v>805081</v>
      </c>
      <c r="L187" s="9">
        <f>IFERROR(VLOOKUP($A187,ATUAL_LIV_E_DIR!$A:$P,MATCH(APENDICE_BCB!L$3,ATUAL_LIV_E_DIR!$1:$1,0),0),0)</f>
        <v>301681</v>
      </c>
      <c r="M187" s="9">
        <f>IFERROR(VLOOKUP($A187,ATUAL_LIV_E_DIR!$A:$P,MATCH(APENDICE_BCB!M$3,ATUAL_LIV_E_DIR!$1:$1,0),0),0)</f>
        <v>503400</v>
      </c>
      <c r="O187" s="11">
        <f t="shared" si="33"/>
        <v>1790994.6869999999</v>
      </c>
      <c r="P187" s="11">
        <f t="shared" si="34"/>
        <v>2033185</v>
      </c>
      <c r="Q187" s="11">
        <f t="shared" si="35"/>
        <v>981584.65399999998</v>
      </c>
      <c r="R187" s="11">
        <f t="shared" si="36"/>
        <v>1099064</v>
      </c>
      <c r="S187" s="11">
        <f t="shared" si="37"/>
        <v>809410.03300000005</v>
      </c>
      <c r="T187" s="11">
        <f t="shared" si="38"/>
        <v>934121</v>
      </c>
      <c r="V187" s="7">
        <f t="shared" si="39"/>
        <v>0.45193324071541485</v>
      </c>
      <c r="W187">
        <f t="shared" si="40"/>
        <v>0.45943728681846463</v>
      </c>
      <c r="Y187" s="8">
        <f t="shared" si="41"/>
        <v>2.9756022352949163E-3</v>
      </c>
      <c r="Z187" s="8">
        <f t="shared" si="42"/>
        <v>-3.775898459796867E-4</v>
      </c>
      <c r="AE187" s="1">
        <f t="shared" si="31"/>
        <v>40909</v>
      </c>
      <c r="AF187" s="11">
        <f t="shared" si="32"/>
        <v>934121</v>
      </c>
    </row>
    <row r="188" spans="1:32" x14ac:dyDescent="0.25">
      <c r="A188" s="1">
        <v>40940</v>
      </c>
      <c r="B188" s="9">
        <f>IFERROR(VLOOKUP($A188,ANTIGA_LIVRES!$A:$P,MATCH(APENDICE_BCB!B$3,ANTIGA_LIVRES!$1:$1,0),0)/1000,0)</f>
        <v>1071105.933</v>
      </c>
      <c r="C188" s="9">
        <f>IFERROR(VLOOKUP($A188,ANTIGA_LIVRES!$A:$P,MATCH(APENDICE_BCB!C$3,ANTIGA_LIVRES!$1:$1,0),0)/1000,0)</f>
        <v>550130.33700000006</v>
      </c>
      <c r="D188" s="9">
        <f>IFERROR(VLOOKUP($A188,ANTIGA_LIVRES!$A:$P,MATCH(APENDICE_BCB!D$3,ANTIGA_LIVRES!$1:$1,0),0)/1000,0)</f>
        <v>520975.59600000002</v>
      </c>
      <c r="E188" s="9">
        <f>IFERROR(VLOOKUP($A188,ANTIGA_DIRECIONADOS!$A:$P,MATCH(APENDICE_BCB!E$3,ANTIGA_DIRECIONADOS!$1:$1,0),0),0)</f>
        <v>731633</v>
      </c>
      <c r="F188" s="9">
        <f>IFERROR(VLOOKUP($A188,ANTIGA_DIRECIONADOS!$A:$P,MATCH(APENDICE_BCB!F$3,ANTIGA_DIRECIONADOS!$1:$1,0),0),0)</f>
        <v>299258</v>
      </c>
      <c r="G188" s="9">
        <f>IFERROR(VLOOKUP($A188,ANTIGA_DIRECIONADOS!$A:$P,MATCH(APENDICE_BCB!G$3,ANTIGA_DIRECIONADOS!$1:$1,0),0),0)</f>
        <v>432375</v>
      </c>
      <c r="H188" s="9">
        <f>IFERROR(VLOOKUP($A188,ATUAL_LIV_E_DIR!$A:$P,MATCH(APENDICE_BCB!H$3,ATUAL_LIV_E_DIR!$1:$1,0),0),0)</f>
        <v>1235296</v>
      </c>
      <c r="I188" s="9">
        <f>IFERROR(VLOOKUP($A188,ATUAL_LIV_E_DIR!$A:$P,MATCH(APENDICE_BCB!I$3,ATUAL_LIV_E_DIR!$1:$1,0),0),0)</f>
        <v>600914</v>
      </c>
      <c r="J188" s="9">
        <f>IFERROR(VLOOKUP($A188,ATUAL_LIV_E_DIR!$A:$P,MATCH(APENDICE_BCB!J$3,ATUAL_LIV_E_DIR!$1:$1,0),0),0)</f>
        <v>634382</v>
      </c>
      <c r="K188" s="9">
        <f>IFERROR(VLOOKUP($A188,ATUAL_LIV_E_DIR!$A:$P,MATCH(APENDICE_BCB!K$3,ATUAL_LIV_E_DIR!$1:$1,0),0),0)</f>
        <v>805745</v>
      </c>
      <c r="L188" s="9">
        <f>IFERROR(VLOOKUP($A188,ATUAL_LIV_E_DIR!$A:$P,MATCH(APENDICE_BCB!L$3,ATUAL_LIV_E_DIR!$1:$1,0),0),0)</f>
        <v>306739</v>
      </c>
      <c r="M188" s="9">
        <f>IFERROR(VLOOKUP($A188,ATUAL_LIV_E_DIR!$A:$P,MATCH(APENDICE_BCB!M$3,ATUAL_LIV_E_DIR!$1:$1,0),0),0)</f>
        <v>499006</v>
      </c>
      <c r="O188" s="11">
        <f t="shared" si="33"/>
        <v>1802738.933</v>
      </c>
      <c r="P188" s="11">
        <f t="shared" si="34"/>
        <v>2041041</v>
      </c>
      <c r="Q188" s="11">
        <f t="shared" si="35"/>
        <v>982505.33700000006</v>
      </c>
      <c r="R188" s="11">
        <f t="shared" si="36"/>
        <v>1099920</v>
      </c>
      <c r="S188" s="11">
        <f t="shared" si="37"/>
        <v>820233.59600000002</v>
      </c>
      <c r="T188" s="11">
        <f t="shared" si="38"/>
        <v>941121</v>
      </c>
      <c r="V188" s="7">
        <f t="shared" si="39"/>
        <v>0.45499300036474</v>
      </c>
      <c r="W188">
        <f t="shared" si="40"/>
        <v>0.46109852766308956</v>
      </c>
      <c r="Y188" s="8">
        <f t="shared" si="41"/>
        <v>6.5573874033497681E-3</v>
      </c>
      <c r="Z188" s="8">
        <f t="shared" si="42"/>
        <v>3.8638884312052202E-3</v>
      </c>
      <c r="AE188" s="1">
        <f t="shared" si="31"/>
        <v>40940</v>
      </c>
      <c r="AF188" s="11">
        <f t="shared" si="32"/>
        <v>941121</v>
      </c>
    </row>
    <row r="189" spans="1:32" x14ac:dyDescent="0.25">
      <c r="A189" s="1">
        <v>40969</v>
      </c>
      <c r="B189" s="9">
        <f>IFERROR(VLOOKUP($A189,ANTIGA_LIVRES!$A:$P,MATCH(APENDICE_BCB!B$3,ANTIGA_LIVRES!$1:$1,0),0)/1000,0)</f>
        <v>1090024.719</v>
      </c>
      <c r="C189" s="9">
        <f>IFERROR(VLOOKUP($A189,ANTIGA_LIVRES!$A:$P,MATCH(APENDICE_BCB!C$3,ANTIGA_LIVRES!$1:$1,0),0)/1000,0)</f>
        <v>564856.84699999995</v>
      </c>
      <c r="D189" s="9">
        <f>IFERROR(VLOOKUP($A189,ANTIGA_LIVRES!$A:$P,MATCH(APENDICE_BCB!D$3,ANTIGA_LIVRES!$1:$1,0),0)/1000,0)</f>
        <v>525167.87199999997</v>
      </c>
      <c r="E189" s="9">
        <f>IFERROR(VLOOKUP($A189,ANTIGA_DIRECIONADOS!$A:$P,MATCH(APENDICE_BCB!E$3,ANTIGA_DIRECIONADOS!$1:$1,0),0),0)</f>
        <v>743474</v>
      </c>
      <c r="F189" s="9">
        <f>IFERROR(VLOOKUP($A189,ANTIGA_DIRECIONADOS!$A:$P,MATCH(APENDICE_BCB!F$3,ANTIGA_DIRECIONADOS!$1:$1,0),0),0)</f>
        <v>305928</v>
      </c>
      <c r="G189" s="9">
        <f>IFERROR(VLOOKUP($A189,ANTIGA_DIRECIONADOS!$A:$P,MATCH(APENDICE_BCB!G$3,ANTIGA_DIRECIONADOS!$1:$1,0),0),0)</f>
        <v>437546</v>
      </c>
      <c r="H189" s="9">
        <f>IFERROR(VLOOKUP($A189,ATUAL_LIV_E_DIR!$A:$P,MATCH(APENDICE_BCB!H$3,ATUAL_LIV_E_DIR!$1:$1,0),0),0)</f>
        <v>1258914</v>
      </c>
      <c r="I189" s="9">
        <f>IFERROR(VLOOKUP($A189,ATUAL_LIV_E_DIR!$A:$P,MATCH(APENDICE_BCB!I$3,ATUAL_LIV_E_DIR!$1:$1,0),0),0)</f>
        <v>619915</v>
      </c>
      <c r="J189" s="9">
        <f>IFERROR(VLOOKUP($A189,ATUAL_LIV_E_DIR!$A:$P,MATCH(APENDICE_BCB!J$3,ATUAL_LIV_E_DIR!$1:$1,0),0),0)</f>
        <v>638999</v>
      </c>
      <c r="K189" s="9">
        <f>IFERROR(VLOOKUP($A189,ATUAL_LIV_E_DIR!$A:$P,MATCH(APENDICE_BCB!K$3,ATUAL_LIV_E_DIR!$1:$1,0),0),0)</f>
        <v>819998</v>
      </c>
      <c r="L189" s="9">
        <f>IFERROR(VLOOKUP($A189,ATUAL_LIV_E_DIR!$A:$P,MATCH(APENDICE_BCB!L$3,ATUAL_LIV_E_DIR!$1:$1,0),0),0)</f>
        <v>314172</v>
      </c>
      <c r="M189" s="9">
        <f>IFERROR(VLOOKUP($A189,ATUAL_LIV_E_DIR!$A:$P,MATCH(APENDICE_BCB!M$3,ATUAL_LIV_E_DIR!$1:$1,0),0),0)</f>
        <v>505825</v>
      </c>
      <c r="O189" s="11">
        <f t="shared" si="33"/>
        <v>1833498.719</v>
      </c>
      <c r="P189" s="11">
        <f t="shared" si="34"/>
        <v>2078912</v>
      </c>
      <c r="Q189" s="11">
        <f t="shared" si="35"/>
        <v>1002402.847</v>
      </c>
      <c r="R189" s="11">
        <f t="shared" si="36"/>
        <v>1125740</v>
      </c>
      <c r="S189" s="11">
        <f t="shared" si="37"/>
        <v>831095.87199999997</v>
      </c>
      <c r="T189" s="11">
        <f t="shared" si="38"/>
        <v>953171</v>
      </c>
      <c r="V189" s="7">
        <f t="shared" si="39"/>
        <v>0.45328413016469632</v>
      </c>
      <c r="W189">
        <f t="shared" si="40"/>
        <v>0.45849511667641535</v>
      </c>
      <c r="Y189" s="8">
        <f t="shared" si="41"/>
        <v>1.706280673087357E-2</v>
      </c>
      <c r="Z189" s="8">
        <f t="shared" si="42"/>
        <v>1.855474730786888E-2</v>
      </c>
      <c r="AE189" s="1">
        <f t="shared" si="31"/>
        <v>40969</v>
      </c>
      <c r="AF189" s="11">
        <f t="shared" si="32"/>
        <v>953171</v>
      </c>
    </row>
    <row r="190" spans="1:32" x14ac:dyDescent="0.25">
      <c r="A190" s="1">
        <v>41000</v>
      </c>
      <c r="B190" s="9">
        <f>IFERROR(VLOOKUP($A190,ANTIGA_LIVRES!$A:$P,MATCH(APENDICE_BCB!B$3,ANTIGA_LIVRES!$1:$1,0),0)/1000,0)</f>
        <v>1107541.1939999999</v>
      </c>
      <c r="C190" s="9">
        <f>IFERROR(VLOOKUP($A190,ANTIGA_LIVRES!$A:$P,MATCH(APENDICE_BCB!C$3,ANTIGA_LIVRES!$1:$1,0),0)/1000,0)</f>
        <v>575856.076</v>
      </c>
      <c r="D190" s="9">
        <f>IFERROR(VLOOKUP($A190,ANTIGA_LIVRES!$A:$P,MATCH(APENDICE_BCB!D$3,ANTIGA_LIVRES!$1:$1,0),0)/1000,0)</f>
        <v>531685.11800000002</v>
      </c>
      <c r="E190" s="9">
        <f>IFERROR(VLOOKUP($A190,ANTIGA_DIRECIONADOS!$A:$P,MATCH(APENDICE_BCB!E$3,ANTIGA_DIRECIONADOS!$1:$1,0),0),0)</f>
        <v>752194</v>
      </c>
      <c r="F190" s="9">
        <f>IFERROR(VLOOKUP($A190,ANTIGA_DIRECIONADOS!$A:$P,MATCH(APENDICE_BCB!F$3,ANTIGA_DIRECIONADOS!$1:$1,0),0),0)</f>
        <v>310372</v>
      </c>
      <c r="G190" s="9">
        <f>IFERROR(VLOOKUP($A190,ANTIGA_DIRECIONADOS!$A:$P,MATCH(APENDICE_BCB!G$3,ANTIGA_DIRECIONADOS!$1:$1,0),0),0)</f>
        <v>441822</v>
      </c>
      <c r="H190" s="9">
        <f>IFERROR(VLOOKUP($A190,ATUAL_LIV_E_DIR!$A:$P,MATCH(APENDICE_BCB!H$3,ATUAL_LIV_E_DIR!$1:$1,0),0),0)</f>
        <v>1274615</v>
      </c>
      <c r="I190" s="9">
        <f>IFERROR(VLOOKUP($A190,ATUAL_LIV_E_DIR!$A:$P,MATCH(APENDICE_BCB!I$3,ATUAL_LIV_E_DIR!$1:$1,0),0),0)</f>
        <v>629676</v>
      </c>
      <c r="J190" s="9">
        <f>IFERROR(VLOOKUP($A190,ATUAL_LIV_E_DIR!$A:$P,MATCH(APENDICE_BCB!J$3,ATUAL_LIV_E_DIR!$1:$1,0),0),0)</f>
        <v>644939</v>
      </c>
      <c r="K190" s="9">
        <f>IFERROR(VLOOKUP($A190,ATUAL_LIV_E_DIR!$A:$P,MATCH(APENDICE_BCB!K$3,ATUAL_LIV_E_DIR!$1:$1,0),0),0)</f>
        <v>831971</v>
      </c>
      <c r="L190" s="9">
        <f>IFERROR(VLOOKUP($A190,ATUAL_LIV_E_DIR!$A:$P,MATCH(APENDICE_BCB!L$3,ATUAL_LIV_E_DIR!$1:$1,0),0),0)</f>
        <v>319915</v>
      </c>
      <c r="M190" s="9">
        <f>IFERROR(VLOOKUP($A190,ATUAL_LIV_E_DIR!$A:$P,MATCH(APENDICE_BCB!M$3,ATUAL_LIV_E_DIR!$1:$1,0),0),0)</f>
        <v>512055</v>
      </c>
      <c r="O190" s="11">
        <f t="shared" si="33"/>
        <v>1859735.1939999999</v>
      </c>
      <c r="P190" s="11">
        <f t="shared" si="34"/>
        <v>2106586</v>
      </c>
      <c r="Q190" s="11">
        <f t="shared" si="35"/>
        <v>1017678.076</v>
      </c>
      <c r="R190" s="11">
        <f t="shared" si="36"/>
        <v>1141731</v>
      </c>
      <c r="S190" s="11">
        <f t="shared" si="37"/>
        <v>842057.11800000002</v>
      </c>
      <c r="T190" s="11">
        <f t="shared" si="38"/>
        <v>964854</v>
      </c>
      <c r="V190" s="7">
        <f t="shared" si="39"/>
        <v>0.45278334287413613</v>
      </c>
      <c r="W190">
        <f t="shared" si="40"/>
        <v>0.4580178544811368</v>
      </c>
      <c r="Y190" s="8">
        <f t="shared" si="41"/>
        <v>1.4309513679022112E-2</v>
      </c>
      <c r="Z190" s="8">
        <f t="shared" si="42"/>
        <v>1.3311770772403975E-2</v>
      </c>
      <c r="AE190" s="1">
        <f t="shared" si="31"/>
        <v>41000</v>
      </c>
      <c r="AF190" s="11">
        <f t="shared" si="32"/>
        <v>964854</v>
      </c>
    </row>
    <row r="191" spans="1:32" x14ac:dyDescent="0.25">
      <c r="A191" s="1">
        <v>41030</v>
      </c>
      <c r="B191" s="9">
        <f>IFERROR(VLOOKUP($A191,ANTIGA_LIVRES!$A:$P,MATCH(APENDICE_BCB!B$3,ANTIGA_LIVRES!$1:$1,0),0)/1000,0)</f>
        <v>1124213.358</v>
      </c>
      <c r="C191" s="9">
        <f>IFERROR(VLOOKUP($A191,ANTIGA_LIVRES!$A:$P,MATCH(APENDICE_BCB!C$3,ANTIGA_LIVRES!$1:$1,0),0)/1000,0)</f>
        <v>587255.74899999995</v>
      </c>
      <c r="D191" s="9">
        <f>IFERROR(VLOOKUP($A191,ANTIGA_LIVRES!$A:$P,MATCH(APENDICE_BCB!D$3,ANTIGA_LIVRES!$1:$1,0),0)/1000,0)</f>
        <v>536957.60900000005</v>
      </c>
      <c r="E191" s="9">
        <f>IFERROR(VLOOKUP($A191,ANTIGA_DIRECIONADOS!$A:$P,MATCH(APENDICE_BCB!E$3,ANTIGA_DIRECIONADOS!$1:$1,0),0),0)</f>
        <v>767301</v>
      </c>
      <c r="F191" s="9">
        <f>IFERROR(VLOOKUP($A191,ANTIGA_DIRECIONADOS!$A:$P,MATCH(APENDICE_BCB!F$3,ANTIGA_DIRECIONADOS!$1:$1,0),0),0)</f>
        <v>317987</v>
      </c>
      <c r="G191" s="9">
        <f>IFERROR(VLOOKUP($A191,ANTIGA_DIRECIONADOS!$A:$P,MATCH(APENDICE_BCB!G$3,ANTIGA_DIRECIONADOS!$1:$1,0),0),0)</f>
        <v>449314</v>
      </c>
      <c r="H191" s="9">
        <f>IFERROR(VLOOKUP($A191,ATUAL_LIV_E_DIR!$A:$P,MATCH(APENDICE_BCB!H$3,ATUAL_LIV_E_DIR!$1:$1,0),0),0)</f>
        <v>1294570</v>
      </c>
      <c r="I191" s="9">
        <f>IFERROR(VLOOKUP($A191,ATUAL_LIV_E_DIR!$A:$P,MATCH(APENDICE_BCB!I$3,ATUAL_LIV_E_DIR!$1:$1,0),0),0)</f>
        <v>640205</v>
      </c>
      <c r="J191" s="9">
        <f>IFERROR(VLOOKUP($A191,ATUAL_LIV_E_DIR!$A:$P,MATCH(APENDICE_BCB!J$3,ATUAL_LIV_E_DIR!$1:$1,0),0),0)</f>
        <v>654365</v>
      </c>
      <c r="K191" s="9">
        <f>IFERROR(VLOOKUP($A191,ATUAL_LIV_E_DIR!$A:$P,MATCH(APENDICE_BCB!K$3,ATUAL_LIV_E_DIR!$1:$1,0),0),0)</f>
        <v>847491</v>
      </c>
      <c r="L191" s="9">
        <f>IFERROR(VLOOKUP($A191,ATUAL_LIV_E_DIR!$A:$P,MATCH(APENDICE_BCB!L$3,ATUAL_LIV_E_DIR!$1:$1,0),0),0)</f>
        <v>326463</v>
      </c>
      <c r="M191" s="9">
        <f>IFERROR(VLOOKUP($A191,ATUAL_LIV_E_DIR!$A:$P,MATCH(APENDICE_BCB!M$3,ATUAL_LIV_E_DIR!$1:$1,0),0),0)</f>
        <v>521027</v>
      </c>
      <c r="O191" s="11">
        <f t="shared" si="33"/>
        <v>1891514.358</v>
      </c>
      <c r="P191" s="11">
        <f t="shared" si="34"/>
        <v>2142061</v>
      </c>
      <c r="Q191" s="11">
        <f t="shared" si="35"/>
        <v>1036569.749</v>
      </c>
      <c r="R191" s="11">
        <f t="shared" si="36"/>
        <v>1161232</v>
      </c>
      <c r="S191" s="11">
        <f t="shared" si="37"/>
        <v>854944.60900000005</v>
      </c>
      <c r="T191" s="11">
        <f t="shared" si="38"/>
        <v>980828</v>
      </c>
      <c r="V191" s="7">
        <f t="shared" si="39"/>
        <v>0.4519894894712716</v>
      </c>
      <c r="W191">
        <f t="shared" si="40"/>
        <v>0.45788985467734111</v>
      </c>
      <c r="Y191" s="8">
        <f t="shared" si="41"/>
        <v>1.7088004842048532E-2</v>
      </c>
      <c r="Z191" s="8">
        <f t="shared" si="42"/>
        <v>1.6840043558630002E-2</v>
      </c>
      <c r="AE191" s="1">
        <f t="shared" si="31"/>
        <v>41030</v>
      </c>
      <c r="AF191" s="11">
        <f t="shared" si="32"/>
        <v>980828</v>
      </c>
    </row>
    <row r="192" spans="1:32" x14ac:dyDescent="0.25">
      <c r="A192" s="1">
        <v>41061</v>
      </c>
      <c r="B192" s="9">
        <f>IFERROR(VLOOKUP($A192,ANTIGA_LIVRES!$A:$P,MATCH(APENDICE_BCB!B$3,ANTIGA_LIVRES!$1:$1,0),0)/1000,0)</f>
        <v>1144670.1310000001</v>
      </c>
      <c r="C192" s="9">
        <f>IFERROR(VLOOKUP($A192,ANTIGA_LIVRES!$A:$P,MATCH(APENDICE_BCB!C$3,ANTIGA_LIVRES!$1:$1,0),0)/1000,0)</f>
        <v>598603.15</v>
      </c>
      <c r="D192" s="9">
        <f>IFERROR(VLOOKUP($A192,ANTIGA_LIVRES!$A:$P,MATCH(APENDICE_BCB!D$3,ANTIGA_LIVRES!$1:$1,0),0)/1000,0)</f>
        <v>546066.98100000003</v>
      </c>
      <c r="E192" s="9">
        <f>IFERROR(VLOOKUP($A192,ANTIGA_DIRECIONADOS!$A:$P,MATCH(APENDICE_BCB!E$3,ANTIGA_DIRECIONADOS!$1:$1,0),0),0)</f>
        <v>777552</v>
      </c>
      <c r="F192" s="9">
        <f>IFERROR(VLOOKUP($A192,ANTIGA_DIRECIONADOS!$A:$P,MATCH(APENDICE_BCB!F$3,ANTIGA_DIRECIONADOS!$1:$1,0),0),0)</f>
        <v>326108</v>
      </c>
      <c r="G192" s="9">
        <f>IFERROR(VLOOKUP($A192,ANTIGA_DIRECIONADOS!$A:$P,MATCH(APENDICE_BCB!G$3,ANTIGA_DIRECIONADOS!$1:$1,0),0),0)</f>
        <v>451444</v>
      </c>
      <c r="H192" s="9">
        <f>IFERROR(VLOOKUP($A192,ATUAL_LIV_E_DIR!$A:$P,MATCH(APENDICE_BCB!H$3,ATUAL_LIV_E_DIR!$1:$1,0),0),0)</f>
        <v>1316052</v>
      </c>
      <c r="I192" s="9">
        <f>IFERROR(VLOOKUP($A192,ATUAL_LIV_E_DIR!$A:$P,MATCH(APENDICE_BCB!I$3,ATUAL_LIV_E_DIR!$1:$1,0),0),0)</f>
        <v>656003</v>
      </c>
      <c r="J192" s="9">
        <f>IFERROR(VLOOKUP($A192,ATUAL_LIV_E_DIR!$A:$P,MATCH(APENDICE_BCB!J$3,ATUAL_LIV_E_DIR!$1:$1,0),0),0)</f>
        <v>660049</v>
      </c>
      <c r="K192" s="9">
        <f>IFERROR(VLOOKUP($A192,ATUAL_LIV_E_DIR!$A:$P,MATCH(APENDICE_BCB!K$3,ATUAL_LIV_E_DIR!$1:$1,0),0),0)</f>
        <v>859084</v>
      </c>
      <c r="L192" s="9">
        <f>IFERROR(VLOOKUP($A192,ATUAL_LIV_E_DIR!$A:$P,MATCH(APENDICE_BCB!L$3,ATUAL_LIV_E_DIR!$1:$1,0),0),0)</f>
        <v>334088</v>
      </c>
      <c r="M192" s="9">
        <f>IFERROR(VLOOKUP($A192,ATUAL_LIV_E_DIR!$A:$P,MATCH(APENDICE_BCB!M$3,ATUAL_LIV_E_DIR!$1:$1,0),0),0)</f>
        <v>524995</v>
      </c>
      <c r="O192" s="11">
        <f t="shared" si="33"/>
        <v>1922222.1310000001</v>
      </c>
      <c r="P192" s="11">
        <f t="shared" si="34"/>
        <v>2175136</v>
      </c>
      <c r="Q192" s="11">
        <f t="shared" si="35"/>
        <v>1050047.1499999999</v>
      </c>
      <c r="R192" s="11">
        <f t="shared" si="36"/>
        <v>1180998</v>
      </c>
      <c r="S192" s="11">
        <f t="shared" si="37"/>
        <v>872174.98100000003</v>
      </c>
      <c r="T192" s="11">
        <f t="shared" si="38"/>
        <v>994137</v>
      </c>
      <c r="V192" s="7">
        <f t="shared" si="39"/>
        <v>0.45373267060777589</v>
      </c>
      <c r="W192">
        <f t="shared" si="40"/>
        <v>0.4570459042561017</v>
      </c>
      <c r="Y192" s="8">
        <f t="shared" si="41"/>
        <v>1.6234491094463177E-2</v>
      </c>
      <c r="Z192" s="8">
        <f t="shared" si="42"/>
        <v>1.5440736748393302E-2</v>
      </c>
      <c r="AE192" s="1">
        <f t="shared" si="31"/>
        <v>41061</v>
      </c>
      <c r="AF192" s="11">
        <f t="shared" si="32"/>
        <v>994137</v>
      </c>
    </row>
    <row r="193" spans="1:32" x14ac:dyDescent="0.25">
      <c r="A193" s="1">
        <v>41091</v>
      </c>
      <c r="B193" s="9">
        <f>IFERROR(VLOOKUP($A193,ANTIGA_LIVRES!$A:$P,MATCH(APENDICE_BCB!B$3,ANTIGA_LIVRES!$1:$1,0),0)/1000,0)</f>
        <v>1150265.1680000001</v>
      </c>
      <c r="C193" s="9">
        <f>IFERROR(VLOOKUP($A193,ANTIGA_LIVRES!$A:$P,MATCH(APENDICE_BCB!C$3,ANTIGA_LIVRES!$1:$1,0),0)/1000,0)</f>
        <v>599147.04299999995</v>
      </c>
      <c r="D193" s="9">
        <f>IFERROR(VLOOKUP($A193,ANTIGA_LIVRES!$A:$P,MATCH(APENDICE_BCB!D$3,ANTIGA_LIVRES!$1:$1,0),0)/1000,0)</f>
        <v>551118.125</v>
      </c>
      <c r="E193" s="9">
        <f>IFERROR(VLOOKUP($A193,ANTIGA_DIRECIONADOS!$A:$P,MATCH(APENDICE_BCB!E$3,ANTIGA_DIRECIONADOS!$1:$1,0),0),0)</f>
        <v>787844</v>
      </c>
      <c r="F193" s="9">
        <f>IFERROR(VLOOKUP($A193,ANTIGA_DIRECIONADOS!$A:$P,MATCH(APENDICE_BCB!F$3,ANTIGA_DIRECIONADOS!$1:$1,0),0),0)</f>
        <v>329188</v>
      </c>
      <c r="G193" s="9">
        <f>IFERROR(VLOOKUP($A193,ANTIGA_DIRECIONADOS!$A:$P,MATCH(APENDICE_BCB!G$3,ANTIGA_DIRECIONADOS!$1:$1,0),0),0)</f>
        <v>458656</v>
      </c>
      <c r="H193" s="9">
        <f>IFERROR(VLOOKUP($A193,ATUAL_LIV_E_DIR!$A:$P,MATCH(APENDICE_BCB!H$3,ATUAL_LIV_E_DIR!$1:$1,0),0),0)</f>
        <v>1321059</v>
      </c>
      <c r="I193" s="9">
        <f>IFERROR(VLOOKUP($A193,ATUAL_LIV_E_DIR!$A:$P,MATCH(APENDICE_BCB!I$3,ATUAL_LIV_E_DIR!$1:$1,0),0),0)</f>
        <v>655152</v>
      </c>
      <c r="J193" s="9">
        <f>IFERROR(VLOOKUP($A193,ATUAL_LIV_E_DIR!$A:$P,MATCH(APENDICE_BCB!J$3,ATUAL_LIV_E_DIR!$1:$1,0),0),0)</f>
        <v>665907</v>
      </c>
      <c r="K193" s="9">
        <f>IFERROR(VLOOKUP($A193,ATUAL_LIV_E_DIR!$A:$P,MATCH(APENDICE_BCB!K$3,ATUAL_LIV_E_DIR!$1:$1,0),0),0)</f>
        <v>871829</v>
      </c>
      <c r="L193" s="9">
        <f>IFERROR(VLOOKUP($A193,ATUAL_LIV_E_DIR!$A:$P,MATCH(APENDICE_BCB!L$3,ATUAL_LIV_E_DIR!$1:$1,0),0),0)</f>
        <v>338277</v>
      </c>
      <c r="M193" s="9">
        <f>IFERROR(VLOOKUP($A193,ATUAL_LIV_E_DIR!$A:$P,MATCH(APENDICE_BCB!M$3,ATUAL_LIV_E_DIR!$1:$1,0),0),0)</f>
        <v>533552</v>
      </c>
      <c r="O193" s="11">
        <f t="shared" si="33"/>
        <v>1938109.1680000001</v>
      </c>
      <c r="P193" s="11">
        <f t="shared" si="34"/>
        <v>2192888</v>
      </c>
      <c r="Q193" s="11">
        <f t="shared" si="35"/>
        <v>1057803.0430000001</v>
      </c>
      <c r="R193" s="11">
        <f t="shared" si="36"/>
        <v>1188704</v>
      </c>
      <c r="S193" s="11">
        <f t="shared" si="37"/>
        <v>880306.125</v>
      </c>
      <c r="T193" s="11">
        <f t="shared" si="38"/>
        <v>1004184</v>
      </c>
      <c r="V193" s="7">
        <f t="shared" si="39"/>
        <v>0.45420874093919977</v>
      </c>
      <c r="W193">
        <f t="shared" si="40"/>
        <v>0.45792762785878716</v>
      </c>
      <c r="Y193" s="8">
        <f t="shared" si="41"/>
        <v>8.2649329355786172E-3</v>
      </c>
      <c r="Z193" s="8">
        <f t="shared" si="42"/>
        <v>8.1613287628912179E-3</v>
      </c>
      <c r="AE193" s="1">
        <f t="shared" si="31"/>
        <v>41091</v>
      </c>
      <c r="AF193" s="11">
        <f t="shared" si="32"/>
        <v>1004184</v>
      </c>
    </row>
    <row r="194" spans="1:32" x14ac:dyDescent="0.25">
      <c r="A194" s="1">
        <v>41122</v>
      </c>
      <c r="B194" s="9">
        <f>IFERROR(VLOOKUP($A194,ANTIGA_LIVRES!$A:$P,MATCH(APENDICE_BCB!B$3,ANTIGA_LIVRES!$1:$1,0),0)/1000,0)</f>
        <v>1162818.885</v>
      </c>
      <c r="C194" s="9">
        <f>IFERROR(VLOOKUP($A194,ANTIGA_LIVRES!$A:$P,MATCH(APENDICE_BCB!C$3,ANTIGA_LIVRES!$1:$1,0),0)/1000,0)</f>
        <v>604093.40800000005</v>
      </c>
      <c r="D194" s="9">
        <f>IFERROR(VLOOKUP($A194,ANTIGA_LIVRES!$A:$P,MATCH(APENDICE_BCB!D$3,ANTIGA_LIVRES!$1:$1,0),0)/1000,0)</f>
        <v>558725.47699999996</v>
      </c>
      <c r="E194" s="9">
        <f>IFERROR(VLOOKUP($A194,ANTIGA_DIRECIONADOS!$A:$P,MATCH(APENDICE_BCB!E$3,ANTIGA_DIRECIONADOS!$1:$1,0),0),0)</f>
        <v>801560</v>
      </c>
      <c r="F194" s="9">
        <f>IFERROR(VLOOKUP($A194,ANTIGA_DIRECIONADOS!$A:$P,MATCH(APENDICE_BCB!F$3,ANTIGA_DIRECIONADOS!$1:$1,0),0),0)</f>
        <v>342004</v>
      </c>
      <c r="G194" s="9">
        <f>IFERROR(VLOOKUP($A194,ANTIGA_DIRECIONADOS!$A:$P,MATCH(APENDICE_BCB!G$3,ANTIGA_DIRECIONADOS!$1:$1,0),0),0)</f>
        <v>459556</v>
      </c>
      <c r="H194" s="9">
        <f>IFERROR(VLOOKUP($A194,ATUAL_LIV_E_DIR!$A:$P,MATCH(APENDICE_BCB!H$3,ATUAL_LIV_E_DIR!$1:$1,0),0),0)</f>
        <v>1332606</v>
      </c>
      <c r="I194" s="9">
        <f>IFERROR(VLOOKUP($A194,ATUAL_LIV_E_DIR!$A:$P,MATCH(APENDICE_BCB!I$3,ATUAL_LIV_E_DIR!$1:$1,0),0),0)</f>
        <v>659729</v>
      </c>
      <c r="J194" s="9">
        <f>IFERROR(VLOOKUP($A194,ATUAL_LIV_E_DIR!$A:$P,MATCH(APENDICE_BCB!J$3,ATUAL_LIV_E_DIR!$1:$1,0),0),0)</f>
        <v>672877</v>
      </c>
      <c r="K194" s="9">
        <f>IFERROR(VLOOKUP($A194,ATUAL_LIV_E_DIR!$A:$P,MATCH(APENDICE_BCB!K$3,ATUAL_LIV_E_DIR!$1:$1,0),0),0)</f>
        <v>887260</v>
      </c>
      <c r="L194" s="9">
        <f>IFERROR(VLOOKUP($A194,ATUAL_LIV_E_DIR!$A:$P,MATCH(APENDICE_BCB!L$3,ATUAL_LIV_E_DIR!$1:$1,0),0),0)</f>
        <v>349678</v>
      </c>
      <c r="M194" s="9">
        <f>IFERROR(VLOOKUP($A194,ATUAL_LIV_E_DIR!$A:$P,MATCH(APENDICE_BCB!M$3,ATUAL_LIV_E_DIR!$1:$1,0),0),0)</f>
        <v>537581</v>
      </c>
      <c r="O194" s="11">
        <f t="shared" si="33"/>
        <v>1964378.885</v>
      </c>
      <c r="P194" s="11">
        <f t="shared" si="34"/>
        <v>2219866</v>
      </c>
      <c r="Q194" s="11">
        <f t="shared" si="35"/>
        <v>1063649.4080000001</v>
      </c>
      <c r="R194" s="11">
        <f t="shared" si="36"/>
        <v>1197310</v>
      </c>
      <c r="S194" s="11">
        <f t="shared" si="37"/>
        <v>900729.47699999996</v>
      </c>
      <c r="T194" s="11">
        <f t="shared" si="38"/>
        <v>1022555</v>
      </c>
      <c r="V194" s="7">
        <f t="shared" si="39"/>
        <v>0.45853143906095284</v>
      </c>
      <c r="W194">
        <f t="shared" si="40"/>
        <v>0.46063816464597412</v>
      </c>
      <c r="Y194" s="8">
        <f t="shared" si="41"/>
        <v>1.3554302014425978E-2</v>
      </c>
      <c r="Z194" s="8">
        <f t="shared" si="42"/>
        <v>1.2302497893189157E-2</v>
      </c>
      <c r="AE194" s="1">
        <f t="shared" ref="AE194:AE257" si="43">A194</f>
        <v>41122</v>
      </c>
      <c r="AF194" s="11">
        <f t="shared" ref="AF194:AF257" si="44">T194</f>
        <v>1022555</v>
      </c>
    </row>
    <row r="195" spans="1:32" x14ac:dyDescent="0.25">
      <c r="A195" s="1">
        <v>41153</v>
      </c>
      <c r="B195" s="9">
        <f>IFERROR(VLOOKUP($A195,ANTIGA_LIVRES!$A:$P,MATCH(APENDICE_BCB!B$3,ANTIGA_LIVRES!$1:$1,0),0)/1000,0)</f>
        <v>1172915.666</v>
      </c>
      <c r="C195" s="9">
        <f>IFERROR(VLOOKUP($A195,ANTIGA_LIVRES!$A:$P,MATCH(APENDICE_BCB!C$3,ANTIGA_LIVRES!$1:$1,0),0)/1000,0)</f>
        <v>613581.56599999999</v>
      </c>
      <c r="D195" s="9">
        <f>IFERROR(VLOOKUP($A195,ANTIGA_LIVRES!$A:$P,MATCH(APENDICE_BCB!D$3,ANTIGA_LIVRES!$1:$1,0),0)/1000,0)</f>
        <v>559334.1</v>
      </c>
      <c r="E195" s="9">
        <f>IFERROR(VLOOKUP($A195,ANTIGA_DIRECIONADOS!$A:$P,MATCH(APENDICE_BCB!E$3,ANTIGA_DIRECIONADOS!$1:$1,0),0),0)</f>
        <v>814264</v>
      </c>
      <c r="F195" s="9">
        <f>IFERROR(VLOOKUP($A195,ANTIGA_DIRECIONADOS!$A:$P,MATCH(APENDICE_BCB!F$3,ANTIGA_DIRECIONADOS!$1:$1,0),0),0)</f>
        <v>350789</v>
      </c>
      <c r="G195" s="9">
        <f>IFERROR(VLOOKUP($A195,ANTIGA_DIRECIONADOS!$A:$P,MATCH(APENDICE_BCB!G$3,ANTIGA_DIRECIONADOS!$1:$1,0),0),0)</f>
        <v>463475</v>
      </c>
      <c r="H195" s="9">
        <f>IFERROR(VLOOKUP($A195,ATUAL_LIV_E_DIR!$A:$P,MATCH(APENDICE_BCB!H$3,ATUAL_LIV_E_DIR!$1:$1,0),0),0)</f>
        <v>1345030</v>
      </c>
      <c r="I195" s="9">
        <f>IFERROR(VLOOKUP($A195,ATUAL_LIV_E_DIR!$A:$P,MATCH(APENDICE_BCB!I$3,ATUAL_LIV_E_DIR!$1:$1,0),0),0)</f>
        <v>674782</v>
      </c>
      <c r="J195" s="9">
        <f>IFERROR(VLOOKUP($A195,ATUAL_LIV_E_DIR!$A:$P,MATCH(APENDICE_BCB!J$3,ATUAL_LIV_E_DIR!$1:$1,0),0),0)</f>
        <v>670249</v>
      </c>
      <c r="K195" s="9">
        <f>IFERROR(VLOOKUP($A195,ATUAL_LIV_E_DIR!$A:$P,MATCH(APENDICE_BCB!K$3,ATUAL_LIV_E_DIR!$1:$1,0),0),0)</f>
        <v>899444</v>
      </c>
      <c r="L195" s="9">
        <f>IFERROR(VLOOKUP($A195,ATUAL_LIV_E_DIR!$A:$P,MATCH(APENDICE_BCB!L$3,ATUAL_LIV_E_DIR!$1:$1,0),0),0)</f>
        <v>355396</v>
      </c>
      <c r="M195" s="9">
        <f>IFERROR(VLOOKUP($A195,ATUAL_LIV_E_DIR!$A:$P,MATCH(APENDICE_BCB!M$3,ATUAL_LIV_E_DIR!$1:$1,0),0),0)</f>
        <v>544047</v>
      </c>
      <c r="O195" s="11">
        <f t="shared" si="33"/>
        <v>1987179.666</v>
      </c>
      <c r="P195" s="11">
        <f t="shared" si="34"/>
        <v>2244474</v>
      </c>
      <c r="Q195" s="11">
        <f t="shared" si="35"/>
        <v>1077056.5660000001</v>
      </c>
      <c r="R195" s="11">
        <f t="shared" si="36"/>
        <v>1218829</v>
      </c>
      <c r="S195" s="11">
        <f t="shared" si="37"/>
        <v>910123.1</v>
      </c>
      <c r="T195" s="11">
        <f t="shared" si="38"/>
        <v>1025645</v>
      </c>
      <c r="V195" s="7">
        <f t="shared" si="39"/>
        <v>0.45799738975388649</v>
      </c>
      <c r="W195">
        <f t="shared" si="40"/>
        <v>0.45696452710078173</v>
      </c>
      <c r="Y195" s="8">
        <f t="shared" si="41"/>
        <v>1.1607119774146746E-2</v>
      </c>
      <c r="Z195" s="8">
        <f t="shared" si="42"/>
        <v>1.1085353800634801E-2</v>
      </c>
      <c r="AE195" s="1">
        <f t="shared" si="43"/>
        <v>41153</v>
      </c>
      <c r="AF195" s="11">
        <f t="shared" si="44"/>
        <v>1025645</v>
      </c>
    </row>
    <row r="196" spans="1:32" x14ac:dyDescent="0.25">
      <c r="A196" s="1">
        <v>41183</v>
      </c>
      <c r="B196" s="9">
        <f>IFERROR(VLOOKUP($A196,ANTIGA_LIVRES!$A:$P,MATCH(APENDICE_BCB!B$3,ANTIGA_LIVRES!$1:$1,0),0)/1000,0)</f>
        <v>1183115.575</v>
      </c>
      <c r="C196" s="9">
        <f>IFERROR(VLOOKUP($A196,ANTIGA_LIVRES!$A:$P,MATCH(APENDICE_BCB!C$3,ANTIGA_LIVRES!$1:$1,0),0)/1000,0)</f>
        <v>619383.86699999997</v>
      </c>
      <c r="D196" s="9">
        <f>IFERROR(VLOOKUP($A196,ANTIGA_LIVRES!$A:$P,MATCH(APENDICE_BCB!D$3,ANTIGA_LIVRES!$1:$1,0),0)/1000,0)</f>
        <v>563731.70799999998</v>
      </c>
      <c r="E196" s="9">
        <f>IFERROR(VLOOKUP($A196,ANTIGA_DIRECIONADOS!$A:$P,MATCH(APENDICE_BCB!E$3,ANTIGA_DIRECIONADOS!$1:$1,0),0),0)</f>
        <v>831001</v>
      </c>
      <c r="F196" s="9">
        <f>IFERROR(VLOOKUP($A196,ANTIGA_DIRECIONADOS!$A:$P,MATCH(APENDICE_BCB!F$3,ANTIGA_DIRECIONADOS!$1:$1,0),0),0)</f>
        <v>361257</v>
      </c>
      <c r="G196" s="9">
        <f>IFERROR(VLOOKUP($A196,ANTIGA_DIRECIONADOS!$A:$P,MATCH(APENDICE_BCB!G$3,ANTIGA_DIRECIONADOS!$1:$1,0),0),0)</f>
        <v>469744</v>
      </c>
      <c r="H196" s="9">
        <f>IFERROR(VLOOKUP($A196,ATUAL_LIV_E_DIR!$A:$P,MATCH(APENDICE_BCB!H$3,ATUAL_LIV_E_DIR!$1:$1,0),0),0)</f>
        <v>1355946</v>
      </c>
      <c r="I196" s="9">
        <f>IFERROR(VLOOKUP($A196,ATUAL_LIV_E_DIR!$A:$P,MATCH(APENDICE_BCB!I$3,ATUAL_LIV_E_DIR!$1:$1,0),0),0)</f>
        <v>679254</v>
      </c>
      <c r="J196" s="9">
        <f>IFERROR(VLOOKUP($A196,ATUAL_LIV_E_DIR!$A:$P,MATCH(APENDICE_BCB!J$3,ATUAL_LIV_E_DIR!$1:$1,0),0),0)</f>
        <v>676692</v>
      </c>
      <c r="K196" s="9">
        <f>IFERROR(VLOOKUP($A196,ATUAL_LIV_E_DIR!$A:$P,MATCH(APENDICE_BCB!K$3,ATUAL_LIV_E_DIR!$1:$1,0),0),0)</f>
        <v>920340</v>
      </c>
      <c r="L196" s="9">
        <f>IFERROR(VLOOKUP($A196,ATUAL_LIV_E_DIR!$A:$P,MATCH(APENDICE_BCB!L$3,ATUAL_LIV_E_DIR!$1:$1,0),0),0)</f>
        <v>364820</v>
      </c>
      <c r="M196" s="9">
        <f>IFERROR(VLOOKUP($A196,ATUAL_LIV_E_DIR!$A:$P,MATCH(APENDICE_BCB!M$3,ATUAL_LIV_E_DIR!$1:$1,0),0),0)</f>
        <v>555520</v>
      </c>
      <c r="O196" s="11">
        <f t="shared" si="33"/>
        <v>2014116.575</v>
      </c>
      <c r="P196" s="11">
        <f t="shared" si="34"/>
        <v>2276286</v>
      </c>
      <c r="Q196" s="11">
        <f t="shared" si="35"/>
        <v>1089127.8670000001</v>
      </c>
      <c r="R196" s="11">
        <f t="shared" si="36"/>
        <v>1234774</v>
      </c>
      <c r="S196" s="11">
        <f t="shared" si="37"/>
        <v>924988.70799999998</v>
      </c>
      <c r="T196" s="11">
        <f t="shared" si="38"/>
        <v>1041512</v>
      </c>
      <c r="V196" s="7">
        <f t="shared" si="39"/>
        <v>0.45925281559236464</v>
      </c>
      <c r="W196">
        <f t="shared" si="40"/>
        <v>0.45754883173731242</v>
      </c>
      <c r="Y196" s="8">
        <f t="shared" si="41"/>
        <v>1.3555346535032431E-2</v>
      </c>
      <c r="Z196" s="8">
        <f t="shared" si="42"/>
        <v>1.4173476725504397E-2</v>
      </c>
      <c r="AE196" s="1">
        <f t="shared" si="43"/>
        <v>41183</v>
      </c>
      <c r="AF196" s="11">
        <f t="shared" si="44"/>
        <v>1041512</v>
      </c>
    </row>
    <row r="197" spans="1:32" x14ac:dyDescent="0.25">
      <c r="A197" s="1">
        <v>41214</v>
      </c>
      <c r="B197" s="9">
        <f>IFERROR(VLOOKUP($A197,ANTIGA_LIVRES!$A:$P,MATCH(APENDICE_BCB!B$3,ANTIGA_LIVRES!$1:$1,0),0)/1000,0)</f>
        <v>1193645.17</v>
      </c>
      <c r="C197" s="9">
        <f>IFERROR(VLOOKUP($A197,ANTIGA_LIVRES!$A:$P,MATCH(APENDICE_BCB!C$3,ANTIGA_LIVRES!$1:$1,0),0)/1000,0)</f>
        <v>626294.23400000005</v>
      </c>
      <c r="D197" s="9">
        <f>IFERROR(VLOOKUP($A197,ANTIGA_LIVRES!$A:$P,MATCH(APENDICE_BCB!D$3,ANTIGA_LIVRES!$1:$1,0),0)/1000,0)</f>
        <v>567350.93599999999</v>
      </c>
      <c r="E197" s="9">
        <f>IFERROR(VLOOKUP($A197,ANTIGA_DIRECIONADOS!$A:$P,MATCH(APENDICE_BCB!E$3,ANTIGA_DIRECIONADOS!$1:$1,0),0),0)</f>
        <v>848856</v>
      </c>
      <c r="F197" s="9">
        <f>IFERROR(VLOOKUP($A197,ANTIGA_DIRECIONADOS!$A:$P,MATCH(APENDICE_BCB!F$3,ANTIGA_DIRECIONADOS!$1:$1,0),0),0)</f>
        <v>370228</v>
      </c>
      <c r="G197" s="9">
        <f>IFERROR(VLOOKUP($A197,ANTIGA_DIRECIONADOS!$A:$P,MATCH(APENDICE_BCB!G$3,ANTIGA_DIRECIONADOS!$1:$1,0),0),0)</f>
        <v>478627</v>
      </c>
      <c r="H197" s="9">
        <f>IFERROR(VLOOKUP($A197,ATUAL_LIV_E_DIR!$A:$P,MATCH(APENDICE_BCB!H$3,ATUAL_LIV_E_DIR!$1:$1,0),0),0)</f>
        <v>1370568</v>
      </c>
      <c r="I197" s="9">
        <f>IFERROR(VLOOKUP($A197,ATUAL_LIV_E_DIR!$A:$P,MATCH(APENDICE_BCB!I$3,ATUAL_LIV_E_DIR!$1:$1,0),0),0)</f>
        <v>688907</v>
      </c>
      <c r="J197" s="9">
        <f>IFERROR(VLOOKUP($A197,ATUAL_LIV_E_DIR!$A:$P,MATCH(APENDICE_BCB!J$3,ATUAL_LIV_E_DIR!$1:$1,0),0),0)</f>
        <v>681661</v>
      </c>
      <c r="K197" s="9">
        <f>IFERROR(VLOOKUP($A197,ATUAL_LIV_E_DIR!$A:$P,MATCH(APENDICE_BCB!K$3,ATUAL_LIV_E_DIR!$1:$1,0),0),0)</f>
        <v>940273</v>
      </c>
      <c r="L197" s="9">
        <f>IFERROR(VLOOKUP($A197,ATUAL_LIV_E_DIR!$A:$P,MATCH(APENDICE_BCB!L$3,ATUAL_LIV_E_DIR!$1:$1,0),0),0)</f>
        <v>374575</v>
      </c>
      <c r="M197" s="9">
        <f>IFERROR(VLOOKUP($A197,ATUAL_LIV_E_DIR!$A:$P,MATCH(APENDICE_BCB!M$3,ATUAL_LIV_E_DIR!$1:$1,0),0),0)</f>
        <v>565698</v>
      </c>
      <c r="O197" s="11">
        <f t="shared" ref="O197:O260" si="45">B197+E197</f>
        <v>2042501.17</v>
      </c>
      <c r="P197" s="11">
        <f t="shared" ref="P197:P260" si="46">H197+K197</f>
        <v>2310841</v>
      </c>
      <c r="Q197" s="11">
        <f t="shared" ref="Q197:Q260" si="47">C197+G197</f>
        <v>1104921.2340000002</v>
      </c>
      <c r="R197" s="11">
        <f t="shared" ref="R197:R260" si="48">I197+M197</f>
        <v>1254605</v>
      </c>
      <c r="S197" s="11">
        <f t="shared" ref="S197:S198" si="49">D197+F197</f>
        <v>937578.93599999999</v>
      </c>
      <c r="T197" s="11">
        <f t="shared" ref="T197:T260" si="50">J197+L197</f>
        <v>1056236</v>
      </c>
      <c r="V197" s="7">
        <f t="shared" ref="V197:V260" si="51">IFERROR(S197/O197,0)</f>
        <v>0.45903471183813327</v>
      </c>
      <c r="W197">
        <f t="shared" ref="W197:W260" si="52">IFERROR(T197/P197,0)</f>
        <v>0.45707861337062999</v>
      </c>
      <c r="Y197" s="8">
        <f t="shared" si="41"/>
        <v>1.4092826280425186E-2</v>
      </c>
      <c r="Z197" s="8">
        <f t="shared" si="42"/>
        <v>1.5180429875683465E-2</v>
      </c>
      <c r="AE197" s="1">
        <f t="shared" si="43"/>
        <v>41214</v>
      </c>
      <c r="AF197" s="11">
        <f t="shared" si="44"/>
        <v>1056236</v>
      </c>
    </row>
    <row r="198" spans="1:32" x14ac:dyDescent="0.25">
      <c r="A198" s="1">
        <v>41244</v>
      </c>
      <c r="B198" s="9">
        <f>IFERROR(VLOOKUP($A198,ANTIGA_LIVRES!$A:$P,MATCH(APENDICE_BCB!B$3,ANTIGA_LIVRES!$1:$1,0),0)/1000,0)</f>
        <v>1205701.5460000001</v>
      </c>
      <c r="C198" s="9">
        <f>IFERROR(VLOOKUP($A198,ANTIGA_LIVRES!$A:$P,MATCH(APENDICE_BCB!C$3,ANTIGA_LIVRES!$1:$1,0),0)/1000,0)</f>
        <v>638505.96499999997</v>
      </c>
      <c r="D198" s="9">
        <f>IFERROR(VLOOKUP($A198,ANTIGA_LIVRES!$A:$P,MATCH(APENDICE_BCB!D$3,ANTIGA_LIVRES!$1:$1,0),0)/1000,0)</f>
        <v>567195.58100000001</v>
      </c>
      <c r="E198" s="9">
        <f>IFERROR(VLOOKUP($A198,ANTIGA_DIRECIONADOS!$A:$P,MATCH(APENDICE_BCB!E$3,ANTIGA_DIRECIONADOS!$1:$1,0),0),0)</f>
        <v>873767</v>
      </c>
      <c r="F198" s="9">
        <f>IFERROR(VLOOKUP($A198,ANTIGA_DIRECIONADOS!$A:$P,MATCH(APENDICE_BCB!F$3,ANTIGA_DIRECIONADOS!$1:$1,0),0),0)</f>
        <v>383645</v>
      </c>
      <c r="G198" s="9">
        <f>IFERROR(VLOOKUP($A198,ANTIGA_DIRECIONADOS!$A:$P,MATCH(APENDICE_BCB!G$3,ANTIGA_DIRECIONADOS!$1:$1,0),0),0)</f>
        <v>490122</v>
      </c>
      <c r="H198" s="9">
        <f>IFERROR(VLOOKUP($A198,ATUAL_LIV_E_DIR!$A:$P,MATCH(APENDICE_BCB!H$3,ATUAL_LIV_E_DIR!$1:$1,0),0),0)</f>
        <v>1396419</v>
      </c>
      <c r="I198" s="9">
        <f>IFERROR(VLOOKUP($A198,ATUAL_LIV_E_DIR!$A:$P,MATCH(APENDICE_BCB!I$3,ATUAL_LIV_E_DIR!$1:$1,0),0),0)</f>
        <v>706862</v>
      </c>
      <c r="J198" s="9">
        <f>IFERROR(VLOOKUP($A198,ATUAL_LIV_E_DIR!$A:$P,MATCH(APENDICE_BCB!J$3,ATUAL_LIV_E_DIR!$1:$1,0),0),0)</f>
        <v>689557</v>
      </c>
      <c r="K198" s="9">
        <f>IFERROR(VLOOKUP($A198,ATUAL_LIV_E_DIR!$A:$P,MATCH(APENDICE_BCB!K$3,ATUAL_LIV_E_DIR!$1:$1,0),0),0)</f>
        <v>971919</v>
      </c>
      <c r="L198" s="9">
        <f>IFERROR(VLOOKUP($A198,ATUAL_LIV_E_DIR!$A:$P,MATCH(APENDICE_BCB!L$3,ATUAL_LIV_E_DIR!$1:$1,0),0),0)</f>
        <v>386914</v>
      </c>
      <c r="M198" s="9">
        <f>IFERROR(VLOOKUP($A198,ATUAL_LIV_E_DIR!$A:$P,MATCH(APENDICE_BCB!M$3,ATUAL_LIV_E_DIR!$1:$1,0),0),0)</f>
        <v>585004</v>
      </c>
      <c r="O198" s="11">
        <f t="shared" si="45"/>
        <v>2079468.5460000001</v>
      </c>
      <c r="P198" s="11">
        <f t="shared" si="46"/>
        <v>2368338</v>
      </c>
      <c r="Q198" s="11">
        <f t="shared" si="47"/>
        <v>1128627.9649999999</v>
      </c>
      <c r="R198" s="11">
        <f t="shared" si="48"/>
        <v>1291866</v>
      </c>
      <c r="S198" s="11">
        <f t="shared" si="49"/>
        <v>950840.58100000001</v>
      </c>
      <c r="T198" s="11">
        <f t="shared" si="50"/>
        <v>1076471</v>
      </c>
      <c r="V198" s="7">
        <f t="shared" si="51"/>
        <v>0.45725172560508637</v>
      </c>
      <c r="W198">
        <f t="shared" si="52"/>
        <v>0.45452591648658258</v>
      </c>
      <c r="Y198" s="8">
        <f t="shared" ref="Y198" si="53">IFERROR(O198/O197-1,0)</f>
        <v>1.8099072129295291E-2</v>
      </c>
      <c r="Z198" s="8">
        <f t="shared" ref="Z198:Z261" si="54">IFERROR(P198/P197-1,0)</f>
        <v>2.4881417631070324E-2</v>
      </c>
      <c r="AE198" s="1">
        <f t="shared" si="43"/>
        <v>41244</v>
      </c>
      <c r="AF198" s="11">
        <f t="shared" si="44"/>
        <v>1076471</v>
      </c>
    </row>
    <row r="199" spans="1:32" x14ac:dyDescent="0.25">
      <c r="A199" s="1">
        <v>41275</v>
      </c>
      <c r="B199" s="9">
        <f>IFERROR(VLOOKUP($A199,ANTIGA_LIVRES!$A:$P,MATCH(APENDICE_BCB!B$3,ANTIGA_LIVRES!$1:$1,0),0)/1000,0)</f>
        <v>0</v>
      </c>
      <c r="C199" s="9">
        <f>IFERROR(VLOOKUP($A199,ANTIGA_LIVRES!$A:$P,MATCH(APENDICE_BCB!C$3,ANTIGA_LIVRES!$1:$1,0),0)/1000,0)</f>
        <v>0</v>
      </c>
      <c r="D199" s="9">
        <f>IFERROR(VLOOKUP($A199,ANTIGA_LIVRES!$A:$P,MATCH(APENDICE_BCB!D$3,ANTIGA_LIVRES!$1:$1,0),0)/1000,0)</f>
        <v>0</v>
      </c>
      <c r="E199" s="9">
        <f>IFERROR(VLOOKUP($A199,ANTIGA_DIRECIONADOS!$A:$P,MATCH(APENDICE_BCB!E$3,ANTIGA_DIRECIONADOS!$1:$1,0),0),0)</f>
        <v>0</v>
      </c>
      <c r="F199" s="9">
        <f>IFERROR(VLOOKUP($A199,ANTIGA_DIRECIONADOS!$A:$P,MATCH(APENDICE_BCB!F$3,ANTIGA_DIRECIONADOS!$1:$1,0),0),0)</f>
        <v>0</v>
      </c>
      <c r="G199" s="9">
        <f>IFERROR(VLOOKUP($A199,ANTIGA_DIRECIONADOS!$A:$P,MATCH(APENDICE_BCB!G$3,ANTIGA_DIRECIONADOS!$1:$1,0),0),0)</f>
        <v>0</v>
      </c>
      <c r="H199" s="9">
        <f>IFERROR(VLOOKUP($A199,ATUAL_LIV_E_DIR!$A:$P,MATCH(APENDICE_BCB!H$3,ATUAL_LIV_E_DIR!$1:$1,0),0),0)</f>
        <v>1385330</v>
      </c>
      <c r="I199" s="9">
        <f>IFERROR(VLOOKUP($A199,ATUAL_LIV_E_DIR!$A:$P,MATCH(APENDICE_BCB!I$3,ATUAL_LIV_E_DIR!$1:$1,0),0),0)</f>
        <v>690752</v>
      </c>
      <c r="J199" s="9">
        <f>IFERROR(VLOOKUP($A199,ATUAL_LIV_E_DIR!$A:$P,MATCH(APENDICE_BCB!J$3,ATUAL_LIV_E_DIR!$1:$1,0),0),0)</f>
        <v>694578</v>
      </c>
      <c r="K199" s="9">
        <f>IFERROR(VLOOKUP($A199,ATUAL_LIV_E_DIR!$A:$P,MATCH(APENDICE_BCB!K$3,ATUAL_LIV_E_DIR!$1:$1,0),0),0)</f>
        <v>980835</v>
      </c>
      <c r="L199" s="9">
        <f>IFERROR(VLOOKUP($A199,ATUAL_LIV_E_DIR!$A:$P,MATCH(APENDICE_BCB!L$3,ATUAL_LIV_E_DIR!$1:$1,0),0),0)</f>
        <v>393697</v>
      </c>
      <c r="M199" s="9">
        <f>IFERROR(VLOOKUP($A199,ATUAL_LIV_E_DIR!$A:$P,MATCH(APENDICE_BCB!M$3,ATUAL_LIV_E_DIR!$1:$1,0),0),0)</f>
        <v>587138</v>
      </c>
      <c r="O199" s="11">
        <f t="shared" si="45"/>
        <v>0</v>
      </c>
      <c r="P199" s="11">
        <f t="shared" si="46"/>
        <v>2366165</v>
      </c>
      <c r="Q199" s="11">
        <f t="shared" si="47"/>
        <v>0</v>
      </c>
      <c r="R199" s="11">
        <f t="shared" si="48"/>
        <v>1277890</v>
      </c>
      <c r="S199" s="11"/>
      <c r="T199" s="11">
        <f t="shared" si="50"/>
        <v>1088275</v>
      </c>
      <c r="V199" s="7">
        <f t="shared" si="51"/>
        <v>0</v>
      </c>
      <c r="W199">
        <f t="shared" si="52"/>
        <v>0.45993199967035264</v>
      </c>
      <c r="Y199" s="8"/>
      <c r="Z199" s="8">
        <f t="shared" si="54"/>
        <v>-9.1752106329412442E-4</v>
      </c>
      <c r="AE199" s="1">
        <f t="shared" si="43"/>
        <v>41275</v>
      </c>
      <c r="AF199" s="11">
        <f t="shared" si="44"/>
        <v>1088275</v>
      </c>
    </row>
    <row r="200" spans="1:32" x14ac:dyDescent="0.25">
      <c r="A200" s="1">
        <v>41306</v>
      </c>
      <c r="B200" s="9">
        <f>IFERROR(VLOOKUP($A200,ANTIGA_LIVRES!$A:$P,MATCH(APENDICE_BCB!B$3,ANTIGA_LIVRES!$1:$1,0),0)/1000,0)</f>
        <v>0</v>
      </c>
      <c r="C200" s="9">
        <f>IFERROR(VLOOKUP($A200,ANTIGA_LIVRES!$A:$P,MATCH(APENDICE_BCB!C$3,ANTIGA_LIVRES!$1:$1,0),0)/1000,0)</f>
        <v>0</v>
      </c>
      <c r="D200" s="9">
        <f>IFERROR(VLOOKUP($A200,ANTIGA_LIVRES!$A:$P,MATCH(APENDICE_BCB!D$3,ANTIGA_LIVRES!$1:$1,0),0)/1000,0)</f>
        <v>0</v>
      </c>
      <c r="E200" s="9">
        <f>IFERROR(VLOOKUP($A200,ANTIGA_DIRECIONADOS!$A:$P,MATCH(APENDICE_BCB!E$3,ANTIGA_DIRECIONADOS!$1:$1,0),0),0)</f>
        <v>0</v>
      </c>
      <c r="F200" s="9">
        <f>IFERROR(VLOOKUP($A200,ANTIGA_DIRECIONADOS!$A:$P,MATCH(APENDICE_BCB!F$3,ANTIGA_DIRECIONADOS!$1:$1,0),0),0)</f>
        <v>0</v>
      </c>
      <c r="G200" s="9">
        <f>IFERROR(VLOOKUP($A200,ANTIGA_DIRECIONADOS!$A:$P,MATCH(APENDICE_BCB!G$3,ANTIGA_DIRECIONADOS!$1:$1,0),0),0)</f>
        <v>0</v>
      </c>
      <c r="H200" s="9">
        <f>IFERROR(VLOOKUP($A200,ATUAL_LIV_E_DIR!$A:$P,MATCH(APENDICE_BCB!H$3,ATUAL_LIV_E_DIR!$1:$1,0),0),0)</f>
        <v>1388652</v>
      </c>
      <c r="I200" s="9">
        <f>IFERROR(VLOOKUP($A200,ATUAL_LIV_E_DIR!$A:$P,MATCH(APENDICE_BCB!I$3,ATUAL_LIV_E_DIR!$1:$1,0),0),0)</f>
        <v>693994</v>
      </c>
      <c r="J200" s="9">
        <f>IFERROR(VLOOKUP($A200,ATUAL_LIV_E_DIR!$A:$P,MATCH(APENDICE_BCB!J$3,ATUAL_LIV_E_DIR!$1:$1,0),0),0)</f>
        <v>694658</v>
      </c>
      <c r="K200" s="9">
        <f>IFERROR(VLOOKUP($A200,ATUAL_LIV_E_DIR!$A:$P,MATCH(APENDICE_BCB!K$3,ATUAL_LIV_E_DIR!$1:$1,0),0),0)</f>
        <v>994945</v>
      </c>
      <c r="L200" s="9">
        <f>IFERROR(VLOOKUP($A200,ATUAL_LIV_E_DIR!$A:$P,MATCH(APENDICE_BCB!L$3,ATUAL_LIV_E_DIR!$1:$1,0),0),0)</f>
        <v>400116</v>
      </c>
      <c r="M200" s="9">
        <f>IFERROR(VLOOKUP($A200,ATUAL_LIV_E_DIR!$A:$P,MATCH(APENDICE_BCB!M$3,ATUAL_LIV_E_DIR!$1:$1,0),0),0)</f>
        <v>594828</v>
      </c>
      <c r="O200" s="11">
        <f t="shared" si="45"/>
        <v>0</v>
      </c>
      <c r="P200" s="11">
        <f t="shared" si="46"/>
        <v>2383597</v>
      </c>
      <c r="Q200" s="11">
        <f t="shared" si="47"/>
        <v>0</v>
      </c>
      <c r="R200" s="11">
        <f t="shared" si="48"/>
        <v>1288822</v>
      </c>
      <c r="S200" s="11"/>
      <c r="T200" s="11">
        <f t="shared" si="50"/>
        <v>1094774</v>
      </c>
      <c r="V200" s="7">
        <f t="shared" si="51"/>
        <v>0</v>
      </c>
      <c r="W200">
        <f t="shared" si="52"/>
        <v>0.45929492275749634</v>
      </c>
      <c r="Y200" s="8"/>
      <c r="Z200" s="8">
        <f t="shared" si="54"/>
        <v>7.3671954407237283E-3</v>
      </c>
      <c r="AE200" s="1">
        <f t="shared" si="43"/>
        <v>41306</v>
      </c>
      <c r="AF200" s="11">
        <f t="shared" si="44"/>
        <v>1094774</v>
      </c>
    </row>
    <row r="201" spans="1:32" x14ac:dyDescent="0.25">
      <c r="A201" s="1">
        <v>41334</v>
      </c>
      <c r="B201" s="9">
        <f>IFERROR(VLOOKUP($A201,ANTIGA_LIVRES!$A:$P,MATCH(APENDICE_BCB!B$3,ANTIGA_LIVRES!$1:$1,0),0)/1000,0)</f>
        <v>0</v>
      </c>
      <c r="C201" s="9">
        <f>IFERROR(VLOOKUP($A201,ANTIGA_LIVRES!$A:$P,MATCH(APENDICE_BCB!C$3,ANTIGA_LIVRES!$1:$1,0),0)/1000,0)</f>
        <v>0</v>
      </c>
      <c r="D201" s="9">
        <f>IFERROR(VLOOKUP($A201,ANTIGA_LIVRES!$A:$P,MATCH(APENDICE_BCB!D$3,ANTIGA_LIVRES!$1:$1,0),0)/1000,0)</f>
        <v>0</v>
      </c>
      <c r="E201" s="9">
        <f>IFERROR(VLOOKUP($A201,ANTIGA_DIRECIONADOS!$A:$P,MATCH(APENDICE_BCB!E$3,ANTIGA_DIRECIONADOS!$1:$1,0),0),0)</f>
        <v>0</v>
      </c>
      <c r="F201" s="9">
        <f>IFERROR(VLOOKUP($A201,ANTIGA_DIRECIONADOS!$A:$P,MATCH(APENDICE_BCB!F$3,ANTIGA_DIRECIONADOS!$1:$1,0),0),0)</f>
        <v>0</v>
      </c>
      <c r="G201" s="9">
        <f>IFERROR(VLOOKUP($A201,ANTIGA_DIRECIONADOS!$A:$P,MATCH(APENDICE_BCB!G$3,ANTIGA_DIRECIONADOS!$1:$1,0),0),0)</f>
        <v>0</v>
      </c>
      <c r="H201" s="9">
        <f>IFERROR(VLOOKUP($A201,ATUAL_LIV_E_DIR!$A:$P,MATCH(APENDICE_BCB!H$3,ATUAL_LIV_E_DIR!$1:$1,0),0),0)</f>
        <v>1407650</v>
      </c>
      <c r="I201" s="9">
        <f>IFERROR(VLOOKUP($A201,ATUAL_LIV_E_DIR!$A:$P,MATCH(APENDICE_BCB!I$3,ATUAL_LIV_E_DIR!$1:$1,0),0),0)</f>
        <v>710401</v>
      </c>
      <c r="J201" s="9">
        <f>IFERROR(VLOOKUP($A201,ATUAL_LIV_E_DIR!$A:$P,MATCH(APENDICE_BCB!J$3,ATUAL_LIV_E_DIR!$1:$1,0),0),0)</f>
        <v>697249</v>
      </c>
      <c r="K201" s="9">
        <f>IFERROR(VLOOKUP($A201,ATUAL_LIV_E_DIR!$A:$P,MATCH(APENDICE_BCB!K$3,ATUAL_LIV_E_DIR!$1:$1,0),0),0)</f>
        <v>1019413</v>
      </c>
      <c r="L201" s="9">
        <f>IFERROR(VLOOKUP($A201,ATUAL_LIV_E_DIR!$A:$P,MATCH(APENDICE_BCB!L$3,ATUAL_LIV_E_DIR!$1:$1,0),0),0)</f>
        <v>410766</v>
      </c>
      <c r="M201" s="9">
        <f>IFERROR(VLOOKUP($A201,ATUAL_LIV_E_DIR!$A:$P,MATCH(APENDICE_BCB!M$3,ATUAL_LIV_E_DIR!$1:$1,0),0),0)</f>
        <v>608646</v>
      </c>
      <c r="O201" s="11">
        <f t="shared" si="45"/>
        <v>0</v>
      </c>
      <c r="P201" s="11">
        <f t="shared" si="46"/>
        <v>2427063</v>
      </c>
      <c r="Q201" s="11">
        <f t="shared" si="47"/>
        <v>0</v>
      </c>
      <c r="R201" s="11">
        <f t="shared" si="48"/>
        <v>1319047</v>
      </c>
      <c r="S201" s="11"/>
      <c r="T201" s="11">
        <f t="shared" si="50"/>
        <v>1108015</v>
      </c>
      <c r="V201" s="7">
        <f t="shared" si="51"/>
        <v>0</v>
      </c>
      <c r="W201">
        <f t="shared" si="52"/>
        <v>0.45652502633841807</v>
      </c>
      <c r="Y201" s="8"/>
      <c r="Z201" s="8">
        <f t="shared" si="54"/>
        <v>1.8235465139450957E-2</v>
      </c>
      <c r="AE201" s="1">
        <f t="shared" si="43"/>
        <v>41334</v>
      </c>
      <c r="AF201" s="11">
        <f t="shared" si="44"/>
        <v>1108015</v>
      </c>
    </row>
    <row r="202" spans="1:32" x14ac:dyDescent="0.25">
      <c r="A202" s="1">
        <v>41365</v>
      </c>
      <c r="B202" s="9">
        <f>IFERROR(VLOOKUP($A202,ANTIGA_LIVRES!$A:$P,MATCH(APENDICE_BCB!B$3,ANTIGA_LIVRES!$1:$1,0),0)/1000,0)</f>
        <v>0</v>
      </c>
      <c r="C202" s="9">
        <f>IFERROR(VLOOKUP($A202,ANTIGA_LIVRES!$A:$P,MATCH(APENDICE_BCB!C$3,ANTIGA_LIVRES!$1:$1,0),0)/1000,0)</f>
        <v>0</v>
      </c>
      <c r="D202" s="9">
        <f>IFERROR(VLOOKUP($A202,ANTIGA_LIVRES!$A:$P,MATCH(APENDICE_BCB!D$3,ANTIGA_LIVRES!$1:$1,0),0)/1000,0)</f>
        <v>0</v>
      </c>
      <c r="E202" s="9">
        <f>IFERROR(VLOOKUP($A202,ANTIGA_DIRECIONADOS!$A:$P,MATCH(APENDICE_BCB!E$3,ANTIGA_DIRECIONADOS!$1:$1,0),0),0)</f>
        <v>0</v>
      </c>
      <c r="F202" s="9">
        <f>IFERROR(VLOOKUP($A202,ANTIGA_DIRECIONADOS!$A:$P,MATCH(APENDICE_BCB!F$3,ANTIGA_DIRECIONADOS!$1:$1,0),0),0)</f>
        <v>0</v>
      </c>
      <c r="G202" s="9">
        <f>IFERROR(VLOOKUP($A202,ANTIGA_DIRECIONADOS!$A:$P,MATCH(APENDICE_BCB!G$3,ANTIGA_DIRECIONADOS!$1:$1,0),0),0)</f>
        <v>0</v>
      </c>
      <c r="H202" s="9">
        <f>IFERROR(VLOOKUP($A202,ATUAL_LIV_E_DIR!$A:$P,MATCH(APENDICE_BCB!H$3,ATUAL_LIV_E_DIR!$1:$1,0),0),0)</f>
        <v>1411480</v>
      </c>
      <c r="I202" s="9">
        <f>IFERROR(VLOOKUP($A202,ATUAL_LIV_E_DIR!$A:$P,MATCH(APENDICE_BCB!I$3,ATUAL_LIV_E_DIR!$1:$1,0),0),0)</f>
        <v>707601</v>
      </c>
      <c r="J202" s="9">
        <f>IFERROR(VLOOKUP($A202,ATUAL_LIV_E_DIR!$A:$P,MATCH(APENDICE_BCB!J$3,ATUAL_LIV_E_DIR!$1:$1,0),0),0)</f>
        <v>703879</v>
      </c>
      <c r="K202" s="9">
        <f>IFERROR(VLOOKUP($A202,ATUAL_LIV_E_DIR!$A:$P,MATCH(APENDICE_BCB!K$3,ATUAL_LIV_E_DIR!$1:$1,0),0),0)</f>
        <v>1037667</v>
      </c>
      <c r="L202" s="9">
        <f>IFERROR(VLOOKUP($A202,ATUAL_LIV_E_DIR!$A:$P,MATCH(APENDICE_BCB!L$3,ATUAL_LIV_E_DIR!$1:$1,0),0),0)</f>
        <v>420967</v>
      </c>
      <c r="M202" s="9">
        <f>IFERROR(VLOOKUP($A202,ATUAL_LIV_E_DIR!$A:$P,MATCH(APENDICE_BCB!M$3,ATUAL_LIV_E_DIR!$1:$1,0),0),0)</f>
        <v>616700</v>
      </c>
      <c r="O202" s="11">
        <f t="shared" si="45"/>
        <v>0</v>
      </c>
      <c r="P202" s="11">
        <f t="shared" si="46"/>
        <v>2449147</v>
      </c>
      <c r="Q202" s="11">
        <f t="shared" si="47"/>
        <v>0</v>
      </c>
      <c r="R202" s="11">
        <f t="shared" si="48"/>
        <v>1324301</v>
      </c>
      <c r="S202" s="11"/>
      <c r="T202" s="11">
        <f t="shared" si="50"/>
        <v>1124846</v>
      </c>
      <c r="V202" s="7">
        <f t="shared" si="51"/>
        <v>0</v>
      </c>
      <c r="W202">
        <f t="shared" si="52"/>
        <v>0.45928072100204681</v>
      </c>
      <c r="Y202" s="8"/>
      <c r="Z202" s="8">
        <f t="shared" si="54"/>
        <v>9.0990633535263932E-3</v>
      </c>
      <c r="AE202" s="1">
        <f t="shared" si="43"/>
        <v>41365</v>
      </c>
      <c r="AF202" s="11">
        <f t="shared" si="44"/>
        <v>1124846</v>
      </c>
    </row>
    <row r="203" spans="1:32" x14ac:dyDescent="0.25">
      <c r="A203" s="1">
        <v>41395</v>
      </c>
      <c r="B203" s="9">
        <f>IFERROR(VLOOKUP($A203,ANTIGA_LIVRES!$A:$P,MATCH(APENDICE_BCB!B$3,ANTIGA_LIVRES!$1:$1,0),0)/1000,0)</f>
        <v>0</v>
      </c>
      <c r="C203" s="9">
        <f>IFERROR(VLOOKUP($A203,ANTIGA_LIVRES!$A:$P,MATCH(APENDICE_BCB!C$3,ANTIGA_LIVRES!$1:$1,0),0)/1000,0)</f>
        <v>0</v>
      </c>
      <c r="D203" s="9">
        <f>IFERROR(VLOOKUP($A203,ANTIGA_LIVRES!$A:$P,MATCH(APENDICE_BCB!D$3,ANTIGA_LIVRES!$1:$1,0),0)/1000,0)</f>
        <v>0</v>
      </c>
      <c r="E203" s="9">
        <f>IFERROR(VLOOKUP($A203,ANTIGA_DIRECIONADOS!$A:$P,MATCH(APENDICE_BCB!E$3,ANTIGA_DIRECIONADOS!$1:$1,0),0),0)</f>
        <v>0</v>
      </c>
      <c r="F203" s="9">
        <f>IFERROR(VLOOKUP($A203,ANTIGA_DIRECIONADOS!$A:$P,MATCH(APENDICE_BCB!F$3,ANTIGA_DIRECIONADOS!$1:$1,0),0),0)</f>
        <v>0</v>
      </c>
      <c r="G203" s="9">
        <f>IFERROR(VLOOKUP($A203,ANTIGA_DIRECIONADOS!$A:$P,MATCH(APENDICE_BCB!G$3,ANTIGA_DIRECIONADOS!$1:$1,0),0),0)</f>
        <v>0</v>
      </c>
      <c r="H203" s="9">
        <f>IFERROR(VLOOKUP($A203,ATUAL_LIV_E_DIR!$A:$P,MATCH(APENDICE_BCB!H$3,ATUAL_LIV_E_DIR!$1:$1,0),0),0)</f>
        <v>1427513</v>
      </c>
      <c r="I203" s="9">
        <f>IFERROR(VLOOKUP($A203,ATUAL_LIV_E_DIR!$A:$P,MATCH(APENDICE_BCB!I$3,ATUAL_LIV_E_DIR!$1:$1,0),0),0)</f>
        <v>715910</v>
      </c>
      <c r="J203" s="9">
        <f>IFERROR(VLOOKUP($A203,ATUAL_LIV_E_DIR!$A:$P,MATCH(APENDICE_BCB!J$3,ATUAL_LIV_E_DIR!$1:$1,0),0),0)</f>
        <v>711603</v>
      </c>
      <c r="K203" s="9">
        <f>IFERROR(VLOOKUP($A203,ATUAL_LIV_E_DIR!$A:$P,MATCH(APENDICE_BCB!K$3,ATUAL_LIV_E_DIR!$1:$1,0),0),0)</f>
        <v>1059781</v>
      </c>
      <c r="L203" s="9">
        <f>IFERROR(VLOOKUP($A203,ATUAL_LIV_E_DIR!$A:$P,MATCH(APENDICE_BCB!L$3,ATUAL_LIV_E_DIR!$1:$1,0),0),0)</f>
        <v>432381</v>
      </c>
      <c r="M203" s="9">
        <f>IFERROR(VLOOKUP($A203,ATUAL_LIV_E_DIR!$A:$P,MATCH(APENDICE_BCB!M$3,ATUAL_LIV_E_DIR!$1:$1,0),0),0)</f>
        <v>627400</v>
      </c>
      <c r="O203" s="11">
        <f t="shared" si="45"/>
        <v>0</v>
      </c>
      <c r="P203" s="11">
        <f t="shared" si="46"/>
        <v>2487294</v>
      </c>
      <c r="Q203" s="11">
        <f t="shared" si="47"/>
        <v>0</v>
      </c>
      <c r="R203" s="11">
        <f t="shared" si="48"/>
        <v>1343310</v>
      </c>
      <c r="S203" s="11"/>
      <c r="T203" s="11">
        <f t="shared" si="50"/>
        <v>1143984</v>
      </c>
      <c r="V203" s="7">
        <f t="shared" si="51"/>
        <v>0</v>
      </c>
      <c r="W203">
        <f t="shared" si="52"/>
        <v>0.45993115409758556</v>
      </c>
      <c r="Y203" s="8"/>
      <c r="Z203" s="8">
        <f t="shared" si="54"/>
        <v>1.5575626942768261E-2</v>
      </c>
      <c r="AE203" s="1">
        <f t="shared" si="43"/>
        <v>41395</v>
      </c>
      <c r="AF203" s="11">
        <f t="shared" si="44"/>
        <v>1143984</v>
      </c>
    </row>
    <row r="204" spans="1:32" x14ac:dyDescent="0.25">
      <c r="A204" s="1">
        <v>41426</v>
      </c>
      <c r="B204" s="9">
        <f>IFERROR(VLOOKUP($A204,ANTIGA_LIVRES!$A:$P,MATCH(APENDICE_BCB!B$3,ANTIGA_LIVRES!$1:$1,0),0)/1000,0)</f>
        <v>0</v>
      </c>
      <c r="C204" s="9">
        <f>IFERROR(VLOOKUP($A204,ANTIGA_LIVRES!$A:$P,MATCH(APENDICE_BCB!C$3,ANTIGA_LIVRES!$1:$1,0),0)/1000,0)</f>
        <v>0</v>
      </c>
      <c r="D204" s="9">
        <f>IFERROR(VLOOKUP($A204,ANTIGA_LIVRES!$A:$P,MATCH(APENDICE_BCB!D$3,ANTIGA_LIVRES!$1:$1,0),0)/1000,0)</f>
        <v>0</v>
      </c>
      <c r="E204" s="9">
        <f>IFERROR(VLOOKUP($A204,ANTIGA_DIRECIONADOS!$A:$P,MATCH(APENDICE_BCB!E$3,ANTIGA_DIRECIONADOS!$1:$1,0),0),0)</f>
        <v>0</v>
      </c>
      <c r="F204" s="9">
        <f>IFERROR(VLOOKUP($A204,ANTIGA_DIRECIONADOS!$A:$P,MATCH(APENDICE_BCB!F$3,ANTIGA_DIRECIONADOS!$1:$1,0),0),0)</f>
        <v>0</v>
      </c>
      <c r="G204" s="9">
        <f>IFERROR(VLOOKUP($A204,ANTIGA_DIRECIONADOS!$A:$P,MATCH(APENDICE_BCB!G$3,ANTIGA_DIRECIONADOS!$1:$1,0),0),0)</f>
        <v>0</v>
      </c>
      <c r="H204" s="9">
        <f>IFERROR(VLOOKUP($A204,ATUAL_LIV_E_DIR!$A:$P,MATCH(APENDICE_BCB!H$3,ATUAL_LIV_E_DIR!$1:$1,0),0),0)</f>
        <v>1441152</v>
      </c>
      <c r="I204" s="9">
        <f>IFERROR(VLOOKUP($A204,ATUAL_LIV_E_DIR!$A:$P,MATCH(APENDICE_BCB!I$3,ATUAL_LIV_E_DIR!$1:$1,0),0),0)</f>
        <v>727395</v>
      </c>
      <c r="J204" s="9">
        <f>IFERROR(VLOOKUP($A204,ATUAL_LIV_E_DIR!$A:$P,MATCH(APENDICE_BCB!J$3,ATUAL_LIV_E_DIR!$1:$1,0),0),0)</f>
        <v>713757</v>
      </c>
      <c r="K204" s="9">
        <f>IFERROR(VLOOKUP($A204,ATUAL_LIV_E_DIR!$A:$P,MATCH(APENDICE_BCB!K$3,ATUAL_LIV_E_DIR!$1:$1,0),0),0)</f>
        <v>1090424</v>
      </c>
      <c r="L204" s="9">
        <f>IFERROR(VLOOKUP($A204,ATUAL_LIV_E_DIR!$A:$P,MATCH(APENDICE_BCB!L$3,ATUAL_LIV_E_DIR!$1:$1,0),0),0)</f>
        <v>446357</v>
      </c>
      <c r="M204" s="9">
        <f>IFERROR(VLOOKUP($A204,ATUAL_LIV_E_DIR!$A:$P,MATCH(APENDICE_BCB!M$3,ATUAL_LIV_E_DIR!$1:$1,0),0),0)</f>
        <v>644067</v>
      </c>
      <c r="O204" s="11">
        <f t="shared" si="45"/>
        <v>0</v>
      </c>
      <c r="P204" s="11">
        <f t="shared" si="46"/>
        <v>2531576</v>
      </c>
      <c r="Q204" s="11">
        <f t="shared" si="47"/>
        <v>0</v>
      </c>
      <c r="R204" s="11">
        <f t="shared" si="48"/>
        <v>1371462</v>
      </c>
      <c r="S204" s="11"/>
      <c r="T204" s="11">
        <f t="shared" si="50"/>
        <v>1160114</v>
      </c>
      <c r="V204" s="7">
        <f t="shared" si="51"/>
        <v>0</v>
      </c>
      <c r="W204">
        <f t="shared" si="52"/>
        <v>0.4582576229194778</v>
      </c>
      <c r="Y204" s="8"/>
      <c r="Z204" s="8">
        <f t="shared" si="54"/>
        <v>1.7803283407590742E-2</v>
      </c>
      <c r="AE204" s="1">
        <f t="shared" si="43"/>
        <v>41426</v>
      </c>
      <c r="AF204" s="11">
        <f t="shared" si="44"/>
        <v>1160114</v>
      </c>
    </row>
    <row r="205" spans="1:32" x14ac:dyDescent="0.25">
      <c r="A205" s="1">
        <v>41456</v>
      </c>
      <c r="B205" s="9">
        <f>IFERROR(VLOOKUP($A205,ANTIGA_LIVRES!$A:$P,MATCH(APENDICE_BCB!B$3,ANTIGA_LIVRES!$1:$1,0),0)/1000,0)</f>
        <v>0</v>
      </c>
      <c r="C205" s="9">
        <f>IFERROR(VLOOKUP($A205,ANTIGA_LIVRES!$A:$P,MATCH(APENDICE_BCB!C$3,ANTIGA_LIVRES!$1:$1,0),0)/1000,0)</f>
        <v>0</v>
      </c>
      <c r="D205" s="9">
        <f>IFERROR(VLOOKUP($A205,ANTIGA_LIVRES!$A:$P,MATCH(APENDICE_BCB!D$3,ANTIGA_LIVRES!$1:$1,0),0)/1000,0)</f>
        <v>0</v>
      </c>
      <c r="E205" s="9">
        <f>IFERROR(VLOOKUP($A205,ANTIGA_DIRECIONADOS!$A:$P,MATCH(APENDICE_BCB!E$3,ANTIGA_DIRECIONADOS!$1:$1,0),0),0)</f>
        <v>0</v>
      </c>
      <c r="F205" s="9">
        <f>IFERROR(VLOOKUP($A205,ANTIGA_DIRECIONADOS!$A:$P,MATCH(APENDICE_BCB!F$3,ANTIGA_DIRECIONADOS!$1:$1,0),0),0)</f>
        <v>0</v>
      </c>
      <c r="G205" s="9">
        <f>IFERROR(VLOOKUP($A205,ANTIGA_DIRECIONADOS!$A:$P,MATCH(APENDICE_BCB!G$3,ANTIGA_DIRECIONADOS!$1:$1,0),0),0)</f>
        <v>0</v>
      </c>
      <c r="H205" s="9">
        <f>IFERROR(VLOOKUP($A205,ATUAL_LIV_E_DIR!$A:$P,MATCH(APENDICE_BCB!H$3,ATUAL_LIV_E_DIR!$1:$1,0),0),0)</f>
        <v>1440294</v>
      </c>
      <c r="I205" s="9">
        <f>IFERROR(VLOOKUP($A205,ATUAL_LIV_E_DIR!$A:$P,MATCH(APENDICE_BCB!I$3,ATUAL_LIV_E_DIR!$1:$1,0),0),0)</f>
        <v>719772</v>
      </c>
      <c r="J205" s="9">
        <f>IFERROR(VLOOKUP($A205,ATUAL_LIV_E_DIR!$A:$P,MATCH(APENDICE_BCB!J$3,ATUAL_LIV_E_DIR!$1:$1,0),0),0)</f>
        <v>720522</v>
      </c>
      <c r="K205" s="9">
        <f>IFERROR(VLOOKUP($A205,ATUAL_LIV_E_DIR!$A:$P,MATCH(APENDICE_BCB!K$3,ATUAL_LIV_E_DIR!$1:$1,0),0),0)</f>
        <v>1104833</v>
      </c>
      <c r="L205" s="9">
        <f>IFERROR(VLOOKUP($A205,ATUAL_LIV_E_DIR!$A:$P,MATCH(APENDICE_BCB!L$3,ATUAL_LIV_E_DIR!$1:$1,0),0),0)</f>
        <v>453472</v>
      </c>
      <c r="M205" s="9">
        <f>IFERROR(VLOOKUP($A205,ATUAL_LIV_E_DIR!$A:$P,MATCH(APENDICE_BCB!M$3,ATUAL_LIV_E_DIR!$1:$1,0),0),0)</f>
        <v>651361</v>
      </c>
      <c r="O205" s="11">
        <f t="shared" si="45"/>
        <v>0</v>
      </c>
      <c r="P205" s="11">
        <f t="shared" si="46"/>
        <v>2545127</v>
      </c>
      <c r="Q205" s="11">
        <f t="shared" si="47"/>
        <v>0</v>
      </c>
      <c r="R205" s="11">
        <f t="shared" si="48"/>
        <v>1371133</v>
      </c>
      <c r="S205" s="11"/>
      <c r="T205" s="11">
        <f t="shared" si="50"/>
        <v>1173994</v>
      </c>
      <c r="V205" s="7">
        <f t="shared" si="51"/>
        <v>0</v>
      </c>
      <c r="W205">
        <f t="shared" si="52"/>
        <v>0.46127128430133346</v>
      </c>
      <c r="Y205" s="8"/>
      <c r="Z205" s="8">
        <f t="shared" si="54"/>
        <v>5.3527920947267216E-3</v>
      </c>
      <c r="AE205" s="1">
        <f t="shared" si="43"/>
        <v>41456</v>
      </c>
      <c r="AF205" s="11">
        <f t="shared" si="44"/>
        <v>1173994</v>
      </c>
    </row>
    <row r="206" spans="1:32" x14ac:dyDescent="0.25">
      <c r="A206" s="1">
        <v>41487</v>
      </c>
      <c r="B206" s="9">
        <f>IFERROR(VLOOKUP($A206,ANTIGA_LIVRES!$A:$P,MATCH(APENDICE_BCB!B$3,ANTIGA_LIVRES!$1:$1,0),0)/1000,0)</f>
        <v>0</v>
      </c>
      <c r="C206" s="9">
        <f>IFERROR(VLOOKUP($A206,ANTIGA_LIVRES!$A:$P,MATCH(APENDICE_BCB!C$3,ANTIGA_LIVRES!$1:$1,0),0)/1000,0)</f>
        <v>0</v>
      </c>
      <c r="D206" s="9">
        <f>IFERROR(VLOOKUP($A206,ANTIGA_LIVRES!$A:$P,MATCH(APENDICE_BCB!D$3,ANTIGA_LIVRES!$1:$1,0),0)/1000,0)</f>
        <v>0</v>
      </c>
      <c r="E206" s="9">
        <f>IFERROR(VLOOKUP($A206,ANTIGA_DIRECIONADOS!$A:$P,MATCH(APENDICE_BCB!E$3,ANTIGA_DIRECIONADOS!$1:$1,0),0),0)</f>
        <v>0</v>
      </c>
      <c r="F206" s="9">
        <f>IFERROR(VLOOKUP($A206,ANTIGA_DIRECIONADOS!$A:$P,MATCH(APENDICE_BCB!F$3,ANTIGA_DIRECIONADOS!$1:$1,0),0),0)</f>
        <v>0</v>
      </c>
      <c r="G206" s="9">
        <f>IFERROR(VLOOKUP($A206,ANTIGA_DIRECIONADOS!$A:$P,MATCH(APENDICE_BCB!G$3,ANTIGA_DIRECIONADOS!$1:$1,0),0),0)</f>
        <v>0</v>
      </c>
      <c r="H206" s="9">
        <f>IFERROR(VLOOKUP($A206,ATUAL_LIV_E_DIR!$A:$P,MATCH(APENDICE_BCB!H$3,ATUAL_LIV_E_DIR!$1:$1,0),0),0)</f>
        <v>1447396</v>
      </c>
      <c r="I206" s="9">
        <f>IFERROR(VLOOKUP($A206,ATUAL_LIV_E_DIR!$A:$P,MATCH(APENDICE_BCB!I$3,ATUAL_LIV_E_DIR!$1:$1,0),0),0)</f>
        <v>723008</v>
      </c>
      <c r="J206" s="9">
        <f>IFERROR(VLOOKUP($A206,ATUAL_LIV_E_DIR!$A:$P,MATCH(APENDICE_BCB!J$3,ATUAL_LIV_E_DIR!$1:$1,0),0),0)</f>
        <v>724388</v>
      </c>
      <c r="K206" s="9">
        <f>IFERROR(VLOOKUP($A206,ATUAL_LIV_E_DIR!$A:$P,MATCH(APENDICE_BCB!K$3,ATUAL_LIV_E_DIR!$1:$1,0),0),0)</f>
        <v>1130478</v>
      </c>
      <c r="L206" s="9">
        <f>IFERROR(VLOOKUP($A206,ATUAL_LIV_E_DIR!$A:$P,MATCH(APENDICE_BCB!L$3,ATUAL_LIV_E_DIR!$1:$1,0),0),0)</f>
        <v>466107</v>
      </c>
      <c r="M206" s="9">
        <f>IFERROR(VLOOKUP($A206,ATUAL_LIV_E_DIR!$A:$P,MATCH(APENDICE_BCB!M$3,ATUAL_LIV_E_DIR!$1:$1,0),0),0)</f>
        <v>664372</v>
      </c>
      <c r="O206" s="11">
        <f t="shared" si="45"/>
        <v>0</v>
      </c>
      <c r="P206" s="11">
        <f t="shared" si="46"/>
        <v>2577874</v>
      </c>
      <c r="Q206" s="11">
        <f t="shared" si="47"/>
        <v>0</v>
      </c>
      <c r="R206" s="11">
        <f t="shared" si="48"/>
        <v>1387380</v>
      </c>
      <c r="S206" s="11"/>
      <c r="T206" s="11">
        <f t="shared" si="50"/>
        <v>1190495</v>
      </c>
      <c r="V206" s="7">
        <f t="shared" si="51"/>
        <v>0</v>
      </c>
      <c r="W206">
        <f t="shared" si="52"/>
        <v>0.4618127185424889</v>
      </c>
      <c r="Y206" s="8"/>
      <c r="Z206" s="8">
        <f t="shared" si="54"/>
        <v>1.2866548506223818E-2</v>
      </c>
      <c r="AE206" s="1">
        <f t="shared" si="43"/>
        <v>41487</v>
      </c>
      <c r="AF206" s="11">
        <f t="shared" si="44"/>
        <v>1190495</v>
      </c>
    </row>
    <row r="207" spans="1:32" x14ac:dyDescent="0.25">
      <c r="A207" s="1">
        <v>41518</v>
      </c>
      <c r="B207" s="9">
        <f>IFERROR(VLOOKUP($A207,ANTIGA_LIVRES!$A:$P,MATCH(APENDICE_BCB!B$3,ANTIGA_LIVRES!$1:$1,0),0)/1000,0)</f>
        <v>0</v>
      </c>
      <c r="C207" s="9">
        <f>IFERROR(VLOOKUP($A207,ANTIGA_LIVRES!$A:$P,MATCH(APENDICE_BCB!C$3,ANTIGA_LIVRES!$1:$1,0),0)/1000,0)</f>
        <v>0</v>
      </c>
      <c r="D207" s="9">
        <f>IFERROR(VLOOKUP($A207,ANTIGA_LIVRES!$A:$P,MATCH(APENDICE_BCB!D$3,ANTIGA_LIVRES!$1:$1,0),0)/1000,0)</f>
        <v>0</v>
      </c>
      <c r="E207" s="9">
        <f>IFERROR(VLOOKUP($A207,ANTIGA_DIRECIONADOS!$A:$P,MATCH(APENDICE_BCB!E$3,ANTIGA_DIRECIONADOS!$1:$1,0),0),0)</f>
        <v>0</v>
      </c>
      <c r="F207" s="9">
        <f>IFERROR(VLOOKUP($A207,ANTIGA_DIRECIONADOS!$A:$P,MATCH(APENDICE_BCB!F$3,ANTIGA_DIRECIONADOS!$1:$1,0),0),0)</f>
        <v>0</v>
      </c>
      <c r="G207" s="9">
        <f>IFERROR(VLOOKUP($A207,ANTIGA_DIRECIONADOS!$A:$P,MATCH(APENDICE_BCB!G$3,ANTIGA_DIRECIONADOS!$1:$1,0),0),0)</f>
        <v>0</v>
      </c>
      <c r="H207" s="9">
        <f>IFERROR(VLOOKUP($A207,ATUAL_LIV_E_DIR!$A:$P,MATCH(APENDICE_BCB!H$3,ATUAL_LIV_E_DIR!$1:$1,0),0),0)</f>
        <v>1460803</v>
      </c>
      <c r="I207" s="9">
        <f>IFERROR(VLOOKUP($A207,ATUAL_LIV_E_DIR!$A:$P,MATCH(APENDICE_BCB!I$3,ATUAL_LIV_E_DIR!$1:$1,0),0),0)</f>
        <v>733657</v>
      </c>
      <c r="J207" s="9">
        <f>IFERROR(VLOOKUP($A207,ATUAL_LIV_E_DIR!$A:$P,MATCH(APENDICE_BCB!J$3,ATUAL_LIV_E_DIR!$1:$1,0),0),0)</f>
        <v>727146</v>
      </c>
      <c r="K207" s="9">
        <f>IFERROR(VLOOKUP($A207,ATUAL_LIV_E_DIR!$A:$P,MATCH(APENDICE_BCB!K$3,ATUAL_LIV_E_DIR!$1:$1,0),0),0)</f>
        <v>1136365</v>
      </c>
      <c r="L207" s="9">
        <f>IFERROR(VLOOKUP($A207,ATUAL_LIV_E_DIR!$A:$P,MATCH(APENDICE_BCB!L$3,ATUAL_LIV_E_DIR!$1:$1,0),0),0)</f>
        <v>475301</v>
      </c>
      <c r="M207" s="9">
        <f>IFERROR(VLOOKUP($A207,ATUAL_LIV_E_DIR!$A:$P,MATCH(APENDICE_BCB!M$3,ATUAL_LIV_E_DIR!$1:$1,0),0),0)</f>
        <v>661063</v>
      </c>
      <c r="O207" s="11">
        <f t="shared" si="45"/>
        <v>0</v>
      </c>
      <c r="P207" s="11">
        <f t="shared" si="46"/>
        <v>2597168</v>
      </c>
      <c r="Q207" s="11">
        <f t="shared" si="47"/>
        <v>0</v>
      </c>
      <c r="R207" s="11">
        <f t="shared" si="48"/>
        <v>1394720</v>
      </c>
      <c r="S207" s="11"/>
      <c r="T207" s="11">
        <f t="shared" si="50"/>
        <v>1202447</v>
      </c>
      <c r="V207" s="7">
        <f t="shared" si="51"/>
        <v>0</v>
      </c>
      <c r="W207">
        <f t="shared" si="52"/>
        <v>0.46298391170690539</v>
      </c>
      <c r="Y207" s="8"/>
      <c r="Z207" s="8">
        <f t="shared" si="54"/>
        <v>7.4844620024097086E-3</v>
      </c>
      <c r="AE207" s="1">
        <f t="shared" si="43"/>
        <v>41518</v>
      </c>
      <c r="AF207" s="11">
        <f t="shared" si="44"/>
        <v>1202447</v>
      </c>
    </row>
    <row r="208" spans="1:32" x14ac:dyDescent="0.25">
      <c r="A208" s="1">
        <v>41548</v>
      </c>
      <c r="B208" s="9">
        <f>IFERROR(VLOOKUP($A208,ANTIGA_LIVRES!$A:$P,MATCH(APENDICE_BCB!B$3,ANTIGA_LIVRES!$1:$1,0),0)/1000,0)</f>
        <v>0</v>
      </c>
      <c r="C208" s="9">
        <f>IFERROR(VLOOKUP($A208,ANTIGA_LIVRES!$A:$P,MATCH(APENDICE_BCB!C$3,ANTIGA_LIVRES!$1:$1,0),0)/1000,0)</f>
        <v>0</v>
      </c>
      <c r="D208" s="9">
        <f>IFERROR(VLOOKUP($A208,ANTIGA_LIVRES!$A:$P,MATCH(APENDICE_BCB!D$3,ANTIGA_LIVRES!$1:$1,0),0)/1000,0)</f>
        <v>0</v>
      </c>
      <c r="E208" s="9">
        <f>IFERROR(VLOOKUP($A208,ANTIGA_DIRECIONADOS!$A:$P,MATCH(APENDICE_BCB!E$3,ANTIGA_DIRECIONADOS!$1:$1,0),0),0)</f>
        <v>0</v>
      </c>
      <c r="F208" s="9">
        <f>IFERROR(VLOOKUP($A208,ANTIGA_DIRECIONADOS!$A:$P,MATCH(APENDICE_BCB!F$3,ANTIGA_DIRECIONADOS!$1:$1,0),0),0)</f>
        <v>0</v>
      </c>
      <c r="G208" s="9">
        <f>IFERROR(VLOOKUP($A208,ANTIGA_DIRECIONADOS!$A:$P,MATCH(APENDICE_BCB!G$3,ANTIGA_DIRECIONADOS!$1:$1,0),0),0)</f>
        <v>0</v>
      </c>
      <c r="H208" s="9">
        <f>IFERROR(VLOOKUP($A208,ATUAL_LIV_E_DIR!$A:$P,MATCH(APENDICE_BCB!H$3,ATUAL_LIV_E_DIR!$1:$1,0),0),0)</f>
        <v>1461885</v>
      </c>
      <c r="I208" s="9">
        <f>IFERROR(VLOOKUP($A208,ATUAL_LIV_E_DIR!$A:$P,MATCH(APENDICE_BCB!I$3,ATUAL_LIV_E_DIR!$1:$1,0),0),0)</f>
        <v>730504</v>
      </c>
      <c r="J208" s="9">
        <f>IFERROR(VLOOKUP($A208,ATUAL_LIV_E_DIR!$A:$P,MATCH(APENDICE_BCB!J$3,ATUAL_LIV_E_DIR!$1:$1,0),0),0)</f>
        <v>731380</v>
      </c>
      <c r="K208" s="9">
        <f>IFERROR(VLOOKUP($A208,ATUAL_LIV_E_DIR!$A:$P,MATCH(APENDICE_BCB!K$3,ATUAL_LIV_E_DIR!$1:$1,0),0),0)</f>
        <v>1142356</v>
      </c>
      <c r="L208" s="9">
        <f>IFERROR(VLOOKUP($A208,ATUAL_LIV_E_DIR!$A:$P,MATCH(APENDICE_BCB!L$3,ATUAL_LIV_E_DIR!$1:$1,0),0),0)</f>
        <v>481102</v>
      </c>
      <c r="M208" s="9">
        <f>IFERROR(VLOOKUP($A208,ATUAL_LIV_E_DIR!$A:$P,MATCH(APENDICE_BCB!M$3,ATUAL_LIV_E_DIR!$1:$1,0),0),0)</f>
        <v>661254</v>
      </c>
      <c r="O208" s="11">
        <f t="shared" si="45"/>
        <v>0</v>
      </c>
      <c r="P208" s="11">
        <f t="shared" si="46"/>
        <v>2604241</v>
      </c>
      <c r="Q208" s="11">
        <f t="shared" si="47"/>
        <v>0</v>
      </c>
      <c r="R208" s="11">
        <f t="shared" si="48"/>
        <v>1391758</v>
      </c>
      <c r="S208" s="11"/>
      <c r="T208" s="11">
        <f t="shared" si="50"/>
        <v>1212482</v>
      </c>
      <c r="V208" s="7">
        <f t="shared" si="51"/>
        <v>0</v>
      </c>
      <c r="W208">
        <f t="shared" si="52"/>
        <v>0.4655797984902319</v>
      </c>
      <c r="Y208" s="8"/>
      <c r="Z208" s="8">
        <f t="shared" si="54"/>
        <v>2.7233509730599792E-3</v>
      </c>
      <c r="AE208" s="1">
        <f t="shared" si="43"/>
        <v>41548</v>
      </c>
      <c r="AF208" s="11">
        <f t="shared" si="44"/>
        <v>1212482</v>
      </c>
    </row>
    <row r="209" spans="1:32" x14ac:dyDescent="0.25">
      <c r="A209" s="1">
        <v>41579</v>
      </c>
      <c r="B209" s="9">
        <f>IFERROR(VLOOKUP($A209,ANTIGA_LIVRES!$A:$P,MATCH(APENDICE_BCB!B$3,ANTIGA_LIVRES!$1:$1,0),0)/1000,0)</f>
        <v>0</v>
      </c>
      <c r="C209" s="9">
        <f>IFERROR(VLOOKUP($A209,ANTIGA_LIVRES!$A:$P,MATCH(APENDICE_BCB!C$3,ANTIGA_LIVRES!$1:$1,0),0)/1000,0)</f>
        <v>0</v>
      </c>
      <c r="D209" s="9">
        <f>IFERROR(VLOOKUP($A209,ANTIGA_LIVRES!$A:$P,MATCH(APENDICE_BCB!D$3,ANTIGA_LIVRES!$1:$1,0),0)/1000,0)</f>
        <v>0</v>
      </c>
      <c r="E209" s="9">
        <f>IFERROR(VLOOKUP($A209,ANTIGA_DIRECIONADOS!$A:$P,MATCH(APENDICE_BCB!E$3,ANTIGA_DIRECIONADOS!$1:$1,0),0),0)</f>
        <v>0</v>
      </c>
      <c r="F209" s="9">
        <f>IFERROR(VLOOKUP($A209,ANTIGA_DIRECIONADOS!$A:$P,MATCH(APENDICE_BCB!F$3,ANTIGA_DIRECIONADOS!$1:$1,0),0),0)</f>
        <v>0</v>
      </c>
      <c r="G209" s="9">
        <f>IFERROR(VLOOKUP($A209,ANTIGA_DIRECIONADOS!$A:$P,MATCH(APENDICE_BCB!G$3,ANTIGA_DIRECIONADOS!$1:$1,0),0),0)</f>
        <v>0</v>
      </c>
      <c r="H209" s="9">
        <f>IFERROR(VLOOKUP($A209,ATUAL_LIV_E_DIR!$A:$P,MATCH(APENDICE_BCB!H$3,ATUAL_LIV_E_DIR!$1:$1,0),0),0)</f>
        <v>1479322</v>
      </c>
      <c r="I209" s="9">
        <f>IFERROR(VLOOKUP($A209,ATUAL_LIV_E_DIR!$A:$P,MATCH(APENDICE_BCB!I$3,ATUAL_LIV_E_DIR!$1:$1,0),0),0)</f>
        <v>744216</v>
      </c>
      <c r="J209" s="9">
        <f>IFERROR(VLOOKUP($A209,ATUAL_LIV_E_DIR!$A:$P,MATCH(APENDICE_BCB!J$3,ATUAL_LIV_E_DIR!$1:$1,0),0),0)</f>
        <v>735106</v>
      </c>
      <c r="K209" s="9">
        <f>IFERROR(VLOOKUP($A209,ATUAL_LIV_E_DIR!$A:$P,MATCH(APENDICE_BCB!K$3,ATUAL_LIV_E_DIR!$1:$1,0),0),0)</f>
        <v>1167551</v>
      </c>
      <c r="L209" s="9">
        <f>IFERROR(VLOOKUP($A209,ATUAL_LIV_E_DIR!$A:$P,MATCH(APENDICE_BCB!L$3,ATUAL_LIV_E_DIR!$1:$1,0),0),0)</f>
        <v>492878</v>
      </c>
      <c r="M209" s="9">
        <f>IFERROR(VLOOKUP($A209,ATUAL_LIV_E_DIR!$A:$P,MATCH(APENDICE_BCB!M$3,ATUAL_LIV_E_DIR!$1:$1,0),0),0)</f>
        <v>674673</v>
      </c>
      <c r="O209" s="11">
        <f t="shared" si="45"/>
        <v>0</v>
      </c>
      <c r="P209" s="11">
        <f t="shared" si="46"/>
        <v>2646873</v>
      </c>
      <c r="Q209" s="11">
        <f t="shared" si="47"/>
        <v>0</v>
      </c>
      <c r="R209" s="11">
        <f t="shared" si="48"/>
        <v>1418889</v>
      </c>
      <c r="S209" s="11"/>
      <c r="T209" s="11">
        <f t="shared" si="50"/>
        <v>1227984</v>
      </c>
      <c r="V209" s="7">
        <f t="shared" si="51"/>
        <v>0</v>
      </c>
      <c r="W209">
        <f t="shared" si="52"/>
        <v>0.46393763508864988</v>
      </c>
      <c r="Y209" s="8"/>
      <c r="Z209" s="8">
        <f t="shared" si="54"/>
        <v>1.6370220728419538E-2</v>
      </c>
      <c r="AE209" s="1">
        <f t="shared" si="43"/>
        <v>41579</v>
      </c>
      <c r="AF209" s="11">
        <f t="shared" si="44"/>
        <v>1227984</v>
      </c>
    </row>
    <row r="210" spans="1:32" x14ac:dyDescent="0.25">
      <c r="A210" s="1">
        <v>41609</v>
      </c>
      <c r="B210" s="9">
        <f>IFERROR(VLOOKUP($A210,ANTIGA_LIVRES!$A:$P,MATCH(APENDICE_BCB!B$3,ANTIGA_LIVRES!$1:$1,0),0)/1000,0)</f>
        <v>0</v>
      </c>
      <c r="C210" s="9">
        <f>IFERROR(VLOOKUP($A210,ANTIGA_LIVRES!$A:$P,MATCH(APENDICE_BCB!C$3,ANTIGA_LIVRES!$1:$1,0),0)/1000,0)</f>
        <v>0</v>
      </c>
      <c r="D210" s="9">
        <f>IFERROR(VLOOKUP($A210,ANTIGA_LIVRES!$A:$P,MATCH(APENDICE_BCB!D$3,ANTIGA_LIVRES!$1:$1,0),0)/1000,0)</f>
        <v>0</v>
      </c>
      <c r="E210" s="9">
        <f>IFERROR(VLOOKUP($A210,ANTIGA_DIRECIONADOS!$A:$P,MATCH(APENDICE_BCB!E$3,ANTIGA_DIRECIONADOS!$1:$1,0),0),0)</f>
        <v>0</v>
      </c>
      <c r="F210" s="9">
        <f>IFERROR(VLOOKUP($A210,ANTIGA_DIRECIONADOS!$A:$P,MATCH(APENDICE_BCB!F$3,ANTIGA_DIRECIONADOS!$1:$1,0),0),0)</f>
        <v>0</v>
      </c>
      <c r="G210" s="9">
        <f>IFERROR(VLOOKUP($A210,ANTIGA_DIRECIONADOS!$A:$P,MATCH(APENDICE_BCB!G$3,ANTIGA_DIRECIONADOS!$1:$1,0),0),0)</f>
        <v>0</v>
      </c>
      <c r="H210" s="9">
        <f>IFERROR(VLOOKUP($A210,ATUAL_LIV_E_DIR!$A:$P,MATCH(APENDICE_BCB!H$3,ATUAL_LIV_E_DIR!$1:$1,0),0),0)</f>
        <v>1505304</v>
      </c>
      <c r="I210" s="9">
        <f>IFERROR(VLOOKUP($A210,ATUAL_LIV_E_DIR!$A:$P,MATCH(APENDICE_BCB!I$3,ATUAL_LIV_E_DIR!$1:$1,0),0),0)</f>
        <v>763120</v>
      </c>
      <c r="J210" s="9">
        <f>IFERROR(VLOOKUP($A210,ATUAL_LIV_E_DIR!$A:$P,MATCH(APENDICE_BCB!J$3,ATUAL_LIV_E_DIR!$1:$1,0),0),0)</f>
        <v>742183</v>
      </c>
      <c r="K210" s="9">
        <f>IFERROR(VLOOKUP($A210,ATUAL_LIV_E_DIR!$A:$P,MATCH(APENDICE_BCB!K$3,ATUAL_LIV_E_DIR!$1:$1,0),0),0)</f>
        <v>1206067</v>
      </c>
      <c r="L210" s="9">
        <f>IFERROR(VLOOKUP($A210,ATUAL_LIV_E_DIR!$A:$P,MATCH(APENDICE_BCB!L$3,ATUAL_LIV_E_DIR!$1:$1,0),0),0)</f>
        <v>507188</v>
      </c>
      <c r="M210" s="9">
        <f>IFERROR(VLOOKUP($A210,ATUAL_LIV_E_DIR!$A:$P,MATCH(APENDICE_BCB!M$3,ATUAL_LIV_E_DIR!$1:$1,0),0),0)</f>
        <v>698879</v>
      </c>
      <c r="O210" s="11">
        <f t="shared" si="45"/>
        <v>0</v>
      </c>
      <c r="P210" s="11">
        <f t="shared" si="46"/>
        <v>2711371</v>
      </c>
      <c r="Q210" s="11">
        <f t="shared" si="47"/>
        <v>0</v>
      </c>
      <c r="R210" s="11">
        <f t="shared" si="48"/>
        <v>1461999</v>
      </c>
      <c r="S210" s="11"/>
      <c r="T210" s="11">
        <f t="shared" si="50"/>
        <v>1249371</v>
      </c>
      <c r="V210" s="7">
        <f t="shared" si="51"/>
        <v>0</v>
      </c>
      <c r="W210">
        <f t="shared" si="52"/>
        <v>0.46078939400030466</v>
      </c>
      <c r="Y210" s="8"/>
      <c r="Z210" s="8">
        <f t="shared" si="54"/>
        <v>2.4367621718155652E-2</v>
      </c>
      <c r="AE210" s="1">
        <f t="shared" si="43"/>
        <v>41609</v>
      </c>
      <c r="AF210" s="11">
        <f t="shared" si="44"/>
        <v>1249371</v>
      </c>
    </row>
    <row r="211" spans="1:32" x14ac:dyDescent="0.25">
      <c r="A211" s="1">
        <v>41640</v>
      </c>
      <c r="B211" s="9">
        <f>IFERROR(VLOOKUP($A211,ANTIGA_LIVRES!$A:$P,MATCH(APENDICE_BCB!B$3,ANTIGA_LIVRES!$1:$1,0),0)/1000,0)</f>
        <v>0</v>
      </c>
      <c r="C211" s="9">
        <f>IFERROR(VLOOKUP($A211,ANTIGA_LIVRES!$A:$P,MATCH(APENDICE_BCB!C$3,ANTIGA_LIVRES!$1:$1,0),0)/1000,0)</f>
        <v>0</v>
      </c>
      <c r="D211" s="9">
        <f>IFERROR(VLOOKUP($A211,ANTIGA_LIVRES!$A:$P,MATCH(APENDICE_BCB!D$3,ANTIGA_LIVRES!$1:$1,0),0)/1000,0)</f>
        <v>0</v>
      </c>
      <c r="E211" s="9">
        <f>IFERROR(VLOOKUP($A211,ANTIGA_DIRECIONADOS!$A:$P,MATCH(APENDICE_BCB!E$3,ANTIGA_DIRECIONADOS!$1:$1,0),0),0)</f>
        <v>0</v>
      </c>
      <c r="F211" s="9">
        <f>IFERROR(VLOOKUP($A211,ANTIGA_DIRECIONADOS!$A:$P,MATCH(APENDICE_BCB!F$3,ANTIGA_DIRECIONADOS!$1:$1,0),0),0)</f>
        <v>0</v>
      </c>
      <c r="G211" s="9">
        <f>IFERROR(VLOOKUP($A211,ANTIGA_DIRECIONADOS!$A:$P,MATCH(APENDICE_BCB!G$3,ANTIGA_DIRECIONADOS!$1:$1,0),0),0)</f>
        <v>0</v>
      </c>
      <c r="H211" s="9">
        <f>IFERROR(VLOOKUP($A211,ATUAL_LIV_E_DIR!$A:$P,MATCH(APENDICE_BCB!H$3,ATUAL_LIV_E_DIR!$1:$1,0),0),0)</f>
        <v>1488273</v>
      </c>
      <c r="I211" s="9">
        <f>IFERROR(VLOOKUP($A211,ATUAL_LIV_E_DIR!$A:$P,MATCH(APENDICE_BCB!I$3,ATUAL_LIV_E_DIR!$1:$1,0),0),0)</f>
        <v>741813</v>
      </c>
      <c r="J211" s="9">
        <f>IFERROR(VLOOKUP($A211,ATUAL_LIV_E_DIR!$A:$P,MATCH(APENDICE_BCB!J$3,ATUAL_LIV_E_DIR!$1:$1,0),0),0)</f>
        <v>746459</v>
      </c>
      <c r="K211" s="9">
        <f>IFERROR(VLOOKUP($A211,ATUAL_LIV_E_DIR!$A:$P,MATCH(APENDICE_BCB!K$3,ATUAL_LIV_E_DIR!$1:$1,0),0),0)</f>
        <v>1224999</v>
      </c>
      <c r="L211" s="9">
        <f>IFERROR(VLOOKUP($A211,ATUAL_LIV_E_DIR!$A:$P,MATCH(APENDICE_BCB!L$3,ATUAL_LIV_E_DIR!$1:$1,0),0),0)</f>
        <v>516669</v>
      </c>
      <c r="M211" s="9">
        <f>IFERROR(VLOOKUP($A211,ATUAL_LIV_E_DIR!$A:$P,MATCH(APENDICE_BCB!M$3,ATUAL_LIV_E_DIR!$1:$1,0),0),0)</f>
        <v>708330</v>
      </c>
      <c r="O211" s="11">
        <f t="shared" si="45"/>
        <v>0</v>
      </c>
      <c r="P211" s="11">
        <f t="shared" si="46"/>
        <v>2713272</v>
      </c>
      <c r="Q211" s="11">
        <f t="shared" si="47"/>
        <v>0</v>
      </c>
      <c r="R211" s="11">
        <f t="shared" si="48"/>
        <v>1450143</v>
      </c>
      <c r="S211" s="11"/>
      <c r="T211" s="11">
        <f t="shared" si="50"/>
        <v>1263128</v>
      </c>
      <c r="V211" s="7">
        <f t="shared" si="51"/>
        <v>0</v>
      </c>
      <c r="W211">
        <f t="shared" si="52"/>
        <v>0.46553681311715156</v>
      </c>
      <c r="Y211" s="8"/>
      <c r="Z211" s="8">
        <f t="shared" si="54"/>
        <v>7.0112131464128424E-4</v>
      </c>
      <c r="AE211" s="1">
        <f t="shared" si="43"/>
        <v>41640</v>
      </c>
      <c r="AF211" s="11">
        <f t="shared" si="44"/>
        <v>1263128</v>
      </c>
    </row>
    <row r="212" spans="1:32" x14ac:dyDescent="0.25">
      <c r="A212" s="1">
        <v>41671</v>
      </c>
      <c r="B212" s="9">
        <f>IFERROR(VLOOKUP($A212,ANTIGA_LIVRES!$A:$P,MATCH(APENDICE_BCB!B$3,ANTIGA_LIVRES!$1:$1,0),0)/1000,0)</f>
        <v>0</v>
      </c>
      <c r="C212" s="9">
        <f>IFERROR(VLOOKUP($A212,ANTIGA_LIVRES!$A:$P,MATCH(APENDICE_BCB!C$3,ANTIGA_LIVRES!$1:$1,0),0)/1000,0)</f>
        <v>0</v>
      </c>
      <c r="D212" s="9">
        <f>IFERROR(VLOOKUP($A212,ANTIGA_LIVRES!$A:$P,MATCH(APENDICE_BCB!D$3,ANTIGA_LIVRES!$1:$1,0),0)/1000,0)</f>
        <v>0</v>
      </c>
      <c r="E212" s="9">
        <f>IFERROR(VLOOKUP($A212,ANTIGA_DIRECIONADOS!$A:$P,MATCH(APENDICE_BCB!E$3,ANTIGA_DIRECIONADOS!$1:$1,0),0),0)</f>
        <v>0</v>
      </c>
      <c r="F212" s="9">
        <f>IFERROR(VLOOKUP($A212,ANTIGA_DIRECIONADOS!$A:$P,MATCH(APENDICE_BCB!F$3,ANTIGA_DIRECIONADOS!$1:$1,0),0),0)</f>
        <v>0</v>
      </c>
      <c r="G212" s="9">
        <f>IFERROR(VLOOKUP($A212,ANTIGA_DIRECIONADOS!$A:$P,MATCH(APENDICE_BCB!G$3,ANTIGA_DIRECIONADOS!$1:$1,0),0),0)</f>
        <v>0</v>
      </c>
      <c r="H212" s="9">
        <f>IFERROR(VLOOKUP($A212,ATUAL_LIV_E_DIR!$A:$P,MATCH(APENDICE_BCB!H$3,ATUAL_LIV_E_DIR!$1:$1,0),0),0)</f>
        <v>1489089</v>
      </c>
      <c r="I212" s="9">
        <f>IFERROR(VLOOKUP($A212,ATUAL_LIV_E_DIR!$A:$P,MATCH(APENDICE_BCB!I$3,ATUAL_LIV_E_DIR!$1:$1,0),0),0)</f>
        <v>744869</v>
      </c>
      <c r="J212" s="9">
        <f>IFERROR(VLOOKUP($A212,ATUAL_LIV_E_DIR!$A:$P,MATCH(APENDICE_BCB!J$3,ATUAL_LIV_E_DIR!$1:$1,0),0),0)</f>
        <v>744219</v>
      </c>
      <c r="K212" s="9">
        <f>IFERROR(VLOOKUP($A212,ATUAL_LIV_E_DIR!$A:$P,MATCH(APENDICE_BCB!K$3,ATUAL_LIV_E_DIR!$1:$1,0),0),0)</f>
        <v>1236564</v>
      </c>
      <c r="L212" s="9">
        <f>IFERROR(VLOOKUP($A212,ATUAL_LIV_E_DIR!$A:$P,MATCH(APENDICE_BCB!L$3,ATUAL_LIV_E_DIR!$1:$1,0),0),0)</f>
        <v>525987</v>
      </c>
      <c r="M212" s="9">
        <f>IFERROR(VLOOKUP($A212,ATUAL_LIV_E_DIR!$A:$P,MATCH(APENDICE_BCB!M$3,ATUAL_LIV_E_DIR!$1:$1,0),0),0)</f>
        <v>710576</v>
      </c>
      <c r="O212" s="11">
        <f t="shared" si="45"/>
        <v>0</v>
      </c>
      <c r="P212" s="11">
        <f t="shared" si="46"/>
        <v>2725653</v>
      </c>
      <c r="Q212" s="11">
        <f t="shared" si="47"/>
        <v>0</v>
      </c>
      <c r="R212" s="11">
        <f t="shared" si="48"/>
        <v>1455445</v>
      </c>
      <c r="S212" s="11"/>
      <c r="T212" s="11">
        <f t="shared" si="50"/>
        <v>1270206</v>
      </c>
      <c r="V212" s="7">
        <f t="shared" si="51"/>
        <v>0</v>
      </c>
      <c r="W212">
        <f t="shared" si="52"/>
        <v>0.46601896866549042</v>
      </c>
      <c r="Y212" s="8"/>
      <c r="Z212" s="8">
        <f t="shared" si="54"/>
        <v>4.5631252598339334E-3</v>
      </c>
      <c r="AE212" s="1">
        <f t="shared" si="43"/>
        <v>41671</v>
      </c>
      <c r="AF212" s="11">
        <f t="shared" si="44"/>
        <v>1270206</v>
      </c>
    </row>
    <row r="213" spans="1:32" x14ac:dyDescent="0.25">
      <c r="A213" s="1">
        <v>41699</v>
      </c>
      <c r="B213" s="9">
        <f>IFERROR(VLOOKUP($A213,ANTIGA_LIVRES!$A:$P,MATCH(APENDICE_BCB!B$3,ANTIGA_LIVRES!$1:$1,0),0)/1000,0)</f>
        <v>0</v>
      </c>
      <c r="C213" s="9">
        <f>IFERROR(VLOOKUP($A213,ANTIGA_LIVRES!$A:$P,MATCH(APENDICE_BCB!C$3,ANTIGA_LIVRES!$1:$1,0),0)/1000,0)</f>
        <v>0</v>
      </c>
      <c r="D213" s="9">
        <f>IFERROR(VLOOKUP($A213,ANTIGA_LIVRES!$A:$P,MATCH(APENDICE_BCB!D$3,ANTIGA_LIVRES!$1:$1,0),0)/1000,0)</f>
        <v>0</v>
      </c>
      <c r="E213" s="9">
        <f>IFERROR(VLOOKUP($A213,ANTIGA_DIRECIONADOS!$A:$P,MATCH(APENDICE_BCB!E$3,ANTIGA_DIRECIONADOS!$1:$1,0),0),0)</f>
        <v>0</v>
      </c>
      <c r="F213" s="9">
        <f>IFERROR(VLOOKUP($A213,ANTIGA_DIRECIONADOS!$A:$P,MATCH(APENDICE_BCB!F$3,ANTIGA_DIRECIONADOS!$1:$1,0),0),0)</f>
        <v>0</v>
      </c>
      <c r="G213" s="9">
        <f>IFERROR(VLOOKUP($A213,ANTIGA_DIRECIONADOS!$A:$P,MATCH(APENDICE_BCB!G$3,ANTIGA_DIRECIONADOS!$1:$1,0),0),0)</f>
        <v>0</v>
      </c>
      <c r="H213" s="9">
        <f>IFERROR(VLOOKUP($A213,ATUAL_LIV_E_DIR!$A:$P,MATCH(APENDICE_BCB!H$3,ATUAL_LIV_E_DIR!$1:$1,0),0),0)</f>
        <v>1499654</v>
      </c>
      <c r="I213" s="9">
        <f>IFERROR(VLOOKUP($A213,ATUAL_LIV_E_DIR!$A:$P,MATCH(APENDICE_BCB!I$3,ATUAL_LIV_E_DIR!$1:$1,0),0),0)</f>
        <v>752772</v>
      </c>
      <c r="J213" s="9">
        <f>IFERROR(VLOOKUP($A213,ATUAL_LIV_E_DIR!$A:$P,MATCH(APENDICE_BCB!J$3,ATUAL_LIV_E_DIR!$1:$1,0),0),0)</f>
        <v>746882</v>
      </c>
      <c r="K213" s="9">
        <f>IFERROR(VLOOKUP($A213,ATUAL_LIV_E_DIR!$A:$P,MATCH(APENDICE_BCB!K$3,ATUAL_LIV_E_DIR!$1:$1,0),0),0)</f>
        <v>1252635</v>
      </c>
      <c r="L213" s="9">
        <f>IFERROR(VLOOKUP($A213,ATUAL_LIV_E_DIR!$A:$P,MATCH(APENDICE_BCB!L$3,ATUAL_LIV_E_DIR!$1:$1,0),0),0)</f>
        <v>534721</v>
      </c>
      <c r="M213" s="9">
        <f>IFERROR(VLOOKUP($A213,ATUAL_LIV_E_DIR!$A:$P,MATCH(APENDICE_BCB!M$3,ATUAL_LIV_E_DIR!$1:$1,0),0),0)</f>
        <v>717914</v>
      </c>
      <c r="O213" s="11">
        <f t="shared" si="45"/>
        <v>0</v>
      </c>
      <c r="P213" s="11">
        <f t="shared" si="46"/>
        <v>2752289</v>
      </c>
      <c r="Q213" s="11">
        <f t="shared" si="47"/>
        <v>0</v>
      </c>
      <c r="R213" s="11">
        <f t="shared" si="48"/>
        <v>1470686</v>
      </c>
      <c r="S213" s="11"/>
      <c r="T213" s="11">
        <f t="shared" si="50"/>
        <v>1281603</v>
      </c>
      <c r="V213" s="7">
        <f t="shared" si="51"/>
        <v>0</v>
      </c>
      <c r="W213">
        <f t="shared" si="52"/>
        <v>0.46564986453094132</v>
      </c>
      <c r="Y213" s="8"/>
      <c r="Z213" s="8">
        <f t="shared" si="54"/>
        <v>9.7723371243514379E-3</v>
      </c>
      <c r="AE213" s="1">
        <f t="shared" si="43"/>
        <v>41699</v>
      </c>
      <c r="AF213" s="11">
        <f t="shared" si="44"/>
        <v>1281603</v>
      </c>
    </row>
    <row r="214" spans="1:32" x14ac:dyDescent="0.25">
      <c r="A214" s="1">
        <v>41730</v>
      </c>
      <c r="B214" s="9">
        <f>IFERROR(VLOOKUP($A214,ANTIGA_LIVRES!$A:$P,MATCH(APENDICE_BCB!B$3,ANTIGA_LIVRES!$1:$1,0),0)/1000,0)</f>
        <v>0</v>
      </c>
      <c r="C214" s="9">
        <f>IFERROR(VLOOKUP($A214,ANTIGA_LIVRES!$A:$P,MATCH(APENDICE_BCB!C$3,ANTIGA_LIVRES!$1:$1,0),0)/1000,0)</f>
        <v>0</v>
      </c>
      <c r="D214" s="9">
        <f>IFERROR(VLOOKUP($A214,ANTIGA_LIVRES!$A:$P,MATCH(APENDICE_BCB!D$3,ANTIGA_LIVRES!$1:$1,0),0)/1000,0)</f>
        <v>0</v>
      </c>
      <c r="E214" s="9">
        <f>IFERROR(VLOOKUP($A214,ANTIGA_DIRECIONADOS!$A:$P,MATCH(APENDICE_BCB!E$3,ANTIGA_DIRECIONADOS!$1:$1,0),0),0)</f>
        <v>0</v>
      </c>
      <c r="F214" s="9">
        <f>IFERROR(VLOOKUP($A214,ANTIGA_DIRECIONADOS!$A:$P,MATCH(APENDICE_BCB!F$3,ANTIGA_DIRECIONADOS!$1:$1,0),0),0)</f>
        <v>0</v>
      </c>
      <c r="G214" s="9">
        <f>IFERROR(VLOOKUP($A214,ANTIGA_DIRECIONADOS!$A:$P,MATCH(APENDICE_BCB!G$3,ANTIGA_DIRECIONADOS!$1:$1,0),0),0)</f>
        <v>0</v>
      </c>
      <c r="H214" s="9">
        <f>IFERROR(VLOOKUP($A214,ATUAL_LIV_E_DIR!$A:$P,MATCH(APENDICE_BCB!H$3,ATUAL_LIV_E_DIR!$1:$1,0),0),0)</f>
        <v>1501203</v>
      </c>
      <c r="I214" s="9">
        <f>IFERROR(VLOOKUP($A214,ATUAL_LIV_E_DIR!$A:$P,MATCH(APENDICE_BCB!I$3,ATUAL_LIV_E_DIR!$1:$1,0),0),0)</f>
        <v>752427</v>
      </c>
      <c r="J214" s="9">
        <f>IFERROR(VLOOKUP($A214,ATUAL_LIV_E_DIR!$A:$P,MATCH(APENDICE_BCB!J$3,ATUAL_LIV_E_DIR!$1:$1,0),0),0)</f>
        <v>748776</v>
      </c>
      <c r="K214" s="9">
        <f>IFERROR(VLOOKUP($A214,ATUAL_LIV_E_DIR!$A:$P,MATCH(APENDICE_BCB!K$3,ATUAL_LIV_E_DIR!$1:$1,0),0),0)</f>
        <v>1270144</v>
      </c>
      <c r="L214" s="9">
        <f>IFERROR(VLOOKUP($A214,ATUAL_LIV_E_DIR!$A:$P,MATCH(APENDICE_BCB!L$3,ATUAL_LIV_E_DIR!$1:$1,0),0),0)</f>
        <v>545422</v>
      </c>
      <c r="M214" s="9">
        <f>IFERROR(VLOOKUP($A214,ATUAL_LIV_E_DIR!$A:$P,MATCH(APENDICE_BCB!M$3,ATUAL_LIV_E_DIR!$1:$1,0),0),0)</f>
        <v>724722</v>
      </c>
      <c r="O214" s="11">
        <f t="shared" si="45"/>
        <v>0</v>
      </c>
      <c r="P214" s="11">
        <f t="shared" si="46"/>
        <v>2771347</v>
      </c>
      <c r="Q214" s="11">
        <f t="shared" si="47"/>
        <v>0</v>
      </c>
      <c r="R214" s="11">
        <f t="shared" si="48"/>
        <v>1477149</v>
      </c>
      <c r="S214" s="11"/>
      <c r="T214" s="11">
        <f t="shared" si="50"/>
        <v>1294198</v>
      </c>
      <c r="V214" s="7">
        <f t="shared" si="51"/>
        <v>0</v>
      </c>
      <c r="W214">
        <f t="shared" si="52"/>
        <v>0.46699240477644988</v>
      </c>
      <c r="Y214" s="8"/>
      <c r="Z214" s="8">
        <f t="shared" si="54"/>
        <v>6.9244181842822439E-3</v>
      </c>
      <c r="AE214" s="1">
        <f t="shared" si="43"/>
        <v>41730</v>
      </c>
      <c r="AF214" s="11">
        <f t="shared" si="44"/>
        <v>1294198</v>
      </c>
    </row>
    <row r="215" spans="1:32" x14ac:dyDescent="0.25">
      <c r="A215" s="1">
        <v>41760</v>
      </c>
      <c r="B215" s="9">
        <f>IFERROR(VLOOKUP($A215,ANTIGA_LIVRES!$A:$P,MATCH(APENDICE_BCB!B$3,ANTIGA_LIVRES!$1:$1,0),0)/1000,0)</f>
        <v>0</v>
      </c>
      <c r="C215" s="9">
        <f>IFERROR(VLOOKUP($A215,ANTIGA_LIVRES!$A:$P,MATCH(APENDICE_BCB!C$3,ANTIGA_LIVRES!$1:$1,0),0)/1000,0)</f>
        <v>0</v>
      </c>
      <c r="D215" s="9">
        <f>IFERROR(VLOOKUP($A215,ANTIGA_LIVRES!$A:$P,MATCH(APENDICE_BCB!D$3,ANTIGA_LIVRES!$1:$1,0),0)/1000,0)</f>
        <v>0</v>
      </c>
      <c r="E215" s="9">
        <f>IFERROR(VLOOKUP($A215,ANTIGA_DIRECIONADOS!$A:$P,MATCH(APENDICE_BCB!E$3,ANTIGA_DIRECIONADOS!$1:$1,0),0),0)</f>
        <v>0</v>
      </c>
      <c r="F215" s="9">
        <f>IFERROR(VLOOKUP($A215,ANTIGA_DIRECIONADOS!$A:$P,MATCH(APENDICE_BCB!F$3,ANTIGA_DIRECIONADOS!$1:$1,0),0),0)</f>
        <v>0</v>
      </c>
      <c r="G215" s="9">
        <f>IFERROR(VLOOKUP($A215,ANTIGA_DIRECIONADOS!$A:$P,MATCH(APENDICE_BCB!G$3,ANTIGA_DIRECIONADOS!$1:$1,0),0),0)</f>
        <v>0</v>
      </c>
      <c r="H215" s="9">
        <f>IFERROR(VLOOKUP($A215,ATUAL_LIV_E_DIR!$A:$P,MATCH(APENDICE_BCB!H$3,ATUAL_LIV_E_DIR!$1:$1,0),0),0)</f>
        <v>1511263</v>
      </c>
      <c r="I215" s="9">
        <f>IFERROR(VLOOKUP($A215,ATUAL_LIV_E_DIR!$A:$P,MATCH(APENDICE_BCB!I$3,ATUAL_LIV_E_DIR!$1:$1,0),0),0)</f>
        <v>757916</v>
      </c>
      <c r="J215" s="9">
        <f>IFERROR(VLOOKUP($A215,ATUAL_LIV_E_DIR!$A:$P,MATCH(APENDICE_BCB!J$3,ATUAL_LIV_E_DIR!$1:$1,0),0),0)</f>
        <v>753346</v>
      </c>
      <c r="K215" s="9">
        <f>IFERROR(VLOOKUP($A215,ATUAL_LIV_E_DIR!$A:$P,MATCH(APENDICE_BCB!K$3,ATUAL_LIV_E_DIR!$1:$1,0),0),0)</f>
        <v>1286752</v>
      </c>
      <c r="L215" s="9">
        <f>IFERROR(VLOOKUP($A215,ATUAL_LIV_E_DIR!$A:$P,MATCH(APENDICE_BCB!L$3,ATUAL_LIV_E_DIR!$1:$1,0),0),0)</f>
        <v>557838</v>
      </c>
      <c r="M215" s="9">
        <f>IFERROR(VLOOKUP($A215,ATUAL_LIV_E_DIR!$A:$P,MATCH(APENDICE_BCB!M$3,ATUAL_LIV_E_DIR!$1:$1,0),0),0)</f>
        <v>728914</v>
      </c>
      <c r="O215" s="11">
        <f t="shared" si="45"/>
        <v>0</v>
      </c>
      <c r="P215" s="11">
        <f t="shared" si="46"/>
        <v>2798015</v>
      </c>
      <c r="Q215" s="11">
        <f t="shared" si="47"/>
        <v>0</v>
      </c>
      <c r="R215" s="11">
        <f t="shared" si="48"/>
        <v>1486830</v>
      </c>
      <c r="S215" s="11"/>
      <c r="T215" s="11">
        <f t="shared" si="50"/>
        <v>1311184</v>
      </c>
      <c r="V215" s="7">
        <f t="shared" si="51"/>
        <v>0</v>
      </c>
      <c r="W215">
        <f t="shared" si="52"/>
        <v>0.46861221258642288</v>
      </c>
      <c r="Y215" s="8"/>
      <c r="Z215" s="8">
        <f t="shared" si="54"/>
        <v>9.6227574533249705E-3</v>
      </c>
      <c r="AE215" s="1">
        <f t="shared" si="43"/>
        <v>41760</v>
      </c>
      <c r="AF215" s="11">
        <f t="shared" si="44"/>
        <v>1311184</v>
      </c>
    </row>
    <row r="216" spans="1:32" x14ac:dyDescent="0.25">
      <c r="A216" s="1">
        <v>41791</v>
      </c>
      <c r="B216" s="9">
        <f>IFERROR(VLOOKUP($A216,ANTIGA_LIVRES!$A:$P,MATCH(APENDICE_BCB!B$3,ANTIGA_LIVRES!$1:$1,0),0)/1000,0)</f>
        <v>0</v>
      </c>
      <c r="C216" s="9">
        <f>IFERROR(VLOOKUP($A216,ANTIGA_LIVRES!$A:$P,MATCH(APENDICE_BCB!C$3,ANTIGA_LIVRES!$1:$1,0),0)/1000,0)</f>
        <v>0</v>
      </c>
      <c r="D216" s="9">
        <f>IFERROR(VLOOKUP($A216,ANTIGA_LIVRES!$A:$P,MATCH(APENDICE_BCB!D$3,ANTIGA_LIVRES!$1:$1,0),0)/1000,0)</f>
        <v>0</v>
      </c>
      <c r="E216" s="9">
        <f>IFERROR(VLOOKUP($A216,ANTIGA_DIRECIONADOS!$A:$P,MATCH(APENDICE_BCB!E$3,ANTIGA_DIRECIONADOS!$1:$1,0),0),0)</f>
        <v>0</v>
      </c>
      <c r="F216" s="9">
        <f>IFERROR(VLOOKUP($A216,ANTIGA_DIRECIONADOS!$A:$P,MATCH(APENDICE_BCB!F$3,ANTIGA_DIRECIONADOS!$1:$1,0),0),0)</f>
        <v>0</v>
      </c>
      <c r="G216" s="9">
        <f>IFERROR(VLOOKUP($A216,ANTIGA_DIRECIONADOS!$A:$P,MATCH(APENDICE_BCB!G$3,ANTIGA_DIRECIONADOS!$1:$1,0),0),0)</f>
        <v>0</v>
      </c>
      <c r="H216" s="9">
        <f>IFERROR(VLOOKUP($A216,ATUAL_LIV_E_DIR!$A:$P,MATCH(APENDICE_BCB!H$3,ATUAL_LIV_E_DIR!$1:$1,0),0),0)</f>
        <v>1522387</v>
      </c>
      <c r="I216" s="9">
        <f>IFERROR(VLOOKUP($A216,ATUAL_LIV_E_DIR!$A:$P,MATCH(APENDICE_BCB!I$3,ATUAL_LIV_E_DIR!$1:$1,0),0),0)</f>
        <v>767132</v>
      </c>
      <c r="J216" s="9">
        <f>IFERROR(VLOOKUP($A216,ATUAL_LIV_E_DIR!$A:$P,MATCH(APENDICE_BCB!J$3,ATUAL_LIV_E_DIR!$1:$1,0),0),0)</f>
        <v>755254</v>
      </c>
      <c r="K216" s="9">
        <f>IFERROR(VLOOKUP($A216,ATUAL_LIV_E_DIR!$A:$P,MATCH(APENDICE_BCB!K$3,ATUAL_LIV_E_DIR!$1:$1,0),0),0)</f>
        <v>1302239</v>
      </c>
      <c r="L216" s="9">
        <f>IFERROR(VLOOKUP($A216,ATUAL_LIV_E_DIR!$A:$P,MATCH(APENDICE_BCB!L$3,ATUAL_LIV_E_DIR!$1:$1,0),0),0)</f>
        <v>569522</v>
      </c>
      <c r="M216" s="9">
        <f>IFERROR(VLOOKUP($A216,ATUAL_LIV_E_DIR!$A:$P,MATCH(APENDICE_BCB!M$3,ATUAL_LIV_E_DIR!$1:$1,0),0),0)</f>
        <v>732717</v>
      </c>
      <c r="O216" s="11">
        <f t="shared" si="45"/>
        <v>0</v>
      </c>
      <c r="P216" s="11">
        <f t="shared" si="46"/>
        <v>2824626</v>
      </c>
      <c r="Q216" s="11">
        <f t="shared" si="47"/>
        <v>0</v>
      </c>
      <c r="R216" s="11">
        <f t="shared" si="48"/>
        <v>1499849</v>
      </c>
      <c r="S216" s="11"/>
      <c r="T216" s="11">
        <f t="shared" si="50"/>
        <v>1324776</v>
      </c>
      <c r="V216" s="7">
        <f t="shared" si="51"/>
        <v>0</v>
      </c>
      <c r="W216">
        <f t="shared" si="52"/>
        <v>0.46900934849427856</v>
      </c>
      <c r="Y216" s="8"/>
      <c r="Z216" s="8">
        <f t="shared" si="54"/>
        <v>9.5106709578041126E-3</v>
      </c>
      <c r="AE216" s="1">
        <f t="shared" si="43"/>
        <v>41791</v>
      </c>
      <c r="AF216" s="11">
        <f t="shared" si="44"/>
        <v>1324776</v>
      </c>
    </row>
    <row r="217" spans="1:32" x14ac:dyDescent="0.25">
      <c r="A217" s="1">
        <v>41821</v>
      </c>
      <c r="B217" s="9">
        <f>IFERROR(VLOOKUP($A217,ANTIGA_LIVRES!$A:$P,MATCH(APENDICE_BCB!B$3,ANTIGA_LIVRES!$1:$1,0),0)/1000,0)</f>
        <v>0</v>
      </c>
      <c r="C217" s="9">
        <f>IFERROR(VLOOKUP($A217,ANTIGA_LIVRES!$A:$P,MATCH(APENDICE_BCB!C$3,ANTIGA_LIVRES!$1:$1,0),0)/1000,0)</f>
        <v>0</v>
      </c>
      <c r="D217" s="9">
        <f>IFERROR(VLOOKUP($A217,ANTIGA_LIVRES!$A:$P,MATCH(APENDICE_BCB!D$3,ANTIGA_LIVRES!$1:$1,0),0)/1000,0)</f>
        <v>0</v>
      </c>
      <c r="E217" s="9">
        <f>IFERROR(VLOOKUP($A217,ANTIGA_DIRECIONADOS!$A:$P,MATCH(APENDICE_BCB!E$3,ANTIGA_DIRECIONADOS!$1:$1,0),0),0)</f>
        <v>0</v>
      </c>
      <c r="F217" s="9">
        <f>IFERROR(VLOOKUP($A217,ANTIGA_DIRECIONADOS!$A:$P,MATCH(APENDICE_BCB!F$3,ANTIGA_DIRECIONADOS!$1:$1,0),0),0)</f>
        <v>0</v>
      </c>
      <c r="G217" s="9">
        <f>IFERROR(VLOOKUP($A217,ANTIGA_DIRECIONADOS!$A:$P,MATCH(APENDICE_BCB!G$3,ANTIGA_DIRECIONADOS!$1:$1,0),0),0)</f>
        <v>0</v>
      </c>
      <c r="H217" s="9">
        <f>IFERROR(VLOOKUP($A217,ATUAL_LIV_E_DIR!$A:$P,MATCH(APENDICE_BCB!H$3,ATUAL_LIV_E_DIR!$1:$1,0),0),0)</f>
        <v>1514625</v>
      </c>
      <c r="I217" s="9">
        <f>IFERROR(VLOOKUP($A217,ATUAL_LIV_E_DIR!$A:$P,MATCH(APENDICE_BCB!I$3,ATUAL_LIV_E_DIR!$1:$1,0),0),0)</f>
        <v>758048</v>
      </c>
      <c r="J217" s="9">
        <f>IFERROR(VLOOKUP($A217,ATUAL_LIV_E_DIR!$A:$P,MATCH(APENDICE_BCB!J$3,ATUAL_LIV_E_DIR!$1:$1,0),0),0)</f>
        <v>756577</v>
      </c>
      <c r="K217" s="9">
        <f>IFERROR(VLOOKUP($A217,ATUAL_LIV_E_DIR!$A:$P,MATCH(APENDICE_BCB!K$3,ATUAL_LIV_E_DIR!$1:$1,0),0),0)</f>
        <v>1316219</v>
      </c>
      <c r="L217" s="9">
        <f>IFERROR(VLOOKUP($A217,ATUAL_LIV_E_DIR!$A:$P,MATCH(APENDICE_BCB!L$3,ATUAL_LIV_E_DIR!$1:$1,0),0),0)</f>
        <v>576483</v>
      </c>
      <c r="M217" s="9">
        <f>IFERROR(VLOOKUP($A217,ATUAL_LIV_E_DIR!$A:$P,MATCH(APENDICE_BCB!M$3,ATUAL_LIV_E_DIR!$1:$1,0),0),0)</f>
        <v>739737</v>
      </c>
      <c r="O217" s="11">
        <f t="shared" si="45"/>
        <v>0</v>
      </c>
      <c r="P217" s="11">
        <f t="shared" si="46"/>
        <v>2830844</v>
      </c>
      <c r="Q217" s="11">
        <f t="shared" si="47"/>
        <v>0</v>
      </c>
      <c r="R217" s="11">
        <f t="shared" si="48"/>
        <v>1497785</v>
      </c>
      <c r="S217" s="11"/>
      <c r="T217" s="11">
        <f t="shared" si="50"/>
        <v>1333060</v>
      </c>
      <c r="V217" s="7">
        <f t="shared" si="51"/>
        <v>0</v>
      </c>
      <c r="W217">
        <f t="shared" si="52"/>
        <v>0.47090549673524928</v>
      </c>
      <c r="Y217" s="8"/>
      <c r="Z217" s="8">
        <f t="shared" si="54"/>
        <v>2.2013533827132115E-3</v>
      </c>
      <c r="AE217" s="1">
        <f t="shared" si="43"/>
        <v>41821</v>
      </c>
      <c r="AF217" s="11">
        <f t="shared" si="44"/>
        <v>1333060</v>
      </c>
    </row>
    <row r="218" spans="1:32" x14ac:dyDescent="0.25">
      <c r="A218" s="1">
        <v>41852</v>
      </c>
      <c r="B218" s="9">
        <f>IFERROR(VLOOKUP($A218,ANTIGA_LIVRES!$A:$P,MATCH(APENDICE_BCB!B$3,ANTIGA_LIVRES!$1:$1,0),0)/1000,0)</f>
        <v>0</v>
      </c>
      <c r="C218" s="9">
        <f>IFERROR(VLOOKUP($A218,ANTIGA_LIVRES!$A:$P,MATCH(APENDICE_BCB!C$3,ANTIGA_LIVRES!$1:$1,0),0)/1000,0)</f>
        <v>0</v>
      </c>
      <c r="D218" s="9">
        <f>IFERROR(VLOOKUP($A218,ANTIGA_LIVRES!$A:$P,MATCH(APENDICE_BCB!D$3,ANTIGA_LIVRES!$1:$1,0),0)/1000,0)</f>
        <v>0</v>
      </c>
      <c r="E218" s="9">
        <f>IFERROR(VLOOKUP($A218,ANTIGA_DIRECIONADOS!$A:$P,MATCH(APENDICE_BCB!E$3,ANTIGA_DIRECIONADOS!$1:$1,0),0),0)</f>
        <v>0</v>
      </c>
      <c r="F218" s="9">
        <f>IFERROR(VLOOKUP($A218,ANTIGA_DIRECIONADOS!$A:$P,MATCH(APENDICE_BCB!F$3,ANTIGA_DIRECIONADOS!$1:$1,0),0),0)</f>
        <v>0</v>
      </c>
      <c r="G218" s="9">
        <f>IFERROR(VLOOKUP($A218,ANTIGA_DIRECIONADOS!$A:$P,MATCH(APENDICE_BCB!G$3,ANTIGA_DIRECIONADOS!$1:$1,0),0),0)</f>
        <v>0</v>
      </c>
      <c r="H218" s="9">
        <f>IFERROR(VLOOKUP($A218,ATUAL_LIV_E_DIR!$A:$P,MATCH(APENDICE_BCB!H$3,ATUAL_LIV_E_DIR!$1:$1,0),0),0)</f>
        <v>1520438</v>
      </c>
      <c r="I218" s="9">
        <f>IFERROR(VLOOKUP($A218,ATUAL_LIV_E_DIR!$A:$P,MATCH(APENDICE_BCB!I$3,ATUAL_LIV_E_DIR!$1:$1,0),0),0)</f>
        <v>761452</v>
      </c>
      <c r="J218" s="9">
        <f>IFERROR(VLOOKUP($A218,ATUAL_LIV_E_DIR!$A:$P,MATCH(APENDICE_BCB!J$3,ATUAL_LIV_E_DIR!$1:$1,0),0),0)</f>
        <v>758986</v>
      </c>
      <c r="K218" s="9">
        <f>IFERROR(VLOOKUP($A218,ATUAL_LIV_E_DIR!$A:$P,MATCH(APENDICE_BCB!K$3,ATUAL_LIV_E_DIR!$1:$1,0),0),0)</f>
        <v>1337236</v>
      </c>
      <c r="L218" s="9">
        <f>IFERROR(VLOOKUP($A218,ATUAL_LIV_E_DIR!$A:$P,MATCH(APENDICE_BCB!L$3,ATUAL_LIV_E_DIR!$1:$1,0),0),0)</f>
        <v>589152</v>
      </c>
      <c r="M218" s="9">
        <f>IFERROR(VLOOKUP($A218,ATUAL_LIV_E_DIR!$A:$P,MATCH(APENDICE_BCB!M$3,ATUAL_LIV_E_DIR!$1:$1,0),0),0)</f>
        <v>748084</v>
      </c>
      <c r="O218" s="11">
        <f t="shared" si="45"/>
        <v>0</v>
      </c>
      <c r="P218" s="11">
        <f t="shared" si="46"/>
        <v>2857674</v>
      </c>
      <c r="Q218" s="11">
        <f t="shared" si="47"/>
        <v>0</v>
      </c>
      <c r="R218" s="11">
        <f t="shared" si="48"/>
        <v>1509536</v>
      </c>
      <c r="S218" s="11"/>
      <c r="T218" s="11">
        <f t="shared" si="50"/>
        <v>1348138</v>
      </c>
      <c r="V218" s="7">
        <f t="shared" si="51"/>
        <v>0</v>
      </c>
      <c r="W218">
        <f t="shared" si="52"/>
        <v>0.47176059970451495</v>
      </c>
      <c r="Y218" s="8"/>
      <c r="Z218" s="8">
        <f t="shared" si="54"/>
        <v>9.4777387945079727E-3</v>
      </c>
      <c r="AE218" s="1">
        <f t="shared" si="43"/>
        <v>41852</v>
      </c>
      <c r="AF218" s="11">
        <f t="shared" si="44"/>
        <v>1348138</v>
      </c>
    </row>
    <row r="219" spans="1:32" x14ac:dyDescent="0.25">
      <c r="A219" s="1">
        <v>41883</v>
      </c>
      <c r="B219" s="9">
        <f>IFERROR(VLOOKUP($A219,ANTIGA_LIVRES!$A:$P,MATCH(APENDICE_BCB!B$3,ANTIGA_LIVRES!$1:$1,0),0)/1000,0)</f>
        <v>0</v>
      </c>
      <c r="C219" s="9">
        <f>IFERROR(VLOOKUP($A219,ANTIGA_LIVRES!$A:$P,MATCH(APENDICE_BCB!C$3,ANTIGA_LIVRES!$1:$1,0),0)/1000,0)</f>
        <v>0</v>
      </c>
      <c r="D219" s="9">
        <f>IFERROR(VLOOKUP($A219,ANTIGA_LIVRES!$A:$P,MATCH(APENDICE_BCB!D$3,ANTIGA_LIVRES!$1:$1,0),0)/1000,0)</f>
        <v>0</v>
      </c>
      <c r="E219" s="9">
        <f>IFERROR(VLOOKUP($A219,ANTIGA_DIRECIONADOS!$A:$P,MATCH(APENDICE_BCB!E$3,ANTIGA_DIRECIONADOS!$1:$1,0),0),0)</f>
        <v>0</v>
      </c>
      <c r="F219" s="9">
        <f>IFERROR(VLOOKUP($A219,ANTIGA_DIRECIONADOS!$A:$P,MATCH(APENDICE_BCB!F$3,ANTIGA_DIRECIONADOS!$1:$1,0),0),0)</f>
        <v>0</v>
      </c>
      <c r="G219" s="9">
        <f>IFERROR(VLOOKUP($A219,ANTIGA_DIRECIONADOS!$A:$P,MATCH(APENDICE_BCB!G$3,ANTIGA_DIRECIONADOS!$1:$1,0),0),0)</f>
        <v>0</v>
      </c>
      <c r="H219" s="9">
        <f>IFERROR(VLOOKUP($A219,ATUAL_LIV_E_DIR!$A:$P,MATCH(APENDICE_BCB!H$3,ATUAL_LIV_E_DIR!$1:$1,0),0),0)</f>
        <v>1531562</v>
      </c>
      <c r="I219" s="9">
        <f>IFERROR(VLOOKUP($A219,ATUAL_LIV_E_DIR!$A:$P,MATCH(APENDICE_BCB!I$3,ATUAL_LIV_E_DIR!$1:$1,0),0),0)</f>
        <v>768337</v>
      </c>
      <c r="J219" s="9">
        <f>IFERROR(VLOOKUP($A219,ATUAL_LIV_E_DIR!$A:$P,MATCH(APENDICE_BCB!J$3,ATUAL_LIV_E_DIR!$1:$1,0),0),0)</f>
        <v>763225</v>
      </c>
      <c r="K219" s="9">
        <f>IFERROR(VLOOKUP($A219,ATUAL_LIV_E_DIR!$A:$P,MATCH(APENDICE_BCB!K$3,ATUAL_LIV_E_DIR!$1:$1,0),0),0)</f>
        <v>1365008</v>
      </c>
      <c r="L219" s="9">
        <f>IFERROR(VLOOKUP($A219,ATUAL_LIV_E_DIR!$A:$P,MATCH(APENDICE_BCB!L$3,ATUAL_LIV_E_DIR!$1:$1,0),0),0)</f>
        <v>597780</v>
      </c>
      <c r="M219" s="9">
        <f>IFERROR(VLOOKUP($A219,ATUAL_LIV_E_DIR!$A:$P,MATCH(APENDICE_BCB!M$3,ATUAL_LIV_E_DIR!$1:$1,0),0),0)</f>
        <v>767228</v>
      </c>
      <c r="O219" s="11">
        <f t="shared" si="45"/>
        <v>0</v>
      </c>
      <c r="P219" s="11">
        <f t="shared" si="46"/>
        <v>2896570</v>
      </c>
      <c r="Q219" s="11">
        <f t="shared" si="47"/>
        <v>0</v>
      </c>
      <c r="R219" s="11">
        <f t="shared" si="48"/>
        <v>1535565</v>
      </c>
      <c r="S219" s="11"/>
      <c r="T219" s="11">
        <f t="shared" si="50"/>
        <v>1361005</v>
      </c>
      <c r="V219" s="7">
        <f t="shared" si="51"/>
        <v>0</v>
      </c>
      <c r="W219">
        <f t="shared" si="52"/>
        <v>0.46986780916739451</v>
      </c>
      <c r="Y219" s="8"/>
      <c r="Z219" s="8">
        <f t="shared" si="54"/>
        <v>1.361106970214232E-2</v>
      </c>
      <c r="AE219" s="1">
        <f t="shared" si="43"/>
        <v>41883</v>
      </c>
      <c r="AF219" s="11">
        <f t="shared" si="44"/>
        <v>1361005</v>
      </c>
    </row>
    <row r="220" spans="1:32" x14ac:dyDescent="0.25">
      <c r="A220" s="1">
        <v>41913</v>
      </c>
      <c r="B220" s="9">
        <f>IFERROR(VLOOKUP($A220,ANTIGA_LIVRES!$A:$P,MATCH(APENDICE_BCB!B$3,ANTIGA_LIVRES!$1:$1,0),0)/1000,0)</f>
        <v>0</v>
      </c>
      <c r="C220" s="9">
        <f>IFERROR(VLOOKUP($A220,ANTIGA_LIVRES!$A:$P,MATCH(APENDICE_BCB!C$3,ANTIGA_LIVRES!$1:$1,0),0)/1000,0)</f>
        <v>0</v>
      </c>
      <c r="D220" s="9">
        <f>IFERROR(VLOOKUP($A220,ANTIGA_LIVRES!$A:$P,MATCH(APENDICE_BCB!D$3,ANTIGA_LIVRES!$1:$1,0),0)/1000,0)</f>
        <v>0</v>
      </c>
      <c r="E220" s="9">
        <f>IFERROR(VLOOKUP($A220,ANTIGA_DIRECIONADOS!$A:$P,MATCH(APENDICE_BCB!E$3,ANTIGA_DIRECIONADOS!$1:$1,0),0),0)</f>
        <v>0</v>
      </c>
      <c r="F220" s="9">
        <f>IFERROR(VLOOKUP($A220,ANTIGA_DIRECIONADOS!$A:$P,MATCH(APENDICE_BCB!F$3,ANTIGA_DIRECIONADOS!$1:$1,0),0),0)</f>
        <v>0</v>
      </c>
      <c r="G220" s="9">
        <f>IFERROR(VLOOKUP($A220,ANTIGA_DIRECIONADOS!$A:$P,MATCH(APENDICE_BCB!G$3,ANTIGA_DIRECIONADOS!$1:$1,0),0),0)</f>
        <v>0</v>
      </c>
      <c r="H220" s="9">
        <f>IFERROR(VLOOKUP($A220,ATUAL_LIV_E_DIR!$A:$P,MATCH(APENDICE_BCB!H$3,ATUAL_LIV_E_DIR!$1:$1,0),0),0)</f>
        <v>1535555</v>
      </c>
      <c r="I220" s="9">
        <f>IFERROR(VLOOKUP($A220,ATUAL_LIV_E_DIR!$A:$P,MATCH(APENDICE_BCB!I$3,ATUAL_LIV_E_DIR!$1:$1,0),0),0)</f>
        <v>766377</v>
      </c>
      <c r="J220" s="9">
        <f>IFERROR(VLOOKUP($A220,ATUAL_LIV_E_DIR!$A:$P,MATCH(APENDICE_BCB!J$3,ATUAL_LIV_E_DIR!$1:$1,0),0),0)</f>
        <v>769177</v>
      </c>
      <c r="K220" s="9">
        <f>IFERROR(VLOOKUP($A220,ATUAL_LIV_E_DIR!$A:$P,MATCH(APENDICE_BCB!K$3,ATUAL_LIV_E_DIR!$1:$1,0),0),0)</f>
        <v>1383892</v>
      </c>
      <c r="L220" s="9">
        <f>IFERROR(VLOOKUP($A220,ATUAL_LIV_E_DIR!$A:$P,MATCH(APENDICE_BCB!L$3,ATUAL_LIV_E_DIR!$1:$1,0),0),0)</f>
        <v>609203</v>
      </c>
      <c r="M220" s="9">
        <f>IFERROR(VLOOKUP($A220,ATUAL_LIV_E_DIR!$A:$P,MATCH(APENDICE_BCB!M$3,ATUAL_LIV_E_DIR!$1:$1,0),0),0)</f>
        <v>774689</v>
      </c>
      <c r="O220" s="11">
        <f t="shared" si="45"/>
        <v>0</v>
      </c>
      <c r="P220" s="11">
        <f t="shared" si="46"/>
        <v>2919447</v>
      </c>
      <c r="Q220" s="11">
        <f t="shared" si="47"/>
        <v>0</v>
      </c>
      <c r="R220" s="11">
        <f t="shared" si="48"/>
        <v>1541066</v>
      </c>
      <c r="S220" s="11"/>
      <c r="T220" s="11">
        <f t="shared" si="50"/>
        <v>1378380</v>
      </c>
      <c r="V220" s="7">
        <f t="shared" si="51"/>
        <v>0</v>
      </c>
      <c r="W220">
        <f t="shared" si="52"/>
        <v>0.47213736026035069</v>
      </c>
      <c r="Y220" s="8"/>
      <c r="Z220" s="8">
        <f t="shared" si="54"/>
        <v>7.8979620723822475E-3</v>
      </c>
      <c r="AE220" s="1">
        <f t="shared" si="43"/>
        <v>41913</v>
      </c>
      <c r="AF220" s="11">
        <f t="shared" si="44"/>
        <v>1378380</v>
      </c>
    </row>
    <row r="221" spans="1:32" x14ac:dyDescent="0.25">
      <c r="A221" s="1">
        <v>41944</v>
      </c>
      <c r="B221" s="9">
        <f>IFERROR(VLOOKUP($A221,ANTIGA_LIVRES!$A:$P,MATCH(APENDICE_BCB!B$3,ANTIGA_LIVRES!$1:$1,0),0)/1000,0)</f>
        <v>0</v>
      </c>
      <c r="C221" s="9">
        <f>IFERROR(VLOOKUP($A221,ANTIGA_LIVRES!$A:$P,MATCH(APENDICE_BCB!C$3,ANTIGA_LIVRES!$1:$1,0),0)/1000,0)</f>
        <v>0</v>
      </c>
      <c r="D221" s="9">
        <f>IFERROR(VLOOKUP($A221,ANTIGA_LIVRES!$A:$P,MATCH(APENDICE_BCB!D$3,ANTIGA_LIVRES!$1:$1,0),0)/1000,0)</f>
        <v>0</v>
      </c>
      <c r="E221" s="9">
        <f>IFERROR(VLOOKUP($A221,ANTIGA_DIRECIONADOS!$A:$P,MATCH(APENDICE_BCB!E$3,ANTIGA_DIRECIONADOS!$1:$1,0),0),0)</f>
        <v>0</v>
      </c>
      <c r="F221" s="9">
        <f>IFERROR(VLOOKUP($A221,ANTIGA_DIRECIONADOS!$A:$P,MATCH(APENDICE_BCB!F$3,ANTIGA_DIRECIONADOS!$1:$1,0),0),0)</f>
        <v>0</v>
      </c>
      <c r="G221" s="9">
        <f>IFERROR(VLOOKUP($A221,ANTIGA_DIRECIONADOS!$A:$P,MATCH(APENDICE_BCB!G$3,ANTIGA_DIRECIONADOS!$1:$1,0),0),0)</f>
        <v>0</v>
      </c>
      <c r="H221" s="9">
        <f>IFERROR(VLOOKUP($A221,ATUAL_LIV_E_DIR!$A:$P,MATCH(APENDICE_BCB!H$3,ATUAL_LIV_E_DIR!$1:$1,0),0),0)</f>
        <v>1549029</v>
      </c>
      <c r="I221" s="9">
        <f>IFERROR(VLOOKUP($A221,ATUAL_LIV_E_DIR!$A:$P,MATCH(APENDICE_BCB!I$3,ATUAL_LIV_E_DIR!$1:$1,0),0),0)</f>
        <v>779079</v>
      </c>
      <c r="J221" s="9">
        <f>IFERROR(VLOOKUP($A221,ATUAL_LIV_E_DIR!$A:$P,MATCH(APENDICE_BCB!J$3,ATUAL_LIV_E_DIR!$1:$1,0),0),0)</f>
        <v>769950</v>
      </c>
      <c r="K221" s="9">
        <f>IFERROR(VLOOKUP($A221,ATUAL_LIV_E_DIR!$A:$P,MATCH(APENDICE_BCB!K$3,ATUAL_LIV_E_DIR!$1:$1,0),0),0)</f>
        <v>1407571</v>
      </c>
      <c r="L221" s="9">
        <f>IFERROR(VLOOKUP($A221,ATUAL_LIV_E_DIR!$A:$P,MATCH(APENDICE_BCB!L$3,ATUAL_LIV_E_DIR!$1:$1,0),0),0)</f>
        <v>620606</v>
      </c>
      <c r="M221" s="9">
        <f>IFERROR(VLOOKUP($A221,ATUAL_LIV_E_DIR!$A:$P,MATCH(APENDICE_BCB!M$3,ATUAL_LIV_E_DIR!$1:$1,0),0),0)</f>
        <v>786965</v>
      </c>
      <c r="O221" s="11">
        <f t="shared" si="45"/>
        <v>0</v>
      </c>
      <c r="P221" s="11">
        <f t="shared" si="46"/>
        <v>2956600</v>
      </c>
      <c r="Q221" s="11">
        <f t="shared" si="47"/>
        <v>0</v>
      </c>
      <c r="R221" s="11">
        <f t="shared" si="48"/>
        <v>1566044</v>
      </c>
      <c r="S221" s="11"/>
      <c r="T221" s="11">
        <f t="shared" si="50"/>
        <v>1390556</v>
      </c>
      <c r="V221" s="7">
        <f t="shared" si="51"/>
        <v>0</v>
      </c>
      <c r="W221">
        <f t="shared" si="52"/>
        <v>0.47032266792937832</v>
      </c>
      <c r="Y221" s="8"/>
      <c r="Z221" s="8">
        <f t="shared" si="54"/>
        <v>1.2726040239812608E-2</v>
      </c>
      <c r="AE221" s="1">
        <f t="shared" si="43"/>
        <v>41944</v>
      </c>
      <c r="AF221" s="11">
        <f t="shared" si="44"/>
        <v>1390556</v>
      </c>
    </row>
    <row r="222" spans="1:32" x14ac:dyDescent="0.25">
      <c r="A222" s="1">
        <v>41974</v>
      </c>
      <c r="B222" s="9">
        <f>IFERROR(VLOOKUP($A222,ANTIGA_LIVRES!$A:$P,MATCH(APENDICE_BCB!B$3,ANTIGA_LIVRES!$1:$1,0),0)/1000,0)</f>
        <v>0</v>
      </c>
      <c r="C222" s="9">
        <f>IFERROR(VLOOKUP($A222,ANTIGA_LIVRES!$A:$P,MATCH(APENDICE_BCB!C$3,ANTIGA_LIVRES!$1:$1,0),0)/1000,0)</f>
        <v>0</v>
      </c>
      <c r="D222" s="9">
        <f>IFERROR(VLOOKUP($A222,ANTIGA_LIVRES!$A:$P,MATCH(APENDICE_BCB!D$3,ANTIGA_LIVRES!$1:$1,0),0)/1000,0)</f>
        <v>0</v>
      </c>
      <c r="E222" s="9">
        <f>IFERROR(VLOOKUP($A222,ANTIGA_DIRECIONADOS!$A:$P,MATCH(APENDICE_BCB!E$3,ANTIGA_DIRECIONADOS!$1:$1,0),0),0)</f>
        <v>0</v>
      </c>
      <c r="F222" s="9">
        <f>IFERROR(VLOOKUP($A222,ANTIGA_DIRECIONADOS!$A:$P,MATCH(APENDICE_BCB!F$3,ANTIGA_DIRECIONADOS!$1:$1,0),0),0)</f>
        <v>0</v>
      </c>
      <c r="G222" s="9">
        <f>IFERROR(VLOOKUP($A222,ANTIGA_DIRECIONADOS!$A:$P,MATCH(APENDICE_BCB!G$3,ANTIGA_DIRECIONADOS!$1:$1,0),0),0)</f>
        <v>0</v>
      </c>
      <c r="H222" s="9">
        <f>IFERROR(VLOOKUP($A222,ATUAL_LIV_E_DIR!$A:$P,MATCH(APENDICE_BCB!H$3,ATUAL_LIV_E_DIR!$1:$1,0),0),0)</f>
        <v>1575258</v>
      </c>
      <c r="I222" s="9">
        <f>IFERROR(VLOOKUP($A222,ATUAL_LIV_E_DIR!$A:$P,MATCH(APENDICE_BCB!I$3,ATUAL_LIV_E_DIR!$1:$1,0),0),0)</f>
        <v>794091</v>
      </c>
      <c r="J222" s="9">
        <f>IFERROR(VLOOKUP($A222,ATUAL_LIV_E_DIR!$A:$P,MATCH(APENDICE_BCB!J$3,ATUAL_LIV_E_DIR!$1:$1,0),0),0)</f>
        <v>781167</v>
      </c>
      <c r="K222" s="9">
        <f>IFERROR(VLOOKUP($A222,ATUAL_LIV_E_DIR!$A:$P,MATCH(APENDICE_BCB!K$3,ATUAL_LIV_E_DIR!$1:$1,0),0),0)</f>
        <v>1442198</v>
      </c>
      <c r="L222" s="9">
        <f>IFERROR(VLOOKUP($A222,ATUAL_LIV_E_DIR!$A:$P,MATCH(APENDICE_BCB!L$3,ATUAL_LIV_E_DIR!$1:$1,0),0),0)</f>
        <v>634898</v>
      </c>
      <c r="M222" s="9">
        <f>IFERROR(VLOOKUP($A222,ATUAL_LIV_E_DIR!$A:$P,MATCH(APENDICE_BCB!M$3,ATUAL_LIV_E_DIR!$1:$1,0),0),0)</f>
        <v>807300</v>
      </c>
      <c r="O222" s="11">
        <f t="shared" si="45"/>
        <v>0</v>
      </c>
      <c r="P222" s="11">
        <f t="shared" si="46"/>
        <v>3017456</v>
      </c>
      <c r="Q222" s="11">
        <f t="shared" si="47"/>
        <v>0</v>
      </c>
      <c r="R222" s="11">
        <f t="shared" si="48"/>
        <v>1601391</v>
      </c>
      <c r="S222" s="11"/>
      <c r="T222" s="11">
        <f t="shared" si="50"/>
        <v>1416065</v>
      </c>
      <c r="V222" s="7">
        <f t="shared" si="51"/>
        <v>0</v>
      </c>
      <c r="W222">
        <f t="shared" si="52"/>
        <v>0.46929101865942702</v>
      </c>
      <c r="Y222" s="8"/>
      <c r="Z222" s="8">
        <f t="shared" si="54"/>
        <v>2.0583102212000215E-2</v>
      </c>
      <c r="AE222" s="1">
        <f t="shared" si="43"/>
        <v>41974</v>
      </c>
      <c r="AF222" s="11">
        <f t="shared" si="44"/>
        <v>1416065</v>
      </c>
    </row>
    <row r="223" spans="1:32" x14ac:dyDescent="0.25">
      <c r="A223" s="1">
        <v>42005</v>
      </c>
      <c r="B223" s="9">
        <f>IFERROR(VLOOKUP($A223,ANTIGA_LIVRES!$A:$P,MATCH(APENDICE_BCB!B$3,ANTIGA_LIVRES!$1:$1,0),0)/1000,0)</f>
        <v>0</v>
      </c>
      <c r="C223" s="9">
        <f>IFERROR(VLOOKUP($A223,ANTIGA_LIVRES!$A:$P,MATCH(APENDICE_BCB!C$3,ANTIGA_LIVRES!$1:$1,0),0)/1000,0)</f>
        <v>0</v>
      </c>
      <c r="D223" s="9">
        <f>IFERROR(VLOOKUP($A223,ANTIGA_LIVRES!$A:$P,MATCH(APENDICE_BCB!D$3,ANTIGA_LIVRES!$1:$1,0),0)/1000,0)</f>
        <v>0</v>
      </c>
      <c r="E223" s="9">
        <f>IFERROR(VLOOKUP($A223,ANTIGA_DIRECIONADOS!$A:$P,MATCH(APENDICE_BCB!E$3,ANTIGA_DIRECIONADOS!$1:$1,0),0),0)</f>
        <v>0</v>
      </c>
      <c r="F223" s="9">
        <f>IFERROR(VLOOKUP($A223,ANTIGA_DIRECIONADOS!$A:$P,MATCH(APENDICE_BCB!F$3,ANTIGA_DIRECIONADOS!$1:$1,0),0),0)</f>
        <v>0</v>
      </c>
      <c r="G223" s="9">
        <f>IFERROR(VLOOKUP($A223,ANTIGA_DIRECIONADOS!$A:$P,MATCH(APENDICE_BCB!G$3,ANTIGA_DIRECIONADOS!$1:$1,0),0),0)</f>
        <v>0</v>
      </c>
      <c r="H223" s="9">
        <f>IFERROR(VLOOKUP($A223,ATUAL_LIV_E_DIR!$A:$P,MATCH(APENDICE_BCB!H$3,ATUAL_LIV_E_DIR!$1:$1,0),0),0)</f>
        <v>1567490</v>
      </c>
      <c r="I223" s="9">
        <f>IFERROR(VLOOKUP($A223,ATUAL_LIV_E_DIR!$A:$P,MATCH(APENDICE_BCB!I$3,ATUAL_LIV_E_DIR!$1:$1,0),0),0)</f>
        <v>781626</v>
      </c>
      <c r="J223" s="9">
        <f>IFERROR(VLOOKUP($A223,ATUAL_LIV_E_DIR!$A:$P,MATCH(APENDICE_BCB!J$3,ATUAL_LIV_E_DIR!$1:$1,0),0),0)</f>
        <v>785865</v>
      </c>
      <c r="K223" s="9">
        <f>IFERROR(VLOOKUP($A223,ATUAL_LIV_E_DIR!$A:$P,MATCH(APENDICE_BCB!K$3,ATUAL_LIV_E_DIR!$1:$1,0),0),0)</f>
        <v>1453979</v>
      </c>
      <c r="L223" s="9">
        <f>IFERROR(VLOOKUP($A223,ATUAL_LIV_E_DIR!$A:$P,MATCH(APENDICE_BCB!L$3,ATUAL_LIV_E_DIR!$1:$1,0),0),0)</f>
        <v>644255</v>
      </c>
      <c r="M223" s="9">
        <f>IFERROR(VLOOKUP($A223,ATUAL_LIV_E_DIR!$A:$P,MATCH(APENDICE_BCB!M$3,ATUAL_LIV_E_DIR!$1:$1,0),0),0)</f>
        <v>809724</v>
      </c>
      <c r="O223" s="11">
        <f t="shared" si="45"/>
        <v>0</v>
      </c>
      <c r="P223" s="11">
        <f t="shared" si="46"/>
        <v>3021469</v>
      </c>
      <c r="Q223" s="11">
        <f t="shared" si="47"/>
        <v>0</v>
      </c>
      <c r="R223" s="11">
        <f t="shared" si="48"/>
        <v>1591350</v>
      </c>
      <c r="S223" s="11"/>
      <c r="T223" s="11">
        <f t="shared" si="50"/>
        <v>1430120</v>
      </c>
      <c r="V223" s="7">
        <f t="shared" si="51"/>
        <v>0</v>
      </c>
      <c r="W223">
        <f t="shared" si="52"/>
        <v>0.47331943501654328</v>
      </c>
      <c r="Y223" s="8"/>
      <c r="Z223" s="8">
        <f t="shared" si="54"/>
        <v>1.3299282574459337E-3</v>
      </c>
      <c r="AE223" s="1">
        <f t="shared" si="43"/>
        <v>42005</v>
      </c>
      <c r="AF223" s="11">
        <f t="shared" si="44"/>
        <v>1430120</v>
      </c>
    </row>
    <row r="224" spans="1:32" x14ac:dyDescent="0.25">
      <c r="A224" s="1">
        <v>42036</v>
      </c>
      <c r="B224" s="9">
        <f>IFERROR(VLOOKUP($A224,ANTIGA_LIVRES!$A:$P,MATCH(APENDICE_BCB!B$3,ANTIGA_LIVRES!$1:$1,0),0)/1000,0)</f>
        <v>0</v>
      </c>
      <c r="C224" s="9">
        <f>IFERROR(VLOOKUP($A224,ANTIGA_LIVRES!$A:$P,MATCH(APENDICE_BCB!C$3,ANTIGA_LIVRES!$1:$1,0),0)/1000,0)</f>
        <v>0</v>
      </c>
      <c r="D224" s="9">
        <f>IFERROR(VLOOKUP($A224,ANTIGA_LIVRES!$A:$P,MATCH(APENDICE_BCB!D$3,ANTIGA_LIVRES!$1:$1,0),0)/1000,0)</f>
        <v>0</v>
      </c>
      <c r="E224" s="9">
        <f>IFERROR(VLOOKUP($A224,ANTIGA_DIRECIONADOS!$A:$P,MATCH(APENDICE_BCB!E$3,ANTIGA_DIRECIONADOS!$1:$1,0),0),0)</f>
        <v>0</v>
      </c>
      <c r="F224" s="9">
        <f>IFERROR(VLOOKUP($A224,ANTIGA_DIRECIONADOS!$A:$P,MATCH(APENDICE_BCB!F$3,ANTIGA_DIRECIONADOS!$1:$1,0),0),0)</f>
        <v>0</v>
      </c>
      <c r="G224" s="9">
        <f>IFERROR(VLOOKUP($A224,ANTIGA_DIRECIONADOS!$A:$P,MATCH(APENDICE_BCB!G$3,ANTIGA_DIRECIONADOS!$1:$1,0),0),0)</f>
        <v>0</v>
      </c>
      <c r="H224" s="9">
        <f>IFERROR(VLOOKUP($A224,ATUAL_LIV_E_DIR!$A:$P,MATCH(APENDICE_BCB!H$3,ATUAL_LIV_E_DIR!$1:$1,0),0),0)</f>
        <v>1567973</v>
      </c>
      <c r="I224" s="9">
        <f>IFERROR(VLOOKUP($A224,ATUAL_LIV_E_DIR!$A:$P,MATCH(APENDICE_BCB!I$3,ATUAL_LIV_E_DIR!$1:$1,0),0),0)</f>
        <v>784656</v>
      </c>
      <c r="J224" s="9">
        <f>IFERROR(VLOOKUP($A224,ATUAL_LIV_E_DIR!$A:$P,MATCH(APENDICE_BCB!J$3,ATUAL_LIV_E_DIR!$1:$1,0),0),0)</f>
        <v>783316</v>
      </c>
      <c r="K224" s="9">
        <f>IFERROR(VLOOKUP($A224,ATUAL_LIV_E_DIR!$A:$P,MATCH(APENDICE_BCB!K$3,ATUAL_LIV_E_DIR!$1:$1,0),0),0)</f>
        <v>1465530</v>
      </c>
      <c r="L224" s="9">
        <f>IFERROR(VLOOKUP($A224,ATUAL_LIV_E_DIR!$A:$P,MATCH(APENDICE_BCB!L$3,ATUAL_LIV_E_DIR!$1:$1,0),0),0)</f>
        <v>650452</v>
      </c>
      <c r="M224" s="9">
        <f>IFERROR(VLOOKUP($A224,ATUAL_LIV_E_DIR!$A:$P,MATCH(APENDICE_BCB!M$3,ATUAL_LIV_E_DIR!$1:$1,0),0),0)</f>
        <v>815078</v>
      </c>
      <c r="O224" s="11">
        <f t="shared" si="45"/>
        <v>0</v>
      </c>
      <c r="P224" s="11">
        <f t="shared" si="46"/>
        <v>3033503</v>
      </c>
      <c r="Q224" s="11">
        <f t="shared" si="47"/>
        <v>0</v>
      </c>
      <c r="R224" s="11">
        <f t="shared" si="48"/>
        <v>1599734</v>
      </c>
      <c r="S224" s="11"/>
      <c r="T224" s="11">
        <f t="shared" si="50"/>
        <v>1433768</v>
      </c>
      <c r="V224" s="7">
        <f t="shared" si="51"/>
        <v>0</v>
      </c>
      <c r="W224">
        <f t="shared" si="52"/>
        <v>0.47264433231152236</v>
      </c>
      <c r="Y224" s="8"/>
      <c r="Z224" s="8">
        <f t="shared" si="54"/>
        <v>3.9828308680314173E-3</v>
      </c>
      <c r="AE224" s="1">
        <f t="shared" si="43"/>
        <v>42036</v>
      </c>
      <c r="AF224" s="11">
        <f t="shared" si="44"/>
        <v>1433768</v>
      </c>
    </row>
    <row r="225" spans="1:32" x14ac:dyDescent="0.25">
      <c r="A225" s="1">
        <v>42064</v>
      </c>
      <c r="B225" s="9">
        <f>IFERROR(VLOOKUP($A225,ANTIGA_LIVRES!$A:$P,MATCH(APENDICE_BCB!B$3,ANTIGA_LIVRES!$1:$1,0),0)/1000,0)</f>
        <v>0</v>
      </c>
      <c r="C225" s="9">
        <f>IFERROR(VLOOKUP($A225,ANTIGA_LIVRES!$A:$P,MATCH(APENDICE_BCB!C$3,ANTIGA_LIVRES!$1:$1,0),0)/1000,0)</f>
        <v>0</v>
      </c>
      <c r="D225" s="9">
        <f>IFERROR(VLOOKUP($A225,ANTIGA_LIVRES!$A:$P,MATCH(APENDICE_BCB!D$3,ANTIGA_LIVRES!$1:$1,0),0)/1000,0)</f>
        <v>0</v>
      </c>
      <c r="E225" s="9">
        <f>IFERROR(VLOOKUP($A225,ANTIGA_DIRECIONADOS!$A:$P,MATCH(APENDICE_BCB!E$3,ANTIGA_DIRECIONADOS!$1:$1,0),0),0)</f>
        <v>0</v>
      </c>
      <c r="F225" s="9">
        <f>IFERROR(VLOOKUP($A225,ANTIGA_DIRECIONADOS!$A:$P,MATCH(APENDICE_BCB!F$3,ANTIGA_DIRECIONADOS!$1:$1,0),0),0)</f>
        <v>0</v>
      </c>
      <c r="G225" s="9">
        <f>IFERROR(VLOOKUP($A225,ANTIGA_DIRECIONADOS!$A:$P,MATCH(APENDICE_BCB!G$3,ANTIGA_DIRECIONADOS!$1:$1,0),0),0)</f>
        <v>0</v>
      </c>
      <c r="H225" s="9">
        <f>IFERROR(VLOOKUP($A225,ATUAL_LIV_E_DIR!$A:$P,MATCH(APENDICE_BCB!H$3,ATUAL_LIV_E_DIR!$1:$1,0),0),0)</f>
        <v>1582361</v>
      </c>
      <c r="I225" s="9">
        <f>IFERROR(VLOOKUP($A225,ATUAL_LIV_E_DIR!$A:$P,MATCH(APENDICE_BCB!I$3,ATUAL_LIV_E_DIR!$1:$1,0),0),0)</f>
        <v>795558</v>
      </c>
      <c r="J225" s="9">
        <f>IFERROR(VLOOKUP($A225,ATUAL_LIV_E_DIR!$A:$P,MATCH(APENDICE_BCB!J$3,ATUAL_LIV_E_DIR!$1:$1,0),0),0)</f>
        <v>786803</v>
      </c>
      <c r="K225" s="9">
        <f>IFERROR(VLOOKUP($A225,ATUAL_LIV_E_DIR!$A:$P,MATCH(APENDICE_BCB!K$3,ATUAL_LIV_E_DIR!$1:$1,0),0),0)</f>
        <v>1488257</v>
      </c>
      <c r="L225" s="9">
        <f>IFERROR(VLOOKUP($A225,ATUAL_LIV_E_DIR!$A:$P,MATCH(APENDICE_BCB!L$3,ATUAL_LIV_E_DIR!$1:$1,0),0),0)</f>
        <v>658338</v>
      </c>
      <c r="M225" s="9">
        <f>IFERROR(VLOOKUP($A225,ATUAL_LIV_E_DIR!$A:$P,MATCH(APENDICE_BCB!M$3,ATUAL_LIV_E_DIR!$1:$1,0),0),0)</f>
        <v>829919</v>
      </c>
      <c r="O225" s="11">
        <f t="shared" si="45"/>
        <v>0</v>
      </c>
      <c r="P225" s="11">
        <f t="shared" si="46"/>
        <v>3070618</v>
      </c>
      <c r="Q225" s="11">
        <f t="shared" si="47"/>
        <v>0</v>
      </c>
      <c r="R225" s="11">
        <f t="shared" si="48"/>
        <v>1625477</v>
      </c>
      <c r="S225" s="11"/>
      <c r="T225" s="11">
        <f t="shared" si="50"/>
        <v>1445141</v>
      </c>
      <c r="V225" s="7">
        <f t="shared" si="51"/>
        <v>0</v>
      </c>
      <c r="W225">
        <f t="shared" si="52"/>
        <v>0.47063522717576722</v>
      </c>
      <c r="Y225" s="8"/>
      <c r="Z225" s="8">
        <f t="shared" si="54"/>
        <v>1.2235029930743435E-2</v>
      </c>
      <c r="AE225" s="1">
        <f t="shared" si="43"/>
        <v>42064</v>
      </c>
      <c r="AF225" s="11">
        <f t="shared" si="44"/>
        <v>1445141</v>
      </c>
    </row>
    <row r="226" spans="1:32" x14ac:dyDescent="0.25">
      <c r="A226" s="1">
        <v>42095</v>
      </c>
      <c r="B226" s="9">
        <f>IFERROR(VLOOKUP($A226,ANTIGA_LIVRES!$A:$P,MATCH(APENDICE_BCB!B$3,ANTIGA_LIVRES!$1:$1,0),0)/1000,0)</f>
        <v>0</v>
      </c>
      <c r="C226" s="9">
        <f>IFERROR(VLOOKUP($A226,ANTIGA_LIVRES!$A:$P,MATCH(APENDICE_BCB!C$3,ANTIGA_LIVRES!$1:$1,0),0)/1000,0)</f>
        <v>0</v>
      </c>
      <c r="D226" s="9">
        <f>IFERROR(VLOOKUP($A226,ANTIGA_LIVRES!$A:$P,MATCH(APENDICE_BCB!D$3,ANTIGA_LIVRES!$1:$1,0),0)/1000,0)</f>
        <v>0</v>
      </c>
      <c r="E226" s="9">
        <f>IFERROR(VLOOKUP($A226,ANTIGA_DIRECIONADOS!$A:$P,MATCH(APENDICE_BCB!E$3,ANTIGA_DIRECIONADOS!$1:$1,0),0),0)</f>
        <v>0</v>
      </c>
      <c r="F226" s="9">
        <f>IFERROR(VLOOKUP($A226,ANTIGA_DIRECIONADOS!$A:$P,MATCH(APENDICE_BCB!F$3,ANTIGA_DIRECIONADOS!$1:$1,0),0),0)</f>
        <v>0</v>
      </c>
      <c r="G226" s="9">
        <f>IFERROR(VLOOKUP($A226,ANTIGA_DIRECIONADOS!$A:$P,MATCH(APENDICE_BCB!G$3,ANTIGA_DIRECIONADOS!$1:$1,0),0),0)</f>
        <v>0</v>
      </c>
      <c r="H226" s="9">
        <f>IFERROR(VLOOKUP($A226,ATUAL_LIV_E_DIR!$A:$P,MATCH(APENDICE_BCB!H$3,ATUAL_LIV_E_DIR!$1:$1,0),0),0)</f>
        <v>1578815</v>
      </c>
      <c r="I226" s="9">
        <f>IFERROR(VLOOKUP($A226,ATUAL_LIV_E_DIR!$A:$P,MATCH(APENDICE_BCB!I$3,ATUAL_LIV_E_DIR!$1:$1,0),0),0)</f>
        <v>792451</v>
      </c>
      <c r="J226" s="9">
        <f>IFERROR(VLOOKUP($A226,ATUAL_LIV_E_DIR!$A:$P,MATCH(APENDICE_BCB!J$3,ATUAL_LIV_E_DIR!$1:$1,0),0),0)</f>
        <v>786363</v>
      </c>
      <c r="K226" s="9">
        <f>IFERROR(VLOOKUP($A226,ATUAL_LIV_E_DIR!$A:$P,MATCH(APENDICE_BCB!K$3,ATUAL_LIV_E_DIR!$1:$1,0),0),0)</f>
        <v>1491893</v>
      </c>
      <c r="L226" s="9">
        <f>IFERROR(VLOOKUP($A226,ATUAL_LIV_E_DIR!$A:$P,MATCH(APENDICE_BCB!L$3,ATUAL_LIV_E_DIR!$1:$1,0),0),0)</f>
        <v>666858</v>
      </c>
      <c r="M226" s="9">
        <f>IFERROR(VLOOKUP($A226,ATUAL_LIV_E_DIR!$A:$P,MATCH(APENDICE_BCB!M$3,ATUAL_LIV_E_DIR!$1:$1,0),0),0)</f>
        <v>825035</v>
      </c>
      <c r="O226" s="11">
        <f t="shared" si="45"/>
        <v>0</v>
      </c>
      <c r="P226" s="11">
        <f t="shared" si="46"/>
        <v>3070708</v>
      </c>
      <c r="Q226" s="11">
        <f t="shared" si="47"/>
        <v>0</v>
      </c>
      <c r="R226" s="11">
        <f t="shared" si="48"/>
        <v>1617486</v>
      </c>
      <c r="S226" s="11"/>
      <c r="T226" s="11">
        <f t="shared" si="50"/>
        <v>1453221</v>
      </c>
      <c r="V226" s="7">
        <f t="shared" si="51"/>
        <v>0</v>
      </c>
      <c r="W226">
        <f t="shared" si="52"/>
        <v>0.47325274822614199</v>
      </c>
      <c r="Y226" s="8"/>
      <c r="Z226" s="8">
        <f t="shared" si="54"/>
        <v>2.9310060710940888E-5</v>
      </c>
      <c r="AE226" s="1">
        <f t="shared" si="43"/>
        <v>42095</v>
      </c>
      <c r="AF226" s="11">
        <f t="shared" si="44"/>
        <v>1453221</v>
      </c>
    </row>
    <row r="227" spans="1:32" x14ac:dyDescent="0.25">
      <c r="A227" s="1">
        <v>42125</v>
      </c>
      <c r="B227" s="9">
        <f>IFERROR(VLOOKUP($A227,ANTIGA_LIVRES!$A:$P,MATCH(APENDICE_BCB!B$3,ANTIGA_LIVRES!$1:$1,0),0)/1000,0)</f>
        <v>0</v>
      </c>
      <c r="C227" s="9">
        <f>IFERROR(VLOOKUP($A227,ANTIGA_LIVRES!$A:$P,MATCH(APENDICE_BCB!C$3,ANTIGA_LIVRES!$1:$1,0),0)/1000,0)</f>
        <v>0</v>
      </c>
      <c r="D227" s="9">
        <f>IFERROR(VLOOKUP($A227,ANTIGA_LIVRES!$A:$P,MATCH(APENDICE_BCB!D$3,ANTIGA_LIVRES!$1:$1,0),0)/1000,0)</f>
        <v>0</v>
      </c>
      <c r="E227" s="9">
        <f>IFERROR(VLOOKUP($A227,ANTIGA_DIRECIONADOS!$A:$P,MATCH(APENDICE_BCB!E$3,ANTIGA_DIRECIONADOS!$1:$1,0),0),0)</f>
        <v>0</v>
      </c>
      <c r="F227" s="9">
        <f>IFERROR(VLOOKUP($A227,ANTIGA_DIRECIONADOS!$A:$P,MATCH(APENDICE_BCB!F$3,ANTIGA_DIRECIONADOS!$1:$1,0),0),0)</f>
        <v>0</v>
      </c>
      <c r="G227" s="9">
        <f>IFERROR(VLOOKUP($A227,ANTIGA_DIRECIONADOS!$A:$P,MATCH(APENDICE_BCB!G$3,ANTIGA_DIRECIONADOS!$1:$1,0),0),0)</f>
        <v>0</v>
      </c>
      <c r="H227" s="9">
        <f>IFERROR(VLOOKUP($A227,ATUAL_LIV_E_DIR!$A:$P,MATCH(APENDICE_BCB!H$3,ATUAL_LIV_E_DIR!$1:$1,0),0),0)</f>
        <v>1587721</v>
      </c>
      <c r="I227" s="9">
        <f>IFERROR(VLOOKUP($A227,ATUAL_LIV_E_DIR!$A:$P,MATCH(APENDICE_BCB!I$3,ATUAL_LIV_E_DIR!$1:$1,0),0),0)</f>
        <v>797966</v>
      </c>
      <c r="J227" s="9">
        <f>IFERROR(VLOOKUP($A227,ATUAL_LIV_E_DIR!$A:$P,MATCH(APENDICE_BCB!J$3,ATUAL_LIV_E_DIR!$1:$1,0),0),0)</f>
        <v>789755</v>
      </c>
      <c r="K227" s="9">
        <f>IFERROR(VLOOKUP($A227,ATUAL_LIV_E_DIR!$A:$P,MATCH(APENDICE_BCB!K$3,ATUAL_LIV_E_DIR!$1:$1,0),0),0)</f>
        <v>1504652</v>
      </c>
      <c r="L227" s="9">
        <f>IFERROR(VLOOKUP($A227,ATUAL_LIV_E_DIR!$A:$P,MATCH(APENDICE_BCB!L$3,ATUAL_LIV_E_DIR!$1:$1,0),0),0)</f>
        <v>672049</v>
      </c>
      <c r="M227" s="9">
        <f>IFERROR(VLOOKUP($A227,ATUAL_LIV_E_DIR!$A:$P,MATCH(APENDICE_BCB!M$3,ATUAL_LIV_E_DIR!$1:$1,0),0),0)</f>
        <v>832603</v>
      </c>
      <c r="O227" s="11">
        <f t="shared" si="45"/>
        <v>0</v>
      </c>
      <c r="P227" s="11">
        <f t="shared" si="46"/>
        <v>3092373</v>
      </c>
      <c r="Q227" s="11">
        <f t="shared" si="47"/>
        <v>0</v>
      </c>
      <c r="R227" s="11">
        <f t="shared" si="48"/>
        <v>1630569</v>
      </c>
      <c r="S227" s="11"/>
      <c r="T227" s="11">
        <f t="shared" si="50"/>
        <v>1461804</v>
      </c>
      <c r="V227" s="7">
        <f t="shared" si="51"/>
        <v>0</v>
      </c>
      <c r="W227">
        <f t="shared" si="52"/>
        <v>0.47271270315709002</v>
      </c>
      <c r="Y227" s="8"/>
      <c r="Z227" s="8">
        <f t="shared" si="54"/>
        <v>7.0553761542939686E-3</v>
      </c>
      <c r="AE227" s="1">
        <f t="shared" si="43"/>
        <v>42125</v>
      </c>
      <c r="AF227" s="11">
        <f t="shared" si="44"/>
        <v>1461804</v>
      </c>
    </row>
    <row r="228" spans="1:32" x14ac:dyDescent="0.25">
      <c r="A228" s="1">
        <v>42156</v>
      </c>
      <c r="B228" s="9">
        <f>IFERROR(VLOOKUP($A228,ANTIGA_LIVRES!$A:$P,MATCH(APENDICE_BCB!B$3,ANTIGA_LIVRES!$1:$1,0),0)/1000,0)</f>
        <v>0</v>
      </c>
      <c r="C228" s="9">
        <f>IFERROR(VLOOKUP($A228,ANTIGA_LIVRES!$A:$P,MATCH(APENDICE_BCB!C$3,ANTIGA_LIVRES!$1:$1,0),0)/1000,0)</f>
        <v>0</v>
      </c>
      <c r="D228" s="9">
        <f>IFERROR(VLOOKUP($A228,ANTIGA_LIVRES!$A:$P,MATCH(APENDICE_BCB!D$3,ANTIGA_LIVRES!$1:$1,0),0)/1000,0)</f>
        <v>0</v>
      </c>
      <c r="E228" s="9">
        <f>IFERROR(VLOOKUP($A228,ANTIGA_DIRECIONADOS!$A:$P,MATCH(APENDICE_BCB!E$3,ANTIGA_DIRECIONADOS!$1:$1,0),0),0)</f>
        <v>0</v>
      </c>
      <c r="F228" s="9">
        <f>IFERROR(VLOOKUP($A228,ANTIGA_DIRECIONADOS!$A:$P,MATCH(APENDICE_BCB!F$3,ANTIGA_DIRECIONADOS!$1:$1,0),0),0)</f>
        <v>0</v>
      </c>
      <c r="G228" s="9">
        <f>IFERROR(VLOOKUP($A228,ANTIGA_DIRECIONADOS!$A:$P,MATCH(APENDICE_BCB!G$3,ANTIGA_DIRECIONADOS!$1:$1,0),0),0)</f>
        <v>0</v>
      </c>
      <c r="H228" s="9">
        <f>IFERROR(VLOOKUP($A228,ATUAL_LIV_E_DIR!$A:$P,MATCH(APENDICE_BCB!H$3,ATUAL_LIV_E_DIR!$1:$1,0),0),0)</f>
        <v>1599576</v>
      </c>
      <c r="I228" s="9">
        <f>IFERROR(VLOOKUP($A228,ATUAL_LIV_E_DIR!$A:$P,MATCH(APENDICE_BCB!I$3,ATUAL_LIV_E_DIR!$1:$1,0),0),0)</f>
        <v>807743</v>
      </c>
      <c r="J228" s="9">
        <f>IFERROR(VLOOKUP($A228,ATUAL_LIV_E_DIR!$A:$P,MATCH(APENDICE_BCB!J$3,ATUAL_LIV_E_DIR!$1:$1,0),0),0)</f>
        <v>791833</v>
      </c>
      <c r="K228" s="9">
        <f>IFERROR(VLOOKUP($A228,ATUAL_LIV_E_DIR!$A:$P,MATCH(APENDICE_BCB!K$3,ATUAL_LIV_E_DIR!$1:$1,0),0),0)</f>
        <v>1510391</v>
      </c>
      <c r="L228" s="9">
        <f>IFERROR(VLOOKUP($A228,ATUAL_LIV_E_DIR!$A:$P,MATCH(APENDICE_BCB!L$3,ATUAL_LIV_E_DIR!$1:$1,0),0),0)</f>
        <v>678049</v>
      </c>
      <c r="M228" s="9">
        <f>IFERROR(VLOOKUP($A228,ATUAL_LIV_E_DIR!$A:$P,MATCH(APENDICE_BCB!M$3,ATUAL_LIV_E_DIR!$1:$1,0),0),0)</f>
        <v>832342</v>
      </c>
      <c r="O228" s="11">
        <f t="shared" si="45"/>
        <v>0</v>
      </c>
      <c r="P228" s="11">
        <f t="shared" si="46"/>
        <v>3109967</v>
      </c>
      <c r="Q228" s="11">
        <f t="shared" si="47"/>
        <v>0</v>
      </c>
      <c r="R228" s="11">
        <f t="shared" si="48"/>
        <v>1640085</v>
      </c>
      <c r="S228" s="11"/>
      <c r="T228" s="11">
        <f t="shared" si="50"/>
        <v>1469882</v>
      </c>
      <c r="V228" s="7">
        <f t="shared" si="51"/>
        <v>0</v>
      </c>
      <c r="W228">
        <f t="shared" si="52"/>
        <v>0.47263588327464567</v>
      </c>
      <c r="Y228" s="8"/>
      <c r="Z228" s="8">
        <f t="shared" si="54"/>
        <v>5.6894818315902373E-3</v>
      </c>
      <c r="AE228" s="1">
        <f t="shared" si="43"/>
        <v>42156</v>
      </c>
      <c r="AF228" s="11">
        <f t="shared" si="44"/>
        <v>1469882</v>
      </c>
    </row>
    <row r="229" spans="1:32" x14ac:dyDescent="0.25">
      <c r="A229" s="1">
        <v>42186</v>
      </c>
      <c r="B229" s="9">
        <f>IFERROR(VLOOKUP($A229,ANTIGA_LIVRES!$A:$P,MATCH(APENDICE_BCB!B$3,ANTIGA_LIVRES!$1:$1,0),0)/1000,0)</f>
        <v>0</v>
      </c>
      <c r="C229" s="9">
        <f>IFERROR(VLOOKUP($A229,ANTIGA_LIVRES!$A:$P,MATCH(APENDICE_BCB!C$3,ANTIGA_LIVRES!$1:$1,0),0)/1000,0)</f>
        <v>0</v>
      </c>
      <c r="D229" s="9">
        <f>IFERROR(VLOOKUP($A229,ANTIGA_LIVRES!$A:$P,MATCH(APENDICE_BCB!D$3,ANTIGA_LIVRES!$1:$1,0),0)/1000,0)</f>
        <v>0</v>
      </c>
      <c r="E229" s="9">
        <f>IFERROR(VLOOKUP($A229,ANTIGA_DIRECIONADOS!$A:$P,MATCH(APENDICE_BCB!E$3,ANTIGA_DIRECIONADOS!$1:$1,0),0),0)</f>
        <v>0</v>
      </c>
      <c r="F229" s="9">
        <f>IFERROR(VLOOKUP($A229,ANTIGA_DIRECIONADOS!$A:$P,MATCH(APENDICE_BCB!F$3,ANTIGA_DIRECIONADOS!$1:$1,0),0),0)</f>
        <v>0</v>
      </c>
      <c r="G229" s="9">
        <f>IFERROR(VLOOKUP($A229,ANTIGA_DIRECIONADOS!$A:$P,MATCH(APENDICE_BCB!G$3,ANTIGA_DIRECIONADOS!$1:$1,0),0),0)</f>
        <v>0</v>
      </c>
      <c r="H229" s="9">
        <f>IFERROR(VLOOKUP($A229,ATUAL_LIV_E_DIR!$A:$P,MATCH(APENDICE_BCB!H$3,ATUAL_LIV_E_DIR!$1:$1,0),0),0)</f>
        <v>1597375</v>
      </c>
      <c r="I229" s="9">
        <f>IFERROR(VLOOKUP($A229,ATUAL_LIV_E_DIR!$A:$P,MATCH(APENDICE_BCB!I$3,ATUAL_LIV_E_DIR!$1:$1,0),0),0)</f>
        <v>802930</v>
      </c>
      <c r="J229" s="9">
        <f>IFERROR(VLOOKUP($A229,ATUAL_LIV_E_DIR!$A:$P,MATCH(APENDICE_BCB!J$3,ATUAL_LIV_E_DIR!$1:$1,0),0),0)</f>
        <v>794445</v>
      </c>
      <c r="K229" s="9">
        <f>IFERROR(VLOOKUP($A229,ATUAL_LIV_E_DIR!$A:$P,MATCH(APENDICE_BCB!K$3,ATUAL_LIV_E_DIR!$1:$1,0),0),0)</f>
        <v>1521727</v>
      </c>
      <c r="L229" s="9">
        <f>IFERROR(VLOOKUP($A229,ATUAL_LIV_E_DIR!$A:$P,MATCH(APENDICE_BCB!L$3,ATUAL_LIV_E_DIR!$1:$1,0),0),0)</f>
        <v>680915</v>
      </c>
      <c r="M229" s="9">
        <f>IFERROR(VLOOKUP($A229,ATUAL_LIV_E_DIR!$A:$P,MATCH(APENDICE_BCB!M$3,ATUAL_LIV_E_DIR!$1:$1,0),0),0)</f>
        <v>840812</v>
      </c>
      <c r="O229" s="11">
        <f t="shared" si="45"/>
        <v>0</v>
      </c>
      <c r="P229" s="11">
        <f t="shared" si="46"/>
        <v>3119102</v>
      </c>
      <c r="Q229" s="11">
        <f t="shared" si="47"/>
        <v>0</v>
      </c>
      <c r="R229" s="11">
        <f t="shared" si="48"/>
        <v>1643742</v>
      </c>
      <c r="S229" s="11"/>
      <c r="T229" s="11">
        <f t="shared" si="50"/>
        <v>1475360</v>
      </c>
      <c r="V229" s="7">
        <f t="shared" si="51"/>
        <v>0</v>
      </c>
      <c r="W229">
        <f t="shared" si="52"/>
        <v>0.47300793625857701</v>
      </c>
      <c r="Y229" s="8"/>
      <c r="Z229" s="8">
        <f t="shared" si="54"/>
        <v>2.9373302031823201E-3</v>
      </c>
      <c r="AE229" s="1">
        <f t="shared" si="43"/>
        <v>42186</v>
      </c>
      <c r="AF229" s="11">
        <f t="shared" si="44"/>
        <v>1475360</v>
      </c>
    </row>
    <row r="230" spans="1:32" x14ac:dyDescent="0.25">
      <c r="A230" s="1">
        <v>42217</v>
      </c>
      <c r="B230" s="9">
        <f>IFERROR(VLOOKUP($A230,ANTIGA_LIVRES!$A:$P,MATCH(APENDICE_BCB!B$3,ANTIGA_LIVRES!$1:$1,0),0)/1000,0)</f>
        <v>0</v>
      </c>
      <c r="C230" s="9">
        <f>IFERROR(VLOOKUP($A230,ANTIGA_LIVRES!$A:$P,MATCH(APENDICE_BCB!C$3,ANTIGA_LIVRES!$1:$1,0),0)/1000,0)</f>
        <v>0</v>
      </c>
      <c r="D230" s="9">
        <f>IFERROR(VLOOKUP($A230,ANTIGA_LIVRES!$A:$P,MATCH(APENDICE_BCB!D$3,ANTIGA_LIVRES!$1:$1,0),0)/1000,0)</f>
        <v>0</v>
      </c>
      <c r="E230" s="9">
        <f>IFERROR(VLOOKUP($A230,ANTIGA_DIRECIONADOS!$A:$P,MATCH(APENDICE_BCB!E$3,ANTIGA_DIRECIONADOS!$1:$1,0),0),0)</f>
        <v>0</v>
      </c>
      <c r="F230" s="9">
        <f>IFERROR(VLOOKUP($A230,ANTIGA_DIRECIONADOS!$A:$P,MATCH(APENDICE_BCB!F$3,ANTIGA_DIRECIONADOS!$1:$1,0),0),0)</f>
        <v>0</v>
      </c>
      <c r="G230" s="9">
        <f>IFERROR(VLOOKUP($A230,ANTIGA_DIRECIONADOS!$A:$P,MATCH(APENDICE_BCB!G$3,ANTIGA_DIRECIONADOS!$1:$1,0),0),0)</f>
        <v>0</v>
      </c>
      <c r="H230" s="9">
        <f>IFERROR(VLOOKUP($A230,ATUAL_LIV_E_DIR!$A:$P,MATCH(APENDICE_BCB!H$3,ATUAL_LIV_E_DIR!$1:$1,0),0),0)</f>
        <v>1604091</v>
      </c>
      <c r="I230" s="9">
        <f>IFERROR(VLOOKUP($A230,ATUAL_LIV_E_DIR!$A:$P,MATCH(APENDICE_BCB!I$3,ATUAL_LIV_E_DIR!$1:$1,0),0),0)</f>
        <v>807161</v>
      </c>
      <c r="J230" s="9">
        <f>IFERROR(VLOOKUP($A230,ATUAL_LIV_E_DIR!$A:$P,MATCH(APENDICE_BCB!J$3,ATUAL_LIV_E_DIR!$1:$1,0),0),0)</f>
        <v>796929</v>
      </c>
      <c r="K230" s="9">
        <f>IFERROR(VLOOKUP($A230,ATUAL_LIV_E_DIR!$A:$P,MATCH(APENDICE_BCB!K$3,ATUAL_LIV_E_DIR!$1:$1,0),0),0)</f>
        <v>1539896</v>
      </c>
      <c r="L230" s="9">
        <f>IFERROR(VLOOKUP($A230,ATUAL_LIV_E_DIR!$A:$P,MATCH(APENDICE_BCB!L$3,ATUAL_LIV_E_DIR!$1:$1,0),0),0)</f>
        <v>689663</v>
      </c>
      <c r="M230" s="9">
        <f>IFERROR(VLOOKUP($A230,ATUAL_LIV_E_DIR!$A:$P,MATCH(APENDICE_BCB!M$3,ATUAL_LIV_E_DIR!$1:$1,0),0),0)</f>
        <v>850233</v>
      </c>
      <c r="O230" s="11">
        <f t="shared" si="45"/>
        <v>0</v>
      </c>
      <c r="P230" s="11">
        <f t="shared" si="46"/>
        <v>3143987</v>
      </c>
      <c r="Q230" s="11">
        <f t="shared" si="47"/>
        <v>0</v>
      </c>
      <c r="R230" s="11">
        <f t="shared" si="48"/>
        <v>1657394</v>
      </c>
      <c r="S230" s="11"/>
      <c r="T230" s="11">
        <f t="shared" si="50"/>
        <v>1486592</v>
      </c>
      <c r="V230" s="7">
        <f t="shared" si="51"/>
        <v>0</v>
      </c>
      <c r="W230">
        <f t="shared" si="52"/>
        <v>0.47283656071096986</v>
      </c>
      <c r="Y230" s="8"/>
      <c r="Z230" s="8">
        <f t="shared" si="54"/>
        <v>7.9782578447258334E-3</v>
      </c>
      <c r="AE230" s="1">
        <f t="shared" si="43"/>
        <v>42217</v>
      </c>
      <c r="AF230" s="11">
        <f t="shared" si="44"/>
        <v>1486592</v>
      </c>
    </row>
    <row r="231" spans="1:32" x14ac:dyDescent="0.25">
      <c r="A231" s="1">
        <v>42248</v>
      </c>
      <c r="B231" s="9">
        <f>IFERROR(VLOOKUP($A231,ANTIGA_LIVRES!$A:$P,MATCH(APENDICE_BCB!B$3,ANTIGA_LIVRES!$1:$1,0),0)/1000,0)</f>
        <v>0</v>
      </c>
      <c r="C231" s="9">
        <f>IFERROR(VLOOKUP($A231,ANTIGA_LIVRES!$A:$P,MATCH(APENDICE_BCB!C$3,ANTIGA_LIVRES!$1:$1,0),0)/1000,0)</f>
        <v>0</v>
      </c>
      <c r="D231" s="9">
        <f>IFERROR(VLOOKUP($A231,ANTIGA_LIVRES!$A:$P,MATCH(APENDICE_BCB!D$3,ANTIGA_LIVRES!$1:$1,0),0)/1000,0)</f>
        <v>0</v>
      </c>
      <c r="E231" s="9">
        <f>IFERROR(VLOOKUP($A231,ANTIGA_DIRECIONADOS!$A:$P,MATCH(APENDICE_BCB!E$3,ANTIGA_DIRECIONADOS!$1:$1,0),0),0)</f>
        <v>0</v>
      </c>
      <c r="F231" s="9">
        <f>IFERROR(VLOOKUP($A231,ANTIGA_DIRECIONADOS!$A:$P,MATCH(APENDICE_BCB!F$3,ANTIGA_DIRECIONADOS!$1:$1,0),0),0)</f>
        <v>0</v>
      </c>
      <c r="G231" s="9">
        <f>IFERROR(VLOOKUP($A231,ANTIGA_DIRECIONADOS!$A:$P,MATCH(APENDICE_BCB!G$3,ANTIGA_DIRECIONADOS!$1:$1,0),0),0)</f>
        <v>0</v>
      </c>
      <c r="H231" s="9">
        <f>IFERROR(VLOOKUP($A231,ATUAL_LIV_E_DIR!$A:$P,MATCH(APENDICE_BCB!H$3,ATUAL_LIV_E_DIR!$1:$1,0),0),0)</f>
        <v>1614299</v>
      </c>
      <c r="I231" s="9">
        <f>IFERROR(VLOOKUP($A231,ATUAL_LIV_E_DIR!$A:$P,MATCH(APENDICE_BCB!I$3,ATUAL_LIV_E_DIR!$1:$1,0),0),0)</f>
        <v>816828</v>
      </c>
      <c r="J231" s="9">
        <f>IFERROR(VLOOKUP($A231,ATUAL_LIV_E_DIR!$A:$P,MATCH(APENDICE_BCB!J$3,ATUAL_LIV_E_DIR!$1:$1,0),0),0)</f>
        <v>797471</v>
      </c>
      <c r="K231" s="9">
        <f>IFERROR(VLOOKUP($A231,ATUAL_LIV_E_DIR!$A:$P,MATCH(APENDICE_BCB!K$3,ATUAL_LIV_E_DIR!$1:$1,0),0),0)</f>
        <v>1559791</v>
      </c>
      <c r="L231" s="9">
        <f>IFERROR(VLOOKUP($A231,ATUAL_LIV_E_DIR!$A:$P,MATCH(APENDICE_BCB!L$3,ATUAL_LIV_E_DIR!$1:$1,0),0),0)</f>
        <v>695597</v>
      </c>
      <c r="M231" s="9">
        <f>IFERROR(VLOOKUP($A231,ATUAL_LIV_E_DIR!$A:$P,MATCH(APENDICE_BCB!M$3,ATUAL_LIV_E_DIR!$1:$1,0),0),0)</f>
        <v>864194</v>
      </c>
      <c r="O231" s="11">
        <f t="shared" si="45"/>
        <v>0</v>
      </c>
      <c r="P231" s="11">
        <f t="shared" si="46"/>
        <v>3174090</v>
      </c>
      <c r="Q231" s="11">
        <f t="shared" si="47"/>
        <v>0</v>
      </c>
      <c r="R231" s="11">
        <f t="shared" si="48"/>
        <v>1681022</v>
      </c>
      <c r="S231" s="11"/>
      <c r="T231" s="11">
        <f t="shared" si="50"/>
        <v>1493068</v>
      </c>
      <c r="V231" s="7">
        <f t="shared" si="51"/>
        <v>0</v>
      </c>
      <c r="W231">
        <f t="shared" si="52"/>
        <v>0.4703924589409878</v>
      </c>
      <c r="Y231" s="8"/>
      <c r="Z231" s="8">
        <f t="shared" si="54"/>
        <v>9.574785137470343E-3</v>
      </c>
      <c r="AE231" s="1">
        <f t="shared" si="43"/>
        <v>42248</v>
      </c>
      <c r="AF231" s="11">
        <f t="shared" si="44"/>
        <v>1493068</v>
      </c>
    </row>
    <row r="232" spans="1:32" x14ac:dyDescent="0.25">
      <c r="A232" s="1">
        <v>42278</v>
      </c>
      <c r="B232" s="9">
        <f>IFERROR(VLOOKUP($A232,ANTIGA_LIVRES!$A:$P,MATCH(APENDICE_BCB!B$3,ANTIGA_LIVRES!$1:$1,0),0)/1000,0)</f>
        <v>0</v>
      </c>
      <c r="C232" s="9">
        <f>IFERROR(VLOOKUP($A232,ANTIGA_LIVRES!$A:$P,MATCH(APENDICE_BCB!C$3,ANTIGA_LIVRES!$1:$1,0),0)/1000,0)</f>
        <v>0</v>
      </c>
      <c r="D232" s="9">
        <f>IFERROR(VLOOKUP($A232,ANTIGA_LIVRES!$A:$P,MATCH(APENDICE_BCB!D$3,ANTIGA_LIVRES!$1:$1,0),0)/1000,0)</f>
        <v>0</v>
      </c>
      <c r="E232" s="9">
        <f>IFERROR(VLOOKUP($A232,ANTIGA_DIRECIONADOS!$A:$P,MATCH(APENDICE_BCB!E$3,ANTIGA_DIRECIONADOS!$1:$1,0),0),0)</f>
        <v>0</v>
      </c>
      <c r="F232" s="9">
        <f>IFERROR(VLOOKUP($A232,ANTIGA_DIRECIONADOS!$A:$P,MATCH(APENDICE_BCB!F$3,ANTIGA_DIRECIONADOS!$1:$1,0),0),0)</f>
        <v>0</v>
      </c>
      <c r="G232" s="9">
        <f>IFERROR(VLOOKUP($A232,ANTIGA_DIRECIONADOS!$A:$P,MATCH(APENDICE_BCB!G$3,ANTIGA_DIRECIONADOS!$1:$1,0),0),0)</f>
        <v>0</v>
      </c>
      <c r="H232" s="9">
        <f>IFERROR(VLOOKUP($A232,ATUAL_LIV_E_DIR!$A:$P,MATCH(APENDICE_BCB!H$3,ATUAL_LIV_E_DIR!$1:$1,0),0),0)</f>
        <v>1606059</v>
      </c>
      <c r="I232" s="9">
        <f>IFERROR(VLOOKUP($A232,ATUAL_LIV_E_DIR!$A:$P,MATCH(APENDICE_BCB!I$3,ATUAL_LIV_E_DIR!$1:$1,0),0),0)</f>
        <v>809001</v>
      </c>
      <c r="J232" s="9">
        <f>IFERROR(VLOOKUP($A232,ATUAL_LIV_E_DIR!$A:$P,MATCH(APENDICE_BCB!J$3,ATUAL_LIV_E_DIR!$1:$1,0),0),0)</f>
        <v>797058</v>
      </c>
      <c r="K232" s="9">
        <f>IFERROR(VLOOKUP($A232,ATUAL_LIV_E_DIR!$A:$P,MATCH(APENDICE_BCB!K$3,ATUAL_LIV_E_DIR!$1:$1,0),0),0)</f>
        <v>1560715</v>
      </c>
      <c r="L232" s="9">
        <f>IFERROR(VLOOKUP($A232,ATUAL_LIV_E_DIR!$A:$P,MATCH(APENDICE_BCB!L$3,ATUAL_LIV_E_DIR!$1:$1,0),0),0)</f>
        <v>699557</v>
      </c>
      <c r="M232" s="9">
        <f>IFERROR(VLOOKUP($A232,ATUAL_LIV_E_DIR!$A:$P,MATCH(APENDICE_BCB!M$3,ATUAL_LIV_E_DIR!$1:$1,0),0),0)</f>
        <v>861158</v>
      </c>
      <c r="O232" s="11">
        <f t="shared" si="45"/>
        <v>0</v>
      </c>
      <c r="P232" s="11">
        <f t="shared" si="46"/>
        <v>3166774</v>
      </c>
      <c r="Q232" s="11">
        <f t="shared" si="47"/>
        <v>0</v>
      </c>
      <c r="R232" s="11">
        <f t="shared" si="48"/>
        <v>1670159</v>
      </c>
      <c r="S232" s="11"/>
      <c r="T232" s="11">
        <f t="shared" si="50"/>
        <v>1496615</v>
      </c>
      <c r="V232" s="7">
        <f t="shared" si="51"/>
        <v>0</v>
      </c>
      <c r="W232">
        <f t="shared" si="52"/>
        <v>0.4725992445308696</v>
      </c>
      <c r="Y232" s="8"/>
      <c r="Z232" s="8">
        <f t="shared" si="54"/>
        <v>-2.3049125891200228E-3</v>
      </c>
      <c r="AE232" s="1">
        <f t="shared" si="43"/>
        <v>42278</v>
      </c>
      <c r="AF232" s="11">
        <f t="shared" si="44"/>
        <v>1496615</v>
      </c>
    </row>
    <row r="233" spans="1:32" x14ac:dyDescent="0.25">
      <c r="A233" s="1">
        <v>42309</v>
      </c>
      <c r="B233" s="9">
        <f>IFERROR(VLOOKUP($A233,ANTIGA_LIVRES!$A:$P,MATCH(APENDICE_BCB!B$3,ANTIGA_LIVRES!$1:$1,0),0)/1000,0)</f>
        <v>0</v>
      </c>
      <c r="C233" s="9">
        <f>IFERROR(VLOOKUP($A233,ANTIGA_LIVRES!$A:$P,MATCH(APENDICE_BCB!C$3,ANTIGA_LIVRES!$1:$1,0),0)/1000,0)</f>
        <v>0</v>
      </c>
      <c r="D233" s="9">
        <f>IFERROR(VLOOKUP($A233,ANTIGA_LIVRES!$A:$P,MATCH(APENDICE_BCB!D$3,ANTIGA_LIVRES!$1:$1,0),0)/1000,0)</f>
        <v>0</v>
      </c>
      <c r="E233" s="9">
        <f>IFERROR(VLOOKUP($A233,ANTIGA_DIRECIONADOS!$A:$P,MATCH(APENDICE_BCB!E$3,ANTIGA_DIRECIONADOS!$1:$1,0),0),0)</f>
        <v>0</v>
      </c>
      <c r="F233" s="9">
        <f>IFERROR(VLOOKUP($A233,ANTIGA_DIRECIONADOS!$A:$P,MATCH(APENDICE_BCB!F$3,ANTIGA_DIRECIONADOS!$1:$1,0),0),0)</f>
        <v>0</v>
      </c>
      <c r="G233" s="9">
        <f>IFERROR(VLOOKUP($A233,ANTIGA_DIRECIONADOS!$A:$P,MATCH(APENDICE_BCB!G$3,ANTIGA_DIRECIONADOS!$1:$1,0),0),0)</f>
        <v>0</v>
      </c>
      <c r="H233" s="9">
        <f>IFERROR(VLOOKUP($A233,ATUAL_LIV_E_DIR!$A:$P,MATCH(APENDICE_BCB!H$3,ATUAL_LIV_E_DIR!$1:$1,0),0),0)</f>
        <v>1618058</v>
      </c>
      <c r="I233" s="9">
        <f>IFERROR(VLOOKUP($A233,ATUAL_LIV_E_DIR!$A:$P,MATCH(APENDICE_BCB!I$3,ATUAL_LIV_E_DIR!$1:$1,0),0),0)</f>
        <v>815164</v>
      </c>
      <c r="J233" s="9">
        <f>IFERROR(VLOOKUP($A233,ATUAL_LIV_E_DIR!$A:$P,MATCH(APENDICE_BCB!J$3,ATUAL_LIV_E_DIR!$1:$1,0),0),0)</f>
        <v>802893</v>
      </c>
      <c r="K233" s="9">
        <f>IFERROR(VLOOKUP($A233,ATUAL_LIV_E_DIR!$A:$P,MATCH(APENDICE_BCB!K$3,ATUAL_LIV_E_DIR!$1:$1,0),0),0)</f>
        <v>1568533</v>
      </c>
      <c r="L233" s="9">
        <f>IFERROR(VLOOKUP($A233,ATUAL_LIV_E_DIR!$A:$P,MATCH(APENDICE_BCB!L$3,ATUAL_LIV_E_DIR!$1:$1,0),0),0)</f>
        <v>705328</v>
      </c>
      <c r="M233" s="9">
        <f>IFERROR(VLOOKUP($A233,ATUAL_LIV_E_DIR!$A:$P,MATCH(APENDICE_BCB!M$3,ATUAL_LIV_E_DIR!$1:$1,0),0),0)</f>
        <v>863205</v>
      </c>
      <c r="O233" s="11">
        <f t="shared" si="45"/>
        <v>0</v>
      </c>
      <c r="P233" s="11">
        <f t="shared" si="46"/>
        <v>3186591</v>
      </c>
      <c r="Q233" s="11">
        <f t="shared" si="47"/>
        <v>0</v>
      </c>
      <c r="R233" s="11">
        <f t="shared" si="48"/>
        <v>1678369</v>
      </c>
      <c r="S233" s="11"/>
      <c r="T233" s="11">
        <f t="shared" si="50"/>
        <v>1508221</v>
      </c>
      <c r="V233" s="7">
        <f t="shared" si="51"/>
        <v>0</v>
      </c>
      <c r="W233">
        <f t="shared" si="52"/>
        <v>0.47330234724192721</v>
      </c>
      <c r="Y233" s="8"/>
      <c r="Z233" s="8">
        <f t="shared" si="54"/>
        <v>6.2577878939260589E-3</v>
      </c>
      <c r="AE233" s="1">
        <f t="shared" si="43"/>
        <v>42309</v>
      </c>
      <c r="AF233" s="11">
        <f t="shared" si="44"/>
        <v>1508221</v>
      </c>
    </row>
    <row r="234" spans="1:32" x14ac:dyDescent="0.25">
      <c r="A234" s="1">
        <v>42339</v>
      </c>
      <c r="B234" s="9">
        <f>IFERROR(VLOOKUP($A234,ANTIGA_LIVRES!$A:$P,MATCH(APENDICE_BCB!B$3,ANTIGA_LIVRES!$1:$1,0),0)/1000,0)</f>
        <v>0</v>
      </c>
      <c r="C234" s="9">
        <f>IFERROR(VLOOKUP($A234,ANTIGA_LIVRES!$A:$P,MATCH(APENDICE_BCB!C$3,ANTIGA_LIVRES!$1:$1,0),0)/1000,0)</f>
        <v>0</v>
      </c>
      <c r="D234" s="9">
        <f>IFERROR(VLOOKUP($A234,ANTIGA_LIVRES!$A:$P,MATCH(APENDICE_BCB!D$3,ANTIGA_LIVRES!$1:$1,0),0)/1000,0)</f>
        <v>0</v>
      </c>
      <c r="E234" s="9">
        <f>IFERROR(VLOOKUP($A234,ANTIGA_DIRECIONADOS!$A:$P,MATCH(APENDICE_BCB!E$3,ANTIGA_DIRECIONADOS!$1:$1,0),0),0)</f>
        <v>0</v>
      </c>
      <c r="F234" s="9">
        <f>IFERROR(VLOOKUP($A234,ANTIGA_DIRECIONADOS!$A:$P,MATCH(APENDICE_BCB!F$3,ANTIGA_DIRECIONADOS!$1:$1,0),0),0)</f>
        <v>0</v>
      </c>
      <c r="G234" s="9">
        <f>IFERROR(VLOOKUP($A234,ANTIGA_DIRECIONADOS!$A:$P,MATCH(APENDICE_BCB!G$3,ANTIGA_DIRECIONADOS!$1:$1,0),0),0)</f>
        <v>0</v>
      </c>
      <c r="H234" s="9">
        <f>IFERROR(VLOOKUP($A234,ATUAL_LIV_E_DIR!$A:$P,MATCH(APENDICE_BCB!H$3,ATUAL_LIV_E_DIR!$1:$1,0),0),0)</f>
        <v>1641325</v>
      </c>
      <c r="I234" s="9">
        <f>IFERROR(VLOOKUP($A234,ATUAL_LIV_E_DIR!$A:$P,MATCH(APENDICE_BCB!I$3,ATUAL_LIV_E_DIR!$1:$1,0),0),0)</f>
        <v>835747</v>
      </c>
      <c r="J234" s="9">
        <f>IFERROR(VLOOKUP($A234,ATUAL_LIV_E_DIR!$A:$P,MATCH(APENDICE_BCB!J$3,ATUAL_LIV_E_DIR!$1:$1,0),0),0)</f>
        <v>805578</v>
      </c>
      <c r="K234" s="9">
        <f>IFERROR(VLOOKUP($A234,ATUAL_LIV_E_DIR!$A:$P,MATCH(APENDICE_BCB!K$3,ATUAL_LIV_E_DIR!$1:$1,0),0),0)</f>
        <v>1588251</v>
      </c>
      <c r="L234" s="9">
        <f>IFERROR(VLOOKUP($A234,ATUAL_LIV_E_DIR!$A:$P,MATCH(APENDICE_BCB!L$3,ATUAL_LIV_E_DIR!$1:$1,0),0),0)</f>
        <v>713085</v>
      </c>
      <c r="M234" s="9">
        <f>IFERROR(VLOOKUP($A234,ATUAL_LIV_E_DIR!$A:$P,MATCH(APENDICE_BCB!M$3,ATUAL_LIV_E_DIR!$1:$1,0),0),0)</f>
        <v>875167</v>
      </c>
      <c r="O234" s="11">
        <f t="shared" si="45"/>
        <v>0</v>
      </c>
      <c r="P234" s="11">
        <f t="shared" si="46"/>
        <v>3229576</v>
      </c>
      <c r="Q234" s="11">
        <f t="shared" si="47"/>
        <v>0</v>
      </c>
      <c r="R234" s="11">
        <f t="shared" si="48"/>
        <v>1710914</v>
      </c>
      <c r="S234" s="11"/>
      <c r="T234" s="11">
        <f t="shared" si="50"/>
        <v>1518663</v>
      </c>
      <c r="V234" s="7">
        <f t="shared" si="51"/>
        <v>0</v>
      </c>
      <c r="W234">
        <f t="shared" si="52"/>
        <v>0.47023603098363376</v>
      </c>
      <c r="Y234" s="8"/>
      <c r="Z234" s="8">
        <f t="shared" si="54"/>
        <v>1.3489337037605464E-2</v>
      </c>
      <c r="AE234" s="1">
        <f t="shared" si="43"/>
        <v>42339</v>
      </c>
      <c r="AF234" s="11">
        <f t="shared" si="44"/>
        <v>1518663</v>
      </c>
    </row>
    <row r="235" spans="1:32" x14ac:dyDescent="0.25">
      <c r="A235" s="1">
        <v>42370</v>
      </c>
      <c r="B235" s="9">
        <f>IFERROR(VLOOKUP($A235,ANTIGA_LIVRES!$A:$P,MATCH(APENDICE_BCB!B$3,ANTIGA_LIVRES!$1:$1,0),0)/1000,0)</f>
        <v>0</v>
      </c>
      <c r="C235" s="9">
        <f>IFERROR(VLOOKUP($A235,ANTIGA_LIVRES!$A:$P,MATCH(APENDICE_BCB!C$3,ANTIGA_LIVRES!$1:$1,0),0)/1000,0)</f>
        <v>0</v>
      </c>
      <c r="D235" s="9">
        <f>IFERROR(VLOOKUP($A235,ANTIGA_LIVRES!$A:$P,MATCH(APENDICE_BCB!D$3,ANTIGA_LIVRES!$1:$1,0),0)/1000,0)</f>
        <v>0</v>
      </c>
      <c r="E235" s="9">
        <f>IFERROR(VLOOKUP($A235,ANTIGA_DIRECIONADOS!$A:$P,MATCH(APENDICE_BCB!E$3,ANTIGA_DIRECIONADOS!$1:$1,0),0),0)</f>
        <v>0</v>
      </c>
      <c r="F235" s="9">
        <f>IFERROR(VLOOKUP($A235,ANTIGA_DIRECIONADOS!$A:$P,MATCH(APENDICE_BCB!F$3,ANTIGA_DIRECIONADOS!$1:$1,0),0),0)</f>
        <v>0</v>
      </c>
      <c r="G235" s="9">
        <f>IFERROR(VLOOKUP($A235,ANTIGA_DIRECIONADOS!$A:$P,MATCH(APENDICE_BCB!G$3,ANTIGA_DIRECIONADOS!$1:$1,0),0),0)</f>
        <v>0</v>
      </c>
      <c r="H235" s="9">
        <f>IFERROR(VLOOKUP($A235,ATUAL_LIV_E_DIR!$A:$P,MATCH(APENDICE_BCB!H$3,ATUAL_LIV_E_DIR!$1:$1,0),0),0)</f>
        <v>1618298</v>
      </c>
      <c r="I235" s="9">
        <f>IFERROR(VLOOKUP($A235,ATUAL_LIV_E_DIR!$A:$P,MATCH(APENDICE_BCB!I$3,ATUAL_LIV_E_DIR!$1:$1,0),0),0)</f>
        <v>813769</v>
      </c>
      <c r="J235" s="9">
        <f>IFERROR(VLOOKUP($A235,ATUAL_LIV_E_DIR!$A:$P,MATCH(APENDICE_BCB!J$3,ATUAL_LIV_E_DIR!$1:$1,0),0),0)</f>
        <v>804529</v>
      </c>
      <c r="K235" s="9">
        <f>IFERROR(VLOOKUP($A235,ATUAL_LIV_E_DIR!$A:$P,MATCH(APENDICE_BCB!K$3,ATUAL_LIV_E_DIR!$1:$1,0),0),0)</f>
        <v>1589825</v>
      </c>
      <c r="L235" s="9">
        <f>IFERROR(VLOOKUP($A235,ATUAL_LIV_E_DIR!$A:$P,MATCH(APENDICE_BCB!L$3,ATUAL_LIV_E_DIR!$1:$1,0),0),0)</f>
        <v>717370</v>
      </c>
      <c r="M235" s="9">
        <f>IFERROR(VLOOKUP($A235,ATUAL_LIV_E_DIR!$A:$P,MATCH(APENDICE_BCB!M$3,ATUAL_LIV_E_DIR!$1:$1,0),0),0)</f>
        <v>872455</v>
      </c>
      <c r="O235" s="11">
        <f t="shared" si="45"/>
        <v>0</v>
      </c>
      <c r="P235" s="11">
        <f t="shared" si="46"/>
        <v>3208123</v>
      </c>
      <c r="Q235" s="11">
        <f t="shared" si="47"/>
        <v>0</v>
      </c>
      <c r="R235" s="11">
        <f t="shared" si="48"/>
        <v>1686224</v>
      </c>
      <c r="S235" s="11"/>
      <c r="T235" s="11">
        <f t="shared" si="50"/>
        <v>1521899</v>
      </c>
      <c r="V235" s="7">
        <f t="shared" si="51"/>
        <v>0</v>
      </c>
      <c r="W235">
        <f t="shared" si="52"/>
        <v>0.47438923008874662</v>
      </c>
      <c r="Y235" s="8"/>
      <c r="Z235" s="8">
        <f t="shared" si="54"/>
        <v>-6.6426676442975507E-3</v>
      </c>
      <c r="AE235" s="1">
        <f t="shared" si="43"/>
        <v>42370</v>
      </c>
      <c r="AF235" s="11">
        <f t="shared" si="44"/>
        <v>1521899</v>
      </c>
    </row>
    <row r="236" spans="1:32" x14ac:dyDescent="0.25">
      <c r="A236" s="1">
        <v>42401</v>
      </c>
      <c r="B236" s="9">
        <f>IFERROR(VLOOKUP($A236,ANTIGA_LIVRES!$A:$P,MATCH(APENDICE_BCB!B$3,ANTIGA_LIVRES!$1:$1,0),0)/1000,0)</f>
        <v>0</v>
      </c>
      <c r="C236" s="9">
        <f>IFERROR(VLOOKUP($A236,ANTIGA_LIVRES!$A:$P,MATCH(APENDICE_BCB!C$3,ANTIGA_LIVRES!$1:$1,0),0)/1000,0)</f>
        <v>0</v>
      </c>
      <c r="D236" s="9">
        <f>IFERROR(VLOOKUP($A236,ANTIGA_LIVRES!$A:$P,MATCH(APENDICE_BCB!D$3,ANTIGA_LIVRES!$1:$1,0),0)/1000,0)</f>
        <v>0</v>
      </c>
      <c r="E236" s="9">
        <f>IFERROR(VLOOKUP($A236,ANTIGA_DIRECIONADOS!$A:$P,MATCH(APENDICE_BCB!E$3,ANTIGA_DIRECIONADOS!$1:$1,0),0),0)</f>
        <v>0</v>
      </c>
      <c r="F236" s="9">
        <f>IFERROR(VLOOKUP($A236,ANTIGA_DIRECIONADOS!$A:$P,MATCH(APENDICE_BCB!F$3,ANTIGA_DIRECIONADOS!$1:$1,0),0),0)</f>
        <v>0</v>
      </c>
      <c r="G236" s="9">
        <f>IFERROR(VLOOKUP($A236,ANTIGA_DIRECIONADOS!$A:$P,MATCH(APENDICE_BCB!G$3,ANTIGA_DIRECIONADOS!$1:$1,0),0),0)</f>
        <v>0</v>
      </c>
      <c r="H236" s="9">
        <f>IFERROR(VLOOKUP($A236,ATUAL_LIV_E_DIR!$A:$P,MATCH(APENDICE_BCB!H$3,ATUAL_LIV_E_DIR!$1:$1,0),0),0)</f>
        <v>1606589</v>
      </c>
      <c r="I236" s="9">
        <f>IFERROR(VLOOKUP($A236,ATUAL_LIV_E_DIR!$A:$P,MATCH(APENDICE_BCB!I$3,ATUAL_LIV_E_DIR!$1:$1,0),0),0)</f>
        <v>804294</v>
      </c>
      <c r="J236" s="9">
        <f>IFERROR(VLOOKUP($A236,ATUAL_LIV_E_DIR!$A:$P,MATCH(APENDICE_BCB!J$3,ATUAL_LIV_E_DIR!$1:$1,0),0),0)</f>
        <v>802295</v>
      </c>
      <c r="K236" s="9">
        <f>IFERROR(VLOOKUP($A236,ATUAL_LIV_E_DIR!$A:$P,MATCH(APENDICE_BCB!K$3,ATUAL_LIV_E_DIR!$1:$1,0),0),0)</f>
        <v>1585698</v>
      </c>
      <c r="L236" s="9">
        <f>IFERROR(VLOOKUP($A236,ATUAL_LIV_E_DIR!$A:$P,MATCH(APENDICE_BCB!L$3,ATUAL_LIV_E_DIR!$1:$1,0),0),0)</f>
        <v>720517</v>
      </c>
      <c r="M236" s="9">
        <f>IFERROR(VLOOKUP($A236,ATUAL_LIV_E_DIR!$A:$P,MATCH(APENDICE_BCB!M$3,ATUAL_LIV_E_DIR!$1:$1,0),0),0)</f>
        <v>865180</v>
      </c>
      <c r="O236" s="11">
        <f t="shared" si="45"/>
        <v>0</v>
      </c>
      <c r="P236" s="11">
        <f t="shared" si="46"/>
        <v>3192287</v>
      </c>
      <c r="Q236" s="11">
        <f t="shared" si="47"/>
        <v>0</v>
      </c>
      <c r="R236" s="11">
        <f t="shared" si="48"/>
        <v>1669474</v>
      </c>
      <c r="S236" s="11"/>
      <c r="T236" s="11">
        <f t="shared" si="50"/>
        <v>1522812</v>
      </c>
      <c r="V236" s="7">
        <f t="shared" si="51"/>
        <v>0</v>
      </c>
      <c r="W236">
        <f t="shared" si="52"/>
        <v>0.47702853784763088</v>
      </c>
      <c r="Y236" s="8"/>
      <c r="Z236" s="8">
        <f t="shared" si="54"/>
        <v>-4.9362197147677644E-3</v>
      </c>
      <c r="AE236" s="1">
        <f t="shared" si="43"/>
        <v>42401</v>
      </c>
      <c r="AF236" s="11">
        <f t="shared" si="44"/>
        <v>1522812</v>
      </c>
    </row>
    <row r="237" spans="1:32" x14ac:dyDescent="0.25">
      <c r="A237" s="1">
        <v>42430</v>
      </c>
      <c r="B237" s="9">
        <f>IFERROR(VLOOKUP($A237,ANTIGA_LIVRES!$A:$P,MATCH(APENDICE_BCB!B$3,ANTIGA_LIVRES!$1:$1,0),0)/1000,0)</f>
        <v>0</v>
      </c>
      <c r="C237" s="9">
        <f>IFERROR(VLOOKUP($A237,ANTIGA_LIVRES!$A:$P,MATCH(APENDICE_BCB!C$3,ANTIGA_LIVRES!$1:$1,0),0)/1000,0)</f>
        <v>0</v>
      </c>
      <c r="D237" s="9">
        <f>IFERROR(VLOOKUP($A237,ANTIGA_LIVRES!$A:$P,MATCH(APENDICE_BCB!D$3,ANTIGA_LIVRES!$1:$1,0),0)/1000,0)</f>
        <v>0</v>
      </c>
      <c r="E237" s="9">
        <f>IFERROR(VLOOKUP($A237,ANTIGA_DIRECIONADOS!$A:$P,MATCH(APENDICE_BCB!E$3,ANTIGA_DIRECIONADOS!$1:$1,0),0),0)</f>
        <v>0</v>
      </c>
      <c r="F237" s="9">
        <f>IFERROR(VLOOKUP($A237,ANTIGA_DIRECIONADOS!$A:$P,MATCH(APENDICE_BCB!F$3,ANTIGA_DIRECIONADOS!$1:$1,0),0),0)</f>
        <v>0</v>
      </c>
      <c r="G237" s="9">
        <f>IFERROR(VLOOKUP($A237,ANTIGA_DIRECIONADOS!$A:$P,MATCH(APENDICE_BCB!G$3,ANTIGA_DIRECIONADOS!$1:$1,0),0),0)</f>
        <v>0</v>
      </c>
      <c r="H237" s="9">
        <f>IFERROR(VLOOKUP($A237,ATUAL_LIV_E_DIR!$A:$P,MATCH(APENDICE_BCB!H$3,ATUAL_LIV_E_DIR!$1:$1,0),0),0)</f>
        <v>1595951</v>
      </c>
      <c r="I237" s="9">
        <f>IFERROR(VLOOKUP($A237,ATUAL_LIV_E_DIR!$A:$P,MATCH(APENDICE_BCB!I$3,ATUAL_LIV_E_DIR!$1:$1,0),0),0)</f>
        <v>794962</v>
      </c>
      <c r="J237" s="9">
        <f>IFERROR(VLOOKUP($A237,ATUAL_LIV_E_DIR!$A:$P,MATCH(APENDICE_BCB!J$3,ATUAL_LIV_E_DIR!$1:$1,0),0),0)</f>
        <v>800989</v>
      </c>
      <c r="K237" s="9">
        <f>IFERROR(VLOOKUP($A237,ATUAL_LIV_E_DIR!$A:$P,MATCH(APENDICE_BCB!K$3,ATUAL_LIV_E_DIR!$1:$1,0),0),0)</f>
        <v>1574903</v>
      </c>
      <c r="L237" s="9">
        <f>IFERROR(VLOOKUP($A237,ATUAL_LIV_E_DIR!$A:$P,MATCH(APENDICE_BCB!L$3,ATUAL_LIV_E_DIR!$1:$1,0),0),0)</f>
        <v>726601</v>
      </c>
      <c r="M237" s="9">
        <f>IFERROR(VLOOKUP($A237,ATUAL_LIV_E_DIR!$A:$P,MATCH(APENDICE_BCB!M$3,ATUAL_LIV_E_DIR!$1:$1,0),0),0)</f>
        <v>848302</v>
      </c>
      <c r="O237" s="11">
        <f t="shared" si="45"/>
        <v>0</v>
      </c>
      <c r="P237" s="11">
        <f t="shared" si="46"/>
        <v>3170854</v>
      </c>
      <c r="Q237" s="11">
        <f t="shared" si="47"/>
        <v>0</v>
      </c>
      <c r="R237" s="11">
        <f t="shared" si="48"/>
        <v>1643264</v>
      </c>
      <c r="S237" s="11"/>
      <c r="T237" s="11">
        <f t="shared" si="50"/>
        <v>1527590</v>
      </c>
      <c r="V237" s="7">
        <f t="shared" si="51"/>
        <v>0</v>
      </c>
      <c r="W237">
        <f t="shared" si="52"/>
        <v>0.48175980351034769</v>
      </c>
      <c r="Y237" s="8"/>
      <c r="Z237" s="8">
        <f t="shared" si="54"/>
        <v>-6.7139953268612329E-3</v>
      </c>
      <c r="AE237" s="1">
        <f t="shared" si="43"/>
        <v>42430</v>
      </c>
      <c r="AF237" s="11">
        <f t="shared" si="44"/>
        <v>1527590</v>
      </c>
    </row>
    <row r="238" spans="1:32" x14ac:dyDescent="0.25">
      <c r="A238" s="1">
        <v>42461</v>
      </c>
      <c r="B238" s="9">
        <f>IFERROR(VLOOKUP($A238,ANTIGA_LIVRES!$A:$P,MATCH(APENDICE_BCB!B$3,ANTIGA_LIVRES!$1:$1,0),0)/1000,0)</f>
        <v>0</v>
      </c>
      <c r="C238" s="9">
        <f>IFERROR(VLOOKUP($A238,ANTIGA_LIVRES!$A:$P,MATCH(APENDICE_BCB!C$3,ANTIGA_LIVRES!$1:$1,0),0)/1000,0)</f>
        <v>0</v>
      </c>
      <c r="D238" s="9">
        <f>IFERROR(VLOOKUP($A238,ANTIGA_LIVRES!$A:$P,MATCH(APENDICE_BCB!D$3,ANTIGA_LIVRES!$1:$1,0),0)/1000,0)</f>
        <v>0</v>
      </c>
      <c r="E238" s="9">
        <f>IFERROR(VLOOKUP($A238,ANTIGA_DIRECIONADOS!$A:$P,MATCH(APENDICE_BCB!E$3,ANTIGA_DIRECIONADOS!$1:$1,0),0),0)</f>
        <v>0</v>
      </c>
      <c r="F238" s="9">
        <f>IFERROR(VLOOKUP($A238,ANTIGA_DIRECIONADOS!$A:$P,MATCH(APENDICE_BCB!F$3,ANTIGA_DIRECIONADOS!$1:$1,0),0),0)</f>
        <v>0</v>
      </c>
      <c r="G238" s="9">
        <f>IFERROR(VLOOKUP($A238,ANTIGA_DIRECIONADOS!$A:$P,MATCH(APENDICE_BCB!G$3,ANTIGA_DIRECIONADOS!$1:$1,0),0),0)</f>
        <v>0</v>
      </c>
      <c r="H238" s="9">
        <f>IFERROR(VLOOKUP($A238,ATUAL_LIV_E_DIR!$A:$P,MATCH(APENDICE_BCB!H$3,ATUAL_LIV_E_DIR!$1:$1,0),0),0)</f>
        <v>1580566</v>
      </c>
      <c r="I238" s="9">
        <f>IFERROR(VLOOKUP($A238,ATUAL_LIV_E_DIR!$A:$P,MATCH(APENDICE_BCB!I$3,ATUAL_LIV_E_DIR!$1:$1,0),0),0)</f>
        <v>783254</v>
      </c>
      <c r="J238" s="9">
        <f>IFERROR(VLOOKUP($A238,ATUAL_LIV_E_DIR!$A:$P,MATCH(APENDICE_BCB!J$3,ATUAL_LIV_E_DIR!$1:$1,0),0),0)</f>
        <v>797312</v>
      </c>
      <c r="K238" s="9">
        <f>IFERROR(VLOOKUP($A238,ATUAL_LIV_E_DIR!$A:$P,MATCH(APENDICE_BCB!K$3,ATUAL_LIV_E_DIR!$1:$1,0),0),0)</f>
        <v>1570257</v>
      </c>
      <c r="L238" s="9">
        <f>IFERROR(VLOOKUP($A238,ATUAL_LIV_E_DIR!$A:$P,MATCH(APENDICE_BCB!L$3,ATUAL_LIV_E_DIR!$1:$1,0),0),0)</f>
        <v>729063</v>
      </c>
      <c r="M238" s="9">
        <f>IFERROR(VLOOKUP($A238,ATUAL_LIV_E_DIR!$A:$P,MATCH(APENDICE_BCB!M$3,ATUAL_LIV_E_DIR!$1:$1,0),0),0)</f>
        <v>841194</v>
      </c>
      <c r="O238" s="11">
        <f t="shared" si="45"/>
        <v>0</v>
      </c>
      <c r="P238" s="11">
        <f t="shared" si="46"/>
        <v>3150823</v>
      </c>
      <c r="Q238" s="11">
        <f t="shared" si="47"/>
        <v>0</v>
      </c>
      <c r="R238" s="11">
        <f t="shared" si="48"/>
        <v>1624448</v>
      </c>
      <c r="S238" s="11"/>
      <c r="T238" s="11">
        <f t="shared" si="50"/>
        <v>1526375</v>
      </c>
      <c r="V238" s="7">
        <f t="shared" si="51"/>
        <v>0</v>
      </c>
      <c r="W238">
        <f t="shared" si="52"/>
        <v>0.48443692330543481</v>
      </c>
      <c r="Y238" s="8"/>
      <c r="Z238" s="8">
        <f t="shared" si="54"/>
        <v>-6.3172255802379507E-3</v>
      </c>
      <c r="AE238" s="1">
        <f t="shared" si="43"/>
        <v>42461</v>
      </c>
      <c r="AF238" s="11">
        <f t="shared" si="44"/>
        <v>1526375</v>
      </c>
    </row>
    <row r="239" spans="1:32" x14ac:dyDescent="0.25">
      <c r="A239" s="1">
        <v>42491</v>
      </c>
      <c r="B239" s="9">
        <f>IFERROR(VLOOKUP($A239,ANTIGA_LIVRES!$A:$P,MATCH(APENDICE_BCB!B$3,ANTIGA_LIVRES!$1:$1,0),0)/1000,0)</f>
        <v>0</v>
      </c>
      <c r="C239" s="9">
        <f>IFERROR(VLOOKUP($A239,ANTIGA_LIVRES!$A:$P,MATCH(APENDICE_BCB!C$3,ANTIGA_LIVRES!$1:$1,0),0)/1000,0)</f>
        <v>0</v>
      </c>
      <c r="D239" s="9">
        <f>IFERROR(VLOOKUP($A239,ANTIGA_LIVRES!$A:$P,MATCH(APENDICE_BCB!D$3,ANTIGA_LIVRES!$1:$1,0),0)/1000,0)</f>
        <v>0</v>
      </c>
      <c r="E239" s="9">
        <f>IFERROR(VLOOKUP($A239,ANTIGA_DIRECIONADOS!$A:$P,MATCH(APENDICE_BCB!E$3,ANTIGA_DIRECIONADOS!$1:$1,0),0),0)</f>
        <v>0</v>
      </c>
      <c r="F239" s="9">
        <f>IFERROR(VLOOKUP($A239,ANTIGA_DIRECIONADOS!$A:$P,MATCH(APENDICE_BCB!F$3,ANTIGA_DIRECIONADOS!$1:$1,0),0),0)</f>
        <v>0</v>
      </c>
      <c r="G239" s="9">
        <f>IFERROR(VLOOKUP($A239,ANTIGA_DIRECIONADOS!$A:$P,MATCH(APENDICE_BCB!G$3,ANTIGA_DIRECIONADOS!$1:$1,0),0),0)</f>
        <v>0</v>
      </c>
      <c r="H239" s="9">
        <f>IFERROR(VLOOKUP($A239,ATUAL_LIV_E_DIR!$A:$P,MATCH(APENDICE_BCB!H$3,ATUAL_LIV_E_DIR!$1:$1,0),0),0)</f>
        <v>1584220</v>
      </c>
      <c r="I239" s="9">
        <f>IFERROR(VLOOKUP($A239,ATUAL_LIV_E_DIR!$A:$P,MATCH(APENDICE_BCB!I$3,ATUAL_LIV_E_DIR!$1:$1,0),0),0)</f>
        <v>782431</v>
      </c>
      <c r="J239" s="9">
        <f>IFERROR(VLOOKUP($A239,ATUAL_LIV_E_DIR!$A:$P,MATCH(APENDICE_BCB!J$3,ATUAL_LIV_E_DIR!$1:$1,0),0),0)</f>
        <v>801789</v>
      </c>
      <c r="K239" s="9">
        <f>IFERROR(VLOOKUP($A239,ATUAL_LIV_E_DIR!$A:$P,MATCH(APENDICE_BCB!K$3,ATUAL_LIV_E_DIR!$1:$1,0),0),0)</f>
        <v>1573575</v>
      </c>
      <c r="L239" s="9">
        <f>IFERROR(VLOOKUP($A239,ATUAL_LIV_E_DIR!$A:$P,MATCH(APENDICE_BCB!L$3,ATUAL_LIV_E_DIR!$1:$1,0),0),0)</f>
        <v>731565</v>
      </c>
      <c r="M239" s="9">
        <f>IFERROR(VLOOKUP($A239,ATUAL_LIV_E_DIR!$A:$P,MATCH(APENDICE_BCB!M$3,ATUAL_LIV_E_DIR!$1:$1,0),0),0)</f>
        <v>842010</v>
      </c>
      <c r="O239" s="11">
        <f t="shared" si="45"/>
        <v>0</v>
      </c>
      <c r="P239" s="11">
        <f t="shared" si="46"/>
        <v>3157795</v>
      </c>
      <c r="Q239" s="11">
        <f t="shared" si="47"/>
        <v>0</v>
      </c>
      <c r="R239" s="11">
        <f t="shared" si="48"/>
        <v>1624441</v>
      </c>
      <c r="S239" s="11"/>
      <c r="T239" s="11">
        <f t="shared" si="50"/>
        <v>1533354</v>
      </c>
      <c r="V239" s="7">
        <f t="shared" si="51"/>
        <v>0</v>
      </c>
      <c r="W239">
        <f t="shared" si="52"/>
        <v>0.48557743615402521</v>
      </c>
      <c r="Y239" s="8"/>
      <c r="Z239" s="8">
        <f t="shared" si="54"/>
        <v>2.2127552071316003E-3</v>
      </c>
      <c r="AE239" s="1">
        <f t="shared" si="43"/>
        <v>42491</v>
      </c>
      <c r="AF239" s="11">
        <f t="shared" si="44"/>
        <v>1533354</v>
      </c>
    </row>
    <row r="240" spans="1:32" x14ac:dyDescent="0.25">
      <c r="A240" s="1">
        <v>42522</v>
      </c>
      <c r="B240" s="9">
        <f>IFERROR(VLOOKUP($A240,ANTIGA_LIVRES!$A:$P,MATCH(APENDICE_BCB!B$3,ANTIGA_LIVRES!$1:$1,0),0)/1000,0)</f>
        <v>0</v>
      </c>
      <c r="C240" s="9">
        <f>IFERROR(VLOOKUP($A240,ANTIGA_LIVRES!$A:$P,MATCH(APENDICE_BCB!C$3,ANTIGA_LIVRES!$1:$1,0),0)/1000,0)</f>
        <v>0</v>
      </c>
      <c r="D240" s="9">
        <f>IFERROR(VLOOKUP($A240,ANTIGA_LIVRES!$A:$P,MATCH(APENDICE_BCB!D$3,ANTIGA_LIVRES!$1:$1,0),0)/1000,0)</f>
        <v>0</v>
      </c>
      <c r="E240" s="9">
        <f>IFERROR(VLOOKUP($A240,ANTIGA_DIRECIONADOS!$A:$P,MATCH(APENDICE_BCB!E$3,ANTIGA_DIRECIONADOS!$1:$1,0),0),0)</f>
        <v>0</v>
      </c>
      <c r="F240" s="9">
        <f>IFERROR(VLOOKUP($A240,ANTIGA_DIRECIONADOS!$A:$P,MATCH(APENDICE_BCB!F$3,ANTIGA_DIRECIONADOS!$1:$1,0),0),0)</f>
        <v>0</v>
      </c>
      <c r="G240" s="9">
        <f>IFERROR(VLOOKUP($A240,ANTIGA_DIRECIONADOS!$A:$P,MATCH(APENDICE_BCB!G$3,ANTIGA_DIRECIONADOS!$1:$1,0),0),0)</f>
        <v>0</v>
      </c>
      <c r="H240" s="9">
        <f>IFERROR(VLOOKUP($A240,ATUAL_LIV_E_DIR!$A:$P,MATCH(APENDICE_BCB!H$3,ATUAL_LIV_E_DIR!$1:$1,0),0),0)</f>
        <v>1573227</v>
      </c>
      <c r="I240" s="9">
        <f>IFERROR(VLOOKUP($A240,ATUAL_LIV_E_DIR!$A:$P,MATCH(APENDICE_BCB!I$3,ATUAL_LIV_E_DIR!$1:$1,0),0),0)</f>
        <v>772886</v>
      </c>
      <c r="J240" s="9">
        <f>IFERROR(VLOOKUP($A240,ATUAL_LIV_E_DIR!$A:$P,MATCH(APENDICE_BCB!J$3,ATUAL_LIV_E_DIR!$1:$1,0),0),0)</f>
        <v>800341</v>
      </c>
      <c r="K240" s="9">
        <f>IFERROR(VLOOKUP($A240,ATUAL_LIV_E_DIR!$A:$P,MATCH(APENDICE_BCB!K$3,ATUAL_LIV_E_DIR!$1:$1,0),0),0)</f>
        <v>1567004</v>
      </c>
      <c r="L240" s="9">
        <f>IFERROR(VLOOKUP($A240,ATUAL_LIV_E_DIR!$A:$P,MATCH(APENDICE_BCB!L$3,ATUAL_LIV_E_DIR!$1:$1,0),0),0)</f>
        <v>736457</v>
      </c>
      <c r="M240" s="9">
        <f>IFERROR(VLOOKUP($A240,ATUAL_LIV_E_DIR!$A:$P,MATCH(APENDICE_BCB!M$3,ATUAL_LIV_E_DIR!$1:$1,0),0),0)</f>
        <v>830547</v>
      </c>
      <c r="O240" s="11">
        <f t="shared" si="45"/>
        <v>0</v>
      </c>
      <c r="P240" s="11">
        <f t="shared" si="46"/>
        <v>3140231</v>
      </c>
      <c r="Q240" s="11">
        <f t="shared" si="47"/>
        <v>0</v>
      </c>
      <c r="R240" s="11">
        <f t="shared" si="48"/>
        <v>1603433</v>
      </c>
      <c r="S240" s="11"/>
      <c r="T240" s="11">
        <f t="shared" si="50"/>
        <v>1536798</v>
      </c>
      <c r="V240" s="7">
        <f t="shared" si="51"/>
        <v>0</v>
      </c>
      <c r="W240">
        <f t="shared" si="52"/>
        <v>0.48939011174655622</v>
      </c>
      <c r="Y240" s="8"/>
      <c r="Z240" s="8">
        <f t="shared" si="54"/>
        <v>-5.5621090032760279E-3</v>
      </c>
      <c r="AE240" s="1">
        <f t="shared" si="43"/>
        <v>42522</v>
      </c>
      <c r="AF240" s="11">
        <f t="shared" si="44"/>
        <v>1536798</v>
      </c>
    </row>
    <row r="241" spans="1:32" x14ac:dyDescent="0.25">
      <c r="A241" s="1">
        <v>42552</v>
      </c>
      <c r="B241" s="9">
        <f>IFERROR(VLOOKUP($A241,ANTIGA_LIVRES!$A:$P,MATCH(APENDICE_BCB!B$3,ANTIGA_LIVRES!$1:$1,0),0)/1000,0)</f>
        <v>0</v>
      </c>
      <c r="C241" s="9">
        <f>IFERROR(VLOOKUP($A241,ANTIGA_LIVRES!$A:$P,MATCH(APENDICE_BCB!C$3,ANTIGA_LIVRES!$1:$1,0),0)/1000,0)</f>
        <v>0</v>
      </c>
      <c r="D241" s="9">
        <f>IFERROR(VLOOKUP($A241,ANTIGA_LIVRES!$A:$P,MATCH(APENDICE_BCB!D$3,ANTIGA_LIVRES!$1:$1,0),0)/1000,0)</f>
        <v>0</v>
      </c>
      <c r="E241" s="9">
        <f>IFERROR(VLOOKUP($A241,ANTIGA_DIRECIONADOS!$A:$P,MATCH(APENDICE_BCB!E$3,ANTIGA_DIRECIONADOS!$1:$1,0),0),0)</f>
        <v>0</v>
      </c>
      <c r="F241" s="9">
        <f>IFERROR(VLOOKUP($A241,ANTIGA_DIRECIONADOS!$A:$P,MATCH(APENDICE_BCB!F$3,ANTIGA_DIRECIONADOS!$1:$1,0),0),0)</f>
        <v>0</v>
      </c>
      <c r="G241" s="9">
        <f>IFERROR(VLOOKUP($A241,ANTIGA_DIRECIONADOS!$A:$P,MATCH(APENDICE_BCB!G$3,ANTIGA_DIRECIONADOS!$1:$1,0),0),0)</f>
        <v>0</v>
      </c>
      <c r="H241" s="9">
        <f>IFERROR(VLOOKUP($A241,ATUAL_LIV_E_DIR!$A:$P,MATCH(APENDICE_BCB!H$3,ATUAL_LIV_E_DIR!$1:$1,0),0),0)</f>
        <v>1558136</v>
      </c>
      <c r="I241" s="9">
        <f>IFERROR(VLOOKUP($A241,ATUAL_LIV_E_DIR!$A:$P,MATCH(APENDICE_BCB!I$3,ATUAL_LIV_E_DIR!$1:$1,0),0),0)</f>
        <v>758287</v>
      </c>
      <c r="J241" s="9">
        <f>IFERROR(VLOOKUP($A241,ATUAL_LIV_E_DIR!$A:$P,MATCH(APENDICE_BCB!J$3,ATUAL_LIV_E_DIR!$1:$1,0),0),0)</f>
        <v>799849</v>
      </c>
      <c r="K241" s="9">
        <f>IFERROR(VLOOKUP($A241,ATUAL_LIV_E_DIR!$A:$P,MATCH(APENDICE_BCB!K$3,ATUAL_LIV_E_DIR!$1:$1,0),0),0)</f>
        <v>1568566</v>
      </c>
      <c r="L241" s="9">
        <f>IFERROR(VLOOKUP($A241,ATUAL_LIV_E_DIR!$A:$P,MATCH(APENDICE_BCB!L$3,ATUAL_LIV_E_DIR!$1:$1,0),0),0)</f>
        <v>738341</v>
      </c>
      <c r="M241" s="9">
        <f>IFERROR(VLOOKUP($A241,ATUAL_LIV_E_DIR!$A:$P,MATCH(APENDICE_BCB!M$3,ATUAL_LIV_E_DIR!$1:$1,0),0),0)</f>
        <v>830226</v>
      </c>
      <c r="O241" s="11">
        <f t="shared" si="45"/>
        <v>0</v>
      </c>
      <c r="P241" s="11">
        <f t="shared" si="46"/>
        <v>3126702</v>
      </c>
      <c r="Q241" s="11">
        <f t="shared" si="47"/>
        <v>0</v>
      </c>
      <c r="R241" s="11">
        <f t="shared" si="48"/>
        <v>1588513</v>
      </c>
      <c r="S241" s="11"/>
      <c r="T241" s="11">
        <f t="shared" si="50"/>
        <v>1538190</v>
      </c>
      <c r="V241" s="7">
        <f t="shared" si="51"/>
        <v>0</v>
      </c>
      <c r="W241">
        <f t="shared" si="52"/>
        <v>0.49195286279280853</v>
      </c>
      <c r="Y241" s="8"/>
      <c r="Z241" s="8">
        <f t="shared" si="54"/>
        <v>-4.3082817792703398E-3</v>
      </c>
      <c r="AE241" s="1">
        <f t="shared" si="43"/>
        <v>42552</v>
      </c>
      <c r="AF241" s="11">
        <f t="shared" si="44"/>
        <v>1538190</v>
      </c>
    </row>
    <row r="242" spans="1:32" x14ac:dyDescent="0.25">
      <c r="A242" s="1">
        <v>42583</v>
      </c>
      <c r="B242" s="9">
        <f>IFERROR(VLOOKUP($A242,ANTIGA_LIVRES!$A:$P,MATCH(APENDICE_BCB!B$3,ANTIGA_LIVRES!$1:$1,0),0)/1000,0)</f>
        <v>0</v>
      </c>
      <c r="C242" s="9">
        <f>IFERROR(VLOOKUP($A242,ANTIGA_LIVRES!$A:$P,MATCH(APENDICE_BCB!C$3,ANTIGA_LIVRES!$1:$1,0),0)/1000,0)</f>
        <v>0</v>
      </c>
      <c r="D242" s="9">
        <f>IFERROR(VLOOKUP($A242,ANTIGA_LIVRES!$A:$P,MATCH(APENDICE_BCB!D$3,ANTIGA_LIVRES!$1:$1,0),0)/1000,0)</f>
        <v>0</v>
      </c>
      <c r="E242" s="9">
        <f>IFERROR(VLOOKUP($A242,ANTIGA_DIRECIONADOS!$A:$P,MATCH(APENDICE_BCB!E$3,ANTIGA_DIRECIONADOS!$1:$1,0),0),0)</f>
        <v>0</v>
      </c>
      <c r="F242" s="9">
        <f>IFERROR(VLOOKUP($A242,ANTIGA_DIRECIONADOS!$A:$P,MATCH(APENDICE_BCB!F$3,ANTIGA_DIRECIONADOS!$1:$1,0),0),0)</f>
        <v>0</v>
      </c>
      <c r="G242" s="9">
        <f>IFERROR(VLOOKUP($A242,ANTIGA_DIRECIONADOS!$A:$P,MATCH(APENDICE_BCB!G$3,ANTIGA_DIRECIONADOS!$1:$1,0),0),0)</f>
        <v>0</v>
      </c>
      <c r="H242" s="9">
        <f>IFERROR(VLOOKUP($A242,ATUAL_LIV_E_DIR!$A:$P,MATCH(APENDICE_BCB!H$3,ATUAL_LIV_E_DIR!$1:$1,0),0),0)</f>
        <v>1553764</v>
      </c>
      <c r="I242" s="9">
        <f>IFERROR(VLOOKUP($A242,ATUAL_LIV_E_DIR!$A:$P,MATCH(APENDICE_BCB!I$3,ATUAL_LIV_E_DIR!$1:$1,0),0),0)</f>
        <v>749710</v>
      </c>
      <c r="J242" s="9">
        <f>IFERROR(VLOOKUP($A242,ATUAL_LIV_E_DIR!$A:$P,MATCH(APENDICE_BCB!J$3,ATUAL_LIV_E_DIR!$1:$1,0),0),0)</f>
        <v>804054</v>
      </c>
      <c r="K242" s="9">
        <f>IFERROR(VLOOKUP($A242,ATUAL_LIV_E_DIR!$A:$P,MATCH(APENDICE_BCB!K$3,ATUAL_LIV_E_DIR!$1:$1,0),0),0)</f>
        <v>1571771</v>
      </c>
      <c r="L242" s="9">
        <f>IFERROR(VLOOKUP($A242,ATUAL_LIV_E_DIR!$A:$P,MATCH(APENDICE_BCB!L$3,ATUAL_LIV_E_DIR!$1:$1,0),0),0)</f>
        <v>742741</v>
      </c>
      <c r="M242" s="9">
        <f>IFERROR(VLOOKUP($A242,ATUAL_LIV_E_DIR!$A:$P,MATCH(APENDICE_BCB!M$3,ATUAL_LIV_E_DIR!$1:$1,0),0),0)</f>
        <v>829030</v>
      </c>
      <c r="O242" s="11">
        <f t="shared" si="45"/>
        <v>0</v>
      </c>
      <c r="P242" s="11">
        <f t="shared" si="46"/>
        <v>3125535</v>
      </c>
      <c r="Q242" s="11">
        <f t="shared" si="47"/>
        <v>0</v>
      </c>
      <c r="R242" s="11">
        <f t="shared" si="48"/>
        <v>1578740</v>
      </c>
      <c r="S242" s="11"/>
      <c r="T242" s="11">
        <f t="shared" si="50"/>
        <v>1546795</v>
      </c>
      <c r="V242" s="7">
        <f t="shared" si="51"/>
        <v>0</v>
      </c>
      <c r="W242">
        <f t="shared" si="52"/>
        <v>0.49488967488765923</v>
      </c>
      <c r="Y242" s="8"/>
      <c r="Z242" s="8">
        <f t="shared" si="54"/>
        <v>-3.7323672035260991E-4</v>
      </c>
      <c r="AE242" s="1">
        <f t="shared" si="43"/>
        <v>42583</v>
      </c>
      <c r="AF242" s="11">
        <f t="shared" si="44"/>
        <v>1546795</v>
      </c>
    </row>
    <row r="243" spans="1:32" x14ac:dyDescent="0.25">
      <c r="A243" s="1">
        <v>42614</v>
      </c>
      <c r="B243" s="9">
        <f>IFERROR(VLOOKUP($A243,ANTIGA_LIVRES!$A:$P,MATCH(APENDICE_BCB!B$3,ANTIGA_LIVRES!$1:$1,0),0)/1000,0)</f>
        <v>0</v>
      </c>
      <c r="C243" s="9">
        <f>IFERROR(VLOOKUP($A243,ANTIGA_LIVRES!$A:$P,MATCH(APENDICE_BCB!C$3,ANTIGA_LIVRES!$1:$1,0),0)/1000,0)</f>
        <v>0</v>
      </c>
      <c r="D243" s="9">
        <f>IFERROR(VLOOKUP($A243,ANTIGA_LIVRES!$A:$P,MATCH(APENDICE_BCB!D$3,ANTIGA_LIVRES!$1:$1,0),0)/1000,0)</f>
        <v>0</v>
      </c>
      <c r="E243" s="9">
        <f>IFERROR(VLOOKUP($A243,ANTIGA_DIRECIONADOS!$A:$P,MATCH(APENDICE_BCB!E$3,ANTIGA_DIRECIONADOS!$1:$1,0),0),0)</f>
        <v>0</v>
      </c>
      <c r="F243" s="9">
        <f>IFERROR(VLOOKUP($A243,ANTIGA_DIRECIONADOS!$A:$P,MATCH(APENDICE_BCB!F$3,ANTIGA_DIRECIONADOS!$1:$1,0),0),0)</f>
        <v>0</v>
      </c>
      <c r="G243" s="9">
        <f>IFERROR(VLOOKUP($A243,ANTIGA_DIRECIONADOS!$A:$P,MATCH(APENDICE_BCB!G$3,ANTIGA_DIRECIONADOS!$1:$1,0),0),0)</f>
        <v>0</v>
      </c>
      <c r="H243" s="9">
        <f>IFERROR(VLOOKUP($A243,ATUAL_LIV_E_DIR!$A:$P,MATCH(APENDICE_BCB!H$3,ATUAL_LIV_E_DIR!$1:$1,0),0),0)</f>
        <v>1552336</v>
      </c>
      <c r="I243" s="9">
        <f>IFERROR(VLOOKUP($A243,ATUAL_LIV_E_DIR!$A:$P,MATCH(APENDICE_BCB!I$3,ATUAL_LIV_E_DIR!$1:$1,0),0),0)</f>
        <v>749599</v>
      </c>
      <c r="J243" s="9">
        <f>IFERROR(VLOOKUP($A243,ATUAL_LIV_E_DIR!$A:$P,MATCH(APENDICE_BCB!J$3,ATUAL_LIV_E_DIR!$1:$1,0),0),0)</f>
        <v>802737</v>
      </c>
      <c r="K243" s="9">
        <f>IFERROR(VLOOKUP($A243,ATUAL_LIV_E_DIR!$A:$P,MATCH(APENDICE_BCB!K$3,ATUAL_LIV_E_DIR!$1:$1,0),0),0)</f>
        <v>1569624</v>
      </c>
      <c r="L243" s="9">
        <f>IFERROR(VLOOKUP($A243,ATUAL_LIV_E_DIR!$A:$P,MATCH(APENDICE_BCB!L$3,ATUAL_LIV_E_DIR!$1:$1,0),0),0)</f>
        <v>747471</v>
      </c>
      <c r="M243" s="9">
        <f>IFERROR(VLOOKUP($A243,ATUAL_LIV_E_DIR!$A:$P,MATCH(APENDICE_BCB!M$3,ATUAL_LIV_E_DIR!$1:$1,0),0),0)</f>
        <v>822153</v>
      </c>
      <c r="O243" s="11">
        <f t="shared" si="45"/>
        <v>0</v>
      </c>
      <c r="P243" s="11">
        <f t="shared" si="46"/>
        <v>3121960</v>
      </c>
      <c r="Q243" s="11">
        <f t="shared" si="47"/>
        <v>0</v>
      </c>
      <c r="R243" s="11">
        <f t="shared" si="48"/>
        <v>1571752</v>
      </c>
      <c r="S243" s="11"/>
      <c r="T243" s="11">
        <f t="shared" si="50"/>
        <v>1550208</v>
      </c>
      <c r="V243" s="7">
        <f t="shared" si="51"/>
        <v>0</v>
      </c>
      <c r="W243">
        <f t="shared" si="52"/>
        <v>0.49654960345424026</v>
      </c>
      <c r="Y243" s="8"/>
      <c r="Z243" s="8">
        <f t="shared" si="54"/>
        <v>-1.1438041807242394E-3</v>
      </c>
      <c r="AE243" s="1">
        <f t="shared" si="43"/>
        <v>42614</v>
      </c>
      <c r="AF243" s="11">
        <f t="shared" si="44"/>
        <v>1550208</v>
      </c>
    </row>
    <row r="244" spans="1:32" x14ac:dyDescent="0.25">
      <c r="A244" s="1">
        <v>42644</v>
      </c>
      <c r="B244" s="9">
        <f>IFERROR(VLOOKUP($A244,ANTIGA_LIVRES!$A:$P,MATCH(APENDICE_BCB!B$3,ANTIGA_LIVRES!$1:$1,0),0)/1000,0)</f>
        <v>0</v>
      </c>
      <c r="C244" s="9">
        <f>IFERROR(VLOOKUP($A244,ANTIGA_LIVRES!$A:$P,MATCH(APENDICE_BCB!C$3,ANTIGA_LIVRES!$1:$1,0),0)/1000,0)</f>
        <v>0</v>
      </c>
      <c r="D244" s="9">
        <f>IFERROR(VLOOKUP($A244,ANTIGA_LIVRES!$A:$P,MATCH(APENDICE_BCB!D$3,ANTIGA_LIVRES!$1:$1,0),0)/1000,0)</f>
        <v>0</v>
      </c>
      <c r="E244" s="9">
        <f>IFERROR(VLOOKUP($A244,ANTIGA_DIRECIONADOS!$A:$P,MATCH(APENDICE_BCB!E$3,ANTIGA_DIRECIONADOS!$1:$1,0),0),0)</f>
        <v>0</v>
      </c>
      <c r="F244" s="9">
        <f>IFERROR(VLOOKUP($A244,ANTIGA_DIRECIONADOS!$A:$P,MATCH(APENDICE_BCB!F$3,ANTIGA_DIRECIONADOS!$1:$1,0),0),0)</f>
        <v>0</v>
      </c>
      <c r="G244" s="9">
        <f>IFERROR(VLOOKUP($A244,ANTIGA_DIRECIONADOS!$A:$P,MATCH(APENDICE_BCB!G$3,ANTIGA_DIRECIONADOS!$1:$1,0),0),0)</f>
        <v>0</v>
      </c>
      <c r="H244" s="9">
        <f>IFERROR(VLOOKUP($A244,ATUAL_LIV_E_DIR!$A:$P,MATCH(APENDICE_BCB!H$3,ATUAL_LIV_E_DIR!$1:$1,0),0),0)</f>
        <v>1547357</v>
      </c>
      <c r="I244" s="9">
        <f>IFERROR(VLOOKUP($A244,ATUAL_LIV_E_DIR!$A:$P,MATCH(APENDICE_BCB!I$3,ATUAL_LIV_E_DIR!$1:$1,0),0),0)</f>
        <v>743078</v>
      </c>
      <c r="J244" s="9">
        <f>IFERROR(VLOOKUP($A244,ATUAL_LIV_E_DIR!$A:$P,MATCH(APENDICE_BCB!J$3,ATUAL_LIV_E_DIR!$1:$1,0),0),0)</f>
        <v>804279</v>
      </c>
      <c r="K244" s="9">
        <f>IFERROR(VLOOKUP($A244,ATUAL_LIV_E_DIR!$A:$P,MATCH(APENDICE_BCB!K$3,ATUAL_LIV_E_DIR!$1:$1,0),0),0)</f>
        <v>1558168</v>
      </c>
      <c r="L244" s="9">
        <f>IFERROR(VLOOKUP($A244,ATUAL_LIV_E_DIR!$A:$P,MATCH(APENDICE_BCB!L$3,ATUAL_LIV_E_DIR!$1:$1,0),0),0)</f>
        <v>743665</v>
      </c>
      <c r="M244" s="9">
        <f>IFERROR(VLOOKUP($A244,ATUAL_LIV_E_DIR!$A:$P,MATCH(APENDICE_BCB!M$3,ATUAL_LIV_E_DIR!$1:$1,0),0),0)</f>
        <v>814503</v>
      </c>
      <c r="O244" s="11">
        <f t="shared" si="45"/>
        <v>0</v>
      </c>
      <c r="P244" s="11">
        <f t="shared" si="46"/>
        <v>3105525</v>
      </c>
      <c r="Q244" s="11">
        <f t="shared" si="47"/>
        <v>0</v>
      </c>
      <c r="R244" s="11">
        <f t="shared" si="48"/>
        <v>1557581</v>
      </c>
      <c r="S244" s="11"/>
      <c r="T244" s="11">
        <f t="shared" si="50"/>
        <v>1547944</v>
      </c>
      <c r="V244" s="7">
        <f t="shared" si="51"/>
        <v>0</v>
      </c>
      <c r="W244">
        <f t="shared" si="52"/>
        <v>0.49844841049419986</v>
      </c>
      <c r="Y244" s="8"/>
      <c r="Z244" s="8">
        <f t="shared" si="54"/>
        <v>-5.2643211315968053E-3</v>
      </c>
      <c r="AE244" s="1">
        <f t="shared" si="43"/>
        <v>42644</v>
      </c>
      <c r="AF244" s="11">
        <f t="shared" si="44"/>
        <v>1547944</v>
      </c>
    </row>
    <row r="245" spans="1:32" x14ac:dyDescent="0.25">
      <c r="A245" s="1">
        <v>42675</v>
      </c>
      <c r="B245" s="9">
        <f>IFERROR(VLOOKUP($A245,ANTIGA_LIVRES!$A:$P,MATCH(APENDICE_BCB!B$3,ANTIGA_LIVRES!$1:$1,0),0)/1000,0)</f>
        <v>0</v>
      </c>
      <c r="C245" s="9">
        <f>IFERROR(VLOOKUP($A245,ANTIGA_LIVRES!$A:$P,MATCH(APENDICE_BCB!C$3,ANTIGA_LIVRES!$1:$1,0),0)/1000,0)</f>
        <v>0</v>
      </c>
      <c r="D245" s="9">
        <f>IFERROR(VLOOKUP($A245,ANTIGA_LIVRES!$A:$P,MATCH(APENDICE_BCB!D$3,ANTIGA_LIVRES!$1:$1,0),0)/1000,0)</f>
        <v>0</v>
      </c>
      <c r="E245" s="9">
        <f>IFERROR(VLOOKUP($A245,ANTIGA_DIRECIONADOS!$A:$P,MATCH(APENDICE_BCB!E$3,ANTIGA_DIRECIONADOS!$1:$1,0),0),0)</f>
        <v>0</v>
      </c>
      <c r="F245" s="9">
        <f>IFERROR(VLOOKUP($A245,ANTIGA_DIRECIONADOS!$A:$P,MATCH(APENDICE_BCB!F$3,ANTIGA_DIRECIONADOS!$1:$1,0),0),0)</f>
        <v>0</v>
      </c>
      <c r="G245" s="9">
        <f>IFERROR(VLOOKUP($A245,ANTIGA_DIRECIONADOS!$A:$P,MATCH(APENDICE_BCB!G$3,ANTIGA_DIRECIONADOS!$1:$1,0),0),0)</f>
        <v>0</v>
      </c>
      <c r="H245" s="9">
        <f>IFERROR(VLOOKUP($A245,ATUAL_LIV_E_DIR!$A:$P,MATCH(APENDICE_BCB!H$3,ATUAL_LIV_E_DIR!$1:$1,0),0),0)</f>
        <v>1552006</v>
      </c>
      <c r="I245" s="9">
        <f>IFERROR(VLOOKUP($A245,ATUAL_LIV_E_DIR!$A:$P,MATCH(APENDICE_BCB!I$3,ATUAL_LIV_E_DIR!$1:$1,0),0),0)</f>
        <v>741864</v>
      </c>
      <c r="J245" s="9">
        <f>IFERROR(VLOOKUP($A245,ATUAL_LIV_E_DIR!$A:$P,MATCH(APENDICE_BCB!J$3,ATUAL_LIV_E_DIR!$1:$1,0),0),0)</f>
        <v>810142</v>
      </c>
      <c r="K245" s="9">
        <f>IFERROR(VLOOKUP($A245,ATUAL_LIV_E_DIR!$A:$P,MATCH(APENDICE_BCB!K$3,ATUAL_LIV_E_DIR!$1:$1,0),0),0)</f>
        <v>1562582</v>
      </c>
      <c r="L245" s="9">
        <f>IFERROR(VLOOKUP($A245,ATUAL_LIV_E_DIR!$A:$P,MATCH(APENDICE_BCB!L$3,ATUAL_LIV_E_DIR!$1:$1,0),0),0)</f>
        <v>748139</v>
      </c>
      <c r="M245" s="9">
        <f>IFERROR(VLOOKUP($A245,ATUAL_LIV_E_DIR!$A:$P,MATCH(APENDICE_BCB!M$3,ATUAL_LIV_E_DIR!$1:$1,0),0),0)</f>
        <v>814443</v>
      </c>
      <c r="O245" s="11">
        <f t="shared" si="45"/>
        <v>0</v>
      </c>
      <c r="P245" s="11">
        <f t="shared" si="46"/>
        <v>3114588</v>
      </c>
      <c r="Q245" s="11">
        <f t="shared" si="47"/>
        <v>0</v>
      </c>
      <c r="R245" s="11">
        <f t="shared" si="48"/>
        <v>1556307</v>
      </c>
      <c r="S245" s="11"/>
      <c r="T245" s="11">
        <f t="shared" si="50"/>
        <v>1558281</v>
      </c>
      <c r="V245" s="7">
        <f t="shared" si="51"/>
        <v>0</v>
      </c>
      <c r="W245">
        <f t="shared" si="52"/>
        <v>0.50031689584625638</v>
      </c>
      <c r="Y245" s="8"/>
      <c r="Z245" s="8">
        <f t="shared" si="54"/>
        <v>2.9183471393725569E-3</v>
      </c>
      <c r="AE245" s="1">
        <f t="shared" si="43"/>
        <v>42675</v>
      </c>
      <c r="AF245" s="11">
        <f t="shared" si="44"/>
        <v>1558281</v>
      </c>
    </row>
    <row r="246" spans="1:32" x14ac:dyDescent="0.25">
      <c r="A246" s="1">
        <v>42705</v>
      </c>
      <c r="B246" s="9">
        <f>IFERROR(VLOOKUP($A246,ANTIGA_LIVRES!$A:$P,MATCH(APENDICE_BCB!B$3,ANTIGA_LIVRES!$1:$1,0),0)/1000,0)</f>
        <v>0</v>
      </c>
      <c r="C246" s="9">
        <f>IFERROR(VLOOKUP($A246,ANTIGA_LIVRES!$A:$P,MATCH(APENDICE_BCB!C$3,ANTIGA_LIVRES!$1:$1,0),0)/1000,0)</f>
        <v>0</v>
      </c>
      <c r="D246" s="9">
        <f>IFERROR(VLOOKUP($A246,ANTIGA_LIVRES!$A:$P,MATCH(APENDICE_BCB!D$3,ANTIGA_LIVRES!$1:$1,0),0)/1000,0)</f>
        <v>0</v>
      </c>
      <c r="E246" s="9">
        <f>IFERROR(VLOOKUP($A246,ANTIGA_DIRECIONADOS!$A:$P,MATCH(APENDICE_BCB!E$3,ANTIGA_DIRECIONADOS!$1:$1,0),0),0)</f>
        <v>0</v>
      </c>
      <c r="F246" s="9">
        <f>IFERROR(VLOOKUP($A246,ANTIGA_DIRECIONADOS!$A:$P,MATCH(APENDICE_BCB!F$3,ANTIGA_DIRECIONADOS!$1:$1,0),0),0)</f>
        <v>0</v>
      </c>
      <c r="G246" s="9">
        <f>IFERROR(VLOOKUP($A246,ANTIGA_DIRECIONADOS!$A:$P,MATCH(APENDICE_BCB!G$3,ANTIGA_DIRECIONADOS!$1:$1,0),0),0)</f>
        <v>0</v>
      </c>
      <c r="H246" s="9">
        <f>IFERROR(VLOOKUP($A246,ATUAL_LIV_E_DIR!$A:$P,MATCH(APENDICE_BCB!H$3,ATUAL_LIV_E_DIR!$1:$1,0),0),0)</f>
        <v>1561579</v>
      </c>
      <c r="I246" s="9">
        <f>IFERROR(VLOOKUP($A246,ATUAL_LIV_E_DIR!$A:$P,MATCH(APENDICE_BCB!I$3,ATUAL_LIV_E_DIR!$1:$1,0),0),0)</f>
        <v>750926</v>
      </c>
      <c r="J246" s="9">
        <f>IFERROR(VLOOKUP($A246,ATUAL_LIV_E_DIR!$A:$P,MATCH(APENDICE_BCB!J$3,ATUAL_LIV_E_DIR!$1:$1,0),0),0)</f>
        <v>810652</v>
      </c>
      <c r="K246" s="9">
        <f>IFERROR(VLOOKUP($A246,ATUAL_LIV_E_DIR!$A:$P,MATCH(APENDICE_BCB!K$3,ATUAL_LIV_E_DIR!$1:$1,0),0),0)</f>
        <v>1556230</v>
      </c>
      <c r="L246" s="9">
        <f>IFERROR(VLOOKUP($A246,ATUAL_LIV_E_DIR!$A:$P,MATCH(APENDICE_BCB!L$3,ATUAL_LIV_E_DIR!$1:$1,0),0),0)</f>
        <v>758511</v>
      </c>
      <c r="M246" s="9">
        <f>IFERROR(VLOOKUP($A246,ATUAL_LIV_E_DIR!$A:$P,MATCH(APENDICE_BCB!M$3,ATUAL_LIV_E_DIR!$1:$1,0),0),0)</f>
        <v>797719</v>
      </c>
      <c r="O246" s="11">
        <f t="shared" si="45"/>
        <v>0</v>
      </c>
      <c r="P246" s="11">
        <f t="shared" si="46"/>
        <v>3117809</v>
      </c>
      <c r="Q246" s="11">
        <f t="shared" si="47"/>
        <v>0</v>
      </c>
      <c r="R246" s="11">
        <f t="shared" si="48"/>
        <v>1548645</v>
      </c>
      <c r="S246" s="11"/>
      <c r="T246" s="11">
        <f t="shared" si="50"/>
        <v>1569163</v>
      </c>
      <c r="V246" s="7">
        <f t="shared" si="51"/>
        <v>0</v>
      </c>
      <c r="W246">
        <f t="shared" si="52"/>
        <v>0.50329029135524339</v>
      </c>
      <c r="Y246" s="8"/>
      <c r="Z246" s="8">
        <f t="shared" si="54"/>
        <v>1.0341656745611605E-3</v>
      </c>
      <c r="AE246" s="1">
        <f t="shared" si="43"/>
        <v>42705</v>
      </c>
      <c r="AF246" s="11">
        <f t="shared" si="44"/>
        <v>1569163</v>
      </c>
    </row>
    <row r="247" spans="1:32" x14ac:dyDescent="0.25">
      <c r="A247" s="1">
        <v>42736</v>
      </c>
      <c r="B247" s="9">
        <f>IFERROR(VLOOKUP($A247,ANTIGA_LIVRES!$A:$P,MATCH(APENDICE_BCB!B$3,ANTIGA_LIVRES!$1:$1,0),0)/1000,0)</f>
        <v>0</v>
      </c>
      <c r="C247" s="9">
        <f>IFERROR(VLOOKUP($A247,ANTIGA_LIVRES!$A:$P,MATCH(APENDICE_BCB!C$3,ANTIGA_LIVRES!$1:$1,0),0)/1000,0)</f>
        <v>0</v>
      </c>
      <c r="D247" s="9">
        <f>IFERROR(VLOOKUP($A247,ANTIGA_LIVRES!$A:$P,MATCH(APENDICE_BCB!D$3,ANTIGA_LIVRES!$1:$1,0),0)/1000,0)</f>
        <v>0</v>
      </c>
      <c r="E247" s="9">
        <f>IFERROR(VLOOKUP($A247,ANTIGA_DIRECIONADOS!$A:$P,MATCH(APENDICE_BCB!E$3,ANTIGA_DIRECIONADOS!$1:$1,0),0),0)</f>
        <v>0</v>
      </c>
      <c r="F247" s="9">
        <f>IFERROR(VLOOKUP($A247,ANTIGA_DIRECIONADOS!$A:$P,MATCH(APENDICE_BCB!F$3,ANTIGA_DIRECIONADOS!$1:$1,0),0),0)</f>
        <v>0</v>
      </c>
      <c r="G247" s="9">
        <f>IFERROR(VLOOKUP($A247,ANTIGA_DIRECIONADOS!$A:$P,MATCH(APENDICE_BCB!G$3,ANTIGA_DIRECIONADOS!$1:$1,0),0),0)</f>
        <v>0</v>
      </c>
      <c r="H247" s="9">
        <f>IFERROR(VLOOKUP($A247,ATUAL_LIV_E_DIR!$A:$P,MATCH(APENDICE_BCB!H$3,ATUAL_LIV_E_DIR!$1:$1,0),0),0)</f>
        <v>1537976</v>
      </c>
      <c r="I247" s="9">
        <f>IFERROR(VLOOKUP($A247,ATUAL_LIV_E_DIR!$A:$P,MATCH(APENDICE_BCB!I$3,ATUAL_LIV_E_DIR!$1:$1,0),0),0)</f>
        <v>726796</v>
      </c>
      <c r="J247" s="9">
        <f>IFERROR(VLOOKUP($A247,ATUAL_LIV_E_DIR!$A:$P,MATCH(APENDICE_BCB!J$3,ATUAL_LIV_E_DIR!$1:$1,0),0),0)</f>
        <v>811179</v>
      </c>
      <c r="K247" s="9">
        <f>IFERROR(VLOOKUP($A247,ATUAL_LIV_E_DIR!$A:$P,MATCH(APENDICE_BCB!K$3,ATUAL_LIV_E_DIR!$1:$1,0),0),0)</f>
        <v>1548141</v>
      </c>
      <c r="L247" s="9">
        <f>IFERROR(VLOOKUP($A247,ATUAL_LIV_E_DIR!$A:$P,MATCH(APENDICE_BCB!L$3,ATUAL_LIV_E_DIR!$1:$1,0),0),0)</f>
        <v>763351</v>
      </c>
      <c r="M247" s="9">
        <f>IFERROR(VLOOKUP($A247,ATUAL_LIV_E_DIR!$A:$P,MATCH(APENDICE_BCB!M$3,ATUAL_LIV_E_DIR!$1:$1,0),0),0)</f>
        <v>784790</v>
      </c>
      <c r="O247" s="11">
        <f t="shared" si="45"/>
        <v>0</v>
      </c>
      <c r="P247" s="11">
        <f t="shared" si="46"/>
        <v>3086117</v>
      </c>
      <c r="Q247" s="11">
        <f t="shared" si="47"/>
        <v>0</v>
      </c>
      <c r="R247" s="11">
        <f t="shared" si="48"/>
        <v>1511586</v>
      </c>
      <c r="S247" s="11"/>
      <c r="T247" s="11">
        <f t="shared" si="50"/>
        <v>1574530</v>
      </c>
      <c r="V247" s="7">
        <f t="shared" si="51"/>
        <v>0</v>
      </c>
      <c r="W247">
        <f t="shared" si="52"/>
        <v>0.51019776631929381</v>
      </c>
      <c r="Y247" s="8"/>
      <c r="Z247" s="8">
        <f t="shared" si="54"/>
        <v>-1.0164830494748034E-2</v>
      </c>
      <c r="AE247" s="1">
        <f t="shared" si="43"/>
        <v>42736</v>
      </c>
      <c r="AF247" s="11">
        <f t="shared" si="44"/>
        <v>1574530</v>
      </c>
    </row>
    <row r="248" spans="1:32" x14ac:dyDescent="0.25">
      <c r="A248" s="1">
        <v>42767</v>
      </c>
      <c r="B248" s="9">
        <f>IFERROR(VLOOKUP($A248,ANTIGA_LIVRES!$A:$P,MATCH(APENDICE_BCB!B$3,ANTIGA_LIVRES!$1:$1,0),0)/1000,0)</f>
        <v>0</v>
      </c>
      <c r="C248" s="9">
        <f>IFERROR(VLOOKUP($A248,ANTIGA_LIVRES!$A:$P,MATCH(APENDICE_BCB!C$3,ANTIGA_LIVRES!$1:$1,0),0)/1000,0)</f>
        <v>0</v>
      </c>
      <c r="D248" s="9">
        <f>IFERROR(VLOOKUP($A248,ANTIGA_LIVRES!$A:$P,MATCH(APENDICE_BCB!D$3,ANTIGA_LIVRES!$1:$1,0),0)/1000,0)</f>
        <v>0</v>
      </c>
      <c r="E248" s="9">
        <f>IFERROR(VLOOKUP($A248,ANTIGA_DIRECIONADOS!$A:$P,MATCH(APENDICE_BCB!E$3,ANTIGA_DIRECIONADOS!$1:$1,0),0),0)</f>
        <v>0</v>
      </c>
      <c r="F248" s="9">
        <f>IFERROR(VLOOKUP($A248,ANTIGA_DIRECIONADOS!$A:$P,MATCH(APENDICE_BCB!F$3,ANTIGA_DIRECIONADOS!$1:$1,0),0),0)</f>
        <v>0</v>
      </c>
      <c r="G248" s="9">
        <f>IFERROR(VLOOKUP($A248,ANTIGA_DIRECIONADOS!$A:$P,MATCH(APENDICE_BCB!G$3,ANTIGA_DIRECIONADOS!$1:$1,0),0),0)</f>
        <v>0</v>
      </c>
      <c r="H248" s="9">
        <f>IFERROR(VLOOKUP($A248,ATUAL_LIV_E_DIR!$A:$P,MATCH(APENDICE_BCB!H$3,ATUAL_LIV_E_DIR!$1:$1,0),0),0)</f>
        <v>1535492</v>
      </c>
      <c r="I248" s="9">
        <f>IFERROR(VLOOKUP($A248,ATUAL_LIV_E_DIR!$A:$P,MATCH(APENDICE_BCB!I$3,ATUAL_LIV_E_DIR!$1:$1,0),0),0)</f>
        <v>728087</v>
      </c>
      <c r="J248" s="9">
        <f>IFERROR(VLOOKUP($A248,ATUAL_LIV_E_DIR!$A:$P,MATCH(APENDICE_BCB!J$3,ATUAL_LIV_E_DIR!$1:$1,0),0),0)</f>
        <v>807406</v>
      </c>
      <c r="K248" s="9">
        <f>IFERROR(VLOOKUP($A248,ATUAL_LIV_E_DIR!$A:$P,MATCH(APENDICE_BCB!K$3,ATUAL_LIV_E_DIR!$1:$1,0),0),0)</f>
        <v>1547546</v>
      </c>
      <c r="L248" s="9">
        <f>IFERROR(VLOOKUP($A248,ATUAL_LIV_E_DIR!$A:$P,MATCH(APENDICE_BCB!L$3,ATUAL_LIV_E_DIR!$1:$1,0),0),0)</f>
        <v>768106</v>
      </c>
      <c r="M248" s="9">
        <f>IFERROR(VLOOKUP($A248,ATUAL_LIV_E_DIR!$A:$P,MATCH(APENDICE_BCB!M$3,ATUAL_LIV_E_DIR!$1:$1,0),0),0)</f>
        <v>779440</v>
      </c>
      <c r="O248" s="11">
        <f t="shared" si="45"/>
        <v>0</v>
      </c>
      <c r="P248" s="11">
        <f t="shared" si="46"/>
        <v>3083038</v>
      </c>
      <c r="Q248" s="11">
        <f t="shared" si="47"/>
        <v>0</v>
      </c>
      <c r="R248" s="11">
        <f t="shared" si="48"/>
        <v>1507527</v>
      </c>
      <c r="S248" s="11"/>
      <c r="T248" s="11">
        <f t="shared" si="50"/>
        <v>1575512</v>
      </c>
      <c r="V248" s="7">
        <f t="shared" si="51"/>
        <v>0</v>
      </c>
      <c r="W248">
        <f t="shared" si="52"/>
        <v>0.51102581285083093</v>
      </c>
      <c r="Y248" s="8"/>
      <c r="Z248" s="8">
        <f t="shared" si="54"/>
        <v>-9.9769386578663077E-4</v>
      </c>
      <c r="AE248" s="1">
        <f t="shared" si="43"/>
        <v>42767</v>
      </c>
      <c r="AF248" s="11">
        <f t="shared" si="44"/>
        <v>1575512</v>
      </c>
    </row>
    <row r="249" spans="1:32" x14ac:dyDescent="0.25">
      <c r="A249" s="1">
        <v>42795</v>
      </c>
      <c r="B249" s="9">
        <f>IFERROR(VLOOKUP($A249,ANTIGA_LIVRES!$A:$P,MATCH(APENDICE_BCB!B$3,ANTIGA_LIVRES!$1:$1,0),0)/1000,0)</f>
        <v>0</v>
      </c>
      <c r="C249" s="9">
        <f>IFERROR(VLOOKUP($A249,ANTIGA_LIVRES!$A:$P,MATCH(APENDICE_BCB!C$3,ANTIGA_LIVRES!$1:$1,0),0)/1000,0)</f>
        <v>0</v>
      </c>
      <c r="D249" s="9">
        <f>IFERROR(VLOOKUP($A249,ANTIGA_LIVRES!$A:$P,MATCH(APENDICE_BCB!D$3,ANTIGA_LIVRES!$1:$1,0),0)/1000,0)</f>
        <v>0</v>
      </c>
      <c r="E249" s="9">
        <f>IFERROR(VLOOKUP($A249,ANTIGA_DIRECIONADOS!$A:$P,MATCH(APENDICE_BCB!E$3,ANTIGA_DIRECIONADOS!$1:$1,0),0),0)</f>
        <v>0</v>
      </c>
      <c r="F249" s="9">
        <f>IFERROR(VLOOKUP($A249,ANTIGA_DIRECIONADOS!$A:$P,MATCH(APENDICE_BCB!F$3,ANTIGA_DIRECIONADOS!$1:$1,0),0),0)</f>
        <v>0</v>
      </c>
      <c r="G249" s="9">
        <f>IFERROR(VLOOKUP($A249,ANTIGA_DIRECIONADOS!$A:$P,MATCH(APENDICE_BCB!G$3,ANTIGA_DIRECIONADOS!$1:$1,0),0),0)</f>
        <v>0</v>
      </c>
      <c r="H249" s="9">
        <f>IFERROR(VLOOKUP($A249,ATUAL_LIV_E_DIR!$A:$P,MATCH(APENDICE_BCB!H$3,ATUAL_LIV_E_DIR!$1:$1,0),0),0)</f>
        <v>1540450</v>
      </c>
      <c r="I249" s="9">
        <f>IFERROR(VLOOKUP($A249,ATUAL_LIV_E_DIR!$A:$P,MATCH(APENDICE_BCB!I$3,ATUAL_LIV_E_DIR!$1:$1,0),0),0)</f>
        <v>728475</v>
      </c>
      <c r="J249" s="9">
        <f>IFERROR(VLOOKUP($A249,ATUAL_LIV_E_DIR!$A:$P,MATCH(APENDICE_BCB!J$3,ATUAL_LIV_E_DIR!$1:$1,0),0),0)</f>
        <v>811975</v>
      </c>
      <c r="K249" s="9">
        <f>IFERROR(VLOOKUP($A249,ATUAL_LIV_E_DIR!$A:$P,MATCH(APENDICE_BCB!K$3,ATUAL_LIV_E_DIR!$1:$1,0),0),0)</f>
        <v>1550004</v>
      </c>
      <c r="L249" s="9">
        <f>IFERROR(VLOOKUP($A249,ATUAL_LIV_E_DIR!$A:$P,MATCH(APENDICE_BCB!L$3,ATUAL_LIV_E_DIR!$1:$1,0),0),0)</f>
        <v>772692</v>
      </c>
      <c r="M249" s="9">
        <f>IFERROR(VLOOKUP($A249,ATUAL_LIV_E_DIR!$A:$P,MATCH(APENDICE_BCB!M$3,ATUAL_LIV_E_DIR!$1:$1,0),0),0)</f>
        <v>777312</v>
      </c>
      <c r="O249" s="11">
        <f t="shared" si="45"/>
        <v>0</v>
      </c>
      <c r="P249" s="11">
        <f t="shared" si="46"/>
        <v>3090454</v>
      </c>
      <c r="Q249" s="11">
        <f t="shared" si="47"/>
        <v>0</v>
      </c>
      <c r="R249" s="11">
        <f t="shared" si="48"/>
        <v>1505787</v>
      </c>
      <c r="S249" s="11"/>
      <c r="T249" s="11">
        <f t="shared" si="50"/>
        <v>1584667</v>
      </c>
      <c r="V249" s="7">
        <f t="shared" si="51"/>
        <v>0</v>
      </c>
      <c r="W249">
        <f t="shared" si="52"/>
        <v>0.51276187899900794</v>
      </c>
      <c r="Y249" s="8"/>
      <c r="Z249" s="8">
        <f t="shared" si="54"/>
        <v>2.4054195893790098E-3</v>
      </c>
      <c r="AE249" s="1">
        <f t="shared" si="43"/>
        <v>42795</v>
      </c>
      <c r="AF249" s="11">
        <f t="shared" si="44"/>
        <v>1584667</v>
      </c>
    </row>
    <row r="250" spans="1:32" x14ac:dyDescent="0.25">
      <c r="A250" s="1">
        <v>42826</v>
      </c>
      <c r="B250" s="9">
        <f>IFERROR(VLOOKUP($A250,ANTIGA_LIVRES!$A:$P,MATCH(APENDICE_BCB!B$3,ANTIGA_LIVRES!$1:$1,0),0)/1000,0)</f>
        <v>0</v>
      </c>
      <c r="C250" s="9">
        <f>IFERROR(VLOOKUP($A250,ANTIGA_LIVRES!$A:$P,MATCH(APENDICE_BCB!C$3,ANTIGA_LIVRES!$1:$1,0),0)/1000,0)</f>
        <v>0</v>
      </c>
      <c r="D250" s="9">
        <f>IFERROR(VLOOKUP($A250,ANTIGA_LIVRES!$A:$P,MATCH(APENDICE_BCB!D$3,ANTIGA_LIVRES!$1:$1,0),0)/1000,0)</f>
        <v>0</v>
      </c>
      <c r="E250" s="9">
        <f>IFERROR(VLOOKUP($A250,ANTIGA_DIRECIONADOS!$A:$P,MATCH(APENDICE_BCB!E$3,ANTIGA_DIRECIONADOS!$1:$1,0),0),0)</f>
        <v>0</v>
      </c>
      <c r="F250" s="9">
        <f>IFERROR(VLOOKUP($A250,ANTIGA_DIRECIONADOS!$A:$P,MATCH(APENDICE_BCB!F$3,ANTIGA_DIRECIONADOS!$1:$1,0),0),0)</f>
        <v>0</v>
      </c>
      <c r="G250" s="9">
        <f>IFERROR(VLOOKUP($A250,ANTIGA_DIRECIONADOS!$A:$P,MATCH(APENDICE_BCB!G$3,ANTIGA_DIRECIONADOS!$1:$1,0),0),0)</f>
        <v>0</v>
      </c>
      <c r="H250" s="9">
        <f>IFERROR(VLOOKUP($A250,ATUAL_LIV_E_DIR!$A:$P,MATCH(APENDICE_BCB!H$3,ATUAL_LIV_E_DIR!$1:$1,0),0),0)</f>
        <v>1530470</v>
      </c>
      <c r="I250" s="9">
        <f>IFERROR(VLOOKUP($A250,ATUAL_LIV_E_DIR!$A:$P,MATCH(APENDICE_BCB!I$3,ATUAL_LIV_E_DIR!$1:$1,0),0),0)</f>
        <v>722007</v>
      </c>
      <c r="J250" s="9">
        <f>IFERROR(VLOOKUP($A250,ATUAL_LIV_E_DIR!$A:$P,MATCH(APENDICE_BCB!J$3,ATUAL_LIV_E_DIR!$1:$1,0),0),0)</f>
        <v>808463</v>
      </c>
      <c r="K250" s="9">
        <f>IFERROR(VLOOKUP($A250,ATUAL_LIV_E_DIR!$A:$P,MATCH(APENDICE_BCB!K$3,ATUAL_LIV_E_DIR!$1:$1,0),0),0)</f>
        <v>1551944</v>
      </c>
      <c r="L250" s="9">
        <f>IFERROR(VLOOKUP($A250,ATUAL_LIV_E_DIR!$A:$P,MATCH(APENDICE_BCB!L$3,ATUAL_LIV_E_DIR!$1:$1,0),0),0)</f>
        <v>777910</v>
      </c>
      <c r="M250" s="9">
        <f>IFERROR(VLOOKUP($A250,ATUAL_LIV_E_DIR!$A:$P,MATCH(APENDICE_BCB!M$3,ATUAL_LIV_E_DIR!$1:$1,0),0),0)</f>
        <v>774034</v>
      </c>
      <c r="O250" s="11">
        <f t="shared" si="45"/>
        <v>0</v>
      </c>
      <c r="P250" s="11">
        <f t="shared" si="46"/>
        <v>3082414</v>
      </c>
      <c r="Q250" s="11">
        <f t="shared" si="47"/>
        <v>0</v>
      </c>
      <c r="R250" s="11">
        <f t="shared" si="48"/>
        <v>1496041</v>
      </c>
      <c r="S250" s="11"/>
      <c r="T250" s="11">
        <f t="shared" si="50"/>
        <v>1586373</v>
      </c>
      <c r="V250" s="7">
        <f t="shared" si="51"/>
        <v>0</v>
      </c>
      <c r="W250">
        <f t="shared" si="52"/>
        <v>0.51465280134336266</v>
      </c>
      <c r="Y250" s="8"/>
      <c r="Z250" s="8">
        <f t="shared" si="54"/>
        <v>-2.6015595119681656E-3</v>
      </c>
      <c r="AE250" s="1">
        <f t="shared" si="43"/>
        <v>42826</v>
      </c>
      <c r="AF250" s="11">
        <f t="shared" si="44"/>
        <v>1586373</v>
      </c>
    </row>
    <row r="251" spans="1:32" x14ac:dyDescent="0.25">
      <c r="A251" s="1">
        <v>42856</v>
      </c>
      <c r="B251" s="9">
        <f>IFERROR(VLOOKUP($A251,ANTIGA_LIVRES!$A:$P,MATCH(APENDICE_BCB!B$3,ANTIGA_LIVRES!$1:$1,0),0)/1000,0)</f>
        <v>0</v>
      </c>
      <c r="C251" s="9">
        <f>IFERROR(VLOOKUP($A251,ANTIGA_LIVRES!$A:$P,MATCH(APENDICE_BCB!C$3,ANTIGA_LIVRES!$1:$1,0),0)/1000,0)</f>
        <v>0</v>
      </c>
      <c r="D251" s="9">
        <f>IFERROR(VLOOKUP($A251,ANTIGA_LIVRES!$A:$P,MATCH(APENDICE_BCB!D$3,ANTIGA_LIVRES!$1:$1,0),0)/1000,0)</f>
        <v>0</v>
      </c>
      <c r="E251" s="9">
        <f>IFERROR(VLOOKUP($A251,ANTIGA_DIRECIONADOS!$A:$P,MATCH(APENDICE_BCB!E$3,ANTIGA_DIRECIONADOS!$1:$1,0),0),0)</f>
        <v>0</v>
      </c>
      <c r="F251" s="9">
        <f>IFERROR(VLOOKUP($A251,ANTIGA_DIRECIONADOS!$A:$P,MATCH(APENDICE_BCB!F$3,ANTIGA_DIRECIONADOS!$1:$1,0),0),0)</f>
        <v>0</v>
      </c>
      <c r="G251" s="9">
        <f>IFERROR(VLOOKUP($A251,ANTIGA_DIRECIONADOS!$A:$P,MATCH(APENDICE_BCB!G$3,ANTIGA_DIRECIONADOS!$1:$1,0),0),0)</f>
        <v>0</v>
      </c>
      <c r="H251" s="9">
        <f>IFERROR(VLOOKUP($A251,ATUAL_LIV_E_DIR!$A:$P,MATCH(APENDICE_BCB!H$3,ATUAL_LIV_E_DIR!$1:$1,0),0),0)</f>
        <v>1526937</v>
      </c>
      <c r="I251" s="9">
        <f>IFERROR(VLOOKUP($A251,ATUAL_LIV_E_DIR!$A:$P,MATCH(APENDICE_BCB!I$3,ATUAL_LIV_E_DIR!$1:$1,0),0),0)</f>
        <v>710441</v>
      </c>
      <c r="J251" s="9">
        <f>IFERROR(VLOOKUP($A251,ATUAL_LIV_E_DIR!$A:$P,MATCH(APENDICE_BCB!J$3,ATUAL_LIV_E_DIR!$1:$1,0),0),0)</f>
        <v>816497</v>
      </c>
      <c r="K251" s="9">
        <f>IFERROR(VLOOKUP($A251,ATUAL_LIV_E_DIR!$A:$P,MATCH(APENDICE_BCB!K$3,ATUAL_LIV_E_DIR!$1:$1,0),0),0)</f>
        <v>1550651</v>
      </c>
      <c r="L251" s="9">
        <f>IFERROR(VLOOKUP($A251,ATUAL_LIV_E_DIR!$A:$P,MATCH(APENDICE_BCB!L$3,ATUAL_LIV_E_DIR!$1:$1,0),0),0)</f>
        <v>780096</v>
      </c>
      <c r="M251" s="9">
        <f>IFERROR(VLOOKUP($A251,ATUAL_LIV_E_DIR!$A:$P,MATCH(APENDICE_BCB!M$3,ATUAL_LIV_E_DIR!$1:$1,0),0),0)</f>
        <v>770555</v>
      </c>
      <c r="O251" s="11">
        <f t="shared" si="45"/>
        <v>0</v>
      </c>
      <c r="P251" s="11">
        <f t="shared" si="46"/>
        <v>3077588</v>
      </c>
      <c r="Q251" s="11">
        <f t="shared" si="47"/>
        <v>0</v>
      </c>
      <c r="R251" s="11">
        <f t="shared" si="48"/>
        <v>1480996</v>
      </c>
      <c r="S251" s="11"/>
      <c r="T251" s="11">
        <f t="shared" si="50"/>
        <v>1596593</v>
      </c>
      <c r="V251" s="7">
        <f t="shared" si="51"/>
        <v>0</v>
      </c>
      <c r="W251">
        <f t="shared" si="52"/>
        <v>0.5187806165087725</v>
      </c>
      <c r="Y251" s="8"/>
      <c r="Z251" s="8">
        <f t="shared" si="54"/>
        <v>-1.5656560085699489E-3</v>
      </c>
      <c r="AE251" s="1">
        <f t="shared" si="43"/>
        <v>42856</v>
      </c>
      <c r="AF251" s="11">
        <f t="shared" si="44"/>
        <v>1596593</v>
      </c>
    </row>
    <row r="252" spans="1:32" x14ac:dyDescent="0.25">
      <c r="A252" s="1">
        <v>42887</v>
      </c>
      <c r="B252" s="9">
        <f>IFERROR(VLOOKUP($A252,ANTIGA_LIVRES!$A:$P,MATCH(APENDICE_BCB!B$3,ANTIGA_LIVRES!$1:$1,0),0)/1000,0)</f>
        <v>0</v>
      </c>
      <c r="C252" s="9">
        <f>IFERROR(VLOOKUP($A252,ANTIGA_LIVRES!$A:$P,MATCH(APENDICE_BCB!C$3,ANTIGA_LIVRES!$1:$1,0),0)/1000,0)</f>
        <v>0</v>
      </c>
      <c r="D252" s="9">
        <f>IFERROR(VLOOKUP($A252,ANTIGA_LIVRES!$A:$P,MATCH(APENDICE_BCB!D$3,ANTIGA_LIVRES!$1:$1,0),0)/1000,0)</f>
        <v>0</v>
      </c>
      <c r="E252" s="9">
        <f>IFERROR(VLOOKUP($A252,ANTIGA_DIRECIONADOS!$A:$P,MATCH(APENDICE_BCB!E$3,ANTIGA_DIRECIONADOS!$1:$1,0),0),0)</f>
        <v>0</v>
      </c>
      <c r="F252" s="9">
        <f>IFERROR(VLOOKUP($A252,ANTIGA_DIRECIONADOS!$A:$P,MATCH(APENDICE_BCB!F$3,ANTIGA_DIRECIONADOS!$1:$1,0),0),0)</f>
        <v>0</v>
      </c>
      <c r="G252" s="9">
        <f>IFERROR(VLOOKUP($A252,ANTIGA_DIRECIONADOS!$A:$P,MATCH(APENDICE_BCB!G$3,ANTIGA_DIRECIONADOS!$1:$1,0),0),0)</f>
        <v>0</v>
      </c>
      <c r="H252" s="9">
        <f>IFERROR(VLOOKUP($A252,ATUAL_LIV_E_DIR!$A:$P,MATCH(APENDICE_BCB!H$3,ATUAL_LIV_E_DIR!$1:$1,0),0),0)</f>
        <v>1537993</v>
      </c>
      <c r="I252" s="9">
        <f>IFERROR(VLOOKUP($A252,ATUAL_LIV_E_DIR!$A:$P,MATCH(APENDICE_BCB!I$3,ATUAL_LIV_E_DIR!$1:$1,0),0),0)</f>
        <v>717715</v>
      </c>
      <c r="J252" s="9">
        <f>IFERROR(VLOOKUP($A252,ATUAL_LIV_E_DIR!$A:$P,MATCH(APENDICE_BCB!J$3,ATUAL_LIV_E_DIR!$1:$1,0),0),0)</f>
        <v>820277</v>
      </c>
      <c r="K252" s="9">
        <f>IFERROR(VLOOKUP($A252,ATUAL_LIV_E_DIR!$A:$P,MATCH(APENDICE_BCB!K$3,ATUAL_LIV_E_DIR!$1:$1,0),0),0)</f>
        <v>1552221</v>
      </c>
      <c r="L252" s="9">
        <f>IFERROR(VLOOKUP($A252,ATUAL_LIV_E_DIR!$A:$P,MATCH(APENDICE_BCB!L$3,ATUAL_LIV_E_DIR!$1:$1,0),0),0)</f>
        <v>784040</v>
      </c>
      <c r="M252" s="9">
        <f>IFERROR(VLOOKUP($A252,ATUAL_LIV_E_DIR!$A:$P,MATCH(APENDICE_BCB!M$3,ATUAL_LIV_E_DIR!$1:$1,0),0),0)</f>
        <v>768180</v>
      </c>
      <c r="O252" s="11">
        <f t="shared" si="45"/>
        <v>0</v>
      </c>
      <c r="P252" s="11">
        <f t="shared" si="46"/>
        <v>3090214</v>
      </c>
      <c r="Q252" s="11">
        <f t="shared" si="47"/>
        <v>0</v>
      </c>
      <c r="R252" s="11">
        <f t="shared" si="48"/>
        <v>1485895</v>
      </c>
      <c r="S252" s="11"/>
      <c r="T252" s="11">
        <f t="shared" si="50"/>
        <v>1604317</v>
      </c>
      <c r="V252" s="7">
        <f t="shared" si="51"/>
        <v>0</v>
      </c>
      <c r="W252">
        <f t="shared" si="52"/>
        <v>0.51916048532561176</v>
      </c>
      <c r="Y252" s="8"/>
      <c r="Z252" s="8">
        <f t="shared" si="54"/>
        <v>4.1025634360414287E-3</v>
      </c>
      <c r="AE252" s="1">
        <f t="shared" si="43"/>
        <v>42887</v>
      </c>
      <c r="AF252" s="11">
        <f t="shared" si="44"/>
        <v>1604317</v>
      </c>
    </row>
    <row r="253" spans="1:32" x14ac:dyDescent="0.25">
      <c r="A253" s="1">
        <v>42917</v>
      </c>
      <c r="B253" s="9">
        <f>IFERROR(VLOOKUP($A253,ANTIGA_LIVRES!$A:$P,MATCH(APENDICE_BCB!B$3,ANTIGA_LIVRES!$1:$1,0),0)/1000,0)</f>
        <v>0</v>
      </c>
      <c r="C253" s="9">
        <f>IFERROR(VLOOKUP($A253,ANTIGA_LIVRES!$A:$P,MATCH(APENDICE_BCB!C$3,ANTIGA_LIVRES!$1:$1,0),0)/1000,0)</f>
        <v>0</v>
      </c>
      <c r="D253" s="9">
        <f>IFERROR(VLOOKUP($A253,ANTIGA_LIVRES!$A:$P,MATCH(APENDICE_BCB!D$3,ANTIGA_LIVRES!$1:$1,0),0)/1000,0)</f>
        <v>0</v>
      </c>
      <c r="E253" s="9">
        <f>IFERROR(VLOOKUP($A253,ANTIGA_DIRECIONADOS!$A:$P,MATCH(APENDICE_BCB!E$3,ANTIGA_DIRECIONADOS!$1:$1,0),0),0)</f>
        <v>0</v>
      </c>
      <c r="F253" s="9">
        <f>IFERROR(VLOOKUP($A253,ANTIGA_DIRECIONADOS!$A:$P,MATCH(APENDICE_BCB!F$3,ANTIGA_DIRECIONADOS!$1:$1,0),0),0)</f>
        <v>0</v>
      </c>
      <c r="G253" s="9">
        <f>IFERROR(VLOOKUP($A253,ANTIGA_DIRECIONADOS!$A:$P,MATCH(APENDICE_BCB!G$3,ANTIGA_DIRECIONADOS!$1:$1,0),0),0)</f>
        <v>0</v>
      </c>
      <c r="H253" s="9">
        <f>IFERROR(VLOOKUP($A253,ATUAL_LIV_E_DIR!$A:$P,MATCH(APENDICE_BCB!H$3,ATUAL_LIV_E_DIR!$1:$1,0),0),0)</f>
        <v>1527105</v>
      </c>
      <c r="I253" s="9">
        <f>IFERROR(VLOOKUP($A253,ATUAL_LIV_E_DIR!$A:$P,MATCH(APENDICE_BCB!I$3,ATUAL_LIV_E_DIR!$1:$1,0),0),0)</f>
        <v>701688</v>
      </c>
      <c r="J253" s="9">
        <f>IFERROR(VLOOKUP($A253,ATUAL_LIV_E_DIR!$A:$P,MATCH(APENDICE_BCB!J$3,ATUAL_LIV_E_DIR!$1:$1,0),0),0)</f>
        <v>825417</v>
      </c>
      <c r="K253" s="9">
        <f>IFERROR(VLOOKUP($A253,ATUAL_LIV_E_DIR!$A:$P,MATCH(APENDICE_BCB!K$3,ATUAL_LIV_E_DIR!$1:$1,0),0),0)</f>
        <v>1537959</v>
      </c>
      <c r="L253" s="9">
        <f>IFERROR(VLOOKUP($A253,ATUAL_LIV_E_DIR!$A:$P,MATCH(APENDICE_BCB!L$3,ATUAL_LIV_E_DIR!$1:$1,0),0),0)</f>
        <v>783590</v>
      </c>
      <c r="M253" s="9">
        <f>IFERROR(VLOOKUP($A253,ATUAL_LIV_E_DIR!$A:$P,MATCH(APENDICE_BCB!M$3,ATUAL_LIV_E_DIR!$1:$1,0),0),0)</f>
        <v>754369</v>
      </c>
      <c r="O253" s="11">
        <f t="shared" si="45"/>
        <v>0</v>
      </c>
      <c r="P253" s="11">
        <f t="shared" si="46"/>
        <v>3065064</v>
      </c>
      <c r="Q253" s="11">
        <f t="shared" si="47"/>
        <v>0</v>
      </c>
      <c r="R253" s="11">
        <f t="shared" si="48"/>
        <v>1456057</v>
      </c>
      <c r="S253" s="11"/>
      <c r="T253" s="11">
        <f t="shared" si="50"/>
        <v>1609007</v>
      </c>
      <c r="V253" s="7">
        <f t="shared" si="51"/>
        <v>0</v>
      </c>
      <c r="W253">
        <f t="shared" si="52"/>
        <v>0.5249505393688354</v>
      </c>
      <c r="Y253" s="8"/>
      <c r="Z253" s="8">
        <f t="shared" si="54"/>
        <v>-8.1385949322603235E-3</v>
      </c>
      <c r="AE253" s="1">
        <f t="shared" si="43"/>
        <v>42917</v>
      </c>
      <c r="AF253" s="11">
        <f t="shared" si="44"/>
        <v>1609007</v>
      </c>
    </row>
    <row r="254" spans="1:32" x14ac:dyDescent="0.25">
      <c r="A254" s="1">
        <v>42948</v>
      </c>
      <c r="B254" s="9">
        <f>IFERROR(VLOOKUP($A254,ANTIGA_LIVRES!$A:$P,MATCH(APENDICE_BCB!B$3,ANTIGA_LIVRES!$1:$1,0),0)/1000,0)</f>
        <v>0</v>
      </c>
      <c r="C254" s="9">
        <f>IFERROR(VLOOKUP($A254,ANTIGA_LIVRES!$A:$P,MATCH(APENDICE_BCB!C$3,ANTIGA_LIVRES!$1:$1,0),0)/1000,0)</f>
        <v>0</v>
      </c>
      <c r="D254" s="9">
        <f>IFERROR(VLOOKUP($A254,ANTIGA_LIVRES!$A:$P,MATCH(APENDICE_BCB!D$3,ANTIGA_LIVRES!$1:$1,0),0)/1000,0)</f>
        <v>0</v>
      </c>
      <c r="E254" s="9">
        <f>IFERROR(VLOOKUP($A254,ANTIGA_DIRECIONADOS!$A:$P,MATCH(APENDICE_BCB!E$3,ANTIGA_DIRECIONADOS!$1:$1,0),0),0)</f>
        <v>0</v>
      </c>
      <c r="F254" s="9">
        <f>IFERROR(VLOOKUP($A254,ANTIGA_DIRECIONADOS!$A:$P,MATCH(APENDICE_BCB!F$3,ANTIGA_DIRECIONADOS!$1:$1,0),0),0)</f>
        <v>0</v>
      </c>
      <c r="G254" s="9">
        <f>IFERROR(VLOOKUP($A254,ANTIGA_DIRECIONADOS!$A:$P,MATCH(APENDICE_BCB!G$3,ANTIGA_DIRECIONADOS!$1:$1,0),0),0)</f>
        <v>0</v>
      </c>
      <c r="H254" s="9">
        <f>IFERROR(VLOOKUP($A254,ATUAL_LIV_E_DIR!$A:$P,MATCH(APENDICE_BCB!H$3,ATUAL_LIV_E_DIR!$1:$1,0),0),0)</f>
        <v>1532015</v>
      </c>
      <c r="I254" s="9">
        <f>IFERROR(VLOOKUP($A254,ATUAL_LIV_E_DIR!$A:$P,MATCH(APENDICE_BCB!I$3,ATUAL_LIV_E_DIR!$1:$1,0),0),0)</f>
        <v>701312</v>
      </c>
      <c r="J254" s="9">
        <f>IFERROR(VLOOKUP($A254,ATUAL_LIV_E_DIR!$A:$P,MATCH(APENDICE_BCB!J$3,ATUAL_LIV_E_DIR!$1:$1,0),0),0)</f>
        <v>830704</v>
      </c>
      <c r="K254" s="9">
        <f>IFERROR(VLOOKUP($A254,ATUAL_LIV_E_DIR!$A:$P,MATCH(APENDICE_BCB!K$3,ATUAL_LIV_E_DIR!$1:$1,0),0),0)</f>
        <v>1531750</v>
      </c>
      <c r="L254" s="9">
        <f>IFERROR(VLOOKUP($A254,ATUAL_LIV_E_DIR!$A:$P,MATCH(APENDICE_BCB!L$3,ATUAL_LIV_E_DIR!$1:$1,0),0),0)</f>
        <v>790104</v>
      </c>
      <c r="M254" s="9">
        <f>IFERROR(VLOOKUP($A254,ATUAL_LIV_E_DIR!$A:$P,MATCH(APENDICE_BCB!M$3,ATUAL_LIV_E_DIR!$1:$1,0),0),0)</f>
        <v>741646</v>
      </c>
      <c r="O254" s="11">
        <f t="shared" si="45"/>
        <v>0</v>
      </c>
      <c r="P254" s="11">
        <f t="shared" si="46"/>
        <v>3063765</v>
      </c>
      <c r="Q254" s="11">
        <f t="shared" si="47"/>
        <v>0</v>
      </c>
      <c r="R254" s="11">
        <f t="shared" si="48"/>
        <v>1442958</v>
      </c>
      <c r="S254" s="11"/>
      <c r="T254" s="11">
        <f t="shared" si="50"/>
        <v>1620808</v>
      </c>
      <c r="V254" s="7">
        <f t="shared" si="51"/>
        <v>0</v>
      </c>
      <c r="W254">
        <f t="shared" si="52"/>
        <v>0.52902490889477494</v>
      </c>
      <c r="Y254" s="8"/>
      <c r="Z254" s="8">
        <f t="shared" si="54"/>
        <v>-4.2380844249911842E-4</v>
      </c>
      <c r="AE254" s="1">
        <f t="shared" si="43"/>
        <v>42948</v>
      </c>
      <c r="AF254" s="11">
        <f t="shared" si="44"/>
        <v>1620808</v>
      </c>
    </row>
    <row r="255" spans="1:32" x14ac:dyDescent="0.25">
      <c r="A255" s="1">
        <v>42979</v>
      </c>
      <c r="B255" s="9">
        <f>IFERROR(VLOOKUP($A255,ANTIGA_LIVRES!$A:$P,MATCH(APENDICE_BCB!B$3,ANTIGA_LIVRES!$1:$1,0),0)/1000,0)</f>
        <v>0</v>
      </c>
      <c r="C255" s="9">
        <f>IFERROR(VLOOKUP($A255,ANTIGA_LIVRES!$A:$P,MATCH(APENDICE_BCB!C$3,ANTIGA_LIVRES!$1:$1,0),0)/1000,0)</f>
        <v>0</v>
      </c>
      <c r="D255" s="9">
        <f>IFERROR(VLOOKUP($A255,ANTIGA_LIVRES!$A:$P,MATCH(APENDICE_BCB!D$3,ANTIGA_LIVRES!$1:$1,0),0)/1000,0)</f>
        <v>0</v>
      </c>
      <c r="E255" s="9">
        <f>IFERROR(VLOOKUP($A255,ANTIGA_DIRECIONADOS!$A:$P,MATCH(APENDICE_BCB!E$3,ANTIGA_DIRECIONADOS!$1:$1,0),0),0)</f>
        <v>0</v>
      </c>
      <c r="F255" s="9">
        <f>IFERROR(VLOOKUP($A255,ANTIGA_DIRECIONADOS!$A:$P,MATCH(APENDICE_BCB!F$3,ANTIGA_DIRECIONADOS!$1:$1,0),0),0)</f>
        <v>0</v>
      </c>
      <c r="G255" s="9">
        <f>IFERROR(VLOOKUP($A255,ANTIGA_DIRECIONADOS!$A:$P,MATCH(APENDICE_BCB!G$3,ANTIGA_DIRECIONADOS!$1:$1,0),0),0)</f>
        <v>0</v>
      </c>
      <c r="H255" s="9">
        <f>IFERROR(VLOOKUP($A255,ATUAL_LIV_E_DIR!$A:$P,MATCH(APENDICE_BCB!H$3,ATUAL_LIV_E_DIR!$1:$1,0),0),0)</f>
        <v>1535507</v>
      </c>
      <c r="I255" s="9">
        <f>IFERROR(VLOOKUP($A255,ATUAL_LIV_E_DIR!$A:$P,MATCH(APENDICE_BCB!I$3,ATUAL_LIV_E_DIR!$1:$1,0),0),0)</f>
        <v>705143</v>
      </c>
      <c r="J255" s="9">
        <f>IFERROR(VLOOKUP($A255,ATUAL_LIV_E_DIR!$A:$P,MATCH(APENDICE_BCB!J$3,ATUAL_LIV_E_DIR!$1:$1,0),0),0)</f>
        <v>830364</v>
      </c>
      <c r="K255" s="9">
        <f>IFERROR(VLOOKUP($A255,ATUAL_LIV_E_DIR!$A:$P,MATCH(APENDICE_BCB!K$3,ATUAL_LIV_E_DIR!$1:$1,0),0),0)</f>
        <v>1528133</v>
      </c>
      <c r="L255" s="9">
        <f>IFERROR(VLOOKUP($A255,ATUAL_LIV_E_DIR!$A:$P,MATCH(APENDICE_BCB!L$3,ATUAL_LIV_E_DIR!$1:$1,0),0),0)</f>
        <v>793847</v>
      </c>
      <c r="M255" s="9">
        <f>IFERROR(VLOOKUP($A255,ATUAL_LIV_E_DIR!$A:$P,MATCH(APENDICE_BCB!M$3,ATUAL_LIV_E_DIR!$1:$1,0),0),0)</f>
        <v>734286</v>
      </c>
      <c r="O255" s="11">
        <f t="shared" si="45"/>
        <v>0</v>
      </c>
      <c r="P255" s="11">
        <f t="shared" si="46"/>
        <v>3063640</v>
      </c>
      <c r="Q255" s="11">
        <f t="shared" si="47"/>
        <v>0</v>
      </c>
      <c r="R255" s="11">
        <f t="shared" si="48"/>
        <v>1439429</v>
      </c>
      <c r="S255" s="11"/>
      <c r="T255" s="11">
        <f t="shared" si="50"/>
        <v>1624211</v>
      </c>
      <c r="V255" s="7">
        <f t="shared" si="51"/>
        <v>0</v>
      </c>
      <c r="W255">
        <f t="shared" si="52"/>
        <v>0.5301572639082921</v>
      </c>
      <c r="Y255" s="8"/>
      <c r="Z255" s="8">
        <f t="shared" si="54"/>
        <v>-4.0799473849939538E-5</v>
      </c>
      <c r="AE255" s="1">
        <f t="shared" si="43"/>
        <v>42979</v>
      </c>
      <c r="AF255" s="11">
        <f t="shared" si="44"/>
        <v>1624211</v>
      </c>
    </row>
    <row r="256" spans="1:32" x14ac:dyDescent="0.25">
      <c r="A256" s="1">
        <v>43009</v>
      </c>
      <c r="B256" s="9">
        <f>IFERROR(VLOOKUP($A256,ANTIGA_LIVRES!$A:$P,MATCH(APENDICE_BCB!B$3,ANTIGA_LIVRES!$1:$1,0),0)/1000,0)</f>
        <v>0</v>
      </c>
      <c r="C256" s="9">
        <f>IFERROR(VLOOKUP($A256,ANTIGA_LIVRES!$A:$P,MATCH(APENDICE_BCB!C$3,ANTIGA_LIVRES!$1:$1,0),0)/1000,0)</f>
        <v>0</v>
      </c>
      <c r="D256" s="9">
        <f>IFERROR(VLOOKUP($A256,ANTIGA_LIVRES!$A:$P,MATCH(APENDICE_BCB!D$3,ANTIGA_LIVRES!$1:$1,0),0)/1000,0)</f>
        <v>0</v>
      </c>
      <c r="E256" s="9">
        <f>IFERROR(VLOOKUP($A256,ANTIGA_DIRECIONADOS!$A:$P,MATCH(APENDICE_BCB!E$3,ANTIGA_DIRECIONADOS!$1:$1,0),0),0)</f>
        <v>0</v>
      </c>
      <c r="F256" s="9">
        <f>IFERROR(VLOOKUP($A256,ANTIGA_DIRECIONADOS!$A:$P,MATCH(APENDICE_BCB!F$3,ANTIGA_DIRECIONADOS!$1:$1,0),0),0)</f>
        <v>0</v>
      </c>
      <c r="G256" s="9">
        <f>IFERROR(VLOOKUP($A256,ANTIGA_DIRECIONADOS!$A:$P,MATCH(APENDICE_BCB!G$3,ANTIGA_DIRECIONADOS!$1:$1,0),0),0)</f>
        <v>0</v>
      </c>
      <c r="H256" s="9">
        <f>IFERROR(VLOOKUP($A256,ATUAL_LIV_E_DIR!$A:$P,MATCH(APENDICE_BCB!H$3,ATUAL_LIV_E_DIR!$1:$1,0),0),0)</f>
        <v>1542586</v>
      </c>
      <c r="I256" s="9">
        <f>IFERROR(VLOOKUP($A256,ATUAL_LIV_E_DIR!$A:$P,MATCH(APENDICE_BCB!I$3,ATUAL_LIV_E_DIR!$1:$1,0),0),0)</f>
        <v>702721</v>
      </c>
      <c r="J256" s="9">
        <f>IFERROR(VLOOKUP($A256,ATUAL_LIV_E_DIR!$A:$P,MATCH(APENDICE_BCB!J$3,ATUAL_LIV_E_DIR!$1:$1,0),0),0)</f>
        <v>839865</v>
      </c>
      <c r="K256" s="9">
        <f>IFERROR(VLOOKUP($A256,ATUAL_LIV_E_DIR!$A:$P,MATCH(APENDICE_BCB!K$3,ATUAL_LIV_E_DIR!$1:$1,0),0),0)</f>
        <v>1525938</v>
      </c>
      <c r="L256" s="9">
        <f>IFERROR(VLOOKUP($A256,ATUAL_LIV_E_DIR!$A:$P,MATCH(APENDICE_BCB!L$3,ATUAL_LIV_E_DIR!$1:$1,0),0),0)</f>
        <v>796464</v>
      </c>
      <c r="M256" s="9">
        <f>IFERROR(VLOOKUP($A256,ATUAL_LIV_E_DIR!$A:$P,MATCH(APENDICE_BCB!M$3,ATUAL_LIV_E_DIR!$1:$1,0),0),0)</f>
        <v>729474</v>
      </c>
      <c r="O256" s="11">
        <f t="shared" si="45"/>
        <v>0</v>
      </c>
      <c r="P256" s="11">
        <f t="shared" si="46"/>
        <v>3068524</v>
      </c>
      <c r="Q256" s="11">
        <f t="shared" si="47"/>
        <v>0</v>
      </c>
      <c r="R256" s="11">
        <f t="shared" si="48"/>
        <v>1432195</v>
      </c>
      <c r="S256" s="11"/>
      <c r="T256" s="11">
        <f t="shared" si="50"/>
        <v>1636329</v>
      </c>
      <c r="V256" s="7">
        <f t="shared" si="51"/>
        <v>0</v>
      </c>
      <c r="W256">
        <f t="shared" si="52"/>
        <v>0.53326257184235804</v>
      </c>
      <c r="Y256" s="8"/>
      <c r="Z256" s="8">
        <f t="shared" si="54"/>
        <v>1.5941820840568166E-3</v>
      </c>
      <c r="AE256" s="1">
        <f t="shared" si="43"/>
        <v>43009</v>
      </c>
      <c r="AF256" s="11">
        <f t="shared" si="44"/>
        <v>1636329</v>
      </c>
    </row>
    <row r="257" spans="1:32" x14ac:dyDescent="0.25">
      <c r="A257" s="1">
        <v>43040</v>
      </c>
      <c r="B257" s="9">
        <f>IFERROR(VLOOKUP($A257,ANTIGA_LIVRES!$A:$P,MATCH(APENDICE_BCB!B$3,ANTIGA_LIVRES!$1:$1,0),0)/1000,0)</f>
        <v>0</v>
      </c>
      <c r="C257" s="9">
        <f>IFERROR(VLOOKUP($A257,ANTIGA_LIVRES!$A:$P,MATCH(APENDICE_BCB!C$3,ANTIGA_LIVRES!$1:$1,0),0)/1000,0)</f>
        <v>0</v>
      </c>
      <c r="D257" s="9">
        <f>IFERROR(VLOOKUP($A257,ANTIGA_LIVRES!$A:$P,MATCH(APENDICE_BCB!D$3,ANTIGA_LIVRES!$1:$1,0),0)/1000,0)</f>
        <v>0</v>
      </c>
      <c r="E257" s="9">
        <f>IFERROR(VLOOKUP($A257,ANTIGA_DIRECIONADOS!$A:$P,MATCH(APENDICE_BCB!E$3,ANTIGA_DIRECIONADOS!$1:$1,0),0),0)</f>
        <v>0</v>
      </c>
      <c r="F257" s="9">
        <f>IFERROR(VLOOKUP($A257,ANTIGA_DIRECIONADOS!$A:$P,MATCH(APENDICE_BCB!F$3,ANTIGA_DIRECIONADOS!$1:$1,0),0),0)</f>
        <v>0</v>
      </c>
      <c r="G257" s="9">
        <f>IFERROR(VLOOKUP($A257,ANTIGA_DIRECIONADOS!$A:$P,MATCH(APENDICE_BCB!G$3,ANTIGA_DIRECIONADOS!$1:$1,0),0),0)</f>
        <v>0</v>
      </c>
      <c r="H257" s="9">
        <f>IFERROR(VLOOKUP($A257,ATUAL_LIV_E_DIR!$A:$P,MATCH(APENDICE_BCB!H$3,ATUAL_LIV_E_DIR!$1:$1,0),0),0)</f>
        <v>1558949</v>
      </c>
      <c r="I257" s="9">
        <f>IFERROR(VLOOKUP($A257,ATUAL_LIV_E_DIR!$A:$P,MATCH(APENDICE_BCB!I$3,ATUAL_LIV_E_DIR!$1:$1,0),0),0)</f>
        <v>707841</v>
      </c>
      <c r="J257" s="9">
        <f>IFERROR(VLOOKUP($A257,ATUAL_LIV_E_DIR!$A:$P,MATCH(APENDICE_BCB!J$3,ATUAL_LIV_E_DIR!$1:$1,0),0),0)</f>
        <v>851108</v>
      </c>
      <c r="K257" s="9">
        <f>IFERROR(VLOOKUP($A257,ATUAL_LIV_E_DIR!$A:$P,MATCH(APENDICE_BCB!K$3,ATUAL_LIV_E_DIR!$1:$1,0),0),0)</f>
        <v>1521413</v>
      </c>
      <c r="L257" s="9">
        <f>IFERROR(VLOOKUP($A257,ATUAL_LIV_E_DIR!$A:$P,MATCH(APENDICE_BCB!L$3,ATUAL_LIV_E_DIR!$1:$1,0),0),0)</f>
        <v>799890</v>
      </c>
      <c r="M257" s="9">
        <f>IFERROR(VLOOKUP($A257,ATUAL_LIV_E_DIR!$A:$P,MATCH(APENDICE_BCB!M$3,ATUAL_LIV_E_DIR!$1:$1,0),0),0)</f>
        <v>721523</v>
      </c>
      <c r="O257" s="11">
        <f t="shared" si="45"/>
        <v>0</v>
      </c>
      <c r="P257" s="11">
        <f t="shared" si="46"/>
        <v>3080362</v>
      </c>
      <c r="Q257" s="11">
        <f t="shared" si="47"/>
        <v>0</v>
      </c>
      <c r="R257" s="11">
        <f t="shared" si="48"/>
        <v>1429364</v>
      </c>
      <c r="S257" s="11"/>
      <c r="T257" s="11">
        <f t="shared" si="50"/>
        <v>1650998</v>
      </c>
      <c r="V257" s="7">
        <f t="shared" si="51"/>
        <v>0</v>
      </c>
      <c r="W257">
        <f t="shared" si="52"/>
        <v>0.53597531718674618</v>
      </c>
      <c r="Y257" s="8"/>
      <c r="Z257" s="8">
        <f t="shared" si="54"/>
        <v>3.8578808573763723E-3</v>
      </c>
      <c r="AE257" s="1">
        <f t="shared" si="43"/>
        <v>43040</v>
      </c>
      <c r="AF257" s="11">
        <f t="shared" si="44"/>
        <v>1650998</v>
      </c>
    </row>
    <row r="258" spans="1:32" x14ac:dyDescent="0.25">
      <c r="A258" s="1">
        <v>43070</v>
      </c>
      <c r="B258" s="9">
        <f>IFERROR(VLOOKUP($A258,ANTIGA_LIVRES!$A:$P,MATCH(APENDICE_BCB!B$3,ANTIGA_LIVRES!$1:$1,0),0)/1000,0)</f>
        <v>0</v>
      </c>
      <c r="C258" s="9">
        <f>IFERROR(VLOOKUP($A258,ANTIGA_LIVRES!$A:$P,MATCH(APENDICE_BCB!C$3,ANTIGA_LIVRES!$1:$1,0),0)/1000,0)</f>
        <v>0</v>
      </c>
      <c r="D258" s="9">
        <f>IFERROR(VLOOKUP($A258,ANTIGA_LIVRES!$A:$P,MATCH(APENDICE_BCB!D$3,ANTIGA_LIVRES!$1:$1,0),0)/1000,0)</f>
        <v>0</v>
      </c>
      <c r="E258" s="9">
        <f>IFERROR(VLOOKUP($A258,ANTIGA_DIRECIONADOS!$A:$P,MATCH(APENDICE_BCB!E$3,ANTIGA_DIRECIONADOS!$1:$1,0),0),0)</f>
        <v>0</v>
      </c>
      <c r="F258" s="9">
        <f>IFERROR(VLOOKUP($A258,ANTIGA_DIRECIONADOS!$A:$P,MATCH(APENDICE_BCB!F$3,ANTIGA_DIRECIONADOS!$1:$1,0),0),0)</f>
        <v>0</v>
      </c>
      <c r="G258" s="9">
        <f>IFERROR(VLOOKUP($A258,ANTIGA_DIRECIONADOS!$A:$P,MATCH(APENDICE_BCB!G$3,ANTIGA_DIRECIONADOS!$1:$1,0),0),0)</f>
        <v>0</v>
      </c>
      <c r="H258" s="9">
        <f>IFERROR(VLOOKUP($A258,ATUAL_LIV_E_DIR!$A:$P,MATCH(APENDICE_BCB!H$3,ATUAL_LIV_E_DIR!$1:$1,0),0),0)</f>
        <v>1591577</v>
      </c>
      <c r="I258" s="9">
        <f>IFERROR(VLOOKUP($A258,ATUAL_LIV_E_DIR!$A:$P,MATCH(APENDICE_BCB!I$3,ATUAL_LIV_E_DIR!$1:$1,0),0),0)</f>
        <v>736272</v>
      </c>
      <c r="J258" s="9">
        <f>IFERROR(VLOOKUP($A258,ATUAL_LIV_E_DIR!$A:$P,MATCH(APENDICE_BCB!J$3,ATUAL_LIV_E_DIR!$1:$1,0),0),0)</f>
        <v>855305</v>
      </c>
      <c r="K258" s="9">
        <f>IFERROR(VLOOKUP($A258,ATUAL_LIV_E_DIR!$A:$P,MATCH(APENDICE_BCB!K$3,ATUAL_LIV_E_DIR!$1:$1,0),0),0)</f>
        <v>1513700</v>
      </c>
      <c r="L258" s="9">
        <f>IFERROR(VLOOKUP($A258,ATUAL_LIV_E_DIR!$A:$P,MATCH(APENDICE_BCB!L$3,ATUAL_LIV_E_DIR!$1:$1,0),0),0)</f>
        <v>804857</v>
      </c>
      <c r="M258" s="9">
        <f>IFERROR(VLOOKUP($A258,ATUAL_LIV_E_DIR!$A:$P,MATCH(APENDICE_BCB!M$3,ATUAL_LIV_E_DIR!$1:$1,0),0),0)</f>
        <v>708843</v>
      </c>
      <c r="O258" s="11">
        <f t="shared" si="45"/>
        <v>0</v>
      </c>
      <c r="P258" s="11">
        <f t="shared" si="46"/>
        <v>3105277</v>
      </c>
      <c r="Q258" s="11">
        <f t="shared" si="47"/>
        <v>0</v>
      </c>
      <c r="R258" s="11">
        <f t="shared" si="48"/>
        <v>1445115</v>
      </c>
      <c r="S258" s="11"/>
      <c r="T258" s="11">
        <f t="shared" si="50"/>
        <v>1660162</v>
      </c>
      <c r="V258" s="7">
        <f t="shared" si="51"/>
        <v>0</v>
      </c>
      <c r="W258">
        <f t="shared" si="52"/>
        <v>0.53462605751435377</v>
      </c>
      <c r="Y258" s="8"/>
      <c r="Z258" s="8">
        <f t="shared" si="54"/>
        <v>8.0883350723064407E-3</v>
      </c>
      <c r="AE258" s="1">
        <f t="shared" ref="AE258:AE321" si="55">A258</f>
        <v>43070</v>
      </c>
      <c r="AF258" s="11">
        <f t="shared" ref="AF258:AF321" si="56">T258</f>
        <v>1660162</v>
      </c>
    </row>
    <row r="259" spans="1:32" x14ac:dyDescent="0.25">
      <c r="A259" s="1">
        <v>43101</v>
      </c>
      <c r="B259" s="9">
        <f>IFERROR(VLOOKUP($A259,ANTIGA_LIVRES!$A:$P,MATCH(APENDICE_BCB!B$3,ANTIGA_LIVRES!$1:$1,0),0)/1000,0)</f>
        <v>0</v>
      </c>
      <c r="C259" s="9">
        <f>IFERROR(VLOOKUP($A259,ANTIGA_LIVRES!$A:$P,MATCH(APENDICE_BCB!C$3,ANTIGA_LIVRES!$1:$1,0),0)/1000,0)</f>
        <v>0</v>
      </c>
      <c r="D259" s="9">
        <f>IFERROR(VLOOKUP($A259,ANTIGA_LIVRES!$A:$P,MATCH(APENDICE_BCB!D$3,ANTIGA_LIVRES!$1:$1,0),0)/1000,0)</f>
        <v>0</v>
      </c>
      <c r="E259" s="9">
        <f>IFERROR(VLOOKUP($A259,ANTIGA_DIRECIONADOS!$A:$P,MATCH(APENDICE_BCB!E$3,ANTIGA_DIRECIONADOS!$1:$1,0),0),0)</f>
        <v>0</v>
      </c>
      <c r="F259" s="9">
        <f>IFERROR(VLOOKUP($A259,ANTIGA_DIRECIONADOS!$A:$P,MATCH(APENDICE_BCB!F$3,ANTIGA_DIRECIONADOS!$1:$1,0),0),0)</f>
        <v>0</v>
      </c>
      <c r="G259" s="9">
        <f>IFERROR(VLOOKUP($A259,ANTIGA_DIRECIONADOS!$A:$P,MATCH(APENDICE_BCB!G$3,ANTIGA_DIRECIONADOS!$1:$1,0),0),0)</f>
        <v>0</v>
      </c>
      <c r="H259" s="9">
        <f>IFERROR(VLOOKUP($A259,ATUAL_LIV_E_DIR!$A:$P,MATCH(APENDICE_BCB!H$3,ATUAL_LIV_E_DIR!$1:$1,0),0),0)</f>
        <v>1576947</v>
      </c>
      <c r="I259" s="9">
        <f>IFERROR(VLOOKUP($A259,ATUAL_LIV_E_DIR!$A:$P,MATCH(APENDICE_BCB!I$3,ATUAL_LIV_E_DIR!$1:$1,0),0),0)</f>
        <v>712819</v>
      </c>
      <c r="J259" s="9">
        <f>IFERROR(VLOOKUP($A259,ATUAL_LIV_E_DIR!$A:$P,MATCH(APENDICE_BCB!J$3,ATUAL_LIV_E_DIR!$1:$1,0),0),0)</f>
        <v>864128</v>
      </c>
      <c r="K259" s="9">
        <f>IFERROR(VLOOKUP($A259,ATUAL_LIV_E_DIR!$A:$P,MATCH(APENDICE_BCB!K$3,ATUAL_LIV_E_DIR!$1:$1,0),0),0)</f>
        <v>1504027</v>
      </c>
      <c r="L259" s="9">
        <f>IFERROR(VLOOKUP($A259,ATUAL_LIV_E_DIR!$A:$P,MATCH(APENDICE_BCB!L$3,ATUAL_LIV_E_DIR!$1:$1,0),0),0)</f>
        <v>806274</v>
      </c>
      <c r="M259" s="9">
        <f>IFERROR(VLOOKUP($A259,ATUAL_LIV_E_DIR!$A:$P,MATCH(APENDICE_BCB!M$3,ATUAL_LIV_E_DIR!$1:$1,0),0),0)</f>
        <v>697752</v>
      </c>
      <c r="O259" s="11">
        <f t="shared" si="45"/>
        <v>0</v>
      </c>
      <c r="P259" s="11">
        <f t="shared" si="46"/>
        <v>3080974</v>
      </c>
      <c r="Q259" s="11">
        <f t="shared" si="47"/>
        <v>0</v>
      </c>
      <c r="R259" s="11">
        <f t="shared" si="48"/>
        <v>1410571</v>
      </c>
      <c r="S259" s="11"/>
      <c r="T259" s="11">
        <f t="shared" si="50"/>
        <v>1670402</v>
      </c>
      <c r="V259" s="7">
        <f t="shared" si="51"/>
        <v>0</v>
      </c>
      <c r="W259">
        <f t="shared" si="52"/>
        <v>0.54216686022017713</v>
      </c>
      <c r="Y259" s="8"/>
      <c r="Z259" s="8">
        <f t="shared" si="54"/>
        <v>-7.826354943536451E-3</v>
      </c>
      <c r="AE259" s="1">
        <f t="shared" si="55"/>
        <v>43101</v>
      </c>
      <c r="AF259" s="11">
        <f t="shared" si="56"/>
        <v>1670402</v>
      </c>
    </row>
    <row r="260" spans="1:32" x14ac:dyDescent="0.25">
      <c r="A260" s="1">
        <v>43132</v>
      </c>
      <c r="B260" s="9">
        <f>IFERROR(VLOOKUP($A260,ANTIGA_LIVRES!$A:$P,MATCH(APENDICE_BCB!B$3,ANTIGA_LIVRES!$1:$1,0),0)/1000,0)</f>
        <v>0</v>
      </c>
      <c r="C260" s="9">
        <f>IFERROR(VLOOKUP($A260,ANTIGA_LIVRES!$A:$P,MATCH(APENDICE_BCB!C$3,ANTIGA_LIVRES!$1:$1,0),0)/1000,0)</f>
        <v>0</v>
      </c>
      <c r="D260" s="9">
        <f>IFERROR(VLOOKUP($A260,ANTIGA_LIVRES!$A:$P,MATCH(APENDICE_BCB!D$3,ANTIGA_LIVRES!$1:$1,0),0)/1000,0)</f>
        <v>0</v>
      </c>
      <c r="E260" s="9">
        <f>IFERROR(VLOOKUP($A260,ANTIGA_DIRECIONADOS!$A:$P,MATCH(APENDICE_BCB!E$3,ANTIGA_DIRECIONADOS!$1:$1,0),0),0)</f>
        <v>0</v>
      </c>
      <c r="F260" s="9">
        <f>IFERROR(VLOOKUP($A260,ANTIGA_DIRECIONADOS!$A:$P,MATCH(APENDICE_BCB!F$3,ANTIGA_DIRECIONADOS!$1:$1,0),0),0)</f>
        <v>0</v>
      </c>
      <c r="G260" s="9">
        <f>IFERROR(VLOOKUP($A260,ANTIGA_DIRECIONADOS!$A:$P,MATCH(APENDICE_BCB!G$3,ANTIGA_DIRECIONADOS!$1:$1,0),0),0)</f>
        <v>0</v>
      </c>
      <c r="H260" s="9">
        <f>IFERROR(VLOOKUP($A260,ATUAL_LIV_E_DIR!$A:$P,MATCH(APENDICE_BCB!H$3,ATUAL_LIV_E_DIR!$1:$1,0),0),0)</f>
        <v>1574711</v>
      </c>
      <c r="I260" s="9">
        <f>IFERROR(VLOOKUP($A260,ATUAL_LIV_E_DIR!$A:$P,MATCH(APENDICE_BCB!I$3,ATUAL_LIV_E_DIR!$1:$1,0),0),0)</f>
        <v>714019</v>
      </c>
      <c r="J260" s="9">
        <f>IFERROR(VLOOKUP($A260,ATUAL_LIV_E_DIR!$A:$P,MATCH(APENDICE_BCB!J$3,ATUAL_LIV_E_DIR!$1:$1,0),0),0)</f>
        <v>860692</v>
      </c>
      <c r="K260" s="9">
        <f>IFERROR(VLOOKUP($A260,ATUAL_LIV_E_DIR!$A:$P,MATCH(APENDICE_BCB!K$3,ATUAL_LIV_E_DIR!$1:$1,0),0),0)</f>
        <v>1499601</v>
      </c>
      <c r="L260" s="9">
        <f>IFERROR(VLOOKUP($A260,ATUAL_LIV_E_DIR!$A:$P,MATCH(APENDICE_BCB!L$3,ATUAL_LIV_E_DIR!$1:$1,0),0),0)</f>
        <v>808317</v>
      </c>
      <c r="M260" s="9">
        <f>IFERROR(VLOOKUP($A260,ATUAL_LIV_E_DIR!$A:$P,MATCH(APENDICE_BCB!M$3,ATUAL_LIV_E_DIR!$1:$1,0),0),0)</f>
        <v>691284</v>
      </c>
      <c r="O260" s="11">
        <f t="shared" si="45"/>
        <v>0</v>
      </c>
      <c r="P260" s="11">
        <f t="shared" si="46"/>
        <v>3074312</v>
      </c>
      <c r="Q260" s="11">
        <f t="shared" si="47"/>
        <v>0</v>
      </c>
      <c r="R260" s="11">
        <f t="shared" si="48"/>
        <v>1405303</v>
      </c>
      <c r="S260" s="11"/>
      <c r="T260" s="11">
        <f t="shared" si="50"/>
        <v>1669009</v>
      </c>
      <c r="V260" s="7">
        <f t="shared" si="51"/>
        <v>0</v>
      </c>
      <c r="W260">
        <f t="shared" si="52"/>
        <v>0.54288862028317231</v>
      </c>
      <c r="Y260" s="8"/>
      <c r="Z260" s="8">
        <f t="shared" si="54"/>
        <v>-2.1623032196961267E-3</v>
      </c>
      <c r="AE260" s="1">
        <f t="shared" si="55"/>
        <v>43132</v>
      </c>
      <c r="AF260" s="11">
        <f t="shared" si="56"/>
        <v>1669009</v>
      </c>
    </row>
    <row r="261" spans="1:32" x14ac:dyDescent="0.25">
      <c r="A261" s="1">
        <v>43160</v>
      </c>
      <c r="B261" s="9">
        <f>IFERROR(VLOOKUP($A261,ANTIGA_LIVRES!$A:$P,MATCH(APENDICE_BCB!B$3,ANTIGA_LIVRES!$1:$1,0),0)/1000,0)</f>
        <v>0</v>
      </c>
      <c r="C261" s="9">
        <f>IFERROR(VLOOKUP($A261,ANTIGA_LIVRES!$A:$P,MATCH(APENDICE_BCB!C$3,ANTIGA_LIVRES!$1:$1,0),0)/1000,0)</f>
        <v>0</v>
      </c>
      <c r="D261" s="9">
        <f>IFERROR(VLOOKUP($A261,ANTIGA_LIVRES!$A:$P,MATCH(APENDICE_BCB!D$3,ANTIGA_LIVRES!$1:$1,0),0)/1000,0)</f>
        <v>0</v>
      </c>
      <c r="E261" s="9">
        <f>IFERROR(VLOOKUP($A261,ANTIGA_DIRECIONADOS!$A:$P,MATCH(APENDICE_BCB!E$3,ANTIGA_DIRECIONADOS!$1:$1,0),0),0)</f>
        <v>0</v>
      </c>
      <c r="F261" s="9">
        <f>IFERROR(VLOOKUP($A261,ANTIGA_DIRECIONADOS!$A:$P,MATCH(APENDICE_BCB!F$3,ANTIGA_DIRECIONADOS!$1:$1,0),0),0)</f>
        <v>0</v>
      </c>
      <c r="G261" s="9">
        <f>IFERROR(VLOOKUP($A261,ANTIGA_DIRECIONADOS!$A:$P,MATCH(APENDICE_BCB!G$3,ANTIGA_DIRECIONADOS!$1:$1,0),0),0)</f>
        <v>0</v>
      </c>
      <c r="H261" s="9">
        <f>IFERROR(VLOOKUP($A261,ATUAL_LIV_E_DIR!$A:$P,MATCH(APENDICE_BCB!H$3,ATUAL_LIV_E_DIR!$1:$1,0),0),0)</f>
        <v>1596854</v>
      </c>
      <c r="I261" s="9">
        <f>IFERROR(VLOOKUP($A261,ATUAL_LIV_E_DIR!$A:$P,MATCH(APENDICE_BCB!I$3,ATUAL_LIV_E_DIR!$1:$1,0),0),0)</f>
        <v>730404</v>
      </c>
      <c r="J261" s="9">
        <f>IFERROR(VLOOKUP($A261,ATUAL_LIV_E_DIR!$A:$P,MATCH(APENDICE_BCB!J$3,ATUAL_LIV_E_DIR!$1:$1,0),0),0)</f>
        <v>866450</v>
      </c>
      <c r="K261" s="9">
        <f>IFERROR(VLOOKUP($A261,ATUAL_LIV_E_DIR!$A:$P,MATCH(APENDICE_BCB!K$3,ATUAL_LIV_E_DIR!$1:$1,0),0),0)</f>
        <v>1497532</v>
      </c>
      <c r="L261" s="9">
        <f>IFERROR(VLOOKUP($A261,ATUAL_LIV_E_DIR!$A:$P,MATCH(APENDICE_BCB!L$3,ATUAL_LIV_E_DIR!$1:$1,0),0),0)</f>
        <v>812173</v>
      </c>
      <c r="M261" s="9">
        <f>IFERROR(VLOOKUP($A261,ATUAL_LIV_E_DIR!$A:$P,MATCH(APENDICE_BCB!M$3,ATUAL_LIV_E_DIR!$1:$1,0),0),0)</f>
        <v>685359</v>
      </c>
      <c r="O261" s="11">
        <f t="shared" ref="O261:O324" si="57">B261+E261</f>
        <v>0</v>
      </c>
      <c r="P261" s="11">
        <f t="shared" ref="P261:P324" si="58">H261+K261</f>
        <v>3094386</v>
      </c>
      <c r="Q261" s="11">
        <f t="shared" ref="Q261:Q324" si="59">C261+G261</f>
        <v>0</v>
      </c>
      <c r="R261" s="11">
        <f t="shared" ref="R261:R324" si="60">I261+M261</f>
        <v>1415763</v>
      </c>
      <c r="S261" s="11"/>
      <c r="T261" s="11">
        <f t="shared" ref="T261:T324" si="61">J261+L261</f>
        <v>1678623</v>
      </c>
      <c r="V261" s="7">
        <f t="shared" ref="V261:V324" si="62">IFERROR(S261/O261,0)</f>
        <v>0</v>
      </c>
      <c r="W261">
        <f t="shared" ref="W261:W324" si="63">IFERROR(T261/P261,0)</f>
        <v>0.54247369268087431</v>
      </c>
      <c r="Y261" s="8"/>
      <c r="Z261" s="8">
        <f t="shared" si="54"/>
        <v>6.5295910109319788E-3</v>
      </c>
      <c r="AE261" s="1">
        <f t="shared" si="55"/>
        <v>43160</v>
      </c>
      <c r="AF261" s="11">
        <f t="shared" si="56"/>
        <v>1678623</v>
      </c>
    </row>
    <row r="262" spans="1:32" x14ac:dyDescent="0.25">
      <c r="A262" s="1">
        <v>43191</v>
      </c>
      <c r="B262" s="9">
        <f>IFERROR(VLOOKUP($A262,ANTIGA_LIVRES!$A:$P,MATCH(APENDICE_BCB!B$3,ANTIGA_LIVRES!$1:$1,0),0)/1000,0)</f>
        <v>0</v>
      </c>
      <c r="C262" s="9">
        <f>IFERROR(VLOOKUP($A262,ANTIGA_LIVRES!$A:$P,MATCH(APENDICE_BCB!C$3,ANTIGA_LIVRES!$1:$1,0),0)/1000,0)</f>
        <v>0</v>
      </c>
      <c r="D262" s="9">
        <f>IFERROR(VLOOKUP($A262,ANTIGA_LIVRES!$A:$P,MATCH(APENDICE_BCB!D$3,ANTIGA_LIVRES!$1:$1,0),0)/1000,0)</f>
        <v>0</v>
      </c>
      <c r="E262" s="9">
        <f>IFERROR(VLOOKUP($A262,ANTIGA_DIRECIONADOS!$A:$P,MATCH(APENDICE_BCB!E$3,ANTIGA_DIRECIONADOS!$1:$1,0),0),0)</f>
        <v>0</v>
      </c>
      <c r="F262" s="9">
        <f>IFERROR(VLOOKUP($A262,ANTIGA_DIRECIONADOS!$A:$P,MATCH(APENDICE_BCB!F$3,ANTIGA_DIRECIONADOS!$1:$1,0),0),0)</f>
        <v>0</v>
      </c>
      <c r="G262" s="9">
        <f>IFERROR(VLOOKUP($A262,ANTIGA_DIRECIONADOS!$A:$P,MATCH(APENDICE_BCB!G$3,ANTIGA_DIRECIONADOS!$1:$1,0),0),0)</f>
        <v>0</v>
      </c>
      <c r="H262" s="9">
        <f>IFERROR(VLOOKUP($A262,ATUAL_LIV_E_DIR!$A:$P,MATCH(APENDICE_BCB!H$3,ATUAL_LIV_E_DIR!$1:$1,0),0),0)</f>
        <v>1607305</v>
      </c>
      <c r="I262" s="9">
        <f>IFERROR(VLOOKUP($A262,ATUAL_LIV_E_DIR!$A:$P,MATCH(APENDICE_BCB!I$3,ATUAL_LIV_E_DIR!$1:$1,0),0),0)</f>
        <v>733068</v>
      </c>
      <c r="J262" s="9">
        <f>IFERROR(VLOOKUP($A262,ATUAL_LIV_E_DIR!$A:$P,MATCH(APENDICE_BCB!J$3,ATUAL_LIV_E_DIR!$1:$1,0),0),0)</f>
        <v>874237</v>
      </c>
      <c r="K262" s="9">
        <f>IFERROR(VLOOKUP($A262,ATUAL_LIV_E_DIR!$A:$P,MATCH(APENDICE_BCB!K$3,ATUAL_LIV_E_DIR!$1:$1,0),0),0)</f>
        <v>1496594</v>
      </c>
      <c r="L262" s="9">
        <f>IFERROR(VLOOKUP($A262,ATUAL_LIV_E_DIR!$A:$P,MATCH(APENDICE_BCB!L$3,ATUAL_LIV_E_DIR!$1:$1,0),0),0)</f>
        <v>814755</v>
      </c>
      <c r="M262" s="9">
        <f>IFERROR(VLOOKUP($A262,ATUAL_LIV_E_DIR!$A:$P,MATCH(APENDICE_BCB!M$3,ATUAL_LIV_E_DIR!$1:$1,0),0),0)</f>
        <v>681839</v>
      </c>
      <c r="O262" s="11">
        <f t="shared" si="57"/>
        <v>0</v>
      </c>
      <c r="P262" s="11">
        <f t="shared" si="58"/>
        <v>3103899</v>
      </c>
      <c r="Q262" s="11">
        <f t="shared" si="59"/>
        <v>0</v>
      </c>
      <c r="R262" s="11">
        <f t="shared" si="60"/>
        <v>1414907</v>
      </c>
      <c r="S262" s="11"/>
      <c r="T262" s="11">
        <f t="shared" si="61"/>
        <v>1688992</v>
      </c>
      <c r="V262" s="7">
        <f t="shared" si="62"/>
        <v>0</v>
      </c>
      <c r="W262">
        <f t="shared" si="63"/>
        <v>0.54415172658646427</v>
      </c>
      <c r="Y262" s="8"/>
      <c r="Z262" s="8">
        <f t="shared" ref="Z262:Z325" si="64">IFERROR(P262/P261-1,0)</f>
        <v>3.0742770940663799E-3</v>
      </c>
      <c r="AE262" s="1">
        <f t="shared" si="55"/>
        <v>43191</v>
      </c>
      <c r="AF262" s="11">
        <f t="shared" si="56"/>
        <v>1688992</v>
      </c>
    </row>
    <row r="263" spans="1:32" x14ac:dyDescent="0.25">
      <c r="A263" s="1">
        <v>43221</v>
      </c>
      <c r="B263" s="9">
        <f>IFERROR(VLOOKUP($A263,ANTIGA_LIVRES!$A:$P,MATCH(APENDICE_BCB!B$3,ANTIGA_LIVRES!$1:$1,0),0)/1000,0)</f>
        <v>0</v>
      </c>
      <c r="C263" s="9">
        <f>IFERROR(VLOOKUP($A263,ANTIGA_LIVRES!$A:$P,MATCH(APENDICE_BCB!C$3,ANTIGA_LIVRES!$1:$1,0),0)/1000,0)</f>
        <v>0</v>
      </c>
      <c r="D263" s="9">
        <f>IFERROR(VLOOKUP($A263,ANTIGA_LIVRES!$A:$P,MATCH(APENDICE_BCB!D$3,ANTIGA_LIVRES!$1:$1,0),0)/1000,0)</f>
        <v>0</v>
      </c>
      <c r="E263" s="9">
        <f>IFERROR(VLOOKUP($A263,ANTIGA_DIRECIONADOS!$A:$P,MATCH(APENDICE_BCB!E$3,ANTIGA_DIRECIONADOS!$1:$1,0),0),0)</f>
        <v>0</v>
      </c>
      <c r="F263" s="9">
        <f>IFERROR(VLOOKUP($A263,ANTIGA_DIRECIONADOS!$A:$P,MATCH(APENDICE_BCB!F$3,ANTIGA_DIRECIONADOS!$1:$1,0),0),0)</f>
        <v>0</v>
      </c>
      <c r="G263" s="9">
        <f>IFERROR(VLOOKUP($A263,ANTIGA_DIRECIONADOS!$A:$P,MATCH(APENDICE_BCB!G$3,ANTIGA_DIRECIONADOS!$1:$1,0),0),0)</f>
        <v>0</v>
      </c>
      <c r="H263" s="9">
        <f>IFERROR(VLOOKUP($A263,ATUAL_LIV_E_DIR!$A:$P,MATCH(APENDICE_BCB!H$3,ATUAL_LIV_E_DIR!$1:$1,0),0),0)</f>
        <v>1621478</v>
      </c>
      <c r="I263" s="9">
        <f>IFERROR(VLOOKUP($A263,ATUAL_LIV_E_DIR!$A:$P,MATCH(APENDICE_BCB!I$3,ATUAL_LIV_E_DIR!$1:$1,0),0),0)</f>
        <v>738712</v>
      </c>
      <c r="J263" s="9">
        <f>IFERROR(VLOOKUP($A263,ATUAL_LIV_E_DIR!$A:$P,MATCH(APENDICE_BCB!J$3,ATUAL_LIV_E_DIR!$1:$1,0),0),0)</f>
        <v>882766</v>
      </c>
      <c r="K263" s="9">
        <f>IFERROR(VLOOKUP($A263,ATUAL_LIV_E_DIR!$A:$P,MATCH(APENDICE_BCB!K$3,ATUAL_LIV_E_DIR!$1:$1,0),0),0)</f>
        <v>1496115</v>
      </c>
      <c r="L263" s="9">
        <f>IFERROR(VLOOKUP($A263,ATUAL_LIV_E_DIR!$A:$P,MATCH(APENDICE_BCB!L$3,ATUAL_LIV_E_DIR!$1:$1,0),0),0)</f>
        <v>815383</v>
      </c>
      <c r="M263" s="9">
        <f>IFERROR(VLOOKUP($A263,ATUAL_LIV_E_DIR!$A:$P,MATCH(APENDICE_BCB!M$3,ATUAL_LIV_E_DIR!$1:$1,0),0),0)</f>
        <v>680733</v>
      </c>
      <c r="O263" s="11">
        <f t="shared" si="57"/>
        <v>0</v>
      </c>
      <c r="P263" s="11">
        <f t="shared" si="58"/>
        <v>3117593</v>
      </c>
      <c r="Q263" s="11">
        <f t="shared" si="59"/>
        <v>0</v>
      </c>
      <c r="R263" s="11">
        <f t="shared" si="60"/>
        <v>1419445</v>
      </c>
      <c r="S263" s="11"/>
      <c r="T263" s="11">
        <f t="shared" si="61"/>
        <v>1698149</v>
      </c>
      <c r="V263" s="7">
        <f t="shared" si="62"/>
        <v>0</v>
      </c>
      <c r="W263">
        <f t="shared" si="63"/>
        <v>0.54469874675751451</v>
      </c>
      <c r="Y263" s="8"/>
      <c r="Z263" s="8">
        <f t="shared" si="64"/>
        <v>4.4118703604725251E-3</v>
      </c>
      <c r="AE263" s="1">
        <f t="shared" si="55"/>
        <v>43221</v>
      </c>
      <c r="AF263" s="11">
        <f t="shared" si="56"/>
        <v>1698149</v>
      </c>
    </row>
    <row r="264" spans="1:32" x14ac:dyDescent="0.25">
      <c r="A264" s="1">
        <v>43252</v>
      </c>
      <c r="B264" s="9">
        <f>IFERROR(VLOOKUP($A264,ANTIGA_LIVRES!$A:$P,MATCH(APENDICE_BCB!B$3,ANTIGA_LIVRES!$1:$1,0),0)/1000,0)</f>
        <v>0</v>
      </c>
      <c r="C264" s="9">
        <f>IFERROR(VLOOKUP($A264,ANTIGA_LIVRES!$A:$P,MATCH(APENDICE_BCB!C$3,ANTIGA_LIVRES!$1:$1,0),0)/1000,0)</f>
        <v>0</v>
      </c>
      <c r="D264" s="9">
        <f>IFERROR(VLOOKUP($A264,ANTIGA_LIVRES!$A:$P,MATCH(APENDICE_BCB!D$3,ANTIGA_LIVRES!$1:$1,0),0)/1000,0)</f>
        <v>0</v>
      </c>
      <c r="E264" s="9">
        <f>IFERROR(VLOOKUP($A264,ANTIGA_DIRECIONADOS!$A:$P,MATCH(APENDICE_BCB!E$3,ANTIGA_DIRECIONADOS!$1:$1,0),0),0)</f>
        <v>0</v>
      </c>
      <c r="F264" s="9">
        <f>IFERROR(VLOOKUP($A264,ANTIGA_DIRECIONADOS!$A:$P,MATCH(APENDICE_BCB!F$3,ANTIGA_DIRECIONADOS!$1:$1,0),0),0)</f>
        <v>0</v>
      </c>
      <c r="G264" s="9">
        <f>IFERROR(VLOOKUP($A264,ANTIGA_DIRECIONADOS!$A:$P,MATCH(APENDICE_BCB!G$3,ANTIGA_DIRECIONADOS!$1:$1,0),0),0)</f>
        <v>0</v>
      </c>
      <c r="H264" s="9">
        <f>IFERROR(VLOOKUP($A264,ATUAL_LIV_E_DIR!$A:$P,MATCH(APENDICE_BCB!H$3,ATUAL_LIV_E_DIR!$1:$1,0),0),0)</f>
        <v>1643757</v>
      </c>
      <c r="I264" s="9">
        <f>IFERROR(VLOOKUP($A264,ATUAL_LIV_E_DIR!$A:$P,MATCH(APENDICE_BCB!I$3,ATUAL_LIV_E_DIR!$1:$1,0),0),0)</f>
        <v>756397</v>
      </c>
      <c r="J264" s="9">
        <f>IFERROR(VLOOKUP($A264,ATUAL_LIV_E_DIR!$A:$P,MATCH(APENDICE_BCB!J$3,ATUAL_LIV_E_DIR!$1:$1,0),0),0)</f>
        <v>887360</v>
      </c>
      <c r="K264" s="9">
        <f>IFERROR(VLOOKUP($A264,ATUAL_LIV_E_DIR!$A:$P,MATCH(APENDICE_BCB!K$3,ATUAL_LIV_E_DIR!$1:$1,0),0),0)</f>
        <v>1495085</v>
      </c>
      <c r="L264" s="9">
        <f>IFERROR(VLOOKUP($A264,ATUAL_LIV_E_DIR!$A:$P,MATCH(APENDICE_BCB!L$3,ATUAL_LIV_E_DIR!$1:$1,0),0),0)</f>
        <v>818764</v>
      </c>
      <c r="M264" s="9">
        <f>IFERROR(VLOOKUP($A264,ATUAL_LIV_E_DIR!$A:$P,MATCH(APENDICE_BCB!M$3,ATUAL_LIV_E_DIR!$1:$1,0),0),0)</f>
        <v>676321</v>
      </c>
      <c r="O264" s="11">
        <f t="shared" si="57"/>
        <v>0</v>
      </c>
      <c r="P264" s="11">
        <f t="shared" si="58"/>
        <v>3138842</v>
      </c>
      <c r="Q264" s="11">
        <f t="shared" si="59"/>
        <v>0</v>
      </c>
      <c r="R264" s="11">
        <f t="shared" si="60"/>
        <v>1432718</v>
      </c>
      <c r="S264" s="11"/>
      <c r="T264" s="11">
        <f t="shared" si="61"/>
        <v>1706124</v>
      </c>
      <c r="V264" s="7">
        <f t="shared" si="62"/>
        <v>0</v>
      </c>
      <c r="W264">
        <f t="shared" si="63"/>
        <v>0.5435520488129062</v>
      </c>
      <c r="Y264" s="8"/>
      <c r="Z264" s="8">
        <f t="shared" si="64"/>
        <v>6.8158351651417259E-3</v>
      </c>
      <c r="AE264" s="1">
        <f t="shared" si="55"/>
        <v>43252</v>
      </c>
      <c r="AF264" s="11">
        <f t="shared" si="56"/>
        <v>1706124</v>
      </c>
    </row>
    <row r="265" spans="1:32" x14ac:dyDescent="0.25">
      <c r="A265" s="1">
        <v>43282</v>
      </c>
      <c r="B265" s="9">
        <f>IFERROR(VLOOKUP($A265,ANTIGA_LIVRES!$A:$P,MATCH(APENDICE_BCB!B$3,ANTIGA_LIVRES!$1:$1,0),0)/1000,0)</f>
        <v>0</v>
      </c>
      <c r="C265" s="9">
        <f>IFERROR(VLOOKUP($A265,ANTIGA_LIVRES!$A:$P,MATCH(APENDICE_BCB!C$3,ANTIGA_LIVRES!$1:$1,0),0)/1000,0)</f>
        <v>0</v>
      </c>
      <c r="D265" s="9">
        <f>IFERROR(VLOOKUP($A265,ANTIGA_LIVRES!$A:$P,MATCH(APENDICE_BCB!D$3,ANTIGA_LIVRES!$1:$1,0),0)/1000,0)</f>
        <v>0</v>
      </c>
      <c r="E265" s="9">
        <f>IFERROR(VLOOKUP($A265,ANTIGA_DIRECIONADOS!$A:$P,MATCH(APENDICE_BCB!E$3,ANTIGA_DIRECIONADOS!$1:$1,0),0),0)</f>
        <v>0</v>
      </c>
      <c r="F265" s="9">
        <f>IFERROR(VLOOKUP($A265,ANTIGA_DIRECIONADOS!$A:$P,MATCH(APENDICE_BCB!F$3,ANTIGA_DIRECIONADOS!$1:$1,0),0),0)</f>
        <v>0</v>
      </c>
      <c r="G265" s="9">
        <f>IFERROR(VLOOKUP($A265,ANTIGA_DIRECIONADOS!$A:$P,MATCH(APENDICE_BCB!G$3,ANTIGA_DIRECIONADOS!$1:$1,0),0),0)</f>
        <v>0</v>
      </c>
      <c r="H265" s="9">
        <f>IFERROR(VLOOKUP($A265,ATUAL_LIV_E_DIR!$A:$P,MATCH(APENDICE_BCB!H$3,ATUAL_LIV_E_DIR!$1:$1,0),0),0)</f>
        <v>1641920</v>
      </c>
      <c r="I265" s="9">
        <f>IFERROR(VLOOKUP($A265,ATUAL_LIV_E_DIR!$A:$P,MATCH(APENDICE_BCB!I$3,ATUAL_LIV_E_DIR!$1:$1,0),0),0)</f>
        <v>746066</v>
      </c>
      <c r="J265" s="9">
        <f>IFERROR(VLOOKUP($A265,ATUAL_LIV_E_DIR!$A:$P,MATCH(APENDICE_BCB!J$3,ATUAL_LIV_E_DIR!$1:$1,0),0),0)</f>
        <v>895854</v>
      </c>
      <c r="K265" s="9">
        <f>IFERROR(VLOOKUP($A265,ATUAL_LIV_E_DIR!$A:$P,MATCH(APENDICE_BCB!K$3,ATUAL_LIV_E_DIR!$1:$1,0),0),0)</f>
        <v>1492525</v>
      </c>
      <c r="L265" s="9">
        <f>IFERROR(VLOOKUP($A265,ATUAL_LIV_E_DIR!$A:$P,MATCH(APENDICE_BCB!L$3,ATUAL_LIV_E_DIR!$1:$1,0),0),0)</f>
        <v>817710</v>
      </c>
      <c r="M265" s="9">
        <f>IFERROR(VLOOKUP($A265,ATUAL_LIV_E_DIR!$A:$P,MATCH(APENDICE_BCB!M$3,ATUAL_LIV_E_DIR!$1:$1,0),0),0)</f>
        <v>674815</v>
      </c>
      <c r="O265" s="11">
        <f t="shared" si="57"/>
        <v>0</v>
      </c>
      <c r="P265" s="11">
        <f t="shared" si="58"/>
        <v>3134445</v>
      </c>
      <c r="Q265" s="11">
        <f t="shared" si="59"/>
        <v>0</v>
      </c>
      <c r="R265" s="11">
        <f t="shared" si="60"/>
        <v>1420881</v>
      </c>
      <c r="S265" s="11"/>
      <c r="T265" s="11">
        <f t="shared" si="61"/>
        <v>1713564</v>
      </c>
      <c r="V265" s="7">
        <f t="shared" si="62"/>
        <v>0</v>
      </c>
      <c r="W265">
        <f t="shared" si="63"/>
        <v>0.54668816967597134</v>
      </c>
      <c r="Y265" s="8"/>
      <c r="Z265" s="8">
        <f t="shared" si="64"/>
        <v>-1.4008350850409634E-3</v>
      </c>
      <c r="AE265" s="1">
        <f t="shared" si="55"/>
        <v>43282</v>
      </c>
      <c r="AF265" s="11">
        <f t="shared" si="56"/>
        <v>1713564</v>
      </c>
    </row>
    <row r="266" spans="1:32" x14ac:dyDescent="0.25">
      <c r="A266" s="1">
        <v>43313</v>
      </c>
      <c r="B266" s="9">
        <f>IFERROR(VLOOKUP($A266,ANTIGA_LIVRES!$A:$P,MATCH(APENDICE_BCB!B$3,ANTIGA_LIVRES!$1:$1,0),0)/1000,0)</f>
        <v>0</v>
      </c>
      <c r="C266" s="9">
        <f>IFERROR(VLOOKUP($A266,ANTIGA_LIVRES!$A:$P,MATCH(APENDICE_BCB!C$3,ANTIGA_LIVRES!$1:$1,0),0)/1000,0)</f>
        <v>0</v>
      </c>
      <c r="D266" s="9">
        <f>IFERROR(VLOOKUP($A266,ANTIGA_LIVRES!$A:$P,MATCH(APENDICE_BCB!D$3,ANTIGA_LIVRES!$1:$1,0),0)/1000,0)</f>
        <v>0</v>
      </c>
      <c r="E266" s="9">
        <f>IFERROR(VLOOKUP($A266,ANTIGA_DIRECIONADOS!$A:$P,MATCH(APENDICE_BCB!E$3,ANTIGA_DIRECIONADOS!$1:$1,0),0),0)</f>
        <v>0</v>
      </c>
      <c r="F266" s="9">
        <f>IFERROR(VLOOKUP($A266,ANTIGA_DIRECIONADOS!$A:$P,MATCH(APENDICE_BCB!F$3,ANTIGA_DIRECIONADOS!$1:$1,0),0),0)</f>
        <v>0</v>
      </c>
      <c r="G266" s="9">
        <f>IFERROR(VLOOKUP($A266,ANTIGA_DIRECIONADOS!$A:$P,MATCH(APENDICE_BCB!G$3,ANTIGA_DIRECIONADOS!$1:$1,0),0),0)</f>
        <v>0</v>
      </c>
      <c r="H266" s="9">
        <f>IFERROR(VLOOKUP($A266,ATUAL_LIV_E_DIR!$A:$P,MATCH(APENDICE_BCB!H$3,ATUAL_LIV_E_DIR!$1:$1,0),0),0)</f>
        <v>1667441</v>
      </c>
      <c r="I266" s="9">
        <f>IFERROR(VLOOKUP($A266,ATUAL_LIV_E_DIR!$A:$P,MATCH(APENDICE_BCB!I$3,ATUAL_LIV_E_DIR!$1:$1,0),0),0)</f>
        <v>759175</v>
      </c>
      <c r="J266" s="9">
        <f>IFERROR(VLOOKUP($A266,ATUAL_LIV_E_DIR!$A:$P,MATCH(APENDICE_BCB!J$3,ATUAL_LIV_E_DIR!$1:$1,0),0),0)</f>
        <v>908266</v>
      </c>
      <c r="K266" s="9">
        <f>IFERROR(VLOOKUP($A266,ATUAL_LIV_E_DIR!$A:$P,MATCH(APENDICE_BCB!K$3,ATUAL_LIV_E_DIR!$1:$1,0),0),0)</f>
        <v>1498863</v>
      </c>
      <c r="L266" s="9">
        <f>IFERROR(VLOOKUP($A266,ATUAL_LIV_E_DIR!$A:$P,MATCH(APENDICE_BCB!L$3,ATUAL_LIV_E_DIR!$1:$1,0),0),0)</f>
        <v>823718</v>
      </c>
      <c r="M266" s="9">
        <f>IFERROR(VLOOKUP($A266,ATUAL_LIV_E_DIR!$A:$P,MATCH(APENDICE_BCB!M$3,ATUAL_LIV_E_DIR!$1:$1,0),0),0)</f>
        <v>675145</v>
      </c>
      <c r="O266" s="11">
        <f t="shared" si="57"/>
        <v>0</v>
      </c>
      <c r="P266" s="11">
        <f t="shared" si="58"/>
        <v>3166304</v>
      </c>
      <c r="Q266" s="11">
        <f t="shared" si="59"/>
        <v>0</v>
      </c>
      <c r="R266" s="11">
        <f t="shared" si="60"/>
        <v>1434320</v>
      </c>
      <c r="S266" s="11"/>
      <c r="T266" s="11">
        <f t="shared" si="61"/>
        <v>1731984</v>
      </c>
      <c r="V266" s="7">
        <f t="shared" si="62"/>
        <v>0</v>
      </c>
      <c r="W266">
        <f t="shared" si="63"/>
        <v>0.54700496225251904</v>
      </c>
      <c r="Y266" s="8"/>
      <c r="Z266" s="8">
        <f t="shared" si="64"/>
        <v>1.0164159843289555E-2</v>
      </c>
      <c r="AE266" s="1">
        <f t="shared" si="55"/>
        <v>43313</v>
      </c>
      <c r="AF266" s="11">
        <f t="shared" si="56"/>
        <v>1731984</v>
      </c>
    </row>
    <row r="267" spans="1:32" x14ac:dyDescent="0.25">
      <c r="A267" s="1">
        <v>43344</v>
      </c>
      <c r="B267" s="9">
        <f>IFERROR(VLOOKUP($A267,ANTIGA_LIVRES!$A:$P,MATCH(APENDICE_BCB!B$3,ANTIGA_LIVRES!$1:$1,0),0)/1000,0)</f>
        <v>0</v>
      </c>
      <c r="C267" s="9">
        <f>IFERROR(VLOOKUP($A267,ANTIGA_LIVRES!$A:$P,MATCH(APENDICE_BCB!C$3,ANTIGA_LIVRES!$1:$1,0),0)/1000,0)</f>
        <v>0</v>
      </c>
      <c r="D267" s="9">
        <f>IFERROR(VLOOKUP($A267,ANTIGA_LIVRES!$A:$P,MATCH(APENDICE_BCB!D$3,ANTIGA_LIVRES!$1:$1,0),0)/1000,0)</f>
        <v>0</v>
      </c>
      <c r="E267" s="9">
        <f>IFERROR(VLOOKUP($A267,ANTIGA_DIRECIONADOS!$A:$P,MATCH(APENDICE_BCB!E$3,ANTIGA_DIRECIONADOS!$1:$1,0),0),0)</f>
        <v>0</v>
      </c>
      <c r="F267" s="9">
        <f>IFERROR(VLOOKUP($A267,ANTIGA_DIRECIONADOS!$A:$P,MATCH(APENDICE_BCB!F$3,ANTIGA_DIRECIONADOS!$1:$1,0),0),0)</f>
        <v>0</v>
      </c>
      <c r="G267" s="9">
        <f>IFERROR(VLOOKUP($A267,ANTIGA_DIRECIONADOS!$A:$P,MATCH(APENDICE_BCB!G$3,ANTIGA_DIRECIONADOS!$1:$1,0),0),0)</f>
        <v>0</v>
      </c>
      <c r="H267" s="9">
        <f>IFERROR(VLOOKUP($A267,ATUAL_LIV_E_DIR!$A:$P,MATCH(APENDICE_BCB!H$3,ATUAL_LIV_E_DIR!$1:$1,0),0),0)</f>
        <v>1682078</v>
      </c>
      <c r="I267" s="9">
        <f>IFERROR(VLOOKUP($A267,ATUAL_LIV_E_DIR!$A:$P,MATCH(APENDICE_BCB!I$3,ATUAL_LIV_E_DIR!$1:$1,0),0),0)</f>
        <v>773340</v>
      </c>
      <c r="J267" s="9">
        <f>IFERROR(VLOOKUP($A267,ATUAL_LIV_E_DIR!$A:$P,MATCH(APENDICE_BCB!J$3,ATUAL_LIV_E_DIR!$1:$1,0),0),0)</f>
        <v>908738</v>
      </c>
      <c r="K267" s="9">
        <f>IFERROR(VLOOKUP($A267,ATUAL_LIV_E_DIR!$A:$P,MATCH(APENDICE_BCB!K$3,ATUAL_LIV_E_DIR!$1:$1,0),0),0)</f>
        <v>1499569</v>
      </c>
      <c r="L267" s="9">
        <f>IFERROR(VLOOKUP($A267,ATUAL_LIV_E_DIR!$A:$P,MATCH(APENDICE_BCB!L$3,ATUAL_LIV_E_DIR!$1:$1,0),0),0)</f>
        <v>832033</v>
      </c>
      <c r="M267" s="9">
        <f>IFERROR(VLOOKUP($A267,ATUAL_LIV_E_DIR!$A:$P,MATCH(APENDICE_BCB!M$3,ATUAL_LIV_E_DIR!$1:$1,0),0),0)</f>
        <v>667536</v>
      </c>
      <c r="O267" s="11">
        <f t="shared" si="57"/>
        <v>0</v>
      </c>
      <c r="P267" s="11">
        <f t="shared" si="58"/>
        <v>3181647</v>
      </c>
      <c r="Q267" s="11">
        <f t="shared" si="59"/>
        <v>0</v>
      </c>
      <c r="R267" s="11">
        <f t="shared" si="60"/>
        <v>1440876</v>
      </c>
      <c r="S267" s="11"/>
      <c r="T267" s="11">
        <f t="shared" si="61"/>
        <v>1740771</v>
      </c>
      <c r="V267" s="7">
        <f t="shared" si="62"/>
        <v>0</v>
      </c>
      <c r="W267">
        <f t="shared" si="63"/>
        <v>0.54712889267728315</v>
      </c>
      <c r="Y267" s="8"/>
      <c r="Z267" s="8">
        <f t="shared" si="64"/>
        <v>4.845712856377693E-3</v>
      </c>
      <c r="AE267" s="1">
        <f t="shared" si="55"/>
        <v>43344</v>
      </c>
      <c r="AF267" s="11">
        <f t="shared" si="56"/>
        <v>1740771</v>
      </c>
    </row>
    <row r="268" spans="1:32" x14ac:dyDescent="0.25">
      <c r="A268" s="1">
        <v>43374</v>
      </c>
      <c r="B268" s="9">
        <f>IFERROR(VLOOKUP($A268,ANTIGA_LIVRES!$A:$P,MATCH(APENDICE_BCB!B$3,ANTIGA_LIVRES!$1:$1,0),0)/1000,0)</f>
        <v>0</v>
      </c>
      <c r="C268" s="9">
        <f>IFERROR(VLOOKUP($A268,ANTIGA_LIVRES!$A:$P,MATCH(APENDICE_BCB!C$3,ANTIGA_LIVRES!$1:$1,0),0)/1000,0)</f>
        <v>0</v>
      </c>
      <c r="D268" s="9">
        <f>IFERROR(VLOOKUP($A268,ANTIGA_LIVRES!$A:$P,MATCH(APENDICE_BCB!D$3,ANTIGA_LIVRES!$1:$1,0),0)/1000,0)</f>
        <v>0</v>
      </c>
      <c r="E268" s="9">
        <f>IFERROR(VLOOKUP($A268,ANTIGA_DIRECIONADOS!$A:$P,MATCH(APENDICE_BCB!E$3,ANTIGA_DIRECIONADOS!$1:$1,0),0),0)</f>
        <v>0</v>
      </c>
      <c r="F268" s="9">
        <f>IFERROR(VLOOKUP($A268,ANTIGA_DIRECIONADOS!$A:$P,MATCH(APENDICE_BCB!F$3,ANTIGA_DIRECIONADOS!$1:$1,0),0),0)</f>
        <v>0</v>
      </c>
      <c r="G268" s="9">
        <f>IFERROR(VLOOKUP($A268,ANTIGA_DIRECIONADOS!$A:$P,MATCH(APENDICE_BCB!G$3,ANTIGA_DIRECIONADOS!$1:$1,0),0),0)</f>
        <v>0</v>
      </c>
      <c r="H268" s="9">
        <f>IFERROR(VLOOKUP($A268,ATUAL_LIV_E_DIR!$A:$P,MATCH(APENDICE_BCB!H$3,ATUAL_LIV_E_DIR!$1:$1,0),0),0)</f>
        <v>1686005</v>
      </c>
      <c r="I268" s="9">
        <f>IFERROR(VLOOKUP($A268,ATUAL_LIV_E_DIR!$A:$P,MATCH(APENDICE_BCB!I$3,ATUAL_LIV_E_DIR!$1:$1,0),0),0)</f>
        <v>763232</v>
      </c>
      <c r="J268" s="9">
        <f>IFERROR(VLOOKUP($A268,ATUAL_LIV_E_DIR!$A:$P,MATCH(APENDICE_BCB!J$3,ATUAL_LIV_E_DIR!$1:$1,0),0),0)</f>
        <v>922774</v>
      </c>
      <c r="K268" s="9">
        <f>IFERROR(VLOOKUP($A268,ATUAL_LIV_E_DIR!$A:$P,MATCH(APENDICE_BCB!K$3,ATUAL_LIV_E_DIR!$1:$1,0),0),0)</f>
        <v>1491141</v>
      </c>
      <c r="L268" s="9">
        <f>IFERROR(VLOOKUP($A268,ATUAL_LIV_E_DIR!$A:$P,MATCH(APENDICE_BCB!L$3,ATUAL_LIV_E_DIR!$1:$1,0),0),0)</f>
        <v>836983</v>
      </c>
      <c r="M268" s="9">
        <f>IFERROR(VLOOKUP($A268,ATUAL_LIV_E_DIR!$A:$P,MATCH(APENDICE_BCB!M$3,ATUAL_LIV_E_DIR!$1:$1,0),0),0)</f>
        <v>654158</v>
      </c>
      <c r="O268" s="11">
        <f t="shared" si="57"/>
        <v>0</v>
      </c>
      <c r="P268" s="11">
        <f t="shared" si="58"/>
        <v>3177146</v>
      </c>
      <c r="Q268" s="11">
        <f t="shared" si="59"/>
        <v>0</v>
      </c>
      <c r="R268" s="11">
        <f t="shared" si="60"/>
        <v>1417390</v>
      </c>
      <c r="S268" s="11"/>
      <c r="T268" s="11">
        <f t="shared" si="61"/>
        <v>1759757</v>
      </c>
      <c r="V268" s="7">
        <f t="shared" si="62"/>
        <v>0</v>
      </c>
      <c r="W268">
        <f t="shared" si="63"/>
        <v>0.55387980281674187</v>
      </c>
      <c r="Y268" s="8"/>
      <c r="Z268" s="8">
        <f t="shared" si="64"/>
        <v>-1.4146761095746863E-3</v>
      </c>
      <c r="AE268" s="1">
        <f t="shared" si="55"/>
        <v>43374</v>
      </c>
      <c r="AF268" s="11">
        <f t="shared" si="56"/>
        <v>1759757</v>
      </c>
    </row>
    <row r="269" spans="1:32" x14ac:dyDescent="0.25">
      <c r="A269" s="1">
        <v>43405</v>
      </c>
      <c r="B269" s="9">
        <f>IFERROR(VLOOKUP($A269,ANTIGA_LIVRES!$A:$P,MATCH(APENDICE_BCB!B$3,ANTIGA_LIVRES!$1:$1,0),0)/1000,0)</f>
        <v>0</v>
      </c>
      <c r="C269" s="9">
        <f>IFERROR(VLOOKUP($A269,ANTIGA_LIVRES!$A:$P,MATCH(APENDICE_BCB!C$3,ANTIGA_LIVRES!$1:$1,0),0)/1000,0)</f>
        <v>0</v>
      </c>
      <c r="D269" s="9">
        <f>IFERROR(VLOOKUP($A269,ANTIGA_LIVRES!$A:$P,MATCH(APENDICE_BCB!D$3,ANTIGA_LIVRES!$1:$1,0),0)/1000,0)</f>
        <v>0</v>
      </c>
      <c r="E269" s="9">
        <f>IFERROR(VLOOKUP($A269,ANTIGA_DIRECIONADOS!$A:$P,MATCH(APENDICE_BCB!E$3,ANTIGA_DIRECIONADOS!$1:$1,0),0),0)</f>
        <v>0</v>
      </c>
      <c r="F269" s="9">
        <f>IFERROR(VLOOKUP($A269,ANTIGA_DIRECIONADOS!$A:$P,MATCH(APENDICE_BCB!F$3,ANTIGA_DIRECIONADOS!$1:$1,0),0),0)</f>
        <v>0</v>
      </c>
      <c r="G269" s="9">
        <f>IFERROR(VLOOKUP($A269,ANTIGA_DIRECIONADOS!$A:$P,MATCH(APENDICE_BCB!G$3,ANTIGA_DIRECIONADOS!$1:$1,0),0),0)</f>
        <v>0</v>
      </c>
      <c r="H269" s="9">
        <f>IFERROR(VLOOKUP($A269,ATUAL_LIV_E_DIR!$A:$P,MATCH(APENDICE_BCB!H$3,ATUAL_LIV_E_DIR!$1:$1,0),0),0)</f>
        <v>1718343</v>
      </c>
      <c r="I269" s="9">
        <f>IFERROR(VLOOKUP($A269,ATUAL_LIV_E_DIR!$A:$P,MATCH(APENDICE_BCB!I$3,ATUAL_LIV_E_DIR!$1:$1,0),0),0)</f>
        <v>776018</v>
      </c>
      <c r="J269" s="9">
        <f>IFERROR(VLOOKUP($A269,ATUAL_LIV_E_DIR!$A:$P,MATCH(APENDICE_BCB!J$3,ATUAL_LIV_E_DIR!$1:$1,0),0),0)</f>
        <v>942326</v>
      </c>
      <c r="K269" s="9">
        <f>IFERROR(VLOOKUP($A269,ATUAL_LIV_E_DIR!$A:$P,MATCH(APENDICE_BCB!K$3,ATUAL_LIV_E_DIR!$1:$1,0),0),0)</f>
        <v>1494192</v>
      </c>
      <c r="L269" s="9">
        <f>IFERROR(VLOOKUP($A269,ATUAL_LIV_E_DIR!$A:$P,MATCH(APENDICE_BCB!L$3,ATUAL_LIV_E_DIR!$1:$1,0),0),0)</f>
        <v>842391</v>
      </c>
      <c r="M269" s="9">
        <f>IFERROR(VLOOKUP($A269,ATUAL_LIV_E_DIR!$A:$P,MATCH(APENDICE_BCB!M$3,ATUAL_LIV_E_DIR!$1:$1,0),0),0)</f>
        <v>651801</v>
      </c>
      <c r="O269" s="11">
        <f t="shared" si="57"/>
        <v>0</v>
      </c>
      <c r="P269" s="11">
        <f t="shared" si="58"/>
        <v>3212535</v>
      </c>
      <c r="Q269" s="11">
        <f t="shared" si="59"/>
        <v>0</v>
      </c>
      <c r="R269" s="11">
        <f t="shared" si="60"/>
        <v>1427819</v>
      </c>
      <c r="S269" s="11"/>
      <c r="T269" s="11">
        <f t="shared" si="61"/>
        <v>1784717</v>
      </c>
      <c r="V269" s="7">
        <f t="shared" si="62"/>
        <v>0</v>
      </c>
      <c r="W269">
        <f t="shared" si="63"/>
        <v>0.55554787729939126</v>
      </c>
      <c r="Y269" s="8"/>
      <c r="Z269" s="8">
        <f t="shared" si="64"/>
        <v>1.1138613082307236E-2</v>
      </c>
      <c r="AE269" s="1">
        <f t="shared" si="55"/>
        <v>43405</v>
      </c>
      <c r="AF269" s="11">
        <f t="shared" si="56"/>
        <v>1784717</v>
      </c>
    </row>
    <row r="270" spans="1:32" x14ac:dyDescent="0.25">
      <c r="A270" s="1">
        <v>43435</v>
      </c>
      <c r="B270" s="9">
        <f>IFERROR(VLOOKUP($A270,ANTIGA_LIVRES!$A:$P,MATCH(APENDICE_BCB!B$3,ANTIGA_LIVRES!$1:$1,0),0)/1000,0)</f>
        <v>0</v>
      </c>
      <c r="C270" s="9">
        <f>IFERROR(VLOOKUP($A270,ANTIGA_LIVRES!$A:$P,MATCH(APENDICE_BCB!C$3,ANTIGA_LIVRES!$1:$1,0),0)/1000,0)</f>
        <v>0</v>
      </c>
      <c r="D270" s="9">
        <f>IFERROR(VLOOKUP($A270,ANTIGA_LIVRES!$A:$P,MATCH(APENDICE_BCB!D$3,ANTIGA_LIVRES!$1:$1,0),0)/1000,0)</f>
        <v>0</v>
      </c>
      <c r="E270" s="9">
        <f>IFERROR(VLOOKUP($A270,ANTIGA_DIRECIONADOS!$A:$P,MATCH(APENDICE_BCB!E$3,ANTIGA_DIRECIONADOS!$1:$1,0),0),0)</f>
        <v>0</v>
      </c>
      <c r="F270" s="9">
        <f>IFERROR(VLOOKUP($A270,ANTIGA_DIRECIONADOS!$A:$P,MATCH(APENDICE_BCB!F$3,ANTIGA_DIRECIONADOS!$1:$1,0),0),0)</f>
        <v>0</v>
      </c>
      <c r="G270" s="9">
        <f>IFERROR(VLOOKUP($A270,ANTIGA_DIRECIONADOS!$A:$P,MATCH(APENDICE_BCB!G$3,ANTIGA_DIRECIONADOS!$1:$1,0),0),0)</f>
        <v>0</v>
      </c>
      <c r="H270" s="9">
        <f>IFERROR(VLOOKUP($A270,ATUAL_LIV_E_DIR!$A:$P,MATCH(APENDICE_BCB!H$3,ATUAL_LIV_E_DIR!$1:$1,0),0),0)</f>
        <v>1765054</v>
      </c>
      <c r="I270" s="9">
        <f>IFERROR(VLOOKUP($A270,ATUAL_LIV_E_DIR!$A:$P,MATCH(APENDICE_BCB!I$3,ATUAL_LIV_E_DIR!$1:$1,0),0),0)</f>
        <v>810582</v>
      </c>
      <c r="J270" s="9">
        <f>IFERROR(VLOOKUP($A270,ATUAL_LIV_E_DIR!$A:$P,MATCH(APENDICE_BCB!J$3,ATUAL_LIV_E_DIR!$1:$1,0),0),0)</f>
        <v>954473</v>
      </c>
      <c r="K270" s="9">
        <f>IFERROR(VLOOKUP($A270,ATUAL_LIV_E_DIR!$A:$P,MATCH(APENDICE_BCB!K$3,ATUAL_LIV_E_DIR!$1:$1,0),0),0)</f>
        <v>1500009</v>
      </c>
      <c r="L270" s="9">
        <f>IFERROR(VLOOKUP($A270,ATUAL_LIV_E_DIR!$A:$P,MATCH(APENDICE_BCB!L$3,ATUAL_LIV_E_DIR!$1:$1,0),0),0)</f>
        <v>848554</v>
      </c>
      <c r="M270" s="9">
        <f>IFERROR(VLOOKUP($A270,ATUAL_LIV_E_DIR!$A:$P,MATCH(APENDICE_BCB!M$3,ATUAL_LIV_E_DIR!$1:$1,0),0),0)</f>
        <v>651455</v>
      </c>
      <c r="O270" s="11">
        <f t="shared" si="57"/>
        <v>0</v>
      </c>
      <c r="P270" s="11">
        <f t="shared" si="58"/>
        <v>3265063</v>
      </c>
      <c r="Q270" s="11">
        <f t="shared" si="59"/>
        <v>0</v>
      </c>
      <c r="R270" s="11">
        <f t="shared" si="60"/>
        <v>1462037</v>
      </c>
      <c r="S270" s="11"/>
      <c r="T270" s="11">
        <f t="shared" si="61"/>
        <v>1803027</v>
      </c>
      <c r="V270" s="7">
        <f t="shared" si="62"/>
        <v>0</v>
      </c>
      <c r="W270">
        <f t="shared" si="63"/>
        <v>0.55221813484150228</v>
      </c>
      <c r="Y270" s="8"/>
      <c r="Z270" s="8">
        <f t="shared" si="64"/>
        <v>1.6350950262020492E-2</v>
      </c>
      <c r="AE270" s="1">
        <f t="shared" si="55"/>
        <v>43435</v>
      </c>
      <c r="AF270" s="11">
        <f t="shared" si="56"/>
        <v>1803027</v>
      </c>
    </row>
    <row r="271" spans="1:32" x14ac:dyDescent="0.25">
      <c r="A271" s="1">
        <v>43466</v>
      </c>
      <c r="B271" s="9">
        <f>IFERROR(VLOOKUP($A271,ANTIGA_LIVRES!$A:$P,MATCH(APENDICE_BCB!B$3,ANTIGA_LIVRES!$1:$1,0),0)/1000,0)</f>
        <v>0</v>
      </c>
      <c r="C271" s="9">
        <f>IFERROR(VLOOKUP($A271,ANTIGA_LIVRES!$A:$P,MATCH(APENDICE_BCB!C$3,ANTIGA_LIVRES!$1:$1,0),0)/1000,0)</f>
        <v>0</v>
      </c>
      <c r="D271" s="9">
        <f>IFERROR(VLOOKUP($A271,ANTIGA_LIVRES!$A:$P,MATCH(APENDICE_BCB!D$3,ANTIGA_LIVRES!$1:$1,0),0)/1000,0)</f>
        <v>0</v>
      </c>
      <c r="E271" s="9">
        <f>IFERROR(VLOOKUP($A271,ANTIGA_DIRECIONADOS!$A:$P,MATCH(APENDICE_BCB!E$3,ANTIGA_DIRECIONADOS!$1:$1,0),0),0)</f>
        <v>0</v>
      </c>
      <c r="F271" s="9">
        <f>IFERROR(VLOOKUP($A271,ANTIGA_DIRECIONADOS!$A:$P,MATCH(APENDICE_BCB!F$3,ANTIGA_DIRECIONADOS!$1:$1,0),0),0)</f>
        <v>0</v>
      </c>
      <c r="G271" s="9">
        <f>IFERROR(VLOOKUP($A271,ANTIGA_DIRECIONADOS!$A:$P,MATCH(APENDICE_BCB!G$3,ANTIGA_DIRECIONADOS!$1:$1,0),0),0)</f>
        <v>0</v>
      </c>
      <c r="H271" s="9">
        <f>IFERROR(VLOOKUP($A271,ATUAL_LIV_E_DIR!$A:$P,MATCH(APENDICE_BCB!H$3,ATUAL_LIV_E_DIR!$1:$1,0),0),0)</f>
        <v>1748489</v>
      </c>
      <c r="I271" s="9">
        <f>IFERROR(VLOOKUP($A271,ATUAL_LIV_E_DIR!$A:$P,MATCH(APENDICE_BCB!I$3,ATUAL_LIV_E_DIR!$1:$1,0),0),0)</f>
        <v>783470</v>
      </c>
      <c r="J271" s="9">
        <f>IFERROR(VLOOKUP($A271,ATUAL_LIV_E_DIR!$A:$P,MATCH(APENDICE_BCB!J$3,ATUAL_LIV_E_DIR!$1:$1,0),0),0)</f>
        <v>965020</v>
      </c>
      <c r="K271" s="9">
        <f>IFERROR(VLOOKUP($A271,ATUAL_LIV_E_DIR!$A:$P,MATCH(APENDICE_BCB!K$3,ATUAL_LIV_E_DIR!$1:$1,0),0),0)</f>
        <v>1488587</v>
      </c>
      <c r="L271" s="9">
        <f>IFERROR(VLOOKUP($A271,ATUAL_LIV_E_DIR!$A:$P,MATCH(APENDICE_BCB!L$3,ATUAL_LIV_E_DIR!$1:$1,0),0),0)</f>
        <v>849054</v>
      </c>
      <c r="M271" s="9">
        <f>IFERROR(VLOOKUP($A271,ATUAL_LIV_E_DIR!$A:$P,MATCH(APENDICE_BCB!M$3,ATUAL_LIV_E_DIR!$1:$1,0),0),0)</f>
        <v>639533</v>
      </c>
      <c r="O271" s="11">
        <f t="shared" si="57"/>
        <v>0</v>
      </c>
      <c r="P271" s="11">
        <f t="shared" si="58"/>
        <v>3237076</v>
      </c>
      <c r="Q271" s="11">
        <f t="shared" si="59"/>
        <v>0</v>
      </c>
      <c r="R271" s="11">
        <f t="shared" si="60"/>
        <v>1423003</v>
      </c>
      <c r="S271" s="11"/>
      <c r="T271" s="11">
        <f t="shared" si="61"/>
        <v>1814074</v>
      </c>
      <c r="V271" s="7">
        <f t="shared" si="62"/>
        <v>0</v>
      </c>
      <c r="W271">
        <f t="shared" si="63"/>
        <v>0.56040513105036771</v>
      </c>
      <c r="Y271" s="8"/>
      <c r="Z271" s="8">
        <f t="shared" si="64"/>
        <v>-8.5716569634337603E-3</v>
      </c>
      <c r="AE271" s="1">
        <f t="shared" si="55"/>
        <v>43466</v>
      </c>
      <c r="AF271" s="11">
        <f t="shared" si="56"/>
        <v>1814074</v>
      </c>
    </row>
    <row r="272" spans="1:32" x14ac:dyDescent="0.25">
      <c r="A272" s="1">
        <v>43497</v>
      </c>
      <c r="B272" s="9">
        <f>IFERROR(VLOOKUP($A272,ANTIGA_LIVRES!$A:$P,MATCH(APENDICE_BCB!B$3,ANTIGA_LIVRES!$1:$1,0),0)/1000,0)</f>
        <v>0</v>
      </c>
      <c r="C272" s="9">
        <f>IFERROR(VLOOKUP($A272,ANTIGA_LIVRES!$A:$P,MATCH(APENDICE_BCB!C$3,ANTIGA_LIVRES!$1:$1,0),0)/1000,0)</f>
        <v>0</v>
      </c>
      <c r="D272" s="9">
        <f>IFERROR(VLOOKUP($A272,ANTIGA_LIVRES!$A:$P,MATCH(APENDICE_BCB!D$3,ANTIGA_LIVRES!$1:$1,0),0)/1000,0)</f>
        <v>0</v>
      </c>
      <c r="E272" s="9">
        <f>IFERROR(VLOOKUP($A272,ANTIGA_DIRECIONADOS!$A:$P,MATCH(APENDICE_BCB!E$3,ANTIGA_DIRECIONADOS!$1:$1,0),0),0)</f>
        <v>0</v>
      </c>
      <c r="F272" s="9">
        <f>IFERROR(VLOOKUP($A272,ANTIGA_DIRECIONADOS!$A:$P,MATCH(APENDICE_BCB!F$3,ANTIGA_DIRECIONADOS!$1:$1,0),0),0)</f>
        <v>0</v>
      </c>
      <c r="G272" s="9">
        <f>IFERROR(VLOOKUP($A272,ANTIGA_DIRECIONADOS!$A:$P,MATCH(APENDICE_BCB!G$3,ANTIGA_DIRECIONADOS!$1:$1,0),0),0)</f>
        <v>0</v>
      </c>
      <c r="H272" s="9">
        <f>IFERROR(VLOOKUP($A272,ATUAL_LIV_E_DIR!$A:$P,MATCH(APENDICE_BCB!H$3,ATUAL_LIV_E_DIR!$1:$1,0),0),0)</f>
        <v>1757500</v>
      </c>
      <c r="I272" s="9">
        <f>IFERROR(VLOOKUP($A272,ATUAL_LIV_E_DIR!$A:$P,MATCH(APENDICE_BCB!I$3,ATUAL_LIV_E_DIR!$1:$1,0),0),0)</f>
        <v>788244</v>
      </c>
      <c r="J272" s="9">
        <f>IFERROR(VLOOKUP($A272,ATUAL_LIV_E_DIR!$A:$P,MATCH(APENDICE_BCB!J$3,ATUAL_LIV_E_DIR!$1:$1,0),0),0)</f>
        <v>969256</v>
      </c>
      <c r="K272" s="9">
        <f>IFERROR(VLOOKUP($A272,ATUAL_LIV_E_DIR!$A:$P,MATCH(APENDICE_BCB!K$3,ATUAL_LIV_E_DIR!$1:$1,0),0),0)</f>
        <v>1489895</v>
      </c>
      <c r="L272" s="9">
        <f>IFERROR(VLOOKUP($A272,ATUAL_LIV_E_DIR!$A:$P,MATCH(APENDICE_BCB!L$3,ATUAL_LIV_E_DIR!$1:$1,0),0),0)</f>
        <v>853928</v>
      </c>
      <c r="M272" s="9">
        <f>IFERROR(VLOOKUP($A272,ATUAL_LIV_E_DIR!$A:$P,MATCH(APENDICE_BCB!M$3,ATUAL_LIV_E_DIR!$1:$1,0),0),0)</f>
        <v>635967</v>
      </c>
      <c r="O272" s="11">
        <f t="shared" si="57"/>
        <v>0</v>
      </c>
      <c r="P272" s="11">
        <f t="shared" si="58"/>
        <v>3247395</v>
      </c>
      <c r="Q272" s="11">
        <f t="shared" si="59"/>
        <v>0</v>
      </c>
      <c r="R272" s="11">
        <f t="shared" si="60"/>
        <v>1424211</v>
      </c>
      <c r="S272" s="11"/>
      <c r="T272" s="11">
        <f t="shared" si="61"/>
        <v>1823184</v>
      </c>
      <c r="V272" s="7">
        <f t="shared" si="62"/>
        <v>0</v>
      </c>
      <c r="W272">
        <f t="shared" si="63"/>
        <v>0.56142969980553648</v>
      </c>
      <c r="Y272" s="8"/>
      <c r="Z272" s="8">
        <f t="shared" si="64"/>
        <v>3.1877533922588519E-3</v>
      </c>
      <c r="AE272" s="1">
        <f t="shared" si="55"/>
        <v>43497</v>
      </c>
      <c r="AF272" s="11">
        <f t="shared" si="56"/>
        <v>1823184</v>
      </c>
    </row>
    <row r="273" spans="1:32" x14ac:dyDescent="0.25">
      <c r="A273" s="1">
        <v>43525</v>
      </c>
      <c r="B273" s="9">
        <f>IFERROR(VLOOKUP($A273,ANTIGA_LIVRES!$A:$P,MATCH(APENDICE_BCB!B$3,ANTIGA_LIVRES!$1:$1,0),0)/1000,0)</f>
        <v>0</v>
      </c>
      <c r="C273" s="9">
        <f>IFERROR(VLOOKUP($A273,ANTIGA_LIVRES!$A:$P,MATCH(APENDICE_BCB!C$3,ANTIGA_LIVRES!$1:$1,0),0)/1000,0)</f>
        <v>0</v>
      </c>
      <c r="D273" s="9">
        <f>IFERROR(VLOOKUP($A273,ANTIGA_LIVRES!$A:$P,MATCH(APENDICE_BCB!D$3,ANTIGA_LIVRES!$1:$1,0),0)/1000,0)</f>
        <v>0</v>
      </c>
      <c r="E273" s="9">
        <f>IFERROR(VLOOKUP($A273,ANTIGA_DIRECIONADOS!$A:$P,MATCH(APENDICE_BCB!E$3,ANTIGA_DIRECIONADOS!$1:$1,0),0),0)</f>
        <v>0</v>
      </c>
      <c r="F273" s="9">
        <f>IFERROR(VLOOKUP($A273,ANTIGA_DIRECIONADOS!$A:$P,MATCH(APENDICE_BCB!F$3,ANTIGA_DIRECIONADOS!$1:$1,0),0),0)</f>
        <v>0</v>
      </c>
      <c r="G273" s="9">
        <f>IFERROR(VLOOKUP($A273,ANTIGA_DIRECIONADOS!$A:$P,MATCH(APENDICE_BCB!G$3,ANTIGA_DIRECIONADOS!$1:$1,0),0),0)</f>
        <v>0</v>
      </c>
      <c r="H273" s="9">
        <f>IFERROR(VLOOKUP($A273,ATUAL_LIV_E_DIR!$A:$P,MATCH(APENDICE_BCB!H$3,ATUAL_LIV_E_DIR!$1:$1,0),0),0)</f>
        <v>1783149</v>
      </c>
      <c r="I273" s="9">
        <f>IFERROR(VLOOKUP($A273,ATUAL_LIV_E_DIR!$A:$P,MATCH(APENDICE_BCB!I$3,ATUAL_LIV_E_DIR!$1:$1,0),0),0)</f>
        <v>804363</v>
      </c>
      <c r="J273" s="9">
        <f>IFERROR(VLOOKUP($A273,ATUAL_LIV_E_DIR!$A:$P,MATCH(APENDICE_BCB!J$3,ATUAL_LIV_E_DIR!$1:$1,0),0),0)</f>
        <v>978787</v>
      </c>
      <c r="K273" s="9">
        <f>IFERROR(VLOOKUP($A273,ATUAL_LIV_E_DIR!$A:$P,MATCH(APENDICE_BCB!K$3,ATUAL_LIV_E_DIR!$1:$1,0),0),0)</f>
        <v>1489851</v>
      </c>
      <c r="L273" s="9">
        <f>IFERROR(VLOOKUP($A273,ATUAL_LIV_E_DIR!$A:$P,MATCH(APENDICE_BCB!L$3,ATUAL_LIV_E_DIR!$1:$1,0),0),0)</f>
        <v>857518</v>
      </c>
      <c r="M273" s="9">
        <f>IFERROR(VLOOKUP($A273,ATUAL_LIV_E_DIR!$A:$P,MATCH(APENDICE_BCB!M$3,ATUAL_LIV_E_DIR!$1:$1,0),0),0)</f>
        <v>632332</v>
      </c>
      <c r="O273" s="11">
        <f t="shared" si="57"/>
        <v>0</v>
      </c>
      <c r="P273" s="11">
        <f t="shared" si="58"/>
        <v>3273000</v>
      </c>
      <c r="Q273" s="11">
        <f t="shared" si="59"/>
        <v>0</v>
      </c>
      <c r="R273" s="11">
        <f t="shared" si="60"/>
        <v>1436695</v>
      </c>
      <c r="S273" s="11"/>
      <c r="T273" s="11">
        <f t="shared" si="61"/>
        <v>1836305</v>
      </c>
      <c r="V273" s="7">
        <f t="shared" si="62"/>
        <v>0</v>
      </c>
      <c r="W273">
        <f t="shared" si="63"/>
        <v>0.56104644057439657</v>
      </c>
      <c r="Y273" s="8"/>
      <c r="Z273" s="8">
        <f t="shared" si="64"/>
        <v>7.8847814940898875E-3</v>
      </c>
      <c r="AE273" s="1">
        <f t="shared" si="55"/>
        <v>43525</v>
      </c>
      <c r="AF273" s="11">
        <f t="shared" si="56"/>
        <v>1836305</v>
      </c>
    </row>
    <row r="274" spans="1:32" x14ac:dyDescent="0.25">
      <c r="A274" s="1">
        <v>43556</v>
      </c>
      <c r="B274" s="9">
        <f>IFERROR(VLOOKUP($A274,ANTIGA_LIVRES!$A:$P,MATCH(APENDICE_BCB!B$3,ANTIGA_LIVRES!$1:$1,0),0)/1000,0)</f>
        <v>0</v>
      </c>
      <c r="C274" s="9">
        <f>IFERROR(VLOOKUP($A274,ANTIGA_LIVRES!$A:$P,MATCH(APENDICE_BCB!C$3,ANTIGA_LIVRES!$1:$1,0),0)/1000,0)</f>
        <v>0</v>
      </c>
      <c r="D274" s="9">
        <f>IFERROR(VLOOKUP($A274,ANTIGA_LIVRES!$A:$P,MATCH(APENDICE_BCB!D$3,ANTIGA_LIVRES!$1:$1,0),0)/1000,0)</f>
        <v>0</v>
      </c>
      <c r="E274" s="9">
        <f>IFERROR(VLOOKUP($A274,ANTIGA_DIRECIONADOS!$A:$P,MATCH(APENDICE_BCB!E$3,ANTIGA_DIRECIONADOS!$1:$1,0),0),0)</f>
        <v>0</v>
      </c>
      <c r="F274" s="9">
        <f>IFERROR(VLOOKUP($A274,ANTIGA_DIRECIONADOS!$A:$P,MATCH(APENDICE_BCB!F$3,ANTIGA_DIRECIONADOS!$1:$1,0),0),0)</f>
        <v>0</v>
      </c>
      <c r="G274" s="9">
        <f>IFERROR(VLOOKUP($A274,ANTIGA_DIRECIONADOS!$A:$P,MATCH(APENDICE_BCB!G$3,ANTIGA_DIRECIONADOS!$1:$1,0),0),0)</f>
        <v>0</v>
      </c>
      <c r="H274" s="9">
        <f>IFERROR(VLOOKUP($A274,ATUAL_LIV_E_DIR!$A:$P,MATCH(APENDICE_BCB!H$3,ATUAL_LIV_E_DIR!$1:$1,0),0),0)</f>
        <v>1789493</v>
      </c>
      <c r="I274" s="9">
        <f>IFERROR(VLOOKUP($A274,ATUAL_LIV_E_DIR!$A:$P,MATCH(APENDICE_BCB!I$3,ATUAL_LIV_E_DIR!$1:$1,0),0),0)</f>
        <v>796475</v>
      </c>
      <c r="J274" s="9">
        <f>IFERROR(VLOOKUP($A274,ATUAL_LIV_E_DIR!$A:$P,MATCH(APENDICE_BCB!J$3,ATUAL_LIV_E_DIR!$1:$1,0),0),0)</f>
        <v>993017</v>
      </c>
      <c r="K274" s="9">
        <f>IFERROR(VLOOKUP($A274,ATUAL_LIV_E_DIR!$A:$P,MATCH(APENDICE_BCB!K$3,ATUAL_LIV_E_DIR!$1:$1,0),0),0)</f>
        <v>1483077</v>
      </c>
      <c r="L274" s="9">
        <f>IFERROR(VLOOKUP($A274,ATUAL_LIV_E_DIR!$A:$P,MATCH(APENDICE_BCB!L$3,ATUAL_LIV_E_DIR!$1:$1,0),0),0)</f>
        <v>859529</v>
      </c>
      <c r="M274" s="9">
        <f>IFERROR(VLOOKUP($A274,ATUAL_LIV_E_DIR!$A:$P,MATCH(APENDICE_BCB!M$3,ATUAL_LIV_E_DIR!$1:$1,0),0),0)</f>
        <v>623549</v>
      </c>
      <c r="O274" s="11">
        <f t="shared" si="57"/>
        <v>0</v>
      </c>
      <c r="P274" s="11">
        <f t="shared" si="58"/>
        <v>3272570</v>
      </c>
      <c r="Q274" s="11">
        <f t="shared" si="59"/>
        <v>0</v>
      </c>
      <c r="R274" s="11">
        <f t="shared" si="60"/>
        <v>1420024</v>
      </c>
      <c r="S274" s="11"/>
      <c r="T274" s="11">
        <f t="shared" si="61"/>
        <v>1852546</v>
      </c>
      <c r="V274" s="7">
        <f t="shared" si="62"/>
        <v>0</v>
      </c>
      <c r="W274">
        <f t="shared" si="63"/>
        <v>0.56608292565170493</v>
      </c>
      <c r="Y274" s="8"/>
      <c r="Z274" s="8">
        <f t="shared" si="64"/>
        <v>-1.3137794072715092E-4</v>
      </c>
      <c r="AE274" s="1">
        <f t="shared" si="55"/>
        <v>43556</v>
      </c>
      <c r="AF274" s="11">
        <f t="shared" si="56"/>
        <v>1852546</v>
      </c>
    </row>
    <row r="275" spans="1:32" x14ac:dyDescent="0.25">
      <c r="A275" s="1">
        <v>43586</v>
      </c>
      <c r="B275" s="9">
        <f>IFERROR(VLOOKUP($A275,ANTIGA_LIVRES!$A:$P,MATCH(APENDICE_BCB!B$3,ANTIGA_LIVRES!$1:$1,0),0)/1000,0)</f>
        <v>0</v>
      </c>
      <c r="C275" s="9">
        <f>IFERROR(VLOOKUP($A275,ANTIGA_LIVRES!$A:$P,MATCH(APENDICE_BCB!C$3,ANTIGA_LIVRES!$1:$1,0),0)/1000,0)</f>
        <v>0</v>
      </c>
      <c r="D275" s="9">
        <f>IFERROR(VLOOKUP($A275,ANTIGA_LIVRES!$A:$P,MATCH(APENDICE_BCB!D$3,ANTIGA_LIVRES!$1:$1,0),0)/1000,0)</f>
        <v>0</v>
      </c>
      <c r="E275" s="9">
        <f>IFERROR(VLOOKUP($A275,ANTIGA_DIRECIONADOS!$A:$P,MATCH(APENDICE_BCB!E$3,ANTIGA_DIRECIONADOS!$1:$1,0),0),0)</f>
        <v>0</v>
      </c>
      <c r="F275" s="9">
        <f>IFERROR(VLOOKUP($A275,ANTIGA_DIRECIONADOS!$A:$P,MATCH(APENDICE_BCB!F$3,ANTIGA_DIRECIONADOS!$1:$1,0),0),0)</f>
        <v>0</v>
      </c>
      <c r="G275" s="9">
        <f>IFERROR(VLOOKUP($A275,ANTIGA_DIRECIONADOS!$A:$P,MATCH(APENDICE_BCB!G$3,ANTIGA_DIRECIONADOS!$1:$1,0),0),0)</f>
        <v>0</v>
      </c>
      <c r="H275" s="9">
        <f>IFERROR(VLOOKUP($A275,ATUAL_LIV_E_DIR!$A:$P,MATCH(APENDICE_BCB!H$3,ATUAL_LIV_E_DIR!$1:$1,0),0),0)</f>
        <v>1815602</v>
      </c>
      <c r="I275" s="9">
        <f>IFERROR(VLOOKUP($A275,ATUAL_LIV_E_DIR!$A:$P,MATCH(APENDICE_BCB!I$3,ATUAL_LIV_E_DIR!$1:$1,0),0),0)</f>
        <v>805976</v>
      </c>
      <c r="J275" s="9">
        <f>IFERROR(VLOOKUP($A275,ATUAL_LIV_E_DIR!$A:$P,MATCH(APENDICE_BCB!J$3,ATUAL_LIV_E_DIR!$1:$1,0),0),0)</f>
        <v>1009626</v>
      </c>
      <c r="K275" s="9">
        <f>IFERROR(VLOOKUP($A275,ATUAL_LIV_E_DIR!$A:$P,MATCH(APENDICE_BCB!K$3,ATUAL_LIV_E_DIR!$1:$1,0),0),0)</f>
        <v>1475610</v>
      </c>
      <c r="L275" s="9">
        <f>IFERROR(VLOOKUP($A275,ATUAL_LIV_E_DIR!$A:$P,MATCH(APENDICE_BCB!L$3,ATUAL_LIV_E_DIR!$1:$1,0),0),0)</f>
        <v>861037</v>
      </c>
      <c r="M275" s="9">
        <f>IFERROR(VLOOKUP($A275,ATUAL_LIV_E_DIR!$A:$P,MATCH(APENDICE_BCB!M$3,ATUAL_LIV_E_DIR!$1:$1,0),0),0)</f>
        <v>614573</v>
      </c>
      <c r="O275" s="11">
        <f t="shared" si="57"/>
        <v>0</v>
      </c>
      <c r="P275" s="11">
        <f t="shared" si="58"/>
        <v>3291212</v>
      </c>
      <c r="Q275" s="11">
        <f t="shared" si="59"/>
        <v>0</v>
      </c>
      <c r="R275" s="11">
        <f t="shared" si="60"/>
        <v>1420549</v>
      </c>
      <c r="S275" s="11"/>
      <c r="T275" s="11">
        <f t="shared" si="61"/>
        <v>1870663</v>
      </c>
      <c r="V275" s="7">
        <f t="shared" si="62"/>
        <v>0</v>
      </c>
      <c r="W275">
        <f t="shared" si="63"/>
        <v>0.5683811920957994</v>
      </c>
      <c r="Y275" s="8"/>
      <c r="Z275" s="8">
        <f t="shared" si="64"/>
        <v>5.6964404122754608E-3</v>
      </c>
      <c r="AE275" s="1">
        <f t="shared" si="55"/>
        <v>43586</v>
      </c>
      <c r="AF275" s="11">
        <f t="shared" si="56"/>
        <v>1870663</v>
      </c>
    </row>
    <row r="276" spans="1:32" x14ac:dyDescent="0.25">
      <c r="A276" s="1">
        <v>43617</v>
      </c>
      <c r="B276" s="9">
        <f>IFERROR(VLOOKUP($A276,ANTIGA_LIVRES!$A:$P,MATCH(APENDICE_BCB!B$3,ANTIGA_LIVRES!$1:$1,0),0)/1000,0)</f>
        <v>0</v>
      </c>
      <c r="C276" s="9">
        <f>IFERROR(VLOOKUP($A276,ANTIGA_LIVRES!$A:$P,MATCH(APENDICE_BCB!C$3,ANTIGA_LIVRES!$1:$1,0),0)/1000,0)</f>
        <v>0</v>
      </c>
      <c r="D276" s="9">
        <f>IFERROR(VLOOKUP($A276,ANTIGA_LIVRES!$A:$P,MATCH(APENDICE_BCB!D$3,ANTIGA_LIVRES!$1:$1,0),0)/1000,0)</f>
        <v>0</v>
      </c>
      <c r="E276" s="9">
        <f>IFERROR(VLOOKUP($A276,ANTIGA_DIRECIONADOS!$A:$P,MATCH(APENDICE_BCB!E$3,ANTIGA_DIRECIONADOS!$1:$1,0),0),0)</f>
        <v>0</v>
      </c>
      <c r="F276" s="9">
        <f>IFERROR(VLOOKUP($A276,ANTIGA_DIRECIONADOS!$A:$P,MATCH(APENDICE_BCB!F$3,ANTIGA_DIRECIONADOS!$1:$1,0),0),0)</f>
        <v>0</v>
      </c>
      <c r="G276" s="9">
        <f>IFERROR(VLOOKUP($A276,ANTIGA_DIRECIONADOS!$A:$P,MATCH(APENDICE_BCB!G$3,ANTIGA_DIRECIONADOS!$1:$1,0),0),0)</f>
        <v>0</v>
      </c>
      <c r="H276" s="9">
        <f>IFERROR(VLOOKUP($A276,ATUAL_LIV_E_DIR!$A:$P,MATCH(APENDICE_BCB!H$3,ATUAL_LIV_E_DIR!$1:$1,0),0),0)</f>
        <v>1839662</v>
      </c>
      <c r="I276" s="9">
        <f>IFERROR(VLOOKUP($A276,ATUAL_LIV_E_DIR!$A:$P,MATCH(APENDICE_BCB!I$3,ATUAL_LIV_E_DIR!$1:$1,0),0),0)</f>
        <v>822777</v>
      </c>
      <c r="J276" s="9">
        <f>IFERROR(VLOOKUP($A276,ATUAL_LIV_E_DIR!$A:$P,MATCH(APENDICE_BCB!J$3,ATUAL_LIV_E_DIR!$1:$1,0),0),0)</f>
        <v>1016885</v>
      </c>
      <c r="K276" s="9">
        <f>IFERROR(VLOOKUP($A276,ATUAL_LIV_E_DIR!$A:$P,MATCH(APENDICE_BCB!K$3,ATUAL_LIV_E_DIR!$1:$1,0),0),0)</f>
        <v>1461949</v>
      </c>
      <c r="L276" s="9">
        <f>IFERROR(VLOOKUP($A276,ATUAL_LIV_E_DIR!$A:$P,MATCH(APENDICE_BCB!L$3,ATUAL_LIV_E_DIR!$1:$1,0),0),0)</f>
        <v>865453</v>
      </c>
      <c r="M276" s="9">
        <f>IFERROR(VLOOKUP($A276,ATUAL_LIV_E_DIR!$A:$P,MATCH(APENDICE_BCB!M$3,ATUAL_LIV_E_DIR!$1:$1,0),0),0)</f>
        <v>596496</v>
      </c>
      <c r="O276" s="11">
        <f t="shared" si="57"/>
        <v>0</v>
      </c>
      <c r="P276" s="11">
        <f t="shared" si="58"/>
        <v>3301611</v>
      </c>
      <c r="Q276" s="11">
        <f t="shared" si="59"/>
        <v>0</v>
      </c>
      <c r="R276" s="11">
        <f t="shared" si="60"/>
        <v>1419273</v>
      </c>
      <c r="S276" s="11"/>
      <c r="T276" s="11">
        <f t="shared" si="61"/>
        <v>1882338</v>
      </c>
      <c r="V276" s="7">
        <f t="shared" si="62"/>
        <v>0</v>
      </c>
      <c r="W276">
        <f t="shared" si="63"/>
        <v>0.57012712884709915</v>
      </c>
      <c r="Y276" s="8"/>
      <c r="Z276" s="8">
        <f t="shared" si="64"/>
        <v>3.1596263018001114E-3</v>
      </c>
      <c r="AE276" s="1">
        <f t="shared" si="55"/>
        <v>43617</v>
      </c>
      <c r="AF276" s="11">
        <f t="shared" si="56"/>
        <v>1882338</v>
      </c>
    </row>
    <row r="277" spans="1:32" x14ac:dyDescent="0.25">
      <c r="A277" s="1">
        <v>43647</v>
      </c>
      <c r="B277" s="9">
        <f>IFERROR(VLOOKUP($A277,ANTIGA_LIVRES!$A:$P,MATCH(APENDICE_BCB!B$3,ANTIGA_LIVRES!$1:$1,0),0)/1000,0)</f>
        <v>0</v>
      </c>
      <c r="C277" s="9">
        <f>IFERROR(VLOOKUP($A277,ANTIGA_LIVRES!$A:$P,MATCH(APENDICE_BCB!C$3,ANTIGA_LIVRES!$1:$1,0),0)/1000,0)</f>
        <v>0</v>
      </c>
      <c r="D277" s="9">
        <f>IFERROR(VLOOKUP($A277,ANTIGA_LIVRES!$A:$P,MATCH(APENDICE_BCB!D$3,ANTIGA_LIVRES!$1:$1,0),0)/1000,0)</f>
        <v>0</v>
      </c>
      <c r="E277" s="9">
        <f>IFERROR(VLOOKUP($A277,ANTIGA_DIRECIONADOS!$A:$P,MATCH(APENDICE_BCB!E$3,ANTIGA_DIRECIONADOS!$1:$1,0),0),0)</f>
        <v>0</v>
      </c>
      <c r="F277" s="9">
        <f>IFERROR(VLOOKUP($A277,ANTIGA_DIRECIONADOS!$A:$P,MATCH(APENDICE_BCB!F$3,ANTIGA_DIRECIONADOS!$1:$1,0),0),0)</f>
        <v>0</v>
      </c>
      <c r="G277" s="9">
        <f>IFERROR(VLOOKUP($A277,ANTIGA_DIRECIONADOS!$A:$P,MATCH(APENDICE_BCB!G$3,ANTIGA_DIRECIONADOS!$1:$1,0),0),0)</f>
        <v>0</v>
      </c>
      <c r="H277" s="9">
        <f>IFERROR(VLOOKUP($A277,ATUAL_LIV_E_DIR!$A:$P,MATCH(APENDICE_BCB!H$3,ATUAL_LIV_E_DIR!$1:$1,0),0),0)</f>
        <v>1842226</v>
      </c>
      <c r="I277" s="9">
        <f>IFERROR(VLOOKUP($A277,ATUAL_LIV_E_DIR!$A:$P,MATCH(APENDICE_BCB!I$3,ATUAL_LIV_E_DIR!$1:$1,0),0),0)</f>
        <v>808566</v>
      </c>
      <c r="J277" s="9">
        <f>IFERROR(VLOOKUP($A277,ATUAL_LIV_E_DIR!$A:$P,MATCH(APENDICE_BCB!J$3,ATUAL_LIV_E_DIR!$1:$1,0),0),0)</f>
        <v>1033660</v>
      </c>
      <c r="K277" s="9">
        <f>IFERROR(VLOOKUP($A277,ATUAL_LIV_E_DIR!$A:$P,MATCH(APENDICE_BCB!K$3,ATUAL_LIV_E_DIR!$1:$1,0),0),0)</f>
        <v>1453961</v>
      </c>
      <c r="L277" s="9">
        <f>IFERROR(VLOOKUP($A277,ATUAL_LIV_E_DIR!$A:$P,MATCH(APENDICE_BCB!L$3,ATUAL_LIV_E_DIR!$1:$1,0),0),0)</f>
        <v>865605</v>
      </c>
      <c r="M277" s="9">
        <f>IFERROR(VLOOKUP($A277,ATUAL_LIV_E_DIR!$A:$P,MATCH(APENDICE_BCB!M$3,ATUAL_LIV_E_DIR!$1:$1,0),0),0)</f>
        <v>588356</v>
      </c>
      <c r="O277" s="11">
        <f t="shared" si="57"/>
        <v>0</v>
      </c>
      <c r="P277" s="11">
        <f t="shared" si="58"/>
        <v>3296187</v>
      </c>
      <c r="Q277" s="11">
        <f t="shared" si="59"/>
        <v>0</v>
      </c>
      <c r="R277" s="11">
        <f t="shared" si="60"/>
        <v>1396922</v>
      </c>
      <c r="S277" s="11"/>
      <c r="T277" s="11">
        <f t="shared" si="61"/>
        <v>1899265</v>
      </c>
      <c r="V277" s="7">
        <f t="shared" si="62"/>
        <v>0</v>
      </c>
      <c r="W277">
        <f t="shared" si="63"/>
        <v>0.57620062211276246</v>
      </c>
      <c r="Y277" s="8"/>
      <c r="Z277" s="8">
        <f t="shared" si="64"/>
        <v>-1.6428343617707064E-3</v>
      </c>
      <c r="AE277" s="1">
        <f t="shared" si="55"/>
        <v>43647</v>
      </c>
      <c r="AF277" s="11">
        <f t="shared" si="56"/>
        <v>1899265</v>
      </c>
    </row>
    <row r="278" spans="1:32" x14ac:dyDescent="0.25">
      <c r="A278" s="1">
        <v>43678</v>
      </c>
      <c r="B278" s="9">
        <f>IFERROR(VLOOKUP($A278,ANTIGA_LIVRES!$A:$P,MATCH(APENDICE_BCB!B$3,ANTIGA_LIVRES!$1:$1,0),0)/1000,0)</f>
        <v>0</v>
      </c>
      <c r="C278" s="9">
        <f>IFERROR(VLOOKUP($A278,ANTIGA_LIVRES!$A:$P,MATCH(APENDICE_BCB!C$3,ANTIGA_LIVRES!$1:$1,0),0)/1000,0)</f>
        <v>0</v>
      </c>
      <c r="D278" s="9">
        <f>IFERROR(VLOOKUP($A278,ANTIGA_LIVRES!$A:$P,MATCH(APENDICE_BCB!D$3,ANTIGA_LIVRES!$1:$1,0),0)/1000,0)</f>
        <v>0</v>
      </c>
      <c r="E278" s="9">
        <f>IFERROR(VLOOKUP($A278,ANTIGA_DIRECIONADOS!$A:$P,MATCH(APENDICE_BCB!E$3,ANTIGA_DIRECIONADOS!$1:$1,0),0),0)</f>
        <v>0</v>
      </c>
      <c r="F278" s="9">
        <f>IFERROR(VLOOKUP($A278,ANTIGA_DIRECIONADOS!$A:$P,MATCH(APENDICE_BCB!F$3,ANTIGA_DIRECIONADOS!$1:$1,0),0),0)</f>
        <v>0</v>
      </c>
      <c r="G278" s="9">
        <f>IFERROR(VLOOKUP($A278,ANTIGA_DIRECIONADOS!$A:$P,MATCH(APENDICE_BCB!G$3,ANTIGA_DIRECIONADOS!$1:$1,0),0),0)</f>
        <v>0</v>
      </c>
      <c r="H278" s="9">
        <f>IFERROR(VLOOKUP($A278,ATUAL_LIV_E_DIR!$A:$P,MATCH(APENDICE_BCB!H$3,ATUAL_LIV_E_DIR!$1:$1,0),0),0)</f>
        <v>1871275</v>
      </c>
      <c r="I278" s="9">
        <f>IFERROR(VLOOKUP($A278,ATUAL_LIV_E_DIR!$A:$P,MATCH(APENDICE_BCB!I$3,ATUAL_LIV_E_DIR!$1:$1,0),0),0)</f>
        <v>822086</v>
      </c>
      <c r="J278" s="9">
        <f>IFERROR(VLOOKUP($A278,ATUAL_LIV_E_DIR!$A:$P,MATCH(APENDICE_BCB!J$3,ATUAL_LIV_E_DIR!$1:$1,0),0),0)</f>
        <v>1049189</v>
      </c>
      <c r="K278" s="9">
        <f>IFERROR(VLOOKUP($A278,ATUAL_LIV_E_DIR!$A:$P,MATCH(APENDICE_BCB!K$3,ATUAL_LIV_E_DIR!$1:$1,0),0),0)</f>
        <v>1461732</v>
      </c>
      <c r="L278" s="9">
        <f>IFERROR(VLOOKUP($A278,ATUAL_LIV_E_DIR!$A:$P,MATCH(APENDICE_BCB!L$3,ATUAL_LIV_E_DIR!$1:$1,0),0),0)</f>
        <v>872603</v>
      </c>
      <c r="M278" s="9">
        <f>IFERROR(VLOOKUP($A278,ATUAL_LIV_E_DIR!$A:$P,MATCH(APENDICE_BCB!M$3,ATUAL_LIV_E_DIR!$1:$1,0),0),0)</f>
        <v>589129</v>
      </c>
      <c r="O278" s="11">
        <f t="shared" si="57"/>
        <v>0</v>
      </c>
      <c r="P278" s="11">
        <f t="shared" si="58"/>
        <v>3333007</v>
      </c>
      <c r="Q278" s="11">
        <f t="shared" si="59"/>
        <v>0</v>
      </c>
      <c r="R278" s="11">
        <f t="shared" si="60"/>
        <v>1411215</v>
      </c>
      <c r="S278" s="11"/>
      <c r="T278" s="11">
        <f t="shared" si="61"/>
        <v>1921792</v>
      </c>
      <c r="V278" s="7">
        <f t="shared" si="62"/>
        <v>0</v>
      </c>
      <c r="W278">
        <f t="shared" si="63"/>
        <v>0.57659404855735374</v>
      </c>
      <c r="Y278" s="8"/>
      <c r="Z278" s="8">
        <f t="shared" si="64"/>
        <v>1.1170482742635768E-2</v>
      </c>
      <c r="AE278" s="1">
        <f t="shared" si="55"/>
        <v>43678</v>
      </c>
      <c r="AF278" s="11">
        <f t="shared" si="56"/>
        <v>1921792</v>
      </c>
    </row>
    <row r="279" spans="1:32" x14ac:dyDescent="0.25">
      <c r="A279" s="1">
        <v>43709</v>
      </c>
      <c r="B279" s="9">
        <f>IFERROR(VLOOKUP($A279,ANTIGA_LIVRES!$A:$P,MATCH(APENDICE_BCB!B$3,ANTIGA_LIVRES!$1:$1,0),0)/1000,0)</f>
        <v>0</v>
      </c>
      <c r="C279" s="9">
        <f>IFERROR(VLOOKUP($A279,ANTIGA_LIVRES!$A:$P,MATCH(APENDICE_BCB!C$3,ANTIGA_LIVRES!$1:$1,0),0)/1000,0)</f>
        <v>0</v>
      </c>
      <c r="D279" s="9">
        <f>IFERROR(VLOOKUP($A279,ANTIGA_LIVRES!$A:$P,MATCH(APENDICE_BCB!D$3,ANTIGA_LIVRES!$1:$1,0),0)/1000,0)</f>
        <v>0</v>
      </c>
      <c r="E279" s="9">
        <f>IFERROR(VLOOKUP($A279,ANTIGA_DIRECIONADOS!$A:$P,MATCH(APENDICE_BCB!E$3,ANTIGA_DIRECIONADOS!$1:$1,0),0),0)</f>
        <v>0</v>
      </c>
      <c r="F279" s="9">
        <f>IFERROR(VLOOKUP($A279,ANTIGA_DIRECIONADOS!$A:$P,MATCH(APENDICE_BCB!F$3,ANTIGA_DIRECIONADOS!$1:$1,0),0),0)</f>
        <v>0</v>
      </c>
      <c r="G279" s="9">
        <f>IFERROR(VLOOKUP($A279,ANTIGA_DIRECIONADOS!$A:$P,MATCH(APENDICE_BCB!G$3,ANTIGA_DIRECIONADOS!$1:$1,0),0),0)</f>
        <v>0</v>
      </c>
      <c r="H279" s="9">
        <f>IFERROR(VLOOKUP($A279,ATUAL_LIV_E_DIR!$A:$P,MATCH(APENDICE_BCB!H$3,ATUAL_LIV_E_DIR!$1:$1,0),0),0)</f>
        <v>1904373</v>
      </c>
      <c r="I279" s="9">
        <f>IFERROR(VLOOKUP($A279,ATUAL_LIV_E_DIR!$A:$P,MATCH(APENDICE_BCB!I$3,ATUAL_LIV_E_DIR!$1:$1,0),0),0)</f>
        <v>843564</v>
      </c>
      <c r="J279" s="9">
        <f>IFERROR(VLOOKUP($A279,ATUAL_LIV_E_DIR!$A:$P,MATCH(APENDICE_BCB!J$3,ATUAL_LIV_E_DIR!$1:$1,0),0),0)</f>
        <v>1060809</v>
      </c>
      <c r="K279" s="9">
        <f>IFERROR(VLOOKUP($A279,ATUAL_LIV_E_DIR!$A:$P,MATCH(APENDICE_BCB!K$3,ATUAL_LIV_E_DIR!$1:$1,0),0),0)</f>
        <v>1464429</v>
      </c>
      <c r="L279" s="9">
        <f>IFERROR(VLOOKUP($A279,ATUAL_LIV_E_DIR!$A:$P,MATCH(APENDICE_BCB!L$3,ATUAL_LIV_E_DIR!$1:$1,0),0),0)</f>
        <v>880469</v>
      </c>
      <c r="M279" s="9">
        <f>IFERROR(VLOOKUP($A279,ATUAL_LIV_E_DIR!$A:$P,MATCH(APENDICE_BCB!M$3,ATUAL_LIV_E_DIR!$1:$1,0),0),0)</f>
        <v>583960</v>
      </c>
      <c r="O279" s="11">
        <f t="shared" si="57"/>
        <v>0</v>
      </c>
      <c r="P279" s="11">
        <f t="shared" si="58"/>
        <v>3368802</v>
      </c>
      <c r="Q279" s="11">
        <f t="shared" si="59"/>
        <v>0</v>
      </c>
      <c r="R279" s="11">
        <f t="shared" si="60"/>
        <v>1427524</v>
      </c>
      <c r="S279" s="11"/>
      <c r="T279" s="11">
        <f t="shared" si="61"/>
        <v>1941278</v>
      </c>
      <c r="V279" s="7">
        <f t="shared" si="62"/>
        <v>0</v>
      </c>
      <c r="W279">
        <f t="shared" si="63"/>
        <v>0.57625173578025657</v>
      </c>
      <c r="Y279" s="8"/>
      <c r="Z279" s="8">
        <f t="shared" si="64"/>
        <v>1.073955140208227E-2</v>
      </c>
      <c r="AE279" s="1">
        <f t="shared" si="55"/>
        <v>43709</v>
      </c>
      <c r="AF279" s="11">
        <f t="shared" si="56"/>
        <v>1941278</v>
      </c>
    </row>
    <row r="280" spans="1:32" x14ac:dyDescent="0.25">
      <c r="A280" s="1">
        <v>43739</v>
      </c>
      <c r="B280" s="9">
        <f>IFERROR(VLOOKUP($A280,ANTIGA_LIVRES!$A:$P,MATCH(APENDICE_BCB!B$3,ANTIGA_LIVRES!$1:$1,0),0)/1000,0)</f>
        <v>0</v>
      </c>
      <c r="C280" s="9">
        <f>IFERROR(VLOOKUP($A280,ANTIGA_LIVRES!$A:$P,MATCH(APENDICE_BCB!C$3,ANTIGA_LIVRES!$1:$1,0),0)/1000,0)</f>
        <v>0</v>
      </c>
      <c r="D280" s="9">
        <f>IFERROR(VLOOKUP($A280,ANTIGA_LIVRES!$A:$P,MATCH(APENDICE_BCB!D$3,ANTIGA_LIVRES!$1:$1,0),0)/1000,0)</f>
        <v>0</v>
      </c>
      <c r="E280" s="9">
        <f>IFERROR(VLOOKUP($A280,ANTIGA_DIRECIONADOS!$A:$P,MATCH(APENDICE_BCB!E$3,ANTIGA_DIRECIONADOS!$1:$1,0),0),0)</f>
        <v>0</v>
      </c>
      <c r="F280" s="9">
        <f>IFERROR(VLOOKUP($A280,ANTIGA_DIRECIONADOS!$A:$P,MATCH(APENDICE_BCB!F$3,ANTIGA_DIRECIONADOS!$1:$1,0),0),0)</f>
        <v>0</v>
      </c>
      <c r="G280" s="9">
        <f>IFERROR(VLOOKUP($A280,ANTIGA_DIRECIONADOS!$A:$P,MATCH(APENDICE_BCB!G$3,ANTIGA_DIRECIONADOS!$1:$1,0),0),0)</f>
        <v>0</v>
      </c>
      <c r="H280" s="9">
        <f>IFERROR(VLOOKUP($A280,ATUAL_LIV_E_DIR!$A:$P,MATCH(APENDICE_BCB!H$3,ATUAL_LIV_E_DIR!$1:$1,0),0),0)</f>
        <v>1914394</v>
      </c>
      <c r="I280" s="9">
        <f>IFERROR(VLOOKUP($A280,ATUAL_LIV_E_DIR!$A:$P,MATCH(APENDICE_BCB!I$3,ATUAL_LIV_E_DIR!$1:$1,0),0),0)</f>
        <v>837954</v>
      </c>
      <c r="J280" s="9">
        <f>IFERROR(VLOOKUP($A280,ATUAL_LIV_E_DIR!$A:$P,MATCH(APENDICE_BCB!J$3,ATUAL_LIV_E_DIR!$1:$1,0),0),0)</f>
        <v>1076440</v>
      </c>
      <c r="K280" s="9">
        <f>IFERROR(VLOOKUP($A280,ATUAL_LIV_E_DIR!$A:$P,MATCH(APENDICE_BCB!K$3,ATUAL_LIV_E_DIR!$1:$1,0),0),0)</f>
        <v>1465916</v>
      </c>
      <c r="L280" s="9">
        <f>IFERROR(VLOOKUP($A280,ATUAL_LIV_E_DIR!$A:$P,MATCH(APENDICE_BCB!L$3,ATUAL_LIV_E_DIR!$1:$1,0),0),0)</f>
        <v>888292</v>
      </c>
      <c r="M280" s="9">
        <f>IFERROR(VLOOKUP($A280,ATUAL_LIV_E_DIR!$A:$P,MATCH(APENDICE_BCB!M$3,ATUAL_LIV_E_DIR!$1:$1,0),0),0)</f>
        <v>577624</v>
      </c>
      <c r="O280" s="11">
        <f t="shared" si="57"/>
        <v>0</v>
      </c>
      <c r="P280" s="11">
        <f t="shared" si="58"/>
        <v>3380310</v>
      </c>
      <c r="Q280" s="11">
        <f t="shared" si="59"/>
        <v>0</v>
      </c>
      <c r="R280" s="11">
        <f t="shared" si="60"/>
        <v>1415578</v>
      </c>
      <c r="S280" s="11"/>
      <c r="T280" s="11">
        <f t="shared" si="61"/>
        <v>1964732</v>
      </c>
      <c r="V280" s="7">
        <f t="shared" si="62"/>
        <v>0</v>
      </c>
      <c r="W280">
        <f t="shared" si="63"/>
        <v>0.58122834887924479</v>
      </c>
      <c r="Y280" s="8"/>
      <c r="Z280" s="8">
        <f t="shared" si="64"/>
        <v>3.4160511659635517E-3</v>
      </c>
      <c r="AE280" s="1">
        <f t="shared" si="55"/>
        <v>43739</v>
      </c>
      <c r="AF280" s="11">
        <f t="shared" si="56"/>
        <v>1964732</v>
      </c>
    </row>
    <row r="281" spans="1:32" x14ac:dyDescent="0.25">
      <c r="A281" s="1">
        <v>43770</v>
      </c>
      <c r="B281" s="9">
        <f>IFERROR(VLOOKUP($A281,ANTIGA_LIVRES!$A:$P,MATCH(APENDICE_BCB!B$3,ANTIGA_LIVRES!$1:$1,0),0)/1000,0)</f>
        <v>0</v>
      </c>
      <c r="C281" s="9">
        <f>IFERROR(VLOOKUP($A281,ANTIGA_LIVRES!$A:$P,MATCH(APENDICE_BCB!C$3,ANTIGA_LIVRES!$1:$1,0),0)/1000,0)</f>
        <v>0</v>
      </c>
      <c r="D281" s="9">
        <f>IFERROR(VLOOKUP($A281,ANTIGA_LIVRES!$A:$P,MATCH(APENDICE_BCB!D$3,ANTIGA_LIVRES!$1:$1,0),0)/1000,0)</f>
        <v>0</v>
      </c>
      <c r="E281" s="9">
        <f>IFERROR(VLOOKUP($A281,ANTIGA_DIRECIONADOS!$A:$P,MATCH(APENDICE_BCB!E$3,ANTIGA_DIRECIONADOS!$1:$1,0),0),0)</f>
        <v>0</v>
      </c>
      <c r="F281" s="9">
        <f>IFERROR(VLOOKUP($A281,ANTIGA_DIRECIONADOS!$A:$P,MATCH(APENDICE_BCB!F$3,ANTIGA_DIRECIONADOS!$1:$1,0),0),0)</f>
        <v>0</v>
      </c>
      <c r="G281" s="9">
        <f>IFERROR(VLOOKUP($A281,ANTIGA_DIRECIONADOS!$A:$P,MATCH(APENDICE_BCB!G$3,ANTIGA_DIRECIONADOS!$1:$1,0),0),0)</f>
        <v>0</v>
      </c>
      <c r="H281" s="9">
        <f>IFERROR(VLOOKUP($A281,ATUAL_LIV_E_DIR!$A:$P,MATCH(APENDICE_BCB!H$3,ATUAL_LIV_E_DIR!$1:$1,0),0),0)</f>
        <v>1952272</v>
      </c>
      <c r="I281" s="9">
        <f>IFERROR(VLOOKUP($A281,ATUAL_LIV_E_DIR!$A:$P,MATCH(APENDICE_BCB!I$3,ATUAL_LIV_E_DIR!$1:$1,0),0),0)</f>
        <v>860281</v>
      </c>
      <c r="J281" s="9">
        <f>IFERROR(VLOOKUP($A281,ATUAL_LIV_E_DIR!$A:$P,MATCH(APENDICE_BCB!J$3,ATUAL_LIV_E_DIR!$1:$1,0),0),0)</f>
        <v>1091991</v>
      </c>
      <c r="K281" s="9">
        <f>IFERROR(VLOOKUP($A281,ATUAL_LIV_E_DIR!$A:$P,MATCH(APENDICE_BCB!K$3,ATUAL_LIV_E_DIR!$1:$1,0),0),0)</f>
        <v>1470850</v>
      </c>
      <c r="L281" s="9">
        <f>IFERROR(VLOOKUP($A281,ATUAL_LIV_E_DIR!$A:$P,MATCH(APENDICE_BCB!L$3,ATUAL_LIV_E_DIR!$1:$1,0),0),0)</f>
        <v>895983</v>
      </c>
      <c r="M281" s="9">
        <f>IFERROR(VLOOKUP($A281,ATUAL_LIV_E_DIR!$A:$P,MATCH(APENDICE_BCB!M$3,ATUAL_LIV_E_DIR!$1:$1,0),0),0)</f>
        <v>574866</v>
      </c>
      <c r="O281" s="11">
        <f t="shared" si="57"/>
        <v>0</v>
      </c>
      <c r="P281" s="11">
        <f t="shared" si="58"/>
        <v>3423122</v>
      </c>
      <c r="Q281" s="11">
        <f t="shared" si="59"/>
        <v>0</v>
      </c>
      <c r="R281" s="11">
        <f t="shared" si="60"/>
        <v>1435147</v>
      </c>
      <c r="S281" s="11"/>
      <c r="T281" s="11">
        <f t="shared" si="61"/>
        <v>1987974</v>
      </c>
      <c r="V281" s="7">
        <f t="shared" si="62"/>
        <v>0</v>
      </c>
      <c r="W281">
        <f t="shared" si="63"/>
        <v>0.58074880182476696</v>
      </c>
      <c r="Y281" s="8"/>
      <c r="Z281" s="8">
        <f t="shared" si="64"/>
        <v>1.2665110596365325E-2</v>
      </c>
      <c r="AE281" s="1">
        <f t="shared" si="55"/>
        <v>43770</v>
      </c>
      <c r="AF281" s="11">
        <f t="shared" si="56"/>
        <v>1987974</v>
      </c>
    </row>
    <row r="282" spans="1:32" x14ac:dyDescent="0.25">
      <c r="A282" s="1">
        <v>43800</v>
      </c>
      <c r="B282" s="9">
        <f>IFERROR(VLOOKUP($A282,ANTIGA_LIVRES!$A:$P,MATCH(APENDICE_BCB!B$3,ANTIGA_LIVRES!$1:$1,0),0)/1000,0)</f>
        <v>0</v>
      </c>
      <c r="C282" s="9">
        <f>IFERROR(VLOOKUP($A282,ANTIGA_LIVRES!$A:$P,MATCH(APENDICE_BCB!C$3,ANTIGA_LIVRES!$1:$1,0),0)/1000,0)</f>
        <v>0</v>
      </c>
      <c r="D282" s="9">
        <f>IFERROR(VLOOKUP($A282,ANTIGA_LIVRES!$A:$P,MATCH(APENDICE_BCB!D$3,ANTIGA_LIVRES!$1:$1,0),0)/1000,0)</f>
        <v>0</v>
      </c>
      <c r="E282" s="9">
        <f>IFERROR(VLOOKUP($A282,ANTIGA_DIRECIONADOS!$A:$P,MATCH(APENDICE_BCB!E$3,ANTIGA_DIRECIONADOS!$1:$1,0),0),0)</f>
        <v>0</v>
      </c>
      <c r="F282" s="9">
        <f>IFERROR(VLOOKUP($A282,ANTIGA_DIRECIONADOS!$A:$P,MATCH(APENDICE_BCB!F$3,ANTIGA_DIRECIONADOS!$1:$1,0),0),0)</f>
        <v>0</v>
      </c>
      <c r="G282" s="9">
        <f>IFERROR(VLOOKUP($A282,ANTIGA_DIRECIONADOS!$A:$P,MATCH(APENDICE_BCB!G$3,ANTIGA_DIRECIONADOS!$1:$1,0),0),0)</f>
        <v>0</v>
      </c>
      <c r="H282" s="9">
        <f>IFERROR(VLOOKUP($A282,ATUAL_LIV_E_DIR!$A:$P,MATCH(APENDICE_BCB!H$3,ATUAL_LIV_E_DIR!$1:$1,0),0),0)</f>
        <v>2010411</v>
      </c>
      <c r="I282" s="9">
        <f>IFERROR(VLOOKUP($A282,ATUAL_LIV_E_DIR!$A:$P,MATCH(APENDICE_BCB!I$3,ATUAL_LIV_E_DIR!$1:$1,0),0),0)</f>
        <v>898034</v>
      </c>
      <c r="J282" s="9">
        <f>IFERROR(VLOOKUP($A282,ATUAL_LIV_E_DIR!$A:$P,MATCH(APENDICE_BCB!J$3,ATUAL_LIV_E_DIR!$1:$1,0),0),0)</f>
        <v>1112378</v>
      </c>
      <c r="K282" s="9">
        <f>IFERROR(VLOOKUP($A282,ATUAL_LIV_E_DIR!$A:$P,MATCH(APENDICE_BCB!K$3,ATUAL_LIV_E_DIR!$1:$1,0),0),0)</f>
        <v>1465461</v>
      </c>
      <c r="L282" s="9">
        <f>IFERROR(VLOOKUP($A282,ATUAL_LIV_E_DIR!$A:$P,MATCH(APENDICE_BCB!L$3,ATUAL_LIV_E_DIR!$1:$1,0),0),0)</f>
        <v>904668</v>
      </c>
      <c r="M282" s="9">
        <f>IFERROR(VLOOKUP($A282,ATUAL_LIV_E_DIR!$A:$P,MATCH(APENDICE_BCB!M$3,ATUAL_LIV_E_DIR!$1:$1,0),0),0)</f>
        <v>560792</v>
      </c>
      <c r="O282" s="11">
        <f t="shared" si="57"/>
        <v>0</v>
      </c>
      <c r="P282" s="11">
        <f t="shared" si="58"/>
        <v>3475872</v>
      </c>
      <c r="Q282" s="11">
        <f t="shared" si="59"/>
        <v>0</v>
      </c>
      <c r="R282" s="11">
        <f t="shared" si="60"/>
        <v>1458826</v>
      </c>
      <c r="S282" s="11"/>
      <c r="T282" s="11">
        <f t="shared" si="61"/>
        <v>2017046</v>
      </c>
      <c r="V282" s="7">
        <f t="shared" si="62"/>
        <v>0</v>
      </c>
      <c r="W282">
        <f t="shared" si="63"/>
        <v>0.58029927454175523</v>
      </c>
      <c r="Y282" s="8"/>
      <c r="Z282" s="8">
        <f t="shared" si="64"/>
        <v>1.5409909433552249E-2</v>
      </c>
      <c r="AE282" s="1">
        <f t="shared" si="55"/>
        <v>43800</v>
      </c>
      <c r="AF282" s="11">
        <f t="shared" si="56"/>
        <v>2017046</v>
      </c>
    </row>
    <row r="283" spans="1:32" x14ac:dyDescent="0.25">
      <c r="A283" s="1">
        <v>43831</v>
      </c>
      <c r="B283" s="9">
        <f>IFERROR(VLOOKUP($A283,ANTIGA_LIVRES!$A:$P,MATCH(APENDICE_BCB!B$3,ANTIGA_LIVRES!$1:$1,0),0)/1000,0)</f>
        <v>0</v>
      </c>
      <c r="C283" s="9">
        <f>IFERROR(VLOOKUP($A283,ANTIGA_LIVRES!$A:$P,MATCH(APENDICE_BCB!C$3,ANTIGA_LIVRES!$1:$1,0),0)/1000,0)</f>
        <v>0</v>
      </c>
      <c r="D283" s="9">
        <f>IFERROR(VLOOKUP($A283,ANTIGA_LIVRES!$A:$P,MATCH(APENDICE_BCB!D$3,ANTIGA_LIVRES!$1:$1,0),0)/1000,0)</f>
        <v>0</v>
      </c>
      <c r="E283" s="9">
        <f>IFERROR(VLOOKUP($A283,ANTIGA_DIRECIONADOS!$A:$P,MATCH(APENDICE_BCB!E$3,ANTIGA_DIRECIONADOS!$1:$1,0),0),0)</f>
        <v>0</v>
      </c>
      <c r="F283" s="9">
        <f>IFERROR(VLOOKUP($A283,ANTIGA_DIRECIONADOS!$A:$P,MATCH(APENDICE_BCB!F$3,ANTIGA_DIRECIONADOS!$1:$1,0),0),0)</f>
        <v>0</v>
      </c>
      <c r="G283" s="9">
        <f>IFERROR(VLOOKUP($A283,ANTIGA_DIRECIONADOS!$A:$P,MATCH(APENDICE_BCB!G$3,ANTIGA_DIRECIONADOS!$1:$1,0),0),0)</f>
        <v>0</v>
      </c>
      <c r="H283" s="9">
        <f>IFERROR(VLOOKUP($A283,ATUAL_LIV_E_DIR!$A:$P,MATCH(APENDICE_BCB!H$3,ATUAL_LIV_E_DIR!$1:$1,0),0),0)</f>
        <v>1999228</v>
      </c>
      <c r="I283" s="9">
        <f>IFERROR(VLOOKUP($A283,ATUAL_LIV_E_DIR!$A:$P,MATCH(APENDICE_BCB!I$3,ATUAL_LIV_E_DIR!$1:$1,0),0),0)</f>
        <v>874771</v>
      </c>
      <c r="J283" s="9">
        <f>IFERROR(VLOOKUP($A283,ATUAL_LIV_E_DIR!$A:$P,MATCH(APENDICE_BCB!J$3,ATUAL_LIV_E_DIR!$1:$1,0),0),0)</f>
        <v>1124457</v>
      </c>
      <c r="K283" s="9">
        <f>IFERROR(VLOOKUP($A283,ATUAL_LIV_E_DIR!$A:$P,MATCH(APENDICE_BCB!K$3,ATUAL_LIV_E_DIR!$1:$1,0),0),0)</f>
        <v>1466041</v>
      </c>
      <c r="L283" s="9">
        <f>IFERROR(VLOOKUP($A283,ATUAL_LIV_E_DIR!$A:$P,MATCH(APENDICE_BCB!L$3,ATUAL_LIV_E_DIR!$1:$1,0),0),0)</f>
        <v>909177</v>
      </c>
      <c r="M283" s="9">
        <f>IFERROR(VLOOKUP($A283,ATUAL_LIV_E_DIR!$A:$P,MATCH(APENDICE_BCB!M$3,ATUAL_LIV_E_DIR!$1:$1,0),0),0)</f>
        <v>556864</v>
      </c>
      <c r="O283" s="11">
        <f t="shared" si="57"/>
        <v>0</v>
      </c>
      <c r="P283" s="11">
        <f t="shared" si="58"/>
        <v>3465269</v>
      </c>
      <c r="Q283" s="11">
        <f t="shared" si="59"/>
        <v>0</v>
      </c>
      <c r="R283" s="11">
        <f t="shared" si="60"/>
        <v>1431635</v>
      </c>
      <c r="S283" s="11"/>
      <c r="T283" s="11">
        <f t="shared" si="61"/>
        <v>2033634</v>
      </c>
      <c r="V283" s="7">
        <f t="shared" si="62"/>
        <v>0</v>
      </c>
      <c r="W283">
        <f t="shared" si="63"/>
        <v>0.58686179918499837</v>
      </c>
      <c r="Y283" s="8"/>
      <c r="Z283" s="8">
        <f t="shared" si="64"/>
        <v>-3.0504575542482648E-3</v>
      </c>
      <c r="AE283" s="1">
        <f t="shared" si="55"/>
        <v>43831</v>
      </c>
      <c r="AF283" s="11">
        <f t="shared" si="56"/>
        <v>2033634</v>
      </c>
    </row>
    <row r="284" spans="1:32" x14ac:dyDescent="0.25">
      <c r="A284" s="1">
        <v>43862</v>
      </c>
      <c r="B284" s="9">
        <f>IFERROR(VLOOKUP($A284,ANTIGA_LIVRES!$A:$P,MATCH(APENDICE_BCB!B$3,ANTIGA_LIVRES!$1:$1,0),0)/1000,0)</f>
        <v>0</v>
      </c>
      <c r="C284" s="9">
        <f>IFERROR(VLOOKUP($A284,ANTIGA_LIVRES!$A:$P,MATCH(APENDICE_BCB!C$3,ANTIGA_LIVRES!$1:$1,0),0)/1000,0)</f>
        <v>0</v>
      </c>
      <c r="D284" s="9">
        <f>IFERROR(VLOOKUP($A284,ANTIGA_LIVRES!$A:$P,MATCH(APENDICE_BCB!D$3,ANTIGA_LIVRES!$1:$1,0),0)/1000,0)</f>
        <v>0</v>
      </c>
      <c r="E284" s="9">
        <f>IFERROR(VLOOKUP($A284,ANTIGA_DIRECIONADOS!$A:$P,MATCH(APENDICE_BCB!E$3,ANTIGA_DIRECIONADOS!$1:$1,0),0),0)</f>
        <v>0</v>
      </c>
      <c r="F284" s="9">
        <f>IFERROR(VLOOKUP($A284,ANTIGA_DIRECIONADOS!$A:$P,MATCH(APENDICE_BCB!F$3,ANTIGA_DIRECIONADOS!$1:$1,0),0),0)</f>
        <v>0</v>
      </c>
      <c r="G284" s="9">
        <f>IFERROR(VLOOKUP($A284,ANTIGA_DIRECIONADOS!$A:$P,MATCH(APENDICE_BCB!G$3,ANTIGA_DIRECIONADOS!$1:$1,0),0),0)</f>
        <v>0</v>
      </c>
      <c r="H284" s="9">
        <f>IFERROR(VLOOKUP($A284,ATUAL_LIV_E_DIR!$A:$P,MATCH(APENDICE_BCB!H$3,ATUAL_LIV_E_DIR!$1:$1,0),0),0)</f>
        <v>2018027</v>
      </c>
      <c r="I284" s="9">
        <f>IFERROR(VLOOKUP($A284,ATUAL_LIV_E_DIR!$A:$P,MATCH(APENDICE_BCB!I$3,ATUAL_LIV_E_DIR!$1:$1,0),0),0)</f>
        <v>888782</v>
      </c>
      <c r="J284" s="9">
        <f>IFERROR(VLOOKUP($A284,ATUAL_LIV_E_DIR!$A:$P,MATCH(APENDICE_BCB!J$3,ATUAL_LIV_E_DIR!$1:$1,0),0),0)</f>
        <v>1129245</v>
      </c>
      <c r="K284" s="9">
        <f>IFERROR(VLOOKUP($A284,ATUAL_LIV_E_DIR!$A:$P,MATCH(APENDICE_BCB!K$3,ATUAL_LIV_E_DIR!$1:$1,0),0),0)</f>
        <v>1466645</v>
      </c>
      <c r="L284" s="9">
        <f>IFERROR(VLOOKUP($A284,ATUAL_LIV_E_DIR!$A:$P,MATCH(APENDICE_BCB!L$3,ATUAL_LIV_E_DIR!$1:$1,0),0),0)</f>
        <v>913418</v>
      </c>
      <c r="M284" s="9">
        <f>IFERROR(VLOOKUP($A284,ATUAL_LIV_E_DIR!$A:$P,MATCH(APENDICE_BCB!M$3,ATUAL_LIV_E_DIR!$1:$1,0),0),0)</f>
        <v>553227</v>
      </c>
      <c r="O284" s="11">
        <f t="shared" si="57"/>
        <v>0</v>
      </c>
      <c r="P284" s="11">
        <f t="shared" si="58"/>
        <v>3484672</v>
      </c>
      <c r="Q284" s="11">
        <f t="shared" si="59"/>
        <v>0</v>
      </c>
      <c r="R284" s="11">
        <f t="shared" si="60"/>
        <v>1442009</v>
      </c>
      <c r="S284" s="11"/>
      <c r="T284" s="11">
        <f t="shared" si="61"/>
        <v>2042663</v>
      </c>
      <c r="V284" s="7">
        <f t="shared" si="62"/>
        <v>0</v>
      </c>
      <c r="W284">
        <f t="shared" si="63"/>
        <v>0.5861851560204232</v>
      </c>
      <c r="Y284" s="8"/>
      <c r="Z284" s="8">
        <f t="shared" si="64"/>
        <v>5.5992767083883344E-3</v>
      </c>
      <c r="AE284" s="1">
        <f t="shared" si="55"/>
        <v>43862</v>
      </c>
      <c r="AF284" s="11">
        <f t="shared" si="56"/>
        <v>2042663</v>
      </c>
    </row>
    <row r="285" spans="1:32" x14ac:dyDescent="0.25">
      <c r="A285" s="1">
        <v>43891</v>
      </c>
      <c r="B285" s="9">
        <f>IFERROR(VLOOKUP($A285,ANTIGA_LIVRES!$A:$P,MATCH(APENDICE_BCB!B$3,ANTIGA_LIVRES!$1:$1,0),0)/1000,0)</f>
        <v>0</v>
      </c>
      <c r="C285" s="9">
        <f>IFERROR(VLOOKUP($A285,ANTIGA_LIVRES!$A:$P,MATCH(APENDICE_BCB!C$3,ANTIGA_LIVRES!$1:$1,0),0)/1000,0)</f>
        <v>0</v>
      </c>
      <c r="D285" s="9">
        <f>IFERROR(VLOOKUP($A285,ANTIGA_LIVRES!$A:$P,MATCH(APENDICE_BCB!D$3,ANTIGA_LIVRES!$1:$1,0),0)/1000,0)</f>
        <v>0</v>
      </c>
      <c r="E285" s="9">
        <f>IFERROR(VLOOKUP($A285,ANTIGA_DIRECIONADOS!$A:$P,MATCH(APENDICE_BCB!E$3,ANTIGA_DIRECIONADOS!$1:$1,0),0),0)</f>
        <v>0</v>
      </c>
      <c r="F285" s="9">
        <f>IFERROR(VLOOKUP($A285,ANTIGA_DIRECIONADOS!$A:$P,MATCH(APENDICE_BCB!F$3,ANTIGA_DIRECIONADOS!$1:$1,0),0),0)</f>
        <v>0</v>
      </c>
      <c r="G285" s="9">
        <f>IFERROR(VLOOKUP($A285,ANTIGA_DIRECIONADOS!$A:$P,MATCH(APENDICE_BCB!G$3,ANTIGA_DIRECIONADOS!$1:$1,0),0),0)</f>
        <v>0</v>
      </c>
      <c r="H285" s="9">
        <f>IFERROR(VLOOKUP($A285,ATUAL_LIV_E_DIR!$A:$P,MATCH(APENDICE_BCB!H$3,ATUAL_LIV_E_DIR!$1:$1,0),0),0)</f>
        <v>2106949</v>
      </c>
      <c r="I285" s="9">
        <f>IFERROR(VLOOKUP($A285,ATUAL_LIV_E_DIR!$A:$P,MATCH(APENDICE_BCB!I$3,ATUAL_LIV_E_DIR!$1:$1,0),0),0)</f>
        <v>976695</v>
      </c>
      <c r="J285" s="9">
        <f>IFERROR(VLOOKUP($A285,ATUAL_LIV_E_DIR!$A:$P,MATCH(APENDICE_BCB!J$3,ATUAL_LIV_E_DIR!$1:$1,0),0),0)</f>
        <v>1130254</v>
      </c>
      <c r="K285" s="9">
        <f>IFERROR(VLOOKUP($A285,ATUAL_LIV_E_DIR!$A:$P,MATCH(APENDICE_BCB!K$3,ATUAL_LIV_E_DIR!$1:$1,0),0),0)</f>
        <v>1476650</v>
      </c>
      <c r="L285" s="9">
        <f>IFERROR(VLOOKUP($A285,ATUAL_LIV_E_DIR!$A:$P,MATCH(APENDICE_BCB!L$3,ATUAL_LIV_E_DIR!$1:$1,0),0),0)</f>
        <v>919042</v>
      </c>
      <c r="M285" s="9">
        <f>IFERROR(VLOOKUP($A285,ATUAL_LIV_E_DIR!$A:$P,MATCH(APENDICE_BCB!M$3,ATUAL_LIV_E_DIR!$1:$1,0),0),0)</f>
        <v>557608</v>
      </c>
      <c r="O285" s="11">
        <f t="shared" si="57"/>
        <v>0</v>
      </c>
      <c r="P285" s="11">
        <f t="shared" si="58"/>
        <v>3583599</v>
      </c>
      <c r="Q285" s="11">
        <f t="shared" si="59"/>
        <v>0</v>
      </c>
      <c r="R285" s="11">
        <f t="shared" si="60"/>
        <v>1534303</v>
      </c>
      <c r="S285" s="11"/>
      <c r="T285" s="11">
        <f t="shared" si="61"/>
        <v>2049296</v>
      </c>
      <c r="V285" s="7">
        <f t="shared" si="62"/>
        <v>0</v>
      </c>
      <c r="W285">
        <f t="shared" si="63"/>
        <v>0.5718541611380068</v>
      </c>
      <c r="Y285" s="8"/>
      <c r="Z285" s="8">
        <f t="shared" si="64"/>
        <v>2.8389185553188367E-2</v>
      </c>
      <c r="AE285" s="1">
        <f t="shared" si="55"/>
        <v>43891</v>
      </c>
      <c r="AF285" s="11">
        <f t="shared" si="56"/>
        <v>2049296</v>
      </c>
    </row>
    <row r="286" spans="1:32" x14ac:dyDescent="0.25">
      <c r="A286" s="1">
        <v>43922</v>
      </c>
      <c r="B286" s="9">
        <f>IFERROR(VLOOKUP($A286,ANTIGA_LIVRES!$A:$P,MATCH(APENDICE_BCB!B$3,ANTIGA_LIVRES!$1:$1,0),0)/1000,0)</f>
        <v>0</v>
      </c>
      <c r="C286" s="9">
        <f>IFERROR(VLOOKUP($A286,ANTIGA_LIVRES!$A:$P,MATCH(APENDICE_BCB!C$3,ANTIGA_LIVRES!$1:$1,0),0)/1000,0)</f>
        <v>0</v>
      </c>
      <c r="D286" s="9">
        <f>IFERROR(VLOOKUP($A286,ANTIGA_LIVRES!$A:$P,MATCH(APENDICE_BCB!D$3,ANTIGA_LIVRES!$1:$1,0),0)/1000,0)</f>
        <v>0</v>
      </c>
      <c r="E286" s="9">
        <f>IFERROR(VLOOKUP($A286,ANTIGA_DIRECIONADOS!$A:$P,MATCH(APENDICE_BCB!E$3,ANTIGA_DIRECIONADOS!$1:$1,0),0),0)</f>
        <v>0</v>
      </c>
      <c r="F286" s="9">
        <f>IFERROR(VLOOKUP($A286,ANTIGA_DIRECIONADOS!$A:$P,MATCH(APENDICE_BCB!F$3,ANTIGA_DIRECIONADOS!$1:$1,0),0),0)</f>
        <v>0</v>
      </c>
      <c r="G286" s="9">
        <f>IFERROR(VLOOKUP($A286,ANTIGA_DIRECIONADOS!$A:$P,MATCH(APENDICE_BCB!G$3,ANTIGA_DIRECIONADOS!$1:$1,0),0),0)</f>
        <v>0</v>
      </c>
      <c r="H286" s="9">
        <f>IFERROR(VLOOKUP($A286,ATUAL_LIV_E_DIR!$A:$P,MATCH(APENDICE_BCB!H$3,ATUAL_LIV_E_DIR!$1:$1,0),0),0)</f>
        <v>2096831</v>
      </c>
      <c r="I286" s="9">
        <f>IFERROR(VLOOKUP($A286,ATUAL_LIV_E_DIR!$A:$P,MATCH(APENDICE_BCB!I$3,ATUAL_LIV_E_DIR!$1:$1,0),0),0)</f>
        <v>991241</v>
      </c>
      <c r="J286" s="9">
        <f>IFERROR(VLOOKUP($A286,ATUAL_LIV_E_DIR!$A:$P,MATCH(APENDICE_BCB!J$3,ATUAL_LIV_E_DIR!$1:$1,0),0),0)</f>
        <v>1105590</v>
      </c>
      <c r="K286" s="9">
        <f>IFERROR(VLOOKUP($A286,ATUAL_LIV_E_DIR!$A:$P,MATCH(APENDICE_BCB!K$3,ATUAL_LIV_E_DIR!$1:$1,0),0),0)</f>
        <v>1486858</v>
      </c>
      <c r="L286" s="9">
        <f>IFERROR(VLOOKUP($A286,ATUAL_LIV_E_DIR!$A:$P,MATCH(APENDICE_BCB!L$3,ATUAL_LIV_E_DIR!$1:$1,0),0),0)</f>
        <v>923771</v>
      </c>
      <c r="M286" s="9">
        <f>IFERROR(VLOOKUP($A286,ATUAL_LIV_E_DIR!$A:$P,MATCH(APENDICE_BCB!M$3,ATUAL_LIV_E_DIR!$1:$1,0),0),0)</f>
        <v>563087</v>
      </c>
      <c r="O286" s="11">
        <f t="shared" si="57"/>
        <v>0</v>
      </c>
      <c r="P286" s="11">
        <f t="shared" si="58"/>
        <v>3583689</v>
      </c>
      <c r="Q286" s="11">
        <f t="shared" si="59"/>
        <v>0</v>
      </c>
      <c r="R286" s="11">
        <f t="shared" si="60"/>
        <v>1554328</v>
      </c>
      <c r="S286" s="11"/>
      <c r="T286" s="11">
        <f t="shared" si="61"/>
        <v>2029361</v>
      </c>
      <c r="V286" s="7">
        <f t="shared" si="62"/>
        <v>0</v>
      </c>
      <c r="W286">
        <f t="shared" si="63"/>
        <v>0.56627709603149157</v>
      </c>
      <c r="Y286" s="8"/>
      <c r="Z286" s="8">
        <f t="shared" si="64"/>
        <v>2.5114417098626163E-5</v>
      </c>
      <c r="AE286" s="1">
        <f t="shared" si="55"/>
        <v>43922</v>
      </c>
      <c r="AF286" s="11">
        <f t="shared" si="56"/>
        <v>2029361</v>
      </c>
    </row>
    <row r="287" spans="1:32" x14ac:dyDescent="0.25">
      <c r="A287" s="1">
        <v>43952</v>
      </c>
      <c r="B287" s="9">
        <f>IFERROR(VLOOKUP($A287,ANTIGA_LIVRES!$A:$P,MATCH(APENDICE_BCB!B$3,ANTIGA_LIVRES!$1:$1,0),0)/1000,0)</f>
        <v>0</v>
      </c>
      <c r="C287" s="9">
        <f>IFERROR(VLOOKUP($A287,ANTIGA_LIVRES!$A:$P,MATCH(APENDICE_BCB!C$3,ANTIGA_LIVRES!$1:$1,0),0)/1000,0)</f>
        <v>0</v>
      </c>
      <c r="D287" s="9">
        <f>IFERROR(VLOOKUP($A287,ANTIGA_LIVRES!$A:$P,MATCH(APENDICE_BCB!D$3,ANTIGA_LIVRES!$1:$1,0),0)/1000,0)</f>
        <v>0</v>
      </c>
      <c r="E287" s="9">
        <f>IFERROR(VLOOKUP($A287,ANTIGA_DIRECIONADOS!$A:$P,MATCH(APENDICE_BCB!E$3,ANTIGA_DIRECIONADOS!$1:$1,0),0),0)</f>
        <v>0</v>
      </c>
      <c r="F287" s="9">
        <f>IFERROR(VLOOKUP($A287,ANTIGA_DIRECIONADOS!$A:$P,MATCH(APENDICE_BCB!F$3,ANTIGA_DIRECIONADOS!$1:$1,0),0),0)</f>
        <v>0</v>
      </c>
      <c r="G287" s="9">
        <f>IFERROR(VLOOKUP($A287,ANTIGA_DIRECIONADOS!$A:$P,MATCH(APENDICE_BCB!G$3,ANTIGA_DIRECIONADOS!$1:$1,0),0),0)</f>
        <v>0</v>
      </c>
      <c r="H287" s="9">
        <f>IFERROR(VLOOKUP($A287,ATUAL_LIV_E_DIR!$A:$P,MATCH(APENDICE_BCB!H$3,ATUAL_LIV_E_DIR!$1:$1,0),0),0)</f>
        <v>2101210</v>
      </c>
      <c r="I287" s="9">
        <f>IFERROR(VLOOKUP($A287,ATUAL_LIV_E_DIR!$A:$P,MATCH(APENDICE_BCB!I$3,ATUAL_LIV_E_DIR!$1:$1,0),0),0)</f>
        <v>1001429</v>
      </c>
      <c r="J287" s="9">
        <f>IFERROR(VLOOKUP($A287,ATUAL_LIV_E_DIR!$A:$P,MATCH(APENDICE_BCB!J$3,ATUAL_LIV_E_DIR!$1:$1,0),0),0)</f>
        <v>1099780</v>
      </c>
      <c r="K287" s="9">
        <f>IFERROR(VLOOKUP($A287,ATUAL_LIV_E_DIR!$A:$P,MATCH(APENDICE_BCB!K$3,ATUAL_LIV_E_DIR!$1:$1,0),0),0)</f>
        <v>1494748</v>
      </c>
      <c r="L287" s="9">
        <f>IFERROR(VLOOKUP($A287,ATUAL_LIV_E_DIR!$A:$P,MATCH(APENDICE_BCB!L$3,ATUAL_LIV_E_DIR!$1:$1,0),0),0)</f>
        <v>928017</v>
      </c>
      <c r="M287" s="9">
        <f>IFERROR(VLOOKUP($A287,ATUAL_LIV_E_DIR!$A:$P,MATCH(APENDICE_BCB!M$3,ATUAL_LIV_E_DIR!$1:$1,0),0),0)</f>
        <v>566731</v>
      </c>
      <c r="O287" s="11">
        <f t="shared" si="57"/>
        <v>0</v>
      </c>
      <c r="P287" s="11">
        <f t="shared" si="58"/>
        <v>3595958</v>
      </c>
      <c r="Q287" s="11">
        <f t="shared" si="59"/>
        <v>0</v>
      </c>
      <c r="R287" s="11">
        <f t="shared" si="60"/>
        <v>1568160</v>
      </c>
      <c r="S287" s="11"/>
      <c r="T287" s="11">
        <f t="shared" si="61"/>
        <v>2027797</v>
      </c>
      <c r="V287" s="7">
        <f t="shared" si="62"/>
        <v>0</v>
      </c>
      <c r="W287">
        <f t="shared" si="63"/>
        <v>0.56391009016234339</v>
      </c>
      <c r="Y287" s="8"/>
      <c r="Z287" s="8">
        <f t="shared" si="64"/>
        <v>3.423567167798236E-3</v>
      </c>
      <c r="AE287" s="1">
        <f t="shared" si="55"/>
        <v>43952</v>
      </c>
      <c r="AF287" s="11">
        <f t="shared" si="56"/>
        <v>2027797</v>
      </c>
    </row>
    <row r="288" spans="1:32" x14ac:dyDescent="0.25">
      <c r="A288" s="1">
        <v>43983</v>
      </c>
      <c r="B288" s="9">
        <f>IFERROR(VLOOKUP($A288,ANTIGA_LIVRES!$A:$P,MATCH(APENDICE_BCB!B$3,ANTIGA_LIVRES!$1:$1,0),0)/1000,0)</f>
        <v>0</v>
      </c>
      <c r="C288" s="9">
        <f>IFERROR(VLOOKUP($A288,ANTIGA_LIVRES!$A:$P,MATCH(APENDICE_BCB!C$3,ANTIGA_LIVRES!$1:$1,0),0)/1000,0)</f>
        <v>0</v>
      </c>
      <c r="D288" s="9">
        <f>IFERROR(VLOOKUP($A288,ANTIGA_LIVRES!$A:$P,MATCH(APENDICE_BCB!D$3,ANTIGA_LIVRES!$1:$1,0),0)/1000,0)</f>
        <v>0</v>
      </c>
      <c r="E288" s="9">
        <f>IFERROR(VLOOKUP($A288,ANTIGA_DIRECIONADOS!$A:$P,MATCH(APENDICE_BCB!E$3,ANTIGA_DIRECIONADOS!$1:$1,0),0),0)</f>
        <v>0</v>
      </c>
      <c r="F288" s="9">
        <f>IFERROR(VLOOKUP($A288,ANTIGA_DIRECIONADOS!$A:$P,MATCH(APENDICE_BCB!F$3,ANTIGA_DIRECIONADOS!$1:$1,0),0),0)</f>
        <v>0</v>
      </c>
      <c r="G288" s="9">
        <f>IFERROR(VLOOKUP($A288,ANTIGA_DIRECIONADOS!$A:$P,MATCH(APENDICE_BCB!G$3,ANTIGA_DIRECIONADOS!$1:$1,0),0),0)</f>
        <v>0</v>
      </c>
      <c r="H288" s="9">
        <f>IFERROR(VLOOKUP($A288,ATUAL_LIV_E_DIR!$A:$P,MATCH(APENDICE_BCB!H$3,ATUAL_LIV_E_DIR!$1:$1,0),0),0)</f>
        <v>2114414</v>
      </c>
      <c r="I288" s="9">
        <f>IFERROR(VLOOKUP($A288,ATUAL_LIV_E_DIR!$A:$P,MATCH(APENDICE_BCB!I$3,ATUAL_LIV_E_DIR!$1:$1,0),0),0)</f>
        <v>1007816</v>
      </c>
      <c r="J288" s="9">
        <f>IFERROR(VLOOKUP($A288,ATUAL_LIV_E_DIR!$A:$P,MATCH(APENDICE_BCB!J$3,ATUAL_LIV_E_DIR!$1:$1,0),0),0)</f>
        <v>1106598</v>
      </c>
      <c r="K288" s="9">
        <f>IFERROR(VLOOKUP($A288,ATUAL_LIV_E_DIR!$A:$P,MATCH(APENDICE_BCB!K$3,ATUAL_LIV_E_DIR!$1:$1,0),0),0)</f>
        <v>1508552</v>
      </c>
      <c r="L288" s="9">
        <f>IFERROR(VLOOKUP($A288,ATUAL_LIV_E_DIR!$A:$P,MATCH(APENDICE_BCB!L$3,ATUAL_LIV_E_DIR!$1:$1,0),0),0)</f>
        <v>934550</v>
      </c>
      <c r="M288" s="9">
        <f>IFERROR(VLOOKUP($A288,ATUAL_LIV_E_DIR!$A:$P,MATCH(APENDICE_BCB!M$3,ATUAL_LIV_E_DIR!$1:$1,0),0),0)</f>
        <v>574001</v>
      </c>
      <c r="O288" s="11">
        <f t="shared" si="57"/>
        <v>0</v>
      </c>
      <c r="P288" s="11">
        <f t="shared" si="58"/>
        <v>3622966</v>
      </c>
      <c r="Q288" s="11">
        <f t="shared" si="59"/>
        <v>0</v>
      </c>
      <c r="R288" s="11">
        <f t="shared" si="60"/>
        <v>1581817</v>
      </c>
      <c r="S288" s="11"/>
      <c r="T288" s="11">
        <f t="shared" si="61"/>
        <v>2041148</v>
      </c>
      <c r="V288" s="7">
        <f t="shared" si="62"/>
        <v>0</v>
      </c>
      <c r="W288">
        <f t="shared" si="63"/>
        <v>0.56339143121961399</v>
      </c>
      <c r="Y288" s="8"/>
      <c r="Z288" s="8">
        <f t="shared" si="64"/>
        <v>7.510655018773793E-3</v>
      </c>
      <c r="AE288" s="1">
        <f t="shared" si="55"/>
        <v>43983</v>
      </c>
      <c r="AF288" s="11">
        <f t="shared" si="56"/>
        <v>2041148</v>
      </c>
    </row>
    <row r="289" spans="1:32" x14ac:dyDescent="0.25">
      <c r="A289" s="1">
        <v>44013</v>
      </c>
      <c r="B289" s="9">
        <f>IFERROR(VLOOKUP($A289,ANTIGA_LIVRES!$A:$P,MATCH(APENDICE_BCB!B$3,ANTIGA_LIVRES!$1:$1,0),0)/1000,0)</f>
        <v>0</v>
      </c>
      <c r="C289" s="9">
        <f>IFERROR(VLOOKUP($A289,ANTIGA_LIVRES!$A:$P,MATCH(APENDICE_BCB!C$3,ANTIGA_LIVRES!$1:$1,0),0)/1000,0)</f>
        <v>0</v>
      </c>
      <c r="D289" s="9">
        <f>IFERROR(VLOOKUP($A289,ANTIGA_LIVRES!$A:$P,MATCH(APENDICE_BCB!D$3,ANTIGA_LIVRES!$1:$1,0),0)/1000,0)</f>
        <v>0</v>
      </c>
      <c r="E289" s="9">
        <f>IFERROR(VLOOKUP($A289,ANTIGA_DIRECIONADOS!$A:$P,MATCH(APENDICE_BCB!E$3,ANTIGA_DIRECIONADOS!$1:$1,0),0),0)</f>
        <v>0</v>
      </c>
      <c r="F289" s="9">
        <f>IFERROR(VLOOKUP($A289,ANTIGA_DIRECIONADOS!$A:$P,MATCH(APENDICE_BCB!F$3,ANTIGA_DIRECIONADOS!$1:$1,0),0),0)</f>
        <v>0</v>
      </c>
      <c r="G289" s="9">
        <f>IFERROR(VLOOKUP($A289,ANTIGA_DIRECIONADOS!$A:$P,MATCH(APENDICE_BCB!G$3,ANTIGA_DIRECIONADOS!$1:$1,0),0),0)</f>
        <v>0</v>
      </c>
      <c r="H289" s="9">
        <f>IFERROR(VLOOKUP($A289,ATUAL_LIV_E_DIR!$A:$P,MATCH(APENDICE_BCB!H$3,ATUAL_LIV_E_DIR!$1:$1,0),0),0)</f>
        <v>2134747</v>
      </c>
      <c r="I289" s="9">
        <f>IFERROR(VLOOKUP($A289,ATUAL_LIV_E_DIR!$A:$P,MATCH(APENDICE_BCB!I$3,ATUAL_LIV_E_DIR!$1:$1,0),0),0)</f>
        <v>1016670</v>
      </c>
      <c r="J289" s="9">
        <f>IFERROR(VLOOKUP($A289,ATUAL_LIV_E_DIR!$A:$P,MATCH(APENDICE_BCB!J$3,ATUAL_LIV_E_DIR!$1:$1,0),0),0)</f>
        <v>1118076</v>
      </c>
      <c r="K289" s="9">
        <f>IFERROR(VLOOKUP($A289,ATUAL_LIV_E_DIR!$A:$P,MATCH(APENDICE_BCB!K$3,ATUAL_LIV_E_DIR!$1:$1,0),0),0)</f>
        <v>1535477</v>
      </c>
      <c r="L289" s="9">
        <f>IFERROR(VLOOKUP($A289,ATUAL_LIV_E_DIR!$A:$P,MATCH(APENDICE_BCB!L$3,ATUAL_LIV_E_DIR!$1:$1,0),0),0)</f>
        <v>942351</v>
      </c>
      <c r="M289" s="9">
        <f>IFERROR(VLOOKUP($A289,ATUAL_LIV_E_DIR!$A:$P,MATCH(APENDICE_BCB!M$3,ATUAL_LIV_E_DIR!$1:$1,0),0),0)</f>
        <v>593126</v>
      </c>
      <c r="O289" s="11">
        <f t="shared" si="57"/>
        <v>0</v>
      </c>
      <c r="P289" s="11">
        <f t="shared" si="58"/>
        <v>3670224</v>
      </c>
      <c r="Q289" s="11">
        <f t="shared" si="59"/>
        <v>0</v>
      </c>
      <c r="R289" s="11">
        <f t="shared" si="60"/>
        <v>1609796</v>
      </c>
      <c r="S289" s="11"/>
      <c r="T289" s="11">
        <f t="shared" si="61"/>
        <v>2060427</v>
      </c>
      <c r="V289" s="7">
        <f t="shared" si="62"/>
        <v>0</v>
      </c>
      <c r="W289">
        <f t="shared" si="63"/>
        <v>0.56138998600630374</v>
      </c>
      <c r="Y289" s="8"/>
      <c r="Z289" s="8">
        <f t="shared" si="64"/>
        <v>1.3044008693429587E-2</v>
      </c>
      <c r="AE289" s="1">
        <f t="shared" si="55"/>
        <v>44013</v>
      </c>
      <c r="AF289" s="11">
        <f t="shared" si="56"/>
        <v>2060427</v>
      </c>
    </row>
    <row r="290" spans="1:32" x14ac:dyDescent="0.25">
      <c r="A290" s="1">
        <v>44044</v>
      </c>
      <c r="B290" s="9">
        <f>IFERROR(VLOOKUP($A290,ANTIGA_LIVRES!$A:$P,MATCH(APENDICE_BCB!B$3,ANTIGA_LIVRES!$1:$1,0),0)/1000,0)</f>
        <v>0</v>
      </c>
      <c r="C290" s="9">
        <f>IFERROR(VLOOKUP($A290,ANTIGA_LIVRES!$A:$P,MATCH(APENDICE_BCB!C$3,ANTIGA_LIVRES!$1:$1,0),0)/1000,0)</f>
        <v>0</v>
      </c>
      <c r="D290" s="9">
        <f>IFERROR(VLOOKUP($A290,ANTIGA_LIVRES!$A:$P,MATCH(APENDICE_BCB!D$3,ANTIGA_LIVRES!$1:$1,0),0)/1000,0)</f>
        <v>0</v>
      </c>
      <c r="E290" s="9">
        <f>IFERROR(VLOOKUP($A290,ANTIGA_DIRECIONADOS!$A:$P,MATCH(APENDICE_BCB!E$3,ANTIGA_DIRECIONADOS!$1:$1,0),0),0)</f>
        <v>0</v>
      </c>
      <c r="F290" s="9">
        <f>IFERROR(VLOOKUP($A290,ANTIGA_DIRECIONADOS!$A:$P,MATCH(APENDICE_BCB!F$3,ANTIGA_DIRECIONADOS!$1:$1,0),0),0)</f>
        <v>0</v>
      </c>
      <c r="G290" s="9">
        <f>IFERROR(VLOOKUP($A290,ANTIGA_DIRECIONADOS!$A:$P,MATCH(APENDICE_BCB!G$3,ANTIGA_DIRECIONADOS!$1:$1,0),0),0)</f>
        <v>0</v>
      </c>
      <c r="H290" s="9">
        <f>IFERROR(VLOOKUP($A290,ATUAL_LIV_E_DIR!$A:$P,MATCH(APENDICE_BCB!H$3,ATUAL_LIV_E_DIR!$1:$1,0),0),0)</f>
        <v>2159563</v>
      </c>
      <c r="I290" s="9">
        <f>IFERROR(VLOOKUP($A290,ATUAL_LIV_E_DIR!$A:$P,MATCH(APENDICE_BCB!I$3,ATUAL_LIV_E_DIR!$1:$1,0),0),0)</f>
        <v>1024305</v>
      </c>
      <c r="J290" s="9">
        <f>IFERROR(VLOOKUP($A290,ATUAL_LIV_E_DIR!$A:$P,MATCH(APENDICE_BCB!J$3,ATUAL_LIV_E_DIR!$1:$1,0),0),0)</f>
        <v>1135258</v>
      </c>
      <c r="K290" s="9">
        <f>IFERROR(VLOOKUP($A290,ATUAL_LIV_E_DIR!$A:$P,MATCH(APENDICE_BCB!K$3,ATUAL_LIV_E_DIR!$1:$1,0),0),0)</f>
        <v>1582340</v>
      </c>
      <c r="L290" s="9">
        <f>IFERROR(VLOOKUP($A290,ATUAL_LIV_E_DIR!$A:$P,MATCH(APENDICE_BCB!L$3,ATUAL_LIV_E_DIR!$1:$1,0),0),0)</f>
        <v>956877</v>
      </c>
      <c r="M290" s="9">
        <f>IFERROR(VLOOKUP($A290,ATUAL_LIV_E_DIR!$A:$P,MATCH(APENDICE_BCB!M$3,ATUAL_LIV_E_DIR!$1:$1,0),0),0)</f>
        <v>625463</v>
      </c>
      <c r="O290" s="11">
        <f t="shared" si="57"/>
        <v>0</v>
      </c>
      <c r="P290" s="11">
        <f t="shared" si="58"/>
        <v>3741903</v>
      </c>
      <c r="Q290" s="11">
        <f t="shared" si="59"/>
        <v>0</v>
      </c>
      <c r="R290" s="11">
        <f t="shared" si="60"/>
        <v>1649768</v>
      </c>
      <c r="S290" s="11"/>
      <c r="T290" s="11">
        <f t="shared" si="61"/>
        <v>2092135</v>
      </c>
      <c r="V290" s="7">
        <f t="shared" si="62"/>
        <v>0</v>
      </c>
      <c r="W290">
        <f t="shared" si="63"/>
        <v>0.55910989675574163</v>
      </c>
      <c r="Y290" s="8"/>
      <c r="Z290" s="8">
        <f t="shared" si="64"/>
        <v>1.9529870656395998E-2</v>
      </c>
      <c r="AE290" s="1">
        <f t="shared" si="55"/>
        <v>44044</v>
      </c>
      <c r="AF290" s="11">
        <f t="shared" si="56"/>
        <v>2092135</v>
      </c>
    </row>
    <row r="291" spans="1:32" x14ac:dyDescent="0.25">
      <c r="A291" s="1">
        <v>44075</v>
      </c>
      <c r="B291" s="9">
        <f>IFERROR(VLOOKUP($A291,ANTIGA_LIVRES!$A:$P,MATCH(APENDICE_BCB!B$3,ANTIGA_LIVRES!$1:$1,0),0)/1000,0)</f>
        <v>0</v>
      </c>
      <c r="C291" s="9">
        <f>IFERROR(VLOOKUP($A291,ANTIGA_LIVRES!$A:$P,MATCH(APENDICE_BCB!C$3,ANTIGA_LIVRES!$1:$1,0),0)/1000,0)</f>
        <v>0</v>
      </c>
      <c r="D291" s="9">
        <f>IFERROR(VLOOKUP($A291,ANTIGA_LIVRES!$A:$P,MATCH(APENDICE_BCB!D$3,ANTIGA_LIVRES!$1:$1,0),0)/1000,0)</f>
        <v>0</v>
      </c>
      <c r="E291" s="9">
        <f>IFERROR(VLOOKUP($A291,ANTIGA_DIRECIONADOS!$A:$P,MATCH(APENDICE_BCB!E$3,ANTIGA_DIRECIONADOS!$1:$1,0),0),0)</f>
        <v>0</v>
      </c>
      <c r="F291" s="9">
        <f>IFERROR(VLOOKUP($A291,ANTIGA_DIRECIONADOS!$A:$P,MATCH(APENDICE_BCB!F$3,ANTIGA_DIRECIONADOS!$1:$1,0),0),0)</f>
        <v>0</v>
      </c>
      <c r="G291" s="9">
        <f>IFERROR(VLOOKUP($A291,ANTIGA_DIRECIONADOS!$A:$P,MATCH(APENDICE_BCB!G$3,ANTIGA_DIRECIONADOS!$1:$1,0),0),0)</f>
        <v>0</v>
      </c>
      <c r="H291" s="9">
        <f>IFERROR(VLOOKUP($A291,ATUAL_LIV_E_DIR!$A:$P,MATCH(APENDICE_BCB!H$3,ATUAL_LIV_E_DIR!$1:$1,0),0),0)</f>
        <v>2192041</v>
      </c>
      <c r="I291" s="9">
        <f>IFERROR(VLOOKUP($A291,ATUAL_LIV_E_DIR!$A:$P,MATCH(APENDICE_BCB!I$3,ATUAL_LIV_E_DIR!$1:$1,0),0),0)</f>
        <v>1038593</v>
      </c>
      <c r="J291" s="9">
        <f>IFERROR(VLOOKUP($A291,ATUAL_LIV_E_DIR!$A:$P,MATCH(APENDICE_BCB!J$3,ATUAL_LIV_E_DIR!$1:$1,0),0),0)</f>
        <v>1153449</v>
      </c>
      <c r="K291" s="9">
        <f>IFERROR(VLOOKUP($A291,ATUAL_LIV_E_DIR!$A:$P,MATCH(APENDICE_BCB!K$3,ATUAL_LIV_E_DIR!$1:$1,0),0),0)</f>
        <v>1628724</v>
      </c>
      <c r="L291" s="9">
        <f>IFERROR(VLOOKUP($A291,ATUAL_LIV_E_DIR!$A:$P,MATCH(APENDICE_BCB!L$3,ATUAL_LIV_E_DIR!$1:$1,0),0),0)</f>
        <v>969646</v>
      </c>
      <c r="M291" s="9">
        <f>IFERROR(VLOOKUP($A291,ATUAL_LIV_E_DIR!$A:$P,MATCH(APENDICE_BCB!M$3,ATUAL_LIV_E_DIR!$1:$1,0),0),0)</f>
        <v>659078</v>
      </c>
      <c r="O291" s="11">
        <f t="shared" si="57"/>
        <v>0</v>
      </c>
      <c r="P291" s="11">
        <f t="shared" si="58"/>
        <v>3820765</v>
      </c>
      <c r="Q291" s="11">
        <f t="shared" si="59"/>
        <v>0</v>
      </c>
      <c r="R291" s="11">
        <f t="shared" si="60"/>
        <v>1697671</v>
      </c>
      <c r="S291" s="11"/>
      <c r="T291" s="11">
        <f t="shared" si="61"/>
        <v>2123095</v>
      </c>
      <c r="V291" s="7">
        <f t="shared" si="62"/>
        <v>0</v>
      </c>
      <c r="W291">
        <f t="shared" si="63"/>
        <v>0.55567275139926164</v>
      </c>
      <c r="Y291" s="8"/>
      <c r="Z291" s="8">
        <f t="shared" si="64"/>
        <v>2.1075372611208731E-2</v>
      </c>
      <c r="AE291" s="1">
        <f t="shared" si="55"/>
        <v>44075</v>
      </c>
      <c r="AF291" s="11">
        <f t="shared" si="56"/>
        <v>2123095</v>
      </c>
    </row>
    <row r="292" spans="1:32" x14ac:dyDescent="0.25">
      <c r="A292" s="1">
        <v>44105</v>
      </c>
      <c r="B292" s="9">
        <f>IFERROR(VLOOKUP($A292,ANTIGA_LIVRES!$A:$P,MATCH(APENDICE_BCB!B$3,ANTIGA_LIVRES!$1:$1,0),0)/1000,0)</f>
        <v>0</v>
      </c>
      <c r="C292" s="9">
        <f>IFERROR(VLOOKUP($A292,ANTIGA_LIVRES!$A:$P,MATCH(APENDICE_BCB!C$3,ANTIGA_LIVRES!$1:$1,0),0)/1000,0)</f>
        <v>0</v>
      </c>
      <c r="D292" s="9">
        <f>IFERROR(VLOOKUP($A292,ANTIGA_LIVRES!$A:$P,MATCH(APENDICE_BCB!D$3,ANTIGA_LIVRES!$1:$1,0),0)/1000,0)</f>
        <v>0</v>
      </c>
      <c r="E292" s="9">
        <f>IFERROR(VLOOKUP($A292,ANTIGA_DIRECIONADOS!$A:$P,MATCH(APENDICE_BCB!E$3,ANTIGA_DIRECIONADOS!$1:$1,0),0),0)</f>
        <v>0</v>
      </c>
      <c r="F292" s="9">
        <f>IFERROR(VLOOKUP($A292,ANTIGA_DIRECIONADOS!$A:$P,MATCH(APENDICE_BCB!F$3,ANTIGA_DIRECIONADOS!$1:$1,0),0),0)</f>
        <v>0</v>
      </c>
      <c r="G292" s="9">
        <f>IFERROR(VLOOKUP($A292,ANTIGA_DIRECIONADOS!$A:$P,MATCH(APENDICE_BCB!G$3,ANTIGA_DIRECIONADOS!$1:$1,0),0),0)</f>
        <v>0</v>
      </c>
      <c r="H292" s="9">
        <f>IFERROR(VLOOKUP($A292,ATUAL_LIV_E_DIR!$A:$P,MATCH(APENDICE_BCB!H$3,ATUAL_LIV_E_DIR!$1:$1,0),0),0)</f>
        <v>2223972</v>
      </c>
      <c r="I292" s="9">
        <f>IFERROR(VLOOKUP($A292,ATUAL_LIV_E_DIR!$A:$P,MATCH(APENDICE_BCB!I$3,ATUAL_LIV_E_DIR!$1:$1,0),0),0)</f>
        <v>1048051</v>
      </c>
      <c r="J292" s="9">
        <f>IFERROR(VLOOKUP($A292,ATUAL_LIV_E_DIR!$A:$P,MATCH(APENDICE_BCB!J$3,ATUAL_LIV_E_DIR!$1:$1,0),0),0)</f>
        <v>1175921</v>
      </c>
      <c r="K292" s="9">
        <f>IFERROR(VLOOKUP($A292,ATUAL_LIV_E_DIR!$A:$P,MATCH(APENDICE_BCB!K$3,ATUAL_LIV_E_DIR!$1:$1,0),0),0)</f>
        <v>1654512</v>
      </c>
      <c r="L292" s="9">
        <f>IFERROR(VLOOKUP($A292,ATUAL_LIV_E_DIR!$A:$P,MATCH(APENDICE_BCB!L$3,ATUAL_LIV_E_DIR!$1:$1,0),0),0)</f>
        <v>983170</v>
      </c>
      <c r="M292" s="9">
        <f>IFERROR(VLOOKUP($A292,ATUAL_LIV_E_DIR!$A:$P,MATCH(APENDICE_BCB!M$3,ATUAL_LIV_E_DIR!$1:$1,0),0),0)</f>
        <v>671342</v>
      </c>
      <c r="O292" s="11">
        <f t="shared" si="57"/>
        <v>0</v>
      </c>
      <c r="P292" s="11">
        <f t="shared" si="58"/>
        <v>3878484</v>
      </c>
      <c r="Q292" s="11">
        <f t="shared" si="59"/>
        <v>0</v>
      </c>
      <c r="R292" s="11">
        <f t="shared" si="60"/>
        <v>1719393</v>
      </c>
      <c r="S292" s="11"/>
      <c r="T292" s="11">
        <f t="shared" si="61"/>
        <v>2159091</v>
      </c>
      <c r="V292" s="7">
        <f t="shared" si="62"/>
        <v>0</v>
      </c>
      <c r="W292">
        <f t="shared" si="63"/>
        <v>0.55668426117008607</v>
      </c>
      <c r="Y292" s="8"/>
      <c r="Z292" s="8">
        <f t="shared" si="64"/>
        <v>1.5106660577135722E-2</v>
      </c>
      <c r="AE292" s="1">
        <f t="shared" si="55"/>
        <v>44105</v>
      </c>
      <c r="AF292" s="11">
        <f t="shared" si="56"/>
        <v>2159091</v>
      </c>
    </row>
    <row r="293" spans="1:32" x14ac:dyDescent="0.25">
      <c r="A293" s="1">
        <v>44136</v>
      </c>
      <c r="B293" s="9">
        <f>IFERROR(VLOOKUP($A293,ANTIGA_LIVRES!$A:$P,MATCH(APENDICE_BCB!B$3,ANTIGA_LIVRES!$1:$1,0),0)/1000,0)</f>
        <v>0</v>
      </c>
      <c r="C293" s="9">
        <f>IFERROR(VLOOKUP($A293,ANTIGA_LIVRES!$A:$P,MATCH(APENDICE_BCB!C$3,ANTIGA_LIVRES!$1:$1,0),0)/1000,0)</f>
        <v>0</v>
      </c>
      <c r="D293" s="9">
        <f>IFERROR(VLOOKUP($A293,ANTIGA_LIVRES!$A:$P,MATCH(APENDICE_BCB!D$3,ANTIGA_LIVRES!$1:$1,0),0)/1000,0)</f>
        <v>0</v>
      </c>
      <c r="E293" s="9">
        <f>IFERROR(VLOOKUP($A293,ANTIGA_DIRECIONADOS!$A:$P,MATCH(APENDICE_BCB!E$3,ANTIGA_DIRECIONADOS!$1:$1,0),0),0)</f>
        <v>0</v>
      </c>
      <c r="F293" s="9">
        <f>IFERROR(VLOOKUP($A293,ANTIGA_DIRECIONADOS!$A:$P,MATCH(APENDICE_BCB!F$3,ANTIGA_DIRECIONADOS!$1:$1,0),0),0)</f>
        <v>0</v>
      </c>
      <c r="G293" s="9">
        <f>IFERROR(VLOOKUP($A293,ANTIGA_DIRECIONADOS!$A:$P,MATCH(APENDICE_BCB!G$3,ANTIGA_DIRECIONADOS!$1:$1,0),0),0)</f>
        <v>0</v>
      </c>
      <c r="H293" s="9">
        <f>IFERROR(VLOOKUP($A293,ATUAL_LIV_E_DIR!$A:$P,MATCH(APENDICE_BCB!H$3,ATUAL_LIV_E_DIR!$1:$1,0),0),0)</f>
        <v>2275878</v>
      </c>
      <c r="I293" s="9">
        <f>IFERROR(VLOOKUP($A293,ATUAL_LIV_E_DIR!$A:$P,MATCH(APENDICE_BCB!I$3,ATUAL_LIV_E_DIR!$1:$1,0),0),0)</f>
        <v>1065850</v>
      </c>
      <c r="J293" s="9">
        <f>IFERROR(VLOOKUP($A293,ATUAL_LIV_E_DIR!$A:$P,MATCH(APENDICE_BCB!J$3,ATUAL_LIV_E_DIR!$1:$1,0),0),0)</f>
        <v>1210028</v>
      </c>
      <c r="K293" s="9">
        <f>IFERROR(VLOOKUP($A293,ATUAL_LIV_E_DIR!$A:$P,MATCH(APENDICE_BCB!K$3,ATUAL_LIV_E_DIR!$1:$1,0),0),0)</f>
        <v>1681176</v>
      </c>
      <c r="L293" s="9">
        <f>IFERROR(VLOOKUP($A293,ATUAL_LIV_E_DIR!$A:$P,MATCH(APENDICE_BCB!L$3,ATUAL_LIV_E_DIR!$1:$1,0),0),0)</f>
        <v>995676</v>
      </c>
      <c r="M293" s="9">
        <f>IFERROR(VLOOKUP($A293,ATUAL_LIV_E_DIR!$A:$P,MATCH(APENDICE_BCB!M$3,ATUAL_LIV_E_DIR!$1:$1,0),0),0)</f>
        <v>685500</v>
      </c>
      <c r="O293" s="11">
        <f t="shared" si="57"/>
        <v>0</v>
      </c>
      <c r="P293" s="11">
        <f t="shared" si="58"/>
        <v>3957054</v>
      </c>
      <c r="Q293" s="11">
        <f t="shared" si="59"/>
        <v>0</v>
      </c>
      <c r="R293" s="11">
        <f t="shared" si="60"/>
        <v>1751350</v>
      </c>
      <c r="S293" s="11"/>
      <c r="T293" s="11">
        <f t="shared" si="61"/>
        <v>2205704</v>
      </c>
      <c r="V293" s="7">
        <f t="shared" si="62"/>
        <v>0</v>
      </c>
      <c r="W293">
        <f t="shared" si="63"/>
        <v>0.55741063932915746</v>
      </c>
      <c r="Y293" s="8"/>
      <c r="Z293" s="8">
        <f t="shared" si="64"/>
        <v>2.0257915206044474E-2</v>
      </c>
      <c r="AE293" s="1">
        <f t="shared" si="55"/>
        <v>44136</v>
      </c>
      <c r="AF293" s="11">
        <f t="shared" si="56"/>
        <v>2205704</v>
      </c>
    </row>
    <row r="294" spans="1:32" x14ac:dyDescent="0.25">
      <c r="A294" s="1">
        <v>44166</v>
      </c>
      <c r="B294" s="9">
        <f>IFERROR(VLOOKUP($A294,ANTIGA_LIVRES!$A:$P,MATCH(APENDICE_BCB!B$3,ANTIGA_LIVRES!$1:$1,0),0)/1000,0)</f>
        <v>0</v>
      </c>
      <c r="C294" s="9">
        <f>IFERROR(VLOOKUP($A294,ANTIGA_LIVRES!$A:$P,MATCH(APENDICE_BCB!C$3,ANTIGA_LIVRES!$1:$1,0),0)/1000,0)</f>
        <v>0</v>
      </c>
      <c r="D294" s="9">
        <f>IFERROR(VLOOKUP($A294,ANTIGA_LIVRES!$A:$P,MATCH(APENDICE_BCB!D$3,ANTIGA_LIVRES!$1:$1,0),0)/1000,0)</f>
        <v>0</v>
      </c>
      <c r="E294" s="9">
        <f>IFERROR(VLOOKUP($A294,ANTIGA_DIRECIONADOS!$A:$P,MATCH(APENDICE_BCB!E$3,ANTIGA_DIRECIONADOS!$1:$1,0),0),0)</f>
        <v>0</v>
      </c>
      <c r="F294" s="9">
        <f>IFERROR(VLOOKUP($A294,ANTIGA_DIRECIONADOS!$A:$P,MATCH(APENDICE_BCB!F$3,ANTIGA_DIRECIONADOS!$1:$1,0),0),0)</f>
        <v>0</v>
      </c>
      <c r="G294" s="9">
        <f>IFERROR(VLOOKUP($A294,ANTIGA_DIRECIONADOS!$A:$P,MATCH(APENDICE_BCB!G$3,ANTIGA_DIRECIONADOS!$1:$1,0),0),0)</f>
        <v>0</v>
      </c>
      <c r="H294" s="9">
        <f>IFERROR(VLOOKUP($A294,ATUAL_LIV_E_DIR!$A:$P,MATCH(APENDICE_BCB!H$3,ATUAL_LIV_E_DIR!$1:$1,0),0),0)</f>
        <v>2319449</v>
      </c>
      <c r="I294" s="9">
        <f>IFERROR(VLOOKUP($A294,ATUAL_LIV_E_DIR!$A:$P,MATCH(APENDICE_BCB!I$3,ATUAL_LIV_E_DIR!$1:$1,0),0),0)</f>
        <v>1088502</v>
      </c>
      <c r="J294" s="9">
        <f>IFERROR(VLOOKUP($A294,ATUAL_LIV_E_DIR!$A:$P,MATCH(APENDICE_BCB!J$3,ATUAL_LIV_E_DIR!$1:$1,0),0),0)</f>
        <v>1230948</v>
      </c>
      <c r="K294" s="9">
        <f>IFERROR(VLOOKUP($A294,ATUAL_LIV_E_DIR!$A:$P,MATCH(APENDICE_BCB!K$3,ATUAL_LIV_E_DIR!$1:$1,0),0),0)</f>
        <v>1702085</v>
      </c>
      <c r="L294" s="9">
        <f>IFERROR(VLOOKUP($A294,ATUAL_LIV_E_DIR!$A:$P,MATCH(APENDICE_BCB!L$3,ATUAL_LIV_E_DIR!$1:$1,0),0),0)</f>
        <v>1010137</v>
      </c>
      <c r="M294" s="9">
        <f>IFERROR(VLOOKUP($A294,ATUAL_LIV_E_DIR!$A:$P,MATCH(APENDICE_BCB!M$3,ATUAL_LIV_E_DIR!$1:$1,0),0),0)</f>
        <v>691948</v>
      </c>
      <c r="O294" s="11">
        <f t="shared" si="57"/>
        <v>0</v>
      </c>
      <c r="P294" s="11">
        <f t="shared" si="58"/>
        <v>4021534</v>
      </c>
      <c r="Q294" s="11">
        <f t="shared" si="59"/>
        <v>0</v>
      </c>
      <c r="R294" s="11">
        <f t="shared" si="60"/>
        <v>1780450</v>
      </c>
      <c r="S294" s="11"/>
      <c r="T294" s="11">
        <f t="shared" si="61"/>
        <v>2241085</v>
      </c>
      <c r="V294" s="7">
        <f t="shared" si="62"/>
        <v>0</v>
      </c>
      <c r="W294">
        <f t="shared" si="63"/>
        <v>0.55727118059924396</v>
      </c>
      <c r="Y294" s="8"/>
      <c r="Z294" s="8">
        <f t="shared" si="64"/>
        <v>1.6294950738604985E-2</v>
      </c>
      <c r="AE294" s="1">
        <f t="shared" si="55"/>
        <v>44166</v>
      </c>
      <c r="AF294" s="11">
        <f t="shared" si="56"/>
        <v>2241085</v>
      </c>
    </row>
    <row r="295" spans="1:32" x14ac:dyDescent="0.25">
      <c r="A295" s="1">
        <v>44197</v>
      </c>
      <c r="B295" s="9">
        <f>IFERROR(VLOOKUP($A295,ANTIGA_LIVRES!$A:$P,MATCH(APENDICE_BCB!B$3,ANTIGA_LIVRES!$1:$1,0),0)/1000,0)</f>
        <v>0</v>
      </c>
      <c r="C295" s="9">
        <f>IFERROR(VLOOKUP($A295,ANTIGA_LIVRES!$A:$P,MATCH(APENDICE_BCB!C$3,ANTIGA_LIVRES!$1:$1,0),0)/1000,0)</f>
        <v>0</v>
      </c>
      <c r="D295" s="9">
        <f>IFERROR(VLOOKUP($A295,ANTIGA_LIVRES!$A:$P,MATCH(APENDICE_BCB!D$3,ANTIGA_LIVRES!$1:$1,0),0)/1000,0)</f>
        <v>0</v>
      </c>
      <c r="E295" s="9">
        <f>IFERROR(VLOOKUP($A295,ANTIGA_DIRECIONADOS!$A:$P,MATCH(APENDICE_BCB!E$3,ANTIGA_DIRECIONADOS!$1:$1,0),0),0)</f>
        <v>0</v>
      </c>
      <c r="F295" s="9">
        <f>IFERROR(VLOOKUP($A295,ANTIGA_DIRECIONADOS!$A:$P,MATCH(APENDICE_BCB!F$3,ANTIGA_DIRECIONADOS!$1:$1,0),0),0)</f>
        <v>0</v>
      </c>
      <c r="G295" s="9">
        <f>IFERROR(VLOOKUP($A295,ANTIGA_DIRECIONADOS!$A:$P,MATCH(APENDICE_BCB!G$3,ANTIGA_DIRECIONADOS!$1:$1,0),0),0)</f>
        <v>0</v>
      </c>
      <c r="H295" s="9">
        <f>IFERROR(VLOOKUP($A295,ATUAL_LIV_E_DIR!$A:$P,MATCH(APENDICE_BCB!H$3,ATUAL_LIV_E_DIR!$1:$1,0),0),0)</f>
        <v>2311940</v>
      </c>
      <c r="I295" s="9">
        <f>IFERROR(VLOOKUP($A295,ATUAL_LIV_E_DIR!$A:$P,MATCH(APENDICE_BCB!I$3,ATUAL_LIV_E_DIR!$1:$1,0),0),0)</f>
        <v>1076183</v>
      </c>
      <c r="J295" s="9">
        <f>IFERROR(VLOOKUP($A295,ATUAL_LIV_E_DIR!$A:$P,MATCH(APENDICE_BCB!J$3,ATUAL_LIV_E_DIR!$1:$1,0),0),0)</f>
        <v>1235757</v>
      </c>
      <c r="K295" s="9">
        <f>IFERROR(VLOOKUP($A295,ATUAL_LIV_E_DIR!$A:$P,MATCH(APENDICE_BCB!K$3,ATUAL_LIV_E_DIR!$1:$1,0),0),0)</f>
        <v>1706875</v>
      </c>
      <c r="L295" s="9">
        <f>IFERROR(VLOOKUP($A295,ATUAL_LIV_E_DIR!$A:$P,MATCH(APENDICE_BCB!L$3,ATUAL_LIV_E_DIR!$1:$1,0),0),0)</f>
        <v>1018708</v>
      </c>
      <c r="M295" s="9">
        <f>IFERROR(VLOOKUP($A295,ATUAL_LIV_E_DIR!$A:$P,MATCH(APENDICE_BCB!M$3,ATUAL_LIV_E_DIR!$1:$1,0),0),0)</f>
        <v>688167</v>
      </c>
      <c r="O295" s="11">
        <f t="shared" si="57"/>
        <v>0</v>
      </c>
      <c r="P295" s="11">
        <f t="shared" si="58"/>
        <v>4018815</v>
      </c>
      <c r="Q295" s="11">
        <f t="shared" si="59"/>
        <v>0</v>
      </c>
      <c r="R295" s="11">
        <f t="shared" si="60"/>
        <v>1764350</v>
      </c>
      <c r="S295" s="11"/>
      <c r="T295" s="11">
        <f t="shared" si="61"/>
        <v>2254465</v>
      </c>
      <c r="V295" s="7">
        <f t="shared" si="62"/>
        <v>0</v>
      </c>
      <c r="W295">
        <f t="shared" si="63"/>
        <v>0.56097755184053011</v>
      </c>
      <c r="Y295" s="8"/>
      <c r="Z295" s="8">
        <f t="shared" si="64"/>
        <v>-6.7611016094848431E-4</v>
      </c>
      <c r="AE295" s="1">
        <f t="shared" si="55"/>
        <v>44197</v>
      </c>
      <c r="AF295" s="11">
        <f t="shared" si="56"/>
        <v>2254465</v>
      </c>
    </row>
    <row r="296" spans="1:32" x14ac:dyDescent="0.25">
      <c r="A296" s="1">
        <v>44228</v>
      </c>
      <c r="B296" s="9">
        <f>IFERROR(VLOOKUP($A296,ANTIGA_LIVRES!$A:$P,MATCH(APENDICE_BCB!B$3,ANTIGA_LIVRES!$1:$1,0),0)/1000,0)</f>
        <v>0</v>
      </c>
      <c r="C296" s="9">
        <f>IFERROR(VLOOKUP($A296,ANTIGA_LIVRES!$A:$P,MATCH(APENDICE_BCB!C$3,ANTIGA_LIVRES!$1:$1,0),0)/1000,0)</f>
        <v>0</v>
      </c>
      <c r="D296" s="9">
        <f>IFERROR(VLOOKUP($A296,ANTIGA_LIVRES!$A:$P,MATCH(APENDICE_BCB!D$3,ANTIGA_LIVRES!$1:$1,0),0)/1000,0)</f>
        <v>0</v>
      </c>
      <c r="E296" s="9">
        <f>IFERROR(VLOOKUP($A296,ANTIGA_DIRECIONADOS!$A:$P,MATCH(APENDICE_BCB!E$3,ANTIGA_DIRECIONADOS!$1:$1,0),0),0)</f>
        <v>0</v>
      </c>
      <c r="F296" s="9">
        <f>IFERROR(VLOOKUP($A296,ANTIGA_DIRECIONADOS!$A:$P,MATCH(APENDICE_BCB!F$3,ANTIGA_DIRECIONADOS!$1:$1,0),0),0)</f>
        <v>0</v>
      </c>
      <c r="G296" s="9">
        <f>IFERROR(VLOOKUP($A296,ANTIGA_DIRECIONADOS!$A:$P,MATCH(APENDICE_BCB!G$3,ANTIGA_DIRECIONADOS!$1:$1,0),0),0)</f>
        <v>0</v>
      </c>
      <c r="H296" s="9">
        <f>IFERROR(VLOOKUP($A296,ATUAL_LIV_E_DIR!$A:$P,MATCH(APENDICE_BCB!H$3,ATUAL_LIV_E_DIR!$1:$1,0),0),0)</f>
        <v>2331919</v>
      </c>
      <c r="I296" s="9">
        <f>IFERROR(VLOOKUP($A296,ATUAL_LIV_E_DIR!$A:$P,MATCH(APENDICE_BCB!I$3,ATUAL_LIV_E_DIR!$1:$1,0),0),0)</f>
        <v>1088469</v>
      </c>
      <c r="J296" s="9">
        <f>IFERROR(VLOOKUP($A296,ATUAL_LIV_E_DIR!$A:$P,MATCH(APENDICE_BCB!J$3,ATUAL_LIV_E_DIR!$1:$1,0),0),0)</f>
        <v>1243450</v>
      </c>
      <c r="K296" s="9">
        <f>IFERROR(VLOOKUP($A296,ATUAL_LIV_E_DIR!$A:$P,MATCH(APENDICE_BCB!K$3,ATUAL_LIV_E_DIR!$1:$1,0),0),0)</f>
        <v>1714231</v>
      </c>
      <c r="L296" s="9">
        <f>IFERROR(VLOOKUP($A296,ATUAL_LIV_E_DIR!$A:$P,MATCH(APENDICE_BCB!L$3,ATUAL_LIV_E_DIR!$1:$1,0),0),0)</f>
        <v>1028387</v>
      </c>
      <c r="M296" s="9">
        <f>IFERROR(VLOOKUP($A296,ATUAL_LIV_E_DIR!$A:$P,MATCH(APENDICE_BCB!M$3,ATUAL_LIV_E_DIR!$1:$1,0),0),0)</f>
        <v>685843</v>
      </c>
      <c r="O296" s="11">
        <f t="shared" si="57"/>
        <v>0</v>
      </c>
      <c r="P296" s="11">
        <f t="shared" si="58"/>
        <v>4046150</v>
      </c>
      <c r="Q296" s="11">
        <f t="shared" si="59"/>
        <v>0</v>
      </c>
      <c r="R296" s="11">
        <f t="shared" si="60"/>
        <v>1774312</v>
      </c>
      <c r="S296" s="11"/>
      <c r="T296" s="11">
        <f t="shared" si="61"/>
        <v>2271837</v>
      </c>
      <c r="V296" s="7">
        <f t="shared" si="62"/>
        <v>0</v>
      </c>
      <c r="W296">
        <f t="shared" si="63"/>
        <v>0.56148116110376534</v>
      </c>
      <c r="Y296" s="8"/>
      <c r="Z296" s="8">
        <f t="shared" si="64"/>
        <v>6.8017562390902953E-3</v>
      </c>
      <c r="AE296" s="1">
        <f t="shared" si="55"/>
        <v>44228</v>
      </c>
      <c r="AF296" s="11">
        <f t="shared" si="56"/>
        <v>2271837</v>
      </c>
    </row>
    <row r="297" spans="1:32" x14ac:dyDescent="0.25">
      <c r="A297" s="1">
        <v>44256</v>
      </c>
      <c r="B297" s="9">
        <f>IFERROR(VLOOKUP($A297,ANTIGA_LIVRES!$A:$P,MATCH(APENDICE_BCB!B$3,ANTIGA_LIVRES!$1:$1,0),0)/1000,0)</f>
        <v>0</v>
      </c>
      <c r="C297" s="9">
        <f>IFERROR(VLOOKUP($A297,ANTIGA_LIVRES!$A:$P,MATCH(APENDICE_BCB!C$3,ANTIGA_LIVRES!$1:$1,0),0)/1000,0)</f>
        <v>0</v>
      </c>
      <c r="D297" s="9">
        <f>IFERROR(VLOOKUP($A297,ANTIGA_LIVRES!$A:$P,MATCH(APENDICE_BCB!D$3,ANTIGA_LIVRES!$1:$1,0),0)/1000,0)</f>
        <v>0</v>
      </c>
      <c r="E297" s="9">
        <f>IFERROR(VLOOKUP($A297,ANTIGA_DIRECIONADOS!$A:$P,MATCH(APENDICE_BCB!E$3,ANTIGA_DIRECIONADOS!$1:$1,0),0),0)</f>
        <v>0</v>
      </c>
      <c r="F297" s="9">
        <f>IFERROR(VLOOKUP($A297,ANTIGA_DIRECIONADOS!$A:$P,MATCH(APENDICE_BCB!F$3,ANTIGA_DIRECIONADOS!$1:$1,0),0),0)</f>
        <v>0</v>
      </c>
      <c r="G297" s="9">
        <f>IFERROR(VLOOKUP($A297,ANTIGA_DIRECIONADOS!$A:$P,MATCH(APENDICE_BCB!G$3,ANTIGA_DIRECIONADOS!$1:$1,0),0),0)</f>
        <v>0</v>
      </c>
      <c r="H297" s="9">
        <f>IFERROR(VLOOKUP($A297,ATUAL_LIV_E_DIR!$A:$P,MATCH(APENDICE_BCB!H$3,ATUAL_LIV_E_DIR!$1:$1,0),0),0)</f>
        <v>2378399</v>
      </c>
      <c r="I297" s="9">
        <f>IFERROR(VLOOKUP($A297,ATUAL_LIV_E_DIR!$A:$P,MATCH(APENDICE_BCB!I$3,ATUAL_LIV_E_DIR!$1:$1,0),0),0)</f>
        <v>1121737</v>
      </c>
      <c r="J297" s="9">
        <f>IFERROR(VLOOKUP($A297,ATUAL_LIV_E_DIR!$A:$P,MATCH(APENDICE_BCB!J$3,ATUAL_LIV_E_DIR!$1:$1,0),0),0)</f>
        <v>1256662</v>
      </c>
      <c r="K297" s="9">
        <f>IFERROR(VLOOKUP($A297,ATUAL_LIV_E_DIR!$A:$P,MATCH(APENDICE_BCB!K$3,ATUAL_LIV_E_DIR!$1:$1,0),0),0)</f>
        <v>1729331</v>
      </c>
      <c r="L297" s="9">
        <f>IFERROR(VLOOKUP($A297,ATUAL_LIV_E_DIR!$A:$P,MATCH(APENDICE_BCB!L$3,ATUAL_LIV_E_DIR!$1:$1,0),0),0)</f>
        <v>1041683</v>
      </c>
      <c r="M297" s="9">
        <f>IFERROR(VLOOKUP($A297,ATUAL_LIV_E_DIR!$A:$P,MATCH(APENDICE_BCB!M$3,ATUAL_LIV_E_DIR!$1:$1,0),0),0)</f>
        <v>687647</v>
      </c>
      <c r="O297" s="11">
        <f t="shared" si="57"/>
        <v>0</v>
      </c>
      <c r="P297" s="11">
        <f t="shared" si="58"/>
        <v>4107730</v>
      </c>
      <c r="Q297" s="11">
        <f t="shared" si="59"/>
        <v>0</v>
      </c>
      <c r="R297" s="11">
        <f t="shared" si="60"/>
        <v>1809384</v>
      </c>
      <c r="S297" s="11"/>
      <c r="T297" s="11">
        <f t="shared" si="61"/>
        <v>2298345</v>
      </c>
      <c r="V297" s="7">
        <f t="shared" si="62"/>
        <v>0</v>
      </c>
      <c r="W297">
        <f t="shared" si="63"/>
        <v>0.55951705686595765</v>
      </c>
      <c r="Y297" s="8"/>
      <c r="Z297" s="8">
        <f t="shared" si="64"/>
        <v>1.5219406102097155E-2</v>
      </c>
      <c r="AE297" s="1">
        <f t="shared" si="55"/>
        <v>44256</v>
      </c>
      <c r="AF297" s="11">
        <f t="shared" si="56"/>
        <v>2298345</v>
      </c>
    </row>
    <row r="298" spans="1:32" x14ac:dyDescent="0.25">
      <c r="A298" s="1">
        <v>44287</v>
      </c>
      <c r="B298" s="9">
        <f>IFERROR(VLOOKUP($A298,ANTIGA_LIVRES!$A:$P,MATCH(APENDICE_BCB!B$3,ANTIGA_LIVRES!$1:$1,0),0)/1000,0)</f>
        <v>0</v>
      </c>
      <c r="C298" s="9">
        <f>IFERROR(VLOOKUP($A298,ANTIGA_LIVRES!$A:$P,MATCH(APENDICE_BCB!C$3,ANTIGA_LIVRES!$1:$1,0),0)/1000,0)</f>
        <v>0</v>
      </c>
      <c r="D298" s="9">
        <f>IFERROR(VLOOKUP($A298,ANTIGA_LIVRES!$A:$P,MATCH(APENDICE_BCB!D$3,ANTIGA_LIVRES!$1:$1,0),0)/1000,0)</f>
        <v>0</v>
      </c>
      <c r="E298" s="9">
        <f>IFERROR(VLOOKUP($A298,ANTIGA_DIRECIONADOS!$A:$P,MATCH(APENDICE_BCB!E$3,ANTIGA_DIRECIONADOS!$1:$1,0),0),0)</f>
        <v>0</v>
      </c>
      <c r="F298" s="9">
        <f>IFERROR(VLOOKUP($A298,ANTIGA_DIRECIONADOS!$A:$P,MATCH(APENDICE_BCB!F$3,ANTIGA_DIRECIONADOS!$1:$1,0),0),0)</f>
        <v>0</v>
      </c>
      <c r="G298" s="9">
        <f>IFERROR(VLOOKUP($A298,ANTIGA_DIRECIONADOS!$A:$P,MATCH(APENDICE_BCB!G$3,ANTIGA_DIRECIONADOS!$1:$1,0),0),0)</f>
        <v>0</v>
      </c>
      <c r="H298" s="9">
        <f>IFERROR(VLOOKUP($A298,ATUAL_LIV_E_DIR!$A:$P,MATCH(APENDICE_BCB!H$3,ATUAL_LIV_E_DIR!$1:$1,0),0),0)</f>
        <v>2393547</v>
      </c>
      <c r="I298" s="9">
        <f>IFERROR(VLOOKUP($A298,ATUAL_LIV_E_DIR!$A:$P,MATCH(APENDICE_BCB!I$3,ATUAL_LIV_E_DIR!$1:$1,0),0),0)</f>
        <v>1121745</v>
      </c>
      <c r="J298" s="9">
        <f>IFERROR(VLOOKUP($A298,ATUAL_LIV_E_DIR!$A:$P,MATCH(APENDICE_BCB!J$3,ATUAL_LIV_E_DIR!$1:$1,0),0),0)</f>
        <v>1271802</v>
      </c>
      <c r="K298" s="9">
        <f>IFERROR(VLOOKUP($A298,ATUAL_LIV_E_DIR!$A:$P,MATCH(APENDICE_BCB!K$3,ATUAL_LIV_E_DIR!$1:$1,0),0),0)</f>
        <v>1734639</v>
      </c>
      <c r="L298" s="9">
        <f>IFERROR(VLOOKUP($A298,ATUAL_LIV_E_DIR!$A:$P,MATCH(APENDICE_BCB!L$3,ATUAL_LIV_E_DIR!$1:$1,0),0),0)</f>
        <v>1051504</v>
      </c>
      <c r="M298" s="9">
        <f>IFERROR(VLOOKUP($A298,ATUAL_LIV_E_DIR!$A:$P,MATCH(APENDICE_BCB!M$3,ATUAL_LIV_E_DIR!$1:$1,0),0),0)</f>
        <v>683135</v>
      </c>
      <c r="O298" s="11">
        <f t="shared" si="57"/>
        <v>0</v>
      </c>
      <c r="P298" s="11">
        <f t="shared" si="58"/>
        <v>4128186</v>
      </c>
      <c r="Q298" s="11">
        <f t="shared" si="59"/>
        <v>0</v>
      </c>
      <c r="R298" s="11">
        <f t="shared" si="60"/>
        <v>1804880</v>
      </c>
      <c r="S298" s="11"/>
      <c r="T298" s="11">
        <f t="shared" si="61"/>
        <v>2323306</v>
      </c>
      <c r="V298" s="7">
        <f t="shared" si="62"/>
        <v>0</v>
      </c>
      <c r="W298">
        <f t="shared" si="63"/>
        <v>0.56279101765278983</v>
      </c>
      <c r="Y298" s="8"/>
      <c r="Z298" s="8">
        <f t="shared" si="64"/>
        <v>4.9798793981103984E-3</v>
      </c>
      <c r="AE298" s="1">
        <f t="shared" si="55"/>
        <v>44287</v>
      </c>
      <c r="AF298" s="11">
        <f t="shared" si="56"/>
        <v>2323306</v>
      </c>
    </row>
    <row r="299" spans="1:32" x14ac:dyDescent="0.25">
      <c r="A299" s="1">
        <v>44317</v>
      </c>
      <c r="B299" s="9">
        <f>IFERROR(VLOOKUP($A299,ANTIGA_LIVRES!$A:$P,MATCH(APENDICE_BCB!B$3,ANTIGA_LIVRES!$1:$1,0),0)/1000,0)</f>
        <v>0</v>
      </c>
      <c r="C299" s="9">
        <f>IFERROR(VLOOKUP($A299,ANTIGA_LIVRES!$A:$P,MATCH(APENDICE_BCB!C$3,ANTIGA_LIVRES!$1:$1,0),0)/1000,0)</f>
        <v>0</v>
      </c>
      <c r="D299" s="9">
        <f>IFERROR(VLOOKUP($A299,ANTIGA_LIVRES!$A:$P,MATCH(APENDICE_BCB!D$3,ANTIGA_LIVRES!$1:$1,0),0)/1000,0)</f>
        <v>0</v>
      </c>
      <c r="E299" s="9">
        <f>IFERROR(VLOOKUP($A299,ANTIGA_DIRECIONADOS!$A:$P,MATCH(APENDICE_BCB!E$3,ANTIGA_DIRECIONADOS!$1:$1,0),0),0)</f>
        <v>0</v>
      </c>
      <c r="F299" s="9">
        <f>IFERROR(VLOOKUP($A299,ANTIGA_DIRECIONADOS!$A:$P,MATCH(APENDICE_BCB!F$3,ANTIGA_DIRECIONADOS!$1:$1,0),0),0)</f>
        <v>0</v>
      </c>
      <c r="G299" s="9">
        <f>IFERROR(VLOOKUP($A299,ANTIGA_DIRECIONADOS!$A:$P,MATCH(APENDICE_BCB!G$3,ANTIGA_DIRECIONADOS!$1:$1,0),0),0)</f>
        <v>0</v>
      </c>
      <c r="H299" s="9">
        <f>IFERROR(VLOOKUP($A299,ATUAL_LIV_E_DIR!$A:$P,MATCH(APENDICE_BCB!H$3,ATUAL_LIV_E_DIR!$1:$1,0),0),0)</f>
        <v>2434901</v>
      </c>
      <c r="I299" s="9">
        <f>IFERROR(VLOOKUP($A299,ATUAL_LIV_E_DIR!$A:$P,MATCH(APENDICE_BCB!I$3,ATUAL_LIV_E_DIR!$1:$1,0),0),0)</f>
        <v>1136098</v>
      </c>
      <c r="J299" s="9">
        <f>IFERROR(VLOOKUP($A299,ATUAL_LIV_E_DIR!$A:$P,MATCH(APENDICE_BCB!J$3,ATUAL_LIV_E_DIR!$1:$1,0),0),0)</f>
        <v>1298804</v>
      </c>
      <c r="K299" s="9">
        <f>IFERROR(VLOOKUP($A299,ATUAL_LIV_E_DIR!$A:$P,MATCH(APENDICE_BCB!K$3,ATUAL_LIV_E_DIR!$1:$1,0),0),0)</f>
        <v>1741846</v>
      </c>
      <c r="L299" s="9">
        <f>IFERROR(VLOOKUP($A299,ATUAL_LIV_E_DIR!$A:$P,MATCH(APENDICE_BCB!L$3,ATUAL_LIV_E_DIR!$1:$1,0),0),0)</f>
        <v>1063153</v>
      </c>
      <c r="M299" s="9">
        <f>IFERROR(VLOOKUP($A299,ATUAL_LIV_E_DIR!$A:$P,MATCH(APENDICE_BCB!M$3,ATUAL_LIV_E_DIR!$1:$1,0),0),0)</f>
        <v>678693</v>
      </c>
      <c r="O299" s="11">
        <f t="shared" si="57"/>
        <v>0</v>
      </c>
      <c r="P299" s="11">
        <f t="shared" si="58"/>
        <v>4176747</v>
      </c>
      <c r="Q299" s="11">
        <f t="shared" si="59"/>
        <v>0</v>
      </c>
      <c r="R299" s="11">
        <f t="shared" si="60"/>
        <v>1814791</v>
      </c>
      <c r="S299" s="11"/>
      <c r="T299" s="11">
        <f t="shared" si="61"/>
        <v>2361957</v>
      </c>
      <c r="V299" s="7">
        <f t="shared" si="62"/>
        <v>0</v>
      </c>
      <c r="W299">
        <f t="shared" si="63"/>
        <v>0.56550157335361706</v>
      </c>
      <c r="Y299" s="8"/>
      <c r="Z299" s="8">
        <f t="shared" si="64"/>
        <v>1.176327810810851E-2</v>
      </c>
      <c r="AE299" s="1">
        <f t="shared" si="55"/>
        <v>44317</v>
      </c>
      <c r="AF299" s="11">
        <f t="shared" si="56"/>
        <v>2361957</v>
      </c>
    </row>
    <row r="300" spans="1:32" x14ac:dyDescent="0.25">
      <c r="A300" s="1">
        <v>44348</v>
      </c>
      <c r="B300" s="9">
        <f>IFERROR(VLOOKUP($A300,ANTIGA_LIVRES!$A:$P,MATCH(APENDICE_BCB!B$3,ANTIGA_LIVRES!$1:$1,0),0)/1000,0)</f>
        <v>0</v>
      </c>
      <c r="C300" s="9">
        <f>IFERROR(VLOOKUP($A300,ANTIGA_LIVRES!$A:$P,MATCH(APENDICE_BCB!C$3,ANTIGA_LIVRES!$1:$1,0),0)/1000,0)</f>
        <v>0</v>
      </c>
      <c r="D300" s="9">
        <f>IFERROR(VLOOKUP($A300,ANTIGA_LIVRES!$A:$P,MATCH(APENDICE_BCB!D$3,ANTIGA_LIVRES!$1:$1,0),0)/1000,0)</f>
        <v>0</v>
      </c>
      <c r="E300" s="9">
        <f>IFERROR(VLOOKUP($A300,ANTIGA_DIRECIONADOS!$A:$P,MATCH(APENDICE_BCB!E$3,ANTIGA_DIRECIONADOS!$1:$1,0),0),0)</f>
        <v>0</v>
      </c>
      <c r="F300" s="9">
        <f>IFERROR(VLOOKUP($A300,ANTIGA_DIRECIONADOS!$A:$P,MATCH(APENDICE_BCB!F$3,ANTIGA_DIRECIONADOS!$1:$1,0),0),0)</f>
        <v>0</v>
      </c>
      <c r="G300" s="9">
        <f>IFERROR(VLOOKUP($A300,ANTIGA_DIRECIONADOS!$A:$P,MATCH(APENDICE_BCB!G$3,ANTIGA_DIRECIONADOS!$1:$1,0),0),0)</f>
        <v>0</v>
      </c>
      <c r="H300" s="9">
        <f>IFERROR(VLOOKUP($A300,ATUAL_LIV_E_DIR!$A:$P,MATCH(APENDICE_BCB!H$3,ATUAL_LIV_E_DIR!$1:$1,0),0),0)</f>
        <v>2466696</v>
      </c>
      <c r="I300" s="9">
        <f>IFERROR(VLOOKUP($A300,ATUAL_LIV_E_DIR!$A:$P,MATCH(APENDICE_BCB!I$3,ATUAL_LIV_E_DIR!$1:$1,0),0),0)</f>
        <v>1145582</v>
      </c>
      <c r="J300" s="9">
        <f>IFERROR(VLOOKUP($A300,ATUAL_LIV_E_DIR!$A:$P,MATCH(APENDICE_BCB!J$3,ATUAL_LIV_E_DIR!$1:$1,0),0),0)</f>
        <v>1321114</v>
      </c>
      <c r="K300" s="9">
        <f>IFERROR(VLOOKUP($A300,ATUAL_LIV_E_DIR!$A:$P,MATCH(APENDICE_BCB!K$3,ATUAL_LIV_E_DIR!$1:$1,0),0),0)</f>
        <v>1746977</v>
      </c>
      <c r="L300" s="9">
        <f>IFERROR(VLOOKUP($A300,ATUAL_LIV_E_DIR!$A:$P,MATCH(APENDICE_BCB!L$3,ATUAL_LIV_E_DIR!$1:$1,0),0),0)</f>
        <v>1078297</v>
      </c>
      <c r="M300" s="9">
        <f>IFERROR(VLOOKUP($A300,ATUAL_LIV_E_DIR!$A:$P,MATCH(APENDICE_BCB!M$3,ATUAL_LIV_E_DIR!$1:$1,0),0),0)</f>
        <v>668681</v>
      </c>
      <c r="O300" s="11">
        <f t="shared" si="57"/>
        <v>0</v>
      </c>
      <c r="P300" s="11">
        <f t="shared" si="58"/>
        <v>4213673</v>
      </c>
      <c r="Q300" s="11">
        <f t="shared" si="59"/>
        <v>0</v>
      </c>
      <c r="R300" s="11">
        <f t="shared" si="60"/>
        <v>1814263</v>
      </c>
      <c r="S300" s="11"/>
      <c r="T300" s="11">
        <f t="shared" si="61"/>
        <v>2399411</v>
      </c>
      <c r="V300" s="7">
        <f t="shared" si="62"/>
        <v>0</v>
      </c>
      <c r="W300">
        <f t="shared" si="63"/>
        <v>0.5694345527049679</v>
      </c>
      <c r="Y300" s="8"/>
      <c r="Z300" s="8">
        <f t="shared" si="64"/>
        <v>8.8408515047715408E-3</v>
      </c>
      <c r="AE300" s="1">
        <f t="shared" si="55"/>
        <v>44348</v>
      </c>
      <c r="AF300" s="11">
        <f t="shared" si="56"/>
        <v>2399411</v>
      </c>
    </row>
    <row r="301" spans="1:32" x14ac:dyDescent="0.25">
      <c r="A301" s="1">
        <v>44378</v>
      </c>
      <c r="B301" s="9">
        <f>IFERROR(VLOOKUP($A301,ANTIGA_LIVRES!$A:$P,MATCH(APENDICE_BCB!B$3,ANTIGA_LIVRES!$1:$1,0),0)/1000,0)</f>
        <v>0</v>
      </c>
      <c r="C301" s="9">
        <f>IFERROR(VLOOKUP($A301,ANTIGA_LIVRES!$A:$P,MATCH(APENDICE_BCB!C$3,ANTIGA_LIVRES!$1:$1,0),0)/1000,0)</f>
        <v>0</v>
      </c>
      <c r="D301" s="9">
        <f>IFERROR(VLOOKUP($A301,ANTIGA_LIVRES!$A:$P,MATCH(APENDICE_BCB!D$3,ANTIGA_LIVRES!$1:$1,0),0)/1000,0)</f>
        <v>0</v>
      </c>
      <c r="E301" s="9">
        <f>IFERROR(VLOOKUP($A301,ANTIGA_DIRECIONADOS!$A:$P,MATCH(APENDICE_BCB!E$3,ANTIGA_DIRECIONADOS!$1:$1,0),0),0)</f>
        <v>0</v>
      </c>
      <c r="F301" s="9">
        <f>IFERROR(VLOOKUP($A301,ANTIGA_DIRECIONADOS!$A:$P,MATCH(APENDICE_BCB!F$3,ANTIGA_DIRECIONADOS!$1:$1,0),0),0)</f>
        <v>0</v>
      </c>
      <c r="G301" s="9">
        <f>IFERROR(VLOOKUP($A301,ANTIGA_DIRECIONADOS!$A:$P,MATCH(APENDICE_BCB!G$3,ANTIGA_DIRECIONADOS!$1:$1,0),0),0)</f>
        <v>0</v>
      </c>
      <c r="H301" s="9">
        <f>IFERROR(VLOOKUP($A301,ATUAL_LIV_E_DIR!$A:$P,MATCH(APENDICE_BCB!H$3,ATUAL_LIV_E_DIR!$1:$1,0),0),0)</f>
        <v>2490476</v>
      </c>
      <c r="I301" s="9">
        <f>IFERROR(VLOOKUP($A301,ATUAL_LIV_E_DIR!$A:$P,MATCH(APENDICE_BCB!I$3,ATUAL_LIV_E_DIR!$1:$1,0),0),0)</f>
        <v>1145035</v>
      </c>
      <c r="J301" s="9">
        <f>IFERROR(VLOOKUP($A301,ATUAL_LIV_E_DIR!$A:$P,MATCH(APENDICE_BCB!J$3,ATUAL_LIV_E_DIR!$1:$1,0),0),0)</f>
        <v>1345441</v>
      </c>
      <c r="K301" s="9">
        <f>IFERROR(VLOOKUP($A301,ATUAL_LIV_E_DIR!$A:$P,MATCH(APENDICE_BCB!K$3,ATUAL_LIV_E_DIR!$1:$1,0),0),0)</f>
        <v>1780861</v>
      </c>
      <c r="L301" s="9">
        <f>IFERROR(VLOOKUP($A301,ATUAL_LIV_E_DIR!$A:$P,MATCH(APENDICE_BCB!L$3,ATUAL_LIV_E_DIR!$1:$1,0),0),0)</f>
        <v>1095371</v>
      </c>
      <c r="M301" s="9">
        <f>IFERROR(VLOOKUP($A301,ATUAL_LIV_E_DIR!$A:$P,MATCH(APENDICE_BCB!M$3,ATUAL_LIV_E_DIR!$1:$1,0),0),0)</f>
        <v>685490</v>
      </c>
      <c r="O301" s="11">
        <f t="shared" si="57"/>
        <v>0</v>
      </c>
      <c r="P301" s="11">
        <f t="shared" si="58"/>
        <v>4271337</v>
      </c>
      <c r="Q301" s="11">
        <f t="shared" si="59"/>
        <v>0</v>
      </c>
      <c r="R301" s="11">
        <f t="shared" si="60"/>
        <v>1830525</v>
      </c>
      <c r="S301" s="11"/>
      <c r="T301" s="11">
        <f t="shared" si="61"/>
        <v>2440812</v>
      </c>
      <c r="V301" s="7">
        <f t="shared" si="62"/>
        <v>0</v>
      </c>
      <c r="W301">
        <f t="shared" si="63"/>
        <v>0.57143980912768066</v>
      </c>
      <c r="Y301" s="8"/>
      <c r="Z301" s="8">
        <f t="shared" si="64"/>
        <v>1.3684972706709875E-2</v>
      </c>
      <c r="AE301" s="1">
        <f t="shared" si="55"/>
        <v>44378</v>
      </c>
      <c r="AF301" s="11">
        <f t="shared" si="56"/>
        <v>2440812</v>
      </c>
    </row>
    <row r="302" spans="1:32" x14ac:dyDescent="0.25">
      <c r="A302" s="1">
        <v>44409</v>
      </c>
      <c r="B302" s="9">
        <f>IFERROR(VLOOKUP($A302,ANTIGA_LIVRES!$A:$P,MATCH(APENDICE_BCB!B$3,ANTIGA_LIVRES!$1:$1,0),0)/1000,0)</f>
        <v>0</v>
      </c>
      <c r="C302" s="9">
        <f>IFERROR(VLOOKUP($A302,ANTIGA_LIVRES!$A:$P,MATCH(APENDICE_BCB!C$3,ANTIGA_LIVRES!$1:$1,0),0)/1000,0)</f>
        <v>0</v>
      </c>
      <c r="D302" s="9">
        <f>IFERROR(VLOOKUP($A302,ANTIGA_LIVRES!$A:$P,MATCH(APENDICE_BCB!D$3,ANTIGA_LIVRES!$1:$1,0),0)/1000,0)</f>
        <v>0</v>
      </c>
      <c r="E302" s="9">
        <f>IFERROR(VLOOKUP($A302,ANTIGA_DIRECIONADOS!$A:$P,MATCH(APENDICE_BCB!E$3,ANTIGA_DIRECIONADOS!$1:$1,0),0),0)</f>
        <v>0</v>
      </c>
      <c r="F302" s="9">
        <f>IFERROR(VLOOKUP($A302,ANTIGA_DIRECIONADOS!$A:$P,MATCH(APENDICE_BCB!F$3,ANTIGA_DIRECIONADOS!$1:$1,0),0),0)</f>
        <v>0</v>
      </c>
      <c r="G302" s="9">
        <f>IFERROR(VLOOKUP($A302,ANTIGA_DIRECIONADOS!$A:$P,MATCH(APENDICE_BCB!G$3,ANTIGA_DIRECIONADOS!$1:$1,0),0),0)</f>
        <v>0</v>
      </c>
      <c r="H302" s="9">
        <f>IFERROR(VLOOKUP($A302,ATUAL_LIV_E_DIR!$A:$P,MATCH(APENDICE_BCB!H$3,ATUAL_LIV_E_DIR!$1:$1,0),0),0)</f>
        <v>2538085</v>
      </c>
      <c r="I302" s="9">
        <f>IFERROR(VLOOKUP($A302,ATUAL_LIV_E_DIR!$A:$P,MATCH(APENDICE_BCB!I$3,ATUAL_LIV_E_DIR!$1:$1,0),0),0)</f>
        <v>1160136</v>
      </c>
      <c r="J302" s="9">
        <f>IFERROR(VLOOKUP($A302,ATUAL_LIV_E_DIR!$A:$P,MATCH(APENDICE_BCB!J$3,ATUAL_LIV_E_DIR!$1:$1,0),0),0)</f>
        <v>1377949</v>
      </c>
      <c r="K302" s="9">
        <f>IFERROR(VLOOKUP($A302,ATUAL_LIV_E_DIR!$A:$P,MATCH(APENDICE_BCB!K$3,ATUAL_LIV_E_DIR!$1:$1,0),0),0)</f>
        <v>1807745</v>
      </c>
      <c r="L302" s="9">
        <f>IFERROR(VLOOKUP($A302,ATUAL_LIV_E_DIR!$A:$P,MATCH(APENDICE_BCB!L$3,ATUAL_LIV_E_DIR!$1:$1,0),0),0)</f>
        <v>1119674</v>
      </c>
      <c r="M302" s="9">
        <f>IFERROR(VLOOKUP($A302,ATUAL_LIV_E_DIR!$A:$P,MATCH(APENDICE_BCB!M$3,ATUAL_LIV_E_DIR!$1:$1,0),0),0)</f>
        <v>688071</v>
      </c>
      <c r="O302" s="11">
        <f t="shared" si="57"/>
        <v>0</v>
      </c>
      <c r="P302" s="11">
        <f t="shared" si="58"/>
        <v>4345830</v>
      </c>
      <c r="Q302" s="11">
        <f t="shared" si="59"/>
        <v>0</v>
      </c>
      <c r="R302" s="11">
        <f t="shared" si="60"/>
        <v>1848207</v>
      </c>
      <c r="S302" s="11"/>
      <c r="T302" s="11">
        <f t="shared" si="61"/>
        <v>2497623</v>
      </c>
      <c r="V302" s="7">
        <f t="shared" si="62"/>
        <v>0</v>
      </c>
      <c r="W302">
        <f t="shared" si="63"/>
        <v>0.57471714264018614</v>
      </c>
      <c r="Y302" s="8"/>
      <c r="Z302" s="8">
        <f t="shared" si="64"/>
        <v>1.744020666128665E-2</v>
      </c>
      <c r="AE302" s="1">
        <f t="shared" si="55"/>
        <v>44409</v>
      </c>
      <c r="AF302" s="11">
        <f t="shared" si="56"/>
        <v>2497623</v>
      </c>
    </row>
    <row r="303" spans="1:32" x14ac:dyDescent="0.25">
      <c r="A303" s="1">
        <v>44440</v>
      </c>
      <c r="B303" s="9">
        <f>IFERROR(VLOOKUP($A303,ANTIGA_LIVRES!$A:$P,MATCH(APENDICE_BCB!B$3,ANTIGA_LIVRES!$1:$1,0),0)/1000,0)</f>
        <v>0</v>
      </c>
      <c r="C303" s="9">
        <f>IFERROR(VLOOKUP($A303,ANTIGA_LIVRES!$A:$P,MATCH(APENDICE_BCB!C$3,ANTIGA_LIVRES!$1:$1,0),0)/1000,0)</f>
        <v>0</v>
      </c>
      <c r="D303" s="9">
        <f>IFERROR(VLOOKUP($A303,ANTIGA_LIVRES!$A:$P,MATCH(APENDICE_BCB!D$3,ANTIGA_LIVRES!$1:$1,0),0)/1000,0)</f>
        <v>0</v>
      </c>
      <c r="E303" s="9">
        <f>IFERROR(VLOOKUP($A303,ANTIGA_DIRECIONADOS!$A:$P,MATCH(APENDICE_BCB!E$3,ANTIGA_DIRECIONADOS!$1:$1,0),0),0)</f>
        <v>0</v>
      </c>
      <c r="F303" s="9">
        <f>IFERROR(VLOOKUP($A303,ANTIGA_DIRECIONADOS!$A:$P,MATCH(APENDICE_BCB!F$3,ANTIGA_DIRECIONADOS!$1:$1,0),0),0)</f>
        <v>0</v>
      </c>
      <c r="G303" s="9">
        <f>IFERROR(VLOOKUP($A303,ANTIGA_DIRECIONADOS!$A:$P,MATCH(APENDICE_BCB!G$3,ANTIGA_DIRECIONADOS!$1:$1,0),0),0)</f>
        <v>0</v>
      </c>
      <c r="H303" s="9">
        <f>IFERROR(VLOOKUP($A303,ATUAL_LIV_E_DIR!$A:$P,MATCH(APENDICE_BCB!H$3,ATUAL_LIV_E_DIR!$1:$1,0),0),0)</f>
        <v>2603866</v>
      </c>
      <c r="I303" s="9">
        <f>IFERROR(VLOOKUP($A303,ATUAL_LIV_E_DIR!$A:$P,MATCH(APENDICE_BCB!I$3,ATUAL_LIV_E_DIR!$1:$1,0),0),0)</f>
        <v>1194577</v>
      </c>
      <c r="J303" s="9">
        <f>IFERROR(VLOOKUP($A303,ATUAL_LIV_E_DIR!$A:$P,MATCH(APENDICE_BCB!J$3,ATUAL_LIV_E_DIR!$1:$1,0),0),0)</f>
        <v>1409288</v>
      </c>
      <c r="K303" s="9">
        <f>IFERROR(VLOOKUP($A303,ATUAL_LIV_E_DIR!$A:$P,MATCH(APENDICE_BCB!K$3,ATUAL_LIV_E_DIR!$1:$1,0),0),0)</f>
        <v>1836894</v>
      </c>
      <c r="L303" s="9">
        <f>IFERROR(VLOOKUP($A303,ATUAL_LIV_E_DIR!$A:$P,MATCH(APENDICE_BCB!L$3,ATUAL_LIV_E_DIR!$1:$1,0),0),0)</f>
        <v>1140279</v>
      </c>
      <c r="M303" s="9">
        <f>IFERROR(VLOOKUP($A303,ATUAL_LIV_E_DIR!$A:$P,MATCH(APENDICE_BCB!M$3,ATUAL_LIV_E_DIR!$1:$1,0),0),0)</f>
        <v>696615</v>
      </c>
      <c r="O303" s="11">
        <f t="shared" si="57"/>
        <v>0</v>
      </c>
      <c r="P303" s="11">
        <f t="shared" si="58"/>
        <v>4440760</v>
      </c>
      <c r="Q303" s="11">
        <f t="shared" si="59"/>
        <v>0</v>
      </c>
      <c r="R303" s="11">
        <f t="shared" si="60"/>
        <v>1891192</v>
      </c>
      <c r="S303" s="11"/>
      <c r="T303" s="11">
        <f t="shared" si="61"/>
        <v>2549567</v>
      </c>
      <c r="V303" s="7">
        <f t="shared" si="62"/>
        <v>0</v>
      </c>
      <c r="W303">
        <f t="shared" si="63"/>
        <v>0.57412852754933841</v>
      </c>
      <c r="Y303" s="8"/>
      <c r="Z303" s="8">
        <f t="shared" si="64"/>
        <v>2.1843928547596203E-2</v>
      </c>
      <c r="AE303" s="1">
        <f t="shared" si="55"/>
        <v>44440</v>
      </c>
      <c r="AF303" s="11">
        <f t="shared" si="56"/>
        <v>2549567</v>
      </c>
    </row>
    <row r="304" spans="1:32" x14ac:dyDescent="0.25">
      <c r="A304" s="1">
        <v>44470</v>
      </c>
      <c r="B304" s="9">
        <f>IFERROR(VLOOKUP($A304,ANTIGA_LIVRES!$A:$P,MATCH(APENDICE_BCB!B$3,ANTIGA_LIVRES!$1:$1,0),0)/1000,0)</f>
        <v>0</v>
      </c>
      <c r="C304" s="9">
        <f>IFERROR(VLOOKUP($A304,ANTIGA_LIVRES!$A:$P,MATCH(APENDICE_BCB!C$3,ANTIGA_LIVRES!$1:$1,0),0)/1000,0)</f>
        <v>0</v>
      </c>
      <c r="D304" s="9">
        <f>IFERROR(VLOOKUP($A304,ANTIGA_LIVRES!$A:$P,MATCH(APENDICE_BCB!D$3,ANTIGA_LIVRES!$1:$1,0),0)/1000,0)</f>
        <v>0</v>
      </c>
      <c r="E304" s="9">
        <f>IFERROR(VLOOKUP($A304,ANTIGA_DIRECIONADOS!$A:$P,MATCH(APENDICE_BCB!E$3,ANTIGA_DIRECIONADOS!$1:$1,0),0),0)</f>
        <v>0</v>
      </c>
      <c r="F304" s="9">
        <f>IFERROR(VLOOKUP($A304,ANTIGA_DIRECIONADOS!$A:$P,MATCH(APENDICE_BCB!F$3,ANTIGA_DIRECIONADOS!$1:$1,0),0),0)</f>
        <v>0</v>
      </c>
      <c r="G304" s="9">
        <f>IFERROR(VLOOKUP($A304,ANTIGA_DIRECIONADOS!$A:$P,MATCH(APENDICE_BCB!G$3,ANTIGA_DIRECIONADOS!$1:$1,0),0),0)</f>
        <v>0</v>
      </c>
      <c r="H304" s="9">
        <f>IFERROR(VLOOKUP($A304,ATUAL_LIV_E_DIR!$A:$P,MATCH(APENDICE_BCB!H$3,ATUAL_LIV_E_DIR!$1:$1,0),0),0)</f>
        <v>2655807</v>
      </c>
      <c r="I304" s="9">
        <f>IFERROR(VLOOKUP($A304,ATUAL_LIV_E_DIR!$A:$P,MATCH(APENDICE_BCB!I$3,ATUAL_LIV_E_DIR!$1:$1,0),0),0)</f>
        <v>1211809</v>
      </c>
      <c r="J304" s="9">
        <f>IFERROR(VLOOKUP($A304,ATUAL_LIV_E_DIR!$A:$P,MATCH(APENDICE_BCB!J$3,ATUAL_LIV_E_DIR!$1:$1,0),0),0)</f>
        <v>1443998</v>
      </c>
      <c r="K304" s="9">
        <f>IFERROR(VLOOKUP($A304,ATUAL_LIV_E_DIR!$A:$P,MATCH(APENDICE_BCB!K$3,ATUAL_LIV_E_DIR!$1:$1,0),0),0)</f>
        <v>1855771</v>
      </c>
      <c r="L304" s="9">
        <f>IFERROR(VLOOKUP($A304,ATUAL_LIV_E_DIR!$A:$P,MATCH(APENDICE_BCB!L$3,ATUAL_LIV_E_DIR!$1:$1,0),0),0)</f>
        <v>1159731</v>
      </c>
      <c r="M304" s="9">
        <f>IFERROR(VLOOKUP($A304,ATUAL_LIV_E_DIR!$A:$P,MATCH(APENDICE_BCB!M$3,ATUAL_LIV_E_DIR!$1:$1,0),0),0)</f>
        <v>696040</v>
      </c>
      <c r="O304" s="11">
        <f t="shared" si="57"/>
        <v>0</v>
      </c>
      <c r="P304" s="11">
        <f t="shared" si="58"/>
        <v>4511578</v>
      </c>
      <c r="Q304" s="11">
        <f t="shared" si="59"/>
        <v>0</v>
      </c>
      <c r="R304" s="11">
        <f t="shared" si="60"/>
        <v>1907849</v>
      </c>
      <c r="S304" s="11"/>
      <c r="T304" s="11">
        <f t="shared" si="61"/>
        <v>2603729</v>
      </c>
      <c r="V304" s="7">
        <f t="shared" si="62"/>
        <v>0</v>
      </c>
      <c r="W304">
        <f t="shared" si="63"/>
        <v>0.5771215747572136</v>
      </c>
      <c r="Y304" s="8"/>
      <c r="Z304" s="8">
        <f t="shared" si="64"/>
        <v>1.5947270287067994E-2</v>
      </c>
      <c r="AE304" s="1">
        <f t="shared" si="55"/>
        <v>44470</v>
      </c>
      <c r="AF304" s="11">
        <f t="shared" si="56"/>
        <v>2603729</v>
      </c>
    </row>
    <row r="305" spans="1:32" x14ac:dyDescent="0.25">
      <c r="A305" s="1">
        <v>44501</v>
      </c>
      <c r="B305" s="9">
        <f>IFERROR(VLOOKUP($A305,ANTIGA_LIVRES!$A:$P,MATCH(APENDICE_BCB!B$3,ANTIGA_LIVRES!$1:$1,0),0)/1000,0)</f>
        <v>0</v>
      </c>
      <c r="C305" s="9">
        <f>IFERROR(VLOOKUP($A305,ANTIGA_LIVRES!$A:$P,MATCH(APENDICE_BCB!C$3,ANTIGA_LIVRES!$1:$1,0),0)/1000,0)</f>
        <v>0</v>
      </c>
      <c r="D305" s="9">
        <f>IFERROR(VLOOKUP($A305,ANTIGA_LIVRES!$A:$P,MATCH(APENDICE_BCB!D$3,ANTIGA_LIVRES!$1:$1,0),0)/1000,0)</f>
        <v>0</v>
      </c>
      <c r="E305" s="9">
        <f>IFERROR(VLOOKUP($A305,ANTIGA_DIRECIONADOS!$A:$P,MATCH(APENDICE_BCB!E$3,ANTIGA_DIRECIONADOS!$1:$1,0),0),0)</f>
        <v>0</v>
      </c>
      <c r="F305" s="9">
        <f>IFERROR(VLOOKUP($A305,ANTIGA_DIRECIONADOS!$A:$P,MATCH(APENDICE_BCB!F$3,ANTIGA_DIRECIONADOS!$1:$1,0),0),0)</f>
        <v>0</v>
      </c>
      <c r="G305" s="9">
        <f>IFERROR(VLOOKUP($A305,ANTIGA_DIRECIONADOS!$A:$P,MATCH(APENDICE_BCB!G$3,ANTIGA_DIRECIONADOS!$1:$1,0),0),0)</f>
        <v>0</v>
      </c>
      <c r="H305" s="9">
        <f>IFERROR(VLOOKUP($A305,ATUAL_LIV_E_DIR!$A:$P,MATCH(APENDICE_BCB!H$3,ATUAL_LIV_E_DIR!$1:$1,0),0),0)</f>
        <v>2726764</v>
      </c>
      <c r="I305" s="9">
        <f>IFERROR(VLOOKUP($A305,ATUAL_LIV_E_DIR!$A:$P,MATCH(APENDICE_BCB!I$3,ATUAL_LIV_E_DIR!$1:$1,0),0),0)</f>
        <v>1238486</v>
      </c>
      <c r="J305" s="9">
        <f>IFERROR(VLOOKUP($A305,ATUAL_LIV_E_DIR!$A:$P,MATCH(APENDICE_BCB!J$3,ATUAL_LIV_E_DIR!$1:$1,0),0),0)</f>
        <v>1488278</v>
      </c>
      <c r="K305" s="9">
        <f>IFERROR(VLOOKUP($A305,ATUAL_LIV_E_DIR!$A:$P,MATCH(APENDICE_BCB!K$3,ATUAL_LIV_E_DIR!$1:$1,0),0),0)</f>
        <v>1869926</v>
      </c>
      <c r="L305" s="9">
        <f>IFERROR(VLOOKUP($A305,ATUAL_LIV_E_DIR!$A:$P,MATCH(APENDICE_BCB!L$3,ATUAL_LIV_E_DIR!$1:$1,0),0),0)</f>
        <v>1178753</v>
      </c>
      <c r="M305" s="9">
        <f>IFERROR(VLOOKUP($A305,ATUAL_LIV_E_DIR!$A:$P,MATCH(APENDICE_BCB!M$3,ATUAL_LIV_E_DIR!$1:$1,0),0),0)</f>
        <v>691173</v>
      </c>
      <c r="O305" s="11">
        <f t="shared" si="57"/>
        <v>0</v>
      </c>
      <c r="P305" s="11">
        <f t="shared" si="58"/>
        <v>4596690</v>
      </c>
      <c r="Q305" s="11">
        <f t="shared" si="59"/>
        <v>0</v>
      </c>
      <c r="R305" s="11">
        <f t="shared" si="60"/>
        <v>1929659</v>
      </c>
      <c r="S305" s="11"/>
      <c r="T305" s="11">
        <f t="shared" si="61"/>
        <v>2667031</v>
      </c>
      <c r="V305" s="7">
        <f t="shared" si="62"/>
        <v>0</v>
      </c>
      <c r="W305">
        <f t="shared" si="63"/>
        <v>0.58020684449027449</v>
      </c>
      <c r="Y305" s="8"/>
      <c r="Z305" s="8">
        <f t="shared" si="64"/>
        <v>1.8865239612392726E-2</v>
      </c>
      <c r="AE305" s="1">
        <f t="shared" si="55"/>
        <v>44501</v>
      </c>
      <c r="AF305" s="11">
        <f t="shared" si="56"/>
        <v>2667031</v>
      </c>
    </row>
    <row r="306" spans="1:32" x14ac:dyDescent="0.25">
      <c r="A306" s="1">
        <v>44531</v>
      </c>
      <c r="B306" s="9">
        <f>IFERROR(VLOOKUP($A306,ANTIGA_LIVRES!$A:$P,MATCH(APENDICE_BCB!B$3,ANTIGA_LIVRES!$1:$1,0),0)/1000,0)</f>
        <v>0</v>
      </c>
      <c r="C306" s="9">
        <f>IFERROR(VLOOKUP($A306,ANTIGA_LIVRES!$A:$P,MATCH(APENDICE_BCB!C$3,ANTIGA_LIVRES!$1:$1,0),0)/1000,0)</f>
        <v>0</v>
      </c>
      <c r="D306" s="9">
        <f>IFERROR(VLOOKUP($A306,ANTIGA_LIVRES!$A:$P,MATCH(APENDICE_BCB!D$3,ANTIGA_LIVRES!$1:$1,0),0)/1000,0)</f>
        <v>0</v>
      </c>
      <c r="E306" s="9">
        <f>IFERROR(VLOOKUP($A306,ANTIGA_DIRECIONADOS!$A:$P,MATCH(APENDICE_BCB!E$3,ANTIGA_DIRECIONADOS!$1:$1,0),0),0)</f>
        <v>0</v>
      </c>
      <c r="F306" s="9">
        <f>IFERROR(VLOOKUP($A306,ANTIGA_DIRECIONADOS!$A:$P,MATCH(APENDICE_BCB!F$3,ANTIGA_DIRECIONADOS!$1:$1,0),0),0)</f>
        <v>0</v>
      </c>
      <c r="G306" s="9">
        <f>IFERROR(VLOOKUP($A306,ANTIGA_DIRECIONADOS!$A:$P,MATCH(APENDICE_BCB!G$3,ANTIGA_DIRECIONADOS!$1:$1,0),0),0)</f>
        <v>0</v>
      </c>
      <c r="H306" s="9">
        <f>IFERROR(VLOOKUP($A306,ATUAL_LIV_E_DIR!$A:$P,MATCH(APENDICE_BCB!H$3,ATUAL_LIV_E_DIR!$1:$1,0),0),0)</f>
        <v>2793368</v>
      </c>
      <c r="I306" s="9">
        <f>IFERROR(VLOOKUP($A306,ATUAL_LIV_E_DIR!$A:$P,MATCH(APENDICE_BCB!I$3,ATUAL_LIV_E_DIR!$1:$1,0),0),0)</f>
        <v>1279423</v>
      </c>
      <c r="J306" s="9">
        <f>IFERROR(VLOOKUP($A306,ATUAL_LIV_E_DIR!$A:$P,MATCH(APENDICE_BCB!J$3,ATUAL_LIV_E_DIR!$1:$1,0),0),0)</f>
        <v>1513945</v>
      </c>
      <c r="K306" s="9">
        <f>IFERROR(VLOOKUP($A306,ATUAL_LIV_E_DIR!$A:$P,MATCH(APENDICE_BCB!K$3,ATUAL_LIV_E_DIR!$1:$1,0),0),0)</f>
        <v>1888065</v>
      </c>
      <c r="L306" s="9">
        <f>IFERROR(VLOOKUP($A306,ATUAL_LIV_E_DIR!$A:$P,MATCH(APENDICE_BCB!L$3,ATUAL_LIV_E_DIR!$1:$1,0),0),0)</f>
        <v>1196883</v>
      </c>
      <c r="M306" s="9">
        <f>IFERROR(VLOOKUP($A306,ATUAL_LIV_E_DIR!$A:$P,MATCH(APENDICE_BCB!M$3,ATUAL_LIV_E_DIR!$1:$1,0),0),0)</f>
        <v>691182</v>
      </c>
      <c r="O306" s="11">
        <f t="shared" si="57"/>
        <v>0</v>
      </c>
      <c r="P306" s="11">
        <f t="shared" si="58"/>
        <v>4681433</v>
      </c>
      <c r="Q306" s="11">
        <f t="shared" si="59"/>
        <v>0</v>
      </c>
      <c r="R306" s="11">
        <f t="shared" si="60"/>
        <v>1970605</v>
      </c>
      <c r="S306" s="11"/>
      <c r="T306" s="11">
        <f t="shared" si="61"/>
        <v>2710828</v>
      </c>
      <c r="V306" s="7">
        <f t="shared" si="62"/>
        <v>0</v>
      </c>
      <c r="W306">
        <f t="shared" si="63"/>
        <v>0.57905944611404248</v>
      </c>
      <c r="Y306" s="8"/>
      <c r="Z306" s="8">
        <f t="shared" si="64"/>
        <v>1.8435656961857338E-2</v>
      </c>
      <c r="AE306" s="1">
        <f t="shared" si="55"/>
        <v>44531</v>
      </c>
      <c r="AF306" s="11">
        <f t="shared" si="56"/>
        <v>2710828</v>
      </c>
    </row>
    <row r="307" spans="1:32" x14ac:dyDescent="0.25">
      <c r="A307" s="1">
        <v>44562</v>
      </c>
      <c r="B307" s="9">
        <f>IFERROR(VLOOKUP($A307,ANTIGA_LIVRES!$A:$P,MATCH(APENDICE_BCB!B$3,ANTIGA_LIVRES!$1:$1,0),0)/1000,0)</f>
        <v>0</v>
      </c>
      <c r="C307" s="9">
        <f>IFERROR(VLOOKUP($A307,ANTIGA_LIVRES!$A:$P,MATCH(APENDICE_BCB!C$3,ANTIGA_LIVRES!$1:$1,0),0)/1000,0)</f>
        <v>0</v>
      </c>
      <c r="D307" s="9">
        <f>IFERROR(VLOOKUP($A307,ANTIGA_LIVRES!$A:$P,MATCH(APENDICE_BCB!D$3,ANTIGA_LIVRES!$1:$1,0),0)/1000,0)</f>
        <v>0</v>
      </c>
      <c r="E307" s="9">
        <f>IFERROR(VLOOKUP($A307,ANTIGA_DIRECIONADOS!$A:$P,MATCH(APENDICE_BCB!E$3,ANTIGA_DIRECIONADOS!$1:$1,0),0),0)</f>
        <v>0</v>
      </c>
      <c r="F307" s="9">
        <f>IFERROR(VLOOKUP($A307,ANTIGA_DIRECIONADOS!$A:$P,MATCH(APENDICE_BCB!F$3,ANTIGA_DIRECIONADOS!$1:$1,0),0),0)</f>
        <v>0</v>
      </c>
      <c r="G307" s="9">
        <f>IFERROR(VLOOKUP($A307,ANTIGA_DIRECIONADOS!$A:$P,MATCH(APENDICE_BCB!G$3,ANTIGA_DIRECIONADOS!$1:$1,0),0),0)</f>
        <v>0</v>
      </c>
      <c r="H307" s="9">
        <f>IFERROR(VLOOKUP($A307,ATUAL_LIV_E_DIR!$A:$P,MATCH(APENDICE_BCB!H$3,ATUAL_LIV_E_DIR!$1:$1,0),0),0)</f>
        <v>2786971</v>
      </c>
      <c r="I307" s="9">
        <f>IFERROR(VLOOKUP($A307,ATUAL_LIV_E_DIR!$A:$P,MATCH(APENDICE_BCB!I$3,ATUAL_LIV_E_DIR!$1:$1,0),0),0)</f>
        <v>1258579</v>
      </c>
      <c r="J307" s="9">
        <f>IFERROR(VLOOKUP($A307,ATUAL_LIV_E_DIR!$A:$P,MATCH(APENDICE_BCB!J$3,ATUAL_LIV_E_DIR!$1:$1,0),0),0)</f>
        <v>1528392</v>
      </c>
      <c r="K307" s="9">
        <f>IFERROR(VLOOKUP($A307,ATUAL_LIV_E_DIR!$A:$P,MATCH(APENDICE_BCB!K$3,ATUAL_LIV_E_DIR!$1:$1,0),0),0)</f>
        <v>1894259</v>
      </c>
      <c r="L307" s="9">
        <f>IFERROR(VLOOKUP($A307,ATUAL_LIV_E_DIR!$A:$P,MATCH(APENDICE_BCB!L$3,ATUAL_LIV_E_DIR!$1:$1,0),0),0)</f>
        <v>1209032</v>
      </c>
      <c r="M307" s="9">
        <f>IFERROR(VLOOKUP($A307,ATUAL_LIV_E_DIR!$A:$P,MATCH(APENDICE_BCB!M$3,ATUAL_LIV_E_DIR!$1:$1,0),0),0)</f>
        <v>685227</v>
      </c>
      <c r="O307" s="11">
        <f t="shared" si="57"/>
        <v>0</v>
      </c>
      <c r="P307" s="11">
        <f t="shared" si="58"/>
        <v>4681230</v>
      </c>
      <c r="Q307" s="11">
        <f t="shared" si="59"/>
        <v>0</v>
      </c>
      <c r="R307" s="11">
        <f t="shared" si="60"/>
        <v>1943806</v>
      </c>
      <c r="S307" s="11"/>
      <c r="T307" s="11">
        <f t="shared" si="61"/>
        <v>2737424</v>
      </c>
      <c r="V307" s="7">
        <f t="shared" si="62"/>
        <v>0</v>
      </c>
      <c r="W307">
        <f t="shared" si="63"/>
        <v>0.5847659696276406</v>
      </c>
      <c r="Y307" s="8"/>
      <c r="Z307" s="8">
        <f t="shared" si="64"/>
        <v>-4.3362790837719878E-5</v>
      </c>
      <c r="AE307" s="1">
        <f t="shared" si="55"/>
        <v>44562</v>
      </c>
      <c r="AF307" s="11">
        <f t="shared" si="56"/>
        <v>2737424</v>
      </c>
    </row>
    <row r="308" spans="1:32" x14ac:dyDescent="0.25">
      <c r="A308" s="1">
        <v>44593</v>
      </c>
      <c r="B308" s="9">
        <f>IFERROR(VLOOKUP($A308,ANTIGA_LIVRES!$A:$P,MATCH(APENDICE_BCB!B$3,ANTIGA_LIVRES!$1:$1,0),0)/1000,0)</f>
        <v>0</v>
      </c>
      <c r="C308" s="9">
        <f>IFERROR(VLOOKUP($A308,ANTIGA_LIVRES!$A:$P,MATCH(APENDICE_BCB!C$3,ANTIGA_LIVRES!$1:$1,0),0)/1000,0)</f>
        <v>0</v>
      </c>
      <c r="D308" s="9">
        <f>IFERROR(VLOOKUP($A308,ANTIGA_LIVRES!$A:$P,MATCH(APENDICE_BCB!D$3,ANTIGA_LIVRES!$1:$1,0),0)/1000,0)</f>
        <v>0</v>
      </c>
      <c r="E308" s="9">
        <f>IFERROR(VLOOKUP($A308,ANTIGA_DIRECIONADOS!$A:$P,MATCH(APENDICE_BCB!E$3,ANTIGA_DIRECIONADOS!$1:$1,0),0),0)</f>
        <v>0</v>
      </c>
      <c r="F308" s="9">
        <f>IFERROR(VLOOKUP($A308,ANTIGA_DIRECIONADOS!$A:$P,MATCH(APENDICE_BCB!F$3,ANTIGA_DIRECIONADOS!$1:$1,0),0),0)</f>
        <v>0</v>
      </c>
      <c r="G308" s="9">
        <f>IFERROR(VLOOKUP($A308,ANTIGA_DIRECIONADOS!$A:$P,MATCH(APENDICE_BCB!G$3,ANTIGA_DIRECIONADOS!$1:$1,0),0),0)</f>
        <v>0</v>
      </c>
      <c r="H308" s="9">
        <f>IFERROR(VLOOKUP($A308,ATUAL_LIV_E_DIR!$A:$P,MATCH(APENDICE_BCB!H$3,ATUAL_LIV_E_DIR!$1:$1,0),0),0)</f>
        <v>2820919</v>
      </c>
      <c r="I308" s="9">
        <f>IFERROR(VLOOKUP($A308,ATUAL_LIV_E_DIR!$A:$P,MATCH(APENDICE_BCB!I$3,ATUAL_LIV_E_DIR!$1:$1,0),0),0)</f>
        <v>1283497</v>
      </c>
      <c r="J308" s="9">
        <f>IFERROR(VLOOKUP($A308,ATUAL_LIV_E_DIR!$A:$P,MATCH(APENDICE_BCB!J$3,ATUAL_LIV_E_DIR!$1:$1,0),0),0)</f>
        <v>1537422</v>
      </c>
      <c r="K308" s="9">
        <f>IFERROR(VLOOKUP($A308,ATUAL_LIV_E_DIR!$A:$P,MATCH(APENDICE_BCB!K$3,ATUAL_LIV_E_DIR!$1:$1,0),0),0)</f>
        <v>1904599</v>
      </c>
      <c r="L308" s="9">
        <f>IFERROR(VLOOKUP($A308,ATUAL_LIV_E_DIR!$A:$P,MATCH(APENDICE_BCB!L$3,ATUAL_LIV_E_DIR!$1:$1,0),0),0)</f>
        <v>1220343</v>
      </c>
      <c r="M308" s="9">
        <f>IFERROR(VLOOKUP($A308,ATUAL_LIV_E_DIR!$A:$P,MATCH(APENDICE_BCB!M$3,ATUAL_LIV_E_DIR!$1:$1,0),0),0)</f>
        <v>684257</v>
      </c>
      <c r="O308" s="11">
        <f t="shared" si="57"/>
        <v>0</v>
      </c>
      <c r="P308" s="11">
        <f t="shared" si="58"/>
        <v>4725518</v>
      </c>
      <c r="Q308" s="11">
        <f t="shared" si="59"/>
        <v>0</v>
      </c>
      <c r="R308" s="11">
        <f t="shared" si="60"/>
        <v>1967754</v>
      </c>
      <c r="S308" s="11"/>
      <c r="T308" s="11">
        <f t="shared" si="61"/>
        <v>2757765</v>
      </c>
      <c r="V308" s="7">
        <f t="shared" si="62"/>
        <v>0</v>
      </c>
      <c r="W308">
        <f t="shared" si="63"/>
        <v>0.58358998949956387</v>
      </c>
      <c r="Y308" s="8"/>
      <c r="Z308" s="8">
        <f t="shared" si="64"/>
        <v>9.4607613810899771E-3</v>
      </c>
      <c r="AE308" s="1">
        <f t="shared" si="55"/>
        <v>44593</v>
      </c>
      <c r="AF308" s="11">
        <f t="shared" si="56"/>
        <v>2757765</v>
      </c>
    </row>
    <row r="309" spans="1:32" x14ac:dyDescent="0.25">
      <c r="A309" s="1">
        <v>44621</v>
      </c>
      <c r="B309" s="9">
        <f>IFERROR(VLOOKUP($A309,ANTIGA_LIVRES!$A:$P,MATCH(APENDICE_BCB!B$3,ANTIGA_LIVRES!$1:$1,0),0)/1000,0)</f>
        <v>0</v>
      </c>
      <c r="C309" s="9">
        <f>IFERROR(VLOOKUP($A309,ANTIGA_LIVRES!$A:$P,MATCH(APENDICE_BCB!C$3,ANTIGA_LIVRES!$1:$1,0),0)/1000,0)</f>
        <v>0</v>
      </c>
      <c r="D309" s="9">
        <f>IFERROR(VLOOKUP($A309,ANTIGA_LIVRES!$A:$P,MATCH(APENDICE_BCB!D$3,ANTIGA_LIVRES!$1:$1,0),0)/1000,0)</f>
        <v>0</v>
      </c>
      <c r="E309" s="9">
        <f>IFERROR(VLOOKUP($A309,ANTIGA_DIRECIONADOS!$A:$P,MATCH(APENDICE_BCB!E$3,ANTIGA_DIRECIONADOS!$1:$1,0),0),0)</f>
        <v>0</v>
      </c>
      <c r="F309" s="9">
        <f>IFERROR(VLOOKUP($A309,ANTIGA_DIRECIONADOS!$A:$P,MATCH(APENDICE_BCB!F$3,ANTIGA_DIRECIONADOS!$1:$1,0),0),0)</f>
        <v>0</v>
      </c>
      <c r="G309" s="9">
        <f>IFERROR(VLOOKUP($A309,ANTIGA_DIRECIONADOS!$A:$P,MATCH(APENDICE_BCB!G$3,ANTIGA_DIRECIONADOS!$1:$1,0),0),0)</f>
        <v>0</v>
      </c>
      <c r="H309" s="9">
        <f>IFERROR(VLOOKUP($A309,ATUAL_LIV_E_DIR!$A:$P,MATCH(APENDICE_BCB!H$3,ATUAL_LIV_E_DIR!$1:$1,0),0),0)</f>
        <v>2873081</v>
      </c>
      <c r="I309" s="9">
        <f>IFERROR(VLOOKUP($A309,ATUAL_LIV_E_DIR!$A:$P,MATCH(APENDICE_BCB!I$3,ATUAL_LIV_E_DIR!$1:$1,0),0),0)</f>
        <v>1304417</v>
      </c>
      <c r="J309" s="9">
        <f>IFERROR(VLOOKUP($A309,ATUAL_LIV_E_DIR!$A:$P,MATCH(APENDICE_BCB!J$3,ATUAL_LIV_E_DIR!$1:$1,0),0),0)</f>
        <v>1568664</v>
      </c>
      <c r="K309" s="9">
        <f>IFERROR(VLOOKUP($A309,ATUAL_LIV_E_DIR!$A:$P,MATCH(APENDICE_BCB!K$3,ATUAL_LIV_E_DIR!$1:$1,0),0),0)</f>
        <v>1919097</v>
      </c>
      <c r="L309" s="9">
        <f>IFERROR(VLOOKUP($A309,ATUAL_LIV_E_DIR!$A:$P,MATCH(APENDICE_BCB!L$3,ATUAL_LIV_E_DIR!$1:$1,0),0),0)</f>
        <v>1233466</v>
      </c>
      <c r="M309" s="9">
        <f>IFERROR(VLOOKUP($A309,ATUAL_LIV_E_DIR!$A:$P,MATCH(APENDICE_BCB!M$3,ATUAL_LIV_E_DIR!$1:$1,0),0),0)</f>
        <v>685631</v>
      </c>
      <c r="O309" s="11">
        <f t="shared" si="57"/>
        <v>0</v>
      </c>
      <c r="P309" s="11">
        <f t="shared" si="58"/>
        <v>4792178</v>
      </c>
      <c r="Q309" s="11">
        <f t="shared" si="59"/>
        <v>0</v>
      </c>
      <c r="R309" s="11">
        <f t="shared" si="60"/>
        <v>1990048</v>
      </c>
      <c r="S309" s="11"/>
      <c r="T309" s="11">
        <f t="shared" si="61"/>
        <v>2802130</v>
      </c>
      <c r="V309" s="7">
        <f t="shared" si="62"/>
        <v>0</v>
      </c>
      <c r="W309">
        <f t="shared" si="63"/>
        <v>0.5847299495135615</v>
      </c>
      <c r="Y309" s="8"/>
      <c r="Z309" s="8">
        <f t="shared" si="64"/>
        <v>1.4106390029622107E-2</v>
      </c>
      <c r="AE309" s="1">
        <f t="shared" si="55"/>
        <v>44621</v>
      </c>
      <c r="AF309" s="11">
        <f t="shared" si="56"/>
        <v>2802130</v>
      </c>
    </row>
    <row r="310" spans="1:32" x14ac:dyDescent="0.25">
      <c r="A310" s="1">
        <v>44652</v>
      </c>
      <c r="B310" s="9">
        <f>IFERROR(VLOOKUP($A310,ANTIGA_LIVRES!$A:$P,MATCH(APENDICE_BCB!B$3,ANTIGA_LIVRES!$1:$1,0),0)/1000,0)</f>
        <v>0</v>
      </c>
      <c r="C310" s="9">
        <f>IFERROR(VLOOKUP($A310,ANTIGA_LIVRES!$A:$P,MATCH(APENDICE_BCB!C$3,ANTIGA_LIVRES!$1:$1,0),0)/1000,0)</f>
        <v>0</v>
      </c>
      <c r="D310" s="9">
        <f>IFERROR(VLOOKUP($A310,ANTIGA_LIVRES!$A:$P,MATCH(APENDICE_BCB!D$3,ANTIGA_LIVRES!$1:$1,0),0)/1000,0)</f>
        <v>0</v>
      </c>
      <c r="E310" s="9">
        <f>IFERROR(VLOOKUP($A310,ANTIGA_DIRECIONADOS!$A:$P,MATCH(APENDICE_BCB!E$3,ANTIGA_DIRECIONADOS!$1:$1,0),0),0)</f>
        <v>0</v>
      </c>
      <c r="F310" s="9">
        <f>IFERROR(VLOOKUP($A310,ANTIGA_DIRECIONADOS!$A:$P,MATCH(APENDICE_BCB!F$3,ANTIGA_DIRECIONADOS!$1:$1,0),0),0)</f>
        <v>0</v>
      </c>
      <c r="G310" s="9">
        <f>IFERROR(VLOOKUP($A310,ANTIGA_DIRECIONADOS!$A:$P,MATCH(APENDICE_BCB!G$3,ANTIGA_DIRECIONADOS!$1:$1,0),0),0)</f>
        <v>0</v>
      </c>
      <c r="H310" s="9">
        <f>IFERROR(VLOOKUP($A310,ATUAL_LIV_E_DIR!$A:$P,MATCH(APENDICE_BCB!H$3,ATUAL_LIV_E_DIR!$1:$1,0),0),0)</f>
        <v>2915271</v>
      </c>
      <c r="I310" s="9">
        <f>IFERROR(VLOOKUP($A310,ATUAL_LIV_E_DIR!$A:$P,MATCH(APENDICE_BCB!I$3,ATUAL_LIV_E_DIR!$1:$1,0),0),0)</f>
        <v>1318140</v>
      </c>
      <c r="J310" s="9">
        <f>IFERROR(VLOOKUP($A310,ATUAL_LIV_E_DIR!$A:$P,MATCH(APENDICE_BCB!J$3,ATUAL_LIV_E_DIR!$1:$1,0),0),0)</f>
        <v>1597130</v>
      </c>
      <c r="K310" s="9">
        <f>IFERROR(VLOOKUP($A310,ATUAL_LIV_E_DIR!$A:$P,MATCH(APENDICE_BCB!K$3,ATUAL_LIV_E_DIR!$1:$1,0),0),0)</f>
        <v>1915419</v>
      </c>
      <c r="L310" s="9">
        <f>IFERROR(VLOOKUP($A310,ATUAL_LIV_E_DIR!$A:$P,MATCH(APENDICE_BCB!L$3,ATUAL_LIV_E_DIR!$1:$1,0),0),0)</f>
        <v>1235012</v>
      </c>
      <c r="M310" s="9">
        <f>IFERROR(VLOOKUP($A310,ATUAL_LIV_E_DIR!$A:$P,MATCH(APENDICE_BCB!M$3,ATUAL_LIV_E_DIR!$1:$1,0),0),0)</f>
        <v>680407</v>
      </c>
      <c r="O310" s="11">
        <f t="shared" si="57"/>
        <v>0</v>
      </c>
      <c r="P310" s="11">
        <f t="shared" si="58"/>
        <v>4830690</v>
      </c>
      <c r="Q310" s="11">
        <f t="shared" si="59"/>
        <v>0</v>
      </c>
      <c r="R310" s="11">
        <f t="shared" si="60"/>
        <v>1998547</v>
      </c>
      <c r="S310" s="11"/>
      <c r="T310" s="11">
        <f t="shared" si="61"/>
        <v>2832142</v>
      </c>
      <c r="V310" s="7">
        <f t="shared" si="62"/>
        <v>0</v>
      </c>
      <c r="W310">
        <f t="shared" si="63"/>
        <v>0.58628104887707555</v>
      </c>
      <c r="Y310" s="8"/>
      <c r="Z310" s="8">
        <f t="shared" si="64"/>
        <v>8.0364293646855156E-3</v>
      </c>
      <c r="AE310" s="1">
        <f t="shared" si="55"/>
        <v>44652</v>
      </c>
      <c r="AF310" s="11">
        <f t="shared" si="56"/>
        <v>2832142</v>
      </c>
    </row>
    <row r="311" spans="1:32" x14ac:dyDescent="0.25">
      <c r="A311" s="1">
        <v>44682</v>
      </c>
      <c r="B311" s="9">
        <f>IFERROR(VLOOKUP($A311,ANTIGA_LIVRES!$A:$P,MATCH(APENDICE_BCB!B$3,ANTIGA_LIVRES!$1:$1,0),0)/1000,0)</f>
        <v>0</v>
      </c>
      <c r="C311" s="9">
        <f>IFERROR(VLOOKUP($A311,ANTIGA_LIVRES!$A:$P,MATCH(APENDICE_BCB!C$3,ANTIGA_LIVRES!$1:$1,0),0)/1000,0)</f>
        <v>0</v>
      </c>
      <c r="D311" s="9">
        <f>IFERROR(VLOOKUP($A311,ANTIGA_LIVRES!$A:$P,MATCH(APENDICE_BCB!D$3,ANTIGA_LIVRES!$1:$1,0),0)/1000,0)</f>
        <v>0</v>
      </c>
      <c r="E311" s="9">
        <f>IFERROR(VLOOKUP($A311,ANTIGA_DIRECIONADOS!$A:$P,MATCH(APENDICE_BCB!E$3,ANTIGA_DIRECIONADOS!$1:$1,0),0),0)</f>
        <v>0</v>
      </c>
      <c r="F311" s="9">
        <f>IFERROR(VLOOKUP($A311,ANTIGA_DIRECIONADOS!$A:$P,MATCH(APENDICE_BCB!F$3,ANTIGA_DIRECIONADOS!$1:$1,0),0),0)</f>
        <v>0</v>
      </c>
      <c r="G311" s="9">
        <f>IFERROR(VLOOKUP($A311,ANTIGA_DIRECIONADOS!$A:$P,MATCH(APENDICE_BCB!G$3,ANTIGA_DIRECIONADOS!$1:$1,0),0),0)</f>
        <v>0</v>
      </c>
      <c r="H311" s="9">
        <f>IFERROR(VLOOKUP($A311,ATUAL_LIV_E_DIR!$A:$P,MATCH(APENDICE_BCB!H$3,ATUAL_LIV_E_DIR!$1:$1,0),0),0)</f>
        <v>2955856</v>
      </c>
      <c r="I311" s="9">
        <f>IFERROR(VLOOKUP($A311,ATUAL_LIV_E_DIR!$A:$P,MATCH(APENDICE_BCB!I$3,ATUAL_LIV_E_DIR!$1:$1,0),0),0)</f>
        <v>1327319</v>
      </c>
      <c r="J311" s="9">
        <f>IFERROR(VLOOKUP($A311,ATUAL_LIV_E_DIR!$A:$P,MATCH(APENDICE_BCB!J$3,ATUAL_LIV_E_DIR!$1:$1,0),0),0)</f>
        <v>1628537</v>
      </c>
      <c r="K311" s="9">
        <f>IFERROR(VLOOKUP($A311,ATUAL_LIV_E_DIR!$A:$P,MATCH(APENDICE_BCB!K$3,ATUAL_LIV_E_DIR!$1:$1,0),0),0)</f>
        <v>1929732</v>
      </c>
      <c r="L311" s="9">
        <f>IFERROR(VLOOKUP($A311,ATUAL_LIV_E_DIR!$A:$P,MATCH(APENDICE_BCB!L$3,ATUAL_LIV_E_DIR!$1:$1,0),0),0)</f>
        <v>1248715</v>
      </c>
      <c r="M311" s="9">
        <f>IFERROR(VLOOKUP($A311,ATUAL_LIV_E_DIR!$A:$P,MATCH(APENDICE_BCB!M$3,ATUAL_LIV_E_DIR!$1:$1,0),0),0)</f>
        <v>681017</v>
      </c>
      <c r="O311" s="11">
        <f t="shared" si="57"/>
        <v>0</v>
      </c>
      <c r="P311" s="11">
        <f t="shared" si="58"/>
        <v>4885588</v>
      </c>
      <c r="Q311" s="11">
        <f t="shared" si="59"/>
        <v>0</v>
      </c>
      <c r="R311" s="11">
        <f t="shared" si="60"/>
        <v>2008336</v>
      </c>
      <c r="S311" s="11"/>
      <c r="T311" s="11">
        <f t="shared" si="61"/>
        <v>2877252</v>
      </c>
      <c r="V311" s="7">
        <f t="shared" si="62"/>
        <v>0</v>
      </c>
      <c r="W311">
        <f t="shared" si="63"/>
        <v>0.58892645061351878</v>
      </c>
      <c r="Y311" s="8"/>
      <c r="Z311" s="8">
        <f t="shared" si="64"/>
        <v>1.1364422059788604E-2</v>
      </c>
      <c r="AE311" s="1">
        <f t="shared" si="55"/>
        <v>44682</v>
      </c>
      <c r="AF311" s="11">
        <f t="shared" si="56"/>
        <v>2877252</v>
      </c>
    </row>
    <row r="312" spans="1:32" x14ac:dyDescent="0.25">
      <c r="A312" s="1">
        <v>44713</v>
      </c>
      <c r="B312" s="9">
        <f>IFERROR(VLOOKUP($A312,ANTIGA_LIVRES!$A:$P,MATCH(APENDICE_BCB!B$3,ANTIGA_LIVRES!$1:$1,0),0)/1000,0)</f>
        <v>0</v>
      </c>
      <c r="C312" s="9">
        <f>IFERROR(VLOOKUP($A312,ANTIGA_LIVRES!$A:$P,MATCH(APENDICE_BCB!C$3,ANTIGA_LIVRES!$1:$1,0),0)/1000,0)</f>
        <v>0</v>
      </c>
      <c r="D312" s="9">
        <f>IFERROR(VLOOKUP($A312,ANTIGA_LIVRES!$A:$P,MATCH(APENDICE_BCB!D$3,ANTIGA_LIVRES!$1:$1,0),0)/1000,0)</f>
        <v>0</v>
      </c>
      <c r="E312" s="9">
        <f>IFERROR(VLOOKUP($A312,ANTIGA_DIRECIONADOS!$A:$P,MATCH(APENDICE_BCB!E$3,ANTIGA_DIRECIONADOS!$1:$1,0),0),0)</f>
        <v>0</v>
      </c>
      <c r="F312" s="9">
        <f>IFERROR(VLOOKUP($A312,ANTIGA_DIRECIONADOS!$A:$P,MATCH(APENDICE_BCB!F$3,ANTIGA_DIRECIONADOS!$1:$1,0),0),0)</f>
        <v>0</v>
      </c>
      <c r="G312" s="9">
        <f>IFERROR(VLOOKUP($A312,ANTIGA_DIRECIONADOS!$A:$P,MATCH(APENDICE_BCB!G$3,ANTIGA_DIRECIONADOS!$1:$1,0),0),0)</f>
        <v>0</v>
      </c>
      <c r="H312" s="9">
        <f>IFERROR(VLOOKUP($A312,ATUAL_LIV_E_DIR!$A:$P,MATCH(APENDICE_BCB!H$3,ATUAL_LIV_E_DIR!$1:$1,0),0),0)</f>
        <v>3006420</v>
      </c>
      <c r="I312" s="9">
        <f>IFERROR(VLOOKUP($A312,ATUAL_LIV_E_DIR!$A:$P,MATCH(APENDICE_BCB!I$3,ATUAL_LIV_E_DIR!$1:$1,0),0),0)</f>
        <v>1357213</v>
      </c>
      <c r="J312" s="9">
        <f>IFERROR(VLOOKUP($A312,ATUAL_LIV_E_DIR!$A:$P,MATCH(APENDICE_BCB!J$3,ATUAL_LIV_E_DIR!$1:$1,0),0),0)</f>
        <v>1649207</v>
      </c>
      <c r="K312" s="9">
        <f>IFERROR(VLOOKUP($A312,ATUAL_LIV_E_DIR!$A:$P,MATCH(APENDICE_BCB!K$3,ATUAL_LIV_E_DIR!$1:$1,0),0),0)</f>
        <v>1957143</v>
      </c>
      <c r="L312" s="9">
        <f>IFERROR(VLOOKUP($A312,ATUAL_LIV_E_DIR!$A:$P,MATCH(APENDICE_BCB!L$3,ATUAL_LIV_E_DIR!$1:$1,0),0),0)</f>
        <v>1266906</v>
      </c>
      <c r="M312" s="9">
        <f>IFERROR(VLOOKUP($A312,ATUAL_LIV_E_DIR!$A:$P,MATCH(APENDICE_BCB!M$3,ATUAL_LIV_E_DIR!$1:$1,0),0),0)</f>
        <v>690238</v>
      </c>
      <c r="O312" s="11">
        <f t="shared" si="57"/>
        <v>0</v>
      </c>
      <c r="P312" s="11">
        <f t="shared" si="58"/>
        <v>4963563</v>
      </c>
      <c r="Q312" s="11">
        <f t="shared" si="59"/>
        <v>0</v>
      </c>
      <c r="R312" s="11">
        <f t="shared" si="60"/>
        <v>2047451</v>
      </c>
      <c r="S312" s="11"/>
      <c r="T312" s="11">
        <f t="shared" si="61"/>
        <v>2916113</v>
      </c>
      <c r="V312" s="7">
        <f t="shared" si="62"/>
        <v>0</v>
      </c>
      <c r="W312">
        <f t="shared" si="63"/>
        <v>0.5875039764781872</v>
      </c>
      <c r="Y312" s="8"/>
      <c r="Z312" s="8">
        <f t="shared" si="64"/>
        <v>1.5960207860343578E-2</v>
      </c>
      <c r="AE312" s="1">
        <f t="shared" si="55"/>
        <v>44713</v>
      </c>
      <c r="AF312" s="11">
        <f t="shared" si="56"/>
        <v>2916113</v>
      </c>
    </row>
    <row r="313" spans="1:32" x14ac:dyDescent="0.25">
      <c r="A313" s="1">
        <v>44743</v>
      </c>
      <c r="B313" s="9">
        <f>IFERROR(VLOOKUP($A313,ANTIGA_LIVRES!$A:$P,MATCH(APENDICE_BCB!B$3,ANTIGA_LIVRES!$1:$1,0),0)/1000,0)</f>
        <v>0</v>
      </c>
      <c r="C313" s="9">
        <f>IFERROR(VLOOKUP($A313,ANTIGA_LIVRES!$A:$P,MATCH(APENDICE_BCB!C$3,ANTIGA_LIVRES!$1:$1,0),0)/1000,0)</f>
        <v>0</v>
      </c>
      <c r="D313" s="9">
        <f>IFERROR(VLOOKUP($A313,ANTIGA_LIVRES!$A:$P,MATCH(APENDICE_BCB!D$3,ANTIGA_LIVRES!$1:$1,0),0)/1000,0)</f>
        <v>0</v>
      </c>
      <c r="E313" s="9">
        <f>IFERROR(VLOOKUP($A313,ANTIGA_DIRECIONADOS!$A:$P,MATCH(APENDICE_BCB!E$3,ANTIGA_DIRECIONADOS!$1:$1,0),0),0)</f>
        <v>0</v>
      </c>
      <c r="F313" s="9">
        <f>IFERROR(VLOOKUP($A313,ANTIGA_DIRECIONADOS!$A:$P,MATCH(APENDICE_BCB!F$3,ANTIGA_DIRECIONADOS!$1:$1,0),0),0)</f>
        <v>0</v>
      </c>
      <c r="G313" s="9">
        <f>IFERROR(VLOOKUP($A313,ANTIGA_DIRECIONADOS!$A:$P,MATCH(APENDICE_BCB!G$3,ANTIGA_DIRECIONADOS!$1:$1,0),0),0)</f>
        <v>0</v>
      </c>
      <c r="H313" s="9">
        <f>IFERROR(VLOOKUP($A313,ATUAL_LIV_E_DIR!$A:$P,MATCH(APENDICE_BCB!H$3,ATUAL_LIV_E_DIR!$1:$1,0),0),0)</f>
        <v>3019988</v>
      </c>
      <c r="I313" s="9">
        <f>IFERROR(VLOOKUP($A313,ATUAL_LIV_E_DIR!$A:$P,MATCH(APENDICE_BCB!I$3,ATUAL_LIV_E_DIR!$1:$1,0),0),0)</f>
        <v>1350197</v>
      </c>
      <c r="J313" s="9">
        <f>IFERROR(VLOOKUP($A313,ATUAL_LIV_E_DIR!$A:$P,MATCH(APENDICE_BCB!J$3,ATUAL_LIV_E_DIR!$1:$1,0),0),0)</f>
        <v>1669791</v>
      </c>
      <c r="K313" s="9">
        <f>IFERROR(VLOOKUP($A313,ATUAL_LIV_E_DIR!$A:$P,MATCH(APENDICE_BCB!K$3,ATUAL_LIV_E_DIR!$1:$1,0),0),0)</f>
        <v>1979014</v>
      </c>
      <c r="L313" s="9">
        <f>IFERROR(VLOOKUP($A313,ATUAL_LIV_E_DIR!$A:$P,MATCH(APENDICE_BCB!L$3,ATUAL_LIV_E_DIR!$1:$1,0),0),0)</f>
        <v>1287589</v>
      </c>
      <c r="M313" s="9">
        <f>IFERROR(VLOOKUP($A313,ATUAL_LIV_E_DIR!$A:$P,MATCH(APENDICE_BCB!M$3,ATUAL_LIV_E_DIR!$1:$1,0),0),0)</f>
        <v>691425</v>
      </c>
      <c r="O313" s="11">
        <f t="shared" si="57"/>
        <v>0</v>
      </c>
      <c r="P313" s="11">
        <f t="shared" si="58"/>
        <v>4999002</v>
      </c>
      <c r="Q313" s="11">
        <f t="shared" si="59"/>
        <v>0</v>
      </c>
      <c r="R313" s="11">
        <f t="shared" si="60"/>
        <v>2041622</v>
      </c>
      <c r="S313" s="11"/>
      <c r="T313" s="11">
        <f t="shared" si="61"/>
        <v>2957380</v>
      </c>
      <c r="V313" s="7">
        <f t="shared" si="62"/>
        <v>0</v>
      </c>
      <c r="W313">
        <f t="shared" si="63"/>
        <v>0.59159408217880294</v>
      </c>
      <c r="Y313" s="8"/>
      <c r="Z313" s="8">
        <f t="shared" si="64"/>
        <v>7.1398308029937407E-3</v>
      </c>
      <c r="AE313" s="1">
        <f t="shared" si="55"/>
        <v>44743</v>
      </c>
      <c r="AF313" s="11">
        <f t="shared" si="56"/>
        <v>2957380</v>
      </c>
    </row>
    <row r="314" spans="1:32" x14ac:dyDescent="0.25">
      <c r="A314" s="1">
        <v>44774</v>
      </c>
      <c r="B314" s="9">
        <f>IFERROR(VLOOKUP($A314,ANTIGA_LIVRES!$A:$P,MATCH(APENDICE_BCB!B$3,ANTIGA_LIVRES!$1:$1,0),0)/1000,0)</f>
        <v>0</v>
      </c>
      <c r="C314" s="9">
        <f>IFERROR(VLOOKUP($A314,ANTIGA_LIVRES!$A:$P,MATCH(APENDICE_BCB!C$3,ANTIGA_LIVRES!$1:$1,0),0)/1000,0)</f>
        <v>0</v>
      </c>
      <c r="D314" s="9">
        <f>IFERROR(VLOOKUP($A314,ANTIGA_LIVRES!$A:$P,MATCH(APENDICE_BCB!D$3,ANTIGA_LIVRES!$1:$1,0),0)/1000,0)</f>
        <v>0</v>
      </c>
      <c r="E314" s="9">
        <f>IFERROR(VLOOKUP($A314,ANTIGA_DIRECIONADOS!$A:$P,MATCH(APENDICE_BCB!E$3,ANTIGA_DIRECIONADOS!$1:$1,0),0),0)</f>
        <v>0</v>
      </c>
      <c r="F314" s="9">
        <f>IFERROR(VLOOKUP($A314,ANTIGA_DIRECIONADOS!$A:$P,MATCH(APENDICE_BCB!F$3,ANTIGA_DIRECIONADOS!$1:$1,0),0),0)</f>
        <v>0</v>
      </c>
      <c r="G314" s="9">
        <f>IFERROR(VLOOKUP($A314,ANTIGA_DIRECIONADOS!$A:$P,MATCH(APENDICE_BCB!G$3,ANTIGA_DIRECIONADOS!$1:$1,0),0),0)</f>
        <v>0</v>
      </c>
      <c r="H314" s="9">
        <f>IFERROR(VLOOKUP($A314,ATUAL_LIV_E_DIR!$A:$P,MATCH(APENDICE_BCB!H$3,ATUAL_LIV_E_DIR!$1:$1,0),0),0)</f>
        <v>3051605</v>
      </c>
      <c r="I314" s="9">
        <f>IFERROR(VLOOKUP($A314,ATUAL_LIV_E_DIR!$A:$P,MATCH(APENDICE_BCB!I$3,ATUAL_LIV_E_DIR!$1:$1,0),0),0)</f>
        <v>1356940</v>
      </c>
      <c r="J314" s="9">
        <f>IFERROR(VLOOKUP($A314,ATUAL_LIV_E_DIR!$A:$P,MATCH(APENDICE_BCB!J$3,ATUAL_LIV_E_DIR!$1:$1,0),0),0)</f>
        <v>1694665</v>
      </c>
      <c r="K314" s="9">
        <f>IFERROR(VLOOKUP($A314,ATUAL_LIV_E_DIR!$A:$P,MATCH(APENDICE_BCB!K$3,ATUAL_LIV_E_DIR!$1:$1,0),0),0)</f>
        <v>2020362</v>
      </c>
      <c r="L314" s="9">
        <f>IFERROR(VLOOKUP($A314,ATUAL_LIV_E_DIR!$A:$P,MATCH(APENDICE_BCB!L$3,ATUAL_LIV_E_DIR!$1:$1,0),0),0)</f>
        <v>1318459</v>
      </c>
      <c r="M314" s="9">
        <f>IFERROR(VLOOKUP($A314,ATUAL_LIV_E_DIR!$A:$P,MATCH(APENDICE_BCB!M$3,ATUAL_LIV_E_DIR!$1:$1,0),0),0)</f>
        <v>701903</v>
      </c>
      <c r="O314" s="11">
        <f t="shared" si="57"/>
        <v>0</v>
      </c>
      <c r="P314" s="11">
        <f t="shared" si="58"/>
        <v>5071967</v>
      </c>
      <c r="Q314" s="11">
        <f t="shared" si="59"/>
        <v>0</v>
      </c>
      <c r="R314" s="11">
        <f t="shared" si="60"/>
        <v>2058843</v>
      </c>
      <c r="S314" s="11"/>
      <c r="T314" s="11">
        <f t="shared" si="61"/>
        <v>3013124</v>
      </c>
      <c r="V314" s="7">
        <f t="shared" si="62"/>
        <v>0</v>
      </c>
      <c r="W314">
        <f t="shared" si="63"/>
        <v>0.59407405450390349</v>
      </c>
      <c r="Y314" s="8"/>
      <c r="Z314" s="8">
        <f t="shared" si="64"/>
        <v>1.4595913344303435E-2</v>
      </c>
      <c r="AE314" s="1">
        <f t="shared" si="55"/>
        <v>44774</v>
      </c>
      <c r="AF314" s="11">
        <f t="shared" si="56"/>
        <v>3013124</v>
      </c>
    </row>
    <row r="315" spans="1:32" x14ac:dyDescent="0.25">
      <c r="A315" s="1">
        <v>44805</v>
      </c>
      <c r="B315" s="9">
        <f>IFERROR(VLOOKUP($A315,ANTIGA_LIVRES!$A:$P,MATCH(APENDICE_BCB!B$3,ANTIGA_LIVRES!$1:$1,0),0)/1000,0)</f>
        <v>0</v>
      </c>
      <c r="C315" s="9">
        <f>IFERROR(VLOOKUP($A315,ANTIGA_LIVRES!$A:$P,MATCH(APENDICE_BCB!C$3,ANTIGA_LIVRES!$1:$1,0),0)/1000,0)</f>
        <v>0</v>
      </c>
      <c r="D315" s="9">
        <f>IFERROR(VLOOKUP($A315,ANTIGA_LIVRES!$A:$P,MATCH(APENDICE_BCB!D$3,ANTIGA_LIVRES!$1:$1,0),0)/1000,0)</f>
        <v>0</v>
      </c>
      <c r="E315" s="9">
        <f>IFERROR(VLOOKUP($A315,ANTIGA_DIRECIONADOS!$A:$P,MATCH(APENDICE_BCB!E$3,ANTIGA_DIRECIONADOS!$1:$1,0),0),0)</f>
        <v>0</v>
      </c>
      <c r="F315" s="9">
        <f>IFERROR(VLOOKUP($A315,ANTIGA_DIRECIONADOS!$A:$P,MATCH(APENDICE_BCB!F$3,ANTIGA_DIRECIONADOS!$1:$1,0),0),0)</f>
        <v>0</v>
      </c>
      <c r="G315" s="9">
        <f>IFERROR(VLOOKUP($A315,ANTIGA_DIRECIONADOS!$A:$P,MATCH(APENDICE_BCB!G$3,ANTIGA_DIRECIONADOS!$1:$1,0),0),0)</f>
        <v>0</v>
      </c>
      <c r="H315" s="9">
        <f>IFERROR(VLOOKUP($A315,ATUAL_LIV_E_DIR!$A:$P,MATCH(APENDICE_BCB!H$3,ATUAL_LIV_E_DIR!$1:$1,0),0),0)</f>
        <v>3097548</v>
      </c>
      <c r="I315" s="9">
        <f>IFERROR(VLOOKUP($A315,ATUAL_LIV_E_DIR!$A:$P,MATCH(APENDICE_BCB!I$3,ATUAL_LIV_E_DIR!$1:$1,0),0),0)</f>
        <v>1385811</v>
      </c>
      <c r="J315" s="9">
        <f>IFERROR(VLOOKUP($A315,ATUAL_LIV_E_DIR!$A:$P,MATCH(APENDICE_BCB!J$3,ATUAL_LIV_E_DIR!$1:$1,0),0),0)</f>
        <v>1711737</v>
      </c>
      <c r="K315" s="9">
        <f>IFERROR(VLOOKUP($A315,ATUAL_LIV_E_DIR!$A:$P,MATCH(APENDICE_BCB!K$3,ATUAL_LIV_E_DIR!$1:$1,0),0),0)</f>
        <v>2065374</v>
      </c>
      <c r="L315" s="9">
        <f>IFERROR(VLOOKUP($A315,ATUAL_LIV_E_DIR!$A:$P,MATCH(APENDICE_BCB!L$3,ATUAL_LIV_E_DIR!$1:$1,0),0),0)</f>
        <v>1346464</v>
      </c>
      <c r="M315" s="9">
        <f>IFERROR(VLOOKUP($A315,ATUAL_LIV_E_DIR!$A:$P,MATCH(APENDICE_BCB!M$3,ATUAL_LIV_E_DIR!$1:$1,0),0),0)</f>
        <v>718910</v>
      </c>
      <c r="O315" s="11">
        <f t="shared" si="57"/>
        <v>0</v>
      </c>
      <c r="P315" s="11">
        <f t="shared" si="58"/>
        <v>5162922</v>
      </c>
      <c r="Q315" s="11">
        <f t="shared" si="59"/>
        <v>0</v>
      </c>
      <c r="R315" s="11">
        <f t="shared" si="60"/>
        <v>2104721</v>
      </c>
      <c r="S315" s="11"/>
      <c r="T315" s="11">
        <f t="shared" si="61"/>
        <v>3058201</v>
      </c>
      <c r="V315" s="7">
        <f t="shared" si="62"/>
        <v>0</v>
      </c>
      <c r="W315">
        <f t="shared" si="63"/>
        <v>0.59233918312149592</v>
      </c>
      <c r="Y315" s="8"/>
      <c r="Z315" s="8">
        <f t="shared" si="64"/>
        <v>1.7932884815693884E-2</v>
      </c>
      <c r="AE315" s="1">
        <f t="shared" si="55"/>
        <v>44805</v>
      </c>
      <c r="AF315" s="11">
        <f t="shared" si="56"/>
        <v>3058201</v>
      </c>
    </row>
    <row r="316" spans="1:32" x14ac:dyDescent="0.25">
      <c r="A316" s="1">
        <v>44835</v>
      </c>
      <c r="B316" s="9">
        <f>IFERROR(VLOOKUP($A316,ANTIGA_LIVRES!$A:$P,MATCH(APENDICE_BCB!B$3,ANTIGA_LIVRES!$1:$1,0),0)/1000,0)</f>
        <v>0</v>
      </c>
      <c r="C316" s="9">
        <f>IFERROR(VLOOKUP($A316,ANTIGA_LIVRES!$A:$P,MATCH(APENDICE_BCB!C$3,ANTIGA_LIVRES!$1:$1,0),0)/1000,0)</f>
        <v>0</v>
      </c>
      <c r="D316" s="9">
        <f>IFERROR(VLOOKUP($A316,ANTIGA_LIVRES!$A:$P,MATCH(APENDICE_BCB!D$3,ANTIGA_LIVRES!$1:$1,0),0)/1000,0)</f>
        <v>0</v>
      </c>
      <c r="E316" s="9">
        <f>IFERROR(VLOOKUP($A316,ANTIGA_DIRECIONADOS!$A:$P,MATCH(APENDICE_BCB!E$3,ANTIGA_DIRECIONADOS!$1:$1,0),0),0)</f>
        <v>0</v>
      </c>
      <c r="F316" s="9">
        <f>IFERROR(VLOOKUP($A316,ANTIGA_DIRECIONADOS!$A:$P,MATCH(APENDICE_BCB!F$3,ANTIGA_DIRECIONADOS!$1:$1,0),0),0)</f>
        <v>0</v>
      </c>
      <c r="G316" s="9">
        <f>IFERROR(VLOOKUP($A316,ANTIGA_DIRECIONADOS!$A:$P,MATCH(APENDICE_BCB!G$3,ANTIGA_DIRECIONADOS!$1:$1,0),0),0)</f>
        <v>0</v>
      </c>
      <c r="H316" s="9">
        <f>IFERROR(VLOOKUP($A316,ATUAL_LIV_E_DIR!$A:$P,MATCH(APENDICE_BCB!H$3,ATUAL_LIV_E_DIR!$1:$1,0),0),0)</f>
        <v>3121018</v>
      </c>
      <c r="I316" s="9">
        <f>IFERROR(VLOOKUP($A316,ATUAL_LIV_E_DIR!$A:$P,MATCH(APENDICE_BCB!I$3,ATUAL_LIV_E_DIR!$1:$1,0),0),0)</f>
        <v>1376966</v>
      </c>
      <c r="J316" s="9">
        <f>IFERROR(VLOOKUP($A316,ATUAL_LIV_E_DIR!$A:$P,MATCH(APENDICE_BCB!J$3,ATUAL_LIV_E_DIR!$1:$1,0),0),0)</f>
        <v>1744052</v>
      </c>
      <c r="K316" s="9">
        <f>IFERROR(VLOOKUP($A316,ATUAL_LIV_E_DIR!$A:$P,MATCH(APENDICE_BCB!K$3,ATUAL_LIV_E_DIR!$1:$1,0),0),0)</f>
        <v>2093138</v>
      </c>
      <c r="L316" s="9">
        <f>IFERROR(VLOOKUP($A316,ATUAL_LIV_E_DIR!$A:$P,MATCH(APENDICE_BCB!L$3,ATUAL_LIV_E_DIR!$1:$1,0),0),0)</f>
        <v>1370045</v>
      </c>
      <c r="M316" s="9">
        <f>IFERROR(VLOOKUP($A316,ATUAL_LIV_E_DIR!$A:$P,MATCH(APENDICE_BCB!M$3,ATUAL_LIV_E_DIR!$1:$1,0),0),0)</f>
        <v>723094</v>
      </c>
      <c r="O316" s="11">
        <f t="shared" si="57"/>
        <v>0</v>
      </c>
      <c r="P316" s="11">
        <f t="shared" si="58"/>
        <v>5214156</v>
      </c>
      <c r="Q316" s="11">
        <f t="shared" si="59"/>
        <v>0</v>
      </c>
      <c r="R316" s="11">
        <f t="shared" si="60"/>
        <v>2100060</v>
      </c>
      <c r="S316" s="11"/>
      <c r="T316" s="11">
        <f t="shared" si="61"/>
        <v>3114097</v>
      </c>
      <c r="V316" s="7">
        <f t="shared" si="62"/>
        <v>0</v>
      </c>
      <c r="W316">
        <f t="shared" si="63"/>
        <v>0.59723893953307117</v>
      </c>
      <c r="Y316" s="8"/>
      <c r="Z316" s="8">
        <f t="shared" si="64"/>
        <v>9.9234503252227935E-3</v>
      </c>
      <c r="AE316" s="1">
        <f t="shared" si="55"/>
        <v>44835</v>
      </c>
      <c r="AF316" s="11">
        <f t="shared" si="56"/>
        <v>3114097</v>
      </c>
    </row>
    <row r="317" spans="1:32" x14ac:dyDescent="0.25">
      <c r="A317" s="1">
        <v>44866</v>
      </c>
      <c r="B317" s="9">
        <f>IFERROR(VLOOKUP($A317,ANTIGA_LIVRES!$A:$P,MATCH(APENDICE_BCB!B$3,ANTIGA_LIVRES!$1:$1,0),0)/1000,0)</f>
        <v>0</v>
      </c>
      <c r="C317" s="9">
        <f>IFERROR(VLOOKUP($A317,ANTIGA_LIVRES!$A:$P,MATCH(APENDICE_BCB!C$3,ANTIGA_LIVRES!$1:$1,0),0)/1000,0)</f>
        <v>0</v>
      </c>
      <c r="D317" s="9">
        <f>IFERROR(VLOOKUP($A317,ANTIGA_LIVRES!$A:$P,MATCH(APENDICE_BCB!D$3,ANTIGA_LIVRES!$1:$1,0),0)/1000,0)</f>
        <v>0</v>
      </c>
      <c r="E317" s="9">
        <f>IFERROR(VLOOKUP($A317,ANTIGA_DIRECIONADOS!$A:$P,MATCH(APENDICE_BCB!E$3,ANTIGA_DIRECIONADOS!$1:$1,0),0),0)</f>
        <v>0</v>
      </c>
      <c r="F317" s="9">
        <f>IFERROR(VLOOKUP($A317,ANTIGA_DIRECIONADOS!$A:$P,MATCH(APENDICE_BCB!F$3,ANTIGA_DIRECIONADOS!$1:$1,0),0),0)</f>
        <v>0</v>
      </c>
      <c r="G317" s="9">
        <f>IFERROR(VLOOKUP($A317,ANTIGA_DIRECIONADOS!$A:$P,MATCH(APENDICE_BCB!G$3,ANTIGA_DIRECIONADOS!$1:$1,0),0),0)</f>
        <v>0</v>
      </c>
      <c r="H317" s="9">
        <f>IFERROR(VLOOKUP($A317,ATUAL_LIV_E_DIR!$A:$P,MATCH(APENDICE_BCB!H$3,ATUAL_LIV_E_DIR!$1:$1,0),0),0)</f>
        <v>3157905</v>
      </c>
      <c r="I317" s="9">
        <f>IFERROR(VLOOKUP($A317,ATUAL_LIV_E_DIR!$A:$P,MATCH(APENDICE_BCB!I$3,ATUAL_LIV_E_DIR!$1:$1,0),0),0)</f>
        <v>1389790</v>
      </c>
      <c r="J317" s="9">
        <f>IFERROR(VLOOKUP($A317,ATUAL_LIV_E_DIR!$A:$P,MATCH(APENDICE_BCB!J$3,ATUAL_LIV_E_DIR!$1:$1,0),0),0)</f>
        <v>1768115</v>
      </c>
      <c r="K317" s="9">
        <f>IFERROR(VLOOKUP($A317,ATUAL_LIV_E_DIR!$A:$P,MATCH(APENDICE_BCB!K$3,ATUAL_LIV_E_DIR!$1:$1,0),0),0)</f>
        <v>2123130</v>
      </c>
      <c r="L317" s="9">
        <f>IFERROR(VLOOKUP($A317,ATUAL_LIV_E_DIR!$A:$P,MATCH(APENDICE_BCB!L$3,ATUAL_LIV_E_DIR!$1:$1,0),0),0)</f>
        <v>1391108</v>
      </c>
      <c r="M317" s="9">
        <f>IFERROR(VLOOKUP($A317,ATUAL_LIV_E_DIR!$A:$P,MATCH(APENDICE_BCB!M$3,ATUAL_LIV_E_DIR!$1:$1,0),0),0)</f>
        <v>732022</v>
      </c>
      <c r="O317" s="11">
        <f t="shared" si="57"/>
        <v>0</v>
      </c>
      <c r="P317" s="11">
        <f t="shared" si="58"/>
        <v>5281035</v>
      </c>
      <c r="Q317" s="11">
        <f t="shared" si="59"/>
        <v>0</v>
      </c>
      <c r="R317" s="11">
        <f t="shared" si="60"/>
        <v>2121812</v>
      </c>
      <c r="S317" s="11"/>
      <c r="T317" s="11">
        <f t="shared" si="61"/>
        <v>3159223</v>
      </c>
      <c r="V317" s="7">
        <f t="shared" si="62"/>
        <v>0</v>
      </c>
      <c r="W317">
        <f t="shared" si="63"/>
        <v>0.59822042459480007</v>
      </c>
      <c r="Y317" s="8"/>
      <c r="Z317" s="8">
        <f t="shared" si="64"/>
        <v>1.2826428668417211E-2</v>
      </c>
      <c r="AE317" s="1">
        <f t="shared" si="55"/>
        <v>44866</v>
      </c>
      <c r="AF317" s="11">
        <f t="shared" si="56"/>
        <v>3159223</v>
      </c>
    </row>
    <row r="318" spans="1:32" x14ac:dyDescent="0.25">
      <c r="A318" s="1">
        <v>44896</v>
      </c>
      <c r="B318" s="9">
        <f>IFERROR(VLOOKUP($A318,ANTIGA_LIVRES!$A:$P,MATCH(APENDICE_BCB!B$3,ANTIGA_LIVRES!$1:$1,0),0)/1000,0)</f>
        <v>0</v>
      </c>
      <c r="C318" s="9">
        <f>IFERROR(VLOOKUP($A318,ANTIGA_LIVRES!$A:$P,MATCH(APENDICE_BCB!C$3,ANTIGA_LIVRES!$1:$1,0),0)/1000,0)</f>
        <v>0</v>
      </c>
      <c r="D318" s="9">
        <f>IFERROR(VLOOKUP($A318,ANTIGA_LIVRES!$A:$P,MATCH(APENDICE_BCB!D$3,ANTIGA_LIVRES!$1:$1,0),0)/1000,0)</f>
        <v>0</v>
      </c>
      <c r="E318" s="9">
        <f>IFERROR(VLOOKUP($A318,ANTIGA_DIRECIONADOS!$A:$P,MATCH(APENDICE_BCB!E$3,ANTIGA_DIRECIONADOS!$1:$1,0),0),0)</f>
        <v>0</v>
      </c>
      <c r="F318" s="9">
        <f>IFERROR(VLOOKUP($A318,ANTIGA_DIRECIONADOS!$A:$P,MATCH(APENDICE_BCB!F$3,ANTIGA_DIRECIONADOS!$1:$1,0),0),0)</f>
        <v>0</v>
      </c>
      <c r="G318" s="9">
        <f>IFERROR(VLOOKUP($A318,ANTIGA_DIRECIONADOS!$A:$P,MATCH(APENDICE_BCB!G$3,ANTIGA_DIRECIONADOS!$1:$1,0),0),0)</f>
        <v>0</v>
      </c>
      <c r="H318" s="9">
        <f>IFERROR(VLOOKUP($A318,ATUAL_LIV_E_DIR!$A:$P,MATCH(APENDICE_BCB!H$3,ATUAL_LIV_E_DIR!$1:$1,0),0),0)</f>
        <v>3209793</v>
      </c>
      <c r="I318" s="9">
        <f>IFERROR(VLOOKUP($A318,ATUAL_LIV_E_DIR!$A:$P,MATCH(APENDICE_BCB!I$3,ATUAL_LIV_E_DIR!$1:$1,0),0),0)</f>
        <v>1431505</v>
      </c>
      <c r="J318" s="9">
        <f>IFERROR(VLOOKUP($A318,ATUAL_LIV_E_DIR!$A:$P,MATCH(APENDICE_BCB!J$3,ATUAL_LIV_E_DIR!$1:$1,0),0),0)</f>
        <v>1778288</v>
      </c>
      <c r="K318" s="9">
        <f>IFERROR(VLOOKUP($A318,ATUAL_LIV_E_DIR!$A:$P,MATCH(APENDICE_BCB!K$3,ATUAL_LIV_E_DIR!$1:$1,0),0),0)</f>
        <v>2151455</v>
      </c>
      <c r="L318" s="9">
        <f>IFERROR(VLOOKUP($A318,ATUAL_LIV_E_DIR!$A:$P,MATCH(APENDICE_BCB!L$3,ATUAL_LIV_E_DIR!$1:$1,0),0),0)</f>
        <v>1412693</v>
      </c>
      <c r="M318" s="9">
        <f>IFERROR(VLOOKUP($A318,ATUAL_LIV_E_DIR!$A:$P,MATCH(APENDICE_BCB!M$3,ATUAL_LIV_E_DIR!$1:$1,0),0),0)</f>
        <v>738763</v>
      </c>
      <c r="O318" s="11">
        <f t="shared" si="57"/>
        <v>0</v>
      </c>
      <c r="P318" s="11">
        <f t="shared" si="58"/>
        <v>5361248</v>
      </c>
      <c r="Q318" s="11">
        <f t="shared" si="59"/>
        <v>0</v>
      </c>
      <c r="R318" s="11">
        <f t="shared" si="60"/>
        <v>2170268</v>
      </c>
      <c r="S318" s="11"/>
      <c r="T318" s="11">
        <f t="shared" si="61"/>
        <v>3190981</v>
      </c>
      <c r="V318" s="7">
        <f t="shared" si="62"/>
        <v>0</v>
      </c>
      <c r="W318">
        <f t="shared" si="63"/>
        <v>0.59519369370713682</v>
      </c>
      <c r="Y318" s="8"/>
      <c r="Z318" s="8">
        <f t="shared" si="64"/>
        <v>1.518887869517993E-2</v>
      </c>
      <c r="AE318" s="1">
        <f t="shared" si="55"/>
        <v>44896</v>
      </c>
      <c r="AF318" s="11">
        <f t="shared" si="56"/>
        <v>3190981</v>
      </c>
    </row>
    <row r="319" spans="1:32" x14ac:dyDescent="0.25">
      <c r="A319" s="1">
        <v>44927</v>
      </c>
      <c r="B319" s="9">
        <f>IFERROR(VLOOKUP($A319,ANTIGA_LIVRES!$A:$P,MATCH(APENDICE_BCB!B$3,ANTIGA_LIVRES!$1:$1,0),0)/1000,0)</f>
        <v>0</v>
      </c>
      <c r="C319" s="9">
        <f>IFERROR(VLOOKUP($A319,ANTIGA_LIVRES!$A:$P,MATCH(APENDICE_BCB!C$3,ANTIGA_LIVRES!$1:$1,0),0)/1000,0)</f>
        <v>0</v>
      </c>
      <c r="D319" s="9">
        <f>IFERROR(VLOOKUP($A319,ANTIGA_LIVRES!$A:$P,MATCH(APENDICE_BCB!D$3,ANTIGA_LIVRES!$1:$1,0),0)/1000,0)</f>
        <v>0</v>
      </c>
      <c r="E319" s="9">
        <f>IFERROR(VLOOKUP($A319,ANTIGA_DIRECIONADOS!$A:$P,MATCH(APENDICE_BCB!E$3,ANTIGA_DIRECIONADOS!$1:$1,0),0),0)</f>
        <v>0</v>
      </c>
      <c r="F319" s="9">
        <f>IFERROR(VLOOKUP($A319,ANTIGA_DIRECIONADOS!$A:$P,MATCH(APENDICE_BCB!F$3,ANTIGA_DIRECIONADOS!$1:$1,0),0),0)</f>
        <v>0</v>
      </c>
      <c r="G319" s="9">
        <f>IFERROR(VLOOKUP($A319,ANTIGA_DIRECIONADOS!$A:$P,MATCH(APENDICE_BCB!G$3,ANTIGA_DIRECIONADOS!$1:$1,0),0),0)</f>
        <v>0</v>
      </c>
      <c r="H319" s="9">
        <f>IFERROR(VLOOKUP($A319,ATUAL_LIV_E_DIR!$A:$P,MATCH(APENDICE_BCB!H$3,ATUAL_LIV_E_DIR!$1:$1,0),0),0)</f>
        <v>3206353</v>
      </c>
      <c r="I319" s="9">
        <f>IFERROR(VLOOKUP($A319,ATUAL_LIV_E_DIR!$A:$P,MATCH(APENDICE_BCB!I$3,ATUAL_LIV_E_DIR!$1:$1,0),0),0)</f>
        <v>1407268</v>
      </c>
      <c r="J319" s="9">
        <f>IFERROR(VLOOKUP($A319,ATUAL_LIV_E_DIR!$A:$P,MATCH(APENDICE_BCB!J$3,ATUAL_LIV_E_DIR!$1:$1,0),0),0)</f>
        <v>1799085</v>
      </c>
      <c r="K319" s="9">
        <f>IFERROR(VLOOKUP($A319,ATUAL_LIV_E_DIR!$A:$P,MATCH(APENDICE_BCB!K$3,ATUAL_LIV_E_DIR!$1:$1,0),0),0)</f>
        <v>2163813</v>
      </c>
      <c r="L319" s="9">
        <f>IFERROR(VLOOKUP($A319,ATUAL_LIV_E_DIR!$A:$P,MATCH(APENDICE_BCB!L$3,ATUAL_LIV_E_DIR!$1:$1,0),0),0)</f>
        <v>1427385</v>
      </c>
      <c r="M319" s="9">
        <f>IFERROR(VLOOKUP($A319,ATUAL_LIV_E_DIR!$A:$P,MATCH(APENDICE_BCB!M$3,ATUAL_LIV_E_DIR!$1:$1,0),0),0)</f>
        <v>736428</v>
      </c>
      <c r="O319" s="11">
        <f t="shared" si="57"/>
        <v>0</v>
      </c>
      <c r="P319" s="11">
        <f t="shared" si="58"/>
        <v>5370166</v>
      </c>
      <c r="Q319" s="11">
        <f t="shared" si="59"/>
        <v>0</v>
      </c>
      <c r="R319" s="11">
        <f t="shared" si="60"/>
        <v>2143696</v>
      </c>
      <c r="S319" s="11"/>
      <c r="T319" s="11">
        <f t="shared" si="61"/>
        <v>3226470</v>
      </c>
      <c r="V319" s="7">
        <f t="shared" si="62"/>
        <v>0</v>
      </c>
      <c r="W319">
        <f t="shared" si="63"/>
        <v>0.60081382959111507</v>
      </c>
      <c r="Y319" s="8"/>
      <c r="Z319" s="8">
        <f t="shared" si="64"/>
        <v>1.6634186666983908E-3</v>
      </c>
      <c r="AE319" s="1">
        <f t="shared" si="55"/>
        <v>44927</v>
      </c>
      <c r="AF319" s="11">
        <f t="shared" si="56"/>
        <v>3226470</v>
      </c>
    </row>
    <row r="320" spans="1:32" x14ac:dyDescent="0.25">
      <c r="A320" s="1">
        <v>44958</v>
      </c>
      <c r="B320" s="9">
        <f>IFERROR(VLOOKUP($A320,ANTIGA_LIVRES!$A:$P,MATCH(APENDICE_BCB!B$3,ANTIGA_LIVRES!$1:$1,0),0)/1000,0)</f>
        <v>0</v>
      </c>
      <c r="C320" s="9">
        <f>IFERROR(VLOOKUP($A320,ANTIGA_LIVRES!$A:$P,MATCH(APENDICE_BCB!C$3,ANTIGA_LIVRES!$1:$1,0),0)/1000,0)</f>
        <v>0</v>
      </c>
      <c r="D320" s="9">
        <f>IFERROR(VLOOKUP($A320,ANTIGA_LIVRES!$A:$P,MATCH(APENDICE_BCB!D$3,ANTIGA_LIVRES!$1:$1,0),0)/1000,0)</f>
        <v>0</v>
      </c>
      <c r="E320" s="9">
        <f>IFERROR(VLOOKUP($A320,ANTIGA_DIRECIONADOS!$A:$P,MATCH(APENDICE_BCB!E$3,ANTIGA_DIRECIONADOS!$1:$1,0),0),0)</f>
        <v>0</v>
      </c>
      <c r="F320" s="9">
        <f>IFERROR(VLOOKUP($A320,ANTIGA_DIRECIONADOS!$A:$P,MATCH(APENDICE_BCB!F$3,ANTIGA_DIRECIONADOS!$1:$1,0),0),0)</f>
        <v>0</v>
      </c>
      <c r="G320" s="9">
        <f>IFERROR(VLOOKUP($A320,ANTIGA_DIRECIONADOS!$A:$P,MATCH(APENDICE_BCB!G$3,ANTIGA_DIRECIONADOS!$1:$1,0),0),0)</f>
        <v>0</v>
      </c>
      <c r="H320" s="9">
        <f>IFERROR(VLOOKUP($A320,ATUAL_LIV_E_DIR!$A:$P,MATCH(APENDICE_BCB!H$3,ATUAL_LIV_E_DIR!$1:$1,0),0),0)</f>
        <v>3191404</v>
      </c>
      <c r="I320" s="9">
        <f>IFERROR(VLOOKUP($A320,ATUAL_LIV_E_DIR!$A:$P,MATCH(APENDICE_BCB!I$3,ATUAL_LIV_E_DIR!$1:$1,0),0),0)</f>
        <v>1391211</v>
      </c>
      <c r="J320" s="9">
        <f>IFERROR(VLOOKUP($A320,ATUAL_LIV_E_DIR!$A:$P,MATCH(APENDICE_BCB!J$3,ATUAL_LIV_E_DIR!$1:$1,0),0),0)</f>
        <v>1800193</v>
      </c>
      <c r="K320" s="9">
        <f>IFERROR(VLOOKUP($A320,ATUAL_LIV_E_DIR!$A:$P,MATCH(APENDICE_BCB!K$3,ATUAL_LIV_E_DIR!$1:$1,0),0),0)</f>
        <v>2177870</v>
      </c>
      <c r="L320" s="9">
        <f>IFERROR(VLOOKUP($A320,ATUAL_LIV_E_DIR!$A:$P,MATCH(APENDICE_BCB!L$3,ATUAL_LIV_E_DIR!$1:$1,0),0),0)</f>
        <v>1440494</v>
      </c>
      <c r="M320" s="9">
        <f>IFERROR(VLOOKUP($A320,ATUAL_LIV_E_DIR!$A:$P,MATCH(APENDICE_BCB!M$3,ATUAL_LIV_E_DIR!$1:$1,0),0),0)</f>
        <v>737376</v>
      </c>
      <c r="O320" s="11">
        <f t="shared" si="57"/>
        <v>0</v>
      </c>
      <c r="P320" s="11">
        <f t="shared" si="58"/>
        <v>5369274</v>
      </c>
      <c r="Q320" s="11">
        <f t="shared" si="59"/>
        <v>0</v>
      </c>
      <c r="R320" s="11">
        <f t="shared" si="60"/>
        <v>2128587</v>
      </c>
      <c r="S320" s="11"/>
      <c r="T320" s="11">
        <f t="shared" si="61"/>
        <v>3240687</v>
      </c>
      <c r="V320" s="7">
        <f t="shared" si="62"/>
        <v>0</v>
      </c>
      <c r="W320">
        <f t="shared" si="63"/>
        <v>0.60356148708372859</v>
      </c>
      <c r="Y320" s="8"/>
      <c r="Z320" s="8">
        <f t="shared" si="64"/>
        <v>-1.6610287279761327E-4</v>
      </c>
      <c r="AE320" s="1">
        <f t="shared" si="55"/>
        <v>44958</v>
      </c>
      <c r="AF320" s="11">
        <f t="shared" si="56"/>
        <v>3240687</v>
      </c>
    </row>
    <row r="321" spans="1:32" x14ac:dyDescent="0.25">
      <c r="A321" s="1">
        <v>44986</v>
      </c>
      <c r="B321" s="9">
        <f>IFERROR(VLOOKUP($A321,ANTIGA_LIVRES!$A:$P,MATCH(APENDICE_BCB!B$3,ANTIGA_LIVRES!$1:$1,0),0)/1000,0)</f>
        <v>0</v>
      </c>
      <c r="C321" s="9">
        <f>IFERROR(VLOOKUP($A321,ANTIGA_LIVRES!$A:$P,MATCH(APENDICE_BCB!C$3,ANTIGA_LIVRES!$1:$1,0),0)/1000,0)</f>
        <v>0</v>
      </c>
      <c r="D321" s="9">
        <f>IFERROR(VLOOKUP($A321,ANTIGA_LIVRES!$A:$P,MATCH(APENDICE_BCB!D$3,ANTIGA_LIVRES!$1:$1,0),0)/1000,0)</f>
        <v>0</v>
      </c>
      <c r="E321" s="9">
        <f>IFERROR(VLOOKUP($A321,ANTIGA_DIRECIONADOS!$A:$P,MATCH(APENDICE_BCB!E$3,ANTIGA_DIRECIONADOS!$1:$1,0),0),0)</f>
        <v>0</v>
      </c>
      <c r="F321" s="9">
        <f>IFERROR(VLOOKUP($A321,ANTIGA_DIRECIONADOS!$A:$P,MATCH(APENDICE_BCB!F$3,ANTIGA_DIRECIONADOS!$1:$1,0),0),0)</f>
        <v>0</v>
      </c>
      <c r="G321" s="9">
        <f>IFERROR(VLOOKUP($A321,ANTIGA_DIRECIONADOS!$A:$P,MATCH(APENDICE_BCB!G$3,ANTIGA_DIRECIONADOS!$1:$1,0),0),0)</f>
        <v>0</v>
      </c>
      <c r="H321" s="9">
        <f>IFERROR(VLOOKUP($A321,ATUAL_LIV_E_DIR!$A:$P,MATCH(APENDICE_BCB!H$3,ATUAL_LIV_E_DIR!$1:$1,0),0),0)</f>
        <v>3224670</v>
      </c>
      <c r="I321" s="9">
        <f>IFERROR(VLOOKUP($A321,ATUAL_LIV_E_DIR!$A:$P,MATCH(APENDICE_BCB!I$3,ATUAL_LIV_E_DIR!$1:$1,0),0),0)</f>
        <v>1409577</v>
      </c>
      <c r="J321" s="9">
        <f>IFERROR(VLOOKUP($A321,ATUAL_LIV_E_DIR!$A:$P,MATCH(APENDICE_BCB!J$3,ATUAL_LIV_E_DIR!$1:$1,0),0),0)</f>
        <v>1815093</v>
      </c>
      <c r="K321" s="9">
        <f>IFERROR(VLOOKUP($A321,ATUAL_LIV_E_DIR!$A:$P,MATCH(APENDICE_BCB!K$3,ATUAL_LIV_E_DIR!$1:$1,0),0),0)</f>
        <v>2196130</v>
      </c>
      <c r="L321" s="9">
        <f>IFERROR(VLOOKUP($A321,ATUAL_LIV_E_DIR!$A:$P,MATCH(APENDICE_BCB!L$3,ATUAL_LIV_E_DIR!$1:$1,0),0),0)</f>
        <v>1459309</v>
      </c>
      <c r="M321" s="9">
        <f>IFERROR(VLOOKUP($A321,ATUAL_LIV_E_DIR!$A:$P,MATCH(APENDICE_BCB!M$3,ATUAL_LIV_E_DIR!$1:$1,0),0),0)</f>
        <v>736821</v>
      </c>
      <c r="O321" s="11">
        <f t="shared" si="57"/>
        <v>0</v>
      </c>
      <c r="P321" s="11">
        <f t="shared" si="58"/>
        <v>5420800</v>
      </c>
      <c r="Q321" s="11">
        <f t="shared" si="59"/>
        <v>0</v>
      </c>
      <c r="R321" s="11">
        <f t="shared" si="60"/>
        <v>2146398</v>
      </c>
      <c r="S321" s="11"/>
      <c r="T321" s="11">
        <f t="shared" si="61"/>
        <v>3274402</v>
      </c>
      <c r="V321" s="7">
        <f t="shared" si="62"/>
        <v>0</v>
      </c>
      <c r="W321">
        <f t="shared" si="63"/>
        <v>0.60404405253837068</v>
      </c>
      <c r="Y321" s="8"/>
      <c r="Z321" s="8">
        <f t="shared" si="64"/>
        <v>9.5964556846976912E-3</v>
      </c>
      <c r="AE321" s="1">
        <f t="shared" si="55"/>
        <v>44986</v>
      </c>
      <c r="AF321" s="11">
        <f t="shared" si="56"/>
        <v>3274402</v>
      </c>
    </row>
    <row r="322" spans="1:32" x14ac:dyDescent="0.25">
      <c r="A322" s="1">
        <v>45017</v>
      </c>
      <c r="B322" s="9">
        <f>IFERROR(VLOOKUP($A322,ANTIGA_LIVRES!$A:$P,MATCH(APENDICE_BCB!B$3,ANTIGA_LIVRES!$1:$1,0),0)/1000,0)</f>
        <v>0</v>
      </c>
      <c r="C322" s="9">
        <f>IFERROR(VLOOKUP($A322,ANTIGA_LIVRES!$A:$P,MATCH(APENDICE_BCB!C$3,ANTIGA_LIVRES!$1:$1,0),0)/1000,0)</f>
        <v>0</v>
      </c>
      <c r="D322" s="9">
        <f>IFERROR(VLOOKUP($A322,ANTIGA_LIVRES!$A:$P,MATCH(APENDICE_BCB!D$3,ANTIGA_LIVRES!$1:$1,0),0)/1000,0)</f>
        <v>0</v>
      </c>
      <c r="E322" s="9">
        <f>IFERROR(VLOOKUP($A322,ANTIGA_DIRECIONADOS!$A:$P,MATCH(APENDICE_BCB!E$3,ANTIGA_DIRECIONADOS!$1:$1,0),0),0)</f>
        <v>0</v>
      </c>
      <c r="F322" s="9">
        <f>IFERROR(VLOOKUP($A322,ANTIGA_DIRECIONADOS!$A:$P,MATCH(APENDICE_BCB!F$3,ANTIGA_DIRECIONADOS!$1:$1,0),0),0)</f>
        <v>0</v>
      </c>
      <c r="G322" s="9">
        <f>IFERROR(VLOOKUP($A322,ANTIGA_DIRECIONADOS!$A:$P,MATCH(APENDICE_BCB!G$3,ANTIGA_DIRECIONADOS!$1:$1,0),0),0)</f>
        <v>0</v>
      </c>
      <c r="H322" s="9">
        <f>IFERROR(VLOOKUP($A322,ATUAL_LIV_E_DIR!$A:$P,MATCH(APENDICE_BCB!H$3,ATUAL_LIV_E_DIR!$1:$1,0),0),0)</f>
        <v>3221818</v>
      </c>
      <c r="I322" s="9">
        <f>IFERROR(VLOOKUP($A322,ATUAL_LIV_E_DIR!$A:$P,MATCH(APENDICE_BCB!I$3,ATUAL_LIV_E_DIR!$1:$1,0),0),0)</f>
        <v>1397911</v>
      </c>
      <c r="J322" s="9">
        <f>IFERROR(VLOOKUP($A322,ATUAL_LIV_E_DIR!$A:$P,MATCH(APENDICE_BCB!J$3,ATUAL_LIV_E_DIR!$1:$1,0),0),0)</f>
        <v>1823907</v>
      </c>
      <c r="K322" s="9">
        <f>IFERROR(VLOOKUP($A322,ATUAL_LIV_E_DIR!$A:$P,MATCH(APENDICE_BCB!K$3,ATUAL_LIV_E_DIR!$1:$1,0),0),0)</f>
        <v>2201209</v>
      </c>
      <c r="L322" s="9">
        <f>IFERROR(VLOOKUP($A322,ATUAL_LIV_E_DIR!$A:$P,MATCH(APENDICE_BCB!L$3,ATUAL_LIV_E_DIR!$1:$1,0),0),0)</f>
        <v>1462468</v>
      </c>
      <c r="M322" s="9">
        <f>IFERROR(VLOOKUP($A322,ATUAL_LIV_E_DIR!$A:$P,MATCH(APENDICE_BCB!M$3,ATUAL_LIV_E_DIR!$1:$1,0),0),0)</f>
        <v>738741</v>
      </c>
      <c r="O322" s="11">
        <f t="shared" si="57"/>
        <v>0</v>
      </c>
      <c r="P322" s="11">
        <f t="shared" si="58"/>
        <v>5423027</v>
      </c>
      <c r="Q322" s="11">
        <f t="shared" si="59"/>
        <v>0</v>
      </c>
      <c r="R322" s="11">
        <f t="shared" si="60"/>
        <v>2136652</v>
      </c>
      <c r="S322" s="11"/>
      <c r="T322" s="11">
        <f t="shared" si="61"/>
        <v>3286375</v>
      </c>
      <c r="V322" s="7">
        <f t="shared" si="62"/>
        <v>0</v>
      </c>
      <c r="W322">
        <f t="shared" si="63"/>
        <v>0.60600380562368583</v>
      </c>
      <c r="Y322" s="8"/>
      <c r="Z322" s="8">
        <f t="shared" si="64"/>
        <v>4.1082497048416933E-4</v>
      </c>
      <c r="AE322" s="1">
        <f t="shared" ref="AE322:AE330" si="65">A322</f>
        <v>45017</v>
      </c>
      <c r="AF322" s="11">
        <f t="shared" ref="AF322:AF330" si="66">T322</f>
        <v>3286375</v>
      </c>
    </row>
    <row r="323" spans="1:32" x14ac:dyDescent="0.25">
      <c r="A323" s="1">
        <v>45047</v>
      </c>
      <c r="B323" s="9">
        <f>IFERROR(VLOOKUP($A323,ANTIGA_LIVRES!$A:$P,MATCH(APENDICE_BCB!B$3,ANTIGA_LIVRES!$1:$1,0),0)/1000,0)</f>
        <v>0</v>
      </c>
      <c r="C323" s="9">
        <f>IFERROR(VLOOKUP($A323,ANTIGA_LIVRES!$A:$P,MATCH(APENDICE_BCB!C$3,ANTIGA_LIVRES!$1:$1,0),0)/1000,0)</f>
        <v>0</v>
      </c>
      <c r="D323" s="9">
        <f>IFERROR(VLOOKUP($A323,ANTIGA_LIVRES!$A:$P,MATCH(APENDICE_BCB!D$3,ANTIGA_LIVRES!$1:$1,0),0)/1000,0)</f>
        <v>0</v>
      </c>
      <c r="E323" s="9">
        <f>IFERROR(VLOOKUP($A323,ANTIGA_DIRECIONADOS!$A:$P,MATCH(APENDICE_BCB!E$3,ANTIGA_DIRECIONADOS!$1:$1,0),0),0)</f>
        <v>0</v>
      </c>
      <c r="F323" s="9">
        <f>IFERROR(VLOOKUP($A323,ANTIGA_DIRECIONADOS!$A:$P,MATCH(APENDICE_BCB!F$3,ANTIGA_DIRECIONADOS!$1:$1,0),0),0)</f>
        <v>0</v>
      </c>
      <c r="G323" s="9">
        <f>IFERROR(VLOOKUP($A323,ANTIGA_DIRECIONADOS!$A:$P,MATCH(APENDICE_BCB!G$3,ANTIGA_DIRECIONADOS!$1:$1,0),0),0)</f>
        <v>0</v>
      </c>
      <c r="H323" s="9">
        <f>IFERROR(VLOOKUP($A323,ATUAL_LIV_E_DIR!$A:$P,MATCH(APENDICE_BCB!H$3,ATUAL_LIV_E_DIR!$1:$1,0),0),0)</f>
        <v>3240257</v>
      </c>
      <c r="I323" s="9">
        <f>IFERROR(VLOOKUP($A323,ATUAL_LIV_E_DIR!$A:$P,MATCH(APENDICE_BCB!I$3,ATUAL_LIV_E_DIR!$1:$1,0),0),0)</f>
        <v>1392373</v>
      </c>
      <c r="J323" s="9">
        <f>IFERROR(VLOOKUP($A323,ATUAL_LIV_E_DIR!$A:$P,MATCH(APENDICE_BCB!J$3,ATUAL_LIV_E_DIR!$1:$1,0),0),0)</f>
        <v>1847884</v>
      </c>
      <c r="K323" s="9">
        <f>IFERROR(VLOOKUP($A323,ATUAL_LIV_E_DIR!$A:$P,MATCH(APENDICE_BCB!K$3,ATUAL_LIV_E_DIR!$1:$1,0),0),0)</f>
        <v>2210647</v>
      </c>
      <c r="L323" s="9">
        <f>IFERROR(VLOOKUP($A323,ATUAL_LIV_E_DIR!$A:$P,MATCH(APENDICE_BCB!L$3,ATUAL_LIV_E_DIR!$1:$1,0),0),0)</f>
        <v>1465438</v>
      </c>
      <c r="M323" s="9">
        <f>IFERROR(VLOOKUP($A323,ATUAL_LIV_E_DIR!$A:$P,MATCH(APENDICE_BCB!M$3,ATUAL_LIV_E_DIR!$1:$1,0),0),0)</f>
        <v>745209</v>
      </c>
      <c r="O323" s="11">
        <f t="shared" si="57"/>
        <v>0</v>
      </c>
      <c r="P323" s="11">
        <f t="shared" si="58"/>
        <v>5450904</v>
      </c>
      <c r="Q323" s="11">
        <f t="shared" si="59"/>
        <v>0</v>
      </c>
      <c r="R323" s="11">
        <f t="shared" si="60"/>
        <v>2137582</v>
      </c>
      <c r="S323" s="11"/>
      <c r="T323" s="11">
        <f t="shared" si="61"/>
        <v>3313322</v>
      </c>
      <c r="V323" s="7">
        <f t="shared" si="62"/>
        <v>0</v>
      </c>
      <c r="W323">
        <f t="shared" si="63"/>
        <v>0.60784816610235659</v>
      </c>
      <c r="Y323" s="8"/>
      <c r="Z323" s="8">
        <f t="shared" si="64"/>
        <v>5.1404870379587742E-3</v>
      </c>
      <c r="AE323" s="1">
        <f t="shared" si="65"/>
        <v>45047</v>
      </c>
      <c r="AF323" s="11">
        <f t="shared" si="66"/>
        <v>3313322</v>
      </c>
    </row>
    <row r="324" spans="1:32" x14ac:dyDescent="0.25">
      <c r="A324" s="1">
        <v>45078</v>
      </c>
      <c r="B324" s="9">
        <f>IFERROR(VLOOKUP($A324,ANTIGA_LIVRES!$A:$P,MATCH(APENDICE_BCB!B$3,ANTIGA_LIVRES!$1:$1,0),0)/1000,0)</f>
        <v>0</v>
      </c>
      <c r="C324" s="9">
        <f>IFERROR(VLOOKUP($A324,ANTIGA_LIVRES!$A:$P,MATCH(APENDICE_BCB!C$3,ANTIGA_LIVRES!$1:$1,0),0)/1000,0)</f>
        <v>0</v>
      </c>
      <c r="D324" s="9">
        <f>IFERROR(VLOOKUP($A324,ANTIGA_LIVRES!$A:$P,MATCH(APENDICE_BCB!D$3,ANTIGA_LIVRES!$1:$1,0),0)/1000,0)</f>
        <v>0</v>
      </c>
      <c r="E324" s="9">
        <f>IFERROR(VLOOKUP($A324,ANTIGA_DIRECIONADOS!$A:$P,MATCH(APENDICE_BCB!E$3,ANTIGA_DIRECIONADOS!$1:$1,0),0),0)</f>
        <v>0</v>
      </c>
      <c r="F324" s="9">
        <f>IFERROR(VLOOKUP($A324,ANTIGA_DIRECIONADOS!$A:$P,MATCH(APENDICE_BCB!F$3,ANTIGA_DIRECIONADOS!$1:$1,0),0),0)</f>
        <v>0</v>
      </c>
      <c r="G324" s="9">
        <f>IFERROR(VLOOKUP($A324,ANTIGA_DIRECIONADOS!$A:$P,MATCH(APENDICE_BCB!G$3,ANTIGA_DIRECIONADOS!$1:$1,0),0),0)</f>
        <v>0</v>
      </c>
      <c r="H324" s="9">
        <f>IFERROR(VLOOKUP($A324,ATUAL_LIV_E_DIR!$A:$P,MATCH(APENDICE_BCB!H$3,ATUAL_LIV_E_DIR!$1:$1,0),0),0)</f>
        <v>3252882</v>
      </c>
      <c r="I324" s="9">
        <f>IFERROR(VLOOKUP($A324,ATUAL_LIV_E_DIR!$A:$P,MATCH(APENDICE_BCB!I$3,ATUAL_LIV_E_DIR!$1:$1,0),0),0)</f>
        <v>1415056</v>
      </c>
      <c r="J324" s="9">
        <f>IFERROR(VLOOKUP($A324,ATUAL_LIV_E_DIR!$A:$P,MATCH(APENDICE_BCB!J$3,ATUAL_LIV_E_DIR!$1:$1,0),0),0)</f>
        <v>1837826</v>
      </c>
      <c r="K324" s="9">
        <f>IFERROR(VLOOKUP($A324,ATUAL_LIV_E_DIR!$A:$P,MATCH(APENDICE_BCB!K$3,ATUAL_LIV_E_DIR!$1:$1,0),0),0)</f>
        <v>2223381</v>
      </c>
      <c r="L324" s="9">
        <f>IFERROR(VLOOKUP($A324,ATUAL_LIV_E_DIR!$A:$P,MATCH(APENDICE_BCB!L$3,ATUAL_LIV_E_DIR!$1:$1,0),0),0)</f>
        <v>1477158</v>
      </c>
      <c r="M324" s="9">
        <f>IFERROR(VLOOKUP($A324,ATUAL_LIV_E_DIR!$A:$P,MATCH(APENDICE_BCB!M$3,ATUAL_LIV_E_DIR!$1:$1,0),0),0)</f>
        <v>746224</v>
      </c>
      <c r="O324" s="11">
        <f t="shared" si="57"/>
        <v>0</v>
      </c>
      <c r="P324" s="11">
        <f t="shared" si="58"/>
        <v>5476263</v>
      </c>
      <c r="Q324" s="11">
        <f t="shared" si="59"/>
        <v>0</v>
      </c>
      <c r="R324" s="11">
        <f t="shared" si="60"/>
        <v>2161280</v>
      </c>
      <c r="S324" s="11"/>
      <c r="T324" s="11">
        <f t="shared" si="61"/>
        <v>3314984</v>
      </c>
      <c r="V324" s="7">
        <f t="shared" si="62"/>
        <v>0</v>
      </c>
      <c r="W324">
        <f t="shared" si="63"/>
        <v>0.60533688758191484</v>
      </c>
      <c r="Y324" s="8"/>
      <c r="Z324" s="8">
        <f t="shared" si="64"/>
        <v>4.6522558460027064E-3</v>
      </c>
      <c r="AE324" s="1">
        <f t="shared" si="65"/>
        <v>45078</v>
      </c>
      <c r="AF324" s="11">
        <f t="shared" si="66"/>
        <v>3314984</v>
      </c>
    </row>
    <row r="325" spans="1:32" x14ac:dyDescent="0.25">
      <c r="A325" s="1">
        <v>45108</v>
      </c>
      <c r="B325" s="9">
        <f>IFERROR(VLOOKUP($A325,ANTIGA_LIVRES!$A:$P,MATCH(APENDICE_BCB!B$3,ANTIGA_LIVRES!$1:$1,0),0)/1000,0)</f>
        <v>0</v>
      </c>
      <c r="C325" s="9">
        <f>IFERROR(VLOOKUP($A325,ANTIGA_LIVRES!$A:$P,MATCH(APENDICE_BCB!C$3,ANTIGA_LIVRES!$1:$1,0),0)/1000,0)</f>
        <v>0</v>
      </c>
      <c r="D325" s="9">
        <f>IFERROR(VLOOKUP($A325,ANTIGA_LIVRES!$A:$P,MATCH(APENDICE_BCB!D$3,ANTIGA_LIVRES!$1:$1,0),0)/1000,0)</f>
        <v>0</v>
      </c>
      <c r="E325" s="9">
        <f>IFERROR(VLOOKUP($A325,ANTIGA_DIRECIONADOS!$A:$P,MATCH(APENDICE_BCB!E$3,ANTIGA_DIRECIONADOS!$1:$1,0),0),0)</f>
        <v>0</v>
      </c>
      <c r="F325" s="9">
        <f>IFERROR(VLOOKUP($A325,ANTIGA_DIRECIONADOS!$A:$P,MATCH(APENDICE_BCB!F$3,ANTIGA_DIRECIONADOS!$1:$1,0),0),0)</f>
        <v>0</v>
      </c>
      <c r="G325" s="9">
        <f>IFERROR(VLOOKUP($A325,ANTIGA_DIRECIONADOS!$A:$P,MATCH(APENDICE_BCB!G$3,ANTIGA_DIRECIONADOS!$1:$1,0),0),0)</f>
        <v>0</v>
      </c>
      <c r="H325" s="9">
        <f>IFERROR(VLOOKUP($A325,ATUAL_LIV_E_DIR!$A:$P,MATCH(APENDICE_BCB!H$3,ATUAL_LIV_E_DIR!$1:$1,0),0),0)</f>
        <v>3235994</v>
      </c>
      <c r="I325" s="9">
        <f>IFERROR(VLOOKUP($A325,ATUAL_LIV_E_DIR!$A:$P,MATCH(APENDICE_BCB!I$3,ATUAL_LIV_E_DIR!$1:$1,0),0),0)</f>
        <v>1389576</v>
      </c>
      <c r="J325" s="9">
        <f>IFERROR(VLOOKUP($A325,ATUAL_LIV_E_DIR!$A:$P,MATCH(APENDICE_BCB!J$3,ATUAL_LIV_E_DIR!$1:$1,0),0),0)</f>
        <v>1846418</v>
      </c>
      <c r="K325" s="9">
        <f>IFERROR(VLOOKUP($A325,ATUAL_LIV_E_DIR!$A:$P,MATCH(APENDICE_BCB!K$3,ATUAL_LIV_E_DIR!$1:$1,0),0),0)</f>
        <v>2244558</v>
      </c>
      <c r="L325" s="9">
        <f>IFERROR(VLOOKUP($A325,ATUAL_LIV_E_DIR!$A:$P,MATCH(APENDICE_BCB!L$3,ATUAL_LIV_E_DIR!$1:$1,0),0),0)</f>
        <v>1489858</v>
      </c>
      <c r="M325" s="9">
        <f>IFERROR(VLOOKUP($A325,ATUAL_LIV_E_DIR!$A:$P,MATCH(APENDICE_BCB!M$3,ATUAL_LIV_E_DIR!$1:$1,0),0),0)</f>
        <v>754701</v>
      </c>
      <c r="O325" s="11">
        <f t="shared" ref="O325:O330" si="67">B325+E325</f>
        <v>0</v>
      </c>
      <c r="P325" s="11">
        <f t="shared" ref="P325:P330" si="68">H325+K325</f>
        <v>5480552</v>
      </c>
      <c r="Q325" s="11">
        <f t="shared" ref="Q325:Q327" si="69">C325+G325</f>
        <v>0</v>
      </c>
      <c r="R325" s="11">
        <f t="shared" ref="R325:R327" si="70">I325+M325</f>
        <v>2144277</v>
      </c>
      <c r="S325" s="11"/>
      <c r="T325" s="11">
        <f t="shared" ref="T325:T330" si="71">J325+L325</f>
        <v>3336276</v>
      </c>
      <c r="V325" s="7">
        <f t="shared" ref="V325:V330" si="72">IFERROR(S325/O325,0)</f>
        <v>0</v>
      </c>
      <c r="W325">
        <f t="shared" ref="W325:W330" si="73">IFERROR(T325/P325,0)</f>
        <v>0.60874816989237579</v>
      </c>
      <c r="Y325" s="8"/>
      <c r="Z325" s="8">
        <f t="shared" si="64"/>
        <v>7.8319832338213935E-4</v>
      </c>
      <c r="AE325" s="1">
        <f t="shared" si="65"/>
        <v>45108</v>
      </c>
      <c r="AF325" s="11">
        <f t="shared" si="66"/>
        <v>3336276</v>
      </c>
    </row>
    <row r="326" spans="1:32" x14ac:dyDescent="0.25">
      <c r="A326" s="1">
        <v>45139</v>
      </c>
      <c r="B326" s="9">
        <f>IFERROR(VLOOKUP($A326,ANTIGA_LIVRES!$A:$P,MATCH(APENDICE_BCB!B$3,ANTIGA_LIVRES!$1:$1,0),0)/1000,0)</f>
        <v>0</v>
      </c>
      <c r="C326" s="9">
        <f>IFERROR(VLOOKUP($A326,ANTIGA_LIVRES!$A:$P,MATCH(APENDICE_BCB!C$3,ANTIGA_LIVRES!$1:$1,0),0)/1000,0)</f>
        <v>0</v>
      </c>
      <c r="D326" s="9">
        <f>IFERROR(VLOOKUP($A326,ANTIGA_LIVRES!$A:$P,MATCH(APENDICE_BCB!D$3,ANTIGA_LIVRES!$1:$1,0),0)/1000,0)</f>
        <v>0</v>
      </c>
      <c r="E326" s="9">
        <f>IFERROR(VLOOKUP($A326,ANTIGA_DIRECIONADOS!$A:$P,MATCH(APENDICE_BCB!E$3,ANTIGA_DIRECIONADOS!$1:$1,0),0),0)</f>
        <v>0</v>
      </c>
      <c r="F326" s="9">
        <f>IFERROR(VLOOKUP($A326,ANTIGA_DIRECIONADOS!$A:$P,MATCH(APENDICE_BCB!F$3,ANTIGA_DIRECIONADOS!$1:$1,0),0),0)</f>
        <v>0</v>
      </c>
      <c r="G326" s="9">
        <f>IFERROR(VLOOKUP($A326,ANTIGA_DIRECIONADOS!$A:$P,MATCH(APENDICE_BCB!G$3,ANTIGA_DIRECIONADOS!$1:$1,0),0),0)</f>
        <v>0</v>
      </c>
      <c r="H326" s="9">
        <f>IFERROR(VLOOKUP($A326,ATUAL_LIV_E_DIR!$A:$P,MATCH(APENDICE_BCB!H$3,ATUAL_LIV_E_DIR!$1:$1,0),0),0)</f>
        <v>3257473</v>
      </c>
      <c r="I326" s="9">
        <f>IFERROR(VLOOKUP($A326,ATUAL_LIV_E_DIR!$A:$P,MATCH(APENDICE_BCB!I$3,ATUAL_LIV_E_DIR!$1:$1,0),0),0)</f>
        <v>1388916</v>
      </c>
      <c r="J326" s="9">
        <f>IFERROR(VLOOKUP($A326,ATUAL_LIV_E_DIR!$A:$P,MATCH(APENDICE_BCB!J$3,ATUAL_LIV_E_DIR!$1:$1,0),0),0)</f>
        <v>1868557</v>
      </c>
      <c r="K326" s="9">
        <f>IFERROR(VLOOKUP($A326,ATUAL_LIV_E_DIR!$A:$P,MATCH(APENDICE_BCB!K$3,ATUAL_LIV_E_DIR!$1:$1,0),0),0)</f>
        <v>2296429</v>
      </c>
      <c r="L326" s="9">
        <f>IFERROR(VLOOKUP($A326,ATUAL_LIV_E_DIR!$A:$P,MATCH(APENDICE_BCB!L$3,ATUAL_LIV_E_DIR!$1:$1,0),0),0)</f>
        <v>1523048</v>
      </c>
      <c r="M326" s="9">
        <f>IFERROR(VLOOKUP($A326,ATUAL_LIV_E_DIR!$A:$P,MATCH(APENDICE_BCB!M$3,ATUAL_LIV_E_DIR!$1:$1,0),0),0)</f>
        <v>773381</v>
      </c>
      <c r="O326" s="11">
        <f t="shared" si="67"/>
        <v>0</v>
      </c>
      <c r="P326" s="11">
        <f t="shared" si="68"/>
        <v>5553902</v>
      </c>
      <c r="Q326" s="11">
        <f t="shared" si="69"/>
        <v>0</v>
      </c>
      <c r="R326" s="11">
        <f t="shared" si="70"/>
        <v>2162297</v>
      </c>
      <c r="S326" s="11"/>
      <c r="T326" s="11">
        <f t="shared" si="71"/>
        <v>3391605</v>
      </c>
      <c r="V326" s="7">
        <f t="shared" si="72"/>
        <v>0</v>
      </c>
      <c r="W326">
        <f t="shared" si="73"/>
        <v>0.61067066001524695</v>
      </c>
      <c r="Y326" s="8"/>
      <c r="Z326" s="8">
        <f t="shared" ref="Z326:Z330" si="74">IFERROR(P326/P325-1,0)</f>
        <v>1.3383688358398871E-2</v>
      </c>
      <c r="AE326" s="1">
        <f t="shared" si="65"/>
        <v>45139</v>
      </c>
      <c r="AF326" s="11">
        <f t="shared" si="66"/>
        <v>3391605</v>
      </c>
    </row>
    <row r="327" spans="1:32" x14ac:dyDescent="0.25">
      <c r="A327" s="1">
        <v>45170</v>
      </c>
      <c r="B327" s="9">
        <f>IFERROR(VLOOKUP($A327,ANTIGA_LIVRES!$A:$P,MATCH(APENDICE_BCB!B$3,ANTIGA_LIVRES!$1:$1,0),0)/1000,0)</f>
        <v>0</v>
      </c>
      <c r="C327" s="9">
        <f>IFERROR(VLOOKUP($A327,ANTIGA_LIVRES!$A:$P,MATCH(APENDICE_BCB!C$3,ANTIGA_LIVRES!$1:$1,0),0)/1000,0)</f>
        <v>0</v>
      </c>
      <c r="D327" s="9">
        <f>IFERROR(VLOOKUP($A327,ANTIGA_LIVRES!$A:$P,MATCH(APENDICE_BCB!D$3,ANTIGA_LIVRES!$1:$1,0),0)/1000,0)</f>
        <v>0</v>
      </c>
      <c r="E327" s="9">
        <f>IFERROR(VLOOKUP($A327,ANTIGA_DIRECIONADOS!$A:$P,MATCH(APENDICE_BCB!E$3,ANTIGA_DIRECIONADOS!$1:$1,0),0),0)</f>
        <v>0</v>
      </c>
      <c r="F327" s="9">
        <f>IFERROR(VLOOKUP($A327,ANTIGA_DIRECIONADOS!$A:$P,MATCH(APENDICE_BCB!F$3,ANTIGA_DIRECIONADOS!$1:$1,0),0),0)</f>
        <v>0</v>
      </c>
      <c r="G327" s="9">
        <f>IFERROR(VLOOKUP($A327,ANTIGA_DIRECIONADOS!$A:$P,MATCH(APENDICE_BCB!G$3,ANTIGA_DIRECIONADOS!$1:$1,0),0),0)</f>
        <v>0</v>
      </c>
      <c r="H327" s="9">
        <f>IFERROR(VLOOKUP($A327,ATUAL_LIV_E_DIR!$A:$P,MATCH(APENDICE_BCB!H$3,ATUAL_LIV_E_DIR!$1:$1,0),0),0)</f>
        <v>3288068</v>
      </c>
      <c r="I327" s="9">
        <f>IFERROR(VLOOKUP($A327,ATUAL_LIV_E_DIR!$A:$P,MATCH(APENDICE_BCB!I$3,ATUAL_LIV_E_DIR!$1:$1,0),0),0)</f>
        <v>1417516</v>
      </c>
      <c r="J327" s="9">
        <f>IFERROR(VLOOKUP($A327,ATUAL_LIV_E_DIR!$A:$P,MATCH(APENDICE_BCB!J$3,ATUAL_LIV_E_DIR!$1:$1,0),0),0)</f>
        <v>1870552</v>
      </c>
      <c r="K327" s="9">
        <f>IFERROR(VLOOKUP($A327,ATUAL_LIV_E_DIR!$A:$P,MATCH(APENDICE_BCB!K$3,ATUAL_LIV_E_DIR!$1:$1,0),0),0)</f>
        <v>2326600</v>
      </c>
      <c r="L327" s="9">
        <f>IFERROR(VLOOKUP($A327,ATUAL_LIV_E_DIR!$A:$P,MATCH(APENDICE_BCB!L$3,ATUAL_LIV_E_DIR!$1:$1,0),0),0)</f>
        <v>1545390</v>
      </c>
      <c r="M327" s="9">
        <f>IFERROR(VLOOKUP($A327,ATUAL_LIV_E_DIR!$A:$P,MATCH(APENDICE_BCB!M$3,ATUAL_LIV_E_DIR!$1:$1,0),0),0)</f>
        <v>781210</v>
      </c>
      <c r="O327" s="11">
        <f t="shared" si="67"/>
        <v>0</v>
      </c>
      <c r="P327" s="11">
        <f t="shared" si="68"/>
        <v>5614668</v>
      </c>
      <c r="Q327" s="11">
        <f t="shared" si="69"/>
        <v>0</v>
      </c>
      <c r="R327" s="11">
        <f t="shared" si="70"/>
        <v>2198726</v>
      </c>
      <c r="S327" s="11"/>
      <c r="T327" s="11">
        <f t="shared" si="71"/>
        <v>3415942</v>
      </c>
      <c r="V327" s="7">
        <f t="shared" si="72"/>
        <v>0</v>
      </c>
      <c r="W327">
        <f t="shared" si="73"/>
        <v>0.60839607969696519</v>
      </c>
      <c r="Y327" s="8"/>
      <c r="Z327" s="8">
        <f t="shared" si="74"/>
        <v>1.0941136519873718E-2</v>
      </c>
      <c r="AE327" s="1">
        <f t="shared" si="65"/>
        <v>45170</v>
      </c>
      <c r="AF327" s="11">
        <f t="shared" si="66"/>
        <v>3415942</v>
      </c>
    </row>
    <row r="328" spans="1:32" x14ac:dyDescent="0.25">
      <c r="A328" s="1">
        <v>45200</v>
      </c>
      <c r="B328" s="9">
        <f>IFERROR(VLOOKUP($A328,ANTIGA_LIVRES!$A:$P,MATCH(APENDICE_BCB!B$3,ANTIGA_LIVRES!$1:$1,0),0)/1000,0)</f>
        <v>0</v>
      </c>
      <c r="C328" s="9">
        <f>IFERROR(VLOOKUP($A328,ANTIGA_LIVRES!$A:$P,MATCH(APENDICE_BCB!C$3,ANTIGA_LIVRES!$1:$1,0),0)/1000,0)</f>
        <v>0</v>
      </c>
      <c r="D328" s="9">
        <f>IFERROR(VLOOKUP($A328,ANTIGA_LIVRES!$A:$P,MATCH(APENDICE_BCB!D$3,ANTIGA_LIVRES!$1:$1,0),0)/1000,0)</f>
        <v>0</v>
      </c>
      <c r="E328" s="9">
        <f>IFERROR(VLOOKUP($A328,ANTIGA_DIRECIONADOS!$A:$P,MATCH(APENDICE_BCB!E$3,ANTIGA_DIRECIONADOS!$1:$1,0),0),0)</f>
        <v>0</v>
      </c>
      <c r="F328" s="9">
        <f>IFERROR(VLOOKUP($A328,ANTIGA_DIRECIONADOS!$A:$P,MATCH(APENDICE_BCB!F$3,ANTIGA_DIRECIONADOS!$1:$1,0),0),0)</f>
        <v>0</v>
      </c>
      <c r="G328" s="9">
        <f>IFERROR(VLOOKUP($A328,ANTIGA_DIRECIONADOS!$A:$P,MATCH(APENDICE_BCB!G$3,ANTIGA_DIRECIONADOS!$1:$1,0),0),0)</f>
        <v>0</v>
      </c>
      <c r="H328" s="9">
        <f>IFERROR(VLOOKUP($A328,ATUAL_LIV_E_DIR!$A:$P,MATCH(APENDICE_BCB!H$3,ATUAL_LIV_E_DIR!$1:$1,0),0),0)</f>
        <v>3281592</v>
      </c>
      <c r="I328" s="9">
        <f>IFERROR(VLOOKUP($A328,ATUAL_LIV_E_DIR!$A:$P,MATCH(APENDICE_BCB!I$3,ATUAL_LIV_E_DIR!$1:$1,0),0),0)</f>
        <v>1394223</v>
      </c>
      <c r="J328" s="9">
        <f>IFERROR(VLOOKUP($A328,ATUAL_LIV_E_DIR!$A:$P,MATCH(APENDICE_BCB!J$3,ATUAL_LIV_E_DIR!$1:$1,0),0),0)</f>
        <v>1887368</v>
      </c>
      <c r="K328" s="9">
        <f>IFERROR(VLOOKUP($A328,ATUAL_LIV_E_DIR!$A:$P,MATCH(APENDICE_BCB!K$3,ATUAL_LIV_E_DIR!$1:$1,0),0),0)</f>
        <v>2355389</v>
      </c>
      <c r="L328" s="9">
        <f>IFERROR(VLOOKUP($A328,ATUAL_LIV_E_DIR!$A:$P,MATCH(APENDICE_BCB!L$3,ATUAL_LIV_E_DIR!$1:$1,0),0),0)</f>
        <v>1562294</v>
      </c>
      <c r="M328" s="9">
        <f>IFERROR(VLOOKUP($A328,ATUAL_LIV_E_DIR!$A:$P,MATCH(APENDICE_BCB!M$3,ATUAL_LIV_E_DIR!$1:$1,0),0),0)</f>
        <v>793094</v>
      </c>
      <c r="O328" s="11">
        <f t="shared" si="67"/>
        <v>0</v>
      </c>
      <c r="P328" s="11">
        <f t="shared" si="68"/>
        <v>5636981</v>
      </c>
      <c r="Q328" s="11">
        <f t="shared" ref="Q328:Q330" si="75">C328+G328</f>
        <v>0</v>
      </c>
      <c r="R328" s="11">
        <f t="shared" ref="R328:R330" si="76">I328+M328</f>
        <v>2187317</v>
      </c>
      <c r="S328" s="11"/>
      <c r="T328" s="11">
        <f t="shared" si="71"/>
        <v>3449662</v>
      </c>
      <c r="V328" s="7">
        <f t="shared" si="72"/>
        <v>0</v>
      </c>
      <c r="W328">
        <f t="shared" si="73"/>
        <v>0.61196977602017821</v>
      </c>
      <c r="Y328" s="8"/>
      <c r="Z328" s="8">
        <f t="shared" si="74"/>
        <v>3.9740550999631807E-3</v>
      </c>
      <c r="AE328" s="1">
        <f t="shared" si="65"/>
        <v>45200</v>
      </c>
      <c r="AF328" s="11">
        <f t="shared" si="66"/>
        <v>3449662</v>
      </c>
    </row>
    <row r="329" spans="1:32" x14ac:dyDescent="0.25">
      <c r="A329" s="1">
        <v>45231</v>
      </c>
      <c r="B329" s="9">
        <f>IFERROR(VLOOKUP($A329,ANTIGA_LIVRES!$A:$P,MATCH(APENDICE_BCB!B$3,ANTIGA_LIVRES!$1:$1,0),0)/1000,0)</f>
        <v>0</v>
      </c>
      <c r="C329" s="9">
        <f>IFERROR(VLOOKUP($A329,ANTIGA_LIVRES!$A:$P,MATCH(APENDICE_BCB!C$3,ANTIGA_LIVRES!$1:$1,0),0)/1000,0)</f>
        <v>0</v>
      </c>
      <c r="D329" s="9">
        <f>IFERROR(VLOOKUP($A329,ANTIGA_LIVRES!$A:$P,MATCH(APENDICE_BCB!D$3,ANTIGA_LIVRES!$1:$1,0),0)/1000,0)</f>
        <v>0</v>
      </c>
      <c r="E329" s="9">
        <f>IFERROR(VLOOKUP($A329,ANTIGA_DIRECIONADOS!$A:$P,MATCH(APENDICE_BCB!E$3,ANTIGA_DIRECIONADOS!$1:$1,0),0),0)</f>
        <v>0</v>
      </c>
      <c r="F329" s="9">
        <f>IFERROR(VLOOKUP($A329,ANTIGA_DIRECIONADOS!$A:$P,MATCH(APENDICE_BCB!F$3,ANTIGA_DIRECIONADOS!$1:$1,0),0),0)</f>
        <v>0</v>
      </c>
      <c r="G329" s="9">
        <f>IFERROR(VLOOKUP($A329,ANTIGA_DIRECIONADOS!$A:$P,MATCH(APENDICE_BCB!G$3,ANTIGA_DIRECIONADOS!$1:$1,0),0),0)</f>
        <v>0</v>
      </c>
      <c r="H329" s="9">
        <f>IFERROR(VLOOKUP($A329,ATUAL_LIV_E_DIR!$A:$P,MATCH(APENDICE_BCB!H$3,ATUAL_LIV_E_DIR!$1:$1,0),0),0)</f>
        <v>3316436</v>
      </c>
      <c r="I329" s="9">
        <f>IFERROR(VLOOKUP($A329,ATUAL_LIV_E_DIR!$A:$P,MATCH(APENDICE_BCB!I$3,ATUAL_LIV_E_DIR!$1:$1,0),0),0)</f>
        <v>1404743</v>
      </c>
      <c r="J329" s="9">
        <f>IFERROR(VLOOKUP($A329,ATUAL_LIV_E_DIR!$A:$P,MATCH(APENDICE_BCB!J$3,ATUAL_LIV_E_DIR!$1:$1,0),0),0)</f>
        <v>1911694</v>
      </c>
      <c r="K329" s="9">
        <f>IFERROR(VLOOKUP($A329,ATUAL_LIV_E_DIR!$A:$P,MATCH(APENDICE_BCB!K$3,ATUAL_LIV_E_DIR!$1:$1,0),0),0)</f>
        <v>2384122</v>
      </c>
      <c r="L329" s="9">
        <f>IFERROR(VLOOKUP($A329,ATUAL_LIV_E_DIR!$A:$P,MATCH(APENDICE_BCB!L$3,ATUAL_LIV_E_DIR!$1:$1,0),0),0)</f>
        <v>1578781</v>
      </c>
      <c r="M329" s="9">
        <f>IFERROR(VLOOKUP($A329,ATUAL_LIV_E_DIR!$A:$P,MATCH(APENDICE_BCB!M$3,ATUAL_LIV_E_DIR!$1:$1,0),0),0)</f>
        <v>805341</v>
      </c>
      <c r="O329" s="11">
        <f t="shared" si="67"/>
        <v>0</v>
      </c>
      <c r="P329" s="11">
        <f t="shared" si="68"/>
        <v>5700558</v>
      </c>
      <c r="Q329" s="11">
        <f t="shared" si="75"/>
        <v>0</v>
      </c>
      <c r="R329" s="11">
        <f t="shared" si="76"/>
        <v>2210084</v>
      </c>
      <c r="S329" s="11"/>
      <c r="T329" s="11">
        <f t="shared" si="71"/>
        <v>3490475</v>
      </c>
      <c r="V329" s="7">
        <f t="shared" si="72"/>
        <v>0</v>
      </c>
      <c r="W329">
        <f t="shared" si="73"/>
        <v>0.61230409373959527</v>
      </c>
      <c r="Y329" s="8"/>
      <c r="Z329" s="8">
        <f t="shared" si="74"/>
        <v>1.1278554956988485E-2</v>
      </c>
      <c r="AE329" s="1">
        <f t="shared" si="65"/>
        <v>45231</v>
      </c>
      <c r="AF329" s="11">
        <f t="shared" si="66"/>
        <v>3490475</v>
      </c>
    </row>
    <row r="330" spans="1:32" x14ac:dyDescent="0.25">
      <c r="A330" s="1">
        <v>45261</v>
      </c>
      <c r="B330" s="9">
        <f>IFERROR(VLOOKUP($A330,ANTIGA_LIVRES!$A:$P,MATCH(APENDICE_BCB!B$3,ANTIGA_LIVRES!$1:$1,0),0)/1000,0)</f>
        <v>0</v>
      </c>
      <c r="C330" s="9">
        <f>IFERROR(VLOOKUP($A330,ANTIGA_LIVRES!$A:$P,MATCH(APENDICE_BCB!C$3,ANTIGA_LIVRES!$1:$1,0),0)/1000,0)</f>
        <v>0</v>
      </c>
      <c r="D330" s="9">
        <f>IFERROR(VLOOKUP($A330,ANTIGA_LIVRES!$A:$P,MATCH(APENDICE_BCB!D$3,ANTIGA_LIVRES!$1:$1,0),0)/1000,0)</f>
        <v>0</v>
      </c>
      <c r="E330" s="9">
        <f>IFERROR(VLOOKUP($A330,ANTIGA_DIRECIONADOS!$A:$P,MATCH(APENDICE_BCB!E$3,ANTIGA_DIRECIONADOS!$1:$1,0),0),0)</f>
        <v>0</v>
      </c>
      <c r="F330" s="9">
        <f>IFERROR(VLOOKUP($A330,ANTIGA_DIRECIONADOS!$A:$P,MATCH(APENDICE_BCB!F$3,ANTIGA_DIRECIONADOS!$1:$1,0),0),0)</f>
        <v>0</v>
      </c>
      <c r="G330" s="9">
        <f>IFERROR(VLOOKUP($A330,ANTIGA_DIRECIONADOS!$A:$P,MATCH(APENDICE_BCB!G$3,ANTIGA_DIRECIONADOS!$1:$1,0),0),0)</f>
        <v>0</v>
      </c>
      <c r="H330" s="9">
        <f>IFERROR(VLOOKUP($A330,ATUAL_LIV_E_DIR!$A:$P,MATCH(APENDICE_BCB!H$3,ATUAL_LIV_E_DIR!$1:$1,0),0),0)</f>
        <v>3376646</v>
      </c>
      <c r="I330" s="9">
        <f>IFERROR(VLOOKUP($A330,ATUAL_LIV_E_DIR!$A:$P,MATCH(APENDICE_BCB!I$3,ATUAL_LIV_E_DIR!$1:$1,0),0),0)</f>
        <v>1458439</v>
      </c>
      <c r="J330" s="9">
        <f>IFERROR(VLOOKUP($A330,ATUAL_LIV_E_DIR!$A:$P,MATCH(APENDICE_BCB!J$3,ATUAL_LIV_E_DIR!$1:$1,0),0),0)</f>
        <v>1918207</v>
      </c>
      <c r="K330" s="9">
        <f>IFERROR(VLOOKUP($A330,ATUAL_LIV_E_DIR!$A:$P,MATCH(APENDICE_BCB!K$3,ATUAL_LIV_E_DIR!$1:$1,0),0),0)</f>
        <v>2405859</v>
      </c>
      <c r="L330" s="9">
        <f>IFERROR(VLOOKUP($A330,ATUAL_LIV_E_DIR!$A:$P,MATCH(APENDICE_BCB!L$3,ATUAL_LIV_E_DIR!$1:$1,0),0),0)</f>
        <v>1596390</v>
      </c>
      <c r="M330" s="9">
        <f>IFERROR(VLOOKUP($A330,ATUAL_LIV_E_DIR!$A:$P,MATCH(APENDICE_BCB!M$3,ATUAL_LIV_E_DIR!$1:$1,0),0),0)</f>
        <v>809469</v>
      </c>
      <c r="O330" s="11">
        <f t="shared" si="67"/>
        <v>0</v>
      </c>
      <c r="P330" s="11">
        <f t="shared" si="68"/>
        <v>5782505</v>
      </c>
      <c r="Q330" s="11">
        <f t="shared" si="75"/>
        <v>0</v>
      </c>
      <c r="R330" s="11">
        <f t="shared" si="76"/>
        <v>2267908</v>
      </c>
      <c r="S330" s="11"/>
      <c r="T330" s="11">
        <f t="shared" si="71"/>
        <v>3514597</v>
      </c>
      <c r="V330" s="7">
        <f t="shared" si="72"/>
        <v>0</v>
      </c>
      <c r="W330">
        <f t="shared" si="73"/>
        <v>0.6077983503689145</v>
      </c>
      <c r="Y330" s="8"/>
      <c r="Z330" s="8">
        <f t="shared" si="74"/>
        <v>1.4375259404430185E-2</v>
      </c>
      <c r="AE330" s="1">
        <f t="shared" si="65"/>
        <v>45261</v>
      </c>
      <c r="AF330" s="11">
        <f t="shared" si="66"/>
        <v>3514597</v>
      </c>
    </row>
    <row r="331" spans="1:32" x14ac:dyDescent="0.25">
      <c r="E331" s="9"/>
    </row>
  </sheetData>
  <mergeCells count="2">
    <mergeCell ref="B1:G1"/>
    <mergeCell ref="H1:M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80411-9995-46B6-8510-4863F0938162}">
  <sheetPr codeName="Planilha9"/>
  <dimension ref="A1:B25"/>
  <sheetViews>
    <sheetView workbookViewId="0">
      <selection activeCell="C37" sqref="C37"/>
    </sheetView>
  </sheetViews>
  <sheetFormatPr defaultRowHeight="15" x14ac:dyDescent="0.25"/>
  <cols>
    <col min="2" max="2" width="9.5703125" bestFit="1" customWidth="1"/>
  </cols>
  <sheetData>
    <row r="1" spans="1:2" x14ac:dyDescent="0.25">
      <c r="A1" t="s">
        <v>68</v>
      </c>
      <c r="B1" t="s">
        <v>69</v>
      </c>
    </row>
    <row r="2" spans="1:2" x14ac:dyDescent="0.25">
      <c r="A2" s="16">
        <v>2000</v>
      </c>
      <c r="B2" s="18">
        <v>112.55311158250655</v>
      </c>
    </row>
    <row r="3" spans="1:2" x14ac:dyDescent="0.25">
      <c r="A3" s="16">
        <v>2001</v>
      </c>
      <c r="B3" s="18">
        <v>127.66372525094241</v>
      </c>
    </row>
    <row r="4" spans="1:2" x14ac:dyDescent="0.25">
      <c r="A4" s="16">
        <v>2002</v>
      </c>
      <c r="B4" s="18">
        <v>141.3049737768672</v>
      </c>
    </row>
    <row r="5" spans="1:2" x14ac:dyDescent="0.25">
      <c r="A5" s="16">
        <v>2003</v>
      </c>
      <c r="B5" s="18">
        <v>167.28557002438845</v>
      </c>
    </row>
    <row r="6" spans="1:2" x14ac:dyDescent="0.25">
      <c r="A6" s="16">
        <v>2004</v>
      </c>
      <c r="B6" s="18">
        <v>204.24167365105498</v>
      </c>
    </row>
    <row r="7" spans="1:2" x14ac:dyDescent="0.25">
      <c r="A7" s="16">
        <v>2005</v>
      </c>
      <c r="B7" s="18">
        <v>261.10843824378793</v>
      </c>
    </row>
    <row r="8" spans="1:2" x14ac:dyDescent="0.25">
      <c r="A8" s="16">
        <v>2006</v>
      </c>
      <c r="B8" s="18">
        <v>320.85028697979936</v>
      </c>
    </row>
    <row r="9" spans="1:2" x14ac:dyDescent="0.25">
      <c r="A9" s="16">
        <v>2007</v>
      </c>
      <c r="B9" s="18">
        <v>431.86500000000001</v>
      </c>
    </row>
    <row r="10" spans="1:2" x14ac:dyDescent="0.25">
      <c r="A10" s="16">
        <v>2008</v>
      </c>
      <c r="B10" s="18">
        <v>534.21199999999999</v>
      </c>
    </row>
    <row r="11" spans="1:2" x14ac:dyDescent="0.25">
      <c r="A11" s="16">
        <v>2009</v>
      </c>
      <c r="B11" s="18">
        <v>626.55499999999995</v>
      </c>
    </row>
    <row r="12" spans="1:2" x14ac:dyDescent="0.25">
      <c r="A12" s="16">
        <v>2010</v>
      </c>
      <c r="B12" s="18">
        <v>775.79700000000003</v>
      </c>
    </row>
    <row r="13" spans="1:2" x14ac:dyDescent="0.25">
      <c r="A13" s="16">
        <v>2011</v>
      </c>
      <c r="B13" s="18">
        <v>921.59799999999996</v>
      </c>
    </row>
    <row r="14" spans="1:2" x14ac:dyDescent="0.25">
      <c r="A14" s="16">
        <v>2012</v>
      </c>
      <c r="B14" s="18">
        <v>1076.471</v>
      </c>
    </row>
    <row r="15" spans="1:2" x14ac:dyDescent="0.25">
      <c r="A15" s="16">
        <v>2013</v>
      </c>
      <c r="B15" s="18">
        <v>1249.3710000000001</v>
      </c>
    </row>
    <row r="16" spans="1:2" x14ac:dyDescent="0.25">
      <c r="A16" s="16">
        <v>2014</v>
      </c>
      <c r="B16" s="18">
        <v>1416.0650000000001</v>
      </c>
    </row>
    <row r="17" spans="1:2" x14ac:dyDescent="0.25">
      <c r="A17" s="16">
        <v>2015</v>
      </c>
      <c r="B17" s="18">
        <v>1518.663</v>
      </c>
    </row>
    <row r="18" spans="1:2" x14ac:dyDescent="0.25">
      <c r="A18" s="16">
        <v>2016</v>
      </c>
      <c r="B18" s="18">
        <v>1569.163</v>
      </c>
    </row>
    <row r="19" spans="1:2" x14ac:dyDescent="0.25">
      <c r="A19" s="16">
        <v>2017</v>
      </c>
      <c r="B19" s="18">
        <v>1660.162</v>
      </c>
    </row>
    <row r="20" spans="1:2" x14ac:dyDescent="0.25">
      <c r="A20" s="16">
        <v>2018</v>
      </c>
      <c r="B20" s="18">
        <v>1803.027</v>
      </c>
    </row>
    <row r="21" spans="1:2" x14ac:dyDescent="0.25">
      <c r="A21" s="16">
        <v>2019</v>
      </c>
      <c r="B21" s="18">
        <v>2017.046</v>
      </c>
    </row>
    <row r="22" spans="1:2" x14ac:dyDescent="0.25">
      <c r="A22" s="16">
        <v>2020</v>
      </c>
      <c r="B22" s="18">
        <v>2241.085</v>
      </c>
    </row>
    <row r="23" spans="1:2" x14ac:dyDescent="0.25">
      <c r="A23" s="16">
        <v>2021</v>
      </c>
      <c r="B23" s="18">
        <v>2710.828</v>
      </c>
    </row>
    <row r="24" spans="1:2" x14ac:dyDescent="0.25">
      <c r="A24" s="16">
        <v>2022</v>
      </c>
      <c r="B24" s="18">
        <v>3190.9810000000002</v>
      </c>
    </row>
    <row r="25" spans="1:2" x14ac:dyDescent="0.25">
      <c r="A25" s="16">
        <v>2023</v>
      </c>
      <c r="B25" s="18">
        <v>3514.5970000000002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CEB7-621C-4C33-A422-F827C65F8982}">
  <sheetPr codeName="Planilha8"/>
  <dimension ref="A1:H284"/>
  <sheetViews>
    <sheetView topLeftCell="A4" workbookViewId="0">
      <selection activeCell="Q27" sqref="Q27"/>
    </sheetView>
  </sheetViews>
  <sheetFormatPr defaultRowHeight="15" x14ac:dyDescent="0.25"/>
  <cols>
    <col min="1" max="1" width="10.7109375" style="17" bestFit="1" customWidth="1"/>
    <col min="5" max="8" width="9.140625" customWidth="1"/>
  </cols>
  <sheetData>
    <row r="1" spans="1:8" x14ac:dyDescent="0.25">
      <c r="B1" t="s">
        <v>65</v>
      </c>
      <c r="C1" t="s">
        <v>64</v>
      </c>
      <c r="D1" t="s">
        <v>66</v>
      </c>
      <c r="F1" t="s">
        <v>65</v>
      </c>
      <c r="G1" t="s">
        <v>64</v>
      </c>
      <c r="H1" t="s">
        <v>66</v>
      </c>
    </row>
    <row r="2" spans="1:8" x14ac:dyDescent="0.25">
      <c r="A2" s="17">
        <v>36678</v>
      </c>
      <c r="B2">
        <v>91528.937999999995</v>
      </c>
      <c r="D2">
        <v>104623.98997106194</v>
      </c>
      <c r="F2">
        <f t="shared" ref="F2:F20" si="0">LN(B2)</f>
        <v>11.424410463558317</v>
      </c>
      <c r="H2">
        <f t="shared" ref="H2:H20" si="1">LN(D2)</f>
        <v>11.558128153944098</v>
      </c>
    </row>
    <row r="3" spans="1:8" x14ac:dyDescent="0.25">
      <c r="A3" s="17">
        <v>36708</v>
      </c>
      <c r="B3">
        <v>93005.576000000001</v>
      </c>
      <c r="D3">
        <v>106311.89067961041</v>
      </c>
      <c r="F3">
        <f t="shared" si="0"/>
        <v>11.440414727327292</v>
      </c>
      <c r="H3">
        <f t="shared" si="1"/>
        <v>11.574132417713072</v>
      </c>
    </row>
    <row r="4" spans="1:8" x14ac:dyDescent="0.25">
      <c r="A4" s="17">
        <v>36739</v>
      </c>
      <c r="B4">
        <v>94712.293999999994</v>
      </c>
      <c r="D4">
        <v>108262.78895088097</v>
      </c>
      <c r="F4">
        <f t="shared" si="0"/>
        <v>11.458599091233964</v>
      </c>
      <c r="H4">
        <f t="shared" si="1"/>
        <v>11.592316781619745</v>
      </c>
    </row>
    <row r="5" spans="1:8" x14ac:dyDescent="0.25">
      <c r="A5" s="17">
        <v>36770</v>
      </c>
      <c r="B5">
        <v>95511.362999999998</v>
      </c>
      <c r="D5">
        <v>109176.1808121761</v>
      </c>
      <c r="F5">
        <f t="shared" si="0"/>
        <v>11.467000503683945</v>
      </c>
      <c r="H5">
        <f t="shared" si="1"/>
        <v>11.600718194069726</v>
      </c>
    </row>
    <row r="6" spans="1:8" x14ac:dyDescent="0.25">
      <c r="A6" s="17">
        <v>36800</v>
      </c>
      <c r="B6">
        <v>96641.758000000002</v>
      </c>
      <c r="D6">
        <v>110468.30150894784</v>
      </c>
      <c r="F6">
        <f t="shared" si="0"/>
        <v>11.478766204228348</v>
      </c>
      <c r="H6">
        <f t="shared" si="1"/>
        <v>11.61248389461413</v>
      </c>
    </row>
    <row r="7" spans="1:8" x14ac:dyDescent="0.25">
      <c r="A7" s="17">
        <v>36831</v>
      </c>
      <c r="B7">
        <v>97741.59</v>
      </c>
      <c r="D7">
        <v>111725.48655503515</v>
      </c>
      <c r="F7">
        <f t="shared" si="0"/>
        <v>11.490082438340693</v>
      </c>
      <c r="H7">
        <f t="shared" si="1"/>
        <v>11.623800128726474</v>
      </c>
    </row>
    <row r="8" spans="1:8" x14ac:dyDescent="0.25">
      <c r="A8" s="17">
        <v>36861</v>
      </c>
      <c r="B8">
        <v>98465.627000000008</v>
      </c>
      <c r="D8">
        <v>112553.11158250655</v>
      </c>
      <c r="F8">
        <f t="shared" si="0"/>
        <v>11.497462801790906</v>
      </c>
      <c r="H8">
        <f t="shared" si="1"/>
        <v>11.631180492176687</v>
      </c>
    </row>
    <row r="9" spans="1:8" x14ac:dyDescent="0.25">
      <c r="A9" s="17">
        <v>36892</v>
      </c>
      <c r="B9">
        <v>99642.236000000004</v>
      </c>
      <c r="D9">
        <v>113898.05811969745</v>
      </c>
      <c r="F9">
        <f t="shared" si="0"/>
        <v>11.509341409911158</v>
      </c>
      <c r="H9">
        <f t="shared" si="1"/>
        <v>11.64305910029694</v>
      </c>
    </row>
    <row r="10" spans="1:8" x14ac:dyDescent="0.25">
      <c r="A10" s="17">
        <v>36923</v>
      </c>
      <c r="B10">
        <v>101478.73699999999</v>
      </c>
      <c r="D10">
        <v>115997.3074544362</v>
      </c>
      <c r="F10">
        <f t="shared" si="0"/>
        <v>11.52760456783364</v>
      </c>
      <c r="H10">
        <f t="shared" si="1"/>
        <v>11.661322258219421</v>
      </c>
    </row>
    <row r="11" spans="1:8" x14ac:dyDescent="0.25">
      <c r="A11" s="17">
        <v>36951</v>
      </c>
      <c r="B11">
        <v>104573.75099999999</v>
      </c>
      <c r="D11">
        <v>119535.125337741</v>
      </c>
      <c r="F11">
        <f t="shared" si="0"/>
        <v>11.557647852657912</v>
      </c>
      <c r="H11">
        <f t="shared" si="1"/>
        <v>11.691365543043693</v>
      </c>
    </row>
    <row r="12" spans="1:8" x14ac:dyDescent="0.25">
      <c r="A12" s="17">
        <v>36982</v>
      </c>
      <c r="B12">
        <v>106500.255</v>
      </c>
      <c r="D12">
        <v>121737.25440838761</v>
      </c>
      <c r="F12">
        <f t="shared" si="0"/>
        <v>11.575902658494947</v>
      </c>
      <c r="H12">
        <f t="shared" si="1"/>
        <v>11.709620348880728</v>
      </c>
    </row>
    <row r="13" spans="1:8" x14ac:dyDescent="0.25">
      <c r="A13" s="17">
        <v>37012</v>
      </c>
      <c r="B13">
        <v>108976.88</v>
      </c>
      <c r="D13">
        <v>124568.21033144313</v>
      </c>
      <c r="F13">
        <f t="shared" si="0"/>
        <v>11.598891028621011</v>
      </c>
      <c r="H13">
        <f t="shared" si="1"/>
        <v>11.732608719006791</v>
      </c>
    </row>
    <row r="14" spans="1:8" x14ac:dyDescent="0.25">
      <c r="A14" s="17">
        <v>37043</v>
      </c>
      <c r="B14">
        <v>103378.519</v>
      </c>
      <c r="D14">
        <v>118168.8914065542</v>
      </c>
      <c r="F14">
        <f t="shared" si="0"/>
        <v>11.546152472859061</v>
      </c>
      <c r="H14">
        <f t="shared" si="1"/>
        <v>11.679870163244843</v>
      </c>
    </row>
    <row r="15" spans="1:8" x14ac:dyDescent="0.25">
      <c r="A15" s="17">
        <v>37073</v>
      </c>
      <c r="B15">
        <v>104839.00599999999</v>
      </c>
      <c r="D15">
        <v>119838.33039033077</v>
      </c>
      <c r="F15">
        <f t="shared" si="0"/>
        <v>11.560181176278318</v>
      </c>
      <c r="H15">
        <f t="shared" si="1"/>
        <v>11.693898866664098</v>
      </c>
    </row>
    <row r="16" spans="1:8" x14ac:dyDescent="0.25">
      <c r="A16" s="17">
        <v>37104</v>
      </c>
      <c r="B16">
        <v>106872.685</v>
      </c>
      <c r="D16">
        <v>122162.96799620311</v>
      </c>
      <c r="F16">
        <f t="shared" si="0"/>
        <v>11.579393545185749</v>
      </c>
      <c r="H16">
        <f t="shared" si="1"/>
        <v>11.71311123557153</v>
      </c>
    </row>
    <row r="17" spans="1:8" x14ac:dyDescent="0.25">
      <c r="A17" s="17">
        <v>37135</v>
      </c>
      <c r="B17">
        <v>109207.743</v>
      </c>
      <c r="D17">
        <v>124832.1029180335</v>
      </c>
      <c r="F17">
        <f t="shared" si="0"/>
        <v>11.601007246372594</v>
      </c>
      <c r="H17">
        <f t="shared" si="1"/>
        <v>11.734724936758376</v>
      </c>
    </row>
    <row r="18" spans="1:8" x14ac:dyDescent="0.25">
      <c r="A18" s="17">
        <v>37165</v>
      </c>
      <c r="B18">
        <v>111720.685</v>
      </c>
      <c r="D18">
        <v>127704.57171698165</v>
      </c>
      <c r="F18">
        <f t="shared" si="0"/>
        <v>11.623757151440245</v>
      </c>
      <c r="H18">
        <f t="shared" si="1"/>
        <v>11.757474841826024</v>
      </c>
    </row>
    <row r="19" spans="1:8" x14ac:dyDescent="0.25">
      <c r="A19" s="17">
        <v>37196</v>
      </c>
      <c r="B19">
        <v>112370.084</v>
      </c>
      <c r="D19">
        <v>128446.88028023863</v>
      </c>
      <c r="F19">
        <f t="shared" si="0"/>
        <v>11.629553024432148</v>
      </c>
      <c r="H19">
        <f t="shared" si="1"/>
        <v>11.76327071481793</v>
      </c>
    </row>
    <row r="20" spans="1:8" x14ac:dyDescent="0.25">
      <c r="A20" s="17">
        <v>37226</v>
      </c>
      <c r="B20">
        <v>111684.951</v>
      </c>
      <c r="D20">
        <v>127663.7252509424</v>
      </c>
      <c r="F20">
        <f t="shared" si="0"/>
        <v>11.623437249033621</v>
      </c>
      <c r="H20">
        <f t="shared" si="1"/>
        <v>11.757154939419403</v>
      </c>
    </row>
    <row r="21" spans="1:8" x14ac:dyDescent="0.25">
      <c r="A21" s="17">
        <v>37257</v>
      </c>
      <c r="B21">
        <v>114073.194</v>
      </c>
      <c r="D21">
        <v>130393.65435468069</v>
      </c>
      <c r="F21">
        <f t="shared" ref="F21:F84" si="2">LN(B21)</f>
        <v>11.644595573980602</v>
      </c>
      <c r="H21">
        <f t="shared" ref="H21:H82" si="3">LN(D21)</f>
        <v>11.778313264366384</v>
      </c>
    </row>
    <row r="22" spans="1:8" x14ac:dyDescent="0.25">
      <c r="A22" s="17">
        <v>37288</v>
      </c>
      <c r="B22">
        <v>115164.014</v>
      </c>
      <c r="D22">
        <v>131640.53805325736</v>
      </c>
      <c r="F22">
        <f t="shared" si="2"/>
        <v>11.654112599971388</v>
      </c>
      <c r="H22">
        <f t="shared" si="3"/>
        <v>11.787830290357169</v>
      </c>
    </row>
    <row r="23" spans="1:8" x14ac:dyDescent="0.25">
      <c r="A23" s="17">
        <v>37316</v>
      </c>
      <c r="B23">
        <v>116044.811</v>
      </c>
      <c r="D23">
        <v>132647.35074559451</v>
      </c>
      <c r="F23">
        <f t="shared" si="2"/>
        <v>11.661731697217339</v>
      </c>
      <c r="H23">
        <f t="shared" si="3"/>
        <v>11.795449387603119</v>
      </c>
    </row>
    <row r="24" spans="1:8" x14ac:dyDescent="0.25">
      <c r="A24" s="17">
        <v>37347</v>
      </c>
      <c r="B24">
        <v>117590.045</v>
      </c>
      <c r="D24">
        <v>134413.66148896774</v>
      </c>
      <c r="F24">
        <f t="shared" si="2"/>
        <v>11.67495965950299</v>
      </c>
      <c r="H24">
        <f t="shared" si="3"/>
        <v>11.808677349888772</v>
      </c>
    </row>
    <row r="25" spans="1:8" x14ac:dyDescent="0.25">
      <c r="A25" s="17">
        <v>37377</v>
      </c>
      <c r="B25">
        <v>119104.973</v>
      </c>
      <c r="D25">
        <v>136145.33035066567</v>
      </c>
      <c r="F25">
        <f t="shared" si="2"/>
        <v>11.687760509299558</v>
      </c>
      <c r="H25">
        <f t="shared" si="3"/>
        <v>11.821478199685339</v>
      </c>
    </row>
    <row r="26" spans="1:8" x14ac:dyDescent="0.25">
      <c r="A26" s="17">
        <v>37408</v>
      </c>
      <c r="B26">
        <v>119216.97</v>
      </c>
      <c r="D26">
        <v>136273.35076979027</v>
      </c>
      <c r="F26">
        <f t="shared" si="2"/>
        <v>11.688700389252153</v>
      </c>
      <c r="H26">
        <f t="shared" si="3"/>
        <v>11.822418079637934</v>
      </c>
    </row>
    <row r="27" spans="1:8" x14ac:dyDescent="0.25">
      <c r="A27" s="17">
        <v>37438</v>
      </c>
      <c r="B27">
        <v>117981.83900000001</v>
      </c>
      <c r="D27">
        <v>134861.5094857043</v>
      </c>
      <c r="F27">
        <f t="shared" si="2"/>
        <v>11.678285984823278</v>
      </c>
      <c r="H27">
        <f t="shared" si="3"/>
        <v>11.812003675209057</v>
      </c>
    </row>
    <row r="28" spans="1:8" x14ac:dyDescent="0.25">
      <c r="A28" s="17">
        <v>37469</v>
      </c>
      <c r="B28">
        <v>118463.43700000001</v>
      </c>
      <c r="D28">
        <v>135412.00974740385</v>
      </c>
      <c r="F28">
        <f t="shared" si="2"/>
        <v>11.682359643423228</v>
      </c>
      <c r="H28">
        <f t="shared" si="3"/>
        <v>11.816077333809007</v>
      </c>
    </row>
    <row r="29" spans="1:8" x14ac:dyDescent="0.25">
      <c r="A29" s="17">
        <v>37500</v>
      </c>
      <c r="B29">
        <v>120675.808</v>
      </c>
      <c r="D29">
        <v>137940.90483101414</v>
      </c>
      <c r="F29">
        <f t="shared" si="2"/>
        <v>11.700862956176467</v>
      </c>
      <c r="H29">
        <f t="shared" si="3"/>
        <v>11.834580646562246</v>
      </c>
    </row>
    <row r="30" spans="1:8" x14ac:dyDescent="0.25">
      <c r="A30" s="17">
        <v>37530</v>
      </c>
      <c r="B30">
        <v>122088.095</v>
      </c>
      <c r="D30">
        <v>139555.24783720367</v>
      </c>
      <c r="F30">
        <f t="shared" si="2"/>
        <v>11.712498153297661</v>
      </c>
      <c r="H30">
        <f t="shared" si="3"/>
        <v>11.84621584368344</v>
      </c>
    </row>
    <row r="31" spans="1:8" x14ac:dyDescent="0.25">
      <c r="A31" s="17">
        <v>37561</v>
      </c>
      <c r="B31">
        <v>123201.033</v>
      </c>
      <c r="D31">
        <v>140827.4139596863</v>
      </c>
      <c r="F31">
        <f t="shared" si="2"/>
        <v>11.721572714786664</v>
      </c>
      <c r="H31">
        <f t="shared" si="3"/>
        <v>11.855290405172445</v>
      </c>
    </row>
    <row r="32" spans="1:8" x14ac:dyDescent="0.25">
      <c r="A32" s="17">
        <v>37591</v>
      </c>
      <c r="B32">
        <v>123618.82</v>
      </c>
      <c r="D32">
        <v>141304.97377686721</v>
      </c>
      <c r="F32">
        <f t="shared" si="2"/>
        <v>11.724958077786701</v>
      </c>
      <c r="H32">
        <f t="shared" si="3"/>
        <v>11.85867576817248</v>
      </c>
    </row>
    <row r="33" spans="1:8" x14ac:dyDescent="0.25">
      <c r="A33" s="17">
        <v>37622</v>
      </c>
      <c r="B33">
        <v>126364.454</v>
      </c>
      <c r="D33">
        <v>144443.42583757182</v>
      </c>
      <c r="F33">
        <f t="shared" si="2"/>
        <v>11.746925502791168</v>
      </c>
      <c r="H33">
        <f t="shared" si="3"/>
        <v>11.880643193176947</v>
      </c>
    </row>
    <row r="34" spans="1:8" x14ac:dyDescent="0.25">
      <c r="A34" s="17">
        <v>37653</v>
      </c>
      <c r="B34">
        <v>128489.499</v>
      </c>
      <c r="D34">
        <v>146872.50118386347</v>
      </c>
      <c r="F34">
        <f t="shared" si="2"/>
        <v>11.763602460133805</v>
      </c>
      <c r="H34">
        <f t="shared" si="3"/>
        <v>11.897320150519585</v>
      </c>
    </row>
    <row r="35" spans="1:8" x14ac:dyDescent="0.25">
      <c r="A35" s="17">
        <v>37681</v>
      </c>
      <c r="B35">
        <v>129392.28599999999</v>
      </c>
      <c r="D35">
        <v>147904.44998713708</v>
      </c>
      <c r="F35">
        <f t="shared" si="2"/>
        <v>11.770604045670739</v>
      </c>
      <c r="H35">
        <f t="shared" si="3"/>
        <v>11.90432173605652</v>
      </c>
    </row>
    <row r="36" spans="1:8" x14ac:dyDescent="0.25">
      <c r="A36" s="17">
        <v>37712</v>
      </c>
      <c r="B36">
        <v>131777.421</v>
      </c>
      <c r="D36">
        <v>150630.82642908409</v>
      </c>
      <c r="F36">
        <f t="shared" si="2"/>
        <v>11.788869573780024</v>
      </c>
      <c r="H36">
        <f t="shared" si="3"/>
        <v>11.922587264165804</v>
      </c>
    </row>
    <row r="37" spans="1:8" x14ac:dyDescent="0.25">
      <c r="A37" s="17">
        <v>37742</v>
      </c>
      <c r="B37">
        <v>133382.78100000002</v>
      </c>
      <c r="D37">
        <v>152465.86540375181</v>
      </c>
      <c r="F37">
        <f t="shared" si="2"/>
        <v>11.800978326171364</v>
      </c>
      <c r="H37">
        <f t="shared" si="3"/>
        <v>11.934696016557144</v>
      </c>
    </row>
    <row r="38" spans="1:8" x14ac:dyDescent="0.25">
      <c r="A38" s="17">
        <v>37773</v>
      </c>
      <c r="B38">
        <v>135278.39600000001</v>
      </c>
      <c r="D38">
        <v>154632.68618286974</v>
      </c>
      <c r="F38">
        <f t="shared" si="2"/>
        <v>11.815090126612754</v>
      </c>
      <c r="H38">
        <f t="shared" si="3"/>
        <v>11.948807816998535</v>
      </c>
    </row>
    <row r="39" spans="1:8" x14ac:dyDescent="0.25">
      <c r="A39" s="17">
        <v>37803</v>
      </c>
      <c r="B39">
        <v>135033.774</v>
      </c>
      <c r="D39">
        <v>154353.06609512545</v>
      </c>
      <c r="F39">
        <f t="shared" si="2"/>
        <v>11.813280203909102</v>
      </c>
      <c r="H39">
        <f t="shared" si="3"/>
        <v>11.946997894294883</v>
      </c>
    </row>
    <row r="40" spans="1:8" x14ac:dyDescent="0.25">
      <c r="A40" s="17">
        <v>37834</v>
      </c>
      <c r="B40">
        <v>136792.179</v>
      </c>
      <c r="D40">
        <v>156363.04622933242</v>
      </c>
      <c r="F40">
        <f t="shared" si="2"/>
        <v>11.826218111483628</v>
      </c>
      <c r="H40">
        <f t="shared" si="3"/>
        <v>11.959935801869408</v>
      </c>
    </row>
    <row r="41" spans="1:8" x14ac:dyDescent="0.25">
      <c r="A41" s="17">
        <v>37865</v>
      </c>
      <c r="B41">
        <v>140059.32199999999</v>
      </c>
      <c r="D41">
        <v>160097.61962147668</v>
      </c>
      <c r="F41">
        <f t="shared" si="2"/>
        <v>11.84982134041527</v>
      </c>
      <c r="H41">
        <f t="shared" si="3"/>
        <v>11.983539030801051</v>
      </c>
    </row>
    <row r="42" spans="1:8" x14ac:dyDescent="0.25">
      <c r="A42" s="17">
        <v>37895</v>
      </c>
      <c r="B42">
        <v>143211.19500000001</v>
      </c>
      <c r="D42">
        <v>163700.43132614283</v>
      </c>
      <c r="F42">
        <f t="shared" si="2"/>
        <v>11.872075707827292</v>
      </c>
      <c r="H42">
        <f t="shared" si="3"/>
        <v>12.005793398213072</v>
      </c>
    </row>
    <row r="43" spans="1:8" x14ac:dyDescent="0.25">
      <c r="A43" s="17">
        <v>37926</v>
      </c>
      <c r="B43">
        <v>145068.52799999999</v>
      </c>
      <c r="D43">
        <v>165823.49309667188</v>
      </c>
      <c r="F43">
        <f t="shared" si="2"/>
        <v>11.884961516655798</v>
      </c>
      <c r="H43">
        <f t="shared" si="3"/>
        <v>12.018679207041577</v>
      </c>
    </row>
    <row r="44" spans="1:8" x14ac:dyDescent="0.25">
      <c r="A44" s="17">
        <v>37956</v>
      </c>
      <c r="B44">
        <v>146347.60700000002</v>
      </c>
      <c r="D44">
        <v>167285.57002438843</v>
      </c>
      <c r="F44">
        <f t="shared" si="2"/>
        <v>11.893739940773504</v>
      </c>
      <c r="H44">
        <f t="shared" si="3"/>
        <v>12.027457631159283</v>
      </c>
    </row>
    <row r="45" spans="1:8" x14ac:dyDescent="0.25">
      <c r="A45" s="17">
        <v>37987</v>
      </c>
      <c r="B45">
        <v>147260.56</v>
      </c>
      <c r="D45">
        <v>168329.13927803855</v>
      </c>
      <c r="F45">
        <f t="shared" si="2"/>
        <v>11.899958813713249</v>
      </c>
      <c r="H45">
        <f t="shared" si="3"/>
        <v>12.033676504099031</v>
      </c>
    </row>
    <row r="46" spans="1:8" x14ac:dyDescent="0.25">
      <c r="A46" s="17">
        <v>38018</v>
      </c>
      <c r="B46">
        <v>148957.47999999998</v>
      </c>
      <c r="D46">
        <v>170268.83774871993</v>
      </c>
      <c r="F46">
        <f t="shared" si="2"/>
        <v>11.911416175074562</v>
      </c>
      <c r="H46">
        <f t="shared" si="3"/>
        <v>12.045133865460341</v>
      </c>
    </row>
    <row r="47" spans="1:8" x14ac:dyDescent="0.25">
      <c r="A47" s="17">
        <v>38047</v>
      </c>
      <c r="B47">
        <v>151208.4</v>
      </c>
      <c r="D47">
        <v>172841.79704062894</v>
      </c>
      <c r="F47">
        <f t="shared" si="2"/>
        <v>11.926414296739972</v>
      </c>
      <c r="H47">
        <f t="shared" si="3"/>
        <v>12.060131987125752</v>
      </c>
    </row>
    <row r="48" spans="1:8" x14ac:dyDescent="0.25">
      <c r="A48" s="17">
        <v>38078</v>
      </c>
      <c r="B48">
        <v>154141.62</v>
      </c>
      <c r="D48">
        <v>176194.67304431333</v>
      </c>
      <c r="F48">
        <f t="shared" si="2"/>
        <v>11.945627069202796</v>
      </c>
      <c r="H48">
        <f t="shared" si="3"/>
        <v>12.079344759588576</v>
      </c>
    </row>
    <row r="49" spans="1:8" x14ac:dyDescent="0.25">
      <c r="A49" s="17">
        <v>38108</v>
      </c>
      <c r="B49">
        <v>157154.277</v>
      </c>
      <c r="D49">
        <v>179638.35110549931</v>
      </c>
      <c r="F49">
        <f t="shared" si="2"/>
        <v>11.964983257890999</v>
      </c>
      <c r="H49">
        <f t="shared" si="3"/>
        <v>12.098700948276779</v>
      </c>
    </row>
    <row r="50" spans="1:8" x14ac:dyDescent="0.25">
      <c r="A50" s="17">
        <v>38139</v>
      </c>
      <c r="B50">
        <v>159965.66899999999</v>
      </c>
      <c r="D50">
        <v>182851.96916815752</v>
      </c>
      <c r="F50">
        <f t="shared" si="2"/>
        <v>11.982714502442796</v>
      </c>
      <c r="H50">
        <f t="shared" si="3"/>
        <v>12.116432192828576</v>
      </c>
    </row>
    <row r="51" spans="1:8" x14ac:dyDescent="0.25">
      <c r="A51" s="17">
        <v>38169</v>
      </c>
      <c r="B51">
        <v>160169.155</v>
      </c>
      <c r="D51">
        <v>183084.56792532056</v>
      </c>
      <c r="F51">
        <f t="shared" si="2"/>
        <v>11.983985754503797</v>
      </c>
      <c r="H51">
        <f t="shared" si="3"/>
        <v>12.117703444889578</v>
      </c>
    </row>
    <row r="52" spans="1:8" x14ac:dyDescent="0.25">
      <c r="A52" s="17">
        <v>38200</v>
      </c>
      <c r="B52">
        <v>163789.71400000001</v>
      </c>
      <c r="D52">
        <v>187223.12057088537</v>
      </c>
      <c r="F52">
        <f t="shared" si="2"/>
        <v>12.006338652336552</v>
      </c>
      <c r="H52">
        <f t="shared" si="3"/>
        <v>12.140056342722334</v>
      </c>
    </row>
    <row r="53" spans="1:8" x14ac:dyDescent="0.25">
      <c r="A53" s="17">
        <v>38231</v>
      </c>
      <c r="B53">
        <v>168067.97500000001</v>
      </c>
      <c r="D53">
        <v>192113.47269053504</v>
      </c>
      <c r="F53">
        <f t="shared" si="2"/>
        <v>12.032123789646828</v>
      </c>
      <c r="H53">
        <f t="shared" si="3"/>
        <v>12.16584148003261</v>
      </c>
    </row>
    <row r="54" spans="1:8" x14ac:dyDescent="0.25">
      <c r="A54" s="17">
        <v>38261</v>
      </c>
      <c r="B54">
        <v>173054.69899999999</v>
      </c>
      <c r="D54">
        <v>197813.64766431713</v>
      </c>
      <c r="F54">
        <f t="shared" si="2"/>
        <v>12.061363002696561</v>
      </c>
      <c r="H54">
        <f t="shared" si="3"/>
        <v>12.195080693082341</v>
      </c>
    </row>
    <row r="55" spans="1:8" x14ac:dyDescent="0.25">
      <c r="A55" s="17">
        <v>38292</v>
      </c>
      <c r="B55">
        <v>176436.63199999998</v>
      </c>
      <c r="D55">
        <v>201679.43407030383</v>
      </c>
      <c r="F55">
        <f t="shared" si="2"/>
        <v>12.080717065394655</v>
      </c>
      <c r="H55">
        <f t="shared" si="3"/>
        <v>12.214434755780434</v>
      </c>
    </row>
    <row r="56" spans="1:8" x14ac:dyDescent="0.25">
      <c r="A56" s="17">
        <v>38322</v>
      </c>
      <c r="B56">
        <v>178678.174</v>
      </c>
      <c r="D56">
        <v>204241.67365105497</v>
      </c>
      <c r="F56">
        <f t="shared" si="2"/>
        <v>12.093341556027223</v>
      </c>
      <c r="H56">
        <f t="shared" si="3"/>
        <v>12.227059246413004</v>
      </c>
    </row>
    <row r="57" spans="1:8" x14ac:dyDescent="0.25">
      <c r="A57" s="17">
        <v>38353</v>
      </c>
      <c r="B57">
        <v>182249.88400000002</v>
      </c>
      <c r="D57">
        <v>208324.38846655458</v>
      </c>
      <c r="F57">
        <f t="shared" si="2"/>
        <v>12.113134013382362</v>
      </c>
      <c r="H57">
        <f t="shared" si="3"/>
        <v>12.246851703768142</v>
      </c>
    </row>
    <row r="58" spans="1:8" x14ac:dyDescent="0.25">
      <c r="A58" s="17">
        <v>38384</v>
      </c>
      <c r="B58">
        <v>186335.28700000001</v>
      </c>
      <c r="D58">
        <v>212994.29037779215</v>
      </c>
      <c r="F58">
        <f t="shared" si="2"/>
        <v>12.135302948208437</v>
      </c>
      <c r="H58">
        <f t="shared" si="3"/>
        <v>12.269020638594217</v>
      </c>
    </row>
    <row r="59" spans="1:8" x14ac:dyDescent="0.25">
      <c r="A59" s="17">
        <v>38412</v>
      </c>
      <c r="B59">
        <v>190990.90899999999</v>
      </c>
      <c r="D59">
        <v>218315.99256379428</v>
      </c>
      <c r="F59">
        <f t="shared" si="2"/>
        <v>12.159981109037362</v>
      </c>
      <c r="H59">
        <f t="shared" si="3"/>
        <v>12.293698799423142</v>
      </c>
    </row>
    <row r="60" spans="1:8" x14ac:dyDescent="0.25">
      <c r="A60" s="17">
        <v>38443</v>
      </c>
      <c r="B60">
        <v>196106.51300000001</v>
      </c>
      <c r="D60">
        <v>224163.48640876738</v>
      </c>
      <c r="F60">
        <f t="shared" si="2"/>
        <v>12.186413224279519</v>
      </c>
      <c r="H60">
        <f t="shared" si="3"/>
        <v>12.320130914665299</v>
      </c>
    </row>
    <row r="61" spans="1:8" x14ac:dyDescent="0.25">
      <c r="A61" s="17">
        <v>38473</v>
      </c>
      <c r="B61">
        <v>200645.22899999999</v>
      </c>
      <c r="D61">
        <v>229351.5568446496</v>
      </c>
      <c r="F61">
        <f t="shared" si="2"/>
        <v>12.209293597689966</v>
      </c>
      <c r="H61">
        <f t="shared" si="3"/>
        <v>12.343011288075745</v>
      </c>
    </row>
    <row r="62" spans="1:8" x14ac:dyDescent="0.25">
      <c r="A62" s="17">
        <v>38504</v>
      </c>
      <c r="B62">
        <v>203469.86799999999</v>
      </c>
      <c r="D62">
        <v>232580.31715658365</v>
      </c>
      <c r="F62">
        <f t="shared" si="2"/>
        <v>12.223273204105451</v>
      </c>
      <c r="H62">
        <f t="shared" si="3"/>
        <v>12.356990894491231</v>
      </c>
    </row>
    <row r="63" spans="1:8" x14ac:dyDescent="0.25">
      <c r="A63" s="17">
        <v>38534</v>
      </c>
      <c r="B63">
        <v>205883.37899999999</v>
      </c>
      <c r="D63">
        <v>235339.12935496232</v>
      </c>
      <c r="F63">
        <f t="shared" si="2"/>
        <v>12.235065166105294</v>
      </c>
      <c r="H63">
        <f t="shared" si="3"/>
        <v>12.368782856491073</v>
      </c>
    </row>
    <row r="64" spans="1:8" x14ac:dyDescent="0.25">
      <c r="A64" s="17">
        <v>38565</v>
      </c>
      <c r="B64">
        <v>210527.71799999999</v>
      </c>
      <c r="D64">
        <v>240647.93428131481</v>
      </c>
      <c r="F64">
        <f t="shared" si="2"/>
        <v>12.257372600395543</v>
      </c>
      <c r="H64">
        <f t="shared" si="3"/>
        <v>12.391090290781323</v>
      </c>
    </row>
    <row r="65" spans="1:8" x14ac:dyDescent="0.25">
      <c r="A65" s="17">
        <v>38596</v>
      </c>
      <c r="B65">
        <v>215549.986</v>
      </c>
      <c r="D65">
        <v>246388.73853782206</v>
      </c>
      <c r="F65">
        <f t="shared" si="2"/>
        <v>12.280948115225151</v>
      </c>
      <c r="H65">
        <f t="shared" si="3"/>
        <v>12.41466580561093</v>
      </c>
    </row>
    <row r="66" spans="1:8" x14ac:dyDescent="0.25">
      <c r="A66" s="17">
        <v>38626</v>
      </c>
      <c r="B66">
        <v>221091.68900000001</v>
      </c>
      <c r="D66">
        <v>252723.29339843459</v>
      </c>
      <c r="F66">
        <f t="shared" si="2"/>
        <v>12.306332776812944</v>
      </c>
      <c r="H66">
        <f t="shared" si="3"/>
        <v>12.440050467198725</v>
      </c>
    </row>
    <row r="67" spans="1:8" x14ac:dyDescent="0.25">
      <c r="A67" s="17">
        <v>38657</v>
      </c>
      <c r="B67">
        <v>226902.522</v>
      </c>
      <c r="D67">
        <v>259365.4827081752</v>
      </c>
      <c r="F67">
        <f t="shared" si="2"/>
        <v>12.332275785734808</v>
      </c>
      <c r="H67">
        <f t="shared" si="3"/>
        <v>12.465993476120589</v>
      </c>
    </row>
    <row r="68" spans="1:8" x14ac:dyDescent="0.25">
      <c r="A68" s="17">
        <v>38687</v>
      </c>
      <c r="B68">
        <v>228427.32399999999</v>
      </c>
      <c r="D68">
        <v>261108.43824378794</v>
      </c>
      <c r="F68">
        <f t="shared" si="2"/>
        <v>12.338973381832796</v>
      </c>
      <c r="H68">
        <f t="shared" si="3"/>
        <v>12.472691072218577</v>
      </c>
    </row>
    <row r="69" spans="1:8" x14ac:dyDescent="0.25">
      <c r="A69" s="17">
        <v>38718</v>
      </c>
      <c r="B69">
        <v>234494.329</v>
      </c>
      <c r="D69">
        <v>268043.45010063244</v>
      </c>
      <c r="F69">
        <f t="shared" si="2"/>
        <v>12.365186683207179</v>
      </c>
      <c r="H69">
        <f t="shared" si="3"/>
        <v>12.498904373592959</v>
      </c>
    </row>
    <row r="70" spans="1:8" x14ac:dyDescent="0.25">
      <c r="A70" s="17">
        <v>38749</v>
      </c>
      <c r="B70">
        <v>238053.30600000001</v>
      </c>
      <c r="D70">
        <v>272111.61020487442</v>
      </c>
      <c r="F70">
        <f t="shared" si="2"/>
        <v>12.38024990236492</v>
      </c>
      <c r="H70">
        <f t="shared" si="3"/>
        <v>12.513967592750699</v>
      </c>
    </row>
    <row r="71" spans="1:8" x14ac:dyDescent="0.25">
      <c r="A71" s="17">
        <v>38777</v>
      </c>
      <c r="B71">
        <v>243607.921</v>
      </c>
      <c r="D71">
        <v>278460.92438628786</v>
      </c>
      <c r="F71">
        <f t="shared" si="2"/>
        <v>12.403315330709592</v>
      </c>
      <c r="H71">
        <f t="shared" si="3"/>
        <v>12.537033021095374</v>
      </c>
    </row>
    <row r="72" spans="1:8" x14ac:dyDescent="0.25">
      <c r="A72" s="17">
        <v>38808</v>
      </c>
      <c r="B72">
        <v>248588.72399999999</v>
      </c>
      <c r="D72">
        <v>284154.3312421593</v>
      </c>
      <c r="F72">
        <f t="shared" si="2"/>
        <v>12.423555099025215</v>
      </c>
      <c r="H72">
        <f t="shared" si="3"/>
        <v>12.557272789410995</v>
      </c>
    </row>
    <row r="73" spans="1:8" x14ac:dyDescent="0.25">
      <c r="A73" s="17">
        <v>38838</v>
      </c>
      <c r="B73">
        <v>253687.587</v>
      </c>
      <c r="D73">
        <v>289982.68895101658</v>
      </c>
      <c r="F73">
        <f t="shared" si="2"/>
        <v>12.443858816522805</v>
      </c>
      <c r="H73">
        <f t="shared" si="3"/>
        <v>12.577576506908585</v>
      </c>
    </row>
    <row r="74" spans="1:8" x14ac:dyDescent="0.25">
      <c r="A74" s="17">
        <v>38869</v>
      </c>
      <c r="B74">
        <v>256607.486</v>
      </c>
      <c r="D74">
        <v>293320.33811823966</v>
      </c>
      <c r="F74">
        <f t="shared" si="2"/>
        <v>12.455302904549505</v>
      </c>
      <c r="H74">
        <f t="shared" si="3"/>
        <v>12.589020594935285</v>
      </c>
    </row>
    <row r="75" spans="1:8" x14ac:dyDescent="0.25">
      <c r="A75" s="17">
        <v>38899</v>
      </c>
      <c r="B75">
        <v>259732.33199999999</v>
      </c>
      <c r="D75">
        <v>296892.25606800453</v>
      </c>
      <c r="F75">
        <f t="shared" si="2"/>
        <v>12.467406887398782</v>
      </c>
      <c r="H75">
        <f t="shared" si="3"/>
        <v>12.601124577784562</v>
      </c>
    </row>
    <row r="76" spans="1:8" x14ac:dyDescent="0.25">
      <c r="A76" s="17">
        <v>38930</v>
      </c>
      <c r="B76">
        <v>264455.81799999997</v>
      </c>
      <c r="D76">
        <v>302291.53156153695</v>
      </c>
      <c r="F76">
        <f t="shared" si="2"/>
        <v>12.485429476630264</v>
      </c>
      <c r="H76">
        <f t="shared" si="3"/>
        <v>12.619147167016044</v>
      </c>
    </row>
    <row r="77" spans="1:8" x14ac:dyDescent="0.25">
      <c r="A77" s="17">
        <v>38961</v>
      </c>
      <c r="B77">
        <v>269079.37599999999</v>
      </c>
      <c r="D77">
        <v>307576.58234867296</v>
      </c>
      <c r="F77">
        <f t="shared" si="2"/>
        <v>12.50276169312392</v>
      </c>
      <c r="H77">
        <f t="shared" si="3"/>
        <v>12.6364793835097</v>
      </c>
    </row>
    <row r="78" spans="1:8" x14ac:dyDescent="0.25">
      <c r="A78" s="17">
        <v>38991</v>
      </c>
      <c r="B78">
        <v>274191.50599999999</v>
      </c>
      <c r="D78">
        <v>313420.10516820761</v>
      </c>
      <c r="F78">
        <f t="shared" si="2"/>
        <v>12.521582068241775</v>
      </c>
      <c r="H78">
        <f t="shared" si="3"/>
        <v>12.655299758627555</v>
      </c>
    </row>
    <row r="79" spans="1:8" x14ac:dyDescent="0.25">
      <c r="A79" s="17">
        <v>39022</v>
      </c>
      <c r="B79">
        <v>279257.67000000004</v>
      </c>
      <c r="D79">
        <v>319211.08562870149</v>
      </c>
      <c r="F79">
        <f t="shared" si="2"/>
        <v>12.539890182982184</v>
      </c>
      <c r="H79">
        <f t="shared" si="3"/>
        <v>12.673607873367963</v>
      </c>
    </row>
    <row r="80" spans="1:8" x14ac:dyDescent="0.25">
      <c r="A80" s="17">
        <v>39052</v>
      </c>
      <c r="B80">
        <v>280691.70400000003</v>
      </c>
      <c r="D80">
        <v>320850.28697979939</v>
      </c>
      <c r="F80">
        <f t="shared" si="2"/>
        <v>12.54501220722851</v>
      </c>
      <c r="H80">
        <f t="shared" si="3"/>
        <v>12.678729897614289</v>
      </c>
    </row>
    <row r="81" spans="1:8" x14ac:dyDescent="0.25">
      <c r="A81" s="17">
        <v>39083</v>
      </c>
      <c r="B81">
        <v>286236.35399999999</v>
      </c>
      <c r="D81">
        <v>327188.21046792122</v>
      </c>
      <c r="F81">
        <f t="shared" si="2"/>
        <v>12.564573161098538</v>
      </c>
      <c r="H81">
        <f t="shared" si="3"/>
        <v>12.698290851484318</v>
      </c>
    </row>
    <row r="82" spans="1:8" x14ac:dyDescent="0.25">
      <c r="A82" s="17">
        <v>39114</v>
      </c>
      <c r="B82">
        <v>291236.96499999997</v>
      </c>
      <c r="D82">
        <v>332904.25925582671</v>
      </c>
      <c r="F82">
        <f t="shared" si="2"/>
        <v>12.58189252749569</v>
      </c>
      <c r="H82">
        <f t="shared" si="3"/>
        <v>12.715610217881469</v>
      </c>
    </row>
    <row r="83" spans="1:8" x14ac:dyDescent="0.25">
      <c r="A83" s="17">
        <v>39142</v>
      </c>
      <c r="B83">
        <v>296517</v>
      </c>
      <c r="C83">
        <v>348401</v>
      </c>
      <c r="F83">
        <f t="shared" si="2"/>
        <v>12.599859831358083</v>
      </c>
      <c r="G83">
        <f t="shared" ref="G83:G84" si="4">LN(C83)</f>
        <v>12.76110939422043</v>
      </c>
    </row>
    <row r="84" spans="1:8" x14ac:dyDescent="0.25">
      <c r="A84" s="17">
        <v>39173</v>
      </c>
      <c r="B84">
        <v>302696.70900000003</v>
      </c>
      <c r="C84">
        <v>357051</v>
      </c>
      <c r="F84">
        <f t="shared" si="2"/>
        <v>12.620486622800064</v>
      </c>
      <c r="G84">
        <f t="shared" si="4"/>
        <v>12.785633907701524</v>
      </c>
    </row>
    <row r="85" spans="1:8" x14ac:dyDescent="0.25">
      <c r="A85" s="17">
        <v>39203</v>
      </c>
      <c r="B85">
        <v>310523.886</v>
      </c>
      <c r="C85">
        <v>367297</v>
      </c>
      <c r="F85">
        <f t="shared" ref="F85:F148" si="5">LN(B85)</f>
        <v>12.646016104933132</v>
      </c>
      <c r="G85">
        <f t="shared" ref="G85:G148" si="6">LN(C85)</f>
        <v>12.813926064064084</v>
      </c>
    </row>
    <row r="86" spans="1:8" x14ac:dyDescent="0.25">
      <c r="A86" s="17">
        <v>39234</v>
      </c>
      <c r="B86">
        <v>313673.26500000001</v>
      </c>
      <c r="C86">
        <v>374977</v>
      </c>
      <c r="F86">
        <f t="shared" si="5"/>
        <v>12.656107165809926</v>
      </c>
      <c r="G86">
        <f t="shared" si="6"/>
        <v>12.834619969738249</v>
      </c>
    </row>
    <row r="87" spans="1:8" x14ac:dyDescent="0.25">
      <c r="A87" s="17">
        <v>39264</v>
      </c>
      <c r="B87">
        <v>317849.46499999997</v>
      </c>
      <c r="C87">
        <v>385389</v>
      </c>
      <c r="F87">
        <f t="shared" si="5"/>
        <v>12.669333169179247</v>
      </c>
      <c r="G87">
        <f t="shared" si="6"/>
        <v>12.8620084927803</v>
      </c>
    </row>
    <row r="88" spans="1:8" x14ac:dyDescent="0.25">
      <c r="A88" s="17">
        <v>39295</v>
      </c>
      <c r="B88">
        <v>323654.57799999998</v>
      </c>
      <c r="C88">
        <v>392862</v>
      </c>
      <c r="F88">
        <f t="shared" si="5"/>
        <v>12.687432108783243</v>
      </c>
      <c r="G88">
        <f t="shared" si="6"/>
        <v>12.881213684147376</v>
      </c>
    </row>
    <row r="89" spans="1:8" x14ac:dyDescent="0.25">
      <c r="A89" s="17">
        <v>39326</v>
      </c>
      <c r="B89">
        <v>329499.13300000003</v>
      </c>
      <c r="C89">
        <v>401404</v>
      </c>
      <c r="F89">
        <f t="shared" si="5"/>
        <v>12.705329001661752</v>
      </c>
      <c r="G89">
        <f t="shared" si="6"/>
        <v>12.902723680416797</v>
      </c>
    </row>
    <row r="90" spans="1:8" x14ac:dyDescent="0.25">
      <c r="A90" s="17">
        <v>39356</v>
      </c>
      <c r="B90">
        <v>337680.86</v>
      </c>
      <c r="C90">
        <v>413782</v>
      </c>
      <c r="F90">
        <f t="shared" si="5"/>
        <v>12.729856527242998</v>
      </c>
      <c r="G90">
        <f t="shared" si="6"/>
        <v>12.933094544072446</v>
      </c>
    </row>
    <row r="91" spans="1:8" x14ac:dyDescent="0.25">
      <c r="A91" s="17">
        <v>39387</v>
      </c>
      <c r="B91">
        <v>344745.50699999998</v>
      </c>
      <c r="C91">
        <v>423966</v>
      </c>
      <c r="F91">
        <f t="shared" si="5"/>
        <v>12.750561762938281</v>
      </c>
      <c r="G91">
        <f t="shared" si="6"/>
        <v>12.957408542319566</v>
      </c>
    </row>
    <row r="92" spans="1:8" x14ac:dyDescent="0.25">
      <c r="A92" s="17">
        <v>39417</v>
      </c>
      <c r="B92">
        <v>348099.44</v>
      </c>
      <c r="C92">
        <v>431865</v>
      </c>
      <c r="F92">
        <f t="shared" si="5"/>
        <v>12.760243465065114</v>
      </c>
      <c r="G92">
        <f t="shared" si="6"/>
        <v>12.975868318387947</v>
      </c>
    </row>
    <row r="93" spans="1:8" x14ac:dyDescent="0.25">
      <c r="A93" s="17">
        <v>39448</v>
      </c>
      <c r="B93">
        <v>355043.85600000003</v>
      </c>
      <c r="C93">
        <v>439853</v>
      </c>
      <c r="F93">
        <f t="shared" si="5"/>
        <v>12.779996598855528</v>
      </c>
      <c r="G93">
        <f t="shared" si="6"/>
        <v>12.994195859164552</v>
      </c>
    </row>
    <row r="94" spans="1:8" x14ac:dyDescent="0.25">
      <c r="A94" s="17">
        <v>39479</v>
      </c>
      <c r="B94">
        <v>360103.93799999997</v>
      </c>
      <c r="C94">
        <v>445183</v>
      </c>
      <c r="F94">
        <f t="shared" si="5"/>
        <v>12.794147985428323</v>
      </c>
      <c r="G94">
        <f t="shared" si="6"/>
        <v>13.006240712569102</v>
      </c>
    </row>
    <row r="95" spans="1:8" x14ac:dyDescent="0.25">
      <c r="A95" s="17">
        <v>39508</v>
      </c>
      <c r="B95">
        <v>366146.35600000003</v>
      </c>
      <c r="C95">
        <v>456735</v>
      </c>
      <c r="F95">
        <f t="shared" si="5"/>
        <v>12.810788412234311</v>
      </c>
      <c r="G95">
        <f t="shared" si="6"/>
        <v>13.031858632978489</v>
      </c>
    </row>
    <row r="96" spans="1:8" x14ac:dyDescent="0.25">
      <c r="A96" s="17">
        <v>39539</v>
      </c>
      <c r="B96">
        <v>373393.54599999997</v>
      </c>
      <c r="C96">
        <v>469437</v>
      </c>
      <c r="F96">
        <f t="shared" si="5"/>
        <v>12.830388225526885</v>
      </c>
      <c r="G96">
        <f t="shared" si="6"/>
        <v>13.059289383323287</v>
      </c>
    </row>
    <row r="97" spans="1:7" x14ac:dyDescent="0.25">
      <c r="A97" s="17">
        <v>39569</v>
      </c>
      <c r="B97">
        <v>380467.38800000004</v>
      </c>
      <c r="C97">
        <v>481066</v>
      </c>
      <c r="F97">
        <f t="shared" si="5"/>
        <v>12.849155744332132</v>
      </c>
      <c r="G97">
        <f t="shared" si="6"/>
        <v>13.083759753812114</v>
      </c>
    </row>
    <row r="98" spans="1:7" x14ac:dyDescent="0.25">
      <c r="A98" s="17">
        <v>39600</v>
      </c>
      <c r="B98">
        <v>385100.87900000002</v>
      </c>
      <c r="C98">
        <v>489499</v>
      </c>
      <c r="F98">
        <f t="shared" si="5"/>
        <v>12.861260602324416</v>
      </c>
      <c r="G98">
        <f t="shared" si="6"/>
        <v>13.101137698049696</v>
      </c>
    </row>
    <row r="99" spans="1:7" x14ac:dyDescent="0.25">
      <c r="A99" s="17">
        <v>39630</v>
      </c>
      <c r="B99">
        <v>389757.20199999999</v>
      </c>
      <c r="C99">
        <v>495983</v>
      </c>
      <c r="F99">
        <f t="shared" si="5"/>
        <v>12.873279265261164</v>
      </c>
      <c r="G99">
        <f t="shared" si="6"/>
        <v>13.114296930926143</v>
      </c>
    </row>
    <row r="100" spans="1:7" x14ac:dyDescent="0.25">
      <c r="A100" s="17">
        <v>39661</v>
      </c>
      <c r="B100">
        <v>394561.576</v>
      </c>
      <c r="C100">
        <v>503961</v>
      </c>
      <c r="F100">
        <f t="shared" si="5"/>
        <v>12.885530493272929</v>
      </c>
      <c r="G100">
        <f t="shared" si="6"/>
        <v>13.130254163107065</v>
      </c>
    </row>
    <row r="101" spans="1:7" x14ac:dyDescent="0.25">
      <c r="A101" s="17">
        <v>39692</v>
      </c>
      <c r="B101">
        <v>401301.353</v>
      </c>
      <c r="C101">
        <v>514203</v>
      </c>
      <c r="F101">
        <f t="shared" si="5"/>
        <v>12.902467927791811</v>
      </c>
      <c r="G101">
        <f t="shared" si="6"/>
        <v>13.150373408102624</v>
      </c>
    </row>
    <row r="102" spans="1:7" x14ac:dyDescent="0.25">
      <c r="A102" s="17">
        <v>39722</v>
      </c>
      <c r="B102">
        <v>414410.93900000001</v>
      </c>
      <c r="C102">
        <v>524889</v>
      </c>
      <c r="F102">
        <f t="shared" si="5"/>
        <v>12.934613366779782</v>
      </c>
      <c r="G102">
        <f t="shared" si="6"/>
        <v>13.170942090648161</v>
      </c>
    </row>
    <row r="103" spans="1:7" x14ac:dyDescent="0.25">
      <c r="A103" s="17">
        <v>39753</v>
      </c>
      <c r="B103">
        <v>416349.78200000001</v>
      </c>
      <c r="C103">
        <v>527421</v>
      </c>
      <c r="F103">
        <f t="shared" si="5"/>
        <v>12.939281008065894</v>
      </c>
      <c r="G103">
        <f t="shared" si="6"/>
        <v>13.175754370083581</v>
      </c>
    </row>
    <row r="104" spans="1:7" x14ac:dyDescent="0.25">
      <c r="A104" s="17">
        <v>39783</v>
      </c>
      <c r="B104">
        <v>415595.84</v>
      </c>
      <c r="C104">
        <v>534212</v>
      </c>
      <c r="F104">
        <f t="shared" si="5"/>
        <v>12.937468528532474</v>
      </c>
      <c r="G104">
        <f t="shared" si="6"/>
        <v>13.188548042902514</v>
      </c>
    </row>
    <row r="105" spans="1:7" x14ac:dyDescent="0.25">
      <c r="A105" s="17">
        <v>39814</v>
      </c>
      <c r="B105">
        <v>418449.17800000001</v>
      </c>
      <c r="C105">
        <v>537046</v>
      </c>
      <c r="F105">
        <f t="shared" si="5"/>
        <v>12.944310723066691</v>
      </c>
      <c r="G105">
        <f t="shared" si="6"/>
        <v>13.193839030902375</v>
      </c>
    </row>
    <row r="106" spans="1:7" x14ac:dyDescent="0.25">
      <c r="A106" s="17">
        <v>39845</v>
      </c>
      <c r="B106">
        <v>422195.95299999998</v>
      </c>
      <c r="C106">
        <v>536225</v>
      </c>
      <c r="F106">
        <f t="shared" si="5"/>
        <v>12.953224828845915</v>
      </c>
      <c r="G106">
        <f t="shared" si="6"/>
        <v>13.192309128090995</v>
      </c>
    </row>
    <row r="107" spans="1:7" x14ac:dyDescent="0.25">
      <c r="A107" s="17">
        <v>39873</v>
      </c>
      <c r="B107">
        <v>426945.00099999999</v>
      </c>
      <c r="C107">
        <v>542887</v>
      </c>
      <c r="F107">
        <f t="shared" si="5"/>
        <v>12.964410480636218</v>
      </c>
      <c r="G107">
        <f t="shared" si="6"/>
        <v>13.204656474128857</v>
      </c>
    </row>
    <row r="108" spans="1:7" x14ac:dyDescent="0.25">
      <c r="A108" s="17">
        <v>39904</v>
      </c>
      <c r="B108">
        <v>433029.73599999998</v>
      </c>
      <c r="C108">
        <v>551333</v>
      </c>
      <c r="F108">
        <f t="shared" si="5"/>
        <v>12.978561678991547</v>
      </c>
      <c r="G108">
        <f t="shared" si="6"/>
        <v>13.22009426130256</v>
      </c>
    </row>
    <row r="109" spans="1:7" x14ac:dyDescent="0.25">
      <c r="A109" s="17">
        <v>39934</v>
      </c>
      <c r="B109">
        <v>440341.28899999999</v>
      </c>
      <c r="C109">
        <v>563782</v>
      </c>
      <c r="F109">
        <f t="shared" si="5"/>
        <v>12.995305362046341</v>
      </c>
      <c r="G109">
        <f t="shared" si="6"/>
        <v>13.242422930937527</v>
      </c>
    </row>
    <row r="110" spans="1:7" x14ac:dyDescent="0.25">
      <c r="A110" s="17">
        <v>39965</v>
      </c>
      <c r="B110">
        <v>446021.04100000003</v>
      </c>
      <c r="C110">
        <v>573227</v>
      </c>
      <c r="F110">
        <f t="shared" si="5"/>
        <v>13.00812140701944</v>
      </c>
      <c r="G110">
        <f t="shared" si="6"/>
        <v>13.259037077804466</v>
      </c>
    </row>
    <row r="111" spans="1:7" x14ac:dyDescent="0.25">
      <c r="A111" s="17">
        <v>39995</v>
      </c>
      <c r="B111">
        <v>451789.489</v>
      </c>
      <c r="C111">
        <v>579386</v>
      </c>
      <c r="F111">
        <f t="shared" si="5"/>
        <v>13.020971618026509</v>
      </c>
      <c r="G111">
        <f t="shared" si="6"/>
        <v>13.269724201098294</v>
      </c>
    </row>
    <row r="112" spans="1:7" x14ac:dyDescent="0.25">
      <c r="A112" s="17">
        <v>40026</v>
      </c>
      <c r="B112">
        <v>461392.27500000002</v>
      </c>
      <c r="C112">
        <v>588538</v>
      </c>
      <c r="F112">
        <f t="shared" si="5"/>
        <v>13.042003882058877</v>
      </c>
      <c r="G112">
        <f t="shared" si="6"/>
        <v>13.28539677454093</v>
      </c>
    </row>
    <row r="113" spans="1:7" x14ac:dyDescent="0.25">
      <c r="A113" s="17">
        <v>40057</v>
      </c>
      <c r="B113">
        <v>471058.95699999999</v>
      </c>
      <c r="C113">
        <v>600032</v>
      </c>
      <c r="F113">
        <f t="shared" si="5"/>
        <v>13.062738539262595</v>
      </c>
      <c r="G113">
        <f t="shared" si="6"/>
        <v>13.304738266109444</v>
      </c>
    </row>
    <row r="114" spans="1:7" x14ac:dyDescent="0.25">
      <c r="A114" s="17">
        <v>40087</v>
      </c>
      <c r="B114">
        <v>481267.592</v>
      </c>
      <c r="C114">
        <v>608549</v>
      </c>
      <c r="F114">
        <f t="shared" si="5"/>
        <v>13.084178718721216</v>
      </c>
      <c r="G114">
        <f t="shared" si="6"/>
        <v>13.318832714051004</v>
      </c>
    </row>
    <row r="115" spans="1:7" x14ac:dyDescent="0.25">
      <c r="A115" s="17">
        <v>40118</v>
      </c>
      <c r="B115">
        <v>487134.85700000002</v>
      </c>
      <c r="C115">
        <v>615678</v>
      </c>
      <c r="F115">
        <f t="shared" si="5"/>
        <v>13.096296277488889</v>
      </c>
      <c r="G115">
        <f t="shared" si="6"/>
        <v>13.330479378573399</v>
      </c>
    </row>
    <row r="116" spans="1:7" x14ac:dyDescent="0.25">
      <c r="A116" s="17">
        <v>40148</v>
      </c>
      <c r="B116">
        <v>489857.51799999998</v>
      </c>
      <c r="C116">
        <v>626555</v>
      </c>
      <c r="F116">
        <f t="shared" si="5"/>
        <v>13.10186984821039</v>
      </c>
      <c r="G116">
        <f t="shared" si="6"/>
        <v>13.347991838770671</v>
      </c>
    </row>
    <row r="117" spans="1:7" x14ac:dyDescent="0.25">
      <c r="A117" s="17">
        <v>40179</v>
      </c>
      <c r="B117">
        <v>499288.34</v>
      </c>
      <c r="C117">
        <v>635960</v>
      </c>
      <c r="F117">
        <f t="shared" si="5"/>
        <v>13.120939043522251</v>
      </c>
      <c r="G117">
        <f t="shared" si="6"/>
        <v>13.362890947262645</v>
      </c>
    </row>
    <row r="118" spans="1:7" x14ac:dyDescent="0.25">
      <c r="A118" s="17">
        <v>40210</v>
      </c>
      <c r="B118">
        <v>508389.98599999998</v>
      </c>
      <c r="C118">
        <v>642200</v>
      </c>
      <c r="F118">
        <f t="shared" si="5"/>
        <v>13.139004121014539</v>
      </c>
      <c r="G118">
        <f t="shared" si="6"/>
        <v>13.37265506063755</v>
      </c>
    </row>
    <row r="119" spans="1:7" x14ac:dyDescent="0.25">
      <c r="A119" s="17">
        <v>40238</v>
      </c>
      <c r="B119">
        <v>521370.18199999997</v>
      </c>
      <c r="C119">
        <v>654170</v>
      </c>
      <c r="F119">
        <f t="shared" si="5"/>
        <v>13.164215590507135</v>
      </c>
      <c r="G119">
        <f t="shared" si="6"/>
        <v>13.39112253549901</v>
      </c>
    </row>
    <row r="120" spans="1:7" x14ac:dyDescent="0.25">
      <c r="A120" s="17">
        <v>40269</v>
      </c>
      <c r="B120">
        <v>532565.95799999998</v>
      </c>
      <c r="C120">
        <v>664049</v>
      </c>
      <c r="F120">
        <f t="shared" si="5"/>
        <v>13.185462033683841</v>
      </c>
      <c r="G120">
        <f t="shared" si="6"/>
        <v>13.406111220916564</v>
      </c>
    </row>
    <row r="121" spans="1:7" x14ac:dyDescent="0.25">
      <c r="A121" s="17">
        <v>40299</v>
      </c>
      <c r="B121">
        <v>545689.75900000008</v>
      </c>
      <c r="C121">
        <v>677816</v>
      </c>
      <c r="F121">
        <f t="shared" si="5"/>
        <v>13.209805886276584</v>
      </c>
      <c r="G121">
        <f t="shared" si="6"/>
        <v>13.426631143659893</v>
      </c>
    </row>
    <row r="122" spans="1:7" x14ac:dyDescent="0.25">
      <c r="A122" s="17">
        <v>40330</v>
      </c>
      <c r="B122">
        <v>554747.39800000004</v>
      </c>
      <c r="C122">
        <v>685682</v>
      </c>
      <c r="F122">
        <f t="shared" si="5"/>
        <v>13.22626815038276</v>
      </c>
      <c r="G122">
        <f t="shared" si="6"/>
        <v>13.438169242381019</v>
      </c>
    </row>
    <row r="123" spans="1:7" x14ac:dyDescent="0.25">
      <c r="A123" s="17">
        <v>40360</v>
      </c>
      <c r="B123">
        <v>565479.35199999996</v>
      </c>
      <c r="C123">
        <v>700012</v>
      </c>
      <c r="F123">
        <f t="shared" si="5"/>
        <v>13.24542906105119</v>
      </c>
      <c r="G123">
        <f t="shared" si="6"/>
        <v>13.458852756735748</v>
      </c>
    </row>
    <row r="124" spans="1:7" x14ac:dyDescent="0.25">
      <c r="A124" s="17">
        <v>40391</v>
      </c>
      <c r="B124">
        <v>579035.38400000008</v>
      </c>
      <c r="C124">
        <v>713614</v>
      </c>
      <c r="F124">
        <f t="shared" si="5"/>
        <v>13.269118866950375</v>
      </c>
      <c r="G124">
        <f t="shared" si="6"/>
        <v>13.47809747888957</v>
      </c>
    </row>
    <row r="125" spans="1:7" x14ac:dyDescent="0.25">
      <c r="A125" s="17">
        <v>40422</v>
      </c>
      <c r="B125">
        <v>594968.201</v>
      </c>
      <c r="C125">
        <v>727421</v>
      </c>
      <c r="F125">
        <f t="shared" si="5"/>
        <v>13.296263239402123</v>
      </c>
      <c r="G125">
        <f t="shared" si="6"/>
        <v>13.497260681066056</v>
      </c>
    </row>
    <row r="126" spans="1:7" x14ac:dyDescent="0.25">
      <c r="A126" s="17">
        <v>40452</v>
      </c>
      <c r="B126">
        <v>608995.82499999995</v>
      </c>
      <c r="C126">
        <v>741319</v>
      </c>
      <c r="F126">
        <f t="shared" si="5"/>
        <v>13.319566691167713</v>
      </c>
      <c r="G126">
        <f t="shared" si="6"/>
        <v>13.516186310965212</v>
      </c>
    </row>
    <row r="127" spans="1:7" x14ac:dyDescent="0.25">
      <c r="A127" s="17">
        <v>40483</v>
      </c>
      <c r="B127">
        <v>624854.29200000002</v>
      </c>
      <c r="C127">
        <v>758646</v>
      </c>
      <c r="F127">
        <f t="shared" si="5"/>
        <v>13.345273768738863</v>
      </c>
      <c r="G127">
        <f t="shared" si="6"/>
        <v>13.539290544415925</v>
      </c>
    </row>
    <row r="128" spans="1:7" x14ac:dyDescent="0.25">
      <c r="A128" s="17">
        <v>40513</v>
      </c>
      <c r="B128">
        <v>635554.56700000004</v>
      </c>
      <c r="C128">
        <v>775797</v>
      </c>
      <c r="F128">
        <f t="shared" si="5"/>
        <v>13.362253230598972</v>
      </c>
      <c r="G128">
        <f t="shared" si="6"/>
        <v>13.561646167004502</v>
      </c>
    </row>
    <row r="129" spans="1:7" x14ac:dyDescent="0.25">
      <c r="A129" s="17">
        <v>40544</v>
      </c>
      <c r="B129">
        <v>649397.53899999999</v>
      </c>
      <c r="C129">
        <v>785245</v>
      </c>
      <c r="F129">
        <f t="shared" si="5"/>
        <v>13.383800348991715</v>
      </c>
      <c r="G129">
        <f t="shared" si="6"/>
        <v>13.573751049981704</v>
      </c>
    </row>
    <row r="130" spans="1:7" x14ac:dyDescent="0.25">
      <c r="A130" s="17">
        <v>40575</v>
      </c>
      <c r="B130">
        <v>662079.50300000003</v>
      </c>
      <c r="C130">
        <v>793544</v>
      </c>
      <c r="F130">
        <f t="shared" si="5"/>
        <v>13.403140922874462</v>
      </c>
      <c r="G130">
        <f t="shared" si="6"/>
        <v>13.584264267946878</v>
      </c>
    </row>
    <row r="131" spans="1:7" x14ac:dyDescent="0.25">
      <c r="A131" s="17">
        <v>40603</v>
      </c>
      <c r="B131">
        <v>673756.04200000002</v>
      </c>
      <c r="C131">
        <v>800794</v>
      </c>
      <c r="F131">
        <f t="shared" si="5"/>
        <v>13.420623368883131</v>
      </c>
      <c r="G131">
        <f t="shared" si="6"/>
        <v>13.593359014447586</v>
      </c>
    </row>
    <row r="132" spans="1:7" x14ac:dyDescent="0.25">
      <c r="A132" s="17">
        <v>40634</v>
      </c>
      <c r="B132">
        <v>687907.78200000001</v>
      </c>
      <c r="C132">
        <v>811661</v>
      </c>
      <c r="F132">
        <f t="shared" si="5"/>
        <v>13.441410070140915</v>
      </c>
      <c r="G132">
        <f t="shared" si="6"/>
        <v>13.606838044286839</v>
      </c>
    </row>
    <row r="133" spans="1:7" x14ac:dyDescent="0.25">
      <c r="A133" s="17">
        <v>40664</v>
      </c>
      <c r="B133">
        <v>704053.46100000001</v>
      </c>
      <c r="C133">
        <v>825659</v>
      </c>
      <c r="F133">
        <f t="shared" si="5"/>
        <v>13.464609571177419</v>
      </c>
      <c r="G133">
        <f t="shared" si="6"/>
        <v>13.623937134334358</v>
      </c>
    </row>
    <row r="134" spans="1:7" x14ac:dyDescent="0.25">
      <c r="A134" s="17">
        <v>40695</v>
      </c>
      <c r="B134">
        <v>721747.45799999998</v>
      </c>
      <c r="C134">
        <v>838136</v>
      </c>
      <c r="F134">
        <f t="shared" si="5"/>
        <v>13.489430575523828</v>
      </c>
      <c r="G134">
        <f t="shared" si="6"/>
        <v>13.638935657465884</v>
      </c>
    </row>
    <row r="135" spans="1:7" x14ac:dyDescent="0.25">
      <c r="A135" s="17">
        <v>40725</v>
      </c>
      <c r="B135">
        <v>729099.25900000008</v>
      </c>
      <c r="C135">
        <v>849017</v>
      </c>
      <c r="F135">
        <f t="shared" si="5"/>
        <v>13.499565159472514</v>
      </c>
      <c r="G135">
        <f t="shared" si="6"/>
        <v>13.651834488650142</v>
      </c>
    </row>
    <row r="136" spans="1:7" x14ac:dyDescent="0.25">
      <c r="A136" s="17">
        <v>40756</v>
      </c>
      <c r="B136">
        <v>747725.53300000005</v>
      </c>
      <c r="C136">
        <v>869039</v>
      </c>
      <c r="F136">
        <f t="shared" si="5"/>
        <v>13.524791255127703</v>
      </c>
      <c r="G136">
        <f t="shared" si="6"/>
        <v>13.67514328241195</v>
      </c>
    </row>
    <row r="137" spans="1:7" x14ac:dyDescent="0.25">
      <c r="A137" s="17">
        <v>40787</v>
      </c>
      <c r="B137">
        <v>761926.94299999997</v>
      </c>
      <c r="C137">
        <v>881931</v>
      </c>
      <c r="F137">
        <f t="shared" si="5"/>
        <v>13.543605954744367</v>
      </c>
      <c r="G137">
        <f t="shared" si="6"/>
        <v>13.689869100636184</v>
      </c>
    </row>
    <row r="138" spans="1:7" x14ac:dyDescent="0.25">
      <c r="A138" s="17">
        <v>40817</v>
      </c>
      <c r="B138">
        <v>773565.36300000001</v>
      </c>
      <c r="C138">
        <v>893988</v>
      </c>
      <c r="F138">
        <f t="shared" si="5"/>
        <v>13.558765448333943</v>
      </c>
      <c r="G138">
        <f t="shared" si="6"/>
        <v>13.703447631246773</v>
      </c>
    </row>
    <row r="139" spans="1:7" x14ac:dyDescent="0.25">
      <c r="A139" s="17">
        <v>40848</v>
      </c>
      <c r="B139">
        <v>786593.174</v>
      </c>
      <c r="C139">
        <v>908587</v>
      </c>
      <c r="F139">
        <f t="shared" si="5"/>
        <v>13.575466461088139</v>
      </c>
      <c r="G139">
        <f t="shared" si="6"/>
        <v>13.719645924478911</v>
      </c>
    </row>
    <row r="140" spans="1:7" x14ac:dyDescent="0.25">
      <c r="A140" s="17">
        <v>40878</v>
      </c>
      <c r="B140">
        <v>795010.47</v>
      </c>
      <c r="C140">
        <v>921598</v>
      </c>
      <c r="F140">
        <f t="shared" si="5"/>
        <v>13.586110563361068</v>
      </c>
      <c r="G140">
        <f t="shared" si="6"/>
        <v>13.73386439878252</v>
      </c>
    </row>
    <row r="141" spans="1:7" x14ac:dyDescent="0.25">
      <c r="A141" s="17">
        <v>40909</v>
      </c>
      <c r="B141">
        <v>809410.03300000005</v>
      </c>
      <c r="C141">
        <v>934121</v>
      </c>
      <c r="F141">
        <f t="shared" si="5"/>
        <v>13.604060906948758</v>
      </c>
      <c r="G141">
        <f t="shared" si="6"/>
        <v>13.747361259141261</v>
      </c>
    </row>
    <row r="142" spans="1:7" x14ac:dyDescent="0.25">
      <c r="A142" s="17">
        <v>40940</v>
      </c>
      <c r="B142">
        <v>820233.59600000002</v>
      </c>
      <c r="C142">
        <v>941121</v>
      </c>
      <c r="F142">
        <f t="shared" si="5"/>
        <v>13.617344451842511</v>
      </c>
      <c r="G142">
        <f t="shared" si="6"/>
        <v>13.754826996910957</v>
      </c>
    </row>
    <row r="143" spans="1:7" x14ac:dyDescent="0.25">
      <c r="A143" s="17">
        <v>40969</v>
      </c>
      <c r="B143">
        <v>831095.87199999997</v>
      </c>
      <c r="C143">
        <v>953171</v>
      </c>
      <c r="F143">
        <f t="shared" si="5"/>
        <v>13.63050043661746</v>
      </c>
      <c r="G143">
        <f t="shared" si="6"/>
        <v>13.767549599908408</v>
      </c>
    </row>
    <row r="144" spans="1:7" x14ac:dyDescent="0.25">
      <c r="A144" s="17">
        <v>41000</v>
      </c>
      <c r="B144">
        <v>842057.11800000002</v>
      </c>
      <c r="C144">
        <v>964854</v>
      </c>
      <c r="F144">
        <f t="shared" si="5"/>
        <v>13.643603127028213</v>
      </c>
      <c r="G144">
        <f t="shared" si="6"/>
        <v>13.779732073538041</v>
      </c>
    </row>
    <row r="145" spans="1:7" x14ac:dyDescent="0.25">
      <c r="A145" s="17">
        <v>41030</v>
      </c>
      <c r="B145">
        <v>854944.60900000005</v>
      </c>
      <c r="C145">
        <v>980828</v>
      </c>
      <c r="F145">
        <f t="shared" si="5"/>
        <v>13.658791961024951</v>
      </c>
      <c r="G145">
        <f t="shared" si="6"/>
        <v>13.796152391880575</v>
      </c>
    </row>
    <row r="146" spans="1:7" x14ac:dyDescent="0.25">
      <c r="A146" s="17">
        <v>41061</v>
      </c>
      <c r="B146">
        <v>872174.98100000003</v>
      </c>
      <c r="C146">
        <v>994137</v>
      </c>
      <c r="F146">
        <f t="shared" si="5"/>
        <v>13.678745349044734</v>
      </c>
      <c r="G146">
        <f t="shared" si="6"/>
        <v>13.809630303103219</v>
      </c>
    </row>
    <row r="147" spans="1:7" x14ac:dyDescent="0.25">
      <c r="A147" s="17">
        <v>41091</v>
      </c>
      <c r="B147">
        <v>880306.125</v>
      </c>
      <c r="C147">
        <v>1004184</v>
      </c>
      <c r="F147">
        <f t="shared" si="5"/>
        <v>13.688024995280069</v>
      </c>
      <c r="G147">
        <f t="shared" si="6"/>
        <v>13.81968582937475</v>
      </c>
    </row>
    <row r="148" spans="1:7" x14ac:dyDescent="0.25">
      <c r="A148" s="17">
        <v>41122</v>
      </c>
      <c r="B148">
        <v>900729.47699999996</v>
      </c>
      <c r="C148">
        <v>1022555</v>
      </c>
      <c r="F148">
        <f t="shared" si="5"/>
        <v>13.710960244004394</v>
      </c>
      <c r="G148">
        <f t="shared" si="6"/>
        <v>13.83781495518353</v>
      </c>
    </row>
    <row r="149" spans="1:7" x14ac:dyDescent="0.25">
      <c r="A149" s="17">
        <v>41153</v>
      </c>
      <c r="B149">
        <v>910123.1</v>
      </c>
      <c r="C149">
        <v>1025645</v>
      </c>
      <c r="F149">
        <f t="shared" ref="F149:F152" si="7">LN(B149)</f>
        <v>13.721335144069506</v>
      </c>
      <c r="G149">
        <f t="shared" ref="G149:G212" si="8">LN(C149)</f>
        <v>13.840832240941056</v>
      </c>
    </row>
    <row r="150" spans="1:7" x14ac:dyDescent="0.25">
      <c r="A150" s="17">
        <v>41183</v>
      </c>
      <c r="B150">
        <v>924988.70799999998</v>
      </c>
      <c r="C150">
        <v>1041512</v>
      </c>
      <c r="F150">
        <f t="shared" si="7"/>
        <v>13.737536808852482</v>
      </c>
      <c r="G150">
        <f t="shared" si="8"/>
        <v>13.856184061460283</v>
      </c>
    </row>
    <row r="151" spans="1:7" x14ac:dyDescent="0.25">
      <c r="A151" s="17">
        <v>41214</v>
      </c>
      <c r="B151">
        <v>937578.93599999999</v>
      </c>
      <c r="C151">
        <v>1056236</v>
      </c>
      <c r="F151">
        <f t="shared" si="7"/>
        <v>13.751056231682217</v>
      </c>
      <c r="G151">
        <f t="shared" si="8"/>
        <v>13.87022220312781</v>
      </c>
    </row>
    <row r="152" spans="1:7" x14ac:dyDescent="0.25">
      <c r="A152" s="17">
        <v>41244</v>
      </c>
      <c r="B152">
        <v>950840.58100000001</v>
      </c>
      <c r="C152">
        <v>1076471</v>
      </c>
      <c r="F152">
        <f t="shared" si="7"/>
        <v>13.765101694457666</v>
      </c>
      <c r="G152">
        <f t="shared" si="8"/>
        <v>13.889198656269022</v>
      </c>
    </row>
    <row r="153" spans="1:7" x14ac:dyDescent="0.25">
      <c r="A153" s="17">
        <v>41275</v>
      </c>
      <c r="C153">
        <v>1088275</v>
      </c>
      <c r="G153">
        <f t="shared" si="8"/>
        <v>13.900104431813208</v>
      </c>
    </row>
    <row r="154" spans="1:7" x14ac:dyDescent="0.25">
      <c r="A154" s="17">
        <v>41306</v>
      </c>
      <c r="C154">
        <v>1094774</v>
      </c>
      <c r="G154">
        <f t="shared" si="8"/>
        <v>13.906058507236772</v>
      </c>
    </row>
    <row r="155" spans="1:7" x14ac:dyDescent="0.25">
      <c r="A155" s="17">
        <v>41334</v>
      </c>
      <c r="C155">
        <v>1108015</v>
      </c>
      <c r="G155">
        <f t="shared" si="8"/>
        <v>13.918080684103867</v>
      </c>
    </row>
    <row r="156" spans="1:7" x14ac:dyDescent="0.25">
      <c r="A156" s="17">
        <v>41365</v>
      </c>
      <c r="C156">
        <v>1124846</v>
      </c>
      <c r="G156">
        <f t="shared" si="8"/>
        <v>13.93315669536163</v>
      </c>
    </row>
    <row r="157" spans="1:7" x14ac:dyDescent="0.25">
      <c r="A157" s="17">
        <v>41395</v>
      </c>
      <c r="C157">
        <v>1143984</v>
      </c>
      <c r="G157">
        <f t="shared" si="8"/>
        <v>13.950027464810089</v>
      </c>
    </row>
    <row r="158" spans="1:7" x14ac:dyDescent="0.25">
      <c r="A158" s="17">
        <v>41426</v>
      </c>
      <c r="C158">
        <v>1160114</v>
      </c>
      <c r="G158">
        <f t="shared" si="8"/>
        <v>13.96402883411586</v>
      </c>
    </row>
    <row r="159" spans="1:7" x14ac:dyDescent="0.25">
      <c r="A159" s="17">
        <v>41456</v>
      </c>
      <c r="C159">
        <v>1173994</v>
      </c>
      <c r="G159">
        <f t="shared" si="8"/>
        <v>13.97592216862458</v>
      </c>
    </row>
    <row r="160" spans="1:7" x14ac:dyDescent="0.25">
      <c r="A160" s="17">
        <v>41487</v>
      </c>
      <c r="C160">
        <v>1190495</v>
      </c>
      <c r="G160">
        <f t="shared" si="8"/>
        <v>13.989879744984233</v>
      </c>
    </row>
    <row r="161" spans="1:7" x14ac:dyDescent="0.25">
      <c r="A161" s="17">
        <v>41518</v>
      </c>
      <c r="C161">
        <v>1202447</v>
      </c>
      <c r="G161">
        <f t="shared" si="8"/>
        <v>13.999869205146654</v>
      </c>
    </row>
    <row r="162" spans="1:7" x14ac:dyDescent="0.25">
      <c r="A162" s="17">
        <v>41548</v>
      </c>
      <c r="C162">
        <v>1212482</v>
      </c>
      <c r="G162">
        <f t="shared" si="8"/>
        <v>14.008180056322757</v>
      </c>
    </row>
    <row r="163" spans="1:7" x14ac:dyDescent="0.25">
      <c r="A163" s="17">
        <v>41579</v>
      </c>
      <c r="C163">
        <v>1227984</v>
      </c>
      <c r="G163">
        <f t="shared" si="8"/>
        <v>14.020884358288381</v>
      </c>
    </row>
    <row r="164" spans="1:7" x14ac:dyDescent="0.25">
      <c r="A164" s="17">
        <v>41609</v>
      </c>
      <c r="C164">
        <v>1249371</v>
      </c>
      <c r="G164">
        <f t="shared" si="8"/>
        <v>14.038150782630876</v>
      </c>
    </row>
    <row r="165" spans="1:7" x14ac:dyDescent="0.25">
      <c r="A165" s="17">
        <v>41640</v>
      </c>
      <c r="C165">
        <v>1263128</v>
      </c>
      <c r="G165">
        <f t="shared" si="8"/>
        <v>14.049101742199053</v>
      </c>
    </row>
    <row r="166" spans="1:7" x14ac:dyDescent="0.25">
      <c r="A166" s="17">
        <v>41671</v>
      </c>
      <c r="C166">
        <v>1270206</v>
      </c>
      <c r="G166">
        <f t="shared" si="8"/>
        <v>14.05468965000542</v>
      </c>
    </row>
    <row r="167" spans="1:7" x14ac:dyDescent="0.25">
      <c r="A167" s="17">
        <v>41699</v>
      </c>
      <c r="C167">
        <v>1281603</v>
      </c>
      <c r="G167">
        <f t="shared" si="8"/>
        <v>14.063622196117462</v>
      </c>
    </row>
    <row r="168" spans="1:7" x14ac:dyDescent="0.25">
      <c r="A168" s="17">
        <v>41730</v>
      </c>
      <c r="C168">
        <v>1294198</v>
      </c>
      <c r="G168">
        <f t="shared" si="8"/>
        <v>14.073401756247904</v>
      </c>
    </row>
    <row r="169" spans="1:7" x14ac:dyDescent="0.25">
      <c r="A169" s="17">
        <v>41760</v>
      </c>
      <c r="C169">
        <v>1311184</v>
      </c>
      <c r="G169">
        <f t="shared" si="8"/>
        <v>14.086441103774767</v>
      </c>
    </row>
    <row r="170" spans="1:7" x14ac:dyDescent="0.25">
      <c r="A170" s="17">
        <v>41791</v>
      </c>
      <c r="C170">
        <v>1324776</v>
      </c>
      <c r="G170">
        <f t="shared" si="8"/>
        <v>14.096753946507008</v>
      </c>
    </row>
    <row r="171" spans="1:7" x14ac:dyDescent="0.25">
      <c r="A171" s="17">
        <v>41821</v>
      </c>
      <c r="C171">
        <v>1333060</v>
      </c>
      <c r="G171">
        <f t="shared" si="8"/>
        <v>14.102987609400683</v>
      </c>
    </row>
    <row r="172" spans="1:7" x14ac:dyDescent="0.25">
      <c r="A172" s="17">
        <v>41852</v>
      </c>
      <c r="C172">
        <v>1348138</v>
      </c>
      <c r="G172">
        <f t="shared" si="8"/>
        <v>14.114234939101781</v>
      </c>
    </row>
    <row r="173" spans="1:7" x14ac:dyDescent="0.25">
      <c r="A173" s="17">
        <v>41883</v>
      </c>
      <c r="C173">
        <v>1361005</v>
      </c>
      <c r="G173">
        <f t="shared" si="8"/>
        <v>14.123733955396142</v>
      </c>
    </row>
    <row r="174" spans="1:7" x14ac:dyDescent="0.25">
      <c r="A174" s="17">
        <v>41913</v>
      </c>
      <c r="C174">
        <v>1378380</v>
      </c>
      <c r="G174">
        <f t="shared" si="8"/>
        <v>14.136419454514272</v>
      </c>
    </row>
    <row r="175" spans="1:7" x14ac:dyDescent="0.25">
      <c r="A175" s="17">
        <v>41944</v>
      </c>
      <c r="C175">
        <v>1390556</v>
      </c>
      <c r="G175">
        <f t="shared" si="8"/>
        <v>14.145214225128202</v>
      </c>
    </row>
    <row r="176" spans="1:7" x14ac:dyDescent="0.25">
      <c r="A176" s="17">
        <v>41974</v>
      </c>
      <c r="C176">
        <v>1416065</v>
      </c>
      <c r="G176">
        <f t="shared" si="8"/>
        <v>14.16339245613705</v>
      </c>
    </row>
    <row r="177" spans="1:7" x14ac:dyDescent="0.25">
      <c r="A177" s="17">
        <v>42005</v>
      </c>
      <c r="C177">
        <v>1430120</v>
      </c>
      <c r="G177">
        <f t="shared" si="8"/>
        <v>14.173268914799248</v>
      </c>
    </row>
    <row r="178" spans="1:7" x14ac:dyDescent="0.25">
      <c r="A178" s="17">
        <v>42036</v>
      </c>
      <c r="C178">
        <v>1433768</v>
      </c>
      <c r="G178">
        <f t="shared" si="8"/>
        <v>14.175816501836884</v>
      </c>
    </row>
    <row r="179" spans="1:7" x14ac:dyDescent="0.25">
      <c r="A179" s="17">
        <v>42064</v>
      </c>
      <c r="C179">
        <v>1445141</v>
      </c>
      <c r="G179">
        <f t="shared" si="8"/>
        <v>14.183717452622931</v>
      </c>
    </row>
    <row r="180" spans="1:7" x14ac:dyDescent="0.25">
      <c r="A180" s="17">
        <v>42095</v>
      </c>
      <c r="C180">
        <v>1453221</v>
      </c>
      <c r="G180">
        <f t="shared" si="8"/>
        <v>14.189293030091823</v>
      </c>
    </row>
    <row r="181" spans="1:7" x14ac:dyDescent="0.25">
      <c r="A181" s="17">
        <v>42125</v>
      </c>
      <c r="C181">
        <v>1461804</v>
      </c>
      <c r="G181">
        <f t="shared" si="8"/>
        <v>14.195181847377127</v>
      </c>
    </row>
    <row r="182" spans="1:7" x14ac:dyDescent="0.25">
      <c r="A182" s="17">
        <v>42156</v>
      </c>
      <c r="C182">
        <v>1469882</v>
      </c>
      <c r="G182">
        <f t="shared" si="8"/>
        <v>14.200692683424098</v>
      </c>
    </row>
    <row r="183" spans="1:7" x14ac:dyDescent="0.25">
      <c r="A183" s="17">
        <v>42186</v>
      </c>
      <c r="C183">
        <v>1475360</v>
      </c>
      <c r="G183">
        <f t="shared" si="8"/>
        <v>14.204412585772968</v>
      </c>
    </row>
    <row r="184" spans="1:7" x14ac:dyDescent="0.25">
      <c r="A184" s="17">
        <v>42217</v>
      </c>
      <c r="C184">
        <v>1486592</v>
      </c>
      <c r="G184">
        <f t="shared" si="8"/>
        <v>14.211996809851613</v>
      </c>
    </row>
    <row r="185" spans="1:7" x14ac:dyDescent="0.25">
      <c r="A185" s="17">
        <v>42248</v>
      </c>
      <c r="C185">
        <v>1493068</v>
      </c>
      <c r="G185">
        <f t="shared" si="8"/>
        <v>14.216343621364922</v>
      </c>
    </row>
    <row r="186" spans="1:7" x14ac:dyDescent="0.25">
      <c r="A186" s="17">
        <v>42278</v>
      </c>
      <c r="C186">
        <v>1496615</v>
      </c>
      <c r="G186">
        <f t="shared" si="8"/>
        <v>14.218716449296329</v>
      </c>
    </row>
    <row r="187" spans="1:7" x14ac:dyDescent="0.25">
      <c r="A187" s="17">
        <v>42309</v>
      </c>
      <c r="C187">
        <v>1508221</v>
      </c>
      <c r="G187">
        <f t="shared" si="8"/>
        <v>14.226441368536522</v>
      </c>
    </row>
    <row r="188" spans="1:7" x14ac:dyDescent="0.25">
      <c r="A188" s="17">
        <v>42339</v>
      </c>
      <c r="C188">
        <v>1518663</v>
      </c>
      <c r="G188">
        <f t="shared" si="8"/>
        <v>14.23334090047959</v>
      </c>
    </row>
    <row r="189" spans="1:7" x14ac:dyDescent="0.25">
      <c r="A189" s="17">
        <v>42370</v>
      </c>
      <c r="C189">
        <v>1521899</v>
      </c>
      <c r="G189">
        <f t="shared" si="8"/>
        <v>14.23546945514928</v>
      </c>
    </row>
    <row r="190" spans="1:7" x14ac:dyDescent="0.25">
      <c r="A190" s="17">
        <v>42401</v>
      </c>
      <c r="C190">
        <v>1522812</v>
      </c>
      <c r="G190">
        <f t="shared" si="8"/>
        <v>14.236069183680076</v>
      </c>
    </row>
    <row r="191" spans="1:7" x14ac:dyDescent="0.25">
      <c r="A191" s="17">
        <v>42430</v>
      </c>
      <c r="C191">
        <v>1527590</v>
      </c>
      <c r="G191">
        <f t="shared" si="8"/>
        <v>14.239201888095785</v>
      </c>
    </row>
    <row r="192" spans="1:7" x14ac:dyDescent="0.25">
      <c r="A192" s="17">
        <v>42461</v>
      </c>
      <c r="C192">
        <v>1526375</v>
      </c>
      <c r="G192">
        <f t="shared" si="8"/>
        <v>14.238406201135323</v>
      </c>
    </row>
    <row r="193" spans="1:7" x14ac:dyDescent="0.25">
      <c r="A193" s="17">
        <v>42491</v>
      </c>
      <c r="C193">
        <v>1533354</v>
      </c>
      <c r="G193">
        <f t="shared" si="8"/>
        <v>14.242968050961252</v>
      </c>
    </row>
    <row r="194" spans="1:7" x14ac:dyDescent="0.25">
      <c r="A194" s="17">
        <v>42522</v>
      </c>
      <c r="C194">
        <v>1536798</v>
      </c>
      <c r="G194">
        <f t="shared" si="8"/>
        <v>14.245211589030118</v>
      </c>
    </row>
    <row r="195" spans="1:7" x14ac:dyDescent="0.25">
      <c r="A195" s="17">
        <v>42552</v>
      </c>
      <c r="C195">
        <v>1538190</v>
      </c>
      <c r="G195">
        <f t="shared" si="8"/>
        <v>14.246116958478771</v>
      </c>
    </row>
    <row r="196" spans="1:7" x14ac:dyDescent="0.25">
      <c r="A196" s="17">
        <v>42583</v>
      </c>
      <c r="C196">
        <v>1546795</v>
      </c>
      <c r="G196">
        <f t="shared" si="8"/>
        <v>14.251695606230095</v>
      </c>
    </row>
    <row r="197" spans="1:7" x14ac:dyDescent="0.25">
      <c r="A197" s="17">
        <v>42614</v>
      </c>
      <c r="C197">
        <v>1550208</v>
      </c>
      <c r="G197">
        <f t="shared" si="8"/>
        <v>14.253899673440667</v>
      </c>
    </row>
    <row r="198" spans="1:7" x14ac:dyDescent="0.25">
      <c r="A198" s="17">
        <v>42644</v>
      </c>
      <c r="C198">
        <v>1547944</v>
      </c>
      <c r="G198">
        <f t="shared" si="8"/>
        <v>14.252438156766859</v>
      </c>
    </row>
    <row r="199" spans="1:7" x14ac:dyDescent="0.25">
      <c r="A199" s="17">
        <v>42675</v>
      </c>
      <c r="C199">
        <v>1558281</v>
      </c>
      <c r="G199">
        <f t="shared" si="8"/>
        <v>14.259093848585197</v>
      </c>
    </row>
    <row r="200" spans="1:7" x14ac:dyDescent="0.25">
      <c r="A200" s="17">
        <v>42705</v>
      </c>
      <c r="C200">
        <v>1569163</v>
      </c>
      <c r="G200">
        <f t="shared" si="8"/>
        <v>14.266052914145844</v>
      </c>
    </row>
    <row r="201" spans="1:7" x14ac:dyDescent="0.25">
      <c r="A201" s="17">
        <v>42736</v>
      </c>
      <c r="C201">
        <v>1574530</v>
      </c>
      <c r="G201">
        <f t="shared" si="8"/>
        <v>14.269467373009528</v>
      </c>
    </row>
    <row r="202" spans="1:7" x14ac:dyDescent="0.25">
      <c r="A202" s="17">
        <v>42767</v>
      </c>
      <c r="C202">
        <v>1575512</v>
      </c>
      <c r="G202">
        <f t="shared" si="8"/>
        <v>14.270090856780101</v>
      </c>
    </row>
    <row r="203" spans="1:7" x14ac:dyDescent="0.25">
      <c r="A203" s="17">
        <v>42795</v>
      </c>
      <c r="C203">
        <v>1584667</v>
      </c>
      <c r="G203">
        <f t="shared" si="8"/>
        <v>14.275884848583324</v>
      </c>
    </row>
    <row r="204" spans="1:7" x14ac:dyDescent="0.25">
      <c r="A204" s="17">
        <v>42826</v>
      </c>
      <c r="C204">
        <v>1586373</v>
      </c>
      <c r="G204">
        <f t="shared" si="8"/>
        <v>14.276960836375716</v>
      </c>
    </row>
    <row r="205" spans="1:7" x14ac:dyDescent="0.25">
      <c r="A205" s="17">
        <v>42856</v>
      </c>
      <c r="C205">
        <v>1596593</v>
      </c>
      <c r="G205">
        <f t="shared" si="8"/>
        <v>14.283382541867551</v>
      </c>
    </row>
    <row r="206" spans="1:7" x14ac:dyDescent="0.25">
      <c r="A206" s="17">
        <v>42887</v>
      </c>
      <c r="C206">
        <v>1604317</v>
      </c>
      <c r="G206">
        <f t="shared" si="8"/>
        <v>14.288208678804873</v>
      </c>
    </row>
    <row r="207" spans="1:7" x14ac:dyDescent="0.25">
      <c r="A207" s="17">
        <v>42917</v>
      </c>
      <c r="C207">
        <v>1609007</v>
      </c>
      <c r="G207">
        <f t="shared" si="8"/>
        <v>14.291127776493335</v>
      </c>
    </row>
    <row r="208" spans="1:7" x14ac:dyDescent="0.25">
      <c r="A208" s="17">
        <v>42948</v>
      </c>
      <c r="C208">
        <v>1620808</v>
      </c>
      <c r="G208">
        <f t="shared" si="8"/>
        <v>14.298435348298531</v>
      </c>
    </row>
    <row r="209" spans="1:7" x14ac:dyDescent="0.25">
      <c r="A209" s="17">
        <v>42979</v>
      </c>
      <c r="C209">
        <v>1624211</v>
      </c>
      <c r="G209">
        <f t="shared" si="8"/>
        <v>14.300532717372469</v>
      </c>
    </row>
    <row r="210" spans="1:7" x14ac:dyDescent="0.25">
      <c r="A210" s="17">
        <v>43009</v>
      </c>
      <c r="C210">
        <v>1636329</v>
      </c>
      <c r="G210">
        <f t="shared" si="8"/>
        <v>14.307965876171384</v>
      </c>
    </row>
    <row r="211" spans="1:7" x14ac:dyDescent="0.25">
      <c r="A211" s="17">
        <v>43040</v>
      </c>
      <c r="C211">
        <v>1650998</v>
      </c>
      <c r="G211">
        <f t="shared" si="8"/>
        <v>14.316890511514494</v>
      </c>
    </row>
    <row r="212" spans="1:7" x14ac:dyDescent="0.25">
      <c r="A212" s="17">
        <v>43070</v>
      </c>
      <c r="C212">
        <v>1660162</v>
      </c>
      <c r="G212">
        <f t="shared" si="8"/>
        <v>14.322425745932541</v>
      </c>
    </row>
    <row r="213" spans="1:7" x14ac:dyDescent="0.25">
      <c r="A213" s="17">
        <v>43101</v>
      </c>
      <c r="C213">
        <v>1670402</v>
      </c>
      <c r="G213">
        <f t="shared" ref="G213:G276" si="9">LN(C213)</f>
        <v>14.328574873987748</v>
      </c>
    </row>
    <row r="214" spans="1:7" x14ac:dyDescent="0.25">
      <c r="A214" s="17">
        <v>43132</v>
      </c>
      <c r="C214">
        <v>1669009</v>
      </c>
      <c r="G214">
        <f t="shared" si="9"/>
        <v>14.327740595080002</v>
      </c>
    </row>
    <row r="215" spans="1:7" x14ac:dyDescent="0.25">
      <c r="A215" s="17">
        <v>43160</v>
      </c>
      <c r="C215">
        <v>1678623</v>
      </c>
      <c r="G215">
        <f t="shared" si="9"/>
        <v>14.33348437243143</v>
      </c>
    </row>
    <row r="216" spans="1:7" x14ac:dyDescent="0.25">
      <c r="A216" s="17">
        <v>43191</v>
      </c>
      <c r="C216">
        <v>1688992</v>
      </c>
      <c r="G216">
        <f t="shared" si="9"/>
        <v>14.339642459248228</v>
      </c>
    </row>
    <row r="217" spans="1:7" x14ac:dyDescent="0.25">
      <c r="A217" s="17">
        <v>43221</v>
      </c>
      <c r="C217">
        <v>1698149</v>
      </c>
      <c r="G217">
        <f t="shared" si="9"/>
        <v>14.345049392298062</v>
      </c>
    </row>
    <row r="218" spans="1:7" x14ac:dyDescent="0.25">
      <c r="A218" s="17">
        <v>43252</v>
      </c>
      <c r="C218">
        <v>1706124</v>
      </c>
      <c r="G218">
        <f t="shared" si="9"/>
        <v>14.349734689034799</v>
      </c>
    </row>
    <row r="219" spans="1:7" x14ac:dyDescent="0.25">
      <c r="A219" s="17">
        <v>43282</v>
      </c>
      <c r="C219">
        <v>1713564</v>
      </c>
      <c r="G219">
        <f t="shared" si="9"/>
        <v>14.35408597005158</v>
      </c>
    </row>
    <row r="220" spans="1:7" x14ac:dyDescent="0.25">
      <c r="A220" s="17">
        <v>43313</v>
      </c>
      <c r="C220">
        <v>1731984</v>
      </c>
      <c r="G220">
        <f t="shared" si="9"/>
        <v>14.36477813018656</v>
      </c>
    </row>
    <row r="221" spans="1:7" x14ac:dyDescent="0.25">
      <c r="A221" s="17">
        <v>43344</v>
      </c>
      <c r="C221">
        <v>1740771</v>
      </c>
      <c r="G221">
        <f t="shared" si="9"/>
        <v>14.369838676497645</v>
      </c>
    </row>
    <row r="222" spans="1:7" x14ac:dyDescent="0.25">
      <c r="A222" s="17">
        <v>43374</v>
      </c>
      <c r="C222">
        <v>1759757</v>
      </c>
      <c r="G222">
        <f t="shared" si="9"/>
        <v>14.380686289300227</v>
      </c>
    </row>
    <row r="223" spans="1:7" x14ac:dyDescent="0.25">
      <c r="A223" s="17">
        <v>43405</v>
      </c>
      <c r="C223">
        <v>1784717</v>
      </c>
      <c r="G223">
        <f t="shared" si="9"/>
        <v>14.394770417209173</v>
      </c>
    </row>
    <row r="224" spans="1:7" x14ac:dyDescent="0.25">
      <c r="A224" s="17">
        <v>43435</v>
      </c>
      <c r="C224">
        <v>1803027</v>
      </c>
      <c r="G224">
        <f t="shared" si="9"/>
        <v>14.404977477114928</v>
      </c>
    </row>
    <row r="225" spans="1:7" x14ac:dyDescent="0.25">
      <c r="A225" s="17">
        <v>43466</v>
      </c>
      <c r="C225">
        <v>1814074</v>
      </c>
      <c r="G225">
        <f t="shared" si="9"/>
        <v>14.411085702650972</v>
      </c>
    </row>
    <row r="226" spans="1:7" x14ac:dyDescent="0.25">
      <c r="A226" s="17">
        <v>43497</v>
      </c>
      <c r="C226">
        <v>1823184</v>
      </c>
      <c r="G226">
        <f t="shared" si="9"/>
        <v>14.416094981096254</v>
      </c>
    </row>
    <row r="227" spans="1:7" x14ac:dyDescent="0.25">
      <c r="A227" s="17">
        <v>43525</v>
      </c>
      <c r="C227">
        <v>1836305</v>
      </c>
      <c r="G227">
        <f t="shared" si="9"/>
        <v>14.423265958370198</v>
      </c>
    </row>
    <row r="228" spans="1:7" x14ac:dyDescent="0.25">
      <c r="A228" s="17">
        <v>43556</v>
      </c>
      <c r="C228">
        <v>1852546</v>
      </c>
      <c r="G228">
        <f t="shared" si="9"/>
        <v>14.432071467153129</v>
      </c>
    </row>
    <row r="229" spans="1:7" x14ac:dyDescent="0.25">
      <c r="A229" s="17">
        <v>43586</v>
      </c>
      <c r="C229">
        <v>1870663</v>
      </c>
      <c r="G229">
        <f t="shared" si="9"/>
        <v>14.441803471448926</v>
      </c>
    </row>
    <row r="230" spans="1:7" x14ac:dyDescent="0.25">
      <c r="A230" s="17">
        <v>43617</v>
      </c>
      <c r="C230">
        <v>1882338</v>
      </c>
      <c r="G230">
        <f t="shared" si="9"/>
        <v>14.448025179176282</v>
      </c>
    </row>
    <row r="231" spans="1:7" x14ac:dyDescent="0.25">
      <c r="A231" s="17">
        <v>43647</v>
      </c>
      <c r="C231">
        <v>1899265</v>
      </c>
      <c r="G231">
        <f t="shared" si="9"/>
        <v>14.456977527188696</v>
      </c>
    </row>
    <row r="232" spans="1:7" x14ac:dyDescent="0.25">
      <c r="A232" s="17">
        <v>43678</v>
      </c>
      <c r="C232">
        <v>1921792</v>
      </c>
      <c r="G232">
        <f t="shared" si="9"/>
        <v>14.468768642052565</v>
      </c>
    </row>
    <row r="233" spans="1:7" x14ac:dyDescent="0.25">
      <c r="A233" s="17">
        <v>43709</v>
      </c>
      <c r="C233">
        <v>1941278</v>
      </c>
      <c r="G233">
        <f t="shared" si="9"/>
        <v>14.478857077037086</v>
      </c>
    </row>
    <row r="234" spans="1:7" x14ac:dyDescent="0.25">
      <c r="A234" s="17">
        <v>43739</v>
      </c>
      <c r="C234">
        <v>1964732</v>
      </c>
      <c r="G234">
        <f t="shared" si="9"/>
        <v>14.490866407215529</v>
      </c>
    </row>
    <row r="235" spans="1:7" x14ac:dyDescent="0.25">
      <c r="A235" s="17">
        <v>43770</v>
      </c>
      <c r="C235">
        <v>1987974</v>
      </c>
      <c r="G235">
        <f t="shared" si="9"/>
        <v>14.502626587642307</v>
      </c>
    </row>
    <row r="236" spans="1:7" x14ac:dyDescent="0.25">
      <c r="A236" s="17">
        <v>43800</v>
      </c>
      <c r="C236">
        <v>2017046</v>
      </c>
      <c r="G236">
        <f t="shared" si="9"/>
        <v>14.517144622824036</v>
      </c>
    </row>
    <row r="237" spans="1:7" x14ac:dyDescent="0.25">
      <c r="A237" s="17">
        <v>43831</v>
      </c>
      <c r="C237">
        <v>2033634</v>
      </c>
      <c r="G237">
        <f t="shared" si="9"/>
        <v>14.525334898396368</v>
      </c>
    </row>
    <row r="238" spans="1:7" x14ac:dyDescent="0.25">
      <c r="A238" s="17">
        <v>43862</v>
      </c>
      <c r="C238">
        <v>2042663</v>
      </c>
      <c r="G238">
        <f t="shared" si="9"/>
        <v>14.529764906693678</v>
      </c>
    </row>
    <row r="239" spans="1:7" x14ac:dyDescent="0.25">
      <c r="A239" s="17">
        <v>43891</v>
      </c>
      <c r="C239">
        <v>2049296</v>
      </c>
      <c r="G239">
        <f t="shared" si="9"/>
        <v>14.533006877500135</v>
      </c>
    </row>
    <row r="240" spans="1:7" x14ac:dyDescent="0.25">
      <c r="A240" s="17">
        <v>43922</v>
      </c>
      <c r="C240">
        <v>2029361</v>
      </c>
      <c r="G240">
        <f t="shared" si="9"/>
        <v>14.523231523139751</v>
      </c>
    </row>
    <row r="241" spans="1:7" x14ac:dyDescent="0.25">
      <c r="A241" s="17">
        <v>43952</v>
      </c>
      <c r="C241">
        <v>2027797</v>
      </c>
      <c r="G241">
        <f t="shared" si="9"/>
        <v>14.52246054006368</v>
      </c>
    </row>
    <row r="242" spans="1:7" x14ac:dyDescent="0.25">
      <c r="A242" s="17">
        <v>43983</v>
      </c>
      <c r="C242">
        <v>2041148</v>
      </c>
      <c r="G242">
        <f t="shared" si="9"/>
        <v>14.529022952636794</v>
      </c>
    </row>
    <row r="243" spans="1:7" x14ac:dyDescent="0.25">
      <c r="A243" s="17">
        <v>44013</v>
      </c>
      <c r="C243">
        <v>2060427</v>
      </c>
      <c r="G243">
        <f t="shared" si="9"/>
        <v>14.538423800839309</v>
      </c>
    </row>
    <row r="244" spans="1:7" x14ac:dyDescent="0.25">
      <c r="A244" s="17">
        <v>44044</v>
      </c>
      <c r="C244">
        <v>2092135</v>
      </c>
      <c r="G244">
        <f t="shared" si="9"/>
        <v>14.553695633633637</v>
      </c>
    </row>
    <row r="245" spans="1:7" x14ac:dyDescent="0.25">
      <c r="A245" s="17">
        <v>44075</v>
      </c>
      <c r="C245">
        <v>2123095</v>
      </c>
      <c r="G245">
        <f t="shared" si="9"/>
        <v>14.568385487682347</v>
      </c>
    </row>
    <row r="246" spans="1:7" x14ac:dyDescent="0.25">
      <c r="A246" s="17">
        <v>44105</v>
      </c>
      <c r="C246">
        <v>2159091</v>
      </c>
      <c r="G246">
        <f t="shared" si="9"/>
        <v>14.585197857751815</v>
      </c>
    </row>
    <row r="247" spans="1:7" x14ac:dyDescent="0.25">
      <c r="A247" s="17">
        <v>44136</v>
      </c>
      <c r="C247">
        <v>2205704</v>
      </c>
      <c r="G247">
        <f t="shared" si="9"/>
        <v>14.606557290282282</v>
      </c>
    </row>
    <row r="248" spans="1:7" x14ac:dyDescent="0.25">
      <c r="A248" s="17">
        <v>44166</v>
      </c>
      <c r="C248">
        <v>2241085</v>
      </c>
      <c r="G248">
        <f t="shared" si="9"/>
        <v>14.62247068155952</v>
      </c>
    </row>
    <row r="249" spans="1:7" x14ac:dyDescent="0.25">
      <c r="A249" s="17">
        <v>44197</v>
      </c>
      <c r="C249">
        <v>2254465</v>
      </c>
      <c r="G249">
        <f t="shared" si="9"/>
        <v>14.628423252216226</v>
      </c>
    </row>
    <row r="250" spans="1:7" x14ac:dyDescent="0.25">
      <c r="A250" s="17">
        <v>44228</v>
      </c>
      <c r="C250">
        <v>2271837</v>
      </c>
      <c r="G250">
        <f t="shared" si="9"/>
        <v>14.636099313291783</v>
      </c>
    </row>
    <row r="251" spans="1:7" x14ac:dyDescent="0.25">
      <c r="A251" s="17">
        <v>44256</v>
      </c>
      <c r="C251">
        <v>2298345</v>
      </c>
      <c r="G251">
        <f t="shared" si="9"/>
        <v>14.647699856670679</v>
      </c>
    </row>
    <row r="252" spans="1:7" x14ac:dyDescent="0.25">
      <c r="A252" s="17">
        <v>44287</v>
      </c>
      <c r="C252">
        <v>2323306</v>
      </c>
      <c r="G252">
        <f t="shared" si="9"/>
        <v>14.65850172929351</v>
      </c>
    </row>
    <row r="253" spans="1:7" x14ac:dyDescent="0.25">
      <c r="A253" s="17">
        <v>44317</v>
      </c>
      <c r="C253">
        <v>2361957</v>
      </c>
      <c r="G253">
        <f t="shared" si="9"/>
        <v>14.67500107066264</v>
      </c>
    </row>
    <row r="254" spans="1:7" x14ac:dyDescent="0.25">
      <c r="A254" s="17">
        <v>44348</v>
      </c>
      <c r="C254">
        <v>2399411</v>
      </c>
      <c r="G254">
        <f t="shared" si="9"/>
        <v>14.690733848531909</v>
      </c>
    </row>
    <row r="255" spans="1:7" x14ac:dyDescent="0.25">
      <c r="A255" s="17">
        <v>44378</v>
      </c>
      <c r="C255">
        <v>2440812</v>
      </c>
      <c r="G255">
        <f t="shared" si="9"/>
        <v>14.707841328793357</v>
      </c>
    </row>
    <row r="256" spans="1:7" x14ac:dyDescent="0.25">
      <c r="A256" s="17">
        <v>44409</v>
      </c>
      <c r="C256">
        <v>2497623</v>
      </c>
      <c r="G256">
        <f t="shared" si="9"/>
        <v>14.730850037541391</v>
      </c>
    </row>
    <row r="257" spans="1:7" x14ac:dyDescent="0.25">
      <c r="A257" s="17">
        <v>44440</v>
      </c>
      <c r="C257">
        <v>2549567</v>
      </c>
      <c r="G257">
        <f t="shared" si="9"/>
        <v>14.751434098794721</v>
      </c>
    </row>
    <row r="258" spans="1:7" x14ac:dyDescent="0.25">
      <c r="A258" s="17">
        <v>44470</v>
      </c>
      <c r="C258">
        <v>2603729</v>
      </c>
      <c r="G258">
        <f t="shared" si="9"/>
        <v>14.772455206234348</v>
      </c>
    </row>
    <row r="259" spans="1:7" x14ac:dyDescent="0.25">
      <c r="A259" s="17">
        <v>44501</v>
      </c>
      <c r="C259">
        <v>2667031</v>
      </c>
      <c r="G259">
        <f t="shared" si="9"/>
        <v>14.796476426643656</v>
      </c>
    </row>
    <row r="260" spans="1:7" x14ac:dyDescent="0.25">
      <c r="A260" s="17">
        <v>44531</v>
      </c>
      <c r="C260">
        <v>2710828</v>
      </c>
      <c r="G260">
        <f t="shared" si="9"/>
        <v>14.812764681244904</v>
      </c>
    </row>
    <row r="261" spans="1:7" x14ac:dyDescent="0.25">
      <c r="A261" s="17">
        <v>44562</v>
      </c>
      <c r="C261">
        <v>2737424</v>
      </c>
      <c r="G261">
        <f t="shared" si="9"/>
        <v>14.822527890164428</v>
      </c>
    </row>
    <row r="262" spans="1:7" x14ac:dyDescent="0.25">
      <c r="A262" s="17">
        <v>44593</v>
      </c>
      <c r="C262">
        <v>2757765</v>
      </c>
      <c r="G262">
        <f t="shared" si="9"/>
        <v>14.829931127033589</v>
      </c>
    </row>
    <row r="263" spans="1:7" x14ac:dyDescent="0.25">
      <c r="A263" s="17">
        <v>44621</v>
      </c>
      <c r="C263">
        <v>2802130</v>
      </c>
      <c r="G263">
        <f t="shared" si="9"/>
        <v>14.845890400234689</v>
      </c>
    </row>
    <row r="264" spans="1:7" x14ac:dyDescent="0.25">
      <c r="A264" s="17">
        <v>44652</v>
      </c>
      <c r="C264">
        <v>2832142</v>
      </c>
      <c r="G264">
        <f t="shared" si="9"/>
        <v>14.856543873781655</v>
      </c>
    </row>
    <row r="265" spans="1:7" x14ac:dyDescent="0.25">
      <c r="A265" s="17">
        <v>44682</v>
      </c>
      <c r="C265">
        <v>2877252</v>
      </c>
      <c r="G265">
        <f t="shared" si="9"/>
        <v>14.872346229938673</v>
      </c>
    </row>
    <row r="266" spans="1:7" x14ac:dyDescent="0.25">
      <c r="A266" s="17">
        <v>44713</v>
      </c>
      <c r="C266">
        <v>2916113</v>
      </c>
      <c r="G266">
        <f t="shared" si="9"/>
        <v>14.885762123074535</v>
      </c>
    </row>
    <row r="267" spans="1:7" x14ac:dyDescent="0.25">
      <c r="A267" s="17">
        <v>44743</v>
      </c>
      <c r="C267">
        <v>2957380</v>
      </c>
      <c r="G267">
        <f t="shared" si="9"/>
        <v>14.899814299201694</v>
      </c>
    </row>
    <row r="268" spans="1:7" x14ac:dyDescent="0.25">
      <c r="A268" s="17">
        <v>44774</v>
      </c>
      <c r="C268">
        <v>3013124</v>
      </c>
      <c r="G268">
        <f t="shared" si="9"/>
        <v>14.918487972260616</v>
      </c>
    </row>
    <row r="269" spans="1:7" x14ac:dyDescent="0.25">
      <c r="A269" s="17">
        <v>44805</v>
      </c>
      <c r="C269">
        <v>3058201</v>
      </c>
      <c r="G269">
        <f t="shared" si="9"/>
        <v>14.933337392545868</v>
      </c>
    </row>
    <row r="270" spans="1:7" x14ac:dyDescent="0.25">
      <c r="A270" s="17">
        <v>44835</v>
      </c>
      <c r="C270">
        <v>3114097</v>
      </c>
      <c r="G270">
        <f t="shared" si="9"/>
        <v>14.951449780537697</v>
      </c>
    </row>
    <row r="271" spans="1:7" x14ac:dyDescent="0.25">
      <c r="A271" s="17">
        <v>44866</v>
      </c>
      <c r="C271">
        <v>3159223</v>
      </c>
      <c r="G271">
        <f t="shared" si="9"/>
        <v>14.965836669252209</v>
      </c>
    </row>
    <row r="272" spans="1:7" x14ac:dyDescent="0.25">
      <c r="A272" s="17">
        <v>44896</v>
      </c>
      <c r="C272">
        <v>3190981</v>
      </c>
      <c r="G272">
        <f t="shared" si="9"/>
        <v>14.975838950996335</v>
      </c>
    </row>
    <row r="273" spans="1:7" x14ac:dyDescent="0.25">
      <c r="A273" s="17">
        <v>44927</v>
      </c>
      <c r="C273">
        <v>3226470</v>
      </c>
      <c r="G273">
        <f t="shared" si="9"/>
        <v>14.986899218313875</v>
      </c>
    </row>
    <row r="274" spans="1:7" x14ac:dyDescent="0.25">
      <c r="A274" s="17">
        <v>44958</v>
      </c>
      <c r="C274">
        <v>3240687</v>
      </c>
      <c r="G274">
        <f t="shared" si="9"/>
        <v>14.991295902328874</v>
      </c>
    </row>
    <row r="275" spans="1:7" x14ac:dyDescent="0.25">
      <c r="A275" s="17">
        <v>44986</v>
      </c>
      <c r="C275">
        <v>3274402</v>
      </c>
      <c r="G275">
        <f t="shared" si="9"/>
        <v>15.001645814959069</v>
      </c>
    </row>
    <row r="276" spans="1:7" x14ac:dyDescent="0.25">
      <c r="A276" s="17">
        <v>45017</v>
      </c>
      <c r="C276">
        <v>3286375</v>
      </c>
      <c r="G276">
        <f t="shared" si="9"/>
        <v>15.005295691579359</v>
      </c>
    </row>
    <row r="277" spans="1:7" x14ac:dyDescent="0.25">
      <c r="A277" s="17">
        <v>45047</v>
      </c>
      <c r="C277">
        <v>3313322</v>
      </c>
      <c r="G277">
        <f t="shared" ref="G277:G284" si="10">LN(C277)</f>
        <v>15.013461869435659</v>
      </c>
    </row>
    <row r="278" spans="1:7" x14ac:dyDescent="0.25">
      <c r="A278" s="17">
        <v>45078</v>
      </c>
      <c r="C278">
        <v>3314984</v>
      </c>
      <c r="G278">
        <f t="shared" si="10"/>
        <v>15.013963355044449</v>
      </c>
    </row>
    <row r="279" spans="1:7" x14ac:dyDescent="0.25">
      <c r="A279" s="17">
        <v>45108</v>
      </c>
      <c r="C279">
        <v>3336276</v>
      </c>
      <c r="G279">
        <f t="shared" si="10"/>
        <v>15.020365772851472</v>
      </c>
    </row>
    <row r="280" spans="1:7" x14ac:dyDescent="0.25">
      <c r="A280" s="17">
        <v>45139</v>
      </c>
      <c r="C280">
        <v>3391605</v>
      </c>
      <c r="G280">
        <f t="shared" si="10"/>
        <v>15.036813818641351</v>
      </c>
    </row>
    <row r="281" spans="1:7" x14ac:dyDescent="0.25">
      <c r="A281" s="17">
        <v>45170</v>
      </c>
      <c r="C281">
        <v>3415942</v>
      </c>
      <c r="G281">
        <f t="shared" si="10"/>
        <v>15.043963854823737</v>
      </c>
    </row>
    <row r="282" spans="1:7" x14ac:dyDescent="0.25">
      <c r="A282" s="17">
        <v>45200</v>
      </c>
      <c r="C282">
        <v>3449662</v>
      </c>
      <c r="G282">
        <f t="shared" si="10"/>
        <v>15.053786813193577</v>
      </c>
    </row>
    <row r="283" spans="1:7" x14ac:dyDescent="0.25">
      <c r="A283" s="17">
        <v>45231</v>
      </c>
      <c r="C283">
        <v>3490475</v>
      </c>
      <c r="G283">
        <f t="shared" si="10"/>
        <v>15.06554838806928</v>
      </c>
    </row>
    <row r="284" spans="1:7" x14ac:dyDescent="0.25">
      <c r="A284" s="17">
        <v>45261</v>
      </c>
      <c r="C284">
        <v>3514597</v>
      </c>
      <c r="G284">
        <f t="shared" si="10"/>
        <v>15.072435425160318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H329"/>
  <sheetViews>
    <sheetView workbookViewId="0">
      <selection activeCell="G128" sqref="G128:H196"/>
    </sheetView>
  </sheetViews>
  <sheetFormatPr defaultRowHeight="15" x14ac:dyDescent="0.25"/>
  <cols>
    <col min="1" max="1" width="16.5703125" customWidth="1"/>
    <col min="2" max="2" width="13" customWidth="1"/>
    <col min="3" max="4" width="9.140625" style="8"/>
    <col min="5" max="5" width="11.5703125" bestFit="1" customWidth="1"/>
    <col min="6" max="6" width="13.28515625" bestFit="1" customWidth="1"/>
  </cols>
  <sheetData>
    <row r="1" spans="1:8" x14ac:dyDescent="0.25">
      <c r="A1" s="9" t="s">
        <v>47</v>
      </c>
      <c r="B1" t="s">
        <v>47</v>
      </c>
    </row>
    <row r="2" spans="1:8" x14ac:dyDescent="0.25">
      <c r="A2" s="9" t="s">
        <v>3</v>
      </c>
      <c r="B2" t="s">
        <v>41</v>
      </c>
      <c r="E2" s="11">
        <v>15743.11</v>
      </c>
      <c r="F2" s="11">
        <v>0</v>
      </c>
    </row>
    <row r="3" spans="1:8" x14ac:dyDescent="0.25">
      <c r="A3" s="9">
        <v>15743.11</v>
      </c>
      <c r="B3" s="9">
        <v>0</v>
      </c>
      <c r="E3" s="11">
        <v>17209.455000000002</v>
      </c>
      <c r="F3" s="11">
        <v>0</v>
      </c>
      <c r="G3" s="8">
        <f>E3/E2-1</f>
        <v>9.3142015777060605E-2</v>
      </c>
      <c r="H3" s="8"/>
    </row>
    <row r="4" spans="1:8" x14ac:dyDescent="0.25">
      <c r="A4" s="9">
        <v>17209.455000000002</v>
      </c>
      <c r="B4" s="9">
        <v>0</v>
      </c>
      <c r="C4" s="8">
        <f>A4/A3-1</f>
        <v>9.3142015777060605E-2</v>
      </c>
      <c r="E4" s="11">
        <v>18071.420999999998</v>
      </c>
      <c r="F4" s="11">
        <v>0</v>
      </c>
      <c r="G4" s="8">
        <f t="shared" ref="G4:G67" si="0">E4/E3-1</f>
        <v>5.0086769162648981E-2</v>
      </c>
      <c r="H4" s="8"/>
    </row>
    <row r="5" spans="1:8" x14ac:dyDescent="0.25">
      <c r="A5" s="9">
        <v>18071.420999999998</v>
      </c>
      <c r="B5" s="9">
        <v>0</v>
      </c>
      <c r="C5" s="8">
        <f t="shared" ref="C5:C68" si="1">A5/A4-1</f>
        <v>5.0086769162648981E-2</v>
      </c>
      <c r="E5" s="11">
        <v>20008.185000000001</v>
      </c>
      <c r="F5" s="11">
        <v>0</v>
      </c>
      <c r="G5" s="8">
        <f t="shared" si="0"/>
        <v>0.10717275636487034</v>
      </c>
      <c r="H5" s="8"/>
    </row>
    <row r="6" spans="1:8" x14ac:dyDescent="0.25">
      <c r="A6" s="9">
        <v>20008.185000000001</v>
      </c>
      <c r="B6" s="9">
        <v>0</v>
      </c>
      <c r="C6" s="8">
        <f t="shared" si="1"/>
        <v>0.10717275636487034</v>
      </c>
      <c r="E6" s="11">
        <v>21135.069</v>
      </c>
      <c r="F6" s="11">
        <v>0</v>
      </c>
      <c r="G6" s="8">
        <f t="shared" si="0"/>
        <v>5.6321150569129452E-2</v>
      </c>
      <c r="H6" s="8"/>
    </row>
    <row r="7" spans="1:8" x14ac:dyDescent="0.25">
      <c r="A7" s="9">
        <v>21135.069</v>
      </c>
      <c r="B7" s="9">
        <v>0</v>
      </c>
      <c r="C7" s="8">
        <f t="shared" si="1"/>
        <v>5.6321150569129452E-2</v>
      </c>
      <c r="E7" s="11">
        <v>21721.683000000001</v>
      </c>
      <c r="F7" s="11">
        <v>0</v>
      </c>
      <c r="G7" s="8">
        <f t="shared" si="0"/>
        <v>2.7755480713121949E-2</v>
      </c>
      <c r="H7" s="8"/>
    </row>
    <row r="8" spans="1:8" x14ac:dyDescent="0.25">
      <c r="A8" s="9">
        <v>21721.683000000001</v>
      </c>
      <c r="B8" s="9">
        <v>0</v>
      </c>
      <c r="C8" s="8">
        <f t="shared" si="1"/>
        <v>2.7755480713121949E-2</v>
      </c>
      <c r="E8" s="11">
        <v>23085.635999999999</v>
      </c>
      <c r="F8" s="11">
        <v>0</v>
      </c>
      <c r="G8" s="8">
        <f t="shared" si="0"/>
        <v>6.2792233916681317E-2</v>
      </c>
      <c r="H8" s="8"/>
    </row>
    <row r="9" spans="1:8" x14ac:dyDescent="0.25">
      <c r="A9" s="9">
        <v>23085.635999999999</v>
      </c>
      <c r="B9" s="9">
        <v>0</v>
      </c>
      <c r="C9" s="8">
        <f t="shared" si="1"/>
        <v>6.2792233916681317E-2</v>
      </c>
      <c r="E9" s="11">
        <v>23178.791000000001</v>
      </c>
      <c r="F9" s="11">
        <v>0</v>
      </c>
      <c r="G9" s="8">
        <f t="shared" si="0"/>
        <v>4.0351931391451323E-3</v>
      </c>
      <c r="H9" s="8"/>
    </row>
    <row r="10" spans="1:8" x14ac:dyDescent="0.25">
      <c r="A10" s="9">
        <v>23178.791000000001</v>
      </c>
      <c r="B10" s="9">
        <v>0</v>
      </c>
      <c r="C10" s="8">
        <f t="shared" si="1"/>
        <v>4.0351931391451323E-3</v>
      </c>
      <c r="E10" s="11">
        <v>24197.794000000002</v>
      </c>
      <c r="F10" s="11">
        <v>0</v>
      </c>
      <c r="G10" s="8">
        <f t="shared" si="0"/>
        <v>4.3962733000181053E-2</v>
      </c>
      <c r="H10" s="8"/>
    </row>
    <row r="11" spans="1:8" x14ac:dyDescent="0.25">
      <c r="A11" s="9">
        <v>24197.794000000002</v>
      </c>
      <c r="B11" s="9">
        <v>0</v>
      </c>
      <c r="C11" s="8">
        <f t="shared" si="1"/>
        <v>4.3962733000181053E-2</v>
      </c>
      <c r="E11" s="11">
        <v>24498.436000000002</v>
      </c>
      <c r="F11" s="11">
        <v>0</v>
      </c>
      <c r="G11" s="8">
        <f t="shared" si="0"/>
        <v>1.2424355707797208E-2</v>
      </c>
      <c r="H11" s="8"/>
    </row>
    <row r="12" spans="1:8" x14ac:dyDescent="0.25">
      <c r="A12" s="9">
        <v>24498.436000000002</v>
      </c>
      <c r="B12" s="9">
        <v>0</v>
      </c>
      <c r="C12" s="8">
        <f t="shared" si="1"/>
        <v>1.2424355707797208E-2</v>
      </c>
      <c r="E12" s="11">
        <v>24839.420999999998</v>
      </c>
      <c r="F12" s="11">
        <v>0</v>
      </c>
      <c r="G12" s="8">
        <f t="shared" si="0"/>
        <v>1.391864362280093E-2</v>
      </c>
      <c r="H12" s="8"/>
    </row>
    <row r="13" spans="1:8" x14ac:dyDescent="0.25">
      <c r="A13" s="9">
        <v>24839.420999999998</v>
      </c>
      <c r="B13" s="9">
        <v>0</v>
      </c>
      <c r="C13" s="8">
        <f t="shared" si="1"/>
        <v>1.391864362280093E-2</v>
      </c>
      <c r="E13" s="11">
        <v>23932.162</v>
      </c>
      <c r="F13" s="11">
        <v>0</v>
      </c>
      <c r="G13" s="8">
        <f t="shared" si="0"/>
        <v>-3.6524965698677025E-2</v>
      </c>
      <c r="H13" s="8"/>
    </row>
    <row r="14" spans="1:8" x14ac:dyDescent="0.25">
      <c r="A14" s="9">
        <v>23932.162</v>
      </c>
      <c r="B14" s="9">
        <v>0</v>
      </c>
      <c r="C14" s="8">
        <f t="shared" si="1"/>
        <v>-3.6524965698677025E-2</v>
      </c>
      <c r="E14" s="11">
        <v>24218.297999999999</v>
      </c>
      <c r="F14" s="11">
        <v>0</v>
      </c>
      <c r="G14" s="8">
        <f t="shared" si="0"/>
        <v>1.1956128326391813E-2</v>
      </c>
      <c r="H14" s="8"/>
    </row>
    <row r="15" spans="1:8" x14ac:dyDescent="0.25">
      <c r="A15" s="9">
        <v>24218.297999999999</v>
      </c>
      <c r="B15" s="9">
        <v>0</v>
      </c>
      <c r="C15" s="8">
        <f t="shared" si="1"/>
        <v>1.1956128326391813E-2</v>
      </c>
      <c r="E15" s="11">
        <v>23299.614000000001</v>
      </c>
      <c r="F15" s="11">
        <v>0</v>
      </c>
      <c r="G15" s="8">
        <f t="shared" si="0"/>
        <v>-3.7933466670531435E-2</v>
      </c>
      <c r="H15" s="8"/>
    </row>
    <row r="16" spans="1:8" x14ac:dyDescent="0.25">
      <c r="A16" s="9">
        <v>23299.614000000001</v>
      </c>
      <c r="B16" s="9">
        <v>0</v>
      </c>
      <c r="C16" s="8">
        <f t="shared" si="1"/>
        <v>-3.7933466670531435E-2</v>
      </c>
      <c r="E16" s="11">
        <v>22260.975999999999</v>
      </c>
      <c r="F16" s="11">
        <v>0</v>
      </c>
      <c r="G16" s="8">
        <f t="shared" si="0"/>
        <v>-4.4577476691244899E-2</v>
      </c>
      <c r="H16" s="8"/>
    </row>
    <row r="17" spans="1:8" x14ac:dyDescent="0.25">
      <c r="A17" s="9">
        <v>22260.975999999999</v>
      </c>
      <c r="B17" s="9">
        <v>0</v>
      </c>
      <c r="C17" s="8">
        <f t="shared" si="1"/>
        <v>-4.4577476691244899E-2</v>
      </c>
      <c r="E17" s="11">
        <v>22436.148000000001</v>
      </c>
      <c r="F17" s="11">
        <v>0</v>
      </c>
      <c r="G17" s="8">
        <f t="shared" si="0"/>
        <v>7.8690170637623069E-3</v>
      </c>
      <c r="H17" s="8"/>
    </row>
    <row r="18" spans="1:8" x14ac:dyDescent="0.25">
      <c r="A18" s="9">
        <v>22436.148000000001</v>
      </c>
      <c r="B18" s="9">
        <v>0</v>
      </c>
      <c r="C18" s="8">
        <f t="shared" si="1"/>
        <v>7.8690170637623069E-3</v>
      </c>
      <c r="E18" s="11">
        <v>22392.877</v>
      </c>
      <c r="F18" s="11">
        <v>0</v>
      </c>
      <c r="G18" s="8">
        <f t="shared" si="0"/>
        <v>-1.9286287467884522E-3</v>
      </c>
      <c r="H18" s="8"/>
    </row>
    <row r="19" spans="1:8" x14ac:dyDescent="0.25">
      <c r="A19" s="9">
        <v>22392.877</v>
      </c>
      <c r="B19" s="9">
        <v>0</v>
      </c>
      <c r="C19" s="8">
        <f t="shared" si="1"/>
        <v>-1.9286287467884522E-3</v>
      </c>
      <c r="E19" s="11">
        <v>22153.458999999999</v>
      </c>
      <c r="F19" s="11">
        <v>0</v>
      </c>
      <c r="G19" s="8">
        <f t="shared" si="0"/>
        <v>-1.0691703437660127E-2</v>
      </c>
      <c r="H19" s="8"/>
    </row>
    <row r="20" spans="1:8" x14ac:dyDescent="0.25">
      <c r="A20" s="9">
        <v>22153.458999999999</v>
      </c>
      <c r="B20" s="9">
        <v>0</v>
      </c>
      <c r="C20" s="8">
        <f t="shared" si="1"/>
        <v>-1.0691703437660127E-2</v>
      </c>
      <c r="E20" s="11">
        <v>22047.207999999999</v>
      </c>
      <c r="F20" s="11">
        <v>0</v>
      </c>
      <c r="G20" s="8">
        <f t="shared" si="0"/>
        <v>-4.7961358991388536E-3</v>
      </c>
      <c r="H20" s="8"/>
    </row>
    <row r="21" spans="1:8" x14ac:dyDescent="0.25">
      <c r="A21" s="9">
        <v>22047.207999999999</v>
      </c>
      <c r="B21" s="9">
        <v>0</v>
      </c>
      <c r="C21" s="8">
        <f t="shared" si="1"/>
        <v>-4.7961358991388536E-3</v>
      </c>
      <c r="E21" s="11">
        <v>21302.177</v>
      </c>
      <c r="F21" s="11">
        <v>0</v>
      </c>
      <c r="G21" s="8">
        <f t="shared" si="0"/>
        <v>-3.3792532823203714E-2</v>
      </c>
      <c r="H21" s="8"/>
    </row>
    <row r="22" spans="1:8" x14ac:dyDescent="0.25">
      <c r="A22" s="9">
        <v>21302.177</v>
      </c>
      <c r="B22" s="9">
        <v>0</v>
      </c>
      <c r="C22" s="8">
        <f t="shared" si="1"/>
        <v>-3.3792532823203714E-2</v>
      </c>
      <c r="E22" s="11">
        <v>21006.809000000001</v>
      </c>
      <c r="F22" s="11">
        <v>0</v>
      </c>
      <c r="G22" s="8">
        <f t="shared" si="0"/>
        <v>-1.3865625095500711E-2</v>
      </c>
      <c r="H22" s="8"/>
    </row>
    <row r="23" spans="1:8" x14ac:dyDescent="0.25">
      <c r="A23" s="9">
        <v>21006.809000000001</v>
      </c>
      <c r="B23" s="9">
        <v>0</v>
      </c>
      <c r="C23" s="8">
        <f t="shared" si="1"/>
        <v>-1.3865625095500711E-2</v>
      </c>
      <c r="E23" s="11">
        <v>20739.534</v>
      </c>
      <c r="F23" s="11">
        <v>0</v>
      </c>
      <c r="G23" s="8">
        <f t="shared" si="0"/>
        <v>-1.2723255588223847E-2</v>
      </c>
      <c r="H23" s="8"/>
    </row>
    <row r="24" spans="1:8" x14ac:dyDescent="0.25">
      <c r="A24" s="9">
        <v>20739.534</v>
      </c>
      <c r="B24" s="9">
        <v>0</v>
      </c>
      <c r="C24" s="8">
        <f t="shared" si="1"/>
        <v>-1.2723255588223847E-2</v>
      </c>
      <c r="E24" s="11">
        <v>20616.317999999999</v>
      </c>
      <c r="F24" s="11">
        <v>0</v>
      </c>
      <c r="G24" s="8">
        <f t="shared" si="0"/>
        <v>-5.9411170954950521E-3</v>
      </c>
      <c r="H24" s="8"/>
    </row>
    <row r="25" spans="1:8" x14ac:dyDescent="0.25">
      <c r="A25" s="9">
        <v>20616.317999999999</v>
      </c>
      <c r="B25" s="9">
        <v>0</v>
      </c>
      <c r="C25" s="8">
        <f t="shared" si="1"/>
        <v>-5.9411170954950521E-3</v>
      </c>
      <c r="E25" s="11">
        <v>20072.870999999999</v>
      </c>
      <c r="F25" s="11">
        <v>0</v>
      </c>
      <c r="G25" s="8">
        <f t="shared" si="0"/>
        <v>-2.6360041594236217E-2</v>
      </c>
      <c r="H25" s="8"/>
    </row>
    <row r="26" spans="1:8" x14ac:dyDescent="0.25">
      <c r="A26" s="9">
        <v>20072.870999999999</v>
      </c>
      <c r="B26" s="9">
        <v>0</v>
      </c>
      <c r="C26" s="8">
        <f t="shared" si="1"/>
        <v>-2.6360041594236217E-2</v>
      </c>
      <c r="E26" s="11">
        <v>19533.744999999999</v>
      </c>
      <c r="F26" s="11">
        <v>0</v>
      </c>
      <c r="G26" s="8">
        <f t="shared" si="0"/>
        <v>-2.6858439931188749E-2</v>
      </c>
      <c r="H26" s="8"/>
    </row>
    <row r="27" spans="1:8" x14ac:dyDescent="0.25">
      <c r="A27" s="9">
        <v>19533.744999999999</v>
      </c>
      <c r="B27" s="9">
        <v>0</v>
      </c>
      <c r="C27" s="8">
        <f t="shared" si="1"/>
        <v>-2.6858439931188749E-2</v>
      </c>
      <c r="E27" s="11">
        <v>19334.129000000001</v>
      </c>
      <c r="F27" s="11">
        <v>0</v>
      </c>
      <c r="G27" s="8">
        <f t="shared" si="0"/>
        <v>-1.0219033779748754E-2</v>
      </c>
      <c r="H27" s="8"/>
    </row>
    <row r="28" spans="1:8" x14ac:dyDescent="0.25">
      <c r="A28" s="9">
        <v>19334.129000000001</v>
      </c>
      <c r="B28" s="9">
        <v>0</v>
      </c>
      <c r="C28" s="8">
        <f t="shared" si="1"/>
        <v>-1.0219033779748754E-2</v>
      </c>
      <c r="E28" s="11">
        <v>18981.655999999999</v>
      </c>
      <c r="F28" s="11">
        <v>0</v>
      </c>
      <c r="G28" s="8">
        <f t="shared" si="0"/>
        <v>-1.823061178499441E-2</v>
      </c>
      <c r="H28" s="8"/>
    </row>
    <row r="29" spans="1:8" x14ac:dyDescent="0.25">
      <c r="A29" s="9">
        <v>18981.655999999999</v>
      </c>
      <c r="B29" s="9">
        <v>0</v>
      </c>
      <c r="C29" s="8">
        <f t="shared" si="1"/>
        <v>-1.823061178499441E-2</v>
      </c>
      <c r="E29" s="11">
        <v>19194.129000000001</v>
      </c>
      <c r="F29" s="11">
        <v>0</v>
      </c>
      <c r="G29" s="8">
        <f t="shared" si="0"/>
        <v>1.1193596596630107E-2</v>
      </c>
      <c r="H29" s="8"/>
    </row>
    <row r="30" spans="1:8" x14ac:dyDescent="0.25">
      <c r="A30" s="9">
        <v>19194.129000000001</v>
      </c>
      <c r="B30" s="9">
        <v>0</v>
      </c>
      <c r="C30" s="8">
        <f t="shared" si="1"/>
        <v>1.1193596596630107E-2</v>
      </c>
      <c r="E30" s="11">
        <v>18827.806</v>
      </c>
      <c r="F30" s="11">
        <v>0</v>
      </c>
      <c r="G30" s="8">
        <f t="shared" si="0"/>
        <v>-1.9085158800381086E-2</v>
      </c>
      <c r="H30" s="8"/>
    </row>
    <row r="31" spans="1:8" x14ac:dyDescent="0.25">
      <c r="A31" s="9">
        <v>18827.806</v>
      </c>
      <c r="B31" s="9">
        <v>0</v>
      </c>
      <c r="C31" s="8">
        <f t="shared" si="1"/>
        <v>-1.9085158800381086E-2</v>
      </c>
      <c r="E31" s="11">
        <v>18859.672999999999</v>
      </c>
      <c r="F31" s="11">
        <v>0</v>
      </c>
      <c r="G31" s="8">
        <f t="shared" si="0"/>
        <v>1.6925498382551751E-3</v>
      </c>
      <c r="H31" s="8"/>
    </row>
    <row r="32" spans="1:8" x14ac:dyDescent="0.25">
      <c r="A32" s="9">
        <v>18859.672999999999</v>
      </c>
      <c r="B32" s="9">
        <v>0</v>
      </c>
      <c r="C32" s="8">
        <f t="shared" si="1"/>
        <v>1.6925498382551751E-3</v>
      </c>
      <c r="E32" s="11">
        <v>19129.559000000001</v>
      </c>
      <c r="F32" s="11">
        <v>0</v>
      </c>
      <c r="G32" s="8">
        <f t="shared" si="0"/>
        <v>1.4310216301205436E-2</v>
      </c>
      <c r="H32" s="8"/>
    </row>
    <row r="33" spans="1:8" x14ac:dyDescent="0.25">
      <c r="A33" s="9">
        <v>19129.559000000001</v>
      </c>
      <c r="B33" s="9">
        <v>0</v>
      </c>
      <c r="C33" s="8">
        <f t="shared" si="1"/>
        <v>1.4310216301205436E-2</v>
      </c>
      <c r="E33" s="11">
        <v>19352.66</v>
      </c>
      <c r="F33" s="11">
        <v>0</v>
      </c>
      <c r="G33" s="8">
        <f t="shared" si="0"/>
        <v>1.16626316372479E-2</v>
      </c>
      <c r="H33" s="8"/>
    </row>
    <row r="34" spans="1:8" x14ac:dyDescent="0.25">
      <c r="A34" s="9">
        <v>19352.66</v>
      </c>
      <c r="B34" s="9">
        <v>0</v>
      </c>
      <c r="C34" s="8">
        <f t="shared" si="1"/>
        <v>1.16626316372479E-2</v>
      </c>
      <c r="E34" s="11">
        <v>19390.913</v>
      </c>
      <c r="F34" s="11">
        <v>0</v>
      </c>
      <c r="G34" s="8">
        <f t="shared" si="0"/>
        <v>1.9766275023691549E-3</v>
      </c>
      <c r="H34" s="8"/>
    </row>
    <row r="35" spans="1:8" x14ac:dyDescent="0.25">
      <c r="A35" s="9">
        <v>19390.913</v>
      </c>
      <c r="B35" s="9">
        <v>0</v>
      </c>
      <c r="C35" s="8">
        <f t="shared" si="1"/>
        <v>1.9766275023691549E-3</v>
      </c>
      <c r="E35" s="11">
        <v>19979.246999999999</v>
      </c>
      <c r="F35" s="11">
        <v>0</v>
      </c>
      <c r="G35" s="8">
        <f t="shared" si="0"/>
        <v>3.0340706494841108E-2</v>
      </c>
      <c r="H35" s="8"/>
    </row>
    <row r="36" spans="1:8" x14ac:dyDescent="0.25">
      <c r="A36" s="9">
        <v>19979.246999999999</v>
      </c>
      <c r="B36" s="9">
        <v>0</v>
      </c>
      <c r="C36" s="8">
        <f t="shared" si="1"/>
        <v>3.0340706494841108E-2</v>
      </c>
      <c r="E36" s="11">
        <v>20707.184000000001</v>
      </c>
      <c r="F36" s="11">
        <v>0</v>
      </c>
      <c r="G36" s="8">
        <f t="shared" si="0"/>
        <v>3.6434656421235667E-2</v>
      </c>
      <c r="H36" s="8"/>
    </row>
    <row r="37" spans="1:8" x14ac:dyDescent="0.25">
      <c r="A37" s="9">
        <v>20707.184000000001</v>
      </c>
      <c r="B37" s="9">
        <v>0</v>
      </c>
      <c r="C37" s="8">
        <f t="shared" si="1"/>
        <v>3.6434656421235667E-2</v>
      </c>
      <c r="E37" s="11">
        <v>21413.803</v>
      </c>
      <c r="F37" s="11">
        <v>0</v>
      </c>
      <c r="G37" s="8">
        <f t="shared" si="0"/>
        <v>3.4124340615314885E-2</v>
      </c>
      <c r="H37" s="8"/>
    </row>
    <row r="38" spans="1:8" x14ac:dyDescent="0.25">
      <c r="A38" s="9">
        <v>21413.803</v>
      </c>
      <c r="B38" s="9">
        <v>0</v>
      </c>
      <c r="C38" s="8">
        <f t="shared" si="1"/>
        <v>3.4124340615314885E-2</v>
      </c>
      <c r="E38" s="11">
        <v>21774.29</v>
      </c>
      <c r="F38" s="11">
        <v>0</v>
      </c>
      <c r="G38" s="8">
        <f t="shared" si="0"/>
        <v>1.6834328773828844E-2</v>
      </c>
      <c r="H38" s="8"/>
    </row>
    <row r="39" spans="1:8" x14ac:dyDescent="0.25">
      <c r="A39" s="9">
        <v>21774.29</v>
      </c>
      <c r="B39" s="9">
        <v>0</v>
      </c>
      <c r="C39" s="8">
        <f t="shared" si="1"/>
        <v>1.6834328773828844E-2</v>
      </c>
      <c r="E39" s="11">
        <v>22875.485000000001</v>
      </c>
      <c r="F39" s="11">
        <v>0</v>
      </c>
      <c r="G39" s="8">
        <f t="shared" si="0"/>
        <v>5.0573175979561125E-2</v>
      </c>
      <c r="H39" s="8"/>
    </row>
    <row r="40" spans="1:8" x14ac:dyDescent="0.25">
      <c r="A40" s="9">
        <v>22875.485000000001</v>
      </c>
      <c r="B40" s="9">
        <v>0</v>
      </c>
      <c r="C40" s="8">
        <f t="shared" si="1"/>
        <v>5.0573175979561125E-2</v>
      </c>
      <c r="E40" s="11">
        <v>22420.58</v>
      </c>
      <c r="F40" s="11">
        <v>0</v>
      </c>
      <c r="G40" s="8">
        <f t="shared" si="0"/>
        <v>-1.9886135747504308E-2</v>
      </c>
      <c r="H40" s="8"/>
    </row>
    <row r="41" spans="1:8" x14ac:dyDescent="0.25">
      <c r="A41" s="9">
        <v>22420.58</v>
      </c>
      <c r="B41" s="9">
        <v>0</v>
      </c>
      <c r="C41" s="8">
        <f t="shared" si="1"/>
        <v>-1.9886135747504308E-2</v>
      </c>
      <c r="E41" s="11">
        <v>24198.63</v>
      </c>
      <c r="F41" s="11">
        <v>0</v>
      </c>
      <c r="G41" s="8">
        <f t="shared" si="0"/>
        <v>7.930437125176959E-2</v>
      </c>
      <c r="H41" s="8"/>
    </row>
    <row r="42" spans="1:8" x14ac:dyDescent="0.25">
      <c r="A42" s="9">
        <v>24198.63</v>
      </c>
      <c r="B42" s="9">
        <v>0</v>
      </c>
      <c r="C42" s="8">
        <f t="shared" si="1"/>
        <v>7.930437125176959E-2</v>
      </c>
      <c r="E42" s="11">
        <v>25838.78</v>
      </c>
      <c r="F42" s="11">
        <v>0</v>
      </c>
      <c r="G42" s="8">
        <f t="shared" si="0"/>
        <v>6.7778630443128263E-2</v>
      </c>
      <c r="H42" s="8"/>
    </row>
    <row r="43" spans="1:8" x14ac:dyDescent="0.25">
      <c r="A43" s="9">
        <v>25838.78</v>
      </c>
      <c r="B43" s="9">
        <v>0</v>
      </c>
      <c r="C43" s="8">
        <f t="shared" si="1"/>
        <v>6.7778630443128263E-2</v>
      </c>
      <c r="E43" s="11">
        <v>27075.78</v>
      </c>
      <c r="F43" s="11">
        <v>0</v>
      </c>
      <c r="G43" s="8">
        <f t="shared" si="0"/>
        <v>4.7873777322303912E-2</v>
      </c>
      <c r="H43" s="8"/>
    </row>
    <row r="44" spans="1:8" x14ac:dyDescent="0.25">
      <c r="A44" s="9">
        <v>27075.78</v>
      </c>
      <c r="B44" s="9">
        <v>0</v>
      </c>
      <c r="C44" s="8">
        <f t="shared" si="1"/>
        <v>4.7873777322303912E-2</v>
      </c>
      <c r="E44" s="11">
        <v>28890.63</v>
      </c>
      <c r="F44" s="11">
        <v>0</v>
      </c>
      <c r="G44" s="8">
        <f t="shared" si="0"/>
        <v>6.7028539898019712E-2</v>
      </c>
      <c r="H44" s="8"/>
    </row>
    <row r="45" spans="1:8" x14ac:dyDescent="0.25">
      <c r="A45" s="9">
        <v>28890.63</v>
      </c>
      <c r="B45" s="9">
        <v>0</v>
      </c>
      <c r="C45" s="8">
        <f t="shared" si="1"/>
        <v>6.7028539898019712E-2</v>
      </c>
      <c r="E45" s="11">
        <v>38131.665999999997</v>
      </c>
      <c r="F45" s="11">
        <v>0</v>
      </c>
      <c r="G45" s="8">
        <f t="shared" si="0"/>
        <v>0.31986273750347416</v>
      </c>
      <c r="H45" s="8"/>
    </row>
    <row r="46" spans="1:8" x14ac:dyDescent="0.25">
      <c r="A46" s="9">
        <v>38131.665999999997</v>
      </c>
      <c r="B46" s="9">
        <v>0</v>
      </c>
      <c r="C46" s="8">
        <f t="shared" si="1"/>
        <v>0.31986273750347416</v>
      </c>
      <c r="E46" s="15">
        <v>91528.937999999995</v>
      </c>
      <c r="F46" s="11">
        <v>0</v>
      </c>
      <c r="G46" s="8">
        <f t="shared" si="0"/>
        <v>1.4003393400120521</v>
      </c>
      <c r="H46" s="8"/>
    </row>
    <row r="47" spans="1:8" x14ac:dyDescent="0.25">
      <c r="A47" s="9">
        <v>39669.938000000002</v>
      </c>
      <c r="B47" s="9">
        <v>0</v>
      </c>
      <c r="C47" s="8">
        <f t="shared" si="1"/>
        <v>4.0341064562980478E-2</v>
      </c>
      <c r="E47" s="15">
        <v>93005.576000000001</v>
      </c>
      <c r="F47" s="11">
        <v>0</v>
      </c>
      <c r="G47" s="8">
        <f t="shared" si="0"/>
        <v>1.6133017953294804E-2</v>
      </c>
      <c r="H47" s="8"/>
    </row>
    <row r="48" spans="1:8" x14ac:dyDescent="0.25">
      <c r="A48" s="9">
        <v>41083.576000000001</v>
      </c>
      <c r="B48" s="9">
        <v>0</v>
      </c>
      <c r="C48" s="8">
        <f t="shared" si="1"/>
        <v>3.5634993934197778E-2</v>
      </c>
      <c r="E48" s="15">
        <v>94712.293999999994</v>
      </c>
      <c r="F48" s="11">
        <v>0</v>
      </c>
      <c r="G48" s="8">
        <f t="shared" si="0"/>
        <v>1.835070619851864E-2</v>
      </c>
      <c r="H48" s="8"/>
    </row>
    <row r="49" spans="1:8" x14ac:dyDescent="0.25">
      <c r="A49" s="9">
        <v>43171.294000000002</v>
      </c>
      <c r="B49" s="9">
        <v>0</v>
      </c>
      <c r="C49" s="8">
        <f t="shared" si="1"/>
        <v>5.0816365157697163E-2</v>
      </c>
      <c r="E49" s="15">
        <v>95511.362999999998</v>
      </c>
      <c r="F49" s="11">
        <v>0</v>
      </c>
      <c r="G49" s="8">
        <f t="shared" si="0"/>
        <v>8.4368033573338774E-3</v>
      </c>
      <c r="H49" s="8"/>
    </row>
    <row r="50" spans="1:8" x14ac:dyDescent="0.25">
      <c r="A50" s="9">
        <v>45575.362999999998</v>
      </c>
      <c r="B50" s="9">
        <v>0</v>
      </c>
      <c r="C50" s="8">
        <f t="shared" si="1"/>
        <v>5.5686748699262933E-2</v>
      </c>
      <c r="E50" s="15">
        <v>96641.758000000002</v>
      </c>
      <c r="F50" s="11">
        <v>0</v>
      </c>
      <c r="G50" s="8">
        <f t="shared" si="0"/>
        <v>1.1835188657081552E-2</v>
      </c>
      <c r="H50" s="8"/>
    </row>
    <row r="51" spans="1:8" x14ac:dyDescent="0.25">
      <c r="A51" s="9">
        <v>48063.758000000002</v>
      </c>
      <c r="B51" s="9">
        <v>0</v>
      </c>
      <c r="C51" s="8">
        <f t="shared" si="1"/>
        <v>5.4599565120304172E-2</v>
      </c>
      <c r="E51" s="15">
        <v>97741.59</v>
      </c>
      <c r="F51" s="11">
        <v>0</v>
      </c>
      <c r="G51" s="8">
        <f t="shared" si="0"/>
        <v>1.1380504895202703E-2</v>
      </c>
      <c r="H51" s="8"/>
    </row>
    <row r="52" spans="1:8" x14ac:dyDescent="0.25">
      <c r="A52" s="9">
        <v>50668.59</v>
      </c>
      <c r="B52" s="9">
        <v>0</v>
      </c>
      <c r="C52" s="8">
        <f t="shared" si="1"/>
        <v>5.4195346106727493E-2</v>
      </c>
      <c r="E52" s="15">
        <v>98465.627000000008</v>
      </c>
      <c r="F52" s="11">
        <v>0</v>
      </c>
      <c r="G52" s="8">
        <f t="shared" si="0"/>
        <v>7.4076654574579681E-3</v>
      </c>
      <c r="H52" s="8"/>
    </row>
    <row r="53" spans="1:8" x14ac:dyDescent="0.25">
      <c r="A53" s="9">
        <v>51335.627</v>
      </c>
      <c r="B53" s="9">
        <v>0</v>
      </c>
      <c r="C53" s="8">
        <f t="shared" si="1"/>
        <v>1.3164704208267874E-2</v>
      </c>
      <c r="E53" s="15">
        <v>99642.236000000004</v>
      </c>
      <c r="F53" s="11">
        <v>0</v>
      </c>
      <c r="G53" s="8">
        <f t="shared" si="0"/>
        <v>1.1949438965132453E-2</v>
      </c>
      <c r="H53" s="8"/>
    </row>
    <row r="54" spans="1:8" x14ac:dyDescent="0.25">
      <c r="A54" s="9">
        <v>54637.235999999997</v>
      </c>
      <c r="B54" s="9">
        <v>0</v>
      </c>
      <c r="C54" s="8">
        <f t="shared" si="1"/>
        <v>6.4314184766848026E-2</v>
      </c>
      <c r="E54" s="15">
        <v>101478.73699999999</v>
      </c>
      <c r="F54" s="11">
        <v>0</v>
      </c>
      <c r="G54" s="8">
        <f t="shared" si="0"/>
        <v>1.8430949301458721E-2</v>
      </c>
      <c r="H54" s="8"/>
    </row>
    <row r="55" spans="1:8" x14ac:dyDescent="0.25">
      <c r="A55" s="9">
        <v>56304.737000000001</v>
      </c>
      <c r="B55" s="9">
        <v>0</v>
      </c>
      <c r="C55" s="8">
        <f t="shared" si="1"/>
        <v>3.0519497728618727E-2</v>
      </c>
      <c r="E55" s="15">
        <v>104573.75099999999</v>
      </c>
      <c r="F55" s="11">
        <v>0</v>
      </c>
      <c r="G55" s="8">
        <f t="shared" si="0"/>
        <v>3.0499137962270773E-2</v>
      </c>
      <c r="H55" s="8"/>
    </row>
    <row r="56" spans="1:8" x14ac:dyDescent="0.25">
      <c r="A56" s="9">
        <v>59417.750999999997</v>
      </c>
      <c r="B56" s="9">
        <v>0</v>
      </c>
      <c r="C56" s="8">
        <f t="shared" si="1"/>
        <v>5.5288669583875238E-2</v>
      </c>
      <c r="E56" s="15">
        <v>106500.255</v>
      </c>
      <c r="F56" s="11">
        <v>0</v>
      </c>
      <c r="G56" s="8">
        <f t="shared" si="0"/>
        <v>1.8422443314670911E-2</v>
      </c>
      <c r="H56" s="8"/>
    </row>
    <row r="57" spans="1:8" x14ac:dyDescent="0.25">
      <c r="A57" s="9">
        <v>61426.254999999997</v>
      </c>
      <c r="B57" s="9">
        <v>0</v>
      </c>
      <c r="C57" s="8">
        <f t="shared" si="1"/>
        <v>3.3803096990325354E-2</v>
      </c>
      <c r="E57" s="15">
        <v>108976.88</v>
      </c>
      <c r="F57" s="11">
        <v>0</v>
      </c>
      <c r="G57" s="8">
        <f t="shared" si="0"/>
        <v>2.3254639155558809E-2</v>
      </c>
      <c r="H57" s="8"/>
    </row>
    <row r="58" spans="1:8" x14ac:dyDescent="0.25">
      <c r="A58" s="9">
        <v>63938.879999999997</v>
      </c>
      <c r="B58" s="9">
        <v>0</v>
      </c>
      <c r="C58" s="8">
        <f t="shared" si="1"/>
        <v>4.0904740163631992E-2</v>
      </c>
      <c r="E58" s="11">
        <v>103378.519</v>
      </c>
      <c r="F58" s="11">
        <v>0</v>
      </c>
      <c r="G58" s="8">
        <f t="shared" si="0"/>
        <v>-5.1372006612778853E-2</v>
      </c>
      <c r="H58" s="8"/>
    </row>
    <row r="59" spans="1:8" x14ac:dyDescent="0.25">
      <c r="A59" s="9">
        <v>65603.519</v>
      </c>
      <c r="B59" s="9">
        <v>0</v>
      </c>
      <c r="C59" s="8">
        <f t="shared" si="1"/>
        <v>2.6034847654510029E-2</v>
      </c>
      <c r="E59" s="11">
        <v>104839.00599999999</v>
      </c>
      <c r="F59" s="11">
        <v>0</v>
      </c>
      <c r="G59" s="8">
        <f t="shared" si="0"/>
        <v>1.4127567449481404E-2</v>
      </c>
      <c r="H59" s="8"/>
    </row>
    <row r="60" spans="1:8" x14ac:dyDescent="0.25">
      <c r="A60" s="9">
        <v>66498.005999999994</v>
      </c>
      <c r="B60" s="9">
        <v>0</v>
      </c>
      <c r="C60" s="8">
        <f t="shared" si="1"/>
        <v>1.3634741148565332E-2</v>
      </c>
      <c r="E60" s="11">
        <v>106872.685</v>
      </c>
      <c r="F60" s="11">
        <v>0</v>
      </c>
      <c r="G60" s="8">
        <f t="shared" si="0"/>
        <v>1.9398114095053653E-2</v>
      </c>
      <c r="H60" s="8"/>
    </row>
    <row r="61" spans="1:8" x14ac:dyDescent="0.25">
      <c r="A61" s="9">
        <v>67869.684999999998</v>
      </c>
      <c r="B61" s="9">
        <v>0</v>
      </c>
      <c r="C61" s="8">
        <f t="shared" si="1"/>
        <v>2.0627370390625011E-2</v>
      </c>
      <c r="E61" s="11">
        <v>109207.743</v>
      </c>
      <c r="F61" s="11">
        <v>0</v>
      </c>
      <c r="G61" s="8">
        <f t="shared" si="0"/>
        <v>2.184896917299306E-2</v>
      </c>
      <c r="H61" s="8"/>
    </row>
    <row r="62" spans="1:8" x14ac:dyDescent="0.25">
      <c r="A62" s="9">
        <v>68913.743000000002</v>
      </c>
      <c r="B62" s="9">
        <v>0</v>
      </c>
      <c r="C62" s="8">
        <f t="shared" si="1"/>
        <v>1.5383274579807038E-2</v>
      </c>
      <c r="E62" s="11">
        <v>111720.685</v>
      </c>
      <c r="F62" s="11">
        <v>0</v>
      </c>
      <c r="G62" s="8">
        <f t="shared" si="0"/>
        <v>2.3010657769934717E-2</v>
      </c>
      <c r="H62" s="8"/>
    </row>
    <row r="63" spans="1:8" x14ac:dyDescent="0.25">
      <c r="A63" s="9">
        <v>70397.684999999998</v>
      </c>
      <c r="B63" s="9">
        <v>0</v>
      </c>
      <c r="C63" s="8">
        <f t="shared" si="1"/>
        <v>2.1533324637438289E-2</v>
      </c>
      <c r="E63" s="11">
        <v>112370.084</v>
      </c>
      <c r="F63" s="11">
        <v>0</v>
      </c>
      <c r="G63" s="8">
        <f t="shared" si="0"/>
        <v>5.8127015601452392E-3</v>
      </c>
      <c r="H63" s="8"/>
    </row>
    <row r="64" spans="1:8" x14ac:dyDescent="0.25">
      <c r="A64" s="9">
        <v>70227.084000000003</v>
      </c>
      <c r="B64" s="9">
        <v>0</v>
      </c>
      <c r="C64" s="8">
        <f t="shared" si="1"/>
        <v>-2.4233893486695912E-3</v>
      </c>
      <c r="E64" s="11">
        <v>111684.951</v>
      </c>
      <c r="F64" s="11">
        <v>0</v>
      </c>
      <c r="G64" s="8">
        <f t="shared" si="0"/>
        <v>-6.0971121103727821E-3</v>
      </c>
      <c r="H64" s="8"/>
    </row>
    <row r="65" spans="1:8" x14ac:dyDescent="0.25">
      <c r="A65" s="9">
        <v>69940.951000000001</v>
      </c>
      <c r="B65" s="9">
        <v>0</v>
      </c>
      <c r="C65" s="8">
        <f t="shared" si="1"/>
        <v>-4.0743967099645673E-3</v>
      </c>
      <c r="E65" s="11">
        <v>114073.194</v>
      </c>
      <c r="F65" s="11">
        <v>0</v>
      </c>
      <c r="G65" s="8">
        <f t="shared" si="0"/>
        <v>2.1383749364764393E-2</v>
      </c>
      <c r="H65" s="8"/>
    </row>
    <row r="66" spans="1:8" x14ac:dyDescent="0.25">
      <c r="A66" s="9">
        <v>72214.194000000003</v>
      </c>
      <c r="B66" s="9">
        <v>0</v>
      </c>
      <c r="C66" s="8">
        <f t="shared" si="1"/>
        <v>3.250231756213906E-2</v>
      </c>
      <c r="E66" s="11">
        <v>115164.014</v>
      </c>
      <c r="F66" s="11">
        <v>0</v>
      </c>
      <c r="G66" s="8">
        <f t="shared" si="0"/>
        <v>9.562456890616966E-3</v>
      </c>
      <c r="H66" s="8"/>
    </row>
    <row r="67" spans="1:8" x14ac:dyDescent="0.25">
      <c r="A67" s="9">
        <v>72631.013999999996</v>
      </c>
      <c r="B67" s="9">
        <v>0</v>
      </c>
      <c r="C67" s="8">
        <f t="shared" si="1"/>
        <v>5.7719954611692437E-3</v>
      </c>
      <c r="E67" s="11">
        <v>116044.811</v>
      </c>
      <c r="F67" s="11">
        <v>0</v>
      </c>
      <c r="G67" s="8">
        <f t="shared" si="0"/>
        <v>7.6481964235808331E-3</v>
      </c>
      <c r="H67" s="8"/>
    </row>
    <row r="68" spans="1:8" x14ac:dyDescent="0.25">
      <c r="A68" s="9">
        <v>73798.811000000002</v>
      </c>
      <c r="B68" s="9">
        <v>0</v>
      </c>
      <c r="C68" s="8">
        <f t="shared" si="1"/>
        <v>1.6078489555439779E-2</v>
      </c>
      <c r="E68" s="11">
        <v>117590.045</v>
      </c>
      <c r="F68" s="11">
        <v>0</v>
      </c>
      <c r="G68" s="8">
        <f t="shared" ref="G68:G131" si="2">E68/E67-1</f>
        <v>1.3315838827123505E-2</v>
      </c>
      <c r="H68" s="8"/>
    </row>
    <row r="69" spans="1:8" x14ac:dyDescent="0.25">
      <c r="A69" s="9">
        <v>75277.044999999998</v>
      </c>
      <c r="B69" s="9">
        <v>0</v>
      </c>
      <c r="C69" s="8">
        <f t="shared" ref="C69:C132" si="3">A69/A68-1</f>
        <v>2.0030593717830891E-2</v>
      </c>
      <c r="E69" s="11">
        <v>119104.973</v>
      </c>
      <c r="F69" s="11">
        <v>0</v>
      </c>
      <c r="G69" s="8">
        <f t="shared" si="2"/>
        <v>1.2883131390926783E-2</v>
      </c>
      <c r="H69" s="8"/>
    </row>
    <row r="70" spans="1:8" x14ac:dyDescent="0.25">
      <c r="A70" s="9">
        <v>76462.972999999998</v>
      </c>
      <c r="B70" s="9">
        <v>0</v>
      </c>
      <c r="C70" s="8">
        <f t="shared" si="3"/>
        <v>1.5754178448423417E-2</v>
      </c>
      <c r="E70" s="11">
        <v>119216.97</v>
      </c>
      <c r="F70" s="11">
        <v>0</v>
      </c>
      <c r="G70" s="8">
        <f t="shared" si="2"/>
        <v>9.4032177816782969E-4</v>
      </c>
      <c r="H70" s="8"/>
    </row>
    <row r="71" spans="1:8" x14ac:dyDescent="0.25">
      <c r="A71" s="9">
        <v>76518.97</v>
      </c>
      <c r="B71" s="9">
        <v>0</v>
      </c>
      <c r="C71" s="8">
        <f t="shared" si="3"/>
        <v>7.3234139091082895E-4</v>
      </c>
      <c r="E71" s="11">
        <v>117981.83900000001</v>
      </c>
      <c r="F71" s="11">
        <v>0</v>
      </c>
      <c r="G71" s="8">
        <f t="shared" si="2"/>
        <v>-1.0360362287348823E-2</v>
      </c>
      <c r="H71" s="8"/>
    </row>
    <row r="72" spans="1:8" x14ac:dyDescent="0.25">
      <c r="A72" s="9">
        <v>75874.839000000007</v>
      </c>
      <c r="B72" s="9">
        <v>0</v>
      </c>
      <c r="C72" s="8">
        <f t="shared" si="3"/>
        <v>-8.4179256464115282E-3</v>
      </c>
      <c r="E72" s="11">
        <v>118463.43700000001</v>
      </c>
      <c r="F72" s="11">
        <v>0</v>
      </c>
      <c r="G72" s="8">
        <f t="shared" si="2"/>
        <v>4.0819672254812644E-3</v>
      </c>
      <c r="H72" s="8"/>
    </row>
    <row r="73" spans="1:8" x14ac:dyDescent="0.25">
      <c r="A73" s="9">
        <v>76215.437000000005</v>
      </c>
      <c r="B73" s="9">
        <v>0</v>
      </c>
      <c r="C73" s="8">
        <f t="shared" si="3"/>
        <v>4.4889452747305381E-3</v>
      </c>
      <c r="E73" s="11">
        <v>120675.808</v>
      </c>
      <c r="F73" s="11">
        <v>0</v>
      </c>
      <c r="G73" s="8">
        <f t="shared" si="2"/>
        <v>1.867555978474611E-2</v>
      </c>
      <c r="H73" s="8"/>
    </row>
    <row r="74" spans="1:8" x14ac:dyDescent="0.25">
      <c r="A74" s="9">
        <v>76754.808000000005</v>
      </c>
      <c r="B74" s="9">
        <v>0</v>
      </c>
      <c r="C74" s="8">
        <f t="shared" si="3"/>
        <v>7.0769258988832018E-3</v>
      </c>
      <c r="E74" s="11">
        <v>122088.095</v>
      </c>
      <c r="F74" s="11">
        <v>0</v>
      </c>
      <c r="G74" s="8">
        <f t="shared" si="2"/>
        <v>1.1703149317218609E-2</v>
      </c>
      <c r="H74" s="8"/>
    </row>
    <row r="75" spans="1:8" x14ac:dyDescent="0.25">
      <c r="A75" s="9">
        <v>77002.095000000001</v>
      </c>
      <c r="B75" s="9">
        <v>0</v>
      </c>
      <c r="C75" s="8">
        <f t="shared" si="3"/>
        <v>3.2217786278612159E-3</v>
      </c>
      <c r="E75" s="11">
        <v>123201.033</v>
      </c>
      <c r="F75" s="11">
        <v>0</v>
      </c>
      <c r="G75" s="8">
        <f t="shared" si="2"/>
        <v>9.1158601500007652E-3</v>
      </c>
      <c r="H75" s="8"/>
    </row>
    <row r="76" spans="1:8" x14ac:dyDescent="0.25">
      <c r="A76" s="9">
        <v>77161.032999999996</v>
      </c>
      <c r="B76" s="9">
        <v>0</v>
      </c>
      <c r="C76" s="8">
        <f t="shared" si="3"/>
        <v>2.0640737112411767E-3</v>
      </c>
      <c r="E76" s="11">
        <v>123618.82</v>
      </c>
      <c r="F76" s="11">
        <v>0</v>
      </c>
      <c r="G76" s="8">
        <f t="shared" si="2"/>
        <v>3.3910998132622439E-3</v>
      </c>
      <c r="H76" s="8"/>
    </row>
    <row r="77" spans="1:8" x14ac:dyDescent="0.25">
      <c r="A77" s="9">
        <v>76159.820000000007</v>
      </c>
      <c r="B77" s="9">
        <v>0</v>
      </c>
      <c r="C77" s="8">
        <f t="shared" si="3"/>
        <v>-1.2975629810450973E-2</v>
      </c>
      <c r="E77" s="11">
        <v>126364.454</v>
      </c>
      <c r="F77" s="11">
        <v>0</v>
      </c>
      <c r="G77" s="8">
        <f t="shared" si="2"/>
        <v>2.2210485426086279E-2</v>
      </c>
      <c r="H77" s="8"/>
    </row>
    <row r="78" spans="1:8" x14ac:dyDescent="0.25">
      <c r="A78" s="9">
        <v>77819.453999999998</v>
      </c>
      <c r="B78" s="9">
        <v>0</v>
      </c>
      <c r="C78" s="8">
        <f t="shared" si="3"/>
        <v>2.1791464318061449E-2</v>
      </c>
      <c r="E78" s="11">
        <v>128489.499</v>
      </c>
      <c r="F78" s="11">
        <v>0</v>
      </c>
      <c r="G78" s="8">
        <f t="shared" si="2"/>
        <v>1.6816794064571372E-2</v>
      </c>
      <c r="H78" s="8"/>
    </row>
    <row r="79" spans="1:8" x14ac:dyDescent="0.25">
      <c r="A79" s="9">
        <v>78989.498999999996</v>
      </c>
      <c r="B79" s="9">
        <v>0</v>
      </c>
      <c r="C79" s="8">
        <f t="shared" si="3"/>
        <v>1.5035379199653587E-2</v>
      </c>
      <c r="E79" s="11">
        <v>129392.28599999999</v>
      </c>
      <c r="F79" s="11">
        <v>0</v>
      </c>
      <c r="G79" s="8">
        <f t="shared" si="2"/>
        <v>7.0261539427436404E-3</v>
      </c>
      <c r="H79" s="8"/>
    </row>
    <row r="80" spans="1:8" x14ac:dyDescent="0.25">
      <c r="A80" s="9">
        <v>79569.285999999993</v>
      </c>
      <c r="B80" s="9">
        <v>0</v>
      </c>
      <c r="C80" s="8">
        <f t="shared" si="3"/>
        <v>7.3400516187600573E-3</v>
      </c>
      <c r="E80" s="11">
        <v>131777.421</v>
      </c>
      <c r="F80" s="11">
        <v>0</v>
      </c>
      <c r="G80" s="8">
        <f t="shared" si="2"/>
        <v>1.8433363175916151E-2</v>
      </c>
      <c r="H80" s="8"/>
    </row>
    <row r="81" spans="1:8" x14ac:dyDescent="0.25">
      <c r="A81" s="9">
        <v>81281.421000000002</v>
      </c>
      <c r="B81" s="9">
        <v>0</v>
      </c>
      <c r="C81" s="8">
        <f t="shared" si="3"/>
        <v>2.1517536301632889E-2</v>
      </c>
      <c r="E81" s="11">
        <v>133382.78100000002</v>
      </c>
      <c r="F81" s="11">
        <v>0</v>
      </c>
      <c r="G81" s="8">
        <f t="shared" si="2"/>
        <v>1.2182360132848569E-2</v>
      </c>
      <c r="H81" s="8"/>
    </row>
    <row r="82" spans="1:8" x14ac:dyDescent="0.25">
      <c r="A82" s="9">
        <v>81976.781000000003</v>
      </c>
      <c r="B82" s="9">
        <v>0</v>
      </c>
      <c r="C82" s="8">
        <f t="shared" si="3"/>
        <v>8.554968545640973E-3</v>
      </c>
      <c r="E82" s="11">
        <v>135278.39600000001</v>
      </c>
      <c r="F82" s="11">
        <v>0</v>
      </c>
      <c r="G82" s="8">
        <f t="shared" si="2"/>
        <v>1.4211841931830671E-2</v>
      </c>
      <c r="H82" s="8"/>
    </row>
    <row r="83" spans="1:8" x14ac:dyDescent="0.25">
      <c r="A83" s="9">
        <v>82297.395999999993</v>
      </c>
      <c r="B83" s="9">
        <v>0</v>
      </c>
      <c r="C83" s="8">
        <f t="shared" si="3"/>
        <v>3.9110464705851555E-3</v>
      </c>
      <c r="E83" s="11">
        <v>135033.774</v>
      </c>
      <c r="F83" s="11">
        <v>0</v>
      </c>
      <c r="G83" s="8">
        <f t="shared" si="2"/>
        <v>-1.808285781271457E-3</v>
      </c>
      <c r="H83" s="8"/>
    </row>
    <row r="84" spans="1:8" x14ac:dyDescent="0.25">
      <c r="A84" s="9">
        <v>82494.774000000005</v>
      </c>
      <c r="B84" s="9">
        <v>0</v>
      </c>
      <c r="C84" s="8">
        <f t="shared" si="3"/>
        <v>2.3983504897289176E-3</v>
      </c>
      <c r="E84" s="11">
        <v>136792.179</v>
      </c>
      <c r="F84" s="11">
        <v>0</v>
      </c>
      <c r="G84" s="8">
        <f t="shared" si="2"/>
        <v>1.3021964416102261E-2</v>
      </c>
      <c r="H84" s="8"/>
    </row>
    <row r="85" spans="1:8" x14ac:dyDescent="0.25">
      <c r="A85" s="9">
        <v>83487.179000000004</v>
      </c>
      <c r="B85" s="9">
        <v>0</v>
      </c>
      <c r="C85" s="8">
        <f t="shared" si="3"/>
        <v>1.2029913555493765E-2</v>
      </c>
      <c r="E85" s="11">
        <v>140059.32199999999</v>
      </c>
      <c r="F85" s="11">
        <v>0</v>
      </c>
      <c r="G85" s="8">
        <f t="shared" si="2"/>
        <v>2.3883989741840361E-2</v>
      </c>
      <c r="H85" s="8"/>
    </row>
    <row r="86" spans="1:8" x14ac:dyDescent="0.25">
      <c r="A86" s="9">
        <v>84792.322</v>
      </c>
      <c r="B86" s="9">
        <v>0</v>
      </c>
      <c r="C86" s="8">
        <f t="shared" si="3"/>
        <v>1.5632855435203874E-2</v>
      </c>
      <c r="E86" s="11">
        <v>143211.19500000001</v>
      </c>
      <c r="F86" s="11">
        <v>0</v>
      </c>
      <c r="G86" s="8">
        <f t="shared" si="2"/>
        <v>2.2503843050161398E-2</v>
      </c>
      <c r="H86" s="8"/>
    </row>
    <row r="87" spans="1:8" x14ac:dyDescent="0.25">
      <c r="A87" s="9">
        <v>86287.195000000007</v>
      </c>
      <c r="B87" s="9">
        <v>0</v>
      </c>
      <c r="C87" s="8">
        <f t="shared" si="3"/>
        <v>1.762981558636878E-2</v>
      </c>
      <c r="E87" s="11">
        <v>145068.52799999999</v>
      </c>
      <c r="F87" s="11">
        <v>0</v>
      </c>
      <c r="G87" s="8">
        <f t="shared" si="2"/>
        <v>1.2969188616853478E-2</v>
      </c>
      <c r="H87" s="8"/>
    </row>
    <row r="88" spans="1:8" x14ac:dyDescent="0.25">
      <c r="A88" s="9">
        <v>87506.528000000006</v>
      </c>
      <c r="B88" s="9">
        <v>0</v>
      </c>
      <c r="C88" s="8">
        <f t="shared" si="3"/>
        <v>1.41311002171296E-2</v>
      </c>
      <c r="E88" s="11">
        <v>146347.60700000002</v>
      </c>
      <c r="F88" s="11">
        <v>0</v>
      </c>
      <c r="G88" s="8">
        <f t="shared" si="2"/>
        <v>8.8170674758623058E-3</v>
      </c>
      <c r="H88" s="8"/>
    </row>
    <row r="89" spans="1:8" x14ac:dyDescent="0.25">
      <c r="A89" s="9">
        <v>88098.607000000004</v>
      </c>
      <c r="B89" s="9">
        <v>0</v>
      </c>
      <c r="C89" s="8">
        <f t="shared" si="3"/>
        <v>6.7661123522122502E-3</v>
      </c>
      <c r="E89" s="11">
        <v>147260.56</v>
      </c>
      <c r="F89" s="11">
        <v>0</v>
      </c>
      <c r="G89" s="8">
        <f t="shared" si="2"/>
        <v>6.2382502776419102E-3</v>
      </c>
      <c r="H89" s="8"/>
    </row>
    <row r="90" spans="1:8" x14ac:dyDescent="0.25">
      <c r="A90" s="9">
        <v>89702.56</v>
      </c>
      <c r="B90" s="9">
        <v>0</v>
      </c>
      <c r="C90" s="8">
        <f t="shared" si="3"/>
        <v>1.8206337814172135E-2</v>
      </c>
      <c r="E90" s="11">
        <v>148957.47999999998</v>
      </c>
      <c r="F90" s="11">
        <v>0</v>
      </c>
      <c r="G90" s="8">
        <f t="shared" si="2"/>
        <v>1.1523248315774337E-2</v>
      </c>
      <c r="H90" s="8"/>
    </row>
    <row r="91" spans="1:8" x14ac:dyDescent="0.25">
      <c r="A91" s="9">
        <v>91593.48</v>
      </c>
      <c r="B91" s="9">
        <v>0</v>
      </c>
      <c r="C91" s="8">
        <f t="shared" si="3"/>
        <v>2.1079888912869382E-2</v>
      </c>
      <c r="E91" s="11">
        <v>151208.4</v>
      </c>
      <c r="F91" s="11">
        <v>0</v>
      </c>
      <c r="G91" s="8">
        <f t="shared" si="2"/>
        <v>1.5111157895528304E-2</v>
      </c>
      <c r="H91" s="8"/>
    </row>
    <row r="92" spans="1:8" x14ac:dyDescent="0.25">
      <c r="A92" s="9">
        <v>93838.399999999994</v>
      </c>
      <c r="B92" s="9">
        <v>0</v>
      </c>
      <c r="C92" s="8">
        <f t="shared" si="3"/>
        <v>2.4509604832134269E-2</v>
      </c>
      <c r="E92" s="11">
        <v>154141.62</v>
      </c>
      <c r="F92" s="11">
        <v>0</v>
      </c>
      <c r="G92" s="8">
        <f t="shared" si="2"/>
        <v>1.9398525478743212E-2</v>
      </c>
      <c r="H92" s="8"/>
    </row>
    <row r="93" spans="1:8" x14ac:dyDescent="0.25">
      <c r="A93" s="9">
        <v>95966.62</v>
      </c>
      <c r="B93" s="9">
        <v>0</v>
      </c>
      <c r="C93" s="8">
        <f t="shared" si="3"/>
        <v>2.2679627956145865E-2</v>
      </c>
      <c r="E93" s="11">
        <v>157154.277</v>
      </c>
      <c r="F93" s="11">
        <v>0</v>
      </c>
      <c r="G93" s="8">
        <f t="shared" si="2"/>
        <v>1.9544734251528029E-2</v>
      </c>
      <c r="H93" s="8"/>
    </row>
    <row r="94" spans="1:8" x14ac:dyDescent="0.25">
      <c r="A94" s="9">
        <v>98249.277000000002</v>
      </c>
      <c r="B94" s="9">
        <v>0</v>
      </c>
      <c r="C94" s="8">
        <f t="shared" si="3"/>
        <v>2.3785947655549533E-2</v>
      </c>
      <c r="E94" s="11">
        <v>159965.66899999999</v>
      </c>
      <c r="F94" s="11">
        <v>0</v>
      </c>
      <c r="G94" s="8">
        <f t="shared" si="2"/>
        <v>1.7889376310133764E-2</v>
      </c>
      <c r="H94" s="8"/>
    </row>
    <row r="95" spans="1:8" x14ac:dyDescent="0.25">
      <c r="A95" s="9">
        <v>99985.668999999994</v>
      </c>
      <c r="B95" s="9">
        <v>0</v>
      </c>
      <c r="C95" s="8">
        <f t="shared" si="3"/>
        <v>1.7673331071942577E-2</v>
      </c>
      <c r="E95" s="11">
        <v>160169.155</v>
      </c>
      <c r="F95" s="11">
        <v>0</v>
      </c>
      <c r="G95" s="8">
        <f t="shared" si="2"/>
        <v>1.2720604444194095E-3</v>
      </c>
      <c r="H95" s="8"/>
    </row>
    <row r="96" spans="1:8" x14ac:dyDescent="0.25">
      <c r="A96" s="9">
        <v>101362.155</v>
      </c>
      <c r="B96" s="9">
        <v>0</v>
      </c>
      <c r="C96" s="8">
        <f t="shared" si="3"/>
        <v>1.3766832924826611E-2</v>
      </c>
      <c r="E96" s="11">
        <v>163789.71400000001</v>
      </c>
      <c r="F96" s="11">
        <v>0</v>
      </c>
      <c r="G96" s="8">
        <f t="shared" si="2"/>
        <v>2.2604595747539591E-2</v>
      </c>
      <c r="H96" s="8"/>
    </row>
    <row r="97" spans="1:8" x14ac:dyDescent="0.25">
      <c r="A97" s="9">
        <v>104056.71400000001</v>
      </c>
      <c r="B97" s="9">
        <v>0</v>
      </c>
      <c r="C97" s="8">
        <f t="shared" si="3"/>
        <v>2.6583481773843509E-2</v>
      </c>
      <c r="E97" s="11">
        <v>168067.97500000001</v>
      </c>
      <c r="F97" s="11">
        <v>0</v>
      </c>
      <c r="G97" s="8">
        <f t="shared" si="2"/>
        <v>2.6120449785998145E-2</v>
      </c>
      <c r="H97" s="8"/>
    </row>
    <row r="98" spans="1:8" x14ac:dyDescent="0.25">
      <c r="A98" s="9">
        <v>106538.97500000001</v>
      </c>
      <c r="B98" s="9">
        <v>0</v>
      </c>
      <c r="C98" s="8">
        <f t="shared" si="3"/>
        <v>2.3854885519448477E-2</v>
      </c>
      <c r="E98" s="11">
        <v>173054.69899999999</v>
      </c>
      <c r="F98" s="11">
        <v>0</v>
      </c>
      <c r="G98" s="8">
        <f t="shared" si="2"/>
        <v>2.9670875727514368E-2</v>
      </c>
      <c r="H98" s="8"/>
    </row>
    <row r="99" spans="1:8" x14ac:dyDescent="0.25">
      <c r="A99" s="9">
        <v>110072.69899999999</v>
      </c>
      <c r="B99" s="9">
        <v>0</v>
      </c>
      <c r="C99" s="8">
        <f t="shared" si="3"/>
        <v>3.3168368665082326E-2</v>
      </c>
      <c r="E99" s="11">
        <v>176436.63199999998</v>
      </c>
      <c r="F99" s="11">
        <v>0</v>
      </c>
      <c r="G99" s="8">
        <f t="shared" si="2"/>
        <v>1.9542566711811649E-2</v>
      </c>
      <c r="H99" s="8"/>
    </row>
    <row r="100" spans="1:8" x14ac:dyDescent="0.25">
      <c r="A100" s="9">
        <v>112357.632</v>
      </c>
      <c r="B100" s="9">
        <v>0</v>
      </c>
      <c r="C100" s="8">
        <f t="shared" si="3"/>
        <v>2.0758398955948332E-2</v>
      </c>
      <c r="E100" s="11">
        <v>178678.174</v>
      </c>
      <c r="F100" s="11">
        <v>0</v>
      </c>
      <c r="G100" s="8">
        <f t="shared" si="2"/>
        <v>1.2704515919347292E-2</v>
      </c>
      <c r="H100" s="8"/>
    </row>
    <row r="101" spans="1:8" x14ac:dyDescent="0.25">
      <c r="A101" s="9">
        <v>113272.174</v>
      </c>
      <c r="B101" s="9">
        <v>0</v>
      </c>
      <c r="C101" s="8">
        <f t="shared" si="3"/>
        <v>8.1395627846625462E-3</v>
      </c>
      <c r="E101" s="11">
        <v>182249.88400000002</v>
      </c>
      <c r="F101" s="11">
        <v>0</v>
      </c>
      <c r="G101" s="8">
        <f t="shared" si="2"/>
        <v>1.9989626712885622E-2</v>
      </c>
      <c r="H101" s="8"/>
    </row>
    <row r="102" spans="1:8" x14ac:dyDescent="0.25">
      <c r="A102" s="9">
        <v>116986.88400000001</v>
      </c>
      <c r="B102" s="9">
        <v>0</v>
      </c>
      <c r="C102" s="8">
        <f t="shared" si="3"/>
        <v>3.2794550230844877E-2</v>
      </c>
      <c r="E102" s="11">
        <v>186335.28700000001</v>
      </c>
      <c r="F102" s="11">
        <v>0</v>
      </c>
      <c r="G102" s="8">
        <f t="shared" si="2"/>
        <v>2.2416491634090541E-2</v>
      </c>
      <c r="H102" s="8"/>
    </row>
    <row r="103" spans="1:8" x14ac:dyDescent="0.25">
      <c r="A103" s="9">
        <v>121288.287</v>
      </c>
      <c r="B103" s="9">
        <v>0</v>
      </c>
      <c r="C103" s="8">
        <f t="shared" si="3"/>
        <v>3.6768250020232873E-2</v>
      </c>
      <c r="E103" s="11">
        <v>190990.90899999999</v>
      </c>
      <c r="F103" s="11">
        <v>0</v>
      </c>
      <c r="G103" s="8">
        <f t="shared" si="2"/>
        <v>2.4985187051553837E-2</v>
      </c>
      <c r="H103" s="8"/>
    </row>
    <row r="104" spans="1:8" x14ac:dyDescent="0.25">
      <c r="A104" s="9">
        <v>125546.909</v>
      </c>
      <c r="B104" s="9">
        <v>0</v>
      </c>
      <c r="C104" s="8">
        <f t="shared" si="3"/>
        <v>3.5111568522688374E-2</v>
      </c>
      <c r="E104" s="11">
        <v>196106.51300000001</v>
      </c>
      <c r="F104" s="11">
        <v>0</v>
      </c>
      <c r="G104" s="8">
        <f t="shared" si="2"/>
        <v>2.6784541875760182E-2</v>
      </c>
      <c r="H104" s="8"/>
    </row>
    <row r="105" spans="1:8" x14ac:dyDescent="0.25">
      <c r="A105" s="9">
        <v>129838.51300000001</v>
      </c>
      <c r="B105" s="9">
        <v>0</v>
      </c>
      <c r="C105" s="8">
        <f t="shared" si="3"/>
        <v>3.4183270891997797E-2</v>
      </c>
      <c r="E105" s="11">
        <v>200645.22899999999</v>
      </c>
      <c r="F105" s="11">
        <v>0</v>
      </c>
      <c r="G105" s="8">
        <f t="shared" si="2"/>
        <v>2.314413698233464E-2</v>
      </c>
      <c r="H105" s="8"/>
    </row>
    <row r="106" spans="1:8" x14ac:dyDescent="0.25">
      <c r="A106" s="9">
        <v>134167.22899999999</v>
      </c>
      <c r="B106" s="9">
        <v>0</v>
      </c>
      <c r="C106" s="8">
        <f t="shared" si="3"/>
        <v>3.3339229632119993E-2</v>
      </c>
      <c r="E106" s="11">
        <v>203469.86799999999</v>
      </c>
      <c r="F106" s="11">
        <v>0</v>
      </c>
      <c r="G106" s="8">
        <f t="shared" si="2"/>
        <v>1.4077778046743372E-2</v>
      </c>
      <c r="H106" s="8"/>
    </row>
    <row r="107" spans="1:8" x14ac:dyDescent="0.25">
      <c r="A107" s="9">
        <v>136631.86799999999</v>
      </c>
      <c r="B107" s="9">
        <v>0</v>
      </c>
      <c r="C107" s="8">
        <f t="shared" si="3"/>
        <v>1.8369903130368792E-2</v>
      </c>
      <c r="E107" s="11">
        <v>205883.37899999999</v>
      </c>
      <c r="F107" s="11">
        <v>0</v>
      </c>
      <c r="G107" s="8">
        <f t="shared" si="2"/>
        <v>1.1861761270715476E-2</v>
      </c>
      <c r="H107" s="8"/>
    </row>
    <row r="108" spans="1:8" x14ac:dyDescent="0.25">
      <c r="A108" s="9">
        <v>140260.37899999999</v>
      </c>
      <c r="B108" s="9">
        <v>0</v>
      </c>
      <c r="C108" s="8">
        <f t="shared" si="3"/>
        <v>2.6556842507635237E-2</v>
      </c>
      <c r="E108" s="11">
        <v>210527.71799999999</v>
      </c>
      <c r="F108" s="11">
        <v>0</v>
      </c>
      <c r="G108" s="8">
        <f t="shared" si="2"/>
        <v>2.2558105576847121E-2</v>
      </c>
      <c r="H108" s="8"/>
    </row>
    <row r="109" spans="1:8" x14ac:dyDescent="0.25">
      <c r="A109" s="9">
        <v>145165.71799999999</v>
      </c>
      <c r="B109" s="9">
        <v>0</v>
      </c>
      <c r="C109" s="8">
        <f t="shared" si="3"/>
        <v>3.4973091010969126E-2</v>
      </c>
      <c r="E109" s="11">
        <v>215549.986</v>
      </c>
      <c r="F109" s="11">
        <v>0</v>
      </c>
      <c r="G109" s="8">
        <f t="shared" si="2"/>
        <v>2.3855614109682177E-2</v>
      </c>
      <c r="H109" s="8"/>
    </row>
    <row r="110" spans="1:8" x14ac:dyDescent="0.25">
      <c r="A110" s="9">
        <v>148691.986</v>
      </c>
      <c r="B110" s="9">
        <v>0</v>
      </c>
      <c r="C110" s="8">
        <f t="shared" si="3"/>
        <v>2.4291327515770789E-2</v>
      </c>
      <c r="E110" s="11">
        <v>221091.68900000001</v>
      </c>
      <c r="F110" s="11">
        <v>0</v>
      </c>
      <c r="G110" s="8">
        <f t="shared" si="2"/>
        <v>2.5709595731544077E-2</v>
      </c>
      <c r="H110" s="8"/>
    </row>
    <row r="111" spans="1:8" x14ac:dyDescent="0.25">
      <c r="A111" s="9">
        <v>151772.68900000001</v>
      </c>
      <c r="B111" s="9">
        <v>0</v>
      </c>
      <c r="C111" s="8">
        <f t="shared" si="3"/>
        <v>2.0718688900960736E-2</v>
      </c>
      <c r="E111" s="11">
        <v>226902.522</v>
      </c>
      <c r="F111" s="11">
        <v>0</v>
      </c>
      <c r="G111" s="8">
        <f t="shared" si="2"/>
        <v>2.6282457862990771E-2</v>
      </c>
      <c r="H111" s="8"/>
    </row>
    <row r="112" spans="1:8" x14ac:dyDescent="0.25">
      <c r="A112" s="9">
        <v>155883.522</v>
      </c>
      <c r="B112" s="9">
        <v>0</v>
      </c>
      <c r="C112" s="8">
        <f t="shared" si="3"/>
        <v>2.7085459360873365E-2</v>
      </c>
      <c r="E112" s="11">
        <v>228427.32399999999</v>
      </c>
      <c r="F112" s="11">
        <v>0</v>
      </c>
      <c r="G112" s="8">
        <f t="shared" si="2"/>
        <v>6.7200751519191915E-3</v>
      </c>
      <c r="H112" s="8"/>
    </row>
    <row r="113" spans="1:8" x14ac:dyDescent="0.25">
      <c r="A113" s="9">
        <v>155190.32399999999</v>
      </c>
      <c r="B113" s="9">
        <v>0</v>
      </c>
      <c r="C113" s="8">
        <f t="shared" si="3"/>
        <v>-4.4468972159866782E-3</v>
      </c>
      <c r="E113" s="11">
        <v>234494.329</v>
      </c>
      <c r="F113" s="11">
        <v>0</v>
      </c>
      <c r="G113" s="8">
        <f t="shared" si="2"/>
        <v>2.6559891757957921E-2</v>
      </c>
      <c r="H113" s="8"/>
    </row>
    <row r="114" spans="1:8" x14ac:dyDescent="0.25">
      <c r="A114" s="9">
        <v>160589.329</v>
      </c>
      <c r="B114" s="9">
        <v>0</v>
      </c>
      <c r="C114" s="8">
        <f t="shared" si="3"/>
        <v>3.4789572318954631E-2</v>
      </c>
      <c r="E114" s="11">
        <v>238053.30600000001</v>
      </c>
      <c r="F114" s="11">
        <v>0</v>
      </c>
      <c r="G114" s="8">
        <f t="shared" si="2"/>
        <v>1.5177241237249728E-2</v>
      </c>
      <c r="H114" s="8"/>
    </row>
    <row r="115" spans="1:8" x14ac:dyDescent="0.25">
      <c r="A115" s="9">
        <v>163806.30600000001</v>
      </c>
      <c r="B115" s="9">
        <v>0</v>
      </c>
      <c r="C115" s="8">
        <f t="shared" si="3"/>
        <v>2.0032321076576709E-2</v>
      </c>
      <c r="E115" s="11">
        <v>243607.921</v>
      </c>
      <c r="F115" s="11">
        <v>0</v>
      </c>
      <c r="G115" s="8">
        <f t="shared" si="2"/>
        <v>2.333349237334259E-2</v>
      </c>
      <c r="H115" s="8"/>
    </row>
    <row r="116" spans="1:8" x14ac:dyDescent="0.25">
      <c r="A116" s="9">
        <v>168099.921</v>
      </c>
      <c r="B116" s="9">
        <v>0</v>
      </c>
      <c r="C116" s="8">
        <f t="shared" si="3"/>
        <v>2.6211536691389536E-2</v>
      </c>
      <c r="E116" s="11">
        <v>248588.72399999999</v>
      </c>
      <c r="F116" s="11">
        <v>0</v>
      </c>
      <c r="G116" s="8">
        <f t="shared" si="2"/>
        <v>2.0445981311091987E-2</v>
      </c>
      <c r="H116" s="8"/>
    </row>
    <row r="117" spans="1:8" x14ac:dyDescent="0.25">
      <c r="A117" s="9">
        <v>171975.72399999999</v>
      </c>
      <c r="B117" s="9">
        <v>0</v>
      </c>
      <c r="C117" s="8">
        <f t="shared" si="3"/>
        <v>2.3056542661908708E-2</v>
      </c>
      <c r="E117" s="11">
        <v>253687.587</v>
      </c>
      <c r="F117" s="11">
        <v>0</v>
      </c>
      <c r="G117" s="8">
        <f t="shared" si="2"/>
        <v>2.0511240083439963E-2</v>
      </c>
      <c r="H117" s="8"/>
    </row>
    <row r="118" spans="1:8" x14ac:dyDescent="0.25">
      <c r="A118" s="9">
        <v>175500.587</v>
      </c>
      <c r="B118" s="9">
        <v>0</v>
      </c>
      <c r="C118" s="8">
        <f t="shared" si="3"/>
        <v>2.0496282370644492E-2</v>
      </c>
      <c r="E118" s="11">
        <v>256607.486</v>
      </c>
      <c r="F118" s="11">
        <v>0</v>
      </c>
      <c r="G118" s="8">
        <f t="shared" si="2"/>
        <v>1.150982211833651E-2</v>
      </c>
      <c r="H118" s="8"/>
    </row>
    <row r="119" spans="1:8" x14ac:dyDescent="0.25">
      <c r="A119" s="9">
        <v>177182.486</v>
      </c>
      <c r="B119" s="9">
        <v>0</v>
      </c>
      <c r="C119" s="8">
        <f t="shared" si="3"/>
        <v>9.5834380314636647E-3</v>
      </c>
      <c r="E119" s="11">
        <v>259732.33199999999</v>
      </c>
      <c r="F119" s="11">
        <v>0</v>
      </c>
      <c r="G119" s="8">
        <f t="shared" si="2"/>
        <v>1.2177532498019117E-2</v>
      </c>
      <c r="H119" s="8"/>
    </row>
    <row r="120" spans="1:8" x14ac:dyDescent="0.25">
      <c r="A120" s="9">
        <v>180461.33199999999</v>
      </c>
      <c r="B120" s="9">
        <v>0</v>
      </c>
      <c r="C120" s="8">
        <f t="shared" si="3"/>
        <v>1.8505474632520835E-2</v>
      </c>
      <c r="E120" s="11">
        <v>264455.81799999997</v>
      </c>
      <c r="F120" s="11">
        <v>0</v>
      </c>
      <c r="G120" s="8">
        <f t="shared" si="2"/>
        <v>1.8185976168727302E-2</v>
      </c>
      <c r="H120" s="8"/>
    </row>
    <row r="121" spans="1:8" x14ac:dyDescent="0.25">
      <c r="A121" s="9">
        <v>184139.818</v>
      </c>
      <c r="B121" s="9">
        <v>0</v>
      </c>
      <c r="C121" s="8">
        <f t="shared" si="3"/>
        <v>2.038379058401274E-2</v>
      </c>
      <c r="E121" s="11">
        <v>269079.37599999999</v>
      </c>
      <c r="F121" s="11">
        <v>0</v>
      </c>
      <c r="G121" s="8">
        <f t="shared" si="2"/>
        <v>1.7483290914023453E-2</v>
      </c>
      <c r="H121" s="8"/>
    </row>
    <row r="122" spans="1:8" x14ac:dyDescent="0.25">
      <c r="A122" s="9">
        <v>186655.37599999999</v>
      </c>
      <c r="B122" s="9">
        <v>0</v>
      </c>
      <c r="C122" s="8">
        <f t="shared" si="3"/>
        <v>1.3661130044127612E-2</v>
      </c>
      <c r="E122" s="11">
        <v>274191.50599999999</v>
      </c>
      <c r="F122" s="11">
        <v>0</v>
      </c>
      <c r="G122" s="8">
        <f t="shared" si="2"/>
        <v>1.8998594674903613E-2</v>
      </c>
      <c r="H122" s="8"/>
    </row>
    <row r="123" spans="1:8" x14ac:dyDescent="0.25">
      <c r="A123" s="9">
        <v>189019.50599999999</v>
      </c>
      <c r="B123" s="9">
        <v>0</v>
      </c>
      <c r="C123" s="8">
        <f t="shared" si="3"/>
        <v>1.2665748239686359E-2</v>
      </c>
      <c r="E123" s="11">
        <v>279257.67000000004</v>
      </c>
      <c r="F123" s="11">
        <v>0</v>
      </c>
      <c r="G123" s="8">
        <f t="shared" si="2"/>
        <v>1.8476735745417416E-2</v>
      </c>
      <c r="H123" s="8"/>
    </row>
    <row r="124" spans="1:8" x14ac:dyDescent="0.25">
      <c r="A124" s="9">
        <v>192042.67</v>
      </c>
      <c r="B124" s="9">
        <v>0</v>
      </c>
      <c r="C124" s="8">
        <f t="shared" si="3"/>
        <v>1.5993926044860274E-2</v>
      </c>
      <c r="E124" s="11">
        <v>280691.70400000003</v>
      </c>
      <c r="F124" s="11">
        <v>0</v>
      </c>
      <c r="G124" s="8">
        <f t="shared" si="2"/>
        <v>5.1351642373869133E-3</v>
      </c>
      <c r="H124" s="8"/>
    </row>
    <row r="125" spans="1:8" x14ac:dyDescent="0.25">
      <c r="A125" s="9">
        <v>191836.704</v>
      </c>
      <c r="B125" s="9">
        <v>0</v>
      </c>
      <c r="C125" s="8">
        <f t="shared" si="3"/>
        <v>-1.0725012311066928E-3</v>
      </c>
      <c r="E125" s="11">
        <v>286236.35399999999</v>
      </c>
      <c r="F125" s="11">
        <v>0</v>
      </c>
      <c r="G125" s="8">
        <f t="shared" si="2"/>
        <v>1.9753522890010089E-2</v>
      </c>
      <c r="H125" s="8"/>
    </row>
    <row r="126" spans="1:8" x14ac:dyDescent="0.25">
      <c r="A126" s="9">
        <v>196386.35399999999</v>
      </c>
      <c r="B126" s="9">
        <v>0</v>
      </c>
      <c r="C126" s="8">
        <f t="shared" si="3"/>
        <v>2.3716264432900092E-2</v>
      </c>
      <c r="E126" s="11">
        <v>291236.96499999997</v>
      </c>
      <c r="F126" s="11">
        <v>0</v>
      </c>
      <c r="G126" s="8">
        <f t="shared" si="2"/>
        <v>1.7470216239548586E-2</v>
      </c>
      <c r="H126" s="8"/>
    </row>
    <row r="127" spans="1:8" x14ac:dyDescent="0.25">
      <c r="A127" s="9">
        <v>200588.965</v>
      </c>
      <c r="B127" s="9">
        <v>0</v>
      </c>
      <c r="C127" s="8">
        <f t="shared" si="3"/>
        <v>2.1399709880046025E-2</v>
      </c>
      <c r="E127" s="11">
        <v>296517</v>
      </c>
      <c r="F127" s="11">
        <v>348401</v>
      </c>
      <c r="G127" s="8">
        <f t="shared" si="2"/>
        <v>1.8129686937233602E-2</v>
      </c>
      <c r="H127" s="8"/>
    </row>
    <row r="128" spans="1:8" x14ac:dyDescent="0.25">
      <c r="A128" s="9">
        <v>204446</v>
      </c>
      <c r="B128" s="9">
        <v>245824</v>
      </c>
      <c r="C128" s="8">
        <f t="shared" si="3"/>
        <v>1.922855028440873E-2</v>
      </c>
      <c r="E128" s="11">
        <v>302696.70900000003</v>
      </c>
      <c r="F128" s="11">
        <v>357051</v>
      </c>
      <c r="G128" s="8">
        <f t="shared" si="2"/>
        <v>2.084099393963923E-2</v>
      </c>
      <c r="H128" s="8">
        <f t="shared" ref="H128:H131" si="4">F128/F127-1</f>
        <v>2.4827712894050169E-2</v>
      </c>
    </row>
    <row r="129" spans="1:8" x14ac:dyDescent="0.25">
      <c r="A129" s="9">
        <v>209377.709</v>
      </c>
      <c r="B129" s="9">
        <v>252938</v>
      </c>
      <c r="C129" s="8">
        <f t="shared" si="3"/>
        <v>2.4122306134627181E-2</v>
      </c>
      <c r="D129" s="8">
        <f t="shared" ref="D129:D132" si="5">B129/B128-1</f>
        <v>2.89394038010935E-2</v>
      </c>
      <c r="E129" s="11">
        <v>310523.886</v>
      </c>
      <c r="F129" s="11">
        <v>367297</v>
      </c>
      <c r="G129" s="8">
        <f t="shared" si="2"/>
        <v>2.585815031110883E-2</v>
      </c>
      <c r="H129" s="8">
        <f t="shared" si="4"/>
        <v>2.8696180657665105E-2</v>
      </c>
    </row>
    <row r="130" spans="1:8" x14ac:dyDescent="0.25">
      <c r="A130" s="9">
        <v>215406.886</v>
      </c>
      <c r="B130" s="9">
        <v>261453</v>
      </c>
      <c r="C130" s="8">
        <f t="shared" si="3"/>
        <v>2.8795696680394833E-2</v>
      </c>
      <c r="D130" s="8">
        <f t="shared" si="5"/>
        <v>3.3664376250306383E-2</v>
      </c>
      <c r="E130" s="11">
        <v>313673.26500000001</v>
      </c>
      <c r="F130" s="11">
        <v>374977</v>
      </c>
      <c r="G130" s="8">
        <f t="shared" si="2"/>
        <v>1.0142147325826079E-2</v>
      </c>
      <c r="H130" s="8">
        <f t="shared" si="4"/>
        <v>2.0909509198278275E-2</v>
      </c>
    </row>
    <row r="131" spans="1:8" x14ac:dyDescent="0.25">
      <c r="A131" s="9">
        <v>217397.26500000001</v>
      </c>
      <c r="B131" s="9">
        <v>267963</v>
      </c>
      <c r="C131" s="8">
        <f t="shared" si="3"/>
        <v>9.2400899384432744E-3</v>
      </c>
      <c r="D131" s="8">
        <f t="shared" si="5"/>
        <v>2.4899312687175046E-2</v>
      </c>
      <c r="E131" s="11">
        <v>317849.46499999997</v>
      </c>
      <c r="F131" s="11">
        <v>385389</v>
      </c>
      <c r="G131" s="8">
        <f t="shared" si="2"/>
        <v>1.3313853828122557E-2</v>
      </c>
      <c r="H131" s="8">
        <f t="shared" si="4"/>
        <v>2.7767036378231191E-2</v>
      </c>
    </row>
    <row r="132" spans="1:8" x14ac:dyDescent="0.25">
      <c r="A132" s="9">
        <v>221904.465</v>
      </c>
      <c r="B132" s="9">
        <v>277967</v>
      </c>
      <c r="C132" s="8">
        <f t="shared" si="3"/>
        <v>2.0732551534169419E-2</v>
      </c>
      <c r="D132" s="8">
        <f t="shared" si="5"/>
        <v>3.7333512462541574E-2</v>
      </c>
      <c r="E132" s="11">
        <v>323654.57799999998</v>
      </c>
      <c r="F132" s="11">
        <v>392862</v>
      </c>
      <c r="G132" s="8">
        <f t="shared" ref="G132:G195" si="6">E132/E131-1</f>
        <v>1.8263718015067321E-2</v>
      </c>
      <c r="H132" s="8">
        <f t="shared" ref="H132:H195" si="7">F132/F131-1</f>
        <v>1.9390797350209876E-2</v>
      </c>
    </row>
    <row r="133" spans="1:8" x14ac:dyDescent="0.25">
      <c r="A133" s="9">
        <v>225981.57800000001</v>
      </c>
      <c r="B133" s="9">
        <v>284340</v>
      </c>
      <c r="C133" s="8">
        <f t="shared" ref="C133:C196" si="8">A133/A132-1</f>
        <v>1.8373280591717833E-2</v>
      </c>
      <c r="D133" s="8">
        <f t="shared" ref="D133:D196" si="9">B133/B132-1</f>
        <v>2.2927182003619206E-2</v>
      </c>
      <c r="E133" s="11">
        <v>329499.13300000003</v>
      </c>
      <c r="F133" s="11">
        <v>401404</v>
      </c>
      <c r="G133" s="8">
        <f t="shared" si="6"/>
        <v>1.8058001947990565E-2</v>
      </c>
      <c r="H133" s="8">
        <f t="shared" si="7"/>
        <v>2.1743003904679092E-2</v>
      </c>
    </row>
    <row r="134" spans="1:8" x14ac:dyDescent="0.25">
      <c r="A134" s="9">
        <v>229461.133</v>
      </c>
      <c r="B134" s="9">
        <v>290679</v>
      </c>
      <c r="C134" s="8">
        <f t="shared" si="8"/>
        <v>1.5397516163905944E-2</v>
      </c>
      <c r="D134" s="8">
        <f t="shared" si="9"/>
        <v>2.2293732855032777E-2</v>
      </c>
      <c r="E134" s="11">
        <v>337680.86</v>
      </c>
      <c r="F134" s="11">
        <v>413782</v>
      </c>
      <c r="G134" s="8">
        <f t="shared" si="6"/>
        <v>2.4830799782407764E-2</v>
      </c>
      <c r="H134" s="8">
        <f t="shared" si="7"/>
        <v>3.0836762962003439E-2</v>
      </c>
    </row>
    <row r="135" spans="1:8" x14ac:dyDescent="0.25">
      <c r="A135" s="9">
        <v>234693.86</v>
      </c>
      <c r="B135" s="9">
        <v>300417</v>
      </c>
      <c r="C135" s="8">
        <f t="shared" si="8"/>
        <v>2.2804415421412427E-2</v>
      </c>
      <c r="D135" s="8">
        <f t="shared" si="9"/>
        <v>3.3500872096023482E-2</v>
      </c>
      <c r="E135" s="11">
        <v>344745.50699999998</v>
      </c>
      <c r="F135" s="11">
        <v>423966</v>
      </c>
      <c r="G135" s="8">
        <f t="shared" si="6"/>
        <v>2.0921076190104415E-2</v>
      </c>
      <c r="H135" s="8">
        <f t="shared" si="7"/>
        <v>2.4611993755165873E-2</v>
      </c>
    </row>
    <row r="136" spans="1:8" x14ac:dyDescent="0.25">
      <c r="A136" s="9">
        <v>239452.50700000001</v>
      </c>
      <c r="B136" s="9">
        <v>307966</v>
      </c>
      <c r="C136" s="8">
        <f t="shared" si="8"/>
        <v>2.0275975690203563E-2</v>
      </c>
      <c r="D136" s="8">
        <f t="shared" si="9"/>
        <v>2.5128404850591091E-2</v>
      </c>
      <c r="E136" s="11">
        <v>348099.44</v>
      </c>
      <c r="F136" s="11">
        <v>431865</v>
      </c>
      <c r="G136" s="8">
        <f t="shared" si="6"/>
        <v>9.728721424642206E-3</v>
      </c>
      <c r="H136" s="8">
        <f t="shared" si="7"/>
        <v>1.8631210993334424E-2</v>
      </c>
    </row>
    <row r="137" spans="1:8" x14ac:dyDescent="0.25">
      <c r="A137" s="9">
        <v>240246.44</v>
      </c>
      <c r="B137" s="9">
        <v>314773</v>
      </c>
      <c r="C137" s="8">
        <f t="shared" si="8"/>
        <v>3.3156178231201761E-3</v>
      </c>
      <c r="D137" s="8">
        <f t="shared" si="9"/>
        <v>2.2103089302065726E-2</v>
      </c>
      <c r="E137" s="11">
        <v>355043.85600000003</v>
      </c>
      <c r="F137" s="11">
        <v>439853</v>
      </c>
      <c r="G137" s="8">
        <f t="shared" si="6"/>
        <v>1.9949517873398603E-2</v>
      </c>
      <c r="H137" s="8">
        <f t="shared" si="7"/>
        <v>1.849652090352305E-2</v>
      </c>
    </row>
    <row r="138" spans="1:8" x14ac:dyDescent="0.25">
      <c r="A138" s="9">
        <v>246283.856</v>
      </c>
      <c r="B138" s="9">
        <v>322064</v>
      </c>
      <c r="C138" s="8">
        <f t="shared" si="8"/>
        <v>2.5130095580188305E-2</v>
      </c>
      <c r="D138" s="8">
        <f t="shared" si="9"/>
        <v>2.3162723613524561E-2</v>
      </c>
      <c r="E138" s="11">
        <v>360103.93799999997</v>
      </c>
      <c r="F138" s="11">
        <v>445183</v>
      </c>
      <c r="G138" s="8">
        <f t="shared" si="6"/>
        <v>1.4251991449754753E-2</v>
      </c>
      <c r="H138" s="8">
        <f t="shared" si="7"/>
        <v>1.2117684771957959E-2</v>
      </c>
    </row>
    <row r="139" spans="1:8" x14ac:dyDescent="0.25">
      <c r="A139" s="9">
        <v>250034.93799999999</v>
      </c>
      <c r="B139" s="9">
        <v>326948</v>
      </c>
      <c r="C139" s="8">
        <f t="shared" si="8"/>
        <v>1.5230726288449903E-2</v>
      </c>
      <c r="D139" s="8">
        <f t="shared" si="9"/>
        <v>1.5164687763922657E-2</v>
      </c>
      <c r="E139" s="11">
        <v>366146.35600000003</v>
      </c>
      <c r="F139" s="11">
        <v>456735</v>
      </c>
      <c r="G139" s="8">
        <f t="shared" si="6"/>
        <v>1.6779649879863578E-2</v>
      </c>
      <c r="H139" s="8">
        <f t="shared" si="7"/>
        <v>2.594887944957458E-2</v>
      </c>
    </row>
    <row r="140" spans="1:8" x14ac:dyDescent="0.25">
      <c r="A140" s="9">
        <v>253554.356</v>
      </c>
      <c r="B140" s="9">
        <v>337096</v>
      </c>
      <c r="C140" s="8">
        <f t="shared" si="8"/>
        <v>1.4075704892089869E-2</v>
      </c>
      <c r="D140" s="8">
        <f t="shared" si="9"/>
        <v>3.103857494158091E-2</v>
      </c>
      <c r="E140" s="11">
        <v>373393.54599999997</v>
      </c>
      <c r="F140" s="11">
        <v>469437</v>
      </c>
      <c r="G140" s="8">
        <f t="shared" si="6"/>
        <v>1.9793150692997585E-2</v>
      </c>
      <c r="H140" s="8">
        <f t="shared" si="7"/>
        <v>2.7810437124371923E-2</v>
      </c>
    </row>
    <row r="141" spans="1:8" x14ac:dyDescent="0.25">
      <c r="A141" s="9">
        <v>258121.546</v>
      </c>
      <c r="B141" s="9">
        <v>347513</v>
      </c>
      <c r="C141" s="8">
        <f t="shared" si="8"/>
        <v>1.8012666286040924E-2</v>
      </c>
      <c r="D141" s="8">
        <f t="shared" si="9"/>
        <v>3.090217623466307E-2</v>
      </c>
      <c r="E141" s="11">
        <v>380467.38800000004</v>
      </c>
      <c r="F141" s="11">
        <v>481066</v>
      </c>
      <c r="G141" s="8">
        <f t="shared" si="6"/>
        <v>1.8944735590046946E-2</v>
      </c>
      <c r="H141" s="8">
        <f t="shared" si="7"/>
        <v>2.4772227157211724E-2</v>
      </c>
    </row>
    <row r="142" spans="1:8" x14ac:dyDescent="0.25">
      <c r="A142" s="9">
        <v>261723.38800000001</v>
      </c>
      <c r="B142" s="9">
        <v>356360</v>
      </c>
      <c r="C142" s="8">
        <f t="shared" si="8"/>
        <v>1.3954054033133767E-2</v>
      </c>
      <c r="D142" s="8">
        <f t="shared" si="9"/>
        <v>2.5458040418631755E-2</v>
      </c>
      <c r="E142" s="11">
        <v>385100.87900000002</v>
      </c>
      <c r="F142" s="11">
        <v>489499</v>
      </c>
      <c r="G142" s="8">
        <f t="shared" si="6"/>
        <v>1.2178418298495419E-2</v>
      </c>
      <c r="H142" s="8">
        <f t="shared" si="7"/>
        <v>1.7529819193208507E-2</v>
      </c>
    </row>
    <row r="143" spans="1:8" x14ac:dyDescent="0.25">
      <c r="A143" s="9">
        <v>263119.87900000002</v>
      </c>
      <c r="B143" s="9">
        <v>361933</v>
      </c>
      <c r="C143" s="8">
        <f t="shared" si="8"/>
        <v>5.3357516524277226E-3</v>
      </c>
      <c r="D143" s="8">
        <f t="shared" si="9"/>
        <v>1.5638679986530457E-2</v>
      </c>
      <c r="E143" s="11">
        <v>389757.20199999999</v>
      </c>
      <c r="F143" s="11">
        <v>495983</v>
      </c>
      <c r="G143" s="8">
        <f t="shared" si="6"/>
        <v>1.2091177283446219E-2</v>
      </c>
      <c r="H143" s="8">
        <f t="shared" si="7"/>
        <v>1.3246196621443662E-2</v>
      </c>
    </row>
    <row r="144" spans="1:8" x14ac:dyDescent="0.25">
      <c r="A144" s="9">
        <v>266227.20199999999</v>
      </c>
      <c r="B144" s="9">
        <v>370696</v>
      </c>
      <c r="C144" s="8">
        <f t="shared" si="8"/>
        <v>1.1809533402833416E-2</v>
      </c>
      <c r="D144" s="8">
        <f t="shared" si="9"/>
        <v>2.421166348467807E-2</v>
      </c>
      <c r="E144" s="11">
        <v>394561.576</v>
      </c>
      <c r="F144" s="11">
        <v>503961</v>
      </c>
      <c r="G144" s="8">
        <f t="shared" si="6"/>
        <v>1.232658171637846E-2</v>
      </c>
      <c r="H144" s="8">
        <f t="shared" si="7"/>
        <v>1.6085228727597434E-2</v>
      </c>
    </row>
    <row r="145" spans="1:8" x14ac:dyDescent="0.25">
      <c r="A145" s="9">
        <v>268459.576</v>
      </c>
      <c r="B145" s="9">
        <v>377510</v>
      </c>
      <c r="C145" s="8">
        <f t="shared" si="8"/>
        <v>8.3852212817832061E-3</v>
      </c>
      <c r="D145" s="8">
        <f t="shared" si="9"/>
        <v>1.8381638863111505E-2</v>
      </c>
      <c r="E145" s="11">
        <v>401301.353</v>
      </c>
      <c r="F145" s="11">
        <v>514203</v>
      </c>
      <c r="G145" s="8">
        <f t="shared" si="6"/>
        <v>1.7081686129517992E-2</v>
      </c>
      <c r="H145" s="8">
        <f t="shared" si="7"/>
        <v>2.0323001184615386E-2</v>
      </c>
    </row>
    <row r="146" spans="1:8" x14ac:dyDescent="0.25">
      <c r="A146" s="9">
        <v>270538.353</v>
      </c>
      <c r="B146" s="9">
        <v>383459</v>
      </c>
      <c r="C146" s="8">
        <f t="shared" si="8"/>
        <v>7.743352019597971E-3</v>
      </c>
      <c r="D146" s="8">
        <f t="shared" si="9"/>
        <v>1.5758522953034371E-2</v>
      </c>
      <c r="E146" s="11">
        <v>414410.93900000001</v>
      </c>
      <c r="F146" s="11">
        <v>524889</v>
      </c>
      <c r="G146" s="8">
        <f t="shared" si="6"/>
        <v>3.2667684526844765E-2</v>
      </c>
      <c r="H146" s="8">
        <f t="shared" si="7"/>
        <v>2.0781675719511616E-2</v>
      </c>
    </row>
    <row r="147" spans="1:8" x14ac:dyDescent="0.25">
      <c r="A147" s="9">
        <v>280427.93900000001</v>
      </c>
      <c r="B147" s="9">
        <v>392010</v>
      </c>
      <c r="C147" s="8">
        <f t="shared" si="8"/>
        <v>3.6555208865339806E-2</v>
      </c>
      <c r="D147" s="8">
        <f t="shared" si="9"/>
        <v>2.2299646116012317E-2</v>
      </c>
      <c r="E147" s="11">
        <v>416349.78200000001</v>
      </c>
      <c r="F147" s="11">
        <v>527421</v>
      </c>
      <c r="G147" s="8">
        <f t="shared" si="6"/>
        <v>4.6785516923817383E-3</v>
      </c>
      <c r="H147" s="8">
        <f t="shared" si="7"/>
        <v>4.8238770482902371E-3</v>
      </c>
    </row>
    <row r="148" spans="1:8" x14ac:dyDescent="0.25">
      <c r="A148" s="9">
        <v>280788.78200000001</v>
      </c>
      <c r="B148" s="9">
        <v>391784</v>
      </c>
      <c r="C148" s="8">
        <f t="shared" si="8"/>
        <v>1.2867583782369962E-3</v>
      </c>
      <c r="D148" s="8">
        <f t="shared" si="9"/>
        <v>-5.7651590520646501E-4</v>
      </c>
      <c r="E148" s="11">
        <v>415595.84</v>
      </c>
      <c r="F148" s="11">
        <v>534212</v>
      </c>
      <c r="G148" s="8">
        <f t="shared" si="6"/>
        <v>-1.8108379842984856E-3</v>
      </c>
      <c r="H148" s="8">
        <f t="shared" si="7"/>
        <v>1.2875861977433622E-2</v>
      </c>
    </row>
    <row r="149" spans="1:8" x14ac:dyDescent="0.25">
      <c r="A149" s="9">
        <v>277576.84000000003</v>
      </c>
      <c r="B149" s="9">
        <v>395916</v>
      </c>
      <c r="C149" s="8">
        <f t="shared" si="8"/>
        <v>-1.1438996875594465E-2</v>
      </c>
      <c r="D149" s="8">
        <f t="shared" si="9"/>
        <v>1.0546627733649228E-2</v>
      </c>
      <c r="E149" s="11">
        <v>418449.17800000001</v>
      </c>
      <c r="F149" s="11">
        <v>537046</v>
      </c>
      <c r="G149" s="8">
        <f t="shared" si="6"/>
        <v>6.8656558256212641E-3</v>
      </c>
      <c r="H149" s="8">
        <f t="shared" si="7"/>
        <v>5.3050099960314512E-3</v>
      </c>
    </row>
    <row r="150" spans="1:8" x14ac:dyDescent="0.25">
      <c r="A150" s="9">
        <v>279387.17800000001</v>
      </c>
      <c r="B150" s="9">
        <v>397020</v>
      </c>
      <c r="C150" s="8">
        <f t="shared" si="8"/>
        <v>6.5219346109710585E-3</v>
      </c>
      <c r="D150" s="8">
        <f t="shared" si="9"/>
        <v>2.7884702815748064E-3</v>
      </c>
      <c r="E150" s="11">
        <v>422195.95299999998</v>
      </c>
      <c r="F150" s="11">
        <v>536225</v>
      </c>
      <c r="G150" s="8">
        <f t="shared" si="6"/>
        <v>8.9539547380828033E-3</v>
      </c>
      <c r="H150" s="8">
        <f t="shared" si="7"/>
        <v>-1.5287331066612397E-3</v>
      </c>
    </row>
    <row r="151" spans="1:8" x14ac:dyDescent="0.25">
      <c r="A151" s="9">
        <v>281478.95299999998</v>
      </c>
      <c r="B151" s="9">
        <v>394677</v>
      </c>
      <c r="C151" s="8">
        <f t="shared" si="8"/>
        <v>7.4870114476046634E-3</v>
      </c>
      <c r="D151" s="8">
        <f t="shared" si="9"/>
        <v>-5.9014659211122922E-3</v>
      </c>
      <c r="E151" s="11">
        <v>426945.00099999999</v>
      </c>
      <c r="F151" s="11">
        <v>542887</v>
      </c>
      <c r="G151" s="8">
        <f t="shared" si="6"/>
        <v>1.124844510293066E-2</v>
      </c>
      <c r="H151" s="8">
        <f t="shared" si="7"/>
        <v>1.2423889225605E-2</v>
      </c>
    </row>
    <row r="152" spans="1:8" x14ac:dyDescent="0.25">
      <c r="A152" s="9">
        <v>285821.00099999999</v>
      </c>
      <c r="B152" s="9">
        <v>399378</v>
      </c>
      <c r="C152" s="8">
        <f t="shared" si="8"/>
        <v>1.5425835408731325E-2</v>
      </c>
      <c r="D152" s="8">
        <f t="shared" si="9"/>
        <v>1.1911005708465483E-2</v>
      </c>
      <c r="E152" s="11">
        <v>433029.73599999998</v>
      </c>
      <c r="F152" s="11">
        <v>551333</v>
      </c>
      <c r="G152" s="8">
        <f t="shared" si="6"/>
        <v>1.4251800549832438E-2</v>
      </c>
      <c r="H152" s="8">
        <f t="shared" si="7"/>
        <v>1.555756538653541E-2</v>
      </c>
    </row>
    <row r="153" spans="1:8" x14ac:dyDescent="0.25">
      <c r="A153" s="9">
        <v>289696.73599999998</v>
      </c>
      <c r="B153" s="9">
        <v>405714</v>
      </c>
      <c r="C153" s="8">
        <f t="shared" si="8"/>
        <v>1.3560007789630513E-2</v>
      </c>
      <c r="D153" s="8">
        <f t="shared" si="9"/>
        <v>1.5864669561167721E-2</v>
      </c>
      <c r="E153" s="11">
        <v>440341.28899999999</v>
      </c>
      <c r="F153" s="11">
        <v>563782</v>
      </c>
      <c r="G153" s="8">
        <f t="shared" si="6"/>
        <v>1.6884644152936445E-2</v>
      </c>
      <c r="H153" s="8">
        <f t="shared" si="7"/>
        <v>2.2579820181269694E-2</v>
      </c>
    </row>
    <row r="154" spans="1:8" x14ac:dyDescent="0.25">
      <c r="A154" s="9">
        <v>294604.28899999999</v>
      </c>
      <c r="B154" s="9">
        <v>415815</v>
      </c>
      <c r="C154" s="8">
        <f t="shared" si="8"/>
        <v>1.6940311678209641E-2</v>
      </c>
      <c r="D154" s="8">
        <f t="shared" si="9"/>
        <v>2.4896848518907388E-2</v>
      </c>
      <c r="E154" s="11">
        <v>446021.04100000003</v>
      </c>
      <c r="F154" s="11">
        <v>573227</v>
      </c>
      <c r="G154" s="8">
        <f t="shared" si="6"/>
        <v>1.2898522445847771E-2</v>
      </c>
      <c r="H154" s="8">
        <f t="shared" si="7"/>
        <v>1.6752929323745613E-2</v>
      </c>
    </row>
    <row r="155" spans="1:8" x14ac:dyDescent="0.25">
      <c r="A155" s="9">
        <v>298766.04100000003</v>
      </c>
      <c r="B155" s="9">
        <v>422254</v>
      </c>
      <c r="C155" s="8">
        <f t="shared" si="8"/>
        <v>1.412658320123783E-2</v>
      </c>
      <c r="D155" s="8">
        <f t="shared" si="9"/>
        <v>1.5485251854791215E-2</v>
      </c>
      <c r="E155" s="11">
        <v>451789.489</v>
      </c>
      <c r="F155" s="11">
        <v>579386</v>
      </c>
      <c r="G155" s="8">
        <f t="shared" si="6"/>
        <v>1.2933129762369155E-2</v>
      </c>
      <c r="H155" s="8">
        <f t="shared" si="7"/>
        <v>1.0744434578273454E-2</v>
      </c>
    </row>
    <row r="156" spans="1:8" x14ac:dyDescent="0.25">
      <c r="A156" s="9">
        <v>301811.489</v>
      </c>
      <c r="B156" s="9">
        <v>426124</v>
      </c>
      <c r="C156" s="8">
        <f t="shared" si="8"/>
        <v>1.0193420878110926E-2</v>
      </c>
      <c r="D156" s="8">
        <f t="shared" si="9"/>
        <v>9.165099679339983E-3</v>
      </c>
      <c r="E156" s="11">
        <v>461392.27500000002</v>
      </c>
      <c r="F156" s="11">
        <v>588538</v>
      </c>
      <c r="G156" s="8">
        <f t="shared" si="6"/>
        <v>2.1255000910390898E-2</v>
      </c>
      <c r="H156" s="8">
        <f t="shared" si="7"/>
        <v>1.5796032351489409E-2</v>
      </c>
    </row>
    <row r="157" spans="1:8" x14ac:dyDescent="0.25">
      <c r="A157" s="9">
        <v>306737.27500000002</v>
      </c>
      <c r="B157" s="9">
        <v>431775</v>
      </c>
      <c r="C157" s="8">
        <f t="shared" si="8"/>
        <v>1.6320737213552539E-2</v>
      </c>
      <c r="D157" s="8">
        <f t="shared" si="9"/>
        <v>1.3261398090696597E-2</v>
      </c>
      <c r="E157" s="11">
        <v>471058.95699999999</v>
      </c>
      <c r="F157" s="11">
        <v>600032</v>
      </c>
      <c r="G157" s="8">
        <f t="shared" si="6"/>
        <v>2.0951113670032662E-2</v>
      </c>
      <c r="H157" s="8">
        <f t="shared" si="7"/>
        <v>1.9529749990654821E-2</v>
      </c>
    </row>
    <row r="158" spans="1:8" x14ac:dyDescent="0.25">
      <c r="A158" s="9">
        <v>312435.95699999999</v>
      </c>
      <c r="B158" s="9">
        <v>438957</v>
      </c>
      <c r="C158" s="8">
        <f t="shared" si="8"/>
        <v>1.8578381124367604E-2</v>
      </c>
      <c r="D158" s="8">
        <f t="shared" si="9"/>
        <v>1.6633663366336648E-2</v>
      </c>
      <c r="E158" s="11">
        <v>481267.592</v>
      </c>
      <c r="F158" s="11">
        <v>608549</v>
      </c>
      <c r="G158" s="8">
        <f t="shared" si="6"/>
        <v>2.1671671556815264E-2</v>
      </c>
      <c r="H158" s="8">
        <f t="shared" si="7"/>
        <v>1.4194242973708082E-2</v>
      </c>
    </row>
    <row r="159" spans="1:8" x14ac:dyDescent="0.25">
      <c r="A159" s="9">
        <v>318174.592</v>
      </c>
      <c r="B159" s="9">
        <v>444230</v>
      </c>
      <c r="C159" s="8">
        <f t="shared" si="8"/>
        <v>1.8367396170089423E-2</v>
      </c>
      <c r="D159" s="8">
        <f t="shared" si="9"/>
        <v>1.2012566151126336E-2</v>
      </c>
      <c r="E159" s="11">
        <v>487134.85700000002</v>
      </c>
      <c r="F159" s="11">
        <v>615678</v>
      </c>
      <c r="G159" s="8">
        <f t="shared" si="6"/>
        <v>1.219127383087959E-2</v>
      </c>
      <c r="H159" s="8">
        <f t="shared" si="7"/>
        <v>1.1714750989649136E-2</v>
      </c>
    </row>
    <row r="160" spans="1:8" x14ac:dyDescent="0.25">
      <c r="A160" s="9">
        <v>322796.85700000002</v>
      </c>
      <c r="B160" s="9">
        <v>450259</v>
      </c>
      <c r="C160" s="8">
        <f t="shared" si="8"/>
        <v>1.4527448502236195E-2</v>
      </c>
      <c r="D160" s="8">
        <f t="shared" si="9"/>
        <v>1.3571798392724599E-2</v>
      </c>
      <c r="E160" s="11">
        <v>489857.51799999998</v>
      </c>
      <c r="F160" s="11">
        <v>626555</v>
      </c>
      <c r="G160" s="8">
        <f t="shared" si="6"/>
        <v>5.5891319639234105E-3</v>
      </c>
      <c r="H160" s="8">
        <f t="shared" si="7"/>
        <v>1.7666702399631085E-2</v>
      </c>
    </row>
    <row r="161" spans="1:8" x14ac:dyDescent="0.25">
      <c r="A161" s="9">
        <v>323781.51799999998</v>
      </c>
      <c r="B161" s="9">
        <v>458687</v>
      </c>
      <c r="C161" s="8">
        <f t="shared" si="8"/>
        <v>3.0504045459152085E-3</v>
      </c>
      <c r="D161" s="8">
        <f t="shared" si="9"/>
        <v>1.871811557348102E-2</v>
      </c>
      <c r="E161" s="11">
        <v>499288.34</v>
      </c>
      <c r="F161" s="11">
        <v>635960</v>
      </c>
      <c r="G161" s="8">
        <f t="shared" si="6"/>
        <v>1.9252173649400017E-2</v>
      </c>
      <c r="H161" s="8">
        <f t="shared" si="7"/>
        <v>1.5010653494106574E-2</v>
      </c>
    </row>
    <row r="162" spans="1:8" x14ac:dyDescent="0.25">
      <c r="A162" s="9">
        <v>329825.34000000003</v>
      </c>
      <c r="B162" s="9">
        <v>462504</v>
      </c>
      <c r="C162" s="8">
        <f t="shared" si="8"/>
        <v>1.8666358837690078E-2</v>
      </c>
      <c r="D162" s="8">
        <f t="shared" si="9"/>
        <v>8.3215787672203945E-3</v>
      </c>
      <c r="E162" s="11">
        <v>508389.98599999998</v>
      </c>
      <c r="F162" s="11">
        <v>642200</v>
      </c>
      <c r="G162" s="8">
        <f t="shared" si="6"/>
        <v>1.8229238039085605E-2</v>
      </c>
      <c r="H162" s="8">
        <f t="shared" si="7"/>
        <v>9.8119378577268268E-3</v>
      </c>
    </row>
    <row r="163" spans="1:8" x14ac:dyDescent="0.25">
      <c r="A163" s="9">
        <v>336109.98599999998</v>
      </c>
      <c r="B163" s="9">
        <v>465571</v>
      </c>
      <c r="C163" s="8">
        <f t="shared" si="8"/>
        <v>1.9054466827806316E-2</v>
      </c>
      <c r="D163" s="8">
        <f t="shared" si="9"/>
        <v>6.6312939996193698E-3</v>
      </c>
      <c r="E163" s="11">
        <v>521370.18199999997</v>
      </c>
      <c r="F163" s="11">
        <v>654170</v>
      </c>
      <c r="G163" s="8">
        <f t="shared" si="6"/>
        <v>2.5531966320044619E-2</v>
      </c>
      <c r="H163" s="8">
        <f t="shared" si="7"/>
        <v>1.8639053254437821E-2</v>
      </c>
    </row>
    <row r="164" spans="1:8" x14ac:dyDescent="0.25">
      <c r="A164" s="9">
        <v>344502.18199999997</v>
      </c>
      <c r="B164" s="9">
        <v>473579</v>
      </c>
      <c r="C164" s="8">
        <f t="shared" si="8"/>
        <v>2.4968600605636215E-2</v>
      </c>
      <c r="D164" s="8">
        <f t="shared" si="9"/>
        <v>1.7200384044538941E-2</v>
      </c>
      <c r="E164" s="11">
        <v>532565.95799999998</v>
      </c>
      <c r="F164" s="11">
        <v>664049</v>
      </c>
      <c r="G164" s="8">
        <f t="shared" si="6"/>
        <v>2.147375585817457E-2</v>
      </c>
      <c r="H164" s="8">
        <f t="shared" si="7"/>
        <v>1.5101579100233797E-2</v>
      </c>
    </row>
    <row r="165" spans="1:8" x14ac:dyDescent="0.25">
      <c r="A165" s="9">
        <v>352737.95799999998</v>
      </c>
      <c r="B165" s="9">
        <v>479427</v>
      </c>
      <c r="C165" s="8">
        <f t="shared" si="8"/>
        <v>2.3906310120265006E-2</v>
      </c>
      <c r="D165" s="8">
        <f t="shared" si="9"/>
        <v>1.2348520521391348E-2</v>
      </c>
      <c r="E165" s="11">
        <v>545689.75900000008</v>
      </c>
      <c r="F165" s="11">
        <v>677816</v>
      </c>
      <c r="G165" s="8">
        <f t="shared" si="6"/>
        <v>2.4642583332373125E-2</v>
      </c>
      <c r="H165" s="8">
        <f t="shared" si="7"/>
        <v>2.0731903820350617E-2</v>
      </c>
    </row>
    <row r="166" spans="1:8" x14ac:dyDescent="0.25">
      <c r="A166" s="9">
        <v>361586.75900000002</v>
      </c>
      <c r="B166" s="9">
        <v>489056</v>
      </c>
      <c r="C166" s="8">
        <f t="shared" si="8"/>
        <v>2.5086047019640567E-2</v>
      </c>
      <c r="D166" s="8">
        <f t="shared" si="9"/>
        <v>2.0084392410106178E-2</v>
      </c>
      <c r="E166" s="11">
        <v>554747.39800000004</v>
      </c>
      <c r="F166" s="11">
        <v>685682</v>
      </c>
      <c r="G166" s="8">
        <f t="shared" si="6"/>
        <v>1.6598513808649296E-2</v>
      </c>
      <c r="H166" s="8">
        <f t="shared" si="7"/>
        <v>1.1604919329139429E-2</v>
      </c>
    </row>
    <row r="167" spans="1:8" x14ac:dyDescent="0.25">
      <c r="A167" s="9">
        <v>368354.39799999999</v>
      </c>
      <c r="B167" s="9">
        <v>493687</v>
      </c>
      <c r="C167" s="8">
        <f t="shared" si="8"/>
        <v>1.8716501175862987E-2</v>
      </c>
      <c r="D167" s="8">
        <f t="shared" si="9"/>
        <v>9.469263233658376E-3</v>
      </c>
      <c r="E167" s="11">
        <v>565479.35199999996</v>
      </c>
      <c r="F167" s="11">
        <v>700012</v>
      </c>
      <c r="G167" s="8">
        <f t="shared" si="6"/>
        <v>1.9345659012897087E-2</v>
      </c>
      <c r="H167" s="8">
        <f t="shared" si="7"/>
        <v>2.0898900656572517E-2</v>
      </c>
    </row>
    <row r="168" spans="1:8" x14ac:dyDescent="0.25">
      <c r="A168" s="9">
        <v>376559.35200000001</v>
      </c>
      <c r="B168" s="9">
        <v>505089</v>
      </c>
      <c r="C168" s="8">
        <f t="shared" si="8"/>
        <v>2.2274619346339453E-2</v>
      </c>
      <c r="D168" s="8">
        <f t="shared" si="9"/>
        <v>2.3095605110120321E-2</v>
      </c>
      <c r="E168" s="11">
        <v>579035.38400000008</v>
      </c>
      <c r="F168" s="11">
        <v>713614</v>
      </c>
      <c r="G168" s="8">
        <f t="shared" si="6"/>
        <v>2.3972638350197695E-2</v>
      </c>
      <c r="H168" s="8">
        <f t="shared" si="7"/>
        <v>1.9431095466934778E-2</v>
      </c>
    </row>
    <row r="169" spans="1:8" x14ac:dyDescent="0.25">
      <c r="A169" s="9">
        <v>384229.38400000002</v>
      </c>
      <c r="B169" s="9">
        <v>513275</v>
      </c>
      <c r="C169" s="8">
        <f t="shared" si="8"/>
        <v>2.0368719988661965E-2</v>
      </c>
      <c r="D169" s="8">
        <f t="shared" si="9"/>
        <v>1.6207044699052986E-2</v>
      </c>
      <c r="E169" s="11">
        <v>594968.201</v>
      </c>
      <c r="F169" s="11">
        <v>727421</v>
      </c>
      <c r="G169" s="8">
        <f t="shared" si="6"/>
        <v>2.7516137079456771E-2</v>
      </c>
      <c r="H169" s="8">
        <f t="shared" si="7"/>
        <v>1.9347994854361117E-2</v>
      </c>
    </row>
    <row r="170" spans="1:8" x14ac:dyDescent="0.25">
      <c r="A170" s="9">
        <v>393656.201</v>
      </c>
      <c r="B170" s="9">
        <v>520690</v>
      </c>
      <c r="C170" s="8">
        <f t="shared" si="8"/>
        <v>2.4534346909813598E-2</v>
      </c>
      <c r="D170" s="8">
        <f t="shared" si="9"/>
        <v>1.44464468364911E-2</v>
      </c>
      <c r="E170" s="11">
        <v>608995.82499999995</v>
      </c>
      <c r="F170" s="11">
        <v>741319</v>
      </c>
      <c r="G170" s="8">
        <f t="shared" si="6"/>
        <v>2.3577098702792565E-2</v>
      </c>
      <c r="H170" s="8">
        <f t="shared" si="7"/>
        <v>1.9105854793853849E-2</v>
      </c>
    </row>
    <row r="171" spans="1:8" x14ac:dyDescent="0.25">
      <c r="A171" s="9">
        <v>402747.82500000001</v>
      </c>
      <c r="B171" s="9">
        <v>529509</v>
      </c>
      <c r="C171" s="8">
        <f t="shared" si="8"/>
        <v>2.3095340494839522E-2</v>
      </c>
      <c r="D171" s="8">
        <f t="shared" si="9"/>
        <v>1.6937141101231123E-2</v>
      </c>
      <c r="E171" s="11">
        <v>624854.29200000002</v>
      </c>
      <c r="F171" s="11">
        <v>758646</v>
      </c>
      <c r="G171" s="8">
        <f t="shared" si="6"/>
        <v>2.6040354217535144E-2</v>
      </c>
      <c r="H171" s="8">
        <f t="shared" si="7"/>
        <v>2.3373203708525025E-2</v>
      </c>
    </row>
    <row r="172" spans="1:8" x14ac:dyDescent="0.25">
      <c r="A172" s="9">
        <v>413561.29200000002</v>
      </c>
      <c r="B172" s="9">
        <v>541734</v>
      </c>
      <c r="C172" s="8">
        <f t="shared" si="8"/>
        <v>2.6849225070302962E-2</v>
      </c>
      <c r="D172" s="8">
        <f t="shared" si="9"/>
        <v>2.3087426276040546E-2</v>
      </c>
      <c r="E172" s="11">
        <v>635554.56700000004</v>
      </c>
      <c r="F172" s="11">
        <v>775797</v>
      </c>
      <c r="G172" s="8">
        <f t="shared" si="6"/>
        <v>1.7124432266842904E-2</v>
      </c>
      <c r="H172" s="8">
        <f t="shared" si="7"/>
        <v>2.26073820991608E-2</v>
      </c>
    </row>
    <row r="173" spans="1:8" x14ac:dyDescent="0.25">
      <c r="A173" s="9">
        <v>417346.56699999998</v>
      </c>
      <c r="B173" s="9">
        <v>552863</v>
      </c>
      <c r="C173" s="8">
        <f t="shared" si="8"/>
        <v>9.1528754581797767E-3</v>
      </c>
      <c r="D173" s="8">
        <f t="shared" si="9"/>
        <v>2.0543292464567431E-2</v>
      </c>
      <c r="E173" s="11">
        <v>649397.53899999999</v>
      </c>
      <c r="F173" s="11">
        <v>785245</v>
      </c>
      <c r="G173" s="8">
        <f t="shared" si="6"/>
        <v>2.1780933878490893E-2</v>
      </c>
      <c r="H173" s="8">
        <f t="shared" si="7"/>
        <v>1.2178443587691046E-2</v>
      </c>
    </row>
    <row r="174" spans="1:8" x14ac:dyDescent="0.25">
      <c r="A174" s="9">
        <v>428097.53899999999</v>
      </c>
      <c r="B174" s="9">
        <v>557973</v>
      </c>
      <c r="C174" s="8">
        <f t="shared" si="8"/>
        <v>2.5760298155274031E-2</v>
      </c>
      <c r="D174" s="8">
        <f t="shared" si="9"/>
        <v>9.2427961357515187E-3</v>
      </c>
      <c r="E174" s="11">
        <v>662079.50300000003</v>
      </c>
      <c r="F174" s="11">
        <v>793544</v>
      </c>
      <c r="G174" s="8">
        <f t="shared" si="6"/>
        <v>1.9528814383141802E-2</v>
      </c>
      <c r="H174" s="8">
        <f t="shared" si="7"/>
        <v>1.0568676018312795E-2</v>
      </c>
    </row>
    <row r="175" spans="1:8" x14ac:dyDescent="0.25">
      <c r="A175" s="9">
        <v>437005.50300000003</v>
      </c>
      <c r="B175" s="9">
        <v>561466</v>
      </c>
      <c r="C175" s="8">
        <f t="shared" si="8"/>
        <v>2.0808257904981975E-2</v>
      </c>
      <c r="D175" s="8">
        <f t="shared" si="9"/>
        <v>6.2601595417699496E-3</v>
      </c>
      <c r="E175" s="11">
        <v>673756.04200000002</v>
      </c>
      <c r="F175" s="11">
        <v>800794</v>
      </c>
      <c r="G175" s="8">
        <f t="shared" si="6"/>
        <v>1.7636158417669634E-2</v>
      </c>
      <c r="H175" s="8">
        <f t="shared" si="7"/>
        <v>9.1362293710242071E-3</v>
      </c>
    </row>
    <row r="176" spans="1:8" x14ac:dyDescent="0.25">
      <c r="A176" s="9">
        <v>443018.04200000002</v>
      </c>
      <c r="B176" s="9">
        <v>563875</v>
      </c>
      <c r="C176" s="8">
        <f t="shared" si="8"/>
        <v>1.3758497224232835E-2</v>
      </c>
      <c r="D176" s="8">
        <f t="shared" si="9"/>
        <v>4.2905536577459991E-3</v>
      </c>
      <c r="E176" s="11">
        <v>687907.78200000001</v>
      </c>
      <c r="F176" s="11">
        <v>811661</v>
      </c>
      <c r="G176" s="8">
        <f t="shared" si="6"/>
        <v>2.1004249487680315E-2</v>
      </c>
      <c r="H176" s="8">
        <f t="shared" si="7"/>
        <v>1.3570281495615566E-2</v>
      </c>
    </row>
    <row r="177" spans="1:8" x14ac:dyDescent="0.25">
      <c r="A177" s="9">
        <v>451323.78200000001</v>
      </c>
      <c r="B177" s="9">
        <v>570454</v>
      </c>
      <c r="C177" s="8">
        <f t="shared" si="8"/>
        <v>1.8748085207780374E-2</v>
      </c>
      <c r="D177" s="8">
        <f t="shared" si="9"/>
        <v>1.1667479494568811E-2</v>
      </c>
      <c r="E177" s="11">
        <v>704053.46100000001</v>
      </c>
      <c r="F177" s="11">
        <v>825659</v>
      </c>
      <c r="G177" s="8">
        <f t="shared" si="6"/>
        <v>2.3470702647175434E-2</v>
      </c>
      <c r="H177" s="8">
        <f t="shared" si="7"/>
        <v>1.7246116297321201E-2</v>
      </c>
    </row>
    <row r="178" spans="1:8" x14ac:dyDescent="0.25">
      <c r="A178" s="9">
        <v>460372.46100000001</v>
      </c>
      <c r="B178" s="9">
        <v>578386</v>
      </c>
      <c r="C178" s="8">
        <f t="shared" si="8"/>
        <v>2.0049196078038678E-2</v>
      </c>
      <c r="D178" s="8">
        <f t="shared" si="9"/>
        <v>1.3904714490563741E-2</v>
      </c>
      <c r="E178" s="11">
        <v>721747.45799999998</v>
      </c>
      <c r="F178" s="11">
        <v>838136</v>
      </c>
      <c r="G178" s="8">
        <f t="shared" si="6"/>
        <v>2.5131609998576554E-2</v>
      </c>
      <c r="H178" s="8">
        <f t="shared" si="7"/>
        <v>1.5111565428342688E-2</v>
      </c>
    </row>
    <row r="179" spans="1:8" x14ac:dyDescent="0.25">
      <c r="A179" s="9">
        <v>468568.45799999998</v>
      </c>
      <c r="B179" s="9">
        <v>585267</v>
      </c>
      <c r="C179" s="8">
        <f t="shared" si="8"/>
        <v>1.7802969756698817E-2</v>
      </c>
      <c r="D179" s="8">
        <f t="shared" si="9"/>
        <v>1.1896899302541897E-2</v>
      </c>
      <c r="E179" s="11">
        <v>729099.25900000008</v>
      </c>
      <c r="F179" s="11">
        <v>849017</v>
      </c>
      <c r="G179" s="8">
        <f t="shared" si="6"/>
        <v>1.0186112771872091E-2</v>
      </c>
      <c r="H179" s="8">
        <f t="shared" si="7"/>
        <v>1.2982379947884315E-2</v>
      </c>
    </row>
    <row r="180" spans="1:8" x14ac:dyDescent="0.25">
      <c r="A180" s="9">
        <v>475540.25900000002</v>
      </c>
      <c r="B180" s="9">
        <v>591030</v>
      </c>
      <c r="C180" s="8">
        <f t="shared" si="8"/>
        <v>1.4878937924583946E-2</v>
      </c>
      <c r="D180" s="8">
        <f t="shared" si="9"/>
        <v>9.8467878763026651E-3</v>
      </c>
      <c r="E180" s="11">
        <v>747725.53300000005</v>
      </c>
      <c r="F180" s="11">
        <v>869039</v>
      </c>
      <c r="G180" s="8">
        <f t="shared" si="6"/>
        <v>2.5546966027022E-2</v>
      </c>
      <c r="H180" s="8">
        <f t="shared" si="7"/>
        <v>2.3582566662387228E-2</v>
      </c>
    </row>
    <row r="181" spans="1:8" x14ac:dyDescent="0.25">
      <c r="A181" s="9">
        <v>483910.533</v>
      </c>
      <c r="B181" s="9">
        <v>599924</v>
      </c>
      <c r="C181" s="8">
        <f t="shared" si="8"/>
        <v>1.7601609625232495E-2</v>
      </c>
      <c r="D181" s="8">
        <f t="shared" si="9"/>
        <v>1.5048305500566794E-2</v>
      </c>
      <c r="E181" s="11">
        <v>761926.94299999997</v>
      </c>
      <c r="F181" s="11">
        <v>881931</v>
      </c>
      <c r="G181" s="8">
        <f t="shared" si="6"/>
        <v>1.8992811363578221E-2</v>
      </c>
      <c r="H181" s="8">
        <f t="shared" si="7"/>
        <v>1.4834777265462229E-2</v>
      </c>
    </row>
    <row r="182" spans="1:8" x14ac:dyDescent="0.25">
      <c r="A182" s="9">
        <v>492243.94300000003</v>
      </c>
      <c r="B182" s="9">
        <v>606977</v>
      </c>
      <c r="C182" s="8">
        <f t="shared" si="8"/>
        <v>1.7220972538739998E-2</v>
      </c>
      <c r="D182" s="8">
        <f t="shared" si="9"/>
        <v>1.1756489155293037E-2</v>
      </c>
      <c r="E182" s="11">
        <v>773565.36300000001</v>
      </c>
      <c r="F182" s="11">
        <v>893988</v>
      </c>
      <c r="G182" s="8">
        <f t="shared" si="6"/>
        <v>1.5274981554235456E-2</v>
      </c>
      <c r="H182" s="8">
        <f t="shared" si="7"/>
        <v>1.3671137537970557E-2</v>
      </c>
    </row>
    <row r="183" spans="1:8" x14ac:dyDescent="0.25">
      <c r="A183" s="9">
        <v>498329.36300000001</v>
      </c>
      <c r="B183" s="9">
        <v>612484</v>
      </c>
      <c r="C183" s="8">
        <f t="shared" si="8"/>
        <v>1.2362610219055492E-2</v>
      </c>
      <c r="D183" s="8">
        <f t="shared" si="9"/>
        <v>9.0728314252435105E-3</v>
      </c>
      <c r="E183" s="11">
        <v>786593.174</v>
      </c>
      <c r="F183" s="11">
        <v>908587</v>
      </c>
      <c r="G183" s="8">
        <f t="shared" si="6"/>
        <v>1.6841254305229203E-2</v>
      </c>
      <c r="H183" s="8">
        <f t="shared" si="7"/>
        <v>1.6330196825908194E-2</v>
      </c>
    </row>
    <row r="184" spans="1:8" x14ac:dyDescent="0.25">
      <c r="A184" s="9">
        <v>504194.174</v>
      </c>
      <c r="B184" s="9">
        <v>620089</v>
      </c>
      <c r="C184" s="8">
        <f t="shared" si="8"/>
        <v>1.1768945270840936E-2</v>
      </c>
      <c r="D184" s="8">
        <f t="shared" si="9"/>
        <v>1.2416650883941394E-2</v>
      </c>
      <c r="E184" s="11">
        <v>795010.47</v>
      </c>
      <c r="F184" s="11">
        <v>921598</v>
      </c>
      <c r="G184" s="8">
        <f t="shared" si="6"/>
        <v>1.0700952256165852E-2</v>
      </c>
      <c r="H184" s="8">
        <f t="shared" si="7"/>
        <v>1.4320037596839974E-2</v>
      </c>
    </row>
    <row r="185" spans="1:8" x14ac:dyDescent="0.25">
      <c r="A185" s="9">
        <v>505682.47</v>
      </c>
      <c r="B185" s="9">
        <v>626283</v>
      </c>
      <c r="C185" s="8">
        <f t="shared" si="8"/>
        <v>2.951831014215589E-3</v>
      </c>
      <c r="D185" s="8">
        <f t="shared" si="9"/>
        <v>9.9888886917844921E-3</v>
      </c>
      <c r="E185" s="11">
        <v>809410.03300000005</v>
      </c>
      <c r="F185" s="11">
        <v>934121</v>
      </c>
      <c r="G185" s="8">
        <f t="shared" si="6"/>
        <v>1.8112419324490148E-2</v>
      </c>
      <c r="H185" s="8">
        <f t="shared" si="7"/>
        <v>1.3588354141393477E-2</v>
      </c>
    </row>
    <row r="186" spans="1:8" x14ac:dyDescent="0.25">
      <c r="A186" s="9">
        <v>514343.033</v>
      </c>
      <c r="B186" s="9">
        <v>632440</v>
      </c>
      <c r="C186" s="8">
        <f t="shared" si="8"/>
        <v>1.7126484530895603E-2</v>
      </c>
      <c r="D186" s="8">
        <f t="shared" si="9"/>
        <v>9.8310188844339397E-3</v>
      </c>
      <c r="E186" s="11">
        <v>820233.59600000002</v>
      </c>
      <c r="F186" s="11">
        <v>941121</v>
      </c>
      <c r="G186" s="8">
        <f t="shared" si="6"/>
        <v>1.3372163129586445E-2</v>
      </c>
      <c r="H186" s="8">
        <f t="shared" si="7"/>
        <v>7.4936758728259001E-3</v>
      </c>
    </row>
    <row r="187" spans="1:8" x14ac:dyDescent="0.25">
      <c r="A187" s="9">
        <v>520975.59600000002</v>
      </c>
      <c r="B187" s="9">
        <v>634382</v>
      </c>
      <c r="C187" s="8">
        <f t="shared" si="8"/>
        <v>1.2895213066879574E-2</v>
      </c>
      <c r="D187" s="8">
        <f t="shared" si="9"/>
        <v>3.070647017898942E-3</v>
      </c>
      <c r="E187" s="11">
        <v>831095.87199999997</v>
      </c>
      <c r="F187" s="11">
        <v>953171</v>
      </c>
      <c r="G187" s="8">
        <f t="shared" si="6"/>
        <v>1.3242905500300939E-2</v>
      </c>
      <c r="H187" s="8">
        <f t="shared" si="7"/>
        <v>1.280387962865559E-2</v>
      </c>
    </row>
    <row r="188" spans="1:8" x14ac:dyDescent="0.25">
      <c r="A188" s="9">
        <v>525167.87199999997</v>
      </c>
      <c r="B188" s="9">
        <v>638999</v>
      </c>
      <c r="C188" s="8">
        <f t="shared" si="8"/>
        <v>8.0469719353226665E-3</v>
      </c>
      <c r="D188" s="8">
        <f t="shared" si="9"/>
        <v>7.2779492482446528E-3</v>
      </c>
      <c r="E188" s="11">
        <v>842057.11800000002</v>
      </c>
      <c r="F188" s="11">
        <v>964854</v>
      </c>
      <c r="G188" s="8">
        <f t="shared" si="6"/>
        <v>1.3188906802800382E-2</v>
      </c>
      <c r="H188" s="8">
        <f t="shared" si="7"/>
        <v>1.225698222039906E-2</v>
      </c>
    </row>
    <row r="189" spans="1:8" x14ac:dyDescent="0.25">
      <c r="A189" s="9">
        <v>531685.11800000002</v>
      </c>
      <c r="B189" s="9">
        <v>644939</v>
      </c>
      <c r="C189" s="8">
        <f t="shared" si="8"/>
        <v>1.2409833783586954E-2</v>
      </c>
      <c r="D189" s="8">
        <f t="shared" si="9"/>
        <v>9.2957891952882843E-3</v>
      </c>
      <c r="E189" s="11">
        <v>854944.60900000005</v>
      </c>
      <c r="F189" s="11">
        <v>980828</v>
      </c>
      <c r="G189" s="8">
        <f t="shared" si="6"/>
        <v>1.5304770572582616E-2</v>
      </c>
      <c r="H189" s="8">
        <f t="shared" si="7"/>
        <v>1.6555872701983887E-2</v>
      </c>
    </row>
    <row r="190" spans="1:8" x14ac:dyDescent="0.25">
      <c r="A190" s="9">
        <v>536957.60900000005</v>
      </c>
      <c r="B190" s="9">
        <v>654365</v>
      </c>
      <c r="C190" s="8">
        <f t="shared" si="8"/>
        <v>9.9165668202885193E-3</v>
      </c>
      <c r="D190" s="8">
        <f t="shared" si="9"/>
        <v>1.4615335713920263E-2</v>
      </c>
      <c r="E190" s="11">
        <v>872174.98100000003</v>
      </c>
      <c r="F190" s="11">
        <v>994137</v>
      </c>
      <c r="G190" s="8">
        <f t="shared" si="6"/>
        <v>2.0153787530345024E-2</v>
      </c>
      <c r="H190" s="8">
        <f t="shared" si="7"/>
        <v>1.3569147699698636E-2</v>
      </c>
    </row>
    <row r="191" spans="1:8" x14ac:dyDescent="0.25">
      <c r="A191" s="9">
        <v>546066.98100000003</v>
      </c>
      <c r="B191" s="9">
        <v>660049</v>
      </c>
      <c r="C191" s="8">
        <f t="shared" si="8"/>
        <v>1.6964787996886388E-2</v>
      </c>
      <c r="D191" s="8">
        <f t="shared" si="9"/>
        <v>8.686283649033788E-3</v>
      </c>
      <c r="E191" s="11">
        <v>880306.125</v>
      </c>
      <c r="F191" s="11">
        <v>1004184</v>
      </c>
      <c r="G191" s="8">
        <f t="shared" si="6"/>
        <v>9.3228356432297765E-3</v>
      </c>
      <c r="H191" s="8">
        <f t="shared" si="7"/>
        <v>1.0106252961110895E-2</v>
      </c>
    </row>
    <row r="192" spans="1:8" x14ac:dyDescent="0.25">
      <c r="A192" s="9">
        <v>551118.125</v>
      </c>
      <c r="B192" s="9">
        <v>665907</v>
      </c>
      <c r="C192" s="8">
        <f t="shared" si="8"/>
        <v>9.2500447303185407E-3</v>
      </c>
      <c r="D192" s="8">
        <f t="shared" si="9"/>
        <v>8.8750986669170473E-3</v>
      </c>
      <c r="E192" s="11">
        <v>900729.47699999996</v>
      </c>
      <c r="F192" s="11">
        <v>1022555</v>
      </c>
      <c r="G192" s="8">
        <f t="shared" si="6"/>
        <v>2.3200283878520134E-2</v>
      </c>
      <c r="H192" s="8">
        <f t="shared" si="7"/>
        <v>1.8294455996112235E-2</v>
      </c>
    </row>
    <row r="193" spans="1:8" x14ac:dyDescent="0.25">
      <c r="A193" s="9">
        <v>558725.47699999996</v>
      </c>
      <c r="B193" s="9">
        <v>672877</v>
      </c>
      <c r="C193" s="8">
        <f t="shared" si="8"/>
        <v>1.3803487228803979E-2</v>
      </c>
      <c r="D193" s="8">
        <f t="shared" si="9"/>
        <v>1.0466927063388809E-2</v>
      </c>
      <c r="E193" s="11">
        <v>910123.1</v>
      </c>
      <c r="F193" s="11">
        <v>1025645</v>
      </c>
      <c r="G193" s="8">
        <f t="shared" si="6"/>
        <v>1.0428905947751144E-2</v>
      </c>
      <c r="H193" s="8">
        <f t="shared" si="7"/>
        <v>3.0218423458885368E-3</v>
      </c>
    </row>
    <row r="194" spans="1:8" x14ac:dyDescent="0.25">
      <c r="A194" s="9">
        <v>559334.1</v>
      </c>
      <c r="B194" s="9">
        <v>670249</v>
      </c>
      <c r="C194" s="8">
        <f t="shared" si="8"/>
        <v>1.0893059741394762E-3</v>
      </c>
      <c r="D194" s="8">
        <f t="shared" si="9"/>
        <v>-3.9056172227613928E-3</v>
      </c>
      <c r="E194" s="11">
        <v>924988.70799999998</v>
      </c>
      <c r="F194" s="11">
        <v>1041512</v>
      </c>
      <c r="G194" s="8">
        <f t="shared" si="6"/>
        <v>1.6333623440609291E-2</v>
      </c>
      <c r="H194" s="8">
        <f t="shared" si="7"/>
        <v>1.5470265052722976E-2</v>
      </c>
    </row>
    <row r="195" spans="1:8" x14ac:dyDescent="0.25">
      <c r="A195" s="9">
        <v>563731.70799999998</v>
      </c>
      <c r="B195" s="9">
        <v>676692</v>
      </c>
      <c r="C195" s="8">
        <f t="shared" si="8"/>
        <v>7.8622204510685467E-3</v>
      </c>
      <c r="D195" s="8">
        <f t="shared" si="9"/>
        <v>9.6128453753754339E-3</v>
      </c>
      <c r="E195" s="11">
        <v>937578.93599999999</v>
      </c>
      <c r="F195" s="11">
        <v>1056236</v>
      </c>
      <c r="G195" s="8">
        <f t="shared" si="6"/>
        <v>1.3611223457227428E-2</v>
      </c>
      <c r="H195" s="8">
        <f t="shared" si="7"/>
        <v>1.4137139082410988E-2</v>
      </c>
    </row>
    <row r="196" spans="1:8" x14ac:dyDescent="0.25">
      <c r="A196" s="9">
        <v>567350.93599999999</v>
      </c>
      <c r="B196" s="9">
        <v>681661</v>
      </c>
      <c r="C196" s="8">
        <f t="shared" si="8"/>
        <v>6.4201249435484886E-3</v>
      </c>
      <c r="D196" s="8">
        <f t="shared" si="9"/>
        <v>7.3430748405478585E-3</v>
      </c>
      <c r="E196" s="11">
        <v>950840.58100000001</v>
      </c>
      <c r="F196" s="11">
        <v>1076471</v>
      </c>
      <c r="G196" s="8">
        <f t="shared" ref="G196" si="10">E196/E195-1</f>
        <v>1.4144563717032987E-2</v>
      </c>
      <c r="H196" s="8">
        <f t="shared" ref="H196:H259" si="11">F196/F195-1</f>
        <v>1.9157650373590851E-2</v>
      </c>
    </row>
    <row r="197" spans="1:8" x14ac:dyDescent="0.25">
      <c r="A197" s="9">
        <v>567195.58100000001</v>
      </c>
      <c r="B197" s="9">
        <v>689557</v>
      </c>
      <c r="C197" s="8">
        <f t="shared" ref="C197" si="12">A197/A196-1</f>
        <v>-2.738252290465093E-4</v>
      </c>
      <c r="D197" s="8">
        <f t="shared" ref="D197:D260" si="13">B197/B196-1</f>
        <v>1.1583470376037353E-2</v>
      </c>
      <c r="E197" s="11">
        <v>0</v>
      </c>
      <c r="F197" s="11">
        <v>1088275</v>
      </c>
      <c r="G197" s="8"/>
      <c r="H197" s="8">
        <f t="shared" si="11"/>
        <v>1.0965460286435968E-2</v>
      </c>
    </row>
    <row r="198" spans="1:8" x14ac:dyDescent="0.25">
      <c r="A198" s="9">
        <v>0</v>
      </c>
      <c r="B198" s="9">
        <v>694578</v>
      </c>
      <c r="D198" s="8">
        <f t="shared" si="13"/>
        <v>7.2814865196060286E-3</v>
      </c>
      <c r="E198" s="11">
        <v>0</v>
      </c>
      <c r="F198" s="11">
        <v>1094774</v>
      </c>
      <c r="G198" s="8"/>
      <c r="H198" s="8">
        <f t="shared" si="11"/>
        <v>5.9718361627345562E-3</v>
      </c>
    </row>
    <row r="199" spans="1:8" x14ac:dyDescent="0.25">
      <c r="A199" s="9">
        <v>0</v>
      </c>
      <c r="B199" s="9">
        <v>694658</v>
      </c>
      <c r="D199" s="8">
        <f t="shared" si="13"/>
        <v>1.1517784899606198E-4</v>
      </c>
      <c r="E199" s="11">
        <v>0</v>
      </c>
      <c r="F199" s="11">
        <v>1108015</v>
      </c>
      <c r="G199" s="8"/>
      <c r="H199" s="8">
        <f t="shared" si="11"/>
        <v>1.2094733707596284E-2</v>
      </c>
    </row>
    <row r="200" spans="1:8" x14ac:dyDescent="0.25">
      <c r="A200" s="9">
        <v>0</v>
      </c>
      <c r="B200" s="9">
        <v>697249</v>
      </c>
      <c r="D200" s="8">
        <f t="shared" si="13"/>
        <v>3.7298929833098349E-3</v>
      </c>
      <c r="E200" s="11">
        <v>0</v>
      </c>
      <c r="F200" s="11">
        <v>1124846</v>
      </c>
      <c r="G200" s="8"/>
      <c r="H200" s="8">
        <f t="shared" si="11"/>
        <v>1.5190227569121362E-2</v>
      </c>
    </row>
    <row r="201" spans="1:8" x14ac:dyDescent="0.25">
      <c r="A201" s="9">
        <v>0</v>
      </c>
      <c r="B201" s="9">
        <v>703879</v>
      </c>
      <c r="D201" s="8">
        <f t="shared" si="13"/>
        <v>9.5087981481507544E-3</v>
      </c>
      <c r="E201" s="11">
        <v>0</v>
      </c>
      <c r="F201" s="11">
        <v>1143984</v>
      </c>
      <c r="G201" s="8"/>
      <c r="H201" s="8">
        <f t="shared" si="11"/>
        <v>1.7013884567309567E-2</v>
      </c>
    </row>
    <row r="202" spans="1:8" x14ac:dyDescent="0.25">
      <c r="A202" s="9">
        <v>0</v>
      </c>
      <c r="B202" s="9">
        <v>711603</v>
      </c>
      <c r="D202" s="8">
        <f t="shared" si="13"/>
        <v>1.097347697544615E-2</v>
      </c>
      <c r="E202" s="11">
        <v>0</v>
      </c>
      <c r="F202" s="11">
        <v>1160114</v>
      </c>
      <c r="G202" s="8"/>
      <c r="H202" s="8">
        <f t="shared" si="11"/>
        <v>1.4099847550315348E-2</v>
      </c>
    </row>
    <row r="203" spans="1:8" x14ac:dyDescent="0.25">
      <c r="A203" s="9">
        <v>0</v>
      </c>
      <c r="B203" s="9">
        <v>713757</v>
      </c>
      <c r="D203" s="8">
        <f t="shared" si="13"/>
        <v>3.0269686890020964E-3</v>
      </c>
      <c r="E203" s="11">
        <v>0</v>
      </c>
      <c r="F203" s="11">
        <v>1173994</v>
      </c>
      <c r="G203" s="8"/>
      <c r="H203" s="8">
        <f t="shared" si="11"/>
        <v>1.1964341435410697E-2</v>
      </c>
    </row>
    <row r="204" spans="1:8" x14ac:dyDescent="0.25">
      <c r="A204" s="9">
        <v>0</v>
      </c>
      <c r="B204" s="9">
        <v>720522</v>
      </c>
      <c r="D204" s="8">
        <f t="shared" si="13"/>
        <v>9.4780156271672134E-3</v>
      </c>
      <c r="E204" s="11">
        <v>0</v>
      </c>
      <c r="F204" s="11">
        <v>1190495</v>
      </c>
      <c r="G204" s="8"/>
      <c r="H204" s="8">
        <f t="shared" si="11"/>
        <v>1.4055438102750006E-2</v>
      </c>
    </row>
    <row r="205" spans="1:8" x14ac:dyDescent="0.25">
      <c r="A205" s="9">
        <v>0</v>
      </c>
      <c r="B205" s="9">
        <v>724388</v>
      </c>
      <c r="D205" s="8">
        <f t="shared" si="13"/>
        <v>5.365554417491758E-3</v>
      </c>
      <c r="E205" s="11">
        <v>0</v>
      </c>
      <c r="F205" s="11">
        <v>1202447</v>
      </c>
      <c r="G205" s="8"/>
      <c r="H205" s="8">
        <f t="shared" si="11"/>
        <v>1.0039521375562188E-2</v>
      </c>
    </row>
    <row r="206" spans="1:8" x14ac:dyDescent="0.25">
      <c r="A206" s="9">
        <v>0</v>
      </c>
      <c r="B206" s="9">
        <v>727146</v>
      </c>
      <c r="D206" s="8">
        <f t="shared" si="13"/>
        <v>3.8073518611572155E-3</v>
      </c>
      <c r="E206" s="11">
        <v>0</v>
      </c>
      <c r="F206" s="11">
        <v>1212482</v>
      </c>
      <c r="G206" s="8"/>
      <c r="H206" s="8">
        <f t="shared" si="11"/>
        <v>8.3454821709396665E-3</v>
      </c>
    </row>
    <row r="207" spans="1:8" x14ac:dyDescent="0.25">
      <c r="A207" s="9">
        <v>0</v>
      </c>
      <c r="B207" s="9">
        <v>731380</v>
      </c>
      <c r="D207" s="8">
        <f t="shared" si="13"/>
        <v>5.8227646167343661E-3</v>
      </c>
      <c r="E207" s="11">
        <v>0</v>
      </c>
      <c r="F207" s="11">
        <v>1227984</v>
      </c>
      <c r="G207" s="8"/>
      <c r="H207" s="8">
        <f t="shared" si="11"/>
        <v>1.2785344442226787E-2</v>
      </c>
    </row>
    <row r="208" spans="1:8" x14ac:dyDescent="0.25">
      <c r="A208" s="9">
        <v>0</v>
      </c>
      <c r="B208" s="9">
        <v>735106</v>
      </c>
      <c r="D208" s="8">
        <f t="shared" si="13"/>
        <v>5.0944789302413973E-3</v>
      </c>
      <c r="E208" s="11">
        <v>0</v>
      </c>
      <c r="F208" s="11">
        <v>1249371</v>
      </c>
      <c r="G208" s="8"/>
      <c r="H208" s="8">
        <f t="shared" si="11"/>
        <v>1.7416350701637828E-2</v>
      </c>
    </row>
    <row r="209" spans="1:8" x14ac:dyDescent="0.25">
      <c r="A209" s="9">
        <v>0</v>
      </c>
      <c r="B209" s="9">
        <v>742183</v>
      </c>
      <c r="D209" s="8">
        <f t="shared" si="13"/>
        <v>9.6271830185035157E-3</v>
      </c>
      <c r="E209" s="11">
        <v>0</v>
      </c>
      <c r="F209" s="11">
        <v>1263128</v>
      </c>
      <c r="G209" s="8"/>
      <c r="H209" s="8">
        <f t="shared" si="11"/>
        <v>1.1011140806053588E-2</v>
      </c>
    </row>
    <row r="210" spans="1:8" x14ac:dyDescent="0.25">
      <c r="A210" s="9">
        <v>0</v>
      </c>
      <c r="B210" s="9">
        <v>746459</v>
      </c>
      <c r="D210" s="8">
        <f t="shared" si="13"/>
        <v>5.7613823005915332E-3</v>
      </c>
      <c r="E210" s="11">
        <v>0</v>
      </c>
      <c r="F210" s="11">
        <v>1270206</v>
      </c>
      <c r="G210" s="8"/>
      <c r="H210" s="8">
        <f t="shared" si="11"/>
        <v>5.6035492839996426E-3</v>
      </c>
    </row>
    <row r="211" spans="1:8" x14ac:dyDescent="0.25">
      <c r="A211" s="9">
        <v>0</v>
      </c>
      <c r="B211" s="9">
        <v>744219</v>
      </c>
      <c r="D211" s="8">
        <f t="shared" si="13"/>
        <v>-3.0008346071250802E-3</v>
      </c>
      <c r="E211" s="11">
        <v>0</v>
      </c>
      <c r="F211" s="11">
        <v>1281603</v>
      </c>
      <c r="G211" s="8"/>
      <c r="H211" s="8">
        <f t="shared" si="11"/>
        <v>8.9725603563517442E-3</v>
      </c>
    </row>
    <row r="212" spans="1:8" x14ac:dyDescent="0.25">
      <c r="A212" s="9">
        <v>0</v>
      </c>
      <c r="B212" s="9">
        <v>746882</v>
      </c>
      <c r="D212" s="8">
        <f t="shared" si="13"/>
        <v>3.5782478007144736E-3</v>
      </c>
      <c r="E212" s="11">
        <v>0</v>
      </c>
      <c r="F212" s="11">
        <v>1294198</v>
      </c>
      <c r="G212" s="8"/>
      <c r="H212" s="8">
        <f t="shared" si="11"/>
        <v>9.8275362963413659E-3</v>
      </c>
    </row>
    <row r="213" spans="1:8" x14ac:dyDescent="0.25">
      <c r="A213" s="9">
        <v>0</v>
      </c>
      <c r="B213" s="9">
        <v>748776</v>
      </c>
      <c r="D213" s="8">
        <f t="shared" si="13"/>
        <v>2.5358758143856353E-3</v>
      </c>
      <c r="E213" s="11">
        <v>0</v>
      </c>
      <c r="F213" s="11">
        <v>1311184</v>
      </c>
      <c r="G213" s="8"/>
      <c r="H213" s="8">
        <f t="shared" si="11"/>
        <v>1.3124730528095485E-2</v>
      </c>
    </row>
    <row r="214" spans="1:8" x14ac:dyDescent="0.25">
      <c r="A214" s="9">
        <v>0</v>
      </c>
      <c r="B214" s="9">
        <v>753346</v>
      </c>
      <c r="D214" s="8">
        <f t="shared" si="13"/>
        <v>6.1032939089928906E-3</v>
      </c>
      <c r="E214" s="11">
        <v>0</v>
      </c>
      <c r="F214" s="11">
        <v>1324776</v>
      </c>
      <c r="G214" s="8"/>
      <c r="H214" s="8">
        <f t="shared" si="11"/>
        <v>1.0366203370388849E-2</v>
      </c>
    </row>
    <row r="215" spans="1:8" x14ac:dyDescent="0.25">
      <c r="A215" s="9">
        <v>0</v>
      </c>
      <c r="B215" s="9">
        <v>755254</v>
      </c>
      <c r="D215" s="8">
        <f t="shared" si="13"/>
        <v>2.5327007775974852E-3</v>
      </c>
      <c r="E215" s="11">
        <v>0</v>
      </c>
      <c r="F215" s="11">
        <v>1333060</v>
      </c>
      <c r="G215" s="8"/>
      <c r="H215" s="8">
        <f t="shared" si="11"/>
        <v>6.2531326050592195E-3</v>
      </c>
    </row>
    <row r="216" spans="1:8" x14ac:dyDescent="0.25">
      <c r="A216" s="9">
        <v>0</v>
      </c>
      <c r="B216" s="9">
        <v>756577</v>
      </c>
      <c r="D216" s="8">
        <f t="shared" si="13"/>
        <v>1.7517285575447961E-3</v>
      </c>
      <c r="E216" s="11">
        <v>0</v>
      </c>
      <c r="F216" s="11">
        <v>1348138</v>
      </c>
      <c r="G216" s="8"/>
      <c r="H216" s="8">
        <f t="shared" si="11"/>
        <v>1.1310818717837234E-2</v>
      </c>
    </row>
    <row r="217" spans="1:8" x14ac:dyDescent="0.25">
      <c r="A217" s="9">
        <v>0</v>
      </c>
      <c r="B217" s="9">
        <v>758986</v>
      </c>
      <c r="D217" s="8">
        <f t="shared" si="13"/>
        <v>3.1840777607565762E-3</v>
      </c>
      <c r="E217" s="11">
        <v>0</v>
      </c>
      <c r="F217" s="11">
        <v>1361005</v>
      </c>
      <c r="G217" s="8"/>
      <c r="H217" s="8">
        <f t="shared" si="11"/>
        <v>9.5442751409722248E-3</v>
      </c>
    </row>
    <row r="218" spans="1:8" x14ac:dyDescent="0.25">
      <c r="A218" s="9">
        <v>0</v>
      </c>
      <c r="B218" s="9">
        <v>763225</v>
      </c>
      <c r="D218" s="8">
        <f t="shared" si="13"/>
        <v>5.5850832558175245E-3</v>
      </c>
      <c r="E218" s="11">
        <v>0</v>
      </c>
      <c r="F218" s="11">
        <v>1378380</v>
      </c>
      <c r="G218" s="8"/>
      <c r="H218" s="8">
        <f t="shared" si="11"/>
        <v>1.2766301372882483E-2</v>
      </c>
    </row>
    <row r="219" spans="1:8" x14ac:dyDescent="0.25">
      <c r="A219" s="9">
        <v>0</v>
      </c>
      <c r="B219" s="9">
        <v>769177</v>
      </c>
      <c r="D219" s="8">
        <f t="shared" si="13"/>
        <v>7.7984866847915502E-3</v>
      </c>
      <c r="E219" s="11">
        <v>0</v>
      </c>
      <c r="F219" s="11">
        <v>1390556</v>
      </c>
      <c r="G219" s="8"/>
      <c r="H219" s="8">
        <f t="shared" si="11"/>
        <v>8.833558235029626E-3</v>
      </c>
    </row>
    <row r="220" spans="1:8" x14ac:dyDescent="0.25">
      <c r="A220" s="9">
        <v>0</v>
      </c>
      <c r="B220" s="9">
        <v>769950</v>
      </c>
      <c r="D220" s="8">
        <f t="shared" si="13"/>
        <v>1.0049702474201894E-3</v>
      </c>
      <c r="E220" s="11">
        <v>0</v>
      </c>
      <c r="F220" s="11">
        <v>1416065</v>
      </c>
      <c r="G220" s="8"/>
      <c r="H220" s="8">
        <f t="shared" si="11"/>
        <v>1.8344460776840377E-2</v>
      </c>
    </row>
    <row r="221" spans="1:8" x14ac:dyDescent="0.25">
      <c r="A221" s="9">
        <v>0</v>
      </c>
      <c r="B221" s="9">
        <v>781167</v>
      </c>
      <c r="D221" s="8">
        <f t="shared" si="13"/>
        <v>1.4568478472628099E-2</v>
      </c>
      <c r="E221" s="11">
        <v>0</v>
      </c>
      <c r="F221" s="11">
        <v>1430120</v>
      </c>
      <c r="G221" s="8"/>
      <c r="H221" s="8">
        <f t="shared" si="11"/>
        <v>9.9253918428885424E-3</v>
      </c>
    </row>
    <row r="222" spans="1:8" x14ac:dyDescent="0.25">
      <c r="A222" s="9">
        <v>0</v>
      </c>
      <c r="B222" s="9">
        <v>785865</v>
      </c>
      <c r="D222" s="8">
        <f t="shared" si="13"/>
        <v>6.0140789357461255E-3</v>
      </c>
      <c r="E222" s="11">
        <v>0</v>
      </c>
      <c r="F222" s="11">
        <v>1433768</v>
      </c>
      <c r="G222" s="8"/>
      <c r="H222" s="8">
        <f t="shared" si="11"/>
        <v>2.5508348949738746E-3</v>
      </c>
    </row>
    <row r="223" spans="1:8" x14ac:dyDescent="0.25">
      <c r="A223" s="9">
        <v>0</v>
      </c>
      <c r="B223" s="9">
        <v>783316</v>
      </c>
      <c r="D223" s="8">
        <f t="shared" si="13"/>
        <v>-3.243559644468208E-3</v>
      </c>
      <c r="E223" s="11">
        <v>0</v>
      </c>
      <c r="F223" s="11">
        <v>1445141</v>
      </c>
      <c r="G223" s="8"/>
      <c r="H223" s="8">
        <f t="shared" si="11"/>
        <v>7.93224566317563E-3</v>
      </c>
    </row>
    <row r="224" spans="1:8" x14ac:dyDescent="0.25">
      <c r="A224" s="9">
        <v>0</v>
      </c>
      <c r="B224" s="9">
        <v>786803</v>
      </c>
      <c r="D224" s="8">
        <f t="shared" si="13"/>
        <v>4.4515878649229457E-3</v>
      </c>
      <c r="E224" s="11">
        <v>0</v>
      </c>
      <c r="F224" s="11">
        <v>1453221</v>
      </c>
      <c r="G224" s="8"/>
      <c r="H224" s="8">
        <f t="shared" si="11"/>
        <v>5.5911499293148648E-3</v>
      </c>
    </row>
    <row r="225" spans="1:8" x14ac:dyDescent="0.25">
      <c r="A225" s="9">
        <v>0</v>
      </c>
      <c r="B225" s="9">
        <v>786363</v>
      </c>
      <c r="D225" s="8">
        <f t="shared" si="13"/>
        <v>-5.59225117341966E-4</v>
      </c>
      <c r="E225" s="11">
        <v>0</v>
      </c>
      <c r="F225" s="11">
        <v>1461804</v>
      </c>
      <c r="G225" s="8"/>
      <c r="H225" s="8">
        <f t="shared" si="11"/>
        <v>5.9061904555466338E-3</v>
      </c>
    </row>
    <row r="226" spans="1:8" x14ac:dyDescent="0.25">
      <c r="A226" s="9">
        <v>0</v>
      </c>
      <c r="B226" s="9">
        <v>789755</v>
      </c>
      <c r="D226" s="8">
        <f t="shared" si="13"/>
        <v>4.3135295022782572E-3</v>
      </c>
      <c r="E226" s="11">
        <v>0</v>
      </c>
      <c r="F226" s="11">
        <v>1469882</v>
      </c>
      <c r="G226" s="8"/>
      <c r="H226" s="8">
        <f t="shared" si="11"/>
        <v>5.5260486357953109E-3</v>
      </c>
    </row>
    <row r="227" spans="1:8" x14ac:dyDescent="0.25">
      <c r="A227" s="9">
        <v>0</v>
      </c>
      <c r="B227" s="9">
        <v>791833</v>
      </c>
      <c r="D227" s="8">
        <f t="shared" si="13"/>
        <v>2.6311957505809058E-3</v>
      </c>
      <c r="E227" s="11">
        <v>0</v>
      </c>
      <c r="F227" s="11">
        <v>1475360</v>
      </c>
      <c r="G227" s="8"/>
      <c r="H227" s="8">
        <f t="shared" si="11"/>
        <v>3.7268297727299782E-3</v>
      </c>
    </row>
    <row r="228" spans="1:8" x14ac:dyDescent="0.25">
      <c r="A228" s="9">
        <v>0</v>
      </c>
      <c r="B228" s="9">
        <v>794445</v>
      </c>
      <c r="D228" s="8">
        <f t="shared" si="13"/>
        <v>3.2986753519996803E-3</v>
      </c>
      <c r="E228" s="11">
        <v>0</v>
      </c>
      <c r="F228" s="11">
        <v>1486592</v>
      </c>
      <c r="G228" s="8"/>
      <c r="H228" s="8">
        <f t="shared" si="11"/>
        <v>7.613057152152658E-3</v>
      </c>
    </row>
    <row r="229" spans="1:8" x14ac:dyDescent="0.25">
      <c r="A229" s="9">
        <v>0</v>
      </c>
      <c r="B229" s="9">
        <v>796929</v>
      </c>
      <c r="D229" s="8">
        <f t="shared" si="13"/>
        <v>3.1267111002020176E-3</v>
      </c>
      <c r="E229" s="11">
        <v>0</v>
      </c>
      <c r="F229" s="11">
        <v>1493068</v>
      </c>
      <c r="G229" s="8"/>
      <c r="H229" s="8">
        <f t="shared" si="11"/>
        <v>4.3562726020320852E-3</v>
      </c>
    </row>
    <row r="230" spans="1:8" x14ac:dyDescent="0.25">
      <c r="A230" s="9">
        <v>0</v>
      </c>
      <c r="B230" s="9">
        <v>797471</v>
      </c>
      <c r="D230" s="8">
        <f t="shared" si="13"/>
        <v>6.8011077523855157E-4</v>
      </c>
      <c r="E230" s="11">
        <v>0</v>
      </c>
      <c r="F230" s="11">
        <v>1496615</v>
      </c>
      <c r="G230" s="8"/>
      <c r="H230" s="8">
        <f t="shared" si="11"/>
        <v>2.3756453155516777E-3</v>
      </c>
    </row>
    <row r="231" spans="1:8" x14ac:dyDescent="0.25">
      <c r="A231" s="9">
        <v>0</v>
      </c>
      <c r="B231" s="9">
        <v>797058</v>
      </c>
      <c r="D231" s="8">
        <f t="shared" si="13"/>
        <v>-5.178871708187982E-4</v>
      </c>
      <c r="E231" s="11">
        <v>0</v>
      </c>
      <c r="F231" s="11">
        <v>1508221</v>
      </c>
      <c r="G231" s="8"/>
      <c r="H231" s="8">
        <f t="shared" si="11"/>
        <v>7.754833407389361E-3</v>
      </c>
    </row>
    <row r="232" spans="1:8" x14ac:dyDescent="0.25">
      <c r="A232" s="9">
        <v>0</v>
      </c>
      <c r="B232" s="9">
        <v>802893</v>
      </c>
      <c r="D232" s="8">
        <f t="shared" si="13"/>
        <v>7.320671770435716E-3</v>
      </c>
      <c r="E232" s="11">
        <v>0</v>
      </c>
      <c r="F232" s="11">
        <v>1518663</v>
      </c>
      <c r="G232" s="8"/>
      <c r="H232" s="8">
        <f t="shared" si="11"/>
        <v>6.9233885484951685E-3</v>
      </c>
    </row>
    <row r="233" spans="1:8" x14ac:dyDescent="0.25">
      <c r="A233" s="9">
        <v>0</v>
      </c>
      <c r="B233" s="9">
        <v>805578</v>
      </c>
      <c r="D233" s="8">
        <f t="shared" si="13"/>
        <v>3.3441566933576361E-3</v>
      </c>
      <c r="E233" s="11">
        <v>0</v>
      </c>
      <c r="F233" s="11">
        <v>1521899</v>
      </c>
      <c r="G233" s="8"/>
      <c r="H233" s="8">
        <f t="shared" si="11"/>
        <v>2.1308216503594934E-3</v>
      </c>
    </row>
    <row r="234" spans="1:8" x14ac:dyDescent="0.25">
      <c r="A234" s="9">
        <v>0</v>
      </c>
      <c r="B234" s="9">
        <v>804529</v>
      </c>
      <c r="D234" s="8">
        <f t="shared" si="13"/>
        <v>-1.3021706153841794E-3</v>
      </c>
      <c r="E234" s="11">
        <v>0</v>
      </c>
      <c r="F234" s="11">
        <v>1522812</v>
      </c>
      <c r="G234" s="8"/>
      <c r="H234" s="8">
        <f t="shared" si="11"/>
        <v>5.999084039085556E-4</v>
      </c>
    </row>
    <row r="235" spans="1:8" x14ac:dyDescent="0.25">
      <c r="A235" s="9">
        <v>0</v>
      </c>
      <c r="B235" s="9">
        <v>802295</v>
      </c>
      <c r="D235" s="8">
        <f t="shared" si="13"/>
        <v>-2.7767799544826666E-3</v>
      </c>
      <c r="E235" s="11">
        <v>0</v>
      </c>
      <c r="F235" s="11">
        <v>1527590</v>
      </c>
      <c r="G235" s="8"/>
      <c r="H235" s="8">
        <f t="shared" si="11"/>
        <v>3.1376164621765845E-3</v>
      </c>
    </row>
    <row r="236" spans="1:8" x14ac:dyDescent="0.25">
      <c r="A236" s="9">
        <v>0</v>
      </c>
      <c r="B236" s="9">
        <v>800989</v>
      </c>
      <c r="D236" s="8">
        <f t="shared" si="13"/>
        <v>-1.6278301622221214E-3</v>
      </c>
      <c r="E236" s="11">
        <v>0</v>
      </c>
      <c r="F236" s="11">
        <v>1526375</v>
      </c>
      <c r="G236" s="8"/>
      <c r="H236" s="8">
        <f t="shared" si="11"/>
        <v>-7.9537048553601775E-4</v>
      </c>
    </row>
    <row r="237" spans="1:8" x14ac:dyDescent="0.25">
      <c r="A237" s="9">
        <v>0</v>
      </c>
      <c r="B237" s="9">
        <v>797312</v>
      </c>
      <c r="D237" s="8">
        <f t="shared" si="13"/>
        <v>-4.590574901777722E-3</v>
      </c>
      <c r="E237" s="11">
        <v>0</v>
      </c>
      <c r="F237" s="11">
        <v>1533354</v>
      </c>
      <c r="G237" s="8"/>
      <c r="H237" s="8">
        <f t="shared" si="11"/>
        <v>4.572270903283826E-3</v>
      </c>
    </row>
    <row r="238" spans="1:8" x14ac:dyDescent="0.25">
      <c r="A238" s="9">
        <v>0</v>
      </c>
      <c r="B238" s="9">
        <v>801789</v>
      </c>
      <c r="D238" s="8">
        <f t="shared" si="13"/>
        <v>5.6151167924225476E-3</v>
      </c>
      <c r="E238" s="11">
        <v>0</v>
      </c>
      <c r="F238" s="11">
        <v>1536798</v>
      </c>
      <c r="G238" s="8"/>
      <c r="H238" s="8">
        <f t="shared" si="11"/>
        <v>2.246056683583797E-3</v>
      </c>
    </row>
    <row r="239" spans="1:8" x14ac:dyDescent="0.25">
      <c r="A239" s="9">
        <v>0</v>
      </c>
      <c r="B239" s="9">
        <v>800341</v>
      </c>
      <c r="D239" s="8">
        <f t="shared" si="13"/>
        <v>-1.8059614187773132E-3</v>
      </c>
      <c r="E239" s="11">
        <v>0</v>
      </c>
      <c r="F239" s="11">
        <v>1538190</v>
      </c>
      <c r="G239" s="8"/>
      <c r="H239" s="8">
        <f t="shared" si="11"/>
        <v>9.057794192861568E-4</v>
      </c>
    </row>
    <row r="240" spans="1:8" x14ac:dyDescent="0.25">
      <c r="A240" s="9">
        <v>0</v>
      </c>
      <c r="B240" s="9">
        <v>799849</v>
      </c>
      <c r="D240" s="8">
        <f t="shared" si="13"/>
        <v>-6.147379679412035E-4</v>
      </c>
      <c r="E240" s="11">
        <v>0</v>
      </c>
      <c r="F240" s="11">
        <v>1546795</v>
      </c>
      <c r="G240" s="8"/>
      <c r="H240" s="8">
        <f t="shared" si="11"/>
        <v>5.594237382898104E-3</v>
      </c>
    </row>
    <row r="241" spans="1:8" x14ac:dyDescent="0.25">
      <c r="A241" s="9">
        <v>0</v>
      </c>
      <c r="B241" s="9">
        <v>804054</v>
      </c>
      <c r="D241" s="8">
        <f t="shared" si="13"/>
        <v>5.2572423044849881E-3</v>
      </c>
      <c r="E241" s="11">
        <v>0</v>
      </c>
      <c r="F241" s="11">
        <v>1550208</v>
      </c>
      <c r="G241" s="8"/>
      <c r="H241" s="8">
        <f t="shared" si="11"/>
        <v>2.20649795221739E-3</v>
      </c>
    </row>
    <row r="242" spans="1:8" x14ac:dyDescent="0.25">
      <c r="A242" s="9">
        <v>0</v>
      </c>
      <c r="B242" s="9">
        <v>802737</v>
      </c>
      <c r="D242" s="8">
        <f t="shared" si="13"/>
        <v>-1.6379496899462387E-3</v>
      </c>
      <c r="E242" s="11">
        <v>0</v>
      </c>
      <c r="F242" s="11">
        <v>1547944</v>
      </c>
      <c r="G242" s="8"/>
      <c r="H242" s="8">
        <f t="shared" si="11"/>
        <v>-1.4604491784327989E-3</v>
      </c>
    </row>
    <row r="243" spans="1:8" x14ac:dyDescent="0.25">
      <c r="A243" s="9">
        <v>0</v>
      </c>
      <c r="B243" s="9">
        <v>804279</v>
      </c>
      <c r="D243" s="8">
        <f t="shared" si="13"/>
        <v>1.9209280249945504E-3</v>
      </c>
      <c r="E243" s="11">
        <v>0</v>
      </c>
      <c r="F243" s="11">
        <v>1558281</v>
      </c>
      <c r="G243" s="8"/>
      <c r="H243" s="8">
        <f t="shared" si="11"/>
        <v>6.6778901562329906E-3</v>
      </c>
    </row>
    <row r="244" spans="1:8" x14ac:dyDescent="0.25">
      <c r="A244" s="9">
        <v>0</v>
      </c>
      <c r="B244" s="9">
        <v>810142</v>
      </c>
      <c r="D244" s="8">
        <f t="shared" si="13"/>
        <v>7.2897589020726183E-3</v>
      </c>
      <c r="E244" s="11">
        <v>0</v>
      </c>
      <c r="F244" s="11">
        <v>1569163</v>
      </c>
      <c r="G244" s="8"/>
      <c r="H244" s="8">
        <f t="shared" si="11"/>
        <v>6.9833361248710091E-3</v>
      </c>
    </row>
    <row r="245" spans="1:8" x14ac:dyDescent="0.25">
      <c r="A245" s="9">
        <v>0</v>
      </c>
      <c r="B245" s="9">
        <v>810652</v>
      </c>
      <c r="D245" s="8">
        <f t="shared" si="13"/>
        <v>6.2951926946142045E-4</v>
      </c>
      <c r="E245" s="11">
        <v>0</v>
      </c>
      <c r="F245" s="11">
        <v>1574530</v>
      </c>
      <c r="G245" s="8"/>
      <c r="H245" s="8">
        <f t="shared" si="11"/>
        <v>3.4202947686123863E-3</v>
      </c>
    </row>
    <row r="246" spans="1:8" x14ac:dyDescent="0.25">
      <c r="A246" s="9">
        <v>0</v>
      </c>
      <c r="B246" s="9">
        <v>811179</v>
      </c>
      <c r="D246" s="8">
        <f t="shared" si="13"/>
        <v>6.5009399841109428E-4</v>
      </c>
      <c r="E246" s="11">
        <v>0</v>
      </c>
      <c r="F246" s="11">
        <v>1575512</v>
      </c>
      <c r="G246" s="8"/>
      <c r="H246" s="8">
        <f t="shared" si="11"/>
        <v>6.2367817697972505E-4</v>
      </c>
    </row>
    <row r="247" spans="1:8" x14ac:dyDescent="0.25">
      <c r="A247" s="9">
        <v>0</v>
      </c>
      <c r="B247" s="9">
        <v>807406</v>
      </c>
      <c r="D247" s="8">
        <f t="shared" si="13"/>
        <v>-4.6512545319836729E-3</v>
      </c>
      <c r="E247" s="11">
        <v>0</v>
      </c>
      <c r="F247" s="11">
        <v>1584667</v>
      </c>
      <c r="G247" s="8"/>
      <c r="H247" s="8">
        <f t="shared" si="11"/>
        <v>5.8108094384554665E-3</v>
      </c>
    </row>
    <row r="248" spans="1:8" x14ac:dyDescent="0.25">
      <c r="A248" s="9">
        <v>0</v>
      </c>
      <c r="B248" s="9">
        <v>811975</v>
      </c>
      <c r="D248" s="8">
        <f t="shared" si="13"/>
        <v>5.6588630750824542E-3</v>
      </c>
      <c r="E248" s="11">
        <v>0</v>
      </c>
      <c r="F248" s="11">
        <v>1586373</v>
      </c>
      <c r="G248" s="8"/>
      <c r="H248" s="8">
        <f t="shared" si="11"/>
        <v>1.0765668749332935E-3</v>
      </c>
    </row>
    <row r="249" spans="1:8" x14ac:dyDescent="0.25">
      <c r="A249" s="9">
        <v>0</v>
      </c>
      <c r="B249" s="9">
        <v>808463</v>
      </c>
      <c r="D249" s="8">
        <f t="shared" si="13"/>
        <v>-4.3252563194680071E-3</v>
      </c>
      <c r="E249" s="11">
        <v>0</v>
      </c>
      <c r="F249" s="11">
        <v>1596593</v>
      </c>
      <c r="G249" s="8"/>
      <c r="H249" s="8">
        <f t="shared" si="11"/>
        <v>6.4423688502011078E-3</v>
      </c>
    </row>
    <row r="250" spans="1:8" x14ac:dyDescent="0.25">
      <c r="A250" s="9">
        <v>0</v>
      </c>
      <c r="B250" s="9">
        <v>816497</v>
      </c>
      <c r="D250" s="8">
        <f t="shared" si="13"/>
        <v>9.9373749942792688E-3</v>
      </c>
      <c r="E250" s="11">
        <v>0</v>
      </c>
      <c r="F250" s="11">
        <v>1604317</v>
      </c>
      <c r="G250" s="8"/>
      <c r="H250" s="8">
        <f t="shared" si="11"/>
        <v>4.8378014935552827E-3</v>
      </c>
    </row>
    <row r="251" spans="1:8" x14ac:dyDescent="0.25">
      <c r="A251" s="9">
        <v>0</v>
      </c>
      <c r="B251" s="9">
        <v>820277</v>
      </c>
      <c r="D251" s="8">
        <f t="shared" si="13"/>
        <v>4.6295332377215281E-3</v>
      </c>
      <c r="E251" s="11">
        <v>0</v>
      </c>
      <c r="F251" s="11">
        <v>1609007</v>
      </c>
      <c r="G251" s="8"/>
      <c r="H251" s="8">
        <f t="shared" si="11"/>
        <v>2.9233624028168759E-3</v>
      </c>
    </row>
    <row r="252" spans="1:8" x14ac:dyDescent="0.25">
      <c r="A252" s="9">
        <v>0</v>
      </c>
      <c r="B252" s="9">
        <v>825417</v>
      </c>
      <c r="D252" s="8">
        <f t="shared" si="13"/>
        <v>6.2661759381281712E-3</v>
      </c>
      <c r="E252" s="11">
        <v>0</v>
      </c>
      <c r="F252" s="11">
        <v>1620808</v>
      </c>
      <c r="G252" s="8"/>
      <c r="H252" s="8">
        <f t="shared" si="11"/>
        <v>7.3343372651579752E-3</v>
      </c>
    </row>
    <row r="253" spans="1:8" x14ac:dyDescent="0.25">
      <c r="A253" s="9">
        <v>0</v>
      </c>
      <c r="B253" s="9">
        <v>830704</v>
      </c>
      <c r="D253" s="8">
        <f t="shared" si="13"/>
        <v>6.405247287128768E-3</v>
      </c>
      <c r="E253" s="11">
        <v>0</v>
      </c>
      <c r="F253" s="11">
        <v>1624211</v>
      </c>
      <c r="G253" s="8"/>
      <c r="H253" s="8">
        <f t="shared" si="11"/>
        <v>2.0995700909669512E-3</v>
      </c>
    </row>
    <row r="254" spans="1:8" x14ac:dyDescent="0.25">
      <c r="A254" s="9">
        <v>0</v>
      </c>
      <c r="B254" s="9">
        <v>830364</v>
      </c>
      <c r="D254" s="8">
        <f t="shared" si="13"/>
        <v>-4.0929139621337374E-4</v>
      </c>
      <c r="E254" s="11">
        <v>0</v>
      </c>
      <c r="F254" s="11">
        <v>1636329</v>
      </c>
      <c r="G254" s="8"/>
      <c r="H254" s="8">
        <f t="shared" si="11"/>
        <v>7.4608533004640876E-3</v>
      </c>
    </row>
    <row r="255" spans="1:8" x14ac:dyDescent="0.25">
      <c r="A255" s="9">
        <v>0</v>
      </c>
      <c r="B255" s="9">
        <v>839865</v>
      </c>
      <c r="D255" s="8">
        <f t="shared" si="13"/>
        <v>1.1441970027602277E-2</v>
      </c>
      <c r="E255" s="11">
        <v>0</v>
      </c>
      <c r="F255" s="11">
        <v>1650998</v>
      </c>
      <c r="G255" s="8"/>
      <c r="H255" s="8">
        <f t="shared" si="11"/>
        <v>8.9645786391367999E-3</v>
      </c>
    </row>
    <row r="256" spans="1:8" x14ac:dyDescent="0.25">
      <c r="A256" s="9">
        <v>0</v>
      </c>
      <c r="B256" s="9">
        <v>851108</v>
      </c>
      <c r="D256" s="8">
        <f t="shared" si="13"/>
        <v>1.3386675239472901E-2</v>
      </c>
      <c r="E256" s="11">
        <v>0</v>
      </c>
      <c r="F256" s="11">
        <v>1660162</v>
      </c>
      <c r="G256" s="8"/>
      <c r="H256" s="8">
        <f t="shared" si="11"/>
        <v>5.5505821327463956E-3</v>
      </c>
    </row>
    <row r="257" spans="1:8" x14ac:dyDescent="0.25">
      <c r="A257" s="9">
        <v>0</v>
      </c>
      <c r="B257" s="9">
        <v>855305</v>
      </c>
      <c r="D257" s="8">
        <f t="shared" si="13"/>
        <v>4.9312190697303748E-3</v>
      </c>
      <c r="E257" s="11">
        <v>0</v>
      </c>
      <c r="F257" s="11">
        <v>1670402</v>
      </c>
      <c r="G257" s="8"/>
      <c r="H257" s="8">
        <f t="shared" si="11"/>
        <v>6.1680727543456104E-3</v>
      </c>
    </row>
    <row r="258" spans="1:8" x14ac:dyDescent="0.25">
      <c r="A258" s="9">
        <v>0</v>
      </c>
      <c r="B258" s="9">
        <v>864128</v>
      </c>
      <c r="D258" s="8">
        <f t="shared" si="13"/>
        <v>1.0315618405130289E-2</v>
      </c>
      <c r="E258" s="11">
        <v>0</v>
      </c>
      <c r="F258" s="11">
        <v>1669009</v>
      </c>
      <c r="G258" s="8"/>
      <c r="H258" s="8">
        <f t="shared" si="11"/>
        <v>-8.3393099385653535E-4</v>
      </c>
    </row>
    <row r="259" spans="1:8" x14ac:dyDescent="0.25">
      <c r="A259" s="9">
        <v>0</v>
      </c>
      <c r="B259" s="9">
        <v>860692</v>
      </c>
      <c r="D259" s="8">
        <f t="shared" si="13"/>
        <v>-3.9762627758850311E-3</v>
      </c>
      <c r="E259" s="11">
        <v>0</v>
      </c>
      <c r="F259" s="11">
        <v>1678623</v>
      </c>
      <c r="G259" s="8"/>
      <c r="H259" s="8">
        <f t="shared" si="11"/>
        <v>5.7603044681004967E-3</v>
      </c>
    </row>
    <row r="260" spans="1:8" x14ac:dyDescent="0.25">
      <c r="A260" s="9">
        <v>0</v>
      </c>
      <c r="B260" s="9">
        <v>866450</v>
      </c>
      <c r="D260" s="8">
        <f t="shared" si="13"/>
        <v>6.6899657484906783E-3</v>
      </c>
      <c r="E260" s="11">
        <v>0</v>
      </c>
      <c r="F260" s="11">
        <v>1688992</v>
      </c>
      <c r="G260" s="8"/>
      <c r="H260" s="8">
        <f t="shared" ref="H260:H323" si="14">F260/F259-1</f>
        <v>6.1770868146093783E-3</v>
      </c>
    </row>
    <row r="261" spans="1:8" x14ac:dyDescent="0.25">
      <c r="A261" s="9">
        <v>0</v>
      </c>
      <c r="B261" s="9">
        <v>874237</v>
      </c>
      <c r="D261" s="8">
        <f t="shared" ref="D261:D324" si="15">B261/B260-1</f>
        <v>8.9872468117029314E-3</v>
      </c>
      <c r="E261" s="11">
        <v>0</v>
      </c>
      <c r="F261" s="11">
        <v>1698149</v>
      </c>
      <c r="G261" s="8"/>
      <c r="H261" s="8">
        <f t="shared" si="14"/>
        <v>5.4215768932002195E-3</v>
      </c>
    </row>
    <row r="262" spans="1:8" x14ac:dyDescent="0.25">
      <c r="A262" s="9">
        <v>0</v>
      </c>
      <c r="B262" s="9">
        <v>882766</v>
      </c>
      <c r="D262" s="8">
        <f t="shared" si="15"/>
        <v>9.7559357474004127E-3</v>
      </c>
      <c r="E262" s="11">
        <v>0</v>
      </c>
      <c r="F262" s="11">
        <v>1706124</v>
      </c>
      <c r="G262" s="8"/>
      <c r="H262" s="8">
        <f t="shared" si="14"/>
        <v>4.6962899015339232E-3</v>
      </c>
    </row>
    <row r="263" spans="1:8" x14ac:dyDescent="0.25">
      <c r="A263" s="9">
        <v>0</v>
      </c>
      <c r="B263" s="9">
        <v>887360</v>
      </c>
      <c r="D263" s="8">
        <f t="shared" si="15"/>
        <v>5.2040971220006504E-3</v>
      </c>
      <c r="E263" s="11">
        <v>0</v>
      </c>
      <c r="F263" s="11">
        <v>1713564</v>
      </c>
      <c r="G263" s="8"/>
      <c r="H263" s="8">
        <f t="shared" si="14"/>
        <v>4.3607615859104776E-3</v>
      </c>
    </row>
    <row r="264" spans="1:8" x14ac:dyDescent="0.25">
      <c r="A264" s="9">
        <v>0</v>
      </c>
      <c r="B264" s="9">
        <v>895854</v>
      </c>
      <c r="D264" s="8">
        <f t="shared" si="15"/>
        <v>9.5722142084384565E-3</v>
      </c>
      <c r="E264" s="11">
        <v>0</v>
      </c>
      <c r="F264" s="11">
        <v>1731984</v>
      </c>
      <c r="G264" s="8"/>
      <c r="H264" s="8">
        <f t="shared" si="14"/>
        <v>1.0749525550256767E-2</v>
      </c>
    </row>
    <row r="265" spans="1:8" x14ac:dyDescent="0.25">
      <c r="A265" s="9">
        <v>0</v>
      </c>
      <c r="B265" s="9">
        <v>908266</v>
      </c>
      <c r="D265" s="8">
        <f t="shared" si="15"/>
        <v>1.385493618379785E-2</v>
      </c>
      <c r="E265" s="11">
        <v>0</v>
      </c>
      <c r="F265" s="11">
        <v>1740771</v>
      </c>
      <c r="G265" s="8"/>
      <c r="H265" s="8">
        <f t="shared" si="14"/>
        <v>5.0733725022864551E-3</v>
      </c>
    </row>
    <row r="266" spans="1:8" x14ac:dyDescent="0.25">
      <c r="A266" s="9">
        <v>0</v>
      </c>
      <c r="B266" s="9">
        <v>908738</v>
      </c>
      <c r="D266" s="8">
        <f t="shared" si="15"/>
        <v>5.1967154996446219E-4</v>
      </c>
      <c r="E266" s="11">
        <v>0</v>
      </c>
      <c r="F266" s="11">
        <v>1759757</v>
      </c>
      <c r="G266" s="8"/>
      <c r="H266" s="8">
        <f t="shared" si="14"/>
        <v>1.090666147356556E-2</v>
      </c>
    </row>
    <row r="267" spans="1:8" x14ac:dyDescent="0.25">
      <c r="A267" s="9">
        <v>0</v>
      </c>
      <c r="B267" s="9">
        <v>922774</v>
      </c>
      <c r="D267" s="8">
        <f t="shared" si="15"/>
        <v>1.5445595980359661E-2</v>
      </c>
      <c r="E267" s="11">
        <v>0</v>
      </c>
      <c r="F267" s="11">
        <v>1784717</v>
      </c>
      <c r="G267" s="8"/>
      <c r="H267" s="8">
        <f t="shared" si="14"/>
        <v>1.4183776510052315E-2</v>
      </c>
    </row>
    <row r="268" spans="1:8" x14ac:dyDescent="0.25">
      <c r="A268" s="9">
        <v>0</v>
      </c>
      <c r="B268" s="9">
        <v>942326</v>
      </c>
      <c r="D268" s="8">
        <f t="shared" si="15"/>
        <v>2.1188286622726649E-2</v>
      </c>
      <c r="E268" s="11">
        <v>0</v>
      </c>
      <c r="F268" s="11">
        <v>1803027</v>
      </c>
      <c r="G268" s="8"/>
      <c r="H268" s="8">
        <f t="shared" si="14"/>
        <v>1.0259329630412095E-2</v>
      </c>
    </row>
    <row r="269" spans="1:8" x14ac:dyDescent="0.25">
      <c r="A269" s="9">
        <v>0</v>
      </c>
      <c r="B269" s="9">
        <v>954473</v>
      </c>
      <c r="D269" s="8">
        <f t="shared" si="15"/>
        <v>1.2890443434649956E-2</v>
      </c>
      <c r="E269" s="11">
        <v>0</v>
      </c>
      <c r="F269" s="11">
        <v>1814074</v>
      </c>
      <c r="G269" s="8"/>
      <c r="H269" s="8">
        <f t="shared" si="14"/>
        <v>6.1269187871284547E-3</v>
      </c>
    </row>
    <row r="270" spans="1:8" x14ac:dyDescent="0.25">
      <c r="A270" s="9">
        <v>0</v>
      </c>
      <c r="B270" s="9">
        <v>965020</v>
      </c>
      <c r="D270" s="8">
        <f t="shared" si="15"/>
        <v>1.1050076848690304E-2</v>
      </c>
      <c r="E270" s="11">
        <v>0</v>
      </c>
      <c r="F270" s="11">
        <v>1823184</v>
      </c>
      <c r="G270" s="8"/>
      <c r="H270" s="8">
        <f t="shared" si="14"/>
        <v>5.0218458563431323E-3</v>
      </c>
    </row>
    <row r="271" spans="1:8" x14ac:dyDescent="0.25">
      <c r="A271" s="9">
        <v>0</v>
      </c>
      <c r="B271" s="9">
        <v>969256</v>
      </c>
      <c r="D271" s="8">
        <f t="shared" si="15"/>
        <v>4.3895463306460325E-3</v>
      </c>
      <c r="E271" s="11">
        <v>0</v>
      </c>
      <c r="F271" s="11">
        <v>1836305</v>
      </c>
      <c r="G271" s="8"/>
      <c r="H271" s="8">
        <f t="shared" si="14"/>
        <v>7.1967503005729849E-3</v>
      </c>
    </row>
    <row r="272" spans="1:8" x14ac:dyDescent="0.25">
      <c r="A272" s="9">
        <v>0</v>
      </c>
      <c r="B272" s="9">
        <v>978787</v>
      </c>
      <c r="D272" s="8">
        <f t="shared" si="15"/>
        <v>9.8333154502010522E-3</v>
      </c>
      <c r="E272" s="11">
        <v>0</v>
      </c>
      <c r="F272" s="11">
        <v>1852546</v>
      </c>
      <c r="G272" s="8"/>
      <c r="H272" s="8">
        <f t="shared" si="14"/>
        <v>8.8443913184357292E-3</v>
      </c>
    </row>
    <row r="273" spans="1:8" x14ac:dyDescent="0.25">
      <c r="A273" s="9">
        <v>0</v>
      </c>
      <c r="B273" s="9">
        <v>993017</v>
      </c>
      <c r="D273" s="8">
        <f t="shared" si="15"/>
        <v>1.4538403145934797E-2</v>
      </c>
      <c r="E273" s="11">
        <v>0</v>
      </c>
      <c r="F273" s="11">
        <v>1870663</v>
      </c>
      <c r="G273" s="8"/>
      <c r="H273" s="8">
        <f t="shared" si="14"/>
        <v>9.779514246879728E-3</v>
      </c>
    </row>
    <row r="274" spans="1:8" x14ac:dyDescent="0.25">
      <c r="A274" s="9">
        <v>0</v>
      </c>
      <c r="B274" s="9">
        <v>1009626</v>
      </c>
      <c r="D274" s="8">
        <f t="shared" si="15"/>
        <v>1.6725796235109724E-2</v>
      </c>
      <c r="E274" s="11">
        <v>0</v>
      </c>
      <c r="F274" s="11">
        <v>1882338</v>
      </c>
      <c r="G274" s="8"/>
      <c r="H274" s="8">
        <f t="shared" si="14"/>
        <v>6.2411027534088337E-3</v>
      </c>
    </row>
    <row r="275" spans="1:8" x14ac:dyDescent="0.25">
      <c r="A275" s="9">
        <v>0</v>
      </c>
      <c r="B275" s="9">
        <v>1016885</v>
      </c>
      <c r="D275" s="8">
        <f t="shared" si="15"/>
        <v>7.1897910711491431E-3</v>
      </c>
      <c r="E275" s="11">
        <v>0</v>
      </c>
      <c r="F275" s="11">
        <v>1899265</v>
      </c>
      <c r="G275" s="8"/>
      <c r="H275" s="8">
        <f t="shared" si="14"/>
        <v>8.9925401282873185E-3</v>
      </c>
    </row>
    <row r="276" spans="1:8" x14ac:dyDescent="0.25">
      <c r="A276" s="9">
        <v>0</v>
      </c>
      <c r="B276" s="9">
        <v>1033660</v>
      </c>
      <c r="D276" s="8">
        <f t="shared" si="15"/>
        <v>1.64964573181825E-2</v>
      </c>
      <c r="E276" s="11">
        <v>0</v>
      </c>
      <c r="F276" s="11">
        <v>1921792</v>
      </c>
      <c r="G276" s="8"/>
      <c r="H276" s="8">
        <f t="shared" si="14"/>
        <v>1.1860904086580915E-2</v>
      </c>
    </row>
    <row r="277" spans="1:8" x14ac:dyDescent="0.25">
      <c r="A277" s="9">
        <v>0</v>
      </c>
      <c r="B277" s="9">
        <v>1049189</v>
      </c>
      <c r="D277" s="8">
        <f t="shared" si="15"/>
        <v>1.5023315210030308E-2</v>
      </c>
      <c r="E277" s="11">
        <v>0</v>
      </c>
      <c r="F277" s="11">
        <v>1941278</v>
      </c>
      <c r="G277" s="8"/>
      <c r="H277" s="8">
        <f t="shared" si="14"/>
        <v>1.013949480484877E-2</v>
      </c>
    </row>
    <row r="278" spans="1:8" x14ac:dyDescent="0.25">
      <c r="A278" s="9">
        <v>0</v>
      </c>
      <c r="B278" s="9">
        <v>1060809</v>
      </c>
      <c r="D278" s="8">
        <f t="shared" si="15"/>
        <v>1.1075220956376697E-2</v>
      </c>
      <c r="E278" s="11">
        <v>0</v>
      </c>
      <c r="F278" s="11">
        <v>1964732</v>
      </c>
      <c r="G278" s="8"/>
      <c r="H278" s="8">
        <f t="shared" si="14"/>
        <v>1.208173172518312E-2</v>
      </c>
    </row>
    <row r="279" spans="1:8" x14ac:dyDescent="0.25">
      <c r="A279" s="9">
        <v>0</v>
      </c>
      <c r="B279" s="9">
        <v>1076440</v>
      </c>
      <c r="D279" s="8">
        <f t="shared" si="15"/>
        <v>1.4734980566718514E-2</v>
      </c>
      <c r="E279" s="11">
        <v>0</v>
      </c>
      <c r="F279" s="11">
        <v>1987974</v>
      </c>
      <c r="G279" s="8"/>
      <c r="H279" s="8">
        <f t="shared" si="14"/>
        <v>1.1829603223238561E-2</v>
      </c>
    </row>
    <row r="280" spans="1:8" x14ac:dyDescent="0.25">
      <c r="A280" s="9">
        <v>0</v>
      </c>
      <c r="B280" s="9">
        <v>1091991</v>
      </c>
      <c r="D280" s="8">
        <f t="shared" si="15"/>
        <v>1.4446694660176229E-2</v>
      </c>
      <c r="E280" s="11">
        <v>0</v>
      </c>
      <c r="F280" s="11">
        <v>2017046</v>
      </c>
      <c r="G280" s="8"/>
      <c r="H280" s="8">
        <f t="shared" si="14"/>
        <v>1.4623933713418857E-2</v>
      </c>
    </row>
    <row r="281" spans="1:8" x14ac:dyDescent="0.25">
      <c r="A281" s="9">
        <v>0</v>
      </c>
      <c r="B281" s="9">
        <v>1112378</v>
      </c>
      <c r="D281" s="8">
        <f t="shared" si="15"/>
        <v>1.8669567789478148E-2</v>
      </c>
      <c r="E281" s="11">
        <v>0</v>
      </c>
      <c r="F281" s="11">
        <v>2033634</v>
      </c>
      <c r="G281" s="8"/>
      <c r="H281" s="8">
        <f t="shared" si="14"/>
        <v>8.2239076352250695E-3</v>
      </c>
    </row>
    <row r="282" spans="1:8" x14ac:dyDescent="0.25">
      <c r="A282" s="9">
        <v>0</v>
      </c>
      <c r="B282" s="9">
        <v>1124457</v>
      </c>
      <c r="D282" s="8">
        <f t="shared" si="15"/>
        <v>1.0858718888723029E-2</v>
      </c>
      <c r="E282" s="11">
        <v>0</v>
      </c>
      <c r="F282" s="11">
        <v>2042663</v>
      </c>
      <c r="G282" s="8"/>
      <c r="H282" s="8">
        <f t="shared" si="14"/>
        <v>4.4398352899293059E-3</v>
      </c>
    </row>
    <row r="283" spans="1:8" x14ac:dyDescent="0.25">
      <c r="A283" s="9">
        <v>0</v>
      </c>
      <c r="B283" s="9">
        <v>1129245</v>
      </c>
      <c r="D283" s="8">
        <f t="shared" si="15"/>
        <v>4.2580552213200562E-3</v>
      </c>
      <c r="E283" s="11">
        <v>0</v>
      </c>
      <c r="F283" s="11">
        <v>2049296</v>
      </c>
      <c r="G283" s="8"/>
      <c r="H283" s="8">
        <f t="shared" si="14"/>
        <v>3.2472316774720955E-3</v>
      </c>
    </row>
    <row r="284" spans="1:8" x14ac:dyDescent="0.25">
      <c r="A284" s="9">
        <v>0</v>
      </c>
      <c r="B284" s="9">
        <v>1130254</v>
      </c>
      <c r="D284" s="8">
        <f t="shared" si="15"/>
        <v>8.9351735008791344E-4</v>
      </c>
      <c r="E284" s="11">
        <v>0</v>
      </c>
      <c r="F284" s="11">
        <v>2029361</v>
      </c>
      <c r="G284" s="8"/>
      <c r="H284" s="8">
        <f t="shared" si="14"/>
        <v>-9.7277308890467706E-3</v>
      </c>
    </row>
    <row r="285" spans="1:8" x14ac:dyDescent="0.25">
      <c r="A285" s="9">
        <v>0</v>
      </c>
      <c r="B285" s="9">
        <v>1105590</v>
      </c>
      <c r="D285" s="8">
        <f t="shared" si="15"/>
        <v>-2.1821643630546728E-2</v>
      </c>
      <c r="E285" s="11">
        <v>0</v>
      </c>
      <c r="F285" s="11">
        <v>2027797</v>
      </c>
      <c r="G285" s="8"/>
      <c r="H285" s="8">
        <f t="shared" si="14"/>
        <v>-7.7068594498463927E-4</v>
      </c>
    </row>
    <row r="286" spans="1:8" x14ac:dyDescent="0.25">
      <c r="A286" s="9">
        <v>0</v>
      </c>
      <c r="B286" s="9">
        <v>1099780</v>
      </c>
      <c r="D286" s="8">
        <f t="shared" si="15"/>
        <v>-5.255112654781624E-3</v>
      </c>
      <c r="E286" s="11">
        <v>0</v>
      </c>
      <c r="F286" s="11">
        <v>2041148</v>
      </c>
      <c r="G286" s="8"/>
      <c r="H286" s="8">
        <f t="shared" si="14"/>
        <v>6.5839923818804547E-3</v>
      </c>
    </row>
    <row r="287" spans="1:8" x14ac:dyDescent="0.25">
      <c r="A287" s="9">
        <v>0</v>
      </c>
      <c r="B287" s="9">
        <v>1106598</v>
      </c>
      <c r="D287" s="8">
        <f t="shared" si="15"/>
        <v>6.1994217025223008E-3</v>
      </c>
      <c r="E287" s="11">
        <v>0</v>
      </c>
      <c r="F287" s="11">
        <v>2060427</v>
      </c>
      <c r="G287" s="8"/>
      <c r="H287" s="8">
        <f t="shared" si="14"/>
        <v>9.4451749701638388E-3</v>
      </c>
    </row>
    <row r="288" spans="1:8" x14ac:dyDescent="0.25">
      <c r="A288" s="9">
        <v>0</v>
      </c>
      <c r="B288" s="9">
        <v>1118076</v>
      </c>
      <c r="D288" s="8">
        <f t="shared" si="15"/>
        <v>1.0372330331339885E-2</v>
      </c>
      <c r="E288" s="11">
        <v>0</v>
      </c>
      <c r="F288" s="11">
        <v>2092135</v>
      </c>
      <c r="G288" s="8"/>
      <c r="H288" s="8">
        <f t="shared" si="14"/>
        <v>1.5389043144940384E-2</v>
      </c>
    </row>
    <row r="289" spans="1:8" x14ac:dyDescent="0.25">
      <c r="A289" s="9">
        <v>0</v>
      </c>
      <c r="B289" s="9">
        <v>1135258</v>
      </c>
      <c r="D289" s="8">
        <f t="shared" si="15"/>
        <v>1.5367470547619222E-2</v>
      </c>
      <c r="E289" s="11">
        <v>0</v>
      </c>
      <c r="F289" s="11">
        <v>2123095</v>
      </c>
      <c r="G289" s="8"/>
      <c r="H289" s="8">
        <f t="shared" si="14"/>
        <v>1.4798280225702509E-2</v>
      </c>
    </row>
    <row r="290" spans="1:8" x14ac:dyDescent="0.25">
      <c r="A290" s="9">
        <v>0</v>
      </c>
      <c r="B290" s="9">
        <v>1153449</v>
      </c>
      <c r="D290" s="8">
        <f t="shared" si="15"/>
        <v>1.6023670390342915E-2</v>
      </c>
      <c r="E290" s="11">
        <v>0</v>
      </c>
      <c r="F290" s="11">
        <v>2159091</v>
      </c>
      <c r="G290" s="8"/>
      <c r="H290" s="8">
        <f t="shared" si="14"/>
        <v>1.6954493322248965E-2</v>
      </c>
    </row>
    <row r="291" spans="1:8" x14ac:dyDescent="0.25">
      <c r="A291" s="9">
        <v>0</v>
      </c>
      <c r="B291" s="9">
        <v>1175921</v>
      </c>
      <c r="D291" s="8">
        <f t="shared" si="15"/>
        <v>1.9482439188902134E-2</v>
      </c>
      <c r="E291" s="11">
        <v>0</v>
      </c>
      <c r="F291" s="11">
        <v>2205704</v>
      </c>
      <c r="G291" s="8"/>
      <c r="H291" s="8">
        <f t="shared" si="14"/>
        <v>2.1589178038350365E-2</v>
      </c>
    </row>
    <row r="292" spans="1:8" x14ac:dyDescent="0.25">
      <c r="A292" s="9">
        <v>0</v>
      </c>
      <c r="B292" s="9">
        <v>1210028</v>
      </c>
      <c r="D292" s="8">
        <f t="shared" si="15"/>
        <v>2.9004499451918964E-2</v>
      </c>
      <c r="E292" s="11">
        <v>0</v>
      </c>
      <c r="F292" s="11">
        <v>2241085</v>
      </c>
      <c r="G292" s="8"/>
      <c r="H292" s="8">
        <f t="shared" si="14"/>
        <v>1.604068360940536E-2</v>
      </c>
    </row>
    <row r="293" spans="1:8" x14ac:dyDescent="0.25">
      <c r="A293" s="9">
        <v>0</v>
      </c>
      <c r="B293" s="9">
        <v>1230948</v>
      </c>
      <c r="D293" s="8">
        <f t="shared" si="15"/>
        <v>1.7288856125643459E-2</v>
      </c>
      <c r="E293" s="11">
        <v>0</v>
      </c>
      <c r="F293" s="11">
        <v>2254465</v>
      </c>
      <c r="G293" s="8"/>
      <c r="H293" s="8">
        <f t="shared" si="14"/>
        <v>5.9703224107965358E-3</v>
      </c>
    </row>
    <row r="294" spans="1:8" x14ac:dyDescent="0.25">
      <c r="A294" s="9">
        <v>0</v>
      </c>
      <c r="B294" s="9">
        <v>1235757</v>
      </c>
      <c r="D294" s="8">
        <f t="shared" si="15"/>
        <v>3.9067450452821006E-3</v>
      </c>
      <c r="E294" s="11">
        <v>0</v>
      </c>
      <c r="F294" s="11">
        <v>2271837</v>
      </c>
      <c r="G294" s="8"/>
      <c r="H294" s="8">
        <f t="shared" si="14"/>
        <v>7.7055975586226566E-3</v>
      </c>
    </row>
    <row r="295" spans="1:8" x14ac:dyDescent="0.25">
      <c r="A295" s="9">
        <v>0</v>
      </c>
      <c r="B295" s="9">
        <v>1243450</v>
      </c>
      <c r="D295" s="8">
        <f t="shared" si="15"/>
        <v>6.2253339451041612E-3</v>
      </c>
      <c r="E295" s="11">
        <v>0</v>
      </c>
      <c r="F295" s="11">
        <v>2298345</v>
      </c>
      <c r="G295" s="8"/>
      <c r="H295" s="8">
        <f t="shared" si="14"/>
        <v>1.1668090624459504E-2</v>
      </c>
    </row>
    <row r="296" spans="1:8" x14ac:dyDescent="0.25">
      <c r="A296" s="9">
        <v>0</v>
      </c>
      <c r="B296" s="9">
        <v>1256662</v>
      </c>
      <c r="D296" s="8">
        <f t="shared" si="15"/>
        <v>1.062527644859057E-2</v>
      </c>
      <c r="E296" s="11">
        <v>0</v>
      </c>
      <c r="F296" s="11">
        <v>2323306</v>
      </c>
      <c r="G296" s="8"/>
      <c r="H296" s="8">
        <f t="shared" si="14"/>
        <v>1.0860423478633585E-2</v>
      </c>
    </row>
    <row r="297" spans="1:8" x14ac:dyDescent="0.25">
      <c r="A297" s="9">
        <v>0</v>
      </c>
      <c r="B297" s="9">
        <v>1271802</v>
      </c>
      <c r="D297" s="8">
        <f t="shared" si="15"/>
        <v>1.2047790097894362E-2</v>
      </c>
      <c r="E297" s="11">
        <v>0</v>
      </c>
      <c r="F297" s="11">
        <v>2361957</v>
      </c>
      <c r="G297" s="8"/>
      <c r="H297" s="8">
        <f t="shared" si="14"/>
        <v>1.6636207197846531E-2</v>
      </c>
    </row>
    <row r="298" spans="1:8" x14ac:dyDescent="0.25">
      <c r="A298" s="9">
        <v>0</v>
      </c>
      <c r="B298" s="9">
        <v>1298804</v>
      </c>
      <c r="D298" s="8">
        <f t="shared" si="15"/>
        <v>2.1231292292353654E-2</v>
      </c>
      <c r="E298" s="11">
        <v>0</v>
      </c>
      <c r="F298" s="11">
        <v>2399411</v>
      </c>
      <c r="G298" s="8"/>
      <c r="H298" s="8">
        <f t="shared" si="14"/>
        <v>1.5857189610141154E-2</v>
      </c>
    </row>
    <row r="299" spans="1:8" x14ac:dyDescent="0.25">
      <c r="A299" s="9">
        <v>0</v>
      </c>
      <c r="B299" s="9">
        <v>1321114</v>
      </c>
      <c r="D299" s="8">
        <f t="shared" si="15"/>
        <v>1.7177341615824959E-2</v>
      </c>
      <c r="E299" s="11">
        <v>0</v>
      </c>
      <c r="F299" s="11">
        <v>2440812</v>
      </c>
      <c r="G299" s="8"/>
      <c r="H299" s="8">
        <f t="shared" si="14"/>
        <v>1.7254651245659947E-2</v>
      </c>
    </row>
    <row r="300" spans="1:8" x14ac:dyDescent="0.25">
      <c r="A300" s="9">
        <v>0</v>
      </c>
      <c r="B300" s="9">
        <v>1345441</v>
      </c>
      <c r="D300" s="8">
        <f t="shared" si="15"/>
        <v>1.8414005150199086E-2</v>
      </c>
      <c r="E300" s="11">
        <v>0</v>
      </c>
      <c r="F300" s="11">
        <v>2497623</v>
      </c>
      <c r="G300" s="8"/>
      <c r="H300" s="8">
        <f t="shared" si="14"/>
        <v>2.3275450956484978E-2</v>
      </c>
    </row>
    <row r="301" spans="1:8" x14ac:dyDescent="0.25">
      <c r="A301" s="9">
        <v>0</v>
      </c>
      <c r="B301" s="9">
        <v>1377949</v>
      </c>
      <c r="D301" s="8">
        <f t="shared" si="15"/>
        <v>2.4161594599837466E-2</v>
      </c>
      <c r="E301" s="11">
        <v>0</v>
      </c>
      <c r="F301" s="11">
        <v>2549567</v>
      </c>
      <c r="G301" s="8"/>
      <c r="H301" s="8">
        <f t="shared" si="14"/>
        <v>2.0797374143335379E-2</v>
      </c>
    </row>
    <row r="302" spans="1:8" x14ac:dyDescent="0.25">
      <c r="A302" s="9">
        <v>0</v>
      </c>
      <c r="B302" s="9">
        <v>1409288</v>
      </c>
      <c r="D302" s="8">
        <f t="shared" si="15"/>
        <v>2.274322199152512E-2</v>
      </c>
      <c r="E302" s="11">
        <v>0</v>
      </c>
      <c r="F302" s="11">
        <v>2603729</v>
      </c>
      <c r="G302" s="8"/>
      <c r="H302" s="8">
        <f t="shared" si="14"/>
        <v>2.1243607247819041E-2</v>
      </c>
    </row>
    <row r="303" spans="1:8" x14ac:dyDescent="0.25">
      <c r="A303" s="9">
        <v>0</v>
      </c>
      <c r="B303" s="9">
        <v>1443998</v>
      </c>
      <c r="D303" s="8">
        <f t="shared" si="15"/>
        <v>2.4629458279642025E-2</v>
      </c>
      <c r="E303" s="11">
        <v>0</v>
      </c>
      <c r="F303" s="11">
        <v>2667031</v>
      </c>
      <c r="G303" s="8"/>
      <c r="H303" s="8">
        <f t="shared" si="14"/>
        <v>2.4312053981040194E-2</v>
      </c>
    </row>
    <row r="304" spans="1:8" x14ac:dyDescent="0.25">
      <c r="A304" s="9">
        <v>0</v>
      </c>
      <c r="B304" s="9">
        <v>1488278</v>
      </c>
      <c r="D304" s="8">
        <f t="shared" si="15"/>
        <v>3.0664862416706962E-2</v>
      </c>
      <c r="E304" s="11">
        <v>0</v>
      </c>
      <c r="F304" s="11">
        <v>2710828</v>
      </c>
      <c r="G304" s="8"/>
      <c r="H304" s="8">
        <f t="shared" si="14"/>
        <v>1.6421631394610614E-2</v>
      </c>
    </row>
    <row r="305" spans="1:8" x14ac:dyDescent="0.25">
      <c r="A305" s="9">
        <v>0</v>
      </c>
      <c r="B305" s="9">
        <v>1513945</v>
      </c>
      <c r="D305" s="8">
        <f t="shared" si="15"/>
        <v>1.7246105902257503E-2</v>
      </c>
      <c r="E305" s="11">
        <v>0</v>
      </c>
      <c r="F305" s="11">
        <v>2737424</v>
      </c>
      <c r="G305" s="8"/>
      <c r="H305" s="8">
        <f t="shared" si="14"/>
        <v>9.8110245282991837E-3</v>
      </c>
    </row>
    <row r="306" spans="1:8" x14ac:dyDescent="0.25">
      <c r="A306" s="9">
        <v>0</v>
      </c>
      <c r="B306" s="9">
        <v>1528392</v>
      </c>
      <c r="D306" s="8">
        <f t="shared" si="15"/>
        <v>9.5426187873404178E-3</v>
      </c>
      <c r="E306" s="11">
        <v>0</v>
      </c>
      <c r="F306" s="11">
        <v>2757765</v>
      </c>
      <c r="G306" s="8"/>
      <c r="H306" s="8">
        <f t="shared" si="14"/>
        <v>7.430708578576084E-3</v>
      </c>
    </row>
    <row r="307" spans="1:8" x14ac:dyDescent="0.25">
      <c r="A307" s="9">
        <v>0</v>
      </c>
      <c r="B307" s="9">
        <v>1537422</v>
      </c>
      <c r="D307" s="8">
        <f t="shared" si="15"/>
        <v>5.9081701553005406E-3</v>
      </c>
      <c r="E307" s="11">
        <v>0</v>
      </c>
      <c r="F307" s="11">
        <v>2802130</v>
      </c>
      <c r="G307" s="8"/>
      <c r="H307" s="8">
        <f t="shared" si="14"/>
        <v>1.6087302580169105E-2</v>
      </c>
    </row>
    <row r="308" spans="1:8" x14ac:dyDescent="0.25">
      <c r="A308" s="9">
        <v>0</v>
      </c>
      <c r="B308" s="9">
        <v>1568664</v>
      </c>
      <c r="D308" s="8">
        <f t="shared" si="15"/>
        <v>2.0321030920593008E-2</v>
      </c>
      <c r="E308" s="11">
        <v>0</v>
      </c>
      <c r="F308" s="11">
        <v>2832142</v>
      </c>
      <c r="G308" s="8"/>
      <c r="H308" s="8">
        <f t="shared" si="14"/>
        <v>1.0710423856137963E-2</v>
      </c>
    </row>
    <row r="309" spans="1:8" x14ac:dyDescent="0.25">
      <c r="A309" s="9">
        <v>0</v>
      </c>
      <c r="B309" s="9">
        <v>1597130</v>
      </c>
      <c r="D309" s="8">
        <f t="shared" si="15"/>
        <v>1.8146652183004042E-2</v>
      </c>
      <c r="E309" s="11">
        <v>0</v>
      </c>
      <c r="F309" s="11">
        <v>2877252</v>
      </c>
      <c r="G309" s="8"/>
      <c r="H309" s="8">
        <f t="shared" si="14"/>
        <v>1.5927873673000859E-2</v>
      </c>
    </row>
    <row r="310" spans="1:8" x14ac:dyDescent="0.25">
      <c r="A310" s="9">
        <v>0</v>
      </c>
      <c r="B310" s="9">
        <v>1628537</v>
      </c>
      <c r="D310" s="8">
        <f t="shared" si="15"/>
        <v>1.9664648463180834E-2</v>
      </c>
      <c r="E310" s="11">
        <v>0</v>
      </c>
      <c r="F310" s="11">
        <v>2916113</v>
      </c>
      <c r="G310" s="8"/>
      <c r="H310" s="8">
        <f t="shared" si="14"/>
        <v>1.3506290029514201E-2</v>
      </c>
    </row>
    <row r="311" spans="1:8" x14ac:dyDescent="0.25">
      <c r="A311" s="9">
        <v>0</v>
      </c>
      <c r="B311" s="9">
        <v>1649207</v>
      </c>
      <c r="D311" s="8">
        <f t="shared" si="15"/>
        <v>1.2692373584388905E-2</v>
      </c>
      <c r="E311" s="11">
        <v>0</v>
      </c>
      <c r="F311" s="11">
        <v>2957380</v>
      </c>
      <c r="G311" s="8"/>
      <c r="H311" s="8">
        <f t="shared" si="14"/>
        <v>1.4151372049025612E-2</v>
      </c>
    </row>
    <row r="312" spans="1:8" x14ac:dyDescent="0.25">
      <c r="A312" s="9">
        <v>0</v>
      </c>
      <c r="B312" s="9">
        <v>1669791</v>
      </c>
      <c r="D312" s="8">
        <f t="shared" si="15"/>
        <v>1.2481150031500077E-2</v>
      </c>
      <c r="E312" s="11">
        <v>0</v>
      </c>
      <c r="F312" s="11">
        <v>3013124</v>
      </c>
      <c r="G312" s="8"/>
      <c r="H312" s="8">
        <f t="shared" si="14"/>
        <v>1.8849116447666514E-2</v>
      </c>
    </row>
    <row r="313" spans="1:8" x14ac:dyDescent="0.25">
      <c r="A313" s="9">
        <v>0</v>
      </c>
      <c r="B313" s="9">
        <v>1694665</v>
      </c>
      <c r="D313" s="8">
        <f t="shared" si="15"/>
        <v>1.4896475067837756E-2</v>
      </c>
      <c r="E313" s="11">
        <v>0</v>
      </c>
      <c r="F313" s="11">
        <v>3058201</v>
      </c>
      <c r="G313" s="8"/>
      <c r="H313" s="8">
        <f t="shared" si="14"/>
        <v>1.4960220687897374E-2</v>
      </c>
    </row>
    <row r="314" spans="1:8" x14ac:dyDescent="0.25">
      <c r="A314" s="9">
        <v>0</v>
      </c>
      <c r="B314" s="9">
        <v>1711737</v>
      </c>
      <c r="D314" s="8">
        <f t="shared" si="15"/>
        <v>1.0073967421289742E-2</v>
      </c>
      <c r="E314" s="11">
        <v>0</v>
      </c>
      <c r="F314" s="11">
        <v>3114097</v>
      </c>
      <c r="G314" s="8"/>
      <c r="H314" s="8">
        <f t="shared" si="14"/>
        <v>1.8277412112545965E-2</v>
      </c>
    </row>
    <row r="315" spans="1:8" x14ac:dyDescent="0.25">
      <c r="A315" s="9">
        <v>0</v>
      </c>
      <c r="B315" s="9">
        <v>1744052</v>
      </c>
      <c r="D315" s="8">
        <f t="shared" si="15"/>
        <v>1.887848425312999E-2</v>
      </c>
      <c r="E315" s="11">
        <v>0</v>
      </c>
      <c r="F315" s="11">
        <v>3159223</v>
      </c>
      <c r="G315" s="8"/>
      <c r="H315" s="8">
        <f t="shared" si="14"/>
        <v>1.4490878094034931E-2</v>
      </c>
    </row>
    <row r="316" spans="1:8" x14ac:dyDescent="0.25">
      <c r="A316" s="9">
        <v>0</v>
      </c>
      <c r="B316" s="9">
        <v>1768115</v>
      </c>
      <c r="D316" s="8">
        <f t="shared" si="15"/>
        <v>1.3797180359301109E-2</v>
      </c>
      <c r="E316" s="11">
        <v>0</v>
      </c>
      <c r="F316" s="11">
        <v>3190981</v>
      </c>
      <c r="G316" s="8"/>
      <c r="H316" s="8">
        <f t="shared" si="14"/>
        <v>1.0052471762835413E-2</v>
      </c>
    </row>
    <row r="317" spans="1:8" x14ac:dyDescent="0.25">
      <c r="A317" s="9">
        <v>0</v>
      </c>
      <c r="B317" s="9">
        <v>1778288</v>
      </c>
      <c r="D317" s="8">
        <f t="shared" si="15"/>
        <v>5.7535850326477789E-3</v>
      </c>
      <c r="E317" s="11">
        <v>0</v>
      </c>
      <c r="F317" s="11">
        <v>3226470</v>
      </c>
      <c r="G317" s="8"/>
      <c r="H317" s="8">
        <f t="shared" si="14"/>
        <v>1.112165819852895E-2</v>
      </c>
    </row>
    <row r="318" spans="1:8" x14ac:dyDescent="0.25">
      <c r="A318" s="9">
        <v>0</v>
      </c>
      <c r="B318" s="9">
        <v>1799085</v>
      </c>
      <c r="D318" s="8">
        <f t="shared" si="15"/>
        <v>1.169495604761428E-2</v>
      </c>
      <c r="E318" s="11">
        <v>0</v>
      </c>
      <c r="F318" s="11">
        <v>3240687</v>
      </c>
      <c r="G318" s="8"/>
      <c r="H318" s="8">
        <f t="shared" si="14"/>
        <v>4.4063636110052151E-3</v>
      </c>
    </row>
    <row r="319" spans="1:8" x14ac:dyDescent="0.25">
      <c r="A319" s="9">
        <v>0</v>
      </c>
      <c r="B319" s="9">
        <v>1800193</v>
      </c>
      <c r="D319" s="8">
        <f t="shared" si="15"/>
        <v>6.1586862210516458E-4</v>
      </c>
      <c r="E319" s="11">
        <v>0</v>
      </c>
      <c r="F319" s="11">
        <v>3274402</v>
      </c>
      <c r="G319" s="8"/>
      <c r="H319" s="8">
        <f t="shared" si="14"/>
        <v>1.0403658236664004E-2</v>
      </c>
    </row>
    <row r="320" spans="1:8" x14ac:dyDescent="0.25">
      <c r="A320" s="9">
        <v>0</v>
      </c>
      <c r="B320" s="9">
        <v>1815093</v>
      </c>
      <c r="D320" s="8">
        <f t="shared" si="15"/>
        <v>8.276890311205598E-3</v>
      </c>
      <c r="E320" s="11">
        <v>0</v>
      </c>
      <c r="F320" s="11">
        <v>3286375</v>
      </c>
      <c r="G320" s="8"/>
      <c r="H320" s="8">
        <f t="shared" si="14"/>
        <v>3.6565455310617612E-3</v>
      </c>
    </row>
    <row r="321" spans="1:8" x14ac:dyDescent="0.25">
      <c r="A321" s="9">
        <v>0</v>
      </c>
      <c r="B321" s="9">
        <v>1823907</v>
      </c>
      <c r="D321" s="8">
        <f t="shared" si="15"/>
        <v>4.855949529858794E-3</v>
      </c>
      <c r="E321" s="11">
        <v>0</v>
      </c>
      <c r="F321" s="11">
        <v>3313322</v>
      </c>
      <c r="G321" s="8"/>
      <c r="H321" s="8">
        <f t="shared" si="14"/>
        <v>8.199612034536452E-3</v>
      </c>
    </row>
    <row r="322" spans="1:8" x14ac:dyDescent="0.25">
      <c r="A322" s="9">
        <v>0</v>
      </c>
      <c r="B322" s="9">
        <v>1847884</v>
      </c>
      <c r="D322" s="8">
        <f t="shared" si="15"/>
        <v>1.3145955358469408E-2</v>
      </c>
      <c r="E322" s="11">
        <v>0</v>
      </c>
      <c r="F322" s="11">
        <v>3314984</v>
      </c>
      <c r="G322" s="8"/>
      <c r="H322" s="8">
        <f t="shared" si="14"/>
        <v>5.0161137372106701E-4</v>
      </c>
    </row>
    <row r="323" spans="1:8" x14ac:dyDescent="0.25">
      <c r="A323" s="9">
        <v>0</v>
      </c>
      <c r="B323" s="9">
        <v>1837826</v>
      </c>
      <c r="D323" s="8">
        <f t="shared" si="15"/>
        <v>-5.4429823517060383E-3</v>
      </c>
      <c r="E323" s="11">
        <v>0</v>
      </c>
      <c r="F323" s="11">
        <v>3336276</v>
      </c>
      <c r="G323" s="8"/>
      <c r="H323" s="8">
        <f t="shared" si="14"/>
        <v>6.422957094212256E-3</v>
      </c>
    </row>
    <row r="324" spans="1:8" x14ac:dyDescent="0.25">
      <c r="A324" s="9">
        <v>0</v>
      </c>
      <c r="B324" s="9">
        <v>1846418</v>
      </c>
      <c r="D324" s="8">
        <f t="shared" si="15"/>
        <v>4.6750889366022896E-3</v>
      </c>
      <c r="E324" s="11">
        <v>0</v>
      </c>
      <c r="F324" s="11">
        <v>3391605</v>
      </c>
      <c r="G324" s="8"/>
      <c r="H324" s="8">
        <f t="shared" ref="H324:H329" si="16">F324/F323-1</f>
        <v>1.6584059592192002E-2</v>
      </c>
    </row>
    <row r="325" spans="1:8" x14ac:dyDescent="0.25">
      <c r="A325" s="9">
        <v>0</v>
      </c>
      <c r="B325" s="9">
        <v>1868557</v>
      </c>
      <c r="D325" s="8">
        <f t="shared" ref="D325:D329" si="17">B325/B324-1</f>
        <v>1.1990242729436051E-2</v>
      </c>
      <c r="E325" s="11">
        <v>0</v>
      </c>
      <c r="F325" s="11">
        <v>3415942</v>
      </c>
      <c r="G325" s="8"/>
      <c r="H325" s="8">
        <f t="shared" si="16"/>
        <v>7.1756587220503931E-3</v>
      </c>
    </row>
    <row r="326" spans="1:8" x14ac:dyDescent="0.25">
      <c r="A326" s="9">
        <v>0</v>
      </c>
      <c r="B326" s="9">
        <v>1870552</v>
      </c>
      <c r="D326" s="8">
        <f t="shared" si="17"/>
        <v>1.0676687946902241E-3</v>
      </c>
      <c r="E326" s="11">
        <v>0</v>
      </c>
      <c r="F326" s="11">
        <v>3449662</v>
      </c>
      <c r="G326" s="8"/>
      <c r="H326" s="8">
        <f t="shared" si="16"/>
        <v>9.8713619844832401E-3</v>
      </c>
    </row>
    <row r="327" spans="1:8" x14ac:dyDescent="0.25">
      <c r="A327" s="9">
        <v>0</v>
      </c>
      <c r="B327" s="9">
        <v>1887368</v>
      </c>
      <c r="D327" s="8">
        <f t="shared" si="17"/>
        <v>8.9898596777848727E-3</v>
      </c>
      <c r="E327" s="11">
        <v>0</v>
      </c>
      <c r="F327" s="11">
        <v>3490475</v>
      </c>
      <c r="G327" s="8"/>
      <c r="H327" s="8">
        <f t="shared" si="16"/>
        <v>1.1831014168924403E-2</v>
      </c>
    </row>
    <row r="328" spans="1:8" x14ac:dyDescent="0.25">
      <c r="A328" s="9">
        <v>0</v>
      </c>
      <c r="B328" s="9">
        <v>1911694</v>
      </c>
      <c r="D328" s="8">
        <f t="shared" si="17"/>
        <v>1.2888848385688378E-2</v>
      </c>
      <c r="E328" s="11">
        <v>0</v>
      </c>
      <c r="F328" s="11">
        <v>3514597</v>
      </c>
      <c r="G328" s="8"/>
      <c r="H328" s="8">
        <f t="shared" si="16"/>
        <v>6.910807268351693E-3</v>
      </c>
    </row>
    <row r="329" spans="1:8" x14ac:dyDescent="0.25">
      <c r="A329">
        <v>0</v>
      </c>
      <c r="B329" s="9">
        <v>1918207</v>
      </c>
      <c r="D329" s="8">
        <f t="shared" si="17"/>
        <v>3.4069260038478433E-3</v>
      </c>
      <c r="G329" s="8"/>
      <c r="H329" s="8">
        <f t="shared" si="16"/>
        <v>-1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04"/>
  <sheetViews>
    <sheetView workbookViewId="0">
      <selection activeCell="B1" sqref="B1:G1"/>
    </sheetView>
  </sheetViews>
  <sheetFormatPr defaultRowHeight="15" x14ac:dyDescent="0.25"/>
  <sheetData>
    <row r="1" spans="1:7" x14ac:dyDescent="0.25">
      <c r="A1" t="s">
        <v>0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</row>
    <row r="2" spans="1:7" x14ac:dyDescent="0.25">
      <c r="A2" s="1">
        <v>39142</v>
      </c>
      <c r="B2" s="2">
        <v>490460</v>
      </c>
      <c r="C2" s="2">
        <v>244636</v>
      </c>
      <c r="D2" s="2">
        <v>245824</v>
      </c>
      <c r="E2" s="2">
        <v>271893</v>
      </c>
      <c r="F2" s="2">
        <v>169316</v>
      </c>
      <c r="G2" s="2">
        <v>102577</v>
      </c>
    </row>
    <row r="3" spans="1:7" x14ac:dyDescent="0.25">
      <c r="A3" s="1">
        <v>39173</v>
      </c>
      <c r="B3" s="2">
        <v>505753</v>
      </c>
      <c r="C3" s="2">
        <v>252815</v>
      </c>
      <c r="D3" s="2">
        <v>252938</v>
      </c>
      <c r="E3" s="2">
        <v>276135</v>
      </c>
      <c r="F3" s="2">
        <v>172021</v>
      </c>
      <c r="G3" s="2">
        <v>104113</v>
      </c>
    </row>
    <row r="4" spans="1:7" x14ac:dyDescent="0.25">
      <c r="A4" s="1">
        <v>39203</v>
      </c>
      <c r="B4" s="2">
        <v>514647</v>
      </c>
      <c r="C4" s="2">
        <v>253195</v>
      </c>
      <c r="D4" s="2">
        <v>261453</v>
      </c>
      <c r="E4" s="2">
        <v>278486</v>
      </c>
      <c r="F4" s="2">
        <v>172644</v>
      </c>
      <c r="G4" s="2">
        <v>105844</v>
      </c>
    </row>
    <row r="5" spans="1:7" x14ac:dyDescent="0.25">
      <c r="A5" s="1">
        <v>39234</v>
      </c>
      <c r="B5" s="2">
        <v>525046</v>
      </c>
      <c r="C5" s="2">
        <v>257083</v>
      </c>
      <c r="D5" s="2">
        <v>267963</v>
      </c>
      <c r="E5" s="2">
        <v>280442</v>
      </c>
      <c r="F5" s="2">
        <v>173427</v>
      </c>
      <c r="G5" s="2">
        <v>107014</v>
      </c>
    </row>
    <row r="6" spans="1:7" x14ac:dyDescent="0.25">
      <c r="A6" s="1">
        <v>39264</v>
      </c>
      <c r="B6" s="2">
        <v>541348</v>
      </c>
      <c r="C6" s="2">
        <v>263382</v>
      </c>
      <c r="D6" s="2">
        <v>277967</v>
      </c>
      <c r="E6" s="2">
        <v>283093</v>
      </c>
      <c r="F6" s="2">
        <v>175669</v>
      </c>
      <c r="G6" s="2">
        <v>107422</v>
      </c>
    </row>
    <row r="7" spans="1:7" x14ac:dyDescent="0.25">
      <c r="A7" s="1">
        <v>39295</v>
      </c>
      <c r="B7" s="2">
        <v>559351</v>
      </c>
      <c r="C7" s="2">
        <v>275010</v>
      </c>
      <c r="D7" s="2">
        <v>284340</v>
      </c>
      <c r="E7" s="2">
        <v>290477</v>
      </c>
      <c r="F7" s="2">
        <v>181955</v>
      </c>
      <c r="G7" s="2">
        <v>108522</v>
      </c>
    </row>
    <row r="8" spans="1:7" x14ac:dyDescent="0.25">
      <c r="A8" s="1">
        <v>39326</v>
      </c>
      <c r="B8" s="2">
        <v>571372</v>
      </c>
      <c r="C8" s="2">
        <v>280693</v>
      </c>
      <c r="D8" s="2">
        <v>290679</v>
      </c>
      <c r="E8" s="2">
        <v>294138</v>
      </c>
      <c r="F8" s="2">
        <v>183412</v>
      </c>
      <c r="G8" s="2">
        <v>110725</v>
      </c>
    </row>
    <row r="9" spans="1:7" x14ac:dyDescent="0.25">
      <c r="A9" s="1">
        <v>39356</v>
      </c>
      <c r="B9" s="2">
        <v>586902</v>
      </c>
      <c r="C9" s="2">
        <v>286485</v>
      </c>
      <c r="D9" s="2">
        <v>300417</v>
      </c>
      <c r="E9" s="2">
        <v>302134</v>
      </c>
      <c r="F9" s="2">
        <v>188769</v>
      </c>
      <c r="G9" s="2">
        <v>113365</v>
      </c>
    </row>
    <row r="10" spans="1:7" x14ac:dyDescent="0.25">
      <c r="A10" s="1">
        <v>39387</v>
      </c>
      <c r="B10" s="2">
        <v>607215</v>
      </c>
      <c r="C10" s="2">
        <v>299250</v>
      </c>
      <c r="D10" s="2">
        <v>307966</v>
      </c>
      <c r="E10" s="2">
        <v>311599</v>
      </c>
      <c r="F10" s="2">
        <v>195600</v>
      </c>
      <c r="G10" s="2">
        <v>116000</v>
      </c>
    </row>
    <row r="11" spans="1:7" x14ac:dyDescent="0.25">
      <c r="A11" s="1">
        <v>39417</v>
      </c>
      <c r="B11" s="2">
        <v>627514</v>
      </c>
      <c r="C11" s="2">
        <v>312741</v>
      </c>
      <c r="D11" s="2">
        <v>314773</v>
      </c>
      <c r="E11" s="2">
        <v>316407</v>
      </c>
      <c r="F11" s="2">
        <v>199315</v>
      </c>
      <c r="G11" s="2">
        <v>117092</v>
      </c>
    </row>
    <row r="12" spans="1:7" x14ac:dyDescent="0.25">
      <c r="A12" s="1">
        <v>39448</v>
      </c>
      <c r="B12" s="2">
        <v>637031</v>
      </c>
      <c r="C12" s="2">
        <v>314967</v>
      </c>
      <c r="D12" s="2">
        <v>322064</v>
      </c>
      <c r="E12" s="2">
        <v>316383</v>
      </c>
      <c r="F12" s="2">
        <v>198593</v>
      </c>
      <c r="G12" s="2">
        <v>117789</v>
      </c>
    </row>
    <row r="13" spans="1:7" x14ac:dyDescent="0.25">
      <c r="A13" s="1">
        <v>39479</v>
      </c>
      <c r="B13" s="2">
        <v>650206</v>
      </c>
      <c r="C13" s="2">
        <v>323258</v>
      </c>
      <c r="D13" s="2">
        <v>326948</v>
      </c>
      <c r="E13" s="2">
        <v>317237</v>
      </c>
      <c r="F13" s="2">
        <v>199002</v>
      </c>
      <c r="G13" s="2">
        <v>118235</v>
      </c>
    </row>
    <row r="14" spans="1:7" x14ac:dyDescent="0.25">
      <c r="A14" s="1">
        <v>39508</v>
      </c>
      <c r="B14" s="2">
        <v>675746</v>
      </c>
      <c r="C14" s="2">
        <v>338649</v>
      </c>
      <c r="D14" s="2">
        <v>337096</v>
      </c>
      <c r="E14" s="2">
        <v>325853</v>
      </c>
      <c r="F14" s="2">
        <v>206213</v>
      </c>
      <c r="G14" s="2">
        <v>119639</v>
      </c>
    </row>
    <row r="15" spans="1:7" x14ac:dyDescent="0.25">
      <c r="A15" s="1">
        <v>39539</v>
      </c>
      <c r="B15" s="2">
        <v>694533</v>
      </c>
      <c r="C15" s="2">
        <v>347020</v>
      </c>
      <c r="D15" s="2">
        <v>347513</v>
      </c>
      <c r="E15" s="2">
        <v>332314</v>
      </c>
      <c r="F15" s="2">
        <v>210389</v>
      </c>
      <c r="G15" s="2">
        <v>121924</v>
      </c>
    </row>
    <row r="16" spans="1:7" x14ac:dyDescent="0.25">
      <c r="A16" s="1">
        <v>39569</v>
      </c>
      <c r="B16" s="2">
        <v>714469</v>
      </c>
      <c r="C16" s="2">
        <v>358109</v>
      </c>
      <c r="D16" s="2">
        <v>356360</v>
      </c>
      <c r="E16" s="2">
        <v>339420</v>
      </c>
      <c r="F16" s="2">
        <v>214714</v>
      </c>
      <c r="G16" s="2">
        <v>124706</v>
      </c>
    </row>
    <row r="17" spans="1:7" x14ac:dyDescent="0.25">
      <c r="A17" s="1">
        <v>39600</v>
      </c>
      <c r="B17" s="2">
        <v>730738</v>
      </c>
      <c r="C17" s="2">
        <v>368805</v>
      </c>
      <c r="D17" s="2">
        <v>361933</v>
      </c>
      <c r="E17" s="2">
        <v>346095</v>
      </c>
      <c r="F17" s="2">
        <v>218529</v>
      </c>
      <c r="G17" s="2">
        <v>127566</v>
      </c>
    </row>
    <row r="18" spans="1:7" x14ac:dyDescent="0.25">
      <c r="A18" s="1">
        <v>39630</v>
      </c>
      <c r="B18" s="2">
        <v>747211</v>
      </c>
      <c r="C18" s="2">
        <v>376515</v>
      </c>
      <c r="D18" s="2">
        <v>370696</v>
      </c>
      <c r="E18" s="2">
        <v>347158</v>
      </c>
      <c r="F18" s="2">
        <v>221872</v>
      </c>
      <c r="G18" s="2">
        <v>125287</v>
      </c>
    </row>
    <row r="19" spans="1:7" x14ac:dyDescent="0.25">
      <c r="A19" s="1">
        <v>39661</v>
      </c>
      <c r="B19" s="2">
        <v>765976</v>
      </c>
      <c r="C19" s="2">
        <v>388464</v>
      </c>
      <c r="D19" s="2">
        <v>377510</v>
      </c>
      <c r="E19" s="2">
        <v>353481</v>
      </c>
      <c r="F19" s="2">
        <v>227030</v>
      </c>
      <c r="G19" s="2">
        <v>126451</v>
      </c>
    </row>
    <row r="20" spans="1:7" x14ac:dyDescent="0.25">
      <c r="A20" s="1">
        <v>39692</v>
      </c>
      <c r="B20" s="2">
        <v>794301</v>
      </c>
      <c r="C20" s="2">
        <v>410844</v>
      </c>
      <c r="D20" s="2">
        <v>383459</v>
      </c>
      <c r="E20" s="2">
        <v>366386</v>
      </c>
      <c r="F20" s="2">
        <v>235643</v>
      </c>
      <c r="G20" s="2">
        <v>130744</v>
      </c>
    </row>
    <row r="21" spans="1:7" x14ac:dyDescent="0.25">
      <c r="A21" s="1">
        <v>39722</v>
      </c>
      <c r="B21" s="2">
        <v>814746</v>
      </c>
      <c r="C21" s="2">
        <v>422735</v>
      </c>
      <c r="D21" s="2">
        <v>392010</v>
      </c>
      <c r="E21" s="2">
        <v>378327</v>
      </c>
      <c r="F21" s="2">
        <v>245448</v>
      </c>
      <c r="G21" s="2">
        <v>132879</v>
      </c>
    </row>
    <row r="22" spans="1:7" x14ac:dyDescent="0.25">
      <c r="A22" s="1">
        <v>39753</v>
      </c>
      <c r="B22" s="2">
        <v>825652</v>
      </c>
      <c r="C22" s="2">
        <v>433868</v>
      </c>
      <c r="D22" s="2">
        <v>391784</v>
      </c>
      <c r="E22" s="2">
        <v>390127</v>
      </c>
      <c r="F22" s="2">
        <v>254490</v>
      </c>
      <c r="G22" s="2">
        <v>135637</v>
      </c>
    </row>
    <row r="23" spans="1:7" x14ac:dyDescent="0.25">
      <c r="A23" s="1">
        <v>39783</v>
      </c>
      <c r="B23" s="2">
        <v>833190</v>
      </c>
      <c r="C23" s="2">
        <v>437273</v>
      </c>
      <c r="D23" s="2">
        <v>395916</v>
      </c>
      <c r="E23" s="2">
        <v>400798</v>
      </c>
      <c r="F23" s="2">
        <v>262502</v>
      </c>
      <c r="G23" s="2">
        <v>138296</v>
      </c>
    </row>
    <row r="24" spans="1:7" x14ac:dyDescent="0.25">
      <c r="A24" s="1">
        <v>39814</v>
      </c>
      <c r="B24" s="2">
        <v>828359</v>
      </c>
      <c r="C24" s="2">
        <v>431339</v>
      </c>
      <c r="D24" s="2">
        <v>397020</v>
      </c>
      <c r="E24" s="2">
        <v>406883</v>
      </c>
      <c r="F24" s="2">
        <v>266858</v>
      </c>
      <c r="G24" s="2">
        <v>140026</v>
      </c>
    </row>
    <row r="25" spans="1:7" x14ac:dyDescent="0.25">
      <c r="A25" s="1">
        <v>39845</v>
      </c>
      <c r="B25" s="2">
        <v>826524</v>
      </c>
      <c r="C25" s="2">
        <v>431847</v>
      </c>
      <c r="D25" s="2">
        <v>394677</v>
      </c>
      <c r="E25" s="2">
        <v>408301</v>
      </c>
      <c r="F25" s="2">
        <v>266753</v>
      </c>
      <c r="G25" s="2">
        <v>141548</v>
      </c>
    </row>
    <row r="26" spans="1:7" x14ac:dyDescent="0.25">
      <c r="A26" s="1">
        <v>39873</v>
      </c>
      <c r="B26" s="2">
        <v>834475</v>
      </c>
      <c r="C26" s="2">
        <v>435098</v>
      </c>
      <c r="D26" s="2">
        <v>399378</v>
      </c>
      <c r="E26" s="2">
        <v>413828</v>
      </c>
      <c r="F26" s="2">
        <v>270318</v>
      </c>
      <c r="G26" s="2">
        <v>143509</v>
      </c>
    </row>
    <row r="27" spans="1:7" x14ac:dyDescent="0.25">
      <c r="A27" s="1">
        <v>39904</v>
      </c>
      <c r="B27" s="2">
        <v>838679</v>
      </c>
      <c r="C27" s="2">
        <v>432965</v>
      </c>
      <c r="D27" s="2">
        <v>405714</v>
      </c>
      <c r="E27" s="2">
        <v>415885</v>
      </c>
      <c r="F27" s="2">
        <v>270265</v>
      </c>
      <c r="G27" s="2">
        <v>145619</v>
      </c>
    </row>
    <row r="28" spans="1:7" x14ac:dyDescent="0.25">
      <c r="A28" s="1">
        <v>39934</v>
      </c>
      <c r="B28" s="2">
        <v>847745</v>
      </c>
      <c r="C28" s="2">
        <v>431929</v>
      </c>
      <c r="D28" s="2">
        <v>415815</v>
      </c>
      <c r="E28" s="2">
        <v>419172</v>
      </c>
      <c r="F28" s="2">
        <v>271205</v>
      </c>
      <c r="G28" s="2">
        <v>147967</v>
      </c>
    </row>
    <row r="29" spans="1:7" x14ac:dyDescent="0.25">
      <c r="A29" s="1">
        <v>39965</v>
      </c>
      <c r="B29" s="2">
        <v>854231</v>
      </c>
      <c r="C29" s="2">
        <v>431977</v>
      </c>
      <c r="D29" s="2">
        <v>422254</v>
      </c>
      <c r="E29" s="2">
        <v>428691</v>
      </c>
      <c r="F29" s="2">
        <v>277717</v>
      </c>
      <c r="G29" s="2">
        <v>150973</v>
      </c>
    </row>
    <row r="30" spans="1:7" x14ac:dyDescent="0.25">
      <c r="A30" s="1">
        <v>39995</v>
      </c>
      <c r="B30" s="2">
        <v>852380</v>
      </c>
      <c r="C30" s="2">
        <v>426256</v>
      </c>
      <c r="D30" s="2">
        <v>426124</v>
      </c>
      <c r="E30" s="2">
        <v>461154</v>
      </c>
      <c r="F30" s="2">
        <v>307892</v>
      </c>
      <c r="G30" s="2">
        <v>153262</v>
      </c>
    </row>
    <row r="31" spans="1:7" x14ac:dyDescent="0.25">
      <c r="A31" s="1">
        <v>40026</v>
      </c>
      <c r="B31" s="2">
        <v>861333</v>
      </c>
      <c r="C31" s="2">
        <v>429557</v>
      </c>
      <c r="D31" s="2">
        <v>431775</v>
      </c>
      <c r="E31" s="2">
        <v>471987</v>
      </c>
      <c r="F31" s="2">
        <v>315223</v>
      </c>
      <c r="G31" s="2">
        <v>156763</v>
      </c>
    </row>
    <row r="32" spans="1:7" x14ac:dyDescent="0.25">
      <c r="A32" s="1">
        <v>40057</v>
      </c>
      <c r="B32" s="2">
        <v>870856</v>
      </c>
      <c r="C32" s="2">
        <v>431901</v>
      </c>
      <c r="D32" s="2">
        <v>438957</v>
      </c>
      <c r="E32" s="2">
        <v>482255</v>
      </c>
      <c r="F32" s="2">
        <v>321180</v>
      </c>
      <c r="G32" s="2">
        <v>161075</v>
      </c>
    </row>
    <row r="33" spans="1:7" x14ac:dyDescent="0.25">
      <c r="A33" s="1">
        <v>40087</v>
      </c>
      <c r="B33" s="2">
        <v>879979</v>
      </c>
      <c r="C33" s="2">
        <v>435750</v>
      </c>
      <c r="D33" s="2">
        <v>444230</v>
      </c>
      <c r="E33" s="2">
        <v>492264</v>
      </c>
      <c r="F33" s="2">
        <v>327944</v>
      </c>
      <c r="G33" s="2">
        <v>164319</v>
      </c>
    </row>
    <row r="34" spans="1:7" x14ac:dyDescent="0.25">
      <c r="A34" s="1">
        <v>40118</v>
      </c>
      <c r="B34" s="2">
        <v>892321</v>
      </c>
      <c r="C34" s="2">
        <v>442062</v>
      </c>
      <c r="D34" s="2">
        <v>450259</v>
      </c>
      <c r="E34" s="2">
        <v>500596</v>
      </c>
      <c r="F34" s="2">
        <v>335177</v>
      </c>
      <c r="G34" s="2">
        <v>165419</v>
      </c>
    </row>
    <row r="35" spans="1:7" x14ac:dyDescent="0.25">
      <c r="A35" s="1">
        <v>40148</v>
      </c>
      <c r="B35" s="2">
        <v>902959</v>
      </c>
      <c r="C35" s="2">
        <v>444271</v>
      </c>
      <c r="D35" s="2">
        <v>458687</v>
      </c>
      <c r="E35" s="2">
        <v>517557</v>
      </c>
      <c r="F35" s="2">
        <v>349688</v>
      </c>
      <c r="G35" s="2">
        <v>167868</v>
      </c>
    </row>
    <row r="36" spans="1:7" x14ac:dyDescent="0.25">
      <c r="A36" s="1">
        <v>40179</v>
      </c>
      <c r="B36" s="2">
        <v>904156</v>
      </c>
      <c r="C36" s="2">
        <v>441652</v>
      </c>
      <c r="D36" s="2">
        <v>462504</v>
      </c>
      <c r="E36" s="2">
        <v>526393</v>
      </c>
      <c r="F36" s="2">
        <v>352937</v>
      </c>
      <c r="G36" s="2">
        <v>173456</v>
      </c>
    </row>
    <row r="37" spans="1:7" x14ac:dyDescent="0.25">
      <c r="A37" s="1">
        <v>40210</v>
      </c>
      <c r="B37" s="2">
        <v>912036</v>
      </c>
      <c r="C37" s="2">
        <v>446465</v>
      </c>
      <c r="D37" s="2">
        <v>465571</v>
      </c>
      <c r="E37" s="2">
        <v>529483</v>
      </c>
      <c r="F37" s="2">
        <v>352855</v>
      </c>
      <c r="G37" s="2">
        <v>176629</v>
      </c>
    </row>
    <row r="38" spans="1:7" x14ac:dyDescent="0.25">
      <c r="A38" s="1">
        <v>40238</v>
      </c>
      <c r="B38" s="2">
        <v>922991</v>
      </c>
      <c r="C38" s="2">
        <v>449413</v>
      </c>
      <c r="D38" s="2">
        <v>473579</v>
      </c>
      <c r="E38" s="2">
        <v>535100</v>
      </c>
      <c r="F38" s="2">
        <v>354509</v>
      </c>
      <c r="G38" s="2">
        <v>180591</v>
      </c>
    </row>
    <row r="39" spans="1:7" x14ac:dyDescent="0.25">
      <c r="A39" s="1">
        <v>40269</v>
      </c>
      <c r="B39" s="2">
        <v>931127</v>
      </c>
      <c r="C39" s="2">
        <v>451701</v>
      </c>
      <c r="D39" s="2">
        <v>479427</v>
      </c>
      <c r="E39" s="2">
        <v>543183</v>
      </c>
      <c r="F39" s="2">
        <v>358560</v>
      </c>
      <c r="G39" s="2">
        <v>184622</v>
      </c>
    </row>
    <row r="40" spans="1:7" x14ac:dyDescent="0.25">
      <c r="A40" s="1">
        <v>40299</v>
      </c>
      <c r="B40" s="2">
        <v>946955</v>
      </c>
      <c r="C40" s="2">
        <v>457899</v>
      </c>
      <c r="D40" s="2">
        <v>489056</v>
      </c>
      <c r="E40" s="2">
        <v>558562</v>
      </c>
      <c r="F40" s="2">
        <v>369804</v>
      </c>
      <c r="G40" s="2">
        <v>188760</v>
      </c>
    </row>
    <row r="41" spans="1:7" x14ac:dyDescent="0.25">
      <c r="A41" s="1">
        <v>40330</v>
      </c>
      <c r="B41" s="2">
        <v>961569</v>
      </c>
      <c r="C41" s="2">
        <v>467882</v>
      </c>
      <c r="D41" s="2">
        <v>493687</v>
      </c>
      <c r="E41" s="2">
        <v>574855</v>
      </c>
      <c r="F41" s="2">
        <v>382860</v>
      </c>
      <c r="G41" s="2">
        <v>191995</v>
      </c>
    </row>
    <row r="42" spans="1:7" x14ac:dyDescent="0.25">
      <c r="A42" s="1">
        <v>40360</v>
      </c>
      <c r="B42" s="2">
        <v>969380</v>
      </c>
      <c r="C42" s="2">
        <v>464292</v>
      </c>
      <c r="D42" s="2">
        <v>505089</v>
      </c>
      <c r="E42" s="2">
        <v>586899</v>
      </c>
      <c r="F42" s="2">
        <v>391976</v>
      </c>
      <c r="G42" s="2">
        <v>194923</v>
      </c>
    </row>
    <row r="43" spans="1:7" x14ac:dyDescent="0.25">
      <c r="A43" s="1">
        <v>40391</v>
      </c>
      <c r="B43" s="2">
        <v>982429</v>
      </c>
      <c r="C43" s="2">
        <v>469154</v>
      </c>
      <c r="D43" s="2">
        <v>513275</v>
      </c>
      <c r="E43" s="2">
        <v>607428</v>
      </c>
      <c r="F43" s="2">
        <v>407088</v>
      </c>
      <c r="G43" s="2">
        <v>200339</v>
      </c>
    </row>
    <row r="44" spans="1:7" x14ac:dyDescent="0.25">
      <c r="A44" s="1">
        <v>40422</v>
      </c>
      <c r="B44" s="2">
        <v>1002374</v>
      </c>
      <c r="C44" s="2">
        <v>481684</v>
      </c>
      <c r="D44" s="2">
        <v>520690</v>
      </c>
      <c r="E44" s="2">
        <v>619166</v>
      </c>
      <c r="F44" s="2">
        <v>412435</v>
      </c>
      <c r="G44" s="2">
        <v>206731</v>
      </c>
    </row>
    <row r="45" spans="1:7" x14ac:dyDescent="0.25">
      <c r="A45" s="1">
        <v>40452</v>
      </c>
      <c r="B45" s="2">
        <v>1018637</v>
      </c>
      <c r="C45" s="2">
        <v>489128</v>
      </c>
      <c r="D45" s="2">
        <v>529509</v>
      </c>
      <c r="E45" s="2">
        <v>633176</v>
      </c>
      <c r="F45" s="2">
        <v>421365</v>
      </c>
      <c r="G45" s="2">
        <v>211810</v>
      </c>
    </row>
    <row r="46" spans="1:7" x14ac:dyDescent="0.25">
      <c r="A46" s="1">
        <v>40483</v>
      </c>
      <c r="B46" s="2">
        <v>1039882</v>
      </c>
      <c r="C46" s="2">
        <v>498148</v>
      </c>
      <c r="D46" s="2">
        <v>541734</v>
      </c>
      <c r="E46" s="2">
        <v>645830</v>
      </c>
      <c r="F46" s="2">
        <v>428918</v>
      </c>
      <c r="G46" s="2">
        <v>216912</v>
      </c>
    </row>
    <row r="47" spans="1:7" x14ac:dyDescent="0.25">
      <c r="A47" s="1">
        <v>40513</v>
      </c>
      <c r="B47" s="2">
        <v>1055664</v>
      </c>
      <c r="C47" s="2">
        <v>502801</v>
      </c>
      <c r="D47" s="2">
        <v>552863</v>
      </c>
      <c r="E47" s="2">
        <v>657044</v>
      </c>
      <c r="F47" s="2">
        <v>434109</v>
      </c>
      <c r="G47" s="2">
        <v>222934</v>
      </c>
    </row>
    <row r="48" spans="1:7" x14ac:dyDescent="0.25">
      <c r="A48" s="1">
        <v>40544</v>
      </c>
      <c r="B48" s="2">
        <v>1056671</v>
      </c>
      <c r="C48" s="2">
        <v>498699</v>
      </c>
      <c r="D48" s="2">
        <v>557973</v>
      </c>
      <c r="E48" s="2">
        <v>662040</v>
      </c>
      <c r="F48" s="2">
        <v>434768</v>
      </c>
      <c r="G48" s="2">
        <v>227272</v>
      </c>
    </row>
    <row r="49" spans="1:7" x14ac:dyDescent="0.25">
      <c r="A49" s="1">
        <v>40575</v>
      </c>
      <c r="B49" s="2">
        <v>1071299</v>
      </c>
      <c r="C49" s="2">
        <v>509832</v>
      </c>
      <c r="D49" s="2">
        <v>561466</v>
      </c>
      <c r="E49" s="2">
        <v>670209</v>
      </c>
      <c r="F49" s="2">
        <v>438131</v>
      </c>
      <c r="G49" s="2">
        <v>232078</v>
      </c>
    </row>
    <row r="50" spans="1:7" x14ac:dyDescent="0.25">
      <c r="A50" s="1">
        <v>40603</v>
      </c>
      <c r="B50" s="2">
        <v>1085864</v>
      </c>
      <c r="C50" s="2">
        <v>521988</v>
      </c>
      <c r="D50" s="2">
        <v>563875</v>
      </c>
      <c r="E50" s="2">
        <v>673815</v>
      </c>
      <c r="F50" s="2">
        <v>436896</v>
      </c>
      <c r="G50" s="2">
        <v>236919</v>
      </c>
    </row>
    <row r="51" spans="1:7" x14ac:dyDescent="0.25">
      <c r="A51" s="1">
        <v>40634</v>
      </c>
      <c r="B51" s="2">
        <v>1102691</v>
      </c>
      <c r="C51" s="2">
        <v>532237</v>
      </c>
      <c r="D51" s="2">
        <v>570454</v>
      </c>
      <c r="E51" s="2">
        <v>680796</v>
      </c>
      <c r="F51" s="2">
        <v>439588</v>
      </c>
      <c r="G51" s="2">
        <v>241207</v>
      </c>
    </row>
    <row r="52" spans="1:7" x14ac:dyDescent="0.25">
      <c r="A52" s="1">
        <v>40664</v>
      </c>
      <c r="B52" s="2">
        <v>1119373</v>
      </c>
      <c r="C52" s="2">
        <v>540988</v>
      </c>
      <c r="D52" s="2">
        <v>578386</v>
      </c>
      <c r="E52" s="2">
        <v>692755</v>
      </c>
      <c r="F52" s="2">
        <v>445482</v>
      </c>
      <c r="G52" s="2">
        <v>247273</v>
      </c>
    </row>
    <row r="53" spans="1:7" x14ac:dyDescent="0.25">
      <c r="A53" s="1">
        <v>40695</v>
      </c>
      <c r="B53" s="2">
        <v>1135815</v>
      </c>
      <c r="C53" s="2">
        <v>550548</v>
      </c>
      <c r="D53" s="2">
        <v>585267</v>
      </c>
      <c r="E53" s="2">
        <v>704342</v>
      </c>
      <c r="F53" s="2">
        <v>451473</v>
      </c>
      <c r="G53" s="2">
        <v>252869</v>
      </c>
    </row>
    <row r="54" spans="1:7" x14ac:dyDescent="0.25">
      <c r="A54" s="1">
        <v>40725</v>
      </c>
      <c r="B54" s="2">
        <v>1144393</v>
      </c>
      <c r="C54" s="2">
        <v>553363</v>
      </c>
      <c r="D54" s="2">
        <v>591030</v>
      </c>
      <c r="E54" s="2">
        <v>717204</v>
      </c>
      <c r="F54" s="2">
        <v>459217</v>
      </c>
      <c r="G54" s="2">
        <v>257987</v>
      </c>
    </row>
    <row r="55" spans="1:7" x14ac:dyDescent="0.25">
      <c r="A55" s="1">
        <v>40756</v>
      </c>
      <c r="B55" s="2">
        <v>1159928</v>
      </c>
      <c r="C55" s="2">
        <v>560004</v>
      </c>
      <c r="D55" s="2">
        <v>599924</v>
      </c>
      <c r="E55" s="2">
        <v>734785</v>
      </c>
      <c r="F55" s="2">
        <v>465670</v>
      </c>
      <c r="G55" s="2">
        <v>269115</v>
      </c>
    </row>
    <row r="56" spans="1:7" x14ac:dyDescent="0.25">
      <c r="A56" s="1">
        <v>40787</v>
      </c>
      <c r="B56" s="2">
        <v>1182011</v>
      </c>
      <c r="C56" s="2">
        <v>575035</v>
      </c>
      <c r="D56" s="2">
        <v>606977</v>
      </c>
      <c r="E56" s="2">
        <v>753770</v>
      </c>
      <c r="F56" s="2">
        <v>478815</v>
      </c>
      <c r="G56" s="2">
        <v>274954</v>
      </c>
    </row>
    <row r="57" spans="1:7" x14ac:dyDescent="0.25">
      <c r="A57" s="1">
        <v>40817</v>
      </c>
      <c r="B57" s="2">
        <v>1190057</v>
      </c>
      <c r="C57" s="2">
        <v>577573</v>
      </c>
      <c r="D57" s="2">
        <v>612484</v>
      </c>
      <c r="E57" s="2">
        <v>760601</v>
      </c>
      <c r="F57" s="2">
        <v>479097</v>
      </c>
      <c r="G57" s="2">
        <v>281504</v>
      </c>
    </row>
    <row r="58" spans="1:7" x14ac:dyDescent="0.25">
      <c r="A58" s="1">
        <v>40848</v>
      </c>
      <c r="B58" s="2">
        <v>1208449</v>
      </c>
      <c r="C58" s="2">
        <v>588361</v>
      </c>
      <c r="D58" s="2">
        <v>620089</v>
      </c>
      <c r="E58" s="2">
        <v>780163</v>
      </c>
      <c r="F58" s="2">
        <v>491666</v>
      </c>
      <c r="G58" s="2">
        <v>288498</v>
      </c>
    </row>
    <row r="59" spans="1:7" x14ac:dyDescent="0.25">
      <c r="A59" s="1">
        <v>40878</v>
      </c>
      <c r="B59" s="2">
        <v>1231641</v>
      </c>
      <c r="C59" s="2">
        <v>605358</v>
      </c>
      <c r="D59" s="2">
        <v>626283</v>
      </c>
      <c r="E59" s="2">
        <v>802312</v>
      </c>
      <c r="F59" s="2">
        <v>506997</v>
      </c>
      <c r="G59" s="2">
        <v>295315</v>
      </c>
    </row>
    <row r="60" spans="1:7" x14ac:dyDescent="0.25">
      <c r="A60" s="1">
        <v>40909</v>
      </c>
      <c r="B60" s="2">
        <v>1228104</v>
      </c>
      <c r="C60" s="2">
        <v>595664</v>
      </c>
      <c r="D60" s="2">
        <v>632440</v>
      </c>
      <c r="E60" s="2">
        <v>805081</v>
      </c>
      <c r="F60" s="2">
        <v>503400</v>
      </c>
      <c r="G60" s="2">
        <v>301681</v>
      </c>
    </row>
    <row r="61" spans="1:7" x14ac:dyDescent="0.25">
      <c r="A61" s="1">
        <v>40940</v>
      </c>
      <c r="B61" s="2">
        <v>1235296</v>
      </c>
      <c r="C61" s="2">
        <v>600914</v>
      </c>
      <c r="D61" s="2">
        <v>634382</v>
      </c>
      <c r="E61" s="2">
        <v>805745</v>
      </c>
      <c r="F61" s="2">
        <v>499006</v>
      </c>
      <c r="G61" s="2">
        <v>306739</v>
      </c>
    </row>
    <row r="62" spans="1:7" x14ac:dyDescent="0.25">
      <c r="A62" s="1">
        <v>40969</v>
      </c>
      <c r="B62" s="2">
        <v>1258914</v>
      </c>
      <c r="C62" s="2">
        <v>619915</v>
      </c>
      <c r="D62" s="2">
        <v>638999</v>
      </c>
      <c r="E62" s="2">
        <v>819998</v>
      </c>
      <c r="F62" s="2">
        <v>505825</v>
      </c>
      <c r="G62" s="2">
        <v>314172</v>
      </c>
    </row>
    <row r="63" spans="1:7" x14ac:dyDescent="0.25">
      <c r="A63" s="1">
        <v>41000</v>
      </c>
      <c r="B63" s="2">
        <v>1274615</v>
      </c>
      <c r="C63" s="2">
        <v>629676</v>
      </c>
      <c r="D63" s="2">
        <v>644939</v>
      </c>
      <c r="E63" s="2">
        <v>831971</v>
      </c>
      <c r="F63" s="2">
        <v>512055</v>
      </c>
      <c r="G63" s="2">
        <v>319915</v>
      </c>
    </row>
    <row r="64" spans="1:7" x14ac:dyDescent="0.25">
      <c r="A64" s="1">
        <v>41030</v>
      </c>
      <c r="B64" s="2">
        <v>1294570</v>
      </c>
      <c r="C64" s="2">
        <v>640205</v>
      </c>
      <c r="D64" s="2">
        <v>654365</v>
      </c>
      <c r="E64" s="2">
        <v>847491</v>
      </c>
      <c r="F64" s="2">
        <v>521027</v>
      </c>
      <c r="G64" s="2">
        <v>326463</v>
      </c>
    </row>
    <row r="65" spans="1:7" x14ac:dyDescent="0.25">
      <c r="A65" s="1">
        <v>41061</v>
      </c>
      <c r="B65" s="2">
        <v>1316052</v>
      </c>
      <c r="C65" s="2">
        <v>656003</v>
      </c>
      <c r="D65" s="2">
        <v>660049</v>
      </c>
      <c r="E65" s="2">
        <v>859084</v>
      </c>
      <c r="F65" s="2">
        <v>524995</v>
      </c>
      <c r="G65" s="2">
        <v>334088</v>
      </c>
    </row>
    <row r="66" spans="1:7" x14ac:dyDescent="0.25">
      <c r="A66" s="1">
        <v>41091</v>
      </c>
      <c r="B66" s="2">
        <v>1321059</v>
      </c>
      <c r="C66" s="2">
        <v>655152</v>
      </c>
      <c r="D66" s="2">
        <v>665907</v>
      </c>
      <c r="E66" s="2">
        <v>871829</v>
      </c>
      <c r="F66" s="2">
        <v>533552</v>
      </c>
      <c r="G66" s="2">
        <v>338277</v>
      </c>
    </row>
    <row r="67" spans="1:7" x14ac:dyDescent="0.25">
      <c r="A67" s="1">
        <v>41122</v>
      </c>
      <c r="B67" s="2">
        <v>1332606</v>
      </c>
      <c r="C67" s="2">
        <v>659729</v>
      </c>
      <c r="D67" s="2">
        <v>672877</v>
      </c>
      <c r="E67" s="2">
        <v>887260</v>
      </c>
      <c r="F67" s="2">
        <v>537581</v>
      </c>
      <c r="G67" s="2">
        <v>349678</v>
      </c>
    </row>
    <row r="68" spans="1:7" x14ac:dyDescent="0.25">
      <c r="A68" s="1">
        <v>41153</v>
      </c>
      <c r="B68" s="2">
        <v>1345030</v>
      </c>
      <c r="C68" s="2">
        <v>674782</v>
      </c>
      <c r="D68" s="2">
        <v>670249</v>
      </c>
      <c r="E68" s="2">
        <v>899444</v>
      </c>
      <c r="F68" s="2">
        <v>544047</v>
      </c>
      <c r="G68" s="2">
        <v>355396</v>
      </c>
    </row>
    <row r="69" spans="1:7" x14ac:dyDescent="0.25">
      <c r="A69" s="1">
        <v>41183</v>
      </c>
      <c r="B69" s="2">
        <v>1355946</v>
      </c>
      <c r="C69" s="2">
        <v>679254</v>
      </c>
      <c r="D69" s="2">
        <v>676692</v>
      </c>
      <c r="E69" s="2">
        <v>920340</v>
      </c>
      <c r="F69" s="2">
        <v>555520</v>
      </c>
      <c r="G69" s="2">
        <v>364820</v>
      </c>
    </row>
    <row r="70" spans="1:7" x14ac:dyDescent="0.25">
      <c r="A70" s="1">
        <v>41214</v>
      </c>
      <c r="B70" s="2">
        <v>1370568</v>
      </c>
      <c r="C70" s="2">
        <v>688907</v>
      </c>
      <c r="D70" s="2">
        <v>681661</v>
      </c>
      <c r="E70" s="2">
        <v>940273</v>
      </c>
      <c r="F70" s="2">
        <v>565698</v>
      </c>
      <c r="G70" s="2">
        <v>374575</v>
      </c>
    </row>
    <row r="71" spans="1:7" x14ac:dyDescent="0.25">
      <c r="A71" s="1">
        <v>41244</v>
      </c>
      <c r="B71" s="2">
        <v>1396419</v>
      </c>
      <c r="C71" s="2">
        <v>706862</v>
      </c>
      <c r="D71" s="2">
        <v>689557</v>
      </c>
      <c r="E71" s="2">
        <v>971919</v>
      </c>
      <c r="F71" s="2">
        <v>585004</v>
      </c>
      <c r="G71" s="2">
        <v>386914</v>
      </c>
    </row>
    <row r="72" spans="1:7" x14ac:dyDescent="0.25">
      <c r="A72" s="1">
        <v>41275</v>
      </c>
      <c r="B72" s="2">
        <v>1385330</v>
      </c>
      <c r="C72" s="2">
        <v>690752</v>
      </c>
      <c r="D72" s="2">
        <v>694578</v>
      </c>
      <c r="E72" s="2">
        <v>980835</v>
      </c>
      <c r="F72" s="2">
        <v>587138</v>
      </c>
      <c r="G72" s="2">
        <v>393697</v>
      </c>
    </row>
    <row r="73" spans="1:7" x14ac:dyDescent="0.25">
      <c r="A73" s="1">
        <v>41306</v>
      </c>
      <c r="B73" s="2">
        <v>1388652</v>
      </c>
      <c r="C73" s="2">
        <v>693994</v>
      </c>
      <c r="D73" s="2">
        <v>694658</v>
      </c>
      <c r="E73" s="2">
        <v>994945</v>
      </c>
      <c r="F73" s="2">
        <v>594828</v>
      </c>
      <c r="G73" s="2">
        <v>400116</v>
      </c>
    </row>
    <row r="74" spans="1:7" x14ac:dyDescent="0.25">
      <c r="A74" s="1">
        <v>41334</v>
      </c>
      <c r="B74" s="2">
        <v>1407650</v>
      </c>
      <c r="C74" s="2">
        <v>710401</v>
      </c>
      <c r="D74" s="2">
        <v>697249</v>
      </c>
      <c r="E74" s="2">
        <v>1019413</v>
      </c>
      <c r="F74" s="2">
        <v>608646</v>
      </c>
      <c r="G74" s="2">
        <v>410766</v>
      </c>
    </row>
    <row r="75" spans="1:7" x14ac:dyDescent="0.25">
      <c r="A75" s="1">
        <v>41365</v>
      </c>
      <c r="B75" s="2">
        <v>1411480</v>
      </c>
      <c r="C75" s="2">
        <v>707601</v>
      </c>
      <c r="D75" s="2">
        <v>703879</v>
      </c>
      <c r="E75" s="2">
        <v>1037667</v>
      </c>
      <c r="F75" s="2">
        <v>616700</v>
      </c>
      <c r="G75" s="2">
        <v>420967</v>
      </c>
    </row>
    <row r="76" spans="1:7" x14ac:dyDescent="0.25">
      <c r="A76" s="1">
        <v>41395</v>
      </c>
      <c r="B76" s="2">
        <v>1427513</v>
      </c>
      <c r="C76" s="2">
        <v>715910</v>
      </c>
      <c r="D76" s="2">
        <v>711603</v>
      </c>
      <c r="E76" s="2">
        <v>1059781</v>
      </c>
      <c r="F76" s="2">
        <v>627400</v>
      </c>
      <c r="G76" s="2">
        <v>432381</v>
      </c>
    </row>
    <row r="77" spans="1:7" x14ac:dyDescent="0.25">
      <c r="A77" s="1">
        <v>41426</v>
      </c>
      <c r="B77" s="2">
        <v>1441152</v>
      </c>
      <c r="C77" s="2">
        <v>727395</v>
      </c>
      <c r="D77" s="2">
        <v>713757</v>
      </c>
      <c r="E77" s="2">
        <v>1090424</v>
      </c>
      <c r="F77" s="2">
        <v>644067</v>
      </c>
      <c r="G77" s="2">
        <v>446357</v>
      </c>
    </row>
    <row r="78" spans="1:7" x14ac:dyDescent="0.25">
      <c r="A78" s="1">
        <v>41456</v>
      </c>
      <c r="B78" s="2">
        <v>1440294</v>
      </c>
      <c r="C78" s="2">
        <v>719772</v>
      </c>
      <c r="D78" s="2">
        <v>720522</v>
      </c>
      <c r="E78" s="2">
        <v>1104833</v>
      </c>
      <c r="F78" s="2">
        <v>651361</v>
      </c>
      <c r="G78" s="2">
        <v>453472</v>
      </c>
    </row>
    <row r="79" spans="1:7" x14ac:dyDescent="0.25">
      <c r="A79" s="1">
        <v>41487</v>
      </c>
      <c r="B79" s="2">
        <v>1447396</v>
      </c>
      <c r="C79" s="2">
        <v>723008</v>
      </c>
      <c r="D79" s="2">
        <v>724388</v>
      </c>
      <c r="E79" s="2">
        <v>1130478</v>
      </c>
      <c r="F79" s="2">
        <v>664372</v>
      </c>
      <c r="G79" s="2">
        <v>466107</v>
      </c>
    </row>
    <row r="80" spans="1:7" x14ac:dyDescent="0.25">
      <c r="A80" s="1">
        <v>41518</v>
      </c>
      <c r="B80" s="2">
        <v>1460803</v>
      </c>
      <c r="C80" s="2">
        <v>733657</v>
      </c>
      <c r="D80" s="2">
        <v>727146</v>
      </c>
      <c r="E80" s="2">
        <v>1136365</v>
      </c>
      <c r="F80" s="2">
        <v>661063</v>
      </c>
      <c r="G80" s="2">
        <v>475301</v>
      </c>
    </row>
    <row r="81" spans="1:7" x14ac:dyDescent="0.25">
      <c r="A81" s="1">
        <v>41548</v>
      </c>
      <c r="B81" s="2">
        <v>1461885</v>
      </c>
      <c r="C81" s="2">
        <v>730504</v>
      </c>
      <c r="D81" s="2">
        <v>731380</v>
      </c>
      <c r="E81" s="2">
        <v>1142356</v>
      </c>
      <c r="F81" s="2">
        <v>661254</v>
      </c>
      <c r="G81" s="2">
        <v>481102</v>
      </c>
    </row>
    <row r="82" spans="1:7" x14ac:dyDescent="0.25">
      <c r="A82" s="1">
        <v>41579</v>
      </c>
      <c r="B82" s="2">
        <v>1479322</v>
      </c>
      <c r="C82" s="2">
        <v>744216</v>
      </c>
      <c r="D82" s="2">
        <v>735106</v>
      </c>
      <c r="E82" s="2">
        <v>1167551</v>
      </c>
      <c r="F82" s="2">
        <v>674673</v>
      </c>
      <c r="G82" s="2">
        <v>492878</v>
      </c>
    </row>
    <row r="83" spans="1:7" x14ac:dyDescent="0.25">
      <c r="A83" s="1">
        <v>41609</v>
      </c>
      <c r="B83" s="2">
        <v>1505304</v>
      </c>
      <c r="C83" s="2">
        <v>763120</v>
      </c>
      <c r="D83" s="2">
        <v>742183</v>
      </c>
      <c r="E83" s="2">
        <v>1206067</v>
      </c>
      <c r="F83" s="2">
        <v>698879</v>
      </c>
      <c r="G83" s="2">
        <v>507188</v>
      </c>
    </row>
    <row r="84" spans="1:7" x14ac:dyDescent="0.25">
      <c r="A84" s="1">
        <v>41640</v>
      </c>
      <c r="B84" s="2">
        <v>1488273</v>
      </c>
      <c r="C84" s="2">
        <v>741813</v>
      </c>
      <c r="D84" s="2">
        <v>746459</v>
      </c>
      <c r="E84" s="2">
        <v>1224999</v>
      </c>
      <c r="F84" s="2">
        <v>708330</v>
      </c>
      <c r="G84" s="2">
        <v>516669</v>
      </c>
    </row>
    <row r="85" spans="1:7" x14ac:dyDescent="0.25">
      <c r="A85" s="1">
        <v>41671</v>
      </c>
      <c r="B85" s="2">
        <v>1489089</v>
      </c>
      <c r="C85" s="2">
        <v>744869</v>
      </c>
      <c r="D85" s="2">
        <v>744219</v>
      </c>
      <c r="E85" s="2">
        <v>1236564</v>
      </c>
      <c r="F85" s="2">
        <v>710576</v>
      </c>
      <c r="G85" s="2">
        <v>525987</v>
      </c>
    </row>
    <row r="86" spans="1:7" x14ac:dyDescent="0.25">
      <c r="A86" s="1">
        <v>41699</v>
      </c>
      <c r="B86" s="2">
        <v>1499654</v>
      </c>
      <c r="C86" s="2">
        <v>752772</v>
      </c>
      <c r="D86" s="2">
        <v>746882</v>
      </c>
      <c r="E86" s="2">
        <v>1252635</v>
      </c>
      <c r="F86" s="2">
        <v>717914</v>
      </c>
      <c r="G86" s="2">
        <v>534721</v>
      </c>
    </row>
    <row r="87" spans="1:7" x14ac:dyDescent="0.25">
      <c r="A87" s="1">
        <v>41730</v>
      </c>
      <c r="B87" s="2">
        <v>1501203</v>
      </c>
      <c r="C87" s="2">
        <v>752427</v>
      </c>
      <c r="D87" s="2">
        <v>748776</v>
      </c>
      <c r="E87" s="2">
        <v>1270144</v>
      </c>
      <c r="F87" s="2">
        <v>724722</v>
      </c>
      <c r="G87" s="2">
        <v>545422</v>
      </c>
    </row>
    <row r="88" spans="1:7" x14ac:dyDescent="0.25">
      <c r="A88" s="1">
        <v>41760</v>
      </c>
      <c r="B88" s="2">
        <v>1511263</v>
      </c>
      <c r="C88" s="2">
        <v>757916</v>
      </c>
      <c r="D88" s="2">
        <v>753346</v>
      </c>
      <c r="E88" s="2">
        <v>1286752</v>
      </c>
      <c r="F88" s="2">
        <v>728914</v>
      </c>
      <c r="G88" s="2">
        <v>557838</v>
      </c>
    </row>
    <row r="89" spans="1:7" x14ac:dyDescent="0.25">
      <c r="A89" s="1">
        <v>41791</v>
      </c>
      <c r="B89" s="2">
        <v>1522387</v>
      </c>
      <c r="C89" s="2">
        <v>767132</v>
      </c>
      <c r="D89" s="2">
        <v>755254</v>
      </c>
      <c r="E89" s="2">
        <v>1302239</v>
      </c>
      <c r="F89" s="2">
        <v>732717</v>
      </c>
      <c r="G89" s="2">
        <v>569522</v>
      </c>
    </row>
    <row r="90" spans="1:7" x14ac:dyDescent="0.25">
      <c r="A90" s="1">
        <v>41821</v>
      </c>
      <c r="B90" s="2">
        <v>1514625</v>
      </c>
      <c r="C90" s="2">
        <v>758048</v>
      </c>
      <c r="D90" s="2">
        <v>756577</v>
      </c>
      <c r="E90" s="2">
        <v>1316219</v>
      </c>
      <c r="F90" s="2">
        <v>739737</v>
      </c>
      <c r="G90" s="2">
        <v>576483</v>
      </c>
    </row>
    <row r="91" spans="1:7" x14ac:dyDescent="0.25">
      <c r="A91" s="1">
        <v>41852</v>
      </c>
      <c r="B91" s="2">
        <v>1520438</v>
      </c>
      <c r="C91" s="2">
        <v>761452</v>
      </c>
      <c r="D91" s="2">
        <v>758986</v>
      </c>
      <c r="E91" s="2">
        <v>1337236</v>
      </c>
      <c r="F91" s="2">
        <v>748084</v>
      </c>
      <c r="G91" s="2">
        <v>589152</v>
      </c>
    </row>
    <row r="92" spans="1:7" x14ac:dyDescent="0.25">
      <c r="A92" s="1">
        <v>41883</v>
      </c>
      <c r="B92" s="2">
        <v>1531562</v>
      </c>
      <c r="C92" s="2">
        <v>768337</v>
      </c>
      <c r="D92" s="2">
        <v>763225</v>
      </c>
      <c r="E92" s="2">
        <v>1365008</v>
      </c>
      <c r="F92" s="2">
        <v>767228</v>
      </c>
      <c r="G92" s="2">
        <v>597780</v>
      </c>
    </row>
    <row r="93" spans="1:7" x14ac:dyDescent="0.25">
      <c r="A93" s="1">
        <v>41913</v>
      </c>
      <c r="B93" s="2">
        <v>1535555</v>
      </c>
      <c r="C93" s="2">
        <v>766377</v>
      </c>
      <c r="D93" s="2">
        <v>769177</v>
      </c>
      <c r="E93" s="2">
        <v>1383892</v>
      </c>
      <c r="F93" s="2">
        <v>774689</v>
      </c>
      <c r="G93" s="2">
        <v>609203</v>
      </c>
    </row>
    <row r="94" spans="1:7" x14ac:dyDescent="0.25">
      <c r="A94" s="1">
        <v>41944</v>
      </c>
      <c r="B94" s="2">
        <v>1549029</v>
      </c>
      <c r="C94" s="2">
        <v>779079</v>
      </c>
      <c r="D94" s="2">
        <v>769950</v>
      </c>
      <c r="E94" s="2">
        <v>1407571</v>
      </c>
      <c r="F94" s="2">
        <v>786965</v>
      </c>
      <c r="G94" s="2">
        <v>620606</v>
      </c>
    </row>
    <row r="95" spans="1:7" x14ac:dyDescent="0.25">
      <c r="A95" s="1">
        <v>41974</v>
      </c>
      <c r="B95" s="2">
        <v>1575258</v>
      </c>
      <c r="C95" s="2">
        <v>794091</v>
      </c>
      <c r="D95" s="2">
        <v>781167</v>
      </c>
      <c r="E95" s="2">
        <v>1442198</v>
      </c>
      <c r="F95" s="2">
        <v>807300</v>
      </c>
      <c r="G95" s="2">
        <v>634898</v>
      </c>
    </row>
    <row r="96" spans="1:7" x14ac:dyDescent="0.25">
      <c r="A96" s="1">
        <v>42005</v>
      </c>
      <c r="B96" s="2">
        <v>1567490</v>
      </c>
      <c r="C96" s="2">
        <v>781626</v>
      </c>
      <c r="D96" s="2">
        <v>785865</v>
      </c>
      <c r="E96" s="2">
        <v>1453979</v>
      </c>
      <c r="F96" s="2">
        <v>809724</v>
      </c>
      <c r="G96" s="2">
        <v>644255</v>
      </c>
    </row>
    <row r="97" spans="1:7" x14ac:dyDescent="0.25">
      <c r="A97" s="1">
        <v>42036</v>
      </c>
      <c r="B97" s="2">
        <v>1567973</v>
      </c>
      <c r="C97" s="2">
        <v>784656</v>
      </c>
      <c r="D97" s="2">
        <v>783316</v>
      </c>
      <c r="E97" s="2">
        <v>1465530</v>
      </c>
      <c r="F97" s="2">
        <v>815078</v>
      </c>
      <c r="G97" s="2">
        <v>650452</v>
      </c>
    </row>
    <row r="98" spans="1:7" x14ac:dyDescent="0.25">
      <c r="A98" s="1">
        <v>42064</v>
      </c>
      <c r="B98" s="2">
        <v>1582361</v>
      </c>
      <c r="C98" s="2">
        <v>795558</v>
      </c>
      <c r="D98" s="2">
        <v>786803</v>
      </c>
      <c r="E98" s="2">
        <v>1488257</v>
      </c>
      <c r="F98" s="2">
        <v>829919</v>
      </c>
      <c r="G98" s="2">
        <v>658338</v>
      </c>
    </row>
    <row r="99" spans="1:7" x14ac:dyDescent="0.25">
      <c r="A99" s="1">
        <v>42095</v>
      </c>
      <c r="B99" s="2">
        <v>1578815</v>
      </c>
      <c r="C99" s="2">
        <v>792451</v>
      </c>
      <c r="D99" s="2">
        <v>786363</v>
      </c>
      <c r="E99" s="2">
        <v>1491893</v>
      </c>
      <c r="F99" s="2">
        <v>825035</v>
      </c>
      <c r="G99" s="2">
        <v>666858</v>
      </c>
    </row>
    <row r="100" spans="1:7" x14ac:dyDescent="0.25">
      <c r="A100" s="1">
        <v>42125</v>
      </c>
      <c r="B100" s="2">
        <v>1587721</v>
      </c>
      <c r="C100" s="2">
        <v>797966</v>
      </c>
      <c r="D100" s="2">
        <v>789755</v>
      </c>
      <c r="E100" s="2">
        <v>1504652</v>
      </c>
      <c r="F100" s="2">
        <v>832603</v>
      </c>
      <c r="G100" s="2">
        <v>672049</v>
      </c>
    </row>
    <row r="101" spans="1:7" x14ac:dyDescent="0.25">
      <c r="A101" s="1">
        <v>42156</v>
      </c>
      <c r="B101" s="2">
        <v>1599576</v>
      </c>
      <c r="C101" s="2">
        <v>807743</v>
      </c>
      <c r="D101" s="2">
        <v>791833</v>
      </c>
      <c r="E101" s="2">
        <v>1510391</v>
      </c>
      <c r="F101" s="2">
        <v>832342</v>
      </c>
      <c r="G101" s="2">
        <v>678049</v>
      </c>
    </row>
    <row r="102" spans="1:7" x14ac:dyDescent="0.25">
      <c r="A102" s="1">
        <v>42186</v>
      </c>
      <c r="B102" s="2">
        <v>1597375</v>
      </c>
      <c r="C102" s="2">
        <v>802930</v>
      </c>
      <c r="D102" s="2">
        <v>794445</v>
      </c>
      <c r="E102" s="2">
        <v>1521727</v>
      </c>
      <c r="F102" s="2">
        <v>840812</v>
      </c>
      <c r="G102" s="2">
        <v>680915</v>
      </c>
    </row>
    <row r="103" spans="1:7" x14ac:dyDescent="0.25">
      <c r="A103" s="1">
        <v>42217</v>
      </c>
      <c r="B103" s="2">
        <v>1604091</v>
      </c>
      <c r="C103" s="2">
        <v>807161</v>
      </c>
      <c r="D103" s="2">
        <v>796929</v>
      </c>
      <c r="E103" s="2">
        <v>1539896</v>
      </c>
      <c r="F103" s="2">
        <v>850233</v>
      </c>
      <c r="G103" s="2">
        <v>689663</v>
      </c>
    </row>
    <row r="104" spans="1:7" x14ac:dyDescent="0.25">
      <c r="A104" s="1">
        <v>42248</v>
      </c>
      <c r="B104" s="2">
        <v>1614299</v>
      </c>
      <c r="C104" s="2">
        <v>816828</v>
      </c>
      <c r="D104" s="2">
        <v>797471</v>
      </c>
      <c r="E104" s="2">
        <v>1559791</v>
      </c>
      <c r="F104" s="2">
        <v>864194</v>
      </c>
      <c r="G104" s="2">
        <v>695597</v>
      </c>
    </row>
    <row r="105" spans="1:7" x14ac:dyDescent="0.25">
      <c r="A105" s="1">
        <v>42278</v>
      </c>
      <c r="B105" s="2">
        <v>1606059</v>
      </c>
      <c r="C105" s="2">
        <v>809001</v>
      </c>
      <c r="D105" s="2">
        <v>797058</v>
      </c>
      <c r="E105" s="2">
        <v>1560715</v>
      </c>
      <c r="F105" s="2">
        <v>861158</v>
      </c>
      <c r="G105" s="2">
        <v>699557</v>
      </c>
    </row>
    <row r="106" spans="1:7" x14ac:dyDescent="0.25">
      <c r="A106" s="1">
        <v>42309</v>
      </c>
      <c r="B106" s="2">
        <v>1618058</v>
      </c>
      <c r="C106" s="2">
        <v>815164</v>
      </c>
      <c r="D106" s="2">
        <v>802893</v>
      </c>
      <c r="E106" s="2">
        <v>1568533</v>
      </c>
      <c r="F106" s="2">
        <v>863205</v>
      </c>
      <c r="G106" s="2">
        <v>705328</v>
      </c>
    </row>
    <row r="107" spans="1:7" x14ac:dyDescent="0.25">
      <c r="A107" s="1">
        <v>42339</v>
      </c>
      <c r="B107" s="2">
        <v>1641325</v>
      </c>
      <c r="C107" s="2">
        <v>835747</v>
      </c>
      <c r="D107" s="2">
        <v>805578</v>
      </c>
      <c r="E107" s="2">
        <v>1588251</v>
      </c>
      <c r="F107" s="2">
        <v>875167</v>
      </c>
      <c r="G107" s="2">
        <v>713085</v>
      </c>
    </row>
    <row r="108" spans="1:7" x14ac:dyDescent="0.25">
      <c r="A108" s="1">
        <v>42370</v>
      </c>
      <c r="B108" s="2">
        <v>1618298</v>
      </c>
      <c r="C108" s="2">
        <v>813769</v>
      </c>
      <c r="D108" s="2">
        <v>804529</v>
      </c>
      <c r="E108" s="2">
        <v>1589825</v>
      </c>
      <c r="F108" s="2">
        <v>872455</v>
      </c>
      <c r="G108" s="2">
        <v>717370</v>
      </c>
    </row>
    <row r="109" spans="1:7" x14ac:dyDescent="0.25">
      <c r="A109" s="1">
        <v>42401</v>
      </c>
      <c r="B109" s="2">
        <v>1606589</v>
      </c>
      <c r="C109" s="2">
        <v>804294</v>
      </c>
      <c r="D109" s="2">
        <v>802295</v>
      </c>
      <c r="E109" s="2">
        <v>1585698</v>
      </c>
      <c r="F109" s="2">
        <v>865180</v>
      </c>
      <c r="G109" s="2">
        <v>720517</v>
      </c>
    </row>
    <row r="110" spans="1:7" x14ac:dyDescent="0.25">
      <c r="A110" s="1">
        <v>42430</v>
      </c>
      <c r="B110" s="2">
        <v>1595951</v>
      </c>
      <c r="C110" s="2">
        <v>794962</v>
      </c>
      <c r="D110" s="2">
        <v>800989</v>
      </c>
      <c r="E110" s="2">
        <v>1574903</v>
      </c>
      <c r="F110" s="2">
        <v>848302</v>
      </c>
      <c r="G110" s="2">
        <v>726601</v>
      </c>
    </row>
    <row r="111" spans="1:7" x14ac:dyDescent="0.25">
      <c r="A111" s="1">
        <v>42461</v>
      </c>
      <c r="B111" s="2">
        <v>1580566</v>
      </c>
      <c r="C111" s="2">
        <v>783254</v>
      </c>
      <c r="D111" s="2">
        <v>797312</v>
      </c>
      <c r="E111" s="2">
        <v>1570257</v>
      </c>
      <c r="F111" s="2">
        <v>841194</v>
      </c>
      <c r="G111" s="2">
        <v>729063</v>
      </c>
    </row>
    <row r="112" spans="1:7" x14ac:dyDescent="0.25">
      <c r="A112" s="1">
        <v>42491</v>
      </c>
      <c r="B112" s="2">
        <v>1584220</v>
      </c>
      <c r="C112" s="2">
        <v>782431</v>
      </c>
      <c r="D112" s="2">
        <v>801789</v>
      </c>
      <c r="E112" s="2">
        <v>1573575</v>
      </c>
      <c r="F112" s="2">
        <v>842010</v>
      </c>
      <c r="G112" s="2">
        <v>731565</v>
      </c>
    </row>
    <row r="113" spans="1:7" x14ac:dyDescent="0.25">
      <c r="A113" s="1">
        <v>42522</v>
      </c>
      <c r="B113" s="2">
        <v>1573227</v>
      </c>
      <c r="C113" s="2">
        <v>772886</v>
      </c>
      <c r="D113" s="2">
        <v>800341</v>
      </c>
      <c r="E113" s="2">
        <v>1567004</v>
      </c>
      <c r="F113" s="2">
        <v>830547</v>
      </c>
      <c r="G113" s="2">
        <v>736457</v>
      </c>
    </row>
    <row r="114" spans="1:7" x14ac:dyDescent="0.25">
      <c r="A114" s="1">
        <v>42552</v>
      </c>
      <c r="B114" s="2">
        <v>1558136</v>
      </c>
      <c r="C114" s="2">
        <v>758287</v>
      </c>
      <c r="D114" s="2">
        <v>799849</v>
      </c>
      <c r="E114" s="2">
        <v>1568566</v>
      </c>
      <c r="F114" s="2">
        <v>830226</v>
      </c>
      <c r="G114" s="2">
        <v>738341</v>
      </c>
    </row>
    <row r="115" spans="1:7" x14ac:dyDescent="0.25">
      <c r="A115" s="1">
        <v>42583</v>
      </c>
      <c r="B115" s="2">
        <v>1553764</v>
      </c>
      <c r="C115" s="2">
        <v>749710</v>
      </c>
      <c r="D115" s="2">
        <v>804054</v>
      </c>
      <c r="E115" s="2">
        <v>1571771</v>
      </c>
      <c r="F115" s="2">
        <v>829030</v>
      </c>
      <c r="G115" s="2">
        <v>742741</v>
      </c>
    </row>
    <row r="116" spans="1:7" x14ac:dyDescent="0.25">
      <c r="A116" s="1">
        <v>42614</v>
      </c>
      <c r="B116" s="2">
        <v>1552336</v>
      </c>
      <c r="C116" s="2">
        <v>749599</v>
      </c>
      <c r="D116" s="2">
        <v>802737</v>
      </c>
      <c r="E116" s="2">
        <v>1569624</v>
      </c>
      <c r="F116" s="2">
        <v>822153</v>
      </c>
      <c r="G116" s="2">
        <v>747471</v>
      </c>
    </row>
    <row r="117" spans="1:7" x14ac:dyDescent="0.25">
      <c r="A117" s="1">
        <v>42644</v>
      </c>
      <c r="B117" s="2">
        <v>1547357</v>
      </c>
      <c r="C117" s="2">
        <v>743078</v>
      </c>
      <c r="D117" s="2">
        <v>804279</v>
      </c>
      <c r="E117" s="2">
        <v>1558168</v>
      </c>
      <c r="F117" s="2">
        <v>814503</v>
      </c>
      <c r="G117" s="2">
        <v>743665</v>
      </c>
    </row>
    <row r="118" spans="1:7" x14ac:dyDescent="0.25">
      <c r="A118" s="1">
        <v>42675</v>
      </c>
      <c r="B118" s="2">
        <v>1552006</v>
      </c>
      <c r="C118" s="2">
        <v>741864</v>
      </c>
      <c r="D118" s="2">
        <v>810142</v>
      </c>
      <c r="E118" s="2">
        <v>1562582</v>
      </c>
      <c r="F118" s="2">
        <v>814443</v>
      </c>
      <c r="G118" s="2">
        <v>748139</v>
      </c>
    </row>
    <row r="119" spans="1:7" x14ac:dyDescent="0.25">
      <c r="A119" s="1">
        <v>42705</v>
      </c>
      <c r="B119" s="2">
        <v>1561579</v>
      </c>
      <c r="C119" s="2">
        <v>750926</v>
      </c>
      <c r="D119" s="2">
        <v>810652</v>
      </c>
      <c r="E119" s="2">
        <v>1556230</v>
      </c>
      <c r="F119" s="2">
        <v>797719</v>
      </c>
      <c r="G119" s="2">
        <v>758511</v>
      </c>
    </row>
    <row r="120" spans="1:7" x14ac:dyDescent="0.25">
      <c r="A120" s="1">
        <v>42736</v>
      </c>
      <c r="B120" s="2">
        <v>1537976</v>
      </c>
      <c r="C120" s="2">
        <v>726796</v>
      </c>
      <c r="D120" s="2">
        <v>811179</v>
      </c>
      <c r="E120" s="2">
        <v>1548141</v>
      </c>
      <c r="F120" s="2">
        <v>784790</v>
      </c>
      <c r="G120" s="2">
        <v>763351</v>
      </c>
    </row>
    <row r="121" spans="1:7" x14ac:dyDescent="0.25">
      <c r="A121" s="1">
        <v>42767</v>
      </c>
      <c r="B121" s="2">
        <v>1535492</v>
      </c>
      <c r="C121" s="2">
        <v>728087</v>
      </c>
      <c r="D121" s="2">
        <v>807406</v>
      </c>
      <c r="E121" s="2">
        <v>1547546</v>
      </c>
      <c r="F121" s="2">
        <v>779440</v>
      </c>
      <c r="G121" s="2">
        <v>768106</v>
      </c>
    </row>
    <row r="122" spans="1:7" x14ac:dyDescent="0.25">
      <c r="A122" s="1">
        <v>42795</v>
      </c>
      <c r="B122" s="2">
        <v>1540450</v>
      </c>
      <c r="C122" s="2">
        <v>728475</v>
      </c>
      <c r="D122" s="2">
        <v>811975</v>
      </c>
      <c r="E122" s="2">
        <v>1550004</v>
      </c>
      <c r="F122" s="2">
        <v>777312</v>
      </c>
      <c r="G122" s="2">
        <v>772692</v>
      </c>
    </row>
    <row r="123" spans="1:7" x14ac:dyDescent="0.25">
      <c r="A123" s="1">
        <v>42826</v>
      </c>
      <c r="B123" s="2">
        <v>1530470</v>
      </c>
      <c r="C123" s="2">
        <v>722007</v>
      </c>
      <c r="D123" s="2">
        <v>808463</v>
      </c>
      <c r="E123" s="2">
        <v>1551944</v>
      </c>
      <c r="F123" s="2">
        <v>774034</v>
      </c>
      <c r="G123" s="2">
        <v>777910</v>
      </c>
    </row>
    <row r="124" spans="1:7" x14ac:dyDescent="0.25">
      <c r="A124" s="1">
        <v>42856</v>
      </c>
      <c r="B124" s="2">
        <v>1526937</v>
      </c>
      <c r="C124" s="2">
        <v>710441</v>
      </c>
      <c r="D124" s="2">
        <v>816497</v>
      </c>
      <c r="E124" s="2">
        <v>1550651</v>
      </c>
      <c r="F124" s="2">
        <v>770555</v>
      </c>
      <c r="G124" s="2">
        <v>780096</v>
      </c>
    </row>
    <row r="125" spans="1:7" x14ac:dyDescent="0.25">
      <c r="A125" s="1">
        <v>42887</v>
      </c>
      <c r="B125" s="2">
        <v>1537993</v>
      </c>
      <c r="C125" s="2">
        <v>717715</v>
      </c>
      <c r="D125" s="2">
        <v>820277</v>
      </c>
      <c r="E125" s="2">
        <v>1552221</v>
      </c>
      <c r="F125" s="2">
        <v>768180</v>
      </c>
      <c r="G125" s="2">
        <v>784040</v>
      </c>
    </row>
    <row r="126" spans="1:7" x14ac:dyDescent="0.25">
      <c r="A126" s="1">
        <v>42917</v>
      </c>
      <c r="B126" s="2">
        <v>1527105</v>
      </c>
      <c r="C126" s="2">
        <v>701688</v>
      </c>
      <c r="D126" s="2">
        <v>825417</v>
      </c>
      <c r="E126" s="2">
        <v>1537959</v>
      </c>
      <c r="F126" s="2">
        <v>754369</v>
      </c>
      <c r="G126" s="2">
        <v>783590</v>
      </c>
    </row>
    <row r="127" spans="1:7" x14ac:dyDescent="0.25">
      <c r="A127" s="1">
        <v>42948</v>
      </c>
      <c r="B127" s="2">
        <v>1532015</v>
      </c>
      <c r="C127" s="2">
        <v>701312</v>
      </c>
      <c r="D127" s="2">
        <v>830704</v>
      </c>
      <c r="E127" s="2">
        <v>1531750</v>
      </c>
      <c r="F127" s="2">
        <v>741646</v>
      </c>
      <c r="G127" s="2">
        <v>790104</v>
      </c>
    </row>
    <row r="128" spans="1:7" x14ac:dyDescent="0.25">
      <c r="A128" s="1">
        <v>42979</v>
      </c>
      <c r="B128" s="2">
        <v>1535507</v>
      </c>
      <c r="C128" s="2">
        <v>705143</v>
      </c>
      <c r="D128" s="2">
        <v>830364</v>
      </c>
      <c r="E128" s="2">
        <v>1528133</v>
      </c>
      <c r="F128" s="2">
        <v>734286</v>
      </c>
      <c r="G128" s="2">
        <v>793847</v>
      </c>
    </row>
    <row r="129" spans="1:7" x14ac:dyDescent="0.25">
      <c r="A129" s="1">
        <v>43009</v>
      </c>
      <c r="B129" s="2">
        <v>1542586</v>
      </c>
      <c r="C129" s="2">
        <v>702721</v>
      </c>
      <c r="D129" s="2">
        <v>839865</v>
      </c>
      <c r="E129" s="2">
        <v>1525938</v>
      </c>
      <c r="F129" s="2">
        <v>729474</v>
      </c>
      <c r="G129" s="2">
        <v>796464</v>
      </c>
    </row>
    <row r="130" spans="1:7" x14ac:dyDescent="0.25">
      <c r="A130" s="1">
        <v>43040</v>
      </c>
      <c r="B130" s="2">
        <v>1558949</v>
      </c>
      <c r="C130" s="2">
        <v>707841</v>
      </c>
      <c r="D130" s="2">
        <v>851108</v>
      </c>
      <c r="E130" s="2">
        <v>1521413</v>
      </c>
      <c r="F130" s="2">
        <v>721523</v>
      </c>
      <c r="G130" s="2">
        <v>799890</v>
      </c>
    </row>
    <row r="131" spans="1:7" x14ac:dyDescent="0.25">
      <c r="A131" s="1">
        <v>43070</v>
      </c>
      <c r="B131" s="2">
        <v>1591577</v>
      </c>
      <c r="C131" s="2">
        <v>736272</v>
      </c>
      <c r="D131" s="2">
        <v>855305</v>
      </c>
      <c r="E131" s="2">
        <v>1513700</v>
      </c>
      <c r="F131" s="2">
        <v>708843</v>
      </c>
      <c r="G131" s="2">
        <v>804857</v>
      </c>
    </row>
    <row r="132" spans="1:7" x14ac:dyDescent="0.25">
      <c r="A132" s="1">
        <v>43101</v>
      </c>
      <c r="B132" s="2">
        <v>1576947</v>
      </c>
      <c r="C132" s="2">
        <v>712819</v>
      </c>
      <c r="D132" s="2">
        <v>864128</v>
      </c>
      <c r="E132" s="2">
        <v>1504027</v>
      </c>
      <c r="F132" s="2">
        <v>697752</v>
      </c>
      <c r="G132" s="2">
        <v>806274</v>
      </c>
    </row>
    <row r="133" spans="1:7" x14ac:dyDescent="0.25">
      <c r="A133" s="1">
        <v>43132</v>
      </c>
      <c r="B133" s="2">
        <v>1574711</v>
      </c>
      <c r="C133" s="2">
        <v>714019</v>
      </c>
      <c r="D133" s="2">
        <v>860692</v>
      </c>
      <c r="E133" s="2">
        <v>1499601</v>
      </c>
      <c r="F133" s="2">
        <v>691284</v>
      </c>
      <c r="G133" s="2">
        <v>808317</v>
      </c>
    </row>
    <row r="134" spans="1:7" x14ac:dyDescent="0.25">
      <c r="A134" s="1">
        <v>43160</v>
      </c>
      <c r="B134" s="2">
        <v>1596854</v>
      </c>
      <c r="C134" s="2">
        <v>730404</v>
      </c>
      <c r="D134" s="2">
        <v>866450</v>
      </c>
      <c r="E134" s="2">
        <v>1497532</v>
      </c>
      <c r="F134" s="2">
        <v>685359</v>
      </c>
      <c r="G134" s="2">
        <v>812173</v>
      </c>
    </row>
    <row r="135" spans="1:7" x14ac:dyDescent="0.25">
      <c r="A135" s="1">
        <v>43191</v>
      </c>
      <c r="B135" s="2">
        <v>1607305</v>
      </c>
      <c r="C135" s="2">
        <v>733068</v>
      </c>
      <c r="D135" s="2">
        <v>874237</v>
      </c>
      <c r="E135" s="2">
        <v>1496594</v>
      </c>
      <c r="F135" s="2">
        <v>681839</v>
      </c>
      <c r="G135" s="2">
        <v>814755</v>
      </c>
    </row>
    <row r="136" spans="1:7" x14ac:dyDescent="0.25">
      <c r="A136" s="1">
        <v>43221</v>
      </c>
      <c r="B136" s="2">
        <v>1621478</v>
      </c>
      <c r="C136" s="2">
        <v>738712</v>
      </c>
      <c r="D136" s="2">
        <v>882766</v>
      </c>
      <c r="E136" s="2">
        <v>1496115</v>
      </c>
      <c r="F136" s="2">
        <v>680733</v>
      </c>
      <c r="G136" s="2">
        <v>815383</v>
      </c>
    </row>
    <row r="137" spans="1:7" x14ac:dyDescent="0.25">
      <c r="A137" s="1">
        <v>43252</v>
      </c>
      <c r="B137" s="2">
        <v>1643757</v>
      </c>
      <c r="C137" s="2">
        <v>756397</v>
      </c>
      <c r="D137" s="2">
        <v>887360</v>
      </c>
      <c r="E137" s="2">
        <v>1495085</v>
      </c>
      <c r="F137" s="2">
        <v>676321</v>
      </c>
      <c r="G137" s="2">
        <v>818764</v>
      </c>
    </row>
    <row r="138" spans="1:7" x14ac:dyDescent="0.25">
      <c r="A138" s="1">
        <v>43282</v>
      </c>
      <c r="B138" s="2">
        <v>1641920</v>
      </c>
      <c r="C138" s="2">
        <v>746066</v>
      </c>
      <c r="D138" s="2">
        <v>895854</v>
      </c>
      <c r="E138" s="2">
        <v>1492525</v>
      </c>
      <c r="F138" s="2">
        <v>674815</v>
      </c>
      <c r="G138" s="2">
        <v>817710</v>
      </c>
    </row>
    <row r="139" spans="1:7" x14ac:dyDescent="0.25">
      <c r="A139" s="1">
        <v>43313</v>
      </c>
      <c r="B139" s="2">
        <v>1667441</v>
      </c>
      <c r="C139" s="2">
        <v>759175</v>
      </c>
      <c r="D139" s="2">
        <v>908266</v>
      </c>
      <c r="E139" s="2">
        <v>1498863</v>
      </c>
      <c r="F139" s="2">
        <v>675145</v>
      </c>
      <c r="G139" s="2">
        <v>823718</v>
      </c>
    </row>
    <row r="140" spans="1:7" x14ac:dyDescent="0.25">
      <c r="A140" s="1">
        <v>43344</v>
      </c>
      <c r="B140" s="2">
        <v>1682078</v>
      </c>
      <c r="C140" s="2">
        <v>773340</v>
      </c>
      <c r="D140" s="2">
        <v>908738</v>
      </c>
      <c r="E140" s="2">
        <v>1499569</v>
      </c>
      <c r="F140" s="2">
        <v>667536</v>
      </c>
      <c r="G140" s="2">
        <v>832033</v>
      </c>
    </row>
    <row r="141" spans="1:7" x14ac:dyDescent="0.25">
      <c r="A141" s="1">
        <v>43374</v>
      </c>
      <c r="B141" s="2">
        <v>1686005</v>
      </c>
      <c r="C141" s="2">
        <v>763232</v>
      </c>
      <c r="D141" s="2">
        <v>922774</v>
      </c>
      <c r="E141" s="2">
        <v>1491141</v>
      </c>
      <c r="F141" s="2">
        <v>654158</v>
      </c>
      <c r="G141" s="2">
        <v>836983</v>
      </c>
    </row>
    <row r="142" spans="1:7" x14ac:dyDescent="0.25">
      <c r="A142" s="1">
        <v>43405</v>
      </c>
      <c r="B142" s="2">
        <v>1718343</v>
      </c>
      <c r="C142" s="2">
        <v>776018</v>
      </c>
      <c r="D142" s="2">
        <v>942326</v>
      </c>
      <c r="E142" s="2">
        <v>1494192</v>
      </c>
      <c r="F142" s="2">
        <v>651801</v>
      </c>
      <c r="G142" s="2">
        <v>842391</v>
      </c>
    </row>
    <row r="143" spans="1:7" x14ac:dyDescent="0.25">
      <c r="A143" s="1">
        <v>43435</v>
      </c>
      <c r="B143" s="2">
        <v>1765054</v>
      </c>
      <c r="C143" s="2">
        <v>810582</v>
      </c>
      <c r="D143" s="2">
        <v>954473</v>
      </c>
      <c r="E143" s="2">
        <v>1500009</v>
      </c>
      <c r="F143" s="2">
        <v>651455</v>
      </c>
      <c r="G143" s="2">
        <v>848554</v>
      </c>
    </row>
    <row r="144" spans="1:7" x14ac:dyDescent="0.25">
      <c r="A144" s="1">
        <v>43466</v>
      </c>
      <c r="B144" s="2">
        <v>1748489</v>
      </c>
      <c r="C144" s="2">
        <v>783470</v>
      </c>
      <c r="D144" s="2">
        <v>965020</v>
      </c>
      <c r="E144" s="2">
        <v>1488587</v>
      </c>
      <c r="F144" s="2">
        <v>639533</v>
      </c>
      <c r="G144" s="2">
        <v>849054</v>
      </c>
    </row>
    <row r="145" spans="1:7" x14ac:dyDescent="0.25">
      <c r="A145" s="1">
        <v>43497</v>
      </c>
      <c r="B145" s="2">
        <v>1757500</v>
      </c>
      <c r="C145" s="2">
        <v>788244</v>
      </c>
      <c r="D145" s="2">
        <v>969256</v>
      </c>
      <c r="E145" s="2">
        <v>1489895</v>
      </c>
      <c r="F145" s="2">
        <v>635967</v>
      </c>
      <c r="G145" s="2">
        <v>853928</v>
      </c>
    </row>
    <row r="146" spans="1:7" x14ac:dyDescent="0.25">
      <c r="A146" s="1">
        <v>43525</v>
      </c>
      <c r="B146" s="2">
        <v>1783149</v>
      </c>
      <c r="C146" s="2">
        <v>804363</v>
      </c>
      <c r="D146" s="2">
        <v>978787</v>
      </c>
      <c r="E146" s="2">
        <v>1489851</v>
      </c>
      <c r="F146" s="2">
        <v>632332</v>
      </c>
      <c r="G146" s="2">
        <v>857518</v>
      </c>
    </row>
    <row r="147" spans="1:7" x14ac:dyDescent="0.25">
      <c r="A147" s="1">
        <v>43556</v>
      </c>
      <c r="B147" s="2">
        <v>1789493</v>
      </c>
      <c r="C147" s="2">
        <v>796475</v>
      </c>
      <c r="D147" s="2">
        <v>993017</v>
      </c>
      <c r="E147" s="2">
        <v>1483077</v>
      </c>
      <c r="F147" s="2">
        <v>623549</v>
      </c>
      <c r="G147" s="2">
        <v>859529</v>
      </c>
    </row>
    <row r="148" spans="1:7" x14ac:dyDescent="0.25">
      <c r="A148" s="1">
        <v>43586</v>
      </c>
      <c r="B148" s="2">
        <v>1815602</v>
      </c>
      <c r="C148" s="2">
        <v>805976</v>
      </c>
      <c r="D148" s="2">
        <v>1009626</v>
      </c>
      <c r="E148" s="2">
        <v>1475610</v>
      </c>
      <c r="F148" s="2">
        <v>614573</v>
      </c>
      <c r="G148" s="2">
        <v>861037</v>
      </c>
    </row>
    <row r="149" spans="1:7" x14ac:dyDescent="0.25">
      <c r="A149" s="1">
        <v>43617</v>
      </c>
      <c r="B149" s="2">
        <v>1839662</v>
      </c>
      <c r="C149" s="2">
        <v>822777</v>
      </c>
      <c r="D149" s="2">
        <v>1016885</v>
      </c>
      <c r="E149" s="2">
        <v>1461949</v>
      </c>
      <c r="F149" s="2">
        <v>596496</v>
      </c>
      <c r="G149" s="2">
        <v>865453</v>
      </c>
    </row>
    <row r="150" spans="1:7" x14ac:dyDescent="0.25">
      <c r="A150" s="1">
        <v>43647</v>
      </c>
      <c r="B150" s="2">
        <v>1842226</v>
      </c>
      <c r="C150" s="2">
        <v>808566</v>
      </c>
      <c r="D150" s="2">
        <v>1033660</v>
      </c>
      <c r="E150" s="2">
        <v>1453961</v>
      </c>
      <c r="F150" s="2">
        <v>588356</v>
      </c>
      <c r="G150" s="2">
        <v>865605</v>
      </c>
    </row>
    <row r="151" spans="1:7" x14ac:dyDescent="0.25">
      <c r="A151" s="1">
        <v>43678</v>
      </c>
      <c r="B151" s="2">
        <v>1871275</v>
      </c>
      <c r="C151" s="2">
        <v>822086</v>
      </c>
      <c r="D151" s="2">
        <v>1049189</v>
      </c>
      <c r="E151" s="2">
        <v>1461732</v>
      </c>
      <c r="F151" s="2">
        <v>589129</v>
      </c>
      <c r="G151" s="2">
        <v>872603</v>
      </c>
    </row>
    <row r="152" spans="1:7" x14ac:dyDescent="0.25">
      <c r="A152" s="1">
        <v>43709</v>
      </c>
      <c r="B152" s="2">
        <v>1904373</v>
      </c>
      <c r="C152" s="2">
        <v>843564</v>
      </c>
      <c r="D152" s="2">
        <v>1060809</v>
      </c>
      <c r="E152" s="2">
        <v>1464429</v>
      </c>
      <c r="F152" s="2">
        <v>583960</v>
      </c>
      <c r="G152" s="2">
        <v>880469</v>
      </c>
    </row>
    <row r="153" spans="1:7" x14ac:dyDescent="0.25">
      <c r="A153" s="1">
        <v>43739</v>
      </c>
      <c r="B153" s="2">
        <v>1914394</v>
      </c>
      <c r="C153" s="2">
        <v>837954</v>
      </c>
      <c r="D153" s="2">
        <v>1076440</v>
      </c>
      <c r="E153" s="2">
        <v>1465916</v>
      </c>
      <c r="F153" s="2">
        <v>577624</v>
      </c>
      <c r="G153" s="2">
        <v>888292</v>
      </c>
    </row>
    <row r="154" spans="1:7" x14ac:dyDescent="0.25">
      <c r="A154" s="1">
        <v>43770</v>
      </c>
      <c r="B154" s="2">
        <v>1952272</v>
      </c>
      <c r="C154" s="2">
        <v>860281</v>
      </c>
      <c r="D154" s="2">
        <v>1091991</v>
      </c>
      <c r="E154" s="2">
        <v>1470850</v>
      </c>
      <c r="F154" s="2">
        <v>574866</v>
      </c>
      <c r="G154" s="2">
        <v>895983</v>
      </c>
    </row>
    <row r="155" spans="1:7" x14ac:dyDescent="0.25">
      <c r="A155" s="1">
        <v>43800</v>
      </c>
      <c r="B155" s="2">
        <v>2010411</v>
      </c>
      <c r="C155" s="2">
        <v>898034</v>
      </c>
      <c r="D155" s="2">
        <v>1112378</v>
      </c>
      <c r="E155" s="2">
        <v>1465461</v>
      </c>
      <c r="F155" s="2">
        <v>560792</v>
      </c>
      <c r="G155" s="2">
        <v>904668</v>
      </c>
    </row>
    <row r="156" spans="1:7" x14ac:dyDescent="0.25">
      <c r="A156" s="1">
        <v>43831</v>
      </c>
      <c r="B156" s="2">
        <v>1999228</v>
      </c>
      <c r="C156" s="2">
        <v>874771</v>
      </c>
      <c r="D156" s="2">
        <v>1124457</v>
      </c>
      <c r="E156" s="2">
        <v>1466041</v>
      </c>
      <c r="F156" s="2">
        <v>556864</v>
      </c>
      <c r="G156" s="2">
        <v>909177</v>
      </c>
    </row>
    <row r="157" spans="1:7" x14ac:dyDescent="0.25">
      <c r="A157" s="1">
        <v>43862</v>
      </c>
      <c r="B157" s="2">
        <v>2018027</v>
      </c>
      <c r="C157" s="2">
        <v>888782</v>
      </c>
      <c r="D157" s="2">
        <v>1129245</v>
      </c>
      <c r="E157" s="2">
        <v>1466645</v>
      </c>
      <c r="F157" s="2">
        <v>553227</v>
      </c>
      <c r="G157" s="2">
        <v>913418</v>
      </c>
    </row>
    <row r="158" spans="1:7" x14ac:dyDescent="0.25">
      <c r="A158" s="1">
        <v>43891</v>
      </c>
      <c r="B158" s="2">
        <v>2106949</v>
      </c>
      <c r="C158" s="2">
        <v>976695</v>
      </c>
      <c r="D158" s="2">
        <v>1130254</v>
      </c>
      <c r="E158" s="2">
        <v>1476650</v>
      </c>
      <c r="F158" s="2">
        <v>557608</v>
      </c>
      <c r="G158" s="2">
        <v>919042</v>
      </c>
    </row>
    <row r="159" spans="1:7" x14ac:dyDescent="0.25">
      <c r="A159" s="1">
        <v>43922</v>
      </c>
      <c r="B159" s="2">
        <v>2096831</v>
      </c>
      <c r="C159" s="2">
        <v>991241</v>
      </c>
      <c r="D159" s="2">
        <v>1105590</v>
      </c>
      <c r="E159" s="2">
        <v>1486858</v>
      </c>
      <c r="F159" s="2">
        <v>563087</v>
      </c>
      <c r="G159" s="2">
        <v>923771</v>
      </c>
    </row>
    <row r="160" spans="1:7" x14ac:dyDescent="0.25">
      <c r="A160" s="1">
        <v>43952</v>
      </c>
      <c r="B160" s="2">
        <v>2101210</v>
      </c>
      <c r="C160" s="2">
        <v>1001429</v>
      </c>
      <c r="D160" s="2">
        <v>1099780</v>
      </c>
      <c r="E160" s="2">
        <v>1494748</v>
      </c>
      <c r="F160" s="2">
        <v>566731</v>
      </c>
      <c r="G160" s="2">
        <v>928017</v>
      </c>
    </row>
    <row r="161" spans="1:7" x14ac:dyDescent="0.25">
      <c r="A161" s="1">
        <v>43983</v>
      </c>
      <c r="B161" s="2">
        <v>2114414</v>
      </c>
      <c r="C161" s="2">
        <v>1007816</v>
      </c>
      <c r="D161" s="2">
        <v>1106598</v>
      </c>
      <c r="E161" s="2">
        <v>1508552</v>
      </c>
      <c r="F161" s="2">
        <v>574001</v>
      </c>
      <c r="G161" s="2">
        <v>934550</v>
      </c>
    </row>
    <row r="162" spans="1:7" x14ac:dyDescent="0.25">
      <c r="A162" s="1">
        <v>44013</v>
      </c>
      <c r="B162" s="2">
        <v>2134747</v>
      </c>
      <c r="C162" s="2">
        <v>1016670</v>
      </c>
      <c r="D162" s="2">
        <v>1118076</v>
      </c>
      <c r="E162" s="2">
        <v>1535477</v>
      </c>
      <c r="F162" s="2">
        <v>593126</v>
      </c>
      <c r="G162" s="2">
        <v>942351</v>
      </c>
    </row>
    <row r="163" spans="1:7" x14ac:dyDescent="0.25">
      <c r="A163" s="1">
        <v>44044</v>
      </c>
      <c r="B163" s="2">
        <v>2159563</v>
      </c>
      <c r="C163" s="2">
        <v>1024305</v>
      </c>
      <c r="D163" s="2">
        <v>1135258</v>
      </c>
      <c r="E163" s="2">
        <v>1582340</v>
      </c>
      <c r="F163" s="2">
        <v>625463</v>
      </c>
      <c r="G163" s="2">
        <v>956877</v>
      </c>
    </row>
    <row r="164" spans="1:7" x14ac:dyDescent="0.25">
      <c r="A164" s="1">
        <v>44075</v>
      </c>
      <c r="B164" s="2">
        <v>2192041</v>
      </c>
      <c r="C164" s="2">
        <v>1038593</v>
      </c>
      <c r="D164" s="2">
        <v>1153449</v>
      </c>
      <c r="E164" s="2">
        <v>1628724</v>
      </c>
      <c r="F164" s="2">
        <v>659078</v>
      </c>
      <c r="G164" s="2">
        <v>969646</v>
      </c>
    </row>
    <row r="165" spans="1:7" x14ac:dyDescent="0.25">
      <c r="A165" s="1">
        <v>44105</v>
      </c>
      <c r="B165" s="2">
        <v>2223972</v>
      </c>
      <c r="C165" s="2">
        <v>1048051</v>
      </c>
      <c r="D165" s="2">
        <v>1175921</v>
      </c>
      <c r="E165" s="2">
        <v>1654512</v>
      </c>
      <c r="F165" s="2">
        <v>671342</v>
      </c>
      <c r="G165" s="2">
        <v>983170</v>
      </c>
    </row>
    <row r="166" spans="1:7" x14ac:dyDescent="0.25">
      <c r="A166" s="1">
        <v>44136</v>
      </c>
      <c r="B166" s="2">
        <v>2275878</v>
      </c>
      <c r="C166" s="2">
        <v>1065850</v>
      </c>
      <c r="D166" s="2">
        <v>1210028</v>
      </c>
      <c r="E166" s="2">
        <v>1681176</v>
      </c>
      <c r="F166" s="2">
        <v>685500</v>
      </c>
      <c r="G166" s="2">
        <v>995676</v>
      </c>
    </row>
    <row r="167" spans="1:7" x14ac:dyDescent="0.25">
      <c r="A167" s="1">
        <v>44166</v>
      </c>
      <c r="B167" s="2">
        <v>2319449</v>
      </c>
      <c r="C167" s="2">
        <v>1088502</v>
      </c>
      <c r="D167" s="2">
        <v>1230948</v>
      </c>
      <c r="E167" s="2">
        <v>1702085</v>
      </c>
      <c r="F167" s="2">
        <v>691948</v>
      </c>
      <c r="G167" s="2">
        <v>1010137</v>
      </c>
    </row>
    <row r="168" spans="1:7" x14ac:dyDescent="0.25">
      <c r="A168" s="1">
        <v>44197</v>
      </c>
      <c r="B168" s="2">
        <v>2311940</v>
      </c>
      <c r="C168" s="2">
        <v>1076183</v>
      </c>
      <c r="D168" s="2">
        <v>1235757</v>
      </c>
      <c r="E168" s="2">
        <v>1706875</v>
      </c>
      <c r="F168" s="2">
        <v>688167</v>
      </c>
      <c r="G168" s="2">
        <v>1018708</v>
      </c>
    </row>
    <row r="169" spans="1:7" x14ac:dyDescent="0.25">
      <c r="A169" s="1">
        <v>44228</v>
      </c>
      <c r="B169" s="2">
        <v>2331919</v>
      </c>
      <c r="C169" s="2">
        <v>1088469</v>
      </c>
      <c r="D169" s="2">
        <v>1243450</v>
      </c>
      <c r="E169" s="2">
        <v>1714231</v>
      </c>
      <c r="F169" s="2">
        <v>685843</v>
      </c>
      <c r="G169" s="2">
        <v>1028387</v>
      </c>
    </row>
    <row r="170" spans="1:7" x14ac:dyDescent="0.25">
      <c r="A170" s="1">
        <v>44256</v>
      </c>
      <c r="B170" s="2">
        <v>2378399</v>
      </c>
      <c r="C170" s="2">
        <v>1121737</v>
      </c>
      <c r="D170" s="2">
        <v>1256662</v>
      </c>
      <c r="E170" s="2">
        <v>1729331</v>
      </c>
      <c r="F170" s="2">
        <v>687647</v>
      </c>
      <c r="G170" s="2">
        <v>1041683</v>
      </c>
    </row>
    <row r="171" spans="1:7" x14ac:dyDescent="0.25">
      <c r="A171" s="1">
        <v>44287</v>
      </c>
      <c r="B171" s="2">
        <v>2393547</v>
      </c>
      <c r="C171" s="2">
        <v>1121745</v>
      </c>
      <c r="D171" s="2">
        <v>1271802</v>
      </c>
      <c r="E171" s="2">
        <v>1734639</v>
      </c>
      <c r="F171" s="2">
        <v>683135</v>
      </c>
      <c r="G171" s="2">
        <v>1051504</v>
      </c>
    </row>
    <row r="172" spans="1:7" x14ac:dyDescent="0.25">
      <c r="A172" s="1">
        <v>44317</v>
      </c>
      <c r="B172" s="2">
        <v>2434901</v>
      </c>
      <c r="C172" s="2">
        <v>1136098</v>
      </c>
      <c r="D172" s="2">
        <v>1298804</v>
      </c>
      <c r="E172" s="2">
        <v>1741846</v>
      </c>
      <c r="F172" s="2">
        <v>678693</v>
      </c>
      <c r="G172" s="2">
        <v>1063153</v>
      </c>
    </row>
    <row r="173" spans="1:7" x14ac:dyDescent="0.25">
      <c r="A173" s="1">
        <v>44348</v>
      </c>
      <c r="B173" s="2">
        <v>2466696</v>
      </c>
      <c r="C173" s="2">
        <v>1145582</v>
      </c>
      <c r="D173" s="2">
        <v>1321114</v>
      </c>
      <c r="E173" s="2">
        <v>1746977</v>
      </c>
      <c r="F173" s="2">
        <v>668681</v>
      </c>
      <c r="G173" s="2">
        <v>1078297</v>
      </c>
    </row>
    <row r="174" spans="1:7" x14ac:dyDescent="0.25">
      <c r="A174" s="1">
        <v>44378</v>
      </c>
      <c r="B174" s="2">
        <v>2490476</v>
      </c>
      <c r="C174" s="2">
        <v>1145035</v>
      </c>
      <c r="D174" s="2">
        <v>1345441</v>
      </c>
      <c r="E174" s="2">
        <v>1780861</v>
      </c>
      <c r="F174" s="2">
        <v>685490</v>
      </c>
      <c r="G174" s="2">
        <v>1095371</v>
      </c>
    </row>
    <row r="175" spans="1:7" x14ac:dyDescent="0.25">
      <c r="A175" s="1">
        <v>44409</v>
      </c>
      <c r="B175" s="2">
        <v>2538085</v>
      </c>
      <c r="C175" s="2">
        <v>1160136</v>
      </c>
      <c r="D175" s="2">
        <v>1377949</v>
      </c>
      <c r="E175" s="2">
        <v>1807745</v>
      </c>
      <c r="F175" s="2">
        <v>688071</v>
      </c>
      <c r="G175" s="2">
        <v>1119674</v>
      </c>
    </row>
    <row r="176" spans="1:7" x14ac:dyDescent="0.25">
      <c r="A176" s="1">
        <v>44440</v>
      </c>
      <c r="B176" s="2">
        <v>2603866</v>
      </c>
      <c r="C176" s="2">
        <v>1194577</v>
      </c>
      <c r="D176" s="2">
        <v>1409288</v>
      </c>
      <c r="E176" s="2">
        <v>1836894</v>
      </c>
      <c r="F176" s="2">
        <v>696615</v>
      </c>
      <c r="G176" s="2">
        <v>1140279</v>
      </c>
    </row>
    <row r="177" spans="1:7" x14ac:dyDescent="0.25">
      <c r="A177" s="1">
        <v>44470</v>
      </c>
      <c r="B177" s="2">
        <v>2655807</v>
      </c>
      <c r="C177" s="2">
        <v>1211809</v>
      </c>
      <c r="D177" s="2">
        <v>1443998</v>
      </c>
      <c r="E177" s="2">
        <v>1855771</v>
      </c>
      <c r="F177" s="2">
        <v>696040</v>
      </c>
      <c r="G177" s="2">
        <v>1159731</v>
      </c>
    </row>
    <row r="178" spans="1:7" x14ac:dyDescent="0.25">
      <c r="A178" s="1">
        <v>44501</v>
      </c>
      <c r="B178" s="2">
        <v>2726764</v>
      </c>
      <c r="C178" s="2">
        <v>1238486</v>
      </c>
      <c r="D178" s="2">
        <v>1488278</v>
      </c>
      <c r="E178" s="2">
        <v>1869926</v>
      </c>
      <c r="F178" s="2">
        <v>691173</v>
      </c>
      <c r="G178" s="2">
        <v>1178753</v>
      </c>
    </row>
    <row r="179" spans="1:7" x14ac:dyDescent="0.25">
      <c r="A179" s="1">
        <v>44531</v>
      </c>
      <c r="B179" s="2">
        <v>2793368</v>
      </c>
      <c r="C179" s="2">
        <v>1279423</v>
      </c>
      <c r="D179" s="2">
        <v>1513945</v>
      </c>
      <c r="E179" s="2">
        <v>1888065</v>
      </c>
      <c r="F179" s="2">
        <v>691182</v>
      </c>
      <c r="G179" s="2">
        <v>1196883</v>
      </c>
    </row>
    <row r="180" spans="1:7" x14ac:dyDescent="0.25">
      <c r="A180" s="1">
        <v>44562</v>
      </c>
      <c r="B180" s="2">
        <v>2786971</v>
      </c>
      <c r="C180" s="2">
        <v>1258579</v>
      </c>
      <c r="D180" s="2">
        <v>1528392</v>
      </c>
      <c r="E180" s="2">
        <v>1894259</v>
      </c>
      <c r="F180" s="2">
        <v>685227</v>
      </c>
      <c r="G180" s="2">
        <v>1209032</v>
      </c>
    </row>
    <row r="181" spans="1:7" x14ac:dyDescent="0.25">
      <c r="A181" s="1">
        <v>44593</v>
      </c>
      <c r="B181" s="2">
        <v>2820919</v>
      </c>
      <c r="C181" s="2">
        <v>1283497</v>
      </c>
      <c r="D181" s="2">
        <v>1537422</v>
      </c>
      <c r="E181" s="2">
        <v>1904599</v>
      </c>
      <c r="F181" s="2">
        <v>684257</v>
      </c>
      <c r="G181" s="2">
        <v>1220343</v>
      </c>
    </row>
    <row r="182" spans="1:7" x14ac:dyDescent="0.25">
      <c r="A182" s="1">
        <v>44621</v>
      </c>
      <c r="B182" s="2">
        <v>2873081</v>
      </c>
      <c r="C182" s="2">
        <v>1304417</v>
      </c>
      <c r="D182" s="2">
        <v>1568664</v>
      </c>
      <c r="E182" s="2">
        <v>1919097</v>
      </c>
      <c r="F182" s="2">
        <v>685631</v>
      </c>
      <c r="G182" s="2">
        <v>1233466</v>
      </c>
    </row>
    <row r="183" spans="1:7" x14ac:dyDescent="0.25">
      <c r="A183" s="1">
        <v>44652</v>
      </c>
      <c r="B183" s="2">
        <v>2915271</v>
      </c>
      <c r="C183" s="2">
        <v>1318140</v>
      </c>
      <c r="D183" s="2">
        <v>1597130</v>
      </c>
      <c r="E183" s="2">
        <v>1915419</v>
      </c>
      <c r="F183" s="2">
        <v>680407</v>
      </c>
      <c r="G183" s="2">
        <v>1235012</v>
      </c>
    </row>
    <row r="184" spans="1:7" x14ac:dyDescent="0.25">
      <c r="A184" s="1">
        <v>44682</v>
      </c>
      <c r="B184" s="2">
        <v>2955856</v>
      </c>
      <c r="C184" s="2">
        <v>1327319</v>
      </c>
      <c r="D184" s="2">
        <v>1628537</v>
      </c>
      <c r="E184" s="2">
        <v>1929732</v>
      </c>
      <c r="F184" s="2">
        <v>681017</v>
      </c>
      <c r="G184" s="2">
        <v>1248715</v>
      </c>
    </row>
    <row r="185" spans="1:7" x14ac:dyDescent="0.25">
      <c r="A185" s="1">
        <v>44713</v>
      </c>
      <c r="B185" s="2">
        <v>3006420</v>
      </c>
      <c r="C185" s="2">
        <v>1357213</v>
      </c>
      <c r="D185" s="2">
        <v>1649207</v>
      </c>
      <c r="E185" s="2">
        <v>1957143</v>
      </c>
      <c r="F185" s="2">
        <v>690238</v>
      </c>
      <c r="G185" s="2">
        <v>1266906</v>
      </c>
    </row>
    <row r="186" spans="1:7" x14ac:dyDescent="0.25">
      <c r="A186" s="1">
        <v>44743</v>
      </c>
      <c r="B186" s="2">
        <v>3019988</v>
      </c>
      <c r="C186" s="2">
        <v>1350197</v>
      </c>
      <c r="D186" s="2">
        <v>1669791</v>
      </c>
      <c r="E186" s="2">
        <v>1979014</v>
      </c>
      <c r="F186" s="2">
        <v>691425</v>
      </c>
      <c r="G186" s="2">
        <v>1287589</v>
      </c>
    </row>
    <row r="187" spans="1:7" x14ac:dyDescent="0.25">
      <c r="A187" s="1">
        <v>44774</v>
      </c>
      <c r="B187" s="2">
        <v>3051605</v>
      </c>
      <c r="C187" s="2">
        <v>1356940</v>
      </c>
      <c r="D187" s="2">
        <v>1694665</v>
      </c>
      <c r="E187" s="2">
        <v>2020362</v>
      </c>
      <c r="F187" s="2">
        <v>701903</v>
      </c>
      <c r="G187" s="2">
        <v>1318459</v>
      </c>
    </row>
    <row r="188" spans="1:7" x14ac:dyDescent="0.25">
      <c r="A188" s="1">
        <v>44805</v>
      </c>
      <c r="B188" s="2">
        <v>3097548</v>
      </c>
      <c r="C188" s="2">
        <v>1385811</v>
      </c>
      <c r="D188" s="2">
        <v>1711737</v>
      </c>
      <c r="E188" s="2">
        <v>2065374</v>
      </c>
      <c r="F188" s="2">
        <v>718910</v>
      </c>
      <c r="G188" s="2">
        <v>1346464</v>
      </c>
    </row>
    <row r="189" spans="1:7" x14ac:dyDescent="0.25">
      <c r="A189" s="1">
        <v>44835</v>
      </c>
      <c r="B189" s="2">
        <v>3121018</v>
      </c>
      <c r="C189" s="2">
        <v>1376966</v>
      </c>
      <c r="D189" s="2">
        <v>1744052</v>
      </c>
      <c r="E189" s="2">
        <v>2093138</v>
      </c>
      <c r="F189" s="2">
        <v>723094</v>
      </c>
      <c r="G189" s="2">
        <v>1370045</v>
      </c>
    </row>
    <row r="190" spans="1:7" x14ac:dyDescent="0.25">
      <c r="A190" s="1">
        <v>44866</v>
      </c>
      <c r="B190" s="2">
        <v>3157905</v>
      </c>
      <c r="C190" s="2">
        <v>1389790</v>
      </c>
      <c r="D190" s="2">
        <v>1768115</v>
      </c>
      <c r="E190" s="2">
        <v>2123130</v>
      </c>
      <c r="F190" s="2">
        <v>732022</v>
      </c>
      <c r="G190" s="2">
        <v>1391108</v>
      </c>
    </row>
    <row r="191" spans="1:7" x14ac:dyDescent="0.25">
      <c r="A191" s="1">
        <v>44896</v>
      </c>
      <c r="B191" s="2">
        <v>3209793</v>
      </c>
      <c r="C191" s="2">
        <v>1431505</v>
      </c>
      <c r="D191" s="2">
        <v>1778288</v>
      </c>
      <c r="E191" s="2">
        <v>2151455</v>
      </c>
      <c r="F191" s="2">
        <v>738763</v>
      </c>
      <c r="G191" s="2">
        <v>1412693</v>
      </c>
    </row>
    <row r="192" spans="1:7" x14ac:dyDescent="0.25">
      <c r="A192" s="1">
        <v>44927</v>
      </c>
      <c r="B192" s="2">
        <v>3206353</v>
      </c>
      <c r="C192" s="2">
        <v>1407268</v>
      </c>
      <c r="D192" s="2">
        <v>1799085</v>
      </c>
      <c r="E192" s="2">
        <v>2163813</v>
      </c>
      <c r="F192" s="2">
        <v>736428</v>
      </c>
      <c r="G192" s="2">
        <v>1427385</v>
      </c>
    </row>
    <row r="193" spans="1:7" x14ac:dyDescent="0.25">
      <c r="A193" s="1">
        <v>44958</v>
      </c>
      <c r="B193" s="2">
        <v>3191404</v>
      </c>
      <c r="C193" s="2">
        <v>1391211</v>
      </c>
      <c r="D193" s="2">
        <v>1800193</v>
      </c>
      <c r="E193" s="2">
        <v>2177870</v>
      </c>
      <c r="F193" s="2">
        <v>737376</v>
      </c>
      <c r="G193" s="2">
        <v>1440494</v>
      </c>
    </row>
    <row r="194" spans="1:7" x14ac:dyDescent="0.25">
      <c r="A194" s="1">
        <v>44986</v>
      </c>
      <c r="B194" s="2">
        <v>3224670</v>
      </c>
      <c r="C194" s="2">
        <v>1409577</v>
      </c>
      <c r="D194" s="2">
        <v>1815093</v>
      </c>
      <c r="E194" s="2">
        <v>2196130</v>
      </c>
      <c r="F194" s="2">
        <v>736821</v>
      </c>
      <c r="G194" s="2">
        <v>1459309</v>
      </c>
    </row>
    <row r="195" spans="1:7" x14ac:dyDescent="0.25">
      <c r="A195" s="1">
        <v>45017</v>
      </c>
      <c r="B195" s="2">
        <v>3221818</v>
      </c>
      <c r="C195" s="2">
        <v>1397911</v>
      </c>
      <c r="D195" s="2">
        <v>1823907</v>
      </c>
      <c r="E195" s="2">
        <v>2201209</v>
      </c>
      <c r="F195" s="2">
        <v>738741</v>
      </c>
      <c r="G195" s="2">
        <v>1462468</v>
      </c>
    </row>
    <row r="196" spans="1:7" x14ac:dyDescent="0.25">
      <c r="A196" s="1">
        <v>45047</v>
      </c>
      <c r="B196" s="2">
        <v>3240257</v>
      </c>
      <c r="C196" s="2">
        <v>1392373</v>
      </c>
      <c r="D196" s="2">
        <v>1847884</v>
      </c>
      <c r="E196" s="2">
        <v>2210647</v>
      </c>
      <c r="F196" s="2">
        <v>745209</v>
      </c>
      <c r="G196" s="2">
        <v>1465438</v>
      </c>
    </row>
    <row r="197" spans="1:7" x14ac:dyDescent="0.25">
      <c r="A197" s="1">
        <v>45078</v>
      </c>
      <c r="B197" s="2">
        <v>3252882</v>
      </c>
      <c r="C197" s="2">
        <v>1415056</v>
      </c>
      <c r="D197" s="2">
        <v>1837826</v>
      </c>
      <c r="E197" s="2">
        <v>2223381</v>
      </c>
      <c r="F197" s="2">
        <v>746224</v>
      </c>
      <c r="G197" s="2">
        <v>1477158</v>
      </c>
    </row>
    <row r="198" spans="1:7" x14ac:dyDescent="0.25">
      <c r="A198" s="1">
        <v>45108</v>
      </c>
      <c r="B198" s="2">
        <v>3235994</v>
      </c>
      <c r="C198" s="2">
        <v>1389576</v>
      </c>
      <c r="D198" s="2">
        <v>1846418</v>
      </c>
      <c r="E198" s="2">
        <v>2244558</v>
      </c>
      <c r="F198" s="2">
        <v>754701</v>
      </c>
      <c r="G198" s="2">
        <v>1489858</v>
      </c>
    </row>
    <row r="199" spans="1:7" x14ac:dyDescent="0.25">
      <c r="A199" s="1">
        <v>45139</v>
      </c>
      <c r="B199" s="2">
        <v>3257473</v>
      </c>
      <c r="C199" s="2">
        <v>1388916</v>
      </c>
      <c r="D199" s="2">
        <v>1868557</v>
      </c>
      <c r="E199" s="2">
        <v>2296429</v>
      </c>
      <c r="F199" s="2">
        <v>773381</v>
      </c>
      <c r="G199" s="2">
        <v>1523048</v>
      </c>
    </row>
    <row r="200" spans="1:7" x14ac:dyDescent="0.25">
      <c r="A200" s="1">
        <v>45170</v>
      </c>
      <c r="B200" s="2">
        <v>3288068</v>
      </c>
      <c r="C200" s="2">
        <v>1417516</v>
      </c>
      <c r="D200" s="2">
        <v>1870552</v>
      </c>
      <c r="E200" s="2">
        <v>2326600</v>
      </c>
      <c r="F200" s="2">
        <v>781210</v>
      </c>
      <c r="G200" s="2">
        <v>1545390</v>
      </c>
    </row>
    <row r="201" spans="1:7" x14ac:dyDescent="0.25">
      <c r="A201" s="1">
        <v>45200</v>
      </c>
      <c r="B201" s="2">
        <v>3281592</v>
      </c>
      <c r="C201" s="2">
        <v>1394223</v>
      </c>
      <c r="D201" s="2">
        <v>1887368</v>
      </c>
      <c r="E201" s="2">
        <v>2355389</v>
      </c>
      <c r="F201" s="2">
        <v>793094</v>
      </c>
      <c r="G201" s="2">
        <v>1562294</v>
      </c>
    </row>
    <row r="202" spans="1:7" x14ac:dyDescent="0.25">
      <c r="A202" s="1">
        <v>45231</v>
      </c>
      <c r="B202" s="2">
        <v>3316436</v>
      </c>
      <c r="C202" s="2">
        <v>1404743</v>
      </c>
      <c r="D202" s="2">
        <v>1911694</v>
      </c>
      <c r="E202" s="2">
        <v>2384122</v>
      </c>
      <c r="F202" s="2">
        <v>805341</v>
      </c>
      <c r="G202" s="2">
        <v>1578781</v>
      </c>
    </row>
    <row r="203" spans="1:7" x14ac:dyDescent="0.25">
      <c r="A203" s="1">
        <v>45261</v>
      </c>
      <c r="B203" s="2">
        <v>3376646</v>
      </c>
      <c r="C203" s="2">
        <v>1458439</v>
      </c>
      <c r="D203" s="2">
        <v>1918207</v>
      </c>
      <c r="E203" s="2">
        <v>2405859</v>
      </c>
      <c r="F203" s="2">
        <v>809469</v>
      </c>
      <c r="G203" s="2">
        <v>1596390</v>
      </c>
    </row>
    <row r="204" spans="1:7" x14ac:dyDescent="0.25">
      <c r="A204" t="s">
        <v>12</v>
      </c>
      <c r="B204" t="s">
        <v>13</v>
      </c>
      <c r="C204" t="s">
        <v>13</v>
      </c>
      <c r="D204" t="s">
        <v>13</v>
      </c>
      <c r="E204" t="s">
        <v>13</v>
      </c>
      <c r="F204" t="s">
        <v>13</v>
      </c>
      <c r="G204" t="s">
        <v>13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76986-75D5-4DC2-B1A1-6F1B262CFE2F}">
  <sheetPr codeName="Planilha10"/>
  <dimension ref="A1:E18"/>
  <sheetViews>
    <sheetView workbookViewId="0">
      <selection activeCell="D1" sqref="D1"/>
    </sheetView>
  </sheetViews>
  <sheetFormatPr defaultRowHeight="15" x14ac:dyDescent="0.25"/>
  <cols>
    <col min="1" max="1" width="10.7109375" customWidth="1"/>
    <col min="2" max="2" width="38.5703125" customWidth="1"/>
    <col min="3" max="3" width="14.28515625" customWidth="1"/>
  </cols>
  <sheetData>
    <row r="1" spans="1:5" x14ac:dyDescent="0.25">
      <c r="A1" s="9" t="s">
        <v>2</v>
      </c>
    </row>
    <row r="2" spans="1:5" x14ac:dyDescent="0.25">
      <c r="A2" s="9" t="s">
        <v>3</v>
      </c>
    </row>
    <row r="3" spans="1:5" x14ac:dyDescent="0.25">
      <c r="A3" t="s">
        <v>36</v>
      </c>
    </row>
    <row r="4" spans="1:5" x14ac:dyDescent="0.25">
      <c r="A4" t="s">
        <v>37</v>
      </c>
    </row>
    <row r="5" spans="1:5" x14ac:dyDescent="0.25">
      <c r="A5" t="s">
        <v>40</v>
      </c>
    </row>
    <row r="6" spans="1:5" x14ac:dyDescent="0.25">
      <c r="A6" t="s">
        <v>41</v>
      </c>
    </row>
    <row r="7" spans="1:5" x14ac:dyDescent="0.25">
      <c r="A7" t="s">
        <v>44</v>
      </c>
    </row>
    <row r="8" spans="1:5" x14ac:dyDescent="0.25">
      <c r="A8" t="s">
        <v>43</v>
      </c>
    </row>
    <row r="10" spans="1:5" s="23" customFormat="1" ht="30" x14ac:dyDescent="0.25">
      <c r="A10" s="24" t="s">
        <v>70</v>
      </c>
      <c r="B10" s="24" t="s">
        <v>76</v>
      </c>
      <c r="C10" s="24" t="s">
        <v>71</v>
      </c>
      <c r="D10" s="24" t="s">
        <v>72</v>
      </c>
      <c r="E10" s="24" t="s">
        <v>73</v>
      </c>
    </row>
    <row r="11" spans="1:5" s="23" customFormat="1" x14ac:dyDescent="0.25">
      <c r="A11" s="20">
        <v>3959</v>
      </c>
      <c r="B11" s="20" t="s">
        <v>77</v>
      </c>
      <c r="C11" s="20" t="s">
        <v>74</v>
      </c>
      <c r="D11" s="21">
        <v>35339</v>
      </c>
      <c r="E11" s="21">
        <v>41244</v>
      </c>
    </row>
    <row r="12" spans="1:5" s="23" customFormat="1" x14ac:dyDescent="0.25">
      <c r="A12" s="20">
        <v>3960</v>
      </c>
      <c r="B12" s="20" t="s">
        <v>78</v>
      </c>
      <c r="C12" s="20" t="s">
        <v>74</v>
      </c>
      <c r="D12" s="21">
        <v>35339</v>
      </c>
      <c r="E12" s="21">
        <v>41244</v>
      </c>
    </row>
    <row r="13" spans="1:5" s="23" customFormat="1" x14ac:dyDescent="0.25">
      <c r="A13" s="20">
        <v>20020</v>
      </c>
      <c r="B13" s="20" t="s">
        <v>79</v>
      </c>
      <c r="C13" s="20" t="s">
        <v>74</v>
      </c>
      <c r="D13" s="21">
        <v>36678</v>
      </c>
      <c r="E13" s="21">
        <v>41244</v>
      </c>
    </row>
    <row r="14" spans="1:5" s="23" customFormat="1" x14ac:dyDescent="0.25">
      <c r="A14" s="20">
        <v>20021</v>
      </c>
      <c r="B14" s="20" t="s">
        <v>80</v>
      </c>
      <c r="C14" s="20" t="s">
        <v>74</v>
      </c>
      <c r="D14" s="21">
        <v>36678</v>
      </c>
      <c r="E14" s="21">
        <v>41244</v>
      </c>
    </row>
    <row r="15" spans="1:5" s="23" customFormat="1" x14ac:dyDescent="0.25">
      <c r="A15" s="20">
        <v>20543</v>
      </c>
      <c r="B15" s="20" t="s">
        <v>77</v>
      </c>
      <c r="C15" s="20" t="s">
        <v>75</v>
      </c>
      <c r="D15" s="21">
        <v>39142</v>
      </c>
      <c r="E15" s="22" t="s">
        <v>11</v>
      </c>
    </row>
    <row r="16" spans="1:5" s="23" customFormat="1" x14ac:dyDescent="0.25">
      <c r="A16" s="20">
        <v>20570</v>
      </c>
      <c r="B16" s="20" t="s">
        <v>78</v>
      </c>
      <c r="C16" s="20" t="s">
        <v>75</v>
      </c>
      <c r="D16" s="21">
        <v>39142</v>
      </c>
      <c r="E16" s="22" t="s">
        <v>11</v>
      </c>
    </row>
    <row r="17" spans="1:5" s="23" customFormat="1" x14ac:dyDescent="0.25">
      <c r="A17" s="20">
        <v>20594</v>
      </c>
      <c r="B17" s="20" t="s">
        <v>80</v>
      </c>
      <c r="C17" s="20" t="s">
        <v>75</v>
      </c>
      <c r="D17" s="21">
        <v>39142</v>
      </c>
      <c r="E17" s="22" t="s">
        <v>11</v>
      </c>
    </row>
    <row r="18" spans="1:5" s="23" customFormat="1" x14ac:dyDescent="0.25">
      <c r="A18" s="20">
        <v>20606</v>
      </c>
      <c r="B18" s="20" t="s">
        <v>79</v>
      </c>
      <c r="C18" s="20" t="s">
        <v>75</v>
      </c>
      <c r="D18" s="21">
        <v>39142</v>
      </c>
      <c r="E18" s="22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ANTIGA_LIVRES</vt:lpstr>
      <vt:lpstr>ATUAL</vt:lpstr>
      <vt:lpstr>Planilha1</vt:lpstr>
      <vt:lpstr>ANTIGA_DIRECIONADOS</vt:lpstr>
      <vt:lpstr>APENDICE_BCB</vt:lpstr>
      <vt:lpstr>APENDICE_BCB_TABELA</vt:lpstr>
      <vt:lpstr>Planilha2</vt:lpstr>
      <vt:lpstr>Planilha8</vt:lpstr>
      <vt:lpstr>ATUAL_LIV_E_DIR</vt:lpstr>
      <vt:lpstr>Planilha4</vt:lpstr>
      <vt:lpstr>RETROPOLACAO_DISPERSAO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2024-02-08T17:13:55Z</dcterms:created>
  <dcterms:modified xsi:type="dcterms:W3CDTF">2026-10-17T14:14:24Z</dcterms:modified>
</cp:coreProperties>
</file>