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58cd692ca3cd0e/Documentos/Doutorado/Projeto de Tese/DADOS2023-09-30/ARTIGO/2024-07-15/Artigo_Endividamento_AKB/Cálculos/CEI/"/>
    </mc:Choice>
  </mc:AlternateContent>
  <xr:revisionPtr revIDLastSave="189" documentId="13_ncr:1_{A07D23E1-9B10-47F0-BEB2-433449F866BB}" xr6:coauthVersionLast="47" xr6:coauthVersionMax="47" xr10:uidLastSave="{81AD85EF-B7F1-4346-B7CA-55794A0D10F5}"/>
  <bookViews>
    <workbookView xWindow="-28920" yWindow="-60" windowWidth="29040" windowHeight="15720" activeTab="2" xr2:uid="{29014B1F-C995-4932-9AD1-490E322FFCD5}"/>
  </bookViews>
  <sheets>
    <sheet name="CEI_COMPLETA" sheetId="2" r:id="rId1"/>
    <sheet name="Ajustes" sheetId="3" r:id="rId2"/>
    <sheet name="Gráficos" sheetId="4" r:id="rId3"/>
  </sheets>
  <definedNames>
    <definedName name="DadosExternos_1" localSheetId="0" hidden="1">'CEI_COMPLETA'!$A$1:$E$1829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3" l="1" a="1"/>
  <c r="O11" i="3" s="1"/>
  <c r="O12" i="3" a="1"/>
  <c r="O12" i="3" s="1"/>
  <c r="O13" i="3" a="1"/>
  <c r="O13" i="3" s="1"/>
  <c r="I17" i="3" a="1"/>
  <c r="I17" i="3"/>
  <c r="J17" i="3" a="1"/>
  <c r="J17" i="3" s="1"/>
  <c r="K17" i="3" a="1"/>
  <c r="K17" i="3" s="1"/>
  <c r="L17" i="3" a="1"/>
  <c r="L17" i="3" s="1"/>
  <c r="M17" i="3" a="1"/>
  <c r="M17" i="3"/>
  <c r="N17" i="3" a="1"/>
  <c r="N17" i="3" s="1"/>
  <c r="O17" i="3" a="1"/>
  <c r="O17" i="3" s="1"/>
  <c r="C15" i="4" l="1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B16" i="4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T15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T11" i="3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B38" i="4"/>
  <c r="B25" i="4"/>
  <c r="B15" i="4"/>
  <c r="B9" i="4"/>
  <c r="T19" i="3" l="1"/>
  <c r="T20" i="3"/>
  <c r="T21" i="3"/>
  <c r="T26" i="3"/>
  <c r="I11" i="3" a="1"/>
  <c r="I11" i="3" s="1"/>
  <c r="I14" i="3" a="1"/>
  <c r="I14" i="3" s="1"/>
  <c r="J14" i="3" a="1"/>
  <c r="J14" i="3" s="1"/>
  <c r="K14" i="3" a="1"/>
  <c r="K14" i="3"/>
  <c r="L14" i="3" a="1"/>
  <c r="L14" i="3"/>
  <c r="M14" i="3" a="1"/>
  <c r="M14" i="3" s="1"/>
  <c r="N14" i="3" a="1"/>
  <c r="N14" i="3" s="1"/>
  <c r="O14" i="3" a="1"/>
  <c r="O14" i="3" s="1"/>
  <c r="I15" i="3" a="1"/>
  <c r="I15" i="3" s="1"/>
  <c r="J15" i="3" a="1"/>
  <c r="J15" i="3" s="1"/>
  <c r="K15" i="3" a="1"/>
  <c r="K15" i="3" s="1"/>
  <c r="L15" i="3" a="1"/>
  <c r="L15" i="3" s="1"/>
  <c r="M15" i="3" a="1"/>
  <c r="M15" i="3" s="1"/>
  <c r="N15" i="3" a="1"/>
  <c r="N15" i="3" s="1"/>
  <c r="O15" i="3" a="1"/>
  <c r="O15" i="3" s="1"/>
  <c r="I16" i="3" a="1"/>
  <c r="I16" i="3" s="1"/>
  <c r="J16" i="3" a="1"/>
  <c r="J16" i="3" s="1"/>
  <c r="K16" i="3" a="1"/>
  <c r="K16" i="3" s="1"/>
  <c r="L16" i="3" a="1"/>
  <c r="L16" i="3" s="1"/>
  <c r="M16" i="3" a="1"/>
  <c r="M16" i="3" s="1"/>
  <c r="N16" i="3" a="1"/>
  <c r="N16" i="3" s="1"/>
  <c r="O16" i="3" a="1"/>
  <c r="O16" i="3" s="1"/>
  <c r="I18" i="3" a="1"/>
  <c r="I18" i="3" s="1"/>
  <c r="J18" i="3" a="1"/>
  <c r="J18" i="3" s="1"/>
  <c r="K18" i="3" a="1"/>
  <c r="K18" i="3" s="1"/>
  <c r="L18" i="3" a="1"/>
  <c r="L18" i="3" s="1"/>
  <c r="M18" i="3" a="1"/>
  <c r="M18" i="3" s="1"/>
  <c r="N18" i="3" a="1"/>
  <c r="N18" i="3" s="1"/>
  <c r="O18" i="3" a="1"/>
  <c r="O18" i="3" s="1"/>
  <c r="I19" i="3" a="1"/>
  <c r="I19" i="3" s="1"/>
  <c r="J19" i="3" a="1"/>
  <c r="J19" i="3" s="1"/>
  <c r="K19" i="3" a="1"/>
  <c r="K19" i="3" s="1"/>
  <c r="L19" i="3" a="1"/>
  <c r="L19" i="3" s="1"/>
  <c r="M19" i="3" a="1"/>
  <c r="M19" i="3" s="1"/>
  <c r="N19" i="3" a="1"/>
  <c r="N19" i="3" s="1"/>
  <c r="O19" i="3" a="1"/>
  <c r="O19" i="3" s="1"/>
  <c r="I20" i="3" a="1"/>
  <c r="I20" i="3" s="1"/>
  <c r="J20" i="3" a="1"/>
  <c r="J20" i="3" s="1"/>
  <c r="K20" i="3" a="1"/>
  <c r="K20" i="3" s="1"/>
  <c r="L20" i="3" a="1"/>
  <c r="L20" i="3" s="1"/>
  <c r="M20" i="3" a="1"/>
  <c r="M20" i="3" s="1"/>
  <c r="N20" i="3" a="1"/>
  <c r="N20" i="3" s="1"/>
  <c r="O20" i="3" a="1"/>
  <c r="O20" i="3" s="1"/>
  <c r="I21" i="3" a="1"/>
  <c r="I21" i="3" s="1"/>
  <c r="J21" i="3" a="1"/>
  <c r="J21" i="3" s="1"/>
  <c r="K21" i="3" a="1"/>
  <c r="K21" i="3" s="1"/>
  <c r="L21" i="3" a="1"/>
  <c r="L21" i="3" s="1"/>
  <c r="M21" i="3" a="1"/>
  <c r="M21" i="3" s="1"/>
  <c r="N21" i="3" a="1"/>
  <c r="N21" i="3" s="1"/>
  <c r="O21" i="3" a="1"/>
  <c r="O21" i="3" s="1"/>
  <c r="I22" i="3" a="1"/>
  <c r="I22" i="3" s="1"/>
  <c r="J22" i="3" a="1"/>
  <c r="J22" i="3" s="1"/>
  <c r="K22" i="3" a="1"/>
  <c r="K22" i="3" s="1"/>
  <c r="L22" i="3" a="1"/>
  <c r="L22" i="3" s="1"/>
  <c r="M22" i="3" a="1"/>
  <c r="M22" i="3" s="1"/>
  <c r="N22" i="3" a="1"/>
  <c r="N22" i="3" s="1"/>
  <c r="O22" i="3" a="1"/>
  <c r="O22" i="3" s="1"/>
  <c r="I23" i="3" a="1"/>
  <c r="I23" i="3" s="1"/>
  <c r="J23" i="3" a="1"/>
  <c r="J23" i="3" s="1"/>
  <c r="K23" i="3" a="1"/>
  <c r="K23" i="3" s="1"/>
  <c r="L23" i="3" a="1"/>
  <c r="L23" i="3" s="1"/>
  <c r="M23" i="3" a="1"/>
  <c r="M23" i="3" s="1"/>
  <c r="N23" i="3" a="1"/>
  <c r="N23" i="3" s="1"/>
  <c r="O23" i="3" a="1"/>
  <c r="O23" i="3" s="1"/>
  <c r="I24" i="3" a="1"/>
  <c r="I24" i="3" s="1"/>
  <c r="J24" i="3" a="1"/>
  <c r="J24" i="3"/>
  <c r="K24" i="3" a="1"/>
  <c r="K24" i="3" s="1"/>
  <c r="L24" i="3" a="1"/>
  <c r="L24" i="3" s="1"/>
  <c r="M24" i="3" a="1"/>
  <c r="M24" i="3" s="1"/>
  <c r="N24" i="3" a="1"/>
  <c r="N24" i="3" s="1"/>
  <c r="O24" i="3" a="1"/>
  <c r="O24" i="3" s="1"/>
  <c r="I25" i="3" a="1"/>
  <c r="I25" i="3" s="1"/>
  <c r="J25" i="3" a="1"/>
  <c r="J25" i="3" s="1"/>
  <c r="K25" i="3" a="1"/>
  <c r="K25" i="3" s="1"/>
  <c r="L25" i="3" a="1"/>
  <c r="L25" i="3" s="1"/>
  <c r="M25" i="3" a="1"/>
  <c r="M25" i="3" s="1"/>
  <c r="N25" i="3" a="1"/>
  <c r="N25" i="3" s="1"/>
  <c r="O25" i="3" a="1"/>
  <c r="O25" i="3"/>
  <c r="I26" i="3" a="1"/>
  <c r="I26" i="3" s="1"/>
  <c r="J26" i="3" a="1"/>
  <c r="J26" i="3" s="1"/>
  <c r="K26" i="3" a="1"/>
  <c r="K26" i="3" s="1"/>
  <c r="L26" i="3" a="1"/>
  <c r="L26" i="3" s="1"/>
  <c r="M26" i="3" a="1"/>
  <c r="M26" i="3" s="1"/>
  <c r="N26" i="3" a="1"/>
  <c r="N26" i="3"/>
  <c r="O26" i="3" a="1"/>
  <c r="O26" i="3" s="1"/>
  <c r="I27" i="3" a="1"/>
  <c r="I27" i="3" s="1"/>
  <c r="J27" i="3" a="1"/>
  <c r="J27" i="3" s="1"/>
  <c r="K27" i="3" a="1"/>
  <c r="K27" i="3" s="1"/>
  <c r="L27" i="3" a="1"/>
  <c r="L27" i="3" s="1"/>
  <c r="M27" i="3" a="1"/>
  <c r="M27" i="3" s="1"/>
  <c r="N27" i="3" a="1"/>
  <c r="N27" i="3"/>
  <c r="O27" i="3" a="1"/>
  <c r="O27" i="3" s="1"/>
  <c r="I28" i="3" a="1"/>
  <c r="I28" i="3" s="1"/>
  <c r="J28" i="3" a="1"/>
  <c r="J28" i="3" s="1"/>
  <c r="K28" i="3" a="1"/>
  <c r="K28" i="3" s="1"/>
  <c r="L28" i="3" a="1"/>
  <c r="L28" i="3" s="1"/>
  <c r="M28" i="3" a="1"/>
  <c r="M28" i="3" s="1"/>
  <c r="N28" i="3" a="1"/>
  <c r="N28" i="3" s="1"/>
  <c r="O28" i="3" a="1"/>
  <c r="O28" i="3" s="1"/>
  <c r="I29" i="3" a="1"/>
  <c r="I29" i="3" s="1"/>
  <c r="J29" i="3" a="1"/>
  <c r="J29" i="3" s="1"/>
  <c r="K29" i="3" a="1"/>
  <c r="K29" i="3" s="1"/>
  <c r="L29" i="3" a="1"/>
  <c r="L29" i="3" s="1"/>
  <c r="M29" i="3" a="1"/>
  <c r="M29" i="3" s="1"/>
  <c r="N29" i="3" a="1"/>
  <c r="N29" i="3" s="1"/>
  <c r="O29" i="3" a="1"/>
  <c r="O29" i="3" s="1"/>
  <c r="I30" i="3" a="1"/>
  <c r="I30" i="3" s="1"/>
  <c r="J30" i="3" a="1"/>
  <c r="J30" i="3" s="1"/>
  <c r="K30" i="3" a="1"/>
  <c r="K30" i="3" s="1"/>
  <c r="L30" i="3" a="1"/>
  <c r="L30" i="3" s="1"/>
  <c r="M30" i="3" a="1"/>
  <c r="M30" i="3" s="1"/>
  <c r="N30" i="3" a="1"/>
  <c r="N30" i="3" s="1"/>
  <c r="O30" i="3" a="1"/>
  <c r="O30" i="3"/>
  <c r="I31" i="3" a="1"/>
  <c r="I31" i="3" s="1"/>
  <c r="J31" i="3" a="1"/>
  <c r="J31" i="3" s="1"/>
  <c r="K31" i="3" a="1"/>
  <c r="K31" i="3" s="1"/>
  <c r="L31" i="3" a="1"/>
  <c r="L31" i="3" s="1"/>
  <c r="M31" i="3" a="1"/>
  <c r="M31" i="3"/>
  <c r="N31" i="3" a="1"/>
  <c r="N31" i="3"/>
  <c r="O31" i="3" a="1"/>
  <c r="O31" i="3" s="1"/>
  <c r="I32" i="3" a="1"/>
  <c r="I32" i="3" s="1"/>
  <c r="J32" i="3" a="1"/>
  <c r="J32" i="3" s="1"/>
  <c r="K32" i="3" a="1"/>
  <c r="K32" i="3" s="1"/>
  <c r="L32" i="3" a="1"/>
  <c r="L32" i="3" s="1"/>
  <c r="M32" i="3" a="1"/>
  <c r="M32" i="3" s="1"/>
  <c r="N32" i="3" a="1"/>
  <c r="N32" i="3" s="1"/>
  <c r="O32" i="3" a="1"/>
  <c r="O32" i="3"/>
  <c r="I33" i="3" a="1"/>
  <c r="I33" i="3" s="1"/>
  <c r="J33" i="3" a="1"/>
  <c r="J33" i="3" s="1"/>
  <c r="K33" i="3" a="1"/>
  <c r="K33" i="3" s="1"/>
  <c r="L33" i="3" a="1"/>
  <c r="L33" i="3" s="1"/>
  <c r="M33" i="3" a="1"/>
  <c r="M33" i="3" s="1"/>
  <c r="N33" i="3" a="1"/>
  <c r="N33" i="3" s="1"/>
  <c r="O33" i="3" a="1"/>
  <c r="O33" i="3" s="1"/>
  <c r="I34" i="3" a="1"/>
  <c r="I34" i="3" s="1"/>
  <c r="J34" i="3" a="1"/>
  <c r="J34" i="3" s="1"/>
  <c r="K34" i="3" a="1"/>
  <c r="K34" i="3" s="1"/>
  <c r="L34" i="3" a="1"/>
  <c r="L34" i="3" s="1"/>
  <c r="M34" i="3" a="1"/>
  <c r="M34" i="3" s="1"/>
  <c r="N34" i="3" a="1"/>
  <c r="N34" i="3" s="1"/>
  <c r="O34" i="3" a="1"/>
  <c r="O34" i="3"/>
  <c r="I35" i="3" a="1"/>
  <c r="I35" i="3" s="1"/>
  <c r="J35" i="3" a="1"/>
  <c r="J35" i="3" s="1"/>
  <c r="K35" i="3" a="1"/>
  <c r="K35" i="3" s="1"/>
  <c r="L35" i="3" a="1"/>
  <c r="L35" i="3" s="1"/>
  <c r="M35" i="3" a="1"/>
  <c r="M35" i="3" s="1"/>
  <c r="N35" i="3" a="1"/>
  <c r="N35" i="3"/>
  <c r="O35" i="3" a="1"/>
  <c r="O35" i="3" s="1"/>
  <c r="I36" i="3" a="1"/>
  <c r="I36" i="3" s="1"/>
  <c r="J36" i="3" a="1"/>
  <c r="J36" i="3" s="1"/>
  <c r="K36" i="3" a="1"/>
  <c r="K36" i="3" s="1"/>
  <c r="L36" i="3" a="1"/>
  <c r="L36" i="3" s="1"/>
  <c r="M36" i="3" a="1"/>
  <c r="M36" i="3" s="1"/>
  <c r="N36" i="3" a="1"/>
  <c r="N36" i="3"/>
  <c r="O36" i="3" a="1"/>
  <c r="O36" i="3" s="1"/>
  <c r="I37" i="3" a="1"/>
  <c r="I37" i="3" s="1"/>
  <c r="J37" i="3" a="1"/>
  <c r="J37" i="3" s="1"/>
  <c r="K37" i="3" a="1"/>
  <c r="K37" i="3" s="1"/>
  <c r="L37" i="3" a="1"/>
  <c r="L37" i="3" s="1"/>
  <c r="M37" i="3" a="1"/>
  <c r="M37" i="3" s="1"/>
  <c r="N37" i="3" a="1"/>
  <c r="N37" i="3" s="1"/>
  <c r="O37" i="3" a="1"/>
  <c r="O37" i="3" s="1"/>
  <c r="I38" i="3" a="1"/>
  <c r="I38" i="3" s="1"/>
  <c r="J38" i="3" a="1"/>
  <c r="J38" i="3" s="1"/>
  <c r="K38" i="3" a="1"/>
  <c r="K38" i="3" s="1"/>
  <c r="L38" i="3" a="1"/>
  <c r="L38" i="3" s="1"/>
  <c r="M38" i="3" a="1"/>
  <c r="M38" i="3" s="1"/>
  <c r="N38" i="3" a="1"/>
  <c r="N38" i="3" s="1"/>
  <c r="O38" i="3" a="1"/>
  <c r="O38" i="3" s="1"/>
  <c r="I39" i="3" a="1"/>
  <c r="I39" i="3" s="1"/>
  <c r="J39" i="3" a="1"/>
  <c r="J39" i="3" s="1"/>
  <c r="K39" i="3" a="1"/>
  <c r="K39" i="3"/>
  <c r="L39" i="3" a="1"/>
  <c r="L39" i="3" s="1"/>
  <c r="M39" i="3" a="1"/>
  <c r="M39" i="3" s="1"/>
  <c r="N39" i="3" a="1"/>
  <c r="N39" i="3" s="1"/>
  <c r="O39" i="3" a="1"/>
  <c r="O39" i="3" s="1"/>
  <c r="I40" i="3" a="1"/>
  <c r="I40" i="3" s="1"/>
  <c r="J40" i="3" a="1"/>
  <c r="J40" i="3"/>
  <c r="K40" i="3" a="1"/>
  <c r="K40" i="3" s="1"/>
  <c r="L40" i="3" a="1"/>
  <c r="L40" i="3" s="1"/>
  <c r="M40" i="3" a="1"/>
  <c r="M40" i="3" s="1"/>
  <c r="N40" i="3" a="1"/>
  <c r="N40" i="3" s="1"/>
  <c r="O40" i="3" a="1"/>
  <c r="O40" i="3" s="1"/>
  <c r="I41" i="3" a="1"/>
  <c r="I41" i="3" s="1"/>
  <c r="J41" i="3" a="1"/>
  <c r="J41" i="3"/>
  <c r="K41" i="3" a="1"/>
  <c r="K41" i="3"/>
  <c r="L41" i="3" a="1"/>
  <c r="L41" i="3" s="1"/>
  <c r="M41" i="3" a="1"/>
  <c r="M41" i="3" s="1"/>
  <c r="N41" i="3" a="1"/>
  <c r="N41" i="3" s="1"/>
  <c r="O41" i="3" a="1"/>
  <c r="O41" i="3" s="1"/>
  <c r="I42" i="3" a="1"/>
  <c r="I42" i="3" s="1"/>
  <c r="J42" i="3" a="1"/>
  <c r="J42" i="3" s="1"/>
  <c r="K42" i="3" a="1"/>
  <c r="K42" i="3" s="1"/>
  <c r="L42" i="3" a="1"/>
  <c r="L42" i="3" s="1"/>
  <c r="M42" i="3" a="1"/>
  <c r="M42" i="3" s="1"/>
  <c r="N42" i="3" a="1"/>
  <c r="N42" i="3"/>
  <c r="O42" i="3" a="1"/>
  <c r="O42" i="3" s="1"/>
  <c r="I43" i="3" a="1"/>
  <c r="I43" i="3" s="1"/>
  <c r="J43" i="3" a="1"/>
  <c r="J43" i="3" s="1"/>
  <c r="K43" i="3" a="1"/>
  <c r="K43" i="3" s="1"/>
  <c r="L43" i="3" a="1"/>
  <c r="L43" i="3" s="1"/>
  <c r="M43" i="3" a="1"/>
  <c r="M43" i="3" s="1"/>
  <c r="N43" i="3" a="1"/>
  <c r="N43" i="3" s="1"/>
  <c r="O43" i="3" a="1"/>
  <c r="O43" i="3" s="1"/>
  <c r="J11" i="3" a="1"/>
  <c r="J11" i="3" s="1"/>
  <c r="K11" i="3" a="1"/>
  <c r="K11" i="3" s="1"/>
  <c r="L11" i="3" a="1"/>
  <c r="L11" i="3" s="1"/>
  <c r="M11" i="3" a="1"/>
  <c r="M11" i="3" s="1"/>
  <c r="N11" i="3" a="1"/>
  <c r="N11" i="3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J13" i="3" a="1"/>
  <c r="J13" i="3" s="1"/>
  <c r="K13" i="3" a="1"/>
  <c r="K13" i="3" s="1"/>
  <c r="L13" i="3" a="1"/>
  <c r="L13" i="3" s="1"/>
  <c r="M13" i="3" a="1"/>
  <c r="M13" i="3" s="1"/>
  <c r="N13" i="3" a="1"/>
  <c r="N13" i="3" s="1"/>
  <c r="I12" i="3" a="1"/>
  <c r="I12" i="3" s="1"/>
  <c r="I13" i="3" a="1"/>
  <c r="I13" i="3" s="1"/>
  <c r="U43" i="3" l="1"/>
  <c r="V43" i="3"/>
  <c r="W43" i="3" l="1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T43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T41" i="3"/>
  <c r="AE2" i="3"/>
  <c r="M3" i="4" s="1"/>
  <c r="AF2" i="3"/>
  <c r="N3" i="4" s="1"/>
  <c r="AG2" i="3"/>
  <c r="O3" i="4" s="1"/>
  <c r="AH2" i="3"/>
  <c r="P3" i="4" s="1"/>
  <c r="AI2" i="3"/>
  <c r="Q3" i="4" s="1"/>
  <c r="AJ2" i="3"/>
  <c r="R3" i="4" s="1"/>
  <c r="AK2" i="3"/>
  <c r="S3" i="4" s="1"/>
  <c r="AL2" i="3"/>
  <c r="T3" i="4" s="1"/>
  <c r="AM2" i="3"/>
  <c r="U3" i="4" s="1"/>
  <c r="AN2" i="3"/>
  <c r="V3" i="4" s="1"/>
  <c r="AO2" i="3"/>
  <c r="W3" i="4" s="1"/>
  <c r="AE3" i="3"/>
  <c r="M4" i="4" s="1"/>
  <c r="AF3" i="3"/>
  <c r="N4" i="4" s="1"/>
  <c r="AG3" i="3"/>
  <c r="O4" i="4" s="1"/>
  <c r="AH3" i="3"/>
  <c r="P4" i="4" s="1"/>
  <c r="AI3" i="3"/>
  <c r="Q4" i="4" s="1"/>
  <c r="AJ3" i="3"/>
  <c r="R4" i="4" s="1"/>
  <c r="AK3" i="3"/>
  <c r="S4" i="4" s="1"/>
  <c r="AL3" i="3"/>
  <c r="T4" i="4" s="1"/>
  <c r="AM3" i="3"/>
  <c r="U4" i="4" s="1"/>
  <c r="AN3" i="3"/>
  <c r="V4" i="4" s="1"/>
  <c r="AO3" i="3"/>
  <c r="W4" i="4" s="1"/>
  <c r="AE4" i="3"/>
  <c r="AF4" i="3"/>
  <c r="AG4" i="3"/>
  <c r="AH4" i="3"/>
  <c r="AI4" i="3"/>
  <c r="AJ4" i="3"/>
  <c r="AK4" i="3"/>
  <c r="AL4" i="3"/>
  <c r="AM4" i="3"/>
  <c r="AN4" i="3"/>
  <c r="AO4" i="3"/>
  <c r="AE8" i="3"/>
  <c r="M50" i="4" s="1"/>
  <c r="AF8" i="3"/>
  <c r="N50" i="4" s="1"/>
  <c r="AG8" i="3"/>
  <c r="O50" i="4" s="1"/>
  <c r="AH8" i="3"/>
  <c r="P50" i="4" s="1"/>
  <c r="AI8" i="3"/>
  <c r="Q50" i="4" s="1"/>
  <c r="AJ8" i="3"/>
  <c r="R50" i="4" s="1"/>
  <c r="AK8" i="3"/>
  <c r="S50" i="4" s="1"/>
  <c r="AL8" i="3"/>
  <c r="T50" i="4" s="1"/>
  <c r="AM8" i="3"/>
  <c r="U50" i="4" s="1"/>
  <c r="AN8" i="3"/>
  <c r="V50" i="4" s="1"/>
  <c r="AO8" i="3"/>
  <c r="W50" i="4" s="1"/>
  <c r="AE18" i="3"/>
  <c r="AF18" i="3"/>
  <c r="AG18" i="3"/>
  <c r="AH18" i="3"/>
  <c r="AI18" i="3"/>
  <c r="AJ18" i="3"/>
  <c r="AK18" i="3"/>
  <c r="AL18" i="3"/>
  <c r="AM18" i="3"/>
  <c r="AN18" i="3"/>
  <c r="AO18" i="3"/>
  <c r="AE19" i="3"/>
  <c r="AF19" i="3"/>
  <c r="AG19" i="3"/>
  <c r="AH19" i="3"/>
  <c r="AI19" i="3"/>
  <c r="AJ19" i="3"/>
  <c r="AK19" i="3"/>
  <c r="AL19" i="3"/>
  <c r="AM19" i="3"/>
  <c r="AN19" i="3"/>
  <c r="AO19" i="3"/>
  <c r="AE20" i="3"/>
  <c r="AF20" i="3"/>
  <c r="AG20" i="3"/>
  <c r="AH20" i="3"/>
  <c r="AI20" i="3"/>
  <c r="AJ20" i="3"/>
  <c r="AK20" i="3"/>
  <c r="AL20" i="3"/>
  <c r="AM20" i="3"/>
  <c r="AN20" i="3"/>
  <c r="AO20" i="3"/>
  <c r="AE21" i="3"/>
  <c r="AF21" i="3"/>
  <c r="AG21" i="3"/>
  <c r="AH21" i="3"/>
  <c r="AI21" i="3"/>
  <c r="AJ21" i="3"/>
  <c r="AK21" i="3"/>
  <c r="AL21" i="3"/>
  <c r="AM21" i="3"/>
  <c r="AN21" i="3"/>
  <c r="AO21" i="3"/>
  <c r="AE22" i="3"/>
  <c r="AF22" i="3"/>
  <c r="AG22" i="3"/>
  <c r="AH22" i="3"/>
  <c r="AI22" i="3"/>
  <c r="AJ22" i="3"/>
  <c r="AK22" i="3"/>
  <c r="AL22" i="3"/>
  <c r="AM22" i="3"/>
  <c r="AN22" i="3"/>
  <c r="AO22" i="3"/>
  <c r="AE23" i="3"/>
  <c r="AF23" i="3"/>
  <c r="AG23" i="3"/>
  <c r="AH23" i="3"/>
  <c r="AI23" i="3"/>
  <c r="AJ23" i="3"/>
  <c r="AK23" i="3"/>
  <c r="AL23" i="3"/>
  <c r="AM23" i="3"/>
  <c r="AN23" i="3"/>
  <c r="AO23" i="3"/>
  <c r="AE24" i="3"/>
  <c r="AF24" i="3"/>
  <c r="AG24" i="3"/>
  <c r="AH24" i="3"/>
  <c r="AI24" i="3"/>
  <c r="AJ24" i="3"/>
  <c r="AK24" i="3"/>
  <c r="AL24" i="3"/>
  <c r="AM24" i="3"/>
  <c r="AN24" i="3"/>
  <c r="AO24" i="3"/>
  <c r="AE25" i="3"/>
  <c r="AF25" i="3"/>
  <c r="AG25" i="3"/>
  <c r="AH25" i="3"/>
  <c r="AI25" i="3"/>
  <c r="AJ25" i="3"/>
  <c r="AK25" i="3"/>
  <c r="AL25" i="3"/>
  <c r="AM25" i="3"/>
  <c r="AN25" i="3"/>
  <c r="AO25" i="3"/>
  <c r="AE26" i="3"/>
  <c r="AF26" i="3"/>
  <c r="AG26" i="3"/>
  <c r="AH26" i="3"/>
  <c r="AI26" i="3"/>
  <c r="AJ26" i="3"/>
  <c r="AK26" i="3"/>
  <c r="AL26" i="3"/>
  <c r="AM26" i="3"/>
  <c r="AN26" i="3"/>
  <c r="AO26" i="3"/>
  <c r="AE27" i="3"/>
  <c r="AF27" i="3"/>
  <c r="AG27" i="3"/>
  <c r="AH27" i="3"/>
  <c r="AI27" i="3"/>
  <c r="AJ27" i="3"/>
  <c r="AK27" i="3"/>
  <c r="AL27" i="3"/>
  <c r="AM27" i="3"/>
  <c r="AN27" i="3"/>
  <c r="AO27" i="3"/>
  <c r="AE28" i="3"/>
  <c r="AF28" i="3"/>
  <c r="AG28" i="3"/>
  <c r="AH28" i="3"/>
  <c r="AI28" i="3"/>
  <c r="AJ28" i="3"/>
  <c r="AK28" i="3"/>
  <c r="AL28" i="3"/>
  <c r="AM28" i="3"/>
  <c r="AN28" i="3"/>
  <c r="AO28" i="3"/>
  <c r="AE29" i="3"/>
  <c r="AF29" i="3"/>
  <c r="AG29" i="3"/>
  <c r="AH29" i="3"/>
  <c r="AI29" i="3"/>
  <c r="AJ29" i="3"/>
  <c r="AK29" i="3"/>
  <c r="AL29" i="3"/>
  <c r="AM29" i="3"/>
  <c r="AN29" i="3"/>
  <c r="AO29" i="3"/>
  <c r="AE30" i="3"/>
  <c r="AF30" i="3"/>
  <c r="AG30" i="3"/>
  <c r="AH30" i="3"/>
  <c r="AI30" i="3"/>
  <c r="AJ30" i="3"/>
  <c r="AK30" i="3"/>
  <c r="AL30" i="3"/>
  <c r="AM30" i="3"/>
  <c r="AN30" i="3"/>
  <c r="AO30" i="3"/>
  <c r="AE31" i="3"/>
  <c r="AF31" i="3"/>
  <c r="AG31" i="3"/>
  <c r="AH31" i="3"/>
  <c r="AI31" i="3"/>
  <c r="AJ31" i="3"/>
  <c r="AK31" i="3"/>
  <c r="AL31" i="3"/>
  <c r="AM31" i="3"/>
  <c r="AN31" i="3"/>
  <c r="AO31" i="3"/>
  <c r="AE32" i="3"/>
  <c r="AF32" i="3"/>
  <c r="AG32" i="3"/>
  <c r="AH32" i="3"/>
  <c r="AI32" i="3"/>
  <c r="AJ32" i="3"/>
  <c r="AK32" i="3"/>
  <c r="AL32" i="3"/>
  <c r="AM32" i="3"/>
  <c r="AN32" i="3"/>
  <c r="AO32" i="3"/>
  <c r="AE33" i="3"/>
  <c r="AF33" i="3"/>
  <c r="AG33" i="3"/>
  <c r="AH33" i="3"/>
  <c r="AI33" i="3"/>
  <c r="AJ33" i="3"/>
  <c r="AK33" i="3"/>
  <c r="AL33" i="3"/>
  <c r="AM33" i="3"/>
  <c r="AN33" i="3"/>
  <c r="AO33" i="3"/>
  <c r="AE35" i="3"/>
  <c r="M23" i="4" s="1"/>
  <c r="M26" i="4" s="1"/>
  <c r="AF35" i="3"/>
  <c r="N23" i="4" s="1"/>
  <c r="AG35" i="3"/>
  <c r="O23" i="4" s="1"/>
  <c r="O26" i="4" s="1"/>
  <c r="O32" i="4" s="1"/>
  <c r="AH35" i="3"/>
  <c r="P23" i="4" s="1"/>
  <c r="P26" i="4" s="1"/>
  <c r="AI35" i="3"/>
  <c r="Q23" i="4" s="1"/>
  <c r="Q26" i="4" s="1"/>
  <c r="AJ35" i="3"/>
  <c r="R23" i="4" s="1"/>
  <c r="R26" i="4" s="1"/>
  <c r="AK35" i="3"/>
  <c r="S23" i="4" s="1"/>
  <c r="AL35" i="3"/>
  <c r="T23" i="4" s="1"/>
  <c r="T26" i="4" s="1"/>
  <c r="AM35" i="3"/>
  <c r="U23" i="4" s="1"/>
  <c r="AN35" i="3"/>
  <c r="V23" i="4" s="1"/>
  <c r="AO35" i="3"/>
  <c r="W23" i="4" s="1"/>
  <c r="W26" i="4" s="1"/>
  <c r="W32" i="4" s="1"/>
  <c r="AE36" i="3"/>
  <c r="AF36" i="3"/>
  <c r="AG36" i="3"/>
  <c r="AH36" i="3"/>
  <c r="AI36" i="3"/>
  <c r="AJ36" i="3"/>
  <c r="AK36" i="3"/>
  <c r="AL36" i="3"/>
  <c r="AM36" i="3"/>
  <c r="AN36" i="3"/>
  <c r="AO36" i="3"/>
  <c r="AE38" i="3"/>
  <c r="M44" i="4" s="1"/>
  <c r="AF38" i="3"/>
  <c r="N44" i="4" s="1"/>
  <c r="AG38" i="3"/>
  <c r="O44" i="4" s="1"/>
  <c r="AH38" i="3"/>
  <c r="P44" i="4" s="1"/>
  <c r="AI38" i="3"/>
  <c r="Q44" i="4" s="1"/>
  <c r="AJ38" i="3"/>
  <c r="R44" i="4" s="1"/>
  <c r="AK38" i="3"/>
  <c r="S44" i="4" s="1"/>
  <c r="AL38" i="3"/>
  <c r="T44" i="4" s="1"/>
  <c r="AM38" i="3"/>
  <c r="U44" i="4" s="1"/>
  <c r="AN38" i="3"/>
  <c r="V44" i="4" s="1"/>
  <c r="AO38" i="3"/>
  <c r="W44" i="4" s="1"/>
  <c r="AE39" i="3"/>
  <c r="M45" i="4" s="1"/>
  <c r="AF39" i="3"/>
  <c r="N45" i="4" s="1"/>
  <c r="AG39" i="3"/>
  <c r="O45" i="4" s="1"/>
  <c r="AH39" i="3"/>
  <c r="P45" i="4" s="1"/>
  <c r="AI39" i="3"/>
  <c r="Q45" i="4" s="1"/>
  <c r="AJ39" i="3"/>
  <c r="R45" i="4" s="1"/>
  <c r="AK39" i="3"/>
  <c r="S45" i="4" s="1"/>
  <c r="AL39" i="3"/>
  <c r="T45" i="4" s="1"/>
  <c r="AM39" i="3"/>
  <c r="U45" i="4" s="1"/>
  <c r="AN39" i="3"/>
  <c r="V45" i="4" s="1"/>
  <c r="AO39" i="3"/>
  <c r="W45" i="4" s="1"/>
  <c r="AD3" i="3"/>
  <c r="L4" i="4" s="1"/>
  <c r="AD4" i="3"/>
  <c r="AD8" i="3"/>
  <c r="L50" i="4" s="1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5" i="3"/>
  <c r="L23" i="4" s="1"/>
  <c r="L26" i="4" s="1"/>
  <c r="AD36" i="3"/>
  <c r="AD38" i="3"/>
  <c r="L44" i="4" s="1"/>
  <c r="AD39" i="3"/>
  <c r="AD2" i="3"/>
  <c r="L3" i="4" s="1"/>
  <c r="U2" i="3"/>
  <c r="C3" i="4" s="1"/>
  <c r="V2" i="3"/>
  <c r="D3" i="4" s="1"/>
  <c r="W2" i="3"/>
  <c r="E3" i="4" s="1"/>
  <c r="X2" i="3"/>
  <c r="F3" i="4" s="1"/>
  <c r="Y2" i="3"/>
  <c r="G3" i="4" s="1"/>
  <c r="Z2" i="3"/>
  <c r="H3" i="4" s="1"/>
  <c r="AA2" i="3"/>
  <c r="I3" i="4" s="1"/>
  <c r="AB2" i="3"/>
  <c r="J3" i="4" s="1"/>
  <c r="AC2" i="3"/>
  <c r="K3" i="4" s="1"/>
  <c r="U3" i="3"/>
  <c r="C4" i="4" s="1"/>
  <c r="V3" i="3"/>
  <c r="D4" i="4" s="1"/>
  <c r="W3" i="3"/>
  <c r="E4" i="4" s="1"/>
  <c r="X3" i="3"/>
  <c r="F4" i="4" s="1"/>
  <c r="Y3" i="3"/>
  <c r="G4" i="4" s="1"/>
  <c r="Z3" i="3"/>
  <c r="H4" i="4" s="1"/>
  <c r="AA3" i="3"/>
  <c r="I4" i="4" s="1"/>
  <c r="AB3" i="3"/>
  <c r="J4" i="4" s="1"/>
  <c r="AC3" i="3"/>
  <c r="K4" i="4" s="1"/>
  <c r="U4" i="3"/>
  <c r="V4" i="3"/>
  <c r="W4" i="3"/>
  <c r="X4" i="3"/>
  <c r="Y4" i="3"/>
  <c r="Z4" i="3"/>
  <c r="AA4" i="3"/>
  <c r="AB4" i="3"/>
  <c r="AC4" i="3"/>
  <c r="U8" i="3"/>
  <c r="C50" i="4" s="1"/>
  <c r="V8" i="3"/>
  <c r="D50" i="4" s="1"/>
  <c r="W8" i="3"/>
  <c r="E50" i="4" s="1"/>
  <c r="X8" i="3"/>
  <c r="F50" i="4" s="1"/>
  <c r="Y8" i="3"/>
  <c r="G50" i="4" s="1"/>
  <c r="Z8" i="3"/>
  <c r="H50" i="4" s="1"/>
  <c r="AA8" i="3"/>
  <c r="I50" i="4" s="1"/>
  <c r="AB8" i="3"/>
  <c r="J50" i="4" s="1"/>
  <c r="AC8" i="3"/>
  <c r="K50" i="4" s="1"/>
  <c r="U18" i="3"/>
  <c r="V18" i="3"/>
  <c r="W18" i="3"/>
  <c r="X18" i="3"/>
  <c r="Y18" i="3"/>
  <c r="Z18" i="3"/>
  <c r="AA18" i="3"/>
  <c r="AB18" i="3"/>
  <c r="AC18" i="3"/>
  <c r="U19" i="3"/>
  <c r="V19" i="3"/>
  <c r="W19" i="3"/>
  <c r="X19" i="3"/>
  <c r="Y19" i="3"/>
  <c r="Z19" i="3"/>
  <c r="AA19" i="3"/>
  <c r="AB19" i="3"/>
  <c r="AC19" i="3"/>
  <c r="U20" i="3"/>
  <c r="V20" i="3"/>
  <c r="W20" i="3"/>
  <c r="X20" i="3"/>
  <c r="Y20" i="3"/>
  <c r="Z20" i="3"/>
  <c r="AA20" i="3"/>
  <c r="AB20" i="3"/>
  <c r="AC20" i="3"/>
  <c r="U21" i="3"/>
  <c r="V21" i="3"/>
  <c r="W21" i="3"/>
  <c r="X21" i="3"/>
  <c r="Y21" i="3"/>
  <c r="Z21" i="3"/>
  <c r="AA21" i="3"/>
  <c r="AB21" i="3"/>
  <c r="AC21" i="3"/>
  <c r="U22" i="3"/>
  <c r="V22" i="3"/>
  <c r="W22" i="3"/>
  <c r="X22" i="3"/>
  <c r="Y22" i="3"/>
  <c r="Z22" i="3"/>
  <c r="AA22" i="3"/>
  <c r="AB22" i="3"/>
  <c r="AC22" i="3"/>
  <c r="U23" i="3"/>
  <c r="V23" i="3"/>
  <c r="W23" i="3"/>
  <c r="X23" i="3"/>
  <c r="Y23" i="3"/>
  <c r="Z23" i="3"/>
  <c r="AA23" i="3"/>
  <c r="AB23" i="3"/>
  <c r="AC23" i="3"/>
  <c r="U24" i="3"/>
  <c r="V24" i="3"/>
  <c r="W24" i="3"/>
  <c r="X24" i="3"/>
  <c r="Y24" i="3"/>
  <c r="Z24" i="3"/>
  <c r="AA24" i="3"/>
  <c r="AB24" i="3"/>
  <c r="AC24" i="3"/>
  <c r="U25" i="3"/>
  <c r="V25" i="3"/>
  <c r="W25" i="3"/>
  <c r="X25" i="3"/>
  <c r="Y25" i="3"/>
  <c r="Z25" i="3"/>
  <c r="AA25" i="3"/>
  <c r="AB25" i="3"/>
  <c r="AC25" i="3"/>
  <c r="U26" i="3"/>
  <c r="V26" i="3"/>
  <c r="W26" i="3"/>
  <c r="X26" i="3"/>
  <c r="Y26" i="3"/>
  <c r="Z26" i="3"/>
  <c r="AA26" i="3"/>
  <c r="AB26" i="3"/>
  <c r="AC26" i="3"/>
  <c r="U27" i="3"/>
  <c r="V27" i="3"/>
  <c r="W27" i="3"/>
  <c r="X27" i="3"/>
  <c r="Y27" i="3"/>
  <c r="Z27" i="3"/>
  <c r="AA27" i="3"/>
  <c r="AB27" i="3"/>
  <c r="AC27" i="3"/>
  <c r="U28" i="3"/>
  <c r="V28" i="3"/>
  <c r="W28" i="3"/>
  <c r="X28" i="3"/>
  <c r="Y28" i="3"/>
  <c r="Z28" i="3"/>
  <c r="AA28" i="3"/>
  <c r="AB28" i="3"/>
  <c r="AC28" i="3"/>
  <c r="U29" i="3"/>
  <c r="V29" i="3"/>
  <c r="W29" i="3"/>
  <c r="X29" i="3"/>
  <c r="Y29" i="3"/>
  <c r="Z29" i="3"/>
  <c r="AA29" i="3"/>
  <c r="AB29" i="3"/>
  <c r="AC29" i="3"/>
  <c r="U30" i="3"/>
  <c r="V30" i="3"/>
  <c r="W30" i="3"/>
  <c r="X30" i="3"/>
  <c r="Y30" i="3"/>
  <c r="Z30" i="3"/>
  <c r="AA30" i="3"/>
  <c r="AB30" i="3"/>
  <c r="AC30" i="3"/>
  <c r="U31" i="3"/>
  <c r="V31" i="3"/>
  <c r="W31" i="3"/>
  <c r="X31" i="3"/>
  <c r="Y31" i="3"/>
  <c r="Z31" i="3"/>
  <c r="AA31" i="3"/>
  <c r="AB31" i="3"/>
  <c r="AC31" i="3"/>
  <c r="U32" i="3"/>
  <c r="V32" i="3"/>
  <c r="W32" i="3"/>
  <c r="X32" i="3"/>
  <c r="Y32" i="3"/>
  <c r="Z32" i="3"/>
  <c r="AA32" i="3"/>
  <c r="AB32" i="3"/>
  <c r="AC32" i="3"/>
  <c r="U33" i="3"/>
  <c r="V33" i="3"/>
  <c r="W33" i="3"/>
  <c r="X33" i="3"/>
  <c r="Y33" i="3"/>
  <c r="Z33" i="3"/>
  <c r="AA33" i="3"/>
  <c r="AB33" i="3"/>
  <c r="AC33" i="3"/>
  <c r="U35" i="3"/>
  <c r="C23" i="4" s="1"/>
  <c r="V35" i="3"/>
  <c r="D23" i="4" s="1"/>
  <c r="D26" i="4" s="1"/>
  <c r="D32" i="4" s="1"/>
  <c r="W35" i="3"/>
  <c r="E23" i="4" s="1"/>
  <c r="E26" i="4" s="1"/>
  <c r="E32" i="4" s="1"/>
  <c r="X35" i="3"/>
  <c r="F23" i="4" s="1"/>
  <c r="F26" i="4" s="1"/>
  <c r="Y35" i="3"/>
  <c r="G23" i="4" s="1"/>
  <c r="G26" i="4" s="1"/>
  <c r="Z35" i="3"/>
  <c r="H23" i="4" s="1"/>
  <c r="H26" i="4" s="1"/>
  <c r="AA35" i="3"/>
  <c r="I23" i="4" s="1"/>
  <c r="AB35" i="3"/>
  <c r="J23" i="4" s="1"/>
  <c r="J26" i="4" s="1"/>
  <c r="AC35" i="3"/>
  <c r="K23" i="4" s="1"/>
  <c r="U36" i="3"/>
  <c r="V36" i="3"/>
  <c r="W36" i="3"/>
  <c r="X36" i="3"/>
  <c r="Y36" i="3"/>
  <c r="Z36" i="3"/>
  <c r="AA36" i="3"/>
  <c r="AB36" i="3"/>
  <c r="AC36" i="3"/>
  <c r="U38" i="3"/>
  <c r="C44" i="4" s="1"/>
  <c r="V38" i="3"/>
  <c r="D44" i="4" s="1"/>
  <c r="W38" i="3"/>
  <c r="E44" i="4" s="1"/>
  <c r="X38" i="3"/>
  <c r="F44" i="4" s="1"/>
  <c r="Y38" i="3"/>
  <c r="G44" i="4" s="1"/>
  <c r="Z38" i="3"/>
  <c r="H44" i="4" s="1"/>
  <c r="AA38" i="3"/>
  <c r="I44" i="4" s="1"/>
  <c r="AB38" i="3"/>
  <c r="J44" i="4" s="1"/>
  <c r="AC38" i="3"/>
  <c r="K44" i="4" s="1"/>
  <c r="U39" i="3"/>
  <c r="C45" i="4" s="1"/>
  <c r="V39" i="3"/>
  <c r="D45" i="4" s="1"/>
  <c r="W39" i="3"/>
  <c r="E45" i="4" s="1"/>
  <c r="X39" i="3"/>
  <c r="F45" i="4" s="1"/>
  <c r="Y39" i="3"/>
  <c r="G45" i="4" s="1"/>
  <c r="Z39" i="3"/>
  <c r="H45" i="4" s="1"/>
  <c r="AA39" i="3"/>
  <c r="I45" i="4" s="1"/>
  <c r="AB39" i="3"/>
  <c r="J45" i="4" s="1"/>
  <c r="AC39" i="3"/>
  <c r="K45" i="4" s="1"/>
  <c r="T3" i="3"/>
  <c r="B4" i="4" s="1"/>
  <c r="T4" i="3"/>
  <c r="T8" i="3"/>
  <c r="B50" i="4" s="1"/>
  <c r="T18" i="3"/>
  <c r="T22" i="3"/>
  <c r="T23" i="3"/>
  <c r="T24" i="3"/>
  <c r="T25" i="3"/>
  <c r="T27" i="3"/>
  <c r="T28" i="3"/>
  <c r="T29" i="3"/>
  <c r="T30" i="3"/>
  <c r="T31" i="3"/>
  <c r="T32" i="3"/>
  <c r="T33" i="3"/>
  <c r="T35" i="3"/>
  <c r="B23" i="4" s="1"/>
  <c r="B26" i="4" s="1"/>
  <c r="T36" i="3"/>
  <c r="T38" i="3"/>
  <c r="B44" i="4" s="1"/>
  <c r="T39" i="3"/>
  <c r="B45" i="4" s="1"/>
  <c r="T2" i="3"/>
  <c r="B3" i="4" s="1"/>
  <c r="J32" i="4" l="1"/>
  <c r="F47" i="4"/>
  <c r="L32" i="4"/>
  <c r="T32" i="4"/>
  <c r="H47" i="4"/>
  <c r="R47" i="4"/>
  <c r="M32" i="4"/>
  <c r="D47" i="4"/>
  <c r="G47" i="4"/>
  <c r="Q47" i="4"/>
  <c r="P47" i="4"/>
  <c r="E47" i="4"/>
  <c r="W47" i="4"/>
  <c r="O47" i="4"/>
  <c r="H32" i="4"/>
  <c r="R32" i="4"/>
  <c r="V47" i="4"/>
  <c r="N47" i="4"/>
  <c r="K47" i="4"/>
  <c r="C47" i="4"/>
  <c r="U47" i="4"/>
  <c r="M47" i="4"/>
  <c r="J47" i="4"/>
  <c r="L47" i="4"/>
  <c r="S54" i="4"/>
  <c r="T47" i="4"/>
  <c r="I47" i="4"/>
  <c r="AD37" i="3"/>
  <c r="L43" i="4" s="1"/>
  <c r="L45" i="4"/>
  <c r="S47" i="4"/>
  <c r="C29" i="4"/>
  <c r="C26" i="4"/>
  <c r="C32" i="4" s="1"/>
  <c r="Q32" i="4"/>
  <c r="V29" i="4"/>
  <c r="V26" i="4"/>
  <c r="V32" i="4" s="1"/>
  <c r="N29" i="4"/>
  <c r="N26" i="4"/>
  <c r="N32" i="4" s="1"/>
  <c r="I29" i="4"/>
  <c r="I26" i="4"/>
  <c r="I32" i="4" s="1"/>
  <c r="S29" i="4"/>
  <c r="S26" i="4"/>
  <c r="S32" i="4" s="1"/>
  <c r="B47" i="4"/>
  <c r="K29" i="4"/>
  <c r="K26" i="4"/>
  <c r="K32" i="4" s="1"/>
  <c r="U29" i="4"/>
  <c r="U26" i="4"/>
  <c r="U32" i="4" s="1"/>
  <c r="B32" i="4"/>
  <c r="F32" i="4"/>
  <c r="P32" i="4"/>
  <c r="G32" i="4"/>
  <c r="J29" i="4"/>
  <c r="T29" i="4"/>
  <c r="T54" i="4"/>
  <c r="L54" i="4"/>
  <c r="W29" i="4"/>
  <c r="H29" i="4"/>
  <c r="G29" i="4"/>
  <c r="R19" i="4"/>
  <c r="R18" i="4"/>
  <c r="G19" i="4"/>
  <c r="G18" i="4"/>
  <c r="F19" i="4"/>
  <c r="F18" i="4"/>
  <c r="N19" i="4"/>
  <c r="N18" i="4"/>
  <c r="Q19" i="4"/>
  <c r="Q18" i="4"/>
  <c r="E19" i="4"/>
  <c r="E18" i="4"/>
  <c r="D19" i="4"/>
  <c r="D18" i="4"/>
  <c r="C19" i="4"/>
  <c r="C18" i="4"/>
  <c r="M19" i="4"/>
  <c r="M18" i="4"/>
  <c r="K19" i="4"/>
  <c r="K18" i="4"/>
  <c r="U18" i="4"/>
  <c r="U19" i="4"/>
  <c r="H18" i="4"/>
  <c r="H19" i="4"/>
  <c r="P19" i="4"/>
  <c r="P18" i="4"/>
  <c r="W19" i="4"/>
  <c r="W18" i="4"/>
  <c r="V18" i="4"/>
  <c r="V19" i="4"/>
  <c r="B19" i="4"/>
  <c r="B18" i="4"/>
  <c r="J18" i="4"/>
  <c r="J19" i="4"/>
  <c r="T18" i="4"/>
  <c r="T19" i="4"/>
  <c r="O19" i="4"/>
  <c r="O18" i="4"/>
  <c r="L19" i="4"/>
  <c r="L18" i="4"/>
  <c r="I18" i="4"/>
  <c r="I19" i="4"/>
  <c r="S19" i="4"/>
  <c r="S18" i="4"/>
  <c r="M29" i="4"/>
  <c r="Q29" i="4"/>
  <c r="P29" i="4"/>
  <c r="AM37" i="3"/>
  <c r="U43" i="4" s="1"/>
  <c r="T37" i="3"/>
  <c r="B43" i="4" s="1"/>
  <c r="AJ37" i="3"/>
  <c r="R43" i="4" s="1"/>
  <c r="AK37" i="3"/>
  <c r="S43" i="4" s="1"/>
  <c r="G54" i="4"/>
  <c r="F54" i="4"/>
  <c r="Q54" i="4"/>
  <c r="H54" i="4"/>
  <c r="R54" i="4"/>
  <c r="P54" i="4"/>
  <c r="E40" i="4"/>
  <c r="E11" i="4"/>
  <c r="E31" i="4"/>
  <c r="D29" i="4"/>
  <c r="AI37" i="3"/>
  <c r="Q43" i="4" s="1"/>
  <c r="AC37" i="3"/>
  <c r="K43" i="4" s="1"/>
  <c r="E12" i="4"/>
  <c r="AB37" i="3"/>
  <c r="D12" i="4"/>
  <c r="AF37" i="3"/>
  <c r="N43" i="4" s="1"/>
  <c r="AA37" i="3"/>
  <c r="I43" i="4" s="1"/>
  <c r="C54" i="4"/>
  <c r="T34" i="3"/>
  <c r="B24" i="4"/>
  <c r="L12" i="4"/>
  <c r="J31" i="4"/>
  <c r="J40" i="4"/>
  <c r="J11" i="4"/>
  <c r="K24" i="4"/>
  <c r="AC34" i="3"/>
  <c r="R11" i="4"/>
  <c r="R31" i="4"/>
  <c r="R40" i="4"/>
  <c r="E29" i="4"/>
  <c r="D31" i="4"/>
  <c r="D11" i="4"/>
  <c r="D40" i="4"/>
  <c r="N11" i="4"/>
  <c r="N31" i="4"/>
  <c r="N40" i="4"/>
  <c r="C40" i="4"/>
  <c r="C31" i="4"/>
  <c r="C11" i="4"/>
  <c r="M40" i="4"/>
  <c r="M31" i="4"/>
  <c r="M11" i="4"/>
  <c r="B40" i="4"/>
  <c r="B31" i="4"/>
  <c r="B11" i="4"/>
  <c r="W34" i="3"/>
  <c r="E24" i="4"/>
  <c r="E30" i="4" s="1"/>
  <c r="M24" i="4"/>
  <c r="AE34" i="3"/>
  <c r="W40" i="4"/>
  <c r="W31" i="4"/>
  <c r="W11" i="4"/>
  <c r="C12" i="4"/>
  <c r="AE37" i="3"/>
  <c r="M43" i="4" s="1"/>
  <c r="O54" i="4"/>
  <c r="V31" i="4"/>
  <c r="V40" i="4"/>
  <c r="V11" i="4"/>
  <c r="L24" i="4"/>
  <c r="AD34" i="3"/>
  <c r="V24" i="4"/>
  <c r="AN34" i="3"/>
  <c r="B29" i="4"/>
  <c r="AO37" i="3"/>
  <c r="W43" i="4" s="1"/>
  <c r="M54" i="4"/>
  <c r="T31" i="4"/>
  <c r="T11" i="4"/>
  <c r="T40" i="4"/>
  <c r="W37" i="3"/>
  <c r="E43" i="4" s="1"/>
  <c r="K54" i="4"/>
  <c r="H11" i="4"/>
  <c r="H40" i="4"/>
  <c r="H31" i="4"/>
  <c r="R29" i="4"/>
  <c r="W54" i="4"/>
  <c r="B54" i="4"/>
  <c r="V37" i="3"/>
  <c r="D43" i="4" s="1"/>
  <c r="J24" i="4"/>
  <c r="AB34" i="3"/>
  <c r="J54" i="4"/>
  <c r="J12" i="4"/>
  <c r="G31" i="4"/>
  <c r="G11" i="4"/>
  <c r="G40" i="4"/>
  <c r="AL37" i="3"/>
  <c r="T43" i="4" s="1"/>
  <c r="AJ34" i="3"/>
  <c r="R24" i="4"/>
  <c r="R30" i="4" s="1"/>
  <c r="V54" i="4"/>
  <c r="R12" i="4"/>
  <c r="Q11" i="4"/>
  <c r="Q31" i="4"/>
  <c r="Q40" i="4"/>
  <c r="H12" i="4"/>
  <c r="P12" i="4"/>
  <c r="Y34" i="3"/>
  <c r="G24" i="4"/>
  <c r="O24" i="4"/>
  <c r="AG34" i="3"/>
  <c r="B12" i="4"/>
  <c r="F12" i="4"/>
  <c r="AH37" i="3"/>
  <c r="N12" i="4"/>
  <c r="E54" i="4"/>
  <c r="L40" i="4"/>
  <c r="L11" i="4"/>
  <c r="L31" i="4"/>
  <c r="V34" i="3"/>
  <c r="D24" i="4"/>
  <c r="D30" i="4" s="1"/>
  <c r="W12" i="4"/>
  <c r="Z37" i="3"/>
  <c r="H43" i="4" s="1"/>
  <c r="K40" i="4"/>
  <c r="K11" i="4"/>
  <c r="K31" i="4"/>
  <c r="N54" i="4"/>
  <c r="U40" i="4"/>
  <c r="U11" i="4"/>
  <c r="U31" i="4"/>
  <c r="Y37" i="3"/>
  <c r="G43" i="4" s="1"/>
  <c r="L29" i="4"/>
  <c r="U24" i="4"/>
  <c r="AM34" i="3"/>
  <c r="K12" i="4"/>
  <c r="AK34" i="3"/>
  <c r="S24" i="4"/>
  <c r="S12" i="4"/>
  <c r="U37" i="3"/>
  <c r="C43" i="4" s="1"/>
  <c r="I24" i="4"/>
  <c r="AA34" i="3"/>
  <c r="AA48" i="3" s="1"/>
  <c r="F29" i="4"/>
  <c r="I12" i="4"/>
  <c r="F40" i="4"/>
  <c r="F11" i="4"/>
  <c r="F31" i="4"/>
  <c r="AI34" i="3"/>
  <c r="Q24" i="4"/>
  <c r="Q22" i="4" s="1"/>
  <c r="Q28" i="4" s="1"/>
  <c r="U54" i="4"/>
  <c r="Q12" i="4"/>
  <c r="P31" i="4"/>
  <c r="P11" i="4"/>
  <c r="P40" i="4"/>
  <c r="Z34" i="3"/>
  <c r="H24" i="4"/>
  <c r="P24" i="4"/>
  <c r="P22" i="4" s="1"/>
  <c r="P28" i="4" s="1"/>
  <c r="AH34" i="3"/>
  <c r="O29" i="4"/>
  <c r="O40" i="4"/>
  <c r="O31" i="4"/>
  <c r="O11" i="4"/>
  <c r="G12" i="4"/>
  <c r="O12" i="4"/>
  <c r="X34" i="3"/>
  <c r="F24" i="4"/>
  <c r="F30" i="4" s="1"/>
  <c r="N24" i="4"/>
  <c r="AF34" i="3"/>
  <c r="AG37" i="3"/>
  <c r="O43" i="4" s="1"/>
  <c r="M12" i="4"/>
  <c r="D54" i="4"/>
  <c r="U34" i="3"/>
  <c r="U46" i="3" s="1"/>
  <c r="C6" i="4" s="1"/>
  <c r="C24" i="4"/>
  <c r="W24" i="4"/>
  <c r="AO34" i="3"/>
  <c r="V12" i="4"/>
  <c r="U12" i="4"/>
  <c r="X37" i="3"/>
  <c r="F43" i="4" s="1"/>
  <c r="I54" i="4"/>
  <c r="I11" i="4"/>
  <c r="I31" i="4"/>
  <c r="I40" i="4"/>
  <c r="AN37" i="3"/>
  <c r="V43" i="4" s="1"/>
  <c r="AL34" i="3"/>
  <c r="T24" i="4"/>
  <c r="T12" i="4"/>
  <c r="S11" i="4"/>
  <c r="S31" i="4"/>
  <c r="S40" i="4"/>
  <c r="P34" i="4"/>
  <c r="P36" i="4" s="1"/>
  <c r="G34" i="4"/>
  <c r="G36" i="4" s="1"/>
  <c r="E34" i="4"/>
  <c r="E36" i="4" s="1"/>
  <c r="W34" i="4"/>
  <c r="W36" i="4" s="1"/>
  <c r="I34" i="4"/>
  <c r="I36" i="4" s="1"/>
  <c r="M34" i="4"/>
  <c r="M36" i="4" s="1"/>
  <c r="D34" i="4"/>
  <c r="D36" i="4" s="1"/>
  <c r="V47" i="3"/>
  <c r="D7" i="4" s="1"/>
  <c r="V34" i="4"/>
  <c r="V36" i="4" s="1"/>
  <c r="Q34" i="4"/>
  <c r="Q36" i="4" s="1"/>
  <c r="O34" i="4"/>
  <c r="O36" i="4" s="1"/>
  <c r="F34" i="4"/>
  <c r="F36" i="4" s="1"/>
  <c r="U34" i="4"/>
  <c r="U36" i="4" s="1"/>
  <c r="R34" i="4"/>
  <c r="R36" i="4" s="1"/>
  <c r="B34" i="4"/>
  <c r="B36" i="4" s="1"/>
  <c r="T46" i="3"/>
  <c r="B6" i="4" s="1"/>
  <c r="T47" i="3"/>
  <c r="H34" i="4"/>
  <c r="H36" i="4" s="1"/>
  <c r="L34" i="4"/>
  <c r="L36" i="4" s="1"/>
  <c r="T34" i="4"/>
  <c r="T36" i="4" s="1"/>
  <c r="K34" i="4"/>
  <c r="K36" i="4" s="1"/>
  <c r="J34" i="4"/>
  <c r="J36" i="4" s="1"/>
  <c r="N34" i="4"/>
  <c r="N36" i="4" s="1"/>
  <c r="C34" i="4"/>
  <c r="C36" i="4" s="1"/>
  <c r="S34" i="4"/>
  <c r="S36" i="4" s="1"/>
  <c r="AC50" i="3" l="1"/>
  <c r="AH48" i="3"/>
  <c r="AD48" i="3"/>
  <c r="T51" i="3"/>
  <c r="AL48" i="3"/>
  <c r="AH47" i="3"/>
  <c r="P7" i="4" s="1"/>
  <c r="AM48" i="3"/>
  <c r="AN51" i="3"/>
  <c r="AB51" i="3"/>
  <c r="J43" i="4"/>
  <c r="AH49" i="3"/>
  <c r="P43" i="4"/>
  <c r="B61" i="4"/>
  <c r="B60" i="4"/>
  <c r="B59" i="4"/>
  <c r="C61" i="4"/>
  <c r="C60" i="4"/>
  <c r="C59" i="4"/>
  <c r="AG51" i="3"/>
  <c r="T50" i="3"/>
  <c r="T58" i="3" s="1"/>
  <c r="AH52" i="3"/>
  <c r="P51" i="4" s="1"/>
  <c r="P52" i="4" s="1"/>
  <c r="P56" i="4" s="1"/>
  <c r="U50" i="3"/>
  <c r="AM51" i="3"/>
  <c r="T59" i="3"/>
  <c r="AH46" i="3"/>
  <c r="P6" i="4" s="1"/>
  <c r="X51" i="3"/>
  <c r="AK52" i="3"/>
  <c r="S51" i="4" s="1"/>
  <c r="S55" i="4" s="1"/>
  <c r="Y52" i="3"/>
  <c r="G51" i="4" s="1"/>
  <c r="G55" i="4" s="1"/>
  <c r="V49" i="3"/>
  <c r="W51" i="3"/>
  <c r="B7" i="4"/>
  <c r="B62" i="4" s="1"/>
  <c r="T55" i="3"/>
  <c r="AB50" i="3"/>
  <c r="AI52" i="3"/>
  <c r="Q51" i="4" s="1"/>
  <c r="Q55" i="4" s="1"/>
  <c r="AD49" i="3"/>
  <c r="AI48" i="3"/>
  <c r="AH51" i="3"/>
  <c r="AO46" i="3"/>
  <c r="W6" i="4" s="1"/>
  <c r="Z52" i="3"/>
  <c r="H51" i="4" s="1"/>
  <c r="H55" i="4" s="1"/>
  <c r="AJ52" i="3"/>
  <c r="R51" i="4" s="1"/>
  <c r="R52" i="4" s="1"/>
  <c r="R56" i="4" s="1"/>
  <c r="AA52" i="3"/>
  <c r="I51" i="4" s="1"/>
  <c r="I55" i="4" s="1"/>
  <c r="AA50" i="3"/>
  <c r="U48" i="3"/>
  <c r="U56" i="3" s="1"/>
  <c r="T52" i="3"/>
  <c r="AN52" i="3"/>
  <c r="V51" i="4" s="1"/>
  <c r="V52" i="4" s="1"/>
  <c r="V56" i="4" s="1"/>
  <c r="AE52" i="3"/>
  <c r="M51" i="4" s="1"/>
  <c r="M55" i="4" s="1"/>
  <c r="AC48" i="3"/>
  <c r="AF50" i="3"/>
  <c r="AJ50" i="3"/>
  <c r="AF52" i="3"/>
  <c r="N51" i="4" s="1"/>
  <c r="N55" i="4" s="1"/>
  <c r="W48" i="3"/>
  <c r="AJ48" i="3"/>
  <c r="AF49" i="3"/>
  <c r="Z47" i="3"/>
  <c r="H7" i="4" s="1"/>
  <c r="AJ47" i="3"/>
  <c r="R7" i="4" s="1"/>
  <c r="AA49" i="3"/>
  <c r="AC52" i="3"/>
  <c r="K51" i="4" s="1"/>
  <c r="K52" i="4" s="1"/>
  <c r="K56" i="4" s="1"/>
  <c r="AO47" i="3"/>
  <c r="W7" i="4" s="1"/>
  <c r="AJ51" i="3"/>
  <c r="AO50" i="3"/>
  <c r="AJ46" i="3"/>
  <c r="R6" i="4" s="1"/>
  <c r="W50" i="3"/>
  <c r="AK47" i="3"/>
  <c r="S7" i="4" s="1"/>
  <c r="AF47" i="3"/>
  <c r="N7" i="4" s="1"/>
  <c r="Z51" i="3"/>
  <c r="AJ49" i="3"/>
  <c r="V48" i="3"/>
  <c r="AA47" i="3"/>
  <c r="I7" i="4" s="1"/>
  <c r="Y49" i="3"/>
  <c r="AG50" i="3"/>
  <c r="AE48" i="3"/>
  <c r="V51" i="3"/>
  <c r="AE47" i="3"/>
  <c r="M7" i="4" s="1"/>
  <c r="AF46" i="3"/>
  <c r="N6" i="4" s="1"/>
  <c r="AF48" i="3"/>
  <c r="AF51" i="3"/>
  <c r="AK51" i="3"/>
  <c r="AK48" i="3"/>
  <c r="V46" i="3"/>
  <c r="D6" i="4" s="1"/>
  <c r="AA46" i="3"/>
  <c r="I6" i="4" s="1"/>
  <c r="AB48" i="3"/>
  <c r="AO52" i="3"/>
  <c r="W51" i="4" s="1"/>
  <c r="W55" i="4" s="1"/>
  <c r="AA51" i="3"/>
  <c r="AK50" i="3"/>
  <c r="AM52" i="3"/>
  <c r="U51" i="4" s="1"/>
  <c r="U55" i="4" s="1"/>
  <c r="V50" i="3"/>
  <c r="AH50" i="3"/>
  <c r="D22" i="4"/>
  <c r="D28" i="4" s="1"/>
  <c r="Q30" i="4"/>
  <c r="E22" i="4"/>
  <c r="E28" i="4" s="1"/>
  <c r="AD47" i="3"/>
  <c r="L7" i="4" s="1"/>
  <c r="AI46" i="3"/>
  <c r="Q6" i="4" s="1"/>
  <c r="T22" i="4"/>
  <c r="T28" i="4" s="1"/>
  <c r="T30" i="4"/>
  <c r="H30" i="4"/>
  <c r="H22" i="4"/>
  <c r="H28" i="4" s="1"/>
  <c r="O30" i="4"/>
  <c r="O22" i="4"/>
  <c r="O28" i="4" s="1"/>
  <c r="L22" i="4"/>
  <c r="L28" i="4" s="1"/>
  <c r="L30" i="4"/>
  <c r="AB46" i="3"/>
  <c r="J6" i="4" s="1"/>
  <c r="AD46" i="3"/>
  <c r="L6" i="4" s="1"/>
  <c r="S22" i="4"/>
  <c r="S28" i="4" s="1"/>
  <c r="S30" i="4"/>
  <c r="AD52" i="3"/>
  <c r="L51" i="4" s="1"/>
  <c r="L55" i="4" s="1"/>
  <c r="AO49" i="3"/>
  <c r="W22" i="4"/>
  <c r="W28" i="4" s="1"/>
  <c r="W30" i="4"/>
  <c r="J30" i="4"/>
  <c r="J22" i="4"/>
  <c r="J28" i="4" s="1"/>
  <c r="AK46" i="3"/>
  <c r="S6" i="4" s="1"/>
  <c r="AL51" i="3"/>
  <c r="AG46" i="3"/>
  <c r="O6" i="4" s="1"/>
  <c r="AB52" i="3"/>
  <c r="J51" i="4" s="1"/>
  <c r="J55" i="4" s="1"/>
  <c r="V52" i="3"/>
  <c r="D51" i="4" s="1"/>
  <c r="D55" i="4" s="1"/>
  <c r="Y47" i="3"/>
  <c r="G7" i="4" s="1"/>
  <c r="Y48" i="3"/>
  <c r="T48" i="3"/>
  <c r="T56" i="3" s="1"/>
  <c r="AE46" i="3"/>
  <c r="M6" i="4" s="1"/>
  <c r="U47" i="3"/>
  <c r="C7" i="4" s="1"/>
  <c r="C62" i="4" s="1"/>
  <c r="AL50" i="3"/>
  <c r="Z46" i="3"/>
  <c r="H6" i="4" s="1"/>
  <c r="T49" i="3"/>
  <c r="T57" i="3" s="1"/>
  <c r="AM49" i="3"/>
  <c r="X50" i="3"/>
  <c r="AI47" i="3"/>
  <c r="Q7" i="4" s="1"/>
  <c r="AN50" i="3"/>
  <c r="AE51" i="3"/>
  <c r="W49" i="3"/>
  <c r="Y50" i="3"/>
  <c r="F22" i="4"/>
  <c r="F28" i="4" s="1"/>
  <c r="R22" i="4"/>
  <c r="R28" i="4" s="1"/>
  <c r="AG47" i="3"/>
  <c r="O7" i="4" s="1"/>
  <c r="G30" i="4"/>
  <c r="G22" i="4"/>
  <c r="G28" i="4" s="1"/>
  <c r="AL46" i="3"/>
  <c r="T6" i="4" s="1"/>
  <c r="AB49" i="3"/>
  <c r="AD51" i="3"/>
  <c r="X49" i="3"/>
  <c r="AO48" i="3"/>
  <c r="AK49" i="3"/>
  <c r="AL49" i="3"/>
  <c r="X46" i="3"/>
  <c r="F6" i="4" s="1"/>
  <c r="AL52" i="3"/>
  <c r="T51" i="4" s="1"/>
  <c r="T55" i="4" s="1"/>
  <c r="U49" i="3"/>
  <c r="U57" i="3" s="1"/>
  <c r="Z50" i="3"/>
  <c r="Z58" i="3" s="1"/>
  <c r="AI50" i="3"/>
  <c r="W47" i="3"/>
  <c r="E7" i="4" s="1"/>
  <c r="AL47" i="3"/>
  <c r="T7" i="4" s="1"/>
  <c r="Z48" i="3"/>
  <c r="AM46" i="3"/>
  <c r="U6" i="4" s="1"/>
  <c r="X48" i="3"/>
  <c r="AI49" i="3"/>
  <c r="AN46" i="3"/>
  <c r="V6" i="4" s="1"/>
  <c r="AE50" i="3"/>
  <c r="W46" i="3"/>
  <c r="E6" i="4" s="1"/>
  <c r="Y46" i="3"/>
  <c r="G6" i="4" s="1"/>
  <c r="X47" i="3"/>
  <c r="M22" i="4"/>
  <c r="M28" i="4" s="1"/>
  <c r="M30" i="4"/>
  <c r="AN48" i="3"/>
  <c r="AD50" i="3"/>
  <c r="AG48" i="3"/>
  <c r="AO51" i="3"/>
  <c r="X52" i="3"/>
  <c r="F51" i="4" s="1"/>
  <c r="F55" i="4" s="1"/>
  <c r="AC46" i="3"/>
  <c r="K6" i="4" s="1"/>
  <c r="AC49" i="3"/>
  <c r="U52" i="3"/>
  <c r="C51" i="4" s="1"/>
  <c r="C55" i="4" s="1"/>
  <c r="AC47" i="3"/>
  <c r="K7" i="4" s="1"/>
  <c r="U51" i="3"/>
  <c r="U59" i="3" s="1"/>
  <c r="AC51" i="3"/>
  <c r="Z49" i="3"/>
  <c r="AM47" i="3"/>
  <c r="U7" i="4" s="1"/>
  <c r="AI51" i="3"/>
  <c r="AE49" i="3"/>
  <c r="W52" i="3"/>
  <c r="E51" i="4" s="1"/>
  <c r="E55" i="4" s="1"/>
  <c r="I30" i="4"/>
  <c r="I22" i="4"/>
  <c r="I28" i="4" s="1"/>
  <c r="K22" i="4"/>
  <c r="K28" i="4" s="1"/>
  <c r="K30" i="4"/>
  <c r="AG52" i="3"/>
  <c r="O51" i="4" s="1"/>
  <c r="O55" i="4" s="1"/>
  <c r="AB47" i="3"/>
  <c r="J7" i="4" s="1"/>
  <c r="AG49" i="3"/>
  <c r="Y51" i="3"/>
  <c r="Y59" i="3" s="1"/>
  <c r="C22" i="4"/>
  <c r="C28" i="4" s="1"/>
  <c r="C30" i="4"/>
  <c r="AN47" i="3"/>
  <c r="V7" i="4" s="1"/>
  <c r="B30" i="4"/>
  <c r="B22" i="4"/>
  <c r="B28" i="4" s="1"/>
  <c r="AN49" i="3"/>
  <c r="AM50" i="3"/>
  <c r="P30" i="4"/>
  <c r="U22" i="4"/>
  <c r="U28" i="4" s="1"/>
  <c r="U30" i="4"/>
  <c r="N22" i="4"/>
  <c r="N28" i="4" s="1"/>
  <c r="N30" i="4"/>
  <c r="V30" i="4"/>
  <c r="V22" i="4"/>
  <c r="V28" i="4" s="1"/>
  <c r="U58" i="3"/>
  <c r="AF58" i="3" l="1"/>
  <c r="AF56" i="3"/>
  <c r="V58" i="3"/>
  <c r="AF57" i="3"/>
  <c r="V55" i="3"/>
  <c r="AD58" i="3"/>
  <c r="AD59" i="3"/>
  <c r="AB57" i="3"/>
  <c r="Z59" i="3"/>
  <c r="AJ58" i="3"/>
  <c r="X59" i="3"/>
  <c r="AI57" i="3"/>
  <c r="F59" i="4"/>
  <c r="F61" i="4"/>
  <c r="F60" i="4"/>
  <c r="M62" i="4"/>
  <c r="M59" i="4"/>
  <c r="M61" i="4"/>
  <c r="M60" i="4"/>
  <c r="S61" i="4"/>
  <c r="S60" i="4"/>
  <c r="S62" i="4"/>
  <c r="S59" i="4"/>
  <c r="AH58" i="3"/>
  <c r="D59" i="4"/>
  <c r="D61" i="4"/>
  <c r="D60" i="4"/>
  <c r="D62" i="4"/>
  <c r="O60" i="4"/>
  <c r="O62" i="4"/>
  <c r="O59" i="4"/>
  <c r="O61" i="4"/>
  <c r="T59" i="4"/>
  <c r="T61" i="4"/>
  <c r="T60" i="4"/>
  <c r="T62" i="4"/>
  <c r="U62" i="4"/>
  <c r="U59" i="4"/>
  <c r="U61" i="4"/>
  <c r="U60" i="4"/>
  <c r="K61" i="4"/>
  <c r="K60" i="4"/>
  <c r="K62" i="4"/>
  <c r="K59" i="4"/>
  <c r="L59" i="4"/>
  <c r="L61" i="4"/>
  <c r="L62" i="4"/>
  <c r="L60" i="4"/>
  <c r="G60" i="4"/>
  <c r="G62" i="4"/>
  <c r="G59" i="4"/>
  <c r="G61" i="4"/>
  <c r="X58" i="3"/>
  <c r="R61" i="4"/>
  <c r="R60" i="4"/>
  <c r="R59" i="4"/>
  <c r="R62" i="4"/>
  <c r="W60" i="4"/>
  <c r="W59" i="4"/>
  <c r="W62" i="4"/>
  <c r="W61" i="4"/>
  <c r="W59" i="3"/>
  <c r="Q60" i="4"/>
  <c r="Q62" i="4"/>
  <c r="Q61" i="4"/>
  <c r="Q59" i="4"/>
  <c r="AF59" i="3"/>
  <c r="AJ56" i="3"/>
  <c r="AH59" i="3"/>
  <c r="I60" i="4"/>
  <c r="I62" i="4"/>
  <c r="I59" i="4"/>
  <c r="I61" i="4"/>
  <c r="AH60" i="3"/>
  <c r="J61" i="4"/>
  <c r="J60" i="4"/>
  <c r="J62" i="4"/>
  <c r="J59" i="4"/>
  <c r="Z57" i="3"/>
  <c r="E62" i="4"/>
  <c r="E61" i="4"/>
  <c r="E59" i="4"/>
  <c r="E60" i="4"/>
  <c r="AC59" i="3"/>
  <c r="AE58" i="3"/>
  <c r="P60" i="4"/>
  <c r="P62" i="4"/>
  <c r="P59" i="4"/>
  <c r="P61" i="4"/>
  <c r="V62" i="4"/>
  <c r="V59" i="4"/>
  <c r="V61" i="4"/>
  <c r="V60" i="4"/>
  <c r="H62" i="4"/>
  <c r="H60" i="4"/>
  <c r="H59" i="4"/>
  <c r="H61" i="4"/>
  <c r="N62" i="4"/>
  <c r="N59" i="4"/>
  <c r="N61" i="4"/>
  <c r="N60" i="4"/>
  <c r="P55" i="4"/>
  <c r="S52" i="4"/>
  <c r="S56" i="4" s="1"/>
  <c r="N52" i="4"/>
  <c r="N56" i="4" s="1"/>
  <c r="V55" i="4"/>
  <c r="Y56" i="3"/>
  <c r="AH55" i="3"/>
  <c r="T52" i="4"/>
  <c r="T56" i="4" s="1"/>
  <c r="AK57" i="3"/>
  <c r="W57" i="3"/>
  <c r="AB56" i="3"/>
  <c r="AF55" i="3"/>
  <c r="H52" i="4"/>
  <c r="H56" i="4" s="1"/>
  <c r="AE55" i="3"/>
  <c r="AO59" i="3"/>
  <c r="AJ60" i="3"/>
  <c r="M52" i="4"/>
  <c r="M56" i="4" s="1"/>
  <c r="AJ55" i="3"/>
  <c r="AO56" i="3"/>
  <c r="AH56" i="3"/>
  <c r="AE57" i="3"/>
  <c r="X57" i="3"/>
  <c r="AN58" i="3"/>
  <c r="V56" i="3"/>
  <c r="AF60" i="3"/>
  <c r="AM60" i="3"/>
  <c r="U55" i="3"/>
  <c r="U52" i="4"/>
  <c r="U56" i="4" s="1"/>
  <c r="X56" i="3"/>
  <c r="AH57" i="3"/>
  <c r="Z56" i="3"/>
  <c r="AJ57" i="3"/>
  <c r="R55" i="4"/>
  <c r="C52" i="4"/>
  <c r="C56" i="4" s="1"/>
  <c r="AA57" i="3"/>
  <c r="Q52" i="4"/>
  <c r="Q56" i="4" s="1"/>
  <c r="V60" i="3"/>
  <c r="AG55" i="3"/>
  <c r="I52" i="4"/>
  <c r="I56" i="4" s="1"/>
  <c r="G52" i="4"/>
  <c r="G56" i="4" s="1"/>
  <c r="V59" i="3"/>
  <c r="AO58" i="3"/>
  <c r="AA55" i="3"/>
  <c r="AM58" i="3"/>
  <c r="AA59" i="3"/>
  <c r="AE56" i="3"/>
  <c r="AJ59" i="3"/>
  <c r="B51" i="4"/>
  <c r="T60" i="3"/>
  <c r="AK60" i="3"/>
  <c r="AB59" i="3"/>
  <c r="Z55" i="3"/>
  <c r="AL57" i="3"/>
  <c r="AO57" i="3"/>
  <c r="AM59" i="3"/>
  <c r="K55" i="4"/>
  <c r="AM57" i="3"/>
  <c r="AO55" i="3"/>
  <c r="AI60" i="3"/>
  <c r="AA60" i="3"/>
  <c r="X60" i="3"/>
  <c r="V57" i="3"/>
  <c r="W60" i="3"/>
  <c r="D52" i="4"/>
  <c r="D56" i="4" s="1"/>
  <c r="AG60" i="3"/>
  <c r="AO60" i="3"/>
  <c r="AN55" i="3"/>
  <c r="W52" i="4"/>
  <c r="W56" i="4" s="1"/>
  <c r="AC60" i="3"/>
  <c r="AG57" i="3"/>
  <c r="L52" i="4"/>
  <c r="L56" i="4" s="1"/>
  <c r="AD57" i="3"/>
  <c r="AC55" i="3"/>
  <c r="AI58" i="3"/>
  <c r="AN60" i="3"/>
  <c r="AC57" i="3"/>
  <c r="AN59" i="3"/>
  <c r="AL58" i="3"/>
  <c r="AA56" i="3"/>
  <c r="W55" i="3"/>
  <c r="AM56" i="3"/>
  <c r="AN56" i="3"/>
  <c r="AL59" i="3"/>
  <c r="AA58" i="3"/>
  <c r="AN57" i="3"/>
  <c r="O52" i="4"/>
  <c r="O56" i="4" s="1"/>
  <c r="E52" i="4"/>
  <c r="E56" i="4" s="1"/>
  <c r="F52" i="4"/>
  <c r="F56" i="4" s="1"/>
  <c r="AB60" i="3"/>
  <c r="AB55" i="3"/>
  <c r="F7" i="4"/>
  <c r="F62" i="4" s="1"/>
  <c r="X55" i="3"/>
  <c r="AL60" i="3"/>
  <c r="AD60" i="3"/>
  <c r="AK59" i="3"/>
  <c r="AK58" i="3"/>
  <c r="Z60" i="3"/>
  <c r="Y58" i="3"/>
  <c r="AB58" i="3"/>
  <c r="J52" i="4"/>
  <c r="J56" i="4" s="1"/>
  <c r="AE59" i="3"/>
  <c r="AD56" i="3"/>
  <c r="AE60" i="3"/>
  <c r="AI56" i="3"/>
  <c r="AC56" i="3"/>
  <c r="AL56" i="3"/>
  <c r="AG56" i="3"/>
  <c r="AI55" i="3"/>
  <c r="AK55" i="3"/>
  <c r="Y60" i="3"/>
  <c r="AM55" i="3"/>
  <c r="AK56" i="3"/>
  <c r="AL55" i="3"/>
  <c r="AD55" i="3"/>
  <c r="W56" i="3"/>
  <c r="W58" i="3"/>
  <c r="U60" i="3"/>
  <c r="AG58" i="3"/>
  <c r="Y55" i="3"/>
  <c r="AC58" i="3"/>
  <c r="Y57" i="3"/>
  <c r="AI59" i="3"/>
  <c r="AG59" i="3"/>
  <c r="B52" i="4" l="1"/>
  <c r="B56" i="4" s="1"/>
  <c r="B5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660A06-B202-416C-8D01-E65043B4949F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FC0E4556-7CD3-4B0F-B445-D5DF085C7F71}" keepAlive="1" name="Consulta - CEI_COMPLETA" description="Conexão com a consulta 'CEI_COMPLETA' na pasta de trabalho." type="5" refreshedVersion="8" background="1" saveData="1">
    <dbPr connection="Provider=Microsoft.Mashup.OleDb.1;Data Source=$Workbook$;Location=CEI_COMPLETA;Extended Properties=&quot;&quot;" command="SELECT * FROM [CEI_COMPLETA]"/>
  </connection>
  <connection id="3" xr16:uid="{84FE32E0-7734-46BB-97EB-E571C37F5E55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4" xr16:uid="{8EDF7B33-71D2-4035-ACF3-45A83D4CEC10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5" xr16:uid="{602E38C8-4CF4-4BA9-AC97-5DB192D91E1A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<sst xmlns="http://schemas.openxmlformats.org/spreadsheetml/2006/main" count="5737" uniqueCount="291">
  <si>
    <t>Nome da Origem</t>
  </si>
  <si>
    <t>Códigos</t>
  </si>
  <si>
    <t>Transações e saldos</t>
  </si>
  <si>
    <t>USOS</t>
  </si>
  <si>
    <t>RECURSOS</t>
  </si>
  <si>
    <t>2000</t>
  </si>
  <si>
    <t>Importação de bens e serviços</t>
  </si>
  <si>
    <t>Exportação de bens e serviços</t>
  </si>
  <si>
    <t>Produção</t>
  </si>
  <si>
    <t>Consumo intermediário</t>
  </si>
  <si>
    <t xml:space="preserve">  Impostos, líquidos de subsídios, sobre produtos</t>
  </si>
  <si>
    <t>Valor adicionado bruto/Produto interno bruto (1)</t>
  </si>
  <si>
    <t>Saldo externo de bens e serviços</t>
  </si>
  <si>
    <t>Remuneração dos empregados</t>
  </si>
  <si>
    <t xml:space="preserve">  Ordenados e salários</t>
  </si>
  <si>
    <t xml:space="preserve">  Contribuições sociais dos empregadores</t>
  </si>
  <si>
    <t xml:space="preserve">    Contribuições sociais efetivas</t>
  </si>
  <si>
    <t xml:space="preserve">    Contribuições sociais imputadas</t>
  </si>
  <si>
    <t>Impostos, líquidos de subsídios, sobre a produção e a importação</t>
  </si>
  <si>
    <t xml:space="preserve">  Outros impostos, líquidos de subsídios, sobre a produção</t>
  </si>
  <si>
    <t>Excedente operacional bruto</t>
  </si>
  <si>
    <t>Rendimento misto bruto (rendimento de autônomos)</t>
  </si>
  <si>
    <t>Rendas de propriedade</t>
  </si>
  <si>
    <t xml:space="preserve">  Juros</t>
  </si>
  <si>
    <t xml:space="preserve">  Dividendos e retiradas</t>
  </si>
  <si>
    <t xml:space="preserve">  Desembolsos por rendas de investimentos / Lucros reinvestidos de investimento direto estrangeiro</t>
  </si>
  <si>
    <t xml:space="preserve">  Renda de recursos naturais</t>
  </si>
  <si>
    <t>Saldo das rendas primárias brutas/Renda nacional bruta (2)</t>
  </si>
  <si>
    <t>Impostos correntes sobre a renda, patrimônio, etc.</t>
  </si>
  <si>
    <t>Contribuições sociais</t>
  </si>
  <si>
    <t xml:space="preserve">  Contribuições sociais efetivas dos empregadores</t>
  </si>
  <si>
    <t xml:space="preserve">    Contribuições sociais imputadas dos empregadores</t>
  </si>
  <si>
    <t xml:space="preserve">    Contribuições sociais efetivas das famílias/empregados</t>
  </si>
  <si>
    <t>Benefícios sociais, exceto transferências sociais em espécie</t>
  </si>
  <si>
    <t xml:space="preserve">  Benefícios de seguridade social em numerário </t>
  </si>
  <si>
    <t xml:space="preserve">  Outros benefícios de seguro social</t>
  </si>
  <si>
    <t xml:space="preserve">  Benefícios de assistência social em numerário</t>
  </si>
  <si>
    <t>Outras transferências correntes</t>
  </si>
  <si>
    <t xml:space="preserve">  Prêmios líquidos de seguros não-vida</t>
  </si>
  <si>
    <t xml:space="preserve">  Indenizações de seguros não-vida</t>
  </si>
  <si>
    <t xml:space="preserve">  Transferências correntes entre administrações públicas</t>
  </si>
  <si>
    <t xml:space="preserve">  Cooperação Internacional</t>
  </si>
  <si>
    <t xml:space="preserve">  Transferências correntes diversas</t>
  </si>
  <si>
    <t>Renda disponível bruta</t>
  </si>
  <si>
    <t>Transferências sociais em espécie</t>
  </si>
  <si>
    <t>Renda disponível bruta ajustada</t>
  </si>
  <si>
    <t>Consumo final efetivo</t>
  </si>
  <si>
    <t>Despesa de consumo final</t>
  </si>
  <si>
    <t>Ajustamento pela variação das participações líquidas das famílias nos fundos de pensões, FGTS e PIS/PASEP</t>
  </si>
  <si>
    <t>Poupança bruta</t>
  </si>
  <si>
    <t>Saldo externo corrente</t>
  </si>
  <si>
    <t>Formação bruta de capital fixo</t>
  </si>
  <si>
    <t>Variação de estoques</t>
  </si>
  <si>
    <t>Aquisições líquidas de cessões de ativos não-financeiros não-produzidos</t>
  </si>
  <si>
    <t>Transferências de capital a receber</t>
  </si>
  <si>
    <t>Capacidade (+) / Necessidade(-) líquida de financiamento</t>
  </si>
  <si>
    <t>Variações do patrimônio líquido resultantes de poupança e da transferência de capital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</si>
  <si>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</si>
  <si>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</si>
  <si>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</si>
  <si>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</si>
  <si>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</si>
  <si>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</si>
  <si>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</si>
  <si>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</si>
  <si>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</si>
  <si>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</si>
  <si>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 xml:space="preserve">  Produção mercantil</t>
  </si>
  <si>
    <t xml:space="preserve">  Produção não-mercantil</t>
  </si>
  <si>
    <t xml:space="preserve">  Salários</t>
  </si>
  <si>
    <t xml:space="preserve"> Rendas distribuídas das empresas</t>
  </si>
  <si>
    <t xml:space="preserve">  Lucros reinvestidos de investimento estrangeiro direto</t>
  </si>
  <si>
    <t xml:space="preserve">  Desembolsos por rendas de investimentos</t>
  </si>
  <si>
    <t xml:space="preserve">     Rendimento de investimentos atribuído a detentores de apólices de seguros</t>
  </si>
  <si>
    <t xml:space="preserve">     Rendimento de investimentos a pagar sobre direitos de pensão</t>
  </si>
  <si>
    <t xml:space="preserve">     Rendimento de investimentos atribuído a acionistas de fundos de investimento</t>
  </si>
  <si>
    <t xml:space="preserve">    Contribuições sociais efetivas das famílias/empregados e suplemento às contribuições sociais</t>
  </si>
  <si>
    <t xml:space="preserve">  Transferências correntes entre unidades do governo geral</t>
  </si>
  <si>
    <t xml:space="preserve">  Cooperação internacional</t>
  </si>
  <si>
    <t>Renda nacional disponível bruta</t>
  </si>
  <si>
    <t>Ajustamento pela variação dos direitos de pensão</t>
  </si>
  <si>
    <t>Aquisição líquida de ativos financeiros/Aquisição líquida de passivos</t>
  </si>
  <si>
    <t>Ouro monetário e DES</t>
  </si>
  <si>
    <t xml:space="preserve"> Numerário e depósitos</t>
  </si>
  <si>
    <t xml:space="preserve"> Numerário</t>
  </si>
  <si>
    <t xml:space="preserve"> Depósito transferível</t>
  </si>
  <si>
    <t xml:space="preserve"> Outros depósitos</t>
  </si>
  <si>
    <t xml:space="preserve"> Títulos de dívidas</t>
  </si>
  <si>
    <t xml:space="preserve"> Curto prazo</t>
  </si>
  <si>
    <t xml:space="preserve"> Longo prazo</t>
  </si>
  <si>
    <t xml:space="preserve"> Empréstimos</t>
  </si>
  <si>
    <t xml:space="preserve"> Participações de capital e em fundos de investimentos</t>
  </si>
  <si>
    <t xml:space="preserve"> Participações capital  </t>
  </si>
  <si>
    <t xml:space="preserve"> Ações cotadas</t>
  </si>
  <si>
    <t xml:space="preserve"> Ações não cotadas e outras participações </t>
  </si>
  <si>
    <t xml:space="preserve"> Participações em fundos de investimentos</t>
  </si>
  <si>
    <t xml:space="preserve"> Sistemas de seguros, de previdência e regime de garantias padronizadas</t>
  </si>
  <si>
    <t xml:space="preserve"> Reservas técnica de seguros não vida </t>
  </si>
  <si>
    <t xml:space="preserve"> Direitos de seguros de vida e rendas vitalícias </t>
  </si>
  <si>
    <t xml:space="preserve"> Direitos sobre os fundos de pensão </t>
  </si>
  <si>
    <t xml:space="preserve"> Derivativos financeiros </t>
  </si>
  <si>
    <t xml:space="preserve"> Outras contas a receber/pagar</t>
  </si>
  <si>
    <t xml:space="preserve"> Créditos comerciais e adiantamentos</t>
  </si>
  <si>
    <t xml:space="preserve"> Outros</t>
  </si>
  <si>
    <t>Total de ativos financeiros/passivos</t>
  </si>
  <si>
    <t xml:space="preserve"> Ativos financeiros (+) líquidos de passivos (-)</t>
  </si>
  <si>
    <t>2011</t>
  </si>
  <si>
    <t>2012</t>
  </si>
  <si>
    <t>2013</t>
  </si>
  <si>
    <t>2014</t>
  </si>
  <si>
    <t>2015</t>
  </si>
  <si>
    <t>2016</t>
  </si>
  <si>
    <t>2017</t>
  </si>
  <si>
    <t xml:space="preserve"> Participações de capital  </t>
  </si>
  <si>
    <t>2018</t>
  </si>
  <si>
    <t>2019</t>
  </si>
  <si>
    <t>Aquisições líquidas de cessões de ativos não-produzidos</t>
  </si>
  <si>
    <t>2020</t>
  </si>
  <si>
    <t>2021</t>
  </si>
  <si>
    <t>LINHA</t>
  </si>
  <si>
    <t>CEI</t>
  </si>
  <si>
    <t>B.6</t>
  </si>
  <si>
    <t>P.3</t>
  </si>
  <si>
    <t>Formação Bruta de Capital Fixo</t>
  </si>
  <si>
    <t>P.51</t>
  </si>
  <si>
    <t>Investimento Residencial</t>
  </si>
  <si>
    <t>NÃO HÁ</t>
  </si>
  <si>
    <t>B.8</t>
  </si>
  <si>
    <t>AJUSTES</t>
  </si>
  <si>
    <t>Aluguel Imputado</t>
  </si>
  <si>
    <t>TRU -Tabela 2 - Usos de bens e serviços - Descrição do Produto: Aluguel Imputado - aba demanda - coluna Consumo das Famílias</t>
  </si>
  <si>
    <t>Construção Residencial</t>
  </si>
  <si>
    <t>Renda de Propriedade sem acesso direto das famílias</t>
  </si>
  <si>
    <t>D.44</t>
  </si>
  <si>
    <t xml:space="preserve">  Contribuições sociais dos empregadores (RECURSOS)</t>
  </si>
  <si>
    <t>D.12</t>
  </si>
  <si>
    <t xml:space="preserve">  Contribuições sociais (USOS)</t>
  </si>
  <si>
    <t>D.61</t>
  </si>
  <si>
    <t>D.62</t>
  </si>
  <si>
    <t>Juros</t>
  </si>
  <si>
    <t>D.41</t>
  </si>
  <si>
    <t>D.7</t>
  </si>
  <si>
    <t>D.63</t>
  </si>
  <si>
    <t>Intermediação financeira e seguros</t>
  </si>
  <si>
    <t>Ajustamento pela variação da participação líquida
das famílias nos fundos de pensões</t>
  </si>
  <si>
    <t>RECURSO/USO</t>
  </si>
  <si>
    <t>R</t>
  </si>
  <si>
    <t>U</t>
  </si>
  <si>
    <t>P.7</t>
  </si>
  <si>
    <t>P.6</t>
  </si>
  <si>
    <t>P.1</t>
  </si>
  <si>
    <t>P.2</t>
  </si>
  <si>
    <t>D.21-D.31</t>
  </si>
  <si>
    <t>B.1</t>
  </si>
  <si>
    <t>B.11</t>
  </si>
  <si>
    <t>D.1</t>
  </si>
  <si>
    <t>D.11</t>
  </si>
  <si>
    <t>D.121</t>
  </si>
  <si>
    <t>D.122</t>
  </si>
  <si>
    <t>D.2-D.3</t>
  </si>
  <si>
    <t>D.29-D.39</t>
  </si>
  <si>
    <t>B.2</t>
  </si>
  <si>
    <t>B.3</t>
  </si>
  <si>
    <t>D.4</t>
  </si>
  <si>
    <t>D.42</t>
  </si>
  <si>
    <t>D.43-D.44</t>
  </si>
  <si>
    <t>D.45</t>
  </si>
  <si>
    <t>B.5</t>
  </si>
  <si>
    <t>D.5</t>
  </si>
  <si>
    <t>D.611</t>
  </si>
  <si>
    <t>D.612</t>
  </si>
  <si>
    <t>D.613</t>
  </si>
  <si>
    <t>D.621</t>
  </si>
  <si>
    <t>D.622</t>
  </si>
  <si>
    <t>D.623</t>
  </si>
  <si>
    <t>D.71</t>
  </si>
  <si>
    <t>D.72</t>
  </si>
  <si>
    <t>D.73</t>
  </si>
  <si>
    <t>D.74</t>
  </si>
  <si>
    <t>D.75</t>
  </si>
  <si>
    <t>B.7</t>
  </si>
  <si>
    <t>P.4</t>
  </si>
  <si>
    <t>D.8</t>
  </si>
  <si>
    <t>B.12</t>
  </si>
  <si>
    <t>P.52</t>
  </si>
  <si>
    <t>NP</t>
  </si>
  <si>
    <t>D.9</t>
  </si>
  <si>
    <t>B.9</t>
  </si>
  <si>
    <t>B.10.1</t>
  </si>
  <si>
    <t>P.11</t>
  </si>
  <si>
    <t>P.13</t>
  </si>
  <si>
    <t>D.43</t>
  </si>
  <si>
    <t>D.441</t>
  </si>
  <si>
    <t>D.442</t>
  </si>
  <si>
    <t>D.443</t>
  </si>
  <si>
    <t>D.613/614</t>
  </si>
  <si>
    <t>F</t>
  </si>
  <si>
    <t>F.1</t>
  </si>
  <si>
    <t>F.2</t>
  </si>
  <si>
    <t>F.21</t>
  </si>
  <si>
    <t>F.22</t>
  </si>
  <si>
    <t>F.29</t>
  </si>
  <si>
    <t>F.3</t>
  </si>
  <si>
    <t>F.31</t>
  </si>
  <si>
    <t>F.32</t>
  </si>
  <si>
    <t>F.4</t>
  </si>
  <si>
    <t>F.41</t>
  </si>
  <si>
    <t>F.42</t>
  </si>
  <si>
    <t>F.5</t>
  </si>
  <si>
    <t>F.51</t>
  </si>
  <si>
    <t>F.511</t>
  </si>
  <si>
    <t>F.512/19</t>
  </si>
  <si>
    <t>F.52</t>
  </si>
  <si>
    <t>F.6</t>
  </si>
  <si>
    <t>F.61</t>
  </si>
  <si>
    <t>F.62</t>
  </si>
  <si>
    <t>F.63</t>
  </si>
  <si>
    <t>F.7</t>
  </si>
  <si>
    <t>F.8</t>
  </si>
  <si>
    <t>F.81</t>
  </si>
  <si>
    <t>F.89</t>
  </si>
  <si>
    <t>AF</t>
  </si>
  <si>
    <t>AF.1</t>
  </si>
  <si>
    <t>AF.2</t>
  </si>
  <si>
    <t>AF.21</t>
  </si>
  <si>
    <t>AF.22</t>
  </si>
  <si>
    <t>AF.29</t>
  </si>
  <si>
    <t>AF.3</t>
  </si>
  <si>
    <t>AF.31</t>
  </si>
  <si>
    <t>AF.32</t>
  </si>
  <si>
    <t>AF.4</t>
  </si>
  <si>
    <t>AF.41</t>
  </si>
  <si>
    <t>AF.42</t>
  </si>
  <si>
    <t>AF.5</t>
  </si>
  <si>
    <t>AF.51</t>
  </si>
  <si>
    <t>AF.511</t>
  </si>
  <si>
    <t>AF.512/19</t>
  </si>
  <si>
    <t>AF.52</t>
  </si>
  <si>
    <t>AF.6</t>
  </si>
  <si>
    <t>AF.61</t>
  </si>
  <si>
    <t>AF.62</t>
  </si>
  <si>
    <t>AF.63</t>
  </si>
  <si>
    <t>AF.7</t>
  </si>
  <si>
    <t>AF.8</t>
  </si>
  <si>
    <t>AF.81</t>
  </si>
  <si>
    <t>AF.89</t>
  </si>
  <si>
    <t>BF90</t>
  </si>
  <si>
    <t>ORIGINAL</t>
  </si>
  <si>
    <t>AJUSTADO</t>
  </si>
  <si>
    <t>Produção não-mercantil</t>
  </si>
  <si>
    <t>Autoconsumo (Agropecuária)</t>
  </si>
  <si>
    <t>Construção</t>
  </si>
  <si>
    <t>POF + TRU</t>
  </si>
  <si>
    <t>tab08, tab17, CEI</t>
  </si>
  <si>
    <t>TRU_51</t>
  </si>
  <si>
    <t>Juros pessoais</t>
  </si>
  <si>
    <t>Transferências</t>
  </si>
  <si>
    <t>Poupança Financeira</t>
  </si>
  <si>
    <t>Poupança Financeira + Investimento Residencial</t>
  </si>
  <si>
    <t>-</t>
  </si>
  <si>
    <t>+</t>
  </si>
  <si>
    <t>FONTE</t>
  </si>
  <si>
    <t>%Aluguel Imputado/RNDB</t>
  </si>
  <si>
    <t>%Aluguel Imputado/DCF</t>
  </si>
  <si>
    <t>Agropecuária</t>
  </si>
  <si>
    <t>% Prod. Agropecuária não-mercantil/RNDB</t>
  </si>
  <si>
    <t>% Prod. Construção não-mercantil/RNDB</t>
  </si>
  <si>
    <t>Juros (usos)</t>
  </si>
  <si>
    <t>Juros (recursos)</t>
  </si>
  <si>
    <t>Juros Líquidos</t>
  </si>
  <si>
    <t>%DRI/RNDB</t>
  </si>
  <si>
    <t>% Juros Líquidos/RNDB</t>
  </si>
  <si>
    <t>% Juros (usos)/RNDB</t>
  </si>
  <si>
    <t>% Juros (recursos)/RNDB</t>
  </si>
  <si>
    <t>% Intermediação financeira e seguros/RNDB</t>
  </si>
  <si>
    <t>Desembolso por rendas de Investimento</t>
  </si>
  <si>
    <t>%Investimento Residencial</t>
  </si>
  <si>
    <t>Poupança</t>
  </si>
  <si>
    <t>Poupança bruta/RNDB</t>
  </si>
  <si>
    <t>Poupança Financeira/RNDB</t>
  </si>
  <si>
    <t>Poupança Financeira + Investimento Residencial/RNDB</t>
  </si>
  <si>
    <t>Transferências (líquidas)</t>
  </si>
  <si>
    <t>Transferências (usos)</t>
  </si>
  <si>
    <t>Transferências (recursos)</t>
  </si>
  <si>
    <t>% Transferências (usos)/RNDB</t>
  </si>
  <si>
    <t>%Juros pessoais/RNDB</t>
  </si>
  <si>
    <t>%Juros Pessoais/RNDB</t>
  </si>
  <si>
    <t>%Despesa de consumo final</t>
  </si>
  <si>
    <t>%RNDBF ajustada</t>
  </si>
  <si>
    <t>Construção Residencial (não-mercantil)</t>
  </si>
  <si>
    <t>Construção Residencial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</si>
</sst>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6"/>
      <color indexed="8"/>
      <name val="Arial"/>
      <family val="2"/>
    </font>
    <font>
      <sz val="10"/>
      <color theme="1"/>
      <name val="Times New Roman"/>
      <family val="1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1" applyNumberFormat="1" applyFont="1"/>
    <xf numFmtId="164" fontId="0" fillId="3" borderId="0" xfId="1" applyNumberFormat="1" applyFont="1" applyFill="1"/>
    <xf numFmtId="164" fontId="0" fillId="0" borderId="0" xfId="0" applyNumberFormat="1"/>
    <xf numFmtId="165" fontId="0" fillId="0" borderId="0" xfId="3" applyNumberFormat="1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4" borderId="0" xfId="0" applyFont="1" applyFill="1" applyAlignment="1">
      <alignment horizontal="center" vertical="center" wrapText="1"/>
    </xf>
    <xf numFmtId="0" fontId="0" fillId="4" borderId="0" xfId="0" applyFill="1"/>
    <xf numFmtId="0" fontId="0" fillId="4" borderId="1" xfId="0" applyFill="1" applyBorder="1"/>
    <xf numFmtId="164" fontId="0" fillId="4" borderId="0" xfId="1" applyNumberFormat="1" applyFont="1" applyFill="1"/>
    <xf numFmtId="164" fontId="0" fillId="4" borderId="0" xfId="0" applyNumberFormat="1" applyFill="1"/>
    <xf numFmtId="165" fontId="0" fillId="4" borderId="0" xfId="3" applyNumberFormat="1" applyFont="1" applyFill="1"/>
    <xf numFmtId="164" fontId="6" fillId="5" borderId="0" xfId="1" applyNumberFormat="1" applyFont="1" applyFill="1"/>
    <xf numFmtId="0" fontId="0" fillId="6" borderId="0" xfId="0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8" borderId="3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quotePrefix="1" applyFont="1" applyFill="1" applyBorder="1" applyAlignment="1">
      <alignment horizontal="center" vertical="center" wrapText="1"/>
    </xf>
    <xf numFmtId="0" fontId="2" fillId="4" borderId="0" xfId="0" quotePrefix="1" applyFont="1" applyFill="1" applyAlignment="1">
      <alignment horizontal="center" vertical="center" wrapText="1"/>
    </xf>
    <xf numFmtId="0" fontId="2" fillId="4" borderId="11" xfId="0" quotePrefix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3" fillId="9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5" fontId="0" fillId="0" borderId="0" xfId="0" applyNumberFormat="1"/>
    <xf numFmtId="0" fontId="5" fillId="0" borderId="14" xfId="0" applyFont="1" applyBorder="1" applyAlignment="1">
      <alignment horizontal="left" vertical="center" wrapText="1"/>
    </xf>
    <xf numFmtId="0" fontId="3" fillId="9" borderId="0" xfId="0" applyFont="1" applyFill="1" applyAlignment="1">
      <alignment horizontal="center" vertical="center" wrapText="1"/>
    </xf>
  </cellXfs>
  <cellStyles count="4">
    <cellStyle name="dx" xfId="2" xr:uid="{CF2971AA-6273-4584-97EC-211AE84FB65D}"/>
    <cellStyle name="Normal" xfId="0" builtinId="0"/>
    <cellStyle name="Porcentagem" xfId="3" builtinId="5"/>
    <cellStyle name="Vírgula" xfId="1" builtinId="3"/>
  </cellStyles>
  <dxfs count="3">
    <dxf>
      <fill>
        <patternFill>
          <bgColor rgb="FFF5A9A9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CE224"/>
      <color rgb="FFE4EA00"/>
      <color rgb="FFFFFF66"/>
      <color rgb="FFF5A9A9"/>
      <color rgb="FFFF6969"/>
      <color rgb="FFF7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Gráficos!$A$11</c:f>
              <c:strCache>
                <c:ptCount val="1"/>
                <c:pt idx="0">
                  <c:v>%Aluguel Imputado/RNDB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3509323243596949E-2"/>
                  <c:y val="9.27579419422928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99-4762-8322-40A72413A973}"/>
                </c:ext>
              </c:extLst>
            </c:dLbl>
            <c:dLbl>
              <c:idx val="21"/>
              <c:layout>
                <c:manualLayout>
                  <c:x val="-1.6462962962963134E-2"/>
                  <c:y val="8.37847222222222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75D-4834-90CE-71ACC185D6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Gráficos!$B$10:$W$10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Gráficos!$B$11:$W$11</c:f>
              <c:numCache>
                <c:formatCode>0.0%</c:formatCode>
                <c:ptCount val="22"/>
                <c:pt idx="0">
                  <c:v>0.1263244403470537</c:v>
                </c:pt>
                <c:pt idx="1">
                  <c:v>0.1207336014542741</c:v>
                </c:pt>
                <c:pt idx="2">
                  <c:v>0.11896586667984874</c:v>
                </c:pt>
                <c:pt idx="3">
                  <c:v>0.1130641861045322</c:v>
                </c:pt>
                <c:pt idx="4">
                  <c:v>0.10792137216475627</c:v>
                </c:pt>
                <c:pt idx="5">
                  <c:v>0.10604048318177617</c:v>
                </c:pt>
                <c:pt idx="6">
                  <c:v>0.10062321172641807</c:v>
                </c:pt>
                <c:pt idx="7">
                  <c:v>9.6845263234209347E-2</c:v>
                </c:pt>
                <c:pt idx="8">
                  <c:v>9.1538795165548179E-2</c:v>
                </c:pt>
                <c:pt idx="9">
                  <c:v>9.0792812165703771E-2</c:v>
                </c:pt>
                <c:pt idx="10">
                  <c:v>8.691643308074222E-2</c:v>
                </c:pt>
                <c:pt idx="11">
                  <c:v>8.8264540168593239E-2</c:v>
                </c:pt>
                <c:pt idx="12">
                  <c:v>9.0898651878250539E-2</c:v>
                </c:pt>
                <c:pt idx="13">
                  <c:v>9.4629756062388187E-2</c:v>
                </c:pt>
                <c:pt idx="14">
                  <c:v>9.4215672291886196E-2</c:v>
                </c:pt>
                <c:pt idx="15">
                  <c:v>9.6484034115837641E-2</c:v>
                </c:pt>
                <c:pt idx="16">
                  <c:v>9.6161404160433311E-2</c:v>
                </c:pt>
                <c:pt idx="17">
                  <c:v>9.3835953208930428E-2</c:v>
                </c:pt>
                <c:pt idx="18">
                  <c:v>9.3572215738342235E-2</c:v>
                </c:pt>
                <c:pt idx="19">
                  <c:v>9.2127551088610884E-2</c:v>
                </c:pt>
                <c:pt idx="20">
                  <c:v>9.1733759322588912E-2</c:v>
                </c:pt>
                <c:pt idx="21">
                  <c:v>9.220158947464871E-2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5F-4586-B3F1-0492E27857BA}"/>
            </c:ext>
          </c:extLst>
        </c:ser>
        <c:ser>
          <c:idx val="1"/>
          <c:order val="1"/>
          <c:tx>
            <c:strRef>
              <c:f>Gráficos!$A$12</c:f>
              <c:strCache>
                <c:ptCount val="1"/>
                <c:pt idx="0">
                  <c:v>%Aluguel Imputado/DCF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-5.90277812360045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99-4762-8322-40A72413A973}"/>
                </c:ext>
              </c:extLst>
            </c:dLbl>
            <c:dLbl>
              <c:idx val="21"/>
              <c:layout>
                <c:manualLayout>
                  <c:x val="-4.7037037037038765E-3"/>
                  <c:y val="-0.11906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75D-4834-90CE-71ACC185D6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Gráficos!$B$10:$W$10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Gráficos!$B$12:$W$12</c:f>
              <c:numCache>
                <c:formatCode>0.0%</c:formatCode>
                <c:ptCount val="22"/>
                <c:pt idx="0">
                  <c:v>0.14223161388935657</c:v>
                </c:pt>
                <c:pt idx="1">
                  <c:v>0.13530929088221566</c:v>
                </c:pt>
                <c:pt idx="2">
                  <c:v>0.13435587206095484</c:v>
                </c:pt>
                <c:pt idx="3">
                  <c:v>0.12609972657797358</c:v>
                </c:pt>
                <c:pt idx="4">
                  <c:v>0.12008677296267438</c:v>
                </c:pt>
                <c:pt idx="5">
                  <c:v>0.11679236226015581</c:v>
                </c:pt>
                <c:pt idx="6">
                  <c:v>0.11021006087756059</c:v>
                </c:pt>
                <c:pt idx="7">
                  <c:v>0.10614884159754596</c:v>
                </c:pt>
                <c:pt idx="8">
                  <c:v>9.9593102861430638E-2</c:v>
                </c:pt>
                <c:pt idx="9">
                  <c:v>9.9395902996525939E-2</c:v>
                </c:pt>
                <c:pt idx="10">
                  <c:v>9.506239207279478E-2</c:v>
                </c:pt>
                <c:pt idx="11">
                  <c:v>9.7028505657259859E-2</c:v>
                </c:pt>
                <c:pt idx="12">
                  <c:v>9.9638375285938038E-2</c:v>
                </c:pt>
                <c:pt idx="13">
                  <c:v>0.10454079992731384</c:v>
                </c:pt>
                <c:pt idx="14">
                  <c:v>0.10330622678148324</c:v>
                </c:pt>
                <c:pt idx="15">
                  <c:v>0.10679052368411925</c:v>
                </c:pt>
                <c:pt idx="16">
                  <c:v>0.10751729789338364</c:v>
                </c:pt>
                <c:pt idx="17">
                  <c:v>0.10621026372471459</c:v>
                </c:pt>
                <c:pt idx="18">
                  <c:v>0.10403526761775841</c:v>
                </c:pt>
                <c:pt idx="19">
                  <c:v>0.10252303248434608</c:v>
                </c:pt>
                <c:pt idx="20">
                  <c:v>0.10978929104473642</c:v>
                </c:pt>
                <c:pt idx="21">
                  <c:v>0.10108091129887178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5F-4586-B3F1-0492E2785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0550447"/>
        <c:axId val="1471884751"/>
      </c:lineChart>
      <c:catAx>
        <c:axId val="1480550447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1884751"/>
        <c:crosses val="autoZero"/>
        <c:auto val="1"/>
        <c:lblAlgn val="ctr"/>
        <c:lblOffset val="100"/>
        <c:noMultiLvlLbl val="0"/>
      </c:catAx>
      <c:valAx>
        <c:axId val="147188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055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Gráficos!$A$18</c:f>
              <c:strCache>
                <c:ptCount val="1"/>
                <c:pt idx="0">
                  <c:v>% Prod. Agropecuária não-mercantil/RNDB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0574074074074073E-2"/>
                  <c:y val="7.0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1A8-4FB6-A548-CEF5A16D77E7}"/>
                </c:ext>
              </c:extLst>
            </c:dLbl>
            <c:dLbl>
              <c:idx val="21"/>
              <c:layout>
                <c:manualLayout>
                  <c:x val="-7.0555555555555554E-3"/>
                  <c:y val="0.11906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A8-4FB6-A548-CEF5A16D77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Gráficos!$B$17:$W$17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Gráficos!$B$18:$W$18</c:f>
              <c:numCache>
                <c:formatCode>0.0%</c:formatCode>
                <c:ptCount val="22"/>
                <c:pt idx="0">
                  <c:v>5.28722122075094E-3</c:v>
                </c:pt>
                <c:pt idx="1">
                  <c:v>5.3389373242955446E-3</c:v>
                </c:pt>
                <c:pt idx="2">
                  <c:v>5.661359772163377E-3</c:v>
                </c:pt>
                <c:pt idx="3">
                  <c:v>5.620454824827808E-3</c:v>
                </c:pt>
                <c:pt idx="4">
                  <c:v>5.3216015595219457E-3</c:v>
                </c:pt>
                <c:pt idx="5">
                  <c:v>5.2028727025582172E-3</c:v>
                </c:pt>
                <c:pt idx="6">
                  <c:v>5.1941132183803435E-3</c:v>
                </c:pt>
                <c:pt idx="7">
                  <c:v>5.1321536786781601E-3</c:v>
                </c:pt>
                <c:pt idx="8">
                  <c:v>5.5320209638121355E-3</c:v>
                </c:pt>
                <c:pt idx="9">
                  <c:v>5.2097814520510512E-3</c:v>
                </c:pt>
                <c:pt idx="10">
                  <c:v>5.0862857122932134E-3</c:v>
                </c:pt>
                <c:pt idx="11">
                  <c:v>5.3864170354302925E-3</c:v>
                </c:pt>
                <c:pt idx="12">
                  <c:v>5.3276048972151465E-3</c:v>
                </c:pt>
                <c:pt idx="13">
                  <c:v>5.4841012515729403E-3</c:v>
                </c:pt>
                <c:pt idx="14">
                  <c:v>5.3585900059881812E-3</c:v>
                </c:pt>
                <c:pt idx="15">
                  <c:v>5.4577689157544306E-3</c:v>
                </c:pt>
                <c:pt idx="16">
                  <c:v>5.7899796936716685E-3</c:v>
                </c:pt>
                <c:pt idx="17">
                  <c:v>5.5030650826728986E-3</c:v>
                </c:pt>
                <c:pt idx="18">
                  <c:v>5.3344944263573786E-3</c:v>
                </c:pt>
                <c:pt idx="19">
                  <c:v>5.4332906952626082E-3</c:v>
                </c:pt>
                <c:pt idx="20">
                  <c:v>5.8189368955079363E-3</c:v>
                </c:pt>
                <c:pt idx="21">
                  <c:v>6.5773481676443335E-3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BC-4204-B877-5284A95264E9}"/>
            </c:ext>
          </c:extLst>
        </c:ser>
        <c:ser>
          <c:idx val="1"/>
          <c:order val="1"/>
          <c:tx>
            <c:strRef>
              <c:f>Gráficos!$A$19</c:f>
              <c:strCache>
                <c:ptCount val="1"/>
                <c:pt idx="0">
                  <c:v>% Prod. Construção não-mercantil/RNDB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0574074074074073E-2"/>
                  <c:y val="-7.49652777777777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A8-4FB6-A548-CEF5A16D77E7}"/>
                </c:ext>
              </c:extLst>
            </c:dLbl>
            <c:dLbl>
              <c:idx val="21"/>
              <c:layout>
                <c:manualLayout>
                  <c:x val="-1.4111111111111111E-2"/>
                  <c:y val="-9.70138888888888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A8-4FB6-A548-CEF5A16D77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Gráficos!$B$17:$W$17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Gráficos!$B$19:$W$19</c:f>
              <c:numCache>
                <c:formatCode>0.0%</c:formatCode>
                <c:ptCount val="22"/>
                <c:pt idx="0">
                  <c:v>1.8274681189618756E-2</c:v>
                </c:pt>
                <c:pt idx="1">
                  <c:v>1.6835206381312195E-2</c:v>
                </c:pt>
                <c:pt idx="2">
                  <c:v>1.7807330063607338E-2</c:v>
                </c:pt>
                <c:pt idx="3">
                  <c:v>1.6873574354820141E-2</c:v>
                </c:pt>
                <c:pt idx="4">
                  <c:v>1.689280509725891E-2</c:v>
                </c:pt>
                <c:pt idx="5">
                  <c:v>1.5748259944793928E-2</c:v>
                </c:pt>
                <c:pt idx="6">
                  <c:v>1.5427444381504934E-2</c:v>
                </c:pt>
                <c:pt idx="7">
                  <c:v>1.5422571102911477E-2</c:v>
                </c:pt>
                <c:pt idx="8">
                  <c:v>1.5132902494781626E-2</c:v>
                </c:pt>
                <c:pt idx="9">
                  <c:v>1.6357078189424969E-2</c:v>
                </c:pt>
                <c:pt idx="10">
                  <c:v>1.779439249336557E-2</c:v>
                </c:pt>
                <c:pt idx="11">
                  <c:v>1.7264776653013725E-2</c:v>
                </c:pt>
                <c:pt idx="12">
                  <c:v>1.7111785887252772E-2</c:v>
                </c:pt>
                <c:pt idx="13">
                  <c:v>1.644455184969874E-2</c:v>
                </c:pt>
                <c:pt idx="14">
                  <c:v>1.5695429607459069E-2</c:v>
                </c:pt>
                <c:pt idx="15">
                  <c:v>1.5203147374054414E-2</c:v>
                </c:pt>
                <c:pt idx="16">
                  <c:v>1.4528663061027423E-2</c:v>
                </c:pt>
                <c:pt idx="17">
                  <c:v>1.3563534613840179E-2</c:v>
                </c:pt>
                <c:pt idx="18">
                  <c:v>1.384170567161023E-2</c:v>
                </c:pt>
                <c:pt idx="19">
                  <c:v>1.3814597182463827E-2</c:v>
                </c:pt>
                <c:pt idx="20">
                  <c:v>1.356258580834999E-2</c:v>
                </c:pt>
                <c:pt idx="21">
                  <c:v>1.4140678477683216E-2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BC-4204-B877-5284A9526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9239487"/>
        <c:axId val="1469242367"/>
      </c:lineChart>
      <c:catAx>
        <c:axId val="146923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9242367"/>
        <c:crosses val="autoZero"/>
        <c:auto val="1"/>
        <c:lblAlgn val="ctr"/>
        <c:lblOffset val="100"/>
        <c:noMultiLvlLbl val="0"/>
      </c:catAx>
      <c:valAx>
        <c:axId val="146924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923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Gráficos!$A$28</c:f>
              <c:strCache>
                <c:ptCount val="1"/>
                <c:pt idx="0">
                  <c:v>% Juros Líquidos/RNDB</c:v>
                </c:pt>
              </c:strCache>
            </c:strRef>
          </c:tx>
          <c:spPr>
            <a:solidFill>
              <a:srgbClr val="FCE224"/>
            </a:solidFill>
            <a:ln>
              <a:noFill/>
            </a:ln>
            <a:effectLst/>
          </c:spPr>
          <c:invertIfNegative val="0"/>
          <c:cat>
            <c:numRef>
              <c:f>Gráficos!$B$27:$W$27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Gráficos!$B$28:$W$28</c:f>
              <c:numCache>
                <c:formatCode>0.0%</c:formatCode>
                <c:ptCount val="22"/>
                <c:pt idx="0">
                  <c:v>5.9014200755662466E-2</c:v>
                </c:pt>
                <c:pt idx="1">
                  <c:v>5.7533200574420913E-2</c:v>
                </c:pt>
                <c:pt idx="2">
                  <c:v>5.6403766776242613E-2</c:v>
                </c:pt>
                <c:pt idx="3">
                  <c:v>5.0758774110720897E-2</c:v>
                </c:pt>
                <c:pt idx="4">
                  <c:v>3.8077916625544959E-2</c:v>
                </c:pt>
                <c:pt idx="5">
                  <c:v>4.1032769052477408E-2</c:v>
                </c:pt>
                <c:pt idx="6">
                  <c:v>3.4059982511783847E-2</c:v>
                </c:pt>
                <c:pt idx="7">
                  <c:v>3.3772392658510737E-2</c:v>
                </c:pt>
                <c:pt idx="8">
                  <c:v>3.2091370692430905E-2</c:v>
                </c:pt>
                <c:pt idx="9">
                  <c:v>3.4368149481381116E-2</c:v>
                </c:pt>
                <c:pt idx="10">
                  <c:v>3.3962978804334305E-2</c:v>
                </c:pt>
                <c:pt idx="11">
                  <c:v>2.915403973008962E-2</c:v>
                </c:pt>
                <c:pt idx="12">
                  <c:v>2.7001660438572155E-2</c:v>
                </c:pt>
                <c:pt idx="13">
                  <c:v>2.160028571299814E-2</c:v>
                </c:pt>
                <c:pt idx="14">
                  <c:v>2.4932818523310613E-2</c:v>
                </c:pt>
                <c:pt idx="15">
                  <c:v>2.8801992179778316E-2</c:v>
                </c:pt>
                <c:pt idx="16">
                  <c:v>2.1696046019466456E-2</c:v>
                </c:pt>
                <c:pt idx="17">
                  <c:v>1.9227159550625809E-2</c:v>
                </c:pt>
                <c:pt idx="18">
                  <c:v>2.0574684131121675E-2</c:v>
                </c:pt>
                <c:pt idx="19">
                  <c:v>1.6824055808375458E-2</c:v>
                </c:pt>
                <c:pt idx="20">
                  <c:v>6.0422944612804463E-3</c:v>
                </c:pt>
                <c:pt idx="21">
                  <c:v>7.4990028728042987E-3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0-475A-A45B-CDE627683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5360559"/>
        <c:axId val="1465361039"/>
      </c:barChart>
      <c:lineChart>
        <c:grouping val="standard"/>
        <c:varyColors val="0"/>
        <c:ser>
          <c:idx val="1"/>
          <c:order val="1"/>
          <c:tx>
            <c:strRef>
              <c:f>Gráficos!$A$29</c:f>
              <c:strCache>
                <c:ptCount val="1"/>
                <c:pt idx="0">
                  <c:v>% Juros (usos)/RNDB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Gráficos!$B$27:$W$27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Gráficos!$B$29:$W$29</c:f>
              <c:numCache>
                <c:formatCode>0.0%</c:formatCode>
                <c:ptCount val="22"/>
                <c:pt idx="0">
                  <c:v>2.0047779343734584E-2</c:v>
                </c:pt>
                <c:pt idx="1">
                  <c:v>1.9819473910270592E-2</c:v>
                </c:pt>
                <c:pt idx="2">
                  <c:v>1.968906794532737E-2</c:v>
                </c:pt>
                <c:pt idx="3">
                  <c:v>2.2684391897862196E-2</c:v>
                </c:pt>
                <c:pt idx="4">
                  <c:v>2.0103423049147098E-2</c:v>
                </c:pt>
                <c:pt idx="5">
                  <c:v>3.1809229937931477E-2</c:v>
                </c:pt>
                <c:pt idx="6">
                  <c:v>4.0728011672608179E-2</c:v>
                </c:pt>
                <c:pt idx="7">
                  <c:v>4.4925136280623584E-2</c:v>
                </c:pt>
                <c:pt idx="8">
                  <c:v>5.9791755754344519E-2</c:v>
                </c:pt>
                <c:pt idx="9">
                  <c:v>7.9255789624716438E-2</c:v>
                </c:pt>
                <c:pt idx="10">
                  <c:v>7.2697048752518756E-2</c:v>
                </c:pt>
                <c:pt idx="11">
                  <c:v>8.8315796134169025E-2</c:v>
                </c:pt>
                <c:pt idx="12">
                  <c:v>7.9831697516111688E-2</c:v>
                </c:pt>
                <c:pt idx="13">
                  <c:v>6.8448317042284629E-2</c:v>
                </c:pt>
                <c:pt idx="14">
                  <c:v>7.6830316879044611E-2</c:v>
                </c:pt>
                <c:pt idx="15">
                  <c:v>8.7238381763744446E-2</c:v>
                </c:pt>
                <c:pt idx="16">
                  <c:v>8.8034525498042068E-2</c:v>
                </c:pt>
                <c:pt idx="17">
                  <c:v>7.3486824945458676E-2</c:v>
                </c:pt>
                <c:pt idx="18">
                  <c:v>5.6524364704016526E-2</c:v>
                </c:pt>
                <c:pt idx="19">
                  <c:v>5.0255801118688284E-2</c:v>
                </c:pt>
                <c:pt idx="20">
                  <c:v>3.6448071626495215E-2</c:v>
                </c:pt>
                <c:pt idx="21">
                  <c:v>4.7194265979637044E-2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10-475A-A45B-CDE627683607}"/>
            </c:ext>
          </c:extLst>
        </c:ser>
        <c:ser>
          <c:idx val="2"/>
          <c:order val="2"/>
          <c:tx>
            <c:strRef>
              <c:f>Gráficos!$A$30</c:f>
              <c:strCache>
                <c:ptCount val="1"/>
                <c:pt idx="0">
                  <c:v>% Juros (recursos)/RNDB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cat>
            <c:numRef>
              <c:f>Gráficos!$B$27:$W$27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Gráficos!$B$30:$W$30</c:f>
              <c:numCache>
                <c:formatCode>0.0%</c:formatCode>
                <c:ptCount val="22"/>
                <c:pt idx="0">
                  <c:v>7.906198009939705E-2</c:v>
                </c:pt>
                <c:pt idx="1">
                  <c:v>7.7352674484691505E-2</c:v>
                </c:pt>
                <c:pt idx="2">
                  <c:v>7.6092834721569982E-2</c:v>
                </c:pt>
                <c:pt idx="3">
                  <c:v>7.3443166008583097E-2</c:v>
                </c:pt>
                <c:pt idx="4">
                  <c:v>5.8181339674692058E-2</c:v>
                </c:pt>
                <c:pt idx="5">
                  <c:v>7.2841998990408885E-2</c:v>
                </c:pt>
                <c:pt idx="6">
                  <c:v>7.4787994184392026E-2</c:v>
                </c:pt>
                <c:pt idx="7">
                  <c:v>7.8697528939134315E-2</c:v>
                </c:pt>
                <c:pt idx="8">
                  <c:v>9.1883126446775418E-2</c:v>
                </c:pt>
                <c:pt idx="9">
                  <c:v>0.11362393910609757</c:v>
                </c:pt>
                <c:pt idx="10">
                  <c:v>0.10666002755685307</c:v>
                </c:pt>
                <c:pt idx="11">
                  <c:v>0.11746983586425865</c:v>
                </c:pt>
                <c:pt idx="12">
                  <c:v>0.10683335795468385</c:v>
                </c:pt>
                <c:pt idx="13">
                  <c:v>9.0048602755282758E-2</c:v>
                </c:pt>
                <c:pt idx="14">
                  <c:v>0.10176313540235522</c:v>
                </c:pt>
                <c:pt idx="15">
                  <c:v>0.11604037394352276</c:v>
                </c:pt>
                <c:pt idx="16">
                  <c:v>0.10973057151750852</c:v>
                </c:pt>
                <c:pt idx="17">
                  <c:v>9.2713984496084478E-2</c:v>
                </c:pt>
                <c:pt idx="18">
                  <c:v>7.7099048835138198E-2</c:v>
                </c:pt>
                <c:pt idx="19">
                  <c:v>6.7079856927063738E-2</c:v>
                </c:pt>
                <c:pt idx="20">
                  <c:v>4.2490366087775663E-2</c:v>
                </c:pt>
                <c:pt idx="21">
                  <c:v>5.4693268852441343E-2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10-475A-A45B-CDE627683607}"/>
            </c:ext>
          </c:extLst>
        </c:ser>
        <c:ser>
          <c:idx val="3"/>
          <c:order val="3"/>
          <c:tx>
            <c:strRef>
              <c:f>Gráficos!$A$31</c:f>
              <c:strCache>
                <c:ptCount val="1"/>
                <c:pt idx="0">
                  <c:v>% Intermediação financeira e seguros/RNDB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Gráficos!$B$27:$W$27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Gráficos!$B$31:$W$31</c:f>
              <c:numCache>
                <c:formatCode>0.0%</c:formatCode>
                <c:ptCount val="22"/>
                <c:pt idx="0">
                  <c:v>3.5392978626455719E-2</c:v>
                </c:pt>
                <c:pt idx="1">
                  <c:v>3.7649733397543524E-2</c:v>
                </c:pt>
                <c:pt idx="2">
                  <c:v>4.0491361625349116E-2</c:v>
                </c:pt>
                <c:pt idx="3">
                  <c:v>3.7127868034464058E-2</c:v>
                </c:pt>
                <c:pt idx="4">
                  <c:v>3.2826870567667532E-2</c:v>
                </c:pt>
                <c:pt idx="5">
                  <c:v>3.8289809528549386E-2</c:v>
                </c:pt>
                <c:pt idx="6">
                  <c:v>4.339781035116131E-2</c:v>
                </c:pt>
                <c:pt idx="7">
                  <c:v>5.1679039424427975E-2</c:v>
                </c:pt>
                <c:pt idx="8">
                  <c:v>5.6722230291604919E-2</c:v>
                </c:pt>
                <c:pt idx="9">
                  <c:v>6.6077820983405283E-2</c:v>
                </c:pt>
                <c:pt idx="10">
                  <c:v>7.3604643418012747E-2</c:v>
                </c:pt>
                <c:pt idx="11">
                  <c:v>7.3288607495601704E-2</c:v>
                </c:pt>
                <c:pt idx="12">
                  <c:v>6.6297652198697141E-2</c:v>
                </c:pt>
                <c:pt idx="13">
                  <c:v>6.2544501827391491E-2</c:v>
                </c:pt>
                <c:pt idx="14">
                  <c:v>6.4758172335493885E-2</c:v>
                </c:pt>
                <c:pt idx="15">
                  <c:v>6.8781790743981761E-2</c:v>
                </c:pt>
                <c:pt idx="16">
                  <c:v>7.276092504830968E-2</c:v>
                </c:pt>
                <c:pt idx="17">
                  <c:v>7.0127508619368395E-2</c:v>
                </c:pt>
                <c:pt idx="18">
                  <c:v>6.8069285792711945E-2</c:v>
                </c:pt>
                <c:pt idx="19">
                  <c:v>7.0570935874984961E-2</c:v>
                </c:pt>
                <c:pt idx="20">
                  <c:v>6.7492761566250045E-2</c:v>
                </c:pt>
                <c:pt idx="21">
                  <c:v>6.6782425498428846E-2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10-475A-A45B-CDE627683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5360559"/>
        <c:axId val="1465361039"/>
      </c:lineChart>
      <c:catAx>
        <c:axId val="146536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5361039"/>
        <c:crosses val="autoZero"/>
        <c:auto val="1"/>
        <c:lblAlgn val="ctr"/>
        <c:lblOffset val="100"/>
        <c:noMultiLvlLbl val="0"/>
      </c:catAx>
      <c:valAx>
        <c:axId val="146536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5360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Gráficos!$A$60</c:f>
              <c:strCache>
                <c:ptCount val="1"/>
                <c:pt idx="0">
                  <c:v>% Transferências (usos)/RNDB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Gráficos!$B$58:$W$58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Gráficos!$B$60:$W$60</c:f>
              <c:numCache>
                <c:formatCode>0.0%</c:formatCode>
                <c:ptCount val="22"/>
                <c:pt idx="0">
                  <c:v>2.0446749180466368E-2</c:v>
                </c:pt>
                <c:pt idx="1">
                  <c:v>2.2867431933505041E-2</c:v>
                </c:pt>
                <c:pt idx="2">
                  <c:v>2.1812985555329859E-2</c:v>
                </c:pt>
                <c:pt idx="3">
                  <c:v>1.813464044318483E-2</c:v>
                </c:pt>
                <c:pt idx="4">
                  <c:v>1.7768420805893883E-2</c:v>
                </c:pt>
                <c:pt idx="5">
                  <c:v>1.9129685414211256E-2</c:v>
                </c:pt>
                <c:pt idx="6">
                  <c:v>1.9956727799556408E-2</c:v>
                </c:pt>
                <c:pt idx="7">
                  <c:v>2.0287322664097406E-2</c:v>
                </c:pt>
                <c:pt idx="8">
                  <c:v>1.9998738654236747E-2</c:v>
                </c:pt>
                <c:pt idx="9">
                  <c:v>1.4523900511717858E-2</c:v>
                </c:pt>
                <c:pt idx="10">
                  <c:v>2.2856654113497119E-2</c:v>
                </c:pt>
                <c:pt idx="11">
                  <c:v>1.9036089568406127E-2</c:v>
                </c:pt>
                <c:pt idx="12">
                  <c:v>2.1950545362752854E-2</c:v>
                </c:pt>
                <c:pt idx="13">
                  <c:v>2.2475671052075562E-2</c:v>
                </c:pt>
                <c:pt idx="14">
                  <c:v>2.0744400812878028E-2</c:v>
                </c:pt>
                <c:pt idx="15">
                  <c:v>2.5255220999567195E-2</c:v>
                </c:pt>
                <c:pt idx="16">
                  <c:v>2.5469020549869263E-2</c:v>
                </c:pt>
                <c:pt idx="17">
                  <c:v>2.2378683995913501E-2</c:v>
                </c:pt>
                <c:pt idx="18">
                  <c:v>2.2426775615441465E-2</c:v>
                </c:pt>
                <c:pt idx="19">
                  <c:v>1.9328534571508054E-2</c:v>
                </c:pt>
                <c:pt idx="20">
                  <c:v>2.1364554201680683E-2</c:v>
                </c:pt>
                <c:pt idx="21">
                  <c:v>1.798469848205024E-2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C4-4005-A8EB-0D1914EA952C}"/>
            </c:ext>
          </c:extLst>
        </c:ser>
        <c:ser>
          <c:idx val="2"/>
          <c:order val="2"/>
          <c:tx>
            <c:strRef>
              <c:f>Gráficos!$A$61</c:f>
              <c:strCache>
                <c:ptCount val="1"/>
                <c:pt idx="0">
                  <c:v>%Juros Pessoais/RNDB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Gráficos!$B$58:$W$58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Gráficos!$B$61:$W$61</c:f>
              <c:numCache>
                <c:formatCode>0.0%</c:formatCode>
                <c:ptCount val="22"/>
                <c:pt idx="0">
                  <c:v>6.338223032657142E-2</c:v>
                </c:pt>
                <c:pt idx="1">
                  <c:v>6.5222096194044496E-2</c:v>
                </c:pt>
                <c:pt idx="2">
                  <c:v>6.8273253997248248E-2</c:v>
                </c:pt>
                <c:pt idx="3">
                  <c:v>6.7997515444753812E-2</c:v>
                </c:pt>
                <c:pt idx="4">
                  <c:v>5.971051789641877E-2</c:v>
                </c:pt>
                <c:pt idx="5">
                  <c:v>7.7489372777902993E-2</c:v>
                </c:pt>
                <c:pt idx="6">
                  <c:v>9.1483750195577099E-2</c:v>
                </c:pt>
                <c:pt idx="7">
                  <c:v>0.10401318445555226</c:v>
                </c:pt>
                <c:pt idx="8">
                  <c:v>0.12255223628545849</c:v>
                </c:pt>
                <c:pt idx="9">
                  <c:v>0.15116653983972828</c:v>
                </c:pt>
                <c:pt idx="10">
                  <c:v>0.15230863276186019</c:v>
                </c:pt>
                <c:pt idx="11">
                  <c:v>0.16534074345774979</c:v>
                </c:pt>
                <c:pt idx="12">
                  <c:v>0.15186638452189236</c:v>
                </c:pt>
                <c:pt idx="13">
                  <c:v>0.13671330539541782</c:v>
                </c:pt>
                <c:pt idx="14">
                  <c:v>0.14649376203120007</c:v>
                </c:pt>
                <c:pt idx="15">
                  <c:v>0.16074001418304898</c:v>
                </c:pt>
                <c:pt idx="16">
                  <c:v>0.16466289915703947</c:v>
                </c:pt>
                <c:pt idx="17">
                  <c:v>0.14859772580416714</c:v>
                </c:pt>
                <c:pt idx="18">
                  <c:v>0.13088886032512836</c:v>
                </c:pt>
                <c:pt idx="19">
                  <c:v>0.12891829573449276</c:v>
                </c:pt>
                <c:pt idx="20">
                  <c:v>0.11136966502290302</c:v>
                </c:pt>
                <c:pt idx="21">
                  <c:v>0.12159172013932248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C4-4005-A8EB-0D1914EA952C}"/>
            </c:ext>
          </c:extLst>
        </c:ser>
        <c:ser>
          <c:idx val="0"/>
          <c:order val="0"/>
          <c:tx>
            <c:strRef>
              <c:f>Gráficos!$A$59</c:f>
              <c:strCache>
                <c:ptCount val="1"/>
                <c:pt idx="0">
                  <c:v>%Investimento Residencial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Gráficos!$B$58:$W$58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Gráficos!$B$59:$W$59</c:f>
              <c:numCache>
                <c:formatCode>0.0%</c:formatCode>
                <c:ptCount val="22"/>
                <c:pt idx="0">
                  <c:v>8.995462464224882E-2</c:v>
                </c:pt>
                <c:pt idx="1">
                  <c:v>8.2264662237904837E-2</c:v>
                </c:pt>
                <c:pt idx="2">
                  <c:v>8.6982013339061512E-2</c:v>
                </c:pt>
                <c:pt idx="3">
                  <c:v>8.2593382097661552E-2</c:v>
                </c:pt>
                <c:pt idx="4">
                  <c:v>8.2050953944005175E-2</c:v>
                </c:pt>
                <c:pt idx="5">
                  <c:v>7.4954546630770502E-2</c:v>
                </c:pt>
                <c:pt idx="6">
                  <c:v>7.223438111069426E-2</c:v>
                </c:pt>
                <c:pt idx="7">
                  <c:v>7.1496470555745636E-2</c:v>
                </c:pt>
                <c:pt idx="8">
                  <c:v>6.8533157691692881E-2</c:v>
                </c:pt>
                <c:pt idx="9">
                  <c:v>7.3253885828041918E-2</c:v>
                </c:pt>
                <c:pt idx="10">
                  <c:v>7.9761564554018297E-2</c:v>
                </c:pt>
                <c:pt idx="11">
                  <c:v>7.9838047664625419E-2</c:v>
                </c:pt>
                <c:pt idx="12">
                  <c:v>8.7042167098450751E-2</c:v>
                </c:pt>
                <c:pt idx="13">
                  <c:v>8.8264068072819141E-2</c:v>
                </c:pt>
                <c:pt idx="14">
                  <c:v>8.3944382979136201E-2</c:v>
                </c:pt>
                <c:pt idx="15">
                  <c:v>8.0677668207247658E-2</c:v>
                </c:pt>
                <c:pt idx="16">
                  <c:v>7.3539367158567556E-2</c:v>
                </c:pt>
                <c:pt idx="17">
                  <c:v>6.3712631336969208E-2</c:v>
                </c:pt>
                <c:pt idx="18">
                  <c:v>6.2666245033755216E-2</c:v>
                </c:pt>
                <c:pt idx="19">
                  <c:v>6.2232978421764923E-2</c:v>
                </c:pt>
                <c:pt idx="20">
                  <c:v>6.0619937896446173E-2</c:v>
                </c:pt>
                <c:pt idx="21">
                  <c:v>6.7662002693708756E-2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C4-4005-A8EB-0D1914EA9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3772880"/>
        <c:axId val="1463770000"/>
      </c:lineChart>
      <c:lineChart>
        <c:grouping val="standard"/>
        <c:varyColors val="0"/>
        <c:ser>
          <c:idx val="3"/>
          <c:order val="3"/>
          <c:tx>
            <c:strRef>
              <c:f>Gráficos!$A$62</c:f>
              <c:strCache>
                <c:ptCount val="1"/>
                <c:pt idx="0">
                  <c:v>%Despesa de consumo final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Gráficos!$B$62:$W$62</c:f>
              <c:numCache>
                <c:formatCode>0.0%</c:formatCode>
                <c:ptCount val="22"/>
                <c:pt idx="0">
                  <c:v>0.80356314055943523</c:v>
                </c:pt>
                <c:pt idx="1">
                  <c:v>0.80773606819582899</c:v>
                </c:pt>
                <c:pt idx="2">
                  <c:v>0.79700060388424765</c:v>
                </c:pt>
                <c:pt idx="3">
                  <c:v>0.82300949405192525</c:v>
                </c:pt>
                <c:pt idx="4">
                  <c:v>0.82997753428567844</c:v>
                </c:pt>
                <c:pt idx="5">
                  <c:v>0.82095510419486928</c:v>
                </c:pt>
                <c:pt idx="6">
                  <c:v>0.81382535674484657</c:v>
                </c:pt>
                <c:pt idx="7">
                  <c:v>0.80027949528890019</c:v>
                </c:pt>
                <c:pt idx="8">
                  <c:v>0.7890805608223701</c:v>
                </c:pt>
                <c:pt idx="9">
                  <c:v>0.76450812733850682</c:v>
                </c:pt>
                <c:pt idx="10">
                  <c:v>0.76091761852972861</c:v>
                </c:pt>
                <c:pt idx="11">
                  <c:v>0.74224516282026776</c:v>
                </c:pt>
                <c:pt idx="12">
                  <c:v>0.76141369069312659</c:v>
                </c:pt>
                <c:pt idx="13">
                  <c:v>0.75780016513078163</c:v>
                </c:pt>
                <c:pt idx="14">
                  <c:v>0.75733493889054593</c:v>
                </c:pt>
                <c:pt idx="15">
                  <c:v>0.73926929866301205</c:v>
                </c:pt>
                <c:pt idx="16">
                  <c:v>0.72209980941452978</c:v>
                </c:pt>
                <c:pt idx="17">
                  <c:v>0.72476818504620999</c:v>
                </c:pt>
                <c:pt idx="18">
                  <c:v>0.75491857954553154</c:v>
                </c:pt>
                <c:pt idx="19">
                  <c:v>0.764650370848308</c:v>
                </c:pt>
                <c:pt idx="20">
                  <c:v>0.70388807496163841</c:v>
                </c:pt>
                <c:pt idx="21">
                  <c:v>0.78139110156412128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C4-4005-A8EB-0D1914EA9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9745871"/>
        <c:axId val="1419741071"/>
      </c:lineChart>
      <c:catAx>
        <c:axId val="146377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3770000"/>
        <c:crosses val="autoZero"/>
        <c:auto val="1"/>
        <c:lblAlgn val="ctr"/>
        <c:lblOffset val="100"/>
        <c:noMultiLvlLbl val="0"/>
      </c:catAx>
      <c:valAx>
        <c:axId val="1463770000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3772880"/>
        <c:crosses val="autoZero"/>
        <c:crossBetween val="between"/>
      </c:valAx>
      <c:valAx>
        <c:axId val="1419741071"/>
        <c:scaling>
          <c:orientation val="minMax"/>
          <c:max val="0.85000000000000009"/>
          <c:min val="0.65000000000000013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9745871"/>
        <c:crosses val="max"/>
        <c:crossBetween val="between"/>
      </c:valAx>
      <c:catAx>
        <c:axId val="1419745871"/>
        <c:scaling>
          <c:orientation val="minMax"/>
        </c:scaling>
        <c:delete val="1"/>
        <c:axPos val="b"/>
        <c:majorTickMark val="out"/>
        <c:minorTickMark val="none"/>
        <c:tickLblPos val="nextTo"/>
        <c:crossAx val="14197410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3"/>
          <c:order val="0"/>
          <c:tx>
            <c:strRef>
              <c:f>Gráficos!$A$62</c:f>
              <c:strCache>
                <c:ptCount val="1"/>
                <c:pt idx="0">
                  <c:v>%Despesa de consumo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Gráficos!$B$58:$W$58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Gráficos!$B$62:$W$62</c:f>
              <c:numCache>
                <c:formatCode>0.0%</c:formatCode>
                <c:ptCount val="22"/>
                <c:pt idx="0">
                  <c:v>0.80356314055943523</c:v>
                </c:pt>
                <c:pt idx="1">
                  <c:v>0.80773606819582899</c:v>
                </c:pt>
                <c:pt idx="2">
                  <c:v>0.79700060388424765</c:v>
                </c:pt>
                <c:pt idx="3">
                  <c:v>0.82300949405192525</c:v>
                </c:pt>
                <c:pt idx="4">
                  <c:v>0.82997753428567844</c:v>
                </c:pt>
                <c:pt idx="5">
                  <c:v>0.82095510419486928</c:v>
                </c:pt>
                <c:pt idx="6">
                  <c:v>0.81382535674484657</c:v>
                </c:pt>
                <c:pt idx="7">
                  <c:v>0.80027949528890019</c:v>
                </c:pt>
                <c:pt idx="8">
                  <c:v>0.7890805608223701</c:v>
                </c:pt>
                <c:pt idx="9">
                  <c:v>0.76450812733850682</c:v>
                </c:pt>
                <c:pt idx="10">
                  <c:v>0.76091761852972861</c:v>
                </c:pt>
                <c:pt idx="11">
                  <c:v>0.74224516282026776</c:v>
                </c:pt>
                <c:pt idx="12">
                  <c:v>0.76141369069312659</c:v>
                </c:pt>
                <c:pt idx="13">
                  <c:v>0.75780016513078163</c:v>
                </c:pt>
                <c:pt idx="14">
                  <c:v>0.75733493889054593</c:v>
                </c:pt>
                <c:pt idx="15">
                  <c:v>0.73926929866301205</c:v>
                </c:pt>
                <c:pt idx="16">
                  <c:v>0.72209980941452978</c:v>
                </c:pt>
                <c:pt idx="17">
                  <c:v>0.72476818504620999</c:v>
                </c:pt>
                <c:pt idx="18">
                  <c:v>0.75491857954553154</c:v>
                </c:pt>
                <c:pt idx="19">
                  <c:v>0.764650370848308</c:v>
                </c:pt>
                <c:pt idx="20">
                  <c:v>0.70388807496163841</c:v>
                </c:pt>
                <c:pt idx="21">
                  <c:v>0.78139110156412128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F5-4E65-A4D3-E7C9087B946A}"/>
            </c:ext>
          </c:extLst>
        </c:ser>
        <c:ser>
          <c:idx val="0"/>
          <c:order val="1"/>
          <c:tx>
            <c:strRef>
              <c:f>Gráficos!$A$59</c:f>
              <c:strCache>
                <c:ptCount val="1"/>
                <c:pt idx="0">
                  <c:v>%Investimento Residencial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Gráficos!$B$58:$W$58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Gráficos!$B$59:$W$59</c:f>
              <c:numCache>
                <c:formatCode>0.0%</c:formatCode>
                <c:ptCount val="22"/>
                <c:pt idx="0">
                  <c:v>8.995462464224882E-2</c:v>
                </c:pt>
                <c:pt idx="1">
                  <c:v>8.2264662237904837E-2</c:v>
                </c:pt>
                <c:pt idx="2">
                  <c:v>8.6982013339061512E-2</c:v>
                </c:pt>
                <c:pt idx="3">
                  <c:v>8.2593382097661552E-2</c:v>
                </c:pt>
                <c:pt idx="4">
                  <c:v>8.2050953944005175E-2</c:v>
                </c:pt>
                <c:pt idx="5">
                  <c:v>7.4954546630770502E-2</c:v>
                </c:pt>
                <c:pt idx="6">
                  <c:v>7.223438111069426E-2</c:v>
                </c:pt>
                <c:pt idx="7">
                  <c:v>7.1496470555745636E-2</c:v>
                </c:pt>
                <c:pt idx="8">
                  <c:v>6.8533157691692881E-2</c:v>
                </c:pt>
                <c:pt idx="9">
                  <c:v>7.3253885828041918E-2</c:v>
                </c:pt>
                <c:pt idx="10">
                  <c:v>7.9761564554018297E-2</c:v>
                </c:pt>
                <c:pt idx="11">
                  <c:v>7.9838047664625419E-2</c:v>
                </c:pt>
                <c:pt idx="12">
                  <c:v>8.7042167098450751E-2</c:v>
                </c:pt>
                <c:pt idx="13">
                  <c:v>8.8264068072819141E-2</c:v>
                </c:pt>
                <c:pt idx="14">
                  <c:v>8.3944382979136201E-2</c:v>
                </c:pt>
                <c:pt idx="15">
                  <c:v>8.0677668207247658E-2</c:v>
                </c:pt>
                <c:pt idx="16">
                  <c:v>7.3539367158567556E-2</c:v>
                </c:pt>
                <c:pt idx="17">
                  <c:v>6.3712631336969208E-2</c:v>
                </c:pt>
                <c:pt idx="18">
                  <c:v>6.2666245033755216E-2</c:v>
                </c:pt>
                <c:pt idx="19">
                  <c:v>6.2232978421764923E-2</c:v>
                </c:pt>
                <c:pt idx="20">
                  <c:v>6.0619937896446173E-2</c:v>
                </c:pt>
                <c:pt idx="21">
                  <c:v>6.7662002693708756E-2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F5-4E65-A4D3-E7C9087B946A}"/>
            </c:ext>
          </c:extLst>
        </c:ser>
        <c:ser>
          <c:idx val="1"/>
          <c:order val="2"/>
          <c:tx>
            <c:strRef>
              <c:f>Gráficos!$A$60</c:f>
              <c:strCache>
                <c:ptCount val="1"/>
                <c:pt idx="0">
                  <c:v>% Transferências (usos)/RNDB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Gráficos!$B$58:$W$58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Gráficos!$B$60:$W$60</c:f>
              <c:numCache>
                <c:formatCode>0.0%</c:formatCode>
                <c:ptCount val="22"/>
                <c:pt idx="0">
                  <c:v>2.0446749180466368E-2</c:v>
                </c:pt>
                <c:pt idx="1">
                  <c:v>2.2867431933505041E-2</c:v>
                </c:pt>
                <c:pt idx="2">
                  <c:v>2.1812985555329859E-2</c:v>
                </c:pt>
                <c:pt idx="3">
                  <c:v>1.813464044318483E-2</c:v>
                </c:pt>
                <c:pt idx="4">
                  <c:v>1.7768420805893883E-2</c:v>
                </c:pt>
                <c:pt idx="5">
                  <c:v>1.9129685414211256E-2</c:v>
                </c:pt>
                <c:pt idx="6">
                  <c:v>1.9956727799556408E-2</c:v>
                </c:pt>
                <c:pt idx="7">
                  <c:v>2.0287322664097406E-2</c:v>
                </c:pt>
                <c:pt idx="8">
                  <c:v>1.9998738654236747E-2</c:v>
                </c:pt>
                <c:pt idx="9">
                  <c:v>1.4523900511717858E-2</c:v>
                </c:pt>
                <c:pt idx="10">
                  <c:v>2.2856654113497119E-2</c:v>
                </c:pt>
                <c:pt idx="11">
                  <c:v>1.9036089568406127E-2</c:v>
                </c:pt>
                <c:pt idx="12">
                  <c:v>2.1950545362752854E-2</c:v>
                </c:pt>
                <c:pt idx="13">
                  <c:v>2.2475671052075562E-2</c:v>
                </c:pt>
                <c:pt idx="14">
                  <c:v>2.0744400812878028E-2</c:v>
                </c:pt>
                <c:pt idx="15">
                  <c:v>2.5255220999567195E-2</c:v>
                </c:pt>
                <c:pt idx="16">
                  <c:v>2.5469020549869263E-2</c:v>
                </c:pt>
                <c:pt idx="17">
                  <c:v>2.2378683995913501E-2</c:v>
                </c:pt>
                <c:pt idx="18">
                  <c:v>2.2426775615441465E-2</c:v>
                </c:pt>
                <c:pt idx="19">
                  <c:v>1.9328534571508054E-2</c:v>
                </c:pt>
                <c:pt idx="20">
                  <c:v>2.1364554201680683E-2</c:v>
                </c:pt>
                <c:pt idx="21">
                  <c:v>1.798469848205024E-2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F5-4E65-A4D3-E7C9087B946A}"/>
            </c:ext>
          </c:extLst>
        </c:ser>
        <c:ser>
          <c:idx val="2"/>
          <c:order val="3"/>
          <c:tx>
            <c:strRef>
              <c:f>Gráficos!$A$61</c:f>
              <c:strCache>
                <c:ptCount val="1"/>
                <c:pt idx="0">
                  <c:v>%Juros Pessoais/RNDB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Gráficos!$B$58:$W$58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Gráficos!$B$61:$W$61</c:f>
              <c:numCache>
                <c:formatCode>0.0%</c:formatCode>
                <c:ptCount val="22"/>
                <c:pt idx="0">
                  <c:v>6.338223032657142E-2</c:v>
                </c:pt>
                <c:pt idx="1">
                  <c:v>6.5222096194044496E-2</c:v>
                </c:pt>
                <c:pt idx="2">
                  <c:v>6.8273253997248248E-2</c:v>
                </c:pt>
                <c:pt idx="3">
                  <c:v>6.7997515444753812E-2</c:v>
                </c:pt>
                <c:pt idx="4">
                  <c:v>5.971051789641877E-2</c:v>
                </c:pt>
                <c:pt idx="5">
                  <c:v>7.7489372777902993E-2</c:v>
                </c:pt>
                <c:pt idx="6">
                  <c:v>9.1483750195577099E-2</c:v>
                </c:pt>
                <c:pt idx="7">
                  <c:v>0.10401318445555226</c:v>
                </c:pt>
                <c:pt idx="8">
                  <c:v>0.12255223628545849</c:v>
                </c:pt>
                <c:pt idx="9">
                  <c:v>0.15116653983972828</c:v>
                </c:pt>
                <c:pt idx="10">
                  <c:v>0.15230863276186019</c:v>
                </c:pt>
                <c:pt idx="11">
                  <c:v>0.16534074345774979</c:v>
                </c:pt>
                <c:pt idx="12">
                  <c:v>0.15186638452189236</c:v>
                </c:pt>
                <c:pt idx="13">
                  <c:v>0.13671330539541782</c:v>
                </c:pt>
                <c:pt idx="14">
                  <c:v>0.14649376203120007</c:v>
                </c:pt>
                <c:pt idx="15">
                  <c:v>0.16074001418304898</c:v>
                </c:pt>
                <c:pt idx="16">
                  <c:v>0.16466289915703947</c:v>
                </c:pt>
                <c:pt idx="17">
                  <c:v>0.14859772580416714</c:v>
                </c:pt>
                <c:pt idx="18">
                  <c:v>0.13088886032512836</c:v>
                </c:pt>
                <c:pt idx="19">
                  <c:v>0.12891829573449276</c:v>
                </c:pt>
                <c:pt idx="20">
                  <c:v>0.11136966502290302</c:v>
                </c:pt>
                <c:pt idx="21">
                  <c:v>0.12159172013932248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F5-4E65-A4D3-E7C9087B9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600239"/>
        <c:axId val="1504601679"/>
      </c:areaChart>
      <c:catAx>
        <c:axId val="1504600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4601679"/>
        <c:crosses val="autoZero"/>
        <c:auto val="1"/>
        <c:lblAlgn val="ctr"/>
        <c:lblOffset val="100"/>
        <c:noMultiLvlLbl val="0"/>
      </c:catAx>
      <c:valAx>
        <c:axId val="1504601679"/>
        <c:scaling>
          <c:orientation val="minMax"/>
          <c:max val="1.05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4600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509867</xdr:colOff>
      <xdr:row>2</xdr:row>
      <xdr:rowOff>146797</xdr:rowOff>
    </xdr:from>
    <xdr:to>
      <xdr:col>32</xdr:col>
      <xdr:colOff>463808</xdr:colOff>
      <xdr:row>16</xdr:row>
      <xdr:rowOff>158091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EB1DB5-C81D-0800-9947-19B6EA56C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521070</xdr:colOff>
      <xdr:row>17</xdr:row>
      <xdr:rowOff>158002</xdr:rowOff>
    </xdr:from>
    <xdr:to>
      <xdr:col>32</xdr:col>
      <xdr:colOff>475011</xdr:colOff>
      <xdr:row>31</xdr:row>
      <xdr:rowOff>23620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A4421DA-9302-0741-E035-087B64480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543483</xdr:colOff>
      <xdr:row>32</xdr:row>
      <xdr:rowOff>79563</xdr:rowOff>
    </xdr:from>
    <xdr:to>
      <xdr:col>32</xdr:col>
      <xdr:colOff>497424</xdr:colOff>
      <xdr:row>46</xdr:row>
      <xdr:rowOff>146886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DA5BD72-8EF0-D7B4-A480-847AB388A4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100860</xdr:colOff>
      <xdr:row>82</xdr:row>
      <xdr:rowOff>146795</xdr:rowOff>
    </xdr:from>
    <xdr:to>
      <xdr:col>17</xdr:col>
      <xdr:colOff>280147</xdr:colOff>
      <xdr:row>97</xdr:row>
      <xdr:rowOff>44822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5B00675-F9C5-5D0E-A22C-9F856499B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89655</xdr:colOff>
      <xdr:row>62</xdr:row>
      <xdr:rowOff>78441</xdr:rowOff>
    </xdr:from>
    <xdr:to>
      <xdr:col>17</xdr:col>
      <xdr:colOff>257736</xdr:colOff>
      <xdr:row>80</xdr:row>
      <xdr:rowOff>99731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3D5FB38-7A8F-1985-A8D6-C55906F69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5AE7D136-4703-4CC7-ABB1-A3DA7C0BE87E}" autoFormatId="16" applyNumberFormats="0" applyBorderFormats="0" applyFontFormats="0" applyPatternFormats="0" applyAlignmentFormats="0" applyWidthHeightFormats="0">
  <queryTableRefresh nextId="6">
    <queryTableFields count="5">
      <queryTableField id="1" name="Nome da Origem" tableColumnId="1"/>
      <queryTableField id="2" name="Códigos" tableColumnId="2"/>
      <queryTableField id="3" name="Transações e saldos" tableColumnId="3"/>
      <queryTableField id="4" name="USOS" tableColumnId="4"/>
      <queryTableField id="5" name="RECURSO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44D597-0A3D-4841-AF22-73892636F2A7}" name="CEI_COMPLETA" displayName="CEI_COMPLETA" ref="A1:E1829" tableType="queryTable" totalsRowShown="0">
  <autoFilter ref="A1:E1829" xr:uid="{2444D597-0A3D-4841-AF22-73892636F2A7}"/>
  <tableColumns count="5">
    <tableColumn id="1" xr3:uid="{18EFCD58-FF3A-4853-8157-C2E92B7CB8B8}" uniqueName="1" name="Nome da Origem" queryTableFieldId="1" dataDxfId="2"/>
    <tableColumn id="2" xr3:uid="{C93854E7-9A1E-4E91-BD5B-602597F8D2E8}" uniqueName="2" name="Códigos" queryTableFieldId="2" dataDxfId="1"/>
    <tableColumn id="3" xr3:uid="{DFC4EF8F-B2B3-4CDA-9C89-B8A76E76D624}" uniqueName="3" name="Transações e saldos" queryTableFieldId="3"/>
    <tableColumn id="4" xr3:uid="{A937BA5A-C21B-45A4-9677-489D339C2384}" uniqueName="4" name="USOS" queryTableFieldId="4"/>
    <tableColumn id="5" xr3:uid="{D8181AA5-27A0-40FF-84C0-025C6F79115F}" uniqueName="5" name="RECURSO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5A000-BE35-470E-82AB-055B5A4B847D}">
  <sheetPr codeName="Planilha1"/>
  <dimension ref="A1:E1829"/>
  <sheetViews>
    <sheetView workbookViewId="0">
      <selection activeCell="K29" sqref="K29"/>
    </sheetView>
  </sheetViews>
  <sheetFormatPr defaultRowHeight="15" x14ac:dyDescent="0.25"/>
  <cols>
    <col min="1" max="1" width="18.42578125" bestFit="1" customWidth="1"/>
    <col min="2" max="2" width="10.7109375" bestFit="1" customWidth="1"/>
    <col min="3" max="3" width="81.140625" bestFit="1" customWidth="1"/>
    <col min="4" max="4" width="8.28515625" bestFit="1" customWidth="1"/>
    <col min="5" max="5" width="13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148</v>
      </c>
      <c r="C2" t="s">
        <v>6</v>
      </c>
    </row>
    <row r="3" spans="1:5" x14ac:dyDescent="0.25">
      <c r="A3" t="s">
        <v>5</v>
      </c>
      <c r="B3" t="s">
        <v>149</v>
      </c>
      <c r="C3" t="s">
        <v>7</v>
      </c>
    </row>
    <row r="4" spans="1:5" x14ac:dyDescent="0.25">
      <c r="A4" t="s">
        <v>5</v>
      </c>
      <c r="B4" t="s">
        <v>150</v>
      </c>
      <c r="C4" t="s">
        <v>8</v>
      </c>
      <c r="E4">
        <v>388773</v>
      </c>
    </row>
    <row r="5" spans="1:5" x14ac:dyDescent="0.25">
      <c r="A5" t="s">
        <v>5</v>
      </c>
      <c r="B5" t="s">
        <v>151</v>
      </c>
      <c r="C5" t="s">
        <v>9</v>
      </c>
      <c r="D5">
        <v>97391</v>
      </c>
    </row>
    <row r="6" spans="1:5" x14ac:dyDescent="0.25">
      <c r="A6" t="s">
        <v>5</v>
      </c>
      <c r="B6" t="s">
        <v>152</v>
      </c>
      <c r="C6" t="s">
        <v>10</v>
      </c>
    </row>
    <row r="7" spans="1:5" x14ac:dyDescent="0.25">
      <c r="A7" t="s">
        <v>5</v>
      </c>
      <c r="B7" t="s">
        <v>153</v>
      </c>
      <c r="C7" t="s">
        <v>11</v>
      </c>
      <c r="D7">
        <v>291382</v>
      </c>
      <c r="E7">
        <v>291382</v>
      </c>
    </row>
    <row r="8" spans="1:5" x14ac:dyDescent="0.25">
      <c r="A8" t="s">
        <v>5</v>
      </c>
      <c r="B8" t="s">
        <v>154</v>
      </c>
      <c r="C8" t="s">
        <v>12</v>
      </c>
    </row>
    <row r="9" spans="1:5" x14ac:dyDescent="0.25">
      <c r="A9" t="s">
        <v>5</v>
      </c>
      <c r="B9" t="s">
        <v>155</v>
      </c>
      <c r="C9" t="s">
        <v>13</v>
      </c>
      <c r="D9">
        <v>28608</v>
      </c>
      <c r="E9">
        <v>470094</v>
      </c>
    </row>
    <row r="10" spans="1:5" x14ac:dyDescent="0.25">
      <c r="A10" t="s">
        <v>5</v>
      </c>
      <c r="B10" t="s">
        <v>156</v>
      </c>
      <c r="C10" t="s">
        <v>14</v>
      </c>
      <c r="D10">
        <v>24362</v>
      </c>
      <c r="E10">
        <v>380925</v>
      </c>
    </row>
    <row r="11" spans="1:5" x14ac:dyDescent="0.25">
      <c r="A11" t="s">
        <v>5</v>
      </c>
      <c r="B11" t="s">
        <v>135</v>
      </c>
      <c r="C11" t="s">
        <v>15</v>
      </c>
      <c r="D11">
        <v>4246</v>
      </c>
      <c r="E11">
        <v>89169</v>
      </c>
    </row>
    <row r="12" spans="1:5" x14ac:dyDescent="0.25">
      <c r="A12" t="s">
        <v>5</v>
      </c>
      <c r="B12" t="s">
        <v>157</v>
      </c>
      <c r="C12" t="s">
        <v>16</v>
      </c>
      <c r="D12">
        <v>4246</v>
      </c>
      <c r="E12">
        <v>67435</v>
      </c>
    </row>
    <row r="13" spans="1:5" x14ac:dyDescent="0.25">
      <c r="A13" t="s">
        <v>5</v>
      </c>
      <c r="B13" t="s">
        <v>158</v>
      </c>
      <c r="C13" t="s">
        <v>17</v>
      </c>
      <c r="E13">
        <v>21734</v>
      </c>
    </row>
    <row r="14" spans="1:5" x14ac:dyDescent="0.25">
      <c r="A14" t="s">
        <v>5</v>
      </c>
      <c r="B14" t="s">
        <v>159</v>
      </c>
      <c r="C14" t="s">
        <v>18</v>
      </c>
      <c r="D14">
        <v>-1189</v>
      </c>
    </row>
    <row r="15" spans="1:5" x14ac:dyDescent="0.25">
      <c r="A15" t="s">
        <v>5</v>
      </c>
      <c r="B15" t="s">
        <v>160</v>
      </c>
      <c r="C15" t="s">
        <v>19</v>
      </c>
      <c r="D15">
        <v>-1189</v>
      </c>
    </row>
    <row r="16" spans="1:5" x14ac:dyDescent="0.25">
      <c r="A16" t="s">
        <v>5</v>
      </c>
      <c r="B16" t="s">
        <v>161</v>
      </c>
      <c r="C16" t="s">
        <v>20</v>
      </c>
      <c r="D16">
        <v>115598</v>
      </c>
      <c r="E16">
        <v>115598</v>
      </c>
    </row>
    <row r="17" spans="1:5" x14ac:dyDescent="0.25">
      <c r="A17" t="s">
        <v>5</v>
      </c>
      <c r="B17" t="s">
        <v>162</v>
      </c>
      <c r="C17" t="s">
        <v>21</v>
      </c>
      <c r="D17">
        <v>148365</v>
      </c>
      <c r="E17">
        <v>148365</v>
      </c>
    </row>
    <row r="18" spans="1:5" x14ac:dyDescent="0.25">
      <c r="A18" t="s">
        <v>5</v>
      </c>
      <c r="B18" t="s">
        <v>163</v>
      </c>
      <c r="C18" t="s">
        <v>22</v>
      </c>
      <c r="D18">
        <v>17092</v>
      </c>
      <c r="E18">
        <v>148856</v>
      </c>
    </row>
    <row r="19" spans="1:5" x14ac:dyDescent="0.25">
      <c r="A19" t="s">
        <v>5</v>
      </c>
      <c r="B19" t="s">
        <v>140</v>
      </c>
      <c r="C19" t="s">
        <v>23</v>
      </c>
      <c r="D19">
        <v>17027</v>
      </c>
      <c r="E19">
        <v>67149</v>
      </c>
    </row>
    <row r="20" spans="1:5" x14ac:dyDescent="0.25">
      <c r="A20" t="s">
        <v>5</v>
      </c>
      <c r="B20" t="s">
        <v>164</v>
      </c>
      <c r="C20" t="s">
        <v>24</v>
      </c>
      <c r="E20">
        <v>70376</v>
      </c>
    </row>
    <row r="21" spans="1:5" x14ac:dyDescent="0.25">
      <c r="A21" t="s">
        <v>5</v>
      </c>
      <c r="B21" t="s">
        <v>165</v>
      </c>
      <c r="C21" t="s">
        <v>25</v>
      </c>
      <c r="E21">
        <v>11331</v>
      </c>
    </row>
    <row r="22" spans="1:5" x14ac:dyDescent="0.25">
      <c r="A22" t="s">
        <v>5</v>
      </c>
      <c r="B22" t="s">
        <v>166</v>
      </c>
      <c r="C22" t="s">
        <v>26</v>
      </c>
      <c r="D22">
        <v>65</v>
      </c>
    </row>
    <row r="23" spans="1:5" x14ac:dyDescent="0.25">
      <c r="A23" t="s">
        <v>5</v>
      </c>
      <c r="B23" t="s">
        <v>167</v>
      </c>
      <c r="C23" t="s">
        <v>27</v>
      </c>
      <c r="D23">
        <v>865821</v>
      </c>
      <c r="E23">
        <v>865821</v>
      </c>
    </row>
    <row r="24" spans="1:5" x14ac:dyDescent="0.25">
      <c r="A24" t="s">
        <v>5</v>
      </c>
      <c r="B24" t="s">
        <v>168</v>
      </c>
      <c r="C24" t="s">
        <v>28</v>
      </c>
      <c r="D24">
        <v>38568</v>
      </c>
    </row>
    <row r="25" spans="1:5" x14ac:dyDescent="0.25">
      <c r="A25" t="s">
        <v>5</v>
      </c>
      <c r="B25" t="s">
        <v>137</v>
      </c>
      <c r="C25" t="s">
        <v>29</v>
      </c>
      <c r="D25">
        <v>129632</v>
      </c>
    </row>
    <row r="26" spans="1:5" x14ac:dyDescent="0.25">
      <c r="A26" t="s">
        <v>5</v>
      </c>
      <c r="B26" t="s">
        <v>169</v>
      </c>
      <c r="C26" t="s">
        <v>30</v>
      </c>
      <c r="D26">
        <v>67435</v>
      </c>
    </row>
    <row r="27" spans="1:5" x14ac:dyDescent="0.25">
      <c r="A27" t="s">
        <v>5</v>
      </c>
      <c r="B27" t="s">
        <v>170</v>
      </c>
      <c r="C27" t="s">
        <v>31</v>
      </c>
      <c r="D27">
        <v>21734</v>
      </c>
    </row>
    <row r="28" spans="1:5" x14ac:dyDescent="0.25">
      <c r="A28" t="s">
        <v>5</v>
      </c>
      <c r="B28" t="s">
        <v>171</v>
      </c>
      <c r="C28" t="s">
        <v>32</v>
      </c>
      <c r="D28">
        <v>40463</v>
      </c>
    </row>
    <row r="29" spans="1:5" x14ac:dyDescent="0.25">
      <c r="A29" t="s">
        <v>5</v>
      </c>
      <c r="B29" t="s">
        <v>138</v>
      </c>
      <c r="C29" t="s">
        <v>33</v>
      </c>
      <c r="E29">
        <v>160298</v>
      </c>
    </row>
    <row r="30" spans="1:5" x14ac:dyDescent="0.25">
      <c r="A30" t="s">
        <v>5</v>
      </c>
      <c r="B30" t="s">
        <v>172</v>
      </c>
      <c r="C30" t="s">
        <v>34</v>
      </c>
      <c r="E30">
        <v>70874</v>
      </c>
    </row>
    <row r="31" spans="1:5" x14ac:dyDescent="0.25">
      <c r="A31" t="s">
        <v>5</v>
      </c>
      <c r="B31" t="s">
        <v>173</v>
      </c>
      <c r="C31" t="s">
        <v>35</v>
      </c>
      <c r="E31">
        <v>86655</v>
      </c>
    </row>
    <row r="32" spans="1:5" x14ac:dyDescent="0.25">
      <c r="A32" t="s">
        <v>5</v>
      </c>
      <c r="B32" t="s">
        <v>174</v>
      </c>
      <c r="C32" t="s">
        <v>36</v>
      </c>
      <c r="E32">
        <v>2769</v>
      </c>
    </row>
    <row r="33" spans="1:5" x14ac:dyDescent="0.25">
      <c r="A33" t="s">
        <v>5</v>
      </c>
      <c r="B33" t="s">
        <v>141</v>
      </c>
      <c r="C33" t="s">
        <v>37</v>
      </c>
      <c r="D33">
        <v>15190</v>
      </c>
      <c r="E33">
        <v>6592</v>
      </c>
    </row>
    <row r="34" spans="1:5" x14ac:dyDescent="0.25">
      <c r="A34" t="s">
        <v>5</v>
      </c>
      <c r="B34" t="s">
        <v>175</v>
      </c>
      <c r="C34" t="s">
        <v>38</v>
      </c>
      <c r="D34">
        <v>2584</v>
      </c>
    </row>
    <row r="35" spans="1:5" x14ac:dyDescent="0.25">
      <c r="A35" t="s">
        <v>5</v>
      </c>
      <c r="B35" t="s">
        <v>176</v>
      </c>
      <c r="C35" t="s">
        <v>39</v>
      </c>
      <c r="E35">
        <v>2815</v>
      </c>
    </row>
    <row r="36" spans="1:5" x14ac:dyDescent="0.25">
      <c r="A36" t="s">
        <v>5</v>
      </c>
      <c r="B36" t="s">
        <v>177</v>
      </c>
      <c r="C36" t="s">
        <v>40</v>
      </c>
    </row>
    <row r="37" spans="1:5" x14ac:dyDescent="0.25">
      <c r="A37" t="s">
        <v>5</v>
      </c>
      <c r="B37" t="s">
        <v>178</v>
      </c>
      <c r="C37" t="s">
        <v>41</v>
      </c>
    </row>
    <row r="38" spans="1:5" x14ac:dyDescent="0.25">
      <c r="A38" t="s">
        <v>5</v>
      </c>
      <c r="B38" t="s">
        <v>179</v>
      </c>
      <c r="C38" t="s">
        <v>42</v>
      </c>
      <c r="D38">
        <v>12606</v>
      </c>
      <c r="E38">
        <v>3777</v>
      </c>
    </row>
    <row r="39" spans="1:5" x14ac:dyDescent="0.25">
      <c r="A39" t="s">
        <v>5</v>
      </c>
      <c r="B39" t="s">
        <v>121</v>
      </c>
      <c r="C39" t="s">
        <v>43</v>
      </c>
      <c r="D39">
        <v>849321</v>
      </c>
      <c r="E39">
        <v>849321</v>
      </c>
    </row>
    <row r="40" spans="1:5" x14ac:dyDescent="0.25">
      <c r="A40" t="s">
        <v>5</v>
      </c>
      <c r="B40" t="s">
        <v>142</v>
      </c>
      <c r="C40" t="s">
        <v>44</v>
      </c>
      <c r="E40">
        <v>107799</v>
      </c>
    </row>
    <row r="41" spans="1:5" x14ac:dyDescent="0.25">
      <c r="A41" t="s">
        <v>5</v>
      </c>
      <c r="B41" t="s">
        <v>180</v>
      </c>
      <c r="C41" t="s">
        <v>45</v>
      </c>
      <c r="D41">
        <v>957120</v>
      </c>
      <c r="E41">
        <v>957120</v>
      </c>
    </row>
    <row r="42" spans="1:5" x14ac:dyDescent="0.25">
      <c r="A42" t="s">
        <v>5</v>
      </c>
      <c r="B42" t="s">
        <v>181</v>
      </c>
      <c r="C42" t="s">
        <v>46</v>
      </c>
      <c r="D42">
        <v>862131</v>
      </c>
    </row>
    <row r="43" spans="1:5" x14ac:dyDescent="0.25">
      <c r="A43" t="s">
        <v>5</v>
      </c>
      <c r="B43" t="s">
        <v>122</v>
      </c>
      <c r="C43" t="s">
        <v>47</v>
      </c>
      <c r="D43">
        <v>754333</v>
      </c>
    </row>
    <row r="44" spans="1:5" x14ac:dyDescent="0.25">
      <c r="A44" t="s">
        <v>5</v>
      </c>
      <c r="B44" t="s">
        <v>182</v>
      </c>
      <c r="C44" t="s">
        <v>48</v>
      </c>
      <c r="E44">
        <v>12561</v>
      </c>
    </row>
    <row r="45" spans="1:5" x14ac:dyDescent="0.25">
      <c r="A45" t="s">
        <v>5</v>
      </c>
      <c r="B45" t="s">
        <v>127</v>
      </c>
      <c r="C45" t="s">
        <v>49</v>
      </c>
      <c r="D45">
        <v>107549</v>
      </c>
    </row>
    <row r="46" spans="1:5" x14ac:dyDescent="0.25">
      <c r="A46" t="s">
        <v>5</v>
      </c>
      <c r="B46" t="s">
        <v>183</v>
      </c>
      <c r="C46" t="s">
        <v>50</v>
      </c>
    </row>
    <row r="47" spans="1:5" x14ac:dyDescent="0.25">
      <c r="A47" t="s">
        <v>5</v>
      </c>
      <c r="B47" t="s">
        <v>127</v>
      </c>
      <c r="C47" t="s">
        <v>49</v>
      </c>
      <c r="E47">
        <v>107549</v>
      </c>
    </row>
    <row r="48" spans="1:5" x14ac:dyDescent="0.25">
      <c r="A48" t="s">
        <v>5</v>
      </c>
      <c r="B48" t="s">
        <v>124</v>
      </c>
      <c r="C48" t="s">
        <v>51</v>
      </c>
      <c r="D48">
        <v>81409</v>
      </c>
    </row>
    <row r="49" spans="1:5" x14ac:dyDescent="0.25">
      <c r="A49" t="s">
        <v>5</v>
      </c>
      <c r="B49" t="s">
        <v>184</v>
      </c>
      <c r="C49" t="s">
        <v>52</v>
      </c>
    </row>
    <row r="50" spans="1:5" x14ac:dyDescent="0.25">
      <c r="A50" t="s">
        <v>5</v>
      </c>
      <c r="B50" t="s">
        <v>185</v>
      </c>
      <c r="C50" t="s">
        <v>53</v>
      </c>
    </row>
    <row r="51" spans="1:5" x14ac:dyDescent="0.25">
      <c r="A51" t="s">
        <v>5</v>
      </c>
      <c r="B51" t="s">
        <v>186</v>
      </c>
      <c r="C51" t="s">
        <v>54</v>
      </c>
      <c r="E51">
        <v>5</v>
      </c>
    </row>
    <row r="52" spans="1:5" x14ac:dyDescent="0.25">
      <c r="A52" t="s">
        <v>5</v>
      </c>
      <c r="B52" t="s">
        <v>187</v>
      </c>
      <c r="C52" t="s">
        <v>55</v>
      </c>
      <c r="D52">
        <v>24812</v>
      </c>
    </row>
    <row r="53" spans="1:5" x14ac:dyDescent="0.25">
      <c r="A53" t="s">
        <v>5</v>
      </c>
      <c r="B53" t="s">
        <v>188</v>
      </c>
      <c r="C53" t="s">
        <v>56</v>
      </c>
      <c r="E53">
        <v>106220</v>
      </c>
    </row>
    <row r="54" spans="1:5" x14ac:dyDescent="0.25">
      <c r="A54" t="s">
        <v>57</v>
      </c>
      <c r="B54" t="s">
        <v>148</v>
      </c>
      <c r="C54" t="s">
        <v>6</v>
      </c>
    </row>
    <row r="55" spans="1:5" x14ac:dyDescent="0.25">
      <c r="A55" t="s">
        <v>57</v>
      </c>
      <c r="B55" t="s">
        <v>149</v>
      </c>
      <c r="C55" t="s">
        <v>7</v>
      </c>
    </row>
    <row r="56" spans="1:5" x14ac:dyDescent="0.25">
      <c r="A56" t="s">
        <v>57</v>
      </c>
      <c r="B56" t="s">
        <v>150</v>
      </c>
      <c r="C56" t="s">
        <v>8</v>
      </c>
      <c r="E56">
        <v>411050</v>
      </c>
    </row>
    <row r="57" spans="1:5" x14ac:dyDescent="0.25">
      <c r="A57" t="s">
        <v>57</v>
      </c>
      <c r="B57" t="s">
        <v>151</v>
      </c>
      <c r="C57" t="s">
        <v>9</v>
      </c>
      <c r="D57">
        <v>110866</v>
      </c>
    </row>
    <row r="58" spans="1:5" x14ac:dyDescent="0.25">
      <c r="A58" t="s">
        <v>57</v>
      </c>
      <c r="B58" t="s">
        <v>152</v>
      </c>
      <c r="C58" t="s">
        <v>10</v>
      </c>
    </row>
    <row r="59" spans="1:5" x14ac:dyDescent="0.25">
      <c r="A59" t="s">
        <v>57</v>
      </c>
      <c r="B59" t="s">
        <v>153</v>
      </c>
      <c r="C59" t="s">
        <v>11</v>
      </c>
      <c r="D59">
        <v>300184</v>
      </c>
      <c r="E59">
        <v>300184</v>
      </c>
    </row>
    <row r="60" spans="1:5" x14ac:dyDescent="0.25">
      <c r="A60" t="s">
        <v>57</v>
      </c>
      <c r="B60" t="s">
        <v>154</v>
      </c>
      <c r="C60" t="s">
        <v>12</v>
      </c>
    </row>
    <row r="61" spans="1:5" x14ac:dyDescent="0.25">
      <c r="A61" t="s">
        <v>57</v>
      </c>
      <c r="B61" t="s">
        <v>155</v>
      </c>
      <c r="C61" t="s">
        <v>13</v>
      </c>
      <c r="D61">
        <v>30382</v>
      </c>
      <c r="E61">
        <v>520720</v>
      </c>
    </row>
    <row r="62" spans="1:5" x14ac:dyDescent="0.25">
      <c r="A62" t="s">
        <v>57</v>
      </c>
      <c r="B62" t="s">
        <v>156</v>
      </c>
      <c r="C62" t="s">
        <v>14</v>
      </c>
      <c r="D62">
        <v>25594</v>
      </c>
      <c r="E62">
        <v>418314</v>
      </c>
    </row>
    <row r="63" spans="1:5" x14ac:dyDescent="0.25">
      <c r="A63" t="s">
        <v>57</v>
      </c>
      <c r="B63" t="s">
        <v>135</v>
      </c>
      <c r="C63" t="s">
        <v>15</v>
      </c>
      <c r="D63">
        <v>4788</v>
      </c>
      <c r="E63">
        <v>102406</v>
      </c>
    </row>
    <row r="64" spans="1:5" x14ac:dyDescent="0.25">
      <c r="A64" t="s">
        <v>57</v>
      </c>
      <c r="B64" t="s">
        <v>157</v>
      </c>
      <c r="C64" t="s">
        <v>16</v>
      </c>
      <c r="D64">
        <v>4788</v>
      </c>
      <c r="E64">
        <v>76664</v>
      </c>
    </row>
    <row r="65" spans="1:5" x14ac:dyDescent="0.25">
      <c r="A65" t="s">
        <v>57</v>
      </c>
      <c r="B65" t="s">
        <v>158</v>
      </c>
      <c r="C65" t="s">
        <v>17</v>
      </c>
      <c r="E65">
        <v>25742</v>
      </c>
    </row>
    <row r="66" spans="1:5" x14ac:dyDescent="0.25">
      <c r="A66" t="s">
        <v>57</v>
      </c>
      <c r="B66" t="s">
        <v>159</v>
      </c>
      <c r="C66" t="s">
        <v>18</v>
      </c>
      <c r="D66">
        <v>-1496</v>
      </c>
    </row>
    <row r="67" spans="1:5" x14ac:dyDescent="0.25">
      <c r="A67" t="s">
        <v>57</v>
      </c>
      <c r="B67" t="s">
        <v>160</v>
      </c>
      <c r="C67" t="s">
        <v>19</v>
      </c>
      <c r="D67">
        <v>-1496</v>
      </c>
    </row>
    <row r="68" spans="1:5" x14ac:dyDescent="0.25">
      <c r="A68" t="s">
        <v>57</v>
      </c>
      <c r="B68" t="s">
        <v>161</v>
      </c>
      <c r="C68" t="s">
        <v>20</v>
      </c>
      <c r="D68">
        <v>116877</v>
      </c>
      <c r="E68">
        <v>116877</v>
      </c>
    </row>
    <row r="69" spans="1:5" x14ac:dyDescent="0.25">
      <c r="A69" t="s">
        <v>57</v>
      </c>
      <c r="B69" t="s">
        <v>162</v>
      </c>
      <c r="C69" t="s">
        <v>21</v>
      </c>
      <c r="D69">
        <v>154420</v>
      </c>
      <c r="E69">
        <v>154420</v>
      </c>
    </row>
    <row r="70" spans="1:5" x14ac:dyDescent="0.25">
      <c r="A70" t="s">
        <v>57</v>
      </c>
      <c r="B70" t="s">
        <v>163</v>
      </c>
      <c r="C70" t="s">
        <v>22</v>
      </c>
      <c r="D70">
        <v>18342</v>
      </c>
      <c r="E70">
        <v>169908</v>
      </c>
    </row>
    <row r="71" spans="1:5" x14ac:dyDescent="0.25">
      <c r="A71" t="s">
        <v>57</v>
      </c>
      <c r="B71" t="s">
        <v>140</v>
      </c>
      <c r="C71" t="s">
        <v>23</v>
      </c>
      <c r="D71">
        <v>18273</v>
      </c>
      <c r="E71">
        <v>71317</v>
      </c>
    </row>
    <row r="72" spans="1:5" x14ac:dyDescent="0.25">
      <c r="A72" t="s">
        <v>57</v>
      </c>
      <c r="B72" t="s">
        <v>164</v>
      </c>
      <c r="C72" t="s">
        <v>24</v>
      </c>
      <c r="E72">
        <v>83903</v>
      </c>
    </row>
    <row r="73" spans="1:5" x14ac:dyDescent="0.25">
      <c r="A73" t="s">
        <v>57</v>
      </c>
      <c r="B73" t="s">
        <v>165</v>
      </c>
      <c r="C73" t="s">
        <v>25</v>
      </c>
      <c r="E73">
        <v>14687</v>
      </c>
    </row>
    <row r="74" spans="1:5" x14ac:dyDescent="0.25">
      <c r="A74" t="s">
        <v>57</v>
      </c>
      <c r="B74" t="s">
        <v>166</v>
      </c>
      <c r="C74" t="s">
        <v>26</v>
      </c>
      <c r="D74">
        <v>69</v>
      </c>
    </row>
    <row r="75" spans="1:5" x14ac:dyDescent="0.25">
      <c r="A75" t="s">
        <v>57</v>
      </c>
      <c r="B75" t="s">
        <v>167</v>
      </c>
      <c r="C75" t="s">
        <v>27</v>
      </c>
      <c r="D75">
        <v>943583</v>
      </c>
      <c r="E75">
        <v>943583</v>
      </c>
    </row>
    <row r="76" spans="1:5" x14ac:dyDescent="0.25">
      <c r="A76" t="s">
        <v>57</v>
      </c>
      <c r="B76" t="s">
        <v>168</v>
      </c>
      <c r="C76" t="s">
        <v>28</v>
      </c>
      <c r="D76">
        <v>44219</v>
      </c>
    </row>
    <row r="77" spans="1:5" x14ac:dyDescent="0.25">
      <c r="A77" t="s">
        <v>57</v>
      </c>
      <c r="B77" t="s">
        <v>137</v>
      </c>
      <c r="C77" t="s">
        <v>29</v>
      </c>
      <c r="D77">
        <v>151615</v>
      </c>
    </row>
    <row r="78" spans="1:5" x14ac:dyDescent="0.25">
      <c r="A78" t="s">
        <v>57</v>
      </c>
      <c r="B78" t="s">
        <v>169</v>
      </c>
      <c r="C78" t="s">
        <v>30</v>
      </c>
      <c r="D78">
        <v>76664</v>
      </c>
    </row>
    <row r="79" spans="1:5" x14ac:dyDescent="0.25">
      <c r="A79" t="s">
        <v>57</v>
      </c>
      <c r="B79" t="s">
        <v>170</v>
      </c>
      <c r="C79" t="s">
        <v>31</v>
      </c>
      <c r="D79">
        <v>25742</v>
      </c>
    </row>
    <row r="80" spans="1:5" x14ac:dyDescent="0.25">
      <c r="A80" t="s">
        <v>57</v>
      </c>
      <c r="B80" t="s">
        <v>171</v>
      </c>
      <c r="C80" t="s">
        <v>32</v>
      </c>
      <c r="D80">
        <v>49209</v>
      </c>
    </row>
    <row r="81" spans="1:5" x14ac:dyDescent="0.25">
      <c r="A81" t="s">
        <v>57</v>
      </c>
      <c r="B81" t="s">
        <v>138</v>
      </c>
      <c r="C81" t="s">
        <v>33</v>
      </c>
      <c r="E81">
        <v>183633</v>
      </c>
    </row>
    <row r="82" spans="1:5" x14ac:dyDescent="0.25">
      <c r="A82" t="s">
        <v>57</v>
      </c>
      <c r="B82" t="s">
        <v>172</v>
      </c>
      <c r="C82" t="s">
        <v>34</v>
      </c>
      <c r="E82">
        <v>81993</v>
      </c>
    </row>
    <row r="83" spans="1:5" x14ac:dyDescent="0.25">
      <c r="A83" t="s">
        <v>57</v>
      </c>
      <c r="B83" t="s">
        <v>173</v>
      </c>
      <c r="C83" t="s">
        <v>35</v>
      </c>
      <c r="E83">
        <v>98537</v>
      </c>
    </row>
    <row r="84" spans="1:5" x14ac:dyDescent="0.25">
      <c r="A84" t="s">
        <v>57</v>
      </c>
      <c r="B84" t="s">
        <v>174</v>
      </c>
      <c r="C84" t="s">
        <v>36</v>
      </c>
      <c r="E84">
        <v>3103</v>
      </c>
    </row>
    <row r="85" spans="1:5" x14ac:dyDescent="0.25">
      <c r="A85" t="s">
        <v>57</v>
      </c>
      <c r="B85" t="s">
        <v>141</v>
      </c>
      <c r="C85" t="s">
        <v>37</v>
      </c>
      <c r="D85">
        <v>18577</v>
      </c>
      <c r="E85">
        <v>9167</v>
      </c>
    </row>
    <row r="86" spans="1:5" x14ac:dyDescent="0.25">
      <c r="A86" t="s">
        <v>57</v>
      </c>
      <c r="B86" t="s">
        <v>175</v>
      </c>
      <c r="C86" t="s">
        <v>38</v>
      </c>
      <c r="D86">
        <v>5236</v>
      </c>
    </row>
    <row r="87" spans="1:5" x14ac:dyDescent="0.25">
      <c r="A87" t="s">
        <v>57</v>
      </c>
      <c r="B87" t="s">
        <v>176</v>
      </c>
      <c r="C87" t="s">
        <v>39</v>
      </c>
      <c r="E87">
        <v>5491</v>
      </c>
    </row>
    <row r="88" spans="1:5" x14ac:dyDescent="0.25">
      <c r="A88" t="s">
        <v>57</v>
      </c>
      <c r="B88" t="s">
        <v>177</v>
      </c>
      <c r="C88" t="s">
        <v>40</v>
      </c>
    </row>
    <row r="89" spans="1:5" x14ac:dyDescent="0.25">
      <c r="A89" t="s">
        <v>57</v>
      </c>
      <c r="B89" t="s">
        <v>178</v>
      </c>
      <c r="C89" t="s">
        <v>41</v>
      </c>
    </row>
    <row r="90" spans="1:5" x14ac:dyDescent="0.25">
      <c r="A90" t="s">
        <v>57</v>
      </c>
      <c r="B90" t="s">
        <v>179</v>
      </c>
      <c r="C90" t="s">
        <v>42</v>
      </c>
      <c r="D90">
        <v>13341</v>
      </c>
      <c r="E90">
        <v>3676</v>
      </c>
    </row>
    <row r="91" spans="1:5" x14ac:dyDescent="0.25">
      <c r="A91" t="s">
        <v>57</v>
      </c>
      <c r="B91" t="s">
        <v>121</v>
      </c>
      <c r="C91" t="s">
        <v>43</v>
      </c>
      <c r="D91">
        <v>921972</v>
      </c>
      <c r="E91">
        <v>921972</v>
      </c>
    </row>
    <row r="92" spans="1:5" x14ac:dyDescent="0.25">
      <c r="A92" t="s">
        <v>57</v>
      </c>
      <c r="B92" t="s">
        <v>142</v>
      </c>
      <c r="C92" t="s">
        <v>44</v>
      </c>
      <c r="E92">
        <v>115533</v>
      </c>
    </row>
    <row r="93" spans="1:5" x14ac:dyDescent="0.25">
      <c r="A93" t="s">
        <v>57</v>
      </c>
      <c r="B93" t="s">
        <v>180</v>
      </c>
      <c r="C93" t="s">
        <v>45</v>
      </c>
      <c r="D93">
        <v>1037505</v>
      </c>
      <c r="E93">
        <v>1037505</v>
      </c>
    </row>
    <row r="94" spans="1:5" x14ac:dyDescent="0.25">
      <c r="A94" t="s">
        <v>57</v>
      </c>
      <c r="B94" t="s">
        <v>181</v>
      </c>
      <c r="C94" t="s">
        <v>46</v>
      </c>
      <c r="D94">
        <v>938189</v>
      </c>
    </row>
    <row r="95" spans="1:5" x14ac:dyDescent="0.25">
      <c r="A95" t="s">
        <v>57</v>
      </c>
      <c r="B95" t="s">
        <v>122</v>
      </c>
      <c r="C95" t="s">
        <v>47</v>
      </c>
      <c r="D95">
        <v>822656</v>
      </c>
    </row>
    <row r="96" spans="1:5" x14ac:dyDescent="0.25">
      <c r="A96" t="s">
        <v>57</v>
      </c>
      <c r="B96" t="s">
        <v>182</v>
      </c>
      <c r="C96" t="s">
        <v>48</v>
      </c>
      <c r="E96">
        <v>17532</v>
      </c>
    </row>
    <row r="97" spans="1:5" x14ac:dyDescent="0.25">
      <c r="A97" t="s">
        <v>57</v>
      </c>
      <c r="B97" t="s">
        <v>127</v>
      </c>
      <c r="C97" t="s">
        <v>49</v>
      </c>
      <c r="D97">
        <v>116849</v>
      </c>
    </row>
    <row r="98" spans="1:5" x14ac:dyDescent="0.25">
      <c r="A98" t="s">
        <v>57</v>
      </c>
      <c r="B98" t="s">
        <v>183</v>
      </c>
      <c r="C98" t="s">
        <v>50</v>
      </c>
    </row>
    <row r="99" spans="1:5" x14ac:dyDescent="0.25">
      <c r="A99" t="s">
        <v>57</v>
      </c>
      <c r="B99" t="s">
        <v>127</v>
      </c>
      <c r="C99" t="s">
        <v>49</v>
      </c>
      <c r="E99">
        <v>116849</v>
      </c>
    </row>
    <row r="100" spans="1:5" x14ac:dyDescent="0.25">
      <c r="A100" t="s">
        <v>57</v>
      </c>
      <c r="B100" t="s">
        <v>124</v>
      </c>
      <c r="C100" t="s">
        <v>51</v>
      </c>
      <c r="D100">
        <v>81411</v>
      </c>
    </row>
    <row r="101" spans="1:5" x14ac:dyDescent="0.25">
      <c r="A101" t="s">
        <v>57</v>
      </c>
      <c r="B101" t="s">
        <v>184</v>
      </c>
      <c r="C101" t="s">
        <v>52</v>
      </c>
    </row>
    <row r="102" spans="1:5" x14ac:dyDescent="0.25">
      <c r="A102" t="s">
        <v>57</v>
      </c>
      <c r="B102" t="s">
        <v>185</v>
      </c>
      <c r="C102" t="s">
        <v>53</v>
      </c>
    </row>
    <row r="103" spans="1:5" x14ac:dyDescent="0.25">
      <c r="A103" t="s">
        <v>57</v>
      </c>
      <c r="B103" t="s">
        <v>186</v>
      </c>
      <c r="C103" t="s">
        <v>54</v>
      </c>
      <c r="E103">
        <v>6</v>
      </c>
    </row>
    <row r="104" spans="1:5" x14ac:dyDescent="0.25">
      <c r="A104" t="s">
        <v>57</v>
      </c>
      <c r="B104" t="s">
        <v>187</v>
      </c>
      <c r="C104" t="s">
        <v>55</v>
      </c>
      <c r="D104">
        <v>33950</v>
      </c>
    </row>
    <row r="105" spans="1:5" x14ac:dyDescent="0.25">
      <c r="A105" t="s">
        <v>57</v>
      </c>
      <c r="B105" t="s">
        <v>188</v>
      </c>
      <c r="C105" t="s">
        <v>56</v>
      </c>
      <c r="E105">
        <v>115361</v>
      </c>
    </row>
    <row r="106" spans="1:5" x14ac:dyDescent="0.25">
      <c r="A106" t="s">
        <v>58</v>
      </c>
      <c r="B106" t="s">
        <v>148</v>
      </c>
      <c r="C106" t="s">
        <v>6</v>
      </c>
    </row>
    <row r="107" spans="1:5" x14ac:dyDescent="0.25">
      <c r="A107" t="s">
        <v>58</v>
      </c>
      <c r="B107" t="s">
        <v>149</v>
      </c>
      <c r="C107" t="s">
        <v>7</v>
      </c>
    </row>
    <row r="108" spans="1:5" x14ac:dyDescent="0.25">
      <c r="A108" t="s">
        <v>58</v>
      </c>
      <c r="B108" t="s">
        <v>150</v>
      </c>
      <c r="C108" t="s">
        <v>8</v>
      </c>
      <c r="E108">
        <v>457603</v>
      </c>
    </row>
    <row r="109" spans="1:5" x14ac:dyDescent="0.25">
      <c r="A109" t="s">
        <v>58</v>
      </c>
      <c r="B109" t="s">
        <v>151</v>
      </c>
      <c r="C109" t="s">
        <v>9</v>
      </c>
      <c r="D109">
        <v>122741</v>
      </c>
    </row>
    <row r="110" spans="1:5" x14ac:dyDescent="0.25">
      <c r="A110" t="s">
        <v>58</v>
      </c>
      <c r="B110" t="s">
        <v>152</v>
      </c>
      <c r="C110" t="s">
        <v>10</v>
      </c>
    </row>
    <row r="111" spans="1:5" x14ac:dyDescent="0.25">
      <c r="A111" t="s">
        <v>58</v>
      </c>
      <c r="B111" t="s">
        <v>153</v>
      </c>
      <c r="C111" t="s">
        <v>11</v>
      </c>
      <c r="D111">
        <v>334862</v>
      </c>
      <c r="E111">
        <v>334862</v>
      </c>
    </row>
    <row r="112" spans="1:5" x14ac:dyDescent="0.25">
      <c r="A112" t="s">
        <v>58</v>
      </c>
      <c r="B112" t="s">
        <v>154</v>
      </c>
      <c r="C112" t="s">
        <v>12</v>
      </c>
    </row>
    <row r="113" spans="1:5" x14ac:dyDescent="0.25">
      <c r="A113" t="s">
        <v>58</v>
      </c>
      <c r="B113" t="s">
        <v>155</v>
      </c>
      <c r="C113" t="s">
        <v>13</v>
      </c>
      <c r="D113">
        <v>34393</v>
      </c>
      <c r="E113">
        <v>579638</v>
      </c>
    </row>
    <row r="114" spans="1:5" x14ac:dyDescent="0.25">
      <c r="A114" t="s">
        <v>58</v>
      </c>
      <c r="B114" t="s">
        <v>156</v>
      </c>
      <c r="C114" t="s">
        <v>14</v>
      </c>
      <c r="D114">
        <v>28807</v>
      </c>
      <c r="E114">
        <v>467567</v>
      </c>
    </row>
    <row r="115" spans="1:5" x14ac:dyDescent="0.25">
      <c r="A115" t="s">
        <v>58</v>
      </c>
      <c r="B115" t="s">
        <v>135</v>
      </c>
      <c r="C115" t="s">
        <v>15</v>
      </c>
      <c r="D115">
        <v>5586</v>
      </c>
      <c r="E115">
        <v>112071</v>
      </c>
    </row>
    <row r="116" spans="1:5" x14ac:dyDescent="0.25">
      <c r="A116" t="s">
        <v>58</v>
      </c>
      <c r="B116" t="s">
        <v>157</v>
      </c>
      <c r="C116" t="s">
        <v>16</v>
      </c>
      <c r="D116">
        <v>5586</v>
      </c>
      <c r="E116">
        <v>84063</v>
      </c>
    </row>
    <row r="117" spans="1:5" x14ac:dyDescent="0.25">
      <c r="A117" t="s">
        <v>58</v>
      </c>
      <c r="B117" t="s">
        <v>158</v>
      </c>
      <c r="C117" t="s">
        <v>17</v>
      </c>
      <c r="E117">
        <v>28008</v>
      </c>
    </row>
    <row r="118" spans="1:5" x14ac:dyDescent="0.25">
      <c r="A118" t="s">
        <v>58</v>
      </c>
      <c r="B118" t="s">
        <v>159</v>
      </c>
      <c r="C118" t="s">
        <v>18</v>
      </c>
      <c r="D118">
        <v>-1021</v>
      </c>
    </row>
    <row r="119" spans="1:5" x14ac:dyDescent="0.25">
      <c r="A119" t="s">
        <v>58</v>
      </c>
      <c r="B119" t="s">
        <v>160</v>
      </c>
      <c r="C119" t="s">
        <v>19</v>
      </c>
      <c r="D119">
        <v>-1021</v>
      </c>
    </row>
    <row r="120" spans="1:5" x14ac:dyDescent="0.25">
      <c r="A120" t="s">
        <v>58</v>
      </c>
      <c r="B120" t="s">
        <v>161</v>
      </c>
      <c r="C120" t="s">
        <v>20</v>
      </c>
      <c r="D120">
        <v>133321</v>
      </c>
      <c r="E120">
        <v>133321</v>
      </c>
    </row>
    <row r="121" spans="1:5" x14ac:dyDescent="0.25">
      <c r="A121" t="s">
        <v>58</v>
      </c>
      <c r="B121" t="s">
        <v>162</v>
      </c>
      <c r="C121" t="s">
        <v>21</v>
      </c>
      <c r="D121">
        <v>168169</v>
      </c>
      <c r="E121">
        <v>168169</v>
      </c>
    </row>
    <row r="122" spans="1:5" x14ac:dyDescent="0.25">
      <c r="A122" t="s">
        <v>58</v>
      </c>
      <c r="B122" t="s">
        <v>163</v>
      </c>
      <c r="C122" t="s">
        <v>22</v>
      </c>
      <c r="D122">
        <v>20002</v>
      </c>
      <c r="E122">
        <v>160686</v>
      </c>
    </row>
    <row r="123" spans="1:5" x14ac:dyDescent="0.25">
      <c r="A123" t="s">
        <v>58</v>
      </c>
      <c r="B123" t="s">
        <v>140</v>
      </c>
      <c r="C123" t="s">
        <v>23</v>
      </c>
      <c r="D123">
        <v>19915</v>
      </c>
      <c r="E123">
        <v>76966</v>
      </c>
    </row>
    <row r="124" spans="1:5" x14ac:dyDescent="0.25">
      <c r="A124" t="s">
        <v>58</v>
      </c>
      <c r="B124" t="s">
        <v>164</v>
      </c>
      <c r="C124" t="s">
        <v>24</v>
      </c>
      <c r="E124">
        <v>68530</v>
      </c>
    </row>
    <row r="125" spans="1:5" x14ac:dyDescent="0.25">
      <c r="A125" t="s">
        <v>58</v>
      </c>
      <c r="B125" t="s">
        <v>165</v>
      </c>
      <c r="C125" t="s">
        <v>25</v>
      </c>
      <c r="E125">
        <v>15190</v>
      </c>
    </row>
    <row r="126" spans="1:5" x14ac:dyDescent="0.25">
      <c r="A126" t="s">
        <v>58</v>
      </c>
      <c r="B126" t="s">
        <v>166</v>
      </c>
      <c r="C126" t="s">
        <v>26</v>
      </c>
      <c r="D126">
        <v>87</v>
      </c>
    </row>
    <row r="127" spans="1:5" x14ac:dyDescent="0.25">
      <c r="A127" t="s">
        <v>58</v>
      </c>
      <c r="B127" t="s">
        <v>167</v>
      </c>
      <c r="C127" t="s">
        <v>27</v>
      </c>
      <c r="D127">
        <v>1021811</v>
      </c>
      <c r="E127">
        <v>1021811</v>
      </c>
    </row>
    <row r="128" spans="1:5" x14ac:dyDescent="0.25">
      <c r="A128" t="s">
        <v>58</v>
      </c>
      <c r="B128" t="s">
        <v>168</v>
      </c>
      <c r="C128" t="s">
        <v>28</v>
      </c>
      <c r="D128">
        <v>55542</v>
      </c>
    </row>
    <row r="129" spans="1:5" x14ac:dyDescent="0.25">
      <c r="A129" t="s">
        <v>58</v>
      </c>
      <c r="B129" t="s">
        <v>137</v>
      </c>
      <c r="C129" t="s">
        <v>29</v>
      </c>
      <c r="D129">
        <v>170707</v>
      </c>
    </row>
    <row r="130" spans="1:5" x14ac:dyDescent="0.25">
      <c r="A130" t="s">
        <v>58</v>
      </c>
      <c r="B130" t="s">
        <v>169</v>
      </c>
      <c r="C130" t="s">
        <v>30</v>
      </c>
      <c r="D130">
        <v>84063</v>
      </c>
    </row>
    <row r="131" spans="1:5" x14ac:dyDescent="0.25">
      <c r="A131" t="s">
        <v>58</v>
      </c>
      <c r="B131" t="s">
        <v>170</v>
      </c>
      <c r="C131" t="s">
        <v>31</v>
      </c>
      <c r="D131">
        <v>28008</v>
      </c>
    </row>
    <row r="132" spans="1:5" x14ac:dyDescent="0.25">
      <c r="A132" t="s">
        <v>58</v>
      </c>
      <c r="B132" t="s">
        <v>171</v>
      </c>
      <c r="C132" t="s">
        <v>32</v>
      </c>
      <c r="D132">
        <v>58636</v>
      </c>
    </row>
    <row r="133" spans="1:5" x14ac:dyDescent="0.25">
      <c r="A133" t="s">
        <v>58</v>
      </c>
      <c r="B133" t="s">
        <v>138</v>
      </c>
      <c r="C133" t="s">
        <v>33</v>
      </c>
      <c r="E133">
        <v>225609</v>
      </c>
    </row>
    <row r="134" spans="1:5" x14ac:dyDescent="0.25">
      <c r="A134" t="s">
        <v>58</v>
      </c>
      <c r="B134" t="s">
        <v>172</v>
      </c>
      <c r="C134" t="s">
        <v>34</v>
      </c>
      <c r="E134">
        <v>94664</v>
      </c>
    </row>
    <row r="135" spans="1:5" x14ac:dyDescent="0.25">
      <c r="A135" t="s">
        <v>58</v>
      </c>
      <c r="B135" t="s">
        <v>173</v>
      </c>
      <c r="C135" t="s">
        <v>35</v>
      </c>
      <c r="E135">
        <v>125036</v>
      </c>
    </row>
    <row r="136" spans="1:5" x14ac:dyDescent="0.25">
      <c r="A136" t="s">
        <v>58</v>
      </c>
      <c r="B136" t="s">
        <v>174</v>
      </c>
      <c r="C136" t="s">
        <v>36</v>
      </c>
      <c r="E136">
        <v>5909</v>
      </c>
    </row>
    <row r="137" spans="1:5" x14ac:dyDescent="0.25">
      <c r="A137" t="s">
        <v>58</v>
      </c>
      <c r="B137" t="s">
        <v>141</v>
      </c>
      <c r="C137" t="s">
        <v>37</v>
      </c>
      <c r="D137">
        <v>19448</v>
      </c>
      <c r="E137">
        <v>9752</v>
      </c>
    </row>
    <row r="138" spans="1:5" x14ac:dyDescent="0.25">
      <c r="A138" t="s">
        <v>58</v>
      </c>
      <c r="B138" t="s">
        <v>175</v>
      </c>
      <c r="C138" t="s">
        <v>38</v>
      </c>
      <c r="D138">
        <v>3684</v>
      </c>
    </row>
    <row r="139" spans="1:5" x14ac:dyDescent="0.25">
      <c r="A139" t="s">
        <v>58</v>
      </c>
      <c r="B139" t="s">
        <v>176</v>
      </c>
      <c r="C139" t="s">
        <v>39</v>
      </c>
      <c r="E139">
        <v>3902</v>
      </c>
    </row>
    <row r="140" spans="1:5" x14ac:dyDescent="0.25">
      <c r="A140" t="s">
        <v>58</v>
      </c>
      <c r="B140" t="s">
        <v>177</v>
      </c>
      <c r="C140" t="s">
        <v>40</v>
      </c>
    </row>
    <row r="141" spans="1:5" x14ac:dyDescent="0.25">
      <c r="A141" t="s">
        <v>58</v>
      </c>
      <c r="B141" t="s">
        <v>178</v>
      </c>
      <c r="C141" t="s">
        <v>41</v>
      </c>
    </row>
    <row r="142" spans="1:5" x14ac:dyDescent="0.25">
      <c r="A142" t="s">
        <v>58</v>
      </c>
      <c r="B142" t="s">
        <v>179</v>
      </c>
      <c r="C142" t="s">
        <v>42</v>
      </c>
      <c r="D142">
        <v>15764</v>
      </c>
      <c r="E142">
        <v>5850</v>
      </c>
    </row>
    <row r="143" spans="1:5" x14ac:dyDescent="0.25">
      <c r="A143" t="s">
        <v>58</v>
      </c>
      <c r="B143" t="s">
        <v>121</v>
      </c>
      <c r="C143" t="s">
        <v>43</v>
      </c>
      <c r="D143">
        <v>1011475</v>
      </c>
      <c r="E143">
        <v>1011475</v>
      </c>
    </row>
    <row r="144" spans="1:5" x14ac:dyDescent="0.25">
      <c r="A144" t="s">
        <v>58</v>
      </c>
      <c r="B144" t="s">
        <v>142</v>
      </c>
      <c r="C144" t="s">
        <v>44</v>
      </c>
      <c r="E144">
        <v>138143</v>
      </c>
    </row>
    <row r="145" spans="1:5" x14ac:dyDescent="0.25">
      <c r="A145" t="s">
        <v>58</v>
      </c>
      <c r="B145" t="s">
        <v>180</v>
      </c>
      <c r="C145" t="s">
        <v>45</v>
      </c>
      <c r="D145">
        <v>1149618</v>
      </c>
      <c r="E145">
        <v>1149618</v>
      </c>
    </row>
    <row r="146" spans="1:5" x14ac:dyDescent="0.25">
      <c r="A146" t="s">
        <v>58</v>
      </c>
      <c r="B146" t="s">
        <v>181</v>
      </c>
      <c r="C146" t="s">
        <v>46</v>
      </c>
      <c r="D146">
        <v>1033758</v>
      </c>
    </row>
    <row r="147" spans="1:5" x14ac:dyDescent="0.25">
      <c r="A147" t="s">
        <v>58</v>
      </c>
      <c r="B147" t="s">
        <v>122</v>
      </c>
      <c r="C147" t="s">
        <v>47</v>
      </c>
      <c r="D147">
        <v>895614</v>
      </c>
    </row>
    <row r="148" spans="1:5" x14ac:dyDescent="0.25">
      <c r="A148" t="s">
        <v>58</v>
      </c>
      <c r="B148" t="s">
        <v>182</v>
      </c>
      <c r="C148" t="s">
        <v>48</v>
      </c>
      <c r="E148">
        <v>20392</v>
      </c>
    </row>
    <row r="149" spans="1:5" x14ac:dyDescent="0.25">
      <c r="A149" t="s">
        <v>58</v>
      </c>
      <c r="B149" t="s">
        <v>127</v>
      </c>
      <c r="C149" t="s">
        <v>49</v>
      </c>
      <c r="D149">
        <v>136253</v>
      </c>
    </row>
    <row r="150" spans="1:5" x14ac:dyDescent="0.25">
      <c r="A150" t="s">
        <v>58</v>
      </c>
      <c r="B150" t="s">
        <v>183</v>
      </c>
      <c r="C150" t="s">
        <v>50</v>
      </c>
    </row>
    <row r="151" spans="1:5" x14ac:dyDescent="0.25">
      <c r="A151" t="s">
        <v>58</v>
      </c>
      <c r="B151" t="s">
        <v>127</v>
      </c>
      <c r="C151" t="s">
        <v>49</v>
      </c>
      <c r="E151">
        <v>136253</v>
      </c>
    </row>
    <row r="152" spans="1:5" x14ac:dyDescent="0.25">
      <c r="A152" t="s">
        <v>58</v>
      </c>
      <c r="B152" t="s">
        <v>124</v>
      </c>
      <c r="C152" t="s">
        <v>51</v>
      </c>
      <c r="D152">
        <v>94472</v>
      </c>
    </row>
    <row r="153" spans="1:5" x14ac:dyDescent="0.25">
      <c r="A153" t="s">
        <v>58</v>
      </c>
      <c r="B153" t="s">
        <v>184</v>
      </c>
      <c r="C153" t="s">
        <v>52</v>
      </c>
    </row>
    <row r="154" spans="1:5" x14ac:dyDescent="0.25">
      <c r="A154" t="s">
        <v>58</v>
      </c>
      <c r="B154" t="s">
        <v>185</v>
      </c>
      <c r="C154" t="s">
        <v>53</v>
      </c>
    </row>
    <row r="155" spans="1:5" x14ac:dyDescent="0.25">
      <c r="A155" t="s">
        <v>58</v>
      </c>
      <c r="B155" t="s">
        <v>186</v>
      </c>
      <c r="C155" t="s">
        <v>54</v>
      </c>
    </row>
    <row r="156" spans="1:5" x14ac:dyDescent="0.25">
      <c r="A156" t="s">
        <v>58</v>
      </c>
      <c r="B156" t="s">
        <v>187</v>
      </c>
      <c r="C156" t="s">
        <v>55</v>
      </c>
      <c r="D156">
        <v>40042</v>
      </c>
    </row>
    <row r="157" spans="1:5" x14ac:dyDescent="0.25">
      <c r="A157" t="s">
        <v>58</v>
      </c>
      <c r="B157" t="s">
        <v>188</v>
      </c>
      <c r="C157" t="s">
        <v>56</v>
      </c>
      <c r="E157">
        <v>134514</v>
      </c>
    </row>
    <row r="158" spans="1:5" x14ac:dyDescent="0.25">
      <c r="A158" t="s">
        <v>59</v>
      </c>
      <c r="B158" t="s">
        <v>148</v>
      </c>
      <c r="C158" t="s">
        <v>6</v>
      </c>
    </row>
    <row r="159" spans="1:5" x14ac:dyDescent="0.25">
      <c r="A159" t="s">
        <v>59</v>
      </c>
      <c r="B159" t="s">
        <v>149</v>
      </c>
      <c r="C159" t="s">
        <v>7</v>
      </c>
    </row>
    <row r="160" spans="1:5" x14ac:dyDescent="0.25">
      <c r="A160" t="s">
        <v>59</v>
      </c>
      <c r="B160" t="s">
        <v>150</v>
      </c>
      <c r="C160" t="s">
        <v>8</v>
      </c>
      <c r="E160">
        <v>511816</v>
      </c>
    </row>
    <row r="161" spans="1:5" x14ac:dyDescent="0.25">
      <c r="A161" t="s">
        <v>59</v>
      </c>
      <c r="B161" t="s">
        <v>151</v>
      </c>
      <c r="C161" t="s">
        <v>9</v>
      </c>
      <c r="D161">
        <v>146485</v>
      </c>
    </row>
    <row r="162" spans="1:5" x14ac:dyDescent="0.25">
      <c r="A162" t="s">
        <v>59</v>
      </c>
      <c r="B162" t="s">
        <v>152</v>
      </c>
      <c r="C162" t="s">
        <v>10</v>
      </c>
    </row>
    <row r="163" spans="1:5" x14ac:dyDescent="0.25">
      <c r="A163" t="s">
        <v>59</v>
      </c>
      <c r="B163" t="s">
        <v>153</v>
      </c>
      <c r="C163" t="s">
        <v>11</v>
      </c>
      <c r="D163">
        <v>365331</v>
      </c>
      <c r="E163">
        <v>365331</v>
      </c>
    </row>
    <row r="164" spans="1:5" x14ac:dyDescent="0.25">
      <c r="A164" t="s">
        <v>59</v>
      </c>
      <c r="B164" t="s">
        <v>154</v>
      </c>
      <c r="C164" t="s">
        <v>12</v>
      </c>
    </row>
    <row r="165" spans="1:5" x14ac:dyDescent="0.25">
      <c r="A165" t="s">
        <v>59</v>
      </c>
      <c r="B165" t="s">
        <v>155</v>
      </c>
      <c r="C165" t="s">
        <v>13</v>
      </c>
      <c r="D165">
        <v>37852</v>
      </c>
      <c r="E165">
        <v>661885</v>
      </c>
    </row>
    <row r="166" spans="1:5" x14ac:dyDescent="0.25">
      <c r="A166" t="s">
        <v>59</v>
      </c>
      <c r="B166" t="s">
        <v>156</v>
      </c>
      <c r="C166" t="s">
        <v>14</v>
      </c>
      <c r="D166">
        <v>31665</v>
      </c>
      <c r="E166">
        <v>531341</v>
      </c>
    </row>
    <row r="167" spans="1:5" x14ac:dyDescent="0.25">
      <c r="A167" t="s">
        <v>59</v>
      </c>
      <c r="B167" t="s">
        <v>135</v>
      </c>
      <c r="C167" t="s">
        <v>15</v>
      </c>
      <c r="D167">
        <v>6187</v>
      </c>
      <c r="E167">
        <v>130544</v>
      </c>
    </row>
    <row r="168" spans="1:5" x14ac:dyDescent="0.25">
      <c r="A168" t="s">
        <v>59</v>
      </c>
      <c r="B168" t="s">
        <v>157</v>
      </c>
      <c r="C168" t="s">
        <v>16</v>
      </c>
      <c r="D168">
        <v>6187</v>
      </c>
      <c r="E168">
        <v>99492</v>
      </c>
    </row>
    <row r="169" spans="1:5" x14ac:dyDescent="0.25">
      <c r="A169" t="s">
        <v>59</v>
      </c>
      <c r="B169" t="s">
        <v>158</v>
      </c>
      <c r="C169" t="s">
        <v>17</v>
      </c>
      <c r="E169">
        <v>31052</v>
      </c>
    </row>
    <row r="170" spans="1:5" x14ac:dyDescent="0.25">
      <c r="A170" t="s">
        <v>59</v>
      </c>
      <c r="B170" t="s">
        <v>159</v>
      </c>
      <c r="C170" t="s">
        <v>18</v>
      </c>
      <c r="D170">
        <v>-1182</v>
      </c>
    </row>
    <row r="171" spans="1:5" x14ac:dyDescent="0.25">
      <c r="A171" t="s">
        <v>59</v>
      </c>
      <c r="B171" t="s">
        <v>160</v>
      </c>
      <c r="C171" t="s">
        <v>19</v>
      </c>
      <c r="D171">
        <v>-1182</v>
      </c>
    </row>
    <row r="172" spans="1:5" x14ac:dyDescent="0.25">
      <c r="A172" t="s">
        <v>59</v>
      </c>
      <c r="B172" t="s">
        <v>161</v>
      </c>
      <c r="C172" t="s">
        <v>20</v>
      </c>
      <c r="D172">
        <v>125256</v>
      </c>
      <c r="E172">
        <v>125256</v>
      </c>
    </row>
    <row r="173" spans="1:5" x14ac:dyDescent="0.25">
      <c r="A173" t="s">
        <v>59</v>
      </c>
      <c r="B173" t="s">
        <v>162</v>
      </c>
      <c r="C173" t="s">
        <v>21</v>
      </c>
      <c r="D173">
        <v>203404</v>
      </c>
      <c r="E173">
        <v>203404</v>
      </c>
    </row>
    <row r="174" spans="1:5" x14ac:dyDescent="0.25">
      <c r="A174" t="s">
        <v>59</v>
      </c>
      <c r="B174" t="s">
        <v>163</v>
      </c>
      <c r="C174" t="s">
        <v>22</v>
      </c>
      <c r="D174">
        <v>26266</v>
      </c>
      <c r="E174">
        <v>187516</v>
      </c>
    </row>
    <row r="175" spans="1:5" x14ac:dyDescent="0.25">
      <c r="A175" t="s">
        <v>59</v>
      </c>
      <c r="B175" t="s">
        <v>140</v>
      </c>
      <c r="C175" t="s">
        <v>23</v>
      </c>
      <c r="D175">
        <v>26186</v>
      </c>
      <c r="E175">
        <v>84780</v>
      </c>
    </row>
    <row r="176" spans="1:5" x14ac:dyDescent="0.25">
      <c r="A176" t="s">
        <v>59</v>
      </c>
      <c r="B176" t="s">
        <v>164</v>
      </c>
      <c r="C176" t="s">
        <v>24</v>
      </c>
      <c r="E176">
        <v>75662</v>
      </c>
    </row>
    <row r="177" spans="1:5" x14ac:dyDescent="0.25">
      <c r="A177" t="s">
        <v>59</v>
      </c>
      <c r="B177" t="s">
        <v>165</v>
      </c>
      <c r="C177" t="s">
        <v>25</v>
      </c>
      <c r="E177">
        <v>27074</v>
      </c>
    </row>
    <row r="178" spans="1:5" x14ac:dyDescent="0.25">
      <c r="A178" t="s">
        <v>59</v>
      </c>
      <c r="B178" t="s">
        <v>166</v>
      </c>
      <c r="C178" t="s">
        <v>26</v>
      </c>
      <c r="D178">
        <v>80</v>
      </c>
    </row>
    <row r="179" spans="1:5" x14ac:dyDescent="0.25">
      <c r="A179" t="s">
        <v>59</v>
      </c>
      <c r="B179" t="s">
        <v>167</v>
      </c>
      <c r="C179" t="s">
        <v>27</v>
      </c>
      <c r="D179">
        <v>1151795</v>
      </c>
      <c r="E179">
        <v>1151795</v>
      </c>
    </row>
    <row r="180" spans="1:5" x14ac:dyDescent="0.25">
      <c r="A180" t="s">
        <v>59</v>
      </c>
      <c r="B180" t="s">
        <v>168</v>
      </c>
      <c r="C180" t="s">
        <v>28</v>
      </c>
      <c r="D180">
        <v>55113</v>
      </c>
    </row>
    <row r="181" spans="1:5" x14ac:dyDescent="0.25">
      <c r="A181" t="s">
        <v>59</v>
      </c>
      <c r="B181" t="s">
        <v>137</v>
      </c>
      <c r="C181" t="s">
        <v>29</v>
      </c>
      <c r="D181">
        <v>194502</v>
      </c>
    </row>
    <row r="182" spans="1:5" x14ac:dyDescent="0.25">
      <c r="A182" t="s">
        <v>59</v>
      </c>
      <c r="B182" t="s">
        <v>169</v>
      </c>
      <c r="C182" t="s">
        <v>30</v>
      </c>
      <c r="D182">
        <v>99492</v>
      </c>
    </row>
    <row r="183" spans="1:5" x14ac:dyDescent="0.25">
      <c r="A183" t="s">
        <v>59</v>
      </c>
      <c r="B183" t="s">
        <v>170</v>
      </c>
      <c r="C183" t="s">
        <v>31</v>
      </c>
      <c r="D183">
        <v>31052</v>
      </c>
    </row>
    <row r="184" spans="1:5" x14ac:dyDescent="0.25">
      <c r="A184" t="s">
        <v>59</v>
      </c>
      <c r="B184" t="s">
        <v>171</v>
      </c>
      <c r="C184" t="s">
        <v>32</v>
      </c>
      <c r="D184">
        <v>63958</v>
      </c>
    </row>
    <row r="185" spans="1:5" x14ac:dyDescent="0.25">
      <c r="A185" t="s">
        <v>59</v>
      </c>
      <c r="B185" t="s">
        <v>138</v>
      </c>
      <c r="C185" t="s">
        <v>33</v>
      </c>
      <c r="E185">
        <v>256543</v>
      </c>
    </row>
    <row r="186" spans="1:5" x14ac:dyDescent="0.25">
      <c r="A186" t="s">
        <v>59</v>
      </c>
      <c r="B186" t="s">
        <v>172</v>
      </c>
      <c r="C186" t="s">
        <v>34</v>
      </c>
      <c r="E186">
        <v>116927</v>
      </c>
    </row>
    <row r="187" spans="1:5" x14ac:dyDescent="0.25">
      <c r="A187" t="s">
        <v>59</v>
      </c>
      <c r="B187" t="s">
        <v>173</v>
      </c>
      <c r="C187" t="s">
        <v>35</v>
      </c>
      <c r="E187">
        <v>131626</v>
      </c>
    </row>
    <row r="188" spans="1:5" x14ac:dyDescent="0.25">
      <c r="A188" t="s">
        <v>59</v>
      </c>
      <c r="B188" t="s">
        <v>174</v>
      </c>
      <c r="C188" t="s">
        <v>36</v>
      </c>
      <c r="E188">
        <v>7990</v>
      </c>
    </row>
    <row r="189" spans="1:5" x14ac:dyDescent="0.25">
      <c r="A189" t="s">
        <v>59</v>
      </c>
      <c r="B189" t="s">
        <v>141</v>
      </c>
      <c r="C189" t="s">
        <v>37</v>
      </c>
      <c r="D189">
        <v>18414</v>
      </c>
      <c r="E189">
        <v>14053</v>
      </c>
    </row>
    <row r="190" spans="1:5" x14ac:dyDescent="0.25">
      <c r="A190" t="s">
        <v>59</v>
      </c>
      <c r="B190" t="s">
        <v>175</v>
      </c>
      <c r="C190" t="s">
        <v>38</v>
      </c>
      <c r="D190">
        <v>5078</v>
      </c>
    </row>
    <row r="191" spans="1:5" x14ac:dyDescent="0.25">
      <c r="A191" t="s">
        <v>59</v>
      </c>
      <c r="B191" t="s">
        <v>176</v>
      </c>
      <c r="C191" t="s">
        <v>39</v>
      </c>
      <c r="E191">
        <v>5373</v>
      </c>
    </row>
    <row r="192" spans="1:5" x14ac:dyDescent="0.25">
      <c r="A192" t="s">
        <v>59</v>
      </c>
      <c r="B192" t="s">
        <v>177</v>
      </c>
      <c r="C192" t="s">
        <v>40</v>
      </c>
    </row>
    <row r="193" spans="1:5" x14ac:dyDescent="0.25">
      <c r="A193" t="s">
        <v>59</v>
      </c>
      <c r="B193" t="s">
        <v>178</v>
      </c>
      <c r="C193" t="s">
        <v>41</v>
      </c>
    </row>
    <row r="194" spans="1:5" x14ac:dyDescent="0.25">
      <c r="A194" t="s">
        <v>59</v>
      </c>
      <c r="B194" t="s">
        <v>179</v>
      </c>
      <c r="C194" t="s">
        <v>42</v>
      </c>
      <c r="D194">
        <v>13336</v>
      </c>
      <c r="E194">
        <v>8680</v>
      </c>
    </row>
    <row r="195" spans="1:5" x14ac:dyDescent="0.25">
      <c r="A195" t="s">
        <v>59</v>
      </c>
      <c r="B195" t="s">
        <v>121</v>
      </c>
      <c r="C195" t="s">
        <v>43</v>
      </c>
      <c r="D195">
        <v>1154362</v>
      </c>
      <c r="E195">
        <v>1154362</v>
      </c>
    </row>
    <row r="196" spans="1:5" x14ac:dyDescent="0.25">
      <c r="A196" t="s">
        <v>59</v>
      </c>
      <c r="B196" t="s">
        <v>142</v>
      </c>
      <c r="C196" t="s">
        <v>44</v>
      </c>
      <c r="E196">
        <v>150926</v>
      </c>
    </row>
    <row r="197" spans="1:5" x14ac:dyDescent="0.25">
      <c r="A197" t="s">
        <v>59</v>
      </c>
      <c r="B197" t="s">
        <v>180</v>
      </c>
      <c r="C197" t="s">
        <v>45</v>
      </c>
      <c r="D197">
        <v>1305288</v>
      </c>
      <c r="E197">
        <v>1305288</v>
      </c>
    </row>
    <row r="198" spans="1:5" x14ac:dyDescent="0.25">
      <c r="A198" t="s">
        <v>59</v>
      </c>
      <c r="B198" t="s">
        <v>181</v>
      </c>
      <c r="C198" t="s">
        <v>46</v>
      </c>
      <c r="D198">
        <v>1185956</v>
      </c>
    </row>
    <row r="199" spans="1:5" x14ac:dyDescent="0.25">
      <c r="A199" t="s">
        <v>59</v>
      </c>
      <c r="B199" t="s">
        <v>122</v>
      </c>
      <c r="C199" t="s">
        <v>47</v>
      </c>
      <c r="D199">
        <v>1035030</v>
      </c>
    </row>
    <row r="200" spans="1:5" x14ac:dyDescent="0.25">
      <c r="A200" t="s">
        <v>59</v>
      </c>
      <c r="B200" t="s">
        <v>182</v>
      </c>
      <c r="C200" t="s">
        <v>48</v>
      </c>
      <c r="E200">
        <v>29065</v>
      </c>
    </row>
    <row r="201" spans="1:5" x14ac:dyDescent="0.25">
      <c r="A201" t="s">
        <v>59</v>
      </c>
      <c r="B201" t="s">
        <v>127</v>
      </c>
      <c r="C201" t="s">
        <v>49</v>
      </c>
      <c r="D201">
        <v>148397</v>
      </c>
    </row>
    <row r="202" spans="1:5" x14ac:dyDescent="0.25">
      <c r="A202" t="s">
        <v>59</v>
      </c>
      <c r="B202" t="s">
        <v>183</v>
      </c>
      <c r="C202" t="s">
        <v>50</v>
      </c>
    </row>
    <row r="203" spans="1:5" x14ac:dyDescent="0.25">
      <c r="A203" t="s">
        <v>59</v>
      </c>
      <c r="B203" t="s">
        <v>127</v>
      </c>
      <c r="C203" t="s">
        <v>49</v>
      </c>
      <c r="E203">
        <v>148397</v>
      </c>
    </row>
    <row r="204" spans="1:5" x14ac:dyDescent="0.25">
      <c r="A204" t="s">
        <v>59</v>
      </c>
      <c r="B204" t="s">
        <v>124</v>
      </c>
      <c r="C204" t="s">
        <v>51</v>
      </c>
      <c r="D204">
        <v>102164</v>
      </c>
    </row>
    <row r="205" spans="1:5" x14ac:dyDescent="0.25">
      <c r="A205" t="s">
        <v>59</v>
      </c>
      <c r="B205" t="s">
        <v>184</v>
      </c>
      <c r="C205" t="s">
        <v>52</v>
      </c>
    </row>
    <row r="206" spans="1:5" x14ac:dyDescent="0.25">
      <c r="A206" t="s">
        <v>59</v>
      </c>
      <c r="B206" t="s">
        <v>185</v>
      </c>
      <c r="C206" t="s">
        <v>53</v>
      </c>
    </row>
    <row r="207" spans="1:5" x14ac:dyDescent="0.25">
      <c r="A207" t="s">
        <v>59</v>
      </c>
      <c r="B207" t="s">
        <v>186</v>
      </c>
      <c r="C207" t="s">
        <v>54</v>
      </c>
    </row>
    <row r="208" spans="1:5" x14ac:dyDescent="0.25">
      <c r="A208" t="s">
        <v>59</v>
      </c>
      <c r="B208" t="s">
        <v>187</v>
      </c>
      <c r="C208" t="s">
        <v>55</v>
      </c>
      <c r="D208">
        <v>44365</v>
      </c>
    </row>
    <row r="209" spans="1:5" x14ac:dyDescent="0.25">
      <c r="A209" t="s">
        <v>59</v>
      </c>
      <c r="B209" t="s">
        <v>188</v>
      </c>
      <c r="C209" t="s">
        <v>56</v>
      </c>
      <c r="E209">
        <v>146529</v>
      </c>
    </row>
    <row r="210" spans="1:5" x14ac:dyDescent="0.25">
      <c r="A210" t="s">
        <v>60</v>
      </c>
      <c r="B210" t="s">
        <v>148</v>
      </c>
      <c r="C210" t="s">
        <v>6</v>
      </c>
    </row>
    <row r="211" spans="1:5" x14ac:dyDescent="0.25">
      <c r="A211" t="s">
        <v>60</v>
      </c>
      <c r="B211" t="s">
        <v>149</v>
      </c>
      <c r="C211" t="s">
        <v>7</v>
      </c>
    </row>
    <row r="212" spans="1:5" x14ac:dyDescent="0.25">
      <c r="A212" t="s">
        <v>60</v>
      </c>
      <c r="B212" t="s">
        <v>150</v>
      </c>
      <c r="C212" t="s">
        <v>8</v>
      </c>
      <c r="E212">
        <v>551156</v>
      </c>
    </row>
    <row r="213" spans="1:5" x14ac:dyDescent="0.25">
      <c r="A213" t="s">
        <v>60</v>
      </c>
      <c r="B213" t="s">
        <v>151</v>
      </c>
      <c r="C213" t="s">
        <v>9</v>
      </c>
      <c r="D213">
        <v>159046</v>
      </c>
    </row>
    <row r="214" spans="1:5" x14ac:dyDescent="0.25">
      <c r="A214" t="s">
        <v>60</v>
      </c>
      <c r="B214" t="s">
        <v>152</v>
      </c>
      <c r="C214" t="s">
        <v>10</v>
      </c>
    </row>
    <row r="215" spans="1:5" x14ac:dyDescent="0.25">
      <c r="A215" t="s">
        <v>60</v>
      </c>
      <c r="B215" t="s">
        <v>153</v>
      </c>
      <c r="C215" t="s">
        <v>11</v>
      </c>
      <c r="D215">
        <v>392110</v>
      </c>
      <c r="E215">
        <v>392110</v>
      </c>
    </row>
    <row r="216" spans="1:5" x14ac:dyDescent="0.25">
      <c r="A216" t="s">
        <v>60</v>
      </c>
      <c r="B216" t="s">
        <v>154</v>
      </c>
      <c r="C216" t="s">
        <v>12</v>
      </c>
    </row>
    <row r="217" spans="1:5" x14ac:dyDescent="0.25">
      <c r="A217" t="s">
        <v>60</v>
      </c>
      <c r="B217" t="s">
        <v>155</v>
      </c>
      <c r="C217" t="s">
        <v>13</v>
      </c>
      <c r="D217">
        <v>44381</v>
      </c>
      <c r="E217">
        <v>750708</v>
      </c>
    </row>
    <row r="218" spans="1:5" x14ac:dyDescent="0.25">
      <c r="A218" t="s">
        <v>60</v>
      </c>
      <c r="B218" t="s">
        <v>156</v>
      </c>
      <c r="C218" t="s">
        <v>14</v>
      </c>
      <c r="D218">
        <v>37041</v>
      </c>
      <c r="E218">
        <v>600331</v>
      </c>
    </row>
    <row r="219" spans="1:5" x14ac:dyDescent="0.25">
      <c r="A219" t="s">
        <v>60</v>
      </c>
      <c r="B219" t="s">
        <v>135</v>
      </c>
      <c r="C219" t="s">
        <v>15</v>
      </c>
      <c r="D219">
        <v>7339</v>
      </c>
      <c r="E219">
        <v>150377</v>
      </c>
    </row>
    <row r="220" spans="1:5" x14ac:dyDescent="0.25">
      <c r="A220" t="s">
        <v>60</v>
      </c>
      <c r="B220" t="s">
        <v>157</v>
      </c>
      <c r="C220" t="s">
        <v>16</v>
      </c>
      <c r="D220">
        <v>7339</v>
      </c>
      <c r="E220">
        <v>118417</v>
      </c>
    </row>
    <row r="221" spans="1:5" x14ac:dyDescent="0.25">
      <c r="A221" t="s">
        <v>60</v>
      </c>
      <c r="B221" t="s">
        <v>158</v>
      </c>
      <c r="C221" t="s">
        <v>17</v>
      </c>
      <c r="E221">
        <v>31960</v>
      </c>
    </row>
    <row r="222" spans="1:5" x14ac:dyDescent="0.25">
      <c r="A222" t="s">
        <v>60</v>
      </c>
      <c r="B222" t="s">
        <v>159</v>
      </c>
      <c r="C222" t="s">
        <v>18</v>
      </c>
      <c r="D222">
        <v>-645</v>
      </c>
    </row>
    <row r="223" spans="1:5" x14ac:dyDescent="0.25">
      <c r="A223" t="s">
        <v>60</v>
      </c>
      <c r="B223" t="s">
        <v>160</v>
      </c>
      <c r="C223" t="s">
        <v>19</v>
      </c>
      <c r="D223">
        <v>-645</v>
      </c>
    </row>
    <row r="224" spans="1:5" x14ac:dyDescent="0.25">
      <c r="A224" t="s">
        <v>60</v>
      </c>
      <c r="B224" t="s">
        <v>161</v>
      </c>
      <c r="C224" t="s">
        <v>20</v>
      </c>
      <c r="D224">
        <v>137765</v>
      </c>
      <c r="E224">
        <v>137765</v>
      </c>
    </row>
    <row r="225" spans="1:5" x14ac:dyDescent="0.25">
      <c r="A225" t="s">
        <v>60</v>
      </c>
      <c r="B225" t="s">
        <v>162</v>
      </c>
      <c r="C225" t="s">
        <v>21</v>
      </c>
      <c r="D225">
        <v>210608</v>
      </c>
      <c r="E225">
        <v>210608</v>
      </c>
    </row>
    <row r="226" spans="1:5" x14ac:dyDescent="0.25">
      <c r="A226" t="s">
        <v>60</v>
      </c>
      <c r="B226" t="s">
        <v>163</v>
      </c>
      <c r="C226" t="s">
        <v>22</v>
      </c>
      <c r="D226">
        <v>25761</v>
      </c>
      <c r="E226">
        <v>200832</v>
      </c>
    </row>
    <row r="227" spans="1:5" x14ac:dyDescent="0.25">
      <c r="A227" t="s">
        <v>60</v>
      </c>
      <c r="B227" t="s">
        <v>140</v>
      </c>
      <c r="C227" t="s">
        <v>23</v>
      </c>
      <c r="D227">
        <v>25666</v>
      </c>
      <c r="E227">
        <v>74280</v>
      </c>
    </row>
    <row r="228" spans="1:5" x14ac:dyDescent="0.25">
      <c r="A228" t="s">
        <v>60</v>
      </c>
      <c r="B228" t="s">
        <v>164</v>
      </c>
      <c r="C228" t="s">
        <v>24</v>
      </c>
      <c r="E228">
        <v>101950</v>
      </c>
    </row>
    <row r="229" spans="1:5" x14ac:dyDescent="0.25">
      <c r="A229" t="s">
        <v>60</v>
      </c>
      <c r="B229" t="s">
        <v>165</v>
      </c>
      <c r="C229" t="s">
        <v>25</v>
      </c>
      <c r="E229">
        <v>24602</v>
      </c>
    </row>
    <row r="230" spans="1:5" x14ac:dyDescent="0.25">
      <c r="A230" t="s">
        <v>60</v>
      </c>
      <c r="B230" t="s">
        <v>166</v>
      </c>
      <c r="C230" t="s">
        <v>26</v>
      </c>
      <c r="D230">
        <v>95</v>
      </c>
    </row>
    <row r="231" spans="1:5" x14ac:dyDescent="0.25">
      <c r="A231" t="s">
        <v>60</v>
      </c>
      <c r="B231" t="s">
        <v>167</v>
      </c>
      <c r="C231" t="s">
        <v>27</v>
      </c>
      <c r="D231">
        <v>1274152</v>
      </c>
      <c r="E231">
        <v>1274152</v>
      </c>
    </row>
    <row r="232" spans="1:5" x14ac:dyDescent="0.25">
      <c r="A232" t="s">
        <v>60</v>
      </c>
      <c r="B232" t="s">
        <v>168</v>
      </c>
      <c r="C232" t="s">
        <v>28</v>
      </c>
      <c r="D232">
        <v>59706</v>
      </c>
    </row>
    <row r="233" spans="1:5" x14ac:dyDescent="0.25">
      <c r="A233" t="s">
        <v>60</v>
      </c>
      <c r="B233" t="s">
        <v>137</v>
      </c>
      <c r="C233" t="s">
        <v>29</v>
      </c>
      <c r="D233">
        <v>215107</v>
      </c>
    </row>
    <row r="234" spans="1:5" x14ac:dyDescent="0.25">
      <c r="A234" t="s">
        <v>60</v>
      </c>
      <c r="B234" t="s">
        <v>169</v>
      </c>
      <c r="C234" t="s">
        <v>30</v>
      </c>
      <c r="D234">
        <v>118417</v>
      </c>
    </row>
    <row r="235" spans="1:5" x14ac:dyDescent="0.25">
      <c r="A235" t="s">
        <v>60</v>
      </c>
      <c r="B235" t="s">
        <v>170</v>
      </c>
      <c r="C235" t="s">
        <v>31</v>
      </c>
      <c r="D235">
        <v>31960</v>
      </c>
    </row>
    <row r="236" spans="1:5" x14ac:dyDescent="0.25">
      <c r="A236" t="s">
        <v>60</v>
      </c>
      <c r="B236" t="s">
        <v>171</v>
      </c>
      <c r="C236" t="s">
        <v>32</v>
      </c>
      <c r="D236">
        <v>64730</v>
      </c>
    </row>
    <row r="237" spans="1:5" x14ac:dyDescent="0.25">
      <c r="A237" t="s">
        <v>60</v>
      </c>
      <c r="B237" t="s">
        <v>138</v>
      </c>
      <c r="C237" t="s">
        <v>33</v>
      </c>
      <c r="E237">
        <v>283348</v>
      </c>
    </row>
    <row r="238" spans="1:5" x14ac:dyDescent="0.25">
      <c r="A238" t="s">
        <v>60</v>
      </c>
      <c r="B238" t="s">
        <v>172</v>
      </c>
      <c r="C238" t="s">
        <v>34</v>
      </c>
      <c r="E238">
        <v>132463</v>
      </c>
    </row>
    <row r="239" spans="1:5" x14ac:dyDescent="0.25">
      <c r="A239" t="s">
        <v>60</v>
      </c>
      <c r="B239" t="s">
        <v>173</v>
      </c>
      <c r="C239" t="s">
        <v>35</v>
      </c>
      <c r="E239">
        <v>137903</v>
      </c>
    </row>
    <row r="240" spans="1:5" x14ac:dyDescent="0.25">
      <c r="A240" t="s">
        <v>60</v>
      </c>
      <c r="B240" t="s">
        <v>174</v>
      </c>
      <c r="C240" t="s">
        <v>36</v>
      </c>
      <c r="E240">
        <v>12982</v>
      </c>
    </row>
    <row r="241" spans="1:5" x14ac:dyDescent="0.25">
      <c r="A241" t="s">
        <v>60</v>
      </c>
      <c r="B241" t="s">
        <v>141</v>
      </c>
      <c r="C241" t="s">
        <v>37</v>
      </c>
      <c r="D241">
        <v>20109</v>
      </c>
      <c r="E241">
        <v>14120</v>
      </c>
    </row>
    <row r="242" spans="1:5" x14ac:dyDescent="0.25">
      <c r="A242" t="s">
        <v>60</v>
      </c>
      <c r="B242" t="s">
        <v>175</v>
      </c>
      <c r="C242" t="s">
        <v>38</v>
      </c>
      <c r="D242">
        <v>5624</v>
      </c>
    </row>
    <row r="243" spans="1:5" x14ac:dyDescent="0.25">
      <c r="A243" t="s">
        <v>60</v>
      </c>
      <c r="B243" t="s">
        <v>176</v>
      </c>
      <c r="C243" t="s">
        <v>39</v>
      </c>
      <c r="E243">
        <v>5240</v>
      </c>
    </row>
    <row r="244" spans="1:5" x14ac:dyDescent="0.25">
      <c r="A244" t="s">
        <v>60</v>
      </c>
      <c r="B244" t="s">
        <v>177</v>
      </c>
      <c r="C244" t="s">
        <v>40</v>
      </c>
    </row>
    <row r="245" spans="1:5" x14ac:dyDescent="0.25">
      <c r="A245" t="s">
        <v>60</v>
      </c>
      <c r="B245" t="s">
        <v>178</v>
      </c>
      <c r="C245" t="s">
        <v>41</v>
      </c>
    </row>
    <row r="246" spans="1:5" x14ac:dyDescent="0.25">
      <c r="A246" t="s">
        <v>60</v>
      </c>
      <c r="B246" t="s">
        <v>179</v>
      </c>
      <c r="C246" t="s">
        <v>42</v>
      </c>
      <c r="D246">
        <v>14485</v>
      </c>
      <c r="E246">
        <v>8880</v>
      </c>
    </row>
    <row r="247" spans="1:5" x14ac:dyDescent="0.25">
      <c r="A247" t="s">
        <v>60</v>
      </c>
      <c r="B247" t="s">
        <v>121</v>
      </c>
      <c r="C247" t="s">
        <v>43</v>
      </c>
      <c r="D247">
        <v>1276698</v>
      </c>
      <c r="E247">
        <v>1276698</v>
      </c>
    </row>
    <row r="248" spans="1:5" x14ac:dyDescent="0.25">
      <c r="A248" t="s">
        <v>60</v>
      </c>
      <c r="B248" t="s">
        <v>142</v>
      </c>
      <c r="C248" t="s">
        <v>44</v>
      </c>
      <c r="E248">
        <v>165425</v>
      </c>
    </row>
    <row r="249" spans="1:5" x14ac:dyDescent="0.25">
      <c r="A249" t="s">
        <v>60</v>
      </c>
      <c r="B249" t="s">
        <v>180</v>
      </c>
      <c r="C249" t="s">
        <v>45</v>
      </c>
      <c r="D249">
        <v>1442123</v>
      </c>
      <c r="E249">
        <v>1442123</v>
      </c>
    </row>
    <row r="250" spans="1:5" x14ac:dyDescent="0.25">
      <c r="A250" t="s">
        <v>60</v>
      </c>
      <c r="B250" t="s">
        <v>181</v>
      </c>
      <c r="C250" t="s">
        <v>46</v>
      </c>
      <c r="D250">
        <v>1312787</v>
      </c>
    </row>
    <row r="251" spans="1:5" x14ac:dyDescent="0.25">
      <c r="A251" t="s">
        <v>60</v>
      </c>
      <c r="B251" t="s">
        <v>122</v>
      </c>
      <c r="C251" t="s">
        <v>47</v>
      </c>
      <c r="D251">
        <v>1147362</v>
      </c>
    </row>
    <row r="252" spans="1:5" x14ac:dyDescent="0.25">
      <c r="A252" t="s">
        <v>60</v>
      </c>
      <c r="B252" t="s">
        <v>182</v>
      </c>
      <c r="C252" t="s">
        <v>48</v>
      </c>
      <c r="E252">
        <v>31691</v>
      </c>
    </row>
    <row r="253" spans="1:5" x14ac:dyDescent="0.25">
      <c r="A253" t="s">
        <v>60</v>
      </c>
      <c r="B253" t="s">
        <v>127</v>
      </c>
      <c r="C253" t="s">
        <v>49</v>
      </c>
      <c r="D253">
        <v>161027</v>
      </c>
    </row>
    <row r="254" spans="1:5" x14ac:dyDescent="0.25">
      <c r="A254" t="s">
        <v>60</v>
      </c>
      <c r="B254" t="s">
        <v>183</v>
      </c>
      <c r="C254" t="s">
        <v>50</v>
      </c>
    </row>
    <row r="255" spans="1:5" x14ac:dyDescent="0.25">
      <c r="A255" t="s">
        <v>60</v>
      </c>
      <c r="B255" t="s">
        <v>127</v>
      </c>
      <c r="C255" t="s">
        <v>49</v>
      </c>
      <c r="E255">
        <v>161027</v>
      </c>
    </row>
    <row r="256" spans="1:5" x14ac:dyDescent="0.25">
      <c r="A256" t="s">
        <v>60</v>
      </c>
      <c r="B256" t="s">
        <v>124</v>
      </c>
      <c r="C256" t="s">
        <v>51</v>
      </c>
      <c r="D256">
        <v>113120</v>
      </c>
    </row>
    <row r="257" spans="1:5" x14ac:dyDescent="0.25">
      <c r="A257" t="s">
        <v>60</v>
      </c>
      <c r="B257" t="s">
        <v>184</v>
      </c>
      <c r="C257" t="s">
        <v>52</v>
      </c>
    </row>
    <row r="258" spans="1:5" x14ac:dyDescent="0.25">
      <c r="A258" t="s">
        <v>60</v>
      </c>
      <c r="B258" t="s">
        <v>185</v>
      </c>
      <c r="C258" t="s">
        <v>53</v>
      </c>
    </row>
    <row r="259" spans="1:5" x14ac:dyDescent="0.25">
      <c r="A259" t="s">
        <v>60</v>
      </c>
      <c r="B259" t="s">
        <v>186</v>
      </c>
      <c r="C259" t="s">
        <v>54</v>
      </c>
    </row>
    <row r="260" spans="1:5" x14ac:dyDescent="0.25">
      <c r="A260" t="s">
        <v>60</v>
      </c>
      <c r="B260" t="s">
        <v>187</v>
      </c>
      <c r="C260" t="s">
        <v>55</v>
      </c>
      <c r="D260">
        <v>46040</v>
      </c>
    </row>
    <row r="261" spans="1:5" x14ac:dyDescent="0.25">
      <c r="A261" t="s">
        <v>60</v>
      </c>
      <c r="B261" t="s">
        <v>188</v>
      </c>
      <c r="C261" t="s">
        <v>56</v>
      </c>
      <c r="E261">
        <v>159159</v>
      </c>
    </row>
    <row r="262" spans="1:5" x14ac:dyDescent="0.25">
      <c r="A262" t="s">
        <v>61</v>
      </c>
      <c r="B262" t="s">
        <v>148</v>
      </c>
      <c r="C262" t="s">
        <v>6</v>
      </c>
    </row>
    <row r="263" spans="1:5" x14ac:dyDescent="0.25">
      <c r="A263" t="s">
        <v>61</v>
      </c>
      <c r="B263" t="s">
        <v>149</v>
      </c>
      <c r="C263" t="s">
        <v>7</v>
      </c>
    </row>
    <row r="264" spans="1:5" x14ac:dyDescent="0.25">
      <c r="A264" t="s">
        <v>61</v>
      </c>
      <c r="B264" t="s">
        <v>150</v>
      </c>
      <c r="C264" t="s">
        <v>8</v>
      </c>
      <c r="E264">
        <v>596525</v>
      </c>
    </row>
    <row r="265" spans="1:5" x14ac:dyDescent="0.25">
      <c r="A265" t="s">
        <v>61</v>
      </c>
      <c r="B265" t="s">
        <v>151</v>
      </c>
      <c r="C265" t="s">
        <v>9</v>
      </c>
      <c r="D265">
        <v>175491</v>
      </c>
    </row>
    <row r="266" spans="1:5" x14ac:dyDescent="0.25">
      <c r="A266" t="s">
        <v>61</v>
      </c>
      <c r="B266" t="s">
        <v>152</v>
      </c>
      <c r="C266" t="s">
        <v>10</v>
      </c>
    </row>
    <row r="267" spans="1:5" x14ac:dyDescent="0.25">
      <c r="A267" t="s">
        <v>61</v>
      </c>
      <c r="B267" t="s">
        <v>153</v>
      </c>
      <c r="C267" t="s">
        <v>11</v>
      </c>
      <c r="D267">
        <v>421034</v>
      </c>
      <c r="E267">
        <v>421034</v>
      </c>
    </row>
    <row r="268" spans="1:5" x14ac:dyDescent="0.25">
      <c r="A268" t="s">
        <v>61</v>
      </c>
      <c r="B268" t="s">
        <v>154</v>
      </c>
      <c r="C268" t="s">
        <v>12</v>
      </c>
    </row>
    <row r="269" spans="1:5" x14ac:dyDescent="0.25">
      <c r="A269" t="s">
        <v>61</v>
      </c>
      <c r="B269" t="s">
        <v>155</v>
      </c>
      <c r="C269" t="s">
        <v>13</v>
      </c>
      <c r="D269">
        <v>50146</v>
      </c>
      <c r="E269">
        <v>852230</v>
      </c>
    </row>
    <row r="270" spans="1:5" x14ac:dyDescent="0.25">
      <c r="A270" t="s">
        <v>61</v>
      </c>
      <c r="B270" t="s">
        <v>156</v>
      </c>
      <c r="C270" t="s">
        <v>14</v>
      </c>
      <c r="D270">
        <v>41825</v>
      </c>
      <c r="E270">
        <v>684321</v>
      </c>
    </row>
    <row r="271" spans="1:5" x14ac:dyDescent="0.25">
      <c r="A271" t="s">
        <v>61</v>
      </c>
      <c r="B271" t="s">
        <v>135</v>
      </c>
      <c r="C271" t="s">
        <v>15</v>
      </c>
      <c r="D271">
        <v>8321</v>
      </c>
      <c r="E271">
        <v>167910</v>
      </c>
    </row>
    <row r="272" spans="1:5" x14ac:dyDescent="0.25">
      <c r="A272" t="s">
        <v>61</v>
      </c>
      <c r="B272" t="s">
        <v>157</v>
      </c>
      <c r="C272" t="s">
        <v>16</v>
      </c>
      <c r="D272">
        <v>8321</v>
      </c>
      <c r="E272">
        <v>129466</v>
      </c>
    </row>
    <row r="273" spans="1:5" x14ac:dyDescent="0.25">
      <c r="A273" t="s">
        <v>61</v>
      </c>
      <c r="B273" t="s">
        <v>158</v>
      </c>
      <c r="C273" t="s">
        <v>17</v>
      </c>
      <c r="E273">
        <v>38444</v>
      </c>
    </row>
    <row r="274" spans="1:5" x14ac:dyDescent="0.25">
      <c r="A274" t="s">
        <v>61</v>
      </c>
      <c r="B274" t="s">
        <v>159</v>
      </c>
      <c r="C274" t="s">
        <v>18</v>
      </c>
      <c r="D274">
        <v>-908</v>
      </c>
    </row>
    <row r="275" spans="1:5" x14ac:dyDescent="0.25">
      <c r="A275" t="s">
        <v>61</v>
      </c>
      <c r="B275" t="s">
        <v>160</v>
      </c>
      <c r="C275" t="s">
        <v>19</v>
      </c>
      <c r="D275">
        <v>-908</v>
      </c>
    </row>
    <row r="276" spans="1:5" x14ac:dyDescent="0.25">
      <c r="A276" t="s">
        <v>61</v>
      </c>
      <c r="B276" t="s">
        <v>161</v>
      </c>
      <c r="C276" t="s">
        <v>20</v>
      </c>
      <c r="D276">
        <v>145037</v>
      </c>
      <c r="E276">
        <v>145037</v>
      </c>
    </row>
    <row r="277" spans="1:5" x14ac:dyDescent="0.25">
      <c r="A277" t="s">
        <v>61</v>
      </c>
      <c r="B277" t="s">
        <v>162</v>
      </c>
      <c r="C277" t="s">
        <v>21</v>
      </c>
      <c r="D277">
        <v>226759</v>
      </c>
      <c r="E277">
        <v>226759</v>
      </c>
    </row>
    <row r="278" spans="1:5" x14ac:dyDescent="0.25">
      <c r="A278" t="s">
        <v>61</v>
      </c>
      <c r="B278" t="s">
        <v>163</v>
      </c>
      <c r="C278" t="s">
        <v>22</v>
      </c>
      <c r="D278">
        <v>44854</v>
      </c>
      <c r="E278">
        <v>236867</v>
      </c>
    </row>
    <row r="279" spans="1:5" x14ac:dyDescent="0.25">
      <c r="A279" t="s">
        <v>61</v>
      </c>
      <c r="B279" t="s">
        <v>140</v>
      </c>
      <c r="C279" t="s">
        <v>23</v>
      </c>
      <c r="D279">
        <v>44740</v>
      </c>
      <c r="E279">
        <v>102453</v>
      </c>
    </row>
    <row r="280" spans="1:5" x14ac:dyDescent="0.25">
      <c r="A280" t="s">
        <v>61</v>
      </c>
      <c r="B280" t="s">
        <v>164</v>
      </c>
      <c r="C280" t="s">
        <v>24</v>
      </c>
      <c r="E280">
        <v>109808</v>
      </c>
    </row>
    <row r="281" spans="1:5" x14ac:dyDescent="0.25">
      <c r="A281" t="s">
        <v>61</v>
      </c>
      <c r="B281" t="s">
        <v>165</v>
      </c>
      <c r="C281" t="s">
        <v>25</v>
      </c>
      <c r="E281">
        <v>24607</v>
      </c>
    </row>
    <row r="282" spans="1:5" x14ac:dyDescent="0.25">
      <c r="A282" t="s">
        <v>61</v>
      </c>
      <c r="B282" t="s">
        <v>166</v>
      </c>
      <c r="C282" t="s">
        <v>26</v>
      </c>
      <c r="D282">
        <v>114</v>
      </c>
    </row>
    <row r="283" spans="1:5" x14ac:dyDescent="0.25">
      <c r="A283" t="s">
        <v>61</v>
      </c>
      <c r="B283" t="s">
        <v>167</v>
      </c>
      <c r="C283" t="s">
        <v>27</v>
      </c>
      <c r="D283">
        <v>1416039</v>
      </c>
      <c r="E283">
        <v>1416039</v>
      </c>
    </row>
    <row r="284" spans="1:5" x14ac:dyDescent="0.25">
      <c r="A284" t="s">
        <v>61</v>
      </c>
      <c r="B284" t="s">
        <v>168</v>
      </c>
      <c r="C284" t="s">
        <v>28</v>
      </c>
      <c r="D284">
        <v>74500</v>
      </c>
    </row>
    <row r="285" spans="1:5" x14ac:dyDescent="0.25">
      <c r="A285" t="s">
        <v>61</v>
      </c>
      <c r="B285" t="s">
        <v>137</v>
      </c>
      <c r="C285" t="s">
        <v>29</v>
      </c>
      <c r="D285">
        <v>247112</v>
      </c>
    </row>
    <row r="286" spans="1:5" x14ac:dyDescent="0.25">
      <c r="A286" t="s">
        <v>61</v>
      </c>
      <c r="B286" t="s">
        <v>169</v>
      </c>
      <c r="C286" t="s">
        <v>30</v>
      </c>
      <c r="D286">
        <v>129466</v>
      </c>
    </row>
    <row r="287" spans="1:5" x14ac:dyDescent="0.25">
      <c r="A287" t="s">
        <v>61</v>
      </c>
      <c r="B287" t="s">
        <v>170</v>
      </c>
      <c r="C287" t="s">
        <v>31</v>
      </c>
      <c r="D287">
        <v>38444</v>
      </c>
    </row>
    <row r="288" spans="1:5" x14ac:dyDescent="0.25">
      <c r="A288" t="s">
        <v>61</v>
      </c>
      <c r="B288" t="s">
        <v>171</v>
      </c>
      <c r="C288" t="s">
        <v>32</v>
      </c>
      <c r="D288">
        <v>79202</v>
      </c>
    </row>
    <row r="289" spans="1:5" x14ac:dyDescent="0.25">
      <c r="A289" t="s">
        <v>61</v>
      </c>
      <c r="B289" t="s">
        <v>138</v>
      </c>
      <c r="C289" t="s">
        <v>33</v>
      </c>
      <c r="E289">
        <v>321654</v>
      </c>
    </row>
    <row r="290" spans="1:5" x14ac:dyDescent="0.25">
      <c r="A290" t="s">
        <v>61</v>
      </c>
      <c r="B290" t="s">
        <v>172</v>
      </c>
      <c r="C290" t="s">
        <v>34</v>
      </c>
      <c r="E290">
        <v>153870</v>
      </c>
    </row>
    <row r="291" spans="1:5" x14ac:dyDescent="0.25">
      <c r="A291" t="s">
        <v>61</v>
      </c>
      <c r="B291" t="s">
        <v>173</v>
      </c>
      <c r="C291" t="s">
        <v>35</v>
      </c>
      <c r="E291">
        <v>151885</v>
      </c>
    </row>
    <row r="292" spans="1:5" x14ac:dyDescent="0.25">
      <c r="A292" t="s">
        <v>61</v>
      </c>
      <c r="B292" t="s">
        <v>174</v>
      </c>
      <c r="C292" t="s">
        <v>36</v>
      </c>
      <c r="E292">
        <v>15899</v>
      </c>
    </row>
    <row r="293" spans="1:5" x14ac:dyDescent="0.25">
      <c r="A293" t="s">
        <v>61</v>
      </c>
      <c r="B293" t="s">
        <v>141</v>
      </c>
      <c r="C293" t="s">
        <v>37</v>
      </c>
      <c r="D293">
        <v>24340</v>
      </c>
      <c r="E293">
        <v>14768</v>
      </c>
    </row>
    <row r="294" spans="1:5" x14ac:dyDescent="0.25">
      <c r="A294" t="s">
        <v>61</v>
      </c>
      <c r="B294" t="s">
        <v>175</v>
      </c>
      <c r="C294" t="s">
        <v>38</v>
      </c>
      <c r="D294">
        <v>5654</v>
      </c>
    </row>
    <row r="295" spans="1:5" x14ac:dyDescent="0.25">
      <c r="A295" t="s">
        <v>61</v>
      </c>
      <c r="B295" t="s">
        <v>176</v>
      </c>
      <c r="C295" t="s">
        <v>39</v>
      </c>
      <c r="E295">
        <v>5784</v>
      </c>
    </row>
    <row r="296" spans="1:5" x14ac:dyDescent="0.25">
      <c r="A296" t="s">
        <v>61</v>
      </c>
      <c r="B296" t="s">
        <v>177</v>
      </c>
      <c r="C296" t="s">
        <v>40</v>
      </c>
    </row>
    <row r="297" spans="1:5" x14ac:dyDescent="0.25">
      <c r="A297" t="s">
        <v>61</v>
      </c>
      <c r="B297" t="s">
        <v>178</v>
      </c>
      <c r="C297" t="s">
        <v>41</v>
      </c>
    </row>
    <row r="298" spans="1:5" x14ac:dyDescent="0.25">
      <c r="A298" t="s">
        <v>61</v>
      </c>
      <c r="B298" t="s">
        <v>179</v>
      </c>
      <c r="C298" t="s">
        <v>42</v>
      </c>
      <c r="D298">
        <v>18686</v>
      </c>
      <c r="E298">
        <v>8984</v>
      </c>
    </row>
    <row r="299" spans="1:5" x14ac:dyDescent="0.25">
      <c r="A299" t="s">
        <v>61</v>
      </c>
      <c r="B299" t="s">
        <v>121</v>
      </c>
      <c r="C299" t="s">
        <v>43</v>
      </c>
      <c r="D299">
        <v>1406510</v>
      </c>
      <c r="E299">
        <v>1406510</v>
      </c>
    </row>
    <row r="300" spans="1:5" x14ac:dyDescent="0.25">
      <c r="A300" t="s">
        <v>61</v>
      </c>
      <c r="B300" t="s">
        <v>142</v>
      </c>
      <c r="C300" t="s">
        <v>44</v>
      </c>
      <c r="E300">
        <v>184332</v>
      </c>
    </row>
    <row r="301" spans="1:5" x14ac:dyDescent="0.25">
      <c r="A301" t="s">
        <v>61</v>
      </c>
      <c r="B301" t="s">
        <v>180</v>
      </c>
      <c r="C301" t="s">
        <v>45</v>
      </c>
      <c r="D301">
        <v>1590842</v>
      </c>
      <c r="E301">
        <v>1590842</v>
      </c>
    </row>
    <row r="302" spans="1:5" x14ac:dyDescent="0.25">
      <c r="A302" t="s">
        <v>61</v>
      </c>
      <c r="B302" t="s">
        <v>181</v>
      </c>
      <c r="C302" t="s">
        <v>46</v>
      </c>
      <c r="D302">
        <v>1461359</v>
      </c>
    </row>
    <row r="303" spans="1:5" x14ac:dyDescent="0.25">
      <c r="A303" t="s">
        <v>61</v>
      </c>
      <c r="B303" t="s">
        <v>122</v>
      </c>
      <c r="C303" t="s">
        <v>47</v>
      </c>
      <c r="D303">
        <v>1277027</v>
      </c>
    </row>
    <row r="304" spans="1:5" x14ac:dyDescent="0.25">
      <c r="A304" t="s">
        <v>61</v>
      </c>
      <c r="B304" t="s">
        <v>182</v>
      </c>
      <c r="C304" t="s">
        <v>48</v>
      </c>
      <c r="E304">
        <v>34489</v>
      </c>
    </row>
    <row r="305" spans="1:5" x14ac:dyDescent="0.25">
      <c r="A305" t="s">
        <v>61</v>
      </c>
      <c r="B305" t="s">
        <v>127</v>
      </c>
      <c r="C305" t="s">
        <v>49</v>
      </c>
      <c r="D305">
        <v>163972</v>
      </c>
    </row>
    <row r="306" spans="1:5" x14ac:dyDescent="0.25">
      <c r="A306" t="s">
        <v>61</v>
      </c>
      <c r="B306" t="s">
        <v>183</v>
      </c>
      <c r="C306" t="s">
        <v>50</v>
      </c>
    </row>
    <row r="307" spans="1:5" x14ac:dyDescent="0.25">
      <c r="A307" t="s">
        <v>61</v>
      </c>
      <c r="B307" t="s">
        <v>127</v>
      </c>
      <c r="C307" t="s">
        <v>49</v>
      </c>
      <c r="E307">
        <v>163972</v>
      </c>
    </row>
    <row r="308" spans="1:5" x14ac:dyDescent="0.25">
      <c r="A308" t="s">
        <v>61</v>
      </c>
      <c r="B308" t="s">
        <v>124</v>
      </c>
      <c r="C308" t="s">
        <v>51</v>
      </c>
      <c r="D308">
        <v>116178</v>
      </c>
    </row>
    <row r="309" spans="1:5" x14ac:dyDescent="0.25">
      <c r="A309" t="s">
        <v>61</v>
      </c>
      <c r="B309" t="s">
        <v>184</v>
      </c>
      <c r="C309" t="s">
        <v>52</v>
      </c>
    </row>
    <row r="310" spans="1:5" x14ac:dyDescent="0.25">
      <c r="A310" t="s">
        <v>61</v>
      </c>
      <c r="B310" t="s">
        <v>185</v>
      </c>
      <c r="C310" t="s">
        <v>53</v>
      </c>
    </row>
    <row r="311" spans="1:5" x14ac:dyDescent="0.25">
      <c r="A311" t="s">
        <v>61</v>
      </c>
      <c r="B311" t="s">
        <v>186</v>
      </c>
      <c r="C311" t="s">
        <v>54</v>
      </c>
    </row>
    <row r="312" spans="1:5" x14ac:dyDescent="0.25">
      <c r="A312" t="s">
        <v>61</v>
      </c>
      <c r="B312" t="s">
        <v>187</v>
      </c>
      <c r="C312" t="s">
        <v>55</v>
      </c>
      <c r="D312">
        <v>45762</v>
      </c>
    </row>
    <row r="313" spans="1:5" x14ac:dyDescent="0.25">
      <c r="A313" t="s">
        <v>61</v>
      </c>
      <c r="B313" t="s">
        <v>188</v>
      </c>
      <c r="C313" t="s">
        <v>56</v>
      </c>
      <c r="E313">
        <v>161940</v>
      </c>
    </row>
    <row r="314" spans="1:5" x14ac:dyDescent="0.25">
      <c r="A314" t="s">
        <v>62</v>
      </c>
      <c r="B314" t="s">
        <v>148</v>
      </c>
      <c r="C314" t="s">
        <v>6</v>
      </c>
    </row>
    <row r="315" spans="1:5" x14ac:dyDescent="0.25">
      <c r="A315" t="s">
        <v>62</v>
      </c>
      <c r="B315" t="s">
        <v>149</v>
      </c>
      <c r="C315" t="s">
        <v>7</v>
      </c>
    </row>
    <row r="316" spans="1:5" x14ac:dyDescent="0.25">
      <c r="A316" t="s">
        <v>62</v>
      </c>
      <c r="B316" t="s">
        <v>150</v>
      </c>
      <c r="C316" t="s">
        <v>8</v>
      </c>
      <c r="E316">
        <v>634869</v>
      </c>
    </row>
    <row r="317" spans="1:5" x14ac:dyDescent="0.25">
      <c r="A317" t="s">
        <v>62</v>
      </c>
      <c r="B317" t="s">
        <v>151</v>
      </c>
      <c r="C317" t="s">
        <v>9</v>
      </c>
      <c r="D317">
        <v>188420</v>
      </c>
    </row>
    <row r="318" spans="1:5" x14ac:dyDescent="0.25">
      <c r="A318" t="s">
        <v>62</v>
      </c>
      <c r="B318" t="s">
        <v>152</v>
      </c>
      <c r="C318" t="s">
        <v>10</v>
      </c>
    </row>
    <row r="319" spans="1:5" x14ac:dyDescent="0.25">
      <c r="A319" t="s">
        <v>62</v>
      </c>
      <c r="B319" t="s">
        <v>153</v>
      </c>
      <c r="C319" t="s">
        <v>11</v>
      </c>
      <c r="D319">
        <v>446449</v>
      </c>
      <c r="E319">
        <v>446449</v>
      </c>
    </row>
    <row r="320" spans="1:5" x14ac:dyDescent="0.25">
      <c r="A320" t="s">
        <v>62</v>
      </c>
      <c r="B320" t="s">
        <v>154</v>
      </c>
      <c r="C320" t="s">
        <v>12</v>
      </c>
    </row>
    <row r="321" spans="1:5" x14ac:dyDescent="0.25">
      <c r="A321" t="s">
        <v>62</v>
      </c>
      <c r="B321" t="s">
        <v>155</v>
      </c>
      <c r="C321" t="s">
        <v>13</v>
      </c>
      <c r="D321">
        <v>54670</v>
      </c>
      <c r="E321">
        <v>963672</v>
      </c>
    </row>
    <row r="322" spans="1:5" x14ac:dyDescent="0.25">
      <c r="A322" t="s">
        <v>62</v>
      </c>
      <c r="B322" t="s">
        <v>156</v>
      </c>
      <c r="C322" t="s">
        <v>14</v>
      </c>
      <c r="D322">
        <v>46019</v>
      </c>
      <c r="E322">
        <v>776937</v>
      </c>
    </row>
    <row r="323" spans="1:5" x14ac:dyDescent="0.25">
      <c r="A323" t="s">
        <v>62</v>
      </c>
      <c r="B323" t="s">
        <v>135</v>
      </c>
      <c r="C323" t="s">
        <v>15</v>
      </c>
      <c r="D323">
        <v>8651</v>
      </c>
      <c r="E323">
        <v>186735</v>
      </c>
    </row>
    <row r="324" spans="1:5" x14ac:dyDescent="0.25">
      <c r="A324" t="s">
        <v>62</v>
      </c>
      <c r="B324" t="s">
        <v>157</v>
      </c>
      <c r="C324" t="s">
        <v>16</v>
      </c>
      <c r="D324">
        <v>8651</v>
      </c>
      <c r="E324">
        <v>151749</v>
      </c>
    </row>
    <row r="325" spans="1:5" x14ac:dyDescent="0.25">
      <c r="A325" t="s">
        <v>62</v>
      </c>
      <c r="B325" t="s">
        <v>158</v>
      </c>
      <c r="C325" t="s">
        <v>17</v>
      </c>
      <c r="E325">
        <v>34986</v>
      </c>
    </row>
    <row r="326" spans="1:5" x14ac:dyDescent="0.25">
      <c r="A326" t="s">
        <v>62</v>
      </c>
      <c r="B326" t="s">
        <v>159</v>
      </c>
      <c r="C326" t="s">
        <v>18</v>
      </c>
      <c r="D326">
        <v>-1113</v>
      </c>
    </row>
    <row r="327" spans="1:5" x14ac:dyDescent="0.25">
      <c r="A327" t="s">
        <v>62</v>
      </c>
      <c r="B327" t="s">
        <v>160</v>
      </c>
      <c r="C327" t="s">
        <v>19</v>
      </c>
      <c r="D327">
        <v>-1113</v>
      </c>
    </row>
    <row r="328" spans="1:5" x14ac:dyDescent="0.25">
      <c r="A328" t="s">
        <v>62</v>
      </c>
      <c r="B328" t="s">
        <v>161</v>
      </c>
      <c r="C328" t="s">
        <v>20</v>
      </c>
      <c r="D328">
        <v>153018</v>
      </c>
      <c r="E328">
        <v>153018</v>
      </c>
    </row>
    <row r="329" spans="1:5" x14ac:dyDescent="0.25">
      <c r="A329" t="s">
        <v>62</v>
      </c>
      <c r="B329" t="s">
        <v>162</v>
      </c>
      <c r="C329" t="s">
        <v>21</v>
      </c>
      <c r="D329">
        <v>239874</v>
      </c>
      <c r="E329">
        <v>239874</v>
      </c>
    </row>
    <row r="330" spans="1:5" x14ac:dyDescent="0.25">
      <c r="A330" t="s">
        <v>62</v>
      </c>
      <c r="B330" t="s">
        <v>163</v>
      </c>
      <c r="C330" t="s">
        <v>22</v>
      </c>
      <c r="D330">
        <v>63111</v>
      </c>
      <c r="E330">
        <v>264050</v>
      </c>
    </row>
    <row r="331" spans="1:5" x14ac:dyDescent="0.25">
      <c r="A331" t="s">
        <v>62</v>
      </c>
      <c r="B331" t="s">
        <v>140</v>
      </c>
      <c r="C331" t="s">
        <v>23</v>
      </c>
      <c r="D331">
        <v>62973</v>
      </c>
      <c r="E331">
        <v>115636</v>
      </c>
    </row>
    <row r="332" spans="1:5" x14ac:dyDescent="0.25">
      <c r="A332" t="s">
        <v>62</v>
      </c>
      <c r="B332" t="s">
        <v>164</v>
      </c>
      <c r="C332" t="s">
        <v>24</v>
      </c>
      <c r="E332">
        <v>120176</v>
      </c>
    </row>
    <row r="333" spans="1:5" x14ac:dyDescent="0.25">
      <c r="A333" t="s">
        <v>62</v>
      </c>
      <c r="B333" t="s">
        <v>165</v>
      </c>
      <c r="C333" t="s">
        <v>25</v>
      </c>
      <c r="E333">
        <v>28239</v>
      </c>
    </row>
    <row r="334" spans="1:5" x14ac:dyDescent="0.25">
      <c r="A334" t="s">
        <v>62</v>
      </c>
      <c r="B334" t="s">
        <v>166</v>
      </c>
      <c r="C334" t="s">
        <v>26</v>
      </c>
      <c r="D334">
        <v>138</v>
      </c>
    </row>
    <row r="335" spans="1:5" x14ac:dyDescent="0.25">
      <c r="A335" t="s">
        <v>62</v>
      </c>
      <c r="B335" t="s">
        <v>167</v>
      </c>
      <c r="C335" t="s">
        <v>27</v>
      </c>
      <c r="D335">
        <v>1557503</v>
      </c>
      <c r="E335">
        <v>1557503</v>
      </c>
    </row>
    <row r="336" spans="1:5" x14ac:dyDescent="0.25">
      <c r="A336" t="s">
        <v>62</v>
      </c>
      <c r="B336" t="s">
        <v>168</v>
      </c>
      <c r="C336" t="s">
        <v>28</v>
      </c>
      <c r="D336">
        <v>81950</v>
      </c>
    </row>
    <row r="337" spans="1:5" x14ac:dyDescent="0.25">
      <c r="A337" t="s">
        <v>62</v>
      </c>
      <c r="B337" t="s">
        <v>137</v>
      </c>
      <c r="C337" t="s">
        <v>29</v>
      </c>
      <c r="D337">
        <v>282410</v>
      </c>
    </row>
    <row r="338" spans="1:5" x14ac:dyDescent="0.25">
      <c r="A338" t="s">
        <v>62</v>
      </c>
      <c r="B338" t="s">
        <v>169</v>
      </c>
      <c r="C338" t="s">
        <v>30</v>
      </c>
      <c r="D338">
        <v>151749</v>
      </c>
    </row>
    <row r="339" spans="1:5" x14ac:dyDescent="0.25">
      <c r="A339" t="s">
        <v>62</v>
      </c>
      <c r="B339" t="s">
        <v>170</v>
      </c>
      <c r="C339" t="s">
        <v>31</v>
      </c>
      <c r="D339">
        <v>34986</v>
      </c>
    </row>
    <row r="340" spans="1:5" x14ac:dyDescent="0.25">
      <c r="A340" t="s">
        <v>62</v>
      </c>
      <c r="B340" t="s">
        <v>171</v>
      </c>
      <c r="C340" t="s">
        <v>32</v>
      </c>
      <c r="D340">
        <v>95675</v>
      </c>
    </row>
    <row r="341" spans="1:5" x14ac:dyDescent="0.25">
      <c r="A341" t="s">
        <v>62</v>
      </c>
      <c r="B341" t="s">
        <v>138</v>
      </c>
      <c r="C341" t="s">
        <v>33</v>
      </c>
      <c r="E341">
        <v>366398</v>
      </c>
    </row>
    <row r="342" spans="1:5" x14ac:dyDescent="0.25">
      <c r="A342" t="s">
        <v>62</v>
      </c>
      <c r="B342" t="s">
        <v>172</v>
      </c>
      <c r="C342" t="s">
        <v>34</v>
      </c>
      <c r="E342">
        <v>176657</v>
      </c>
    </row>
    <row r="343" spans="1:5" x14ac:dyDescent="0.25">
      <c r="A343" t="s">
        <v>62</v>
      </c>
      <c r="B343" t="s">
        <v>173</v>
      </c>
      <c r="C343" t="s">
        <v>35</v>
      </c>
      <c r="E343">
        <v>170469</v>
      </c>
    </row>
    <row r="344" spans="1:5" x14ac:dyDescent="0.25">
      <c r="A344" t="s">
        <v>62</v>
      </c>
      <c r="B344" t="s">
        <v>174</v>
      </c>
      <c r="C344" t="s">
        <v>36</v>
      </c>
      <c r="E344">
        <v>19272</v>
      </c>
    </row>
    <row r="345" spans="1:5" x14ac:dyDescent="0.25">
      <c r="A345" t="s">
        <v>62</v>
      </c>
      <c r="B345" t="s">
        <v>141</v>
      </c>
      <c r="C345" t="s">
        <v>37</v>
      </c>
      <c r="D345">
        <v>28375</v>
      </c>
      <c r="E345">
        <v>15018</v>
      </c>
    </row>
    <row r="346" spans="1:5" x14ac:dyDescent="0.25">
      <c r="A346" t="s">
        <v>62</v>
      </c>
      <c r="B346" t="s">
        <v>175</v>
      </c>
      <c r="C346" t="s">
        <v>38</v>
      </c>
      <c r="D346">
        <v>5594</v>
      </c>
    </row>
    <row r="347" spans="1:5" x14ac:dyDescent="0.25">
      <c r="A347" t="s">
        <v>62</v>
      </c>
      <c r="B347" t="s">
        <v>176</v>
      </c>
      <c r="C347" t="s">
        <v>39</v>
      </c>
      <c r="E347">
        <v>5732</v>
      </c>
    </row>
    <row r="348" spans="1:5" x14ac:dyDescent="0.25">
      <c r="A348" t="s">
        <v>62</v>
      </c>
      <c r="B348" t="s">
        <v>177</v>
      </c>
      <c r="C348" t="s">
        <v>40</v>
      </c>
    </row>
    <row r="349" spans="1:5" x14ac:dyDescent="0.25">
      <c r="A349" t="s">
        <v>62</v>
      </c>
      <c r="B349" t="s">
        <v>178</v>
      </c>
      <c r="C349" t="s">
        <v>41</v>
      </c>
    </row>
    <row r="350" spans="1:5" x14ac:dyDescent="0.25">
      <c r="A350" t="s">
        <v>62</v>
      </c>
      <c r="B350" t="s">
        <v>179</v>
      </c>
      <c r="C350" t="s">
        <v>42</v>
      </c>
      <c r="D350">
        <v>22781</v>
      </c>
      <c r="E350">
        <v>9286</v>
      </c>
    </row>
    <row r="351" spans="1:5" x14ac:dyDescent="0.25">
      <c r="A351" t="s">
        <v>62</v>
      </c>
      <c r="B351" t="s">
        <v>121</v>
      </c>
      <c r="C351" t="s">
        <v>43</v>
      </c>
      <c r="D351">
        <v>1546184</v>
      </c>
      <c r="E351">
        <v>1546184</v>
      </c>
    </row>
    <row r="352" spans="1:5" x14ac:dyDescent="0.25">
      <c r="A352" t="s">
        <v>62</v>
      </c>
      <c r="B352" t="s">
        <v>142</v>
      </c>
      <c r="C352" t="s">
        <v>44</v>
      </c>
      <c r="E352">
        <v>216239</v>
      </c>
    </row>
    <row r="353" spans="1:5" x14ac:dyDescent="0.25">
      <c r="A353" t="s">
        <v>62</v>
      </c>
      <c r="B353" t="s">
        <v>180</v>
      </c>
      <c r="C353" t="s">
        <v>45</v>
      </c>
      <c r="D353">
        <v>1762423</v>
      </c>
      <c r="E353">
        <v>1762423</v>
      </c>
    </row>
    <row r="354" spans="1:5" x14ac:dyDescent="0.25">
      <c r="A354" t="s">
        <v>62</v>
      </c>
      <c r="B354" t="s">
        <v>181</v>
      </c>
      <c r="C354" t="s">
        <v>46</v>
      </c>
      <c r="D354">
        <v>1627925</v>
      </c>
    </row>
    <row r="355" spans="1:5" x14ac:dyDescent="0.25">
      <c r="A355" t="s">
        <v>62</v>
      </c>
      <c r="B355" t="s">
        <v>122</v>
      </c>
      <c r="C355" t="s">
        <v>47</v>
      </c>
      <c r="D355">
        <v>1411686</v>
      </c>
    </row>
    <row r="356" spans="1:5" x14ac:dyDescent="0.25">
      <c r="A356" t="s">
        <v>62</v>
      </c>
      <c r="B356" t="s">
        <v>182</v>
      </c>
      <c r="C356" t="s">
        <v>48</v>
      </c>
      <c r="E356">
        <v>40716</v>
      </c>
    </row>
    <row r="357" spans="1:5" x14ac:dyDescent="0.25">
      <c r="A357" t="s">
        <v>62</v>
      </c>
      <c r="B357" t="s">
        <v>127</v>
      </c>
      <c r="C357" t="s">
        <v>49</v>
      </c>
      <c r="D357">
        <v>175214</v>
      </c>
    </row>
    <row r="358" spans="1:5" x14ac:dyDescent="0.25">
      <c r="A358" t="s">
        <v>62</v>
      </c>
      <c r="B358" t="s">
        <v>183</v>
      </c>
      <c r="C358" t="s">
        <v>50</v>
      </c>
    </row>
    <row r="359" spans="1:5" x14ac:dyDescent="0.25">
      <c r="A359" t="s">
        <v>62</v>
      </c>
      <c r="B359" t="s">
        <v>127</v>
      </c>
      <c r="C359" t="s">
        <v>49</v>
      </c>
      <c r="E359">
        <v>175214</v>
      </c>
    </row>
    <row r="360" spans="1:5" x14ac:dyDescent="0.25">
      <c r="A360" t="s">
        <v>62</v>
      </c>
      <c r="B360" t="s">
        <v>124</v>
      </c>
      <c r="C360" t="s">
        <v>51</v>
      </c>
      <c r="D360">
        <v>125113</v>
      </c>
    </row>
    <row r="361" spans="1:5" x14ac:dyDescent="0.25">
      <c r="A361" t="s">
        <v>62</v>
      </c>
      <c r="B361" t="s">
        <v>184</v>
      </c>
      <c r="C361" t="s">
        <v>52</v>
      </c>
    </row>
    <row r="362" spans="1:5" x14ac:dyDescent="0.25">
      <c r="A362" t="s">
        <v>62</v>
      </c>
      <c r="B362" t="s">
        <v>185</v>
      </c>
      <c r="C362" t="s">
        <v>53</v>
      </c>
    </row>
    <row r="363" spans="1:5" x14ac:dyDescent="0.25">
      <c r="A363" t="s">
        <v>62</v>
      </c>
      <c r="B363" t="s">
        <v>186</v>
      </c>
      <c r="C363" t="s">
        <v>54</v>
      </c>
    </row>
    <row r="364" spans="1:5" x14ac:dyDescent="0.25">
      <c r="A364" t="s">
        <v>62</v>
      </c>
      <c r="B364" t="s">
        <v>187</v>
      </c>
      <c r="C364" t="s">
        <v>55</v>
      </c>
      <c r="D364">
        <v>47456</v>
      </c>
    </row>
    <row r="365" spans="1:5" x14ac:dyDescent="0.25">
      <c r="A365" t="s">
        <v>62</v>
      </c>
      <c r="B365" t="s">
        <v>188</v>
      </c>
      <c r="C365" t="s">
        <v>56</v>
      </c>
      <c r="E365">
        <v>172569</v>
      </c>
    </row>
    <row r="366" spans="1:5" x14ac:dyDescent="0.25">
      <c r="A366" t="s">
        <v>63</v>
      </c>
      <c r="B366" t="s">
        <v>148</v>
      </c>
      <c r="C366" t="s">
        <v>6</v>
      </c>
    </row>
    <row r="367" spans="1:5" x14ac:dyDescent="0.25">
      <c r="A367" t="s">
        <v>63</v>
      </c>
      <c r="B367" t="s">
        <v>149</v>
      </c>
      <c r="C367" t="s">
        <v>7</v>
      </c>
    </row>
    <row r="368" spans="1:5" x14ac:dyDescent="0.25">
      <c r="A368" t="s">
        <v>63</v>
      </c>
      <c r="B368" t="s">
        <v>150</v>
      </c>
      <c r="C368" t="s">
        <v>8</v>
      </c>
      <c r="E368">
        <v>719222</v>
      </c>
    </row>
    <row r="369" spans="1:5" x14ac:dyDescent="0.25">
      <c r="A369" t="s">
        <v>63</v>
      </c>
      <c r="B369" t="s">
        <v>151</v>
      </c>
      <c r="C369" t="s">
        <v>9</v>
      </c>
      <c r="D369">
        <v>214436</v>
      </c>
    </row>
    <row r="370" spans="1:5" x14ac:dyDescent="0.25">
      <c r="A370" t="s">
        <v>63</v>
      </c>
      <c r="B370" t="s">
        <v>152</v>
      </c>
      <c r="C370" t="s">
        <v>10</v>
      </c>
    </row>
    <row r="371" spans="1:5" x14ac:dyDescent="0.25">
      <c r="A371" t="s">
        <v>63</v>
      </c>
      <c r="B371" t="s">
        <v>153</v>
      </c>
      <c r="C371" t="s">
        <v>11</v>
      </c>
      <c r="D371">
        <v>504787</v>
      </c>
      <c r="E371">
        <v>504787</v>
      </c>
    </row>
    <row r="372" spans="1:5" x14ac:dyDescent="0.25">
      <c r="A372" t="s">
        <v>63</v>
      </c>
      <c r="B372" t="s">
        <v>154</v>
      </c>
      <c r="C372" t="s">
        <v>12</v>
      </c>
    </row>
    <row r="373" spans="1:5" x14ac:dyDescent="0.25">
      <c r="A373" t="s">
        <v>63</v>
      </c>
      <c r="B373" t="s">
        <v>155</v>
      </c>
      <c r="C373" t="s">
        <v>13</v>
      </c>
      <c r="D373">
        <v>60781</v>
      </c>
      <c r="E373">
        <v>1095428</v>
      </c>
    </row>
    <row r="374" spans="1:5" x14ac:dyDescent="0.25">
      <c r="A374" t="s">
        <v>63</v>
      </c>
      <c r="B374" t="s">
        <v>156</v>
      </c>
      <c r="C374" t="s">
        <v>14</v>
      </c>
      <c r="D374">
        <v>50633</v>
      </c>
      <c r="E374">
        <v>878092</v>
      </c>
    </row>
    <row r="375" spans="1:5" x14ac:dyDescent="0.25">
      <c r="A375" t="s">
        <v>63</v>
      </c>
      <c r="B375" t="s">
        <v>135</v>
      </c>
      <c r="C375" t="s">
        <v>15</v>
      </c>
      <c r="D375">
        <v>10148</v>
      </c>
      <c r="E375">
        <v>217336</v>
      </c>
    </row>
    <row r="376" spans="1:5" x14ac:dyDescent="0.25">
      <c r="A376" t="s">
        <v>63</v>
      </c>
      <c r="B376" t="s">
        <v>157</v>
      </c>
      <c r="C376" t="s">
        <v>16</v>
      </c>
      <c r="D376">
        <v>10148</v>
      </c>
      <c r="E376">
        <v>179752</v>
      </c>
    </row>
    <row r="377" spans="1:5" x14ac:dyDescent="0.25">
      <c r="A377" t="s">
        <v>63</v>
      </c>
      <c r="B377" t="s">
        <v>158</v>
      </c>
      <c r="C377" t="s">
        <v>17</v>
      </c>
      <c r="E377">
        <v>37584</v>
      </c>
    </row>
    <row r="378" spans="1:5" x14ac:dyDescent="0.25">
      <c r="A378" t="s">
        <v>63</v>
      </c>
      <c r="B378" t="s">
        <v>159</v>
      </c>
      <c r="C378" t="s">
        <v>18</v>
      </c>
      <c r="D378">
        <v>-1535</v>
      </c>
    </row>
    <row r="379" spans="1:5" x14ac:dyDescent="0.25">
      <c r="A379" t="s">
        <v>63</v>
      </c>
      <c r="B379" t="s">
        <v>160</v>
      </c>
      <c r="C379" t="s">
        <v>19</v>
      </c>
      <c r="D379">
        <v>-1535</v>
      </c>
    </row>
    <row r="380" spans="1:5" x14ac:dyDescent="0.25">
      <c r="A380" t="s">
        <v>63</v>
      </c>
      <c r="B380" t="s">
        <v>161</v>
      </c>
      <c r="C380" t="s">
        <v>20</v>
      </c>
      <c r="D380">
        <v>179615</v>
      </c>
      <c r="E380">
        <v>179615</v>
      </c>
    </row>
    <row r="381" spans="1:5" x14ac:dyDescent="0.25">
      <c r="A381" t="s">
        <v>63</v>
      </c>
      <c r="B381" t="s">
        <v>162</v>
      </c>
      <c r="C381" t="s">
        <v>21</v>
      </c>
      <c r="D381">
        <v>265927</v>
      </c>
      <c r="E381">
        <v>265927</v>
      </c>
    </row>
    <row r="382" spans="1:5" x14ac:dyDescent="0.25">
      <c r="A382" t="s">
        <v>63</v>
      </c>
      <c r="B382" t="s">
        <v>163</v>
      </c>
      <c r="C382" t="s">
        <v>22</v>
      </c>
      <c r="D382">
        <v>78216</v>
      </c>
      <c r="E382">
        <v>288447</v>
      </c>
    </row>
    <row r="383" spans="1:5" x14ac:dyDescent="0.25">
      <c r="A383" t="s">
        <v>63</v>
      </c>
      <c r="B383" t="s">
        <v>140</v>
      </c>
      <c r="C383" t="s">
        <v>23</v>
      </c>
      <c r="D383">
        <v>78078</v>
      </c>
      <c r="E383">
        <v>136773</v>
      </c>
    </row>
    <row r="384" spans="1:5" x14ac:dyDescent="0.25">
      <c r="A384" t="s">
        <v>63</v>
      </c>
      <c r="B384" t="s">
        <v>164</v>
      </c>
      <c r="C384" t="s">
        <v>24</v>
      </c>
      <c r="E384">
        <v>121088</v>
      </c>
    </row>
    <row r="385" spans="1:5" x14ac:dyDescent="0.25">
      <c r="A385" t="s">
        <v>63</v>
      </c>
      <c r="B385" t="s">
        <v>165</v>
      </c>
      <c r="C385" t="s">
        <v>25</v>
      </c>
      <c r="E385">
        <v>30586</v>
      </c>
    </row>
    <row r="386" spans="1:5" x14ac:dyDescent="0.25">
      <c r="A386" t="s">
        <v>63</v>
      </c>
      <c r="B386" t="s">
        <v>166</v>
      </c>
      <c r="C386" t="s">
        <v>26</v>
      </c>
      <c r="D386">
        <v>138</v>
      </c>
    </row>
    <row r="387" spans="1:5" x14ac:dyDescent="0.25">
      <c r="A387" t="s">
        <v>63</v>
      </c>
      <c r="B387" t="s">
        <v>167</v>
      </c>
      <c r="C387" t="s">
        <v>27</v>
      </c>
      <c r="D387">
        <v>1751200</v>
      </c>
      <c r="E387">
        <v>1751200</v>
      </c>
    </row>
    <row r="388" spans="1:5" x14ac:dyDescent="0.25">
      <c r="A388" t="s">
        <v>63</v>
      </c>
      <c r="B388" t="s">
        <v>168</v>
      </c>
      <c r="C388" t="s">
        <v>28</v>
      </c>
      <c r="D388">
        <v>86752</v>
      </c>
    </row>
    <row r="389" spans="1:5" x14ac:dyDescent="0.25">
      <c r="A389" t="s">
        <v>63</v>
      </c>
      <c r="B389" t="s">
        <v>137</v>
      </c>
      <c r="C389" t="s">
        <v>29</v>
      </c>
      <c r="D389">
        <v>315996</v>
      </c>
    </row>
    <row r="390" spans="1:5" x14ac:dyDescent="0.25">
      <c r="A390" t="s">
        <v>63</v>
      </c>
      <c r="B390" t="s">
        <v>169</v>
      </c>
      <c r="C390" t="s">
        <v>30</v>
      </c>
      <c r="D390">
        <v>179752</v>
      </c>
    </row>
    <row r="391" spans="1:5" x14ac:dyDescent="0.25">
      <c r="A391" t="s">
        <v>63</v>
      </c>
      <c r="B391" t="s">
        <v>170</v>
      </c>
      <c r="C391" t="s">
        <v>31</v>
      </c>
      <c r="D391">
        <v>37584</v>
      </c>
    </row>
    <row r="392" spans="1:5" x14ac:dyDescent="0.25">
      <c r="A392" t="s">
        <v>63</v>
      </c>
      <c r="B392" t="s">
        <v>171</v>
      </c>
      <c r="C392" t="s">
        <v>32</v>
      </c>
      <c r="D392">
        <v>98660</v>
      </c>
    </row>
    <row r="393" spans="1:5" x14ac:dyDescent="0.25">
      <c r="A393" t="s">
        <v>63</v>
      </c>
      <c r="B393" t="s">
        <v>138</v>
      </c>
      <c r="C393" t="s">
        <v>33</v>
      </c>
      <c r="E393">
        <v>406702</v>
      </c>
    </row>
    <row r="394" spans="1:5" x14ac:dyDescent="0.25">
      <c r="A394" t="s">
        <v>63</v>
      </c>
      <c r="B394" t="s">
        <v>172</v>
      </c>
      <c r="C394" t="s">
        <v>34</v>
      </c>
      <c r="E394">
        <v>195658</v>
      </c>
    </row>
    <row r="395" spans="1:5" x14ac:dyDescent="0.25">
      <c r="A395" t="s">
        <v>63</v>
      </c>
      <c r="B395" t="s">
        <v>173</v>
      </c>
      <c r="C395" t="s">
        <v>35</v>
      </c>
      <c r="E395">
        <v>188363</v>
      </c>
    </row>
    <row r="396" spans="1:5" x14ac:dyDescent="0.25">
      <c r="A396" t="s">
        <v>63</v>
      </c>
      <c r="B396" t="s">
        <v>174</v>
      </c>
      <c r="C396" t="s">
        <v>36</v>
      </c>
      <c r="E396">
        <v>22681</v>
      </c>
    </row>
    <row r="397" spans="1:5" x14ac:dyDescent="0.25">
      <c r="A397" t="s">
        <v>63</v>
      </c>
      <c r="B397" t="s">
        <v>141</v>
      </c>
      <c r="C397" t="s">
        <v>37</v>
      </c>
      <c r="D397">
        <v>32747</v>
      </c>
      <c r="E397">
        <v>15551</v>
      </c>
    </row>
    <row r="398" spans="1:5" x14ac:dyDescent="0.25">
      <c r="A398" t="s">
        <v>63</v>
      </c>
      <c r="B398" t="s">
        <v>175</v>
      </c>
      <c r="C398" t="s">
        <v>38</v>
      </c>
      <c r="D398">
        <v>6028</v>
      </c>
    </row>
    <row r="399" spans="1:5" x14ac:dyDescent="0.25">
      <c r="A399" t="s">
        <v>63</v>
      </c>
      <c r="B399" t="s">
        <v>176</v>
      </c>
      <c r="C399" t="s">
        <v>39</v>
      </c>
      <c r="E399">
        <v>6113</v>
      </c>
    </row>
    <row r="400" spans="1:5" x14ac:dyDescent="0.25">
      <c r="A400" t="s">
        <v>63</v>
      </c>
      <c r="B400" t="s">
        <v>177</v>
      </c>
      <c r="C400" t="s">
        <v>40</v>
      </c>
    </row>
    <row r="401" spans="1:5" x14ac:dyDescent="0.25">
      <c r="A401" t="s">
        <v>63</v>
      </c>
      <c r="B401" t="s">
        <v>178</v>
      </c>
      <c r="C401" t="s">
        <v>41</v>
      </c>
    </row>
    <row r="402" spans="1:5" x14ac:dyDescent="0.25">
      <c r="A402" t="s">
        <v>63</v>
      </c>
      <c r="B402" t="s">
        <v>179</v>
      </c>
      <c r="C402" t="s">
        <v>42</v>
      </c>
      <c r="D402">
        <v>26719</v>
      </c>
      <c r="E402">
        <v>9438</v>
      </c>
    </row>
    <row r="403" spans="1:5" x14ac:dyDescent="0.25">
      <c r="A403" t="s">
        <v>63</v>
      </c>
      <c r="B403" t="s">
        <v>121</v>
      </c>
      <c r="C403" t="s">
        <v>43</v>
      </c>
      <c r="D403">
        <v>1737958</v>
      </c>
      <c r="E403">
        <v>1737958</v>
      </c>
    </row>
    <row r="404" spans="1:5" x14ac:dyDescent="0.25">
      <c r="A404" t="s">
        <v>63</v>
      </c>
      <c r="B404" t="s">
        <v>142</v>
      </c>
      <c r="C404" t="s">
        <v>44</v>
      </c>
      <c r="E404">
        <v>238126</v>
      </c>
    </row>
    <row r="405" spans="1:5" x14ac:dyDescent="0.25">
      <c r="A405" t="s">
        <v>63</v>
      </c>
      <c r="B405" t="s">
        <v>180</v>
      </c>
      <c r="C405" t="s">
        <v>45</v>
      </c>
      <c r="D405">
        <v>1976084</v>
      </c>
      <c r="E405">
        <v>1976084</v>
      </c>
    </row>
    <row r="406" spans="1:5" x14ac:dyDescent="0.25">
      <c r="A406" t="s">
        <v>63</v>
      </c>
      <c r="B406" t="s">
        <v>181</v>
      </c>
      <c r="C406" t="s">
        <v>46</v>
      </c>
      <c r="D406">
        <v>1823758</v>
      </c>
    </row>
    <row r="407" spans="1:5" x14ac:dyDescent="0.25">
      <c r="A407" t="s">
        <v>63</v>
      </c>
      <c r="B407" t="s">
        <v>122</v>
      </c>
      <c r="C407" t="s">
        <v>47</v>
      </c>
      <c r="D407">
        <v>1585632</v>
      </c>
    </row>
    <row r="408" spans="1:5" x14ac:dyDescent="0.25">
      <c r="A408" t="s">
        <v>63</v>
      </c>
      <c r="B408" t="s">
        <v>182</v>
      </c>
      <c r="C408" t="s">
        <v>48</v>
      </c>
      <c r="E408">
        <v>37250</v>
      </c>
    </row>
    <row r="409" spans="1:5" x14ac:dyDescent="0.25">
      <c r="A409" t="s">
        <v>63</v>
      </c>
      <c r="B409" t="s">
        <v>127</v>
      </c>
      <c r="C409" t="s">
        <v>49</v>
      </c>
      <c r="D409">
        <v>189576</v>
      </c>
    </row>
    <row r="410" spans="1:5" x14ac:dyDescent="0.25">
      <c r="A410" t="s">
        <v>63</v>
      </c>
      <c r="B410" t="s">
        <v>183</v>
      </c>
      <c r="C410" t="s">
        <v>50</v>
      </c>
    </row>
    <row r="411" spans="1:5" x14ac:dyDescent="0.25">
      <c r="A411" t="s">
        <v>63</v>
      </c>
      <c r="B411" t="s">
        <v>127</v>
      </c>
      <c r="C411" t="s">
        <v>49</v>
      </c>
      <c r="E411">
        <v>189576</v>
      </c>
    </row>
    <row r="412" spans="1:5" x14ac:dyDescent="0.25">
      <c r="A412" t="s">
        <v>63</v>
      </c>
      <c r="B412" t="s">
        <v>124</v>
      </c>
      <c r="C412" t="s">
        <v>51</v>
      </c>
      <c r="D412">
        <v>140587</v>
      </c>
    </row>
    <row r="413" spans="1:5" x14ac:dyDescent="0.25">
      <c r="A413" t="s">
        <v>63</v>
      </c>
      <c r="B413" t="s">
        <v>184</v>
      </c>
      <c r="C413" t="s">
        <v>52</v>
      </c>
    </row>
    <row r="414" spans="1:5" x14ac:dyDescent="0.25">
      <c r="A414" t="s">
        <v>63</v>
      </c>
      <c r="B414" t="s">
        <v>185</v>
      </c>
      <c r="C414" t="s">
        <v>53</v>
      </c>
    </row>
    <row r="415" spans="1:5" x14ac:dyDescent="0.25">
      <c r="A415" t="s">
        <v>63</v>
      </c>
      <c r="B415" t="s">
        <v>186</v>
      </c>
      <c r="C415" t="s">
        <v>54</v>
      </c>
    </row>
    <row r="416" spans="1:5" x14ac:dyDescent="0.25">
      <c r="A416" t="s">
        <v>63</v>
      </c>
      <c r="B416" t="s">
        <v>187</v>
      </c>
      <c r="C416" t="s">
        <v>55</v>
      </c>
      <c r="D416">
        <v>46511</v>
      </c>
    </row>
    <row r="417" spans="1:5" x14ac:dyDescent="0.25">
      <c r="A417" t="s">
        <v>63</v>
      </c>
      <c r="B417" t="s">
        <v>188</v>
      </c>
      <c r="C417" t="s">
        <v>56</v>
      </c>
      <c r="E417">
        <v>187098</v>
      </c>
    </row>
    <row r="418" spans="1:5" x14ac:dyDescent="0.25">
      <c r="A418" t="s">
        <v>64</v>
      </c>
      <c r="B418" t="s">
        <v>148</v>
      </c>
      <c r="C418" t="s">
        <v>6</v>
      </c>
    </row>
    <row r="419" spans="1:5" x14ac:dyDescent="0.25">
      <c r="A419" t="s">
        <v>64</v>
      </c>
      <c r="B419" t="s">
        <v>149</v>
      </c>
      <c r="C419" t="s">
        <v>7</v>
      </c>
    </row>
    <row r="420" spans="1:5" x14ac:dyDescent="0.25">
      <c r="A420" t="s">
        <v>64</v>
      </c>
      <c r="B420" t="s">
        <v>150</v>
      </c>
      <c r="C420" t="s">
        <v>8</v>
      </c>
      <c r="E420">
        <v>795189</v>
      </c>
    </row>
    <row r="421" spans="1:5" x14ac:dyDescent="0.25">
      <c r="A421" t="s">
        <v>64</v>
      </c>
      <c r="B421" t="s">
        <v>151</v>
      </c>
      <c r="C421" t="s">
        <v>9</v>
      </c>
      <c r="D421">
        <v>237526</v>
      </c>
    </row>
    <row r="422" spans="1:5" x14ac:dyDescent="0.25">
      <c r="A422" t="s">
        <v>64</v>
      </c>
      <c r="B422" t="s">
        <v>152</v>
      </c>
      <c r="C422" t="s">
        <v>10</v>
      </c>
    </row>
    <row r="423" spans="1:5" x14ac:dyDescent="0.25">
      <c r="A423" t="s">
        <v>64</v>
      </c>
      <c r="B423" t="s">
        <v>153</v>
      </c>
      <c r="C423" t="s">
        <v>11</v>
      </c>
      <c r="D423">
        <v>557663</v>
      </c>
      <c r="E423">
        <v>557663</v>
      </c>
    </row>
    <row r="424" spans="1:5" x14ac:dyDescent="0.25">
      <c r="A424" t="s">
        <v>64</v>
      </c>
      <c r="B424" t="s">
        <v>154</v>
      </c>
      <c r="C424" t="s">
        <v>12</v>
      </c>
    </row>
    <row r="425" spans="1:5" x14ac:dyDescent="0.25">
      <c r="A425" t="s">
        <v>64</v>
      </c>
      <c r="B425" t="s">
        <v>155</v>
      </c>
      <c r="C425" t="s">
        <v>13</v>
      </c>
      <c r="D425">
        <v>65928</v>
      </c>
      <c r="E425">
        <v>1262085</v>
      </c>
    </row>
    <row r="426" spans="1:5" x14ac:dyDescent="0.25">
      <c r="A426" t="s">
        <v>64</v>
      </c>
      <c r="B426" t="s">
        <v>156</v>
      </c>
      <c r="C426" t="s">
        <v>14</v>
      </c>
      <c r="D426">
        <v>55030</v>
      </c>
      <c r="E426">
        <v>1010626</v>
      </c>
    </row>
    <row r="427" spans="1:5" x14ac:dyDescent="0.25">
      <c r="A427" t="s">
        <v>64</v>
      </c>
      <c r="B427" t="s">
        <v>135</v>
      </c>
      <c r="C427" t="s">
        <v>15</v>
      </c>
      <c r="D427">
        <v>10899</v>
      </c>
      <c r="E427">
        <v>251459</v>
      </c>
    </row>
    <row r="428" spans="1:5" x14ac:dyDescent="0.25">
      <c r="A428" t="s">
        <v>64</v>
      </c>
      <c r="B428" t="s">
        <v>157</v>
      </c>
      <c r="C428" t="s">
        <v>16</v>
      </c>
      <c r="D428">
        <v>10899</v>
      </c>
      <c r="E428">
        <v>210090</v>
      </c>
    </row>
    <row r="429" spans="1:5" x14ac:dyDescent="0.25">
      <c r="A429" t="s">
        <v>64</v>
      </c>
      <c r="B429" t="s">
        <v>158</v>
      </c>
      <c r="C429" t="s">
        <v>17</v>
      </c>
      <c r="E429">
        <v>41369</v>
      </c>
    </row>
    <row r="430" spans="1:5" x14ac:dyDescent="0.25">
      <c r="A430" t="s">
        <v>64</v>
      </c>
      <c r="B430" t="s">
        <v>159</v>
      </c>
      <c r="C430" t="s">
        <v>18</v>
      </c>
      <c r="D430">
        <v>-578</v>
      </c>
    </row>
    <row r="431" spans="1:5" x14ac:dyDescent="0.25">
      <c r="A431" t="s">
        <v>64</v>
      </c>
      <c r="B431" t="s">
        <v>160</v>
      </c>
      <c r="C431" t="s">
        <v>19</v>
      </c>
      <c r="D431">
        <v>-578</v>
      </c>
    </row>
    <row r="432" spans="1:5" x14ac:dyDescent="0.25">
      <c r="A432" t="s">
        <v>64</v>
      </c>
      <c r="B432" t="s">
        <v>161</v>
      </c>
      <c r="C432" t="s">
        <v>20</v>
      </c>
      <c r="D432">
        <v>200066</v>
      </c>
      <c r="E432">
        <v>200066</v>
      </c>
    </row>
    <row r="433" spans="1:5" x14ac:dyDescent="0.25">
      <c r="A433" t="s">
        <v>64</v>
      </c>
      <c r="B433" t="s">
        <v>162</v>
      </c>
      <c r="C433" t="s">
        <v>21</v>
      </c>
      <c r="D433">
        <v>292247</v>
      </c>
      <c r="E433">
        <v>292247</v>
      </c>
    </row>
    <row r="434" spans="1:5" x14ac:dyDescent="0.25">
      <c r="A434" t="s">
        <v>64</v>
      </c>
      <c r="B434" t="s">
        <v>163</v>
      </c>
      <c r="C434" t="s">
        <v>22</v>
      </c>
      <c r="D434">
        <v>117952</v>
      </c>
      <c r="E434">
        <v>358432</v>
      </c>
    </row>
    <row r="435" spans="1:5" x14ac:dyDescent="0.25">
      <c r="A435" t="s">
        <v>64</v>
      </c>
      <c r="B435" t="s">
        <v>140</v>
      </c>
      <c r="C435" t="s">
        <v>23</v>
      </c>
      <c r="D435">
        <v>117732</v>
      </c>
      <c r="E435">
        <v>180921</v>
      </c>
    </row>
    <row r="436" spans="1:5" x14ac:dyDescent="0.25">
      <c r="A436" t="s">
        <v>64</v>
      </c>
      <c r="B436" t="s">
        <v>164</v>
      </c>
      <c r="C436" t="s">
        <v>24</v>
      </c>
      <c r="E436">
        <v>146258</v>
      </c>
    </row>
    <row r="437" spans="1:5" x14ac:dyDescent="0.25">
      <c r="A437" t="s">
        <v>64</v>
      </c>
      <c r="B437" t="s">
        <v>165</v>
      </c>
      <c r="C437" t="s">
        <v>25</v>
      </c>
      <c r="E437">
        <v>31253</v>
      </c>
    </row>
    <row r="438" spans="1:5" x14ac:dyDescent="0.25">
      <c r="A438" t="s">
        <v>64</v>
      </c>
      <c r="B438" t="s">
        <v>166</v>
      </c>
      <c r="C438" t="s">
        <v>26</v>
      </c>
      <c r="D438">
        <v>220</v>
      </c>
    </row>
    <row r="439" spans="1:5" x14ac:dyDescent="0.25">
      <c r="A439" t="s">
        <v>64</v>
      </c>
      <c r="B439" t="s">
        <v>167</v>
      </c>
      <c r="C439" t="s">
        <v>27</v>
      </c>
      <c r="D439">
        <v>1994878</v>
      </c>
      <c r="E439">
        <v>1994878</v>
      </c>
    </row>
    <row r="440" spans="1:5" x14ac:dyDescent="0.25">
      <c r="A440" t="s">
        <v>64</v>
      </c>
      <c r="B440" t="s">
        <v>168</v>
      </c>
      <c r="C440" t="s">
        <v>28</v>
      </c>
      <c r="D440">
        <v>92932</v>
      </c>
    </row>
    <row r="441" spans="1:5" x14ac:dyDescent="0.25">
      <c r="A441" t="s">
        <v>64</v>
      </c>
      <c r="B441" t="s">
        <v>137</v>
      </c>
      <c r="C441" t="s">
        <v>29</v>
      </c>
      <c r="D441">
        <v>363298</v>
      </c>
    </row>
    <row r="442" spans="1:5" x14ac:dyDescent="0.25">
      <c r="A442" t="s">
        <v>64</v>
      </c>
      <c r="B442" t="s">
        <v>169</v>
      </c>
      <c r="C442" t="s">
        <v>30</v>
      </c>
      <c r="D442">
        <v>210090</v>
      </c>
    </row>
    <row r="443" spans="1:5" x14ac:dyDescent="0.25">
      <c r="A443" t="s">
        <v>64</v>
      </c>
      <c r="B443" t="s">
        <v>170</v>
      </c>
      <c r="C443" t="s">
        <v>31</v>
      </c>
      <c r="D443">
        <v>41369</v>
      </c>
    </row>
    <row r="444" spans="1:5" x14ac:dyDescent="0.25">
      <c r="A444" t="s">
        <v>64</v>
      </c>
      <c r="B444" t="s">
        <v>171</v>
      </c>
      <c r="C444" t="s">
        <v>32</v>
      </c>
      <c r="D444">
        <v>111839</v>
      </c>
    </row>
    <row r="445" spans="1:5" x14ac:dyDescent="0.25">
      <c r="A445" t="s">
        <v>64</v>
      </c>
      <c r="B445" t="s">
        <v>138</v>
      </c>
      <c r="C445" t="s">
        <v>33</v>
      </c>
      <c r="E445">
        <v>450625</v>
      </c>
    </row>
    <row r="446" spans="1:5" x14ac:dyDescent="0.25">
      <c r="A446" t="s">
        <v>64</v>
      </c>
      <c r="B446" t="s">
        <v>172</v>
      </c>
      <c r="C446" t="s">
        <v>34</v>
      </c>
      <c r="E446">
        <v>216143</v>
      </c>
    </row>
    <row r="447" spans="1:5" x14ac:dyDescent="0.25">
      <c r="A447" t="s">
        <v>64</v>
      </c>
      <c r="B447" t="s">
        <v>173</v>
      </c>
      <c r="C447" t="s">
        <v>35</v>
      </c>
      <c r="E447">
        <v>207533</v>
      </c>
    </row>
    <row r="448" spans="1:5" x14ac:dyDescent="0.25">
      <c r="A448" t="s">
        <v>64</v>
      </c>
      <c r="B448" t="s">
        <v>174</v>
      </c>
      <c r="C448" t="s">
        <v>36</v>
      </c>
      <c r="E448">
        <v>26949</v>
      </c>
    </row>
    <row r="449" spans="1:5" x14ac:dyDescent="0.25">
      <c r="A449" t="s">
        <v>64</v>
      </c>
      <c r="B449" t="s">
        <v>141</v>
      </c>
      <c r="C449" t="s">
        <v>37</v>
      </c>
      <c r="D449">
        <v>37438</v>
      </c>
      <c r="E449">
        <v>17200</v>
      </c>
    </row>
    <row r="450" spans="1:5" x14ac:dyDescent="0.25">
      <c r="A450" t="s">
        <v>64</v>
      </c>
      <c r="B450" t="s">
        <v>175</v>
      </c>
      <c r="C450" t="s">
        <v>38</v>
      </c>
      <c r="D450">
        <v>7318</v>
      </c>
    </row>
    <row r="451" spans="1:5" x14ac:dyDescent="0.25">
      <c r="A451" t="s">
        <v>64</v>
      </c>
      <c r="B451" t="s">
        <v>176</v>
      </c>
      <c r="C451" t="s">
        <v>39</v>
      </c>
      <c r="E451">
        <v>7412</v>
      </c>
    </row>
    <row r="452" spans="1:5" x14ac:dyDescent="0.25">
      <c r="A452" t="s">
        <v>64</v>
      </c>
      <c r="B452" t="s">
        <v>177</v>
      </c>
      <c r="C452" t="s">
        <v>40</v>
      </c>
    </row>
    <row r="453" spans="1:5" x14ac:dyDescent="0.25">
      <c r="A453" t="s">
        <v>64</v>
      </c>
      <c r="B453" t="s">
        <v>178</v>
      </c>
      <c r="C453" t="s">
        <v>41</v>
      </c>
    </row>
    <row r="454" spans="1:5" x14ac:dyDescent="0.25">
      <c r="A454" t="s">
        <v>64</v>
      </c>
      <c r="B454" t="s">
        <v>179</v>
      </c>
      <c r="C454" t="s">
        <v>42</v>
      </c>
      <c r="D454">
        <v>30120</v>
      </c>
      <c r="E454">
        <v>9788</v>
      </c>
    </row>
    <row r="455" spans="1:5" x14ac:dyDescent="0.25">
      <c r="A455" t="s">
        <v>64</v>
      </c>
      <c r="B455" t="s">
        <v>121</v>
      </c>
      <c r="C455" t="s">
        <v>43</v>
      </c>
      <c r="D455">
        <v>1969034</v>
      </c>
      <c r="E455">
        <v>1969034</v>
      </c>
    </row>
    <row r="456" spans="1:5" x14ac:dyDescent="0.25">
      <c r="A456" t="s">
        <v>64</v>
      </c>
      <c r="B456" t="s">
        <v>142</v>
      </c>
      <c r="C456" t="s">
        <v>44</v>
      </c>
      <c r="E456">
        <v>275309</v>
      </c>
    </row>
    <row r="457" spans="1:5" x14ac:dyDescent="0.25">
      <c r="A457" t="s">
        <v>64</v>
      </c>
      <c r="B457" t="s">
        <v>180</v>
      </c>
      <c r="C457" t="s">
        <v>45</v>
      </c>
      <c r="D457">
        <v>2244344</v>
      </c>
      <c r="E457">
        <v>2244344</v>
      </c>
    </row>
    <row r="458" spans="1:5" x14ac:dyDescent="0.25">
      <c r="A458" t="s">
        <v>64</v>
      </c>
      <c r="B458" t="s">
        <v>181</v>
      </c>
      <c r="C458" t="s">
        <v>46</v>
      </c>
      <c r="D458">
        <v>2085103</v>
      </c>
    </row>
    <row r="459" spans="1:5" x14ac:dyDescent="0.25">
      <c r="A459" t="s">
        <v>64</v>
      </c>
      <c r="B459" t="s">
        <v>122</v>
      </c>
      <c r="C459" t="s">
        <v>47</v>
      </c>
      <c r="D459">
        <v>1809794</v>
      </c>
    </row>
    <row r="460" spans="1:5" x14ac:dyDescent="0.25">
      <c r="A460" t="s">
        <v>64</v>
      </c>
      <c r="B460" t="s">
        <v>182</v>
      </c>
      <c r="C460" t="s">
        <v>48</v>
      </c>
      <c r="E460">
        <v>49434</v>
      </c>
    </row>
    <row r="461" spans="1:5" x14ac:dyDescent="0.25">
      <c r="A461" t="s">
        <v>64</v>
      </c>
      <c r="B461" t="s">
        <v>127</v>
      </c>
      <c r="C461" t="s">
        <v>49</v>
      </c>
      <c r="D461">
        <v>208674</v>
      </c>
    </row>
    <row r="462" spans="1:5" x14ac:dyDescent="0.25">
      <c r="A462" t="s">
        <v>64</v>
      </c>
      <c r="B462" t="s">
        <v>183</v>
      </c>
      <c r="C462" t="s">
        <v>50</v>
      </c>
    </row>
    <row r="463" spans="1:5" x14ac:dyDescent="0.25">
      <c r="A463" t="s">
        <v>64</v>
      </c>
      <c r="B463" t="s">
        <v>127</v>
      </c>
      <c r="C463" t="s">
        <v>49</v>
      </c>
      <c r="E463">
        <v>208674</v>
      </c>
    </row>
    <row r="464" spans="1:5" x14ac:dyDescent="0.25">
      <c r="A464" t="s">
        <v>64</v>
      </c>
      <c r="B464" t="s">
        <v>124</v>
      </c>
      <c r="C464" t="s">
        <v>51</v>
      </c>
      <c r="D464">
        <v>156287</v>
      </c>
    </row>
    <row r="465" spans="1:5" x14ac:dyDescent="0.25">
      <c r="A465" t="s">
        <v>64</v>
      </c>
      <c r="B465" t="s">
        <v>184</v>
      </c>
      <c r="C465" t="s">
        <v>52</v>
      </c>
    </row>
    <row r="466" spans="1:5" x14ac:dyDescent="0.25">
      <c r="A466" t="s">
        <v>64</v>
      </c>
      <c r="B466" t="s">
        <v>185</v>
      </c>
      <c r="C466" t="s">
        <v>53</v>
      </c>
    </row>
    <row r="467" spans="1:5" x14ac:dyDescent="0.25">
      <c r="A467" t="s">
        <v>64</v>
      </c>
      <c r="B467" t="s">
        <v>186</v>
      </c>
      <c r="C467" t="s">
        <v>54</v>
      </c>
    </row>
    <row r="468" spans="1:5" x14ac:dyDescent="0.25">
      <c r="A468" t="s">
        <v>64</v>
      </c>
      <c r="B468" t="s">
        <v>187</v>
      </c>
      <c r="C468" t="s">
        <v>55</v>
      </c>
      <c r="D468">
        <v>48159</v>
      </c>
    </row>
    <row r="469" spans="1:5" x14ac:dyDescent="0.25">
      <c r="A469" t="s">
        <v>64</v>
      </c>
      <c r="B469" t="s">
        <v>188</v>
      </c>
      <c r="C469" t="s">
        <v>56</v>
      </c>
      <c r="E469">
        <v>204446</v>
      </c>
    </row>
    <row r="470" spans="1:5" x14ac:dyDescent="0.25">
      <c r="A470" t="s">
        <v>65</v>
      </c>
      <c r="B470" t="s">
        <v>148</v>
      </c>
      <c r="C470" t="s">
        <v>6</v>
      </c>
    </row>
    <row r="471" spans="1:5" x14ac:dyDescent="0.25">
      <c r="A471" t="s">
        <v>65</v>
      </c>
      <c r="B471" t="s">
        <v>149</v>
      </c>
      <c r="C471" t="s">
        <v>7</v>
      </c>
    </row>
    <row r="472" spans="1:5" x14ac:dyDescent="0.25">
      <c r="A472" t="s">
        <v>65</v>
      </c>
      <c r="B472" t="s">
        <v>150</v>
      </c>
      <c r="C472" t="s">
        <v>8</v>
      </c>
      <c r="E472">
        <v>836999</v>
      </c>
    </row>
    <row r="473" spans="1:5" x14ac:dyDescent="0.25">
      <c r="A473" t="s">
        <v>65</v>
      </c>
      <c r="B473" t="s">
        <v>151</v>
      </c>
      <c r="C473" t="s">
        <v>9</v>
      </c>
      <c r="D473">
        <v>245544</v>
      </c>
    </row>
    <row r="474" spans="1:5" x14ac:dyDescent="0.25">
      <c r="A474" t="s">
        <v>65</v>
      </c>
      <c r="B474" t="s">
        <v>152</v>
      </c>
      <c r="C474" t="s">
        <v>10</v>
      </c>
    </row>
    <row r="475" spans="1:5" x14ac:dyDescent="0.25">
      <c r="A475" t="s">
        <v>65</v>
      </c>
      <c r="B475" t="s">
        <v>153</v>
      </c>
      <c r="C475" t="s">
        <v>11</v>
      </c>
      <c r="D475">
        <v>591455</v>
      </c>
      <c r="E475">
        <v>591455</v>
      </c>
    </row>
    <row r="476" spans="1:5" x14ac:dyDescent="0.25">
      <c r="A476" t="s">
        <v>65</v>
      </c>
      <c r="B476" t="s">
        <v>154</v>
      </c>
      <c r="C476" t="s">
        <v>12</v>
      </c>
    </row>
    <row r="477" spans="1:5" x14ac:dyDescent="0.25">
      <c r="A477" t="s">
        <v>65</v>
      </c>
      <c r="B477" t="s">
        <v>155</v>
      </c>
      <c r="C477" t="s">
        <v>13</v>
      </c>
      <c r="D477">
        <v>75149</v>
      </c>
      <c r="E477">
        <v>1414391</v>
      </c>
    </row>
    <row r="478" spans="1:5" x14ac:dyDescent="0.25">
      <c r="A478" t="s">
        <v>65</v>
      </c>
      <c r="B478" t="s">
        <v>156</v>
      </c>
      <c r="C478" t="s">
        <v>14</v>
      </c>
      <c r="D478">
        <v>66602</v>
      </c>
      <c r="E478">
        <v>1127724</v>
      </c>
    </row>
    <row r="479" spans="1:5" x14ac:dyDescent="0.25">
      <c r="A479" t="s">
        <v>65</v>
      </c>
      <c r="B479" t="s">
        <v>135</v>
      </c>
      <c r="C479" t="s">
        <v>15</v>
      </c>
      <c r="D479">
        <v>8547</v>
      </c>
      <c r="E479">
        <v>286667</v>
      </c>
    </row>
    <row r="480" spans="1:5" x14ac:dyDescent="0.25">
      <c r="A480" t="s">
        <v>65</v>
      </c>
      <c r="B480" t="s">
        <v>157</v>
      </c>
      <c r="C480" t="s">
        <v>16</v>
      </c>
      <c r="D480">
        <v>8547</v>
      </c>
      <c r="E480">
        <v>239770</v>
      </c>
    </row>
    <row r="481" spans="1:5" x14ac:dyDescent="0.25">
      <c r="A481" t="s">
        <v>65</v>
      </c>
      <c r="B481" t="s">
        <v>158</v>
      </c>
      <c r="C481" t="s">
        <v>17</v>
      </c>
      <c r="E481">
        <v>46897</v>
      </c>
    </row>
    <row r="482" spans="1:5" x14ac:dyDescent="0.25">
      <c r="A482" t="s">
        <v>65</v>
      </c>
      <c r="B482" t="s">
        <v>159</v>
      </c>
      <c r="C482" t="s">
        <v>18</v>
      </c>
      <c r="D482">
        <v>-779</v>
      </c>
    </row>
    <row r="483" spans="1:5" x14ac:dyDescent="0.25">
      <c r="A483" t="s">
        <v>65</v>
      </c>
      <c r="B483" t="s">
        <v>160</v>
      </c>
      <c r="C483" t="s">
        <v>19</v>
      </c>
      <c r="D483">
        <v>-779</v>
      </c>
    </row>
    <row r="484" spans="1:5" x14ac:dyDescent="0.25">
      <c r="A484" t="s">
        <v>65</v>
      </c>
      <c r="B484" t="s">
        <v>161</v>
      </c>
      <c r="C484" t="s">
        <v>20</v>
      </c>
      <c r="D484">
        <v>224889</v>
      </c>
      <c r="E484">
        <v>224889</v>
      </c>
    </row>
    <row r="485" spans="1:5" x14ac:dyDescent="0.25">
      <c r="A485" t="s">
        <v>65</v>
      </c>
      <c r="B485" t="s">
        <v>162</v>
      </c>
      <c r="C485" t="s">
        <v>21</v>
      </c>
      <c r="D485">
        <v>292196</v>
      </c>
      <c r="E485">
        <v>292196</v>
      </c>
    </row>
    <row r="486" spans="1:5" x14ac:dyDescent="0.25">
      <c r="A486" t="s">
        <v>65</v>
      </c>
      <c r="B486" t="s">
        <v>163</v>
      </c>
      <c r="C486" t="s">
        <v>22</v>
      </c>
      <c r="D486">
        <v>174775</v>
      </c>
      <c r="E486">
        <v>439926</v>
      </c>
    </row>
    <row r="487" spans="1:5" x14ac:dyDescent="0.25">
      <c r="A487" t="s">
        <v>65</v>
      </c>
      <c r="B487" t="s">
        <v>140</v>
      </c>
      <c r="C487" t="s">
        <v>23</v>
      </c>
      <c r="D487">
        <v>174552</v>
      </c>
      <c r="E487">
        <v>250244</v>
      </c>
    </row>
    <row r="488" spans="1:5" x14ac:dyDescent="0.25">
      <c r="A488" t="s">
        <v>65</v>
      </c>
      <c r="B488" t="s">
        <v>164</v>
      </c>
      <c r="C488" t="s">
        <v>24</v>
      </c>
      <c r="E488">
        <v>146855</v>
      </c>
    </row>
    <row r="489" spans="1:5" x14ac:dyDescent="0.25">
      <c r="A489" t="s">
        <v>65</v>
      </c>
      <c r="B489" t="s">
        <v>165</v>
      </c>
      <c r="C489" t="s">
        <v>25</v>
      </c>
      <c r="E489">
        <v>42827</v>
      </c>
    </row>
    <row r="490" spans="1:5" x14ac:dyDescent="0.25">
      <c r="A490" t="s">
        <v>65</v>
      </c>
      <c r="B490" t="s">
        <v>166</v>
      </c>
      <c r="C490" t="s">
        <v>26</v>
      </c>
      <c r="D490">
        <v>223</v>
      </c>
    </row>
    <row r="491" spans="1:5" x14ac:dyDescent="0.25">
      <c r="A491" t="s">
        <v>65</v>
      </c>
      <c r="B491" t="s">
        <v>167</v>
      </c>
      <c r="C491" t="s">
        <v>27</v>
      </c>
      <c r="D491">
        <v>2196627</v>
      </c>
      <c r="E491">
        <v>2196627</v>
      </c>
    </row>
    <row r="492" spans="1:5" x14ac:dyDescent="0.25">
      <c r="A492" t="s">
        <v>65</v>
      </c>
      <c r="B492" t="s">
        <v>168</v>
      </c>
      <c r="C492" t="s">
        <v>28</v>
      </c>
      <c r="D492">
        <v>95523</v>
      </c>
    </row>
    <row r="493" spans="1:5" x14ac:dyDescent="0.25">
      <c r="A493" t="s">
        <v>65</v>
      </c>
      <c r="B493" t="s">
        <v>137</v>
      </c>
      <c r="C493" t="s">
        <v>29</v>
      </c>
      <c r="D493">
        <v>393773</v>
      </c>
    </row>
    <row r="494" spans="1:5" x14ac:dyDescent="0.25">
      <c r="A494" t="s">
        <v>65</v>
      </c>
      <c r="B494" t="s">
        <v>169</v>
      </c>
      <c r="C494" t="s">
        <v>30</v>
      </c>
      <c r="D494">
        <v>239770</v>
      </c>
    </row>
    <row r="495" spans="1:5" x14ac:dyDescent="0.25">
      <c r="A495" t="s">
        <v>65</v>
      </c>
      <c r="B495" t="s">
        <v>170</v>
      </c>
      <c r="C495" t="s">
        <v>31</v>
      </c>
      <c r="D495">
        <v>46897</v>
      </c>
    </row>
    <row r="496" spans="1:5" x14ac:dyDescent="0.25">
      <c r="A496" t="s">
        <v>65</v>
      </c>
      <c r="B496" t="s">
        <v>171</v>
      </c>
      <c r="C496" t="s">
        <v>32</v>
      </c>
      <c r="D496">
        <v>107106</v>
      </c>
    </row>
    <row r="497" spans="1:5" x14ac:dyDescent="0.25">
      <c r="A497" t="s">
        <v>65</v>
      </c>
      <c r="B497" t="s">
        <v>138</v>
      </c>
      <c r="C497" t="s">
        <v>33</v>
      </c>
      <c r="E497">
        <v>506919</v>
      </c>
    </row>
    <row r="498" spans="1:5" x14ac:dyDescent="0.25">
      <c r="A498" t="s">
        <v>65</v>
      </c>
      <c r="B498" t="s">
        <v>172</v>
      </c>
      <c r="C498" t="s">
        <v>34</v>
      </c>
      <c r="E498">
        <v>245815</v>
      </c>
    </row>
    <row r="499" spans="1:5" x14ac:dyDescent="0.25">
      <c r="A499" t="s">
        <v>65</v>
      </c>
      <c r="B499" t="s">
        <v>173</v>
      </c>
      <c r="C499" t="s">
        <v>35</v>
      </c>
      <c r="E499">
        <v>228980</v>
      </c>
    </row>
    <row r="500" spans="1:5" x14ac:dyDescent="0.25">
      <c r="A500" t="s">
        <v>65</v>
      </c>
      <c r="B500" t="s">
        <v>174</v>
      </c>
      <c r="C500" t="s">
        <v>36</v>
      </c>
      <c r="E500">
        <v>32124</v>
      </c>
    </row>
    <row r="501" spans="1:5" x14ac:dyDescent="0.25">
      <c r="A501" t="s">
        <v>65</v>
      </c>
      <c r="B501" t="s">
        <v>141</v>
      </c>
      <c r="C501" t="s">
        <v>37</v>
      </c>
      <c r="D501">
        <v>30753</v>
      </c>
      <c r="E501">
        <v>18890</v>
      </c>
    </row>
    <row r="502" spans="1:5" x14ac:dyDescent="0.25">
      <c r="A502" t="s">
        <v>65</v>
      </c>
      <c r="B502" t="s">
        <v>175</v>
      </c>
      <c r="C502" t="s">
        <v>38</v>
      </c>
      <c r="D502">
        <v>7639</v>
      </c>
    </row>
    <row r="503" spans="1:5" x14ac:dyDescent="0.25">
      <c r="A503" t="s">
        <v>65</v>
      </c>
      <c r="B503" t="s">
        <v>176</v>
      </c>
      <c r="C503" t="s">
        <v>39</v>
      </c>
      <c r="E503">
        <v>7678</v>
      </c>
    </row>
    <row r="504" spans="1:5" x14ac:dyDescent="0.25">
      <c r="A504" t="s">
        <v>65</v>
      </c>
      <c r="B504" t="s">
        <v>177</v>
      </c>
      <c r="C504" t="s">
        <v>40</v>
      </c>
    </row>
    <row r="505" spans="1:5" x14ac:dyDescent="0.25">
      <c r="A505" t="s">
        <v>65</v>
      </c>
      <c r="B505" t="s">
        <v>178</v>
      </c>
      <c r="C505" t="s">
        <v>41</v>
      </c>
    </row>
    <row r="506" spans="1:5" x14ac:dyDescent="0.25">
      <c r="A506" t="s">
        <v>65</v>
      </c>
      <c r="B506" t="s">
        <v>179</v>
      </c>
      <c r="C506" t="s">
        <v>42</v>
      </c>
      <c r="D506">
        <v>23114</v>
      </c>
      <c r="E506">
        <v>11212</v>
      </c>
    </row>
    <row r="507" spans="1:5" x14ac:dyDescent="0.25">
      <c r="A507" t="s">
        <v>65</v>
      </c>
      <c r="B507" t="s">
        <v>121</v>
      </c>
      <c r="C507" t="s">
        <v>43</v>
      </c>
      <c r="D507">
        <v>2202388</v>
      </c>
      <c r="E507">
        <v>2202388</v>
      </c>
    </row>
    <row r="508" spans="1:5" x14ac:dyDescent="0.25">
      <c r="A508" t="s">
        <v>65</v>
      </c>
      <c r="B508" t="s">
        <v>142</v>
      </c>
      <c r="C508" t="s">
        <v>44</v>
      </c>
      <c r="E508">
        <v>311598</v>
      </c>
    </row>
    <row r="509" spans="1:5" x14ac:dyDescent="0.25">
      <c r="A509" t="s">
        <v>65</v>
      </c>
      <c r="B509" t="s">
        <v>180</v>
      </c>
      <c r="C509" t="s">
        <v>45</v>
      </c>
      <c r="D509">
        <v>2513986</v>
      </c>
      <c r="E509">
        <v>2513986</v>
      </c>
    </row>
    <row r="510" spans="1:5" x14ac:dyDescent="0.25">
      <c r="A510" t="s">
        <v>65</v>
      </c>
      <c r="B510" t="s">
        <v>181</v>
      </c>
      <c r="C510" t="s">
        <v>46</v>
      </c>
      <c r="D510">
        <v>2323361</v>
      </c>
    </row>
    <row r="511" spans="1:5" x14ac:dyDescent="0.25">
      <c r="A511" t="s">
        <v>65</v>
      </c>
      <c r="B511" t="s">
        <v>122</v>
      </c>
      <c r="C511" t="s">
        <v>47</v>
      </c>
      <c r="D511">
        <v>2011763</v>
      </c>
    </row>
    <row r="512" spans="1:5" x14ac:dyDescent="0.25">
      <c r="A512" t="s">
        <v>65</v>
      </c>
      <c r="B512" t="s">
        <v>182</v>
      </c>
      <c r="C512" t="s">
        <v>48</v>
      </c>
      <c r="E512">
        <v>40594</v>
      </c>
    </row>
    <row r="513" spans="1:5" x14ac:dyDescent="0.25">
      <c r="A513" t="s">
        <v>65</v>
      </c>
      <c r="B513" t="s">
        <v>127</v>
      </c>
      <c r="C513" t="s">
        <v>49</v>
      </c>
      <c r="D513">
        <v>231219</v>
      </c>
    </row>
    <row r="514" spans="1:5" x14ac:dyDescent="0.25">
      <c r="A514" t="s">
        <v>65</v>
      </c>
      <c r="B514" t="s">
        <v>183</v>
      </c>
      <c r="C514" t="s">
        <v>50</v>
      </c>
    </row>
    <row r="515" spans="1:5" x14ac:dyDescent="0.25">
      <c r="A515" t="s">
        <v>65</v>
      </c>
      <c r="B515" t="s">
        <v>127</v>
      </c>
      <c r="C515" t="s">
        <v>49</v>
      </c>
      <c r="E515">
        <v>231219</v>
      </c>
    </row>
    <row r="516" spans="1:5" x14ac:dyDescent="0.25">
      <c r="A516" t="s">
        <v>65</v>
      </c>
      <c r="B516" t="s">
        <v>124</v>
      </c>
      <c r="C516" t="s">
        <v>51</v>
      </c>
      <c r="D516">
        <v>188950</v>
      </c>
    </row>
    <row r="517" spans="1:5" x14ac:dyDescent="0.25">
      <c r="A517" t="s">
        <v>65</v>
      </c>
      <c r="B517" t="s">
        <v>184</v>
      </c>
      <c r="C517" t="s">
        <v>52</v>
      </c>
    </row>
    <row r="518" spans="1:5" x14ac:dyDescent="0.25">
      <c r="A518" t="s">
        <v>65</v>
      </c>
      <c r="B518" t="s">
        <v>185</v>
      </c>
      <c r="C518" t="s">
        <v>53</v>
      </c>
    </row>
    <row r="519" spans="1:5" x14ac:dyDescent="0.25">
      <c r="A519" t="s">
        <v>65</v>
      </c>
      <c r="B519" t="s">
        <v>186</v>
      </c>
      <c r="C519" t="s">
        <v>54</v>
      </c>
      <c r="E519">
        <v>5317</v>
      </c>
    </row>
    <row r="520" spans="1:5" x14ac:dyDescent="0.25">
      <c r="A520" t="s">
        <v>65</v>
      </c>
      <c r="B520" t="s">
        <v>187</v>
      </c>
      <c r="C520" t="s">
        <v>55</v>
      </c>
      <c r="D520">
        <v>46577</v>
      </c>
    </row>
    <row r="521" spans="1:5" x14ac:dyDescent="0.25">
      <c r="A521" t="s">
        <v>65</v>
      </c>
      <c r="B521" t="s">
        <v>188</v>
      </c>
      <c r="C521" t="s">
        <v>56</v>
      </c>
      <c r="E521">
        <v>235528</v>
      </c>
    </row>
    <row r="522" spans="1:5" x14ac:dyDescent="0.25">
      <c r="A522" t="s">
        <v>66</v>
      </c>
      <c r="B522" t="s">
        <v>148</v>
      </c>
      <c r="C522" t="s">
        <v>6</v>
      </c>
    </row>
    <row r="523" spans="1:5" x14ac:dyDescent="0.25">
      <c r="A523" t="s">
        <v>66</v>
      </c>
      <c r="B523" t="s">
        <v>149</v>
      </c>
      <c r="C523" t="s">
        <v>7</v>
      </c>
    </row>
    <row r="524" spans="1:5" x14ac:dyDescent="0.25">
      <c r="A524" t="s">
        <v>66</v>
      </c>
      <c r="B524" t="s">
        <v>150</v>
      </c>
      <c r="C524" t="s">
        <v>8</v>
      </c>
      <c r="E524">
        <v>931001</v>
      </c>
    </row>
    <row r="525" spans="1:5" x14ac:dyDescent="0.25">
      <c r="A525" t="s">
        <v>66</v>
      </c>
      <c r="B525" t="s">
        <v>189</v>
      </c>
      <c r="C525" t="s">
        <v>67</v>
      </c>
      <c r="E525">
        <v>654790</v>
      </c>
    </row>
    <row r="526" spans="1:5" x14ac:dyDescent="0.25">
      <c r="A526" t="s">
        <v>66</v>
      </c>
      <c r="B526" t="s">
        <v>190</v>
      </c>
      <c r="C526" t="s">
        <v>68</v>
      </c>
      <c r="E526">
        <v>276211</v>
      </c>
    </row>
    <row r="527" spans="1:5" x14ac:dyDescent="0.25">
      <c r="A527" t="s">
        <v>66</v>
      </c>
      <c r="B527" t="s">
        <v>151</v>
      </c>
      <c r="C527" t="s">
        <v>9</v>
      </c>
      <c r="D527">
        <v>261890</v>
      </c>
    </row>
    <row r="528" spans="1:5" x14ac:dyDescent="0.25">
      <c r="A528" t="s">
        <v>66</v>
      </c>
      <c r="B528" t="s">
        <v>152</v>
      </c>
      <c r="C528" t="s">
        <v>10</v>
      </c>
    </row>
    <row r="529" spans="1:5" x14ac:dyDescent="0.25">
      <c r="A529" t="s">
        <v>66</v>
      </c>
      <c r="B529" t="s">
        <v>153</v>
      </c>
      <c r="C529" t="s">
        <v>11</v>
      </c>
      <c r="D529">
        <v>669111</v>
      </c>
      <c r="E529">
        <v>669111</v>
      </c>
    </row>
    <row r="530" spans="1:5" x14ac:dyDescent="0.25">
      <c r="A530" t="s">
        <v>66</v>
      </c>
      <c r="B530" t="s">
        <v>154</v>
      </c>
      <c r="C530" t="s">
        <v>12</v>
      </c>
    </row>
    <row r="531" spans="1:5" x14ac:dyDescent="0.25">
      <c r="A531" t="s">
        <v>66</v>
      </c>
      <c r="B531" t="s">
        <v>155</v>
      </c>
      <c r="C531" t="s">
        <v>13</v>
      </c>
      <c r="D531">
        <v>85299</v>
      </c>
      <c r="E531">
        <v>1619069</v>
      </c>
    </row>
    <row r="532" spans="1:5" x14ac:dyDescent="0.25">
      <c r="A532" t="s">
        <v>66</v>
      </c>
      <c r="B532" t="s">
        <v>156</v>
      </c>
      <c r="C532" t="s">
        <v>69</v>
      </c>
      <c r="D532">
        <v>82161</v>
      </c>
      <c r="E532">
        <v>1278164</v>
      </c>
    </row>
    <row r="533" spans="1:5" x14ac:dyDescent="0.25">
      <c r="A533" t="s">
        <v>66</v>
      </c>
      <c r="B533" t="s">
        <v>135</v>
      </c>
      <c r="C533" t="s">
        <v>15</v>
      </c>
      <c r="D533">
        <v>3138</v>
      </c>
      <c r="E533">
        <v>340905</v>
      </c>
    </row>
    <row r="534" spans="1:5" x14ac:dyDescent="0.25">
      <c r="A534" t="s">
        <v>66</v>
      </c>
      <c r="B534" t="s">
        <v>157</v>
      </c>
      <c r="C534" t="s">
        <v>16</v>
      </c>
      <c r="D534">
        <v>3138</v>
      </c>
      <c r="E534">
        <v>290193</v>
      </c>
    </row>
    <row r="535" spans="1:5" x14ac:dyDescent="0.25">
      <c r="A535" t="s">
        <v>66</v>
      </c>
      <c r="B535" t="s">
        <v>158</v>
      </c>
      <c r="C535" t="s">
        <v>17</v>
      </c>
      <c r="E535">
        <v>50712</v>
      </c>
    </row>
    <row r="536" spans="1:5" x14ac:dyDescent="0.25">
      <c r="A536" t="s">
        <v>66</v>
      </c>
      <c r="B536" t="s">
        <v>159</v>
      </c>
      <c r="C536" t="s">
        <v>18</v>
      </c>
      <c r="D536">
        <v>-592</v>
      </c>
    </row>
    <row r="537" spans="1:5" x14ac:dyDescent="0.25">
      <c r="A537" t="s">
        <v>66</v>
      </c>
      <c r="B537" t="s">
        <v>160</v>
      </c>
      <c r="C537" t="s">
        <v>19</v>
      </c>
      <c r="D537">
        <v>-592</v>
      </c>
    </row>
    <row r="538" spans="1:5" x14ac:dyDescent="0.25">
      <c r="A538" t="s">
        <v>66</v>
      </c>
      <c r="B538" t="s">
        <v>161</v>
      </c>
      <c r="C538" t="s">
        <v>20</v>
      </c>
      <c r="D538">
        <v>253532</v>
      </c>
      <c r="E538">
        <v>253532</v>
      </c>
    </row>
    <row r="539" spans="1:5" x14ac:dyDescent="0.25">
      <c r="A539" t="s">
        <v>66</v>
      </c>
      <c r="B539" t="s">
        <v>162</v>
      </c>
      <c r="C539" t="s">
        <v>21</v>
      </c>
      <c r="D539">
        <v>330872</v>
      </c>
      <c r="E539">
        <v>330872</v>
      </c>
    </row>
    <row r="540" spans="1:5" x14ac:dyDescent="0.25">
      <c r="A540" t="s">
        <v>66</v>
      </c>
      <c r="B540" t="s">
        <v>163</v>
      </c>
      <c r="C540" t="s">
        <v>22</v>
      </c>
      <c r="D540">
        <v>181522</v>
      </c>
      <c r="E540">
        <v>524842</v>
      </c>
    </row>
    <row r="541" spans="1:5" x14ac:dyDescent="0.25">
      <c r="A541" t="s">
        <v>66</v>
      </c>
      <c r="B541" t="s">
        <v>140</v>
      </c>
      <c r="C541" t="s">
        <v>23</v>
      </c>
      <c r="D541">
        <v>181183</v>
      </c>
      <c r="E541">
        <v>265829</v>
      </c>
    </row>
    <row r="542" spans="1:5" x14ac:dyDescent="0.25">
      <c r="A542" t="s">
        <v>66</v>
      </c>
      <c r="B542" t="s">
        <v>164</v>
      </c>
      <c r="C542" t="s">
        <v>70</v>
      </c>
      <c r="E542">
        <v>198464</v>
      </c>
    </row>
    <row r="543" spans="1:5" x14ac:dyDescent="0.25">
      <c r="A543" t="s">
        <v>66</v>
      </c>
      <c r="B543" t="s">
        <v>191</v>
      </c>
      <c r="C543" t="s">
        <v>71</v>
      </c>
    </row>
    <row r="544" spans="1:5" x14ac:dyDescent="0.25">
      <c r="A544" t="s">
        <v>66</v>
      </c>
      <c r="B544" t="s">
        <v>133</v>
      </c>
      <c r="C544" t="s">
        <v>72</v>
      </c>
      <c r="E544">
        <v>60549</v>
      </c>
    </row>
    <row r="545" spans="1:5" x14ac:dyDescent="0.25">
      <c r="A545" t="s">
        <v>66</v>
      </c>
      <c r="B545" t="s">
        <v>192</v>
      </c>
      <c r="C545" t="s">
        <v>73</v>
      </c>
      <c r="E545">
        <v>3863</v>
      </c>
    </row>
    <row r="546" spans="1:5" x14ac:dyDescent="0.25">
      <c r="A546" t="s">
        <v>66</v>
      </c>
      <c r="B546" t="s">
        <v>193</v>
      </c>
      <c r="C546" t="s">
        <v>74</v>
      </c>
      <c r="E546">
        <v>49676</v>
      </c>
    </row>
    <row r="547" spans="1:5" x14ac:dyDescent="0.25">
      <c r="A547" t="s">
        <v>66</v>
      </c>
      <c r="B547" t="s">
        <v>194</v>
      </c>
      <c r="C547" t="s">
        <v>75</v>
      </c>
      <c r="E547">
        <v>7010</v>
      </c>
    </row>
    <row r="548" spans="1:5" x14ac:dyDescent="0.25">
      <c r="A548" t="s">
        <v>66</v>
      </c>
      <c r="B548" t="s">
        <v>166</v>
      </c>
      <c r="C548" t="s">
        <v>26</v>
      </c>
      <c r="D548">
        <v>339</v>
      </c>
    </row>
    <row r="549" spans="1:5" x14ac:dyDescent="0.25">
      <c r="A549" t="s">
        <v>66</v>
      </c>
      <c r="B549" t="s">
        <v>167</v>
      </c>
      <c r="C549" t="s">
        <v>27</v>
      </c>
      <c r="D549">
        <v>2546793</v>
      </c>
      <c r="E549">
        <v>2546793</v>
      </c>
    </row>
    <row r="550" spans="1:5" x14ac:dyDescent="0.25">
      <c r="A550" t="s">
        <v>66</v>
      </c>
      <c r="B550" t="s">
        <v>168</v>
      </c>
      <c r="C550" t="s">
        <v>28</v>
      </c>
      <c r="D550">
        <v>113236</v>
      </c>
    </row>
    <row r="551" spans="1:5" x14ac:dyDescent="0.25">
      <c r="A551" t="s">
        <v>66</v>
      </c>
      <c r="B551" t="s">
        <v>137</v>
      </c>
      <c r="C551" t="s">
        <v>29</v>
      </c>
      <c r="D551">
        <v>474322</v>
      </c>
    </row>
    <row r="552" spans="1:5" x14ac:dyDescent="0.25">
      <c r="A552" t="s">
        <v>66</v>
      </c>
      <c r="B552" t="s">
        <v>169</v>
      </c>
      <c r="C552" t="s">
        <v>30</v>
      </c>
      <c r="D552">
        <v>290193</v>
      </c>
    </row>
    <row r="553" spans="1:5" x14ac:dyDescent="0.25">
      <c r="A553" t="s">
        <v>66</v>
      </c>
      <c r="B553" t="s">
        <v>170</v>
      </c>
      <c r="C553" t="s">
        <v>31</v>
      </c>
      <c r="D553">
        <v>50712</v>
      </c>
    </row>
    <row r="554" spans="1:5" x14ac:dyDescent="0.25">
      <c r="A554" t="s">
        <v>66</v>
      </c>
      <c r="B554" t="s">
        <v>195</v>
      </c>
      <c r="C554" t="s">
        <v>76</v>
      </c>
      <c r="D554">
        <v>133417</v>
      </c>
    </row>
    <row r="555" spans="1:5" x14ac:dyDescent="0.25">
      <c r="A555" t="s">
        <v>66</v>
      </c>
      <c r="B555" t="s">
        <v>138</v>
      </c>
      <c r="C555" t="s">
        <v>33</v>
      </c>
      <c r="E555">
        <v>568962</v>
      </c>
    </row>
    <row r="556" spans="1:5" x14ac:dyDescent="0.25">
      <c r="A556" t="s">
        <v>66</v>
      </c>
      <c r="B556" t="s">
        <v>172</v>
      </c>
      <c r="C556" t="s">
        <v>34</v>
      </c>
      <c r="E556">
        <v>283363</v>
      </c>
    </row>
    <row r="557" spans="1:5" x14ac:dyDescent="0.25">
      <c r="A557" t="s">
        <v>66</v>
      </c>
      <c r="B557" t="s">
        <v>173</v>
      </c>
      <c r="C557" t="s">
        <v>35</v>
      </c>
      <c r="E557">
        <v>245975</v>
      </c>
    </row>
    <row r="558" spans="1:5" x14ac:dyDescent="0.25">
      <c r="A558" t="s">
        <v>66</v>
      </c>
      <c r="B558" t="s">
        <v>174</v>
      </c>
      <c r="C558" t="s">
        <v>36</v>
      </c>
      <c r="E558">
        <v>39624</v>
      </c>
    </row>
    <row r="559" spans="1:5" x14ac:dyDescent="0.25">
      <c r="A559" t="s">
        <v>66</v>
      </c>
      <c r="B559" t="s">
        <v>141</v>
      </c>
      <c r="C559" t="s">
        <v>37</v>
      </c>
      <c r="D559">
        <v>54719</v>
      </c>
      <c r="E559">
        <v>18824</v>
      </c>
    </row>
    <row r="560" spans="1:5" x14ac:dyDescent="0.25">
      <c r="A560" t="s">
        <v>66</v>
      </c>
      <c r="B560" t="s">
        <v>175</v>
      </c>
      <c r="C560" t="s">
        <v>38</v>
      </c>
      <c r="D560">
        <v>14738</v>
      </c>
    </row>
    <row r="561" spans="1:5" x14ac:dyDescent="0.25">
      <c r="A561" t="s">
        <v>66</v>
      </c>
      <c r="B561" t="s">
        <v>176</v>
      </c>
      <c r="C561" t="s">
        <v>39</v>
      </c>
      <c r="E561">
        <v>9910</v>
      </c>
    </row>
    <row r="562" spans="1:5" x14ac:dyDescent="0.25">
      <c r="A562" t="s">
        <v>66</v>
      </c>
      <c r="B562" t="s">
        <v>177</v>
      </c>
      <c r="C562" t="s">
        <v>77</v>
      </c>
    </row>
    <row r="563" spans="1:5" x14ac:dyDescent="0.25">
      <c r="A563" t="s">
        <v>66</v>
      </c>
      <c r="B563" t="s">
        <v>178</v>
      </c>
      <c r="C563" t="s">
        <v>78</v>
      </c>
    </row>
    <row r="564" spans="1:5" x14ac:dyDescent="0.25">
      <c r="A564" t="s">
        <v>66</v>
      </c>
      <c r="B564" t="s">
        <v>179</v>
      </c>
      <c r="C564" t="s">
        <v>42</v>
      </c>
      <c r="D564">
        <v>39981</v>
      </c>
      <c r="E564">
        <v>8914</v>
      </c>
    </row>
    <row r="565" spans="1:5" x14ac:dyDescent="0.25">
      <c r="A565" t="s">
        <v>66</v>
      </c>
      <c r="B565" t="s">
        <v>121</v>
      </c>
      <c r="C565" t="s">
        <v>79</v>
      </c>
      <c r="D565">
        <v>2492302</v>
      </c>
      <c r="E565">
        <v>2492302</v>
      </c>
    </row>
    <row r="566" spans="1:5" x14ac:dyDescent="0.25">
      <c r="A566" t="s">
        <v>66</v>
      </c>
      <c r="B566" t="s">
        <v>142</v>
      </c>
      <c r="C566" t="s">
        <v>44</v>
      </c>
      <c r="E566">
        <v>353863</v>
      </c>
    </row>
    <row r="567" spans="1:5" x14ac:dyDescent="0.25">
      <c r="A567" t="s">
        <v>66</v>
      </c>
      <c r="B567" t="s">
        <v>180</v>
      </c>
      <c r="C567" t="s">
        <v>45</v>
      </c>
      <c r="D567">
        <v>2846165</v>
      </c>
      <c r="E567">
        <v>2846165</v>
      </c>
    </row>
    <row r="568" spans="1:5" x14ac:dyDescent="0.25">
      <c r="A568" t="s">
        <v>66</v>
      </c>
      <c r="B568" t="s">
        <v>181</v>
      </c>
      <c r="C568" t="s">
        <v>46</v>
      </c>
      <c r="D568">
        <v>2632598</v>
      </c>
    </row>
    <row r="569" spans="1:5" x14ac:dyDescent="0.25">
      <c r="A569" t="s">
        <v>66</v>
      </c>
      <c r="B569" t="s">
        <v>122</v>
      </c>
      <c r="C569" t="s">
        <v>47</v>
      </c>
      <c r="D569">
        <v>2278735</v>
      </c>
    </row>
    <row r="570" spans="1:5" x14ac:dyDescent="0.25">
      <c r="A570" t="s">
        <v>66</v>
      </c>
      <c r="B570" t="s">
        <v>182</v>
      </c>
      <c r="C570" t="s">
        <v>80</v>
      </c>
      <c r="E570">
        <v>54217</v>
      </c>
    </row>
    <row r="571" spans="1:5" x14ac:dyDescent="0.25">
      <c r="A571" t="s">
        <v>66</v>
      </c>
      <c r="B571" t="s">
        <v>127</v>
      </c>
      <c r="C571" t="s">
        <v>49</v>
      </c>
      <c r="D571">
        <v>267784</v>
      </c>
    </row>
    <row r="572" spans="1:5" x14ac:dyDescent="0.25">
      <c r="A572" t="s">
        <v>66</v>
      </c>
      <c r="B572" t="s">
        <v>183</v>
      </c>
      <c r="C572" t="s">
        <v>50</v>
      </c>
    </row>
    <row r="573" spans="1:5" x14ac:dyDescent="0.25">
      <c r="A573" t="s">
        <v>66</v>
      </c>
      <c r="B573" t="s">
        <v>127</v>
      </c>
      <c r="C573" t="s">
        <v>49</v>
      </c>
      <c r="E573">
        <v>267784</v>
      </c>
    </row>
    <row r="574" spans="1:5" x14ac:dyDescent="0.25">
      <c r="A574" t="s">
        <v>66</v>
      </c>
      <c r="B574" t="s">
        <v>124</v>
      </c>
      <c r="C574" t="s">
        <v>51</v>
      </c>
      <c r="D574">
        <v>232612</v>
      </c>
    </row>
    <row r="575" spans="1:5" x14ac:dyDescent="0.25">
      <c r="A575" t="s">
        <v>66</v>
      </c>
      <c r="B575" t="s">
        <v>184</v>
      </c>
      <c r="C575" t="s">
        <v>52</v>
      </c>
    </row>
    <row r="576" spans="1:5" x14ac:dyDescent="0.25">
      <c r="A576" t="s">
        <v>66</v>
      </c>
      <c r="B576" t="s">
        <v>185</v>
      </c>
      <c r="C576" t="s">
        <v>53</v>
      </c>
    </row>
    <row r="577" spans="1:5" x14ac:dyDescent="0.25">
      <c r="A577" t="s">
        <v>66</v>
      </c>
      <c r="B577" t="s">
        <v>186</v>
      </c>
      <c r="C577" t="s">
        <v>54</v>
      </c>
      <c r="E577">
        <v>986</v>
      </c>
    </row>
    <row r="578" spans="1:5" x14ac:dyDescent="0.25">
      <c r="A578" t="s">
        <v>66</v>
      </c>
      <c r="B578" t="s">
        <v>187</v>
      </c>
      <c r="C578" t="s">
        <v>55</v>
      </c>
      <c r="D578">
        <v>33356</v>
      </c>
    </row>
    <row r="579" spans="1:5" x14ac:dyDescent="0.25">
      <c r="A579" t="s">
        <v>66</v>
      </c>
      <c r="B579" t="s">
        <v>188</v>
      </c>
      <c r="C579" t="s">
        <v>56</v>
      </c>
      <c r="E579">
        <v>265968</v>
      </c>
    </row>
    <row r="580" spans="1:5" x14ac:dyDescent="0.25">
      <c r="A580" t="s">
        <v>66</v>
      </c>
      <c r="B580" t="s">
        <v>196</v>
      </c>
      <c r="C580" t="s">
        <v>81</v>
      </c>
      <c r="E580">
        <v>226288</v>
      </c>
    </row>
    <row r="581" spans="1:5" x14ac:dyDescent="0.25">
      <c r="A581" t="s">
        <v>66</v>
      </c>
      <c r="B581" t="s">
        <v>197</v>
      </c>
      <c r="C581" t="s">
        <v>82</v>
      </c>
    </row>
    <row r="582" spans="1:5" x14ac:dyDescent="0.25">
      <c r="A582" t="s">
        <v>66</v>
      </c>
      <c r="B582" t="s">
        <v>198</v>
      </c>
      <c r="C582" t="s">
        <v>83</v>
      </c>
    </row>
    <row r="583" spans="1:5" x14ac:dyDescent="0.25">
      <c r="A583" t="s">
        <v>66</v>
      </c>
      <c r="B583" t="s">
        <v>199</v>
      </c>
      <c r="C583" t="s">
        <v>84</v>
      </c>
    </row>
    <row r="584" spans="1:5" x14ac:dyDescent="0.25">
      <c r="A584" t="s">
        <v>66</v>
      </c>
      <c r="B584" t="s">
        <v>200</v>
      </c>
      <c r="C584" t="s">
        <v>85</v>
      </c>
    </row>
    <row r="585" spans="1:5" x14ac:dyDescent="0.25">
      <c r="A585" t="s">
        <v>66</v>
      </c>
      <c r="B585" t="s">
        <v>201</v>
      </c>
      <c r="C585" t="s">
        <v>86</v>
      </c>
    </row>
    <row r="586" spans="1:5" x14ac:dyDescent="0.25">
      <c r="A586" t="s">
        <v>66</v>
      </c>
      <c r="B586" t="s">
        <v>202</v>
      </c>
      <c r="C586" t="s">
        <v>87</v>
      </c>
    </row>
    <row r="587" spans="1:5" x14ac:dyDescent="0.25">
      <c r="A587" t="s">
        <v>66</v>
      </c>
      <c r="B587" t="s">
        <v>203</v>
      </c>
      <c r="C587" t="s">
        <v>88</v>
      </c>
    </row>
    <row r="588" spans="1:5" x14ac:dyDescent="0.25">
      <c r="A588" t="s">
        <v>66</v>
      </c>
      <c r="B588" t="s">
        <v>204</v>
      </c>
      <c r="C588" t="s">
        <v>89</v>
      </c>
    </row>
    <row r="589" spans="1:5" x14ac:dyDescent="0.25">
      <c r="A589" t="s">
        <v>66</v>
      </c>
      <c r="B589" t="s">
        <v>205</v>
      </c>
      <c r="C589" t="s">
        <v>90</v>
      </c>
      <c r="E589">
        <v>184148</v>
      </c>
    </row>
    <row r="590" spans="1:5" x14ac:dyDescent="0.25">
      <c r="A590" t="s">
        <v>66</v>
      </c>
      <c r="B590" t="s">
        <v>206</v>
      </c>
      <c r="C590" t="s">
        <v>88</v>
      </c>
      <c r="E590">
        <v>7322</v>
      </c>
    </row>
    <row r="591" spans="1:5" x14ac:dyDescent="0.25">
      <c r="A591" t="s">
        <v>66</v>
      </c>
      <c r="B591" t="s">
        <v>207</v>
      </c>
      <c r="C591" t="s">
        <v>89</v>
      </c>
      <c r="E591">
        <v>176826</v>
      </c>
    </row>
    <row r="592" spans="1:5" x14ac:dyDescent="0.25">
      <c r="A592" t="s">
        <v>66</v>
      </c>
      <c r="B592" t="s">
        <v>208</v>
      </c>
      <c r="C592" t="s">
        <v>91</v>
      </c>
    </row>
    <row r="593" spans="1:5" x14ac:dyDescent="0.25">
      <c r="A593" t="s">
        <v>66</v>
      </c>
      <c r="B593" t="s">
        <v>209</v>
      </c>
      <c r="C593" t="s">
        <v>92</v>
      </c>
    </row>
    <row r="594" spans="1:5" x14ac:dyDescent="0.25">
      <c r="A594" t="s">
        <v>66</v>
      </c>
      <c r="B594" t="s">
        <v>210</v>
      </c>
      <c r="C594" t="s">
        <v>93</v>
      </c>
    </row>
    <row r="595" spans="1:5" x14ac:dyDescent="0.25">
      <c r="A595" t="s">
        <v>66</v>
      </c>
      <c r="B595" t="s">
        <v>211</v>
      </c>
      <c r="C595" t="s">
        <v>94</v>
      </c>
    </row>
    <row r="596" spans="1:5" x14ac:dyDescent="0.25">
      <c r="A596" t="s">
        <v>66</v>
      </c>
      <c r="B596" t="s">
        <v>212</v>
      </c>
      <c r="C596" t="s">
        <v>95</v>
      </c>
    </row>
    <row r="597" spans="1:5" x14ac:dyDescent="0.25">
      <c r="A597" t="s">
        <v>66</v>
      </c>
      <c r="B597" t="s">
        <v>213</v>
      </c>
      <c r="C597" t="s">
        <v>96</v>
      </c>
    </row>
    <row r="598" spans="1:5" x14ac:dyDescent="0.25">
      <c r="A598" t="s">
        <v>66</v>
      </c>
      <c r="B598" t="s">
        <v>214</v>
      </c>
      <c r="C598" t="s">
        <v>97</v>
      </c>
    </row>
    <row r="599" spans="1:5" x14ac:dyDescent="0.25">
      <c r="A599" t="s">
        <v>66</v>
      </c>
      <c r="B599" t="s">
        <v>215</v>
      </c>
      <c r="C599" t="s">
        <v>98</v>
      </c>
    </row>
    <row r="600" spans="1:5" x14ac:dyDescent="0.25">
      <c r="A600" t="s">
        <v>66</v>
      </c>
      <c r="B600" t="s">
        <v>216</v>
      </c>
      <c r="C600" t="s">
        <v>99</v>
      </c>
    </row>
    <row r="601" spans="1:5" x14ac:dyDescent="0.25">
      <c r="A601" t="s">
        <v>66</v>
      </c>
      <c r="B601" t="s">
        <v>217</v>
      </c>
      <c r="C601" t="s">
        <v>100</v>
      </c>
      <c r="E601">
        <v>83</v>
      </c>
    </row>
    <row r="602" spans="1:5" x14ac:dyDescent="0.25">
      <c r="A602" t="s">
        <v>66</v>
      </c>
      <c r="B602" t="s">
        <v>218</v>
      </c>
      <c r="C602" t="s">
        <v>101</v>
      </c>
      <c r="E602">
        <v>42056</v>
      </c>
    </row>
    <row r="603" spans="1:5" x14ac:dyDescent="0.25">
      <c r="A603" t="s">
        <v>66</v>
      </c>
      <c r="B603" t="s">
        <v>219</v>
      </c>
      <c r="C603" t="s">
        <v>102</v>
      </c>
      <c r="E603">
        <v>1535</v>
      </c>
    </row>
    <row r="604" spans="1:5" x14ac:dyDescent="0.25">
      <c r="A604" t="s">
        <v>66</v>
      </c>
      <c r="B604" t="s">
        <v>220</v>
      </c>
      <c r="C604" t="s">
        <v>103</v>
      </c>
      <c r="E604">
        <v>40521</v>
      </c>
    </row>
    <row r="605" spans="1:5" x14ac:dyDescent="0.25">
      <c r="A605" t="s">
        <v>66</v>
      </c>
      <c r="B605" t="s">
        <v>221</v>
      </c>
      <c r="C605" t="s">
        <v>104</v>
      </c>
      <c r="E605">
        <v>1013967</v>
      </c>
    </row>
    <row r="606" spans="1:5" x14ac:dyDescent="0.25">
      <c r="A606" t="s">
        <v>66</v>
      </c>
      <c r="B606" t="s">
        <v>222</v>
      </c>
      <c r="C606" t="s">
        <v>82</v>
      </c>
    </row>
    <row r="607" spans="1:5" x14ac:dyDescent="0.25">
      <c r="A607" t="s">
        <v>66</v>
      </c>
      <c r="B607" t="s">
        <v>223</v>
      </c>
      <c r="C607" t="s">
        <v>83</v>
      </c>
    </row>
    <row r="608" spans="1:5" x14ac:dyDescent="0.25">
      <c r="A608" t="s">
        <v>66</v>
      </c>
      <c r="B608" t="s">
        <v>224</v>
      </c>
      <c r="C608" t="s">
        <v>84</v>
      </c>
    </row>
    <row r="609" spans="1:5" x14ac:dyDescent="0.25">
      <c r="A609" t="s">
        <v>66</v>
      </c>
      <c r="B609" t="s">
        <v>225</v>
      </c>
      <c r="C609" t="s">
        <v>85</v>
      </c>
    </row>
    <row r="610" spans="1:5" x14ac:dyDescent="0.25">
      <c r="A610" t="s">
        <v>66</v>
      </c>
      <c r="B610" t="s">
        <v>226</v>
      </c>
      <c r="C610" t="s">
        <v>86</v>
      </c>
    </row>
    <row r="611" spans="1:5" x14ac:dyDescent="0.25">
      <c r="A611" t="s">
        <v>66</v>
      </c>
      <c r="B611" t="s">
        <v>227</v>
      </c>
      <c r="C611" t="s">
        <v>87</v>
      </c>
    </row>
    <row r="612" spans="1:5" x14ac:dyDescent="0.25">
      <c r="A612" t="s">
        <v>66</v>
      </c>
      <c r="B612" t="s">
        <v>228</v>
      </c>
      <c r="C612" t="s">
        <v>88</v>
      </c>
    </row>
    <row r="613" spans="1:5" x14ac:dyDescent="0.25">
      <c r="A613" t="s">
        <v>66</v>
      </c>
      <c r="B613" t="s">
        <v>229</v>
      </c>
      <c r="C613" t="s">
        <v>89</v>
      </c>
    </row>
    <row r="614" spans="1:5" x14ac:dyDescent="0.25">
      <c r="A614" t="s">
        <v>66</v>
      </c>
      <c r="B614" t="s">
        <v>230</v>
      </c>
      <c r="C614" t="s">
        <v>90</v>
      </c>
      <c r="E614">
        <v>722295</v>
      </c>
    </row>
    <row r="615" spans="1:5" x14ac:dyDescent="0.25">
      <c r="A615" t="s">
        <v>66</v>
      </c>
      <c r="B615" t="s">
        <v>231</v>
      </c>
      <c r="C615" t="s">
        <v>88</v>
      </c>
      <c r="E615">
        <v>130069</v>
      </c>
    </row>
    <row r="616" spans="1:5" x14ac:dyDescent="0.25">
      <c r="A616" t="s">
        <v>66</v>
      </c>
      <c r="B616" t="s">
        <v>232</v>
      </c>
      <c r="C616" t="s">
        <v>89</v>
      </c>
      <c r="E616">
        <v>592226</v>
      </c>
    </row>
    <row r="617" spans="1:5" x14ac:dyDescent="0.25">
      <c r="A617" t="s">
        <v>66</v>
      </c>
      <c r="B617" t="s">
        <v>233</v>
      </c>
      <c r="C617" t="s">
        <v>91</v>
      </c>
    </row>
    <row r="618" spans="1:5" x14ac:dyDescent="0.25">
      <c r="A618" t="s">
        <v>66</v>
      </c>
      <c r="B618" t="s">
        <v>234</v>
      </c>
      <c r="C618" t="s">
        <v>92</v>
      </c>
    </row>
    <row r="619" spans="1:5" x14ac:dyDescent="0.25">
      <c r="A619" t="s">
        <v>66</v>
      </c>
      <c r="B619" t="s">
        <v>235</v>
      </c>
      <c r="C619" t="s">
        <v>93</v>
      </c>
    </row>
    <row r="620" spans="1:5" x14ac:dyDescent="0.25">
      <c r="A620" t="s">
        <v>66</v>
      </c>
      <c r="B620" t="s">
        <v>236</v>
      </c>
      <c r="C620" t="s">
        <v>94</v>
      </c>
    </row>
    <row r="621" spans="1:5" x14ac:dyDescent="0.25">
      <c r="A621" t="s">
        <v>66</v>
      </c>
      <c r="B621" t="s">
        <v>237</v>
      </c>
      <c r="C621" t="s">
        <v>95</v>
      </c>
    </row>
    <row r="622" spans="1:5" x14ac:dyDescent="0.25">
      <c r="A622" t="s">
        <v>66</v>
      </c>
      <c r="B622" t="s">
        <v>238</v>
      </c>
      <c r="C622" t="s">
        <v>96</v>
      </c>
    </row>
    <row r="623" spans="1:5" x14ac:dyDescent="0.25">
      <c r="A623" t="s">
        <v>66</v>
      </c>
      <c r="B623" t="s">
        <v>239</v>
      </c>
      <c r="C623" t="s">
        <v>97</v>
      </c>
    </row>
    <row r="624" spans="1:5" x14ac:dyDescent="0.25">
      <c r="A624" t="s">
        <v>66</v>
      </c>
      <c r="B624" t="s">
        <v>240</v>
      </c>
      <c r="C624" t="s">
        <v>98</v>
      </c>
    </row>
    <row r="625" spans="1:5" x14ac:dyDescent="0.25">
      <c r="A625" t="s">
        <v>66</v>
      </c>
      <c r="B625" t="s">
        <v>241</v>
      </c>
      <c r="C625" t="s">
        <v>99</v>
      </c>
    </row>
    <row r="626" spans="1:5" x14ac:dyDescent="0.25">
      <c r="A626" t="s">
        <v>66</v>
      </c>
      <c r="B626" t="s">
        <v>242</v>
      </c>
      <c r="C626" t="s">
        <v>100</v>
      </c>
      <c r="E626">
        <v>1598</v>
      </c>
    </row>
    <row r="627" spans="1:5" x14ac:dyDescent="0.25">
      <c r="A627" t="s">
        <v>66</v>
      </c>
      <c r="B627" t="s">
        <v>243</v>
      </c>
      <c r="C627" t="s">
        <v>101</v>
      </c>
      <c r="E627">
        <v>290074</v>
      </c>
    </row>
    <row r="628" spans="1:5" x14ac:dyDescent="0.25">
      <c r="A628" t="s">
        <v>66</v>
      </c>
      <c r="B628" t="s">
        <v>244</v>
      </c>
      <c r="C628" t="s">
        <v>102</v>
      </c>
      <c r="E628">
        <v>13443</v>
      </c>
    </row>
    <row r="629" spans="1:5" x14ac:dyDescent="0.25">
      <c r="A629" t="s">
        <v>66</v>
      </c>
      <c r="B629" t="s">
        <v>245</v>
      </c>
      <c r="C629" t="s">
        <v>103</v>
      </c>
      <c r="E629">
        <v>276632</v>
      </c>
    </row>
    <row r="630" spans="1:5" x14ac:dyDescent="0.25">
      <c r="A630" t="s">
        <v>66</v>
      </c>
      <c r="B630" t="s">
        <v>246</v>
      </c>
      <c r="C630" t="s">
        <v>105</v>
      </c>
    </row>
    <row r="631" spans="1:5" x14ac:dyDescent="0.25">
      <c r="A631" t="s">
        <v>106</v>
      </c>
      <c r="B631" t="s">
        <v>148</v>
      </c>
      <c r="C631" t="s">
        <v>6</v>
      </c>
    </row>
    <row r="632" spans="1:5" x14ac:dyDescent="0.25">
      <c r="A632" t="s">
        <v>106</v>
      </c>
      <c r="B632" t="s">
        <v>149</v>
      </c>
      <c r="C632" t="s">
        <v>7</v>
      </c>
    </row>
    <row r="633" spans="1:5" x14ac:dyDescent="0.25">
      <c r="A633" t="s">
        <v>106</v>
      </c>
      <c r="B633" t="s">
        <v>150</v>
      </c>
      <c r="C633" t="s">
        <v>8</v>
      </c>
      <c r="E633">
        <v>1045334</v>
      </c>
    </row>
    <row r="634" spans="1:5" x14ac:dyDescent="0.25">
      <c r="A634" t="s">
        <v>106</v>
      </c>
      <c r="B634" t="s">
        <v>189</v>
      </c>
      <c r="C634" t="s">
        <v>67</v>
      </c>
      <c r="E634">
        <v>728943</v>
      </c>
    </row>
    <row r="635" spans="1:5" x14ac:dyDescent="0.25">
      <c r="A635" t="s">
        <v>106</v>
      </c>
      <c r="B635" t="s">
        <v>190</v>
      </c>
      <c r="C635" t="s">
        <v>68</v>
      </c>
      <c r="E635">
        <v>316391</v>
      </c>
    </row>
    <row r="636" spans="1:5" x14ac:dyDescent="0.25">
      <c r="A636" t="s">
        <v>106</v>
      </c>
      <c r="B636" t="s">
        <v>151</v>
      </c>
      <c r="C636" t="s">
        <v>9</v>
      </c>
      <c r="D636">
        <v>303700</v>
      </c>
    </row>
    <row r="637" spans="1:5" x14ac:dyDescent="0.25">
      <c r="A637" t="s">
        <v>106</v>
      </c>
      <c r="B637" t="s">
        <v>152</v>
      </c>
      <c r="C637" t="s">
        <v>10</v>
      </c>
    </row>
    <row r="638" spans="1:5" x14ac:dyDescent="0.25">
      <c r="A638" t="s">
        <v>106</v>
      </c>
      <c r="B638" t="s">
        <v>153</v>
      </c>
      <c r="C638" t="s">
        <v>11</v>
      </c>
      <c r="D638">
        <v>741634</v>
      </c>
      <c r="E638">
        <v>741634</v>
      </c>
    </row>
    <row r="639" spans="1:5" x14ac:dyDescent="0.25">
      <c r="A639" t="s">
        <v>106</v>
      </c>
      <c r="B639" t="s">
        <v>154</v>
      </c>
      <c r="C639" t="s">
        <v>12</v>
      </c>
    </row>
    <row r="640" spans="1:5" x14ac:dyDescent="0.25">
      <c r="A640" t="s">
        <v>106</v>
      </c>
      <c r="B640" t="s">
        <v>155</v>
      </c>
      <c r="C640" t="s">
        <v>13</v>
      </c>
      <c r="D640">
        <v>94667</v>
      </c>
      <c r="E640">
        <v>1847729</v>
      </c>
    </row>
    <row r="641" spans="1:5" x14ac:dyDescent="0.25">
      <c r="A641" t="s">
        <v>106</v>
      </c>
      <c r="B641" t="s">
        <v>156</v>
      </c>
      <c r="C641" t="s">
        <v>69</v>
      </c>
      <c r="D641">
        <v>91148</v>
      </c>
      <c r="E641">
        <v>1454603</v>
      </c>
    </row>
    <row r="642" spans="1:5" x14ac:dyDescent="0.25">
      <c r="A642" t="s">
        <v>106</v>
      </c>
      <c r="B642" t="s">
        <v>135</v>
      </c>
      <c r="C642" t="s">
        <v>15</v>
      </c>
      <c r="D642">
        <v>3519</v>
      </c>
      <c r="E642">
        <v>393126</v>
      </c>
    </row>
    <row r="643" spans="1:5" x14ac:dyDescent="0.25">
      <c r="A643" t="s">
        <v>106</v>
      </c>
      <c r="B643" t="s">
        <v>157</v>
      </c>
      <c r="C643" t="s">
        <v>16</v>
      </c>
      <c r="D643">
        <v>3519</v>
      </c>
      <c r="E643">
        <v>338487</v>
      </c>
    </row>
    <row r="644" spans="1:5" x14ac:dyDescent="0.25">
      <c r="A644" t="s">
        <v>106</v>
      </c>
      <c r="B644" t="s">
        <v>158</v>
      </c>
      <c r="C644" t="s">
        <v>17</v>
      </c>
      <c r="E644">
        <v>54639</v>
      </c>
    </row>
    <row r="645" spans="1:5" x14ac:dyDescent="0.25">
      <c r="A645" t="s">
        <v>106</v>
      </c>
      <c r="B645" t="s">
        <v>159</v>
      </c>
      <c r="C645" t="s">
        <v>18</v>
      </c>
      <c r="D645">
        <v>-2200</v>
      </c>
    </row>
    <row r="646" spans="1:5" x14ac:dyDescent="0.25">
      <c r="A646" t="s">
        <v>106</v>
      </c>
      <c r="B646" t="s">
        <v>160</v>
      </c>
      <c r="C646" t="s">
        <v>19</v>
      </c>
      <c r="D646">
        <v>-2200</v>
      </c>
    </row>
    <row r="647" spans="1:5" x14ac:dyDescent="0.25">
      <c r="A647" t="s">
        <v>106</v>
      </c>
      <c r="B647" t="s">
        <v>161</v>
      </c>
      <c r="C647" t="s">
        <v>20</v>
      </c>
      <c r="D647">
        <v>285611</v>
      </c>
      <c r="E647">
        <v>285611</v>
      </c>
    </row>
    <row r="648" spans="1:5" x14ac:dyDescent="0.25">
      <c r="A648" t="s">
        <v>106</v>
      </c>
      <c r="B648" t="s">
        <v>162</v>
      </c>
      <c r="C648" t="s">
        <v>21</v>
      </c>
      <c r="D648">
        <v>363556</v>
      </c>
      <c r="E648">
        <v>363556</v>
      </c>
    </row>
    <row r="649" spans="1:5" x14ac:dyDescent="0.25">
      <c r="A649" t="s">
        <v>106</v>
      </c>
      <c r="B649" t="s">
        <v>163</v>
      </c>
      <c r="C649" t="s">
        <v>22</v>
      </c>
      <c r="D649">
        <v>250156</v>
      </c>
      <c r="E649">
        <v>638757</v>
      </c>
    </row>
    <row r="650" spans="1:5" x14ac:dyDescent="0.25">
      <c r="A650" t="s">
        <v>106</v>
      </c>
      <c r="B650" t="s">
        <v>140</v>
      </c>
      <c r="C650" t="s">
        <v>23</v>
      </c>
      <c r="D650">
        <v>249840</v>
      </c>
      <c r="E650">
        <v>332315</v>
      </c>
    </row>
    <row r="651" spans="1:5" x14ac:dyDescent="0.25">
      <c r="A651" t="s">
        <v>106</v>
      </c>
      <c r="B651" t="s">
        <v>164</v>
      </c>
      <c r="C651" t="s">
        <v>70</v>
      </c>
      <c r="E651">
        <v>253813</v>
      </c>
    </row>
    <row r="652" spans="1:5" x14ac:dyDescent="0.25">
      <c r="A652" t="s">
        <v>106</v>
      </c>
      <c r="B652" t="s">
        <v>191</v>
      </c>
      <c r="C652" t="s">
        <v>71</v>
      </c>
    </row>
    <row r="653" spans="1:5" x14ac:dyDescent="0.25">
      <c r="A653" t="s">
        <v>106</v>
      </c>
      <c r="B653" t="s">
        <v>133</v>
      </c>
      <c r="C653" t="s">
        <v>72</v>
      </c>
      <c r="E653">
        <v>52629</v>
      </c>
    </row>
    <row r="654" spans="1:5" x14ac:dyDescent="0.25">
      <c r="A654" t="s">
        <v>106</v>
      </c>
      <c r="B654" t="s">
        <v>192</v>
      </c>
      <c r="C654" t="s">
        <v>73</v>
      </c>
      <c r="E654">
        <v>4056</v>
      </c>
    </row>
    <row r="655" spans="1:5" x14ac:dyDescent="0.25">
      <c r="A655" t="s">
        <v>106</v>
      </c>
      <c r="B655" t="s">
        <v>193</v>
      </c>
      <c r="C655" t="s">
        <v>74</v>
      </c>
      <c r="E655">
        <v>40879</v>
      </c>
    </row>
    <row r="656" spans="1:5" x14ac:dyDescent="0.25">
      <c r="A656" t="s">
        <v>106</v>
      </c>
      <c r="B656" t="s">
        <v>194</v>
      </c>
      <c r="C656" t="s">
        <v>75</v>
      </c>
      <c r="E656">
        <v>7694</v>
      </c>
    </row>
    <row r="657" spans="1:5" x14ac:dyDescent="0.25">
      <c r="A657" t="s">
        <v>106</v>
      </c>
      <c r="B657" t="s">
        <v>166</v>
      </c>
      <c r="C657" t="s">
        <v>26</v>
      </c>
      <c r="D657">
        <v>316</v>
      </c>
    </row>
    <row r="658" spans="1:5" x14ac:dyDescent="0.25">
      <c r="A658" t="s">
        <v>106</v>
      </c>
      <c r="B658" t="s">
        <v>167</v>
      </c>
      <c r="C658" t="s">
        <v>27</v>
      </c>
      <c r="D658">
        <v>2885497</v>
      </c>
      <c r="E658">
        <v>2885497</v>
      </c>
    </row>
    <row r="659" spans="1:5" x14ac:dyDescent="0.25">
      <c r="A659" t="s">
        <v>106</v>
      </c>
      <c r="B659" t="s">
        <v>168</v>
      </c>
      <c r="C659" t="s">
        <v>28</v>
      </c>
      <c r="D659">
        <v>134117</v>
      </c>
    </row>
    <row r="660" spans="1:5" x14ac:dyDescent="0.25">
      <c r="A660" t="s">
        <v>106</v>
      </c>
      <c r="B660" t="s">
        <v>137</v>
      </c>
      <c r="C660" t="s">
        <v>29</v>
      </c>
      <c r="D660">
        <v>529663</v>
      </c>
    </row>
    <row r="661" spans="1:5" x14ac:dyDescent="0.25">
      <c r="A661" t="s">
        <v>106</v>
      </c>
      <c r="B661" t="s">
        <v>169</v>
      </c>
      <c r="C661" t="s">
        <v>30</v>
      </c>
      <c r="D661">
        <v>338487</v>
      </c>
    </row>
    <row r="662" spans="1:5" x14ac:dyDescent="0.25">
      <c r="A662" t="s">
        <v>106</v>
      </c>
      <c r="B662" t="s">
        <v>170</v>
      </c>
      <c r="C662" t="s">
        <v>31</v>
      </c>
      <c r="D662">
        <v>54639</v>
      </c>
    </row>
    <row r="663" spans="1:5" x14ac:dyDescent="0.25">
      <c r="A663" t="s">
        <v>106</v>
      </c>
      <c r="B663" t="s">
        <v>195</v>
      </c>
      <c r="C663" t="s">
        <v>76</v>
      </c>
      <c r="D663">
        <v>136537</v>
      </c>
    </row>
    <row r="664" spans="1:5" x14ac:dyDescent="0.25">
      <c r="A664" t="s">
        <v>106</v>
      </c>
      <c r="B664" t="s">
        <v>138</v>
      </c>
      <c r="C664" t="s">
        <v>33</v>
      </c>
      <c r="E664">
        <v>644810</v>
      </c>
    </row>
    <row r="665" spans="1:5" x14ac:dyDescent="0.25">
      <c r="A665" t="s">
        <v>106</v>
      </c>
      <c r="B665" t="s">
        <v>172</v>
      </c>
      <c r="C665" t="s">
        <v>34</v>
      </c>
      <c r="E665">
        <v>315695</v>
      </c>
    </row>
    <row r="666" spans="1:5" x14ac:dyDescent="0.25">
      <c r="A666" t="s">
        <v>106</v>
      </c>
      <c r="B666" t="s">
        <v>173</v>
      </c>
      <c r="C666" t="s">
        <v>35</v>
      </c>
      <c r="E666">
        <v>283445</v>
      </c>
    </row>
    <row r="667" spans="1:5" x14ac:dyDescent="0.25">
      <c r="A667" t="s">
        <v>106</v>
      </c>
      <c r="B667" t="s">
        <v>174</v>
      </c>
      <c r="C667" t="s">
        <v>36</v>
      </c>
      <c r="E667">
        <v>45670</v>
      </c>
    </row>
    <row r="668" spans="1:5" x14ac:dyDescent="0.25">
      <c r="A668" t="s">
        <v>106</v>
      </c>
      <c r="B668" t="s">
        <v>141</v>
      </c>
      <c r="C668" t="s">
        <v>37</v>
      </c>
      <c r="D668">
        <v>52635</v>
      </c>
      <c r="E668">
        <v>15047</v>
      </c>
    </row>
    <row r="669" spans="1:5" x14ac:dyDescent="0.25">
      <c r="A669" t="s">
        <v>106</v>
      </c>
      <c r="B669" t="s">
        <v>175</v>
      </c>
      <c r="C669" t="s">
        <v>38</v>
      </c>
      <c r="D669">
        <v>19194</v>
      </c>
    </row>
    <row r="670" spans="1:5" x14ac:dyDescent="0.25">
      <c r="A670" t="s">
        <v>106</v>
      </c>
      <c r="B670" t="s">
        <v>176</v>
      </c>
      <c r="C670" t="s">
        <v>39</v>
      </c>
      <c r="E670">
        <v>12905</v>
      </c>
    </row>
    <row r="671" spans="1:5" x14ac:dyDescent="0.25">
      <c r="A671" t="s">
        <v>106</v>
      </c>
      <c r="B671" t="s">
        <v>177</v>
      </c>
      <c r="C671" t="s">
        <v>77</v>
      </c>
    </row>
    <row r="672" spans="1:5" x14ac:dyDescent="0.25">
      <c r="A672" t="s">
        <v>106</v>
      </c>
      <c r="B672" t="s">
        <v>178</v>
      </c>
      <c r="C672" t="s">
        <v>78</v>
      </c>
    </row>
    <row r="673" spans="1:5" x14ac:dyDescent="0.25">
      <c r="A673" t="s">
        <v>106</v>
      </c>
      <c r="B673" t="s">
        <v>179</v>
      </c>
      <c r="C673" t="s">
        <v>42</v>
      </c>
      <c r="D673">
        <v>33441</v>
      </c>
      <c r="E673">
        <v>2142</v>
      </c>
    </row>
    <row r="674" spans="1:5" x14ac:dyDescent="0.25">
      <c r="A674" t="s">
        <v>106</v>
      </c>
      <c r="B674" t="s">
        <v>121</v>
      </c>
      <c r="C674" t="s">
        <v>79</v>
      </c>
      <c r="D674">
        <v>2828939</v>
      </c>
      <c r="E674">
        <v>2828939</v>
      </c>
    </row>
    <row r="675" spans="1:5" x14ac:dyDescent="0.25">
      <c r="A675" t="s">
        <v>106</v>
      </c>
      <c r="B675" t="s">
        <v>142</v>
      </c>
      <c r="C675" t="s">
        <v>44</v>
      </c>
      <c r="E675">
        <v>401770</v>
      </c>
    </row>
    <row r="676" spans="1:5" x14ac:dyDescent="0.25">
      <c r="A676" t="s">
        <v>106</v>
      </c>
      <c r="B676" t="s">
        <v>180</v>
      </c>
      <c r="C676" t="s">
        <v>45</v>
      </c>
      <c r="D676">
        <v>3230709</v>
      </c>
      <c r="E676">
        <v>3230709</v>
      </c>
    </row>
    <row r="677" spans="1:5" x14ac:dyDescent="0.25">
      <c r="A677" t="s">
        <v>106</v>
      </c>
      <c r="B677" t="s">
        <v>181</v>
      </c>
      <c r="C677" t="s">
        <v>46</v>
      </c>
      <c r="D677">
        <v>2975189</v>
      </c>
    </row>
    <row r="678" spans="1:5" x14ac:dyDescent="0.25">
      <c r="A678" t="s">
        <v>106</v>
      </c>
      <c r="B678" t="s">
        <v>122</v>
      </c>
      <c r="C678" t="s">
        <v>47</v>
      </c>
      <c r="D678">
        <v>2573419</v>
      </c>
    </row>
    <row r="679" spans="1:5" x14ac:dyDescent="0.25">
      <c r="A679" t="s">
        <v>106</v>
      </c>
      <c r="B679" t="s">
        <v>182</v>
      </c>
      <c r="C679" t="s">
        <v>80</v>
      </c>
      <c r="E679">
        <v>41271</v>
      </c>
    </row>
    <row r="680" spans="1:5" x14ac:dyDescent="0.25">
      <c r="A680" t="s">
        <v>106</v>
      </c>
      <c r="B680" t="s">
        <v>127</v>
      </c>
      <c r="C680" t="s">
        <v>49</v>
      </c>
      <c r="D680">
        <v>296791</v>
      </c>
    </row>
    <row r="681" spans="1:5" x14ac:dyDescent="0.25">
      <c r="A681" t="s">
        <v>106</v>
      </c>
      <c r="B681" t="s">
        <v>183</v>
      </c>
      <c r="C681" t="s">
        <v>50</v>
      </c>
    </row>
    <row r="682" spans="1:5" x14ac:dyDescent="0.25">
      <c r="A682" t="s">
        <v>106</v>
      </c>
      <c r="B682" t="s">
        <v>127</v>
      </c>
      <c r="C682" t="s">
        <v>49</v>
      </c>
      <c r="E682">
        <v>296791</v>
      </c>
    </row>
    <row r="683" spans="1:5" x14ac:dyDescent="0.25">
      <c r="A683" t="s">
        <v>106</v>
      </c>
      <c r="B683" t="s">
        <v>124</v>
      </c>
      <c r="C683" t="s">
        <v>51</v>
      </c>
      <c r="D683">
        <v>266481</v>
      </c>
    </row>
    <row r="684" spans="1:5" x14ac:dyDescent="0.25">
      <c r="A684" t="s">
        <v>106</v>
      </c>
      <c r="B684" t="s">
        <v>184</v>
      </c>
      <c r="C684" t="s">
        <v>52</v>
      </c>
    </row>
    <row r="685" spans="1:5" x14ac:dyDescent="0.25">
      <c r="A685" t="s">
        <v>106</v>
      </c>
      <c r="B685" t="s">
        <v>185</v>
      </c>
      <c r="C685" t="s">
        <v>53</v>
      </c>
    </row>
    <row r="686" spans="1:5" x14ac:dyDescent="0.25">
      <c r="A686" t="s">
        <v>106</v>
      </c>
      <c r="B686" t="s">
        <v>186</v>
      </c>
      <c r="C686" t="s">
        <v>54</v>
      </c>
      <c r="E686">
        <v>7387</v>
      </c>
    </row>
    <row r="687" spans="1:5" x14ac:dyDescent="0.25">
      <c r="A687" t="s">
        <v>106</v>
      </c>
      <c r="B687" t="s">
        <v>187</v>
      </c>
      <c r="C687" t="s">
        <v>55</v>
      </c>
      <c r="D687">
        <v>34618</v>
      </c>
    </row>
    <row r="688" spans="1:5" x14ac:dyDescent="0.25">
      <c r="A688" t="s">
        <v>106</v>
      </c>
      <c r="B688" t="s">
        <v>188</v>
      </c>
      <c r="C688" t="s">
        <v>56</v>
      </c>
      <c r="E688">
        <v>301099</v>
      </c>
    </row>
    <row r="689" spans="1:5" x14ac:dyDescent="0.25">
      <c r="A689" t="s">
        <v>106</v>
      </c>
      <c r="B689" t="s">
        <v>196</v>
      </c>
      <c r="C689" t="s">
        <v>81</v>
      </c>
      <c r="E689">
        <v>244978</v>
      </c>
    </row>
    <row r="690" spans="1:5" x14ac:dyDescent="0.25">
      <c r="A690" t="s">
        <v>106</v>
      </c>
      <c r="B690" t="s">
        <v>197</v>
      </c>
      <c r="C690" t="s">
        <v>82</v>
      </c>
    </row>
    <row r="691" spans="1:5" x14ac:dyDescent="0.25">
      <c r="A691" t="s">
        <v>106</v>
      </c>
      <c r="B691" t="s">
        <v>198</v>
      </c>
      <c r="C691" t="s">
        <v>83</v>
      </c>
    </row>
    <row r="692" spans="1:5" x14ac:dyDescent="0.25">
      <c r="A692" t="s">
        <v>106</v>
      </c>
      <c r="B692" t="s">
        <v>199</v>
      </c>
      <c r="C692" t="s">
        <v>84</v>
      </c>
    </row>
    <row r="693" spans="1:5" x14ac:dyDescent="0.25">
      <c r="A693" t="s">
        <v>106</v>
      </c>
      <c r="B693" t="s">
        <v>200</v>
      </c>
      <c r="C693" t="s">
        <v>85</v>
      </c>
    </row>
    <row r="694" spans="1:5" x14ac:dyDescent="0.25">
      <c r="A694" t="s">
        <v>106</v>
      </c>
      <c r="B694" t="s">
        <v>201</v>
      </c>
      <c r="C694" t="s">
        <v>86</v>
      </c>
    </row>
    <row r="695" spans="1:5" x14ac:dyDescent="0.25">
      <c r="A695" t="s">
        <v>106</v>
      </c>
      <c r="B695" t="s">
        <v>202</v>
      </c>
      <c r="C695" t="s">
        <v>87</v>
      </c>
    </row>
    <row r="696" spans="1:5" x14ac:dyDescent="0.25">
      <c r="A696" t="s">
        <v>106</v>
      </c>
      <c r="B696" t="s">
        <v>203</v>
      </c>
      <c r="C696" t="s">
        <v>88</v>
      </c>
    </row>
    <row r="697" spans="1:5" x14ac:dyDescent="0.25">
      <c r="A697" t="s">
        <v>106</v>
      </c>
      <c r="B697" t="s">
        <v>204</v>
      </c>
      <c r="C697" t="s">
        <v>89</v>
      </c>
    </row>
    <row r="698" spans="1:5" x14ac:dyDescent="0.25">
      <c r="A698" t="s">
        <v>106</v>
      </c>
      <c r="B698" t="s">
        <v>205</v>
      </c>
      <c r="C698" t="s">
        <v>90</v>
      </c>
      <c r="E698">
        <v>168853</v>
      </c>
    </row>
    <row r="699" spans="1:5" x14ac:dyDescent="0.25">
      <c r="A699" t="s">
        <v>106</v>
      </c>
      <c r="B699" t="s">
        <v>206</v>
      </c>
      <c r="C699" t="s">
        <v>88</v>
      </c>
      <c r="E699">
        <v>21764</v>
      </c>
    </row>
    <row r="700" spans="1:5" x14ac:dyDescent="0.25">
      <c r="A700" t="s">
        <v>106</v>
      </c>
      <c r="B700" t="s">
        <v>207</v>
      </c>
      <c r="C700" t="s">
        <v>89</v>
      </c>
      <c r="E700">
        <v>147089</v>
      </c>
    </row>
    <row r="701" spans="1:5" x14ac:dyDescent="0.25">
      <c r="A701" t="s">
        <v>106</v>
      </c>
      <c r="B701" t="s">
        <v>208</v>
      </c>
      <c r="C701" t="s">
        <v>91</v>
      </c>
    </row>
    <row r="702" spans="1:5" x14ac:dyDescent="0.25">
      <c r="A702" t="s">
        <v>106</v>
      </c>
      <c r="B702" t="s">
        <v>209</v>
      </c>
      <c r="C702" t="s">
        <v>92</v>
      </c>
    </row>
    <row r="703" spans="1:5" x14ac:dyDescent="0.25">
      <c r="A703" t="s">
        <v>106</v>
      </c>
      <c r="B703" t="s">
        <v>210</v>
      </c>
      <c r="C703" t="s">
        <v>93</v>
      </c>
    </row>
    <row r="704" spans="1:5" x14ac:dyDescent="0.25">
      <c r="A704" t="s">
        <v>106</v>
      </c>
      <c r="B704" t="s">
        <v>211</v>
      </c>
      <c r="C704" t="s">
        <v>94</v>
      </c>
    </row>
    <row r="705" spans="1:5" x14ac:dyDescent="0.25">
      <c r="A705" t="s">
        <v>106</v>
      </c>
      <c r="B705" t="s">
        <v>212</v>
      </c>
      <c r="C705" t="s">
        <v>95</v>
      </c>
    </row>
    <row r="706" spans="1:5" x14ac:dyDescent="0.25">
      <c r="A706" t="s">
        <v>106</v>
      </c>
      <c r="B706" t="s">
        <v>213</v>
      </c>
      <c r="C706" t="s">
        <v>96</v>
      </c>
    </row>
    <row r="707" spans="1:5" x14ac:dyDescent="0.25">
      <c r="A707" t="s">
        <v>106</v>
      </c>
      <c r="B707" t="s">
        <v>214</v>
      </c>
      <c r="C707" t="s">
        <v>97</v>
      </c>
    </row>
    <row r="708" spans="1:5" x14ac:dyDescent="0.25">
      <c r="A708" t="s">
        <v>106</v>
      </c>
      <c r="B708" t="s">
        <v>215</v>
      </c>
      <c r="C708" t="s">
        <v>98</v>
      </c>
    </row>
    <row r="709" spans="1:5" x14ac:dyDescent="0.25">
      <c r="A709" t="s">
        <v>106</v>
      </c>
      <c r="B709" t="s">
        <v>216</v>
      </c>
      <c r="C709" t="s">
        <v>99</v>
      </c>
    </row>
    <row r="710" spans="1:5" x14ac:dyDescent="0.25">
      <c r="A710" t="s">
        <v>106</v>
      </c>
      <c r="B710" t="s">
        <v>217</v>
      </c>
      <c r="C710" t="s">
        <v>100</v>
      </c>
      <c r="E710">
        <v>-270</v>
      </c>
    </row>
    <row r="711" spans="1:5" x14ac:dyDescent="0.25">
      <c r="A711" t="s">
        <v>106</v>
      </c>
      <c r="B711" t="s">
        <v>218</v>
      </c>
      <c r="C711" t="s">
        <v>101</v>
      </c>
      <c r="E711">
        <v>76395</v>
      </c>
    </row>
    <row r="712" spans="1:5" x14ac:dyDescent="0.25">
      <c r="A712" t="s">
        <v>106</v>
      </c>
      <c r="B712" t="s">
        <v>219</v>
      </c>
      <c r="C712" t="s">
        <v>102</v>
      </c>
      <c r="E712">
        <v>3144</v>
      </c>
    </row>
    <row r="713" spans="1:5" x14ac:dyDescent="0.25">
      <c r="A713" t="s">
        <v>106</v>
      </c>
      <c r="B713" t="s">
        <v>220</v>
      </c>
      <c r="C713" t="s">
        <v>103</v>
      </c>
      <c r="E713">
        <v>73251</v>
      </c>
    </row>
    <row r="714" spans="1:5" x14ac:dyDescent="0.25">
      <c r="A714" t="s">
        <v>106</v>
      </c>
      <c r="B714" t="s">
        <v>221</v>
      </c>
      <c r="C714" t="s">
        <v>104</v>
      </c>
      <c r="E714">
        <v>1242411</v>
      </c>
    </row>
    <row r="715" spans="1:5" x14ac:dyDescent="0.25">
      <c r="A715" t="s">
        <v>106</v>
      </c>
      <c r="B715" t="s">
        <v>222</v>
      </c>
      <c r="C715" t="s">
        <v>82</v>
      </c>
    </row>
    <row r="716" spans="1:5" x14ac:dyDescent="0.25">
      <c r="A716" t="s">
        <v>106</v>
      </c>
      <c r="B716" t="s">
        <v>223</v>
      </c>
      <c r="C716" t="s">
        <v>83</v>
      </c>
    </row>
    <row r="717" spans="1:5" x14ac:dyDescent="0.25">
      <c r="A717" t="s">
        <v>106</v>
      </c>
      <c r="B717" t="s">
        <v>224</v>
      </c>
      <c r="C717" t="s">
        <v>84</v>
      </c>
    </row>
    <row r="718" spans="1:5" x14ac:dyDescent="0.25">
      <c r="A718" t="s">
        <v>106</v>
      </c>
      <c r="B718" t="s">
        <v>225</v>
      </c>
      <c r="C718" t="s">
        <v>85</v>
      </c>
    </row>
    <row r="719" spans="1:5" x14ac:dyDescent="0.25">
      <c r="A719" t="s">
        <v>106</v>
      </c>
      <c r="B719" t="s">
        <v>226</v>
      </c>
      <c r="C719" t="s">
        <v>86</v>
      </c>
    </row>
    <row r="720" spans="1:5" x14ac:dyDescent="0.25">
      <c r="A720" t="s">
        <v>106</v>
      </c>
      <c r="B720" t="s">
        <v>227</v>
      </c>
      <c r="C720" t="s">
        <v>87</v>
      </c>
    </row>
    <row r="721" spans="1:5" x14ac:dyDescent="0.25">
      <c r="A721" t="s">
        <v>106</v>
      </c>
      <c r="B721" t="s">
        <v>228</v>
      </c>
      <c r="C721" t="s">
        <v>88</v>
      </c>
    </row>
    <row r="722" spans="1:5" x14ac:dyDescent="0.25">
      <c r="A722" t="s">
        <v>106</v>
      </c>
      <c r="B722" t="s">
        <v>229</v>
      </c>
      <c r="C722" t="s">
        <v>89</v>
      </c>
    </row>
    <row r="723" spans="1:5" x14ac:dyDescent="0.25">
      <c r="A723" t="s">
        <v>106</v>
      </c>
      <c r="B723" t="s">
        <v>230</v>
      </c>
      <c r="C723" t="s">
        <v>90</v>
      </c>
      <c r="E723">
        <v>886983</v>
      </c>
    </row>
    <row r="724" spans="1:5" x14ac:dyDescent="0.25">
      <c r="A724" t="s">
        <v>106</v>
      </c>
      <c r="B724" t="s">
        <v>231</v>
      </c>
      <c r="C724" t="s">
        <v>88</v>
      </c>
      <c r="E724">
        <v>137517</v>
      </c>
    </row>
    <row r="725" spans="1:5" x14ac:dyDescent="0.25">
      <c r="A725" t="s">
        <v>106</v>
      </c>
      <c r="B725" t="s">
        <v>232</v>
      </c>
      <c r="C725" t="s">
        <v>89</v>
      </c>
      <c r="E725">
        <v>749465</v>
      </c>
    </row>
    <row r="726" spans="1:5" x14ac:dyDescent="0.25">
      <c r="A726" t="s">
        <v>106</v>
      </c>
      <c r="B726" t="s">
        <v>233</v>
      </c>
      <c r="C726" t="s">
        <v>91</v>
      </c>
    </row>
    <row r="727" spans="1:5" x14ac:dyDescent="0.25">
      <c r="A727" t="s">
        <v>106</v>
      </c>
      <c r="B727" t="s">
        <v>234</v>
      </c>
      <c r="C727" t="s">
        <v>92</v>
      </c>
    </row>
    <row r="728" spans="1:5" x14ac:dyDescent="0.25">
      <c r="A728" t="s">
        <v>106</v>
      </c>
      <c r="B728" t="s">
        <v>235</v>
      </c>
      <c r="C728" t="s">
        <v>93</v>
      </c>
    </row>
    <row r="729" spans="1:5" x14ac:dyDescent="0.25">
      <c r="A729" t="s">
        <v>106</v>
      </c>
      <c r="B729" t="s">
        <v>236</v>
      </c>
      <c r="C729" t="s">
        <v>94</v>
      </c>
    </row>
    <row r="730" spans="1:5" x14ac:dyDescent="0.25">
      <c r="A730" t="s">
        <v>106</v>
      </c>
      <c r="B730" t="s">
        <v>237</v>
      </c>
      <c r="C730" t="s">
        <v>95</v>
      </c>
    </row>
    <row r="731" spans="1:5" x14ac:dyDescent="0.25">
      <c r="A731" t="s">
        <v>106</v>
      </c>
      <c r="B731" t="s">
        <v>238</v>
      </c>
      <c r="C731" t="s">
        <v>96</v>
      </c>
    </row>
    <row r="732" spans="1:5" x14ac:dyDescent="0.25">
      <c r="A732" t="s">
        <v>106</v>
      </c>
      <c r="B732" t="s">
        <v>239</v>
      </c>
      <c r="C732" t="s">
        <v>97</v>
      </c>
    </row>
    <row r="733" spans="1:5" x14ac:dyDescent="0.25">
      <c r="A733" t="s">
        <v>106</v>
      </c>
      <c r="B733" t="s">
        <v>240</v>
      </c>
      <c r="C733" t="s">
        <v>98</v>
      </c>
    </row>
    <row r="734" spans="1:5" x14ac:dyDescent="0.25">
      <c r="A734" t="s">
        <v>106</v>
      </c>
      <c r="B734" t="s">
        <v>241</v>
      </c>
      <c r="C734" t="s">
        <v>99</v>
      </c>
    </row>
    <row r="735" spans="1:5" x14ac:dyDescent="0.25">
      <c r="A735" t="s">
        <v>106</v>
      </c>
      <c r="B735" t="s">
        <v>242</v>
      </c>
      <c r="C735" t="s">
        <v>100</v>
      </c>
      <c r="E735">
        <v>1681</v>
      </c>
    </row>
    <row r="736" spans="1:5" x14ac:dyDescent="0.25">
      <c r="A736" t="s">
        <v>106</v>
      </c>
      <c r="B736" t="s">
        <v>243</v>
      </c>
      <c r="C736" t="s">
        <v>101</v>
      </c>
      <c r="E736">
        <v>353748</v>
      </c>
    </row>
    <row r="737" spans="1:5" x14ac:dyDescent="0.25">
      <c r="A737" t="s">
        <v>106</v>
      </c>
      <c r="B737" t="s">
        <v>244</v>
      </c>
      <c r="C737" t="s">
        <v>102</v>
      </c>
      <c r="E737">
        <v>14961</v>
      </c>
    </row>
    <row r="738" spans="1:5" x14ac:dyDescent="0.25">
      <c r="A738" t="s">
        <v>106</v>
      </c>
      <c r="B738" t="s">
        <v>245</v>
      </c>
      <c r="C738" t="s">
        <v>103</v>
      </c>
      <c r="E738">
        <v>338787</v>
      </c>
    </row>
    <row r="739" spans="1:5" x14ac:dyDescent="0.25">
      <c r="A739" t="s">
        <v>106</v>
      </c>
      <c r="B739" t="s">
        <v>246</v>
      </c>
      <c r="C739" t="s">
        <v>105</v>
      </c>
    </row>
    <row r="740" spans="1:5" x14ac:dyDescent="0.25">
      <c r="A740" t="s">
        <v>107</v>
      </c>
      <c r="B740" t="s">
        <v>148</v>
      </c>
      <c r="C740" t="s">
        <v>6</v>
      </c>
    </row>
    <row r="741" spans="1:5" x14ac:dyDescent="0.25">
      <c r="A741" t="s">
        <v>107</v>
      </c>
      <c r="B741" t="s">
        <v>149</v>
      </c>
      <c r="C741" t="s">
        <v>7</v>
      </c>
    </row>
    <row r="742" spans="1:5" x14ac:dyDescent="0.25">
      <c r="A742" t="s">
        <v>107</v>
      </c>
      <c r="B742" t="s">
        <v>150</v>
      </c>
      <c r="C742" t="s">
        <v>8</v>
      </c>
      <c r="E742">
        <v>1188573</v>
      </c>
    </row>
    <row r="743" spans="1:5" x14ac:dyDescent="0.25">
      <c r="A743" t="s">
        <v>107</v>
      </c>
      <c r="B743" t="s">
        <v>189</v>
      </c>
      <c r="C743" t="s">
        <v>67</v>
      </c>
      <c r="E743">
        <v>828891</v>
      </c>
    </row>
    <row r="744" spans="1:5" x14ac:dyDescent="0.25">
      <c r="A744" t="s">
        <v>107</v>
      </c>
      <c r="B744" t="s">
        <v>190</v>
      </c>
      <c r="C744" t="s">
        <v>68</v>
      </c>
      <c r="E744">
        <v>359682</v>
      </c>
    </row>
    <row r="745" spans="1:5" x14ac:dyDescent="0.25">
      <c r="A745" t="s">
        <v>107</v>
      </c>
      <c r="B745" t="s">
        <v>151</v>
      </c>
      <c r="C745" t="s">
        <v>9</v>
      </c>
      <c r="D745">
        <v>350848</v>
      </c>
    </row>
    <row r="746" spans="1:5" x14ac:dyDescent="0.25">
      <c r="A746" t="s">
        <v>107</v>
      </c>
      <c r="B746" t="s">
        <v>152</v>
      </c>
      <c r="C746" t="s">
        <v>10</v>
      </c>
    </row>
    <row r="747" spans="1:5" x14ac:dyDescent="0.25">
      <c r="A747" t="s">
        <v>107</v>
      </c>
      <c r="B747" t="s">
        <v>153</v>
      </c>
      <c r="C747" t="s">
        <v>11</v>
      </c>
      <c r="D747">
        <v>837725</v>
      </c>
      <c r="E747">
        <v>837725</v>
      </c>
    </row>
    <row r="748" spans="1:5" x14ac:dyDescent="0.25">
      <c r="A748" t="s">
        <v>107</v>
      </c>
      <c r="B748" t="s">
        <v>154</v>
      </c>
      <c r="C748" t="s">
        <v>12</v>
      </c>
    </row>
    <row r="749" spans="1:5" x14ac:dyDescent="0.25">
      <c r="A749" t="s">
        <v>107</v>
      </c>
      <c r="B749" t="s">
        <v>155</v>
      </c>
      <c r="C749" t="s">
        <v>13</v>
      </c>
      <c r="D749">
        <v>101493</v>
      </c>
      <c r="E749">
        <v>2059855</v>
      </c>
    </row>
    <row r="750" spans="1:5" x14ac:dyDescent="0.25">
      <c r="A750" t="s">
        <v>107</v>
      </c>
      <c r="B750" t="s">
        <v>156</v>
      </c>
      <c r="C750" t="s">
        <v>69</v>
      </c>
      <c r="D750">
        <v>97846</v>
      </c>
      <c r="E750">
        <v>1627984</v>
      </c>
    </row>
    <row r="751" spans="1:5" x14ac:dyDescent="0.25">
      <c r="A751" t="s">
        <v>107</v>
      </c>
      <c r="B751" t="s">
        <v>135</v>
      </c>
      <c r="C751" t="s">
        <v>15</v>
      </c>
      <c r="D751">
        <v>3647</v>
      </c>
      <c r="E751">
        <v>431871</v>
      </c>
    </row>
    <row r="752" spans="1:5" x14ac:dyDescent="0.25">
      <c r="A752" t="s">
        <v>107</v>
      </c>
      <c r="B752" t="s">
        <v>157</v>
      </c>
      <c r="C752" t="s">
        <v>16</v>
      </c>
      <c r="D752">
        <v>3647</v>
      </c>
      <c r="E752">
        <v>374647</v>
      </c>
    </row>
    <row r="753" spans="1:5" x14ac:dyDescent="0.25">
      <c r="A753" t="s">
        <v>107</v>
      </c>
      <c r="B753" t="s">
        <v>158</v>
      </c>
      <c r="C753" t="s">
        <v>17</v>
      </c>
      <c r="E753">
        <v>57224</v>
      </c>
    </row>
    <row r="754" spans="1:5" x14ac:dyDescent="0.25">
      <c r="A754" t="s">
        <v>107</v>
      </c>
      <c r="B754" t="s">
        <v>159</v>
      </c>
      <c r="C754" t="s">
        <v>18</v>
      </c>
      <c r="D754">
        <v>-2327</v>
      </c>
    </row>
    <row r="755" spans="1:5" x14ac:dyDescent="0.25">
      <c r="A755" t="s">
        <v>107</v>
      </c>
      <c r="B755" t="s">
        <v>160</v>
      </c>
      <c r="C755" t="s">
        <v>19</v>
      </c>
      <c r="D755">
        <v>-2327</v>
      </c>
    </row>
    <row r="756" spans="1:5" x14ac:dyDescent="0.25">
      <c r="A756" t="s">
        <v>107</v>
      </c>
      <c r="B756" t="s">
        <v>161</v>
      </c>
      <c r="C756" t="s">
        <v>20</v>
      </c>
      <c r="D756">
        <v>328008</v>
      </c>
      <c r="E756">
        <v>328008</v>
      </c>
    </row>
    <row r="757" spans="1:5" x14ac:dyDescent="0.25">
      <c r="A757" t="s">
        <v>107</v>
      </c>
      <c r="B757" t="s">
        <v>162</v>
      </c>
      <c r="C757" t="s">
        <v>21</v>
      </c>
      <c r="D757">
        <v>410551</v>
      </c>
      <c r="E757">
        <v>410551</v>
      </c>
    </row>
    <row r="758" spans="1:5" x14ac:dyDescent="0.25">
      <c r="A758" t="s">
        <v>107</v>
      </c>
      <c r="B758" t="s">
        <v>163</v>
      </c>
      <c r="C758" t="s">
        <v>22</v>
      </c>
      <c r="D758">
        <v>252869</v>
      </c>
      <c r="E758">
        <v>684459</v>
      </c>
    </row>
    <row r="759" spans="1:5" x14ac:dyDescent="0.25">
      <c r="A759" t="s">
        <v>107</v>
      </c>
      <c r="B759" t="s">
        <v>140</v>
      </c>
      <c r="C759" t="s">
        <v>23</v>
      </c>
      <c r="D759">
        <v>252365</v>
      </c>
      <c r="E759">
        <v>337723</v>
      </c>
    </row>
    <row r="760" spans="1:5" x14ac:dyDescent="0.25">
      <c r="A760" t="s">
        <v>107</v>
      </c>
      <c r="B760" t="s">
        <v>164</v>
      </c>
      <c r="C760" t="s">
        <v>70</v>
      </c>
      <c r="E760">
        <v>266467</v>
      </c>
    </row>
    <row r="761" spans="1:5" x14ac:dyDescent="0.25">
      <c r="A761" t="s">
        <v>107</v>
      </c>
      <c r="B761" t="s">
        <v>191</v>
      </c>
      <c r="C761" t="s">
        <v>71</v>
      </c>
    </row>
    <row r="762" spans="1:5" x14ac:dyDescent="0.25">
      <c r="A762" t="s">
        <v>107</v>
      </c>
      <c r="B762" t="s">
        <v>133</v>
      </c>
      <c r="C762" t="s">
        <v>72</v>
      </c>
      <c r="E762">
        <v>80269</v>
      </c>
    </row>
    <row r="763" spans="1:5" x14ac:dyDescent="0.25">
      <c r="A763" t="s">
        <v>107</v>
      </c>
      <c r="B763" t="s">
        <v>192</v>
      </c>
      <c r="C763" t="s">
        <v>73</v>
      </c>
      <c r="E763">
        <v>5027</v>
      </c>
    </row>
    <row r="764" spans="1:5" x14ac:dyDescent="0.25">
      <c r="A764" t="s">
        <v>107</v>
      </c>
      <c r="B764" t="s">
        <v>193</v>
      </c>
      <c r="C764" t="s">
        <v>74</v>
      </c>
      <c r="E764">
        <v>62648</v>
      </c>
    </row>
    <row r="765" spans="1:5" x14ac:dyDescent="0.25">
      <c r="A765" t="s">
        <v>107</v>
      </c>
      <c r="B765" t="s">
        <v>194</v>
      </c>
      <c r="C765" t="s">
        <v>75</v>
      </c>
      <c r="E765">
        <v>12594</v>
      </c>
    </row>
    <row r="766" spans="1:5" x14ac:dyDescent="0.25">
      <c r="A766" t="s">
        <v>107</v>
      </c>
      <c r="B766" t="s">
        <v>166</v>
      </c>
      <c r="C766" t="s">
        <v>26</v>
      </c>
      <c r="D766">
        <v>504</v>
      </c>
    </row>
    <row r="767" spans="1:5" x14ac:dyDescent="0.25">
      <c r="A767" t="s">
        <v>107</v>
      </c>
      <c r="B767" t="s">
        <v>167</v>
      </c>
      <c r="C767" t="s">
        <v>27</v>
      </c>
      <c r="D767">
        <v>3230004</v>
      </c>
      <c r="E767">
        <v>3230004</v>
      </c>
    </row>
    <row r="768" spans="1:5" x14ac:dyDescent="0.25">
      <c r="A768" t="s">
        <v>107</v>
      </c>
      <c r="B768" t="s">
        <v>168</v>
      </c>
      <c r="C768" t="s">
        <v>28</v>
      </c>
      <c r="D768">
        <v>149388</v>
      </c>
    </row>
    <row r="769" spans="1:5" x14ac:dyDescent="0.25">
      <c r="A769" t="s">
        <v>107</v>
      </c>
      <c r="B769" t="s">
        <v>137</v>
      </c>
      <c r="C769" t="s">
        <v>29</v>
      </c>
      <c r="D769">
        <v>599944</v>
      </c>
    </row>
    <row r="770" spans="1:5" x14ac:dyDescent="0.25">
      <c r="A770" t="s">
        <v>107</v>
      </c>
      <c r="B770" t="s">
        <v>169</v>
      </c>
      <c r="C770" t="s">
        <v>30</v>
      </c>
      <c r="D770">
        <v>374647</v>
      </c>
    </row>
    <row r="771" spans="1:5" x14ac:dyDescent="0.25">
      <c r="A771" t="s">
        <v>107</v>
      </c>
      <c r="B771" t="s">
        <v>170</v>
      </c>
      <c r="C771" t="s">
        <v>31</v>
      </c>
      <c r="D771">
        <v>57224</v>
      </c>
    </row>
    <row r="772" spans="1:5" x14ac:dyDescent="0.25">
      <c r="A772" t="s">
        <v>107</v>
      </c>
      <c r="B772" t="s">
        <v>195</v>
      </c>
      <c r="C772" t="s">
        <v>76</v>
      </c>
      <c r="D772">
        <v>168073</v>
      </c>
    </row>
    <row r="773" spans="1:5" x14ac:dyDescent="0.25">
      <c r="A773" t="s">
        <v>107</v>
      </c>
      <c r="B773" t="s">
        <v>138</v>
      </c>
      <c r="C773" t="s">
        <v>33</v>
      </c>
      <c r="E773">
        <v>721459</v>
      </c>
    </row>
    <row r="774" spans="1:5" x14ac:dyDescent="0.25">
      <c r="A774" t="s">
        <v>107</v>
      </c>
      <c r="B774" t="s">
        <v>172</v>
      </c>
      <c r="C774" t="s">
        <v>34</v>
      </c>
      <c r="E774">
        <v>357722</v>
      </c>
    </row>
    <row r="775" spans="1:5" x14ac:dyDescent="0.25">
      <c r="A775" t="s">
        <v>107</v>
      </c>
      <c r="B775" t="s">
        <v>173</v>
      </c>
      <c r="C775" t="s">
        <v>35</v>
      </c>
      <c r="E775">
        <v>307869</v>
      </c>
    </row>
    <row r="776" spans="1:5" x14ac:dyDescent="0.25">
      <c r="A776" t="s">
        <v>107</v>
      </c>
      <c r="B776" t="s">
        <v>174</v>
      </c>
      <c r="C776" t="s">
        <v>36</v>
      </c>
      <c r="E776">
        <v>55868</v>
      </c>
    </row>
    <row r="777" spans="1:5" x14ac:dyDescent="0.25">
      <c r="A777" t="s">
        <v>107</v>
      </c>
      <c r="B777" t="s">
        <v>141</v>
      </c>
      <c r="C777" t="s">
        <v>37</v>
      </c>
      <c r="D777">
        <v>66769</v>
      </c>
      <c r="E777">
        <v>25851</v>
      </c>
    </row>
    <row r="778" spans="1:5" x14ac:dyDescent="0.25">
      <c r="A778" t="s">
        <v>107</v>
      </c>
      <c r="B778" t="s">
        <v>175</v>
      </c>
      <c r="C778" t="s">
        <v>38</v>
      </c>
      <c r="D778">
        <v>23588</v>
      </c>
    </row>
    <row r="779" spans="1:5" x14ac:dyDescent="0.25">
      <c r="A779" t="s">
        <v>107</v>
      </c>
      <c r="B779" t="s">
        <v>176</v>
      </c>
      <c r="C779" t="s">
        <v>39</v>
      </c>
      <c r="E779">
        <v>15860</v>
      </c>
    </row>
    <row r="780" spans="1:5" x14ac:dyDescent="0.25">
      <c r="A780" t="s">
        <v>107</v>
      </c>
      <c r="B780" t="s">
        <v>177</v>
      </c>
      <c r="C780" t="s">
        <v>77</v>
      </c>
    </row>
    <row r="781" spans="1:5" x14ac:dyDescent="0.25">
      <c r="A781" t="s">
        <v>107</v>
      </c>
      <c r="B781" t="s">
        <v>178</v>
      </c>
      <c r="C781" t="s">
        <v>78</v>
      </c>
    </row>
    <row r="782" spans="1:5" x14ac:dyDescent="0.25">
      <c r="A782" t="s">
        <v>107</v>
      </c>
      <c r="B782" t="s">
        <v>179</v>
      </c>
      <c r="C782" t="s">
        <v>42</v>
      </c>
      <c r="D782">
        <v>43181</v>
      </c>
      <c r="E782">
        <v>9991</v>
      </c>
    </row>
    <row r="783" spans="1:5" x14ac:dyDescent="0.25">
      <c r="A783" t="s">
        <v>107</v>
      </c>
      <c r="B783" t="s">
        <v>121</v>
      </c>
      <c r="C783" t="s">
        <v>79</v>
      </c>
      <c r="D783">
        <v>3161213</v>
      </c>
      <c r="E783">
        <v>3161213</v>
      </c>
    </row>
    <row r="784" spans="1:5" x14ac:dyDescent="0.25">
      <c r="A784" t="s">
        <v>107</v>
      </c>
      <c r="B784" t="s">
        <v>142</v>
      </c>
      <c r="C784" t="s">
        <v>44</v>
      </c>
      <c r="E784">
        <v>436501</v>
      </c>
    </row>
    <row r="785" spans="1:5" x14ac:dyDescent="0.25">
      <c r="A785" t="s">
        <v>107</v>
      </c>
      <c r="B785" t="s">
        <v>180</v>
      </c>
      <c r="C785" t="s">
        <v>45</v>
      </c>
      <c r="D785">
        <v>3597714</v>
      </c>
      <c r="E785">
        <v>3597714</v>
      </c>
    </row>
    <row r="786" spans="1:5" x14ac:dyDescent="0.25">
      <c r="A786" t="s">
        <v>107</v>
      </c>
      <c r="B786" t="s">
        <v>181</v>
      </c>
      <c r="C786" t="s">
        <v>46</v>
      </c>
      <c r="D786">
        <v>3320430</v>
      </c>
    </row>
    <row r="787" spans="1:5" x14ac:dyDescent="0.25">
      <c r="A787" t="s">
        <v>107</v>
      </c>
      <c r="B787" t="s">
        <v>122</v>
      </c>
      <c r="C787" t="s">
        <v>47</v>
      </c>
      <c r="D787">
        <v>2883929</v>
      </c>
    </row>
    <row r="788" spans="1:5" x14ac:dyDescent="0.25">
      <c r="A788" t="s">
        <v>107</v>
      </c>
      <c r="B788" t="s">
        <v>182</v>
      </c>
      <c r="C788" t="s">
        <v>80</v>
      </c>
      <c r="E788">
        <v>66362</v>
      </c>
    </row>
    <row r="789" spans="1:5" x14ac:dyDescent="0.25">
      <c r="A789" t="s">
        <v>107</v>
      </c>
      <c r="B789" t="s">
        <v>127</v>
      </c>
      <c r="C789" t="s">
        <v>49</v>
      </c>
      <c r="D789">
        <v>343646</v>
      </c>
    </row>
    <row r="790" spans="1:5" x14ac:dyDescent="0.25">
      <c r="A790" t="s">
        <v>107</v>
      </c>
      <c r="B790" t="s">
        <v>183</v>
      </c>
      <c r="C790" t="s">
        <v>50</v>
      </c>
    </row>
    <row r="791" spans="1:5" x14ac:dyDescent="0.25">
      <c r="A791" t="s">
        <v>107</v>
      </c>
      <c r="B791" t="s">
        <v>127</v>
      </c>
      <c r="C791" t="s">
        <v>49</v>
      </c>
      <c r="E791">
        <v>343646</v>
      </c>
    </row>
    <row r="792" spans="1:5" x14ac:dyDescent="0.25">
      <c r="A792" t="s">
        <v>107</v>
      </c>
      <c r="B792" t="s">
        <v>124</v>
      </c>
      <c r="C792" t="s">
        <v>51</v>
      </c>
      <c r="D792">
        <v>316948</v>
      </c>
    </row>
    <row r="793" spans="1:5" x14ac:dyDescent="0.25">
      <c r="A793" t="s">
        <v>107</v>
      </c>
      <c r="B793" t="s">
        <v>184</v>
      </c>
      <c r="C793" t="s">
        <v>52</v>
      </c>
    </row>
    <row r="794" spans="1:5" x14ac:dyDescent="0.25">
      <c r="A794" t="s">
        <v>107</v>
      </c>
      <c r="B794" t="s">
        <v>185</v>
      </c>
      <c r="C794" t="s">
        <v>53</v>
      </c>
    </row>
    <row r="795" spans="1:5" x14ac:dyDescent="0.25">
      <c r="A795" t="s">
        <v>107</v>
      </c>
      <c r="B795" t="s">
        <v>186</v>
      </c>
      <c r="C795" t="s">
        <v>54</v>
      </c>
      <c r="E795">
        <v>11528</v>
      </c>
    </row>
    <row r="796" spans="1:5" x14ac:dyDescent="0.25">
      <c r="A796" t="s">
        <v>107</v>
      </c>
      <c r="B796" t="s">
        <v>187</v>
      </c>
      <c r="C796" t="s">
        <v>55</v>
      </c>
      <c r="D796">
        <v>34513</v>
      </c>
    </row>
    <row r="797" spans="1:5" x14ac:dyDescent="0.25">
      <c r="A797" t="s">
        <v>107</v>
      </c>
      <c r="B797" t="s">
        <v>188</v>
      </c>
      <c r="C797" t="s">
        <v>56</v>
      </c>
      <c r="E797">
        <v>351461</v>
      </c>
    </row>
    <row r="798" spans="1:5" x14ac:dyDescent="0.25">
      <c r="A798" t="s">
        <v>107</v>
      </c>
      <c r="B798" t="s">
        <v>196</v>
      </c>
      <c r="C798" t="s">
        <v>81</v>
      </c>
      <c r="E798">
        <v>307595</v>
      </c>
    </row>
    <row r="799" spans="1:5" x14ac:dyDescent="0.25">
      <c r="A799" t="s">
        <v>107</v>
      </c>
      <c r="B799" t="s">
        <v>197</v>
      </c>
      <c r="C799" t="s">
        <v>82</v>
      </c>
    </row>
    <row r="800" spans="1:5" x14ac:dyDescent="0.25">
      <c r="A800" t="s">
        <v>107</v>
      </c>
      <c r="B800" t="s">
        <v>198</v>
      </c>
      <c r="C800" t="s">
        <v>83</v>
      </c>
    </row>
    <row r="801" spans="1:5" x14ac:dyDescent="0.25">
      <c r="A801" t="s">
        <v>107</v>
      </c>
      <c r="B801" t="s">
        <v>199</v>
      </c>
      <c r="C801" t="s">
        <v>84</v>
      </c>
    </row>
    <row r="802" spans="1:5" x14ac:dyDescent="0.25">
      <c r="A802" t="s">
        <v>107</v>
      </c>
      <c r="B802" t="s">
        <v>200</v>
      </c>
      <c r="C802" t="s">
        <v>85</v>
      </c>
    </row>
    <row r="803" spans="1:5" x14ac:dyDescent="0.25">
      <c r="A803" t="s">
        <v>107</v>
      </c>
      <c r="B803" t="s">
        <v>201</v>
      </c>
      <c r="C803" t="s">
        <v>86</v>
      </c>
    </row>
    <row r="804" spans="1:5" x14ac:dyDescent="0.25">
      <c r="A804" t="s">
        <v>107</v>
      </c>
      <c r="B804" t="s">
        <v>202</v>
      </c>
      <c r="C804" t="s">
        <v>87</v>
      </c>
    </row>
    <row r="805" spans="1:5" x14ac:dyDescent="0.25">
      <c r="A805" t="s">
        <v>107</v>
      </c>
      <c r="B805" t="s">
        <v>203</v>
      </c>
      <c r="C805" t="s">
        <v>88</v>
      </c>
    </row>
    <row r="806" spans="1:5" x14ac:dyDescent="0.25">
      <c r="A806" t="s">
        <v>107</v>
      </c>
      <c r="B806" t="s">
        <v>204</v>
      </c>
      <c r="C806" t="s">
        <v>89</v>
      </c>
    </row>
    <row r="807" spans="1:5" x14ac:dyDescent="0.25">
      <c r="A807" t="s">
        <v>107</v>
      </c>
      <c r="B807" t="s">
        <v>205</v>
      </c>
      <c r="C807" t="s">
        <v>90</v>
      </c>
      <c r="E807">
        <v>192242</v>
      </c>
    </row>
    <row r="808" spans="1:5" x14ac:dyDescent="0.25">
      <c r="A808" t="s">
        <v>107</v>
      </c>
      <c r="B808" t="s">
        <v>206</v>
      </c>
      <c r="C808" t="s">
        <v>88</v>
      </c>
      <c r="E808">
        <v>20052</v>
      </c>
    </row>
    <row r="809" spans="1:5" x14ac:dyDescent="0.25">
      <c r="A809" t="s">
        <v>107</v>
      </c>
      <c r="B809" t="s">
        <v>207</v>
      </c>
      <c r="C809" t="s">
        <v>89</v>
      </c>
      <c r="E809">
        <v>172190</v>
      </c>
    </row>
    <row r="810" spans="1:5" x14ac:dyDescent="0.25">
      <c r="A810" t="s">
        <v>107</v>
      </c>
      <c r="B810" t="s">
        <v>208</v>
      </c>
      <c r="C810" t="s">
        <v>91</v>
      </c>
    </row>
    <row r="811" spans="1:5" x14ac:dyDescent="0.25">
      <c r="A811" t="s">
        <v>107</v>
      </c>
      <c r="B811" t="s">
        <v>209</v>
      </c>
      <c r="C811" t="s">
        <v>92</v>
      </c>
    </row>
    <row r="812" spans="1:5" x14ac:dyDescent="0.25">
      <c r="A812" t="s">
        <v>107</v>
      </c>
      <c r="B812" t="s">
        <v>210</v>
      </c>
      <c r="C812" t="s">
        <v>93</v>
      </c>
    </row>
    <row r="813" spans="1:5" x14ac:dyDescent="0.25">
      <c r="A813" t="s">
        <v>107</v>
      </c>
      <c r="B813" t="s">
        <v>211</v>
      </c>
      <c r="C813" t="s">
        <v>94</v>
      </c>
    </row>
    <row r="814" spans="1:5" x14ac:dyDescent="0.25">
      <c r="A814" t="s">
        <v>107</v>
      </c>
      <c r="B814" t="s">
        <v>212</v>
      </c>
      <c r="C814" t="s">
        <v>95</v>
      </c>
    </row>
    <row r="815" spans="1:5" x14ac:dyDescent="0.25">
      <c r="A815" t="s">
        <v>107</v>
      </c>
      <c r="B815" t="s">
        <v>213</v>
      </c>
      <c r="C815" t="s">
        <v>96</v>
      </c>
    </row>
    <row r="816" spans="1:5" x14ac:dyDescent="0.25">
      <c r="A816" t="s">
        <v>107</v>
      </c>
      <c r="B816" t="s">
        <v>214</v>
      </c>
      <c r="C816" t="s">
        <v>97</v>
      </c>
    </row>
    <row r="817" spans="1:5" x14ac:dyDescent="0.25">
      <c r="A817" t="s">
        <v>107</v>
      </c>
      <c r="B817" t="s">
        <v>215</v>
      </c>
      <c r="C817" t="s">
        <v>98</v>
      </c>
    </row>
    <row r="818" spans="1:5" x14ac:dyDescent="0.25">
      <c r="A818" t="s">
        <v>107</v>
      </c>
      <c r="B818" t="s">
        <v>216</v>
      </c>
      <c r="C818" t="s">
        <v>99</v>
      </c>
    </row>
    <row r="819" spans="1:5" x14ac:dyDescent="0.25">
      <c r="A819" t="s">
        <v>107</v>
      </c>
      <c r="B819" t="s">
        <v>217</v>
      </c>
      <c r="C819" t="s">
        <v>100</v>
      </c>
      <c r="E819">
        <v>625</v>
      </c>
    </row>
    <row r="820" spans="1:5" x14ac:dyDescent="0.25">
      <c r="A820" t="s">
        <v>107</v>
      </c>
      <c r="B820" t="s">
        <v>218</v>
      </c>
      <c r="C820" t="s">
        <v>101</v>
      </c>
      <c r="E820">
        <v>114728</v>
      </c>
    </row>
    <row r="821" spans="1:5" x14ac:dyDescent="0.25">
      <c r="A821" t="s">
        <v>107</v>
      </c>
      <c r="B821" t="s">
        <v>219</v>
      </c>
      <c r="C821" t="s">
        <v>102</v>
      </c>
      <c r="E821">
        <v>4196</v>
      </c>
    </row>
    <row r="822" spans="1:5" x14ac:dyDescent="0.25">
      <c r="A822" t="s">
        <v>107</v>
      </c>
      <c r="B822" t="s">
        <v>220</v>
      </c>
      <c r="C822" t="s">
        <v>103</v>
      </c>
      <c r="E822">
        <v>110532</v>
      </c>
    </row>
    <row r="823" spans="1:5" x14ac:dyDescent="0.25">
      <c r="A823" t="s">
        <v>107</v>
      </c>
      <c r="B823" t="s">
        <v>221</v>
      </c>
      <c r="C823" t="s">
        <v>104</v>
      </c>
      <c r="E823">
        <v>1472287</v>
      </c>
    </row>
    <row r="824" spans="1:5" x14ac:dyDescent="0.25">
      <c r="A824" t="s">
        <v>107</v>
      </c>
      <c r="B824" t="s">
        <v>222</v>
      </c>
      <c r="C824" t="s">
        <v>82</v>
      </c>
    </row>
    <row r="825" spans="1:5" x14ac:dyDescent="0.25">
      <c r="A825" t="s">
        <v>107</v>
      </c>
      <c r="B825" t="s">
        <v>223</v>
      </c>
      <c r="C825" t="s">
        <v>83</v>
      </c>
    </row>
    <row r="826" spans="1:5" x14ac:dyDescent="0.25">
      <c r="A826" t="s">
        <v>107</v>
      </c>
      <c r="B826" t="s">
        <v>224</v>
      </c>
      <c r="C826" t="s">
        <v>84</v>
      </c>
    </row>
    <row r="827" spans="1:5" x14ac:dyDescent="0.25">
      <c r="A827" t="s">
        <v>107</v>
      </c>
      <c r="B827" t="s">
        <v>225</v>
      </c>
      <c r="C827" t="s">
        <v>85</v>
      </c>
    </row>
    <row r="828" spans="1:5" x14ac:dyDescent="0.25">
      <c r="A828" t="s">
        <v>107</v>
      </c>
      <c r="B828" t="s">
        <v>226</v>
      </c>
      <c r="C828" t="s">
        <v>86</v>
      </c>
    </row>
    <row r="829" spans="1:5" x14ac:dyDescent="0.25">
      <c r="A829" t="s">
        <v>107</v>
      </c>
      <c r="B829" t="s">
        <v>227</v>
      </c>
      <c r="C829" t="s">
        <v>87</v>
      </c>
    </row>
    <row r="830" spans="1:5" x14ac:dyDescent="0.25">
      <c r="A830" t="s">
        <v>107</v>
      </c>
      <c r="B830" t="s">
        <v>228</v>
      </c>
      <c r="C830" t="s">
        <v>88</v>
      </c>
    </row>
    <row r="831" spans="1:5" x14ac:dyDescent="0.25">
      <c r="A831" t="s">
        <v>107</v>
      </c>
      <c r="B831" t="s">
        <v>229</v>
      </c>
      <c r="C831" t="s">
        <v>89</v>
      </c>
    </row>
    <row r="832" spans="1:5" x14ac:dyDescent="0.25">
      <c r="A832" t="s">
        <v>107</v>
      </c>
      <c r="B832" t="s">
        <v>230</v>
      </c>
      <c r="C832" t="s">
        <v>90</v>
      </c>
      <c r="E832">
        <v>1049113</v>
      </c>
    </row>
    <row r="833" spans="1:5" x14ac:dyDescent="0.25">
      <c r="A833" t="s">
        <v>107</v>
      </c>
      <c r="B833" t="s">
        <v>231</v>
      </c>
      <c r="C833" t="s">
        <v>88</v>
      </c>
      <c r="E833">
        <v>159139</v>
      </c>
    </row>
    <row r="834" spans="1:5" x14ac:dyDescent="0.25">
      <c r="A834" t="s">
        <v>107</v>
      </c>
      <c r="B834" t="s">
        <v>232</v>
      </c>
      <c r="C834" t="s">
        <v>89</v>
      </c>
      <c r="E834">
        <v>889974</v>
      </c>
    </row>
    <row r="835" spans="1:5" x14ac:dyDescent="0.25">
      <c r="A835" t="s">
        <v>107</v>
      </c>
      <c r="B835" t="s">
        <v>233</v>
      </c>
      <c r="C835" t="s">
        <v>91</v>
      </c>
    </row>
    <row r="836" spans="1:5" x14ac:dyDescent="0.25">
      <c r="A836" t="s">
        <v>107</v>
      </c>
      <c r="B836" t="s">
        <v>234</v>
      </c>
      <c r="C836" t="s">
        <v>92</v>
      </c>
    </row>
    <row r="837" spans="1:5" x14ac:dyDescent="0.25">
      <c r="A837" t="s">
        <v>107</v>
      </c>
      <c r="B837" t="s">
        <v>235</v>
      </c>
      <c r="C837" t="s">
        <v>93</v>
      </c>
    </row>
    <row r="838" spans="1:5" x14ac:dyDescent="0.25">
      <c r="A838" t="s">
        <v>107</v>
      </c>
      <c r="B838" t="s">
        <v>236</v>
      </c>
      <c r="C838" t="s">
        <v>94</v>
      </c>
    </row>
    <row r="839" spans="1:5" x14ac:dyDescent="0.25">
      <c r="A839" t="s">
        <v>107</v>
      </c>
      <c r="B839" t="s">
        <v>237</v>
      </c>
      <c r="C839" t="s">
        <v>95</v>
      </c>
    </row>
    <row r="840" spans="1:5" x14ac:dyDescent="0.25">
      <c r="A840" t="s">
        <v>107</v>
      </c>
      <c r="B840" t="s">
        <v>238</v>
      </c>
      <c r="C840" t="s">
        <v>96</v>
      </c>
    </row>
    <row r="841" spans="1:5" x14ac:dyDescent="0.25">
      <c r="A841" t="s">
        <v>107</v>
      </c>
      <c r="B841" t="s">
        <v>239</v>
      </c>
      <c r="C841" t="s">
        <v>97</v>
      </c>
    </row>
    <row r="842" spans="1:5" x14ac:dyDescent="0.25">
      <c r="A842" t="s">
        <v>107</v>
      </c>
      <c r="B842" t="s">
        <v>240</v>
      </c>
      <c r="C842" t="s">
        <v>98</v>
      </c>
    </row>
    <row r="843" spans="1:5" x14ac:dyDescent="0.25">
      <c r="A843" t="s">
        <v>107</v>
      </c>
      <c r="B843" t="s">
        <v>241</v>
      </c>
      <c r="C843" t="s">
        <v>99</v>
      </c>
    </row>
    <row r="844" spans="1:5" x14ac:dyDescent="0.25">
      <c r="A844" t="s">
        <v>107</v>
      </c>
      <c r="B844" t="s">
        <v>242</v>
      </c>
      <c r="C844" t="s">
        <v>100</v>
      </c>
      <c r="E844">
        <v>1411</v>
      </c>
    </row>
    <row r="845" spans="1:5" x14ac:dyDescent="0.25">
      <c r="A845" t="s">
        <v>107</v>
      </c>
      <c r="B845" t="s">
        <v>243</v>
      </c>
      <c r="C845" t="s">
        <v>101</v>
      </c>
      <c r="E845">
        <v>421763</v>
      </c>
    </row>
    <row r="846" spans="1:5" x14ac:dyDescent="0.25">
      <c r="A846" t="s">
        <v>107</v>
      </c>
      <c r="B846" t="s">
        <v>244</v>
      </c>
      <c r="C846" t="s">
        <v>102</v>
      </c>
      <c r="E846">
        <v>18057</v>
      </c>
    </row>
    <row r="847" spans="1:5" x14ac:dyDescent="0.25">
      <c r="A847" t="s">
        <v>107</v>
      </c>
      <c r="B847" t="s">
        <v>245</v>
      </c>
      <c r="C847" t="s">
        <v>103</v>
      </c>
      <c r="E847">
        <v>403706</v>
      </c>
    </row>
    <row r="848" spans="1:5" x14ac:dyDescent="0.25">
      <c r="A848" t="s">
        <v>107</v>
      </c>
      <c r="B848" t="s">
        <v>246</v>
      </c>
      <c r="C848" t="s">
        <v>105</v>
      </c>
    </row>
    <row r="849" spans="1:5" x14ac:dyDescent="0.25">
      <c r="A849" t="s">
        <v>108</v>
      </c>
      <c r="B849" t="s">
        <v>148</v>
      </c>
      <c r="C849" t="s">
        <v>6</v>
      </c>
    </row>
    <row r="850" spans="1:5" x14ac:dyDescent="0.25">
      <c r="A850" t="s">
        <v>108</v>
      </c>
      <c r="B850" t="s">
        <v>149</v>
      </c>
      <c r="C850" t="s">
        <v>7</v>
      </c>
    </row>
    <row r="851" spans="1:5" x14ac:dyDescent="0.25">
      <c r="A851" t="s">
        <v>108</v>
      </c>
      <c r="B851" t="s">
        <v>150</v>
      </c>
      <c r="C851" t="s">
        <v>8</v>
      </c>
      <c r="E851">
        <v>1343939</v>
      </c>
    </row>
    <row r="852" spans="1:5" x14ac:dyDescent="0.25">
      <c r="A852" t="s">
        <v>108</v>
      </c>
      <c r="B852" t="s">
        <v>189</v>
      </c>
      <c r="C852" t="s">
        <v>67</v>
      </c>
      <c r="E852">
        <v>928086</v>
      </c>
    </row>
    <row r="853" spans="1:5" x14ac:dyDescent="0.25">
      <c r="A853" t="s">
        <v>108</v>
      </c>
      <c r="B853" t="s">
        <v>190</v>
      </c>
      <c r="C853" t="s">
        <v>68</v>
      </c>
      <c r="E853">
        <v>415853</v>
      </c>
    </row>
    <row r="854" spans="1:5" x14ac:dyDescent="0.25">
      <c r="A854" t="s">
        <v>108</v>
      </c>
      <c r="B854" t="s">
        <v>151</v>
      </c>
      <c r="C854" t="s">
        <v>9</v>
      </c>
      <c r="D854">
        <v>386042</v>
      </c>
    </row>
    <row r="855" spans="1:5" x14ac:dyDescent="0.25">
      <c r="A855" t="s">
        <v>108</v>
      </c>
      <c r="B855" t="s">
        <v>152</v>
      </c>
      <c r="C855" t="s">
        <v>10</v>
      </c>
    </row>
    <row r="856" spans="1:5" x14ac:dyDescent="0.25">
      <c r="A856" t="s">
        <v>108</v>
      </c>
      <c r="B856" t="s">
        <v>153</v>
      </c>
      <c r="C856" t="s">
        <v>11</v>
      </c>
      <c r="D856">
        <v>957897</v>
      </c>
      <c r="E856">
        <v>957897</v>
      </c>
    </row>
    <row r="857" spans="1:5" x14ac:dyDescent="0.25">
      <c r="A857" t="s">
        <v>108</v>
      </c>
      <c r="B857" t="s">
        <v>154</v>
      </c>
      <c r="C857" t="s">
        <v>12</v>
      </c>
    </row>
    <row r="858" spans="1:5" x14ac:dyDescent="0.25">
      <c r="A858" t="s">
        <v>108</v>
      </c>
      <c r="B858" t="s">
        <v>155</v>
      </c>
      <c r="C858" t="s">
        <v>13</v>
      </c>
      <c r="D858">
        <v>113286</v>
      </c>
      <c r="E858">
        <v>2306819</v>
      </c>
    </row>
    <row r="859" spans="1:5" x14ac:dyDescent="0.25">
      <c r="A859" t="s">
        <v>108</v>
      </c>
      <c r="B859" t="s">
        <v>156</v>
      </c>
      <c r="C859" t="s">
        <v>69</v>
      </c>
      <c r="D859">
        <v>108930</v>
      </c>
      <c r="E859">
        <v>1823316</v>
      </c>
    </row>
    <row r="860" spans="1:5" x14ac:dyDescent="0.25">
      <c r="A860" t="s">
        <v>108</v>
      </c>
      <c r="B860" t="s">
        <v>135</v>
      </c>
      <c r="C860" t="s">
        <v>15</v>
      </c>
      <c r="D860">
        <v>4356</v>
      </c>
      <c r="E860">
        <v>483503</v>
      </c>
    </row>
    <row r="861" spans="1:5" x14ac:dyDescent="0.25">
      <c r="A861" t="s">
        <v>108</v>
      </c>
      <c r="B861" t="s">
        <v>157</v>
      </c>
      <c r="C861" t="s">
        <v>16</v>
      </c>
      <c r="D861">
        <v>4356</v>
      </c>
      <c r="E861">
        <v>421108</v>
      </c>
    </row>
    <row r="862" spans="1:5" x14ac:dyDescent="0.25">
      <c r="A862" t="s">
        <v>108</v>
      </c>
      <c r="B862" t="s">
        <v>158</v>
      </c>
      <c r="C862" t="s">
        <v>17</v>
      </c>
      <c r="E862">
        <v>62395</v>
      </c>
    </row>
    <row r="863" spans="1:5" x14ac:dyDescent="0.25">
      <c r="A863" t="s">
        <v>108</v>
      </c>
      <c r="B863" t="s">
        <v>159</v>
      </c>
      <c r="C863" t="s">
        <v>18</v>
      </c>
      <c r="D863">
        <v>-1630</v>
      </c>
    </row>
    <row r="864" spans="1:5" x14ac:dyDescent="0.25">
      <c r="A864" t="s">
        <v>108</v>
      </c>
      <c r="B864" t="s">
        <v>160</v>
      </c>
      <c r="C864" t="s">
        <v>19</v>
      </c>
      <c r="D864">
        <v>-1630</v>
      </c>
    </row>
    <row r="865" spans="1:5" x14ac:dyDescent="0.25">
      <c r="A865" t="s">
        <v>108</v>
      </c>
      <c r="B865" t="s">
        <v>161</v>
      </c>
      <c r="C865" t="s">
        <v>20</v>
      </c>
      <c r="D865">
        <v>385410</v>
      </c>
      <c r="E865">
        <v>385410</v>
      </c>
    </row>
    <row r="866" spans="1:5" x14ac:dyDescent="0.25">
      <c r="A866" t="s">
        <v>108</v>
      </c>
      <c r="B866" t="s">
        <v>162</v>
      </c>
      <c r="C866" t="s">
        <v>21</v>
      </c>
      <c r="D866">
        <v>460831</v>
      </c>
      <c r="E866">
        <v>460831</v>
      </c>
    </row>
    <row r="867" spans="1:5" x14ac:dyDescent="0.25">
      <c r="A867" t="s">
        <v>108</v>
      </c>
      <c r="B867" t="s">
        <v>163</v>
      </c>
      <c r="C867" t="s">
        <v>22</v>
      </c>
      <c r="D867">
        <v>244047</v>
      </c>
      <c r="E867">
        <v>684010</v>
      </c>
    </row>
    <row r="868" spans="1:5" x14ac:dyDescent="0.25">
      <c r="A868" t="s">
        <v>108</v>
      </c>
      <c r="B868" t="s">
        <v>140</v>
      </c>
      <c r="C868" t="s">
        <v>23</v>
      </c>
      <c r="D868">
        <v>243020</v>
      </c>
      <c r="E868">
        <v>319710</v>
      </c>
    </row>
    <row r="869" spans="1:5" x14ac:dyDescent="0.25">
      <c r="A869" t="s">
        <v>108</v>
      </c>
      <c r="B869" t="s">
        <v>164</v>
      </c>
      <c r="C869" t="s">
        <v>70</v>
      </c>
      <c r="E869">
        <v>310092</v>
      </c>
    </row>
    <row r="870" spans="1:5" x14ac:dyDescent="0.25">
      <c r="A870" t="s">
        <v>108</v>
      </c>
      <c r="B870" t="s">
        <v>191</v>
      </c>
      <c r="C870" t="s">
        <v>71</v>
      </c>
    </row>
    <row r="871" spans="1:5" x14ac:dyDescent="0.25">
      <c r="A871" t="s">
        <v>108</v>
      </c>
      <c r="B871" t="s">
        <v>133</v>
      </c>
      <c r="C871" t="s">
        <v>72</v>
      </c>
      <c r="E871">
        <v>54208</v>
      </c>
    </row>
    <row r="872" spans="1:5" x14ac:dyDescent="0.25">
      <c r="A872" t="s">
        <v>108</v>
      </c>
      <c r="B872" t="s">
        <v>192</v>
      </c>
      <c r="C872" t="s">
        <v>73</v>
      </c>
      <c r="E872">
        <v>3371</v>
      </c>
    </row>
    <row r="873" spans="1:5" x14ac:dyDescent="0.25">
      <c r="A873" t="s">
        <v>108</v>
      </c>
      <c r="B873" t="s">
        <v>193</v>
      </c>
      <c r="C873" t="s">
        <v>74</v>
      </c>
      <c r="E873">
        <v>36695</v>
      </c>
    </row>
    <row r="874" spans="1:5" x14ac:dyDescent="0.25">
      <c r="A874" t="s">
        <v>108</v>
      </c>
      <c r="B874" t="s">
        <v>194</v>
      </c>
      <c r="C874" t="s">
        <v>75</v>
      </c>
      <c r="E874">
        <v>14142</v>
      </c>
    </row>
    <row r="875" spans="1:5" x14ac:dyDescent="0.25">
      <c r="A875" t="s">
        <v>108</v>
      </c>
      <c r="B875" t="s">
        <v>166</v>
      </c>
      <c r="C875" t="s">
        <v>26</v>
      </c>
      <c r="D875">
        <v>1027</v>
      </c>
    </row>
    <row r="876" spans="1:5" x14ac:dyDescent="0.25">
      <c r="A876" t="s">
        <v>108</v>
      </c>
      <c r="B876" t="s">
        <v>167</v>
      </c>
      <c r="C876" t="s">
        <v>27</v>
      </c>
      <c r="D876">
        <v>3593023</v>
      </c>
      <c r="E876">
        <v>3593023</v>
      </c>
    </row>
    <row r="877" spans="1:5" x14ac:dyDescent="0.25">
      <c r="A877" t="s">
        <v>108</v>
      </c>
      <c r="B877" t="s">
        <v>168</v>
      </c>
      <c r="C877" t="s">
        <v>28</v>
      </c>
      <c r="D877">
        <v>165821</v>
      </c>
    </row>
    <row r="878" spans="1:5" x14ac:dyDescent="0.25">
      <c r="A878" t="s">
        <v>108</v>
      </c>
      <c r="B878" t="s">
        <v>137</v>
      </c>
      <c r="C878" t="s">
        <v>29</v>
      </c>
      <c r="D878">
        <v>641336</v>
      </c>
    </row>
    <row r="879" spans="1:5" x14ac:dyDescent="0.25">
      <c r="A879" t="s">
        <v>108</v>
      </c>
      <c r="B879" t="s">
        <v>169</v>
      </c>
      <c r="C879" t="s">
        <v>30</v>
      </c>
      <c r="D879">
        <v>421108</v>
      </c>
    </row>
    <row r="880" spans="1:5" x14ac:dyDescent="0.25">
      <c r="A880" t="s">
        <v>108</v>
      </c>
      <c r="B880" t="s">
        <v>170</v>
      </c>
      <c r="C880" t="s">
        <v>31</v>
      </c>
      <c r="D880">
        <v>62395</v>
      </c>
    </row>
    <row r="881" spans="1:5" x14ac:dyDescent="0.25">
      <c r="A881" t="s">
        <v>108</v>
      </c>
      <c r="B881" t="s">
        <v>195</v>
      </c>
      <c r="C881" t="s">
        <v>76</v>
      </c>
      <c r="D881">
        <v>157833</v>
      </c>
    </row>
    <row r="882" spans="1:5" x14ac:dyDescent="0.25">
      <c r="A882" t="s">
        <v>108</v>
      </c>
      <c r="B882" t="s">
        <v>138</v>
      </c>
      <c r="C882" t="s">
        <v>33</v>
      </c>
      <c r="E882">
        <v>809849</v>
      </c>
    </row>
    <row r="883" spans="1:5" x14ac:dyDescent="0.25">
      <c r="A883" t="s">
        <v>108</v>
      </c>
      <c r="B883" t="s">
        <v>172</v>
      </c>
      <c r="C883" t="s">
        <v>34</v>
      </c>
      <c r="E883">
        <v>402748</v>
      </c>
    </row>
    <row r="884" spans="1:5" x14ac:dyDescent="0.25">
      <c r="A884" t="s">
        <v>108</v>
      </c>
      <c r="B884" t="s">
        <v>173</v>
      </c>
      <c r="C884" t="s">
        <v>35</v>
      </c>
      <c r="E884">
        <v>341641</v>
      </c>
    </row>
    <row r="885" spans="1:5" x14ac:dyDescent="0.25">
      <c r="A885" t="s">
        <v>108</v>
      </c>
      <c r="B885" t="s">
        <v>174</v>
      </c>
      <c r="C885" t="s">
        <v>36</v>
      </c>
      <c r="E885">
        <v>65460</v>
      </c>
    </row>
    <row r="886" spans="1:5" x14ac:dyDescent="0.25">
      <c r="A886" t="s">
        <v>108</v>
      </c>
      <c r="B886" t="s">
        <v>141</v>
      </c>
      <c r="C886" t="s">
        <v>37</v>
      </c>
      <c r="D886">
        <v>76459</v>
      </c>
      <c r="E886">
        <v>31160</v>
      </c>
    </row>
    <row r="887" spans="1:5" x14ac:dyDescent="0.25">
      <c r="A887" t="s">
        <v>108</v>
      </c>
      <c r="B887" t="s">
        <v>175</v>
      </c>
      <c r="C887" t="s">
        <v>38</v>
      </c>
      <c r="D887">
        <v>27645</v>
      </c>
    </row>
    <row r="888" spans="1:5" x14ac:dyDescent="0.25">
      <c r="A888" t="s">
        <v>108</v>
      </c>
      <c r="B888" t="s">
        <v>176</v>
      </c>
      <c r="C888" t="s">
        <v>39</v>
      </c>
      <c r="E888">
        <v>18588</v>
      </c>
    </row>
    <row r="889" spans="1:5" x14ac:dyDescent="0.25">
      <c r="A889" t="s">
        <v>108</v>
      </c>
      <c r="B889" t="s">
        <v>177</v>
      </c>
      <c r="C889" t="s">
        <v>77</v>
      </c>
    </row>
    <row r="890" spans="1:5" x14ac:dyDescent="0.25">
      <c r="A890" t="s">
        <v>108</v>
      </c>
      <c r="B890" t="s">
        <v>178</v>
      </c>
      <c r="C890" t="s">
        <v>78</v>
      </c>
    </row>
    <row r="891" spans="1:5" x14ac:dyDescent="0.25">
      <c r="A891" t="s">
        <v>108</v>
      </c>
      <c r="B891" t="s">
        <v>179</v>
      </c>
      <c r="C891" t="s">
        <v>42</v>
      </c>
      <c r="D891">
        <v>48814</v>
      </c>
      <c r="E891">
        <v>12572</v>
      </c>
    </row>
    <row r="892" spans="1:5" x14ac:dyDescent="0.25">
      <c r="A892" t="s">
        <v>108</v>
      </c>
      <c r="B892" t="s">
        <v>121</v>
      </c>
      <c r="C892" t="s">
        <v>79</v>
      </c>
      <c r="D892">
        <v>3550416</v>
      </c>
      <c r="E892">
        <v>3550416</v>
      </c>
    </row>
    <row r="893" spans="1:5" x14ac:dyDescent="0.25">
      <c r="A893" t="s">
        <v>108</v>
      </c>
      <c r="B893" t="s">
        <v>142</v>
      </c>
      <c r="C893" t="s">
        <v>44</v>
      </c>
      <c r="E893">
        <v>507505</v>
      </c>
    </row>
    <row r="894" spans="1:5" x14ac:dyDescent="0.25">
      <c r="A894" t="s">
        <v>108</v>
      </c>
      <c r="B894" t="s">
        <v>180</v>
      </c>
      <c r="C894" t="s">
        <v>45</v>
      </c>
      <c r="D894">
        <v>4057921</v>
      </c>
      <c r="E894">
        <v>4057921</v>
      </c>
    </row>
    <row r="895" spans="1:5" x14ac:dyDescent="0.25">
      <c r="A895" t="s">
        <v>108</v>
      </c>
      <c r="B895" t="s">
        <v>181</v>
      </c>
      <c r="C895" t="s">
        <v>46</v>
      </c>
      <c r="D895">
        <v>3721322</v>
      </c>
    </row>
    <row r="896" spans="1:5" x14ac:dyDescent="0.25">
      <c r="A896" t="s">
        <v>108</v>
      </c>
      <c r="B896" t="s">
        <v>122</v>
      </c>
      <c r="C896" t="s">
        <v>47</v>
      </c>
      <c r="D896">
        <v>3213817</v>
      </c>
    </row>
    <row r="897" spans="1:5" x14ac:dyDescent="0.25">
      <c r="A897" t="s">
        <v>108</v>
      </c>
      <c r="B897" t="s">
        <v>182</v>
      </c>
      <c r="C897" t="s">
        <v>80</v>
      </c>
      <c r="E897">
        <v>48941</v>
      </c>
    </row>
    <row r="898" spans="1:5" x14ac:dyDescent="0.25">
      <c r="A898" t="s">
        <v>108</v>
      </c>
      <c r="B898" t="s">
        <v>127</v>
      </c>
      <c r="C898" t="s">
        <v>49</v>
      </c>
      <c r="D898">
        <v>385540</v>
      </c>
    </row>
    <row r="899" spans="1:5" x14ac:dyDescent="0.25">
      <c r="A899" t="s">
        <v>108</v>
      </c>
      <c r="B899" t="s">
        <v>183</v>
      </c>
      <c r="C899" t="s">
        <v>50</v>
      </c>
    </row>
    <row r="900" spans="1:5" x14ac:dyDescent="0.25">
      <c r="A900" t="s">
        <v>108</v>
      </c>
      <c r="B900" t="s">
        <v>127</v>
      </c>
      <c r="C900" t="s">
        <v>49</v>
      </c>
      <c r="E900">
        <v>385540</v>
      </c>
    </row>
    <row r="901" spans="1:5" x14ac:dyDescent="0.25">
      <c r="A901" t="s">
        <v>108</v>
      </c>
      <c r="B901" t="s">
        <v>124</v>
      </c>
      <c r="C901" t="s">
        <v>51</v>
      </c>
      <c r="D901">
        <v>358359</v>
      </c>
    </row>
    <row r="902" spans="1:5" x14ac:dyDescent="0.25">
      <c r="A902" t="s">
        <v>108</v>
      </c>
      <c r="B902" t="s">
        <v>184</v>
      </c>
      <c r="C902" t="s">
        <v>52</v>
      </c>
    </row>
    <row r="903" spans="1:5" x14ac:dyDescent="0.25">
      <c r="A903" t="s">
        <v>108</v>
      </c>
      <c r="B903" t="s">
        <v>185</v>
      </c>
      <c r="C903" t="s">
        <v>53</v>
      </c>
    </row>
    <row r="904" spans="1:5" x14ac:dyDescent="0.25">
      <c r="A904" t="s">
        <v>108</v>
      </c>
      <c r="B904" t="s">
        <v>186</v>
      </c>
      <c r="C904" t="s">
        <v>54</v>
      </c>
      <c r="E904">
        <v>12437</v>
      </c>
    </row>
    <row r="905" spans="1:5" x14ac:dyDescent="0.25">
      <c r="A905" t="s">
        <v>108</v>
      </c>
      <c r="B905" t="s">
        <v>187</v>
      </c>
      <c r="C905" t="s">
        <v>55</v>
      </c>
      <c r="D905">
        <v>35212</v>
      </c>
    </row>
    <row r="906" spans="1:5" x14ac:dyDescent="0.25">
      <c r="A906" t="s">
        <v>108</v>
      </c>
      <c r="B906" t="s">
        <v>188</v>
      </c>
      <c r="C906" t="s">
        <v>56</v>
      </c>
      <c r="E906">
        <v>393571</v>
      </c>
    </row>
    <row r="907" spans="1:5" x14ac:dyDescent="0.25">
      <c r="A907" t="s">
        <v>108</v>
      </c>
      <c r="B907" t="s">
        <v>196</v>
      </c>
      <c r="C907" t="s">
        <v>81</v>
      </c>
      <c r="E907">
        <v>278144</v>
      </c>
    </row>
    <row r="908" spans="1:5" x14ac:dyDescent="0.25">
      <c r="A908" t="s">
        <v>108</v>
      </c>
      <c r="B908" t="s">
        <v>197</v>
      </c>
      <c r="C908" t="s">
        <v>82</v>
      </c>
    </row>
    <row r="909" spans="1:5" x14ac:dyDescent="0.25">
      <c r="A909" t="s">
        <v>108</v>
      </c>
      <c r="B909" t="s">
        <v>198</v>
      </c>
      <c r="C909" t="s">
        <v>83</v>
      </c>
    </row>
    <row r="910" spans="1:5" x14ac:dyDescent="0.25">
      <c r="A910" t="s">
        <v>108</v>
      </c>
      <c r="B910" t="s">
        <v>199</v>
      </c>
      <c r="C910" t="s">
        <v>84</v>
      </c>
    </row>
    <row r="911" spans="1:5" x14ac:dyDescent="0.25">
      <c r="A911" t="s">
        <v>108</v>
      </c>
      <c r="B911" t="s">
        <v>200</v>
      </c>
      <c r="C911" t="s">
        <v>85</v>
      </c>
    </row>
    <row r="912" spans="1:5" x14ac:dyDescent="0.25">
      <c r="A912" t="s">
        <v>108</v>
      </c>
      <c r="B912" t="s">
        <v>201</v>
      </c>
      <c r="C912" t="s">
        <v>86</v>
      </c>
    </row>
    <row r="913" spans="1:5" x14ac:dyDescent="0.25">
      <c r="A913" t="s">
        <v>108</v>
      </c>
      <c r="B913" t="s">
        <v>202</v>
      </c>
      <c r="C913" t="s">
        <v>87</v>
      </c>
    </row>
    <row r="914" spans="1:5" x14ac:dyDescent="0.25">
      <c r="A914" t="s">
        <v>108</v>
      </c>
      <c r="B914" t="s">
        <v>203</v>
      </c>
      <c r="C914" t="s">
        <v>88</v>
      </c>
    </row>
    <row r="915" spans="1:5" x14ac:dyDescent="0.25">
      <c r="A915" t="s">
        <v>108</v>
      </c>
      <c r="B915" t="s">
        <v>204</v>
      </c>
      <c r="C915" t="s">
        <v>89</v>
      </c>
    </row>
    <row r="916" spans="1:5" x14ac:dyDescent="0.25">
      <c r="A916" t="s">
        <v>108</v>
      </c>
      <c r="B916" t="s">
        <v>205</v>
      </c>
      <c r="C916" t="s">
        <v>90</v>
      </c>
      <c r="E916">
        <v>217834</v>
      </c>
    </row>
    <row r="917" spans="1:5" x14ac:dyDescent="0.25">
      <c r="A917" t="s">
        <v>108</v>
      </c>
      <c r="B917" t="s">
        <v>206</v>
      </c>
      <c r="C917" t="s">
        <v>88</v>
      </c>
      <c r="E917">
        <v>27469</v>
      </c>
    </row>
    <row r="918" spans="1:5" x14ac:dyDescent="0.25">
      <c r="A918" t="s">
        <v>108</v>
      </c>
      <c r="B918" t="s">
        <v>207</v>
      </c>
      <c r="C918" t="s">
        <v>89</v>
      </c>
      <c r="E918">
        <v>190366</v>
      </c>
    </row>
    <row r="919" spans="1:5" x14ac:dyDescent="0.25">
      <c r="A919" t="s">
        <v>108</v>
      </c>
      <c r="B919" t="s">
        <v>208</v>
      </c>
      <c r="C919" t="s">
        <v>91</v>
      </c>
    </row>
    <row r="920" spans="1:5" x14ac:dyDescent="0.25">
      <c r="A920" t="s">
        <v>108</v>
      </c>
      <c r="B920" t="s">
        <v>209</v>
      </c>
      <c r="C920" t="s">
        <v>92</v>
      </c>
    </row>
    <row r="921" spans="1:5" x14ac:dyDescent="0.25">
      <c r="A921" t="s">
        <v>108</v>
      </c>
      <c r="B921" t="s">
        <v>210</v>
      </c>
      <c r="C921" t="s">
        <v>93</v>
      </c>
    </row>
    <row r="922" spans="1:5" x14ac:dyDescent="0.25">
      <c r="A922" t="s">
        <v>108</v>
      </c>
      <c r="B922" t="s">
        <v>211</v>
      </c>
      <c r="C922" t="s">
        <v>94</v>
      </c>
    </row>
    <row r="923" spans="1:5" x14ac:dyDescent="0.25">
      <c r="A923" t="s">
        <v>108</v>
      </c>
      <c r="B923" t="s">
        <v>212</v>
      </c>
      <c r="C923" t="s">
        <v>95</v>
      </c>
    </row>
    <row r="924" spans="1:5" x14ac:dyDescent="0.25">
      <c r="A924" t="s">
        <v>108</v>
      </c>
      <c r="B924" t="s">
        <v>213</v>
      </c>
      <c r="C924" t="s">
        <v>96</v>
      </c>
    </row>
    <row r="925" spans="1:5" x14ac:dyDescent="0.25">
      <c r="A925" t="s">
        <v>108</v>
      </c>
      <c r="B925" t="s">
        <v>214</v>
      </c>
      <c r="C925" t="s">
        <v>97</v>
      </c>
    </row>
    <row r="926" spans="1:5" x14ac:dyDescent="0.25">
      <c r="A926" t="s">
        <v>108</v>
      </c>
      <c r="B926" t="s">
        <v>215</v>
      </c>
      <c r="C926" t="s">
        <v>98</v>
      </c>
    </row>
    <row r="927" spans="1:5" x14ac:dyDescent="0.25">
      <c r="A927" t="s">
        <v>108</v>
      </c>
      <c r="B927" t="s">
        <v>216</v>
      </c>
      <c r="C927" t="s">
        <v>99</v>
      </c>
    </row>
    <row r="928" spans="1:5" x14ac:dyDescent="0.25">
      <c r="A928" t="s">
        <v>108</v>
      </c>
      <c r="B928" t="s">
        <v>217</v>
      </c>
      <c r="C928" t="s">
        <v>100</v>
      </c>
      <c r="E928">
        <v>273</v>
      </c>
    </row>
    <row r="929" spans="1:5" x14ac:dyDescent="0.25">
      <c r="A929" t="s">
        <v>108</v>
      </c>
      <c r="B929" t="s">
        <v>218</v>
      </c>
      <c r="C929" t="s">
        <v>101</v>
      </c>
      <c r="E929">
        <v>60037</v>
      </c>
    </row>
    <row r="930" spans="1:5" x14ac:dyDescent="0.25">
      <c r="A930" t="s">
        <v>108</v>
      </c>
      <c r="B930" t="s">
        <v>219</v>
      </c>
      <c r="C930" t="s">
        <v>102</v>
      </c>
      <c r="E930">
        <v>932</v>
      </c>
    </row>
    <row r="931" spans="1:5" x14ac:dyDescent="0.25">
      <c r="A931" t="s">
        <v>108</v>
      </c>
      <c r="B931" t="s">
        <v>220</v>
      </c>
      <c r="C931" t="s">
        <v>103</v>
      </c>
      <c r="E931">
        <v>59105</v>
      </c>
    </row>
    <row r="932" spans="1:5" x14ac:dyDescent="0.25">
      <c r="A932" t="s">
        <v>108</v>
      </c>
      <c r="B932" t="s">
        <v>221</v>
      </c>
      <c r="C932" t="s">
        <v>104</v>
      </c>
      <c r="E932">
        <v>1695899</v>
      </c>
    </row>
    <row r="933" spans="1:5" x14ac:dyDescent="0.25">
      <c r="A933" t="s">
        <v>108</v>
      </c>
      <c r="B933" t="s">
        <v>222</v>
      </c>
      <c r="C933" t="s">
        <v>82</v>
      </c>
    </row>
    <row r="934" spans="1:5" x14ac:dyDescent="0.25">
      <c r="A934" t="s">
        <v>108</v>
      </c>
      <c r="B934" t="s">
        <v>223</v>
      </c>
      <c r="C934" t="s">
        <v>83</v>
      </c>
    </row>
    <row r="935" spans="1:5" x14ac:dyDescent="0.25">
      <c r="A935" t="s">
        <v>108</v>
      </c>
      <c r="B935" t="s">
        <v>224</v>
      </c>
      <c r="C935" t="s">
        <v>84</v>
      </c>
    </row>
    <row r="936" spans="1:5" x14ac:dyDescent="0.25">
      <c r="A936" t="s">
        <v>108</v>
      </c>
      <c r="B936" t="s">
        <v>225</v>
      </c>
      <c r="C936" t="s">
        <v>85</v>
      </c>
    </row>
    <row r="937" spans="1:5" x14ac:dyDescent="0.25">
      <c r="A937" t="s">
        <v>108</v>
      </c>
      <c r="B937" t="s">
        <v>226</v>
      </c>
      <c r="C937" t="s">
        <v>86</v>
      </c>
    </row>
    <row r="938" spans="1:5" x14ac:dyDescent="0.25">
      <c r="A938" t="s">
        <v>108</v>
      </c>
      <c r="B938" t="s">
        <v>227</v>
      </c>
      <c r="C938" t="s">
        <v>87</v>
      </c>
    </row>
    <row r="939" spans="1:5" x14ac:dyDescent="0.25">
      <c r="A939" t="s">
        <v>108</v>
      </c>
      <c r="B939" t="s">
        <v>228</v>
      </c>
      <c r="C939" t="s">
        <v>88</v>
      </c>
    </row>
    <row r="940" spans="1:5" x14ac:dyDescent="0.25">
      <c r="A940" t="s">
        <v>108</v>
      </c>
      <c r="B940" t="s">
        <v>229</v>
      </c>
      <c r="C940" t="s">
        <v>89</v>
      </c>
    </row>
    <row r="941" spans="1:5" x14ac:dyDescent="0.25">
      <c r="A941" t="s">
        <v>108</v>
      </c>
      <c r="B941" t="s">
        <v>230</v>
      </c>
      <c r="C941" t="s">
        <v>90</v>
      </c>
      <c r="E941">
        <v>1218346</v>
      </c>
    </row>
    <row r="942" spans="1:5" x14ac:dyDescent="0.25">
      <c r="A942" t="s">
        <v>108</v>
      </c>
      <c r="B942" t="s">
        <v>231</v>
      </c>
      <c r="C942" t="s">
        <v>88</v>
      </c>
      <c r="E942">
        <v>179149</v>
      </c>
    </row>
    <row r="943" spans="1:5" x14ac:dyDescent="0.25">
      <c r="A943" t="s">
        <v>108</v>
      </c>
      <c r="B943" t="s">
        <v>232</v>
      </c>
      <c r="C943" t="s">
        <v>89</v>
      </c>
      <c r="E943">
        <v>1039197</v>
      </c>
    </row>
    <row r="944" spans="1:5" x14ac:dyDescent="0.25">
      <c r="A944" t="s">
        <v>108</v>
      </c>
      <c r="B944" t="s">
        <v>233</v>
      </c>
      <c r="C944" t="s">
        <v>91</v>
      </c>
    </row>
    <row r="945" spans="1:5" x14ac:dyDescent="0.25">
      <c r="A945" t="s">
        <v>108</v>
      </c>
      <c r="B945" t="s">
        <v>234</v>
      </c>
      <c r="C945" t="s">
        <v>92</v>
      </c>
    </row>
    <row r="946" spans="1:5" x14ac:dyDescent="0.25">
      <c r="A946" t="s">
        <v>108</v>
      </c>
      <c r="B946" t="s">
        <v>235</v>
      </c>
      <c r="C946" t="s">
        <v>93</v>
      </c>
    </row>
    <row r="947" spans="1:5" x14ac:dyDescent="0.25">
      <c r="A947" t="s">
        <v>108</v>
      </c>
      <c r="B947" t="s">
        <v>236</v>
      </c>
      <c r="C947" t="s">
        <v>94</v>
      </c>
    </row>
    <row r="948" spans="1:5" x14ac:dyDescent="0.25">
      <c r="A948" t="s">
        <v>108</v>
      </c>
      <c r="B948" t="s">
        <v>237</v>
      </c>
      <c r="C948" t="s">
        <v>95</v>
      </c>
    </row>
    <row r="949" spans="1:5" x14ac:dyDescent="0.25">
      <c r="A949" t="s">
        <v>108</v>
      </c>
      <c r="B949" t="s">
        <v>238</v>
      </c>
      <c r="C949" t="s">
        <v>96</v>
      </c>
    </row>
    <row r="950" spans="1:5" x14ac:dyDescent="0.25">
      <c r="A950" t="s">
        <v>108</v>
      </c>
      <c r="B950" t="s">
        <v>239</v>
      </c>
      <c r="C950" t="s">
        <v>97</v>
      </c>
    </row>
    <row r="951" spans="1:5" x14ac:dyDescent="0.25">
      <c r="A951" t="s">
        <v>108</v>
      </c>
      <c r="B951" t="s">
        <v>240</v>
      </c>
      <c r="C951" t="s">
        <v>98</v>
      </c>
    </row>
    <row r="952" spans="1:5" x14ac:dyDescent="0.25">
      <c r="A952" t="s">
        <v>108</v>
      </c>
      <c r="B952" t="s">
        <v>241</v>
      </c>
      <c r="C952" t="s">
        <v>99</v>
      </c>
    </row>
    <row r="953" spans="1:5" x14ac:dyDescent="0.25">
      <c r="A953" t="s">
        <v>108</v>
      </c>
      <c r="B953" t="s">
        <v>242</v>
      </c>
      <c r="C953" t="s">
        <v>100</v>
      </c>
      <c r="E953">
        <v>2036</v>
      </c>
    </row>
    <row r="954" spans="1:5" x14ac:dyDescent="0.25">
      <c r="A954" t="s">
        <v>108</v>
      </c>
      <c r="B954" t="s">
        <v>243</v>
      </c>
      <c r="C954" t="s">
        <v>101</v>
      </c>
      <c r="E954">
        <v>475517</v>
      </c>
    </row>
    <row r="955" spans="1:5" x14ac:dyDescent="0.25">
      <c r="A955" t="s">
        <v>108</v>
      </c>
      <c r="B955" t="s">
        <v>244</v>
      </c>
      <c r="C955" t="s">
        <v>102</v>
      </c>
      <c r="E955">
        <v>22281</v>
      </c>
    </row>
    <row r="956" spans="1:5" x14ac:dyDescent="0.25">
      <c r="A956" t="s">
        <v>108</v>
      </c>
      <c r="B956" t="s">
        <v>245</v>
      </c>
      <c r="C956" t="s">
        <v>103</v>
      </c>
      <c r="E956">
        <v>453236</v>
      </c>
    </row>
    <row r="957" spans="1:5" x14ac:dyDescent="0.25">
      <c r="A957" t="s">
        <v>108</v>
      </c>
      <c r="B957" t="s">
        <v>246</v>
      </c>
      <c r="C957" t="s">
        <v>105</v>
      </c>
    </row>
    <row r="958" spans="1:5" x14ac:dyDescent="0.25">
      <c r="A958" t="s">
        <v>109</v>
      </c>
      <c r="B958" t="s">
        <v>148</v>
      </c>
      <c r="C958" t="s">
        <v>6</v>
      </c>
    </row>
    <row r="959" spans="1:5" x14ac:dyDescent="0.25">
      <c r="A959" t="s">
        <v>109</v>
      </c>
      <c r="B959" t="s">
        <v>149</v>
      </c>
      <c r="C959" t="s">
        <v>7</v>
      </c>
    </row>
    <row r="960" spans="1:5" x14ac:dyDescent="0.25">
      <c r="A960" t="s">
        <v>109</v>
      </c>
      <c r="B960" t="s">
        <v>150</v>
      </c>
      <c r="C960" t="s">
        <v>8</v>
      </c>
      <c r="E960">
        <v>1456945</v>
      </c>
    </row>
    <row r="961" spans="1:5" x14ac:dyDescent="0.25">
      <c r="A961" t="s">
        <v>109</v>
      </c>
      <c r="B961" t="s">
        <v>189</v>
      </c>
      <c r="C961" t="s">
        <v>67</v>
      </c>
      <c r="E961">
        <v>1006352</v>
      </c>
    </row>
    <row r="962" spans="1:5" x14ac:dyDescent="0.25">
      <c r="A962" t="s">
        <v>109</v>
      </c>
      <c r="B962" t="s">
        <v>190</v>
      </c>
      <c r="C962" t="s">
        <v>68</v>
      </c>
      <c r="E962">
        <v>450593</v>
      </c>
    </row>
    <row r="963" spans="1:5" x14ac:dyDescent="0.25">
      <c r="A963" t="s">
        <v>109</v>
      </c>
      <c r="B963" t="s">
        <v>151</v>
      </c>
      <c r="C963" t="s">
        <v>9</v>
      </c>
      <c r="D963">
        <v>424932</v>
      </c>
    </row>
    <row r="964" spans="1:5" x14ac:dyDescent="0.25">
      <c r="A964" t="s">
        <v>109</v>
      </c>
      <c r="B964" t="s">
        <v>152</v>
      </c>
      <c r="C964" t="s">
        <v>10</v>
      </c>
    </row>
    <row r="965" spans="1:5" x14ac:dyDescent="0.25">
      <c r="A965" t="s">
        <v>109</v>
      </c>
      <c r="B965" t="s">
        <v>153</v>
      </c>
      <c r="C965" t="s">
        <v>11</v>
      </c>
      <c r="D965">
        <v>1032013</v>
      </c>
      <c r="E965">
        <v>1032013</v>
      </c>
    </row>
    <row r="966" spans="1:5" x14ac:dyDescent="0.25">
      <c r="A966" t="s">
        <v>109</v>
      </c>
      <c r="B966" t="s">
        <v>154</v>
      </c>
      <c r="C966" t="s">
        <v>12</v>
      </c>
    </row>
    <row r="967" spans="1:5" x14ac:dyDescent="0.25">
      <c r="A967" t="s">
        <v>109</v>
      </c>
      <c r="B967" t="s">
        <v>155</v>
      </c>
      <c r="C967" t="s">
        <v>13</v>
      </c>
      <c r="D967">
        <v>120386</v>
      </c>
      <c r="E967">
        <v>2516215</v>
      </c>
    </row>
    <row r="968" spans="1:5" x14ac:dyDescent="0.25">
      <c r="A968" t="s">
        <v>109</v>
      </c>
      <c r="B968" t="s">
        <v>156</v>
      </c>
      <c r="C968" t="s">
        <v>69</v>
      </c>
      <c r="D968">
        <v>115731</v>
      </c>
      <c r="E968">
        <v>2001255</v>
      </c>
    </row>
    <row r="969" spans="1:5" x14ac:dyDescent="0.25">
      <c r="A969" t="s">
        <v>109</v>
      </c>
      <c r="B969" t="s">
        <v>135</v>
      </c>
      <c r="C969" t="s">
        <v>15</v>
      </c>
      <c r="D969">
        <v>4655</v>
      </c>
      <c r="E969">
        <v>514960</v>
      </c>
    </row>
    <row r="970" spans="1:5" x14ac:dyDescent="0.25">
      <c r="A970" t="s">
        <v>109</v>
      </c>
      <c r="B970" t="s">
        <v>157</v>
      </c>
      <c r="C970" t="s">
        <v>16</v>
      </c>
      <c r="D970">
        <v>4655</v>
      </c>
      <c r="E970">
        <v>445250</v>
      </c>
    </row>
    <row r="971" spans="1:5" x14ac:dyDescent="0.25">
      <c r="A971" t="s">
        <v>109</v>
      </c>
      <c r="B971" t="s">
        <v>158</v>
      </c>
      <c r="C971" t="s">
        <v>17</v>
      </c>
      <c r="E971">
        <v>69710</v>
      </c>
    </row>
    <row r="972" spans="1:5" x14ac:dyDescent="0.25">
      <c r="A972" t="s">
        <v>109</v>
      </c>
      <c r="B972" t="s">
        <v>159</v>
      </c>
      <c r="C972" t="s">
        <v>18</v>
      </c>
      <c r="D972">
        <v>-425</v>
      </c>
    </row>
    <row r="973" spans="1:5" x14ac:dyDescent="0.25">
      <c r="A973" t="s">
        <v>109</v>
      </c>
      <c r="B973" t="s">
        <v>160</v>
      </c>
      <c r="C973" t="s">
        <v>19</v>
      </c>
      <c r="D973">
        <v>-425</v>
      </c>
    </row>
    <row r="974" spans="1:5" x14ac:dyDescent="0.25">
      <c r="A974" t="s">
        <v>109</v>
      </c>
      <c r="B974" t="s">
        <v>161</v>
      </c>
      <c r="C974" t="s">
        <v>20</v>
      </c>
      <c r="D974">
        <v>423101</v>
      </c>
      <c r="E974">
        <v>423101</v>
      </c>
    </row>
    <row r="975" spans="1:5" x14ac:dyDescent="0.25">
      <c r="A975" t="s">
        <v>109</v>
      </c>
      <c r="B975" t="s">
        <v>162</v>
      </c>
      <c r="C975" t="s">
        <v>21</v>
      </c>
      <c r="D975">
        <v>488951</v>
      </c>
      <c r="E975">
        <v>488951</v>
      </c>
    </row>
    <row r="976" spans="1:5" x14ac:dyDescent="0.25">
      <c r="A976" t="s">
        <v>109</v>
      </c>
      <c r="B976" t="s">
        <v>163</v>
      </c>
      <c r="C976" t="s">
        <v>22</v>
      </c>
      <c r="D976">
        <v>300551</v>
      </c>
      <c r="E976">
        <v>775491</v>
      </c>
    </row>
    <row r="977" spans="1:5" x14ac:dyDescent="0.25">
      <c r="A977" t="s">
        <v>109</v>
      </c>
      <c r="B977" t="s">
        <v>140</v>
      </c>
      <c r="C977" t="s">
        <v>23</v>
      </c>
      <c r="D977">
        <v>299515</v>
      </c>
      <c r="E977">
        <v>396713</v>
      </c>
    </row>
    <row r="978" spans="1:5" x14ac:dyDescent="0.25">
      <c r="A978" t="s">
        <v>109</v>
      </c>
      <c r="B978" t="s">
        <v>164</v>
      </c>
      <c r="C978" t="s">
        <v>70</v>
      </c>
      <c r="E978">
        <v>319932</v>
      </c>
    </row>
    <row r="979" spans="1:5" x14ac:dyDescent="0.25">
      <c r="A979" t="s">
        <v>109</v>
      </c>
      <c r="B979" t="s">
        <v>191</v>
      </c>
      <c r="C979" t="s">
        <v>71</v>
      </c>
    </row>
    <row r="980" spans="1:5" x14ac:dyDescent="0.25">
      <c r="A980" t="s">
        <v>109</v>
      </c>
      <c r="B980" t="s">
        <v>133</v>
      </c>
      <c r="C980" t="s">
        <v>72</v>
      </c>
      <c r="E980">
        <v>58846</v>
      </c>
    </row>
    <row r="981" spans="1:5" x14ac:dyDescent="0.25">
      <c r="A981" t="s">
        <v>109</v>
      </c>
      <c r="B981" t="s">
        <v>192</v>
      </c>
      <c r="C981" t="s">
        <v>73</v>
      </c>
      <c r="E981">
        <v>5386</v>
      </c>
    </row>
    <row r="982" spans="1:5" x14ac:dyDescent="0.25">
      <c r="A982" t="s">
        <v>109</v>
      </c>
      <c r="B982" t="s">
        <v>193</v>
      </c>
      <c r="C982" t="s">
        <v>74</v>
      </c>
      <c r="E982">
        <v>40607</v>
      </c>
    </row>
    <row r="983" spans="1:5" x14ac:dyDescent="0.25">
      <c r="A983" t="s">
        <v>109</v>
      </c>
      <c r="B983" t="s">
        <v>194</v>
      </c>
      <c r="C983" t="s">
        <v>75</v>
      </c>
      <c r="E983">
        <v>12853</v>
      </c>
    </row>
    <row r="984" spans="1:5" x14ac:dyDescent="0.25">
      <c r="A984" t="s">
        <v>109</v>
      </c>
      <c r="B984" t="s">
        <v>166</v>
      </c>
      <c r="C984" t="s">
        <v>26</v>
      </c>
      <c r="D984">
        <v>1036</v>
      </c>
    </row>
    <row r="985" spans="1:5" x14ac:dyDescent="0.25">
      <c r="A985" t="s">
        <v>109</v>
      </c>
      <c r="B985" t="s">
        <v>167</v>
      </c>
      <c r="C985" t="s">
        <v>27</v>
      </c>
      <c r="D985">
        <v>3903207</v>
      </c>
      <c r="E985">
        <v>3903207</v>
      </c>
    </row>
    <row r="986" spans="1:5" x14ac:dyDescent="0.25">
      <c r="A986" t="s">
        <v>109</v>
      </c>
      <c r="B986" t="s">
        <v>168</v>
      </c>
      <c r="C986" t="s">
        <v>28</v>
      </c>
      <c r="D986">
        <v>181055</v>
      </c>
    </row>
    <row r="987" spans="1:5" x14ac:dyDescent="0.25">
      <c r="A987" t="s">
        <v>109</v>
      </c>
      <c r="B987" t="s">
        <v>137</v>
      </c>
      <c r="C987" t="s">
        <v>29</v>
      </c>
      <c r="D987">
        <v>690113</v>
      </c>
    </row>
    <row r="988" spans="1:5" x14ac:dyDescent="0.25">
      <c r="A988" t="s">
        <v>109</v>
      </c>
      <c r="B988" t="s">
        <v>169</v>
      </c>
      <c r="C988" t="s">
        <v>30</v>
      </c>
      <c r="D988">
        <v>445250</v>
      </c>
    </row>
    <row r="989" spans="1:5" x14ac:dyDescent="0.25">
      <c r="A989" t="s">
        <v>109</v>
      </c>
      <c r="B989" t="s">
        <v>170</v>
      </c>
      <c r="C989" t="s">
        <v>31</v>
      </c>
      <c r="D989">
        <v>69710</v>
      </c>
    </row>
    <row r="990" spans="1:5" x14ac:dyDescent="0.25">
      <c r="A990" t="s">
        <v>109</v>
      </c>
      <c r="B990" t="s">
        <v>195</v>
      </c>
      <c r="C990" t="s">
        <v>76</v>
      </c>
      <c r="D990">
        <v>175153</v>
      </c>
    </row>
    <row r="991" spans="1:5" x14ac:dyDescent="0.25">
      <c r="A991" t="s">
        <v>109</v>
      </c>
      <c r="B991" t="s">
        <v>138</v>
      </c>
      <c r="C991" t="s">
        <v>33</v>
      </c>
      <c r="E991">
        <v>911277</v>
      </c>
    </row>
    <row r="992" spans="1:5" x14ac:dyDescent="0.25">
      <c r="A992" t="s">
        <v>109</v>
      </c>
      <c r="B992" t="s">
        <v>172</v>
      </c>
      <c r="C992" t="s">
        <v>34</v>
      </c>
      <c r="E992">
        <v>455821</v>
      </c>
    </row>
    <row r="993" spans="1:5" x14ac:dyDescent="0.25">
      <c r="A993" t="s">
        <v>109</v>
      </c>
      <c r="B993" t="s">
        <v>173</v>
      </c>
      <c r="C993" t="s">
        <v>35</v>
      </c>
      <c r="E993">
        <v>382922</v>
      </c>
    </row>
    <row r="994" spans="1:5" x14ac:dyDescent="0.25">
      <c r="A994" t="s">
        <v>109</v>
      </c>
      <c r="B994" t="s">
        <v>174</v>
      </c>
      <c r="C994" t="s">
        <v>36</v>
      </c>
      <c r="E994">
        <v>72534</v>
      </c>
    </row>
    <row r="995" spans="1:5" x14ac:dyDescent="0.25">
      <c r="A995" t="s">
        <v>109</v>
      </c>
      <c r="B995" t="s">
        <v>141</v>
      </c>
      <c r="C995" t="s">
        <v>37</v>
      </c>
      <c r="D995">
        <v>78162</v>
      </c>
      <c r="E995">
        <v>33242</v>
      </c>
    </row>
    <row r="996" spans="1:5" x14ac:dyDescent="0.25">
      <c r="A996" t="s">
        <v>109</v>
      </c>
      <c r="B996" t="s">
        <v>175</v>
      </c>
      <c r="C996" t="s">
        <v>38</v>
      </c>
      <c r="D996">
        <v>30399</v>
      </c>
    </row>
    <row r="997" spans="1:5" x14ac:dyDescent="0.25">
      <c r="A997" t="s">
        <v>109</v>
      </c>
      <c r="B997" t="s">
        <v>176</v>
      </c>
      <c r="C997" t="s">
        <v>39</v>
      </c>
      <c r="E997">
        <v>20440</v>
      </c>
    </row>
    <row r="998" spans="1:5" x14ac:dyDescent="0.25">
      <c r="A998" t="s">
        <v>109</v>
      </c>
      <c r="B998" t="s">
        <v>177</v>
      </c>
      <c r="C998" t="s">
        <v>77</v>
      </c>
    </row>
    <row r="999" spans="1:5" x14ac:dyDescent="0.25">
      <c r="A999" t="s">
        <v>109</v>
      </c>
      <c r="B999" t="s">
        <v>178</v>
      </c>
      <c r="C999" t="s">
        <v>78</v>
      </c>
    </row>
    <row r="1000" spans="1:5" x14ac:dyDescent="0.25">
      <c r="A1000" t="s">
        <v>109</v>
      </c>
      <c r="B1000" t="s">
        <v>179</v>
      </c>
      <c r="C1000" t="s">
        <v>42</v>
      </c>
      <c r="D1000">
        <v>47763</v>
      </c>
      <c r="E1000">
        <v>12802</v>
      </c>
    </row>
    <row r="1001" spans="1:5" x14ac:dyDescent="0.25">
      <c r="A1001" t="s">
        <v>109</v>
      </c>
      <c r="B1001" t="s">
        <v>121</v>
      </c>
      <c r="C1001" t="s">
        <v>79</v>
      </c>
      <c r="D1001">
        <v>3898396</v>
      </c>
      <c r="E1001">
        <v>3898396</v>
      </c>
    </row>
    <row r="1002" spans="1:5" x14ac:dyDescent="0.25">
      <c r="A1002" t="s">
        <v>109</v>
      </c>
      <c r="B1002" t="s">
        <v>142</v>
      </c>
      <c r="C1002" t="s">
        <v>44</v>
      </c>
      <c r="E1002">
        <v>569313</v>
      </c>
    </row>
    <row r="1003" spans="1:5" x14ac:dyDescent="0.25">
      <c r="A1003" t="s">
        <v>109</v>
      </c>
      <c r="B1003" t="s">
        <v>180</v>
      </c>
      <c r="C1003" t="s">
        <v>45</v>
      </c>
      <c r="D1003">
        <v>4467709</v>
      </c>
      <c r="E1003">
        <v>4467709</v>
      </c>
    </row>
    <row r="1004" spans="1:5" x14ac:dyDescent="0.25">
      <c r="A1004" t="s">
        <v>109</v>
      </c>
      <c r="B1004" t="s">
        <v>181</v>
      </c>
      <c r="C1004" t="s">
        <v>46</v>
      </c>
      <c r="D1004">
        <v>4124665</v>
      </c>
    </row>
    <row r="1005" spans="1:5" x14ac:dyDescent="0.25">
      <c r="A1005" t="s">
        <v>109</v>
      </c>
      <c r="B1005" t="s">
        <v>122</v>
      </c>
      <c r="C1005" t="s">
        <v>47</v>
      </c>
      <c r="D1005">
        <v>3555352</v>
      </c>
    </row>
    <row r="1006" spans="1:5" x14ac:dyDescent="0.25">
      <c r="A1006" t="s">
        <v>109</v>
      </c>
      <c r="B1006" t="s">
        <v>182</v>
      </c>
      <c r="C1006" t="s">
        <v>80</v>
      </c>
      <c r="E1006">
        <v>51246</v>
      </c>
    </row>
    <row r="1007" spans="1:5" x14ac:dyDescent="0.25">
      <c r="A1007" t="s">
        <v>109</v>
      </c>
      <c r="B1007" t="s">
        <v>127</v>
      </c>
      <c r="C1007" t="s">
        <v>49</v>
      </c>
      <c r="D1007">
        <v>394290</v>
      </c>
    </row>
    <row r="1008" spans="1:5" x14ac:dyDescent="0.25">
      <c r="A1008" t="s">
        <v>109</v>
      </c>
      <c r="B1008" t="s">
        <v>183</v>
      </c>
      <c r="C1008" t="s">
        <v>50</v>
      </c>
    </row>
    <row r="1009" spans="1:5" x14ac:dyDescent="0.25">
      <c r="A1009" t="s">
        <v>109</v>
      </c>
      <c r="B1009" t="s">
        <v>127</v>
      </c>
      <c r="C1009" t="s">
        <v>49</v>
      </c>
      <c r="E1009">
        <v>394290</v>
      </c>
    </row>
    <row r="1010" spans="1:5" x14ac:dyDescent="0.25">
      <c r="A1010" t="s">
        <v>109</v>
      </c>
      <c r="B1010" t="s">
        <v>124</v>
      </c>
      <c r="C1010" t="s">
        <v>51</v>
      </c>
      <c r="D1010">
        <v>371432</v>
      </c>
    </row>
    <row r="1011" spans="1:5" x14ac:dyDescent="0.25">
      <c r="A1011" t="s">
        <v>109</v>
      </c>
      <c r="B1011" t="s">
        <v>184</v>
      </c>
      <c r="C1011" t="s">
        <v>52</v>
      </c>
    </row>
    <row r="1012" spans="1:5" x14ac:dyDescent="0.25">
      <c r="A1012" t="s">
        <v>109</v>
      </c>
      <c r="B1012" t="s">
        <v>185</v>
      </c>
      <c r="C1012" t="s">
        <v>53</v>
      </c>
    </row>
    <row r="1013" spans="1:5" x14ac:dyDescent="0.25">
      <c r="A1013" t="s">
        <v>109</v>
      </c>
      <c r="B1013" t="s">
        <v>186</v>
      </c>
      <c r="C1013" t="s">
        <v>54</v>
      </c>
      <c r="E1013">
        <v>17427</v>
      </c>
    </row>
    <row r="1014" spans="1:5" x14ac:dyDescent="0.25">
      <c r="A1014" t="s">
        <v>109</v>
      </c>
      <c r="B1014" t="s">
        <v>187</v>
      </c>
      <c r="C1014" t="s">
        <v>55</v>
      </c>
      <c r="D1014">
        <v>35275</v>
      </c>
    </row>
    <row r="1015" spans="1:5" x14ac:dyDescent="0.25">
      <c r="A1015" t="s">
        <v>109</v>
      </c>
      <c r="B1015" t="s">
        <v>188</v>
      </c>
      <c r="C1015" t="s">
        <v>56</v>
      </c>
      <c r="E1015">
        <v>406707</v>
      </c>
    </row>
    <row r="1016" spans="1:5" x14ac:dyDescent="0.25">
      <c r="A1016" t="s">
        <v>109</v>
      </c>
      <c r="B1016" t="s">
        <v>196</v>
      </c>
      <c r="C1016" t="s">
        <v>81</v>
      </c>
      <c r="E1016">
        <v>390438</v>
      </c>
    </row>
    <row r="1017" spans="1:5" x14ac:dyDescent="0.25">
      <c r="A1017" t="s">
        <v>109</v>
      </c>
      <c r="B1017" t="s">
        <v>197</v>
      </c>
      <c r="C1017" t="s">
        <v>82</v>
      </c>
    </row>
    <row r="1018" spans="1:5" x14ac:dyDescent="0.25">
      <c r="A1018" t="s">
        <v>109</v>
      </c>
      <c r="B1018" t="s">
        <v>198</v>
      </c>
      <c r="C1018" t="s">
        <v>83</v>
      </c>
    </row>
    <row r="1019" spans="1:5" x14ac:dyDescent="0.25">
      <c r="A1019" t="s">
        <v>109</v>
      </c>
      <c r="B1019" t="s">
        <v>199</v>
      </c>
      <c r="C1019" t="s">
        <v>84</v>
      </c>
    </row>
    <row r="1020" spans="1:5" x14ac:dyDescent="0.25">
      <c r="A1020" t="s">
        <v>109</v>
      </c>
      <c r="B1020" t="s">
        <v>200</v>
      </c>
      <c r="C1020" t="s">
        <v>85</v>
      </c>
    </row>
    <row r="1021" spans="1:5" x14ac:dyDescent="0.25">
      <c r="A1021" t="s">
        <v>109</v>
      </c>
      <c r="B1021" t="s">
        <v>201</v>
      </c>
      <c r="C1021" t="s">
        <v>86</v>
      </c>
    </row>
    <row r="1022" spans="1:5" x14ac:dyDescent="0.25">
      <c r="A1022" t="s">
        <v>109</v>
      </c>
      <c r="B1022" t="s">
        <v>202</v>
      </c>
      <c r="C1022" t="s">
        <v>87</v>
      </c>
    </row>
    <row r="1023" spans="1:5" x14ac:dyDescent="0.25">
      <c r="A1023" t="s">
        <v>109</v>
      </c>
      <c r="B1023" t="s">
        <v>203</v>
      </c>
      <c r="C1023" t="s">
        <v>88</v>
      </c>
    </row>
    <row r="1024" spans="1:5" x14ac:dyDescent="0.25">
      <c r="A1024" t="s">
        <v>109</v>
      </c>
      <c r="B1024" t="s">
        <v>204</v>
      </c>
      <c r="C1024" t="s">
        <v>89</v>
      </c>
    </row>
    <row r="1025" spans="1:5" x14ac:dyDescent="0.25">
      <c r="A1025" t="s">
        <v>109</v>
      </c>
      <c r="B1025" t="s">
        <v>205</v>
      </c>
      <c r="C1025" t="s">
        <v>90</v>
      </c>
      <c r="E1025">
        <v>216922</v>
      </c>
    </row>
    <row r="1026" spans="1:5" x14ac:dyDescent="0.25">
      <c r="A1026" t="s">
        <v>109</v>
      </c>
      <c r="B1026" t="s">
        <v>206</v>
      </c>
      <c r="C1026" t="s">
        <v>88</v>
      </c>
      <c r="E1026">
        <v>29284</v>
      </c>
    </row>
    <row r="1027" spans="1:5" x14ac:dyDescent="0.25">
      <c r="A1027" t="s">
        <v>109</v>
      </c>
      <c r="B1027" t="s">
        <v>207</v>
      </c>
      <c r="C1027" t="s">
        <v>89</v>
      </c>
      <c r="E1027">
        <v>187638</v>
      </c>
    </row>
    <row r="1028" spans="1:5" x14ac:dyDescent="0.25">
      <c r="A1028" t="s">
        <v>109</v>
      </c>
      <c r="B1028" t="s">
        <v>208</v>
      </c>
      <c r="C1028" t="s">
        <v>91</v>
      </c>
    </row>
    <row r="1029" spans="1:5" x14ac:dyDescent="0.25">
      <c r="A1029" t="s">
        <v>109</v>
      </c>
      <c r="B1029" t="s">
        <v>209</v>
      </c>
      <c r="C1029" t="s">
        <v>92</v>
      </c>
    </row>
    <row r="1030" spans="1:5" x14ac:dyDescent="0.25">
      <c r="A1030" t="s">
        <v>109</v>
      </c>
      <c r="B1030" t="s">
        <v>210</v>
      </c>
      <c r="C1030" t="s">
        <v>93</v>
      </c>
    </row>
    <row r="1031" spans="1:5" x14ac:dyDescent="0.25">
      <c r="A1031" t="s">
        <v>109</v>
      </c>
      <c r="B1031" t="s">
        <v>211</v>
      </c>
      <c r="C1031" t="s">
        <v>94</v>
      </c>
    </row>
    <row r="1032" spans="1:5" x14ac:dyDescent="0.25">
      <c r="A1032" t="s">
        <v>109</v>
      </c>
      <c r="B1032" t="s">
        <v>212</v>
      </c>
      <c r="C1032" t="s">
        <v>95</v>
      </c>
    </row>
    <row r="1033" spans="1:5" x14ac:dyDescent="0.25">
      <c r="A1033" t="s">
        <v>109</v>
      </c>
      <c r="B1033" t="s">
        <v>213</v>
      </c>
      <c r="C1033" t="s">
        <v>96</v>
      </c>
    </row>
    <row r="1034" spans="1:5" x14ac:dyDescent="0.25">
      <c r="A1034" t="s">
        <v>109</v>
      </c>
      <c r="B1034" t="s">
        <v>214</v>
      </c>
      <c r="C1034" t="s">
        <v>97</v>
      </c>
    </row>
    <row r="1035" spans="1:5" x14ac:dyDescent="0.25">
      <c r="A1035" t="s">
        <v>109</v>
      </c>
      <c r="B1035" t="s">
        <v>215</v>
      </c>
      <c r="C1035" t="s">
        <v>98</v>
      </c>
    </row>
    <row r="1036" spans="1:5" x14ac:dyDescent="0.25">
      <c r="A1036" t="s">
        <v>109</v>
      </c>
      <c r="B1036" t="s">
        <v>216</v>
      </c>
      <c r="C1036" t="s">
        <v>99</v>
      </c>
    </row>
    <row r="1037" spans="1:5" x14ac:dyDescent="0.25">
      <c r="A1037" t="s">
        <v>109</v>
      </c>
      <c r="B1037" t="s">
        <v>217</v>
      </c>
      <c r="C1037" t="s">
        <v>100</v>
      </c>
      <c r="E1037">
        <v>273</v>
      </c>
    </row>
    <row r="1038" spans="1:5" x14ac:dyDescent="0.25">
      <c r="A1038" t="s">
        <v>109</v>
      </c>
      <c r="B1038" t="s">
        <v>218</v>
      </c>
      <c r="C1038" t="s">
        <v>101</v>
      </c>
      <c r="E1038">
        <v>173243</v>
      </c>
    </row>
    <row r="1039" spans="1:5" x14ac:dyDescent="0.25">
      <c r="A1039" t="s">
        <v>109</v>
      </c>
      <c r="B1039" t="s">
        <v>219</v>
      </c>
      <c r="C1039" t="s">
        <v>102</v>
      </c>
      <c r="E1039">
        <v>-803</v>
      </c>
    </row>
    <row r="1040" spans="1:5" x14ac:dyDescent="0.25">
      <c r="A1040" t="s">
        <v>109</v>
      </c>
      <c r="B1040" t="s">
        <v>220</v>
      </c>
      <c r="C1040" t="s">
        <v>103</v>
      </c>
      <c r="E1040">
        <v>174047</v>
      </c>
    </row>
    <row r="1041" spans="1:5" x14ac:dyDescent="0.25">
      <c r="A1041" t="s">
        <v>109</v>
      </c>
      <c r="B1041" t="s">
        <v>221</v>
      </c>
      <c r="C1041" t="s">
        <v>104</v>
      </c>
      <c r="E1041">
        <v>1928944</v>
      </c>
    </row>
    <row r="1042" spans="1:5" x14ac:dyDescent="0.25">
      <c r="A1042" t="s">
        <v>109</v>
      </c>
      <c r="B1042" t="s">
        <v>222</v>
      </c>
      <c r="C1042" t="s">
        <v>82</v>
      </c>
    </row>
    <row r="1043" spans="1:5" x14ac:dyDescent="0.25">
      <c r="A1043" t="s">
        <v>109</v>
      </c>
      <c r="B1043" t="s">
        <v>223</v>
      </c>
      <c r="C1043" t="s">
        <v>83</v>
      </c>
    </row>
    <row r="1044" spans="1:5" x14ac:dyDescent="0.25">
      <c r="A1044" t="s">
        <v>109</v>
      </c>
      <c r="B1044" t="s">
        <v>224</v>
      </c>
      <c r="C1044" t="s">
        <v>84</v>
      </c>
    </row>
    <row r="1045" spans="1:5" x14ac:dyDescent="0.25">
      <c r="A1045" t="s">
        <v>109</v>
      </c>
      <c r="B1045" t="s">
        <v>225</v>
      </c>
      <c r="C1045" t="s">
        <v>85</v>
      </c>
    </row>
    <row r="1046" spans="1:5" x14ac:dyDescent="0.25">
      <c r="A1046" t="s">
        <v>109</v>
      </c>
      <c r="B1046" t="s">
        <v>226</v>
      </c>
      <c r="C1046" t="s">
        <v>86</v>
      </c>
    </row>
    <row r="1047" spans="1:5" x14ac:dyDescent="0.25">
      <c r="A1047" t="s">
        <v>109</v>
      </c>
      <c r="B1047" t="s">
        <v>227</v>
      </c>
      <c r="C1047" t="s">
        <v>87</v>
      </c>
    </row>
    <row r="1048" spans="1:5" x14ac:dyDescent="0.25">
      <c r="A1048" t="s">
        <v>109</v>
      </c>
      <c r="B1048" t="s">
        <v>228</v>
      </c>
      <c r="C1048" t="s">
        <v>88</v>
      </c>
    </row>
    <row r="1049" spans="1:5" x14ac:dyDescent="0.25">
      <c r="A1049" t="s">
        <v>109</v>
      </c>
      <c r="B1049" t="s">
        <v>229</v>
      </c>
      <c r="C1049" t="s">
        <v>89</v>
      </c>
    </row>
    <row r="1050" spans="1:5" x14ac:dyDescent="0.25">
      <c r="A1050" t="s">
        <v>109</v>
      </c>
      <c r="B1050" t="s">
        <v>230</v>
      </c>
      <c r="C1050" t="s">
        <v>90</v>
      </c>
      <c r="E1050">
        <v>1405889</v>
      </c>
    </row>
    <row r="1051" spans="1:5" x14ac:dyDescent="0.25">
      <c r="A1051" t="s">
        <v>109</v>
      </c>
      <c r="B1051" t="s">
        <v>231</v>
      </c>
      <c r="C1051" t="s">
        <v>88</v>
      </c>
      <c r="E1051">
        <v>206531</v>
      </c>
    </row>
    <row r="1052" spans="1:5" x14ac:dyDescent="0.25">
      <c r="A1052" t="s">
        <v>109</v>
      </c>
      <c r="B1052" t="s">
        <v>232</v>
      </c>
      <c r="C1052" t="s">
        <v>89</v>
      </c>
      <c r="E1052">
        <v>1199359</v>
      </c>
    </row>
    <row r="1053" spans="1:5" x14ac:dyDescent="0.25">
      <c r="A1053" t="s">
        <v>109</v>
      </c>
      <c r="B1053" t="s">
        <v>233</v>
      </c>
      <c r="C1053" t="s">
        <v>91</v>
      </c>
    </row>
    <row r="1054" spans="1:5" x14ac:dyDescent="0.25">
      <c r="A1054" t="s">
        <v>109</v>
      </c>
      <c r="B1054" t="s">
        <v>234</v>
      </c>
      <c r="C1054" t="s">
        <v>92</v>
      </c>
    </row>
    <row r="1055" spans="1:5" x14ac:dyDescent="0.25">
      <c r="A1055" t="s">
        <v>109</v>
      </c>
      <c r="B1055" t="s">
        <v>235</v>
      </c>
      <c r="C1055" t="s">
        <v>93</v>
      </c>
    </row>
    <row r="1056" spans="1:5" x14ac:dyDescent="0.25">
      <c r="A1056" t="s">
        <v>109</v>
      </c>
      <c r="B1056" t="s">
        <v>236</v>
      </c>
      <c r="C1056" t="s">
        <v>94</v>
      </c>
    </row>
    <row r="1057" spans="1:5" x14ac:dyDescent="0.25">
      <c r="A1057" t="s">
        <v>109</v>
      </c>
      <c r="B1057" t="s">
        <v>237</v>
      </c>
      <c r="C1057" t="s">
        <v>95</v>
      </c>
    </row>
    <row r="1058" spans="1:5" x14ac:dyDescent="0.25">
      <c r="A1058" t="s">
        <v>109</v>
      </c>
      <c r="B1058" t="s">
        <v>238</v>
      </c>
      <c r="C1058" t="s">
        <v>96</v>
      </c>
    </row>
    <row r="1059" spans="1:5" x14ac:dyDescent="0.25">
      <c r="A1059" t="s">
        <v>109</v>
      </c>
      <c r="B1059" t="s">
        <v>239</v>
      </c>
      <c r="C1059" t="s">
        <v>97</v>
      </c>
    </row>
    <row r="1060" spans="1:5" x14ac:dyDescent="0.25">
      <c r="A1060" t="s">
        <v>109</v>
      </c>
      <c r="B1060" t="s">
        <v>240</v>
      </c>
      <c r="C1060" t="s">
        <v>98</v>
      </c>
    </row>
    <row r="1061" spans="1:5" x14ac:dyDescent="0.25">
      <c r="A1061" t="s">
        <v>109</v>
      </c>
      <c r="B1061" t="s">
        <v>241</v>
      </c>
      <c r="C1061" t="s">
        <v>99</v>
      </c>
    </row>
    <row r="1062" spans="1:5" x14ac:dyDescent="0.25">
      <c r="A1062" t="s">
        <v>109</v>
      </c>
      <c r="B1062" t="s">
        <v>242</v>
      </c>
      <c r="C1062" t="s">
        <v>100</v>
      </c>
      <c r="E1062">
        <v>2308</v>
      </c>
    </row>
    <row r="1063" spans="1:5" x14ac:dyDescent="0.25">
      <c r="A1063" t="s">
        <v>109</v>
      </c>
      <c r="B1063" t="s">
        <v>243</v>
      </c>
      <c r="C1063" t="s">
        <v>101</v>
      </c>
      <c r="E1063">
        <v>520746</v>
      </c>
    </row>
    <row r="1064" spans="1:5" x14ac:dyDescent="0.25">
      <c r="A1064" t="s">
        <v>109</v>
      </c>
      <c r="B1064" t="s">
        <v>244</v>
      </c>
      <c r="C1064" t="s">
        <v>102</v>
      </c>
      <c r="E1064">
        <v>23316</v>
      </c>
    </row>
    <row r="1065" spans="1:5" x14ac:dyDescent="0.25">
      <c r="A1065" t="s">
        <v>109</v>
      </c>
      <c r="B1065" t="s">
        <v>245</v>
      </c>
      <c r="C1065" t="s">
        <v>103</v>
      </c>
      <c r="E1065">
        <v>497430</v>
      </c>
    </row>
    <row r="1066" spans="1:5" x14ac:dyDescent="0.25">
      <c r="A1066" t="s">
        <v>109</v>
      </c>
      <c r="B1066" t="s">
        <v>246</v>
      </c>
      <c r="C1066" t="s">
        <v>105</v>
      </c>
    </row>
    <row r="1067" spans="1:5" x14ac:dyDescent="0.25">
      <c r="A1067" t="s">
        <v>110</v>
      </c>
      <c r="B1067" t="s">
        <v>148</v>
      </c>
      <c r="C1067" t="s">
        <v>6</v>
      </c>
    </row>
    <row r="1068" spans="1:5" x14ac:dyDescent="0.25">
      <c r="A1068" t="s">
        <v>110</v>
      </c>
      <c r="B1068" t="s">
        <v>149</v>
      </c>
      <c r="C1068" t="s">
        <v>7</v>
      </c>
    </row>
    <row r="1069" spans="1:5" x14ac:dyDescent="0.25">
      <c r="A1069" t="s">
        <v>110</v>
      </c>
      <c r="B1069" t="s">
        <v>150</v>
      </c>
      <c r="C1069" t="s">
        <v>8</v>
      </c>
      <c r="E1069">
        <v>1527220</v>
      </c>
    </row>
    <row r="1070" spans="1:5" x14ac:dyDescent="0.25">
      <c r="A1070" t="s">
        <v>110</v>
      </c>
      <c r="B1070" t="s">
        <v>189</v>
      </c>
      <c r="C1070" t="s">
        <v>67</v>
      </c>
      <c r="E1070">
        <v>1041829</v>
      </c>
    </row>
    <row r="1071" spans="1:5" x14ac:dyDescent="0.25">
      <c r="A1071" t="s">
        <v>110</v>
      </c>
      <c r="B1071" t="s">
        <v>190</v>
      </c>
      <c r="C1071" t="s">
        <v>68</v>
      </c>
      <c r="E1071">
        <v>485391</v>
      </c>
    </row>
    <row r="1072" spans="1:5" x14ac:dyDescent="0.25">
      <c r="A1072" t="s">
        <v>110</v>
      </c>
      <c r="B1072" t="s">
        <v>151</v>
      </c>
      <c r="C1072" t="s">
        <v>9</v>
      </c>
      <c r="D1072">
        <v>452371</v>
      </c>
    </row>
    <row r="1073" spans="1:5" x14ac:dyDescent="0.25">
      <c r="A1073" t="s">
        <v>110</v>
      </c>
      <c r="B1073" t="s">
        <v>152</v>
      </c>
      <c r="C1073" t="s">
        <v>10</v>
      </c>
    </row>
    <row r="1074" spans="1:5" x14ac:dyDescent="0.25">
      <c r="A1074" t="s">
        <v>110</v>
      </c>
      <c r="B1074" t="s">
        <v>153</v>
      </c>
      <c r="C1074" t="s">
        <v>11</v>
      </c>
      <c r="D1074">
        <v>1074849</v>
      </c>
      <c r="E1074">
        <v>1074849</v>
      </c>
    </row>
    <row r="1075" spans="1:5" x14ac:dyDescent="0.25">
      <c r="A1075" t="s">
        <v>110</v>
      </c>
      <c r="B1075" t="s">
        <v>154</v>
      </c>
      <c r="C1075" t="s">
        <v>12</v>
      </c>
    </row>
    <row r="1076" spans="1:5" x14ac:dyDescent="0.25">
      <c r="A1076" t="s">
        <v>110</v>
      </c>
      <c r="B1076" t="s">
        <v>155</v>
      </c>
      <c r="C1076" t="s">
        <v>13</v>
      </c>
      <c r="D1076">
        <v>121732</v>
      </c>
      <c r="E1076">
        <v>2673177</v>
      </c>
    </row>
    <row r="1077" spans="1:5" x14ac:dyDescent="0.25">
      <c r="A1077" t="s">
        <v>110</v>
      </c>
      <c r="B1077" t="s">
        <v>156</v>
      </c>
      <c r="C1077" t="s">
        <v>69</v>
      </c>
      <c r="D1077">
        <v>116747</v>
      </c>
      <c r="E1077">
        <v>2128005</v>
      </c>
    </row>
    <row r="1078" spans="1:5" x14ac:dyDescent="0.25">
      <c r="A1078" t="s">
        <v>110</v>
      </c>
      <c r="B1078" t="s">
        <v>135</v>
      </c>
      <c r="C1078" t="s">
        <v>15</v>
      </c>
      <c r="D1078">
        <v>4985</v>
      </c>
      <c r="E1078">
        <v>545172</v>
      </c>
    </row>
    <row r="1079" spans="1:5" x14ac:dyDescent="0.25">
      <c r="A1079" t="s">
        <v>110</v>
      </c>
      <c r="B1079" t="s">
        <v>157</v>
      </c>
      <c r="C1079" t="s">
        <v>16</v>
      </c>
      <c r="D1079">
        <v>4985</v>
      </c>
      <c r="E1079">
        <v>473185</v>
      </c>
    </row>
    <row r="1080" spans="1:5" x14ac:dyDescent="0.25">
      <c r="A1080" t="s">
        <v>110</v>
      </c>
      <c r="B1080" t="s">
        <v>158</v>
      </c>
      <c r="C1080" t="s">
        <v>17</v>
      </c>
      <c r="E1080">
        <v>71987</v>
      </c>
    </row>
    <row r="1081" spans="1:5" x14ac:dyDescent="0.25">
      <c r="A1081" t="s">
        <v>110</v>
      </c>
      <c r="B1081" t="s">
        <v>159</v>
      </c>
      <c r="C1081" t="s">
        <v>18</v>
      </c>
      <c r="D1081">
        <v>-527</v>
      </c>
    </row>
    <row r="1082" spans="1:5" x14ac:dyDescent="0.25">
      <c r="A1082" t="s">
        <v>110</v>
      </c>
      <c r="B1082" t="s">
        <v>160</v>
      </c>
      <c r="C1082" t="s">
        <v>19</v>
      </c>
      <c r="D1082">
        <v>-527</v>
      </c>
    </row>
    <row r="1083" spans="1:5" x14ac:dyDescent="0.25">
      <c r="A1083" t="s">
        <v>110</v>
      </c>
      <c r="B1083" t="s">
        <v>161</v>
      </c>
      <c r="C1083" t="s">
        <v>20</v>
      </c>
      <c r="D1083">
        <v>454227</v>
      </c>
      <c r="E1083">
        <v>454227</v>
      </c>
    </row>
    <row r="1084" spans="1:5" x14ac:dyDescent="0.25">
      <c r="A1084" t="s">
        <v>110</v>
      </c>
      <c r="B1084" t="s">
        <v>162</v>
      </c>
      <c r="C1084" t="s">
        <v>21</v>
      </c>
      <c r="D1084">
        <v>499417</v>
      </c>
      <c r="E1084">
        <v>499417</v>
      </c>
    </row>
    <row r="1085" spans="1:5" x14ac:dyDescent="0.25">
      <c r="A1085" t="s">
        <v>110</v>
      </c>
      <c r="B1085" t="s">
        <v>163</v>
      </c>
      <c r="C1085" t="s">
        <v>22</v>
      </c>
      <c r="D1085">
        <v>362726</v>
      </c>
      <c r="E1085">
        <v>914775</v>
      </c>
    </row>
    <row r="1086" spans="1:5" x14ac:dyDescent="0.25">
      <c r="A1086" t="s">
        <v>110</v>
      </c>
      <c r="B1086" t="s">
        <v>140</v>
      </c>
      <c r="C1086" t="s">
        <v>23</v>
      </c>
      <c r="D1086">
        <v>361884</v>
      </c>
      <c r="E1086">
        <v>481361</v>
      </c>
    </row>
    <row r="1087" spans="1:5" x14ac:dyDescent="0.25">
      <c r="A1087" t="s">
        <v>110</v>
      </c>
      <c r="B1087" t="s">
        <v>164</v>
      </c>
      <c r="C1087" t="s">
        <v>70</v>
      </c>
      <c r="E1087">
        <v>333980</v>
      </c>
    </row>
    <row r="1088" spans="1:5" x14ac:dyDescent="0.25">
      <c r="A1088" t="s">
        <v>110</v>
      </c>
      <c r="B1088" t="s">
        <v>191</v>
      </c>
      <c r="C1088" t="s">
        <v>71</v>
      </c>
    </row>
    <row r="1089" spans="1:5" x14ac:dyDescent="0.25">
      <c r="A1089" t="s">
        <v>110</v>
      </c>
      <c r="B1089" t="s">
        <v>133</v>
      </c>
      <c r="C1089" t="s">
        <v>72</v>
      </c>
      <c r="E1089">
        <v>99434</v>
      </c>
    </row>
    <row r="1090" spans="1:5" x14ac:dyDescent="0.25">
      <c r="A1090" t="s">
        <v>110</v>
      </c>
      <c r="B1090" t="s">
        <v>192</v>
      </c>
      <c r="C1090" t="s">
        <v>73</v>
      </c>
      <c r="E1090">
        <v>5933</v>
      </c>
    </row>
    <row r="1091" spans="1:5" x14ac:dyDescent="0.25">
      <c r="A1091" t="s">
        <v>110</v>
      </c>
      <c r="B1091" t="s">
        <v>193</v>
      </c>
      <c r="C1091" t="s">
        <v>74</v>
      </c>
      <c r="E1091">
        <v>79427</v>
      </c>
    </row>
    <row r="1092" spans="1:5" x14ac:dyDescent="0.25">
      <c r="A1092" t="s">
        <v>110</v>
      </c>
      <c r="B1092" t="s">
        <v>194</v>
      </c>
      <c r="C1092" t="s">
        <v>75</v>
      </c>
      <c r="E1092">
        <v>14074</v>
      </c>
    </row>
    <row r="1093" spans="1:5" x14ac:dyDescent="0.25">
      <c r="A1093" t="s">
        <v>110</v>
      </c>
      <c r="B1093" t="s">
        <v>166</v>
      </c>
      <c r="C1093" t="s">
        <v>26</v>
      </c>
      <c r="D1093">
        <v>842</v>
      </c>
    </row>
    <row r="1094" spans="1:5" x14ac:dyDescent="0.25">
      <c r="A1094" t="s">
        <v>110</v>
      </c>
      <c r="B1094" t="s">
        <v>167</v>
      </c>
      <c r="C1094" t="s">
        <v>27</v>
      </c>
      <c r="D1094">
        <v>4178870</v>
      </c>
      <c r="E1094">
        <v>4178870</v>
      </c>
    </row>
    <row r="1095" spans="1:5" x14ac:dyDescent="0.25">
      <c r="A1095" t="s">
        <v>110</v>
      </c>
      <c r="B1095" t="s">
        <v>168</v>
      </c>
      <c r="C1095" t="s">
        <v>28</v>
      </c>
      <c r="D1095">
        <v>195924</v>
      </c>
    </row>
    <row r="1096" spans="1:5" x14ac:dyDescent="0.25">
      <c r="A1096" t="s">
        <v>110</v>
      </c>
      <c r="B1096" t="s">
        <v>137</v>
      </c>
      <c r="C1096" t="s">
        <v>29</v>
      </c>
      <c r="D1096">
        <v>768026</v>
      </c>
    </row>
    <row r="1097" spans="1:5" x14ac:dyDescent="0.25">
      <c r="A1097" t="s">
        <v>110</v>
      </c>
      <c r="B1097" t="s">
        <v>169</v>
      </c>
      <c r="C1097" t="s">
        <v>30</v>
      </c>
      <c r="D1097">
        <v>473185</v>
      </c>
    </row>
    <row r="1098" spans="1:5" x14ac:dyDescent="0.25">
      <c r="A1098" t="s">
        <v>110</v>
      </c>
      <c r="B1098" t="s">
        <v>170</v>
      </c>
      <c r="C1098" t="s">
        <v>31</v>
      </c>
      <c r="D1098">
        <v>71987</v>
      </c>
    </row>
    <row r="1099" spans="1:5" x14ac:dyDescent="0.25">
      <c r="A1099" t="s">
        <v>110</v>
      </c>
      <c r="B1099" t="s">
        <v>195</v>
      </c>
      <c r="C1099" t="s">
        <v>76</v>
      </c>
      <c r="D1099">
        <v>222854</v>
      </c>
    </row>
    <row r="1100" spans="1:5" x14ac:dyDescent="0.25">
      <c r="A1100" t="s">
        <v>110</v>
      </c>
      <c r="B1100" t="s">
        <v>138</v>
      </c>
      <c r="C1100" t="s">
        <v>33</v>
      </c>
      <c r="E1100">
        <v>994425</v>
      </c>
    </row>
    <row r="1101" spans="1:5" x14ac:dyDescent="0.25">
      <c r="A1101" t="s">
        <v>110</v>
      </c>
      <c r="B1101" t="s">
        <v>172</v>
      </c>
      <c r="C1101" t="s">
        <v>34</v>
      </c>
      <c r="E1101">
        <v>493046</v>
      </c>
    </row>
    <row r="1102" spans="1:5" x14ac:dyDescent="0.25">
      <c r="A1102" t="s">
        <v>110</v>
      </c>
      <c r="B1102" t="s">
        <v>173</v>
      </c>
      <c r="C1102" t="s">
        <v>35</v>
      </c>
      <c r="E1102">
        <v>425477</v>
      </c>
    </row>
    <row r="1103" spans="1:5" x14ac:dyDescent="0.25">
      <c r="A1103" t="s">
        <v>110</v>
      </c>
      <c r="B1103" t="s">
        <v>174</v>
      </c>
      <c r="C1103" t="s">
        <v>36</v>
      </c>
      <c r="E1103">
        <v>75902</v>
      </c>
    </row>
    <row r="1104" spans="1:5" x14ac:dyDescent="0.25">
      <c r="A1104" t="s">
        <v>110</v>
      </c>
      <c r="B1104" t="s">
        <v>141</v>
      </c>
      <c r="C1104" t="s">
        <v>37</v>
      </c>
      <c r="D1104">
        <v>101688</v>
      </c>
      <c r="E1104">
        <v>40563</v>
      </c>
    </row>
    <row r="1105" spans="1:5" x14ac:dyDescent="0.25">
      <c r="A1105" t="s">
        <v>110</v>
      </c>
      <c r="B1105" t="s">
        <v>175</v>
      </c>
      <c r="C1105" t="s">
        <v>38</v>
      </c>
      <c r="D1105">
        <v>35297</v>
      </c>
    </row>
    <row r="1106" spans="1:5" x14ac:dyDescent="0.25">
      <c r="A1106" t="s">
        <v>110</v>
      </c>
      <c r="B1106" t="s">
        <v>176</v>
      </c>
      <c r="C1106" t="s">
        <v>39</v>
      </c>
      <c r="E1106">
        <v>23733</v>
      </c>
    </row>
    <row r="1107" spans="1:5" x14ac:dyDescent="0.25">
      <c r="A1107" t="s">
        <v>110</v>
      </c>
      <c r="B1107" t="s">
        <v>177</v>
      </c>
      <c r="C1107" t="s">
        <v>77</v>
      </c>
    </row>
    <row r="1108" spans="1:5" x14ac:dyDescent="0.25">
      <c r="A1108" t="s">
        <v>110</v>
      </c>
      <c r="B1108" t="s">
        <v>178</v>
      </c>
      <c r="C1108" t="s">
        <v>78</v>
      </c>
    </row>
    <row r="1109" spans="1:5" x14ac:dyDescent="0.25">
      <c r="A1109" t="s">
        <v>110</v>
      </c>
      <c r="B1109" t="s">
        <v>179</v>
      </c>
      <c r="C1109" t="s">
        <v>42</v>
      </c>
      <c r="D1109">
        <v>66391</v>
      </c>
      <c r="E1109">
        <v>16830</v>
      </c>
    </row>
    <row r="1110" spans="1:5" x14ac:dyDescent="0.25">
      <c r="A1110" t="s">
        <v>110</v>
      </c>
      <c r="B1110" t="s">
        <v>121</v>
      </c>
      <c r="C1110" t="s">
        <v>79</v>
      </c>
      <c r="D1110">
        <v>4148220</v>
      </c>
      <c r="E1110">
        <v>4148220</v>
      </c>
    </row>
    <row r="1111" spans="1:5" x14ac:dyDescent="0.25">
      <c r="A1111" t="s">
        <v>110</v>
      </c>
      <c r="B1111" t="s">
        <v>142</v>
      </c>
      <c r="C1111" t="s">
        <v>44</v>
      </c>
      <c r="E1111">
        <v>612035</v>
      </c>
    </row>
    <row r="1112" spans="1:5" x14ac:dyDescent="0.25">
      <c r="A1112" t="s">
        <v>110</v>
      </c>
      <c r="B1112" t="s">
        <v>180</v>
      </c>
      <c r="C1112" t="s">
        <v>45</v>
      </c>
      <c r="D1112">
        <v>4760255</v>
      </c>
      <c r="E1112">
        <v>4760255</v>
      </c>
    </row>
    <row r="1113" spans="1:5" x14ac:dyDescent="0.25">
      <c r="A1113" t="s">
        <v>110</v>
      </c>
      <c r="B1113" t="s">
        <v>181</v>
      </c>
      <c r="C1113" t="s">
        <v>46</v>
      </c>
      <c r="D1113">
        <v>4359905</v>
      </c>
    </row>
    <row r="1114" spans="1:5" x14ac:dyDescent="0.25">
      <c r="A1114" t="s">
        <v>110</v>
      </c>
      <c r="B1114" t="s">
        <v>122</v>
      </c>
      <c r="C1114" t="s">
        <v>47</v>
      </c>
      <c r="D1114">
        <v>3747870</v>
      </c>
    </row>
    <row r="1115" spans="1:5" x14ac:dyDescent="0.25">
      <c r="A1115" t="s">
        <v>110</v>
      </c>
      <c r="B1115" t="s">
        <v>182</v>
      </c>
      <c r="C1115" t="s">
        <v>80</v>
      </c>
      <c r="E1115">
        <v>93160</v>
      </c>
    </row>
    <row r="1116" spans="1:5" x14ac:dyDescent="0.25">
      <c r="A1116" t="s">
        <v>110</v>
      </c>
      <c r="B1116" t="s">
        <v>127</v>
      </c>
      <c r="C1116" t="s">
        <v>49</v>
      </c>
      <c r="D1116">
        <v>493510</v>
      </c>
    </row>
    <row r="1117" spans="1:5" x14ac:dyDescent="0.25">
      <c r="A1117" t="s">
        <v>110</v>
      </c>
      <c r="B1117" t="s">
        <v>183</v>
      </c>
      <c r="C1117" t="s">
        <v>50</v>
      </c>
    </row>
    <row r="1118" spans="1:5" x14ac:dyDescent="0.25">
      <c r="A1118" t="s">
        <v>110</v>
      </c>
      <c r="B1118" t="s">
        <v>127</v>
      </c>
      <c r="C1118" t="s">
        <v>49</v>
      </c>
      <c r="E1118">
        <v>493510</v>
      </c>
    </row>
    <row r="1119" spans="1:5" x14ac:dyDescent="0.25">
      <c r="A1119" t="s">
        <v>110</v>
      </c>
      <c r="B1119" t="s">
        <v>124</v>
      </c>
      <c r="C1119" t="s">
        <v>51</v>
      </c>
      <c r="D1119">
        <v>372116</v>
      </c>
    </row>
    <row r="1120" spans="1:5" x14ac:dyDescent="0.25">
      <c r="A1120" t="s">
        <v>110</v>
      </c>
      <c r="B1120" t="s">
        <v>184</v>
      </c>
      <c r="C1120" t="s">
        <v>52</v>
      </c>
    </row>
    <row r="1121" spans="1:5" x14ac:dyDescent="0.25">
      <c r="A1121" t="s">
        <v>110</v>
      </c>
      <c r="B1121" t="s">
        <v>185</v>
      </c>
      <c r="C1121" t="s">
        <v>53</v>
      </c>
    </row>
    <row r="1122" spans="1:5" x14ac:dyDescent="0.25">
      <c r="A1122" t="s">
        <v>110</v>
      </c>
      <c r="B1122" t="s">
        <v>186</v>
      </c>
      <c r="C1122" t="s">
        <v>54</v>
      </c>
      <c r="E1122">
        <v>8588</v>
      </c>
    </row>
    <row r="1123" spans="1:5" x14ac:dyDescent="0.25">
      <c r="A1123" t="s">
        <v>110</v>
      </c>
      <c r="B1123" t="s">
        <v>187</v>
      </c>
      <c r="C1123" t="s">
        <v>55</v>
      </c>
      <c r="D1123">
        <v>122964</v>
      </c>
    </row>
    <row r="1124" spans="1:5" x14ac:dyDescent="0.25">
      <c r="A1124" t="s">
        <v>110</v>
      </c>
      <c r="B1124" t="s">
        <v>188</v>
      </c>
      <c r="C1124" t="s">
        <v>56</v>
      </c>
      <c r="E1124">
        <v>495080</v>
      </c>
    </row>
    <row r="1125" spans="1:5" x14ac:dyDescent="0.25">
      <c r="A1125" t="s">
        <v>110</v>
      </c>
      <c r="B1125" t="s">
        <v>196</v>
      </c>
      <c r="C1125" t="s">
        <v>81</v>
      </c>
      <c r="E1125">
        <v>235169</v>
      </c>
    </row>
    <row r="1126" spans="1:5" x14ac:dyDescent="0.25">
      <c r="A1126" t="s">
        <v>110</v>
      </c>
      <c r="B1126" t="s">
        <v>197</v>
      </c>
      <c r="C1126" t="s">
        <v>82</v>
      </c>
    </row>
    <row r="1127" spans="1:5" x14ac:dyDescent="0.25">
      <c r="A1127" t="s">
        <v>110</v>
      </c>
      <c r="B1127" t="s">
        <v>198</v>
      </c>
      <c r="C1127" t="s">
        <v>83</v>
      </c>
    </row>
    <row r="1128" spans="1:5" x14ac:dyDescent="0.25">
      <c r="A1128" t="s">
        <v>110</v>
      </c>
      <c r="B1128" t="s">
        <v>199</v>
      </c>
      <c r="C1128" t="s">
        <v>84</v>
      </c>
    </row>
    <row r="1129" spans="1:5" x14ac:dyDescent="0.25">
      <c r="A1129" t="s">
        <v>110</v>
      </c>
      <c r="B1129" t="s">
        <v>200</v>
      </c>
      <c r="C1129" t="s">
        <v>85</v>
      </c>
    </row>
    <row r="1130" spans="1:5" x14ac:dyDescent="0.25">
      <c r="A1130" t="s">
        <v>110</v>
      </c>
      <c r="B1130" t="s">
        <v>201</v>
      </c>
      <c r="C1130" t="s">
        <v>86</v>
      </c>
    </row>
    <row r="1131" spans="1:5" x14ac:dyDescent="0.25">
      <c r="A1131" t="s">
        <v>110</v>
      </c>
      <c r="B1131" t="s">
        <v>202</v>
      </c>
      <c r="C1131" t="s">
        <v>87</v>
      </c>
    </row>
    <row r="1132" spans="1:5" x14ac:dyDescent="0.25">
      <c r="A1132" t="s">
        <v>110</v>
      </c>
      <c r="B1132" t="s">
        <v>203</v>
      </c>
      <c r="C1132" t="s">
        <v>88</v>
      </c>
    </row>
    <row r="1133" spans="1:5" x14ac:dyDescent="0.25">
      <c r="A1133" t="s">
        <v>110</v>
      </c>
      <c r="B1133" t="s">
        <v>204</v>
      </c>
      <c r="C1133" t="s">
        <v>89</v>
      </c>
    </row>
    <row r="1134" spans="1:5" x14ac:dyDescent="0.25">
      <c r="A1134" t="s">
        <v>110</v>
      </c>
      <c r="B1134" t="s">
        <v>205</v>
      </c>
      <c r="C1134" t="s">
        <v>90</v>
      </c>
      <c r="E1134">
        <v>121337</v>
      </c>
    </row>
    <row r="1135" spans="1:5" x14ac:dyDescent="0.25">
      <c r="A1135" t="s">
        <v>110</v>
      </c>
      <c r="B1135" t="s">
        <v>206</v>
      </c>
      <c r="C1135" t="s">
        <v>88</v>
      </c>
      <c r="E1135">
        <v>14718</v>
      </c>
    </row>
    <row r="1136" spans="1:5" x14ac:dyDescent="0.25">
      <c r="A1136" t="s">
        <v>110</v>
      </c>
      <c r="B1136" t="s">
        <v>207</v>
      </c>
      <c r="C1136" t="s">
        <v>89</v>
      </c>
      <c r="E1136">
        <v>106619</v>
      </c>
    </row>
    <row r="1137" spans="1:5" x14ac:dyDescent="0.25">
      <c r="A1137" t="s">
        <v>110</v>
      </c>
      <c r="B1137" t="s">
        <v>208</v>
      </c>
      <c r="C1137" t="s">
        <v>91</v>
      </c>
    </row>
    <row r="1138" spans="1:5" x14ac:dyDescent="0.25">
      <c r="A1138" t="s">
        <v>110</v>
      </c>
      <c r="B1138" t="s">
        <v>209</v>
      </c>
      <c r="C1138" t="s">
        <v>92</v>
      </c>
    </row>
    <row r="1139" spans="1:5" x14ac:dyDescent="0.25">
      <c r="A1139" t="s">
        <v>110</v>
      </c>
      <c r="B1139" t="s">
        <v>210</v>
      </c>
      <c r="C1139" t="s">
        <v>93</v>
      </c>
    </row>
    <row r="1140" spans="1:5" x14ac:dyDescent="0.25">
      <c r="A1140" t="s">
        <v>110</v>
      </c>
      <c r="B1140" t="s">
        <v>211</v>
      </c>
      <c r="C1140" t="s">
        <v>94</v>
      </c>
    </row>
    <row r="1141" spans="1:5" x14ac:dyDescent="0.25">
      <c r="A1141" t="s">
        <v>110</v>
      </c>
      <c r="B1141" t="s">
        <v>212</v>
      </c>
      <c r="C1141" t="s">
        <v>95</v>
      </c>
    </row>
    <row r="1142" spans="1:5" x14ac:dyDescent="0.25">
      <c r="A1142" t="s">
        <v>110</v>
      </c>
      <c r="B1142" t="s">
        <v>213</v>
      </c>
      <c r="C1142" t="s">
        <v>96</v>
      </c>
    </row>
    <row r="1143" spans="1:5" x14ac:dyDescent="0.25">
      <c r="A1143" t="s">
        <v>110</v>
      </c>
      <c r="B1143" t="s">
        <v>214</v>
      </c>
      <c r="C1143" t="s">
        <v>97</v>
      </c>
    </row>
    <row r="1144" spans="1:5" x14ac:dyDescent="0.25">
      <c r="A1144" t="s">
        <v>110</v>
      </c>
      <c r="B1144" t="s">
        <v>215</v>
      </c>
      <c r="C1144" t="s">
        <v>98</v>
      </c>
    </row>
    <row r="1145" spans="1:5" x14ac:dyDescent="0.25">
      <c r="A1145" t="s">
        <v>110</v>
      </c>
      <c r="B1145" t="s">
        <v>216</v>
      </c>
      <c r="C1145" t="s">
        <v>99</v>
      </c>
    </row>
    <row r="1146" spans="1:5" x14ac:dyDescent="0.25">
      <c r="A1146" t="s">
        <v>110</v>
      </c>
      <c r="B1146" t="s">
        <v>217</v>
      </c>
      <c r="C1146" t="s">
        <v>100</v>
      </c>
      <c r="E1146">
        <v>4778</v>
      </c>
    </row>
    <row r="1147" spans="1:5" x14ac:dyDescent="0.25">
      <c r="A1147" t="s">
        <v>110</v>
      </c>
      <c r="B1147" t="s">
        <v>218</v>
      </c>
      <c r="C1147" t="s">
        <v>101</v>
      </c>
      <c r="E1147">
        <v>109054</v>
      </c>
    </row>
    <row r="1148" spans="1:5" x14ac:dyDescent="0.25">
      <c r="A1148" t="s">
        <v>110</v>
      </c>
      <c r="B1148" t="s">
        <v>219</v>
      </c>
      <c r="C1148" t="s">
        <v>102</v>
      </c>
      <c r="E1148">
        <v>2951</v>
      </c>
    </row>
    <row r="1149" spans="1:5" x14ac:dyDescent="0.25">
      <c r="A1149" t="s">
        <v>110</v>
      </c>
      <c r="B1149" t="s">
        <v>220</v>
      </c>
      <c r="C1149" t="s">
        <v>103</v>
      </c>
      <c r="E1149">
        <v>106102</v>
      </c>
    </row>
    <row r="1150" spans="1:5" x14ac:dyDescent="0.25">
      <c r="A1150" t="s">
        <v>110</v>
      </c>
      <c r="B1150" t="s">
        <v>221</v>
      </c>
      <c r="C1150" t="s">
        <v>104</v>
      </c>
      <c r="E1150">
        <v>2202918</v>
      </c>
    </row>
    <row r="1151" spans="1:5" x14ac:dyDescent="0.25">
      <c r="A1151" t="s">
        <v>110</v>
      </c>
      <c r="B1151" t="s">
        <v>222</v>
      </c>
      <c r="C1151" t="s">
        <v>82</v>
      </c>
    </row>
    <row r="1152" spans="1:5" x14ac:dyDescent="0.25">
      <c r="A1152" t="s">
        <v>110</v>
      </c>
      <c r="B1152" t="s">
        <v>223</v>
      </c>
      <c r="C1152" t="s">
        <v>83</v>
      </c>
    </row>
    <row r="1153" spans="1:5" x14ac:dyDescent="0.25">
      <c r="A1153" t="s">
        <v>110</v>
      </c>
      <c r="B1153" t="s">
        <v>224</v>
      </c>
      <c r="C1153" t="s">
        <v>84</v>
      </c>
    </row>
    <row r="1154" spans="1:5" x14ac:dyDescent="0.25">
      <c r="A1154" t="s">
        <v>110</v>
      </c>
      <c r="B1154" t="s">
        <v>225</v>
      </c>
      <c r="C1154" t="s">
        <v>85</v>
      </c>
    </row>
    <row r="1155" spans="1:5" x14ac:dyDescent="0.25">
      <c r="A1155" t="s">
        <v>110</v>
      </c>
      <c r="B1155" t="s">
        <v>226</v>
      </c>
      <c r="C1155" t="s">
        <v>86</v>
      </c>
    </row>
    <row r="1156" spans="1:5" x14ac:dyDescent="0.25">
      <c r="A1156" t="s">
        <v>110</v>
      </c>
      <c r="B1156" t="s">
        <v>227</v>
      </c>
      <c r="C1156" t="s">
        <v>87</v>
      </c>
    </row>
    <row r="1157" spans="1:5" x14ac:dyDescent="0.25">
      <c r="A1157" t="s">
        <v>110</v>
      </c>
      <c r="B1157" t="s">
        <v>228</v>
      </c>
      <c r="C1157" t="s">
        <v>88</v>
      </c>
    </row>
    <row r="1158" spans="1:5" x14ac:dyDescent="0.25">
      <c r="A1158" t="s">
        <v>110</v>
      </c>
      <c r="B1158" t="s">
        <v>229</v>
      </c>
      <c r="C1158" t="s">
        <v>89</v>
      </c>
    </row>
    <row r="1159" spans="1:5" x14ac:dyDescent="0.25">
      <c r="A1159" t="s">
        <v>110</v>
      </c>
      <c r="B1159" t="s">
        <v>230</v>
      </c>
      <c r="C1159" t="s">
        <v>90</v>
      </c>
      <c r="E1159">
        <v>1605322</v>
      </c>
    </row>
    <row r="1160" spans="1:5" x14ac:dyDescent="0.25">
      <c r="A1160" t="s">
        <v>110</v>
      </c>
      <c r="B1160" t="s">
        <v>231</v>
      </c>
      <c r="C1160" t="s">
        <v>88</v>
      </c>
      <c r="E1160">
        <v>236083</v>
      </c>
    </row>
    <row r="1161" spans="1:5" x14ac:dyDescent="0.25">
      <c r="A1161" t="s">
        <v>110</v>
      </c>
      <c r="B1161" t="s">
        <v>232</v>
      </c>
      <c r="C1161" t="s">
        <v>89</v>
      </c>
      <c r="E1161">
        <v>1369239</v>
      </c>
    </row>
    <row r="1162" spans="1:5" x14ac:dyDescent="0.25">
      <c r="A1162" t="s">
        <v>110</v>
      </c>
      <c r="B1162" t="s">
        <v>233</v>
      </c>
      <c r="C1162" t="s">
        <v>91</v>
      </c>
    </row>
    <row r="1163" spans="1:5" x14ac:dyDescent="0.25">
      <c r="A1163" t="s">
        <v>110</v>
      </c>
      <c r="B1163" t="s">
        <v>234</v>
      </c>
      <c r="C1163" t="s">
        <v>92</v>
      </c>
    </row>
    <row r="1164" spans="1:5" x14ac:dyDescent="0.25">
      <c r="A1164" t="s">
        <v>110</v>
      </c>
      <c r="B1164" t="s">
        <v>235</v>
      </c>
      <c r="C1164" t="s">
        <v>93</v>
      </c>
    </row>
    <row r="1165" spans="1:5" x14ac:dyDescent="0.25">
      <c r="A1165" t="s">
        <v>110</v>
      </c>
      <c r="B1165" t="s">
        <v>236</v>
      </c>
      <c r="C1165" t="s">
        <v>94</v>
      </c>
    </row>
    <row r="1166" spans="1:5" x14ac:dyDescent="0.25">
      <c r="A1166" t="s">
        <v>110</v>
      </c>
      <c r="B1166" t="s">
        <v>237</v>
      </c>
      <c r="C1166" t="s">
        <v>95</v>
      </c>
    </row>
    <row r="1167" spans="1:5" x14ac:dyDescent="0.25">
      <c r="A1167" t="s">
        <v>110</v>
      </c>
      <c r="B1167" t="s">
        <v>238</v>
      </c>
      <c r="C1167" t="s">
        <v>96</v>
      </c>
    </row>
    <row r="1168" spans="1:5" x14ac:dyDescent="0.25">
      <c r="A1168" t="s">
        <v>110</v>
      </c>
      <c r="B1168" t="s">
        <v>239</v>
      </c>
      <c r="C1168" t="s">
        <v>97</v>
      </c>
    </row>
    <row r="1169" spans="1:5" x14ac:dyDescent="0.25">
      <c r="A1169" t="s">
        <v>110</v>
      </c>
      <c r="B1169" t="s">
        <v>240</v>
      </c>
      <c r="C1169" t="s">
        <v>98</v>
      </c>
    </row>
    <row r="1170" spans="1:5" x14ac:dyDescent="0.25">
      <c r="A1170" t="s">
        <v>110</v>
      </c>
      <c r="B1170" t="s">
        <v>241</v>
      </c>
      <c r="C1170" t="s">
        <v>99</v>
      </c>
    </row>
    <row r="1171" spans="1:5" x14ac:dyDescent="0.25">
      <c r="A1171" t="s">
        <v>110</v>
      </c>
      <c r="B1171" t="s">
        <v>242</v>
      </c>
      <c r="C1171" t="s">
        <v>100</v>
      </c>
      <c r="E1171">
        <v>2582</v>
      </c>
    </row>
    <row r="1172" spans="1:5" x14ac:dyDescent="0.25">
      <c r="A1172" t="s">
        <v>110</v>
      </c>
      <c r="B1172" t="s">
        <v>243</v>
      </c>
      <c r="C1172" t="s">
        <v>101</v>
      </c>
      <c r="E1172">
        <v>595014</v>
      </c>
    </row>
    <row r="1173" spans="1:5" x14ac:dyDescent="0.25">
      <c r="A1173" t="s">
        <v>110</v>
      </c>
      <c r="B1173" t="s">
        <v>244</v>
      </c>
      <c r="C1173" t="s">
        <v>102</v>
      </c>
      <c r="E1173">
        <v>22570</v>
      </c>
    </row>
    <row r="1174" spans="1:5" x14ac:dyDescent="0.25">
      <c r="A1174" t="s">
        <v>110</v>
      </c>
      <c r="B1174" t="s">
        <v>245</v>
      </c>
      <c r="C1174" t="s">
        <v>103</v>
      </c>
      <c r="E1174">
        <v>572444</v>
      </c>
    </row>
    <row r="1175" spans="1:5" x14ac:dyDescent="0.25">
      <c r="A1175" t="s">
        <v>110</v>
      </c>
      <c r="B1175" t="s">
        <v>246</v>
      </c>
      <c r="C1175" t="s">
        <v>105</v>
      </c>
    </row>
    <row r="1176" spans="1:5" x14ac:dyDescent="0.25">
      <c r="A1176" t="s">
        <v>111</v>
      </c>
      <c r="B1176" t="s">
        <v>148</v>
      </c>
      <c r="C1176" t="s">
        <v>6</v>
      </c>
    </row>
    <row r="1177" spans="1:5" x14ac:dyDescent="0.25">
      <c r="A1177" t="s">
        <v>111</v>
      </c>
      <c r="B1177" t="s">
        <v>149</v>
      </c>
      <c r="C1177" t="s">
        <v>7</v>
      </c>
    </row>
    <row r="1178" spans="1:5" x14ac:dyDescent="0.25">
      <c r="A1178" t="s">
        <v>111</v>
      </c>
      <c r="B1178" t="s">
        <v>150</v>
      </c>
      <c r="C1178" t="s">
        <v>8</v>
      </c>
      <c r="E1178">
        <v>1619676</v>
      </c>
    </row>
    <row r="1179" spans="1:5" x14ac:dyDescent="0.25">
      <c r="A1179" t="s">
        <v>111</v>
      </c>
      <c r="B1179" t="s">
        <v>189</v>
      </c>
      <c r="C1179" t="s">
        <v>67</v>
      </c>
      <c r="E1179">
        <v>1107190</v>
      </c>
    </row>
    <row r="1180" spans="1:5" x14ac:dyDescent="0.25">
      <c r="A1180" t="s">
        <v>111</v>
      </c>
      <c r="B1180" t="s">
        <v>190</v>
      </c>
      <c r="C1180" t="s">
        <v>68</v>
      </c>
      <c r="E1180">
        <v>512486</v>
      </c>
    </row>
    <row r="1181" spans="1:5" x14ac:dyDescent="0.25">
      <c r="A1181" t="s">
        <v>111</v>
      </c>
      <c r="B1181" t="s">
        <v>151</v>
      </c>
      <c r="C1181" t="s">
        <v>9</v>
      </c>
      <c r="D1181">
        <v>477453</v>
      </c>
    </row>
    <row r="1182" spans="1:5" x14ac:dyDescent="0.25">
      <c r="A1182" t="s">
        <v>111</v>
      </c>
      <c r="B1182" t="s">
        <v>152</v>
      </c>
      <c r="C1182" t="s">
        <v>10</v>
      </c>
    </row>
    <row r="1183" spans="1:5" x14ac:dyDescent="0.25">
      <c r="A1183" t="s">
        <v>111</v>
      </c>
      <c r="B1183" t="s">
        <v>153</v>
      </c>
      <c r="C1183" t="s">
        <v>11</v>
      </c>
      <c r="D1183">
        <v>1142223</v>
      </c>
      <c r="E1183">
        <v>1142223</v>
      </c>
    </row>
    <row r="1184" spans="1:5" x14ac:dyDescent="0.25">
      <c r="A1184" t="s">
        <v>111</v>
      </c>
      <c r="B1184" t="s">
        <v>154</v>
      </c>
      <c r="C1184" t="s">
        <v>12</v>
      </c>
    </row>
    <row r="1185" spans="1:5" x14ac:dyDescent="0.25">
      <c r="A1185" t="s">
        <v>111</v>
      </c>
      <c r="B1185" t="s">
        <v>155</v>
      </c>
      <c r="C1185" t="s">
        <v>13</v>
      </c>
      <c r="D1185">
        <v>133462</v>
      </c>
      <c r="E1185">
        <v>2803443</v>
      </c>
    </row>
    <row r="1186" spans="1:5" x14ac:dyDescent="0.25">
      <c r="A1186" t="s">
        <v>111</v>
      </c>
      <c r="B1186" t="s">
        <v>156</v>
      </c>
      <c r="C1186" t="s">
        <v>69</v>
      </c>
      <c r="D1186">
        <v>127852</v>
      </c>
      <c r="E1186">
        <v>2230299</v>
      </c>
    </row>
    <row r="1187" spans="1:5" x14ac:dyDescent="0.25">
      <c r="A1187" t="s">
        <v>111</v>
      </c>
      <c r="B1187" t="s">
        <v>135</v>
      </c>
      <c r="C1187" t="s">
        <v>15</v>
      </c>
      <c r="D1187">
        <v>5610</v>
      </c>
      <c r="E1187">
        <v>573144</v>
      </c>
    </row>
    <row r="1188" spans="1:5" x14ac:dyDescent="0.25">
      <c r="A1188" t="s">
        <v>111</v>
      </c>
      <c r="B1188" t="s">
        <v>157</v>
      </c>
      <c r="C1188" t="s">
        <v>16</v>
      </c>
      <c r="D1188">
        <v>5610</v>
      </c>
      <c r="E1188">
        <v>494799</v>
      </c>
    </row>
    <row r="1189" spans="1:5" x14ac:dyDescent="0.25">
      <c r="A1189" t="s">
        <v>111</v>
      </c>
      <c r="B1189" t="s">
        <v>158</v>
      </c>
      <c r="C1189" t="s">
        <v>17</v>
      </c>
      <c r="E1189">
        <v>78345</v>
      </c>
    </row>
    <row r="1190" spans="1:5" x14ac:dyDescent="0.25">
      <c r="A1190" t="s">
        <v>111</v>
      </c>
      <c r="B1190" t="s">
        <v>159</v>
      </c>
      <c r="C1190" t="s">
        <v>18</v>
      </c>
      <c r="D1190">
        <v>-598</v>
      </c>
    </row>
    <row r="1191" spans="1:5" x14ac:dyDescent="0.25">
      <c r="A1191" t="s">
        <v>111</v>
      </c>
      <c r="B1191" t="s">
        <v>160</v>
      </c>
      <c r="C1191" t="s">
        <v>19</v>
      </c>
      <c r="D1191">
        <v>-598</v>
      </c>
    </row>
    <row r="1192" spans="1:5" x14ac:dyDescent="0.25">
      <c r="A1192" t="s">
        <v>111</v>
      </c>
      <c r="B1192" t="s">
        <v>161</v>
      </c>
      <c r="C1192" t="s">
        <v>20</v>
      </c>
      <c r="D1192">
        <v>480579</v>
      </c>
      <c r="E1192">
        <v>480579</v>
      </c>
    </row>
    <row r="1193" spans="1:5" x14ac:dyDescent="0.25">
      <c r="A1193" t="s">
        <v>111</v>
      </c>
      <c r="B1193" t="s">
        <v>162</v>
      </c>
      <c r="C1193" t="s">
        <v>21</v>
      </c>
      <c r="D1193">
        <v>528780</v>
      </c>
      <c r="E1193">
        <v>528780</v>
      </c>
    </row>
    <row r="1194" spans="1:5" x14ac:dyDescent="0.25">
      <c r="A1194" t="s">
        <v>111</v>
      </c>
      <c r="B1194" t="s">
        <v>163</v>
      </c>
      <c r="C1194" t="s">
        <v>22</v>
      </c>
      <c r="D1194">
        <v>388690</v>
      </c>
      <c r="E1194">
        <v>915269</v>
      </c>
    </row>
    <row r="1195" spans="1:5" x14ac:dyDescent="0.25">
      <c r="A1195" t="s">
        <v>111</v>
      </c>
      <c r="B1195" t="s">
        <v>140</v>
      </c>
      <c r="C1195" t="s">
        <v>23</v>
      </c>
      <c r="D1195">
        <v>387739</v>
      </c>
      <c r="E1195">
        <v>483297</v>
      </c>
    </row>
    <row r="1196" spans="1:5" x14ac:dyDescent="0.25">
      <c r="A1196" t="s">
        <v>111</v>
      </c>
      <c r="B1196" t="s">
        <v>164</v>
      </c>
      <c r="C1196" t="s">
        <v>70</v>
      </c>
      <c r="E1196">
        <v>344270</v>
      </c>
    </row>
    <row r="1197" spans="1:5" x14ac:dyDescent="0.25">
      <c r="A1197" t="s">
        <v>111</v>
      </c>
      <c r="B1197" t="s">
        <v>191</v>
      </c>
      <c r="C1197" t="s">
        <v>71</v>
      </c>
    </row>
    <row r="1198" spans="1:5" x14ac:dyDescent="0.25">
      <c r="A1198" t="s">
        <v>111</v>
      </c>
      <c r="B1198" t="s">
        <v>133</v>
      </c>
      <c r="C1198" t="s">
        <v>72</v>
      </c>
      <c r="E1198">
        <v>87702</v>
      </c>
    </row>
    <row r="1199" spans="1:5" x14ac:dyDescent="0.25">
      <c r="A1199" t="s">
        <v>111</v>
      </c>
      <c r="B1199" t="s">
        <v>192</v>
      </c>
      <c r="C1199" t="s">
        <v>73</v>
      </c>
      <c r="E1199">
        <v>5988</v>
      </c>
    </row>
    <row r="1200" spans="1:5" x14ac:dyDescent="0.25">
      <c r="A1200" t="s">
        <v>111</v>
      </c>
      <c r="B1200" t="s">
        <v>193</v>
      </c>
      <c r="C1200" t="s">
        <v>74</v>
      </c>
      <c r="E1200">
        <v>65107</v>
      </c>
    </row>
    <row r="1201" spans="1:5" x14ac:dyDescent="0.25">
      <c r="A1201" t="s">
        <v>111</v>
      </c>
      <c r="B1201" t="s">
        <v>194</v>
      </c>
      <c r="C1201" t="s">
        <v>75</v>
      </c>
      <c r="E1201">
        <v>16607</v>
      </c>
    </row>
    <row r="1202" spans="1:5" x14ac:dyDescent="0.25">
      <c r="A1202" t="s">
        <v>111</v>
      </c>
      <c r="B1202" t="s">
        <v>166</v>
      </c>
      <c r="C1202" t="s">
        <v>26</v>
      </c>
      <c r="D1202">
        <v>951</v>
      </c>
    </row>
    <row r="1203" spans="1:5" x14ac:dyDescent="0.25">
      <c r="A1203" t="s">
        <v>111</v>
      </c>
      <c r="B1203" t="s">
        <v>167</v>
      </c>
      <c r="C1203" t="s">
        <v>27</v>
      </c>
      <c r="D1203">
        <v>4339381</v>
      </c>
      <c r="E1203">
        <v>4339381</v>
      </c>
    </row>
    <row r="1204" spans="1:5" x14ac:dyDescent="0.25">
      <c r="A1204" t="s">
        <v>111</v>
      </c>
      <c r="B1204" t="s">
        <v>168</v>
      </c>
      <c r="C1204" t="s">
        <v>28</v>
      </c>
      <c r="D1204">
        <v>207418</v>
      </c>
    </row>
    <row r="1205" spans="1:5" x14ac:dyDescent="0.25">
      <c r="A1205" t="s">
        <v>111</v>
      </c>
      <c r="B1205" t="s">
        <v>137</v>
      </c>
      <c r="C1205" t="s">
        <v>29</v>
      </c>
      <c r="D1205">
        <v>787092</v>
      </c>
    </row>
    <row r="1206" spans="1:5" x14ac:dyDescent="0.25">
      <c r="A1206" t="s">
        <v>111</v>
      </c>
      <c r="B1206" t="s">
        <v>169</v>
      </c>
      <c r="C1206" t="s">
        <v>30</v>
      </c>
      <c r="D1206">
        <v>494799</v>
      </c>
    </row>
    <row r="1207" spans="1:5" x14ac:dyDescent="0.25">
      <c r="A1207" t="s">
        <v>111</v>
      </c>
      <c r="B1207" t="s">
        <v>170</v>
      </c>
      <c r="C1207" t="s">
        <v>31</v>
      </c>
      <c r="D1207">
        <v>78345</v>
      </c>
    </row>
    <row r="1208" spans="1:5" x14ac:dyDescent="0.25">
      <c r="A1208" t="s">
        <v>111</v>
      </c>
      <c r="B1208" t="s">
        <v>195</v>
      </c>
      <c r="C1208" t="s">
        <v>76</v>
      </c>
      <c r="D1208">
        <v>213948</v>
      </c>
    </row>
    <row r="1209" spans="1:5" x14ac:dyDescent="0.25">
      <c r="A1209" t="s">
        <v>111</v>
      </c>
      <c r="B1209" t="s">
        <v>138</v>
      </c>
      <c r="C1209" t="s">
        <v>33</v>
      </c>
      <c r="E1209">
        <v>1123676</v>
      </c>
    </row>
    <row r="1210" spans="1:5" x14ac:dyDescent="0.25">
      <c r="A1210" t="s">
        <v>111</v>
      </c>
      <c r="B1210" t="s">
        <v>172</v>
      </c>
      <c r="C1210" t="s">
        <v>34</v>
      </c>
      <c r="E1210">
        <v>571610</v>
      </c>
    </row>
    <row r="1211" spans="1:5" x14ac:dyDescent="0.25">
      <c r="A1211" t="s">
        <v>111</v>
      </c>
      <c r="B1211" t="s">
        <v>173</v>
      </c>
      <c r="C1211" t="s">
        <v>35</v>
      </c>
      <c r="E1211">
        <v>469527</v>
      </c>
    </row>
    <row r="1212" spans="1:5" x14ac:dyDescent="0.25">
      <c r="A1212" t="s">
        <v>111</v>
      </c>
      <c r="B1212" t="s">
        <v>174</v>
      </c>
      <c r="C1212" t="s">
        <v>36</v>
      </c>
      <c r="E1212">
        <v>82539</v>
      </c>
    </row>
    <row r="1213" spans="1:5" x14ac:dyDescent="0.25">
      <c r="A1213" t="s">
        <v>111</v>
      </c>
      <c r="B1213" t="s">
        <v>141</v>
      </c>
      <c r="C1213" t="s">
        <v>37</v>
      </c>
      <c r="D1213">
        <v>109541</v>
      </c>
      <c r="E1213">
        <v>45391</v>
      </c>
    </row>
    <row r="1214" spans="1:5" x14ac:dyDescent="0.25">
      <c r="A1214" t="s">
        <v>111</v>
      </c>
      <c r="B1214" t="s">
        <v>175</v>
      </c>
      <c r="C1214" t="s">
        <v>38</v>
      </c>
      <c r="D1214">
        <v>38953</v>
      </c>
    </row>
    <row r="1215" spans="1:5" x14ac:dyDescent="0.25">
      <c r="A1215" t="s">
        <v>111</v>
      </c>
      <c r="B1215" t="s">
        <v>176</v>
      </c>
      <c r="C1215" t="s">
        <v>39</v>
      </c>
      <c r="E1215">
        <v>26192</v>
      </c>
    </row>
    <row r="1216" spans="1:5" x14ac:dyDescent="0.25">
      <c r="A1216" t="s">
        <v>111</v>
      </c>
      <c r="B1216" t="s">
        <v>177</v>
      </c>
      <c r="C1216" t="s">
        <v>77</v>
      </c>
    </row>
    <row r="1217" spans="1:5" x14ac:dyDescent="0.25">
      <c r="A1217" t="s">
        <v>111</v>
      </c>
      <c r="B1217" t="s">
        <v>178</v>
      </c>
      <c r="C1217" t="s">
        <v>78</v>
      </c>
    </row>
    <row r="1218" spans="1:5" x14ac:dyDescent="0.25">
      <c r="A1218" t="s">
        <v>111</v>
      </c>
      <c r="B1218" t="s">
        <v>179</v>
      </c>
      <c r="C1218" t="s">
        <v>42</v>
      </c>
      <c r="D1218">
        <v>70588</v>
      </c>
      <c r="E1218">
        <v>19199</v>
      </c>
    </row>
    <row r="1219" spans="1:5" x14ac:dyDescent="0.25">
      <c r="A1219" t="s">
        <v>111</v>
      </c>
      <c r="B1219" t="s">
        <v>121</v>
      </c>
      <c r="C1219" t="s">
        <v>79</v>
      </c>
      <c r="D1219">
        <v>4404397</v>
      </c>
      <c r="E1219">
        <v>4404397</v>
      </c>
    </row>
    <row r="1220" spans="1:5" x14ac:dyDescent="0.25">
      <c r="A1220" t="s">
        <v>111</v>
      </c>
      <c r="B1220" t="s">
        <v>142</v>
      </c>
      <c r="C1220" t="s">
        <v>44</v>
      </c>
      <c r="E1220">
        <v>650568</v>
      </c>
    </row>
    <row r="1221" spans="1:5" x14ac:dyDescent="0.25">
      <c r="A1221" t="s">
        <v>111</v>
      </c>
      <c r="B1221" t="s">
        <v>180</v>
      </c>
      <c r="C1221" t="s">
        <v>45</v>
      </c>
      <c r="D1221">
        <v>5054965</v>
      </c>
      <c r="E1221">
        <v>5054965</v>
      </c>
    </row>
    <row r="1222" spans="1:5" x14ac:dyDescent="0.25">
      <c r="A1222" t="s">
        <v>111</v>
      </c>
      <c r="B1222" t="s">
        <v>181</v>
      </c>
      <c r="C1222" t="s">
        <v>46</v>
      </c>
      <c r="D1222">
        <v>4589776</v>
      </c>
    </row>
    <row r="1223" spans="1:5" x14ac:dyDescent="0.25">
      <c r="A1223" t="s">
        <v>111</v>
      </c>
      <c r="B1223" t="s">
        <v>122</v>
      </c>
      <c r="C1223" t="s">
        <v>47</v>
      </c>
      <c r="D1223">
        <v>3939208</v>
      </c>
    </row>
    <row r="1224" spans="1:5" x14ac:dyDescent="0.25">
      <c r="A1224" t="s">
        <v>111</v>
      </c>
      <c r="B1224" t="s">
        <v>182</v>
      </c>
      <c r="C1224" t="s">
        <v>80</v>
      </c>
      <c r="E1224">
        <v>65899</v>
      </c>
    </row>
    <row r="1225" spans="1:5" x14ac:dyDescent="0.25">
      <c r="A1225" t="s">
        <v>111</v>
      </c>
      <c r="B1225" t="s">
        <v>127</v>
      </c>
      <c r="C1225" t="s">
        <v>49</v>
      </c>
      <c r="D1225">
        <v>531088</v>
      </c>
    </row>
    <row r="1226" spans="1:5" x14ac:dyDescent="0.25">
      <c r="A1226" t="s">
        <v>111</v>
      </c>
      <c r="B1226" t="s">
        <v>183</v>
      </c>
      <c r="C1226" t="s">
        <v>50</v>
      </c>
    </row>
    <row r="1227" spans="1:5" x14ac:dyDescent="0.25">
      <c r="A1227" t="s">
        <v>111</v>
      </c>
      <c r="B1227" t="s">
        <v>127</v>
      </c>
      <c r="C1227" t="s">
        <v>49</v>
      </c>
      <c r="E1227">
        <v>531088</v>
      </c>
    </row>
    <row r="1228" spans="1:5" x14ac:dyDescent="0.25">
      <c r="A1228" t="s">
        <v>111</v>
      </c>
      <c r="B1228" t="s">
        <v>124</v>
      </c>
      <c r="C1228" t="s">
        <v>51</v>
      </c>
      <c r="D1228">
        <v>361645</v>
      </c>
    </row>
    <row r="1229" spans="1:5" x14ac:dyDescent="0.25">
      <c r="A1229" t="s">
        <v>111</v>
      </c>
      <c r="B1229" t="s">
        <v>184</v>
      </c>
      <c r="C1229" t="s">
        <v>52</v>
      </c>
    </row>
    <row r="1230" spans="1:5" x14ac:dyDescent="0.25">
      <c r="A1230" t="s">
        <v>111</v>
      </c>
      <c r="B1230" t="s">
        <v>185</v>
      </c>
      <c r="C1230" t="s">
        <v>53</v>
      </c>
    </row>
    <row r="1231" spans="1:5" x14ac:dyDescent="0.25">
      <c r="A1231" t="s">
        <v>111</v>
      </c>
      <c r="B1231" t="s">
        <v>186</v>
      </c>
      <c r="C1231" t="s">
        <v>54</v>
      </c>
      <c r="E1231">
        <v>7046</v>
      </c>
    </row>
    <row r="1232" spans="1:5" x14ac:dyDescent="0.25">
      <c r="A1232" t="s">
        <v>111</v>
      </c>
      <c r="B1232" t="s">
        <v>187</v>
      </c>
      <c r="C1232" t="s">
        <v>55</v>
      </c>
      <c r="D1232">
        <v>168730</v>
      </c>
    </row>
    <row r="1233" spans="1:5" x14ac:dyDescent="0.25">
      <c r="A1233" t="s">
        <v>111</v>
      </c>
      <c r="B1233" t="s">
        <v>188</v>
      </c>
      <c r="C1233" t="s">
        <v>56</v>
      </c>
      <c r="E1233">
        <v>530375</v>
      </c>
    </row>
    <row r="1234" spans="1:5" x14ac:dyDescent="0.25">
      <c r="A1234" t="s">
        <v>111</v>
      </c>
      <c r="B1234" t="s">
        <v>196</v>
      </c>
      <c r="C1234" t="s">
        <v>81</v>
      </c>
      <c r="E1234">
        <v>168731</v>
      </c>
    </row>
    <row r="1235" spans="1:5" x14ac:dyDescent="0.25">
      <c r="A1235" t="s">
        <v>111</v>
      </c>
      <c r="B1235" t="s">
        <v>197</v>
      </c>
      <c r="C1235" t="s">
        <v>82</v>
      </c>
    </row>
    <row r="1236" spans="1:5" x14ac:dyDescent="0.25">
      <c r="A1236" t="s">
        <v>111</v>
      </c>
      <c r="B1236" t="s">
        <v>198</v>
      </c>
      <c r="C1236" t="s">
        <v>83</v>
      </c>
    </row>
    <row r="1237" spans="1:5" x14ac:dyDescent="0.25">
      <c r="A1237" t="s">
        <v>111</v>
      </c>
      <c r="B1237" t="s">
        <v>199</v>
      </c>
      <c r="C1237" t="s">
        <v>84</v>
      </c>
    </row>
    <row r="1238" spans="1:5" x14ac:dyDescent="0.25">
      <c r="A1238" t="s">
        <v>111</v>
      </c>
      <c r="B1238" t="s">
        <v>200</v>
      </c>
      <c r="C1238" t="s">
        <v>85</v>
      </c>
    </row>
    <row r="1239" spans="1:5" x14ac:dyDescent="0.25">
      <c r="A1239" t="s">
        <v>111</v>
      </c>
      <c r="B1239" t="s">
        <v>201</v>
      </c>
      <c r="C1239" t="s">
        <v>86</v>
      </c>
    </row>
    <row r="1240" spans="1:5" x14ac:dyDescent="0.25">
      <c r="A1240" t="s">
        <v>111</v>
      </c>
      <c r="B1240" t="s">
        <v>202</v>
      </c>
      <c r="C1240" t="s">
        <v>87</v>
      </c>
    </row>
    <row r="1241" spans="1:5" x14ac:dyDescent="0.25">
      <c r="A1241" t="s">
        <v>111</v>
      </c>
      <c r="B1241" t="s">
        <v>203</v>
      </c>
      <c r="C1241" t="s">
        <v>88</v>
      </c>
    </row>
    <row r="1242" spans="1:5" x14ac:dyDescent="0.25">
      <c r="A1242" t="s">
        <v>111</v>
      </c>
      <c r="B1242" t="s">
        <v>204</v>
      </c>
      <c r="C1242" t="s">
        <v>89</v>
      </c>
    </row>
    <row r="1243" spans="1:5" x14ac:dyDescent="0.25">
      <c r="A1243" t="s">
        <v>111</v>
      </c>
      <c r="B1243" t="s">
        <v>205</v>
      </c>
      <c r="C1243" t="s">
        <v>90</v>
      </c>
      <c r="E1243">
        <v>93901</v>
      </c>
    </row>
    <row r="1244" spans="1:5" x14ac:dyDescent="0.25">
      <c r="A1244" t="s">
        <v>111</v>
      </c>
      <c r="B1244" t="s">
        <v>206</v>
      </c>
      <c r="C1244" t="s">
        <v>88</v>
      </c>
      <c r="E1244">
        <v>26655</v>
      </c>
    </row>
    <row r="1245" spans="1:5" x14ac:dyDescent="0.25">
      <c r="A1245" t="s">
        <v>111</v>
      </c>
      <c r="B1245" t="s">
        <v>207</v>
      </c>
      <c r="C1245" t="s">
        <v>89</v>
      </c>
      <c r="E1245">
        <v>67247</v>
      </c>
    </row>
    <row r="1246" spans="1:5" x14ac:dyDescent="0.25">
      <c r="A1246" t="s">
        <v>111</v>
      </c>
      <c r="B1246" t="s">
        <v>208</v>
      </c>
      <c r="C1246" t="s">
        <v>91</v>
      </c>
    </row>
    <row r="1247" spans="1:5" x14ac:dyDescent="0.25">
      <c r="A1247" t="s">
        <v>111</v>
      </c>
      <c r="B1247" t="s">
        <v>209</v>
      </c>
      <c r="C1247" t="s">
        <v>92</v>
      </c>
    </row>
    <row r="1248" spans="1:5" x14ac:dyDescent="0.25">
      <c r="A1248" t="s">
        <v>111</v>
      </c>
      <c r="B1248" t="s">
        <v>210</v>
      </c>
      <c r="C1248" t="s">
        <v>93</v>
      </c>
    </row>
    <row r="1249" spans="1:5" x14ac:dyDescent="0.25">
      <c r="A1249" t="s">
        <v>111</v>
      </c>
      <c r="B1249" t="s">
        <v>211</v>
      </c>
      <c r="C1249" t="s">
        <v>94</v>
      </c>
    </row>
    <row r="1250" spans="1:5" x14ac:dyDescent="0.25">
      <c r="A1250" t="s">
        <v>111</v>
      </c>
      <c r="B1250" t="s">
        <v>212</v>
      </c>
      <c r="C1250" t="s">
        <v>95</v>
      </c>
    </row>
    <row r="1251" spans="1:5" x14ac:dyDescent="0.25">
      <c r="A1251" t="s">
        <v>111</v>
      </c>
      <c r="B1251" t="s">
        <v>213</v>
      </c>
      <c r="C1251" t="s">
        <v>96</v>
      </c>
    </row>
    <row r="1252" spans="1:5" x14ac:dyDescent="0.25">
      <c r="A1252" t="s">
        <v>111</v>
      </c>
      <c r="B1252" t="s">
        <v>214</v>
      </c>
      <c r="C1252" t="s">
        <v>97</v>
      </c>
    </row>
    <row r="1253" spans="1:5" x14ac:dyDescent="0.25">
      <c r="A1253" t="s">
        <v>111</v>
      </c>
      <c r="B1253" t="s">
        <v>215</v>
      </c>
      <c r="C1253" t="s">
        <v>98</v>
      </c>
    </row>
    <row r="1254" spans="1:5" x14ac:dyDescent="0.25">
      <c r="A1254" t="s">
        <v>111</v>
      </c>
      <c r="B1254" t="s">
        <v>216</v>
      </c>
      <c r="C1254" t="s">
        <v>99</v>
      </c>
    </row>
    <row r="1255" spans="1:5" x14ac:dyDescent="0.25">
      <c r="A1255" t="s">
        <v>111</v>
      </c>
      <c r="B1255" t="s">
        <v>217</v>
      </c>
      <c r="C1255" t="s">
        <v>100</v>
      </c>
      <c r="E1255">
        <v>-2359</v>
      </c>
    </row>
    <row r="1256" spans="1:5" x14ac:dyDescent="0.25">
      <c r="A1256" t="s">
        <v>111</v>
      </c>
      <c r="B1256" t="s">
        <v>218</v>
      </c>
      <c r="C1256" t="s">
        <v>101</v>
      </c>
      <c r="E1256">
        <v>77189</v>
      </c>
    </row>
    <row r="1257" spans="1:5" x14ac:dyDescent="0.25">
      <c r="A1257" t="s">
        <v>111</v>
      </c>
      <c r="B1257" t="s">
        <v>219</v>
      </c>
      <c r="C1257" t="s">
        <v>102</v>
      </c>
      <c r="E1257">
        <v>-1063</v>
      </c>
    </row>
    <row r="1258" spans="1:5" x14ac:dyDescent="0.25">
      <c r="A1258" t="s">
        <v>111</v>
      </c>
      <c r="B1258" t="s">
        <v>220</v>
      </c>
      <c r="C1258" t="s">
        <v>103</v>
      </c>
      <c r="E1258">
        <v>78252</v>
      </c>
    </row>
    <row r="1259" spans="1:5" x14ac:dyDescent="0.25">
      <c r="A1259" t="s">
        <v>111</v>
      </c>
      <c r="B1259" t="s">
        <v>221</v>
      </c>
      <c r="C1259" t="s">
        <v>104</v>
      </c>
      <c r="E1259">
        <v>2330805</v>
      </c>
    </row>
    <row r="1260" spans="1:5" x14ac:dyDescent="0.25">
      <c r="A1260" t="s">
        <v>111</v>
      </c>
      <c r="B1260" t="s">
        <v>222</v>
      </c>
      <c r="C1260" t="s">
        <v>82</v>
      </c>
    </row>
    <row r="1261" spans="1:5" x14ac:dyDescent="0.25">
      <c r="A1261" t="s">
        <v>111</v>
      </c>
      <c r="B1261" t="s">
        <v>223</v>
      </c>
      <c r="C1261" t="s">
        <v>83</v>
      </c>
    </row>
    <row r="1262" spans="1:5" x14ac:dyDescent="0.25">
      <c r="A1262" t="s">
        <v>111</v>
      </c>
      <c r="B1262" t="s">
        <v>224</v>
      </c>
      <c r="C1262" t="s">
        <v>84</v>
      </c>
    </row>
    <row r="1263" spans="1:5" x14ac:dyDescent="0.25">
      <c r="A1263" t="s">
        <v>111</v>
      </c>
      <c r="B1263" t="s">
        <v>225</v>
      </c>
      <c r="C1263" t="s">
        <v>85</v>
      </c>
    </row>
    <row r="1264" spans="1:5" x14ac:dyDescent="0.25">
      <c r="A1264" t="s">
        <v>111</v>
      </c>
      <c r="B1264" t="s">
        <v>226</v>
      </c>
      <c r="C1264" t="s">
        <v>86</v>
      </c>
    </row>
    <row r="1265" spans="1:5" x14ac:dyDescent="0.25">
      <c r="A1265" t="s">
        <v>111</v>
      </c>
      <c r="B1265" t="s">
        <v>227</v>
      </c>
      <c r="C1265" t="s">
        <v>87</v>
      </c>
    </row>
    <row r="1266" spans="1:5" x14ac:dyDescent="0.25">
      <c r="A1266" t="s">
        <v>111</v>
      </c>
      <c r="B1266" t="s">
        <v>228</v>
      </c>
      <c r="C1266" t="s">
        <v>88</v>
      </c>
    </row>
    <row r="1267" spans="1:5" x14ac:dyDescent="0.25">
      <c r="A1267" t="s">
        <v>111</v>
      </c>
      <c r="B1267" t="s">
        <v>229</v>
      </c>
      <c r="C1267" t="s">
        <v>89</v>
      </c>
    </row>
    <row r="1268" spans="1:5" x14ac:dyDescent="0.25">
      <c r="A1268" t="s">
        <v>111</v>
      </c>
      <c r="B1268" t="s">
        <v>230</v>
      </c>
      <c r="C1268" t="s">
        <v>90</v>
      </c>
      <c r="E1268">
        <v>1706805</v>
      </c>
    </row>
    <row r="1269" spans="1:5" x14ac:dyDescent="0.25">
      <c r="A1269" t="s">
        <v>111</v>
      </c>
      <c r="B1269" t="s">
        <v>231</v>
      </c>
      <c r="C1269" t="s">
        <v>88</v>
      </c>
      <c r="E1269">
        <v>250973</v>
      </c>
    </row>
    <row r="1270" spans="1:5" x14ac:dyDescent="0.25">
      <c r="A1270" t="s">
        <v>111</v>
      </c>
      <c r="B1270" t="s">
        <v>232</v>
      </c>
      <c r="C1270" t="s">
        <v>89</v>
      </c>
      <c r="E1270">
        <v>1455831</v>
      </c>
    </row>
    <row r="1271" spans="1:5" x14ac:dyDescent="0.25">
      <c r="A1271" t="s">
        <v>111</v>
      </c>
      <c r="B1271" t="s">
        <v>233</v>
      </c>
      <c r="C1271" t="s">
        <v>91</v>
      </c>
    </row>
    <row r="1272" spans="1:5" x14ac:dyDescent="0.25">
      <c r="A1272" t="s">
        <v>111</v>
      </c>
      <c r="B1272" t="s">
        <v>234</v>
      </c>
      <c r="C1272" t="s">
        <v>92</v>
      </c>
    </row>
    <row r="1273" spans="1:5" x14ac:dyDescent="0.25">
      <c r="A1273" t="s">
        <v>111</v>
      </c>
      <c r="B1273" t="s">
        <v>235</v>
      </c>
      <c r="C1273" t="s">
        <v>93</v>
      </c>
    </row>
    <row r="1274" spans="1:5" x14ac:dyDescent="0.25">
      <c r="A1274" t="s">
        <v>111</v>
      </c>
      <c r="B1274" t="s">
        <v>236</v>
      </c>
      <c r="C1274" t="s">
        <v>94</v>
      </c>
    </row>
    <row r="1275" spans="1:5" x14ac:dyDescent="0.25">
      <c r="A1275" t="s">
        <v>111</v>
      </c>
      <c r="B1275" t="s">
        <v>237</v>
      </c>
      <c r="C1275" t="s">
        <v>95</v>
      </c>
    </row>
    <row r="1276" spans="1:5" x14ac:dyDescent="0.25">
      <c r="A1276" t="s">
        <v>111</v>
      </c>
      <c r="B1276" t="s">
        <v>238</v>
      </c>
      <c r="C1276" t="s">
        <v>96</v>
      </c>
    </row>
    <row r="1277" spans="1:5" x14ac:dyDescent="0.25">
      <c r="A1277" t="s">
        <v>111</v>
      </c>
      <c r="B1277" t="s">
        <v>239</v>
      </c>
      <c r="C1277" t="s">
        <v>97</v>
      </c>
    </row>
    <row r="1278" spans="1:5" x14ac:dyDescent="0.25">
      <c r="A1278" t="s">
        <v>111</v>
      </c>
      <c r="B1278" t="s">
        <v>240</v>
      </c>
      <c r="C1278" t="s">
        <v>98</v>
      </c>
    </row>
    <row r="1279" spans="1:5" x14ac:dyDescent="0.25">
      <c r="A1279" t="s">
        <v>111</v>
      </c>
      <c r="B1279" t="s">
        <v>241</v>
      </c>
      <c r="C1279" t="s">
        <v>99</v>
      </c>
    </row>
    <row r="1280" spans="1:5" x14ac:dyDescent="0.25">
      <c r="A1280" t="s">
        <v>111</v>
      </c>
      <c r="B1280" t="s">
        <v>242</v>
      </c>
      <c r="C1280" t="s">
        <v>100</v>
      </c>
      <c r="E1280">
        <v>7362</v>
      </c>
    </row>
    <row r="1281" spans="1:5" x14ac:dyDescent="0.25">
      <c r="A1281" t="s">
        <v>111</v>
      </c>
      <c r="B1281" t="s">
        <v>243</v>
      </c>
      <c r="C1281" t="s">
        <v>101</v>
      </c>
      <c r="E1281">
        <v>616638</v>
      </c>
    </row>
    <row r="1282" spans="1:5" x14ac:dyDescent="0.25">
      <c r="A1282" t="s">
        <v>111</v>
      </c>
      <c r="B1282" t="s">
        <v>244</v>
      </c>
      <c r="C1282" t="s">
        <v>102</v>
      </c>
      <c r="E1282">
        <v>25768</v>
      </c>
    </row>
    <row r="1283" spans="1:5" x14ac:dyDescent="0.25">
      <c r="A1283" t="s">
        <v>111</v>
      </c>
      <c r="B1283" t="s">
        <v>245</v>
      </c>
      <c r="C1283" t="s">
        <v>103</v>
      </c>
      <c r="E1283">
        <v>590870</v>
      </c>
    </row>
    <row r="1284" spans="1:5" x14ac:dyDescent="0.25">
      <c r="A1284" t="s">
        <v>111</v>
      </c>
      <c r="B1284" t="s">
        <v>246</v>
      </c>
      <c r="C1284" t="s">
        <v>105</v>
      </c>
    </row>
    <row r="1285" spans="1:5" x14ac:dyDescent="0.25">
      <c r="A1285" t="s">
        <v>112</v>
      </c>
      <c r="B1285" t="s">
        <v>148</v>
      </c>
      <c r="C1285" t="s">
        <v>6</v>
      </c>
    </row>
    <row r="1286" spans="1:5" x14ac:dyDescent="0.25">
      <c r="A1286" t="s">
        <v>112</v>
      </c>
      <c r="B1286" t="s">
        <v>149</v>
      </c>
      <c r="C1286" t="s">
        <v>7</v>
      </c>
    </row>
    <row r="1287" spans="1:5" x14ac:dyDescent="0.25">
      <c r="A1287" t="s">
        <v>112</v>
      </c>
      <c r="B1287" t="s">
        <v>150</v>
      </c>
      <c r="C1287" t="s">
        <v>8</v>
      </c>
      <c r="E1287">
        <v>1695529</v>
      </c>
    </row>
    <row r="1288" spans="1:5" x14ac:dyDescent="0.25">
      <c r="A1288" t="s">
        <v>112</v>
      </c>
      <c r="B1288" t="s">
        <v>189</v>
      </c>
      <c r="C1288" t="s">
        <v>67</v>
      </c>
      <c r="E1288">
        <v>1165085</v>
      </c>
    </row>
    <row r="1289" spans="1:5" x14ac:dyDescent="0.25">
      <c r="A1289" t="s">
        <v>112</v>
      </c>
      <c r="B1289" t="s">
        <v>190</v>
      </c>
      <c r="C1289" t="s">
        <v>68</v>
      </c>
      <c r="E1289">
        <v>530444</v>
      </c>
    </row>
    <row r="1290" spans="1:5" x14ac:dyDescent="0.25">
      <c r="A1290" t="s">
        <v>112</v>
      </c>
      <c r="B1290" t="s">
        <v>151</v>
      </c>
      <c r="C1290" t="s">
        <v>9</v>
      </c>
      <c r="D1290">
        <v>502947</v>
      </c>
    </row>
    <row r="1291" spans="1:5" x14ac:dyDescent="0.25">
      <c r="A1291" t="s">
        <v>112</v>
      </c>
      <c r="B1291" t="s">
        <v>152</v>
      </c>
      <c r="C1291" t="s">
        <v>10</v>
      </c>
    </row>
    <row r="1292" spans="1:5" x14ac:dyDescent="0.25">
      <c r="A1292" t="s">
        <v>112</v>
      </c>
      <c r="B1292" t="s">
        <v>153</v>
      </c>
      <c r="C1292" t="s">
        <v>11</v>
      </c>
      <c r="D1292">
        <v>1192582</v>
      </c>
      <c r="E1292">
        <v>1192582</v>
      </c>
    </row>
    <row r="1293" spans="1:5" x14ac:dyDescent="0.25">
      <c r="A1293" t="s">
        <v>112</v>
      </c>
      <c r="B1293" t="s">
        <v>154</v>
      </c>
      <c r="C1293" t="s">
        <v>12</v>
      </c>
    </row>
    <row r="1294" spans="1:5" x14ac:dyDescent="0.25">
      <c r="A1294" t="s">
        <v>112</v>
      </c>
      <c r="B1294" t="s">
        <v>155</v>
      </c>
      <c r="C1294" t="s">
        <v>13</v>
      </c>
      <c r="D1294">
        <v>141075</v>
      </c>
      <c r="E1294">
        <v>2921445</v>
      </c>
    </row>
    <row r="1295" spans="1:5" x14ac:dyDescent="0.25">
      <c r="A1295" t="s">
        <v>112</v>
      </c>
      <c r="B1295" t="s">
        <v>156</v>
      </c>
      <c r="C1295" t="s">
        <v>69</v>
      </c>
      <c r="D1295">
        <v>135102</v>
      </c>
      <c r="E1295">
        <v>2313263</v>
      </c>
    </row>
    <row r="1296" spans="1:5" x14ac:dyDescent="0.25">
      <c r="A1296" t="s">
        <v>112</v>
      </c>
      <c r="B1296" t="s">
        <v>135</v>
      </c>
      <c r="C1296" t="s">
        <v>15</v>
      </c>
      <c r="D1296">
        <v>5973</v>
      </c>
      <c r="E1296">
        <v>608182</v>
      </c>
    </row>
    <row r="1297" spans="1:5" x14ac:dyDescent="0.25">
      <c r="A1297" t="s">
        <v>112</v>
      </c>
      <c r="B1297" t="s">
        <v>157</v>
      </c>
      <c r="C1297" t="s">
        <v>16</v>
      </c>
      <c r="D1297">
        <v>5973</v>
      </c>
      <c r="E1297">
        <v>518850</v>
      </c>
    </row>
    <row r="1298" spans="1:5" x14ac:dyDescent="0.25">
      <c r="A1298" t="s">
        <v>112</v>
      </c>
      <c r="B1298" t="s">
        <v>158</v>
      </c>
      <c r="C1298" t="s">
        <v>17</v>
      </c>
      <c r="E1298">
        <v>89332</v>
      </c>
    </row>
    <row r="1299" spans="1:5" x14ac:dyDescent="0.25">
      <c r="A1299" t="s">
        <v>112</v>
      </c>
      <c r="B1299" t="s">
        <v>159</v>
      </c>
      <c r="C1299" t="s">
        <v>18</v>
      </c>
      <c r="D1299">
        <v>-3978</v>
      </c>
    </row>
    <row r="1300" spans="1:5" x14ac:dyDescent="0.25">
      <c r="A1300" t="s">
        <v>112</v>
      </c>
      <c r="B1300" t="s">
        <v>160</v>
      </c>
      <c r="C1300" t="s">
        <v>19</v>
      </c>
      <c r="D1300">
        <v>-3978</v>
      </c>
    </row>
    <row r="1301" spans="1:5" x14ac:dyDescent="0.25">
      <c r="A1301" t="s">
        <v>112</v>
      </c>
      <c r="B1301" t="s">
        <v>161</v>
      </c>
      <c r="C1301" t="s">
        <v>20</v>
      </c>
      <c r="D1301">
        <v>508315</v>
      </c>
      <c r="E1301">
        <v>508315</v>
      </c>
    </row>
    <row r="1302" spans="1:5" x14ac:dyDescent="0.25">
      <c r="A1302" t="s">
        <v>112</v>
      </c>
      <c r="B1302" t="s">
        <v>162</v>
      </c>
      <c r="C1302" t="s">
        <v>21</v>
      </c>
      <c r="D1302">
        <v>547170</v>
      </c>
      <c r="E1302">
        <v>547170</v>
      </c>
    </row>
    <row r="1303" spans="1:5" x14ac:dyDescent="0.25">
      <c r="A1303" t="s">
        <v>112</v>
      </c>
      <c r="B1303" t="s">
        <v>163</v>
      </c>
      <c r="C1303" t="s">
        <v>22</v>
      </c>
      <c r="D1303">
        <v>346347</v>
      </c>
      <c r="E1303">
        <v>880473</v>
      </c>
    </row>
    <row r="1304" spans="1:5" x14ac:dyDescent="0.25">
      <c r="A1304" t="s">
        <v>112</v>
      </c>
      <c r="B1304" t="s">
        <v>140</v>
      </c>
      <c r="C1304" t="s">
        <v>23</v>
      </c>
      <c r="D1304">
        <v>345699</v>
      </c>
      <c r="E1304">
        <v>436148</v>
      </c>
    </row>
    <row r="1305" spans="1:5" x14ac:dyDescent="0.25">
      <c r="A1305" t="s">
        <v>112</v>
      </c>
      <c r="B1305" t="s">
        <v>164</v>
      </c>
      <c r="C1305" t="s">
        <v>70</v>
      </c>
      <c r="E1305">
        <v>370240</v>
      </c>
    </row>
    <row r="1306" spans="1:5" x14ac:dyDescent="0.25">
      <c r="A1306" t="s">
        <v>112</v>
      </c>
      <c r="B1306" t="s">
        <v>191</v>
      </c>
      <c r="C1306" t="s">
        <v>71</v>
      </c>
    </row>
    <row r="1307" spans="1:5" x14ac:dyDescent="0.25">
      <c r="A1307" t="s">
        <v>112</v>
      </c>
      <c r="B1307" t="s">
        <v>133</v>
      </c>
      <c r="C1307" t="s">
        <v>72</v>
      </c>
      <c r="E1307">
        <v>74085</v>
      </c>
    </row>
    <row r="1308" spans="1:5" x14ac:dyDescent="0.25">
      <c r="A1308" t="s">
        <v>112</v>
      </c>
      <c r="B1308" t="s">
        <v>192</v>
      </c>
      <c r="C1308" t="s">
        <v>73</v>
      </c>
      <c r="E1308">
        <v>5335</v>
      </c>
    </row>
    <row r="1309" spans="1:5" x14ac:dyDescent="0.25">
      <c r="A1309" t="s">
        <v>112</v>
      </c>
      <c r="B1309" t="s">
        <v>193</v>
      </c>
      <c r="C1309" t="s">
        <v>74</v>
      </c>
      <c r="E1309">
        <v>48385</v>
      </c>
    </row>
    <row r="1310" spans="1:5" x14ac:dyDescent="0.25">
      <c r="A1310" t="s">
        <v>112</v>
      </c>
      <c r="B1310" t="s">
        <v>194</v>
      </c>
      <c r="C1310" t="s">
        <v>75</v>
      </c>
      <c r="E1310">
        <v>20365</v>
      </c>
    </row>
    <row r="1311" spans="1:5" x14ac:dyDescent="0.25">
      <c r="A1311" t="s">
        <v>112</v>
      </c>
      <c r="B1311" t="s">
        <v>166</v>
      </c>
      <c r="C1311" t="s">
        <v>26</v>
      </c>
      <c r="D1311">
        <v>648</v>
      </c>
    </row>
    <row r="1312" spans="1:5" x14ac:dyDescent="0.25">
      <c r="A1312" t="s">
        <v>112</v>
      </c>
      <c r="B1312" t="s">
        <v>167</v>
      </c>
      <c r="C1312" t="s">
        <v>27</v>
      </c>
      <c r="D1312">
        <v>4511056</v>
      </c>
      <c r="E1312">
        <v>4511056</v>
      </c>
    </row>
    <row r="1313" spans="1:5" x14ac:dyDescent="0.25">
      <c r="A1313" t="s">
        <v>112</v>
      </c>
      <c r="B1313" t="s">
        <v>168</v>
      </c>
      <c r="C1313" t="s">
        <v>28</v>
      </c>
      <c r="D1313">
        <v>217613</v>
      </c>
    </row>
    <row r="1314" spans="1:5" x14ac:dyDescent="0.25">
      <c r="A1314" t="s">
        <v>112</v>
      </c>
      <c r="B1314" t="s">
        <v>137</v>
      </c>
      <c r="C1314" t="s">
        <v>29</v>
      </c>
      <c r="D1314">
        <v>807880</v>
      </c>
    </row>
    <row r="1315" spans="1:5" x14ac:dyDescent="0.25">
      <c r="A1315" t="s">
        <v>112</v>
      </c>
      <c r="B1315" t="s">
        <v>169</v>
      </c>
      <c r="C1315" t="s">
        <v>30</v>
      </c>
      <c r="D1315">
        <v>518850</v>
      </c>
    </row>
    <row r="1316" spans="1:5" x14ac:dyDescent="0.25">
      <c r="A1316" t="s">
        <v>112</v>
      </c>
      <c r="B1316" t="s">
        <v>170</v>
      </c>
      <c r="C1316" t="s">
        <v>31</v>
      </c>
      <c r="D1316">
        <v>89332</v>
      </c>
    </row>
    <row r="1317" spans="1:5" x14ac:dyDescent="0.25">
      <c r="A1317" t="s">
        <v>112</v>
      </c>
      <c r="B1317" t="s">
        <v>195</v>
      </c>
      <c r="C1317" t="s">
        <v>76</v>
      </c>
      <c r="D1317">
        <v>199698</v>
      </c>
    </row>
    <row r="1318" spans="1:5" x14ac:dyDescent="0.25">
      <c r="A1318" t="s">
        <v>112</v>
      </c>
      <c r="B1318" t="s">
        <v>138</v>
      </c>
      <c r="C1318" t="s">
        <v>33</v>
      </c>
      <c r="E1318">
        <v>1273787</v>
      </c>
    </row>
    <row r="1319" spans="1:5" x14ac:dyDescent="0.25">
      <c r="A1319" t="s">
        <v>112</v>
      </c>
      <c r="B1319" t="s">
        <v>172</v>
      </c>
      <c r="C1319" t="s">
        <v>34</v>
      </c>
      <c r="E1319">
        <v>622608</v>
      </c>
    </row>
    <row r="1320" spans="1:5" x14ac:dyDescent="0.25">
      <c r="A1320" t="s">
        <v>112</v>
      </c>
      <c r="B1320" t="s">
        <v>173</v>
      </c>
      <c r="C1320" t="s">
        <v>35</v>
      </c>
      <c r="E1320">
        <v>564185</v>
      </c>
    </row>
    <row r="1321" spans="1:5" x14ac:dyDescent="0.25">
      <c r="A1321" t="s">
        <v>112</v>
      </c>
      <c r="B1321" t="s">
        <v>174</v>
      </c>
      <c r="C1321" t="s">
        <v>36</v>
      </c>
      <c r="E1321">
        <v>86994</v>
      </c>
    </row>
    <row r="1322" spans="1:5" x14ac:dyDescent="0.25">
      <c r="A1322" t="s">
        <v>112</v>
      </c>
      <c r="B1322" t="s">
        <v>141</v>
      </c>
      <c r="C1322" t="s">
        <v>37</v>
      </c>
      <c r="D1322">
        <v>101744</v>
      </c>
      <c r="E1322">
        <v>46625</v>
      </c>
    </row>
    <row r="1323" spans="1:5" x14ac:dyDescent="0.25">
      <c r="A1323" t="s">
        <v>112</v>
      </c>
      <c r="B1323" t="s">
        <v>175</v>
      </c>
      <c r="C1323" t="s">
        <v>38</v>
      </c>
      <c r="D1323">
        <v>41265</v>
      </c>
    </row>
    <row r="1324" spans="1:5" x14ac:dyDescent="0.25">
      <c r="A1324" t="s">
        <v>112</v>
      </c>
      <c r="B1324" t="s">
        <v>176</v>
      </c>
      <c r="C1324" t="s">
        <v>39</v>
      </c>
      <c r="E1324">
        <v>27746</v>
      </c>
    </row>
    <row r="1325" spans="1:5" x14ac:dyDescent="0.25">
      <c r="A1325" t="s">
        <v>112</v>
      </c>
      <c r="B1325" t="s">
        <v>177</v>
      </c>
      <c r="C1325" t="s">
        <v>77</v>
      </c>
    </row>
    <row r="1326" spans="1:5" x14ac:dyDescent="0.25">
      <c r="A1326" t="s">
        <v>112</v>
      </c>
      <c r="B1326" t="s">
        <v>178</v>
      </c>
      <c r="C1326" t="s">
        <v>78</v>
      </c>
    </row>
    <row r="1327" spans="1:5" x14ac:dyDescent="0.25">
      <c r="A1327" t="s">
        <v>112</v>
      </c>
      <c r="B1327" t="s">
        <v>179</v>
      </c>
      <c r="C1327" t="s">
        <v>42</v>
      </c>
      <c r="D1327">
        <v>60479</v>
      </c>
      <c r="E1327">
        <v>18879</v>
      </c>
    </row>
    <row r="1328" spans="1:5" x14ac:dyDescent="0.25">
      <c r="A1328" t="s">
        <v>112</v>
      </c>
      <c r="B1328" t="s">
        <v>121</v>
      </c>
      <c r="C1328" t="s">
        <v>79</v>
      </c>
      <c r="D1328">
        <v>4704231</v>
      </c>
      <c r="E1328">
        <v>4704231</v>
      </c>
    </row>
    <row r="1329" spans="1:5" x14ac:dyDescent="0.25">
      <c r="A1329" t="s">
        <v>112</v>
      </c>
      <c r="B1329" t="s">
        <v>142</v>
      </c>
      <c r="C1329" t="s">
        <v>44</v>
      </c>
      <c r="E1329">
        <v>667553</v>
      </c>
    </row>
    <row r="1330" spans="1:5" x14ac:dyDescent="0.25">
      <c r="A1330" t="s">
        <v>112</v>
      </c>
      <c r="B1330" t="s">
        <v>180</v>
      </c>
      <c r="C1330" t="s">
        <v>45</v>
      </c>
      <c r="D1330">
        <v>5371784</v>
      </c>
      <c r="E1330">
        <v>5371784</v>
      </c>
    </row>
    <row r="1331" spans="1:5" x14ac:dyDescent="0.25">
      <c r="A1331" t="s">
        <v>112</v>
      </c>
      <c r="B1331" t="s">
        <v>181</v>
      </c>
      <c r="C1331" t="s">
        <v>46</v>
      </c>
      <c r="D1331">
        <v>4823705</v>
      </c>
    </row>
    <row r="1332" spans="1:5" x14ac:dyDescent="0.25">
      <c r="A1332" t="s">
        <v>112</v>
      </c>
      <c r="B1332" t="s">
        <v>122</v>
      </c>
      <c r="C1332" t="s">
        <v>47</v>
      </c>
      <c r="D1332">
        <v>4156152</v>
      </c>
    </row>
    <row r="1333" spans="1:5" x14ac:dyDescent="0.25">
      <c r="A1333" t="s">
        <v>112</v>
      </c>
      <c r="B1333" t="s">
        <v>182</v>
      </c>
      <c r="C1333" t="s">
        <v>80</v>
      </c>
      <c r="E1333">
        <v>14980</v>
      </c>
    </row>
    <row r="1334" spans="1:5" x14ac:dyDescent="0.25">
      <c r="A1334" t="s">
        <v>112</v>
      </c>
      <c r="B1334" t="s">
        <v>127</v>
      </c>
      <c r="C1334" t="s">
        <v>49</v>
      </c>
      <c r="D1334">
        <v>563059</v>
      </c>
    </row>
    <row r="1335" spans="1:5" x14ac:dyDescent="0.25">
      <c r="A1335" t="s">
        <v>112</v>
      </c>
      <c r="B1335" t="s">
        <v>183</v>
      </c>
      <c r="C1335" t="s">
        <v>50</v>
      </c>
    </row>
    <row r="1336" spans="1:5" x14ac:dyDescent="0.25">
      <c r="A1336" t="s">
        <v>112</v>
      </c>
      <c r="B1336" t="s">
        <v>127</v>
      </c>
      <c r="C1336" t="s">
        <v>49</v>
      </c>
      <c r="E1336">
        <v>563059</v>
      </c>
    </row>
    <row r="1337" spans="1:5" x14ac:dyDescent="0.25">
      <c r="A1337" t="s">
        <v>112</v>
      </c>
      <c r="B1337" t="s">
        <v>124</v>
      </c>
      <c r="C1337" t="s">
        <v>51</v>
      </c>
      <c r="D1337">
        <v>355517</v>
      </c>
    </row>
    <row r="1338" spans="1:5" x14ac:dyDescent="0.25">
      <c r="A1338" t="s">
        <v>112</v>
      </c>
      <c r="B1338" t="s">
        <v>184</v>
      </c>
      <c r="C1338" t="s">
        <v>52</v>
      </c>
    </row>
    <row r="1339" spans="1:5" x14ac:dyDescent="0.25">
      <c r="A1339" t="s">
        <v>112</v>
      </c>
      <c r="B1339" t="s">
        <v>185</v>
      </c>
      <c r="C1339" t="s">
        <v>53</v>
      </c>
    </row>
    <row r="1340" spans="1:5" x14ac:dyDescent="0.25">
      <c r="A1340" t="s">
        <v>112</v>
      </c>
      <c r="B1340" t="s">
        <v>186</v>
      </c>
      <c r="C1340" t="s">
        <v>54</v>
      </c>
      <c r="E1340">
        <v>2246</v>
      </c>
    </row>
    <row r="1341" spans="1:5" x14ac:dyDescent="0.25">
      <c r="A1341" t="s">
        <v>112</v>
      </c>
      <c r="B1341" t="s">
        <v>187</v>
      </c>
      <c r="C1341" t="s">
        <v>55</v>
      </c>
      <c r="D1341">
        <v>202141</v>
      </c>
    </row>
    <row r="1342" spans="1:5" x14ac:dyDescent="0.25">
      <c r="A1342" t="s">
        <v>112</v>
      </c>
      <c r="B1342" t="s">
        <v>188</v>
      </c>
      <c r="C1342" t="s">
        <v>56</v>
      </c>
      <c r="E1342">
        <v>557658</v>
      </c>
    </row>
    <row r="1343" spans="1:5" x14ac:dyDescent="0.25">
      <c r="A1343" t="s">
        <v>112</v>
      </c>
      <c r="B1343" t="s">
        <v>196</v>
      </c>
      <c r="C1343" t="s">
        <v>81</v>
      </c>
      <c r="E1343">
        <v>96174</v>
      </c>
    </row>
    <row r="1344" spans="1:5" x14ac:dyDescent="0.25">
      <c r="A1344" t="s">
        <v>112</v>
      </c>
      <c r="B1344" t="s">
        <v>197</v>
      </c>
      <c r="C1344" t="s">
        <v>82</v>
      </c>
    </row>
    <row r="1345" spans="1:5" x14ac:dyDescent="0.25">
      <c r="A1345" t="s">
        <v>112</v>
      </c>
      <c r="B1345" t="s">
        <v>198</v>
      </c>
      <c r="C1345" t="s">
        <v>83</v>
      </c>
    </row>
    <row r="1346" spans="1:5" x14ac:dyDescent="0.25">
      <c r="A1346" t="s">
        <v>112</v>
      </c>
      <c r="B1346" t="s">
        <v>199</v>
      </c>
      <c r="C1346" t="s">
        <v>84</v>
      </c>
    </row>
    <row r="1347" spans="1:5" x14ac:dyDescent="0.25">
      <c r="A1347" t="s">
        <v>112</v>
      </c>
      <c r="B1347" t="s">
        <v>200</v>
      </c>
      <c r="C1347" t="s">
        <v>85</v>
      </c>
    </row>
    <row r="1348" spans="1:5" x14ac:dyDescent="0.25">
      <c r="A1348" t="s">
        <v>112</v>
      </c>
      <c r="B1348" t="s">
        <v>201</v>
      </c>
      <c r="C1348" t="s">
        <v>86</v>
      </c>
    </row>
    <row r="1349" spans="1:5" x14ac:dyDescent="0.25">
      <c r="A1349" t="s">
        <v>112</v>
      </c>
      <c r="B1349" t="s">
        <v>202</v>
      </c>
      <c r="C1349" t="s">
        <v>87</v>
      </c>
    </row>
    <row r="1350" spans="1:5" x14ac:dyDescent="0.25">
      <c r="A1350" t="s">
        <v>112</v>
      </c>
      <c r="B1350" t="s">
        <v>203</v>
      </c>
      <c r="C1350" t="s">
        <v>88</v>
      </c>
    </row>
    <row r="1351" spans="1:5" x14ac:dyDescent="0.25">
      <c r="A1351" t="s">
        <v>112</v>
      </c>
      <c r="B1351" t="s">
        <v>204</v>
      </c>
      <c r="C1351" t="s">
        <v>89</v>
      </c>
    </row>
    <row r="1352" spans="1:5" x14ac:dyDescent="0.25">
      <c r="A1352" t="s">
        <v>112</v>
      </c>
      <c r="B1352" t="s">
        <v>205</v>
      </c>
      <c r="C1352" t="s">
        <v>90</v>
      </c>
      <c r="E1352">
        <v>142584</v>
      </c>
    </row>
    <row r="1353" spans="1:5" x14ac:dyDescent="0.25">
      <c r="A1353" t="s">
        <v>112</v>
      </c>
      <c r="B1353" t="s">
        <v>206</v>
      </c>
      <c r="C1353" t="s">
        <v>88</v>
      </c>
      <c r="E1353">
        <v>4891</v>
      </c>
    </row>
    <row r="1354" spans="1:5" x14ac:dyDescent="0.25">
      <c r="A1354" t="s">
        <v>112</v>
      </c>
      <c r="B1354" t="s">
        <v>207</v>
      </c>
      <c r="C1354" t="s">
        <v>89</v>
      </c>
      <c r="E1354">
        <v>137693</v>
      </c>
    </row>
    <row r="1355" spans="1:5" x14ac:dyDescent="0.25">
      <c r="A1355" t="s">
        <v>112</v>
      </c>
      <c r="B1355" t="s">
        <v>208</v>
      </c>
      <c r="C1355" t="s">
        <v>91</v>
      </c>
    </row>
    <row r="1356" spans="1:5" x14ac:dyDescent="0.25">
      <c r="A1356" t="s">
        <v>112</v>
      </c>
      <c r="B1356" t="s">
        <v>209</v>
      </c>
      <c r="C1356" t="s">
        <v>113</v>
      </c>
    </row>
    <row r="1357" spans="1:5" x14ac:dyDescent="0.25">
      <c r="A1357" t="s">
        <v>112</v>
      </c>
      <c r="B1357" t="s">
        <v>210</v>
      </c>
      <c r="C1357" t="s">
        <v>93</v>
      </c>
    </row>
    <row r="1358" spans="1:5" x14ac:dyDescent="0.25">
      <c r="A1358" t="s">
        <v>112</v>
      </c>
      <c r="B1358" t="s">
        <v>211</v>
      </c>
      <c r="C1358" t="s">
        <v>94</v>
      </c>
    </row>
    <row r="1359" spans="1:5" x14ac:dyDescent="0.25">
      <c r="A1359" t="s">
        <v>112</v>
      </c>
      <c r="B1359" t="s">
        <v>212</v>
      </c>
      <c r="C1359" t="s">
        <v>95</v>
      </c>
    </row>
    <row r="1360" spans="1:5" x14ac:dyDescent="0.25">
      <c r="A1360" t="s">
        <v>112</v>
      </c>
      <c r="B1360" t="s">
        <v>213</v>
      </c>
      <c r="C1360" t="s">
        <v>96</v>
      </c>
    </row>
    <row r="1361" spans="1:5" x14ac:dyDescent="0.25">
      <c r="A1361" t="s">
        <v>112</v>
      </c>
      <c r="B1361" t="s">
        <v>214</v>
      </c>
      <c r="C1361" t="s">
        <v>97</v>
      </c>
    </row>
    <row r="1362" spans="1:5" x14ac:dyDescent="0.25">
      <c r="A1362" t="s">
        <v>112</v>
      </c>
      <c r="B1362" t="s">
        <v>215</v>
      </c>
      <c r="C1362" t="s">
        <v>98</v>
      </c>
    </row>
    <row r="1363" spans="1:5" x14ac:dyDescent="0.25">
      <c r="A1363" t="s">
        <v>112</v>
      </c>
      <c r="B1363" t="s">
        <v>216</v>
      </c>
      <c r="C1363" t="s">
        <v>99</v>
      </c>
    </row>
    <row r="1364" spans="1:5" x14ac:dyDescent="0.25">
      <c r="A1364" t="s">
        <v>112</v>
      </c>
      <c r="B1364" t="s">
        <v>217</v>
      </c>
      <c r="C1364" t="s">
        <v>100</v>
      </c>
      <c r="E1364">
        <v>366</v>
      </c>
    </row>
    <row r="1365" spans="1:5" x14ac:dyDescent="0.25">
      <c r="A1365" t="s">
        <v>112</v>
      </c>
      <c r="B1365" t="s">
        <v>218</v>
      </c>
      <c r="C1365" t="s">
        <v>101</v>
      </c>
      <c r="E1365">
        <v>-46776</v>
      </c>
    </row>
    <row r="1366" spans="1:5" x14ac:dyDescent="0.25">
      <c r="A1366" t="s">
        <v>112</v>
      </c>
      <c r="B1366" t="s">
        <v>219</v>
      </c>
      <c r="C1366" t="s">
        <v>102</v>
      </c>
      <c r="E1366">
        <v>-186</v>
      </c>
    </row>
    <row r="1367" spans="1:5" x14ac:dyDescent="0.25">
      <c r="A1367" t="s">
        <v>112</v>
      </c>
      <c r="B1367" t="s">
        <v>220</v>
      </c>
      <c r="C1367" t="s">
        <v>103</v>
      </c>
      <c r="E1367">
        <v>-46589</v>
      </c>
    </row>
    <row r="1368" spans="1:5" x14ac:dyDescent="0.25">
      <c r="A1368" t="s">
        <v>112</v>
      </c>
      <c r="B1368" t="s">
        <v>221</v>
      </c>
      <c r="C1368" t="s">
        <v>104</v>
      </c>
      <c r="E1368">
        <v>1790481</v>
      </c>
    </row>
    <row r="1369" spans="1:5" x14ac:dyDescent="0.25">
      <c r="A1369" t="s">
        <v>112</v>
      </c>
      <c r="B1369" t="s">
        <v>222</v>
      </c>
      <c r="C1369" t="s">
        <v>82</v>
      </c>
    </row>
    <row r="1370" spans="1:5" x14ac:dyDescent="0.25">
      <c r="A1370" t="s">
        <v>112</v>
      </c>
      <c r="B1370" t="s">
        <v>223</v>
      </c>
      <c r="C1370" t="s">
        <v>83</v>
      </c>
    </row>
    <row r="1371" spans="1:5" x14ac:dyDescent="0.25">
      <c r="A1371" t="s">
        <v>112</v>
      </c>
      <c r="B1371" t="s">
        <v>224</v>
      </c>
      <c r="C1371" t="s">
        <v>84</v>
      </c>
    </row>
    <row r="1372" spans="1:5" x14ac:dyDescent="0.25">
      <c r="A1372" t="s">
        <v>112</v>
      </c>
      <c r="B1372" t="s">
        <v>225</v>
      </c>
      <c r="C1372" t="s">
        <v>85</v>
      </c>
    </row>
    <row r="1373" spans="1:5" x14ac:dyDescent="0.25">
      <c r="A1373" t="s">
        <v>112</v>
      </c>
      <c r="B1373" t="s">
        <v>226</v>
      </c>
      <c r="C1373" t="s">
        <v>86</v>
      </c>
    </row>
    <row r="1374" spans="1:5" x14ac:dyDescent="0.25">
      <c r="A1374" t="s">
        <v>112</v>
      </c>
      <c r="B1374" t="s">
        <v>227</v>
      </c>
      <c r="C1374" t="s">
        <v>87</v>
      </c>
    </row>
    <row r="1375" spans="1:5" x14ac:dyDescent="0.25">
      <c r="A1375" t="s">
        <v>112</v>
      </c>
      <c r="B1375" t="s">
        <v>228</v>
      </c>
      <c r="C1375" t="s">
        <v>88</v>
      </c>
    </row>
    <row r="1376" spans="1:5" x14ac:dyDescent="0.25">
      <c r="A1376" t="s">
        <v>112</v>
      </c>
      <c r="B1376" t="s">
        <v>229</v>
      </c>
      <c r="C1376" t="s">
        <v>89</v>
      </c>
    </row>
    <row r="1377" spans="1:5" x14ac:dyDescent="0.25">
      <c r="A1377" t="s">
        <v>112</v>
      </c>
      <c r="B1377" t="s">
        <v>230</v>
      </c>
      <c r="C1377" t="s">
        <v>90</v>
      </c>
      <c r="E1377">
        <v>1743699</v>
      </c>
    </row>
    <row r="1378" spans="1:5" x14ac:dyDescent="0.25">
      <c r="A1378" t="s">
        <v>112</v>
      </c>
      <c r="B1378" t="s">
        <v>231</v>
      </c>
      <c r="C1378" t="s">
        <v>88</v>
      </c>
      <c r="E1378">
        <v>101934</v>
      </c>
    </row>
    <row r="1379" spans="1:5" x14ac:dyDescent="0.25">
      <c r="A1379" t="s">
        <v>112</v>
      </c>
      <c r="B1379" t="s">
        <v>232</v>
      </c>
      <c r="C1379" t="s">
        <v>89</v>
      </c>
      <c r="E1379">
        <v>1641765</v>
      </c>
    </row>
    <row r="1380" spans="1:5" x14ac:dyDescent="0.25">
      <c r="A1380" t="s">
        <v>112</v>
      </c>
      <c r="B1380" t="s">
        <v>233</v>
      </c>
      <c r="C1380" t="s">
        <v>91</v>
      </c>
    </row>
    <row r="1381" spans="1:5" x14ac:dyDescent="0.25">
      <c r="A1381" t="s">
        <v>112</v>
      </c>
      <c r="B1381" t="s">
        <v>234</v>
      </c>
      <c r="C1381" t="s">
        <v>113</v>
      </c>
    </row>
    <row r="1382" spans="1:5" x14ac:dyDescent="0.25">
      <c r="A1382" t="s">
        <v>112</v>
      </c>
      <c r="B1382" t="s">
        <v>235</v>
      </c>
      <c r="C1382" t="s">
        <v>93</v>
      </c>
    </row>
    <row r="1383" spans="1:5" x14ac:dyDescent="0.25">
      <c r="A1383" t="s">
        <v>112</v>
      </c>
      <c r="B1383" t="s">
        <v>236</v>
      </c>
      <c r="C1383" t="s">
        <v>94</v>
      </c>
    </row>
    <row r="1384" spans="1:5" x14ac:dyDescent="0.25">
      <c r="A1384" t="s">
        <v>112</v>
      </c>
      <c r="B1384" t="s">
        <v>237</v>
      </c>
      <c r="C1384" t="s">
        <v>95</v>
      </c>
    </row>
    <row r="1385" spans="1:5" x14ac:dyDescent="0.25">
      <c r="A1385" t="s">
        <v>112</v>
      </c>
      <c r="B1385" t="s">
        <v>238</v>
      </c>
      <c r="C1385" t="s">
        <v>96</v>
      </c>
    </row>
    <row r="1386" spans="1:5" x14ac:dyDescent="0.25">
      <c r="A1386" t="s">
        <v>112</v>
      </c>
      <c r="B1386" t="s">
        <v>239</v>
      </c>
      <c r="C1386" t="s">
        <v>97</v>
      </c>
    </row>
    <row r="1387" spans="1:5" x14ac:dyDescent="0.25">
      <c r="A1387" t="s">
        <v>112</v>
      </c>
      <c r="B1387" t="s">
        <v>240</v>
      </c>
      <c r="C1387" t="s">
        <v>98</v>
      </c>
    </row>
    <row r="1388" spans="1:5" x14ac:dyDescent="0.25">
      <c r="A1388" t="s">
        <v>112</v>
      </c>
      <c r="B1388" t="s">
        <v>241</v>
      </c>
      <c r="C1388" t="s">
        <v>99</v>
      </c>
    </row>
    <row r="1389" spans="1:5" x14ac:dyDescent="0.25">
      <c r="A1389" t="s">
        <v>112</v>
      </c>
      <c r="B1389" t="s">
        <v>242</v>
      </c>
      <c r="C1389" t="s">
        <v>100</v>
      </c>
      <c r="E1389">
        <v>5015</v>
      </c>
    </row>
    <row r="1390" spans="1:5" x14ac:dyDescent="0.25">
      <c r="A1390" t="s">
        <v>112</v>
      </c>
      <c r="B1390" t="s">
        <v>243</v>
      </c>
      <c r="C1390" t="s">
        <v>101</v>
      </c>
      <c r="E1390">
        <v>41767</v>
      </c>
    </row>
    <row r="1391" spans="1:5" x14ac:dyDescent="0.25">
      <c r="A1391" t="s">
        <v>112</v>
      </c>
      <c r="B1391" t="s">
        <v>244</v>
      </c>
      <c r="C1391" t="s">
        <v>102</v>
      </c>
      <c r="E1391">
        <v>1035</v>
      </c>
    </row>
    <row r="1392" spans="1:5" x14ac:dyDescent="0.25">
      <c r="A1392" t="s">
        <v>112</v>
      </c>
      <c r="B1392" t="s">
        <v>245</v>
      </c>
      <c r="C1392" t="s">
        <v>103</v>
      </c>
      <c r="E1392">
        <v>40732</v>
      </c>
    </row>
    <row r="1393" spans="1:5" x14ac:dyDescent="0.25">
      <c r="A1393" t="s">
        <v>112</v>
      </c>
      <c r="B1393" t="s">
        <v>246</v>
      </c>
      <c r="C1393" t="s">
        <v>105</v>
      </c>
    </row>
    <row r="1394" spans="1:5" x14ac:dyDescent="0.25">
      <c r="A1394" t="s">
        <v>114</v>
      </c>
      <c r="B1394" t="s">
        <v>148</v>
      </c>
      <c r="C1394" t="s">
        <v>6</v>
      </c>
    </row>
    <row r="1395" spans="1:5" x14ac:dyDescent="0.25">
      <c r="A1395" t="s">
        <v>114</v>
      </c>
      <c r="B1395" t="s">
        <v>149</v>
      </c>
      <c r="C1395" t="s">
        <v>7</v>
      </c>
    </row>
    <row r="1396" spans="1:5" x14ac:dyDescent="0.25">
      <c r="A1396" t="s">
        <v>114</v>
      </c>
      <c r="B1396" t="s">
        <v>150</v>
      </c>
      <c r="C1396" t="s">
        <v>8</v>
      </c>
      <c r="E1396">
        <v>1817051</v>
      </c>
    </row>
    <row r="1397" spans="1:5" x14ac:dyDescent="0.25">
      <c r="A1397" t="s">
        <v>114</v>
      </c>
      <c r="B1397" t="s">
        <v>189</v>
      </c>
      <c r="C1397" t="s">
        <v>67</v>
      </c>
      <c r="E1397">
        <v>1263953</v>
      </c>
    </row>
    <row r="1398" spans="1:5" x14ac:dyDescent="0.25">
      <c r="A1398" t="s">
        <v>114</v>
      </c>
      <c r="B1398" t="s">
        <v>190</v>
      </c>
      <c r="C1398" t="s">
        <v>68</v>
      </c>
      <c r="E1398">
        <v>553098</v>
      </c>
    </row>
    <row r="1399" spans="1:5" x14ac:dyDescent="0.25">
      <c r="A1399" t="s">
        <v>114</v>
      </c>
      <c r="B1399" t="s">
        <v>151</v>
      </c>
      <c r="C1399" t="s">
        <v>9</v>
      </c>
      <c r="D1399">
        <v>552131</v>
      </c>
    </row>
    <row r="1400" spans="1:5" x14ac:dyDescent="0.25">
      <c r="A1400" t="s">
        <v>114</v>
      </c>
      <c r="B1400" t="s">
        <v>152</v>
      </c>
      <c r="C1400" t="s">
        <v>10</v>
      </c>
    </row>
    <row r="1401" spans="1:5" x14ac:dyDescent="0.25">
      <c r="A1401" t="s">
        <v>114</v>
      </c>
      <c r="B1401" t="s">
        <v>153</v>
      </c>
      <c r="C1401" t="s">
        <v>11</v>
      </c>
      <c r="D1401">
        <v>1264920</v>
      </c>
      <c r="E1401">
        <v>1264920</v>
      </c>
    </row>
    <row r="1402" spans="1:5" x14ac:dyDescent="0.25">
      <c r="A1402" t="s">
        <v>114</v>
      </c>
      <c r="B1402" t="s">
        <v>154</v>
      </c>
      <c r="C1402" t="s">
        <v>12</v>
      </c>
    </row>
    <row r="1403" spans="1:5" x14ac:dyDescent="0.25">
      <c r="A1403" t="s">
        <v>114</v>
      </c>
      <c r="B1403" t="s">
        <v>155</v>
      </c>
      <c r="C1403" t="s">
        <v>13</v>
      </c>
      <c r="D1403">
        <v>148861</v>
      </c>
      <c r="E1403">
        <v>3056677</v>
      </c>
    </row>
    <row r="1404" spans="1:5" x14ac:dyDescent="0.25">
      <c r="A1404" t="s">
        <v>114</v>
      </c>
      <c r="B1404" t="s">
        <v>156</v>
      </c>
      <c r="C1404" t="s">
        <v>69</v>
      </c>
      <c r="D1404">
        <v>143323</v>
      </c>
      <c r="E1404">
        <v>2423202</v>
      </c>
    </row>
    <row r="1405" spans="1:5" x14ac:dyDescent="0.25">
      <c r="A1405" t="s">
        <v>114</v>
      </c>
      <c r="B1405" t="s">
        <v>135</v>
      </c>
      <c r="C1405" t="s">
        <v>15</v>
      </c>
      <c r="D1405">
        <v>5538</v>
      </c>
      <c r="E1405">
        <v>633475</v>
      </c>
    </row>
    <row r="1406" spans="1:5" x14ac:dyDescent="0.25">
      <c r="A1406" t="s">
        <v>114</v>
      </c>
      <c r="B1406" t="s">
        <v>157</v>
      </c>
      <c r="C1406" t="s">
        <v>16</v>
      </c>
      <c r="D1406">
        <v>5538</v>
      </c>
      <c r="E1406">
        <v>536663</v>
      </c>
    </row>
    <row r="1407" spans="1:5" x14ac:dyDescent="0.25">
      <c r="A1407" t="s">
        <v>114</v>
      </c>
      <c r="B1407" t="s">
        <v>158</v>
      </c>
      <c r="C1407" t="s">
        <v>17</v>
      </c>
      <c r="E1407">
        <v>96812</v>
      </c>
    </row>
    <row r="1408" spans="1:5" x14ac:dyDescent="0.25">
      <c r="A1408" t="s">
        <v>114</v>
      </c>
      <c r="B1408" t="s">
        <v>159</v>
      </c>
      <c r="C1408" t="s">
        <v>18</v>
      </c>
      <c r="D1408">
        <v>-2830</v>
      </c>
    </row>
    <row r="1409" spans="1:5" x14ac:dyDescent="0.25">
      <c r="A1409" t="s">
        <v>114</v>
      </c>
      <c r="B1409" t="s">
        <v>160</v>
      </c>
      <c r="C1409" t="s">
        <v>19</v>
      </c>
      <c r="D1409">
        <v>-2830</v>
      </c>
    </row>
    <row r="1410" spans="1:5" x14ac:dyDescent="0.25">
      <c r="A1410" t="s">
        <v>114</v>
      </c>
      <c r="B1410" t="s">
        <v>161</v>
      </c>
      <c r="C1410" t="s">
        <v>20</v>
      </c>
      <c r="D1410">
        <v>535321</v>
      </c>
      <c r="E1410">
        <v>535321</v>
      </c>
    </row>
    <row r="1411" spans="1:5" x14ac:dyDescent="0.25">
      <c r="A1411" t="s">
        <v>114</v>
      </c>
      <c r="B1411" t="s">
        <v>162</v>
      </c>
      <c r="C1411" t="s">
        <v>21</v>
      </c>
      <c r="D1411">
        <v>583568</v>
      </c>
      <c r="E1411">
        <v>583568</v>
      </c>
    </row>
    <row r="1412" spans="1:5" x14ac:dyDescent="0.25">
      <c r="A1412" t="s">
        <v>114</v>
      </c>
      <c r="B1412" t="s">
        <v>163</v>
      </c>
      <c r="C1412" t="s">
        <v>22</v>
      </c>
      <c r="D1412">
        <v>278633</v>
      </c>
      <c r="E1412">
        <v>876994</v>
      </c>
    </row>
    <row r="1413" spans="1:5" x14ac:dyDescent="0.25">
      <c r="A1413" t="s">
        <v>114</v>
      </c>
      <c r="B1413" t="s">
        <v>140</v>
      </c>
      <c r="C1413" t="s">
        <v>23</v>
      </c>
      <c r="D1413">
        <v>277997</v>
      </c>
      <c r="E1413">
        <v>379187</v>
      </c>
    </row>
    <row r="1414" spans="1:5" x14ac:dyDescent="0.25">
      <c r="A1414" t="s">
        <v>114</v>
      </c>
      <c r="B1414" t="s">
        <v>164</v>
      </c>
      <c r="C1414" t="s">
        <v>70</v>
      </c>
      <c r="E1414">
        <v>432789</v>
      </c>
    </row>
    <row r="1415" spans="1:5" x14ac:dyDescent="0.25">
      <c r="A1415" t="s">
        <v>114</v>
      </c>
      <c r="B1415" t="s">
        <v>191</v>
      </c>
      <c r="C1415" t="s">
        <v>71</v>
      </c>
    </row>
    <row r="1416" spans="1:5" x14ac:dyDescent="0.25">
      <c r="A1416" t="s">
        <v>114</v>
      </c>
      <c r="B1416" t="s">
        <v>133</v>
      </c>
      <c r="C1416" t="s">
        <v>72</v>
      </c>
      <c r="E1416">
        <v>65018</v>
      </c>
    </row>
    <row r="1417" spans="1:5" x14ac:dyDescent="0.25">
      <c r="A1417" t="s">
        <v>114</v>
      </c>
      <c r="B1417" t="s">
        <v>192</v>
      </c>
      <c r="C1417" t="s">
        <v>73</v>
      </c>
      <c r="E1417">
        <v>4222</v>
      </c>
    </row>
    <row r="1418" spans="1:5" x14ac:dyDescent="0.25">
      <c r="A1418" t="s">
        <v>114</v>
      </c>
      <c r="B1418" t="s">
        <v>193</v>
      </c>
      <c r="C1418" t="s">
        <v>74</v>
      </c>
      <c r="E1418">
        <v>47536</v>
      </c>
    </row>
    <row r="1419" spans="1:5" x14ac:dyDescent="0.25">
      <c r="A1419" t="s">
        <v>114</v>
      </c>
      <c r="B1419" t="s">
        <v>194</v>
      </c>
      <c r="C1419" t="s">
        <v>75</v>
      </c>
      <c r="E1419">
        <v>13260</v>
      </c>
    </row>
    <row r="1420" spans="1:5" x14ac:dyDescent="0.25">
      <c r="A1420" t="s">
        <v>114</v>
      </c>
      <c r="B1420" t="s">
        <v>166</v>
      </c>
      <c r="C1420" t="s">
        <v>26</v>
      </c>
      <c r="D1420">
        <v>636</v>
      </c>
    </row>
    <row r="1421" spans="1:5" x14ac:dyDescent="0.25">
      <c r="A1421" t="s">
        <v>114</v>
      </c>
      <c r="B1421" t="s">
        <v>167</v>
      </c>
      <c r="C1421" t="s">
        <v>27</v>
      </c>
      <c r="D1421">
        <v>4773927</v>
      </c>
      <c r="E1421">
        <v>4773927</v>
      </c>
    </row>
    <row r="1422" spans="1:5" x14ac:dyDescent="0.25">
      <c r="A1422" t="s">
        <v>114</v>
      </c>
      <c r="B1422" t="s">
        <v>168</v>
      </c>
      <c r="C1422" t="s">
        <v>28</v>
      </c>
      <c r="D1422">
        <v>249550</v>
      </c>
    </row>
    <row r="1423" spans="1:5" x14ac:dyDescent="0.25">
      <c r="A1423" t="s">
        <v>114</v>
      </c>
      <c r="B1423" t="s">
        <v>137</v>
      </c>
      <c r="C1423" t="s">
        <v>29</v>
      </c>
      <c r="D1423">
        <v>843422</v>
      </c>
    </row>
    <row r="1424" spans="1:5" x14ac:dyDescent="0.25">
      <c r="A1424" t="s">
        <v>114</v>
      </c>
      <c r="B1424" t="s">
        <v>169</v>
      </c>
      <c r="C1424" t="s">
        <v>30</v>
      </c>
      <c r="D1424">
        <v>536663</v>
      </c>
    </row>
    <row r="1425" spans="1:5" x14ac:dyDescent="0.25">
      <c r="A1425" t="s">
        <v>114</v>
      </c>
      <c r="B1425" t="s">
        <v>170</v>
      </c>
      <c r="C1425" t="s">
        <v>31</v>
      </c>
      <c r="D1425">
        <v>96812</v>
      </c>
    </row>
    <row r="1426" spans="1:5" x14ac:dyDescent="0.25">
      <c r="A1426" t="s">
        <v>114</v>
      </c>
      <c r="B1426" t="s">
        <v>195</v>
      </c>
      <c r="C1426" t="s">
        <v>76</v>
      </c>
      <c r="D1426">
        <v>209947</v>
      </c>
    </row>
    <row r="1427" spans="1:5" x14ac:dyDescent="0.25">
      <c r="A1427" t="s">
        <v>114</v>
      </c>
      <c r="B1427" t="s">
        <v>138</v>
      </c>
      <c r="C1427" t="s">
        <v>33</v>
      </c>
      <c r="E1427">
        <v>1293900</v>
      </c>
    </row>
    <row r="1428" spans="1:5" x14ac:dyDescent="0.25">
      <c r="A1428" t="s">
        <v>114</v>
      </c>
      <c r="B1428" t="s">
        <v>172</v>
      </c>
      <c r="C1428" t="s">
        <v>34</v>
      </c>
      <c r="E1428">
        <v>649122</v>
      </c>
    </row>
    <row r="1429" spans="1:5" x14ac:dyDescent="0.25">
      <c r="A1429" t="s">
        <v>114</v>
      </c>
      <c r="B1429" t="s">
        <v>173</v>
      </c>
      <c r="C1429" t="s">
        <v>35</v>
      </c>
      <c r="E1429">
        <v>553690</v>
      </c>
    </row>
    <row r="1430" spans="1:5" x14ac:dyDescent="0.25">
      <c r="A1430" t="s">
        <v>114</v>
      </c>
      <c r="B1430" t="s">
        <v>174</v>
      </c>
      <c r="C1430" t="s">
        <v>36</v>
      </c>
      <c r="E1430">
        <v>91088</v>
      </c>
    </row>
    <row r="1431" spans="1:5" x14ac:dyDescent="0.25">
      <c r="A1431" t="s">
        <v>114</v>
      </c>
      <c r="B1431" t="s">
        <v>141</v>
      </c>
      <c r="C1431" t="s">
        <v>37</v>
      </c>
      <c r="D1431">
        <v>104994</v>
      </c>
      <c r="E1431">
        <v>48319</v>
      </c>
    </row>
    <row r="1432" spans="1:5" x14ac:dyDescent="0.25">
      <c r="A1432" t="s">
        <v>114</v>
      </c>
      <c r="B1432" t="s">
        <v>175</v>
      </c>
      <c r="C1432" t="s">
        <v>38</v>
      </c>
      <c r="D1432">
        <v>42162</v>
      </c>
    </row>
    <row r="1433" spans="1:5" x14ac:dyDescent="0.25">
      <c r="A1433" t="s">
        <v>114</v>
      </c>
      <c r="B1433" t="s">
        <v>176</v>
      </c>
      <c r="C1433" t="s">
        <v>39</v>
      </c>
      <c r="E1433">
        <v>28349</v>
      </c>
    </row>
    <row r="1434" spans="1:5" x14ac:dyDescent="0.25">
      <c r="A1434" t="s">
        <v>114</v>
      </c>
      <c r="B1434" t="s">
        <v>177</v>
      </c>
      <c r="C1434" t="s">
        <v>77</v>
      </c>
    </row>
    <row r="1435" spans="1:5" x14ac:dyDescent="0.25">
      <c r="A1435" t="s">
        <v>114</v>
      </c>
      <c r="B1435" t="s">
        <v>178</v>
      </c>
      <c r="C1435" t="s">
        <v>78</v>
      </c>
    </row>
    <row r="1436" spans="1:5" x14ac:dyDescent="0.25">
      <c r="A1436" t="s">
        <v>114</v>
      </c>
      <c r="B1436" t="s">
        <v>179</v>
      </c>
      <c r="C1436" t="s">
        <v>42</v>
      </c>
      <c r="D1436">
        <v>62832</v>
      </c>
      <c r="E1436">
        <v>19970</v>
      </c>
    </row>
    <row r="1437" spans="1:5" x14ac:dyDescent="0.25">
      <c r="A1437" t="s">
        <v>114</v>
      </c>
      <c r="B1437" t="s">
        <v>121</v>
      </c>
      <c r="C1437" t="s">
        <v>79</v>
      </c>
      <c r="D1437">
        <v>4918180</v>
      </c>
      <c r="E1437">
        <v>4918180</v>
      </c>
    </row>
    <row r="1438" spans="1:5" x14ac:dyDescent="0.25">
      <c r="A1438" t="s">
        <v>114</v>
      </c>
      <c r="B1438" t="s">
        <v>142</v>
      </c>
      <c r="C1438" t="s">
        <v>44</v>
      </c>
      <c r="E1438">
        <v>703281</v>
      </c>
    </row>
    <row r="1439" spans="1:5" x14ac:dyDescent="0.25">
      <c r="A1439" t="s">
        <v>114</v>
      </c>
      <c r="B1439" t="s">
        <v>180</v>
      </c>
      <c r="C1439" t="s">
        <v>45</v>
      </c>
      <c r="D1439">
        <v>5621461</v>
      </c>
      <c r="E1439">
        <v>5621461</v>
      </c>
    </row>
    <row r="1440" spans="1:5" x14ac:dyDescent="0.25">
      <c r="A1440" t="s">
        <v>114</v>
      </c>
      <c r="B1440" t="s">
        <v>181</v>
      </c>
      <c r="C1440" t="s">
        <v>46</v>
      </c>
      <c r="D1440">
        <v>5126829</v>
      </c>
    </row>
    <row r="1441" spans="1:5" x14ac:dyDescent="0.25">
      <c r="A1441" t="s">
        <v>114</v>
      </c>
      <c r="B1441" t="s">
        <v>122</v>
      </c>
      <c r="C1441" t="s">
        <v>47</v>
      </c>
      <c r="D1441">
        <v>4423548</v>
      </c>
    </row>
    <row r="1442" spans="1:5" x14ac:dyDescent="0.25">
      <c r="A1442" t="s">
        <v>114</v>
      </c>
      <c r="B1442" t="s">
        <v>182</v>
      </c>
      <c r="C1442" t="s">
        <v>80</v>
      </c>
      <c r="E1442">
        <v>37222</v>
      </c>
    </row>
    <row r="1443" spans="1:5" x14ac:dyDescent="0.25">
      <c r="A1443" t="s">
        <v>114</v>
      </c>
      <c r="B1443" t="s">
        <v>127</v>
      </c>
      <c r="C1443" t="s">
        <v>49</v>
      </c>
      <c r="D1443">
        <v>531854</v>
      </c>
    </row>
    <row r="1444" spans="1:5" x14ac:dyDescent="0.25">
      <c r="A1444" t="s">
        <v>114</v>
      </c>
      <c r="B1444" t="s">
        <v>183</v>
      </c>
      <c r="C1444" t="s">
        <v>50</v>
      </c>
    </row>
    <row r="1445" spans="1:5" x14ac:dyDescent="0.25">
      <c r="A1445" t="s">
        <v>114</v>
      </c>
      <c r="B1445" t="s">
        <v>127</v>
      </c>
      <c r="C1445" t="s">
        <v>49</v>
      </c>
      <c r="E1445">
        <v>531854</v>
      </c>
    </row>
    <row r="1446" spans="1:5" x14ac:dyDescent="0.25">
      <c r="A1446" t="s">
        <v>114</v>
      </c>
      <c r="B1446" t="s">
        <v>124</v>
      </c>
      <c r="C1446" t="s">
        <v>51</v>
      </c>
      <c r="D1446">
        <v>367493</v>
      </c>
    </row>
    <row r="1447" spans="1:5" x14ac:dyDescent="0.25">
      <c r="A1447" t="s">
        <v>114</v>
      </c>
      <c r="B1447" t="s">
        <v>184</v>
      </c>
      <c r="C1447" t="s">
        <v>52</v>
      </c>
    </row>
    <row r="1448" spans="1:5" x14ac:dyDescent="0.25">
      <c r="A1448" t="s">
        <v>114</v>
      </c>
      <c r="B1448" t="s">
        <v>185</v>
      </c>
      <c r="C1448" t="s">
        <v>53</v>
      </c>
    </row>
    <row r="1449" spans="1:5" x14ac:dyDescent="0.25">
      <c r="A1449" t="s">
        <v>114</v>
      </c>
      <c r="B1449" t="s">
        <v>186</v>
      </c>
      <c r="C1449" t="s">
        <v>54</v>
      </c>
      <c r="E1449">
        <v>6028</v>
      </c>
    </row>
    <row r="1450" spans="1:5" x14ac:dyDescent="0.25">
      <c r="A1450" t="s">
        <v>114</v>
      </c>
      <c r="B1450" t="s">
        <v>187</v>
      </c>
      <c r="C1450" t="s">
        <v>55</v>
      </c>
      <c r="D1450">
        <v>162537</v>
      </c>
    </row>
    <row r="1451" spans="1:5" x14ac:dyDescent="0.25">
      <c r="A1451" t="s">
        <v>114</v>
      </c>
      <c r="B1451" t="s">
        <v>188</v>
      </c>
      <c r="C1451" t="s">
        <v>56</v>
      </c>
      <c r="E1451">
        <v>530030</v>
      </c>
    </row>
    <row r="1452" spans="1:5" x14ac:dyDescent="0.25">
      <c r="A1452" t="s">
        <v>114</v>
      </c>
      <c r="B1452" t="s">
        <v>196</v>
      </c>
      <c r="C1452" t="s">
        <v>81</v>
      </c>
      <c r="E1452">
        <v>216627</v>
      </c>
    </row>
    <row r="1453" spans="1:5" x14ac:dyDescent="0.25">
      <c r="A1453" t="s">
        <v>114</v>
      </c>
      <c r="B1453" t="s">
        <v>197</v>
      </c>
      <c r="C1453" t="s">
        <v>82</v>
      </c>
    </row>
    <row r="1454" spans="1:5" x14ac:dyDescent="0.25">
      <c r="A1454" t="s">
        <v>114</v>
      </c>
      <c r="B1454" t="s">
        <v>198</v>
      </c>
      <c r="C1454" t="s">
        <v>83</v>
      </c>
    </row>
    <row r="1455" spans="1:5" x14ac:dyDescent="0.25">
      <c r="A1455" t="s">
        <v>114</v>
      </c>
      <c r="B1455" t="s">
        <v>199</v>
      </c>
      <c r="C1455" t="s">
        <v>84</v>
      </c>
    </row>
    <row r="1456" spans="1:5" x14ac:dyDescent="0.25">
      <c r="A1456" t="s">
        <v>114</v>
      </c>
      <c r="B1456" t="s">
        <v>200</v>
      </c>
      <c r="C1456" t="s">
        <v>85</v>
      </c>
    </row>
    <row r="1457" spans="1:5" x14ac:dyDescent="0.25">
      <c r="A1457" t="s">
        <v>114</v>
      </c>
      <c r="B1457" t="s">
        <v>201</v>
      </c>
      <c r="C1457" t="s">
        <v>86</v>
      </c>
    </row>
    <row r="1458" spans="1:5" x14ac:dyDescent="0.25">
      <c r="A1458" t="s">
        <v>114</v>
      </c>
      <c r="B1458" t="s">
        <v>202</v>
      </c>
      <c r="C1458" t="s">
        <v>87</v>
      </c>
    </row>
    <row r="1459" spans="1:5" x14ac:dyDescent="0.25">
      <c r="A1459" t="s">
        <v>114</v>
      </c>
      <c r="B1459" t="s">
        <v>203</v>
      </c>
      <c r="C1459" t="s">
        <v>88</v>
      </c>
    </row>
    <row r="1460" spans="1:5" x14ac:dyDescent="0.25">
      <c r="A1460" t="s">
        <v>114</v>
      </c>
      <c r="B1460" t="s">
        <v>204</v>
      </c>
      <c r="C1460" t="s">
        <v>89</v>
      </c>
    </row>
    <row r="1461" spans="1:5" x14ac:dyDescent="0.25">
      <c r="A1461" t="s">
        <v>114</v>
      </c>
      <c r="B1461" t="s">
        <v>205</v>
      </c>
      <c r="C1461" t="s">
        <v>90</v>
      </c>
      <c r="E1461">
        <v>180594</v>
      </c>
    </row>
    <row r="1462" spans="1:5" x14ac:dyDescent="0.25">
      <c r="A1462" t="s">
        <v>114</v>
      </c>
      <c r="B1462" t="s">
        <v>206</v>
      </c>
      <c r="C1462" t="s">
        <v>88</v>
      </c>
      <c r="E1462">
        <v>66397</v>
      </c>
    </row>
    <row r="1463" spans="1:5" x14ac:dyDescent="0.25">
      <c r="A1463" t="s">
        <v>114</v>
      </c>
      <c r="B1463" t="s">
        <v>207</v>
      </c>
      <c r="C1463" t="s">
        <v>89</v>
      </c>
      <c r="E1463">
        <v>114198</v>
      </c>
    </row>
    <row r="1464" spans="1:5" x14ac:dyDescent="0.25">
      <c r="A1464" t="s">
        <v>114</v>
      </c>
      <c r="B1464" t="s">
        <v>208</v>
      </c>
      <c r="C1464" t="s">
        <v>91</v>
      </c>
    </row>
    <row r="1465" spans="1:5" x14ac:dyDescent="0.25">
      <c r="A1465" t="s">
        <v>114</v>
      </c>
      <c r="B1465" t="s">
        <v>209</v>
      </c>
      <c r="C1465" t="s">
        <v>113</v>
      </c>
    </row>
    <row r="1466" spans="1:5" x14ac:dyDescent="0.25">
      <c r="A1466" t="s">
        <v>114</v>
      </c>
      <c r="B1466" t="s">
        <v>210</v>
      </c>
      <c r="C1466" t="s">
        <v>93</v>
      </c>
    </row>
    <row r="1467" spans="1:5" x14ac:dyDescent="0.25">
      <c r="A1467" t="s">
        <v>114</v>
      </c>
      <c r="B1467" t="s">
        <v>211</v>
      </c>
      <c r="C1467" t="s">
        <v>94</v>
      </c>
    </row>
    <row r="1468" spans="1:5" x14ac:dyDescent="0.25">
      <c r="A1468" t="s">
        <v>114</v>
      </c>
      <c r="B1468" t="s">
        <v>212</v>
      </c>
      <c r="C1468" t="s">
        <v>95</v>
      </c>
    </row>
    <row r="1469" spans="1:5" x14ac:dyDescent="0.25">
      <c r="A1469" t="s">
        <v>114</v>
      </c>
      <c r="B1469" t="s">
        <v>213</v>
      </c>
      <c r="C1469" t="s">
        <v>96</v>
      </c>
    </row>
    <row r="1470" spans="1:5" x14ac:dyDescent="0.25">
      <c r="A1470" t="s">
        <v>114</v>
      </c>
      <c r="B1470" t="s">
        <v>214</v>
      </c>
      <c r="C1470" t="s">
        <v>97</v>
      </c>
    </row>
    <row r="1471" spans="1:5" x14ac:dyDescent="0.25">
      <c r="A1471" t="s">
        <v>114</v>
      </c>
      <c r="B1471" t="s">
        <v>215</v>
      </c>
      <c r="C1471" t="s">
        <v>98</v>
      </c>
    </row>
    <row r="1472" spans="1:5" x14ac:dyDescent="0.25">
      <c r="A1472" t="s">
        <v>114</v>
      </c>
      <c r="B1472" t="s">
        <v>216</v>
      </c>
      <c r="C1472" t="s">
        <v>99</v>
      </c>
    </row>
    <row r="1473" spans="1:5" x14ac:dyDescent="0.25">
      <c r="A1473" t="s">
        <v>114</v>
      </c>
      <c r="B1473" t="s">
        <v>217</v>
      </c>
      <c r="C1473" t="s">
        <v>100</v>
      </c>
      <c r="E1473">
        <v>-1439</v>
      </c>
    </row>
    <row r="1474" spans="1:5" x14ac:dyDescent="0.25">
      <c r="A1474" t="s">
        <v>114</v>
      </c>
      <c r="B1474" t="s">
        <v>218</v>
      </c>
      <c r="C1474" t="s">
        <v>101</v>
      </c>
      <c r="E1474">
        <v>37471</v>
      </c>
    </row>
    <row r="1475" spans="1:5" x14ac:dyDescent="0.25">
      <c r="A1475" t="s">
        <v>114</v>
      </c>
      <c r="B1475" t="s">
        <v>219</v>
      </c>
      <c r="C1475" t="s">
        <v>102</v>
      </c>
      <c r="E1475">
        <v>-122</v>
      </c>
    </row>
    <row r="1476" spans="1:5" x14ac:dyDescent="0.25">
      <c r="A1476" t="s">
        <v>114</v>
      </c>
      <c r="B1476" t="s">
        <v>220</v>
      </c>
      <c r="C1476" t="s">
        <v>103</v>
      </c>
      <c r="E1476">
        <v>37593</v>
      </c>
    </row>
    <row r="1477" spans="1:5" x14ac:dyDescent="0.25">
      <c r="A1477" t="s">
        <v>114</v>
      </c>
      <c r="B1477" t="s">
        <v>221</v>
      </c>
      <c r="C1477" t="s">
        <v>104</v>
      </c>
      <c r="E1477">
        <v>1895054</v>
      </c>
    </row>
    <row r="1478" spans="1:5" x14ac:dyDescent="0.25">
      <c r="A1478" t="s">
        <v>114</v>
      </c>
      <c r="B1478" t="s">
        <v>222</v>
      </c>
      <c r="C1478" t="s">
        <v>82</v>
      </c>
    </row>
    <row r="1479" spans="1:5" x14ac:dyDescent="0.25">
      <c r="A1479" t="s">
        <v>114</v>
      </c>
      <c r="B1479" t="s">
        <v>223</v>
      </c>
      <c r="C1479" t="s">
        <v>83</v>
      </c>
    </row>
    <row r="1480" spans="1:5" x14ac:dyDescent="0.25">
      <c r="A1480" t="s">
        <v>114</v>
      </c>
      <c r="B1480" t="s">
        <v>224</v>
      </c>
      <c r="C1480" t="s">
        <v>84</v>
      </c>
    </row>
    <row r="1481" spans="1:5" x14ac:dyDescent="0.25">
      <c r="A1481" t="s">
        <v>114</v>
      </c>
      <c r="B1481" t="s">
        <v>225</v>
      </c>
      <c r="C1481" t="s">
        <v>85</v>
      </c>
    </row>
    <row r="1482" spans="1:5" x14ac:dyDescent="0.25">
      <c r="A1482" t="s">
        <v>114</v>
      </c>
      <c r="B1482" t="s">
        <v>226</v>
      </c>
      <c r="C1482" t="s">
        <v>86</v>
      </c>
    </row>
    <row r="1483" spans="1:5" x14ac:dyDescent="0.25">
      <c r="A1483" t="s">
        <v>114</v>
      </c>
      <c r="B1483" t="s">
        <v>227</v>
      </c>
      <c r="C1483" t="s">
        <v>87</v>
      </c>
    </row>
    <row r="1484" spans="1:5" x14ac:dyDescent="0.25">
      <c r="A1484" t="s">
        <v>114</v>
      </c>
      <c r="B1484" t="s">
        <v>228</v>
      </c>
      <c r="C1484" t="s">
        <v>88</v>
      </c>
    </row>
    <row r="1485" spans="1:5" x14ac:dyDescent="0.25">
      <c r="A1485" t="s">
        <v>114</v>
      </c>
      <c r="B1485" t="s">
        <v>229</v>
      </c>
      <c r="C1485" t="s">
        <v>89</v>
      </c>
    </row>
    <row r="1486" spans="1:5" x14ac:dyDescent="0.25">
      <c r="A1486" t="s">
        <v>114</v>
      </c>
      <c r="B1486" t="s">
        <v>230</v>
      </c>
      <c r="C1486" t="s">
        <v>90</v>
      </c>
      <c r="E1486">
        <v>1857869</v>
      </c>
    </row>
    <row r="1487" spans="1:5" x14ac:dyDescent="0.25">
      <c r="A1487" t="s">
        <v>114</v>
      </c>
      <c r="B1487" t="s">
        <v>231</v>
      </c>
      <c r="C1487" t="s">
        <v>88</v>
      </c>
      <c r="E1487">
        <v>106798</v>
      </c>
    </row>
    <row r="1488" spans="1:5" x14ac:dyDescent="0.25">
      <c r="A1488" t="s">
        <v>114</v>
      </c>
      <c r="B1488" t="s">
        <v>232</v>
      </c>
      <c r="C1488" t="s">
        <v>89</v>
      </c>
      <c r="E1488">
        <v>1751071</v>
      </c>
    </row>
    <row r="1489" spans="1:5" x14ac:dyDescent="0.25">
      <c r="A1489" t="s">
        <v>114</v>
      </c>
      <c r="B1489" t="s">
        <v>233</v>
      </c>
      <c r="C1489" t="s">
        <v>91</v>
      </c>
    </row>
    <row r="1490" spans="1:5" x14ac:dyDescent="0.25">
      <c r="A1490" t="s">
        <v>114</v>
      </c>
      <c r="B1490" t="s">
        <v>234</v>
      </c>
      <c r="C1490" t="s">
        <v>113</v>
      </c>
    </row>
    <row r="1491" spans="1:5" x14ac:dyDescent="0.25">
      <c r="A1491" t="s">
        <v>114</v>
      </c>
      <c r="B1491" t="s">
        <v>235</v>
      </c>
      <c r="C1491" t="s">
        <v>93</v>
      </c>
    </row>
    <row r="1492" spans="1:5" x14ac:dyDescent="0.25">
      <c r="A1492" t="s">
        <v>114</v>
      </c>
      <c r="B1492" t="s">
        <v>236</v>
      </c>
      <c r="C1492" t="s">
        <v>94</v>
      </c>
    </row>
    <row r="1493" spans="1:5" x14ac:dyDescent="0.25">
      <c r="A1493" t="s">
        <v>114</v>
      </c>
      <c r="B1493" t="s">
        <v>237</v>
      </c>
      <c r="C1493" t="s">
        <v>95</v>
      </c>
    </row>
    <row r="1494" spans="1:5" x14ac:dyDescent="0.25">
      <c r="A1494" t="s">
        <v>114</v>
      </c>
      <c r="B1494" t="s">
        <v>238</v>
      </c>
      <c r="C1494" t="s">
        <v>96</v>
      </c>
    </row>
    <row r="1495" spans="1:5" x14ac:dyDescent="0.25">
      <c r="A1495" t="s">
        <v>114</v>
      </c>
      <c r="B1495" t="s">
        <v>239</v>
      </c>
      <c r="C1495" t="s">
        <v>97</v>
      </c>
    </row>
    <row r="1496" spans="1:5" x14ac:dyDescent="0.25">
      <c r="A1496" t="s">
        <v>114</v>
      </c>
      <c r="B1496" t="s">
        <v>240</v>
      </c>
      <c r="C1496" t="s">
        <v>98</v>
      </c>
    </row>
    <row r="1497" spans="1:5" x14ac:dyDescent="0.25">
      <c r="A1497" t="s">
        <v>114</v>
      </c>
      <c r="B1497" t="s">
        <v>241</v>
      </c>
      <c r="C1497" t="s">
        <v>99</v>
      </c>
    </row>
    <row r="1498" spans="1:5" x14ac:dyDescent="0.25">
      <c r="A1498" t="s">
        <v>114</v>
      </c>
      <c r="B1498" t="s">
        <v>242</v>
      </c>
      <c r="C1498" t="s">
        <v>100</v>
      </c>
      <c r="E1498">
        <v>5381</v>
      </c>
    </row>
    <row r="1499" spans="1:5" x14ac:dyDescent="0.25">
      <c r="A1499" t="s">
        <v>114</v>
      </c>
      <c r="B1499" t="s">
        <v>243</v>
      </c>
      <c r="C1499" t="s">
        <v>101</v>
      </c>
      <c r="E1499">
        <v>31804</v>
      </c>
    </row>
    <row r="1500" spans="1:5" x14ac:dyDescent="0.25">
      <c r="A1500" t="s">
        <v>114</v>
      </c>
      <c r="B1500" t="s">
        <v>244</v>
      </c>
      <c r="C1500" t="s">
        <v>102</v>
      </c>
      <c r="E1500">
        <v>845</v>
      </c>
    </row>
    <row r="1501" spans="1:5" x14ac:dyDescent="0.25">
      <c r="A1501" t="s">
        <v>114</v>
      </c>
      <c r="B1501" t="s">
        <v>245</v>
      </c>
      <c r="C1501" t="s">
        <v>103</v>
      </c>
      <c r="E1501">
        <v>30959</v>
      </c>
    </row>
    <row r="1502" spans="1:5" x14ac:dyDescent="0.25">
      <c r="A1502" t="s">
        <v>114</v>
      </c>
      <c r="B1502" t="s">
        <v>246</v>
      </c>
      <c r="C1502" t="s">
        <v>105</v>
      </c>
    </row>
    <row r="1503" spans="1:5" x14ac:dyDescent="0.25">
      <c r="A1503" t="s">
        <v>115</v>
      </c>
      <c r="B1503" t="s">
        <v>148</v>
      </c>
      <c r="C1503" t="s">
        <v>6</v>
      </c>
    </row>
    <row r="1504" spans="1:5" x14ac:dyDescent="0.25">
      <c r="A1504" t="s">
        <v>115</v>
      </c>
      <c r="B1504" t="s">
        <v>149</v>
      </c>
      <c r="C1504" t="s">
        <v>7</v>
      </c>
    </row>
    <row r="1505" spans="1:5" x14ac:dyDescent="0.25">
      <c r="A1505" t="s">
        <v>115</v>
      </c>
      <c r="B1505" t="s">
        <v>150</v>
      </c>
      <c r="C1505" t="s">
        <v>8</v>
      </c>
      <c r="E1505">
        <v>1927712</v>
      </c>
    </row>
    <row r="1506" spans="1:5" x14ac:dyDescent="0.25">
      <c r="A1506" t="s">
        <v>115</v>
      </c>
      <c r="B1506" t="s">
        <v>189</v>
      </c>
      <c r="C1506" t="s">
        <v>67</v>
      </c>
      <c r="E1506">
        <v>1346296</v>
      </c>
    </row>
    <row r="1507" spans="1:5" x14ac:dyDescent="0.25">
      <c r="A1507" t="s">
        <v>115</v>
      </c>
      <c r="B1507" t="s">
        <v>190</v>
      </c>
      <c r="C1507" t="s">
        <v>68</v>
      </c>
      <c r="E1507">
        <v>581416</v>
      </c>
    </row>
    <row r="1508" spans="1:5" x14ac:dyDescent="0.25">
      <c r="A1508" t="s">
        <v>115</v>
      </c>
      <c r="B1508" t="s">
        <v>151</v>
      </c>
      <c r="C1508" t="s">
        <v>9</v>
      </c>
      <c r="D1508">
        <v>600174</v>
      </c>
    </row>
    <row r="1509" spans="1:5" x14ac:dyDescent="0.25">
      <c r="A1509" t="s">
        <v>115</v>
      </c>
      <c r="B1509" t="s">
        <v>152</v>
      </c>
      <c r="C1509" t="s">
        <v>10</v>
      </c>
    </row>
    <row r="1510" spans="1:5" x14ac:dyDescent="0.25">
      <c r="A1510" t="s">
        <v>115</v>
      </c>
      <c r="B1510" t="s">
        <v>153</v>
      </c>
      <c r="C1510" t="s">
        <v>11</v>
      </c>
      <c r="D1510">
        <v>1327538</v>
      </c>
      <c r="E1510">
        <v>1327538</v>
      </c>
    </row>
    <row r="1511" spans="1:5" x14ac:dyDescent="0.25">
      <c r="A1511" t="s">
        <v>115</v>
      </c>
      <c r="B1511" t="s">
        <v>154</v>
      </c>
      <c r="C1511" t="s">
        <v>12</v>
      </c>
    </row>
    <row r="1512" spans="1:5" x14ac:dyDescent="0.25">
      <c r="A1512" t="s">
        <v>115</v>
      </c>
      <c r="B1512" t="s">
        <v>155</v>
      </c>
      <c r="C1512" t="s">
        <v>13</v>
      </c>
      <c r="D1512">
        <v>149031</v>
      </c>
      <c r="E1512">
        <v>3218439</v>
      </c>
    </row>
    <row r="1513" spans="1:5" x14ac:dyDescent="0.25">
      <c r="A1513" t="s">
        <v>115</v>
      </c>
      <c r="B1513" t="s">
        <v>156</v>
      </c>
      <c r="C1513" t="s">
        <v>69</v>
      </c>
      <c r="D1513">
        <v>145316</v>
      </c>
      <c r="E1513">
        <v>2540452</v>
      </c>
    </row>
    <row r="1514" spans="1:5" x14ac:dyDescent="0.25">
      <c r="A1514" t="s">
        <v>115</v>
      </c>
      <c r="B1514" t="s">
        <v>135</v>
      </c>
      <c r="C1514" t="s">
        <v>15</v>
      </c>
      <c r="D1514">
        <v>3715</v>
      </c>
      <c r="E1514">
        <v>677987</v>
      </c>
    </row>
    <row r="1515" spans="1:5" x14ac:dyDescent="0.25">
      <c r="A1515" t="s">
        <v>115</v>
      </c>
      <c r="B1515" t="s">
        <v>157</v>
      </c>
      <c r="C1515" t="s">
        <v>16</v>
      </c>
      <c r="D1515">
        <v>3715</v>
      </c>
      <c r="E1515">
        <v>572894</v>
      </c>
    </row>
    <row r="1516" spans="1:5" x14ac:dyDescent="0.25">
      <c r="A1516" t="s">
        <v>115</v>
      </c>
      <c r="B1516" t="s">
        <v>158</v>
      </c>
      <c r="C1516" t="s">
        <v>17</v>
      </c>
      <c r="E1516">
        <v>105093</v>
      </c>
    </row>
    <row r="1517" spans="1:5" x14ac:dyDescent="0.25">
      <c r="A1517" t="s">
        <v>115</v>
      </c>
      <c r="B1517" t="s">
        <v>159</v>
      </c>
      <c r="C1517" t="s">
        <v>18</v>
      </c>
      <c r="D1517">
        <v>-2636</v>
      </c>
    </row>
    <row r="1518" spans="1:5" x14ac:dyDescent="0.25">
      <c r="A1518" t="s">
        <v>115</v>
      </c>
      <c r="B1518" t="s">
        <v>160</v>
      </c>
      <c r="C1518" t="s">
        <v>19</v>
      </c>
      <c r="D1518">
        <v>-2636</v>
      </c>
    </row>
    <row r="1519" spans="1:5" x14ac:dyDescent="0.25">
      <c r="A1519" t="s">
        <v>115</v>
      </c>
      <c r="B1519" t="s">
        <v>161</v>
      </c>
      <c r="C1519" t="s">
        <v>20</v>
      </c>
      <c r="D1519">
        <v>563551</v>
      </c>
      <c r="E1519">
        <v>563551</v>
      </c>
    </row>
    <row r="1520" spans="1:5" x14ac:dyDescent="0.25">
      <c r="A1520" t="s">
        <v>115</v>
      </c>
      <c r="B1520" t="s">
        <v>162</v>
      </c>
      <c r="C1520" t="s">
        <v>21</v>
      </c>
      <c r="D1520">
        <v>617592</v>
      </c>
      <c r="E1520">
        <v>617592</v>
      </c>
    </row>
    <row r="1521" spans="1:5" x14ac:dyDescent="0.25">
      <c r="A1521" t="s">
        <v>115</v>
      </c>
      <c r="B1521" t="s">
        <v>163</v>
      </c>
      <c r="C1521" t="s">
        <v>22</v>
      </c>
      <c r="D1521">
        <v>263812</v>
      </c>
      <c r="E1521">
        <v>934400</v>
      </c>
    </row>
    <row r="1522" spans="1:5" x14ac:dyDescent="0.25">
      <c r="A1522" t="s">
        <v>115</v>
      </c>
      <c r="B1522" t="s">
        <v>140</v>
      </c>
      <c r="C1522" t="s">
        <v>23</v>
      </c>
      <c r="D1522">
        <v>263164</v>
      </c>
      <c r="E1522">
        <v>351263</v>
      </c>
    </row>
    <row r="1523" spans="1:5" x14ac:dyDescent="0.25">
      <c r="A1523" t="s">
        <v>115</v>
      </c>
      <c r="B1523" t="s">
        <v>164</v>
      </c>
      <c r="C1523" t="s">
        <v>70</v>
      </c>
      <c r="E1523">
        <v>479660</v>
      </c>
    </row>
    <row r="1524" spans="1:5" x14ac:dyDescent="0.25">
      <c r="A1524" t="s">
        <v>115</v>
      </c>
      <c r="B1524" t="s">
        <v>191</v>
      </c>
      <c r="C1524" t="s">
        <v>71</v>
      </c>
    </row>
    <row r="1525" spans="1:5" x14ac:dyDescent="0.25">
      <c r="A1525" t="s">
        <v>115</v>
      </c>
      <c r="B1525" t="s">
        <v>133</v>
      </c>
      <c r="C1525" t="s">
        <v>72</v>
      </c>
      <c r="E1525">
        <v>103477</v>
      </c>
    </row>
    <row r="1526" spans="1:5" x14ac:dyDescent="0.25">
      <c r="A1526" t="s">
        <v>115</v>
      </c>
      <c r="B1526" t="s">
        <v>192</v>
      </c>
      <c r="C1526" t="s">
        <v>73</v>
      </c>
      <c r="E1526">
        <v>5386</v>
      </c>
    </row>
    <row r="1527" spans="1:5" x14ac:dyDescent="0.25">
      <c r="A1527" t="s">
        <v>115</v>
      </c>
      <c r="B1527" t="s">
        <v>193</v>
      </c>
      <c r="C1527" t="s">
        <v>74</v>
      </c>
      <c r="E1527">
        <v>84273</v>
      </c>
    </row>
    <row r="1528" spans="1:5" x14ac:dyDescent="0.25">
      <c r="A1528" t="s">
        <v>115</v>
      </c>
      <c r="B1528" t="s">
        <v>194</v>
      </c>
      <c r="C1528" t="s">
        <v>75</v>
      </c>
      <c r="E1528">
        <v>13818</v>
      </c>
    </row>
    <row r="1529" spans="1:5" x14ac:dyDescent="0.25">
      <c r="A1529" t="s">
        <v>115</v>
      </c>
      <c r="B1529" t="s">
        <v>166</v>
      </c>
      <c r="C1529" t="s">
        <v>26</v>
      </c>
      <c r="D1529">
        <v>648</v>
      </c>
    </row>
    <row r="1530" spans="1:5" x14ac:dyDescent="0.25">
      <c r="A1530" t="s">
        <v>115</v>
      </c>
      <c r="B1530" t="s">
        <v>167</v>
      </c>
      <c r="C1530" t="s">
        <v>27</v>
      </c>
      <c r="D1530">
        <v>5070170</v>
      </c>
      <c r="E1530">
        <v>5070170</v>
      </c>
    </row>
    <row r="1531" spans="1:5" x14ac:dyDescent="0.25">
      <c r="A1531" t="s">
        <v>115</v>
      </c>
      <c r="B1531" t="s">
        <v>168</v>
      </c>
      <c r="C1531" t="s">
        <v>28</v>
      </c>
      <c r="D1531">
        <v>280367</v>
      </c>
    </row>
    <row r="1532" spans="1:5" x14ac:dyDescent="0.25">
      <c r="A1532" t="s">
        <v>115</v>
      </c>
      <c r="B1532" t="s">
        <v>137</v>
      </c>
      <c r="C1532" t="s">
        <v>29</v>
      </c>
      <c r="D1532">
        <v>927047</v>
      </c>
    </row>
    <row r="1533" spans="1:5" x14ac:dyDescent="0.25">
      <c r="A1533" t="s">
        <v>115</v>
      </c>
      <c r="B1533" t="s">
        <v>169</v>
      </c>
      <c r="C1533" t="s">
        <v>30</v>
      </c>
      <c r="D1533">
        <v>572894</v>
      </c>
    </row>
    <row r="1534" spans="1:5" x14ac:dyDescent="0.25">
      <c r="A1534" t="s">
        <v>115</v>
      </c>
      <c r="B1534" t="s">
        <v>170</v>
      </c>
      <c r="C1534" t="s">
        <v>31</v>
      </c>
      <c r="D1534">
        <v>105093</v>
      </c>
    </row>
    <row r="1535" spans="1:5" x14ac:dyDescent="0.25">
      <c r="A1535" t="s">
        <v>115</v>
      </c>
      <c r="B1535" t="s">
        <v>195</v>
      </c>
      <c r="C1535" t="s">
        <v>76</v>
      </c>
      <c r="D1535">
        <v>249060</v>
      </c>
    </row>
    <row r="1536" spans="1:5" x14ac:dyDescent="0.25">
      <c r="A1536" t="s">
        <v>115</v>
      </c>
      <c r="B1536" t="s">
        <v>138</v>
      </c>
      <c r="C1536" t="s">
        <v>33</v>
      </c>
      <c r="E1536">
        <v>1412742</v>
      </c>
    </row>
    <row r="1537" spans="1:5" x14ac:dyDescent="0.25">
      <c r="A1537" t="s">
        <v>115</v>
      </c>
      <c r="B1537" t="s">
        <v>172</v>
      </c>
      <c r="C1537" t="s">
        <v>34</v>
      </c>
      <c r="E1537">
        <v>690719</v>
      </c>
    </row>
    <row r="1538" spans="1:5" x14ac:dyDescent="0.25">
      <c r="A1538" t="s">
        <v>115</v>
      </c>
      <c r="B1538" t="s">
        <v>173</v>
      </c>
      <c r="C1538" t="s">
        <v>35</v>
      </c>
      <c r="E1538">
        <v>624635</v>
      </c>
    </row>
    <row r="1539" spans="1:5" x14ac:dyDescent="0.25">
      <c r="A1539" t="s">
        <v>115</v>
      </c>
      <c r="B1539" t="s">
        <v>174</v>
      </c>
      <c r="C1539" t="s">
        <v>36</v>
      </c>
      <c r="E1539">
        <v>97388</v>
      </c>
    </row>
    <row r="1540" spans="1:5" x14ac:dyDescent="0.25">
      <c r="A1540" t="s">
        <v>115</v>
      </c>
      <c r="B1540" t="s">
        <v>141</v>
      </c>
      <c r="C1540" t="s">
        <v>37</v>
      </c>
      <c r="D1540">
        <v>94861</v>
      </c>
      <c r="E1540">
        <v>55853</v>
      </c>
    </row>
    <row r="1541" spans="1:5" x14ac:dyDescent="0.25">
      <c r="A1541" t="s">
        <v>115</v>
      </c>
      <c r="B1541" t="s">
        <v>175</v>
      </c>
      <c r="C1541" t="s">
        <v>38</v>
      </c>
      <c r="D1541">
        <v>42585</v>
      </c>
    </row>
    <row r="1542" spans="1:5" x14ac:dyDescent="0.25">
      <c r="A1542" t="s">
        <v>115</v>
      </c>
      <c r="B1542" t="s">
        <v>176</v>
      </c>
      <c r="C1542" t="s">
        <v>39</v>
      </c>
      <c r="E1542">
        <v>28633</v>
      </c>
    </row>
    <row r="1543" spans="1:5" x14ac:dyDescent="0.25">
      <c r="A1543" t="s">
        <v>115</v>
      </c>
      <c r="B1543" t="s">
        <v>177</v>
      </c>
      <c r="C1543" t="s">
        <v>77</v>
      </c>
    </row>
    <row r="1544" spans="1:5" x14ac:dyDescent="0.25">
      <c r="A1544" t="s">
        <v>115</v>
      </c>
      <c r="B1544" t="s">
        <v>178</v>
      </c>
      <c r="C1544" t="s">
        <v>78</v>
      </c>
    </row>
    <row r="1545" spans="1:5" x14ac:dyDescent="0.25">
      <c r="A1545" t="s">
        <v>115</v>
      </c>
      <c r="B1545" t="s">
        <v>179</v>
      </c>
      <c r="C1545" t="s">
        <v>42</v>
      </c>
      <c r="D1545">
        <v>52276</v>
      </c>
      <c r="E1545">
        <v>27220</v>
      </c>
    </row>
    <row r="1546" spans="1:5" x14ac:dyDescent="0.25">
      <c r="A1546" t="s">
        <v>115</v>
      </c>
      <c r="B1546" t="s">
        <v>121</v>
      </c>
      <c r="C1546" t="s">
        <v>79</v>
      </c>
      <c r="D1546">
        <v>5236490</v>
      </c>
      <c r="E1546">
        <v>5236490</v>
      </c>
    </row>
    <row r="1547" spans="1:5" x14ac:dyDescent="0.25">
      <c r="A1547" t="s">
        <v>115</v>
      </c>
      <c r="B1547" t="s">
        <v>142</v>
      </c>
      <c r="C1547" t="s">
        <v>44</v>
      </c>
      <c r="E1547">
        <v>756620</v>
      </c>
    </row>
    <row r="1548" spans="1:5" x14ac:dyDescent="0.25">
      <c r="A1548" t="s">
        <v>115</v>
      </c>
      <c r="B1548" t="s">
        <v>180</v>
      </c>
      <c r="C1548" t="s">
        <v>45</v>
      </c>
      <c r="D1548">
        <v>5993110</v>
      </c>
      <c r="E1548">
        <v>5993110</v>
      </c>
    </row>
    <row r="1549" spans="1:5" x14ac:dyDescent="0.25">
      <c r="A1549" t="s">
        <v>115</v>
      </c>
      <c r="B1549" t="s">
        <v>181</v>
      </c>
      <c r="C1549" t="s">
        <v>46</v>
      </c>
      <c r="D1549">
        <v>5462148</v>
      </c>
    </row>
    <row r="1550" spans="1:5" x14ac:dyDescent="0.25">
      <c r="A1550" t="s">
        <v>115</v>
      </c>
      <c r="B1550" t="s">
        <v>122</v>
      </c>
      <c r="C1550" t="s">
        <v>47</v>
      </c>
      <c r="D1550">
        <v>4705528</v>
      </c>
    </row>
    <row r="1551" spans="1:5" x14ac:dyDescent="0.25">
      <c r="A1551" t="s">
        <v>115</v>
      </c>
      <c r="B1551" t="s">
        <v>182</v>
      </c>
      <c r="C1551" t="s">
        <v>80</v>
      </c>
      <c r="E1551">
        <v>45109</v>
      </c>
    </row>
    <row r="1552" spans="1:5" x14ac:dyDescent="0.25">
      <c r="A1552" t="s">
        <v>115</v>
      </c>
      <c r="B1552" t="s">
        <v>127</v>
      </c>
      <c r="C1552" t="s">
        <v>49</v>
      </c>
      <c r="D1552">
        <v>576071</v>
      </c>
    </row>
    <row r="1553" spans="1:5" x14ac:dyDescent="0.25">
      <c r="A1553" t="s">
        <v>115</v>
      </c>
      <c r="B1553" t="s">
        <v>183</v>
      </c>
      <c r="C1553" t="s">
        <v>50</v>
      </c>
    </row>
    <row r="1554" spans="1:5" x14ac:dyDescent="0.25">
      <c r="A1554" t="s">
        <v>115</v>
      </c>
      <c r="B1554" t="s">
        <v>127</v>
      </c>
      <c r="C1554" t="s">
        <v>49</v>
      </c>
      <c r="E1554">
        <v>576071</v>
      </c>
    </row>
    <row r="1555" spans="1:5" x14ac:dyDescent="0.25">
      <c r="A1555" t="s">
        <v>115</v>
      </c>
      <c r="B1555" t="s">
        <v>124</v>
      </c>
      <c r="C1555" t="s">
        <v>51</v>
      </c>
      <c r="D1555">
        <v>386292</v>
      </c>
    </row>
    <row r="1556" spans="1:5" x14ac:dyDescent="0.25">
      <c r="A1556" t="s">
        <v>115</v>
      </c>
      <c r="B1556" t="s">
        <v>184</v>
      </c>
      <c r="C1556" t="s">
        <v>52</v>
      </c>
    </row>
    <row r="1557" spans="1:5" x14ac:dyDescent="0.25">
      <c r="A1557" t="s">
        <v>115</v>
      </c>
      <c r="B1557" t="s">
        <v>185</v>
      </c>
      <c r="C1557" t="s">
        <v>116</v>
      </c>
    </row>
    <row r="1558" spans="1:5" x14ac:dyDescent="0.25">
      <c r="A1558" t="s">
        <v>115</v>
      </c>
      <c r="B1558" t="s">
        <v>186</v>
      </c>
      <c r="C1558" t="s">
        <v>54</v>
      </c>
      <c r="E1558">
        <v>3872</v>
      </c>
    </row>
    <row r="1559" spans="1:5" x14ac:dyDescent="0.25">
      <c r="A1559" t="s">
        <v>115</v>
      </c>
      <c r="B1559" t="s">
        <v>187</v>
      </c>
      <c r="C1559" t="s">
        <v>55</v>
      </c>
      <c r="D1559">
        <v>184572</v>
      </c>
    </row>
    <row r="1560" spans="1:5" x14ac:dyDescent="0.25">
      <c r="A1560" t="s">
        <v>115</v>
      </c>
      <c r="B1560" t="s">
        <v>188</v>
      </c>
      <c r="C1560" t="s">
        <v>56</v>
      </c>
      <c r="E1560">
        <v>570864</v>
      </c>
    </row>
    <row r="1561" spans="1:5" x14ac:dyDescent="0.25">
      <c r="A1561" t="s">
        <v>115</v>
      </c>
      <c r="B1561" t="s">
        <v>196</v>
      </c>
      <c r="C1561" t="s">
        <v>81</v>
      </c>
      <c r="E1561">
        <v>413227</v>
      </c>
    </row>
    <row r="1562" spans="1:5" x14ac:dyDescent="0.25">
      <c r="A1562" t="s">
        <v>115</v>
      </c>
      <c r="B1562" t="s">
        <v>197</v>
      </c>
      <c r="C1562" t="s">
        <v>82</v>
      </c>
    </row>
    <row r="1563" spans="1:5" x14ac:dyDescent="0.25">
      <c r="A1563" t="s">
        <v>115</v>
      </c>
      <c r="B1563" t="s">
        <v>198</v>
      </c>
      <c r="C1563" t="s">
        <v>83</v>
      </c>
    </row>
    <row r="1564" spans="1:5" x14ac:dyDescent="0.25">
      <c r="A1564" t="s">
        <v>115</v>
      </c>
      <c r="B1564" t="s">
        <v>199</v>
      </c>
      <c r="C1564" t="s">
        <v>84</v>
      </c>
    </row>
    <row r="1565" spans="1:5" x14ac:dyDescent="0.25">
      <c r="A1565" t="s">
        <v>115</v>
      </c>
      <c r="B1565" t="s">
        <v>200</v>
      </c>
      <c r="C1565" t="s">
        <v>85</v>
      </c>
    </row>
    <row r="1566" spans="1:5" x14ac:dyDescent="0.25">
      <c r="A1566" t="s">
        <v>115</v>
      </c>
      <c r="B1566" t="s">
        <v>201</v>
      </c>
      <c r="C1566" t="s">
        <v>86</v>
      </c>
    </row>
    <row r="1567" spans="1:5" x14ac:dyDescent="0.25">
      <c r="A1567" t="s">
        <v>115</v>
      </c>
      <c r="B1567" t="s">
        <v>202</v>
      </c>
      <c r="C1567" t="s">
        <v>87</v>
      </c>
    </row>
    <row r="1568" spans="1:5" x14ac:dyDescent="0.25">
      <c r="A1568" t="s">
        <v>115</v>
      </c>
      <c r="B1568" t="s">
        <v>203</v>
      </c>
      <c r="C1568" t="s">
        <v>88</v>
      </c>
    </row>
    <row r="1569" spans="1:5" x14ac:dyDescent="0.25">
      <c r="A1569" t="s">
        <v>115</v>
      </c>
      <c r="B1569" t="s">
        <v>204</v>
      </c>
      <c r="C1569" t="s">
        <v>89</v>
      </c>
    </row>
    <row r="1570" spans="1:5" x14ac:dyDescent="0.25">
      <c r="A1570" t="s">
        <v>115</v>
      </c>
      <c r="B1570" t="s">
        <v>205</v>
      </c>
      <c r="C1570" t="s">
        <v>90</v>
      </c>
      <c r="E1570">
        <v>347735</v>
      </c>
    </row>
    <row r="1571" spans="1:5" x14ac:dyDescent="0.25">
      <c r="A1571" t="s">
        <v>115</v>
      </c>
      <c r="B1571" t="s">
        <v>206</v>
      </c>
      <c r="C1571" t="s">
        <v>88</v>
      </c>
      <c r="E1571">
        <v>22305</v>
      </c>
    </row>
    <row r="1572" spans="1:5" x14ac:dyDescent="0.25">
      <c r="A1572" t="s">
        <v>115</v>
      </c>
      <c r="B1572" t="s">
        <v>207</v>
      </c>
      <c r="C1572" t="s">
        <v>89</v>
      </c>
      <c r="E1572">
        <v>325430</v>
      </c>
    </row>
    <row r="1573" spans="1:5" x14ac:dyDescent="0.25">
      <c r="A1573" t="s">
        <v>115</v>
      </c>
      <c r="B1573" t="s">
        <v>208</v>
      </c>
      <c r="C1573" t="s">
        <v>91</v>
      </c>
    </row>
    <row r="1574" spans="1:5" x14ac:dyDescent="0.25">
      <c r="A1574" t="s">
        <v>115</v>
      </c>
      <c r="B1574" t="s">
        <v>209</v>
      </c>
      <c r="C1574" t="s">
        <v>113</v>
      </c>
    </row>
    <row r="1575" spans="1:5" x14ac:dyDescent="0.25">
      <c r="A1575" t="s">
        <v>115</v>
      </c>
      <c r="B1575" t="s">
        <v>210</v>
      </c>
      <c r="C1575" t="s">
        <v>93</v>
      </c>
    </row>
    <row r="1576" spans="1:5" x14ac:dyDescent="0.25">
      <c r="A1576" t="s">
        <v>115</v>
      </c>
      <c r="B1576" t="s">
        <v>211</v>
      </c>
      <c r="C1576" t="s">
        <v>94</v>
      </c>
    </row>
    <row r="1577" spans="1:5" x14ac:dyDescent="0.25">
      <c r="A1577" t="s">
        <v>115</v>
      </c>
      <c r="B1577" t="s">
        <v>212</v>
      </c>
      <c r="C1577" t="s">
        <v>95</v>
      </c>
    </row>
    <row r="1578" spans="1:5" x14ac:dyDescent="0.25">
      <c r="A1578" t="s">
        <v>115</v>
      </c>
      <c r="B1578" t="s">
        <v>213</v>
      </c>
      <c r="C1578" t="s">
        <v>96</v>
      </c>
    </row>
    <row r="1579" spans="1:5" x14ac:dyDescent="0.25">
      <c r="A1579" t="s">
        <v>115</v>
      </c>
      <c r="B1579" t="s">
        <v>214</v>
      </c>
      <c r="C1579" t="s">
        <v>97</v>
      </c>
    </row>
    <row r="1580" spans="1:5" x14ac:dyDescent="0.25">
      <c r="A1580" t="s">
        <v>115</v>
      </c>
      <c r="B1580" t="s">
        <v>215</v>
      </c>
      <c r="C1580" t="s">
        <v>98</v>
      </c>
    </row>
    <row r="1581" spans="1:5" x14ac:dyDescent="0.25">
      <c r="A1581" t="s">
        <v>115</v>
      </c>
      <c r="B1581" t="s">
        <v>216</v>
      </c>
      <c r="C1581" t="s">
        <v>99</v>
      </c>
    </row>
    <row r="1582" spans="1:5" x14ac:dyDescent="0.25">
      <c r="A1582" t="s">
        <v>115</v>
      </c>
      <c r="B1582" t="s">
        <v>217</v>
      </c>
      <c r="C1582" t="s">
        <v>100</v>
      </c>
      <c r="E1582">
        <v>-2005</v>
      </c>
    </row>
    <row r="1583" spans="1:5" x14ac:dyDescent="0.25">
      <c r="A1583" t="s">
        <v>115</v>
      </c>
      <c r="B1583" t="s">
        <v>218</v>
      </c>
      <c r="C1583" t="s">
        <v>101</v>
      </c>
      <c r="E1583">
        <v>67497</v>
      </c>
    </row>
    <row r="1584" spans="1:5" x14ac:dyDescent="0.25">
      <c r="A1584" t="s">
        <v>115</v>
      </c>
      <c r="B1584" t="s">
        <v>219</v>
      </c>
      <c r="C1584" t="s">
        <v>102</v>
      </c>
      <c r="E1584">
        <v>118</v>
      </c>
    </row>
    <row r="1585" spans="1:5" x14ac:dyDescent="0.25">
      <c r="A1585" t="s">
        <v>115</v>
      </c>
      <c r="B1585" t="s">
        <v>220</v>
      </c>
      <c r="C1585" t="s">
        <v>103</v>
      </c>
      <c r="E1585">
        <v>67380</v>
      </c>
    </row>
    <row r="1586" spans="1:5" x14ac:dyDescent="0.25">
      <c r="A1586" t="s">
        <v>115</v>
      </c>
      <c r="B1586" t="s">
        <v>221</v>
      </c>
      <c r="C1586" t="s">
        <v>104</v>
      </c>
      <c r="E1586">
        <v>2069225</v>
      </c>
    </row>
    <row r="1587" spans="1:5" x14ac:dyDescent="0.25">
      <c r="A1587" t="s">
        <v>115</v>
      </c>
      <c r="B1587" t="s">
        <v>222</v>
      </c>
      <c r="C1587" t="s">
        <v>82</v>
      </c>
    </row>
    <row r="1588" spans="1:5" x14ac:dyDescent="0.25">
      <c r="A1588" t="s">
        <v>115</v>
      </c>
      <c r="B1588" t="s">
        <v>223</v>
      </c>
      <c r="C1588" t="s">
        <v>83</v>
      </c>
    </row>
    <row r="1589" spans="1:5" x14ac:dyDescent="0.25">
      <c r="A1589" t="s">
        <v>115</v>
      </c>
      <c r="B1589" t="s">
        <v>224</v>
      </c>
      <c r="C1589" t="s">
        <v>84</v>
      </c>
    </row>
    <row r="1590" spans="1:5" x14ac:dyDescent="0.25">
      <c r="A1590" t="s">
        <v>115</v>
      </c>
      <c r="B1590" t="s">
        <v>225</v>
      </c>
      <c r="C1590" t="s">
        <v>85</v>
      </c>
    </row>
    <row r="1591" spans="1:5" x14ac:dyDescent="0.25">
      <c r="A1591" t="s">
        <v>115</v>
      </c>
      <c r="B1591" t="s">
        <v>226</v>
      </c>
      <c r="C1591" t="s">
        <v>86</v>
      </c>
    </row>
    <row r="1592" spans="1:5" x14ac:dyDescent="0.25">
      <c r="A1592" t="s">
        <v>115</v>
      </c>
      <c r="B1592" t="s">
        <v>227</v>
      </c>
      <c r="C1592" t="s">
        <v>87</v>
      </c>
    </row>
    <row r="1593" spans="1:5" x14ac:dyDescent="0.25">
      <c r="A1593" t="s">
        <v>115</v>
      </c>
      <c r="B1593" t="s">
        <v>228</v>
      </c>
      <c r="C1593" t="s">
        <v>88</v>
      </c>
    </row>
    <row r="1594" spans="1:5" x14ac:dyDescent="0.25">
      <c r="A1594" t="s">
        <v>115</v>
      </c>
      <c r="B1594" t="s">
        <v>229</v>
      </c>
      <c r="C1594" t="s">
        <v>89</v>
      </c>
    </row>
    <row r="1595" spans="1:5" x14ac:dyDescent="0.25">
      <c r="A1595" t="s">
        <v>115</v>
      </c>
      <c r="B1595" t="s">
        <v>230</v>
      </c>
      <c r="C1595" t="s">
        <v>90</v>
      </c>
      <c r="E1595">
        <v>2030281</v>
      </c>
    </row>
    <row r="1596" spans="1:5" x14ac:dyDescent="0.25">
      <c r="A1596" t="s">
        <v>115</v>
      </c>
      <c r="B1596" t="s">
        <v>231</v>
      </c>
      <c r="C1596" t="s">
        <v>88</v>
      </c>
      <c r="E1596">
        <v>173912</v>
      </c>
    </row>
    <row r="1597" spans="1:5" x14ac:dyDescent="0.25">
      <c r="A1597" t="s">
        <v>115</v>
      </c>
      <c r="B1597" t="s">
        <v>232</v>
      </c>
      <c r="C1597" t="s">
        <v>89</v>
      </c>
      <c r="E1597">
        <v>1856369</v>
      </c>
    </row>
    <row r="1598" spans="1:5" x14ac:dyDescent="0.25">
      <c r="A1598" t="s">
        <v>115</v>
      </c>
      <c r="B1598" t="s">
        <v>233</v>
      </c>
      <c r="C1598" t="s">
        <v>91</v>
      </c>
    </row>
    <row r="1599" spans="1:5" x14ac:dyDescent="0.25">
      <c r="A1599" t="s">
        <v>115</v>
      </c>
      <c r="B1599" t="s">
        <v>234</v>
      </c>
      <c r="C1599" t="s">
        <v>113</v>
      </c>
    </row>
    <row r="1600" spans="1:5" x14ac:dyDescent="0.25">
      <c r="A1600" t="s">
        <v>115</v>
      </c>
      <c r="B1600" t="s">
        <v>235</v>
      </c>
      <c r="C1600" t="s">
        <v>93</v>
      </c>
    </row>
    <row r="1601" spans="1:5" x14ac:dyDescent="0.25">
      <c r="A1601" t="s">
        <v>115</v>
      </c>
      <c r="B1601" t="s">
        <v>236</v>
      </c>
      <c r="C1601" t="s">
        <v>94</v>
      </c>
    </row>
    <row r="1602" spans="1:5" x14ac:dyDescent="0.25">
      <c r="A1602" t="s">
        <v>115</v>
      </c>
      <c r="B1602" t="s">
        <v>237</v>
      </c>
      <c r="C1602" t="s">
        <v>95</v>
      </c>
    </row>
    <row r="1603" spans="1:5" x14ac:dyDescent="0.25">
      <c r="A1603" t="s">
        <v>115</v>
      </c>
      <c r="B1603" t="s">
        <v>238</v>
      </c>
      <c r="C1603" t="s">
        <v>96</v>
      </c>
    </row>
    <row r="1604" spans="1:5" x14ac:dyDescent="0.25">
      <c r="A1604" t="s">
        <v>115</v>
      </c>
      <c r="B1604" t="s">
        <v>239</v>
      </c>
      <c r="C1604" t="s">
        <v>97</v>
      </c>
    </row>
    <row r="1605" spans="1:5" x14ac:dyDescent="0.25">
      <c r="A1605" t="s">
        <v>115</v>
      </c>
      <c r="B1605" t="s">
        <v>240</v>
      </c>
      <c r="C1605" t="s">
        <v>98</v>
      </c>
    </row>
    <row r="1606" spans="1:5" x14ac:dyDescent="0.25">
      <c r="A1606" t="s">
        <v>115</v>
      </c>
      <c r="B1606" t="s">
        <v>241</v>
      </c>
      <c r="C1606" t="s">
        <v>99</v>
      </c>
    </row>
    <row r="1607" spans="1:5" x14ac:dyDescent="0.25">
      <c r="A1607" t="s">
        <v>115</v>
      </c>
      <c r="B1607" t="s">
        <v>242</v>
      </c>
      <c r="C1607" t="s">
        <v>100</v>
      </c>
      <c r="E1607">
        <v>3942</v>
      </c>
    </row>
    <row r="1608" spans="1:5" x14ac:dyDescent="0.25">
      <c r="A1608" t="s">
        <v>115</v>
      </c>
      <c r="B1608" t="s">
        <v>243</v>
      </c>
      <c r="C1608" t="s">
        <v>101</v>
      </c>
      <c r="E1608">
        <v>35002</v>
      </c>
    </row>
    <row r="1609" spans="1:5" x14ac:dyDescent="0.25">
      <c r="A1609" t="s">
        <v>115</v>
      </c>
      <c r="B1609" t="s">
        <v>244</v>
      </c>
      <c r="C1609" t="s">
        <v>102</v>
      </c>
      <c r="E1609">
        <v>916</v>
      </c>
    </row>
    <row r="1610" spans="1:5" x14ac:dyDescent="0.25">
      <c r="A1610" t="s">
        <v>115</v>
      </c>
      <c r="B1610" t="s">
        <v>245</v>
      </c>
      <c r="C1610" t="s">
        <v>103</v>
      </c>
      <c r="E1610">
        <v>34086</v>
      </c>
    </row>
    <row r="1611" spans="1:5" x14ac:dyDescent="0.25">
      <c r="A1611" t="s">
        <v>115</v>
      </c>
      <c r="B1611" t="s">
        <v>246</v>
      </c>
      <c r="C1611" t="s">
        <v>105</v>
      </c>
    </row>
    <row r="1612" spans="1:5" x14ac:dyDescent="0.25">
      <c r="A1612" t="s">
        <v>117</v>
      </c>
      <c r="B1612" t="s">
        <v>148</v>
      </c>
      <c r="C1612" t="s">
        <v>6</v>
      </c>
    </row>
    <row r="1613" spans="1:5" x14ac:dyDescent="0.25">
      <c r="A1613" t="s">
        <v>117</v>
      </c>
      <c r="B1613" t="s">
        <v>149</v>
      </c>
      <c r="C1613" t="s">
        <v>7</v>
      </c>
    </row>
    <row r="1614" spans="1:5" x14ac:dyDescent="0.25">
      <c r="A1614" t="s">
        <v>117</v>
      </c>
      <c r="B1614" t="s">
        <v>150</v>
      </c>
      <c r="C1614" t="s">
        <v>8</v>
      </c>
      <c r="E1614">
        <v>1961389</v>
      </c>
    </row>
    <row r="1615" spans="1:5" x14ac:dyDescent="0.25">
      <c r="A1615" t="s">
        <v>117</v>
      </c>
      <c r="B1615" t="s">
        <v>189</v>
      </c>
      <c r="C1615" t="s">
        <v>67</v>
      </c>
      <c r="E1615">
        <v>1335972</v>
      </c>
    </row>
    <row r="1616" spans="1:5" x14ac:dyDescent="0.25">
      <c r="A1616" t="s">
        <v>117</v>
      </c>
      <c r="B1616" t="s">
        <v>190</v>
      </c>
      <c r="C1616" t="s">
        <v>68</v>
      </c>
      <c r="E1616">
        <v>625417</v>
      </c>
    </row>
    <row r="1617" spans="1:5" x14ac:dyDescent="0.25">
      <c r="A1617" t="s">
        <v>117</v>
      </c>
      <c r="B1617" t="s">
        <v>151</v>
      </c>
      <c r="C1617" t="s">
        <v>9</v>
      </c>
      <c r="D1617">
        <v>610289</v>
      </c>
    </row>
    <row r="1618" spans="1:5" x14ac:dyDescent="0.25">
      <c r="A1618" t="s">
        <v>117</v>
      </c>
      <c r="B1618" t="s">
        <v>152</v>
      </c>
      <c r="C1618" t="s">
        <v>10</v>
      </c>
    </row>
    <row r="1619" spans="1:5" x14ac:dyDescent="0.25">
      <c r="A1619" t="s">
        <v>117</v>
      </c>
      <c r="B1619" t="s">
        <v>153</v>
      </c>
      <c r="C1619" t="s">
        <v>11</v>
      </c>
      <c r="D1619">
        <v>1351100</v>
      </c>
      <c r="E1619">
        <v>1351100</v>
      </c>
    </row>
    <row r="1620" spans="1:5" x14ac:dyDescent="0.25">
      <c r="A1620" t="s">
        <v>117</v>
      </c>
      <c r="B1620" t="s">
        <v>154</v>
      </c>
      <c r="C1620" t="s">
        <v>12</v>
      </c>
    </row>
    <row r="1621" spans="1:5" x14ac:dyDescent="0.25">
      <c r="A1621" t="s">
        <v>117</v>
      </c>
      <c r="B1621" t="s">
        <v>155</v>
      </c>
      <c r="C1621" t="s">
        <v>13</v>
      </c>
      <c r="D1621">
        <v>125701</v>
      </c>
      <c r="E1621">
        <v>3192936</v>
      </c>
    </row>
    <row r="1622" spans="1:5" x14ac:dyDescent="0.25">
      <c r="A1622" t="s">
        <v>117</v>
      </c>
      <c r="B1622" t="s">
        <v>156</v>
      </c>
      <c r="C1622" t="s">
        <v>69</v>
      </c>
      <c r="D1622">
        <v>122479</v>
      </c>
      <c r="E1622">
        <v>2532554</v>
      </c>
    </row>
    <row r="1623" spans="1:5" x14ac:dyDescent="0.25">
      <c r="A1623" t="s">
        <v>117</v>
      </c>
      <c r="B1623" t="s">
        <v>135</v>
      </c>
      <c r="C1623" t="s">
        <v>15</v>
      </c>
      <c r="D1623">
        <v>3222</v>
      </c>
      <c r="E1623">
        <v>660382</v>
      </c>
    </row>
    <row r="1624" spans="1:5" x14ac:dyDescent="0.25">
      <c r="A1624" t="s">
        <v>117</v>
      </c>
      <c r="B1624" t="s">
        <v>157</v>
      </c>
      <c r="C1624" t="s">
        <v>16</v>
      </c>
      <c r="D1624">
        <v>3222</v>
      </c>
      <c r="E1624">
        <v>562617</v>
      </c>
    </row>
    <row r="1625" spans="1:5" x14ac:dyDescent="0.25">
      <c r="A1625" t="s">
        <v>117</v>
      </c>
      <c r="B1625" t="s">
        <v>158</v>
      </c>
      <c r="C1625" t="s">
        <v>17</v>
      </c>
      <c r="E1625">
        <v>97765</v>
      </c>
    </row>
    <row r="1626" spans="1:5" x14ac:dyDescent="0.25">
      <c r="A1626" t="s">
        <v>117</v>
      </c>
      <c r="B1626" t="s">
        <v>159</v>
      </c>
      <c r="C1626" t="s">
        <v>18</v>
      </c>
      <c r="D1626">
        <v>-2272</v>
      </c>
    </row>
    <row r="1627" spans="1:5" x14ac:dyDescent="0.25">
      <c r="A1627" t="s">
        <v>117</v>
      </c>
      <c r="B1627" t="s">
        <v>160</v>
      </c>
      <c r="C1627" t="s">
        <v>19</v>
      </c>
      <c r="D1627">
        <v>-2272</v>
      </c>
    </row>
    <row r="1628" spans="1:5" x14ac:dyDescent="0.25">
      <c r="A1628" t="s">
        <v>117</v>
      </c>
      <c r="B1628" t="s">
        <v>161</v>
      </c>
      <c r="C1628" t="s">
        <v>20</v>
      </c>
      <c r="D1628">
        <v>594307</v>
      </c>
      <c r="E1628">
        <v>594307</v>
      </c>
    </row>
    <row r="1629" spans="1:5" x14ac:dyDescent="0.25">
      <c r="A1629" t="s">
        <v>117</v>
      </c>
      <c r="B1629" t="s">
        <v>162</v>
      </c>
      <c r="C1629" t="s">
        <v>21</v>
      </c>
      <c r="D1629">
        <v>633364</v>
      </c>
      <c r="E1629">
        <v>633364</v>
      </c>
    </row>
    <row r="1630" spans="1:5" x14ac:dyDescent="0.25">
      <c r="A1630" t="s">
        <v>117</v>
      </c>
      <c r="B1630" t="s">
        <v>163</v>
      </c>
      <c r="C1630" t="s">
        <v>22</v>
      </c>
      <c r="D1630">
        <v>205684</v>
      </c>
      <c r="E1630">
        <v>819926</v>
      </c>
    </row>
    <row r="1631" spans="1:5" x14ac:dyDescent="0.25">
      <c r="A1631" t="s">
        <v>117</v>
      </c>
      <c r="B1631" t="s">
        <v>140</v>
      </c>
      <c r="C1631" t="s">
        <v>23</v>
      </c>
      <c r="D1631">
        <v>205027</v>
      </c>
      <c r="E1631">
        <v>239016</v>
      </c>
    </row>
    <row r="1632" spans="1:5" x14ac:dyDescent="0.25">
      <c r="A1632" t="s">
        <v>117</v>
      </c>
      <c r="B1632" t="s">
        <v>164</v>
      </c>
      <c r="C1632" t="s">
        <v>70</v>
      </c>
      <c r="E1632">
        <v>513540</v>
      </c>
    </row>
    <row r="1633" spans="1:5" x14ac:dyDescent="0.25">
      <c r="A1633" t="s">
        <v>117</v>
      </c>
      <c r="B1633" t="s">
        <v>191</v>
      </c>
      <c r="C1633" t="s">
        <v>71</v>
      </c>
    </row>
    <row r="1634" spans="1:5" x14ac:dyDescent="0.25">
      <c r="A1634" t="s">
        <v>117</v>
      </c>
      <c r="B1634" t="s">
        <v>133</v>
      </c>
      <c r="C1634" t="s">
        <v>72</v>
      </c>
      <c r="E1634">
        <v>67370</v>
      </c>
    </row>
    <row r="1635" spans="1:5" x14ac:dyDescent="0.25">
      <c r="A1635" t="s">
        <v>117</v>
      </c>
      <c r="B1635" t="s">
        <v>192</v>
      </c>
      <c r="C1635" t="s">
        <v>73</v>
      </c>
      <c r="E1635">
        <v>4136</v>
      </c>
    </row>
    <row r="1636" spans="1:5" x14ac:dyDescent="0.25">
      <c r="A1636" t="s">
        <v>117</v>
      </c>
      <c r="B1636" t="s">
        <v>193</v>
      </c>
      <c r="C1636" t="s">
        <v>74</v>
      </c>
      <c r="E1636">
        <v>56739</v>
      </c>
    </row>
    <row r="1637" spans="1:5" x14ac:dyDescent="0.25">
      <c r="A1637" t="s">
        <v>117</v>
      </c>
      <c r="B1637" t="s">
        <v>194</v>
      </c>
      <c r="C1637" t="s">
        <v>75</v>
      </c>
      <c r="E1637">
        <v>6495</v>
      </c>
    </row>
    <row r="1638" spans="1:5" x14ac:dyDescent="0.25">
      <c r="A1638" t="s">
        <v>117</v>
      </c>
      <c r="B1638" t="s">
        <v>166</v>
      </c>
      <c r="C1638" t="s">
        <v>26</v>
      </c>
      <c r="D1638">
        <v>657</v>
      </c>
    </row>
    <row r="1639" spans="1:5" x14ac:dyDescent="0.25">
      <c r="A1639" t="s">
        <v>117</v>
      </c>
      <c r="B1639" t="s">
        <v>167</v>
      </c>
      <c r="C1639" t="s">
        <v>27</v>
      </c>
      <c r="D1639">
        <v>5034849</v>
      </c>
      <c r="E1639">
        <v>5034849</v>
      </c>
    </row>
    <row r="1640" spans="1:5" x14ac:dyDescent="0.25">
      <c r="A1640" t="s">
        <v>117</v>
      </c>
      <c r="B1640" t="s">
        <v>168</v>
      </c>
      <c r="C1640" t="s">
        <v>28</v>
      </c>
      <c r="D1640">
        <v>286229</v>
      </c>
    </row>
    <row r="1641" spans="1:5" x14ac:dyDescent="0.25">
      <c r="A1641" t="s">
        <v>117</v>
      </c>
      <c r="B1641" t="s">
        <v>137</v>
      </c>
      <c r="C1641" t="s">
        <v>29</v>
      </c>
      <c r="D1641">
        <v>895266</v>
      </c>
    </row>
    <row r="1642" spans="1:5" x14ac:dyDescent="0.25">
      <c r="A1642" t="s">
        <v>117</v>
      </c>
      <c r="B1642" t="s">
        <v>169</v>
      </c>
      <c r="C1642" t="s">
        <v>30</v>
      </c>
      <c r="D1642">
        <v>562617</v>
      </c>
    </row>
    <row r="1643" spans="1:5" x14ac:dyDescent="0.25">
      <c r="A1643" t="s">
        <v>117</v>
      </c>
      <c r="B1643" t="s">
        <v>170</v>
      </c>
      <c r="C1643" t="s">
        <v>31</v>
      </c>
      <c r="D1643">
        <v>97765</v>
      </c>
    </row>
    <row r="1644" spans="1:5" x14ac:dyDescent="0.25">
      <c r="A1644" t="s">
        <v>117</v>
      </c>
      <c r="B1644" t="s">
        <v>195</v>
      </c>
      <c r="C1644" t="s">
        <v>76</v>
      </c>
      <c r="D1644">
        <v>234884</v>
      </c>
    </row>
    <row r="1645" spans="1:5" x14ac:dyDescent="0.25">
      <c r="A1645" t="s">
        <v>117</v>
      </c>
      <c r="B1645" t="s">
        <v>138</v>
      </c>
      <c r="C1645" t="s">
        <v>33</v>
      </c>
      <c r="E1645">
        <v>1827609</v>
      </c>
    </row>
    <row r="1646" spans="1:5" x14ac:dyDescent="0.25">
      <c r="A1646" t="s">
        <v>117</v>
      </c>
      <c r="B1646" t="s">
        <v>172</v>
      </c>
      <c r="C1646" t="s">
        <v>34</v>
      </c>
      <c r="E1646">
        <v>742258</v>
      </c>
    </row>
    <row r="1647" spans="1:5" x14ac:dyDescent="0.25">
      <c r="A1647" t="s">
        <v>117</v>
      </c>
      <c r="B1647" t="s">
        <v>173</v>
      </c>
      <c r="C1647" t="s">
        <v>35</v>
      </c>
      <c r="E1647">
        <v>670737</v>
      </c>
    </row>
    <row r="1648" spans="1:5" x14ac:dyDescent="0.25">
      <c r="A1648" t="s">
        <v>117</v>
      </c>
      <c r="B1648" t="s">
        <v>174</v>
      </c>
      <c r="C1648" t="s">
        <v>36</v>
      </c>
      <c r="E1648">
        <v>414614</v>
      </c>
    </row>
    <row r="1649" spans="1:5" x14ac:dyDescent="0.25">
      <c r="A1649" t="s">
        <v>117</v>
      </c>
      <c r="B1649" t="s">
        <v>141</v>
      </c>
      <c r="C1649" t="s">
        <v>37</v>
      </c>
      <c r="D1649">
        <v>112163</v>
      </c>
      <c r="E1649">
        <v>56381</v>
      </c>
    </row>
    <row r="1650" spans="1:5" x14ac:dyDescent="0.25">
      <c r="A1650" t="s">
        <v>117</v>
      </c>
      <c r="B1650" t="s">
        <v>175</v>
      </c>
      <c r="C1650" t="s">
        <v>38</v>
      </c>
      <c r="D1650">
        <v>44995</v>
      </c>
    </row>
    <row r="1651" spans="1:5" x14ac:dyDescent="0.25">
      <c r="A1651" t="s">
        <v>117</v>
      </c>
      <c r="B1651" t="s">
        <v>176</v>
      </c>
      <c r="C1651" t="s">
        <v>39</v>
      </c>
      <c r="E1651">
        <v>30254</v>
      </c>
    </row>
    <row r="1652" spans="1:5" x14ac:dyDescent="0.25">
      <c r="A1652" t="s">
        <v>117</v>
      </c>
      <c r="B1652" t="s">
        <v>177</v>
      </c>
      <c r="C1652" t="s">
        <v>77</v>
      </c>
    </row>
    <row r="1653" spans="1:5" x14ac:dyDescent="0.25">
      <c r="A1653" t="s">
        <v>117</v>
      </c>
      <c r="B1653" t="s">
        <v>178</v>
      </c>
      <c r="C1653" t="s">
        <v>78</v>
      </c>
    </row>
    <row r="1654" spans="1:5" x14ac:dyDescent="0.25">
      <c r="A1654" t="s">
        <v>117</v>
      </c>
      <c r="B1654" t="s">
        <v>179</v>
      </c>
      <c r="C1654" t="s">
        <v>42</v>
      </c>
      <c r="D1654">
        <v>67168</v>
      </c>
      <c r="E1654">
        <v>26127</v>
      </c>
    </row>
    <row r="1655" spans="1:5" x14ac:dyDescent="0.25">
      <c r="A1655" t="s">
        <v>117</v>
      </c>
      <c r="B1655" t="s">
        <v>121</v>
      </c>
      <c r="C1655" t="s">
        <v>79</v>
      </c>
      <c r="D1655">
        <v>5625181</v>
      </c>
      <c r="E1655">
        <v>5625181</v>
      </c>
    </row>
    <row r="1656" spans="1:5" x14ac:dyDescent="0.25">
      <c r="A1656" t="s">
        <v>117</v>
      </c>
      <c r="B1656" t="s">
        <v>142</v>
      </c>
      <c r="C1656" t="s">
        <v>44</v>
      </c>
      <c r="E1656">
        <v>792009</v>
      </c>
    </row>
    <row r="1657" spans="1:5" x14ac:dyDescent="0.25">
      <c r="A1657" t="s">
        <v>117</v>
      </c>
      <c r="B1657" t="s">
        <v>180</v>
      </c>
      <c r="C1657" t="s">
        <v>45</v>
      </c>
      <c r="D1657">
        <v>6417190</v>
      </c>
      <c r="E1657">
        <v>6417190</v>
      </c>
    </row>
    <row r="1658" spans="1:5" x14ac:dyDescent="0.25">
      <c r="A1658" t="s">
        <v>117</v>
      </c>
      <c r="B1658" t="s">
        <v>181</v>
      </c>
      <c r="C1658" t="s">
        <v>46</v>
      </c>
      <c r="D1658">
        <v>5492094</v>
      </c>
    </row>
    <row r="1659" spans="1:5" x14ac:dyDescent="0.25">
      <c r="A1659" t="s">
        <v>117</v>
      </c>
      <c r="B1659" t="s">
        <v>122</v>
      </c>
      <c r="C1659" t="s">
        <v>47</v>
      </c>
      <c r="D1659">
        <v>4700085</v>
      </c>
    </row>
    <row r="1660" spans="1:5" x14ac:dyDescent="0.25">
      <c r="A1660" t="s">
        <v>117</v>
      </c>
      <c r="B1660" t="s">
        <v>182</v>
      </c>
      <c r="C1660" t="s">
        <v>80</v>
      </c>
      <c r="E1660">
        <v>47061</v>
      </c>
    </row>
    <row r="1661" spans="1:5" x14ac:dyDescent="0.25">
      <c r="A1661" t="s">
        <v>117</v>
      </c>
      <c r="B1661" t="s">
        <v>127</v>
      </c>
      <c r="C1661" t="s">
        <v>49</v>
      </c>
      <c r="D1661">
        <v>972157</v>
      </c>
    </row>
    <row r="1662" spans="1:5" x14ac:dyDescent="0.25">
      <c r="A1662" t="s">
        <v>117</v>
      </c>
      <c r="B1662" t="s">
        <v>183</v>
      </c>
      <c r="C1662" t="s">
        <v>50</v>
      </c>
    </row>
    <row r="1663" spans="1:5" x14ac:dyDescent="0.25">
      <c r="A1663" t="s">
        <v>117</v>
      </c>
      <c r="B1663" t="s">
        <v>127</v>
      </c>
      <c r="C1663" t="s">
        <v>49</v>
      </c>
      <c r="E1663">
        <v>972157</v>
      </c>
    </row>
    <row r="1664" spans="1:5" x14ac:dyDescent="0.25">
      <c r="A1664" t="s">
        <v>117</v>
      </c>
      <c r="B1664" t="s">
        <v>124</v>
      </c>
      <c r="C1664" t="s">
        <v>51</v>
      </c>
      <c r="D1664">
        <v>405061</v>
      </c>
    </row>
    <row r="1665" spans="1:5" x14ac:dyDescent="0.25">
      <c r="A1665" t="s">
        <v>117</v>
      </c>
      <c r="B1665" t="s">
        <v>184</v>
      </c>
      <c r="C1665" t="s">
        <v>52</v>
      </c>
    </row>
    <row r="1666" spans="1:5" x14ac:dyDescent="0.25">
      <c r="A1666" t="s">
        <v>117</v>
      </c>
      <c r="B1666" t="s">
        <v>185</v>
      </c>
      <c r="C1666" t="s">
        <v>116</v>
      </c>
    </row>
    <row r="1667" spans="1:5" x14ac:dyDescent="0.25">
      <c r="A1667" t="s">
        <v>117</v>
      </c>
      <c r="B1667" t="s">
        <v>186</v>
      </c>
      <c r="C1667" t="s">
        <v>54</v>
      </c>
      <c r="E1667">
        <v>1597</v>
      </c>
    </row>
    <row r="1668" spans="1:5" x14ac:dyDescent="0.25">
      <c r="A1668" t="s">
        <v>117</v>
      </c>
      <c r="B1668" t="s">
        <v>187</v>
      </c>
      <c r="C1668" t="s">
        <v>55</v>
      </c>
      <c r="D1668">
        <v>557945</v>
      </c>
    </row>
    <row r="1669" spans="1:5" x14ac:dyDescent="0.25">
      <c r="A1669" t="s">
        <v>117</v>
      </c>
      <c r="B1669" t="s">
        <v>188</v>
      </c>
      <c r="C1669" t="s">
        <v>56</v>
      </c>
      <c r="E1669">
        <v>963006</v>
      </c>
    </row>
    <row r="1670" spans="1:5" x14ac:dyDescent="0.25">
      <c r="A1670" t="s">
        <v>117</v>
      </c>
      <c r="B1670" t="s">
        <v>196</v>
      </c>
      <c r="C1670" t="s">
        <v>81</v>
      </c>
      <c r="E1670">
        <v>170352</v>
      </c>
    </row>
    <row r="1671" spans="1:5" x14ac:dyDescent="0.25">
      <c r="A1671" t="s">
        <v>117</v>
      </c>
      <c r="B1671" t="s">
        <v>197</v>
      </c>
      <c r="C1671" t="s">
        <v>82</v>
      </c>
    </row>
    <row r="1672" spans="1:5" x14ac:dyDescent="0.25">
      <c r="A1672" t="s">
        <v>117</v>
      </c>
      <c r="B1672" t="s">
        <v>198</v>
      </c>
      <c r="C1672" t="s">
        <v>83</v>
      </c>
    </row>
    <row r="1673" spans="1:5" x14ac:dyDescent="0.25">
      <c r="A1673" t="s">
        <v>117</v>
      </c>
      <c r="B1673" t="s">
        <v>199</v>
      </c>
      <c r="C1673" t="s">
        <v>84</v>
      </c>
    </row>
    <row r="1674" spans="1:5" x14ac:dyDescent="0.25">
      <c r="A1674" t="s">
        <v>117</v>
      </c>
      <c r="B1674" t="s">
        <v>200</v>
      </c>
      <c r="C1674" t="s">
        <v>85</v>
      </c>
    </row>
    <row r="1675" spans="1:5" x14ac:dyDescent="0.25">
      <c r="A1675" t="s">
        <v>117</v>
      </c>
      <c r="B1675" t="s">
        <v>201</v>
      </c>
      <c r="C1675" t="s">
        <v>86</v>
      </c>
    </row>
    <row r="1676" spans="1:5" x14ac:dyDescent="0.25">
      <c r="A1676" t="s">
        <v>117</v>
      </c>
      <c r="B1676" t="s">
        <v>202</v>
      </c>
      <c r="C1676" t="s">
        <v>87</v>
      </c>
    </row>
    <row r="1677" spans="1:5" x14ac:dyDescent="0.25">
      <c r="A1677" t="s">
        <v>117</v>
      </c>
      <c r="B1677" t="s">
        <v>203</v>
      </c>
      <c r="C1677" t="s">
        <v>88</v>
      </c>
    </row>
    <row r="1678" spans="1:5" x14ac:dyDescent="0.25">
      <c r="A1678" t="s">
        <v>117</v>
      </c>
      <c r="B1678" t="s">
        <v>204</v>
      </c>
      <c r="C1678" t="s">
        <v>89</v>
      </c>
    </row>
    <row r="1679" spans="1:5" x14ac:dyDescent="0.25">
      <c r="A1679" t="s">
        <v>117</v>
      </c>
      <c r="B1679" t="s">
        <v>205</v>
      </c>
      <c r="C1679" t="s">
        <v>90</v>
      </c>
      <c r="E1679">
        <v>159558</v>
      </c>
    </row>
    <row r="1680" spans="1:5" x14ac:dyDescent="0.25">
      <c r="A1680" t="s">
        <v>117</v>
      </c>
      <c r="B1680" t="s">
        <v>206</v>
      </c>
      <c r="C1680" t="s">
        <v>88</v>
      </c>
      <c r="E1680">
        <v>-13598</v>
      </c>
    </row>
    <row r="1681" spans="1:5" x14ac:dyDescent="0.25">
      <c r="A1681" t="s">
        <v>117</v>
      </c>
      <c r="B1681" t="s">
        <v>207</v>
      </c>
      <c r="C1681" t="s">
        <v>89</v>
      </c>
      <c r="E1681">
        <v>173156</v>
      </c>
    </row>
    <row r="1682" spans="1:5" x14ac:dyDescent="0.25">
      <c r="A1682" t="s">
        <v>117</v>
      </c>
      <c r="B1682" t="s">
        <v>208</v>
      </c>
      <c r="C1682" t="s">
        <v>91</v>
      </c>
    </row>
    <row r="1683" spans="1:5" x14ac:dyDescent="0.25">
      <c r="A1683" t="s">
        <v>117</v>
      </c>
      <c r="B1683" t="s">
        <v>209</v>
      </c>
      <c r="C1683" t="s">
        <v>113</v>
      </c>
    </row>
    <row r="1684" spans="1:5" x14ac:dyDescent="0.25">
      <c r="A1684" t="s">
        <v>117</v>
      </c>
      <c r="B1684" t="s">
        <v>210</v>
      </c>
      <c r="C1684" t="s">
        <v>93</v>
      </c>
    </row>
    <row r="1685" spans="1:5" x14ac:dyDescent="0.25">
      <c r="A1685" t="s">
        <v>117</v>
      </c>
      <c r="B1685" t="s">
        <v>211</v>
      </c>
      <c r="C1685" t="s">
        <v>94</v>
      </c>
    </row>
    <row r="1686" spans="1:5" x14ac:dyDescent="0.25">
      <c r="A1686" t="s">
        <v>117</v>
      </c>
      <c r="B1686" t="s">
        <v>212</v>
      </c>
      <c r="C1686" t="s">
        <v>95</v>
      </c>
    </row>
    <row r="1687" spans="1:5" x14ac:dyDescent="0.25">
      <c r="A1687" t="s">
        <v>117</v>
      </c>
      <c r="B1687" t="s">
        <v>213</v>
      </c>
      <c r="C1687" t="s">
        <v>96</v>
      </c>
    </row>
    <row r="1688" spans="1:5" x14ac:dyDescent="0.25">
      <c r="A1688" t="s">
        <v>117</v>
      </c>
      <c r="B1688" t="s">
        <v>214</v>
      </c>
      <c r="C1688" t="s">
        <v>97</v>
      </c>
    </row>
    <row r="1689" spans="1:5" x14ac:dyDescent="0.25">
      <c r="A1689" t="s">
        <v>117</v>
      </c>
      <c r="B1689" t="s">
        <v>215</v>
      </c>
      <c r="C1689" t="s">
        <v>98</v>
      </c>
    </row>
    <row r="1690" spans="1:5" x14ac:dyDescent="0.25">
      <c r="A1690" t="s">
        <v>117</v>
      </c>
      <c r="B1690" t="s">
        <v>216</v>
      </c>
      <c r="C1690" t="s">
        <v>99</v>
      </c>
    </row>
    <row r="1691" spans="1:5" x14ac:dyDescent="0.25">
      <c r="A1691" t="s">
        <v>117</v>
      </c>
      <c r="B1691" t="s">
        <v>217</v>
      </c>
      <c r="C1691" t="s">
        <v>100</v>
      </c>
      <c r="E1691">
        <v>464</v>
      </c>
    </row>
    <row r="1692" spans="1:5" x14ac:dyDescent="0.25">
      <c r="A1692" t="s">
        <v>117</v>
      </c>
      <c r="B1692" t="s">
        <v>218</v>
      </c>
      <c r="C1692" t="s">
        <v>101</v>
      </c>
      <c r="E1692">
        <v>10329</v>
      </c>
    </row>
    <row r="1693" spans="1:5" x14ac:dyDescent="0.25">
      <c r="A1693" t="s">
        <v>117</v>
      </c>
      <c r="B1693" t="s">
        <v>219</v>
      </c>
      <c r="C1693" t="s">
        <v>102</v>
      </c>
      <c r="E1693">
        <v>1213</v>
      </c>
    </row>
    <row r="1694" spans="1:5" x14ac:dyDescent="0.25">
      <c r="A1694" t="s">
        <v>117</v>
      </c>
      <c r="B1694" t="s">
        <v>220</v>
      </c>
      <c r="C1694" t="s">
        <v>103</v>
      </c>
      <c r="E1694">
        <v>9116</v>
      </c>
    </row>
    <row r="1695" spans="1:5" x14ac:dyDescent="0.25">
      <c r="A1695" t="s">
        <v>117</v>
      </c>
      <c r="B1695" t="s">
        <v>221</v>
      </c>
      <c r="C1695" t="s">
        <v>104</v>
      </c>
      <c r="E1695">
        <v>2409987</v>
      </c>
    </row>
    <row r="1696" spans="1:5" x14ac:dyDescent="0.25">
      <c r="A1696" t="s">
        <v>117</v>
      </c>
      <c r="B1696" t="s">
        <v>222</v>
      </c>
      <c r="C1696" t="s">
        <v>82</v>
      </c>
    </row>
    <row r="1697" spans="1:5" x14ac:dyDescent="0.25">
      <c r="A1697" t="s">
        <v>117</v>
      </c>
      <c r="B1697" t="s">
        <v>223</v>
      </c>
      <c r="C1697" t="s">
        <v>83</v>
      </c>
    </row>
    <row r="1698" spans="1:5" x14ac:dyDescent="0.25">
      <c r="A1698" t="s">
        <v>117</v>
      </c>
      <c r="B1698" t="s">
        <v>224</v>
      </c>
      <c r="C1698" t="s">
        <v>84</v>
      </c>
    </row>
    <row r="1699" spans="1:5" x14ac:dyDescent="0.25">
      <c r="A1699" t="s">
        <v>117</v>
      </c>
      <c r="B1699" t="s">
        <v>225</v>
      </c>
      <c r="C1699" t="s">
        <v>85</v>
      </c>
    </row>
    <row r="1700" spans="1:5" x14ac:dyDescent="0.25">
      <c r="A1700" t="s">
        <v>117</v>
      </c>
      <c r="B1700" t="s">
        <v>226</v>
      </c>
      <c r="C1700" t="s">
        <v>86</v>
      </c>
    </row>
    <row r="1701" spans="1:5" x14ac:dyDescent="0.25">
      <c r="A1701" t="s">
        <v>117</v>
      </c>
      <c r="B1701" t="s">
        <v>227</v>
      </c>
      <c r="C1701" t="s">
        <v>87</v>
      </c>
    </row>
    <row r="1702" spans="1:5" x14ac:dyDescent="0.25">
      <c r="A1702" t="s">
        <v>117</v>
      </c>
      <c r="B1702" t="s">
        <v>228</v>
      </c>
      <c r="C1702" t="s">
        <v>88</v>
      </c>
    </row>
    <row r="1703" spans="1:5" x14ac:dyDescent="0.25">
      <c r="A1703" t="s">
        <v>117</v>
      </c>
      <c r="B1703" t="s">
        <v>229</v>
      </c>
      <c r="C1703" t="s">
        <v>89</v>
      </c>
    </row>
    <row r="1704" spans="1:5" x14ac:dyDescent="0.25">
      <c r="A1704" t="s">
        <v>117</v>
      </c>
      <c r="B1704" t="s">
        <v>230</v>
      </c>
      <c r="C1704" t="s">
        <v>90</v>
      </c>
      <c r="E1704">
        <v>2373288</v>
      </c>
    </row>
    <row r="1705" spans="1:5" x14ac:dyDescent="0.25">
      <c r="A1705" t="s">
        <v>117</v>
      </c>
      <c r="B1705" t="s">
        <v>231</v>
      </c>
      <c r="C1705" t="s">
        <v>88</v>
      </c>
      <c r="E1705">
        <v>196467</v>
      </c>
    </row>
    <row r="1706" spans="1:5" x14ac:dyDescent="0.25">
      <c r="A1706" t="s">
        <v>117</v>
      </c>
      <c r="B1706" t="s">
        <v>232</v>
      </c>
      <c r="C1706" t="s">
        <v>89</v>
      </c>
      <c r="E1706">
        <v>2176821</v>
      </c>
    </row>
    <row r="1707" spans="1:5" x14ac:dyDescent="0.25">
      <c r="A1707" t="s">
        <v>117</v>
      </c>
      <c r="B1707" t="s">
        <v>233</v>
      </c>
      <c r="C1707" t="s">
        <v>91</v>
      </c>
    </row>
    <row r="1708" spans="1:5" x14ac:dyDescent="0.25">
      <c r="A1708" t="s">
        <v>117</v>
      </c>
      <c r="B1708" t="s">
        <v>234</v>
      </c>
      <c r="C1708" t="s">
        <v>113</v>
      </c>
    </row>
    <row r="1709" spans="1:5" x14ac:dyDescent="0.25">
      <c r="A1709" t="s">
        <v>117</v>
      </c>
      <c r="B1709" t="s">
        <v>235</v>
      </c>
      <c r="C1709" t="s">
        <v>93</v>
      </c>
    </row>
    <row r="1710" spans="1:5" x14ac:dyDescent="0.25">
      <c r="A1710" t="s">
        <v>117</v>
      </c>
      <c r="B1710" t="s">
        <v>236</v>
      </c>
      <c r="C1710" t="s">
        <v>94</v>
      </c>
    </row>
    <row r="1711" spans="1:5" x14ac:dyDescent="0.25">
      <c r="A1711" t="s">
        <v>117</v>
      </c>
      <c r="B1711" t="s">
        <v>237</v>
      </c>
      <c r="C1711" t="s">
        <v>95</v>
      </c>
    </row>
    <row r="1712" spans="1:5" x14ac:dyDescent="0.25">
      <c r="A1712" t="s">
        <v>117</v>
      </c>
      <c r="B1712" t="s">
        <v>238</v>
      </c>
      <c r="C1712" t="s">
        <v>96</v>
      </c>
    </row>
    <row r="1713" spans="1:5" x14ac:dyDescent="0.25">
      <c r="A1713" t="s">
        <v>117</v>
      </c>
      <c r="B1713" t="s">
        <v>239</v>
      </c>
      <c r="C1713" t="s">
        <v>97</v>
      </c>
    </row>
    <row r="1714" spans="1:5" x14ac:dyDescent="0.25">
      <c r="A1714" t="s">
        <v>117</v>
      </c>
      <c r="B1714" t="s">
        <v>240</v>
      </c>
      <c r="C1714" t="s">
        <v>98</v>
      </c>
    </row>
    <row r="1715" spans="1:5" x14ac:dyDescent="0.25">
      <c r="A1715" t="s">
        <v>117</v>
      </c>
      <c r="B1715" t="s">
        <v>241</v>
      </c>
      <c r="C1715" t="s">
        <v>99</v>
      </c>
    </row>
    <row r="1716" spans="1:5" x14ac:dyDescent="0.25">
      <c r="A1716" t="s">
        <v>117</v>
      </c>
      <c r="B1716" t="s">
        <v>242</v>
      </c>
      <c r="C1716" t="s">
        <v>100</v>
      </c>
      <c r="E1716">
        <v>1936</v>
      </c>
    </row>
    <row r="1717" spans="1:5" x14ac:dyDescent="0.25">
      <c r="A1717" t="s">
        <v>117</v>
      </c>
      <c r="B1717" t="s">
        <v>243</v>
      </c>
      <c r="C1717" t="s">
        <v>101</v>
      </c>
      <c r="E1717">
        <v>34763</v>
      </c>
    </row>
    <row r="1718" spans="1:5" x14ac:dyDescent="0.25">
      <c r="A1718" t="s">
        <v>117</v>
      </c>
      <c r="B1718" t="s">
        <v>244</v>
      </c>
      <c r="C1718" t="s">
        <v>102</v>
      </c>
      <c r="E1718">
        <v>998</v>
      </c>
    </row>
    <row r="1719" spans="1:5" x14ac:dyDescent="0.25">
      <c r="A1719" t="s">
        <v>117</v>
      </c>
      <c r="B1719" t="s">
        <v>245</v>
      </c>
      <c r="C1719" t="s">
        <v>103</v>
      </c>
      <c r="E1719">
        <v>33765</v>
      </c>
    </row>
    <row r="1720" spans="1:5" x14ac:dyDescent="0.25">
      <c r="A1720" t="s">
        <v>117</v>
      </c>
      <c r="B1720" t="s">
        <v>246</v>
      </c>
      <c r="C1720" t="s">
        <v>105</v>
      </c>
    </row>
    <row r="1721" spans="1:5" x14ac:dyDescent="0.25">
      <c r="A1721" t="s">
        <v>118</v>
      </c>
      <c r="B1721" t="s">
        <v>148</v>
      </c>
      <c r="C1721" t="s">
        <v>6</v>
      </c>
    </row>
    <row r="1722" spans="1:5" x14ac:dyDescent="0.25">
      <c r="A1722" t="s">
        <v>118</v>
      </c>
      <c r="B1722" t="s">
        <v>149</v>
      </c>
      <c r="C1722" t="s">
        <v>7</v>
      </c>
    </row>
    <row r="1723" spans="1:5" x14ac:dyDescent="0.25">
      <c r="A1723" t="s">
        <v>118</v>
      </c>
      <c r="B1723" t="s">
        <v>150</v>
      </c>
      <c r="C1723" t="s">
        <v>8</v>
      </c>
      <c r="E1723">
        <v>2202977</v>
      </c>
    </row>
    <row r="1724" spans="1:5" x14ac:dyDescent="0.25">
      <c r="A1724" t="s">
        <v>118</v>
      </c>
      <c r="B1724" t="s">
        <v>189</v>
      </c>
      <c r="C1724" t="s">
        <v>67</v>
      </c>
      <c r="E1724">
        <v>1528558</v>
      </c>
    </row>
    <row r="1725" spans="1:5" x14ac:dyDescent="0.25">
      <c r="A1725" t="s">
        <v>118</v>
      </c>
      <c r="B1725" t="s">
        <v>190</v>
      </c>
      <c r="C1725" t="s">
        <v>68</v>
      </c>
      <c r="E1725">
        <v>674419</v>
      </c>
    </row>
    <row r="1726" spans="1:5" x14ac:dyDescent="0.25">
      <c r="A1726" t="s">
        <v>118</v>
      </c>
      <c r="B1726" t="s">
        <v>151</v>
      </c>
      <c r="C1726" t="s">
        <v>9</v>
      </c>
      <c r="D1726">
        <v>730409</v>
      </c>
    </row>
    <row r="1727" spans="1:5" x14ac:dyDescent="0.25">
      <c r="A1727" t="s">
        <v>118</v>
      </c>
      <c r="B1727" t="s">
        <v>152</v>
      </c>
      <c r="C1727" t="s">
        <v>10</v>
      </c>
    </row>
    <row r="1728" spans="1:5" x14ac:dyDescent="0.25">
      <c r="A1728" t="s">
        <v>118</v>
      </c>
      <c r="B1728" t="s">
        <v>153</v>
      </c>
      <c r="C1728" t="s">
        <v>11</v>
      </c>
      <c r="D1728">
        <v>1472568</v>
      </c>
      <c r="E1728">
        <v>1472568</v>
      </c>
    </row>
    <row r="1729" spans="1:5" x14ac:dyDescent="0.25">
      <c r="A1729" t="s">
        <v>118</v>
      </c>
      <c r="B1729" t="s">
        <v>154</v>
      </c>
      <c r="C1729" t="s">
        <v>12</v>
      </c>
    </row>
    <row r="1730" spans="1:5" x14ac:dyDescent="0.25">
      <c r="A1730" t="s">
        <v>118</v>
      </c>
      <c r="B1730" t="s">
        <v>155</v>
      </c>
      <c r="C1730" t="s">
        <v>13</v>
      </c>
      <c r="D1730">
        <v>140721</v>
      </c>
      <c r="E1730">
        <v>3535191</v>
      </c>
    </row>
    <row r="1731" spans="1:5" x14ac:dyDescent="0.25">
      <c r="A1731" t="s">
        <v>118</v>
      </c>
      <c r="B1731" t="s">
        <v>156</v>
      </c>
      <c r="C1731" t="s">
        <v>69</v>
      </c>
      <c r="D1731">
        <v>137181</v>
      </c>
      <c r="E1731">
        <v>2795557</v>
      </c>
    </row>
    <row r="1732" spans="1:5" x14ac:dyDescent="0.25">
      <c r="A1732" t="s">
        <v>118</v>
      </c>
      <c r="B1732" t="s">
        <v>135</v>
      </c>
      <c r="C1732" t="s">
        <v>15</v>
      </c>
      <c r="D1732">
        <v>3540</v>
      </c>
      <c r="E1732">
        <v>739634</v>
      </c>
    </row>
    <row r="1733" spans="1:5" x14ac:dyDescent="0.25">
      <c r="A1733" t="s">
        <v>118</v>
      </c>
      <c r="B1733" t="s">
        <v>157</v>
      </c>
      <c r="C1733" t="s">
        <v>16</v>
      </c>
      <c r="D1733">
        <v>3540</v>
      </c>
      <c r="E1733">
        <v>639009</v>
      </c>
    </row>
    <row r="1734" spans="1:5" x14ac:dyDescent="0.25">
      <c r="A1734" t="s">
        <v>118</v>
      </c>
      <c r="B1734" t="s">
        <v>158</v>
      </c>
      <c r="C1734" t="s">
        <v>17</v>
      </c>
      <c r="E1734">
        <v>100625</v>
      </c>
    </row>
    <row r="1735" spans="1:5" x14ac:dyDescent="0.25">
      <c r="A1735" t="s">
        <v>118</v>
      </c>
      <c r="B1735" t="s">
        <v>159</v>
      </c>
      <c r="C1735" t="s">
        <v>18</v>
      </c>
      <c r="D1735">
        <v>-2686</v>
      </c>
    </row>
    <row r="1736" spans="1:5" x14ac:dyDescent="0.25">
      <c r="A1736" t="s">
        <v>118</v>
      </c>
      <c r="B1736" t="s">
        <v>160</v>
      </c>
      <c r="C1736" t="s">
        <v>19</v>
      </c>
      <c r="D1736">
        <v>-2686</v>
      </c>
    </row>
    <row r="1737" spans="1:5" x14ac:dyDescent="0.25">
      <c r="A1737" t="s">
        <v>118</v>
      </c>
      <c r="B1737" t="s">
        <v>161</v>
      </c>
      <c r="C1737" t="s">
        <v>20</v>
      </c>
      <c r="D1737">
        <v>633012</v>
      </c>
      <c r="E1737">
        <v>633012</v>
      </c>
    </row>
    <row r="1738" spans="1:5" x14ac:dyDescent="0.25">
      <c r="A1738" t="s">
        <v>118</v>
      </c>
      <c r="B1738" t="s">
        <v>162</v>
      </c>
      <c r="C1738" t="s">
        <v>21</v>
      </c>
      <c r="D1738">
        <v>701521</v>
      </c>
      <c r="E1738">
        <v>701521</v>
      </c>
    </row>
    <row r="1739" spans="1:5" x14ac:dyDescent="0.25">
      <c r="A1739" t="s">
        <v>118</v>
      </c>
      <c r="B1739" t="s">
        <v>163</v>
      </c>
      <c r="C1739" t="s">
        <v>22</v>
      </c>
      <c r="D1739">
        <v>280979</v>
      </c>
      <c r="E1739">
        <v>1156819</v>
      </c>
    </row>
    <row r="1740" spans="1:5" x14ac:dyDescent="0.25">
      <c r="A1740" t="s">
        <v>118</v>
      </c>
      <c r="B1740" t="s">
        <v>140</v>
      </c>
      <c r="C1740" t="s">
        <v>23</v>
      </c>
      <c r="D1740">
        <v>280195</v>
      </c>
      <c r="E1740">
        <v>324717</v>
      </c>
    </row>
    <row r="1741" spans="1:5" x14ac:dyDescent="0.25">
      <c r="A1741" t="s">
        <v>118</v>
      </c>
      <c r="B1741" t="s">
        <v>164</v>
      </c>
      <c r="C1741" t="s">
        <v>70</v>
      </c>
      <c r="E1741">
        <v>750403</v>
      </c>
    </row>
    <row r="1742" spans="1:5" x14ac:dyDescent="0.25">
      <c r="A1742" t="s">
        <v>118</v>
      </c>
      <c r="B1742" t="s">
        <v>191</v>
      </c>
      <c r="C1742" t="s">
        <v>71</v>
      </c>
    </row>
    <row r="1743" spans="1:5" x14ac:dyDescent="0.25">
      <c r="A1743" t="s">
        <v>118</v>
      </c>
      <c r="B1743" t="s">
        <v>133</v>
      </c>
      <c r="C1743" t="s">
        <v>72</v>
      </c>
      <c r="E1743">
        <v>81699</v>
      </c>
    </row>
    <row r="1744" spans="1:5" x14ac:dyDescent="0.25">
      <c r="A1744" t="s">
        <v>118</v>
      </c>
      <c r="B1744" t="s">
        <v>192</v>
      </c>
      <c r="C1744" t="s">
        <v>73</v>
      </c>
      <c r="E1744">
        <v>3891</v>
      </c>
    </row>
    <row r="1745" spans="1:5" x14ac:dyDescent="0.25">
      <c r="A1745" t="s">
        <v>118</v>
      </c>
      <c r="B1745" t="s">
        <v>193</v>
      </c>
      <c r="C1745" t="s">
        <v>74</v>
      </c>
      <c r="E1745">
        <v>70429</v>
      </c>
    </row>
    <row r="1746" spans="1:5" x14ac:dyDescent="0.25">
      <c r="A1746" t="s">
        <v>118</v>
      </c>
      <c r="B1746" t="s">
        <v>194</v>
      </c>
      <c r="C1746" t="s">
        <v>75</v>
      </c>
      <c r="E1746">
        <v>7379</v>
      </c>
    </row>
    <row r="1747" spans="1:5" x14ac:dyDescent="0.25">
      <c r="A1747" t="s">
        <v>118</v>
      </c>
      <c r="B1747" t="s">
        <v>166</v>
      </c>
      <c r="C1747" t="s">
        <v>26</v>
      </c>
      <c r="D1747">
        <v>784</v>
      </c>
    </row>
    <row r="1748" spans="1:5" x14ac:dyDescent="0.25">
      <c r="A1748" t="s">
        <v>118</v>
      </c>
      <c r="B1748" t="s">
        <v>167</v>
      </c>
      <c r="C1748" t="s">
        <v>27</v>
      </c>
      <c r="D1748">
        <v>5745564</v>
      </c>
      <c r="E1748">
        <v>5745564</v>
      </c>
    </row>
    <row r="1749" spans="1:5" x14ac:dyDescent="0.25">
      <c r="A1749" t="s">
        <v>118</v>
      </c>
      <c r="B1749" t="s">
        <v>168</v>
      </c>
      <c r="C1749" t="s">
        <v>28</v>
      </c>
      <c r="D1749">
        <v>327986</v>
      </c>
    </row>
    <row r="1750" spans="1:5" x14ac:dyDescent="0.25">
      <c r="A1750" t="s">
        <v>118</v>
      </c>
      <c r="B1750" t="s">
        <v>137</v>
      </c>
      <c r="C1750" t="s">
        <v>29</v>
      </c>
      <c r="D1750">
        <v>1013186</v>
      </c>
    </row>
    <row r="1751" spans="1:5" x14ac:dyDescent="0.25">
      <c r="A1751" t="s">
        <v>118</v>
      </c>
      <c r="B1751" t="s">
        <v>169</v>
      </c>
      <c r="C1751" t="s">
        <v>30</v>
      </c>
      <c r="D1751">
        <v>634145</v>
      </c>
    </row>
    <row r="1752" spans="1:5" x14ac:dyDescent="0.25">
      <c r="A1752" t="s">
        <v>118</v>
      </c>
      <c r="B1752" t="s">
        <v>170</v>
      </c>
      <c r="C1752" t="s">
        <v>31</v>
      </c>
      <c r="D1752">
        <v>100625</v>
      </c>
    </row>
    <row r="1753" spans="1:5" x14ac:dyDescent="0.25">
      <c r="A1753" t="s">
        <v>118</v>
      </c>
      <c r="B1753" t="s">
        <v>195</v>
      </c>
      <c r="C1753" t="s">
        <v>76</v>
      </c>
      <c r="D1753">
        <v>278416</v>
      </c>
    </row>
    <row r="1754" spans="1:5" x14ac:dyDescent="0.25">
      <c r="A1754" t="s">
        <v>118</v>
      </c>
      <c r="B1754" t="s">
        <v>138</v>
      </c>
      <c r="C1754" t="s">
        <v>33</v>
      </c>
      <c r="E1754">
        <v>1563021</v>
      </c>
    </row>
    <row r="1755" spans="1:5" x14ac:dyDescent="0.25">
      <c r="A1755" t="s">
        <v>118</v>
      </c>
      <c r="B1755" t="s">
        <v>172</v>
      </c>
      <c r="C1755" t="s">
        <v>34</v>
      </c>
      <c r="E1755">
        <v>769970</v>
      </c>
    </row>
    <row r="1756" spans="1:5" x14ac:dyDescent="0.25">
      <c r="A1756" t="s">
        <v>118</v>
      </c>
      <c r="B1756" t="s">
        <v>173</v>
      </c>
      <c r="C1756" t="s">
        <v>35</v>
      </c>
      <c r="E1756">
        <v>623598</v>
      </c>
    </row>
    <row r="1757" spans="1:5" x14ac:dyDescent="0.25">
      <c r="A1757" t="s">
        <v>118</v>
      </c>
      <c r="B1757" t="s">
        <v>174</v>
      </c>
      <c r="C1757" t="s">
        <v>36</v>
      </c>
      <c r="E1757">
        <v>169453</v>
      </c>
    </row>
    <row r="1758" spans="1:5" x14ac:dyDescent="0.25">
      <c r="A1758" t="s">
        <v>118</v>
      </c>
      <c r="B1758" t="s">
        <v>141</v>
      </c>
      <c r="C1758" t="s">
        <v>37</v>
      </c>
      <c r="D1758">
        <v>100089</v>
      </c>
      <c r="E1758">
        <v>69732</v>
      </c>
    </row>
    <row r="1759" spans="1:5" x14ac:dyDescent="0.25">
      <c r="A1759" t="s">
        <v>118</v>
      </c>
      <c r="B1759" t="s">
        <v>175</v>
      </c>
      <c r="C1759" t="s">
        <v>38</v>
      </c>
      <c r="D1759">
        <v>55025</v>
      </c>
    </row>
    <row r="1760" spans="1:5" x14ac:dyDescent="0.25">
      <c r="A1760" t="s">
        <v>118</v>
      </c>
      <c r="B1760" t="s">
        <v>176</v>
      </c>
      <c r="C1760" t="s">
        <v>39</v>
      </c>
      <c r="E1760">
        <v>36998</v>
      </c>
    </row>
    <row r="1761" spans="1:5" x14ac:dyDescent="0.25">
      <c r="A1761" t="s">
        <v>118</v>
      </c>
      <c r="B1761" t="s">
        <v>177</v>
      </c>
      <c r="C1761" t="s">
        <v>77</v>
      </c>
    </row>
    <row r="1762" spans="1:5" x14ac:dyDescent="0.25">
      <c r="A1762" t="s">
        <v>118</v>
      </c>
      <c r="B1762" t="s">
        <v>178</v>
      </c>
      <c r="C1762" t="s">
        <v>78</v>
      </c>
    </row>
    <row r="1763" spans="1:5" x14ac:dyDescent="0.25">
      <c r="A1763" t="s">
        <v>118</v>
      </c>
      <c r="B1763" t="s">
        <v>179</v>
      </c>
      <c r="C1763" t="s">
        <v>42</v>
      </c>
      <c r="D1763">
        <v>45064</v>
      </c>
      <c r="E1763">
        <v>32734</v>
      </c>
    </row>
    <row r="1764" spans="1:5" x14ac:dyDescent="0.25">
      <c r="A1764" t="s">
        <v>118</v>
      </c>
      <c r="B1764" t="s">
        <v>121</v>
      </c>
      <c r="C1764" t="s">
        <v>79</v>
      </c>
      <c r="D1764">
        <v>5937056</v>
      </c>
      <c r="E1764">
        <v>5937056</v>
      </c>
    </row>
    <row r="1765" spans="1:5" x14ac:dyDescent="0.25">
      <c r="A1765" t="s">
        <v>118</v>
      </c>
      <c r="B1765" t="s">
        <v>142</v>
      </c>
      <c r="C1765" t="s">
        <v>44</v>
      </c>
      <c r="E1765">
        <v>863167</v>
      </c>
    </row>
    <row r="1766" spans="1:5" x14ac:dyDescent="0.25">
      <c r="A1766" t="s">
        <v>118</v>
      </c>
      <c r="B1766" t="s">
        <v>180</v>
      </c>
      <c r="C1766" t="s">
        <v>45</v>
      </c>
      <c r="D1766">
        <v>6800223</v>
      </c>
      <c r="E1766">
        <v>6800223</v>
      </c>
    </row>
    <row r="1767" spans="1:5" x14ac:dyDescent="0.25">
      <c r="A1767" t="s">
        <v>118</v>
      </c>
      <c r="B1767" t="s">
        <v>181</v>
      </c>
      <c r="C1767" t="s">
        <v>46</v>
      </c>
      <c r="D1767">
        <v>6278690</v>
      </c>
    </row>
    <row r="1768" spans="1:5" x14ac:dyDescent="0.25">
      <c r="A1768" t="s">
        <v>118</v>
      </c>
      <c r="B1768" t="s">
        <v>122</v>
      </c>
      <c r="C1768" t="s">
        <v>47</v>
      </c>
      <c r="D1768">
        <v>5415523</v>
      </c>
    </row>
    <row r="1769" spans="1:5" x14ac:dyDescent="0.25">
      <c r="A1769" t="s">
        <v>118</v>
      </c>
      <c r="B1769" t="s">
        <v>182</v>
      </c>
      <c r="C1769" t="s">
        <v>80</v>
      </c>
      <c r="E1769">
        <v>69769</v>
      </c>
    </row>
    <row r="1770" spans="1:5" x14ac:dyDescent="0.25">
      <c r="A1770" t="s">
        <v>118</v>
      </c>
      <c r="B1770" t="s">
        <v>127</v>
      </c>
      <c r="C1770" t="s">
        <v>49</v>
      </c>
      <c r="D1770">
        <v>591302</v>
      </c>
    </row>
    <row r="1771" spans="1:5" x14ac:dyDescent="0.25">
      <c r="A1771" t="s">
        <v>118</v>
      </c>
      <c r="B1771" t="s">
        <v>183</v>
      </c>
      <c r="C1771" t="s">
        <v>50</v>
      </c>
    </row>
    <row r="1772" spans="1:5" x14ac:dyDescent="0.25">
      <c r="A1772" t="s">
        <v>118</v>
      </c>
      <c r="B1772" t="s">
        <v>127</v>
      </c>
      <c r="C1772" t="s">
        <v>49</v>
      </c>
      <c r="E1772">
        <v>591302</v>
      </c>
    </row>
    <row r="1773" spans="1:5" x14ac:dyDescent="0.25">
      <c r="A1773" t="s">
        <v>118</v>
      </c>
      <c r="B1773" t="s">
        <v>124</v>
      </c>
      <c r="C1773" t="s">
        <v>51</v>
      </c>
      <c r="D1773">
        <v>499699</v>
      </c>
    </row>
    <row r="1774" spans="1:5" x14ac:dyDescent="0.25">
      <c r="A1774" t="s">
        <v>118</v>
      </c>
      <c r="B1774" t="s">
        <v>184</v>
      </c>
      <c r="C1774" t="s">
        <v>52</v>
      </c>
    </row>
    <row r="1775" spans="1:5" x14ac:dyDescent="0.25">
      <c r="A1775" t="s">
        <v>118</v>
      </c>
      <c r="B1775" t="s">
        <v>185</v>
      </c>
      <c r="C1775" t="s">
        <v>116</v>
      </c>
    </row>
    <row r="1776" spans="1:5" x14ac:dyDescent="0.25">
      <c r="A1776" t="s">
        <v>118</v>
      </c>
      <c r="B1776" t="s">
        <v>186</v>
      </c>
      <c r="C1776" t="s">
        <v>54</v>
      </c>
      <c r="E1776">
        <v>3314</v>
      </c>
    </row>
    <row r="1777" spans="1:5" x14ac:dyDescent="0.25">
      <c r="A1777" t="s">
        <v>118</v>
      </c>
      <c r="B1777" t="s">
        <v>187</v>
      </c>
      <c r="C1777" t="s">
        <v>55</v>
      </c>
      <c r="D1777">
        <v>81780</v>
      </c>
    </row>
    <row r="1778" spans="1:5" x14ac:dyDescent="0.25">
      <c r="A1778" t="s">
        <v>118</v>
      </c>
      <c r="B1778" t="s">
        <v>188</v>
      </c>
      <c r="C1778" t="s">
        <v>56</v>
      </c>
      <c r="E1778">
        <v>581479</v>
      </c>
    </row>
    <row r="1779" spans="1:5" x14ac:dyDescent="0.25">
      <c r="A1779" t="s">
        <v>118</v>
      </c>
      <c r="B1779" t="s">
        <v>196</v>
      </c>
      <c r="C1779" t="s">
        <v>81</v>
      </c>
      <c r="E1779">
        <v>742874</v>
      </c>
    </row>
    <row r="1780" spans="1:5" x14ac:dyDescent="0.25">
      <c r="A1780" t="s">
        <v>118</v>
      </c>
      <c r="B1780" t="s">
        <v>197</v>
      </c>
      <c r="C1780" t="s">
        <v>82</v>
      </c>
    </row>
    <row r="1781" spans="1:5" x14ac:dyDescent="0.25">
      <c r="A1781" t="s">
        <v>118</v>
      </c>
      <c r="B1781" t="s">
        <v>198</v>
      </c>
      <c r="C1781" t="s">
        <v>83</v>
      </c>
    </row>
    <row r="1782" spans="1:5" x14ac:dyDescent="0.25">
      <c r="A1782" t="s">
        <v>118</v>
      </c>
      <c r="B1782" t="s">
        <v>199</v>
      </c>
      <c r="C1782" t="s">
        <v>84</v>
      </c>
    </row>
    <row r="1783" spans="1:5" x14ac:dyDescent="0.25">
      <c r="A1783" t="s">
        <v>118</v>
      </c>
      <c r="B1783" t="s">
        <v>200</v>
      </c>
      <c r="C1783" t="s">
        <v>85</v>
      </c>
    </row>
    <row r="1784" spans="1:5" x14ac:dyDescent="0.25">
      <c r="A1784" t="s">
        <v>118</v>
      </c>
      <c r="B1784" t="s">
        <v>201</v>
      </c>
      <c r="C1784" t="s">
        <v>86</v>
      </c>
    </row>
    <row r="1785" spans="1:5" x14ac:dyDescent="0.25">
      <c r="A1785" t="s">
        <v>118</v>
      </c>
      <c r="B1785" t="s">
        <v>202</v>
      </c>
      <c r="C1785" t="s">
        <v>87</v>
      </c>
    </row>
    <row r="1786" spans="1:5" x14ac:dyDescent="0.25">
      <c r="A1786" t="s">
        <v>118</v>
      </c>
      <c r="B1786" t="s">
        <v>203</v>
      </c>
      <c r="C1786" t="s">
        <v>88</v>
      </c>
    </row>
    <row r="1787" spans="1:5" x14ac:dyDescent="0.25">
      <c r="A1787" t="s">
        <v>118</v>
      </c>
      <c r="B1787" t="s">
        <v>204</v>
      </c>
      <c r="C1787" t="s">
        <v>89</v>
      </c>
    </row>
    <row r="1788" spans="1:5" x14ac:dyDescent="0.25">
      <c r="A1788" t="s">
        <v>118</v>
      </c>
      <c r="B1788" t="s">
        <v>205</v>
      </c>
      <c r="C1788" t="s">
        <v>90</v>
      </c>
      <c r="E1788">
        <v>484798</v>
      </c>
    </row>
    <row r="1789" spans="1:5" x14ac:dyDescent="0.25">
      <c r="A1789" t="s">
        <v>118</v>
      </c>
      <c r="B1789" t="s">
        <v>206</v>
      </c>
      <c r="C1789" t="s">
        <v>88</v>
      </c>
      <c r="E1789">
        <v>70607</v>
      </c>
    </row>
    <row r="1790" spans="1:5" x14ac:dyDescent="0.25">
      <c r="A1790" t="s">
        <v>118</v>
      </c>
      <c r="B1790" t="s">
        <v>207</v>
      </c>
      <c r="C1790" t="s">
        <v>89</v>
      </c>
      <c r="E1790">
        <v>414191</v>
      </c>
    </row>
    <row r="1791" spans="1:5" x14ac:dyDescent="0.25">
      <c r="A1791" t="s">
        <v>118</v>
      </c>
      <c r="B1791" t="s">
        <v>208</v>
      </c>
      <c r="C1791" t="s">
        <v>91</v>
      </c>
    </row>
    <row r="1792" spans="1:5" x14ac:dyDescent="0.25">
      <c r="A1792" t="s">
        <v>118</v>
      </c>
      <c r="B1792" t="s">
        <v>209</v>
      </c>
      <c r="C1792" t="s">
        <v>113</v>
      </c>
    </row>
    <row r="1793" spans="1:5" x14ac:dyDescent="0.25">
      <c r="A1793" t="s">
        <v>118</v>
      </c>
      <c r="B1793" t="s">
        <v>210</v>
      </c>
      <c r="C1793" t="s">
        <v>93</v>
      </c>
    </row>
    <row r="1794" spans="1:5" x14ac:dyDescent="0.25">
      <c r="A1794" t="s">
        <v>118</v>
      </c>
      <c r="B1794" t="s">
        <v>211</v>
      </c>
      <c r="C1794" t="s">
        <v>94</v>
      </c>
    </row>
    <row r="1795" spans="1:5" x14ac:dyDescent="0.25">
      <c r="A1795" t="s">
        <v>118</v>
      </c>
      <c r="B1795" t="s">
        <v>212</v>
      </c>
      <c r="C1795" t="s">
        <v>95</v>
      </c>
    </row>
    <row r="1796" spans="1:5" x14ac:dyDescent="0.25">
      <c r="A1796" t="s">
        <v>118</v>
      </c>
      <c r="B1796" t="s">
        <v>213</v>
      </c>
      <c r="C1796" t="s">
        <v>96</v>
      </c>
    </row>
    <row r="1797" spans="1:5" x14ac:dyDescent="0.25">
      <c r="A1797" t="s">
        <v>118</v>
      </c>
      <c r="B1797" t="s">
        <v>214</v>
      </c>
      <c r="C1797" t="s">
        <v>97</v>
      </c>
    </row>
    <row r="1798" spans="1:5" x14ac:dyDescent="0.25">
      <c r="A1798" t="s">
        <v>118</v>
      </c>
      <c r="B1798" t="s">
        <v>215</v>
      </c>
      <c r="C1798" t="s">
        <v>98</v>
      </c>
    </row>
    <row r="1799" spans="1:5" x14ac:dyDescent="0.25">
      <c r="A1799" t="s">
        <v>118</v>
      </c>
      <c r="B1799" t="s">
        <v>216</v>
      </c>
      <c r="C1799" t="s">
        <v>99</v>
      </c>
    </row>
    <row r="1800" spans="1:5" x14ac:dyDescent="0.25">
      <c r="A1800" t="s">
        <v>118</v>
      </c>
      <c r="B1800" t="s">
        <v>217</v>
      </c>
      <c r="C1800" t="s">
        <v>100</v>
      </c>
      <c r="E1800">
        <v>-238</v>
      </c>
    </row>
    <row r="1801" spans="1:5" x14ac:dyDescent="0.25">
      <c r="A1801" t="s">
        <v>118</v>
      </c>
      <c r="B1801" t="s">
        <v>218</v>
      </c>
      <c r="C1801" t="s">
        <v>101</v>
      </c>
      <c r="E1801">
        <v>258313</v>
      </c>
    </row>
    <row r="1802" spans="1:5" x14ac:dyDescent="0.25">
      <c r="A1802" t="s">
        <v>118</v>
      </c>
      <c r="B1802" t="s">
        <v>219</v>
      </c>
      <c r="C1802" t="s">
        <v>102</v>
      </c>
      <c r="E1802">
        <v>-71</v>
      </c>
    </row>
    <row r="1803" spans="1:5" x14ac:dyDescent="0.25">
      <c r="A1803" t="s">
        <v>118</v>
      </c>
      <c r="B1803" t="s">
        <v>220</v>
      </c>
      <c r="C1803" t="s">
        <v>103</v>
      </c>
      <c r="E1803">
        <v>258384</v>
      </c>
    </row>
    <row r="1804" spans="1:5" x14ac:dyDescent="0.25">
      <c r="A1804" t="s">
        <v>118</v>
      </c>
      <c r="B1804" t="s">
        <v>221</v>
      </c>
      <c r="C1804" t="s">
        <v>104</v>
      </c>
      <c r="E1804">
        <v>2569879</v>
      </c>
    </row>
    <row r="1805" spans="1:5" x14ac:dyDescent="0.25">
      <c r="A1805" t="s">
        <v>118</v>
      </c>
      <c r="B1805" t="s">
        <v>222</v>
      </c>
      <c r="C1805" t="s">
        <v>82</v>
      </c>
    </row>
    <row r="1806" spans="1:5" x14ac:dyDescent="0.25">
      <c r="A1806" t="s">
        <v>118</v>
      </c>
      <c r="B1806" t="s">
        <v>223</v>
      </c>
      <c r="C1806" t="s">
        <v>83</v>
      </c>
    </row>
    <row r="1807" spans="1:5" x14ac:dyDescent="0.25">
      <c r="A1807" t="s">
        <v>118</v>
      </c>
      <c r="B1807" t="s">
        <v>224</v>
      </c>
      <c r="C1807" t="s">
        <v>84</v>
      </c>
    </row>
    <row r="1808" spans="1:5" x14ac:dyDescent="0.25">
      <c r="A1808" t="s">
        <v>118</v>
      </c>
      <c r="B1808" t="s">
        <v>225</v>
      </c>
      <c r="C1808" t="s">
        <v>85</v>
      </c>
    </row>
    <row r="1809" spans="1:5" x14ac:dyDescent="0.25">
      <c r="A1809" t="s">
        <v>118</v>
      </c>
      <c r="B1809" t="s">
        <v>226</v>
      </c>
      <c r="C1809" t="s">
        <v>86</v>
      </c>
    </row>
    <row r="1810" spans="1:5" x14ac:dyDescent="0.25">
      <c r="A1810" t="s">
        <v>118</v>
      </c>
      <c r="B1810" t="s">
        <v>227</v>
      </c>
      <c r="C1810" t="s">
        <v>87</v>
      </c>
    </row>
    <row r="1811" spans="1:5" x14ac:dyDescent="0.25">
      <c r="A1811" t="s">
        <v>118</v>
      </c>
      <c r="B1811" t="s">
        <v>228</v>
      </c>
      <c r="C1811" t="s">
        <v>88</v>
      </c>
    </row>
    <row r="1812" spans="1:5" x14ac:dyDescent="0.25">
      <c r="A1812" t="s">
        <v>118</v>
      </c>
      <c r="B1812" t="s">
        <v>229</v>
      </c>
      <c r="C1812" t="s">
        <v>89</v>
      </c>
    </row>
    <row r="1813" spans="1:5" x14ac:dyDescent="0.25">
      <c r="A1813" t="s">
        <v>118</v>
      </c>
      <c r="B1813" t="s">
        <v>230</v>
      </c>
      <c r="C1813" t="s">
        <v>90</v>
      </c>
      <c r="E1813">
        <v>2527924</v>
      </c>
    </row>
    <row r="1814" spans="1:5" x14ac:dyDescent="0.25">
      <c r="A1814" t="s">
        <v>118</v>
      </c>
      <c r="B1814" t="s">
        <v>231</v>
      </c>
      <c r="C1814" t="s">
        <v>88</v>
      </c>
      <c r="E1814">
        <v>184144</v>
      </c>
    </row>
    <row r="1815" spans="1:5" x14ac:dyDescent="0.25">
      <c r="A1815" t="s">
        <v>118</v>
      </c>
      <c r="B1815" t="s">
        <v>232</v>
      </c>
      <c r="C1815" t="s">
        <v>89</v>
      </c>
      <c r="E1815">
        <v>2343780</v>
      </c>
    </row>
    <row r="1816" spans="1:5" x14ac:dyDescent="0.25">
      <c r="A1816" t="s">
        <v>118</v>
      </c>
      <c r="B1816" t="s">
        <v>233</v>
      </c>
      <c r="C1816" t="s">
        <v>91</v>
      </c>
    </row>
    <row r="1817" spans="1:5" x14ac:dyDescent="0.25">
      <c r="A1817" t="s">
        <v>118</v>
      </c>
      <c r="B1817" t="s">
        <v>234</v>
      </c>
      <c r="C1817" t="s">
        <v>113</v>
      </c>
    </row>
    <row r="1818" spans="1:5" x14ac:dyDescent="0.25">
      <c r="A1818" t="s">
        <v>118</v>
      </c>
      <c r="B1818" t="s">
        <v>235</v>
      </c>
      <c r="C1818" t="s">
        <v>93</v>
      </c>
    </row>
    <row r="1819" spans="1:5" x14ac:dyDescent="0.25">
      <c r="A1819" t="s">
        <v>118</v>
      </c>
      <c r="B1819" t="s">
        <v>236</v>
      </c>
      <c r="C1819" t="s">
        <v>94</v>
      </c>
    </row>
    <row r="1820" spans="1:5" x14ac:dyDescent="0.25">
      <c r="A1820" t="s">
        <v>118</v>
      </c>
      <c r="B1820" t="s">
        <v>237</v>
      </c>
      <c r="C1820" t="s">
        <v>95</v>
      </c>
    </row>
    <row r="1821" spans="1:5" x14ac:dyDescent="0.25">
      <c r="A1821" t="s">
        <v>118</v>
      </c>
      <c r="B1821" t="s">
        <v>238</v>
      </c>
      <c r="C1821" t="s">
        <v>96</v>
      </c>
    </row>
    <row r="1822" spans="1:5" x14ac:dyDescent="0.25">
      <c r="A1822" t="s">
        <v>118</v>
      </c>
      <c r="B1822" t="s">
        <v>239</v>
      </c>
      <c r="C1822" t="s">
        <v>97</v>
      </c>
    </row>
    <row r="1823" spans="1:5" x14ac:dyDescent="0.25">
      <c r="A1823" t="s">
        <v>118</v>
      </c>
      <c r="B1823" t="s">
        <v>240</v>
      </c>
      <c r="C1823" t="s">
        <v>98</v>
      </c>
    </row>
    <row r="1824" spans="1:5" x14ac:dyDescent="0.25">
      <c r="A1824" t="s">
        <v>118</v>
      </c>
      <c r="B1824" t="s">
        <v>241</v>
      </c>
      <c r="C1824" t="s">
        <v>99</v>
      </c>
    </row>
    <row r="1825" spans="1:5" x14ac:dyDescent="0.25">
      <c r="A1825" t="s">
        <v>118</v>
      </c>
      <c r="B1825" t="s">
        <v>242</v>
      </c>
      <c r="C1825" t="s">
        <v>100</v>
      </c>
      <c r="E1825">
        <v>2400</v>
      </c>
    </row>
    <row r="1826" spans="1:5" x14ac:dyDescent="0.25">
      <c r="A1826" t="s">
        <v>118</v>
      </c>
      <c r="B1826" t="s">
        <v>243</v>
      </c>
      <c r="C1826" t="s">
        <v>101</v>
      </c>
      <c r="E1826">
        <v>39555</v>
      </c>
    </row>
    <row r="1827" spans="1:5" x14ac:dyDescent="0.25">
      <c r="A1827" t="s">
        <v>118</v>
      </c>
      <c r="B1827" t="s">
        <v>244</v>
      </c>
      <c r="C1827" t="s">
        <v>102</v>
      </c>
      <c r="E1827">
        <v>2456</v>
      </c>
    </row>
    <row r="1828" spans="1:5" x14ac:dyDescent="0.25">
      <c r="A1828" t="s">
        <v>118</v>
      </c>
      <c r="B1828" t="s">
        <v>245</v>
      </c>
      <c r="C1828" t="s">
        <v>103</v>
      </c>
      <c r="E1828">
        <v>37099</v>
      </c>
    </row>
    <row r="1829" spans="1:5" x14ac:dyDescent="0.25">
      <c r="A1829" t="s">
        <v>118</v>
      </c>
      <c r="B1829" t="s">
        <v>246</v>
      </c>
      <c r="C1829" t="s">
        <v>105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F968A-D085-489C-AC25-A0D82A692F97}">
  <sheetPr codeName="Planilha2"/>
  <dimension ref="A1:AO163"/>
  <sheetViews>
    <sheetView zoomScale="70" zoomScaleNormal="70" workbookViewId="0">
      <pane xSplit="1" ySplit="1" topLeftCell="J5" activePane="bottomRight" state="frozen"/>
      <selection pane="topRight" activeCell="B1" sqref="B1"/>
      <selection pane="bottomLeft" activeCell="A2" sqref="A2"/>
      <selection pane="bottomRight" activeCell="AC43" sqref="AC43"/>
    </sheetView>
  </sheetViews>
  <sheetFormatPr defaultRowHeight="15" x14ac:dyDescent="0.25"/>
  <cols>
    <col min="1" max="1" width="69.28515625" style="9" customWidth="1"/>
    <col min="2" max="2" width="16.42578125" style="9" bestFit="1" customWidth="1"/>
    <col min="3" max="3" width="22.140625" style="9" customWidth="1"/>
    <col min="4" max="4" width="19.5703125" style="9" bestFit="1" customWidth="1"/>
    <col min="5" max="5" width="13.140625" style="9" bestFit="1" customWidth="1"/>
    <col min="6" max="6" width="15.28515625" style="9" bestFit="1" customWidth="1"/>
    <col min="7" max="7" width="15.42578125" style="9" bestFit="1" customWidth="1"/>
    <col min="8" max="8" width="16.85546875" style="9" bestFit="1" customWidth="1"/>
    <col min="9" max="15" width="16.85546875" style="9" customWidth="1"/>
    <col min="16" max="16" width="11.85546875" style="9" customWidth="1"/>
    <col min="17" max="17" width="11.42578125" style="9" bestFit="1" customWidth="1"/>
    <col min="18" max="18" width="9.140625" style="9"/>
    <col min="19" max="19" width="12.42578125" style="9" customWidth="1"/>
    <col min="20" max="37" width="15.28515625" style="9" bestFit="1" customWidth="1"/>
    <col min="38" max="40" width="16.28515625" style="9" bestFit="1" customWidth="1"/>
    <col min="41" max="41" width="15" style="9" bestFit="1" customWidth="1"/>
  </cols>
  <sheetData>
    <row r="1" spans="1:41" s="7" customFormat="1" ht="30" x14ac:dyDescent="0.25">
      <c r="A1" s="16" t="s">
        <v>247</v>
      </c>
      <c r="B1" s="23" t="s">
        <v>79</v>
      </c>
      <c r="C1" s="24" t="s">
        <v>47</v>
      </c>
      <c r="D1" s="24" t="s">
        <v>123</v>
      </c>
      <c r="E1" s="24" t="s">
        <v>125</v>
      </c>
      <c r="F1" s="24" t="s">
        <v>255</v>
      </c>
      <c r="G1" s="24" t="s">
        <v>256</v>
      </c>
      <c r="H1" s="25" t="s">
        <v>49</v>
      </c>
      <c r="I1" s="23" t="s">
        <v>79</v>
      </c>
      <c r="J1" s="24" t="s">
        <v>47</v>
      </c>
      <c r="K1" s="24" t="s">
        <v>123</v>
      </c>
      <c r="L1" s="24" t="s">
        <v>125</v>
      </c>
      <c r="M1" s="24" t="s">
        <v>255</v>
      </c>
      <c r="N1" s="24" t="s">
        <v>256</v>
      </c>
      <c r="O1" s="25" t="s">
        <v>49</v>
      </c>
      <c r="P1" s="23" t="s">
        <v>261</v>
      </c>
      <c r="Q1" s="34" t="s">
        <v>119</v>
      </c>
      <c r="R1" s="34"/>
      <c r="S1" s="35" t="s">
        <v>145</v>
      </c>
      <c r="T1" s="15">
        <v>2000</v>
      </c>
      <c r="U1" s="15">
        <v>2001</v>
      </c>
      <c r="V1" s="15">
        <v>2002</v>
      </c>
      <c r="W1" s="15">
        <v>2003</v>
      </c>
      <c r="X1" s="15">
        <v>2004</v>
      </c>
      <c r="Y1" s="15">
        <v>2005</v>
      </c>
      <c r="Z1" s="15">
        <v>2006</v>
      </c>
      <c r="AA1" s="15">
        <v>2007</v>
      </c>
      <c r="AB1" s="15">
        <v>2008</v>
      </c>
      <c r="AC1" s="15">
        <v>2009</v>
      </c>
      <c r="AD1" s="15">
        <v>2010</v>
      </c>
      <c r="AE1" s="15">
        <v>2011</v>
      </c>
      <c r="AF1" s="15">
        <v>2012</v>
      </c>
      <c r="AG1" s="15">
        <v>2013</v>
      </c>
      <c r="AH1" s="15">
        <v>2014</v>
      </c>
      <c r="AI1" s="15">
        <v>2015</v>
      </c>
      <c r="AJ1" s="15">
        <v>2016</v>
      </c>
      <c r="AK1" s="15">
        <v>2017</v>
      </c>
      <c r="AL1" s="15">
        <v>2018</v>
      </c>
      <c r="AM1" s="15">
        <v>2019</v>
      </c>
      <c r="AN1" s="15">
        <v>2020</v>
      </c>
      <c r="AO1" s="15">
        <v>2021</v>
      </c>
    </row>
    <row r="2" spans="1:41" x14ac:dyDescent="0.25">
      <c r="A2" s="18" t="s">
        <v>79</v>
      </c>
      <c r="B2" s="26"/>
      <c r="C2" s="8"/>
      <c r="D2" s="8"/>
      <c r="E2" s="8"/>
      <c r="F2" s="8"/>
      <c r="G2" s="8"/>
      <c r="H2" s="27"/>
      <c r="I2" s="26"/>
      <c r="J2" s="8"/>
      <c r="K2" s="8"/>
      <c r="L2" s="8"/>
      <c r="M2" s="8"/>
      <c r="N2" s="8"/>
      <c r="O2" s="27"/>
      <c r="P2" s="36" t="s">
        <v>120</v>
      </c>
      <c r="Q2" s="10" t="s">
        <v>121</v>
      </c>
      <c r="R2" s="10" t="s">
        <v>121</v>
      </c>
      <c r="S2" s="37" t="s">
        <v>146</v>
      </c>
      <c r="T2" s="11">
        <f>_xlfn.LET(
    _xlpm.intervaloSoma, IF($S2="R", 'CEI_COMPLETA'!$E:$E, 'CEI_COMPLETA'!$D:$D),
    SUMIFS(_xlpm.intervaloSoma, 'CEI_COMPLETA'!$A:$A, Ajustes!T$1, 'CEI_COMPLETA'!$B:$B, Ajustes!$Q2)
)</f>
        <v>849321</v>
      </c>
      <c r="U2" s="11">
        <f>_xlfn.LET(
    _xlpm.intervaloSoma, IF($S2="R", 'CEI_COMPLETA'!$E:$E, 'CEI_COMPLETA'!$D:$D),
    SUMIFS(_xlpm.intervaloSoma, 'CEI_COMPLETA'!$A:$A, Ajustes!U$1, 'CEI_COMPLETA'!$B:$B, Ajustes!$Q2)
)</f>
        <v>921972</v>
      </c>
      <c r="V2" s="11">
        <f>_xlfn.LET(
    _xlpm.intervaloSoma, IF($S2="R", 'CEI_COMPLETA'!$E:$E, 'CEI_COMPLETA'!$D:$D),
    SUMIFS(_xlpm.intervaloSoma, 'CEI_COMPLETA'!$A:$A, Ajustes!V$1, 'CEI_COMPLETA'!$B:$B, Ajustes!$Q2)
)</f>
        <v>1011475</v>
      </c>
      <c r="W2" s="11">
        <f>_xlfn.LET(
    _xlpm.intervaloSoma, IF($S2="R", 'CEI_COMPLETA'!$E:$E, 'CEI_COMPLETA'!$D:$D),
    SUMIFS(_xlpm.intervaloSoma, 'CEI_COMPLETA'!$A:$A, Ajustes!W$1, 'CEI_COMPLETA'!$B:$B, Ajustes!$Q2)
)</f>
        <v>1154362</v>
      </c>
      <c r="X2" s="11">
        <f>_xlfn.LET(
    _xlpm.intervaloSoma, IF($S2="R", 'CEI_COMPLETA'!$E:$E, 'CEI_COMPLETA'!$D:$D),
    SUMIFS(_xlpm.intervaloSoma, 'CEI_COMPLETA'!$A:$A, Ajustes!X$1, 'CEI_COMPLETA'!$B:$B, Ajustes!$Q2)
)</f>
        <v>1276698</v>
      </c>
      <c r="Y2" s="11">
        <f>_xlfn.LET(
    _xlpm.intervaloSoma, IF($S2="R", 'CEI_COMPLETA'!$E:$E, 'CEI_COMPLETA'!$D:$D),
    SUMIFS(_xlpm.intervaloSoma, 'CEI_COMPLETA'!$A:$A, Ajustes!Y$1, 'CEI_COMPLETA'!$B:$B, Ajustes!$Q2)
)</f>
        <v>1406510</v>
      </c>
      <c r="Z2" s="11">
        <f>_xlfn.LET(
    _xlpm.intervaloSoma, IF($S2="R", 'CEI_COMPLETA'!$E:$E, 'CEI_COMPLETA'!$D:$D),
    SUMIFS(_xlpm.intervaloSoma, 'CEI_COMPLETA'!$A:$A, Ajustes!Z$1, 'CEI_COMPLETA'!$B:$B, Ajustes!$Q2)
)</f>
        <v>1546184</v>
      </c>
      <c r="AA2" s="11">
        <f>_xlfn.LET(
    _xlpm.intervaloSoma, IF($S2="R", 'CEI_COMPLETA'!$E:$E, 'CEI_COMPLETA'!$D:$D),
    SUMIFS(_xlpm.intervaloSoma, 'CEI_COMPLETA'!$A:$A, Ajustes!AA$1, 'CEI_COMPLETA'!$B:$B, Ajustes!$Q2)
)</f>
        <v>1737958</v>
      </c>
      <c r="AB2" s="11">
        <f>_xlfn.LET(
    _xlpm.intervaloSoma, IF($S2="R", 'CEI_COMPLETA'!$E:$E, 'CEI_COMPLETA'!$D:$D),
    SUMIFS(_xlpm.intervaloSoma, 'CEI_COMPLETA'!$A:$A, Ajustes!AB$1, 'CEI_COMPLETA'!$B:$B, Ajustes!$Q2)
)</f>
        <v>1969034</v>
      </c>
      <c r="AC2" s="11">
        <f>_xlfn.LET(
    _xlpm.intervaloSoma, IF($S2="R", 'CEI_COMPLETA'!$E:$E, 'CEI_COMPLETA'!$D:$D),
    SUMIFS(_xlpm.intervaloSoma, 'CEI_COMPLETA'!$A:$A, Ajustes!AC$1, 'CEI_COMPLETA'!$B:$B, Ajustes!$Q2)
)</f>
        <v>2202388</v>
      </c>
      <c r="AD2" s="11">
        <f>_xlfn.LET(
    _xlpm.intervaloSoma, IF($S2="R", 'CEI_COMPLETA'!$E:$E, 'CEI_COMPLETA'!$D:$D),
    SUMIFS(_xlpm.intervaloSoma, 'CEI_COMPLETA'!$A:$A, Ajustes!AD$1, 'CEI_COMPLETA'!$B:$B, Ajustes!$R2)
)</f>
        <v>2492302</v>
      </c>
      <c r="AE2" s="11">
        <f>_xlfn.LET(
    _xlpm.intervaloSoma, IF($S2="R", 'CEI_COMPLETA'!$E:$E, 'CEI_COMPLETA'!$D:$D),
    SUMIFS(_xlpm.intervaloSoma, 'CEI_COMPLETA'!$A:$A, Ajustes!AE$1, 'CEI_COMPLETA'!$B:$B, Ajustes!$R2)
)</f>
        <v>2828939</v>
      </c>
      <c r="AF2" s="11">
        <f>_xlfn.LET(
    _xlpm.intervaloSoma, IF($S2="R", 'CEI_COMPLETA'!$E:$E, 'CEI_COMPLETA'!$D:$D),
    SUMIFS(_xlpm.intervaloSoma, 'CEI_COMPLETA'!$A:$A, Ajustes!AF$1, 'CEI_COMPLETA'!$B:$B, Ajustes!$R2)
)</f>
        <v>3161213</v>
      </c>
      <c r="AG2" s="11">
        <f>_xlfn.LET(
    _xlpm.intervaloSoma, IF($S2="R", 'CEI_COMPLETA'!$E:$E, 'CEI_COMPLETA'!$D:$D),
    SUMIFS(_xlpm.intervaloSoma, 'CEI_COMPLETA'!$A:$A, Ajustes!AG$1, 'CEI_COMPLETA'!$B:$B, Ajustes!$R2)
)</f>
        <v>3550416</v>
      </c>
      <c r="AH2" s="11">
        <f>_xlfn.LET(
    _xlpm.intervaloSoma, IF($S2="R", 'CEI_COMPLETA'!$E:$E, 'CEI_COMPLETA'!$D:$D),
    SUMIFS(_xlpm.intervaloSoma, 'CEI_COMPLETA'!$A:$A, Ajustes!AH$1, 'CEI_COMPLETA'!$B:$B, Ajustes!$R2)
)</f>
        <v>3898396</v>
      </c>
      <c r="AI2" s="11">
        <f>_xlfn.LET(
    _xlpm.intervaloSoma, IF($S2="R", 'CEI_COMPLETA'!$E:$E, 'CEI_COMPLETA'!$D:$D),
    SUMIFS(_xlpm.intervaloSoma, 'CEI_COMPLETA'!$A:$A, Ajustes!AI$1, 'CEI_COMPLETA'!$B:$B, Ajustes!$R2)
)</f>
        <v>4148220</v>
      </c>
      <c r="AJ2" s="11">
        <f>_xlfn.LET(
    _xlpm.intervaloSoma, IF($S2="R", 'CEI_COMPLETA'!$E:$E, 'CEI_COMPLETA'!$D:$D),
    SUMIFS(_xlpm.intervaloSoma, 'CEI_COMPLETA'!$A:$A, Ajustes!AJ$1, 'CEI_COMPLETA'!$B:$B, Ajustes!$R2)
)</f>
        <v>4404397</v>
      </c>
      <c r="AK2" s="11">
        <f>_xlfn.LET(
    _xlpm.intervaloSoma, IF($S2="R", 'CEI_COMPLETA'!$E:$E, 'CEI_COMPLETA'!$D:$D),
    SUMIFS(_xlpm.intervaloSoma, 'CEI_COMPLETA'!$A:$A, Ajustes!AK$1, 'CEI_COMPLETA'!$B:$B, Ajustes!$R2)
)</f>
        <v>4704231</v>
      </c>
      <c r="AL2" s="11">
        <f>_xlfn.LET(
    _xlpm.intervaloSoma, IF($S2="R", 'CEI_COMPLETA'!$E:$E, 'CEI_COMPLETA'!$D:$D),
    SUMIFS(_xlpm.intervaloSoma, 'CEI_COMPLETA'!$A:$A, Ajustes!AL$1, 'CEI_COMPLETA'!$B:$B, Ajustes!$R2)
)</f>
        <v>4918180</v>
      </c>
      <c r="AM2" s="11">
        <f>_xlfn.LET(
    _xlpm.intervaloSoma, IF($S2="R", 'CEI_COMPLETA'!$E:$E, 'CEI_COMPLETA'!$D:$D),
    SUMIFS(_xlpm.intervaloSoma, 'CEI_COMPLETA'!$A:$A, Ajustes!AM$1, 'CEI_COMPLETA'!$B:$B, Ajustes!$R2)
)</f>
        <v>5236490</v>
      </c>
      <c r="AN2" s="11">
        <f>_xlfn.LET(
    _xlpm.intervaloSoma, IF($S2="R", 'CEI_COMPLETA'!$E:$E, 'CEI_COMPLETA'!$D:$D),
    SUMIFS(_xlpm.intervaloSoma, 'CEI_COMPLETA'!$A:$A, Ajustes!AN$1, 'CEI_COMPLETA'!$B:$B, Ajustes!$R2)
)</f>
        <v>5625181</v>
      </c>
      <c r="AO2" s="11">
        <f>_xlfn.LET(
    _xlpm.intervaloSoma, IF($S2="R", 'CEI_COMPLETA'!$E:$E, 'CEI_COMPLETA'!$D:$D),
    SUMIFS(_xlpm.intervaloSoma, 'CEI_COMPLETA'!$A:$A, Ajustes!AO$1, 'CEI_COMPLETA'!$B:$B, Ajustes!$R2)
)</f>
        <v>5937056</v>
      </c>
    </row>
    <row r="3" spans="1:41" x14ac:dyDescent="0.25">
      <c r="A3" s="18" t="s">
        <v>47</v>
      </c>
      <c r="B3" s="26"/>
      <c r="C3" s="8"/>
      <c r="D3" s="8"/>
      <c r="E3" s="8"/>
      <c r="F3" s="8"/>
      <c r="G3" s="8"/>
      <c r="H3" s="27"/>
      <c r="I3" s="26"/>
      <c r="J3" s="8"/>
      <c r="K3" s="8"/>
      <c r="L3" s="8"/>
      <c r="M3" s="8"/>
      <c r="N3" s="8"/>
      <c r="O3" s="27"/>
      <c r="P3" s="36" t="s">
        <v>120</v>
      </c>
      <c r="Q3" s="9" t="s">
        <v>122</v>
      </c>
      <c r="R3" s="9" t="s">
        <v>122</v>
      </c>
      <c r="S3" s="37" t="s">
        <v>147</v>
      </c>
      <c r="T3" s="11">
        <f>_xlfn.LET(
    _xlpm.intervaloSoma, IF($S3="R", 'CEI_COMPLETA'!$E:$E, 'CEI_COMPLETA'!$D:$D),
    SUMIFS(_xlpm.intervaloSoma, 'CEI_COMPLETA'!$A:$A, Ajustes!T$1, 'CEI_COMPLETA'!$B:$B, Ajustes!$Q3)
)</f>
        <v>754333</v>
      </c>
      <c r="U3" s="11">
        <f>_xlfn.LET(
    _xlpm.intervaloSoma, IF($S3="R", 'CEI_COMPLETA'!$E:$E, 'CEI_COMPLETA'!$D:$D),
    SUMIFS(_xlpm.intervaloSoma, 'CEI_COMPLETA'!$A:$A, Ajustes!U$1, 'CEI_COMPLETA'!$B:$B, Ajustes!$Q3)
)</f>
        <v>822656</v>
      </c>
      <c r="V3" s="11">
        <f>_xlfn.LET(
    _xlpm.intervaloSoma, IF($S3="R", 'CEI_COMPLETA'!$E:$E, 'CEI_COMPLETA'!$D:$D),
    SUMIFS(_xlpm.intervaloSoma, 'CEI_COMPLETA'!$A:$A, Ajustes!V$1, 'CEI_COMPLETA'!$B:$B, Ajustes!$Q3)
)</f>
        <v>895614</v>
      </c>
      <c r="W3" s="11">
        <f>_xlfn.LET(
    _xlpm.intervaloSoma, IF($S3="R", 'CEI_COMPLETA'!$E:$E, 'CEI_COMPLETA'!$D:$D),
    SUMIFS(_xlpm.intervaloSoma, 'CEI_COMPLETA'!$A:$A, Ajustes!W$1, 'CEI_COMPLETA'!$B:$B, Ajustes!$Q3)
)</f>
        <v>1035030</v>
      </c>
      <c r="X3" s="11">
        <f>_xlfn.LET(
    _xlpm.intervaloSoma, IF($S3="R", 'CEI_COMPLETA'!$E:$E, 'CEI_COMPLETA'!$D:$D),
    SUMIFS(_xlpm.intervaloSoma, 'CEI_COMPLETA'!$A:$A, Ajustes!X$1, 'CEI_COMPLETA'!$B:$B, Ajustes!$Q3)
)</f>
        <v>1147362</v>
      </c>
      <c r="Y3" s="11">
        <f>_xlfn.LET(
    _xlpm.intervaloSoma, IF($S3="R", 'CEI_COMPLETA'!$E:$E, 'CEI_COMPLETA'!$D:$D),
    SUMIFS(_xlpm.intervaloSoma, 'CEI_COMPLETA'!$A:$A, Ajustes!Y$1, 'CEI_COMPLETA'!$B:$B, Ajustes!$Q3)
)</f>
        <v>1277027</v>
      </c>
      <c r="Z3" s="11">
        <f>_xlfn.LET(
    _xlpm.intervaloSoma, IF($S3="R", 'CEI_COMPLETA'!$E:$E, 'CEI_COMPLETA'!$D:$D),
    SUMIFS(_xlpm.intervaloSoma, 'CEI_COMPLETA'!$A:$A, Ajustes!Z$1, 'CEI_COMPLETA'!$B:$B, Ajustes!$Q3)
)</f>
        <v>1411686</v>
      </c>
      <c r="AA3" s="11">
        <f>_xlfn.LET(
    _xlpm.intervaloSoma, IF($S3="R", 'CEI_COMPLETA'!$E:$E, 'CEI_COMPLETA'!$D:$D),
    SUMIFS(_xlpm.intervaloSoma, 'CEI_COMPLETA'!$A:$A, Ajustes!AA$1, 'CEI_COMPLETA'!$B:$B, Ajustes!$Q3)
)</f>
        <v>1585632</v>
      </c>
      <c r="AB3" s="11">
        <f>_xlfn.LET(
    _xlpm.intervaloSoma, IF($S3="R", 'CEI_COMPLETA'!$E:$E, 'CEI_COMPLETA'!$D:$D),
    SUMIFS(_xlpm.intervaloSoma, 'CEI_COMPLETA'!$A:$A, Ajustes!AB$1, 'CEI_COMPLETA'!$B:$B, Ajustes!$Q3)
)</f>
        <v>1809794</v>
      </c>
      <c r="AC3" s="11">
        <f>_xlfn.LET(
    _xlpm.intervaloSoma, IF($S3="R", 'CEI_COMPLETA'!$E:$E, 'CEI_COMPLETA'!$D:$D),
    SUMIFS(_xlpm.intervaloSoma, 'CEI_COMPLETA'!$A:$A, Ajustes!AC$1, 'CEI_COMPLETA'!$B:$B, Ajustes!$Q3)
)</f>
        <v>2011763</v>
      </c>
      <c r="AD3" s="11">
        <f>_xlfn.LET(
    _xlpm.intervaloSoma, IF($S3="R", 'CEI_COMPLETA'!$E:$E, 'CEI_COMPLETA'!$D:$D),
    SUMIFS(_xlpm.intervaloSoma, 'CEI_COMPLETA'!$A:$A, Ajustes!AD$1, 'CEI_COMPLETA'!$B:$B, Ajustes!$R3)
)</f>
        <v>2278735</v>
      </c>
      <c r="AE3" s="11">
        <f>_xlfn.LET(
    _xlpm.intervaloSoma, IF($S3="R", 'CEI_COMPLETA'!$E:$E, 'CEI_COMPLETA'!$D:$D),
    SUMIFS(_xlpm.intervaloSoma, 'CEI_COMPLETA'!$A:$A, Ajustes!AE$1, 'CEI_COMPLETA'!$B:$B, Ajustes!$R3)
)</f>
        <v>2573419</v>
      </c>
      <c r="AF3" s="11">
        <f>_xlfn.LET(
    _xlpm.intervaloSoma, IF($S3="R", 'CEI_COMPLETA'!$E:$E, 'CEI_COMPLETA'!$D:$D),
    SUMIFS(_xlpm.intervaloSoma, 'CEI_COMPLETA'!$A:$A, Ajustes!AF$1, 'CEI_COMPLETA'!$B:$B, Ajustes!$R3)
)</f>
        <v>2883929</v>
      </c>
      <c r="AG3" s="11">
        <f>_xlfn.LET(
    _xlpm.intervaloSoma, IF($S3="R", 'CEI_COMPLETA'!$E:$E, 'CEI_COMPLETA'!$D:$D),
    SUMIFS(_xlpm.intervaloSoma, 'CEI_COMPLETA'!$A:$A, Ajustes!AG$1, 'CEI_COMPLETA'!$B:$B, Ajustes!$R3)
)</f>
        <v>3213817</v>
      </c>
      <c r="AH3" s="11">
        <f>_xlfn.LET(
    _xlpm.intervaloSoma, IF($S3="R", 'CEI_COMPLETA'!$E:$E, 'CEI_COMPLETA'!$D:$D),
    SUMIFS(_xlpm.intervaloSoma, 'CEI_COMPLETA'!$A:$A, Ajustes!AH$1, 'CEI_COMPLETA'!$B:$B, Ajustes!$R3)
)</f>
        <v>3555352</v>
      </c>
      <c r="AI3" s="11">
        <f>_xlfn.LET(
    _xlpm.intervaloSoma, IF($S3="R", 'CEI_COMPLETA'!$E:$E, 'CEI_COMPLETA'!$D:$D),
    SUMIFS(_xlpm.intervaloSoma, 'CEI_COMPLETA'!$A:$A, Ajustes!AI$1, 'CEI_COMPLETA'!$B:$B, Ajustes!$R3)
)</f>
        <v>3747870</v>
      </c>
      <c r="AJ3" s="11">
        <f>_xlfn.LET(
    _xlpm.intervaloSoma, IF($S3="R", 'CEI_COMPLETA'!$E:$E, 'CEI_COMPLETA'!$D:$D),
    SUMIFS(_xlpm.intervaloSoma, 'CEI_COMPLETA'!$A:$A, Ajustes!AJ$1, 'CEI_COMPLETA'!$B:$B, Ajustes!$R3)
)</f>
        <v>3939208</v>
      </c>
      <c r="AK3" s="11">
        <f>_xlfn.LET(
    _xlpm.intervaloSoma, IF($S3="R", 'CEI_COMPLETA'!$E:$E, 'CEI_COMPLETA'!$D:$D),
    SUMIFS(_xlpm.intervaloSoma, 'CEI_COMPLETA'!$A:$A, Ajustes!AK$1, 'CEI_COMPLETA'!$B:$B, Ajustes!$R3)
)</f>
        <v>4156152</v>
      </c>
      <c r="AL3" s="11">
        <f>_xlfn.LET(
    _xlpm.intervaloSoma, IF($S3="R", 'CEI_COMPLETA'!$E:$E, 'CEI_COMPLETA'!$D:$D),
    SUMIFS(_xlpm.intervaloSoma, 'CEI_COMPLETA'!$A:$A, Ajustes!AL$1, 'CEI_COMPLETA'!$B:$B, Ajustes!$R3)
)</f>
        <v>4423548</v>
      </c>
      <c r="AM3" s="11">
        <f>_xlfn.LET(
    _xlpm.intervaloSoma, IF($S3="R", 'CEI_COMPLETA'!$E:$E, 'CEI_COMPLETA'!$D:$D),
    SUMIFS(_xlpm.intervaloSoma, 'CEI_COMPLETA'!$A:$A, Ajustes!AM$1, 'CEI_COMPLETA'!$B:$B, Ajustes!$R3)
)</f>
        <v>4705528</v>
      </c>
      <c r="AN3" s="11">
        <f>_xlfn.LET(
    _xlpm.intervaloSoma, IF($S3="R", 'CEI_COMPLETA'!$E:$E, 'CEI_COMPLETA'!$D:$D),
    SUMIFS(_xlpm.intervaloSoma, 'CEI_COMPLETA'!$A:$A, Ajustes!AN$1, 'CEI_COMPLETA'!$B:$B, Ajustes!$R3)
)</f>
        <v>4700085</v>
      </c>
      <c r="AO3" s="11">
        <f>_xlfn.LET(
    _xlpm.intervaloSoma, IF($S3="R", 'CEI_COMPLETA'!$E:$E, 'CEI_COMPLETA'!$D:$D),
    SUMIFS(_xlpm.intervaloSoma, 'CEI_COMPLETA'!$A:$A, Ajustes!AO$1, 'CEI_COMPLETA'!$B:$B, Ajustes!$R3)
)</f>
        <v>5415523</v>
      </c>
    </row>
    <row r="4" spans="1:41" x14ac:dyDescent="0.25">
      <c r="A4" s="18" t="s">
        <v>123</v>
      </c>
      <c r="B4" s="26"/>
      <c r="C4" s="8"/>
      <c r="D4" s="8"/>
      <c r="E4" s="8"/>
      <c r="F4" s="8"/>
      <c r="G4" s="8"/>
      <c r="H4" s="27"/>
      <c r="I4" s="26"/>
      <c r="J4" s="8"/>
      <c r="K4" s="8"/>
      <c r="L4" s="8"/>
      <c r="M4" s="8"/>
      <c r="N4" s="8"/>
      <c r="O4" s="27"/>
      <c r="P4" s="36" t="s">
        <v>120</v>
      </c>
      <c r="Q4" s="9" t="s">
        <v>124</v>
      </c>
      <c r="R4" s="9" t="s">
        <v>124</v>
      </c>
      <c r="S4" s="37" t="s">
        <v>147</v>
      </c>
      <c r="T4" s="11">
        <f>_xlfn.LET(
    _xlpm.intervaloSoma, IF($S4="R", 'CEI_COMPLETA'!$E:$E, 'CEI_COMPLETA'!$D:$D),
    SUMIFS(_xlpm.intervaloSoma, 'CEI_COMPLETA'!$A:$A, Ajustes!T$1, 'CEI_COMPLETA'!$B:$B, Ajustes!$Q4)
)</f>
        <v>81409</v>
      </c>
      <c r="U4" s="11">
        <f>_xlfn.LET(
    _xlpm.intervaloSoma, IF($S4="R", 'CEI_COMPLETA'!$E:$E, 'CEI_COMPLETA'!$D:$D),
    SUMIFS(_xlpm.intervaloSoma, 'CEI_COMPLETA'!$A:$A, Ajustes!U$1, 'CEI_COMPLETA'!$B:$B, Ajustes!$Q4)
)</f>
        <v>81411</v>
      </c>
      <c r="V4" s="11">
        <f>_xlfn.LET(
    _xlpm.intervaloSoma, IF($S4="R", 'CEI_COMPLETA'!$E:$E, 'CEI_COMPLETA'!$D:$D),
    SUMIFS(_xlpm.intervaloSoma, 'CEI_COMPLETA'!$A:$A, Ajustes!V$1, 'CEI_COMPLETA'!$B:$B, Ajustes!$Q4)
)</f>
        <v>94472</v>
      </c>
      <c r="W4" s="11">
        <f>_xlfn.LET(
    _xlpm.intervaloSoma, IF($S4="R", 'CEI_COMPLETA'!$E:$E, 'CEI_COMPLETA'!$D:$D),
    SUMIFS(_xlpm.intervaloSoma, 'CEI_COMPLETA'!$A:$A, Ajustes!W$1, 'CEI_COMPLETA'!$B:$B, Ajustes!$Q4)
)</f>
        <v>102164</v>
      </c>
      <c r="X4" s="11">
        <f>_xlfn.LET(
    _xlpm.intervaloSoma, IF($S4="R", 'CEI_COMPLETA'!$E:$E, 'CEI_COMPLETA'!$D:$D),
    SUMIFS(_xlpm.intervaloSoma, 'CEI_COMPLETA'!$A:$A, Ajustes!X$1, 'CEI_COMPLETA'!$B:$B, Ajustes!$Q4)
)</f>
        <v>113120</v>
      </c>
      <c r="Y4" s="11">
        <f>_xlfn.LET(
    _xlpm.intervaloSoma, IF($S4="R", 'CEI_COMPLETA'!$E:$E, 'CEI_COMPLETA'!$D:$D),
    SUMIFS(_xlpm.intervaloSoma, 'CEI_COMPLETA'!$A:$A, Ajustes!Y$1, 'CEI_COMPLETA'!$B:$B, Ajustes!$Q4)
)</f>
        <v>116178</v>
      </c>
      <c r="Z4" s="11">
        <f>_xlfn.LET(
    _xlpm.intervaloSoma, IF($S4="R", 'CEI_COMPLETA'!$E:$E, 'CEI_COMPLETA'!$D:$D),
    SUMIFS(_xlpm.intervaloSoma, 'CEI_COMPLETA'!$A:$A, Ajustes!Z$1, 'CEI_COMPLETA'!$B:$B, Ajustes!$Q4)
)</f>
        <v>125113</v>
      </c>
      <c r="AA4" s="11">
        <f>_xlfn.LET(
    _xlpm.intervaloSoma, IF($S4="R", 'CEI_COMPLETA'!$E:$E, 'CEI_COMPLETA'!$D:$D),
    SUMIFS(_xlpm.intervaloSoma, 'CEI_COMPLETA'!$A:$A, Ajustes!AA$1, 'CEI_COMPLETA'!$B:$B, Ajustes!$Q4)
)</f>
        <v>140587</v>
      </c>
      <c r="AB4" s="11">
        <f>_xlfn.LET(
    _xlpm.intervaloSoma, IF($S4="R", 'CEI_COMPLETA'!$E:$E, 'CEI_COMPLETA'!$D:$D),
    SUMIFS(_xlpm.intervaloSoma, 'CEI_COMPLETA'!$A:$A, Ajustes!AB$1, 'CEI_COMPLETA'!$B:$B, Ajustes!$Q4)
)</f>
        <v>156287</v>
      </c>
      <c r="AC4" s="11">
        <f>_xlfn.LET(
    _xlpm.intervaloSoma, IF($S4="R", 'CEI_COMPLETA'!$E:$E, 'CEI_COMPLETA'!$D:$D),
    SUMIFS(_xlpm.intervaloSoma, 'CEI_COMPLETA'!$A:$A, Ajustes!AC$1, 'CEI_COMPLETA'!$B:$B, Ajustes!$Q4)
)</f>
        <v>188950</v>
      </c>
      <c r="AD4" s="11">
        <f>_xlfn.LET(
    _xlpm.intervaloSoma, IF($S4="R", 'CEI_COMPLETA'!$E:$E, 'CEI_COMPLETA'!$D:$D),
    SUMIFS(_xlpm.intervaloSoma, 'CEI_COMPLETA'!$A:$A, Ajustes!AD$1, 'CEI_COMPLETA'!$B:$B, Ajustes!$R4)
)</f>
        <v>232612</v>
      </c>
      <c r="AE4" s="11">
        <f>_xlfn.LET(
    _xlpm.intervaloSoma, IF($S4="R", 'CEI_COMPLETA'!$E:$E, 'CEI_COMPLETA'!$D:$D),
    SUMIFS(_xlpm.intervaloSoma, 'CEI_COMPLETA'!$A:$A, Ajustes!AE$1, 'CEI_COMPLETA'!$B:$B, Ajustes!$R4)
)</f>
        <v>266481</v>
      </c>
      <c r="AF4" s="11">
        <f>_xlfn.LET(
    _xlpm.intervaloSoma, IF($S4="R", 'CEI_COMPLETA'!$E:$E, 'CEI_COMPLETA'!$D:$D),
    SUMIFS(_xlpm.intervaloSoma, 'CEI_COMPLETA'!$A:$A, Ajustes!AF$1, 'CEI_COMPLETA'!$B:$B, Ajustes!$R4)
)</f>
        <v>316948</v>
      </c>
      <c r="AG4" s="11">
        <f>_xlfn.LET(
    _xlpm.intervaloSoma, IF($S4="R", 'CEI_COMPLETA'!$E:$E, 'CEI_COMPLETA'!$D:$D),
    SUMIFS(_xlpm.intervaloSoma, 'CEI_COMPLETA'!$A:$A, Ajustes!AG$1, 'CEI_COMPLETA'!$B:$B, Ajustes!$R4)
)</f>
        <v>358359</v>
      </c>
      <c r="AH4" s="11">
        <f>_xlfn.LET(
    _xlpm.intervaloSoma, IF($S4="R", 'CEI_COMPLETA'!$E:$E, 'CEI_COMPLETA'!$D:$D),
    SUMIFS(_xlpm.intervaloSoma, 'CEI_COMPLETA'!$A:$A, Ajustes!AH$1, 'CEI_COMPLETA'!$B:$B, Ajustes!$R4)
)</f>
        <v>371432</v>
      </c>
      <c r="AI4" s="11">
        <f>_xlfn.LET(
    _xlpm.intervaloSoma, IF($S4="R", 'CEI_COMPLETA'!$E:$E, 'CEI_COMPLETA'!$D:$D),
    SUMIFS(_xlpm.intervaloSoma, 'CEI_COMPLETA'!$A:$A, Ajustes!AI$1, 'CEI_COMPLETA'!$B:$B, Ajustes!$R4)
)</f>
        <v>372116</v>
      </c>
      <c r="AJ4" s="11">
        <f>_xlfn.LET(
    _xlpm.intervaloSoma, IF($S4="R", 'CEI_COMPLETA'!$E:$E, 'CEI_COMPLETA'!$D:$D),
    SUMIFS(_xlpm.intervaloSoma, 'CEI_COMPLETA'!$A:$A, Ajustes!AJ$1, 'CEI_COMPLETA'!$B:$B, Ajustes!$R4)
)</f>
        <v>361645</v>
      </c>
      <c r="AK4" s="11">
        <f>_xlfn.LET(
    _xlpm.intervaloSoma, IF($S4="R", 'CEI_COMPLETA'!$E:$E, 'CEI_COMPLETA'!$D:$D),
    SUMIFS(_xlpm.intervaloSoma, 'CEI_COMPLETA'!$A:$A, Ajustes!AK$1, 'CEI_COMPLETA'!$B:$B, Ajustes!$R4)
)</f>
        <v>355517</v>
      </c>
      <c r="AL4" s="11">
        <f>_xlfn.LET(
    _xlpm.intervaloSoma, IF($S4="R", 'CEI_COMPLETA'!$E:$E, 'CEI_COMPLETA'!$D:$D),
    SUMIFS(_xlpm.intervaloSoma, 'CEI_COMPLETA'!$A:$A, Ajustes!AL$1, 'CEI_COMPLETA'!$B:$B, Ajustes!$R4)
)</f>
        <v>367493</v>
      </c>
      <c r="AM4" s="11">
        <f>_xlfn.LET(
    _xlpm.intervaloSoma, IF($S4="R", 'CEI_COMPLETA'!$E:$E, 'CEI_COMPLETA'!$D:$D),
    SUMIFS(_xlpm.intervaloSoma, 'CEI_COMPLETA'!$A:$A, Ajustes!AM$1, 'CEI_COMPLETA'!$B:$B, Ajustes!$R4)
)</f>
        <v>386292</v>
      </c>
      <c r="AN4" s="11">
        <f>_xlfn.LET(
    _xlpm.intervaloSoma, IF($S4="R", 'CEI_COMPLETA'!$E:$E, 'CEI_COMPLETA'!$D:$D),
    SUMIFS(_xlpm.intervaloSoma, 'CEI_COMPLETA'!$A:$A, Ajustes!AN$1, 'CEI_COMPLETA'!$B:$B, Ajustes!$R4)
)</f>
        <v>405061</v>
      </c>
      <c r="AO4" s="11">
        <f>_xlfn.LET(
    _xlpm.intervaloSoma, IF($S4="R", 'CEI_COMPLETA'!$E:$E, 'CEI_COMPLETA'!$D:$D),
    SUMIFS(_xlpm.intervaloSoma, 'CEI_COMPLETA'!$A:$A, Ajustes!AO$1, 'CEI_COMPLETA'!$B:$B, Ajustes!$R4)
)</f>
        <v>499699</v>
      </c>
    </row>
    <row r="5" spans="1:41" x14ac:dyDescent="0.25">
      <c r="A5" s="18" t="s">
        <v>125</v>
      </c>
      <c r="B5" s="26"/>
      <c r="C5" s="8"/>
      <c r="D5" s="8"/>
      <c r="E5" s="8"/>
      <c r="F5" s="8"/>
      <c r="G5" s="8"/>
      <c r="H5" s="27"/>
      <c r="I5" s="26"/>
      <c r="J5" s="8"/>
      <c r="K5" s="8"/>
      <c r="L5" s="8"/>
      <c r="M5" s="8"/>
      <c r="N5" s="8"/>
      <c r="O5" s="27"/>
      <c r="P5" s="36" t="s">
        <v>126</v>
      </c>
      <c r="S5" s="37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spans="1:41" x14ac:dyDescent="0.25">
      <c r="A6" s="18" t="s">
        <v>255</v>
      </c>
      <c r="B6" s="26"/>
      <c r="C6" s="8"/>
      <c r="D6" s="8"/>
      <c r="E6" s="8"/>
      <c r="F6" s="8"/>
      <c r="G6" s="8"/>
      <c r="H6" s="27"/>
      <c r="I6" s="26"/>
      <c r="J6" s="8"/>
      <c r="K6" s="8"/>
      <c r="L6" s="8"/>
      <c r="M6" s="8"/>
      <c r="N6" s="8"/>
      <c r="O6" s="27"/>
      <c r="P6" s="36" t="s">
        <v>126</v>
      </c>
      <c r="S6" s="37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</row>
    <row r="7" spans="1:41" x14ac:dyDescent="0.25">
      <c r="A7" s="18" t="s">
        <v>256</v>
      </c>
      <c r="B7" s="26"/>
      <c r="C7" s="8"/>
      <c r="D7" s="8"/>
      <c r="E7" s="8"/>
      <c r="F7" s="8"/>
      <c r="G7" s="8"/>
      <c r="H7" s="27"/>
      <c r="I7" s="26"/>
      <c r="J7" s="8"/>
      <c r="K7" s="8"/>
      <c r="L7" s="8"/>
      <c r="M7" s="8"/>
      <c r="N7" s="8"/>
      <c r="O7" s="27"/>
      <c r="P7" s="36"/>
      <c r="S7" s="37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 spans="1:41" x14ac:dyDescent="0.25">
      <c r="A8" s="18" t="s">
        <v>49</v>
      </c>
      <c r="B8" s="26"/>
      <c r="C8" s="8"/>
      <c r="D8" s="8"/>
      <c r="E8" s="8"/>
      <c r="F8" s="8"/>
      <c r="G8" s="8"/>
      <c r="H8" s="27"/>
      <c r="I8" s="26"/>
      <c r="J8" s="8"/>
      <c r="K8" s="8"/>
      <c r="L8" s="8"/>
      <c r="M8" s="8"/>
      <c r="N8" s="8"/>
      <c r="O8" s="27"/>
      <c r="P8" s="36" t="s">
        <v>120</v>
      </c>
      <c r="Q8" s="9" t="s">
        <v>127</v>
      </c>
      <c r="R8" s="9" t="s">
        <v>127</v>
      </c>
      <c r="S8" s="37" t="s">
        <v>146</v>
      </c>
      <c r="T8" s="11">
        <f>_xlfn.LET(
    _xlpm.intervaloSoma, IF($S8="R", 'CEI_COMPLETA'!$E:$E, 'CEI_COMPLETA'!$D:$D),
    SUMIFS(_xlpm.intervaloSoma, 'CEI_COMPLETA'!$A:$A, Ajustes!T$1, 'CEI_COMPLETA'!$B:$B, Ajustes!$Q8)
)</f>
        <v>107549</v>
      </c>
      <c r="U8" s="11">
        <f>_xlfn.LET(
    _xlpm.intervaloSoma, IF($S8="R", 'CEI_COMPLETA'!$E:$E, 'CEI_COMPLETA'!$D:$D),
    SUMIFS(_xlpm.intervaloSoma, 'CEI_COMPLETA'!$A:$A, Ajustes!U$1, 'CEI_COMPLETA'!$B:$B, Ajustes!$Q8)
)</f>
        <v>116849</v>
      </c>
      <c r="V8" s="11">
        <f>_xlfn.LET(
    _xlpm.intervaloSoma, IF($S8="R", 'CEI_COMPLETA'!$E:$E, 'CEI_COMPLETA'!$D:$D),
    SUMIFS(_xlpm.intervaloSoma, 'CEI_COMPLETA'!$A:$A, Ajustes!V$1, 'CEI_COMPLETA'!$B:$B, Ajustes!$Q8)
)</f>
        <v>136253</v>
      </c>
      <c r="W8" s="11">
        <f>_xlfn.LET(
    _xlpm.intervaloSoma, IF($S8="R", 'CEI_COMPLETA'!$E:$E, 'CEI_COMPLETA'!$D:$D),
    SUMIFS(_xlpm.intervaloSoma, 'CEI_COMPLETA'!$A:$A, Ajustes!W$1, 'CEI_COMPLETA'!$B:$B, Ajustes!$Q8)
)</f>
        <v>148397</v>
      </c>
      <c r="X8" s="11">
        <f>_xlfn.LET(
    _xlpm.intervaloSoma, IF($S8="R", 'CEI_COMPLETA'!$E:$E, 'CEI_COMPLETA'!$D:$D),
    SUMIFS(_xlpm.intervaloSoma, 'CEI_COMPLETA'!$A:$A, Ajustes!X$1, 'CEI_COMPLETA'!$B:$B, Ajustes!$Q8)
)</f>
        <v>161027</v>
      </c>
      <c r="Y8" s="11">
        <f>_xlfn.LET(
    _xlpm.intervaloSoma, IF($S8="R", 'CEI_COMPLETA'!$E:$E, 'CEI_COMPLETA'!$D:$D),
    SUMIFS(_xlpm.intervaloSoma, 'CEI_COMPLETA'!$A:$A, Ajustes!Y$1, 'CEI_COMPLETA'!$B:$B, Ajustes!$Q8)
)</f>
        <v>163972</v>
      </c>
      <c r="Z8" s="11">
        <f>_xlfn.LET(
    _xlpm.intervaloSoma, IF($S8="R", 'CEI_COMPLETA'!$E:$E, 'CEI_COMPLETA'!$D:$D),
    SUMIFS(_xlpm.intervaloSoma, 'CEI_COMPLETA'!$A:$A, Ajustes!Z$1, 'CEI_COMPLETA'!$B:$B, Ajustes!$Q8)
)</f>
        <v>175214</v>
      </c>
      <c r="AA8" s="11">
        <f>_xlfn.LET(
    _xlpm.intervaloSoma, IF($S8="R", 'CEI_COMPLETA'!$E:$E, 'CEI_COMPLETA'!$D:$D),
    SUMIFS(_xlpm.intervaloSoma, 'CEI_COMPLETA'!$A:$A, Ajustes!AA$1, 'CEI_COMPLETA'!$B:$B, Ajustes!$Q8)
)</f>
        <v>189576</v>
      </c>
      <c r="AB8" s="11">
        <f>_xlfn.LET(
    _xlpm.intervaloSoma, IF($S8="R", 'CEI_COMPLETA'!$E:$E, 'CEI_COMPLETA'!$D:$D),
    SUMIFS(_xlpm.intervaloSoma, 'CEI_COMPLETA'!$A:$A, Ajustes!AB$1, 'CEI_COMPLETA'!$B:$B, Ajustes!$Q8)
)</f>
        <v>208674</v>
      </c>
      <c r="AC8" s="11">
        <f>_xlfn.LET(
    _xlpm.intervaloSoma, IF($S8="R", 'CEI_COMPLETA'!$E:$E, 'CEI_COMPLETA'!$D:$D),
    SUMIFS(_xlpm.intervaloSoma, 'CEI_COMPLETA'!$A:$A, Ajustes!AC$1, 'CEI_COMPLETA'!$B:$B, Ajustes!$Q8)
)</f>
        <v>231219</v>
      </c>
      <c r="AD8" s="11">
        <f>_xlfn.LET(
    _xlpm.intervaloSoma, IF($S8="R", 'CEI_COMPLETA'!$E:$E, 'CEI_COMPLETA'!$D:$D),
    SUMIFS(_xlpm.intervaloSoma, 'CEI_COMPLETA'!$A:$A, Ajustes!AD$1, 'CEI_COMPLETA'!$B:$B, Ajustes!$R8)
)</f>
        <v>267784</v>
      </c>
      <c r="AE8" s="11">
        <f>_xlfn.LET(
    _xlpm.intervaloSoma, IF($S8="R", 'CEI_COMPLETA'!$E:$E, 'CEI_COMPLETA'!$D:$D),
    SUMIFS(_xlpm.intervaloSoma, 'CEI_COMPLETA'!$A:$A, Ajustes!AE$1, 'CEI_COMPLETA'!$B:$B, Ajustes!$R8)
)</f>
        <v>296791</v>
      </c>
      <c r="AF8" s="11">
        <f>_xlfn.LET(
    _xlpm.intervaloSoma, IF($S8="R", 'CEI_COMPLETA'!$E:$E, 'CEI_COMPLETA'!$D:$D),
    SUMIFS(_xlpm.intervaloSoma, 'CEI_COMPLETA'!$A:$A, Ajustes!AF$1, 'CEI_COMPLETA'!$B:$B, Ajustes!$R8)
)</f>
        <v>343646</v>
      </c>
      <c r="AG8" s="11">
        <f>_xlfn.LET(
    _xlpm.intervaloSoma, IF($S8="R", 'CEI_COMPLETA'!$E:$E, 'CEI_COMPLETA'!$D:$D),
    SUMIFS(_xlpm.intervaloSoma, 'CEI_COMPLETA'!$A:$A, Ajustes!AG$1, 'CEI_COMPLETA'!$B:$B, Ajustes!$R8)
)</f>
        <v>385540</v>
      </c>
      <c r="AH8" s="11">
        <f>_xlfn.LET(
    _xlpm.intervaloSoma, IF($S8="R", 'CEI_COMPLETA'!$E:$E, 'CEI_COMPLETA'!$D:$D),
    SUMIFS(_xlpm.intervaloSoma, 'CEI_COMPLETA'!$A:$A, Ajustes!AH$1, 'CEI_COMPLETA'!$B:$B, Ajustes!$R8)
)</f>
        <v>394290</v>
      </c>
      <c r="AI8" s="11">
        <f>_xlfn.LET(
    _xlpm.intervaloSoma, IF($S8="R", 'CEI_COMPLETA'!$E:$E, 'CEI_COMPLETA'!$D:$D),
    SUMIFS(_xlpm.intervaloSoma, 'CEI_COMPLETA'!$A:$A, Ajustes!AI$1, 'CEI_COMPLETA'!$B:$B, Ajustes!$R8)
)</f>
        <v>493510</v>
      </c>
      <c r="AJ8" s="11">
        <f>_xlfn.LET(
    _xlpm.intervaloSoma, IF($S8="R", 'CEI_COMPLETA'!$E:$E, 'CEI_COMPLETA'!$D:$D),
    SUMIFS(_xlpm.intervaloSoma, 'CEI_COMPLETA'!$A:$A, Ajustes!AJ$1, 'CEI_COMPLETA'!$B:$B, Ajustes!$R8)
)</f>
        <v>531088</v>
      </c>
      <c r="AK8" s="11">
        <f>_xlfn.LET(
    _xlpm.intervaloSoma, IF($S8="R", 'CEI_COMPLETA'!$E:$E, 'CEI_COMPLETA'!$D:$D),
    SUMIFS(_xlpm.intervaloSoma, 'CEI_COMPLETA'!$A:$A, Ajustes!AK$1, 'CEI_COMPLETA'!$B:$B, Ajustes!$R8)
)</f>
        <v>563059</v>
      </c>
      <c r="AL8" s="11">
        <f>_xlfn.LET(
    _xlpm.intervaloSoma, IF($S8="R", 'CEI_COMPLETA'!$E:$E, 'CEI_COMPLETA'!$D:$D),
    SUMIFS(_xlpm.intervaloSoma, 'CEI_COMPLETA'!$A:$A, Ajustes!AL$1, 'CEI_COMPLETA'!$B:$B, Ajustes!$R8)
)</f>
        <v>531854</v>
      </c>
      <c r="AM8" s="11">
        <f>_xlfn.LET(
    _xlpm.intervaloSoma, IF($S8="R", 'CEI_COMPLETA'!$E:$E, 'CEI_COMPLETA'!$D:$D),
    SUMIFS(_xlpm.intervaloSoma, 'CEI_COMPLETA'!$A:$A, Ajustes!AM$1, 'CEI_COMPLETA'!$B:$B, Ajustes!$R8)
)</f>
        <v>576071</v>
      </c>
      <c r="AN8" s="11">
        <f>_xlfn.LET(
    _xlpm.intervaloSoma, IF($S8="R", 'CEI_COMPLETA'!$E:$E, 'CEI_COMPLETA'!$D:$D),
    SUMIFS(_xlpm.intervaloSoma, 'CEI_COMPLETA'!$A:$A, Ajustes!AN$1, 'CEI_COMPLETA'!$B:$B, Ajustes!$R8)
)</f>
        <v>972157</v>
      </c>
      <c r="AO8" s="11">
        <f>_xlfn.LET(
    _xlpm.intervaloSoma, IF($S8="R", 'CEI_COMPLETA'!$E:$E, 'CEI_COMPLETA'!$D:$D),
    SUMIFS(_xlpm.intervaloSoma, 'CEI_COMPLETA'!$A:$A, Ajustes!AO$1, 'CEI_COMPLETA'!$B:$B, Ajustes!$R8)
)</f>
        <v>591302</v>
      </c>
    </row>
    <row r="9" spans="1:41" x14ac:dyDescent="0.25">
      <c r="A9"/>
      <c r="B9" s="26"/>
      <c r="C9" s="8"/>
      <c r="D9" s="8"/>
      <c r="E9" s="8"/>
      <c r="F9" s="8"/>
      <c r="G9" s="8"/>
      <c r="H9" s="27"/>
      <c r="I9" s="26"/>
      <c r="J9" s="8"/>
      <c r="K9" s="8"/>
      <c r="L9" s="8"/>
      <c r="M9" s="8"/>
      <c r="N9" s="8"/>
      <c r="O9" s="27"/>
      <c r="P9" s="36"/>
      <c r="S9" s="37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</row>
    <row r="10" spans="1:41" ht="37.5" customHeight="1" thickBot="1" x14ac:dyDescent="0.3">
      <c r="A10" s="16" t="s">
        <v>128</v>
      </c>
      <c r="B10" s="26"/>
      <c r="C10" s="8"/>
      <c r="D10" s="8"/>
      <c r="E10" s="8"/>
      <c r="F10" s="8"/>
      <c r="G10" s="8"/>
      <c r="H10" s="27"/>
      <c r="I10" s="26"/>
      <c r="J10" s="8"/>
      <c r="K10" s="8"/>
      <c r="L10" s="8"/>
      <c r="M10" s="8"/>
      <c r="N10" s="8"/>
      <c r="O10" s="27"/>
      <c r="P10" s="36"/>
      <c r="S10" s="37"/>
      <c r="T10" s="15">
        <v>2000</v>
      </c>
      <c r="U10" s="15">
        <v>2001</v>
      </c>
      <c r="V10" s="15">
        <v>2002</v>
      </c>
      <c r="W10" s="15">
        <v>2003</v>
      </c>
      <c r="X10" s="15">
        <v>2004</v>
      </c>
      <c r="Y10" s="15">
        <v>2005</v>
      </c>
      <c r="Z10" s="15">
        <v>2006</v>
      </c>
      <c r="AA10" s="15">
        <v>2007</v>
      </c>
      <c r="AB10" s="15">
        <v>2008</v>
      </c>
      <c r="AC10" s="15">
        <v>2009</v>
      </c>
      <c r="AD10" s="15">
        <v>2010</v>
      </c>
      <c r="AE10" s="15">
        <v>2011</v>
      </c>
      <c r="AF10" s="15">
        <v>2012</v>
      </c>
      <c r="AG10" s="15">
        <v>2013</v>
      </c>
      <c r="AH10" s="15">
        <v>2014</v>
      </c>
      <c r="AI10" s="15">
        <v>2015</v>
      </c>
      <c r="AJ10" s="15">
        <v>2016</v>
      </c>
      <c r="AK10" s="15">
        <v>2017</v>
      </c>
      <c r="AL10" s="15">
        <v>2018</v>
      </c>
      <c r="AM10" s="15">
        <v>2019</v>
      </c>
      <c r="AN10" s="15">
        <v>2020</v>
      </c>
      <c r="AO10" s="15">
        <v>2021</v>
      </c>
    </row>
    <row r="11" spans="1:41" x14ac:dyDescent="0.25">
      <c r="A11" s="19" t="s">
        <v>249</v>
      </c>
      <c r="B11" s="28"/>
      <c r="C11" s="8"/>
      <c r="D11" s="8"/>
      <c r="E11" s="8"/>
      <c r="F11" s="8"/>
      <c r="G11" s="8"/>
      <c r="H11" s="27"/>
      <c r="I11" s="26" cm="1">
        <f t="array" ref="I11">_xlfn.SWITCH(B11,0,0,"-",-1,"+",1)</f>
        <v>0</v>
      </c>
      <c r="J11" s="8" cm="1">
        <f t="array" ref="J11">_xlfn.SWITCH(C11,0,0,"-",-1,"+",1)</f>
        <v>0</v>
      </c>
      <c r="K11" s="8" cm="1">
        <f t="array" ref="K11">_xlfn.SWITCH(D11,0,0,"-",-1,"+",1)</f>
        <v>0</v>
      </c>
      <c r="L11" s="8" cm="1">
        <f t="array" ref="L11">_xlfn.SWITCH(E11,0,0,"-",-1,"+",1)</f>
        <v>0</v>
      </c>
      <c r="M11" s="8" cm="1">
        <f t="array" ref="M11">_xlfn.SWITCH(F11,0,0,"-",-1,"+",1)</f>
        <v>0</v>
      </c>
      <c r="N11" s="8" cm="1">
        <f t="array" ref="N11">_xlfn.SWITCH(G11,0,0,"-",-1,"+",1)</f>
        <v>0</v>
      </c>
      <c r="O11" s="27" cm="1">
        <f t="array" ref="O11">_xlfn.SWITCH(H11,0,0,"-",-1,"+",1)</f>
        <v>0</v>
      </c>
      <c r="P11" s="36"/>
      <c r="S11" s="37"/>
      <c r="T11" s="14">
        <f>SUM(T12:T14)</f>
        <v>127301.6185170776</v>
      </c>
      <c r="U11" s="14">
        <f t="shared" ref="U11:AO11" si="0">SUM(U12:U14)</f>
        <v>131756.93962054659</v>
      </c>
      <c r="V11" s="14">
        <f t="shared" si="0"/>
        <v>144068.99305163618</v>
      </c>
      <c r="W11" s="14">
        <f t="shared" si="0"/>
        <v>156483.25251187678</v>
      </c>
      <c r="X11" s="14">
        <f t="shared" si="0"/>
        <v>166144.08854989882</v>
      </c>
      <c r="Y11" s="14">
        <f t="shared" si="0"/>
        <v>178614.97757982727</v>
      </c>
      <c r="Z11" s="14">
        <f t="shared" si="0"/>
        <v>187466.72241602102</v>
      </c>
      <c r="AA11" s="14">
        <f t="shared" si="0"/>
        <v>204036.24837196196</v>
      </c>
      <c r="AB11" s="14">
        <f t="shared" si="0"/>
        <v>220932.93689736869</v>
      </c>
      <c r="AC11" s="14">
        <f t="shared" si="0"/>
        <v>247459.59287207108</v>
      </c>
      <c r="AD11" s="14">
        <f t="shared" si="0"/>
        <v>273647.56005331979</v>
      </c>
      <c r="AE11" s="14">
        <f t="shared" si="0"/>
        <v>313773.84522179316</v>
      </c>
      <c r="AF11" s="14">
        <f t="shared" si="0"/>
        <v>358285.69385994016</v>
      </c>
      <c r="AG11" s="14">
        <f t="shared" si="0"/>
        <v>413830.84082920459</v>
      </c>
      <c r="AH11" s="14">
        <f t="shared" si="0"/>
        <v>449366.90584498429</v>
      </c>
      <c r="AI11" s="14">
        <f t="shared" si="0"/>
        <v>485943.02617171087</v>
      </c>
      <c r="AJ11" s="14">
        <f t="shared" si="0"/>
        <v>513024.36919286841</v>
      </c>
      <c r="AK11" s="14">
        <f t="shared" si="0"/>
        <v>531119.68935692741</v>
      </c>
      <c r="AL11" s="14">
        <f t="shared" si="0"/>
        <v>554517.0037978224</v>
      </c>
      <c r="AM11" s="14">
        <f t="shared" si="0"/>
        <v>583216.37239283568</v>
      </c>
      <c r="AN11" s="14">
        <f t="shared" si="0"/>
        <v>625043.57326481026</v>
      </c>
      <c r="AO11" s="14">
        <f t="shared" si="0"/>
        <v>670410.08440280182</v>
      </c>
    </row>
    <row r="12" spans="1:41" x14ac:dyDescent="0.25">
      <c r="A12" s="20" t="s">
        <v>129</v>
      </c>
      <c r="B12" s="26" t="s">
        <v>259</v>
      </c>
      <c r="C12" s="8" t="s">
        <v>259</v>
      </c>
      <c r="D12" s="8"/>
      <c r="E12" s="8"/>
      <c r="F12" s="8"/>
      <c r="G12" s="8"/>
      <c r="H12" s="27"/>
      <c r="I12" s="26" cm="1">
        <f t="array" ref="I12">_xlfn.SWITCH(B12,0,0,"-",-1,"+",1)</f>
        <v>-1</v>
      </c>
      <c r="J12" s="8" cm="1">
        <f t="array" ref="J12">_xlfn.SWITCH(C12,0,0,"-",-1,"+",1)</f>
        <v>-1</v>
      </c>
      <c r="K12" s="8" cm="1">
        <f t="array" ref="K12">_xlfn.SWITCH(D12,0,0,"-",-1,"+",1)</f>
        <v>0</v>
      </c>
      <c r="L12" s="8" cm="1">
        <f t="array" ref="L12">_xlfn.SWITCH(E12,0,0,"-",-1,"+",1)</f>
        <v>0</v>
      </c>
      <c r="M12" s="8" cm="1">
        <f t="array" ref="M12">_xlfn.SWITCH(F12,0,0,"-",-1,"+",1)</f>
        <v>0</v>
      </c>
      <c r="N12" s="8" cm="1">
        <f t="array" ref="N12">_xlfn.SWITCH(G12,0,0,"-",-1,"+",1)</f>
        <v>0</v>
      </c>
      <c r="O12" s="27" cm="1">
        <f t="array" ref="O12">_xlfn.SWITCH(H12,0,0,"-",-1,"+",1)</f>
        <v>0</v>
      </c>
      <c r="P12" s="36" t="s">
        <v>130</v>
      </c>
      <c r="S12" s="37"/>
      <c r="T12" s="11">
        <v>107290</v>
      </c>
      <c r="U12" s="11">
        <v>111313</v>
      </c>
      <c r="V12" s="11">
        <v>120331</v>
      </c>
      <c r="W12" s="11">
        <v>130517</v>
      </c>
      <c r="X12" s="11">
        <v>137783</v>
      </c>
      <c r="Y12" s="11">
        <v>149147</v>
      </c>
      <c r="Z12" s="11">
        <v>155582</v>
      </c>
      <c r="AA12" s="11">
        <v>168313</v>
      </c>
      <c r="AB12" s="11">
        <v>180243</v>
      </c>
      <c r="AC12" s="11">
        <v>199961</v>
      </c>
      <c r="AD12" s="11">
        <v>216622</v>
      </c>
      <c r="AE12" s="11">
        <v>249695</v>
      </c>
      <c r="AF12" s="11">
        <v>287350</v>
      </c>
      <c r="AG12" s="11">
        <v>335975</v>
      </c>
      <c r="AH12" s="11">
        <v>367290</v>
      </c>
      <c r="AI12" s="11">
        <v>400237</v>
      </c>
      <c r="AJ12" s="11">
        <v>423533</v>
      </c>
      <c r="AK12" s="11">
        <v>441426</v>
      </c>
      <c r="AL12" s="11">
        <v>460205</v>
      </c>
      <c r="AM12" s="11">
        <v>482425</v>
      </c>
      <c r="AN12" s="11">
        <v>516019</v>
      </c>
      <c r="AO12" s="11">
        <v>547406</v>
      </c>
    </row>
    <row r="13" spans="1:41" x14ac:dyDescent="0.25">
      <c r="A13" s="20" t="s">
        <v>250</v>
      </c>
      <c r="B13" s="26" t="s">
        <v>259</v>
      </c>
      <c r="C13" s="8" t="s">
        <v>259</v>
      </c>
      <c r="D13" s="8"/>
      <c r="E13" s="8"/>
      <c r="F13" s="8"/>
      <c r="G13" s="8"/>
      <c r="H13" s="27"/>
      <c r="I13" s="26" cm="1">
        <f t="array" ref="I13">_xlfn.SWITCH(B13,0,0,"-",-1,"+",1)</f>
        <v>-1</v>
      </c>
      <c r="J13" s="8" cm="1">
        <f t="array" ref="J13">_xlfn.SWITCH(C13,0,0,"-",-1,"+",1)</f>
        <v>-1</v>
      </c>
      <c r="K13" s="8" cm="1">
        <f t="array" ref="K13">_xlfn.SWITCH(D13,0,0,"-",-1,"+",1)</f>
        <v>0</v>
      </c>
      <c r="L13" s="8" cm="1">
        <f t="array" ref="L13">_xlfn.SWITCH(E13,0,0,"-",-1,"+",1)</f>
        <v>0</v>
      </c>
      <c r="M13" s="8" cm="1">
        <f t="array" ref="M13">_xlfn.SWITCH(F13,0,0,"-",-1,"+",1)</f>
        <v>0</v>
      </c>
      <c r="N13" s="8" cm="1">
        <f t="array" ref="N13">_xlfn.SWITCH(G13,0,0,"-",-1,"+",1)</f>
        <v>0</v>
      </c>
      <c r="O13" s="27" cm="1">
        <f t="array" ref="O13">_xlfn.SWITCH(H13,0,0,"-",-1,"+",1)</f>
        <v>0</v>
      </c>
      <c r="P13" s="36" t="s">
        <v>252</v>
      </c>
      <c r="S13" s="37"/>
      <c r="T13" s="11">
        <v>4490.5480144294088</v>
      </c>
      <c r="U13" s="11">
        <v>4922.3507227554119</v>
      </c>
      <c r="V13" s="11">
        <v>5726.3238755489519</v>
      </c>
      <c r="W13" s="11">
        <v>6488.0394724978778</v>
      </c>
      <c r="X13" s="11">
        <v>6794.078067838549</v>
      </c>
      <c r="Y13" s="11">
        <v>7317.8924848751576</v>
      </c>
      <c r="Z13" s="11">
        <v>8031.0547524481926</v>
      </c>
      <c r="AA13" s="11">
        <v>8919.467543088138</v>
      </c>
      <c r="AB13" s="11">
        <v>10892.737366458865</v>
      </c>
      <c r="AC13" s="11">
        <v>11473.960152619811</v>
      </c>
      <c r="AD13" s="11">
        <v>12676.560053319801</v>
      </c>
      <c r="AE13" s="11">
        <v>15237.845221793137</v>
      </c>
      <c r="AF13" s="11">
        <v>16841.693859940184</v>
      </c>
      <c r="AG13" s="11">
        <v>19470.840829204593</v>
      </c>
      <c r="AH13" s="11">
        <v>20889.905844984303</v>
      </c>
      <c r="AI13" s="11">
        <v>22640.026171710844</v>
      </c>
      <c r="AJ13" s="11">
        <v>25501.369192868417</v>
      </c>
      <c r="AK13" s="11">
        <v>25887.689356927414</v>
      </c>
      <c r="AL13" s="11">
        <v>26236.003797822334</v>
      </c>
      <c r="AM13" s="11">
        <v>28451.372392835696</v>
      </c>
      <c r="AN13" s="11">
        <v>32732.573264810228</v>
      </c>
      <c r="AO13" s="11">
        <v>39050.084402801796</v>
      </c>
    </row>
    <row r="14" spans="1:41" ht="15.75" thickBot="1" x14ac:dyDescent="0.3">
      <c r="A14" s="20" t="s">
        <v>251</v>
      </c>
      <c r="B14" s="26" t="s">
        <v>259</v>
      </c>
      <c r="C14" s="29" t="s">
        <v>259</v>
      </c>
      <c r="D14" s="8"/>
      <c r="E14" s="8"/>
      <c r="F14" s="8"/>
      <c r="G14" s="8"/>
      <c r="H14" s="27"/>
      <c r="I14" s="26" cm="1">
        <f t="array" ref="I14">_xlfn.SWITCH(B14,0,0,"-",-1,"+",1)</f>
        <v>-1</v>
      </c>
      <c r="J14" s="8" cm="1">
        <f t="array" ref="J14">_xlfn.SWITCH(C14,0,0,"-",-1,"+",1)</f>
        <v>-1</v>
      </c>
      <c r="K14" s="8" cm="1">
        <f t="array" ref="K14">_xlfn.SWITCH(D14,0,0,"-",-1,"+",1)</f>
        <v>0</v>
      </c>
      <c r="L14" s="8" cm="1">
        <f t="array" ref="L14">_xlfn.SWITCH(E14,0,0,"-",-1,"+",1)</f>
        <v>0</v>
      </c>
      <c r="M14" s="8" cm="1">
        <f t="array" ref="M14">_xlfn.SWITCH(F14,0,0,"-",-1,"+",1)</f>
        <v>0</v>
      </c>
      <c r="N14" s="8" cm="1">
        <f t="array" ref="N14">_xlfn.SWITCH(G14,0,0,"-",-1,"+",1)</f>
        <v>0</v>
      </c>
      <c r="O14" s="27" cm="1">
        <f t="array" ref="O14">_xlfn.SWITCH(H14,0,0,"-",-1,"+",1)</f>
        <v>0</v>
      </c>
      <c r="P14" s="36" t="s">
        <v>253</v>
      </c>
      <c r="S14" s="37"/>
      <c r="T14" s="11">
        <v>15521.07050264819</v>
      </c>
      <c r="U14" s="11">
        <v>15521.588897791169</v>
      </c>
      <c r="V14" s="11">
        <v>18011.669176087231</v>
      </c>
      <c r="W14" s="11">
        <v>19478.213039378887</v>
      </c>
      <c r="X14" s="11">
        <v>21567.010482060254</v>
      </c>
      <c r="Y14" s="11">
        <v>22150.085094952108</v>
      </c>
      <c r="Z14" s="11">
        <v>23853.667663572825</v>
      </c>
      <c r="AA14" s="11">
        <v>26803.780828873827</v>
      </c>
      <c r="AB14" s="11">
        <v>29797.199530909842</v>
      </c>
      <c r="AC14" s="11">
        <v>36024.632719451278</v>
      </c>
      <c r="AD14" s="11">
        <v>44349</v>
      </c>
      <c r="AE14" s="11">
        <v>48841</v>
      </c>
      <c r="AF14" s="11">
        <v>54094</v>
      </c>
      <c r="AG14" s="11">
        <v>58385</v>
      </c>
      <c r="AH14" s="11">
        <v>61187</v>
      </c>
      <c r="AI14" s="11">
        <v>63066</v>
      </c>
      <c r="AJ14" s="11">
        <v>63990</v>
      </c>
      <c r="AK14" s="11">
        <v>63806</v>
      </c>
      <c r="AL14" s="11">
        <v>68076</v>
      </c>
      <c r="AM14" s="11">
        <v>72340</v>
      </c>
      <c r="AN14" s="11">
        <v>76292</v>
      </c>
      <c r="AO14" s="11">
        <v>83954</v>
      </c>
    </row>
    <row r="15" spans="1:41" x14ac:dyDescent="0.25">
      <c r="A15" s="19" t="s">
        <v>125</v>
      </c>
      <c r="B15" s="28"/>
      <c r="C15" s="8"/>
      <c r="D15" s="8"/>
      <c r="E15" s="8"/>
      <c r="F15" s="8"/>
      <c r="G15" s="8"/>
      <c r="H15" s="27"/>
      <c r="I15" s="26" cm="1">
        <f t="array" ref="I15">_xlfn.SWITCH(B15,0,0,"-",-1,"+",1)</f>
        <v>0</v>
      </c>
      <c r="J15" s="8" cm="1">
        <f t="array" ref="J15">_xlfn.SWITCH(C15,0,0,"-",-1,"+",1)</f>
        <v>0</v>
      </c>
      <c r="K15" s="8" cm="1">
        <f t="array" ref="K15">_xlfn.SWITCH(D15,0,0,"-",-1,"+",1)</f>
        <v>0</v>
      </c>
      <c r="L15" s="8" cm="1">
        <f t="array" ref="L15">_xlfn.SWITCH(E15,0,0,"-",-1,"+",1)</f>
        <v>0</v>
      </c>
      <c r="M15" s="8" cm="1">
        <f t="array" ref="M15">_xlfn.SWITCH(F15,0,0,"-",-1,"+",1)</f>
        <v>0</v>
      </c>
      <c r="N15" s="8" cm="1">
        <f t="array" ref="N15">_xlfn.SWITCH(G15,0,0,"-",-1,"+",1)</f>
        <v>0</v>
      </c>
      <c r="O15" s="27" cm="1">
        <f t="array" ref="O15">_xlfn.SWITCH(H15,0,0,"-",-1,"+",1)</f>
        <v>0</v>
      </c>
      <c r="P15" s="36"/>
      <c r="S15" s="37"/>
      <c r="T15" s="14">
        <f>T16</f>
        <v>66827.774736002961</v>
      </c>
      <c r="U15" s="14">
        <f t="shared" ref="U15:AO15" si="1">U16</f>
        <v>66830.006746600004</v>
      </c>
      <c r="V15" s="14">
        <f t="shared" si="1"/>
        <v>77551.337075209798</v>
      </c>
      <c r="W15" s="14">
        <f t="shared" si="1"/>
        <v>83865.712293066113</v>
      </c>
      <c r="X15" s="14">
        <f t="shared" si="1"/>
        <v>92859.272688583471</v>
      </c>
      <c r="Y15" s="14">
        <f t="shared" si="1"/>
        <v>95369.768267994092</v>
      </c>
      <c r="Z15" s="14">
        <f t="shared" si="1"/>
        <v>102704.74120820091</v>
      </c>
      <c r="AA15" s="14">
        <f t="shared" si="1"/>
        <v>115406.79665101426</v>
      </c>
      <c r="AB15" s="14">
        <f t="shared" si="1"/>
        <v>128295.30912031011</v>
      </c>
      <c r="AC15" s="14">
        <f t="shared" si="1"/>
        <v>155108.24719931374</v>
      </c>
      <c r="AD15" s="14">
        <f t="shared" si="1"/>
        <v>190949.77896410722</v>
      </c>
      <c r="AE15" s="14">
        <f t="shared" si="1"/>
        <v>220753.09236840345</v>
      </c>
      <c r="AF15" s="14">
        <f t="shared" si="1"/>
        <v>264764.19418982492</v>
      </c>
      <c r="AG15" s="14">
        <f t="shared" si="1"/>
        <v>300261.66360699013</v>
      </c>
      <c r="AH15" s="14">
        <f t="shared" si="1"/>
        <v>316290.69075555285</v>
      </c>
      <c r="AI15" s="14">
        <f t="shared" si="1"/>
        <v>324841.77132321248</v>
      </c>
      <c r="AJ15" s="14">
        <f t="shared" si="1"/>
        <v>316289.18756979838</v>
      </c>
      <c r="AK15" s="14">
        <f t="shared" si="1"/>
        <v>289667.52307384659</v>
      </c>
      <c r="AL15" s="14">
        <f t="shared" si="1"/>
        <v>293380.54849685438</v>
      </c>
      <c r="AM15" s="14">
        <f t="shared" si="1"/>
        <v>305428.35744874785</v>
      </c>
      <c r="AN15" s="14">
        <f t="shared" si="1"/>
        <v>318252.09316767356</v>
      </c>
      <c r="AO15" s="14">
        <f t="shared" si="1"/>
        <v>376554.66920224886</v>
      </c>
    </row>
    <row r="16" spans="1:41" x14ac:dyDescent="0.25">
      <c r="A16" s="20" t="s">
        <v>290</v>
      </c>
      <c r="B16" s="26"/>
      <c r="C16" s="8"/>
      <c r="D16" s="8" t="s">
        <v>259</v>
      </c>
      <c r="E16" s="8" t="s">
        <v>260</v>
      </c>
      <c r="F16" s="8"/>
      <c r="G16" s="8"/>
      <c r="H16" s="27" t="s">
        <v>259</v>
      </c>
      <c r="I16" s="26" cm="1">
        <f t="array" ref="I16">_xlfn.SWITCH(B16,0,0,"-",-1,"+",1)</f>
        <v>0</v>
      </c>
      <c r="J16" s="8" cm="1">
        <f t="array" ref="J16">_xlfn.SWITCH(C16,0,0,"-",-1,"+",1)</f>
        <v>0</v>
      </c>
      <c r="K16" s="8" cm="1">
        <f t="array" ref="K16">_xlfn.SWITCH(D16,0,0,"-",-1,"+",1)</f>
        <v>-1</v>
      </c>
      <c r="L16" s="8" cm="1">
        <f t="array" ref="L16">_xlfn.SWITCH(E16,0,0,"-",-1,"+",1)</f>
        <v>1</v>
      </c>
      <c r="M16" s="8" cm="1">
        <f t="array" ref="M16">_xlfn.SWITCH(F16,0,0,"-",-1,"+",1)</f>
        <v>0</v>
      </c>
      <c r="N16" s="8" cm="1">
        <f t="array" ref="N16">_xlfn.SWITCH(G16,0,0,"-",-1,"+",1)</f>
        <v>0</v>
      </c>
      <c r="O16" s="27" cm="1">
        <f t="array" ref="O16">_xlfn.SWITCH(H16,0,0,"-",-1,"+",1)</f>
        <v>-1</v>
      </c>
      <c r="P16" s="36" t="s">
        <v>253</v>
      </c>
      <c r="S16" s="37"/>
      <c r="T16" s="11">
        <v>66827.774736002961</v>
      </c>
      <c r="U16" s="11">
        <v>66830.006746600004</v>
      </c>
      <c r="V16" s="11">
        <v>77551.337075209798</v>
      </c>
      <c r="W16" s="11">
        <v>83865.712293066113</v>
      </c>
      <c r="X16" s="11">
        <v>92859.272688583471</v>
      </c>
      <c r="Y16" s="11">
        <v>95369.768267994092</v>
      </c>
      <c r="Z16" s="11">
        <v>102704.74120820091</v>
      </c>
      <c r="AA16" s="11">
        <v>115406.79665101426</v>
      </c>
      <c r="AB16" s="11">
        <v>128295.30912031011</v>
      </c>
      <c r="AC16" s="11">
        <v>155108.24719931374</v>
      </c>
      <c r="AD16" s="11">
        <v>190949.77896410722</v>
      </c>
      <c r="AE16" s="11">
        <v>220753.09236840345</v>
      </c>
      <c r="AF16" s="11">
        <v>264764.19418982492</v>
      </c>
      <c r="AG16" s="11">
        <v>300261.66360699013</v>
      </c>
      <c r="AH16" s="11">
        <v>316290.69075555285</v>
      </c>
      <c r="AI16" s="11">
        <v>324841.77132321248</v>
      </c>
      <c r="AJ16" s="11">
        <v>316289.18756979838</v>
      </c>
      <c r="AK16" s="11">
        <v>289667.52307384659</v>
      </c>
      <c r="AL16" s="11">
        <v>293380.54849685438</v>
      </c>
      <c r="AM16" s="11">
        <v>305428.35744874785</v>
      </c>
      <c r="AN16" s="11">
        <v>318252.09316767356</v>
      </c>
      <c r="AO16" s="11">
        <v>376554.66920224886</v>
      </c>
    </row>
    <row r="17" spans="1:41" ht="15.75" thickBot="1" x14ac:dyDescent="0.3">
      <c r="A17" s="44" t="s">
        <v>289</v>
      </c>
      <c r="B17" s="26"/>
      <c r="C17" s="8"/>
      <c r="D17" s="8"/>
      <c r="E17" s="8" t="s">
        <v>259</v>
      </c>
      <c r="F17" s="8"/>
      <c r="G17" s="8"/>
      <c r="H17" s="27"/>
      <c r="I17" s="26" cm="1">
        <f t="array" ref="I17">_xlfn.SWITCH(B17,0,0,"-",-1,"+",1)</f>
        <v>0</v>
      </c>
      <c r="J17" s="8" cm="1">
        <f t="array" ref="J17">_xlfn.SWITCH(C17,0,0,"-",-1,"+",1)</f>
        <v>0</v>
      </c>
      <c r="K17" s="8" cm="1">
        <f t="array" ref="K17">_xlfn.SWITCH(D17,0,0,"-",-1,"+",1)</f>
        <v>0</v>
      </c>
      <c r="L17" s="8" cm="1">
        <f t="array" ref="L17">_xlfn.SWITCH(E17,0,0,"-",-1,"+",1)</f>
        <v>-1</v>
      </c>
      <c r="M17" s="8" cm="1">
        <f t="array" ref="M17">_xlfn.SWITCH(F17,0,0,"-",-1,"+",1)</f>
        <v>0</v>
      </c>
      <c r="N17" s="8" cm="1">
        <f t="array" ref="N17">_xlfn.SWITCH(G17,0,0,"-",-1,"+",1)</f>
        <v>0</v>
      </c>
      <c r="O17" s="27" cm="1">
        <f t="array" ref="O17">_xlfn.SWITCH(H17,0,0,"-",-1,"+",1)</f>
        <v>0</v>
      </c>
      <c r="P17" s="36" t="s">
        <v>253</v>
      </c>
      <c r="S17" s="37"/>
      <c r="T17" s="11">
        <v>7482.7873048462943</v>
      </c>
      <c r="U17" s="11">
        <v>7483.0372257904792</v>
      </c>
      <c r="V17" s="11">
        <v>8683.517636681132</v>
      </c>
      <c r="W17" s="11">
        <v>9390.5459180336784</v>
      </c>
      <c r="X17" s="11">
        <v>10397.565825830938</v>
      </c>
      <c r="Y17" s="11">
        <v>10678.669072567747</v>
      </c>
      <c r="Z17" s="11">
        <v>11499.974923543528</v>
      </c>
      <c r="AA17" s="11">
        <v>12922.239537147843</v>
      </c>
      <c r="AB17" s="11">
        <v>14365.381971032339</v>
      </c>
      <c r="AC17" s="11">
        <v>17367.659294432535</v>
      </c>
      <c r="AD17" s="11">
        <v>21380.879245797365</v>
      </c>
      <c r="AE17" s="11">
        <v>23808.770640090963</v>
      </c>
      <c r="AF17" s="11">
        <v>27712.932408619879</v>
      </c>
      <c r="AG17" s="11">
        <v>31029.681733645302</v>
      </c>
      <c r="AH17" s="11">
        <v>32588.77815354359</v>
      </c>
      <c r="AI17" s="11">
        <v>36419.227740747352</v>
      </c>
      <c r="AJ17" s="11">
        <v>39015.830670040305</v>
      </c>
      <c r="AK17" s="11">
        <v>39156.483722513927</v>
      </c>
      <c r="AL17" s="11">
        <v>42045.2663057073</v>
      </c>
      <c r="AM17" s="11">
        <v>43819.62476194356</v>
      </c>
      <c r="AN17" s="11">
        <v>43621.444662138332</v>
      </c>
      <c r="AO17" s="11">
        <v>47315.409964402017</v>
      </c>
    </row>
    <row r="18" spans="1:41" x14ac:dyDescent="0.25">
      <c r="A18" s="19" t="s">
        <v>132</v>
      </c>
      <c r="B18" s="28" t="s">
        <v>259</v>
      </c>
      <c r="C18" s="8"/>
      <c r="D18" s="8"/>
      <c r="E18" s="8"/>
      <c r="F18" s="8"/>
      <c r="G18" s="8"/>
      <c r="H18" s="27" t="s">
        <v>259</v>
      </c>
      <c r="I18" s="26" cm="1">
        <f t="array" ref="I18">_xlfn.SWITCH(B18,0,0,"-",-1,"+",1)</f>
        <v>-1</v>
      </c>
      <c r="J18" s="8" cm="1">
        <f t="array" ref="J18">_xlfn.SWITCH(C18,0,0,"-",-1,"+",1)</f>
        <v>0</v>
      </c>
      <c r="K18" s="8" cm="1">
        <f t="array" ref="K18">_xlfn.SWITCH(D18,0,0,"-",-1,"+",1)</f>
        <v>0</v>
      </c>
      <c r="L18" s="8" cm="1">
        <f t="array" ref="L18">_xlfn.SWITCH(E18,0,0,"-",-1,"+",1)</f>
        <v>0</v>
      </c>
      <c r="M18" s="8" cm="1">
        <f t="array" ref="M18">_xlfn.SWITCH(F18,0,0,"-",-1,"+",1)</f>
        <v>0</v>
      </c>
      <c r="N18" s="8" cm="1">
        <f t="array" ref="N18">_xlfn.SWITCH(G18,0,0,"-",-1,"+",1)</f>
        <v>0</v>
      </c>
      <c r="O18" s="27" cm="1">
        <f t="array" ref="O18">_xlfn.SWITCH(H18,0,0,"-",-1,"+",1)</f>
        <v>-1</v>
      </c>
      <c r="P18" s="36" t="s">
        <v>120</v>
      </c>
      <c r="Q18" s="9" t="s">
        <v>165</v>
      </c>
      <c r="R18" s="9" t="s">
        <v>133</v>
      </c>
      <c r="S18" s="37" t="s">
        <v>146</v>
      </c>
      <c r="T18" s="14">
        <f>_xlfn.LET(
    _xlpm.intervaloSoma, IF($S18="R", 'CEI_COMPLETA'!$E:$E, 'CEI_COMPLETA'!$D:$D),
    SUMIFS(_xlpm.intervaloSoma, 'CEI_COMPLETA'!$A:$A, Ajustes!T$1, 'CEI_COMPLETA'!$B:$B, Ajustes!$Q18)
)</f>
        <v>11331</v>
      </c>
      <c r="U18" s="14">
        <f>_xlfn.LET(
    _xlpm.intervaloSoma, IF($S18="R", 'CEI_COMPLETA'!$E:$E, 'CEI_COMPLETA'!$D:$D),
    SUMIFS(_xlpm.intervaloSoma, 'CEI_COMPLETA'!$A:$A, Ajustes!U$1, 'CEI_COMPLETA'!$B:$B, Ajustes!$Q18)
)</f>
        <v>14687</v>
      </c>
      <c r="V18" s="14">
        <f>_xlfn.LET(
    _xlpm.intervaloSoma, IF($S18="R", 'CEI_COMPLETA'!$E:$E, 'CEI_COMPLETA'!$D:$D),
    SUMIFS(_xlpm.intervaloSoma, 'CEI_COMPLETA'!$A:$A, Ajustes!V$1, 'CEI_COMPLETA'!$B:$B, Ajustes!$Q18)
)</f>
        <v>15190</v>
      </c>
      <c r="W18" s="14">
        <f>_xlfn.LET(
    _xlpm.intervaloSoma, IF($S18="R", 'CEI_COMPLETA'!$E:$E, 'CEI_COMPLETA'!$D:$D),
    SUMIFS(_xlpm.intervaloSoma, 'CEI_COMPLETA'!$A:$A, Ajustes!W$1, 'CEI_COMPLETA'!$B:$B, Ajustes!$Q18)
)</f>
        <v>27074</v>
      </c>
      <c r="X18" s="14">
        <f>_xlfn.LET(
    _xlpm.intervaloSoma, IF($S18="R", 'CEI_COMPLETA'!$E:$E, 'CEI_COMPLETA'!$D:$D),
    SUMIFS(_xlpm.intervaloSoma, 'CEI_COMPLETA'!$A:$A, Ajustes!X$1, 'CEI_COMPLETA'!$B:$B, Ajustes!$Q18)
)</f>
        <v>24602</v>
      </c>
      <c r="Y18" s="14">
        <f>_xlfn.LET(
    _xlpm.intervaloSoma, IF($S18="R", 'CEI_COMPLETA'!$E:$E, 'CEI_COMPLETA'!$D:$D),
    SUMIFS(_xlpm.intervaloSoma, 'CEI_COMPLETA'!$A:$A, Ajustes!Y$1, 'CEI_COMPLETA'!$B:$B, Ajustes!$Q18)
)</f>
        <v>24607</v>
      </c>
      <c r="Z18" s="14">
        <f>_xlfn.LET(
    _xlpm.intervaloSoma, IF($S18="R", 'CEI_COMPLETA'!$E:$E, 'CEI_COMPLETA'!$D:$D),
    SUMIFS(_xlpm.intervaloSoma, 'CEI_COMPLETA'!$A:$A, Ajustes!Z$1, 'CEI_COMPLETA'!$B:$B, Ajustes!$Q18)
)</f>
        <v>28239</v>
      </c>
      <c r="AA18" s="14">
        <f>_xlfn.LET(
    _xlpm.intervaloSoma, IF($S18="R", 'CEI_COMPLETA'!$E:$E, 'CEI_COMPLETA'!$D:$D),
    SUMIFS(_xlpm.intervaloSoma, 'CEI_COMPLETA'!$A:$A, Ajustes!AA$1, 'CEI_COMPLETA'!$B:$B, Ajustes!$Q18)
)</f>
        <v>30586</v>
      </c>
      <c r="AB18" s="14">
        <f>_xlfn.LET(
    _xlpm.intervaloSoma, IF($S18="R", 'CEI_COMPLETA'!$E:$E, 'CEI_COMPLETA'!$D:$D),
    SUMIFS(_xlpm.intervaloSoma, 'CEI_COMPLETA'!$A:$A, Ajustes!AB$1, 'CEI_COMPLETA'!$B:$B, Ajustes!$Q18)
)</f>
        <v>31253</v>
      </c>
      <c r="AC18" s="14">
        <f>_xlfn.LET(
    _xlpm.intervaloSoma, IF($S18="R", 'CEI_COMPLETA'!$E:$E, 'CEI_COMPLETA'!$D:$D),
    SUMIFS(_xlpm.intervaloSoma, 'CEI_COMPLETA'!$A:$A, Ajustes!AC$1, 'CEI_COMPLETA'!$B:$B, Ajustes!$Q18)
)</f>
        <v>42827</v>
      </c>
      <c r="AD18" s="14">
        <f>_xlfn.LET(
    _xlpm.intervaloSoma, IF($S18="R", 'CEI_COMPLETA'!$E:$E, 'CEI_COMPLETA'!$D:$D),
    SUMIFS(_xlpm.intervaloSoma, 'CEI_COMPLETA'!$A:$A, Ajustes!AD$1, 'CEI_COMPLETA'!$B:$B, Ajustes!$R18)
)</f>
        <v>60549</v>
      </c>
      <c r="AE18" s="14">
        <f>_xlfn.LET(
    _xlpm.intervaloSoma, IF($S18="R", 'CEI_COMPLETA'!$E:$E, 'CEI_COMPLETA'!$D:$D),
    SUMIFS(_xlpm.intervaloSoma, 'CEI_COMPLETA'!$A:$A, Ajustes!AE$1, 'CEI_COMPLETA'!$B:$B, Ajustes!$R18)
)</f>
        <v>52629</v>
      </c>
      <c r="AF18" s="14">
        <f>_xlfn.LET(
    _xlpm.intervaloSoma, IF($S18="R", 'CEI_COMPLETA'!$E:$E, 'CEI_COMPLETA'!$D:$D),
    SUMIFS(_xlpm.intervaloSoma, 'CEI_COMPLETA'!$A:$A, Ajustes!AF$1, 'CEI_COMPLETA'!$B:$B, Ajustes!$R18)
)</f>
        <v>80269</v>
      </c>
      <c r="AG18" s="14">
        <f>_xlfn.LET(
    _xlpm.intervaloSoma, IF($S18="R", 'CEI_COMPLETA'!$E:$E, 'CEI_COMPLETA'!$D:$D),
    SUMIFS(_xlpm.intervaloSoma, 'CEI_COMPLETA'!$A:$A, Ajustes!AG$1, 'CEI_COMPLETA'!$B:$B, Ajustes!$R18)
)</f>
        <v>54208</v>
      </c>
      <c r="AH18" s="14">
        <f>_xlfn.LET(
    _xlpm.intervaloSoma, IF($S18="R", 'CEI_COMPLETA'!$E:$E, 'CEI_COMPLETA'!$D:$D),
    SUMIFS(_xlpm.intervaloSoma, 'CEI_COMPLETA'!$A:$A, Ajustes!AH$1, 'CEI_COMPLETA'!$B:$B, Ajustes!$R18)
)</f>
        <v>58846</v>
      </c>
      <c r="AI18" s="14">
        <f>_xlfn.LET(
    _xlpm.intervaloSoma, IF($S18="R", 'CEI_COMPLETA'!$E:$E, 'CEI_COMPLETA'!$D:$D),
    SUMIFS(_xlpm.intervaloSoma, 'CEI_COMPLETA'!$A:$A, Ajustes!AI$1, 'CEI_COMPLETA'!$B:$B, Ajustes!$R18)
)</f>
        <v>99434</v>
      </c>
      <c r="AJ18" s="14">
        <f>_xlfn.LET(
    _xlpm.intervaloSoma, IF($S18="R", 'CEI_COMPLETA'!$E:$E, 'CEI_COMPLETA'!$D:$D),
    SUMIFS(_xlpm.intervaloSoma, 'CEI_COMPLETA'!$A:$A, Ajustes!AJ$1, 'CEI_COMPLETA'!$B:$B, Ajustes!$R18)
)</f>
        <v>87702</v>
      </c>
      <c r="AK18" s="14">
        <f>_xlfn.LET(
    _xlpm.intervaloSoma, IF($S18="R", 'CEI_COMPLETA'!$E:$E, 'CEI_COMPLETA'!$D:$D),
    SUMIFS(_xlpm.intervaloSoma, 'CEI_COMPLETA'!$A:$A, Ajustes!AK$1, 'CEI_COMPLETA'!$B:$B, Ajustes!$R18)
)</f>
        <v>74085</v>
      </c>
      <c r="AL18" s="14">
        <f>_xlfn.LET(
    _xlpm.intervaloSoma, IF($S18="R", 'CEI_COMPLETA'!$E:$E, 'CEI_COMPLETA'!$D:$D),
    SUMIFS(_xlpm.intervaloSoma, 'CEI_COMPLETA'!$A:$A, Ajustes!AL$1, 'CEI_COMPLETA'!$B:$B, Ajustes!$R18)
)</f>
        <v>65018</v>
      </c>
      <c r="AM18" s="14">
        <f>_xlfn.LET(
    _xlpm.intervaloSoma, IF($S18="R", 'CEI_COMPLETA'!$E:$E, 'CEI_COMPLETA'!$D:$D),
    SUMIFS(_xlpm.intervaloSoma, 'CEI_COMPLETA'!$A:$A, Ajustes!AM$1, 'CEI_COMPLETA'!$B:$B, Ajustes!$R18)
)</f>
        <v>103477</v>
      </c>
      <c r="AN18" s="14">
        <f>_xlfn.LET(
    _xlpm.intervaloSoma, IF($S18="R", 'CEI_COMPLETA'!$E:$E, 'CEI_COMPLETA'!$D:$D),
    SUMIFS(_xlpm.intervaloSoma, 'CEI_COMPLETA'!$A:$A, Ajustes!AN$1, 'CEI_COMPLETA'!$B:$B, Ajustes!$R18)
)</f>
        <v>67370</v>
      </c>
      <c r="AO18" s="14">
        <f>_xlfn.LET(
    _xlpm.intervaloSoma, IF($S18="R", 'CEI_COMPLETA'!$E:$E, 'CEI_COMPLETA'!$D:$D),
    SUMIFS(_xlpm.intervaloSoma, 'CEI_COMPLETA'!$A:$A, Ajustes!AO$1, 'CEI_COMPLETA'!$B:$B, Ajustes!$R18)
)</f>
        <v>81699</v>
      </c>
    </row>
    <row r="19" spans="1:41" ht="31.5" customHeight="1" x14ac:dyDescent="0.25">
      <c r="A19" s="20" t="s">
        <v>75</v>
      </c>
      <c r="B19" s="26"/>
      <c r="C19" s="8"/>
      <c r="D19" s="8"/>
      <c r="E19" s="8"/>
      <c r="F19" s="8"/>
      <c r="G19" s="8"/>
      <c r="H19" s="27"/>
      <c r="I19" s="26" cm="1">
        <f t="array" ref="I19">_xlfn.SWITCH(B19,0,0,"-",-1,"+",1)</f>
        <v>0</v>
      </c>
      <c r="J19" s="8" cm="1">
        <f t="array" ref="J19">_xlfn.SWITCH(C19,0,0,"-",-1,"+",1)</f>
        <v>0</v>
      </c>
      <c r="K19" s="8" cm="1">
        <f t="array" ref="K19">_xlfn.SWITCH(D19,0,0,"-",-1,"+",1)</f>
        <v>0</v>
      </c>
      <c r="L19" s="8" cm="1">
        <f t="array" ref="L19">_xlfn.SWITCH(E19,0,0,"-",-1,"+",1)</f>
        <v>0</v>
      </c>
      <c r="M19" s="8" cm="1">
        <f t="array" ref="M19">_xlfn.SWITCH(F19,0,0,"-",-1,"+",1)</f>
        <v>0</v>
      </c>
      <c r="N19" s="8" cm="1">
        <f t="array" ref="N19">_xlfn.SWITCH(G19,0,0,"-",-1,"+",1)</f>
        <v>0</v>
      </c>
      <c r="O19" s="27" cm="1">
        <f t="array" ref="O19">_xlfn.SWITCH(H19,0,0,"-",-1,"+",1)</f>
        <v>0</v>
      </c>
      <c r="P19" s="36" t="s">
        <v>120</v>
      </c>
      <c r="R19" s="9" t="s">
        <v>194</v>
      </c>
      <c r="S19" s="37" t="s">
        <v>146</v>
      </c>
      <c r="T19" s="11">
        <f>_xlfn.LET(
    _xlpm.intervaloSoma, IF($S19="R", 'CEI_COMPLETA'!$E:$E, 'CEI_COMPLETA'!$D:$D),
    SUMIFS(_xlpm.intervaloSoma, 'CEI_COMPLETA'!$A:$A, Ajustes!T$1, 'CEI_COMPLETA'!$B:$B, Ajustes!$Q19)
)</f>
        <v>0</v>
      </c>
      <c r="U19" s="11">
        <f>_xlfn.LET(
    _xlpm.intervaloSoma, IF($S19="R", 'CEI_COMPLETA'!$E:$E, 'CEI_COMPLETA'!$D:$D),
    SUMIFS(_xlpm.intervaloSoma, 'CEI_COMPLETA'!$A:$A, Ajustes!U$1, 'CEI_COMPLETA'!$B:$B, Ajustes!$Q19)
)</f>
        <v>0</v>
      </c>
      <c r="V19" s="11">
        <f>_xlfn.LET(
    _xlpm.intervaloSoma, IF($S19="R", 'CEI_COMPLETA'!$E:$E, 'CEI_COMPLETA'!$D:$D),
    SUMIFS(_xlpm.intervaloSoma, 'CEI_COMPLETA'!$A:$A, Ajustes!V$1, 'CEI_COMPLETA'!$B:$B, Ajustes!$Q19)
)</f>
        <v>0</v>
      </c>
      <c r="W19" s="11">
        <f>_xlfn.LET(
    _xlpm.intervaloSoma, IF($S19="R", 'CEI_COMPLETA'!$E:$E, 'CEI_COMPLETA'!$D:$D),
    SUMIFS(_xlpm.intervaloSoma, 'CEI_COMPLETA'!$A:$A, Ajustes!W$1, 'CEI_COMPLETA'!$B:$B, Ajustes!$Q19)
)</f>
        <v>0</v>
      </c>
      <c r="X19" s="11">
        <f>_xlfn.LET(
    _xlpm.intervaloSoma, IF($S19="R", 'CEI_COMPLETA'!$E:$E, 'CEI_COMPLETA'!$D:$D),
    SUMIFS(_xlpm.intervaloSoma, 'CEI_COMPLETA'!$A:$A, Ajustes!X$1, 'CEI_COMPLETA'!$B:$B, Ajustes!$Q19)
)</f>
        <v>0</v>
      </c>
      <c r="Y19" s="11">
        <f>_xlfn.LET(
    _xlpm.intervaloSoma, IF($S19="R", 'CEI_COMPLETA'!$E:$E, 'CEI_COMPLETA'!$D:$D),
    SUMIFS(_xlpm.intervaloSoma, 'CEI_COMPLETA'!$A:$A, Ajustes!Y$1, 'CEI_COMPLETA'!$B:$B, Ajustes!$Q19)
)</f>
        <v>0</v>
      </c>
      <c r="Z19" s="11">
        <f>_xlfn.LET(
    _xlpm.intervaloSoma, IF($S19="R", 'CEI_COMPLETA'!$E:$E, 'CEI_COMPLETA'!$D:$D),
    SUMIFS(_xlpm.intervaloSoma, 'CEI_COMPLETA'!$A:$A, Ajustes!Z$1, 'CEI_COMPLETA'!$B:$B, Ajustes!$Q19)
)</f>
        <v>0</v>
      </c>
      <c r="AA19" s="11">
        <f>_xlfn.LET(
    _xlpm.intervaloSoma, IF($S19="R", 'CEI_COMPLETA'!$E:$E, 'CEI_COMPLETA'!$D:$D),
    SUMIFS(_xlpm.intervaloSoma, 'CEI_COMPLETA'!$A:$A, Ajustes!AA$1, 'CEI_COMPLETA'!$B:$B, Ajustes!$Q19)
)</f>
        <v>0</v>
      </c>
      <c r="AB19" s="11">
        <f>_xlfn.LET(
    _xlpm.intervaloSoma, IF($S19="R", 'CEI_COMPLETA'!$E:$E, 'CEI_COMPLETA'!$D:$D),
    SUMIFS(_xlpm.intervaloSoma, 'CEI_COMPLETA'!$A:$A, Ajustes!AB$1, 'CEI_COMPLETA'!$B:$B, Ajustes!$Q19)
)</f>
        <v>0</v>
      </c>
      <c r="AC19" s="11">
        <f>_xlfn.LET(
    _xlpm.intervaloSoma, IF($S19="R", 'CEI_COMPLETA'!$E:$E, 'CEI_COMPLETA'!$D:$D),
    SUMIFS(_xlpm.intervaloSoma, 'CEI_COMPLETA'!$A:$A, Ajustes!AC$1, 'CEI_COMPLETA'!$B:$B, Ajustes!$Q19)
)</f>
        <v>0</v>
      </c>
      <c r="AD19" s="11">
        <f>_xlfn.LET(
    _xlpm.intervaloSoma, IF($S19="R", 'CEI_COMPLETA'!$E:$E, 'CEI_COMPLETA'!$D:$D),
    SUMIFS(_xlpm.intervaloSoma, 'CEI_COMPLETA'!$A:$A, Ajustes!AD$1, 'CEI_COMPLETA'!$B:$B, Ajustes!$R19)
)</f>
        <v>7010</v>
      </c>
      <c r="AE19" s="11">
        <f>_xlfn.LET(
    _xlpm.intervaloSoma, IF($S19="R", 'CEI_COMPLETA'!$E:$E, 'CEI_COMPLETA'!$D:$D),
    SUMIFS(_xlpm.intervaloSoma, 'CEI_COMPLETA'!$A:$A, Ajustes!AE$1, 'CEI_COMPLETA'!$B:$B, Ajustes!$R19)
)</f>
        <v>7694</v>
      </c>
      <c r="AF19" s="11">
        <f>_xlfn.LET(
    _xlpm.intervaloSoma, IF($S19="R", 'CEI_COMPLETA'!$E:$E, 'CEI_COMPLETA'!$D:$D),
    SUMIFS(_xlpm.intervaloSoma, 'CEI_COMPLETA'!$A:$A, Ajustes!AF$1, 'CEI_COMPLETA'!$B:$B, Ajustes!$R19)
)</f>
        <v>12594</v>
      </c>
      <c r="AG19" s="11">
        <f>_xlfn.LET(
    _xlpm.intervaloSoma, IF($S19="R", 'CEI_COMPLETA'!$E:$E, 'CEI_COMPLETA'!$D:$D),
    SUMIFS(_xlpm.intervaloSoma, 'CEI_COMPLETA'!$A:$A, Ajustes!AG$1, 'CEI_COMPLETA'!$B:$B, Ajustes!$R19)
)</f>
        <v>14142</v>
      </c>
      <c r="AH19" s="11">
        <f>_xlfn.LET(
    _xlpm.intervaloSoma, IF($S19="R", 'CEI_COMPLETA'!$E:$E, 'CEI_COMPLETA'!$D:$D),
    SUMIFS(_xlpm.intervaloSoma, 'CEI_COMPLETA'!$A:$A, Ajustes!AH$1, 'CEI_COMPLETA'!$B:$B, Ajustes!$R19)
)</f>
        <v>12853</v>
      </c>
      <c r="AI19" s="11">
        <f>_xlfn.LET(
    _xlpm.intervaloSoma, IF($S19="R", 'CEI_COMPLETA'!$E:$E, 'CEI_COMPLETA'!$D:$D),
    SUMIFS(_xlpm.intervaloSoma, 'CEI_COMPLETA'!$A:$A, Ajustes!AI$1, 'CEI_COMPLETA'!$B:$B, Ajustes!$R19)
)</f>
        <v>14074</v>
      </c>
      <c r="AJ19" s="11">
        <f>_xlfn.LET(
    _xlpm.intervaloSoma, IF($S19="R", 'CEI_COMPLETA'!$E:$E, 'CEI_COMPLETA'!$D:$D),
    SUMIFS(_xlpm.intervaloSoma, 'CEI_COMPLETA'!$A:$A, Ajustes!AJ$1, 'CEI_COMPLETA'!$B:$B, Ajustes!$R19)
)</f>
        <v>16607</v>
      </c>
      <c r="AK19" s="11">
        <f>_xlfn.LET(
    _xlpm.intervaloSoma, IF($S19="R", 'CEI_COMPLETA'!$E:$E, 'CEI_COMPLETA'!$D:$D),
    SUMIFS(_xlpm.intervaloSoma, 'CEI_COMPLETA'!$A:$A, Ajustes!AK$1, 'CEI_COMPLETA'!$B:$B, Ajustes!$R19)
)</f>
        <v>20365</v>
      </c>
      <c r="AL19" s="11">
        <f>_xlfn.LET(
    _xlpm.intervaloSoma, IF($S19="R", 'CEI_COMPLETA'!$E:$E, 'CEI_COMPLETA'!$D:$D),
    SUMIFS(_xlpm.intervaloSoma, 'CEI_COMPLETA'!$A:$A, Ajustes!AL$1, 'CEI_COMPLETA'!$B:$B, Ajustes!$R19)
)</f>
        <v>13260</v>
      </c>
      <c r="AM19" s="11">
        <f>_xlfn.LET(
    _xlpm.intervaloSoma, IF($S19="R", 'CEI_COMPLETA'!$E:$E, 'CEI_COMPLETA'!$D:$D),
    SUMIFS(_xlpm.intervaloSoma, 'CEI_COMPLETA'!$A:$A, Ajustes!AM$1, 'CEI_COMPLETA'!$B:$B, Ajustes!$R19)
)</f>
        <v>13818</v>
      </c>
      <c r="AN19" s="11">
        <f>_xlfn.LET(
    _xlpm.intervaloSoma, IF($S19="R", 'CEI_COMPLETA'!$E:$E, 'CEI_COMPLETA'!$D:$D),
    SUMIFS(_xlpm.intervaloSoma, 'CEI_COMPLETA'!$A:$A, Ajustes!AN$1, 'CEI_COMPLETA'!$B:$B, Ajustes!$R19)
)</f>
        <v>6495</v>
      </c>
      <c r="AO19" s="11">
        <f>_xlfn.LET(
    _xlpm.intervaloSoma, IF($S19="R", 'CEI_COMPLETA'!$E:$E, 'CEI_COMPLETA'!$D:$D),
    SUMIFS(_xlpm.intervaloSoma, 'CEI_COMPLETA'!$A:$A, Ajustes!AO$1, 'CEI_COMPLETA'!$B:$B, Ajustes!$R19)
)</f>
        <v>7379</v>
      </c>
    </row>
    <row r="20" spans="1:41" x14ac:dyDescent="0.25">
      <c r="A20" s="20" t="s">
        <v>73</v>
      </c>
      <c r="B20" s="26"/>
      <c r="C20" s="8"/>
      <c r="D20" s="8"/>
      <c r="E20" s="8"/>
      <c r="F20" s="8"/>
      <c r="G20" s="8"/>
      <c r="H20" s="27"/>
      <c r="I20" s="26" cm="1">
        <f t="array" ref="I20">_xlfn.SWITCH(B20,0,0,"-",-1,"+",1)</f>
        <v>0</v>
      </c>
      <c r="J20" s="8" cm="1">
        <f t="array" ref="J20">_xlfn.SWITCH(C20,0,0,"-",-1,"+",1)</f>
        <v>0</v>
      </c>
      <c r="K20" s="8" cm="1">
        <f t="array" ref="K20">_xlfn.SWITCH(D20,0,0,"-",-1,"+",1)</f>
        <v>0</v>
      </c>
      <c r="L20" s="8" cm="1">
        <f t="array" ref="L20">_xlfn.SWITCH(E20,0,0,"-",-1,"+",1)</f>
        <v>0</v>
      </c>
      <c r="M20" s="8" cm="1">
        <f t="array" ref="M20">_xlfn.SWITCH(F20,0,0,"-",-1,"+",1)</f>
        <v>0</v>
      </c>
      <c r="N20" s="8" cm="1">
        <f t="array" ref="N20">_xlfn.SWITCH(G20,0,0,"-",-1,"+",1)</f>
        <v>0</v>
      </c>
      <c r="O20" s="27" cm="1">
        <f t="array" ref="O20">_xlfn.SWITCH(H20,0,0,"-",-1,"+",1)</f>
        <v>0</v>
      </c>
      <c r="P20" s="36" t="s">
        <v>120</v>
      </c>
      <c r="R20" s="9" t="s">
        <v>192</v>
      </c>
      <c r="S20" s="37" t="s">
        <v>146</v>
      </c>
      <c r="T20" s="11">
        <f>_xlfn.LET(
    _xlpm.intervaloSoma, IF($S20="R", 'CEI_COMPLETA'!$E:$E, 'CEI_COMPLETA'!$D:$D),
    SUMIFS(_xlpm.intervaloSoma, 'CEI_COMPLETA'!$A:$A, Ajustes!T$1, 'CEI_COMPLETA'!$B:$B, Ajustes!$Q20)
)</f>
        <v>0</v>
      </c>
      <c r="U20" s="11">
        <f>_xlfn.LET(
    _xlpm.intervaloSoma, IF($S20="R", 'CEI_COMPLETA'!$E:$E, 'CEI_COMPLETA'!$D:$D),
    SUMIFS(_xlpm.intervaloSoma, 'CEI_COMPLETA'!$A:$A, Ajustes!U$1, 'CEI_COMPLETA'!$B:$B, Ajustes!$Q20)
)</f>
        <v>0</v>
      </c>
      <c r="V20" s="11">
        <f>_xlfn.LET(
    _xlpm.intervaloSoma, IF($S20="R", 'CEI_COMPLETA'!$E:$E, 'CEI_COMPLETA'!$D:$D),
    SUMIFS(_xlpm.intervaloSoma, 'CEI_COMPLETA'!$A:$A, Ajustes!V$1, 'CEI_COMPLETA'!$B:$B, Ajustes!$Q20)
)</f>
        <v>0</v>
      </c>
      <c r="W20" s="11">
        <f>_xlfn.LET(
    _xlpm.intervaloSoma, IF($S20="R", 'CEI_COMPLETA'!$E:$E, 'CEI_COMPLETA'!$D:$D),
    SUMIFS(_xlpm.intervaloSoma, 'CEI_COMPLETA'!$A:$A, Ajustes!W$1, 'CEI_COMPLETA'!$B:$B, Ajustes!$Q20)
)</f>
        <v>0</v>
      </c>
      <c r="X20" s="11">
        <f>_xlfn.LET(
    _xlpm.intervaloSoma, IF($S20="R", 'CEI_COMPLETA'!$E:$E, 'CEI_COMPLETA'!$D:$D),
    SUMIFS(_xlpm.intervaloSoma, 'CEI_COMPLETA'!$A:$A, Ajustes!X$1, 'CEI_COMPLETA'!$B:$B, Ajustes!$Q20)
)</f>
        <v>0</v>
      </c>
      <c r="Y20" s="11">
        <f>_xlfn.LET(
    _xlpm.intervaloSoma, IF($S20="R", 'CEI_COMPLETA'!$E:$E, 'CEI_COMPLETA'!$D:$D),
    SUMIFS(_xlpm.intervaloSoma, 'CEI_COMPLETA'!$A:$A, Ajustes!Y$1, 'CEI_COMPLETA'!$B:$B, Ajustes!$Q20)
)</f>
        <v>0</v>
      </c>
      <c r="Z20" s="11">
        <f>_xlfn.LET(
    _xlpm.intervaloSoma, IF($S20="R", 'CEI_COMPLETA'!$E:$E, 'CEI_COMPLETA'!$D:$D),
    SUMIFS(_xlpm.intervaloSoma, 'CEI_COMPLETA'!$A:$A, Ajustes!Z$1, 'CEI_COMPLETA'!$B:$B, Ajustes!$Q20)
)</f>
        <v>0</v>
      </c>
      <c r="AA20" s="11">
        <f>_xlfn.LET(
    _xlpm.intervaloSoma, IF($S20="R", 'CEI_COMPLETA'!$E:$E, 'CEI_COMPLETA'!$D:$D),
    SUMIFS(_xlpm.intervaloSoma, 'CEI_COMPLETA'!$A:$A, Ajustes!AA$1, 'CEI_COMPLETA'!$B:$B, Ajustes!$Q20)
)</f>
        <v>0</v>
      </c>
      <c r="AB20" s="11">
        <f>_xlfn.LET(
    _xlpm.intervaloSoma, IF($S20="R", 'CEI_COMPLETA'!$E:$E, 'CEI_COMPLETA'!$D:$D),
    SUMIFS(_xlpm.intervaloSoma, 'CEI_COMPLETA'!$A:$A, Ajustes!AB$1, 'CEI_COMPLETA'!$B:$B, Ajustes!$Q20)
)</f>
        <v>0</v>
      </c>
      <c r="AC20" s="11">
        <f>_xlfn.LET(
    _xlpm.intervaloSoma, IF($S20="R", 'CEI_COMPLETA'!$E:$E, 'CEI_COMPLETA'!$D:$D),
    SUMIFS(_xlpm.intervaloSoma, 'CEI_COMPLETA'!$A:$A, Ajustes!AC$1, 'CEI_COMPLETA'!$B:$B, Ajustes!$Q20)
)</f>
        <v>0</v>
      </c>
      <c r="AD20" s="11">
        <f>_xlfn.LET(
    _xlpm.intervaloSoma, IF($S20="R", 'CEI_COMPLETA'!$E:$E, 'CEI_COMPLETA'!$D:$D),
    SUMIFS(_xlpm.intervaloSoma, 'CEI_COMPLETA'!$A:$A, Ajustes!AD$1, 'CEI_COMPLETA'!$B:$B, Ajustes!$R20)
)</f>
        <v>3863</v>
      </c>
      <c r="AE20" s="11">
        <f>_xlfn.LET(
    _xlpm.intervaloSoma, IF($S20="R", 'CEI_COMPLETA'!$E:$E, 'CEI_COMPLETA'!$D:$D),
    SUMIFS(_xlpm.intervaloSoma, 'CEI_COMPLETA'!$A:$A, Ajustes!AE$1, 'CEI_COMPLETA'!$B:$B, Ajustes!$R20)
)</f>
        <v>4056</v>
      </c>
      <c r="AF20" s="11">
        <f>_xlfn.LET(
    _xlpm.intervaloSoma, IF($S20="R", 'CEI_COMPLETA'!$E:$E, 'CEI_COMPLETA'!$D:$D),
    SUMIFS(_xlpm.intervaloSoma, 'CEI_COMPLETA'!$A:$A, Ajustes!AF$1, 'CEI_COMPLETA'!$B:$B, Ajustes!$R20)
)</f>
        <v>5027</v>
      </c>
      <c r="AG20" s="11">
        <f>_xlfn.LET(
    _xlpm.intervaloSoma, IF($S20="R", 'CEI_COMPLETA'!$E:$E, 'CEI_COMPLETA'!$D:$D),
    SUMIFS(_xlpm.intervaloSoma, 'CEI_COMPLETA'!$A:$A, Ajustes!AG$1, 'CEI_COMPLETA'!$B:$B, Ajustes!$R20)
)</f>
        <v>3371</v>
      </c>
      <c r="AH20" s="11">
        <f>_xlfn.LET(
    _xlpm.intervaloSoma, IF($S20="R", 'CEI_COMPLETA'!$E:$E, 'CEI_COMPLETA'!$D:$D),
    SUMIFS(_xlpm.intervaloSoma, 'CEI_COMPLETA'!$A:$A, Ajustes!AH$1, 'CEI_COMPLETA'!$B:$B, Ajustes!$R20)
)</f>
        <v>5386</v>
      </c>
      <c r="AI20" s="11">
        <f>_xlfn.LET(
    _xlpm.intervaloSoma, IF($S20="R", 'CEI_COMPLETA'!$E:$E, 'CEI_COMPLETA'!$D:$D),
    SUMIFS(_xlpm.intervaloSoma, 'CEI_COMPLETA'!$A:$A, Ajustes!AI$1, 'CEI_COMPLETA'!$B:$B, Ajustes!$R20)
)</f>
        <v>5933</v>
      </c>
      <c r="AJ20" s="11">
        <f>_xlfn.LET(
    _xlpm.intervaloSoma, IF($S20="R", 'CEI_COMPLETA'!$E:$E, 'CEI_COMPLETA'!$D:$D),
    SUMIFS(_xlpm.intervaloSoma, 'CEI_COMPLETA'!$A:$A, Ajustes!AJ$1, 'CEI_COMPLETA'!$B:$B, Ajustes!$R20)
)</f>
        <v>5988</v>
      </c>
      <c r="AK20" s="11">
        <f>_xlfn.LET(
    _xlpm.intervaloSoma, IF($S20="R", 'CEI_COMPLETA'!$E:$E, 'CEI_COMPLETA'!$D:$D),
    SUMIFS(_xlpm.intervaloSoma, 'CEI_COMPLETA'!$A:$A, Ajustes!AK$1, 'CEI_COMPLETA'!$B:$B, Ajustes!$R20)
)</f>
        <v>5335</v>
      </c>
      <c r="AL20" s="11">
        <f>_xlfn.LET(
    _xlpm.intervaloSoma, IF($S20="R", 'CEI_COMPLETA'!$E:$E, 'CEI_COMPLETA'!$D:$D),
    SUMIFS(_xlpm.intervaloSoma, 'CEI_COMPLETA'!$A:$A, Ajustes!AL$1, 'CEI_COMPLETA'!$B:$B, Ajustes!$R20)
)</f>
        <v>4222</v>
      </c>
      <c r="AM20" s="11">
        <f>_xlfn.LET(
    _xlpm.intervaloSoma, IF($S20="R", 'CEI_COMPLETA'!$E:$E, 'CEI_COMPLETA'!$D:$D),
    SUMIFS(_xlpm.intervaloSoma, 'CEI_COMPLETA'!$A:$A, Ajustes!AM$1, 'CEI_COMPLETA'!$B:$B, Ajustes!$R20)
)</f>
        <v>5386</v>
      </c>
      <c r="AN20" s="11">
        <f>_xlfn.LET(
    _xlpm.intervaloSoma, IF($S20="R", 'CEI_COMPLETA'!$E:$E, 'CEI_COMPLETA'!$D:$D),
    SUMIFS(_xlpm.intervaloSoma, 'CEI_COMPLETA'!$A:$A, Ajustes!AN$1, 'CEI_COMPLETA'!$B:$B, Ajustes!$R20)
)</f>
        <v>4136</v>
      </c>
      <c r="AO20" s="11">
        <f>_xlfn.LET(
    _xlpm.intervaloSoma, IF($S20="R", 'CEI_COMPLETA'!$E:$E, 'CEI_COMPLETA'!$D:$D),
    SUMIFS(_xlpm.intervaloSoma, 'CEI_COMPLETA'!$A:$A, Ajustes!AO$1, 'CEI_COMPLETA'!$B:$B, Ajustes!$R20)
)</f>
        <v>3891</v>
      </c>
    </row>
    <row r="21" spans="1:41" ht="15.75" thickBot="1" x14ac:dyDescent="0.3">
      <c r="A21" s="21" t="s">
        <v>74</v>
      </c>
      <c r="B21" s="26"/>
      <c r="C21" s="8"/>
      <c r="D21" s="8"/>
      <c r="E21" s="8"/>
      <c r="F21" s="8"/>
      <c r="G21" s="8"/>
      <c r="H21" s="27"/>
      <c r="I21" s="26" cm="1">
        <f t="array" ref="I21">_xlfn.SWITCH(B21,0,0,"-",-1,"+",1)</f>
        <v>0</v>
      </c>
      <c r="J21" s="8" cm="1">
        <f t="array" ref="J21">_xlfn.SWITCH(C21,0,0,"-",-1,"+",1)</f>
        <v>0</v>
      </c>
      <c r="K21" s="8" cm="1">
        <f t="array" ref="K21">_xlfn.SWITCH(D21,0,0,"-",-1,"+",1)</f>
        <v>0</v>
      </c>
      <c r="L21" s="8" cm="1">
        <f t="array" ref="L21">_xlfn.SWITCH(E21,0,0,"-",-1,"+",1)</f>
        <v>0</v>
      </c>
      <c r="M21" s="8" cm="1">
        <f t="array" ref="M21">_xlfn.SWITCH(F21,0,0,"-",-1,"+",1)</f>
        <v>0</v>
      </c>
      <c r="N21" s="8" cm="1">
        <f t="array" ref="N21">_xlfn.SWITCH(G21,0,0,"-",-1,"+",1)</f>
        <v>0</v>
      </c>
      <c r="O21" s="27" cm="1">
        <f t="array" ref="O21">_xlfn.SWITCH(H21,0,0,"-",-1,"+",1)</f>
        <v>0</v>
      </c>
      <c r="P21" s="36" t="s">
        <v>120</v>
      </c>
      <c r="R21" s="9" t="s">
        <v>193</v>
      </c>
      <c r="S21" s="37" t="s">
        <v>146</v>
      </c>
      <c r="T21" s="11">
        <f>_xlfn.LET(
    _xlpm.intervaloSoma, IF($S21="R", 'CEI_COMPLETA'!$E:$E, 'CEI_COMPLETA'!$D:$D),
    SUMIFS(_xlpm.intervaloSoma, 'CEI_COMPLETA'!$A:$A, Ajustes!T$1, 'CEI_COMPLETA'!$B:$B, Ajustes!$Q21)
)</f>
        <v>0</v>
      </c>
      <c r="U21" s="11">
        <f>_xlfn.LET(
    _xlpm.intervaloSoma, IF($S21="R", 'CEI_COMPLETA'!$E:$E, 'CEI_COMPLETA'!$D:$D),
    SUMIFS(_xlpm.intervaloSoma, 'CEI_COMPLETA'!$A:$A, Ajustes!U$1, 'CEI_COMPLETA'!$B:$B, Ajustes!$Q21)
)</f>
        <v>0</v>
      </c>
      <c r="V21" s="11">
        <f>_xlfn.LET(
    _xlpm.intervaloSoma, IF($S21="R", 'CEI_COMPLETA'!$E:$E, 'CEI_COMPLETA'!$D:$D),
    SUMIFS(_xlpm.intervaloSoma, 'CEI_COMPLETA'!$A:$A, Ajustes!V$1, 'CEI_COMPLETA'!$B:$B, Ajustes!$Q21)
)</f>
        <v>0</v>
      </c>
      <c r="W21" s="11">
        <f>_xlfn.LET(
    _xlpm.intervaloSoma, IF($S21="R", 'CEI_COMPLETA'!$E:$E, 'CEI_COMPLETA'!$D:$D),
    SUMIFS(_xlpm.intervaloSoma, 'CEI_COMPLETA'!$A:$A, Ajustes!W$1, 'CEI_COMPLETA'!$B:$B, Ajustes!$Q21)
)</f>
        <v>0</v>
      </c>
      <c r="X21" s="11">
        <f>_xlfn.LET(
    _xlpm.intervaloSoma, IF($S21="R", 'CEI_COMPLETA'!$E:$E, 'CEI_COMPLETA'!$D:$D),
    SUMIFS(_xlpm.intervaloSoma, 'CEI_COMPLETA'!$A:$A, Ajustes!X$1, 'CEI_COMPLETA'!$B:$B, Ajustes!$Q21)
)</f>
        <v>0</v>
      </c>
      <c r="Y21" s="11">
        <f>_xlfn.LET(
    _xlpm.intervaloSoma, IF($S21="R", 'CEI_COMPLETA'!$E:$E, 'CEI_COMPLETA'!$D:$D),
    SUMIFS(_xlpm.intervaloSoma, 'CEI_COMPLETA'!$A:$A, Ajustes!Y$1, 'CEI_COMPLETA'!$B:$B, Ajustes!$Q21)
)</f>
        <v>0</v>
      </c>
      <c r="Z21" s="11">
        <f>_xlfn.LET(
    _xlpm.intervaloSoma, IF($S21="R", 'CEI_COMPLETA'!$E:$E, 'CEI_COMPLETA'!$D:$D),
    SUMIFS(_xlpm.intervaloSoma, 'CEI_COMPLETA'!$A:$A, Ajustes!Z$1, 'CEI_COMPLETA'!$B:$B, Ajustes!$Q21)
)</f>
        <v>0</v>
      </c>
      <c r="AA21" s="11">
        <f>_xlfn.LET(
    _xlpm.intervaloSoma, IF($S21="R", 'CEI_COMPLETA'!$E:$E, 'CEI_COMPLETA'!$D:$D),
    SUMIFS(_xlpm.intervaloSoma, 'CEI_COMPLETA'!$A:$A, Ajustes!AA$1, 'CEI_COMPLETA'!$B:$B, Ajustes!$Q21)
)</f>
        <v>0</v>
      </c>
      <c r="AB21" s="11">
        <f>_xlfn.LET(
    _xlpm.intervaloSoma, IF($S21="R", 'CEI_COMPLETA'!$E:$E, 'CEI_COMPLETA'!$D:$D),
    SUMIFS(_xlpm.intervaloSoma, 'CEI_COMPLETA'!$A:$A, Ajustes!AB$1, 'CEI_COMPLETA'!$B:$B, Ajustes!$Q21)
)</f>
        <v>0</v>
      </c>
      <c r="AC21" s="11">
        <f>_xlfn.LET(
    _xlpm.intervaloSoma, IF($S21="R", 'CEI_COMPLETA'!$E:$E, 'CEI_COMPLETA'!$D:$D),
    SUMIFS(_xlpm.intervaloSoma, 'CEI_COMPLETA'!$A:$A, Ajustes!AC$1, 'CEI_COMPLETA'!$B:$B, Ajustes!$Q21)
)</f>
        <v>0</v>
      </c>
      <c r="AD21" s="11">
        <f>_xlfn.LET(
    _xlpm.intervaloSoma, IF($S21="R", 'CEI_COMPLETA'!$E:$E, 'CEI_COMPLETA'!$D:$D),
    SUMIFS(_xlpm.intervaloSoma, 'CEI_COMPLETA'!$A:$A, Ajustes!AD$1, 'CEI_COMPLETA'!$B:$B, Ajustes!$R21)
)</f>
        <v>49676</v>
      </c>
      <c r="AE21" s="11">
        <f>_xlfn.LET(
    _xlpm.intervaloSoma, IF($S21="R", 'CEI_COMPLETA'!$E:$E, 'CEI_COMPLETA'!$D:$D),
    SUMIFS(_xlpm.intervaloSoma, 'CEI_COMPLETA'!$A:$A, Ajustes!AE$1, 'CEI_COMPLETA'!$B:$B, Ajustes!$R21)
)</f>
        <v>40879</v>
      </c>
      <c r="AF21" s="11">
        <f>_xlfn.LET(
    _xlpm.intervaloSoma, IF($S21="R", 'CEI_COMPLETA'!$E:$E, 'CEI_COMPLETA'!$D:$D),
    SUMIFS(_xlpm.intervaloSoma, 'CEI_COMPLETA'!$A:$A, Ajustes!AF$1, 'CEI_COMPLETA'!$B:$B, Ajustes!$R21)
)</f>
        <v>62648</v>
      </c>
      <c r="AG21" s="11">
        <f>_xlfn.LET(
    _xlpm.intervaloSoma, IF($S21="R", 'CEI_COMPLETA'!$E:$E, 'CEI_COMPLETA'!$D:$D),
    SUMIFS(_xlpm.intervaloSoma, 'CEI_COMPLETA'!$A:$A, Ajustes!AG$1, 'CEI_COMPLETA'!$B:$B, Ajustes!$R21)
)</f>
        <v>36695</v>
      </c>
      <c r="AH21" s="11">
        <f>_xlfn.LET(
    _xlpm.intervaloSoma, IF($S21="R", 'CEI_COMPLETA'!$E:$E, 'CEI_COMPLETA'!$D:$D),
    SUMIFS(_xlpm.intervaloSoma, 'CEI_COMPLETA'!$A:$A, Ajustes!AH$1, 'CEI_COMPLETA'!$B:$B, Ajustes!$R21)
)</f>
        <v>40607</v>
      </c>
      <c r="AI21" s="11">
        <f>_xlfn.LET(
    _xlpm.intervaloSoma, IF($S21="R", 'CEI_COMPLETA'!$E:$E, 'CEI_COMPLETA'!$D:$D),
    SUMIFS(_xlpm.intervaloSoma, 'CEI_COMPLETA'!$A:$A, Ajustes!AI$1, 'CEI_COMPLETA'!$B:$B, Ajustes!$R21)
)</f>
        <v>79427</v>
      </c>
      <c r="AJ21" s="11">
        <f>_xlfn.LET(
    _xlpm.intervaloSoma, IF($S21="R", 'CEI_COMPLETA'!$E:$E, 'CEI_COMPLETA'!$D:$D),
    SUMIFS(_xlpm.intervaloSoma, 'CEI_COMPLETA'!$A:$A, Ajustes!AJ$1, 'CEI_COMPLETA'!$B:$B, Ajustes!$R21)
)</f>
        <v>65107</v>
      </c>
      <c r="AK21" s="11">
        <f>_xlfn.LET(
    _xlpm.intervaloSoma, IF($S21="R", 'CEI_COMPLETA'!$E:$E, 'CEI_COMPLETA'!$D:$D),
    SUMIFS(_xlpm.intervaloSoma, 'CEI_COMPLETA'!$A:$A, Ajustes!AK$1, 'CEI_COMPLETA'!$B:$B, Ajustes!$R21)
)</f>
        <v>48385</v>
      </c>
      <c r="AL21" s="11">
        <f>_xlfn.LET(
    _xlpm.intervaloSoma, IF($S21="R", 'CEI_COMPLETA'!$E:$E, 'CEI_COMPLETA'!$D:$D),
    SUMIFS(_xlpm.intervaloSoma, 'CEI_COMPLETA'!$A:$A, Ajustes!AL$1, 'CEI_COMPLETA'!$B:$B, Ajustes!$R21)
)</f>
        <v>47536</v>
      </c>
      <c r="AM21" s="11">
        <f>_xlfn.LET(
    _xlpm.intervaloSoma, IF($S21="R", 'CEI_COMPLETA'!$E:$E, 'CEI_COMPLETA'!$D:$D),
    SUMIFS(_xlpm.intervaloSoma, 'CEI_COMPLETA'!$A:$A, Ajustes!AM$1, 'CEI_COMPLETA'!$B:$B, Ajustes!$R21)
)</f>
        <v>84273</v>
      </c>
      <c r="AN21" s="11">
        <f>_xlfn.LET(
    _xlpm.intervaloSoma, IF($S21="R", 'CEI_COMPLETA'!$E:$E, 'CEI_COMPLETA'!$D:$D),
    SUMIFS(_xlpm.intervaloSoma, 'CEI_COMPLETA'!$A:$A, Ajustes!AN$1, 'CEI_COMPLETA'!$B:$B, Ajustes!$R21)
)</f>
        <v>56739</v>
      </c>
      <c r="AO21" s="11">
        <f>_xlfn.LET(
    _xlpm.intervaloSoma, IF($S21="R", 'CEI_COMPLETA'!$E:$E, 'CEI_COMPLETA'!$D:$D),
    SUMIFS(_xlpm.intervaloSoma, 'CEI_COMPLETA'!$A:$A, Ajustes!AO$1, 'CEI_COMPLETA'!$B:$B, Ajustes!$R21)
)</f>
        <v>70429</v>
      </c>
    </row>
    <row r="22" spans="1:41" x14ac:dyDescent="0.25">
      <c r="A22" s="19" t="s">
        <v>134</v>
      </c>
      <c r="B22" s="28"/>
      <c r="C22" s="8"/>
      <c r="D22" s="8"/>
      <c r="E22" s="8"/>
      <c r="F22" s="8"/>
      <c r="G22" s="8"/>
      <c r="H22" s="27"/>
      <c r="I22" s="26" cm="1">
        <f t="array" ref="I22">_xlfn.SWITCH(B22,0,0,"-",-1,"+",1)</f>
        <v>0</v>
      </c>
      <c r="J22" s="8" cm="1">
        <f t="array" ref="J22">_xlfn.SWITCH(C22,0,0,"-",-1,"+",1)</f>
        <v>0</v>
      </c>
      <c r="K22" s="8" cm="1">
        <f t="array" ref="K22">_xlfn.SWITCH(D22,0,0,"-",-1,"+",1)</f>
        <v>0</v>
      </c>
      <c r="L22" s="8" cm="1">
        <f t="array" ref="L22">_xlfn.SWITCH(E22,0,0,"-",-1,"+",1)</f>
        <v>0</v>
      </c>
      <c r="M22" s="8" cm="1">
        <f t="array" ref="M22">_xlfn.SWITCH(F22,0,0,"-",-1,"+",1)</f>
        <v>0</v>
      </c>
      <c r="N22" s="8" cm="1">
        <f t="array" ref="N22">_xlfn.SWITCH(G22,0,0,"-",-1,"+",1)</f>
        <v>0</v>
      </c>
      <c r="O22" s="27" cm="1">
        <f t="array" ref="O22">_xlfn.SWITCH(H22,0,0,"-",-1,"+",1)</f>
        <v>0</v>
      </c>
      <c r="P22" s="36" t="s">
        <v>120</v>
      </c>
      <c r="Q22" s="9" t="s">
        <v>135</v>
      </c>
      <c r="R22" s="9" t="s">
        <v>135</v>
      </c>
      <c r="S22" s="37" t="s">
        <v>146</v>
      </c>
      <c r="T22" s="14">
        <f>_xlfn.LET(
    _xlpm.intervaloSoma, IF($S22="R", 'CEI_COMPLETA'!$E:$E, 'CEI_COMPLETA'!$D:$D),
    SUMIFS(_xlpm.intervaloSoma, 'CEI_COMPLETA'!$A:$A, Ajustes!T$1, 'CEI_COMPLETA'!$B:$B, Ajustes!$Q22)
)</f>
        <v>89169</v>
      </c>
      <c r="U22" s="14">
        <f>_xlfn.LET(
    _xlpm.intervaloSoma, IF($S22="R", 'CEI_COMPLETA'!$E:$E, 'CEI_COMPLETA'!$D:$D),
    SUMIFS(_xlpm.intervaloSoma, 'CEI_COMPLETA'!$A:$A, Ajustes!U$1, 'CEI_COMPLETA'!$B:$B, Ajustes!$Q22)
)</f>
        <v>102406</v>
      </c>
      <c r="V22" s="14">
        <f>_xlfn.LET(
    _xlpm.intervaloSoma, IF($S22="R", 'CEI_COMPLETA'!$E:$E, 'CEI_COMPLETA'!$D:$D),
    SUMIFS(_xlpm.intervaloSoma, 'CEI_COMPLETA'!$A:$A, Ajustes!V$1, 'CEI_COMPLETA'!$B:$B, Ajustes!$Q22)
)</f>
        <v>112071</v>
      </c>
      <c r="W22" s="14">
        <f>_xlfn.LET(
    _xlpm.intervaloSoma, IF($S22="R", 'CEI_COMPLETA'!$E:$E, 'CEI_COMPLETA'!$D:$D),
    SUMIFS(_xlpm.intervaloSoma, 'CEI_COMPLETA'!$A:$A, Ajustes!W$1, 'CEI_COMPLETA'!$B:$B, Ajustes!$Q22)
)</f>
        <v>130544</v>
      </c>
      <c r="X22" s="14">
        <f>_xlfn.LET(
    _xlpm.intervaloSoma, IF($S22="R", 'CEI_COMPLETA'!$E:$E, 'CEI_COMPLETA'!$D:$D),
    SUMIFS(_xlpm.intervaloSoma, 'CEI_COMPLETA'!$A:$A, Ajustes!X$1, 'CEI_COMPLETA'!$B:$B, Ajustes!$Q22)
)</f>
        <v>150377</v>
      </c>
      <c r="Y22" s="14">
        <f>_xlfn.LET(
    _xlpm.intervaloSoma, IF($S22="R", 'CEI_COMPLETA'!$E:$E, 'CEI_COMPLETA'!$D:$D),
    SUMIFS(_xlpm.intervaloSoma, 'CEI_COMPLETA'!$A:$A, Ajustes!Y$1, 'CEI_COMPLETA'!$B:$B, Ajustes!$Q22)
)</f>
        <v>167910</v>
      </c>
      <c r="Z22" s="14">
        <f>_xlfn.LET(
    _xlpm.intervaloSoma, IF($S22="R", 'CEI_COMPLETA'!$E:$E, 'CEI_COMPLETA'!$D:$D),
    SUMIFS(_xlpm.intervaloSoma, 'CEI_COMPLETA'!$A:$A, Ajustes!Z$1, 'CEI_COMPLETA'!$B:$B, Ajustes!$Q22)
)</f>
        <v>186735</v>
      </c>
      <c r="AA22" s="14">
        <f>_xlfn.LET(
    _xlpm.intervaloSoma, IF($S22="R", 'CEI_COMPLETA'!$E:$E, 'CEI_COMPLETA'!$D:$D),
    SUMIFS(_xlpm.intervaloSoma, 'CEI_COMPLETA'!$A:$A, Ajustes!AA$1, 'CEI_COMPLETA'!$B:$B, Ajustes!$Q22)
)</f>
        <v>217336</v>
      </c>
      <c r="AB22" s="14">
        <f>_xlfn.LET(
    _xlpm.intervaloSoma, IF($S22="R", 'CEI_COMPLETA'!$E:$E, 'CEI_COMPLETA'!$D:$D),
    SUMIFS(_xlpm.intervaloSoma, 'CEI_COMPLETA'!$A:$A, Ajustes!AB$1, 'CEI_COMPLETA'!$B:$B, Ajustes!$Q22)
)</f>
        <v>251459</v>
      </c>
      <c r="AC22" s="14">
        <f>_xlfn.LET(
    _xlpm.intervaloSoma, IF($S22="R", 'CEI_COMPLETA'!$E:$E, 'CEI_COMPLETA'!$D:$D),
    SUMIFS(_xlpm.intervaloSoma, 'CEI_COMPLETA'!$A:$A, Ajustes!AC$1, 'CEI_COMPLETA'!$B:$B, Ajustes!$Q22)
)</f>
        <v>286667</v>
      </c>
      <c r="AD22" s="14">
        <f>_xlfn.LET(
    _xlpm.intervaloSoma, IF($S22="R", 'CEI_COMPLETA'!$E:$E, 'CEI_COMPLETA'!$D:$D),
    SUMIFS(_xlpm.intervaloSoma, 'CEI_COMPLETA'!$A:$A, Ajustes!AD$1, 'CEI_COMPLETA'!$B:$B, Ajustes!$R22)
)</f>
        <v>340905</v>
      </c>
      <c r="AE22" s="14">
        <f>_xlfn.LET(
    _xlpm.intervaloSoma, IF($S22="R", 'CEI_COMPLETA'!$E:$E, 'CEI_COMPLETA'!$D:$D),
    SUMIFS(_xlpm.intervaloSoma, 'CEI_COMPLETA'!$A:$A, Ajustes!AE$1, 'CEI_COMPLETA'!$B:$B, Ajustes!$R22)
)</f>
        <v>393126</v>
      </c>
      <c r="AF22" s="14">
        <f>_xlfn.LET(
    _xlpm.intervaloSoma, IF($S22="R", 'CEI_COMPLETA'!$E:$E, 'CEI_COMPLETA'!$D:$D),
    SUMIFS(_xlpm.intervaloSoma, 'CEI_COMPLETA'!$A:$A, Ajustes!AF$1, 'CEI_COMPLETA'!$B:$B, Ajustes!$R22)
)</f>
        <v>431871</v>
      </c>
      <c r="AG22" s="14">
        <f>_xlfn.LET(
    _xlpm.intervaloSoma, IF($S22="R", 'CEI_COMPLETA'!$E:$E, 'CEI_COMPLETA'!$D:$D),
    SUMIFS(_xlpm.intervaloSoma, 'CEI_COMPLETA'!$A:$A, Ajustes!AG$1, 'CEI_COMPLETA'!$B:$B, Ajustes!$R22)
)</f>
        <v>483503</v>
      </c>
      <c r="AH22" s="14">
        <f>_xlfn.LET(
    _xlpm.intervaloSoma, IF($S22="R", 'CEI_COMPLETA'!$E:$E, 'CEI_COMPLETA'!$D:$D),
    SUMIFS(_xlpm.intervaloSoma, 'CEI_COMPLETA'!$A:$A, Ajustes!AH$1, 'CEI_COMPLETA'!$B:$B, Ajustes!$R22)
)</f>
        <v>514960</v>
      </c>
      <c r="AI22" s="14">
        <f>_xlfn.LET(
    _xlpm.intervaloSoma, IF($S22="R", 'CEI_COMPLETA'!$E:$E, 'CEI_COMPLETA'!$D:$D),
    SUMIFS(_xlpm.intervaloSoma, 'CEI_COMPLETA'!$A:$A, Ajustes!AI$1, 'CEI_COMPLETA'!$B:$B, Ajustes!$R22)
)</f>
        <v>545172</v>
      </c>
      <c r="AJ22" s="14">
        <f>_xlfn.LET(
    _xlpm.intervaloSoma, IF($S22="R", 'CEI_COMPLETA'!$E:$E, 'CEI_COMPLETA'!$D:$D),
    SUMIFS(_xlpm.intervaloSoma, 'CEI_COMPLETA'!$A:$A, Ajustes!AJ$1, 'CEI_COMPLETA'!$B:$B, Ajustes!$R22)
)</f>
        <v>573144</v>
      </c>
      <c r="AK22" s="14">
        <f>_xlfn.LET(
    _xlpm.intervaloSoma, IF($S22="R", 'CEI_COMPLETA'!$E:$E, 'CEI_COMPLETA'!$D:$D),
    SUMIFS(_xlpm.intervaloSoma, 'CEI_COMPLETA'!$A:$A, Ajustes!AK$1, 'CEI_COMPLETA'!$B:$B, Ajustes!$R22)
)</f>
        <v>608182</v>
      </c>
      <c r="AL22" s="14">
        <f>_xlfn.LET(
    _xlpm.intervaloSoma, IF($S22="R", 'CEI_COMPLETA'!$E:$E, 'CEI_COMPLETA'!$D:$D),
    SUMIFS(_xlpm.intervaloSoma, 'CEI_COMPLETA'!$A:$A, Ajustes!AL$1, 'CEI_COMPLETA'!$B:$B, Ajustes!$R22)
)</f>
        <v>633475</v>
      </c>
      <c r="AM22" s="14">
        <f>_xlfn.LET(
    _xlpm.intervaloSoma, IF($S22="R", 'CEI_COMPLETA'!$E:$E, 'CEI_COMPLETA'!$D:$D),
    SUMIFS(_xlpm.intervaloSoma, 'CEI_COMPLETA'!$A:$A, Ajustes!AM$1, 'CEI_COMPLETA'!$B:$B, Ajustes!$R22)
)</f>
        <v>677987</v>
      </c>
      <c r="AN22" s="14">
        <f>_xlfn.LET(
    _xlpm.intervaloSoma, IF($S22="R", 'CEI_COMPLETA'!$E:$E, 'CEI_COMPLETA'!$D:$D),
    SUMIFS(_xlpm.intervaloSoma, 'CEI_COMPLETA'!$A:$A, Ajustes!AN$1, 'CEI_COMPLETA'!$B:$B, Ajustes!$R22)
)</f>
        <v>660382</v>
      </c>
      <c r="AO22" s="14">
        <f>_xlfn.LET(
    _xlpm.intervaloSoma, IF($S22="R", 'CEI_COMPLETA'!$E:$E, 'CEI_COMPLETA'!$D:$D),
    SUMIFS(_xlpm.intervaloSoma, 'CEI_COMPLETA'!$A:$A, Ajustes!AO$1, 'CEI_COMPLETA'!$B:$B, Ajustes!$R22)
)</f>
        <v>739634</v>
      </c>
    </row>
    <row r="23" spans="1:41" x14ac:dyDescent="0.25">
      <c r="A23" s="20" t="s">
        <v>30</v>
      </c>
      <c r="B23" s="26"/>
      <c r="C23" s="8"/>
      <c r="D23" s="8"/>
      <c r="E23" s="8"/>
      <c r="F23" s="8"/>
      <c r="G23" s="8"/>
      <c r="H23" s="27"/>
      <c r="I23" s="26" cm="1">
        <f t="array" ref="I23">_xlfn.SWITCH(B23,0,0,"-",-1,"+",1)</f>
        <v>0</v>
      </c>
      <c r="J23" s="8" cm="1">
        <f t="array" ref="J23">_xlfn.SWITCH(C23,0,0,"-",-1,"+",1)</f>
        <v>0</v>
      </c>
      <c r="K23" s="8" cm="1">
        <f t="array" ref="K23">_xlfn.SWITCH(D23,0,0,"-",-1,"+",1)</f>
        <v>0</v>
      </c>
      <c r="L23" s="8" cm="1">
        <f t="array" ref="L23">_xlfn.SWITCH(E23,0,0,"-",-1,"+",1)</f>
        <v>0</v>
      </c>
      <c r="M23" s="8" cm="1">
        <f t="array" ref="M23">_xlfn.SWITCH(F23,0,0,"-",-1,"+",1)</f>
        <v>0</v>
      </c>
      <c r="N23" s="8" cm="1">
        <f t="array" ref="N23">_xlfn.SWITCH(G23,0,0,"-",-1,"+",1)</f>
        <v>0</v>
      </c>
      <c r="O23" s="27" cm="1">
        <f t="array" ref="O23">_xlfn.SWITCH(H23,0,0,"-",-1,"+",1)</f>
        <v>0</v>
      </c>
      <c r="P23" s="36" t="s">
        <v>120</v>
      </c>
      <c r="Q23" s="9" t="s">
        <v>157</v>
      </c>
      <c r="R23" s="9" t="s">
        <v>157</v>
      </c>
      <c r="S23" s="37" t="s">
        <v>146</v>
      </c>
      <c r="T23" s="11">
        <f>_xlfn.LET(
    _xlpm.intervaloSoma, IF($S23="R", 'CEI_COMPLETA'!$E:$E, 'CEI_COMPLETA'!$D:$D),
    SUMIFS(_xlpm.intervaloSoma, 'CEI_COMPLETA'!$A:$A, Ajustes!T$1, 'CEI_COMPLETA'!$B:$B, Ajustes!$Q23)
)</f>
        <v>67435</v>
      </c>
      <c r="U23" s="11">
        <f>_xlfn.LET(
    _xlpm.intervaloSoma, IF($S23="R", 'CEI_COMPLETA'!$E:$E, 'CEI_COMPLETA'!$D:$D),
    SUMIFS(_xlpm.intervaloSoma, 'CEI_COMPLETA'!$A:$A, Ajustes!U$1, 'CEI_COMPLETA'!$B:$B, Ajustes!$Q23)
)</f>
        <v>76664</v>
      </c>
      <c r="V23" s="11">
        <f>_xlfn.LET(
    _xlpm.intervaloSoma, IF($S23="R", 'CEI_COMPLETA'!$E:$E, 'CEI_COMPLETA'!$D:$D),
    SUMIFS(_xlpm.intervaloSoma, 'CEI_COMPLETA'!$A:$A, Ajustes!V$1, 'CEI_COMPLETA'!$B:$B, Ajustes!$Q23)
)</f>
        <v>84063</v>
      </c>
      <c r="W23" s="11">
        <f>_xlfn.LET(
    _xlpm.intervaloSoma, IF($S23="R", 'CEI_COMPLETA'!$E:$E, 'CEI_COMPLETA'!$D:$D),
    SUMIFS(_xlpm.intervaloSoma, 'CEI_COMPLETA'!$A:$A, Ajustes!W$1, 'CEI_COMPLETA'!$B:$B, Ajustes!$Q23)
)</f>
        <v>99492</v>
      </c>
      <c r="X23" s="11">
        <f>_xlfn.LET(
    _xlpm.intervaloSoma, IF($S23="R", 'CEI_COMPLETA'!$E:$E, 'CEI_COMPLETA'!$D:$D),
    SUMIFS(_xlpm.intervaloSoma, 'CEI_COMPLETA'!$A:$A, Ajustes!X$1, 'CEI_COMPLETA'!$B:$B, Ajustes!$Q23)
)</f>
        <v>118417</v>
      </c>
      <c r="Y23" s="11">
        <f>_xlfn.LET(
    _xlpm.intervaloSoma, IF($S23="R", 'CEI_COMPLETA'!$E:$E, 'CEI_COMPLETA'!$D:$D),
    SUMIFS(_xlpm.intervaloSoma, 'CEI_COMPLETA'!$A:$A, Ajustes!Y$1, 'CEI_COMPLETA'!$B:$B, Ajustes!$Q23)
)</f>
        <v>129466</v>
      </c>
      <c r="Z23" s="11">
        <f>_xlfn.LET(
    _xlpm.intervaloSoma, IF($S23="R", 'CEI_COMPLETA'!$E:$E, 'CEI_COMPLETA'!$D:$D),
    SUMIFS(_xlpm.intervaloSoma, 'CEI_COMPLETA'!$A:$A, Ajustes!Z$1, 'CEI_COMPLETA'!$B:$B, Ajustes!$Q23)
)</f>
        <v>151749</v>
      </c>
      <c r="AA23" s="11">
        <f>_xlfn.LET(
    _xlpm.intervaloSoma, IF($S23="R", 'CEI_COMPLETA'!$E:$E, 'CEI_COMPLETA'!$D:$D),
    SUMIFS(_xlpm.intervaloSoma, 'CEI_COMPLETA'!$A:$A, Ajustes!AA$1, 'CEI_COMPLETA'!$B:$B, Ajustes!$Q23)
)</f>
        <v>179752</v>
      </c>
      <c r="AB23" s="11">
        <f>_xlfn.LET(
    _xlpm.intervaloSoma, IF($S23="R", 'CEI_COMPLETA'!$E:$E, 'CEI_COMPLETA'!$D:$D),
    SUMIFS(_xlpm.intervaloSoma, 'CEI_COMPLETA'!$A:$A, Ajustes!AB$1, 'CEI_COMPLETA'!$B:$B, Ajustes!$Q23)
)</f>
        <v>210090</v>
      </c>
      <c r="AC23" s="11">
        <f>_xlfn.LET(
    _xlpm.intervaloSoma, IF($S23="R", 'CEI_COMPLETA'!$E:$E, 'CEI_COMPLETA'!$D:$D),
    SUMIFS(_xlpm.intervaloSoma, 'CEI_COMPLETA'!$A:$A, Ajustes!AC$1, 'CEI_COMPLETA'!$B:$B, Ajustes!$Q23)
)</f>
        <v>239770</v>
      </c>
      <c r="AD23" s="11">
        <f>_xlfn.LET(
    _xlpm.intervaloSoma, IF($S23="R", 'CEI_COMPLETA'!$E:$E, 'CEI_COMPLETA'!$D:$D),
    SUMIFS(_xlpm.intervaloSoma, 'CEI_COMPLETA'!$A:$A, Ajustes!AD$1, 'CEI_COMPLETA'!$B:$B, Ajustes!$R23)
)</f>
        <v>290193</v>
      </c>
      <c r="AE23" s="11">
        <f>_xlfn.LET(
    _xlpm.intervaloSoma, IF($S23="R", 'CEI_COMPLETA'!$E:$E, 'CEI_COMPLETA'!$D:$D),
    SUMIFS(_xlpm.intervaloSoma, 'CEI_COMPLETA'!$A:$A, Ajustes!AE$1, 'CEI_COMPLETA'!$B:$B, Ajustes!$R23)
)</f>
        <v>338487</v>
      </c>
      <c r="AF23" s="11">
        <f>_xlfn.LET(
    _xlpm.intervaloSoma, IF($S23="R", 'CEI_COMPLETA'!$E:$E, 'CEI_COMPLETA'!$D:$D),
    SUMIFS(_xlpm.intervaloSoma, 'CEI_COMPLETA'!$A:$A, Ajustes!AF$1, 'CEI_COMPLETA'!$B:$B, Ajustes!$R23)
)</f>
        <v>374647</v>
      </c>
      <c r="AG23" s="11">
        <f>_xlfn.LET(
    _xlpm.intervaloSoma, IF($S23="R", 'CEI_COMPLETA'!$E:$E, 'CEI_COMPLETA'!$D:$D),
    SUMIFS(_xlpm.intervaloSoma, 'CEI_COMPLETA'!$A:$A, Ajustes!AG$1, 'CEI_COMPLETA'!$B:$B, Ajustes!$R23)
)</f>
        <v>421108</v>
      </c>
      <c r="AH23" s="11">
        <f>_xlfn.LET(
    _xlpm.intervaloSoma, IF($S23="R", 'CEI_COMPLETA'!$E:$E, 'CEI_COMPLETA'!$D:$D),
    SUMIFS(_xlpm.intervaloSoma, 'CEI_COMPLETA'!$A:$A, Ajustes!AH$1, 'CEI_COMPLETA'!$B:$B, Ajustes!$R23)
)</f>
        <v>445250</v>
      </c>
      <c r="AI23" s="11">
        <f>_xlfn.LET(
    _xlpm.intervaloSoma, IF($S23="R", 'CEI_COMPLETA'!$E:$E, 'CEI_COMPLETA'!$D:$D),
    SUMIFS(_xlpm.intervaloSoma, 'CEI_COMPLETA'!$A:$A, Ajustes!AI$1, 'CEI_COMPLETA'!$B:$B, Ajustes!$R23)
)</f>
        <v>473185</v>
      </c>
      <c r="AJ23" s="11">
        <f>_xlfn.LET(
    _xlpm.intervaloSoma, IF($S23="R", 'CEI_COMPLETA'!$E:$E, 'CEI_COMPLETA'!$D:$D),
    SUMIFS(_xlpm.intervaloSoma, 'CEI_COMPLETA'!$A:$A, Ajustes!AJ$1, 'CEI_COMPLETA'!$B:$B, Ajustes!$R23)
)</f>
        <v>494799</v>
      </c>
      <c r="AK23" s="11">
        <f>_xlfn.LET(
    _xlpm.intervaloSoma, IF($S23="R", 'CEI_COMPLETA'!$E:$E, 'CEI_COMPLETA'!$D:$D),
    SUMIFS(_xlpm.intervaloSoma, 'CEI_COMPLETA'!$A:$A, Ajustes!AK$1, 'CEI_COMPLETA'!$B:$B, Ajustes!$R23)
)</f>
        <v>518850</v>
      </c>
      <c r="AL23" s="11">
        <f>_xlfn.LET(
    _xlpm.intervaloSoma, IF($S23="R", 'CEI_COMPLETA'!$E:$E, 'CEI_COMPLETA'!$D:$D),
    SUMIFS(_xlpm.intervaloSoma, 'CEI_COMPLETA'!$A:$A, Ajustes!AL$1, 'CEI_COMPLETA'!$B:$B, Ajustes!$R23)
)</f>
        <v>536663</v>
      </c>
      <c r="AM23" s="11">
        <f>_xlfn.LET(
    _xlpm.intervaloSoma, IF($S23="R", 'CEI_COMPLETA'!$E:$E, 'CEI_COMPLETA'!$D:$D),
    SUMIFS(_xlpm.intervaloSoma, 'CEI_COMPLETA'!$A:$A, Ajustes!AM$1, 'CEI_COMPLETA'!$B:$B, Ajustes!$R23)
)</f>
        <v>572894</v>
      </c>
      <c r="AN23" s="11">
        <f>_xlfn.LET(
    _xlpm.intervaloSoma, IF($S23="R", 'CEI_COMPLETA'!$E:$E, 'CEI_COMPLETA'!$D:$D),
    SUMIFS(_xlpm.intervaloSoma, 'CEI_COMPLETA'!$A:$A, Ajustes!AN$1, 'CEI_COMPLETA'!$B:$B, Ajustes!$R23)
)</f>
        <v>562617</v>
      </c>
      <c r="AO23" s="11">
        <f>_xlfn.LET(
    _xlpm.intervaloSoma, IF($S23="R", 'CEI_COMPLETA'!$E:$E, 'CEI_COMPLETA'!$D:$D),
    SUMIFS(_xlpm.intervaloSoma, 'CEI_COMPLETA'!$A:$A, Ajustes!AO$1, 'CEI_COMPLETA'!$B:$B, Ajustes!$R23)
)</f>
        <v>639009</v>
      </c>
    </row>
    <row r="24" spans="1:41" ht="15.75" thickBot="1" x14ac:dyDescent="0.3">
      <c r="A24" s="21" t="s">
        <v>31</v>
      </c>
      <c r="B24" s="26"/>
      <c r="C24" s="8"/>
      <c r="D24" s="8"/>
      <c r="E24" s="8"/>
      <c r="F24" s="8"/>
      <c r="G24" s="8"/>
      <c r="H24" s="27"/>
      <c r="I24" s="26" cm="1">
        <f t="array" ref="I24">_xlfn.SWITCH(B24,0,0,"-",-1,"+",1)</f>
        <v>0</v>
      </c>
      <c r="J24" s="8" cm="1">
        <f t="array" ref="J24">_xlfn.SWITCH(C24,0,0,"-",-1,"+",1)</f>
        <v>0</v>
      </c>
      <c r="K24" s="8" cm="1">
        <f t="array" ref="K24">_xlfn.SWITCH(D24,0,0,"-",-1,"+",1)</f>
        <v>0</v>
      </c>
      <c r="L24" s="8" cm="1">
        <f t="array" ref="L24">_xlfn.SWITCH(E24,0,0,"-",-1,"+",1)</f>
        <v>0</v>
      </c>
      <c r="M24" s="8" cm="1">
        <f t="array" ref="M24">_xlfn.SWITCH(F24,0,0,"-",-1,"+",1)</f>
        <v>0</v>
      </c>
      <c r="N24" s="8" cm="1">
        <f t="array" ref="N24">_xlfn.SWITCH(G24,0,0,"-",-1,"+",1)</f>
        <v>0</v>
      </c>
      <c r="O24" s="27" cm="1">
        <f t="array" ref="O24">_xlfn.SWITCH(H24,0,0,"-",-1,"+",1)</f>
        <v>0</v>
      </c>
      <c r="P24" s="36" t="s">
        <v>120</v>
      </c>
      <c r="Q24" s="9" t="s">
        <v>158</v>
      </c>
      <c r="R24" s="9" t="s">
        <v>158</v>
      </c>
      <c r="S24" s="37" t="s">
        <v>146</v>
      </c>
      <c r="T24" s="11">
        <f>_xlfn.LET(
    _xlpm.intervaloSoma, IF($S24="R", 'CEI_COMPLETA'!$E:$E, 'CEI_COMPLETA'!$D:$D),
    SUMIFS(_xlpm.intervaloSoma, 'CEI_COMPLETA'!$A:$A, Ajustes!T$1, 'CEI_COMPLETA'!$B:$B, Ajustes!$Q24)
)</f>
        <v>21734</v>
      </c>
      <c r="U24" s="11">
        <f>_xlfn.LET(
    _xlpm.intervaloSoma, IF($S24="R", 'CEI_COMPLETA'!$E:$E, 'CEI_COMPLETA'!$D:$D),
    SUMIFS(_xlpm.intervaloSoma, 'CEI_COMPLETA'!$A:$A, Ajustes!U$1, 'CEI_COMPLETA'!$B:$B, Ajustes!$Q24)
)</f>
        <v>25742</v>
      </c>
      <c r="V24" s="11">
        <f>_xlfn.LET(
    _xlpm.intervaloSoma, IF($S24="R", 'CEI_COMPLETA'!$E:$E, 'CEI_COMPLETA'!$D:$D),
    SUMIFS(_xlpm.intervaloSoma, 'CEI_COMPLETA'!$A:$A, Ajustes!V$1, 'CEI_COMPLETA'!$B:$B, Ajustes!$Q24)
)</f>
        <v>28008</v>
      </c>
      <c r="W24" s="11">
        <f>_xlfn.LET(
    _xlpm.intervaloSoma, IF($S24="R", 'CEI_COMPLETA'!$E:$E, 'CEI_COMPLETA'!$D:$D),
    SUMIFS(_xlpm.intervaloSoma, 'CEI_COMPLETA'!$A:$A, Ajustes!W$1, 'CEI_COMPLETA'!$B:$B, Ajustes!$Q24)
)</f>
        <v>31052</v>
      </c>
      <c r="X24" s="11">
        <f>_xlfn.LET(
    _xlpm.intervaloSoma, IF($S24="R", 'CEI_COMPLETA'!$E:$E, 'CEI_COMPLETA'!$D:$D),
    SUMIFS(_xlpm.intervaloSoma, 'CEI_COMPLETA'!$A:$A, Ajustes!X$1, 'CEI_COMPLETA'!$B:$B, Ajustes!$Q24)
)</f>
        <v>31960</v>
      </c>
      <c r="Y24" s="11">
        <f>_xlfn.LET(
    _xlpm.intervaloSoma, IF($S24="R", 'CEI_COMPLETA'!$E:$E, 'CEI_COMPLETA'!$D:$D),
    SUMIFS(_xlpm.intervaloSoma, 'CEI_COMPLETA'!$A:$A, Ajustes!Y$1, 'CEI_COMPLETA'!$B:$B, Ajustes!$Q24)
)</f>
        <v>38444</v>
      </c>
      <c r="Z24" s="11">
        <f>_xlfn.LET(
    _xlpm.intervaloSoma, IF($S24="R", 'CEI_COMPLETA'!$E:$E, 'CEI_COMPLETA'!$D:$D),
    SUMIFS(_xlpm.intervaloSoma, 'CEI_COMPLETA'!$A:$A, Ajustes!Z$1, 'CEI_COMPLETA'!$B:$B, Ajustes!$Q24)
)</f>
        <v>34986</v>
      </c>
      <c r="AA24" s="11">
        <f>_xlfn.LET(
    _xlpm.intervaloSoma, IF($S24="R", 'CEI_COMPLETA'!$E:$E, 'CEI_COMPLETA'!$D:$D),
    SUMIFS(_xlpm.intervaloSoma, 'CEI_COMPLETA'!$A:$A, Ajustes!AA$1, 'CEI_COMPLETA'!$B:$B, Ajustes!$Q24)
)</f>
        <v>37584</v>
      </c>
      <c r="AB24" s="11">
        <f>_xlfn.LET(
    _xlpm.intervaloSoma, IF($S24="R", 'CEI_COMPLETA'!$E:$E, 'CEI_COMPLETA'!$D:$D),
    SUMIFS(_xlpm.intervaloSoma, 'CEI_COMPLETA'!$A:$A, Ajustes!AB$1, 'CEI_COMPLETA'!$B:$B, Ajustes!$Q24)
)</f>
        <v>41369</v>
      </c>
      <c r="AC24" s="11">
        <f>_xlfn.LET(
    _xlpm.intervaloSoma, IF($S24="R", 'CEI_COMPLETA'!$E:$E, 'CEI_COMPLETA'!$D:$D),
    SUMIFS(_xlpm.intervaloSoma, 'CEI_COMPLETA'!$A:$A, Ajustes!AC$1, 'CEI_COMPLETA'!$B:$B, Ajustes!$Q24)
)</f>
        <v>46897</v>
      </c>
      <c r="AD24" s="11">
        <f>_xlfn.LET(
    _xlpm.intervaloSoma, IF($S24="R", 'CEI_COMPLETA'!$E:$E, 'CEI_COMPLETA'!$D:$D),
    SUMIFS(_xlpm.intervaloSoma, 'CEI_COMPLETA'!$A:$A, Ajustes!AD$1, 'CEI_COMPLETA'!$B:$B, Ajustes!$R24)
)</f>
        <v>50712</v>
      </c>
      <c r="AE24" s="11">
        <f>_xlfn.LET(
    _xlpm.intervaloSoma, IF($S24="R", 'CEI_COMPLETA'!$E:$E, 'CEI_COMPLETA'!$D:$D),
    SUMIFS(_xlpm.intervaloSoma, 'CEI_COMPLETA'!$A:$A, Ajustes!AE$1, 'CEI_COMPLETA'!$B:$B, Ajustes!$R24)
)</f>
        <v>54639</v>
      </c>
      <c r="AF24" s="11">
        <f>_xlfn.LET(
    _xlpm.intervaloSoma, IF($S24="R", 'CEI_COMPLETA'!$E:$E, 'CEI_COMPLETA'!$D:$D),
    SUMIFS(_xlpm.intervaloSoma, 'CEI_COMPLETA'!$A:$A, Ajustes!AF$1, 'CEI_COMPLETA'!$B:$B, Ajustes!$R24)
)</f>
        <v>57224</v>
      </c>
      <c r="AG24" s="11">
        <f>_xlfn.LET(
    _xlpm.intervaloSoma, IF($S24="R", 'CEI_COMPLETA'!$E:$E, 'CEI_COMPLETA'!$D:$D),
    SUMIFS(_xlpm.intervaloSoma, 'CEI_COMPLETA'!$A:$A, Ajustes!AG$1, 'CEI_COMPLETA'!$B:$B, Ajustes!$R24)
)</f>
        <v>62395</v>
      </c>
      <c r="AH24" s="11">
        <f>_xlfn.LET(
    _xlpm.intervaloSoma, IF($S24="R", 'CEI_COMPLETA'!$E:$E, 'CEI_COMPLETA'!$D:$D),
    SUMIFS(_xlpm.intervaloSoma, 'CEI_COMPLETA'!$A:$A, Ajustes!AH$1, 'CEI_COMPLETA'!$B:$B, Ajustes!$R24)
)</f>
        <v>69710</v>
      </c>
      <c r="AI24" s="11">
        <f>_xlfn.LET(
    _xlpm.intervaloSoma, IF($S24="R", 'CEI_COMPLETA'!$E:$E, 'CEI_COMPLETA'!$D:$D),
    SUMIFS(_xlpm.intervaloSoma, 'CEI_COMPLETA'!$A:$A, Ajustes!AI$1, 'CEI_COMPLETA'!$B:$B, Ajustes!$R24)
)</f>
        <v>71987</v>
      </c>
      <c r="AJ24" s="11">
        <f>_xlfn.LET(
    _xlpm.intervaloSoma, IF($S24="R", 'CEI_COMPLETA'!$E:$E, 'CEI_COMPLETA'!$D:$D),
    SUMIFS(_xlpm.intervaloSoma, 'CEI_COMPLETA'!$A:$A, Ajustes!AJ$1, 'CEI_COMPLETA'!$B:$B, Ajustes!$R24)
)</f>
        <v>78345</v>
      </c>
      <c r="AK24" s="11">
        <f>_xlfn.LET(
    _xlpm.intervaloSoma, IF($S24="R", 'CEI_COMPLETA'!$E:$E, 'CEI_COMPLETA'!$D:$D),
    SUMIFS(_xlpm.intervaloSoma, 'CEI_COMPLETA'!$A:$A, Ajustes!AK$1, 'CEI_COMPLETA'!$B:$B, Ajustes!$R24)
)</f>
        <v>89332</v>
      </c>
      <c r="AL24" s="11">
        <f>_xlfn.LET(
    _xlpm.intervaloSoma, IF($S24="R", 'CEI_COMPLETA'!$E:$E, 'CEI_COMPLETA'!$D:$D),
    SUMIFS(_xlpm.intervaloSoma, 'CEI_COMPLETA'!$A:$A, Ajustes!AL$1, 'CEI_COMPLETA'!$B:$B, Ajustes!$R24)
)</f>
        <v>96812</v>
      </c>
      <c r="AM24" s="11">
        <f>_xlfn.LET(
    _xlpm.intervaloSoma, IF($S24="R", 'CEI_COMPLETA'!$E:$E, 'CEI_COMPLETA'!$D:$D),
    SUMIFS(_xlpm.intervaloSoma, 'CEI_COMPLETA'!$A:$A, Ajustes!AM$1, 'CEI_COMPLETA'!$B:$B, Ajustes!$R24)
)</f>
        <v>105093</v>
      </c>
      <c r="AN24" s="11">
        <f>_xlfn.LET(
    _xlpm.intervaloSoma, IF($S24="R", 'CEI_COMPLETA'!$E:$E, 'CEI_COMPLETA'!$D:$D),
    SUMIFS(_xlpm.intervaloSoma, 'CEI_COMPLETA'!$A:$A, Ajustes!AN$1, 'CEI_COMPLETA'!$B:$B, Ajustes!$R24)
)</f>
        <v>97765</v>
      </c>
      <c r="AO24" s="11">
        <f>_xlfn.LET(
    _xlpm.intervaloSoma, IF($S24="R", 'CEI_COMPLETA'!$E:$E, 'CEI_COMPLETA'!$D:$D),
    SUMIFS(_xlpm.intervaloSoma, 'CEI_COMPLETA'!$A:$A, Ajustes!AO$1, 'CEI_COMPLETA'!$B:$B, Ajustes!$R24)
)</f>
        <v>100625</v>
      </c>
    </row>
    <row r="25" spans="1:41" x14ac:dyDescent="0.25">
      <c r="A25" s="19" t="s">
        <v>136</v>
      </c>
      <c r="B25" s="28"/>
      <c r="C25" s="8"/>
      <c r="D25" s="8"/>
      <c r="E25" s="8"/>
      <c r="F25" s="8"/>
      <c r="G25" s="8"/>
      <c r="H25" s="27"/>
      <c r="I25" s="26" cm="1">
        <f t="array" ref="I25">_xlfn.SWITCH(B25,0,0,"-",-1,"+",1)</f>
        <v>0</v>
      </c>
      <c r="J25" s="8" cm="1">
        <f t="array" ref="J25">_xlfn.SWITCH(C25,0,0,"-",-1,"+",1)</f>
        <v>0</v>
      </c>
      <c r="K25" s="8" cm="1">
        <f t="array" ref="K25">_xlfn.SWITCH(D25,0,0,"-",-1,"+",1)</f>
        <v>0</v>
      </c>
      <c r="L25" s="8" cm="1">
        <f t="array" ref="L25">_xlfn.SWITCH(E25,0,0,"-",-1,"+",1)</f>
        <v>0</v>
      </c>
      <c r="M25" s="8" cm="1">
        <f t="array" ref="M25">_xlfn.SWITCH(F25,0,0,"-",-1,"+",1)</f>
        <v>0</v>
      </c>
      <c r="N25" s="8" cm="1">
        <f t="array" ref="N25">_xlfn.SWITCH(G25,0,0,"-",-1,"+",1)</f>
        <v>0</v>
      </c>
      <c r="O25" s="27" cm="1">
        <f t="array" ref="O25">_xlfn.SWITCH(H25,0,0,"-",-1,"+",1)</f>
        <v>0</v>
      </c>
      <c r="P25" s="36" t="s">
        <v>120</v>
      </c>
      <c r="Q25" s="9" t="s">
        <v>137</v>
      </c>
      <c r="R25" s="9" t="s">
        <v>137</v>
      </c>
      <c r="S25" s="37" t="s">
        <v>147</v>
      </c>
      <c r="T25" s="14">
        <f>_xlfn.LET(
    _xlpm.intervaloSoma, IF($S25="R", 'CEI_COMPLETA'!$E:$E, 'CEI_COMPLETA'!$D:$D),
    SUMIFS(_xlpm.intervaloSoma, 'CEI_COMPLETA'!$A:$A, Ajustes!T$1, 'CEI_COMPLETA'!$B:$B, Ajustes!$Q25)
)</f>
        <v>129632</v>
      </c>
      <c r="U25" s="14">
        <f>_xlfn.LET(
    _xlpm.intervaloSoma, IF($S25="R", 'CEI_COMPLETA'!$E:$E, 'CEI_COMPLETA'!$D:$D),
    SUMIFS(_xlpm.intervaloSoma, 'CEI_COMPLETA'!$A:$A, Ajustes!U$1, 'CEI_COMPLETA'!$B:$B, Ajustes!$Q25)
)</f>
        <v>151615</v>
      </c>
      <c r="V25" s="14">
        <f>_xlfn.LET(
    _xlpm.intervaloSoma, IF($S25="R", 'CEI_COMPLETA'!$E:$E, 'CEI_COMPLETA'!$D:$D),
    SUMIFS(_xlpm.intervaloSoma, 'CEI_COMPLETA'!$A:$A, Ajustes!V$1, 'CEI_COMPLETA'!$B:$B, Ajustes!$Q25)
)</f>
        <v>170707</v>
      </c>
      <c r="W25" s="14">
        <f>_xlfn.LET(
    _xlpm.intervaloSoma, IF($S25="R", 'CEI_COMPLETA'!$E:$E, 'CEI_COMPLETA'!$D:$D),
    SUMIFS(_xlpm.intervaloSoma, 'CEI_COMPLETA'!$A:$A, Ajustes!W$1, 'CEI_COMPLETA'!$B:$B, Ajustes!$Q25)
)</f>
        <v>194502</v>
      </c>
      <c r="X25" s="14">
        <f>_xlfn.LET(
    _xlpm.intervaloSoma, IF($S25="R", 'CEI_COMPLETA'!$E:$E, 'CEI_COMPLETA'!$D:$D),
    SUMIFS(_xlpm.intervaloSoma, 'CEI_COMPLETA'!$A:$A, Ajustes!X$1, 'CEI_COMPLETA'!$B:$B, Ajustes!$Q25)
)</f>
        <v>215107</v>
      </c>
      <c r="Y25" s="14">
        <f>_xlfn.LET(
    _xlpm.intervaloSoma, IF($S25="R", 'CEI_COMPLETA'!$E:$E, 'CEI_COMPLETA'!$D:$D),
    SUMIFS(_xlpm.intervaloSoma, 'CEI_COMPLETA'!$A:$A, Ajustes!Y$1, 'CEI_COMPLETA'!$B:$B, Ajustes!$Q25)
)</f>
        <v>247112</v>
      </c>
      <c r="Z25" s="14">
        <f>_xlfn.LET(
    _xlpm.intervaloSoma, IF($S25="R", 'CEI_COMPLETA'!$E:$E, 'CEI_COMPLETA'!$D:$D),
    SUMIFS(_xlpm.intervaloSoma, 'CEI_COMPLETA'!$A:$A, Ajustes!Z$1, 'CEI_COMPLETA'!$B:$B, Ajustes!$Q25)
)</f>
        <v>282410</v>
      </c>
      <c r="AA25" s="14">
        <f>_xlfn.LET(
    _xlpm.intervaloSoma, IF($S25="R", 'CEI_COMPLETA'!$E:$E, 'CEI_COMPLETA'!$D:$D),
    SUMIFS(_xlpm.intervaloSoma, 'CEI_COMPLETA'!$A:$A, Ajustes!AA$1, 'CEI_COMPLETA'!$B:$B, Ajustes!$Q25)
)</f>
        <v>315996</v>
      </c>
      <c r="AB25" s="14">
        <f>_xlfn.LET(
    _xlpm.intervaloSoma, IF($S25="R", 'CEI_COMPLETA'!$E:$E, 'CEI_COMPLETA'!$D:$D),
    SUMIFS(_xlpm.intervaloSoma, 'CEI_COMPLETA'!$A:$A, Ajustes!AB$1, 'CEI_COMPLETA'!$B:$B, Ajustes!$Q25)
)</f>
        <v>363298</v>
      </c>
      <c r="AC25" s="14">
        <f>_xlfn.LET(
    _xlpm.intervaloSoma, IF($S25="R", 'CEI_COMPLETA'!$E:$E, 'CEI_COMPLETA'!$D:$D),
    SUMIFS(_xlpm.intervaloSoma, 'CEI_COMPLETA'!$A:$A, Ajustes!AC$1, 'CEI_COMPLETA'!$B:$B, Ajustes!$Q25)
)</f>
        <v>393773</v>
      </c>
      <c r="AD25" s="14">
        <f>_xlfn.LET(
    _xlpm.intervaloSoma, IF($S25="R", 'CEI_COMPLETA'!$E:$E, 'CEI_COMPLETA'!$D:$D),
    SUMIFS(_xlpm.intervaloSoma, 'CEI_COMPLETA'!$A:$A, Ajustes!AD$1, 'CEI_COMPLETA'!$B:$B, Ajustes!$R25)
)</f>
        <v>474322</v>
      </c>
      <c r="AE25" s="14">
        <f>_xlfn.LET(
    _xlpm.intervaloSoma, IF($S25="R", 'CEI_COMPLETA'!$E:$E, 'CEI_COMPLETA'!$D:$D),
    SUMIFS(_xlpm.intervaloSoma, 'CEI_COMPLETA'!$A:$A, Ajustes!AE$1, 'CEI_COMPLETA'!$B:$B, Ajustes!$R25)
)</f>
        <v>529663</v>
      </c>
      <c r="AF25" s="14">
        <f>_xlfn.LET(
    _xlpm.intervaloSoma, IF($S25="R", 'CEI_COMPLETA'!$E:$E, 'CEI_COMPLETA'!$D:$D),
    SUMIFS(_xlpm.intervaloSoma, 'CEI_COMPLETA'!$A:$A, Ajustes!AF$1, 'CEI_COMPLETA'!$B:$B, Ajustes!$R25)
)</f>
        <v>599944</v>
      </c>
      <c r="AG25" s="14">
        <f>_xlfn.LET(
    _xlpm.intervaloSoma, IF($S25="R", 'CEI_COMPLETA'!$E:$E, 'CEI_COMPLETA'!$D:$D),
    SUMIFS(_xlpm.intervaloSoma, 'CEI_COMPLETA'!$A:$A, Ajustes!AG$1, 'CEI_COMPLETA'!$B:$B, Ajustes!$R25)
)</f>
        <v>641336</v>
      </c>
      <c r="AH25" s="14">
        <f>_xlfn.LET(
    _xlpm.intervaloSoma, IF($S25="R", 'CEI_COMPLETA'!$E:$E, 'CEI_COMPLETA'!$D:$D),
    SUMIFS(_xlpm.intervaloSoma, 'CEI_COMPLETA'!$A:$A, Ajustes!AH$1, 'CEI_COMPLETA'!$B:$B, Ajustes!$R25)
)</f>
        <v>690113</v>
      </c>
      <c r="AI25" s="14">
        <f>_xlfn.LET(
    _xlpm.intervaloSoma, IF($S25="R", 'CEI_COMPLETA'!$E:$E, 'CEI_COMPLETA'!$D:$D),
    SUMIFS(_xlpm.intervaloSoma, 'CEI_COMPLETA'!$A:$A, Ajustes!AI$1, 'CEI_COMPLETA'!$B:$B, Ajustes!$R25)
)</f>
        <v>768026</v>
      </c>
      <c r="AJ25" s="14">
        <f>_xlfn.LET(
    _xlpm.intervaloSoma, IF($S25="R", 'CEI_COMPLETA'!$E:$E, 'CEI_COMPLETA'!$D:$D),
    SUMIFS(_xlpm.intervaloSoma, 'CEI_COMPLETA'!$A:$A, Ajustes!AJ$1, 'CEI_COMPLETA'!$B:$B, Ajustes!$R25)
)</f>
        <v>787092</v>
      </c>
      <c r="AK25" s="14">
        <f>_xlfn.LET(
    _xlpm.intervaloSoma, IF($S25="R", 'CEI_COMPLETA'!$E:$E, 'CEI_COMPLETA'!$D:$D),
    SUMIFS(_xlpm.intervaloSoma, 'CEI_COMPLETA'!$A:$A, Ajustes!AK$1, 'CEI_COMPLETA'!$B:$B, Ajustes!$R25)
)</f>
        <v>807880</v>
      </c>
      <c r="AL25" s="14">
        <f>_xlfn.LET(
    _xlpm.intervaloSoma, IF($S25="R", 'CEI_COMPLETA'!$E:$E, 'CEI_COMPLETA'!$D:$D),
    SUMIFS(_xlpm.intervaloSoma, 'CEI_COMPLETA'!$A:$A, Ajustes!AL$1, 'CEI_COMPLETA'!$B:$B, Ajustes!$R25)
)</f>
        <v>843422</v>
      </c>
      <c r="AM25" s="14">
        <f>_xlfn.LET(
    _xlpm.intervaloSoma, IF($S25="R", 'CEI_COMPLETA'!$E:$E, 'CEI_COMPLETA'!$D:$D),
    SUMIFS(_xlpm.intervaloSoma, 'CEI_COMPLETA'!$A:$A, Ajustes!AM$1, 'CEI_COMPLETA'!$B:$B, Ajustes!$R25)
)</f>
        <v>927047</v>
      </c>
      <c r="AN25" s="14">
        <f>_xlfn.LET(
    _xlpm.intervaloSoma, IF($S25="R", 'CEI_COMPLETA'!$E:$E, 'CEI_COMPLETA'!$D:$D),
    SUMIFS(_xlpm.intervaloSoma, 'CEI_COMPLETA'!$A:$A, Ajustes!AN$1, 'CEI_COMPLETA'!$B:$B, Ajustes!$R25)
)</f>
        <v>895266</v>
      </c>
      <c r="AO25" s="14">
        <f>_xlfn.LET(
    _xlpm.intervaloSoma, IF($S25="R", 'CEI_COMPLETA'!$E:$E, 'CEI_COMPLETA'!$D:$D),
    SUMIFS(_xlpm.intervaloSoma, 'CEI_COMPLETA'!$A:$A, Ajustes!AO$1, 'CEI_COMPLETA'!$B:$B, Ajustes!$R25)
)</f>
        <v>1013186</v>
      </c>
    </row>
    <row r="26" spans="1:41" x14ac:dyDescent="0.25">
      <c r="A26" s="20" t="s">
        <v>15</v>
      </c>
      <c r="B26" s="26"/>
      <c r="C26" s="8"/>
      <c r="D26" s="8"/>
      <c r="E26" s="8"/>
      <c r="F26" s="8"/>
      <c r="G26" s="8"/>
      <c r="H26" s="27"/>
      <c r="I26" s="26" cm="1">
        <f t="array" ref="I26">_xlfn.SWITCH(B26,0,0,"-",-1,"+",1)</f>
        <v>0</v>
      </c>
      <c r="J26" s="8" cm="1">
        <f t="array" ref="J26">_xlfn.SWITCH(C26,0,0,"-",-1,"+",1)</f>
        <v>0</v>
      </c>
      <c r="K26" s="8" cm="1">
        <f t="array" ref="K26">_xlfn.SWITCH(D26,0,0,"-",-1,"+",1)</f>
        <v>0</v>
      </c>
      <c r="L26" s="8" cm="1">
        <f t="array" ref="L26">_xlfn.SWITCH(E26,0,0,"-",-1,"+",1)</f>
        <v>0</v>
      </c>
      <c r="M26" s="8" cm="1">
        <f t="array" ref="M26">_xlfn.SWITCH(F26,0,0,"-",-1,"+",1)</f>
        <v>0</v>
      </c>
      <c r="N26" s="8" cm="1">
        <f t="array" ref="N26">_xlfn.SWITCH(G26,0,0,"-",-1,"+",1)</f>
        <v>0</v>
      </c>
      <c r="O26" s="27" cm="1">
        <f t="array" ref="O26">_xlfn.SWITCH(H26,0,0,"-",-1,"+",1)</f>
        <v>0</v>
      </c>
      <c r="P26" s="36" t="s">
        <v>120</v>
      </c>
      <c r="S26" s="37" t="s">
        <v>147</v>
      </c>
      <c r="T26" s="11">
        <f>_xlfn.LET(
    _xlpm.intervaloSoma, IF($S26="R", 'CEI_COMPLETA'!$E:$E, 'CEI_COMPLETA'!$D:$D),
    SUMIFS(_xlpm.intervaloSoma, 'CEI_COMPLETA'!$A:$A, Ajustes!T$1, 'CEI_COMPLETA'!$B:$B, Ajustes!$Q26)
)</f>
        <v>0</v>
      </c>
      <c r="U26" s="11">
        <f>_xlfn.LET(
    _xlpm.intervaloSoma, IF($S26="R", 'CEI_COMPLETA'!$E:$E, 'CEI_COMPLETA'!$D:$D),
    SUMIFS(_xlpm.intervaloSoma, 'CEI_COMPLETA'!$A:$A, Ajustes!U$1, 'CEI_COMPLETA'!$B:$B, Ajustes!$Q26)
)</f>
        <v>0</v>
      </c>
      <c r="V26" s="11">
        <f>_xlfn.LET(
    _xlpm.intervaloSoma, IF($S26="R", 'CEI_COMPLETA'!$E:$E, 'CEI_COMPLETA'!$D:$D),
    SUMIFS(_xlpm.intervaloSoma, 'CEI_COMPLETA'!$A:$A, Ajustes!V$1, 'CEI_COMPLETA'!$B:$B, Ajustes!$Q26)
)</f>
        <v>0</v>
      </c>
      <c r="W26" s="11">
        <f>_xlfn.LET(
    _xlpm.intervaloSoma, IF($S26="R", 'CEI_COMPLETA'!$E:$E, 'CEI_COMPLETA'!$D:$D),
    SUMIFS(_xlpm.intervaloSoma, 'CEI_COMPLETA'!$A:$A, Ajustes!W$1, 'CEI_COMPLETA'!$B:$B, Ajustes!$Q26)
)</f>
        <v>0</v>
      </c>
      <c r="X26" s="11">
        <f>_xlfn.LET(
    _xlpm.intervaloSoma, IF($S26="R", 'CEI_COMPLETA'!$E:$E, 'CEI_COMPLETA'!$D:$D),
    SUMIFS(_xlpm.intervaloSoma, 'CEI_COMPLETA'!$A:$A, Ajustes!X$1, 'CEI_COMPLETA'!$B:$B, Ajustes!$Q26)
)</f>
        <v>0</v>
      </c>
      <c r="Y26" s="11">
        <f>_xlfn.LET(
    _xlpm.intervaloSoma, IF($S26="R", 'CEI_COMPLETA'!$E:$E, 'CEI_COMPLETA'!$D:$D),
    SUMIFS(_xlpm.intervaloSoma, 'CEI_COMPLETA'!$A:$A, Ajustes!Y$1, 'CEI_COMPLETA'!$B:$B, Ajustes!$Q26)
)</f>
        <v>0</v>
      </c>
      <c r="Z26" s="11">
        <f>_xlfn.LET(
    _xlpm.intervaloSoma, IF($S26="R", 'CEI_COMPLETA'!$E:$E, 'CEI_COMPLETA'!$D:$D),
    SUMIFS(_xlpm.intervaloSoma, 'CEI_COMPLETA'!$A:$A, Ajustes!Z$1, 'CEI_COMPLETA'!$B:$B, Ajustes!$Q26)
)</f>
        <v>0</v>
      </c>
      <c r="AA26" s="11">
        <f>_xlfn.LET(
    _xlpm.intervaloSoma, IF($S26="R", 'CEI_COMPLETA'!$E:$E, 'CEI_COMPLETA'!$D:$D),
    SUMIFS(_xlpm.intervaloSoma, 'CEI_COMPLETA'!$A:$A, Ajustes!AA$1, 'CEI_COMPLETA'!$B:$B, Ajustes!$Q26)
)</f>
        <v>0</v>
      </c>
      <c r="AB26" s="11">
        <f>_xlfn.LET(
    _xlpm.intervaloSoma, IF($S26="R", 'CEI_COMPLETA'!$E:$E, 'CEI_COMPLETA'!$D:$D),
    SUMIFS(_xlpm.intervaloSoma, 'CEI_COMPLETA'!$A:$A, Ajustes!AB$1, 'CEI_COMPLETA'!$B:$B, Ajustes!$Q26)
)</f>
        <v>0</v>
      </c>
      <c r="AC26" s="11">
        <f>_xlfn.LET(
    _xlpm.intervaloSoma, IF($S26="R", 'CEI_COMPLETA'!$E:$E, 'CEI_COMPLETA'!$D:$D),
    SUMIFS(_xlpm.intervaloSoma, 'CEI_COMPLETA'!$A:$A, Ajustes!AC$1, 'CEI_COMPLETA'!$B:$B, Ajustes!$Q26)
)</f>
        <v>0</v>
      </c>
      <c r="AD26" s="11">
        <f>_xlfn.LET(
    _xlpm.intervaloSoma, IF($S26="R", 'CEI_COMPLETA'!$E:$E, 'CEI_COMPLETA'!$D:$D),
    SUMIFS(_xlpm.intervaloSoma, 'CEI_COMPLETA'!$A:$A, Ajustes!AD$1, 'CEI_COMPLETA'!$B:$B, Ajustes!$R26)
)</f>
        <v>0</v>
      </c>
      <c r="AE26" s="11">
        <f>_xlfn.LET(
    _xlpm.intervaloSoma, IF($S26="R", 'CEI_COMPLETA'!$E:$E, 'CEI_COMPLETA'!$D:$D),
    SUMIFS(_xlpm.intervaloSoma, 'CEI_COMPLETA'!$A:$A, Ajustes!AE$1, 'CEI_COMPLETA'!$B:$B, Ajustes!$R26)
)</f>
        <v>0</v>
      </c>
      <c r="AF26" s="11">
        <f>_xlfn.LET(
    _xlpm.intervaloSoma, IF($S26="R", 'CEI_COMPLETA'!$E:$E, 'CEI_COMPLETA'!$D:$D),
    SUMIFS(_xlpm.intervaloSoma, 'CEI_COMPLETA'!$A:$A, Ajustes!AF$1, 'CEI_COMPLETA'!$B:$B, Ajustes!$R26)
)</f>
        <v>0</v>
      </c>
      <c r="AG26" s="11">
        <f>_xlfn.LET(
    _xlpm.intervaloSoma, IF($S26="R", 'CEI_COMPLETA'!$E:$E, 'CEI_COMPLETA'!$D:$D),
    SUMIFS(_xlpm.intervaloSoma, 'CEI_COMPLETA'!$A:$A, Ajustes!AG$1, 'CEI_COMPLETA'!$B:$B, Ajustes!$R26)
)</f>
        <v>0</v>
      </c>
      <c r="AH26" s="11">
        <f>_xlfn.LET(
    _xlpm.intervaloSoma, IF($S26="R", 'CEI_COMPLETA'!$E:$E, 'CEI_COMPLETA'!$D:$D),
    SUMIFS(_xlpm.intervaloSoma, 'CEI_COMPLETA'!$A:$A, Ajustes!AH$1, 'CEI_COMPLETA'!$B:$B, Ajustes!$R26)
)</f>
        <v>0</v>
      </c>
      <c r="AI26" s="11">
        <f>_xlfn.LET(
    _xlpm.intervaloSoma, IF($S26="R", 'CEI_COMPLETA'!$E:$E, 'CEI_COMPLETA'!$D:$D),
    SUMIFS(_xlpm.intervaloSoma, 'CEI_COMPLETA'!$A:$A, Ajustes!AI$1, 'CEI_COMPLETA'!$B:$B, Ajustes!$R26)
)</f>
        <v>0</v>
      </c>
      <c r="AJ26" s="11">
        <f>_xlfn.LET(
    _xlpm.intervaloSoma, IF($S26="R", 'CEI_COMPLETA'!$E:$E, 'CEI_COMPLETA'!$D:$D),
    SUMIFS(_xlpm.intervaloSoma, 'CEI_COMPLETA'!$A:$A, Ajustes!AJ$1, 'CEI_COMPLETA'!$B:$B, Ajustes!$R26)
)</f>
        <v>0</v>
      </c>
      <c r="AK26" s="11">
        <f>_xlfn.LET(
    _xlpm.intervaloSoma, IF($S26="R", 'CEI_COMPLETA'!$E:$E, 'CEI_COMPLETA'!$D:$D),
    SUMIFS(_xlpm.intervaloSoma, 'CEI_COMPLETA'!$A:$A, Ajustes!AK$1, 'CEI_COMPLETA'!$B:$B, Ajustes!$R26)
)</f>
        <v>0</v>
      </c>
      <c r="AL26" s="11">
        <f>_xlfn.LET(
    _xlpm.intervaloSoma, IF($S26="R", 'CEI_COMPLETA'!$E:$E, 'CEI_COMPLETA'!$D:$D),
    SUMIFS(_xlpm.intervaloSoma, 'CEI_COMPLETA'!$A:$A, Ajustes!AL$1, 'CEI_COMPLETA'!$B:$B, Ajustes!$R26)
)</f>
        <v>0</v>
      </c>
      <c r="AM26" s="11">
        <f>_xlfn.LET(
    _xlpm.intervaloSoma, IF($S26="R", 'CEI_COMPLETA'!$E:$E, 'CEI_COMPLETA'!$D:$D),
    SUMIFS(_xlpm.intervaloSoma, 'CEI_COMPLETA'!$A:$A, Ajustes!AM$1, 'CEI_COMPLETA'!$B:$B, Ajustes!$R26)
)</f>
        <v>0</v>
      </c>
      <c r="AN26" s="11">
        <f>_xlfn.LET(
    _xlpm.intervaloSoma, IF($S26="R", 'CEI_COMPLETA'!$E:$E, 'CEI_COMPLETA'!$D:$D),
    SUMIFS(_xlpm.intervaloSoma, 'CEI_COMPLETA'!$A:$A, Ajustes!AN$1, 'CEI_COMPLETA'!$B:$B, Ajustes!$R26)
)</f>
        <v>0</v>
      </c>
      <c r="AO26" s="11">
        <f>_xlfn.LET(
    _xlpm.intervaloSoma, IF($S26="R", 'CEI_COMPLETA'!$E:$E, 'CEI_COMPLETA'!$D:$D),
    SUMIFS(_xlpm.intervaloSoma, 'CEI_COMPLETA'!$A:$A, Ajustes!AO$1, 'CEI_COMPLETA'!$B:$B, Ajustes!$R26)
)</f>
        <v>0</v>
      </c>
    </row>
    <row r="27" spans="1:41" x14ac:dyDescent="0.25">
      <c r="A27" s="20" t="s">
        <v>30</v>
      </c>
      <c r="B27" s="26"/>
      <c r="C27" s="8"/>
      <c r="D27" s="8"/>
      <c r="E27" s="8"/>
      <c r="F27" s="8"/>
      <c r="G27" s="8"/>
      <c r="H27" s="27"/>
      <c r="I27" s="26" cm="1">
        <f t="array" ref="I27">_xlfn.SWITCH(B27,0,0,"-",-1,"+",1)</f>
        <v>0</v>
      </c>
      <c r="J27" s="8" cm="1">
        <f t="array" ref="J27">_xlfn.SWITCH(C27,0,0,"-",-1,"+",1)</f>
        <v>0</v>
      </c>
      <c r="K27" s="8" cm="1">
        <f t="array" ref="K27">_xlfn.SWITCH(D27,0,0,"-",-1,"+",1)</f>
        <v>0</v>
      </c>
      <c r="L27" s="8" cm="1">
        <f t="array" ref="L27">_xlfn.SWITCH(E27,0,0,"-",-1,"+",1)</f>
        <v>0</v>
      </c>
      <c r="M27" s="8" cm="1">
        <f t="array" ref="M27">_xlfn.SWITCH(F27,0,0,"-",-1,"+",1)</f>
        <v>0</v>
      </c>
      <c r="N27" s="8" cm="1">
        <f t="array" ref="N27">_xlfn.SWITCH(G27,0,0,"-",-1,"+",1)</f>
        <v>0</v>
      </c>
      <c r="O27" s="27" cm="1">
        <f t="array" ref="O27">_xlfn.SWITCH(H27,0,0,"-",-1,"+",1)</f>
        <v>0</v>
      </c>
      <c r="P27" s="36" t="s">
        <v>120</v>
      </c>
      <c r="Q27" s="9" t="s">
        <v>169</v>
      </c>
      <c r="R27" s="9" t="s">
        <v>169</v>
      </c>
      <c r="S27" s="37" t="s">
        <v>147</v>
      </c>
      <c r="T27" s="11">
        <f>_xlfn.LET(
    _xlpm.intervaloSoma, IF($S27="R", 'CEI_COMPLETA'!$E:$E, 'CEI_COMPLETA'!$D:$D),
    SUMIFS(_xlpm.intervaloSoma, 'CEI_COMPLETA'!$A:$A, Ajustes!T$1, 'CEI_COMPLETA'!$B:$B, Ajustes!$Q27)
)</f>
        <v>67435</v>
      </c>
      <c r="U27" s="11">
        <f>_xlfn.LET(
    _xlpm.intervaloSoma, IF($S27="R", 'CEI_COMPLETA'!$E:$E, 'CEI_COMPLETA'!$D:$D),
    SUMIFS(_xlpm.intervaloSoma, 'CEI_COMPLETA'!$A:$A, Ajustes!U$1, 'CEI_COMPLETA'!$B:$B, Ajustes!$Q27)
)</f>
        <v>76664</v>
      </c>
      <c r="V27" s="11">
        <f>_xlfn.LET(
    _xlpm.intervaloSoma, IF($S27="R", 'CEI_COMPLETA'!$E:$E, 'CEI_COMPLETA'!$D:$D),
    SUMIFS(_xlpm.intervaloSoma, 'CEI_COMPLETA'!$A:$A, Ajustes!V$1, 'CEI_COMPLETA'!$B:$B, Ajustes!$Q27)
)</f>
        <v>84063</v>
      </c>
      <c r="W27" s="11">
        <f>_xlfn.LET(
    _xlpm.intervaloSoma, IF($S27="R", 'CEI_COMPLETA'!$E:$E, 'CEI_COMPLETA'!$D:$D),
    SUMIFS(_xlpm.intervaloSoma, 'CEI_COMPLETA'!$A:$A, Ajustes!W$1, 'CEI_COMPLETA'!$B:$B, Ajustes!$Q27)
)</f>
        <v>99492</v>
      </c>
      <c r="X27" s="11">
        <f>_xlfn.LET(
    _xlpm.intervaloSoma, IF($S27="R", 'CEI_COMPLETA'!$E:$E, 'CEI_COMPLETA'!$D:$D),
    SUMIFS(_xlpm.intervaloSoma, 'CEI_COMPLETA'!$A:$A, Ajustes!X$1, 'CEI_COMPLETA'!$B:$B, Ajustes!$Q27)
)</f>
        <v>118417</v>
      </c>
      <c r="Y27" s="11">
        <f>_xlfn.LET(
    _xlpm.intervaloSoma, IF($S27="R", 'CEI_COMPLETA'!$E:$E, 'CEI_COMPLETA'!$D:$D),
    SUMIFS(_xlpm.intervaloSoma, 'CEI_COMPLETA'!$A:$A, Ajustes!Y$1, 'CEI_COMPLETA'!$B:$B, Ajustes!$Q27)
)</f>
        <v>129466</v>
      </c>
      <c r="Z27" s="11">
        <f>_xlfn.LET(
    _xlpm.intervaloSoma, IF($S27="R", 'CEI_COMPLETA'!$E:$E, 'CEI_COMPLETA'!$D:$D),
    SUMIFS(_xlpm.intervaloSoma, 'CEI_COMPLETA'!$A:$A, Ajustes!Z$1, 'CEI_COMPLETA'!$B:$B, Ajustes!$Q27)
)</f>
        <v>151749</v>
      </c>
      <c r="AA27" s="11">
        <f>_xlfn.LET(
    _xlpm.intervaloSoma, IF($S27="R", 'CEI_COMPLETA'!$E:$E, 'CEI_COMPLETA'!$D:$D),
    SUMIFS(_xlpm.intervaloSoma, 'CEI_COMPLETA'!$A:$A, Ajustes!AA$1, 'CEI_COMPLETA'!$B:$B, Ajustes!$Q27)
)</f>
        <v>179752</v>
      </c>
      <c r="AB27" s="11">
        <f>_xlfn.LET(
    _xlpm.intervaloSoma, IF($S27="R", 'CEI_COMPLETA'!$E:$E, 'CEI_COMPLETA'!$D:$D),
    SUMIFS(_xlpm.intervaloSoma, 'CEI_COMPLETA'!$A:$A, Ajustes!AB$1, 'CEI_COMPLETA'!$B:$B, Ajustes!$Q27)
)</f>
        <v>210090</v>
      </c>
      <c r="AC27" s="11">
        <f>_xlfn.LET(
    _xlpm.intervaloSoma, IF($S27="R", 'CEI_COMPLETA'!$E:$E, 'CEI_COMPLETA'!$D:$D),
    SUMIFS(_xlpm.intervaloSoma, 'CEI_COMPLETA'!$A:$A, Ajustes!AC$1, 'CEI_COMPLETA'!$B:$B, Ajustes!$Q27)
)</f>
        <v>239770</v>
      </c>
      <c r="AD27" s="11">
        <f>_xlfn.LET(
    _xlpm.intervaloSoma, IF($S27="R", 'CEI_COMPLETA'!$E:$E, 'CEI_COMPLETA'!$D:$D),
    SUMIFS(_xlpm.intervaloSoma, 'CEI_COMPLETA'!$A:$A, Ajustes!AD$1, 'CEI_COMPLETA'!$B:$B, Ajustes!$R27)
)</f>
        <v>290193</v>
      </c>
      <c r="AE27" s="11">
        <f>_xlfn.LET(
    _xlpm.intervaloSoma, IF($S27="R", 'CEI_COMPLETA'!$E:$E, 'CEI_COMPLETA'!$D:$D),
    SUMIFS(_xlpm.intervaloSoma, 'CEI_COMPLETA'!$A:$A, Ajustes!AE$1, 'CEI_COMPLETA'!$B:$B, Ajustes!$R27)
)</f>
        <v>338487</v>
      </c>
      <c r="AF27" s="11">
        <f>_xlfn.LET(
    _xlpm.intervaloSoma, IF($S27="R", 'CEI_COMPLETA'!$E:$E, 'CEI_COMPLETA'!$D:$D),
    SUMIFS(_xlpm.intervaloSoma, 'CEI_COMPLETA'!$A:$A, Ajustes!AF$1, 'CEI_COMPLETA'!$B:$B, Ajustes!$R27)
)</f>
        <v>374647</v>
      </c>
      <c r="AG27" s="11">
        <f>_xlfn.LET(
    _xlpm.intervaloSoma, IF($S27="R", 'CEI_COMPLETA'!$E:$E, 'CEI_COMPLETA'!$D:$D),
    SUMIFS(_xlpm.intervaloSoma, 'CEI_COMPLETA'!$A:$A, Ajustes!AG$1, 'CEI_COMPLETA'!$B:$B, Ajustes!$R27)
)</f>
        <v>421108</v>
      </c>
      <c r="AH27" s="11">
        <f>_xlfn.LET(
    _xlpm.intervaloSoma, IF($S27="R", 'CEI_COMPLETA'!$E:$E, 'CEI_COMPLETA'!$D:$D),
    SUMIFS(_xlpm.intervaloSoma, 'CEI_COMPLETA'!$A:$A, Ajustes!AH$1, 'CEI_COMPLETA'!$B:$B, Ajustes!$R27)
)</f>
        <v>445250</v>
      </c>
      <c r="AI27" s="11">
        <f>_xlfn.LET(
    _xlpm.intervaloSoma, IF($S27="R", 'CEI_COMPLETA'!$E:$E, 'CEI_COMPLETA'!$D:$D),
    SUMIFS(_xlpm.intervaloSoma, 'CEI_COMPLETA'!$A:$A, Ajustes!AI$1, 'CEI_COMPLETA'!$B:$B, Ajustes!$R27)
)</f>
        <v>473185</v>
      </c>
      <c r="AJ27" s="11">
        <f>_xlfn.LET(
    _xlpm.intervaloSoma, IF($S27="R", 'CEI_COMPLETA'!$E:$E, 'CEI_COMPLETA'!$D:$D),
    SUMIFS(_xlpm.intervaloSoma, 'CEI_COMPLETA'!$A:$A, Ajustes!AJ$1, 'CEI_COMPLETA'!$B:$B, Ajustes!$R27)
)</f>
        <v>494799</v>
      </c>
      <c r="AK27" s="11">
        <f>_xlfn.LET(
    _xlpm.intervaloSoma, IF($S27="R", 'CEI_COMPLETA'!$E:$E, 'CEI_COMPLETA'!$D:$D),
    SUMIFS(_xlpm.intervaloSoma, 'CEI_COMPLETA'!$A:$A, Ajustes!AK$1, 'CEI_COMPLETA'!$B:$B, Ajustes!$R27)
)</f>
        <v>518850</v>
      </c>
      <c r="AL27" s="11">
        <f>_xlfn.LET(
    _xlpm.intervaloSoma, IF($S27="R", 'CEI_COMPLETA'!$E:$E, 'CEI_COMPLETA'!$D:$D),
    SUMIFS(_xlpm.intervaloSoma, 'CEI_COMPLETA'!$A:$A, Ajustes!AL$1, 'CEI_COMPLETA'!$B:$B, Ajustes!$R27)
)</f>
        <v>536663</v>
      </c>
      <c r="AM27" s="11">
        <f>_xlfn.LET(
    _xlpm.intervaloSoma, IF($S27="R", 'CEI_COMPLETA'!$E:$E, 'CEI_COMPLETA'!$D:$D),
    SUMIFS(_xlpm.intervaloSoma, 'CEI_COMPLETA'!$A:$A, Ajustes!AM$1, 'CEI_COMPLETA'!$B:$B, Ajustes!$R27)
)</f>
        <v>572894</v>
      </c>
      <c r="AN27" s="11">
        <f>_xlfn.LET(
    _xlpm.intervaloSoma, IF($S27="R", 'CEI_COMPLETA'!$E:$E, 'CEI_COMPLETA'!$D:$D),
    SUMIFS(_xlpm.intervaloSoma, 'CEI_COMPLETA'!$A:$A, Ajustes!AN$1, 'CEI_COMPLETA'!$B:$B, Ajustes!$R27)
)</f>
        <v>562617</v>
      </c>
      <c r="AO27" s="11">
        <f>_xlfn.LET(
    _xlpm.intervaloSoma, IF($S27="R", 'CEI_COMPLETA'!$E:$E, 'CEI_COMPLETA'!$D:$D),
    SUMIFS(_xlpm.intervaloSoma, 'CEI_COMPLETA'!$A:$A, Ajustes!AO$1, 'CEI_COMPLETA'!$B:$B, Ajustes!$R27)
)</f>
        <v>634145</v>
      </c>
    </row>
    <row r="28" spans="1:41" x14ac:dyDescent="0.25">
      <c r="A28" s="20" t="s">
        <v>31</v>
      </c>
      <c r="B28" s="26"/>
      <c r="C28" s="8"/>
      <c r="D28" s="8"/>
      <c r="E28" s="8"/>
      <c r="F28" s="8"/>
      <c r="G28" s="8"/>
      <c r="H28" s="27"/>
      <c r="I28" s="26" cm="1">
        <f t="array" ref="I28">_xlfn.SWITCH(B28,0,0,"-",-1,"+",1)</f>
        <v>0</v>
      </c>
      <c r="J28" s="8" cm="1">
        <f t="array" ref="J28">_xlfn.SWITCH(C28,0,0,"-",-1,"+",1)</f>
        <v>0</v>
      </c>
      <c r="K28" s="8" cm="1">
        <f t="array" ref="K28">_xlfn.SWITCH(D28,0,0,"-",-1,"+",1)</f>
        <v>0</v>
      </c>
      <c r="L28" s="8" cm="1">
        <f t="array" ref="L28">_xlfn.SWITCH(E28,0,0,"-",-1,"+",1)</f>
        <v>0</v>
      </c>
      <c r="M28" s="8" cm="1">
        <f t="array" ref="M28">_xlfn.SWITCH(F28,0,0,"-",-1,"+",1)</f>
        <v>0</v>
      </c>
      <c r="N28" s="8" cm="1">
        <f t="array" ref="N28">_xlfn.SWITCH(G28,0,0,"-",-1,"+",1)</f>
        <v>0</v>
      </c>
      <c r="O28" s="27" cm="1">
        <f t="array" ref="O28">_xlfn.SWITCH(H28,0,0,"-",-1,"+",1)</f>
        <v>0</v>
      </c>
      <c r="P28" s="36" t="s">
        <v>120</v>
      </c>
      <c r="Q28" s="9" t="s">
        <v>170</v>
      </c>
      <c r="R28" s="9" t="s">
        <v>170</v>
      </c>
      <c r="S28" s="37" t="s">
        <v>147</v>
      </c>
      <c r="T28" s="11">
        <f>_xlfn.LET(
    _xlpm.intervaloSoma, IF($S28="R", 'CEI_COMPLETA'!$E:$E, 'CEI_COMPLETA'!$D:$D),
    SUMIFS(_xlpm.intervaloSoma, 'CEI_COMPLETA'!$A:$A, Ajustes!T$1, 'CEI_COMPLETA'!$B:$B, Ajustes!$Q28)
)</f>
        <v>21734</v>
      </c>
      <c r="U28" s="11">
        <f>_xlfn.LET(
    _xlpm.intervaloSoma, IF($S28="R", 'CEI_COMPLETA'!$E:$E, 'CEI_COMPLETA'!$D:$D),
    SUMIFS(_xlpm.intervaloSoma, 'CEI_COMPLETA'!$A:$A, Ajustes!U$1, 'CEI_COMPLETA'!$B:$B, Ajustes!$Q28)
)</f>
        <v>25742</v>
      </c>
      <c r="V28" s="11">
        <f>_xlfn.LET(
    _xlpm.intervaloSoma, IF($S28="R", 'CEI_COMPLETA'!$E:$E, 'CEI_COMPLETA'!$D:$D),
    SUMIFS(_xlpm.intervaloSoma, 'CEI_COMPLETA'!$A:$A, Ajustes!V$1, 'CEI_COMPLETA'!$B:$B, Ajustes!$Q28)
)</f>
        <v>28008</v>
      </c>
      <c r="W28" s="11">
        <f>_xlfn.LET(
    _xlpm.intervaloSoma, IF($S28="R", 'CEI_COMPLETA'!$E:$E, 'CEI_COMPLETA'!$D:$D),
    SUMIFS(_xlpm.intervaloSoma, 'CEI_COMPLETA'!$A:$A, Ajustes!W$1, 'CEI_COMPLETA'!$B:$B, Ajustes!$Q28)
)</f>
        <v>31052</v>
      </c>
      <c r="X28" s="11">
        <f>_xlfn.LET(
    _xlpm.intervaloSoma, IF($S28="R", 'CEI_COMPLETA'!$E:$E, 'CEI_COMPLETA'!$D:$D),
    SUMIFS(_xlpm.intervaloSoma, 'CEI_COMPLETA'!$A:$A, Ajustes!X$1, 'CEI_COMPLETA'!$B:$B, Ajustes!$Q28)
)</f>
        <v>31960</v>
      </c>
      <c r="Y28" s="11">
        <f>_xlfn.LET(
    _xlpm.intervaloSoma, IF($S28="R", 'CEI_COMPLETA'!$E:$E, 'CEI_COMPLETA'!$D:$D),
    SUMIFS(_xlpm.intervaloSoma, 'CEI_COMPLETA'!$A:$A, Ajustes!Y$1, 'CEI_COMPLETA'!$B:$B, Ajustes!$Q28)
)</f>
        <v>38444</v>
      </c>
      <c r="Z28" s="11">
        <f>_xlfn.LET(
    _xlpm.intervaloSoma, IF($S28="R", 'CEI_COMPLETA'!$E:$E, 'CEI_COMPLETA'!$D:$D),
    SUMIFS(_xlpm.intervaloSoma, 'CEI_COMPLETA'!$A:$A, Ajustes!Z$1, 'CEI_COMPLETA'!$B:$B, Ajustes!$Q28)
)</f>
        <v>34986</v>
      </c>
      <c r="AA28" s="11">
        <f>_xlfn.LET(
    _xlpm.intervaloSoma, IF($S28="R", 'CEI_COMPLETA'!$E:$E, 'CEI_COMPLETA'!$D:$D),
    SUMIFS(_xlpm.intervaloSoma, 'CEI_COMPLETA'!$A:$A, Ajustes!AA$1, 'CEI_COMPLETA'!$B:$B, Ajustes!$Q28)
)</f>
        <v>37584</v>
      </c>
      <c r="AB28" s="11">
        <f>_xlfn.LET(
    _xlpm.intervaloSoma, IF($S28="R", 'CEI_COMPLETA'!$E:$E, 'CEI_COMPLETA'!$D:$D),
    SUMIFS(_xlpm.intervaloSoma, 'CEI_COMPLETA'!$A:$A, Ajustes!AB$1, 'CEI_COMPLETA'!$B:$B, Ajustes!$Q28)
)</f>
        <v>41369</v>
      </c>
      <c r="AC28" s="11">
        <f>_xlfn.LET(
    _xlpm.intervaloSoma, IF($S28="R", 'CEI_COMPLETA'!$E:$E, 'CEI_COMPLETA'!$D:$D),
    SUMIFS(_xlpm.intervaloSoma, 'CEI_COMPLETA'!$A:$A, Ajustes!AC$1, 'CEI_COMPLETA'!$B:$B, Ajustes!$Q28)
)</f>
        <v>46897</v>
      </c>
      <c r="AD28" s="11">
        <f>_xlfn.LET(
    _xlpm.intervaloSoma, IF($S28="R", 'CEI_COMPLETA'!$E:$E, 'CEI_COMPLETA'!$D:$D),
    SUMIFS(_xlpm.intervaloSoma, 'CEI_COMPLETA'!$A:$A, Ajustes!AD$1, 'CEI_COMPLETA'!$B:$B, Ajustes!$R28)
)</f>
        <v>50712</v>
      </c>
      <c r="AE28" s="11">
        <f>_xlfn.LET(
    _xlpm.intervaloSoma, IF($S28="R", 'CEI_COMPLETA'!$E:$E, 'CEI_COMPLETA'!$D:$D),
    SUMIFS(_xlpm.intervaloSoma, 'CEI_COMPLETA'!$A:$A, Ajustes!AE$1, 'CEI_COMPLETA'!$B:$B, Ajustes!$R28)
)</f>
        <v>54639</v>
      </c>
      <c r="AF28" s="11">
        <f>_xlfn.LET(
    _xlpm.intervaloSoma, IF($S28="R", 'CEI_COMPLETA'!$E:$E, 'CEI_COMPLETA'!$D:$D),
    SUMIFS(_xlpm.intervaloSoma, 'CEI_COMPLETA'!$A:$A, Ajustes!AF$1, 'CEI_COMPLETA'!$B:$B, Ajustes!$R28)
)</f>
        <v>57224</v>
      </c>
      <c r="AG28" s="11">
        <f>_xlfn.LET(
    _xlpm.intervaloSoma, IF($S28="R", 'CEI_COMPLETA'!$E:$E, 'CEI_COMPLETA'!$D:$D),
    SUMIFS(_xlpm.intervaloSoma, 'CEI_COMPLETA'!$A:$A, Ajustes!AG$1, 'CEI_COMPLETA'!$B:$B, Ajustes!$R28)
)</f>
        <v>62395</v>
      </c>
      <c r="AH28" s="11">
        <f>_xlfn.LET(
    _xlpm.intervaloSoma, IF($S28="R", 'CEI_COMPLETA'!$E:$E, 'CEI_COMPLETA'!$D:$D),
    SUMIFS(_xlpm.intervaloSoma, 'CEI_COMPLETA'!$A:$A, Ajustes!AH$1, 'CEI_COMPLETA'!$B:$B, Ajustes!$R28)
)</f>
        <v>69710</v>
      </c>
      <c r="AI28" s="11">
        <f>_xlfn.LET(
    _xlpm.intervaloSoma, IF($S28="R", 'CEI_COMPLETA'!$E:$E, 'CEI_COMPLETA'!$D:$D),
    SUMIFS(_xlpm.intervaloSoma, 'CEI_COMPLETA'!$A:$A, Ajustes!AI$1, 'CEI_COMPLETA'!$B:$B, Ajustes!$R28)
)</f>
        <v>71987</v>
      </c>
      <c r="AJ28" s="11">
        <f>_xlfn.LET(
    _xlpm.intervaloSoma, IF($S28="R", 'CEI_COMPLETA'!$E:$E, 'CEI_COMPLETA'!$D:$D),
    SUMIFS(_xlpm.intervaloSoma, 'CEI_COMPLETA'!$A:$A, Ajustes!AJ$1, 'CEI_COMPLETA'!$B:$B, Ajustes!$R28)
)</f>
        <v>78345</v>
      </c>
      <c r="AK28" s="11">
        <f>_xlfn.LET(
    _xlpm.intervaloSoma, IF($S28="R", 'CEI_COMPLETA'!$E:$E, 'CEI_COMPLETA'!$D:$D),
    SUMIFS(_xlpm.intervaloSoma, 'CEI_COMPLETA'!$A:$A, Ajustes!AK$1, 'CEI_COMPLETA'!$B:$B, Ajustes!$R28)
)</f>
        <v>89332</v>
      </c>
      <c r="AL28" s="11">
        <f>_xlfn.LET(
    _xlpm.intervaloSoma, IF($S28="R", 'CEI_COMPLETA'!$E:$E, 'CEI_COMPLETA'!$D:$D),
    SUMIFS(_xlpm.intervaloSoma, 'CEI_COMPLETA'!$A:$A, Ajustes!AL$1, 'CEI_COMPLETA'!$B:$B, Ajustes!$R28)
)</f>
        <v>96812</v>
      </c>
      <c r="AM28" s="11">
        <f>_xlfn.LET(
    _xlpm.intervaloSoma, IF($S28="R", 'CEI_COMPLETA'!$E:$E, 'CEI_COMPLETA'!$D:$D),
    SUMIFS(_xlpm.intervaloSoma, 'CEI_COMPLETA'!$A:$A, Ajustes!AM$1, 'CEI_COMPLETA'!$B:$B, Ajustes!$R28)
)</f>
        <v>105093</v>
      </c>
      <c r="AN28" s="11">
        <f>_xlfn.LET(
    _xlpm.intervaloSoma, IF($S28="R", 'CEI_COMPLETA'!$E:$E, 'CEI_COMPLETA'!$D:$D),
    SUMIFS(_xlpm.intervaloSoma, 'CEI_COMPLETA'!$A:$A, Ajustes!AN$1, 'CEI_COMPLETA'!$B:$B, Ajustes!$R28)
)</f>
        <v>97765</v>
      </c>
      <c r="AO28" s="11">
        <f>_xlfn.LET(
    _xlpm.intervaloSoma, IF($S28="R", 'CEI_COMPLETA'!$E:$E, 'CEI_COMPLETA'!$D:$D),
    SUMIFS(_xlpm.intervaloSoma, 'CEI_COMPLETA'!$A:$A, Ajustes!AO$1, 'CEI_COMPLETA'!$B:$B, Ajustes!$R28)
)</f>
        <v>100625</v>
      </c>
    </row>
    <row r="29" spans="1:41" ht="26.25" thickBot="1" x14ac:dyDescent="0.3">
      <c r="A29" s="20" t="s">
        <v>76</v>
      </c>
      <c r="B29" s="26"/>
      <c r="C29" s="8"/>
      <c r="D29" s="8"/>
      <c r="E29" s="8"/>
      <c r="F29" s="8"/>
      <c r="G29" s="8"/>
      <c r="H29" s="27"/>
      <c r="I29" s="26" cm="1">
        <f t="array" ref="I29">_xlfn.SWITCH(B29,0,0,"-",-1,"+",1)</f>
        <v>0</v>
      </c>
      <c r="J29" s="8" cm="1">
        <f t="array" ref="J29">_xlfn.SWITCH(C29,0,0,"-",-1,"+",1)</f>
        <v>0</v>
      </c>
      <c r="K29" s="8" cm="1">
        <f t="array" ref="K29">_xlfn.SWITCH(D29,0,0,"-",-1,"+",1)</f>
        <v>0</v>
      </c>
      <c r="L29" s="8" cm="1">
        <f t="array" ref="L29">_xlfn.SWITCH(E29,0,0,"-",-1,"+",1)</f>
        <v>0</v>
      </c>
      <c r="M29" s="8" cm="1">
        <f t="array" ref="M29">_xlfn.SWITCH(F29,0,0,"-",-1,"+",1)</f>
        <v>0</v>
      </c>
      <c r="N29" s="8" cm="1">
        <f t="array" ref="N29">_xlfn.SWITCH(G29,0,0,"-",-1,"+",1)</f>
        <v>0</v>
      </c>
      <c r="O29" s="27" cm="1">
        <f t="array" ref="O29">_xlfn.SWITCH(H29,0,0,"-",-1,"+",1)</f>
        <v>0</v>
      </c>
      <c r="P29" s="36" t="s">
        <v>120</v>
      </c>
      <c r="Q29" s="9" t="s">
        <v>171</v>
      </c>
      <c r="R29" s="9" t="s">
        <v>195</v>
      </c>
      <c r="S29" s="37" t="s">
        <v>147</v>
      </c>
      <c r="T29" s="11">
        <f>_xlfn.LET(
    _xlpm.intervaloSoma, IF($S29="R", 'CEI_COMPLETA'!$E:$E, 'CEI_COMPLETA'!$D:$D),
    SUMIFS(_xlpm.intervaloSoma, 'CEI_COMPLETA'!$A:$A, Ajustes!T$1, 'CEI_COMPLETA'!$B:$B, Ajustes!$Q29)
)</f>
        <v>40463</v>
      </c>
      <c r="U29" s="11">
        <f>_xlfn.LET(
    _xlpm.intervaloSoma, IF($S29="R", 'CEI_COMPLETA'!$E:$E, 'CEI_COMPLETA'!$D:$D),
    SUMIFS(_xlpm.intervaloSoma, 'CEI_COMPLETA'!$A:$A, Ajustes!U$1, 'CEI_COMPLETA'!$B:$B, Ajustes!$Q29)
)</f>
        <v>49209</v>
      </c>
      <c r="V29" s="11">
        <f>_xlfn.LET(
    _xlpm.intervaloSoma, IF($S29="R", 'CEI_COMPLETA'!$E:$E, 'CEI_COMPLETA'!$D:$D),
    SUMIFS(_xlpm.intervaloSoma, 'CEI_COMPLETA'!$A:$A, Ajustes!V$1, 'CEI_COMPLETA'!$B:$B, Ajustes!$Q29)
)</f>
        <v>58636</v>
      </c>
      <c r="W29" s="11">
        <f>_xlfn.LET(
    _xlpm.intervaloSoma, IF($S29="R", 'CEI_COMPLETA'!$E:$E, 'CEI_COMPLETA'!$D:$D),
    SUMIFS(_xlpm.intervaloSoma, 'CEI_COMPLETA'!$A:$A, Ajustes!W$1, 'CEI_COMPLETA'!$B:$B, Ajustes!$Q29)
)</f>
        <v>63958</v>
      </c>
      <c r="X29" s="11">
        <f>_xlfn.LET(
    _xlpm.intervaloSoma, IF($S29="R", 'CEI_COMPLETA'!$E:$E, 'CEI_COMPLETA'!$D:$D),
    SUMIFS(_xlpm.intervaloSoma, 'CEI_COMPLETA'!$A:$A, Ajustes!X$1, 'CEI_COMPLETA'!$B:$B, Ajustes!$Q29)
)</f>
        <v>64730</v>
      </c>
      <c r="Y29" s="11">
        <f>_xlfn.LET(
    _xlpm.intervaloSoma, IF($S29="R", 'CEI_COMPLETA'!$E:$E, 'CEI_COMPLETA'!$D:$D),
    SUMIFS(_xlpm.intervaloSoma, 'CEI_COMPLETA'!$A:$A, Ajustes!Y$1, 'CEI_COMPLETA'!$B:$B, Ajustes!$Q29)
)</f>
        <v>79202</v>
      </c>
      <c r="Z29" s="11">
        <f>_xlfn.LET(
    _xlpm.intervaloSoma, IF($S29="R", 'CEI_COMPLETA'!$E:$E, 'CEI_COMPLETA'!$D:$D),
    SUMIFS(_xlpm.intervaloSoma, 'CEI_COMPLETA'!$A:$A, Ajustes!Z$1, 'CEI_COMPLETA'!$B:$B, Ajustes!$Q29)
)</f>
        <v>95675</v>
      </c>
      <c r="AA29" s="11">
        <f>_xlfn.LET(
    _xlpm.intervaloSoma, IF($S29="R", 'CEI_COMPLETA'!$E:$E, 'CEI_COMPLETA'!$D:$D),
    SUMIFS(_xlpm.intervaloSoma, 'CEI_COMPLETA'!$A:$A, Ajustes!AA$1, 'CEI_COMPLETA'!$B:$B, Ajustes!$Q29)
)</f>
        <v>98660</v>
      </c>
      <c r="AB29" s="11">
        <f>_xlfn.LET(
    _xlpm.intervaloSoma, IF($S29="R", 'CEI_COMPLETA'!$E:$E, 'CEI_COMPLETA'!$D:$D),
    SUMIFS(_xlpm.intervaloSoma, 'CEI_COMPLETA'!$A:$A, Ajustes!AB$1, 'CEI_COMPLETA'!$B:$B, Ajustes!$Q29)
)</f>
        <v>111839</v>
      </c>
      <c r="AC29" s="11">
        <f>_xlfn.LET(
    _xlpm.intervaloSoma, IF($S29="R", 'CEI_COMPLETA'!$E:$E, 'CEI_COMPLETA'!$D:$D),
    SUMIFS(_xlpm.intervaloSoma, 'CEI_COMPLETA'!$A:$A, Ajustes!AC$1, 'CEI_COMPLETA'!$B:$B, Ajustes!$Q29)
)</f>
        <v>107106</v>
      </c>
      <c r="AD29" s="11">
        <f>_xlfn.LET(
    _xlpm.intervaloSoma, IF($S29="R", 'CEI_COMPLETA'!$E:$E, 'CEI_COMPLETA'!$D:$D),
    SUMIFS(_xlpm.intervaloSoma, 'CEI_COMPLETA'!$A:$A, Ajustes!AD$1, 'CEI_COMPLETA'!$B:$B, Ajustes!$R29)
)</f>
        <v>133417</v>
      </c>
      <c r="AE29" s="11">
        <f>_xlfn.LET(
    _xlpm.intervaloSoma, IF($S29="R", 'CEI_COMPLETA'!$E:$E, 'CEI_COMPLETA'!$D:$D),
    SUMIFS(_xlpm.intervaloSoma, 'CEI_COMPLETA'!$A:$A, Ajustes!AE$1, 'CEI_COMPLETA'!$B:$B, Ajustes!$R29)
)</f>
        <v>136537</v>
      </c>
      <c r="AF29" s="11">
        <f>_xlfn.LET(
    _xlpm.intervaloSoma, IF($S29="R", 'CEI_COMPLETA'!$E:$E, 'CEI_COMPLETA'!$D:$D),
    SUMIFS(_xlpm.intervaloSoma, 'CEI_COMPLETA'!$A:$A, Ajustes!AF$1, 'CEI_COMPLETA'!$B:$B, Ajustes!$R29)
)</f>
        <v>168073</v>
      </c>
      <c r="AG29" s="11">
        <f>_xlfn.LET(
    _xlpm.intervaloSoma, IF($S29="R", 'CEI_COMPLETA'!$E:$E, 'CEI_COMPLETA'!$D:$D),
    SUMIFS(_xlpm.intervaloSoma, 'CEI_COMPLETA'!$A:$A, Ajustes!AG$1, 'CEI_COMPLETA'!$B:$B, Ajustes!$R29)
)</f>
        <v>157833</v>
      </c>
      <c r="AH29" s="11">
        <f>_xlfn.LET(
    _xlpm.intervaloSoma, IF($S29="R", 'CEI_COMPLETA'!$E:$E, 'CEI_COMPLETA'!$D:$D),
    SUMIFS(_xlpm.intervaloSoma, 'CEI_COMPLETA'!$A:$A, Ajustes!AH$1, 'CEI_COMPLETA'!$B:$B, Ajustes!$R29)
)</f>
        <v>175153</v>
      </c>
      <c r="AI29" s="11">
        <f>_xlfn.LET(
    _xlpm.intervaloSoma, IF($S29="R", 'CEI_COMPLETA'!$E:$E, 'CEI_COMPLETA'!$D:$D),
    SUMIFS(_xlpm.intervaloSoma, 'CEI_COMPLETA'!$A:$A, Ajustes!AI$1, 'CEI_COMPLETA'!$B:$B, Ajustes!$R29)
)</f>
        <v>222854</v>
      </c>
      <c r="AJ29" s="11">
        <f>_xlfn.LET(
    _xlpm.intervaloSoma, IF($S29="R", 'CEI_COMPLETA'!$E:$E, 'CEI_COMPLETA'!$D:$D),
    SUMIFS(_xlpm.intervaloSoma, 'CEI_COMPLETA'!$A:$A, Ajustes!AJ$1, 'CEI_COMPLETA'!$B:$B, Ajustes!$R29)
)</f>
        <v>213948</v>
      </c>
      <c r="AK29" s="11">
        <f>_xlfn.LET(
    _xlpm.intervaloSoma, IF($S29="R", 'CEI_COMPLETA'!$E:$E, 'CEI_COMPLETA'!$D:$D),
    SUMIFS(_xlpm.intervaloSoma, 'CEI_COMPLETA'!$A:$A, Ajustes!AK$1, 'CEI_COMPLETA'!$B:$B, Ajustes!$R29)
)</f>
        <v>199698</v>
      </c>
      <c r="AL29" s="11">
        <f>_xlfn.LET(
    _xlpm.intervaloSoma, IF($S29="R", 'CEI_COMPLETA'!$E:$E, 'CEI_COMPLETA'!$D:$D),
    SUMIFS(_xlpm.intervaloSoma, 'CEI_COMPLETA'!$A:$A, Ajustes!AL$1, 'CEI_COMPLETA'!$B:$B, Ajustes!$R29)
)</f>
        <v>209947</v>
      </c>
      <c r="AM29" s="11">
        <f>_xlfn.LET(
    _xlpm.intervaloSoma, IF($S29="R", 'CEI_COMPLETA'!$E:$E, 'CEI_COMPLETA'!$D:$D),
    SUMIFS(_xlpm.intervaloSoma, 'CEI_COMPLETA'!$A:$A, Ajustes!AM$1, 'CEI_COMPLETA'!$B:$B, Ajustes!$R29)
)</f>
        <v>249060</v>
      </c>
      <c r="AN29" s="11">
        <f>_xlfn.LET(
    _xlpm.intervaloSoma, IF($S29="R", 'CEI_COMPLETA'!$E:$E, 'CEI_COMPLETA'!$D:$D),
    SUMIFS(_xlpm.intervaloSoma, 'CEI_COMPLETA'!$A:$A, Ajustes!AN$1, 'CEI_COMPLETA'!$B:$B, Ajustes!$R29)
)</f>
        <v>234884</v>
      </c>
      <c r="AO29" s="11">
        <f>_xlfn.LET(
    _xlpm.intervaloSoma, IF($S29="R", 'CEI_COMPLETA'!$E:$E, 'CEI_COMPLETA'!$D:$D),
    SUMIFS(_xlpm.intervaloSoma, 'CEI_COMPLETA'!$A:$A, Ajustes!AO$1, 'CEI_COMPLETA'!$B:$B, Ajustes!$R29)
)</f>
        <v>278416</v>
      </c>
    </row>
    <row r="30" spans="1:41" x14ac:dyDescent="0.25">
      <c r="A30" s="19" t="s">
        <v>33</v>
      </c>
      <c r="B30" s="28"/>
      <c r="C30" s="8"/>
      <c r="D30" s="8"/>
      <c r="E30" s="8"/>
      <c r="F30" s="8"/>
      <c r="G30" s="8"/>
      <c r="H30" s="27"/>
      <c r="I30" s="26" cm="1">
        <f t="array" ref="I30">_xlfn.SWITCH(B30,0,0,"-",-1,"+",1)</f>
        <v>0</v>
      </c>
      <c r="J30" s="8" cm="1">
        <f t="array" ref="J30">_xlfn.SWITCH(C30,0,0,"-",-1,"+",1)</f>
        <v>0</v>
      </c>
      <c r="K30" s="8" cm="1">
        <f t="array" ref="K30">_xlfn.SWITCH(D30,0,0,"-",-1,"+",1)</f>
        <v>0</v>
      </c>
      <c r="L30" s="8" cm="1">
        <f t="array" ref="L30">_xlfn.SWITCH(E30,0,0,"-",-1,"+",1)</f>
        <v>0</v>
      </c>
      <c r="M30" s="8" cm="1">
        <f t="array" ref="M30">_xlfn.SWITCH(F30,0,0,"-",-1,"+",1)</f>
        <v>0</v>
      </c>
      <c r="N30" s="8" cm="1">
        <f t="array" ref="N30">_xlfn.SWITCH(G30,0,0,"-",-1,"+",1)</f>
        <v>0</v>
      </c>
      <c r="O30" s="27" cm="1">
        <f t="array" ref="O30">_xlfn.SWITCH(H30,0,0,"-",-1,"+",1)</f>
        <v>0</v>
      </c>
      <c r="P30" s="36" t="s">
        <v>120</v>
      </c>
      <c r="Q30" s="9" t="s">
        <v>138</v>
      </c>
      <c r="R30" s="9" t="s">
        <v>138</v>
      </c>
      <c r="S30" s="37" t="s">
        <v>146</v>
      </c>
      <c r="T30" s="14">
        <f>_xlfn.LET(
    _xlpm.intervaloSoma, IF($S30="R", 'CEI_COMPLETA'!$E:$E, 'CEI_COMPLETA'!$D:$D),
    SUMIFS(_xlpm.intervaloSoma, 'CEI_COMPLETA'!$A:$A, Ajustes!T$1, 'CEI_COMPLETA'!$B:$B, Ajustes!$Q30)
)</f>
        <v>160298</v>
      </c>
      <c r="U30" s="14">
        <f>_xlfn.LET(
    _xlpm.intervaloSoma, IF($S30="R", 'CEI_COMPLETA'!$E:$E, 'CEI_COMPLETA'!$D:$D),
    SUMIFS(_xlpm.intervaloSoma, 'CEI_COMPLETA'!$A:$A, Ajustes!U$1, 'CEI_COMPLETA'!$B:$B, Ajustes!$Q30)
)</f>
        <v>183633</v>
      </c>
      <c r="V30" s="14">
        <f>_xlfn.LET(
    _xlpm.intervaloSoma, IF($S30="R", 'CEI_COMPLETA'!$E:$E, 'CEI_COMPLETA'!$D:$D),
    SUMIFS(_xlpm.intervaloSoma, 'CEI_COMPLETA'!$A:$A, Ajustes!V$1, 'CEI_COMPLETA'!$B:$B, Ajustes!$Q30)
)</f>
        <v>225609</v>
      </c>
      <c r="W30" s="14">
        <f>_xlfn.LET(
    _xlpm.intervaloSoma, IF($S30="R", 'CEI_COMPLETA'!$E:$E, 'CEI_COMPLETA'!$D:$D),
    SUMIFS(_xlpm.intervaloSoma, 'CEI_COMPLETA'!$A:$A, Ajustes!W$1, 'CEI_COMPLETA'!$B:$B, Ajustes!$Q30)
)</f>
        <v>256543</v>
      </c>
      <c r="X30" s="14">
        <f>_xlfn.LET(
    _xlpm.intervaloSoma, IF($S30="R", 'CEI_COMPLETA'!$E:$E, 'CEI_COMPLETA'!$D:$D),
    SUMIFS(_xlpm.intervaloSoma, 'CEI_COMPLETA'!$A:$A, Ajustes!X$1, 'CEI_COMPLETA'!$B:$B, Ajustes!$Q30)
)</f>
        <v>283348</v>
      </c>
      <c r="Y30" s="14">
        <f>_xlfn.LET(
    _xlpm.intervaloSoma, IF($S30="R", 'CEI_COMPLETA'!$E:$E, 'CEI_COMPLETA'!$D:$D),
    SUMIFS(_xlpm.intervaloSoma, 'CEI_COMPLETA'!$A:$A, Ajustes!Y$1, 'CEI_COMPLETA'!$B:$B, Ajustes!$Q30)
)</f>
        <v>321654</v>
      </c>
      <c r="Z30" s="14">
        <f>_xlfn.LET(
    _xlpm.intervaloSoma, IF($S30="R", 'CEI_COMPLETA'!$E:$E, 'CEI_COMPLETA'!$D:$D),
    SUMIFS(_xlpm.intervaloSoma, 'CEI_COMPLETA'!$A:$A, Ajustes!Z$1, 'CEI_COMPLETA'!$B:$B, Ajustes!$Q30)
)</f>
        <v>366398</v>
      </c>
      <c r="AA30" s="14">
        <f>_xlfn.LET(
    _xlpm.intervaloSoma, IF($S30="R", 'CEI_COMPLETA'!$E:$E, 'CEI_COMPLETA'!$D:$D),
    SUMIFS(_xlpm.intervaloSoma, 'CEI_COMPLETA'!$A:$A, Ajustes!AA$1, 'CEI_COMPLETA'!$B:$B, Ajustes!$Q30)
)</f>
        <v>406702</v>
      </c>
      <c r="AB30" s="14">
        <f>_xlfn.LET(
    _xlpm.intervaloSoma, IF($S30="R", 'CEI_COMPLETA'!$E:$E, 'CEI_COMPLETA'!$D:$D),
    SUMIFS(_xlpm.intervaloSoma, 'CEI_COMPLETA'!$A:$A, Ajustes!AB$1, 'CEI_COMPLETA'!$B:$B, Ajustes!$Q30)
)</f>
        <v>450625</v>
      </c>
      <c r="AC30" s="14">
        <f>_xlfn.LET(
    _xlpm.intervaloSoma, IF($S30="R", 'CEI_COMPLETA'!$E:$E, 'CEI_COMPLETA'!$D:$D),
    SUMIFS(_xlpm.intervaloSoma, 'CEI_COMPLETA'!$A:$A, Ajustes!AC$1, 'CEI_COMPLETA'!$B:$B, Ajustes!$Q30)
)</f>
        <v>506919</v>
      </c>
      <c r="AD30" s="14">
        <f>_xlfn.LET(
    _xlpm.intervaloSoma, IF($S30="R", 'CEI_COMPLETA'!$E:$E, 'CEI_COMPLETA'!$D:$D),
    SUMIFS(_xlpm.intervaloSoma, 'CEI_COMPLETA'!$A:$A, Ajustes!AD$1, 'CEI_COMPLETA'!$B:$B, Ajustes!$R30)
)</f>
        <v>568962</v>
      </c>
      <c r="AE30" s="14">
        <f>_xlfn.LET(
    _xlpm.intervaloSoma, IF($S30="R", 'CEI_COMPLETA'!$E:$E, 'CEI_COMPLETA'!$D:$D),
    SUMIFS(_xlpm.intervaloSoma, 'CEI_COMPLETA'!$A:$A, Ajustes!AE$1, 'CEI_COMPLETA'!$B:$B, Ajustes!$R30)
)</f>
        <v>644810</v>
      </c>
      <c r="AF30" s="14">
        <f>_xlfn.LET(
    _xlpm.intervaloSoma, IF($S30="R", 'CEI_COMPLETA'!$E:$E, 'CEI_COMPLETA'!$D:$D),
    SUMIFS(_xlpm.intervaloSoma, 'CEI_COMPLETA'!$A:$A, Ajustes!AF$1, 'CEI_COMPLETA'!$B:$B, Ajustes!$R30)
)</f>
        <v>721459</v>
      </c>
      <c r="AG30" s="14">
        <f>_xlfn.LET(
    _xlpm.intervaloSoma, IF($S30="R", 'CEI_COMPLETA'!$E:$E, 'CEI_COMPLETA'!$D:$D),
    SUMIFS(_xlpm.intervaloSoma, 'CEI_COMPLETA'!$A:$A, Ajustes!AG$1, 'CEI_COMPLETA'!$B:$B, Ajustes!$R30)
)</f>
        <v>809849</v>
      </c>
      <c r="AH30" s="14">
        <f>_xlfn.LET(
    _xlpm.intervaloSoma, IF($S30="R", 'CEI_COMPLETA'!$E:$E, 'CEI_COMPLETA'!$D:$D),
    SUMIFS(_xlpm.intervaloSoma, 'CEI_COMPLETA'!$A:$A, Ajustes!AH$1, 'CEI_COMPLETA'!$B:$B, Ajustes!$R30)
)</f>
        <v>911277</v>
      </c>
      <c r="AI30" s="14">
        <f>_xlfn.LET(
    _xlpm.intervaloSoma, IF($S30="R", 'CEI_COMPLETA'!$E:$E, 'CEI_COMPLETA'!$D:$D),
    SUMIFS(_xlpm.intervaloSoma, 'CEI_COMPLETA'!$A:$A, Ajustes!AI$1, 'CEI_COMPLETA'!$B:$B, Ajustes!$R30)
)</f>
        <v>994425</v>
      </c>
      <c r="AJ30" s="14">
        <f>_xlfn.LET(
    _xlpm.intervaloSoma, IF($S30="R", 'CEI_COMPLETA'!$E:$E, 'CEI_COMPLETA'!$D:$D),
    SUMIFS(_xlpm.intervaloSoma, 'CEI_COMPLETA'!$A:$A, Ajustes!AJ$1, 'CEI_COMPLETA'!$B:$B, Ajustes!$R30)
)</f>
        <v>1123676</v>
      </c>
      <c r="AK30" s="14">
        <f>_xlfn.LET(
    _xlpm.intervaloSoma, IF($S30="R", 'CEI_COMPLETA'!$E:$E, 'CEI_COMPLETA'!$D:$D),
    SUMIFS(_xlpm.intervaloSoma, 'CEI_COMPLETA'!$A:$A, Ajustes!AK$1, 'CEI_COMPLETA'!$B:$B, Ajustes!$R30)
)</f>
        <v>1273787</v>
      </c>
      <c r="AL30" s="14">
        <f>_xlfn.LET(
    _xlpm.intervaloSoma, IF($S30="R", 'CEI_COMPLETA'!$E:$E, 'CEI_COMPLETA'!$D:$D),
    SUMIFS(_xlpm.intervaloSoma, 'CEI_COMPLETA'!$A:$A, Ajustes!AL$1, 'CEI_COMPLETA'!$B:$B, Ajustes!$R30)
)</f>
        <v>1293900</v>
      </c>
      <c r="AM30" s="14">
        <f>_xlfn.LET(
    _xlpm.intervaloSoma, IF($S30="R", 'CEI_COMPLETA'!$E:$E, 'CEI_COMPLETA'!$D:$D),
    SUMIFS(_xlpm.intervaloSoma, 'CEI_COMPLETA'!$A:$A, Ajustes!AM$1, 'CEI_COMPLETA'!$B:$B, Ajustes!$R30)
)</f>
        <v>1412742</v>
      </c>
      <c r="AN30" s="14">
        <f>_xlfn.LET(
    _xlpm.intervaloSoma, IF($S30="R", 'CEI_COMPLETA'!$E:$E, 'CEI_COMPLETA'!$D:$D),
    SUMIFS(_xlpm.intervaloSoma, 'CEI_COMPLETA'!$A:$A, Ajustes!AN$1, 'CEI_COMPLETA'!$B:$B, Ajustes!$R30)
)</f>
        <v>1827609</v>
      </c>
      <c r="AO30" s="14">
        <f>_xlfn.LET(
    _xlpm.intervaloSoma, IF($S30="R", 'CEI_COMPLETA'!$E:$E, 'CEI_COMPLETA'!$D:$D),
    SUMIFS(_xlpm.intervaloSoma, 'CEI_COMPLETA'!$A:$A, Ajustes!AO$1, 'CEI_COMPLETA'!$B:$B, Ajustes!$R30)
)</f>
        <v>1563021</v>
      </c>
    </row>
    <row r="31" spans="1:41" x14ac:dyDescent="0.25">
      <c r="A31" s="20" t="s">
        <v>34</v>
      </c>
      <c r="B31" s="26"/>
      <c r="C31" s="8"/>
      <c r="D31" s="8"/>
      <c r="E31" s="8"/>
      <c r="F31" s="8"/>
      <c r="G31" s="8"/>
      <c r="H31" s="27"/>
      <c r="I31" s="26" cm="1">
        <f t="array" ref="I31">_xlfn.SWITCH(B31,0,0,"-",-1,"+",1)</f>
        <v>0</v>
      </c>
      <c r="J31" s="8" cm="1">
        <f t="array" ref="J31">_xlfn.SWITCH(C31,0,0,"-",-1,"+",1)</f>
        <v>0</v>
      </c>
      <c r="K31" s="8" cm="1">
        <f t="array" ref="K31">_xlfn.SWITCH(D31,0,0,"-",-1,"+",1)</f>
        <v>0</v>
      </c>
      <c r="L31" s="8" cm="1">
        <f t="array" ref="L31">_xlfn.SWITCH(E31,0,0,"-",-1,"+",1)</f>
        <v>0</v>
      </c>
      <c r="M31" s="8" cm="1">
        <f t="array" ref="M31">_xlfn.SWITCH(F31,0,0,"-",-1,"+",1)</f>
        <v>0</v>
      </c>
      <c r="N31" s="8" cm="1">
        <f t="array" ref="N31">_xlfn.SWITCH(G31,0,0,"-",-1,"+",1)</f>
        <v>0</v>
      </c>
      <c r="O31" s="27" cm="1">
        <f t="array" ref="O31">_xlfn.SWITCH(H31,0,0,"-",-1,"+",1)</f>
        <v>0</v>
      </c>
      <c r="P31" s="36" t="s">
        <v>120</v>
      </c>
      <c r="Q31" s="9" t="s">
        <v>172</v>
      </c>
      <c r="R31" s="9" t="s">
        <v>172</v>
      </c>
      <c r="S31" s="37" t="s">
        <v>146</v>
      </c>
      <c r="T31" s="11">
        <f>_xlfn.LET(
    _xlpm.intervaloSoma, IF($S31="R", 'CEI_COMPLETA'!$E:$E, 'CEI_COMPLETA'!$D:$D),
    SUMIFS(_xlpm.intervaloSoma, 'CEI_COMPLETA'!$A:$A, Ajustes!T$1, 'CEI_COMPLETA'!$B:$B, Ajustes!$Q31)
)</f>
        <v>70874</v>
      </c>
      <c r="U31" s="11">
        <f>_xlfn.LET(
    _xlpm.intervaloSoma, IF($S31="R", 'CEI_COMPLETA'!$E:$E, 'CEI_COMPLETA'!$D:$D),
    SUMIFS(_xlpm.intervaloSoma, 'CEI_COMPLETA'!$A:$A, Ajustes!U$1, 'CEI_COMPLETA'!$B:$B, Ajustes!$Q31)
)</f>
        <v>81993</v>
      </c>
      <c r="V31" s="11">
        <f>_xlfn.LET(
    _xlpm.intervaloSoma, IF($S31="R", 'CEI_COMPLETA'!$E:$E, 'CEI_COMPLETA'!$D:$D),
    SUMIFS(_xlpm.intervaloSoma, 'CEI_COMPLETA'!$A:$A, Ajustes!V$1, 'CEI_COMPLETA'!$B:$B, Ajustes!$Q31)
)</f>
        <v>94664</v>
      </c>
      <c r="W31" s="11">
        <f>_xlfn.LET(
    _xlpm.intervaloSoma, IF($S31="R", 'CEI_COMPLETA'!$E:$E, 'CEI_COMPLETA'!$D:$D),
    SUMIFS(_xlpm.intervaloSoma, 'CEI_COMPLETA'!$A:$A, Ajustes!W$1, 'CEI_COMPLETA'!$B:$B, Ajustes!$Q31)
)</f>
        <v>116927</v>
      </c>
      <c r="X31" s="11">
        <f>_xlfn.LET(
    _xlpm.intervaloSoma, IF($S31="R", 'CEI_COMPLETA'!$E:$E, 'CEI_COMPLETA'!$D:$D),
    SUMIFS(_xlpm.intervaloSoma, 'CEI_COMPLETA'!$A:$A, Ajustes!X$1, 'CEI_COMPLETA'!$B:$B, Ajustes!$Q31)
)</f>
        <v>132463</v>
      </c>
      <c r="Y31" s="11">
        <f>_xlfn.LET(
    _xlpm.intervaloSoma, IF($S31="R", 'CEI_COMPLETA'!$E:$E, 'CEI_COMPLETA'!$D:$D),
    SUMIFS(_xlpm.intervaloSoma, 'CEI_COMPLETA'!$A:$A, Ajustes!Y$1, 'CEI_COMPLETA'!$B:$B, Ajustes!$Q31)
)</f>
        <v>153870</v>
      </c>
      <c r="Z31" s="11">
        <f>_xlfn.LET(
    _xlpm.intervaloSoma, IF($S31="R", 'CEI_COMPLETA'!$E:$E, 'CEI_COMPLETA'!$D:$D),
    SUMIFS(_xlpm.intervaloSoma, 'CEI_COMPLETA'!$A:$A, Ajustes!Z$1, 'CEI_COMPLETA'!$B:$B, Ajustes!$Q31)
)</f>
        <v>176657</v>
      </c>
      <c r="AA31" s="11">
        <f>_xlfn.LET(
    _xlpm.intervaloSoma, IF($S31="R", 'CEI_COMPLETA'!$E:$E, 'CEI_COMPLETA'!$D:$D),
    SUMIFS(_xlpm.intervaloSoma, 'CEI_COMPLETA'!$A:$A, Ajustes!AA$1, 'CEI_COMPLETA'!$B:$B, Ajustes!$Q31)
)</f>
        <v>195658</v>
      </c>
      <c r="AB31" s="11">
        <f>_xlfn.LET(
    _xlpm.intervaloSoma, IF($S31="R", 'CEI_COMPLETA'!$E:$E, 'CEI_COMPLETA'!$D:$D),
    SUMIFS(_xlpm.intervaloSoma, 'CEI_COMPLETA'!$A:$A, Ajustes!AB$1, 'CEI_COMPLETA'!$B:$B, Ajustes!$Q31)
)</f>
        <v>216143</v>
      </c>
      <c r="AC31" s="11">
        <f>_xlfn.LET(
    _xlpm.intervaloSoma, IF($S31="R", 'CEI_COMPLETA'!$E:$E, 'CEI_COMPLETA'!$D:$D),
    SUMIFS(_xlpm.intervaloSoma, 'CEI_COMPLETA'!$A:$A, Ajustes!AC$1, 'CEI_COMPLETA'!$B:$B, Ajustes!$Q31)
)</f>
        <v>245815</v>
      </c>
      <c r="AD31" s="11">
        <f>_xlfn.LET(
    _xlpm.intervaloSoma, IF($S31="R", 'CEI_COMPLETA'!$E:$E, 'CEI_COMPLETA'!$D:$D),
    SUMIFS(_xlpm.intervaloSoma, 'CEI_COMPLETA'!$A:$A, Ajustes!AD$1, 'CEI_COMPLETA'!$B:$B, Ajustes!$R31)
)</f>
        <v>283363</v>
      </c>
      <c r="AE31" s="11">
        <f>_xlfn.LET(
    _xlpm.intervaloSoma, IF($S31="R", 'CEI_COMPLETA'!$E:$E, 'CEI_COMPLETA'!$D:$D),
    SUMIFS(_xlpm.intervaloSoma, 'CEI_COMPLETA'!$A:$A, Ajustes!AE$1, 'CEI_COMPLETA'!$B:$B, Ajustes!$R31)
)</f>
        <v>315695</v>
      </c>
      <c r="AF31" s="11">
        <f>_xlfn.LET(
    _xlpm.intervaloSoma, IF($S31="R", 'CEI_COMPLETA'!$E:$E, 'CEI_COMPLETA'!$D:$D),
    SUMIFS(_xlpm.intervaloSoma, 'CEI_COMPLETA'!$A:$A, Ajustes!AF$1, 'CEI_COMPLETA'!$B:$B, Ajustes!$R31)
)</f>
        <v>357722</v>
      </c>
      <c r="AG31" s="11">
        <f>_xlfn.LET(
    _xlpm.intervaloSoma, IF($S31="R", 'CEI_COMPLETA'!$E:$E, 'CEI_COMPLETA'!$D:$D),
    SUMIFS(_xlpm.intervaloSoma, 'CEI_COMPLETA'!$A:$A, Ajustes!AG$1, 'CEI_COMPLETA'!$B:$B, Ajustes!$R31)
)</f>
        <v>402748</v>
      </c>
      <c r="AH31" s="11">
        <f>_xlfn.LET(
    _xlpm.intervaloSoma, IF($S31="R", 'CEI_COMPLETA'!$E:$E, 'CEI_COMPLETA'!$D:$D),
    SUMIFS(_xlpm.intervaloSoma, 'CEI_COMPLETA'!$A:$A, Ajustes!AH$1, 'CEI_COMPLETA'!$B:$B, Ajustes!$R31)
)</f>
        <v>455821</v>
      </c>
      <c r="AI31" s="11">
        <f>_xlfn.LET(
    _xlpm.intervaloSoma, IF($S31="R", 'CEI_COMPLETA'!$E:$E, 'CEI_COMPLETA'!$D:$D),
    SUMIFS(_xlpm.intervaloSoma, 'CEI_COMPLETA'!$A:$A, Ajustes!AI$1, 'CEI_COMPLETA'!$B:$B, Ajustes!$R31)
)</f>
        <v>493046</v>
      </c>
      <c r="AJ31" s="11">
        <f>_xlfn.LET(
    _xlpm.intervaloSoma, IF($S31="R", 'CEI_COMPLETA'!$E:$E, 'CEI_COMPLETA'!$D:$D),
    SUMIFS(_xlpm.intervaloSoma, 'CEI_COMPLETA'!$A:$A, Ajustes!AJ$1, 'CEI_COMPLETA'!$B:$B, Ajustes!$R31)
)</f>
        <v>571610</v>
      </c>
      <c r="AK31" s="11">
        <f>_xlfn.LET(
    _xlpm.intervaloSoma, IF($S31="R", 'CEI_COMPLETA'!$E:$E, 'CEI_COMPLETA'!$D:$D),
    SUMIFS(_xlpm.intervaloSoma, 'CEI_COMPLETA'!$A:$A, Ajustes!AK$1, 'CEI_COMPLETA'!$B:$B, Ajustes!$R31)
)</f>
        <v>622608</v>
      </c>
      <c r="AL31" s="11">
        <f>_xlfn.LET(
    _xlpm.intervaloSoma, IF($S31="R", 'CEI_COMPLETA'!$E:$E, 'CEI_COMPLETA'!$D:$D),
    SUMIFS(_xlpm.intervaloSoma, 'CEI_COMPLETA'!$A:$A, Ajustes!AL$1, 'CEI_COMPLETA'!$B:$B, Ajustes!$R31)
)</f>
        <v>649122</v>
      </c>
      <c r="AM31" s="11">
        <f>_xlfn.LET(
    _xlpm.intervaloSoma, IF($S31="R", 'CEI_COMPLETA'!$E:$E, 'CEI_COMPLETA'!$D:$D),
    SUMIFS(_xlpm.intervaloSoma, 'CEI_COMPLETA'!$A:$A, Ajustes!AM$1, 'CEI_COMPLETA'!$B:$B, Ajustes!$R31)
)</f>
        <v>690719</v>
      </c>
      <c r="AN31" s="11">
        <f>_xlfn.LET(
    _xlpm.intervaloSoma, IF($S31="R", 'CEI_COMPLETA'!$E:$E, 'CEI_COMPLETA'!$D:$D),
    SUMIFS(_xlpm.intervaloSoma, 'CEI_COMPLETA'!$A:$A, Ajustes!AN$1, 'CEI_COMPLETA'!$B:$B, Ajustes!$R31)
)</f>
        <v>742258</v>
      </c>
      <c r="AO31" s="11">
        <f>_xlfn.LET(
    _xlpm.intervaloSoma, IF($S31="R", 'CEI_COMPLETA'!$E:$E, 'CEI_COMPLETA'!$D:$D),
    SUMIFS(_xlpm.intervaloSoma, 'CEI_COMPLETA'!$A:$A, Ajustes!AO$1, 'CEI_COMPLETA'!$B:$B, Ajustes!$R31)
)</f>
        <v>769970</v>
      </c>
    </row>
    <row r="32" spans="1:41" x14ac:dyDescent="0.25">
      <c r="A32" s="20" t="s">
        <v>35</v>
      </c>
      <c r="B32" s="26"/>
      <c r="C32" s="8"/>
      <c r="D32" s="8"/>
      <c r="E32" s="8"/>
      <c r="F32" s="8"/>
      <c r="G32" s="8"/>
      <c r="H32" s="27"/>
      <c r="I32" s="26" cm="1">
        <f t="array" ref="I32">_xlfn.SWITCH(B32,0,0,"-",-1,"+",1)</f>
        <v>0</v>
      </c>
      <c r="J32" s="8" cm="1">
        <f t="array" ref="J32">_xlfn.SWITCH(C32,0,0,"-",-1,"+",1)</f>
        <v>0</v>
      </c>
      <c r="K32" s="8" cm="1">
        <f t="array" ref="K32">_xlfn.SWITCH(D32,0,0,"-",-1,"+",1)</f>
        <v>0</v>
      </c>
      <c r="L32" s="8" cm="1">
        <f t="array" ref="L32">_xlfn.SWITCH(E32,0,0,"-",-1,"+",1)</f>
        <v>0</v>
      </c>
      <c r="M32" s="8" cm="1">
        <f t="array" ref="M32">_xlfn.SWITCH(F32,0,0,"-",-1,"+",1)</f>
        <v>0</v>
      </c>
      <c r="N32" s="8" cm="1">
        <f t="array" ref="N32">_xlfn.SWITCH(G32,0,0,"-",-1,"+",1)</f>
        <v>0</v>
      </c>
      <c r="O32" s="27" cm="1">
        <f t="array" ref="O32">_xlfn.SWITCH(H32,0,0,"-",-1,"+",1)</f>
        <v>0</v>
      </c>
      <c r="P32" s="36" t="s">
        <v>120</v>
      </c>
      <c r="Q32" s="9" t="s">
        <v>173</v>
      </c>
      <c r="R32" s="9" t="s">
        <v>173</v>
      </c>
      <c r="S32" s="37" t="s">
        <v>146</v>
      </c>
      <c r="T32" s="11">
        <f>_xlfn.LET(
    _xlpm.intervaloSoma, IF($S32="R", 'CEI_COMPLETA'!$E:$E, 'CEI_COMPLETA'!$D:$D),
    SUMIFS(_xlpm.intervaloSoma, 'CEI_COMPLETA'!$A:$A, Ajustes!T$1, 'CEI_COMPLETA'!$B:$B, Ajustes!$Q32)
)</f>
        <v>86655</v>
      </c>
      <c r="U32" s="11">
        <f>_xlfn.LET(
    _xlpm.intervaloSoma, IF($S32="R", 'CEI_COMPLETA'!$E:$E, 'CEI_COMPLETA'!$D:$D),
    SUMIFS(_xlpm.intervaloSoma, 'CEI_COMPLETA'!$A:$A, Ajustes!U$1, 'CEI_COMPLETA'!$B:$B, Ajustes!$Q32)
)</f>
        <v>98537</v>
      </c>
      <c r="V32" s="11">
        <f>_xlfn.LET(
    _xlpm.intervaloSoma, IF($S32="R", 'CEI_COMPLETA'!$E:$E, 'CEI_COMPLETA'!$D:$D),
    SUMIFS(_xlpm.intervaloSoma, 'CEI_COMPLETA'!$A:$A, Ajustes!V$1, 'CEI_COMPLETA'!$B:$B, Ajustes!$Q32)
)</f>
        <v>125036</v>
      </c>
      <c r="W32" s="11">
        <f>_xlfn.LET(
    _xlpm.intervaloSoma, IF($S32="R", 'CEI_COMPLETA'!$E:$E, 'CEI_COMPLETA'!$D:$D),
    SUMIFS(_xlpm.intervaloSoma, 'CEI_COMPLETA'!$A:$A, Ajustes!W$1, 'CEI_COMPLETA'!$B:$B, Ajustes!$Q32)
)</f>
        <v>131626</v>
      </c>
      <c r="X32" s="11">
        <f>_xlfn.LET(
    _xlpm.intervaloSoma, IF($S32="R", 'CEI_COMPLETA'!$E:$E, 'CEI_COMPLETA'!$D:$D),
    SUMIFS(_xlpm.intervaloSoma, 'CEI_COMPLETA'!$A:$A, Ajustes!X$1, 'CEI_COMPLETA'!$B:$B, Ajustes!$Q32)
)</f>
        <v>137903</v>
      </c>
      <c r="Y32" s="11">
        <f>_xlfn.LET(
    _xlpm.intervaloSoma, IF($S32="R", 'CEI_COMPLETA'!$E:$E, 'CEI_COMPLETA'!$D:$D),
    SUMIFS(_xlpm.intervaloSoma, 'CEI_COMPLETA'!$A:$A, Ajustes!Y$1, 'CEI_COMPLETA'!$B:$B, Ajustes!$Q32)
)</f>
        <v>151885</v>
      </c>
      <c r="Z32" s="11">
        <f>_xlfn.LET(
    _xlpm.intervaloSoma, IF($S32="R", 'CEI_COMPLETA'!$E:$E, 'CEI_COMPLETA'!$D:$D),
    SUMIFS(_xlpm.intervaloSoma, 'CEI_COMPLETA'!$A:$A, Ajustes!Z$1, 'CEI_COMPLETA'!$B:$B, Ajustes!$Q32)
)</f>
        <v>170469</v>
      </c>
      <c r="AA32" s="11">
        <f>_xlfn.LET(
    _xlpm.intervaloSoma, IF($S32="R", 'CEI_COMPLETA'!$E:$E, 'CEI_COMPLETA'!$D:$D),
    SUMIFS(_xlpm.intervaloSoma, 'CEI_COMPLETA'!$A:$A, Ajustes!AA$1, 'CEI_COMPLETA'!$B:$B, Ajustes!$Q32)
)</f>
        <v>188363</v>
      </c>
      <c r="AB32" s="11">
        <f>_xlfn.LET(
    _xlpm.intervaloSoma, IF($S32="R", 'CEI_COMPLETA'!$E:$E, 'CEI_COMPLETA'!$D:$D),
    SUMIFS(_xlpm.intervaloSoma, 'CEI_COMPLETA'!$A:$A, Ajustes!AB$1, 'CEI_COMPLETA'!$B:$B, Ajustes!$Q32)
)</f>
        <v>207533</v>
      </c>
      <c r="AC32" s="11">
        <f>_xlfn.LET(
    _xlpm.intervaloSoma, IF($S32="R", 'CEI_COMPLETA'!$E:$E, 'CEI_COMPLETA'!$D:$D),
    SUMIFS(_xlpm.intervaloSoma, 'CEI_COMPLETA'!$A:$A, Ajustes!AC$1, 'CEI_COMPLETA'!$B:$B, Ajustes!$Q32)
)</f>
        <v>228980</v>
      </c>
      <c r="AD32" s="11">
        <f>_xlfn.LET(
    _xlpm.intervaloSoma, IF($S32="R", 'CEI_COMPLETA'!$E:$E, 'CEI_COMPLETA'!$D:$D),
    SUMIFS(_xlpm.intervaloSoma, 'CEI_COMPLETA'!$A:$A, Ajustes!AD$1, 'CEI_COMPLETA'!$B:$B, Ajustes!$R32)
)</f>
        <v>245975</v>
      </c>
      <c r="AE32" s="11">
        <f>_xlfn.LET(
    _xlpm.intervaloSoma, IF($S32="R", 'CEI_COMPLETA'!$E:$E, 'CEI_COMPLETA'!$D:$D),
    SUMIFS(_xlpm.intervaloSoma, 'CEI_COMPLETA'!$A:$A, Ajustes!AE$1, 'CEI_COMPLETA'!$B:$B, Ajustes!$R32)
)</f>
        <v>283445</v>
      </c>
      <c r="AF32" s="11">
        <f>_xlfn.LET(
    _xlpm.intervaloSoma, IF($S32="R", 'CEI_COMPLETA'!$E:$E, 'CEI_COMPLETA'!$D:$D),
    SUMIFS(_xlpm.intervaloSoma, 'CEI_COMPLETA'!$A:$A, Ajustes!AF$1, 'CEI_COMPLETA'!$B:$B, Ajustes!$R32)
)</f>
        <v>307869</v>
      </c>
      <c r="AG32" s="11">
        <f>_xlfn.LET(
    _xlpm.intervaloSoma, IF($S32="R", 'CEI_COMPLETA'!$E:$E, 'CEI_COMPLETA'!$D:$D),
    SUMIFS(_xlpm.intervaloSoma, 'CEI_COMPLETA'!$A:$A, Ajustes!AG$1, 'CEI_COMPLETA'!$B:$B, Ajustes!$R32)
)</f>
        <v>341641</v>
      </c>
      <c r="AH32" s="11">
        <f>_xlfn.LET(
    _xlpm.intervaloSoma, IF($S32="R", 'CEI_COMPLETA'!$E:$E, 'CEI_COMPLETA'!$D:$D),
    SUMIFS(_xlpm.intervaloSoma, 'CEI_COMPLETA'!$A:$A, Ajustes!AH$1, 'CEI_COMPLETA'!$B:$B, Ajustes!$R32)
)</f>
        <v>382922</v>
      </c>
      <c r="AI32" s="11">
        <f>_xlfn.LET(
    _xlpm.intervaloSoma, IF($S32="R", 'CEI_COMPLETA'!$E:$E, 'CEI_COMPLETA'!$D:$D),
    SUMIFS(_xlpm.intervaloSoma, 'CEI_COMPLETA'!$A:$A, Ajustes!AI$1, 'CEI_COMPLETA'!$B:$B, Ajustes!$R32)
)</f>
        <v>425477</v>
      </c>
      <c r="AJ32" s="11">
        <f>_xlfn.LET(
    _xlpm.intervaloSoma, IF($S32="R", 'CEI_COMPLETA'!$E:$E, 'CEI_COMPLETA'!$D:$D),
    SUMIFS(_xlpm.intervaloSoma, 'CEI_COMPLETA'!$A:$A, Ajustes!AJ$1, 'CEI_COMPLETA'!$B:$B, Ajustes!$R32)
)</f>
        <v>469527</v>
      </c>
      <c r="AK32" s="11">
        <f>_xlfn.LET(
    _xlpm.intervaloSoma, IF($S32="R", 'CEI_COMPLETA'!$E:$E, 'CEI_COMPLETA'!$D:$D),
    SUMIFS(_xlpm.intervaloSoma, 'CEI_COMPLETA'!$A:$A, Ajustes!AK$1, 'CEI_COMPLETA'!$B:$B, Ajustes!$R32)
)</f>
        <v>564185</v>
      </c>
      <c r="AL32" s="11">
        <f>_xlfn.LET(
    _xlpm.intervaloSoma, IF($S32="R", 'CEI_COMPLETA'!$E:$E, 'CEI_COMPLETA'!$D:$D),
    SUMIFS(_xlpm.intervaloSoma, 'CEI_COMPLETA'!$A:$A, Ajustes!AL$1, 'CEI_COMPLETA'!$B:$B, Ajustes!$R32)
)</f>
        <v>553690</v>
      </c>
      <c r="AM32" s="11">
        <f>_xlfn.LET(
    _xlpm.intervaloSoma, IF($S32="R", 'CEI_COMPLETA'!$E:$E, 'CEI_COMPLETA'!$D:$D),
    SUMIFS(_xlpm.intervaloSoma, 'CEI_COMPLETA'!$A:$A, Ajustes!AM$1, 'CEI_COMPLETA'!$B:$B, Ajustes!$R32)
)</f>
        <v>624635</v>
      </c>
      <c r="AN32" s="11">
        <f>_xlfn.LET(
    _xlpm.intervaloSoma, IF($S32="R", 'CEI_COMPLETA'!$E:$E, 'CEI_COMPLETA'!$D:$D),
    SUMIFS(_xlpm.intervaloSoma, 'CEI_COMPLETA'!$A:$A, Ajustes!AN$1, 'CEI_COMPLETA'!$B:$B, Ajustes!$R32)
)</f>
        <v>670737</v>
      </c>
      <c r="AO32" s="11">
        <f>_xlfn.LET(
    _xlpm.intervaloSoma, IF($S32="R", 'CEI_COMPLETA'!$E:$E, 'CEI_COMPLETA'!$D:$D),
    SUMIFS(_xlpm.intervaloSoma, 'CEI_COMPLETA'!$A:$A, Ajustes!AO$1, 'CEI_COMPLETA'!$B:$B, Ajustes!$R32)
)</f>
        <v>623598</v>
      </c>
    </row>
    <row r="33" spans="1:41" ht="15.75" thickBot="1" x14ac:dyDescent="0.3">
      <c r="A33" s="21" t="s">
        <v>36</v>
      </c>
      <c r="B33" s="26"/>
      <c r="C33" s="8"/>
      <c r="D33" s="8"/>
      <c r="E33" s="8"/>
      <c r="F33" s="8"/>
      <c r="G33" s="8"/>
      <c r="H33" s="27"/>
      <c r="I33" s="26" cm="1">
        <f t="array" ref="I33">_xlfn.SWITCH(B33,0,0,"-",-1,"+",1)</f>
        <v>0</v>
      </c>
      <c r="J33" s="8" cm="1">
        <f t="array" ref="J33">_xlfn.SWITCH(C33,0,0,"-",-1,"+",1)</f>
        <v>0</v>
      </c>
      <c r="K33" s="8" cm="1">
        <f t="array" ref="K33">_xlfn.SWITCH(D33,0,0,"-",-1,"+",1)</f>
        <v>0</v>
      </c>
      <c r="L33" s="8" cm="1">
        <f t="array" ref="L33">_xlfn.SWITCH(E33,0,0,"-",-1,"+",1)</f>
        <v>0</v>
      </c>
      <c r="M33" s="8" cm="1">
        <f t="array" ref="M33">_xlfn.SWITCH(F33,0,0,"-",-1,"+",1)</f>
        <v>0</v>
      </c>
      <c r="N33" s="8" cm="1">
        <f t="array" ref="N33">_xlfn.SWITCH(G33,0,0,"-",-1,"+",1)</f>
        <v>0</v>
      </c>
      <c r="O33" s="27" cm="1">
        <f t="array" ref="O33">_xlfn.SWITCH(H33,0,0,"-",-1,"+",1)</f>
        <v>0</v>
      </c>
      <c r="P33" s="36" t="s">
        <v>120</v>
      </c>
      <c r="Q33" s="9" t="s">
        <v>174</v>
      </c>
      <c r="R33" s="9" t="s">
        <v>174</v>
      </c>
      <c r="S33" s="37" t="s">
        <v>146</v>
      </c>
      <c r="T33" s="11">
        <f>_xlfn.LET(
    _xlpm.intervaloSoma, IF($S33="R", 'CEI_COMPLETA'!$E:$E, 'CEI_COMPLETA'!$D:$D),
    SUMIFS(_xlpm.intervaloSoma, 'CEI_COMPLETA'!$A:$A, Ajustes!T$1, 'CEI_COMPLETA'!$B:$B, Ajustes!$Q33)
)</f>
        <v>2769</v>
      </c>
      <c r="U33" s="11">
        <f>_xlfn.LET(
    _xlpm.intervaloSoma, IF($S33="R", 'CEI_COMPLETA'!$E:$E, 'CEI_COMPLETA'!$D:$D),
    SUMIFS(_xlpm.intervaloSoma, 'CEI_COMPLETA'!$A:$A, Ajustes!U$1, 'CEI_COMPLETA'!$B:$B, Ajustes!$Q33)
)</f>
        <v>3103</v>
      </c>
      <c r="V33" s="11">
        <f>_xlfn.LET(
    _xlpm.intervaloSoma, IF($S33="R", 'CEI_COMPLETA'!$E:$E, 'CEI_COMPLETA'!$D:$D),
    SUMIFS(_xlpm.intervaloSoma, 'CEI_COMPLETA'!$A:$A, Ajustes!V$1, 'CEI_COMPLETA'!$B:$B, Ajustes!$Q33)
)</f>
        <v>5909</v>
      </c>
      <c r="W33" s="11">
        <f>_xlfn.LET(
    _xlpm.intervaloSoma, IF($S33="R", 'CEI_COMPLETA'!$E:$E, 'CEI_COMPLETA'!$D:$D),
    SUMIFS(_xlpm.intervaloSoma, 'CEI_COMPLETA'!$A:$A, Ajustes!W$1, 'CEI_COMPLETA'!$B:$B, Ajustes!$Q33)
)</f>
        <v>7990</v>
      </c>
      <c r="X33" s="11">
        <f>_xlfn.LET(
    _xlpm.intervaloSoma, IF($S33="R", 'CEI_COMPLETA'!$E:$E, 'CEI_COMPLETA'!$D:$D),
    SUMIFS(_xlpm.intervaloSoma, 'CEI_COMPLETA'!$A:$A, Ajustes!X$1, 'CEI_COMPLETA'!$B:$B, Ajustes!$Q33)
)</f>
        <v>12982</v>
      </c>
      <c r="Y33" s="11">
        <f>_xlfn.LET(
    _xlpm.intervaloSoma, IF($S33="R", 'CEI_COMPLETA'!$E:$E, 'CEI_COMPLETA'!$D:$D),
    SUMIFS(_xlpm.intervaloSoma, 'CEI_COMPLETA'!$A:$A, Ajustes!Y$1, 'CEI_COMPLETA'!$B:$B, Ajustes!$Q33)
)</f>
        <v>15899</v>
      </c>
      <c r="Z33" s="11">
        <f>_xlfn.LET(
    _xlpm.intervaloSoma, IF($S33="R", 'CEI_COMPLETA'!$E:$E, 'CEI_COMPLETA'!$D:$D),
    SUMIFS(_xlpm.intervaloSoma, 'CEI_COMPLETA'!$A:$A, Ajustes!Z$1, 'CEI_COMPLETA'!$B:$B, Ajustes!$Q33)
)</f>
        <v>19272</v>
      </c>
      <c r="AA33" s="11">
        <f>_xlfn.LET(
    _xlpm.intervaloSoma, IF($S33="R", 'CEI_COMPLETA'!$E:$E, 'CEI_COMPLETA'!$D:$D),
    SUMIFS(_xlpm.intervaloSoma, 'CEI_COMPLETA'!$A:$A, Ajustes!AA$1, 'CEI_COMPLETA'!$B:$B, Ajustes!$Q33)
)</f>
        <v>22681</v>
      </c>
      <c r="AB33" s="11">
        <f>_xlfn.LET(
    _xlpm.intervaloSoma, IF($S33="R", 'CEI_COMPLETA'!$E:$E, 'CEI_COMPLETA'!$D:$D),
    SUMIFS(_xlpm.intervaloSoma, 'CEI_COMPLETA'!$A:$A, Ajustes!AB$1, 'CEI_COMPLETA'!$B:$B, Ajustes!$Q33)
)</f>
        <v>26949</v>
      </c>
      <c r="AC33" s="11">
        <f>_xlfn.LET(
    _xlpm.intervaloSoma, IF($S33="R", 'CEI_COMPLETA'!$E:$E, 'CEI_COMPLETA'!$D:$D),
    SUMIFS(_xlpm.intervaloSoma, 'CEI_COMPLETA'!$A:$A, Ajustes!AC$1, 'CEI_COMPLETA'!$B:$B, Ajustes!$Q33)
)</f>
        <v>32124</v>
      </c>
      <c r="AD33" s="11">
        <f>_xlfn.LET(
    _xlpm.intervaloSoma, IF($S33="R", 'CEI_COMPLETA'!$E:$E, 'CEI_COMPLETA'!$D:$D),
    SUMIFS(_xlpm.intervaloSoma, 'CEI_COMPLETA'!$A:$A, Ajustes!AD$1, 'CEI_COMPLETA'!$B:$B, Ajustes!$R33)
)</f>
        <v>39624</v>
      </c>
      <c r="AE33" s="11">
        <f>_xlfn.LET(
    _xlpm.intervaloSoma, IF($S33="R", 'CEI_COMPLETA'!$E:$E, 'CEI_COMPLETA'!$D:$D),
    SUMIFS(_xlpm.intervaloSoma, 'CEI_COMPLETA'!$A:$A, Ajustes!AE$1, 'CEI_COMPLETA'!$B:$B, Ajustes!$R33)
)</f>
        <v>45670</v>
      </c>
      <c r="AF33" s="11">
        <f>_xlfn.LET(
    _xlpm.intervaloSoma, IF($S33="R", 'CEI_COMPLETA'!$E:$E, 'CEI_COMPLETA'!$D:$D),
    SUMIFS(_xlpm.intervaloSoma, 'CEI_COMPLETA'!$A:$A, Ajustes!AF$1, 'CEI_COMPLETA'!$B:$B, Ajustes!$R33)
)</f>
        <v>55868</v>
      </c>
      <c r="AG33" s="11">
        <f>_xlfn.LET(
    _xlpm.intervaloSoma, IF($S33="R", 'CEI_COMPLETA'!$E:$E, 'CEI_COMPLETA'!$D:$D),
    SUMIFS(_xlpm.intervaloSoma, 'CEI_COMPLETA'!$A:$A, Ajustes!AG$1, 'CEI_COMPLETA'!$B:$B, Ajustes!$R33)
)</f>
        <v>65460</v>
      </c>
      <c r="AH33" s="11">
        <f>_xlfn.LET(
    _xlpm.intervaloSoma, IF($S33="R", 'CEI_COMPLETA'!$E:$E, 'CEI_COMPLETA'!$D:$D),
    SUMIFS(_xlpm.intervaloSoma, 'CEI_COMPLETA'!$A:$A, Ajustes!AH$1, 'CEI_COMPLETA'!$B:$B, Ajustes!$R33)
)</f>
        <v>72534</v>
      </c>
      <c r="AI33" s="11">
        <f>_xlfn.LET(
    _xlpm.intervaloSoma, IF($S33="R", 'CEI_COMPLETA'!$E:$E, 'CEI_COMPLETA'!$D:$D),
    SUMIFS(_xlpm.intervaloSoma, 'CEI_COMPLETA'!$A:$A, Ajustes!AI$1, 'CEI_COMPLETA'!$B:$B, Ajustes!$R33)
)</f>
        <v>75902</v>
      </c>
      <c r="AJ33" s="11">
        <f>_xlfn.LET(
    _xlpm.intervaloSoma, IF($S33="R", 'CEI_COMPLETA'!$E:$E, 'CEI_COMPLETA'!$D:$D),
    SUMIFS(_xlpm.intervaloSoma, 'CEI_COMPLETA'!$A:$A, Ajustes!AJ$1, 'CEI_COMPLETA'!$B:$B, Ajustes!$R33)
)</f>
        <v>82539</v>
      </c>
      <c r="AK33" s="11">
        <f>_xlfn.LET(
    _xlpm.intervaloSoma, IF($S33="R", 'CEI_COMPLETA'!$E:$E, 'CEI_COMPLETA'!$D:$D),
    SUMIFS(_xlpm.intervaloSoma, 'CEI_COMPLETA'!$A:$A, Ajustes!AK$1, 'CEI_COMPLETA'!$B:$B, Ajustes!$R33)
)</f>
        <v>86994</v>
      </c>
      <c r="AL33" s="11">
        <f>_xlfn.LET(
    _xlpm.intervaloSoma, IF($S33="R", 'CEI_COMPLETA'!$E:$E, 'CEI_COMPLETA'!$D:$D),
    SUMIFS(_xlpm.intervaloSoma, 'CEI_COMPLETA'!$A:$A, Ajustes!AL$1, 'CEI_COMPLETA'!$B:$B, Ajustes!$R33)
)</f>
        <v>91088</v>
      </c>
      <c r="AM33" s="11">
        <f>_xlfn.LET(
    _xlpm.intervaloSoma, IF($S33="R", 'CEI_COMPLETA'!$E:$E, 'CEI_COMPLETA'!$D:$D),
    SUMIFS(_xlpm.intervaloSoma, 'CEI_COMPLETA'!$A:$A, Ajustes!AM$1, 'CEI_COMPLETA'!$B:$B, Ajustes!$R33)
)</f>
        <v>97388</v>
      </c>
      <c r="AN33" s="11">
        <f>_xlfn.LET(
    _xlpm.intervaloSoma, IF($S33="R", 'CEI_COMPLETA'!$E:$E, 'CEI_COMPLETA'!$D:$D),
    SUMIFS(_xlpm.intervaloSoma, 'CEI_COMPLETA'!$A:$A, Ajustes!AN$1, 'CEI_COMPLETA'!$B:$B, Ajustes!$R33)
)</f>
        <v>414614</v>
      </c>
      <c r="AO33" s="11">
        <f>_xlfn.LET(
    _xlpm.intervaloSoma, IF($S33="R", 'CEI_COMPLETA'!$E:$E, 'CEI_COMPLETA'!$D:$D),
    SUMIFS(_xlpm.intervaloSoma, 'CEI_COMPLETA'!$A:$A, Ajustes!AO$1, 'CEI_COMPLETA'!$B:$B, Ajustes!$R33)
)</f>
        <v>169453</v>
      </c>
    </row>
    <row r="34" spans="1:41" x14ac:dyDescent="0.25">
      <c r="A34" s="19" t="s">
        <v>139</v>
      </c>
      <c r="B34" s="28"/>
      <c r="C34" s="8"/>
      <c r="D34" s="8"/>
      <c r="E34" s="8"/>
      <c r="F34" s="8"/>
      <c r="G34" s="8"/>
      <c r="H34" s="27"/>
      <c r="I34" s="26" cm="1">
        <f t="array" ref="I34">_xlfn.SWITCH(B34,0,0,"-",-1,"+",1)</f>
        <v>0</v>
      </c>
      <c r="J34" s="8" cm="1">
        <f t="array" ref="J34">_xlfn.SWITCH(C34,0,0,"-",-1,"+",1)</f>
        <v>0</v>
      </c>
      <c r="K34" s="8" cm="1">
        <f t="array" ref="K34">_xlfn.SWITCH(D34,0,0,"-",-1,"+",1)</f>
        <v>0</v>
      </c>
      <c r="L34" s="8" cm="1">
        <f t="array" ref="L34">_xlfn.SWITCH(E34,0,0,"-",-1,"+",1)</f>
        <v>0</v>
      </c>
      <c r="M34" s="8" cm="1">
        <f t="array" ref="M34">_xlfn.SWITCH(F34,0,0,"-",-1,"+",1)</f>
        <v>0</v>
      </c>
      <c r="N34" s="8" cm="1">
        <f t="array" ref="N34">_xlfn.SWITCH(G34,0,0,"-",-1,"+",1)</f>
        <v>0</v>
      </c>
      <c r="O34" s="27" cm="1">
        <f t="array" ref="O34">_xlfn.SWITCH(H34,0,0,"-",-1,"+",1)</f>
        <v>0</v>
      </c>
      <c r="P34" s="36" t="s">
        <v>120</v>
      </c>
      <c r="S34" s="37"/>
      <c r="T34" s="14">
        <f>T36-T35</f>
        <v>50122</v>
      </c>
      <c r="U34" s="14">
        <f t="shared" ref="U34:AO34" si="2">U36-U35</f>
        <v>53044</v>
      </c>
      <c r="V34" s="14">
        <f t="shared" si="2"/>
        <v>57051</v>
      </c>
      <c r="W34" s="14">
        <f t="shared" si="2"/>
        <v>58594</v>
      </c>
      <c r="X34" s="14">
        <f t="shared" si="2"/>
        <v>48614</v>
      </c>
      <c r="Y34" s="14">
        <f t="shared" si="2"/>
        <v>57713</v>
      </c>
      <c r="Z34" s="14">
        <f t="shared" si="2"/>
        <v>52663</v>
      </c>
      <c r="AA34" s="14">
        <f t="shared" si="2"/>
        <v>58695</v>
      </c>
      <c r="AB34" s="14">
        <f t="shared" si="2"/>
        <v>63189</v>
      </c>
      <c r="AC34" s="14">
        <f t="shared" si="2"/>
        <v>75692</v>
      </c>
      <c r="AD34" s="14">
        <f t="shared" si="2"/>
        <v>84646</v>
      </c>
      <c r="AE34" s="14">
        <f t="shared" si="2"/>
        <v>82475</v>
      </c>
      <c r="AF34" s="14">
        <f t="shared" si="2"/>
        <v>85358</v>
      </c>
      <c r="AG34" s="14">
        <f t="shared" si="2"/>
        <v>76690</v>
      </c>
      <c r="AH34" s="14">
        <f t="shared" si="2"/>
        <v>97198</v>
      </c>
      <c r="AI34" s="14">
        <f t="shared" si="2"/>
        <v>119477</v>
      </c>
      <c r="AJ34" s="14">
        <f t="shared" si="2"/>
        <v>95558</v>
      </c>
      <c r="AK34" s="14">
        <f t="shared" si="2"/>
        <v>90449</v>
      </c>
      <c r="AL34" s="14">
        <f t="shared" si="2"/>
        <v>101190</v>
      </c>
      <c r="AM34" s="14">
        <f t="shared" si="2"/>
        <v>88099</v>
      </c>
      <c r="AN34" s="14">
        <f t="shared" si="2"/>
        <v>33989</v>
      </c>
      <c r="AO34" s="14">
        <f t="shared" si="2"/>
        <v>44522</v>
      </c>
    </row>
    <row r="35" spans="1:41" x14ac:dyDescent="0.25">
      <c r="A35" s="20" t="s">
        <v>3</v>
      </c>
      <c r="B35" s="26" t="s">
        <v>260</v>
      </c>
      <c r="C35" s="8"/>
      <c r="D35" s="8"/>
      <c r="E35" s="8"/>
      <c r="F35" s="8" t="s">
        <v>260</v>
      </c>
      <c r="G35" s="8"/>
      <c r="H35" s="27"/>
      <c r="I35" s="26" cm="1">
        <f t="array" ref="I35">_xlfn.SWITCH(B35,0,0,"-",-1,"+",1)</f>
        <v>1</v>
      </c>
      <c r="J35" s="8" cm="1">
        <f t="array" ref="J35">_xlfn.SWITCH(C35,0,0,"-",-1,"+",1)</f>
        <v>0</v>
      </c>
      <c r="K35" s="8" cm="1">
        <f t="array" ref="K35">_xlfn.SWITCH(D35,0,0,"-",-1,"+",1)</f>
        <v>0</v>
      </c>
      <c r="L35" s="8" cm="1">
        <f t="array" ref="L35">_xlfn.SWITCH(E35,0,0,"-",-1,"+",1)</f>
        <v>0</v>
      </c>
      <c r="M35" s="8" cm="1">
        <f t="array" ref="M35">_xlfn.SWITCH(F35,0,0,"-",-1,"+",1)</f>
        <v>1</v>
      </c>
      <c r="N35" s="8" cm="1">
        <f t="array" ref="N35">_xlfn.SWITCH(G35,0,0,"-",-1,"+",1)</f>
        <v>0</v>
      </c>
      <c r="O35" s="27" cm="1">
        <f t="array" ref="O35">_xlfn.SWITCH(H35,0,0,"-",-1,"+",1)</f>
        <v>0</v>
      </c>
      <c r="P35" s="36" t="s">
        <v>120</v>
      </c>
      <c r="Q35" s="9" t="s">
        <v>140</v>
      </c>
      <c r="R35" s="9" t="s">
        <v>140</v>
      </c>
      <c r="S35" s="37" t="s">
        <v>147</v>
      </c>
      <c r="T35" s="11">
        <f>_xlfn.LET(
    _xlpm.intervaloSoma, IF($S35="R", 'CEI_COMPLETA'!$E:$E, 'CEI_COMPLETA'!$D:$D),
    SUMIFS(_xlpm.intervaloSoma, 'CEI_COMPLETA'!$A:$A, Ajustes!T$1, 'CEI_COMPLETA'!$B:$B, Ajustes!$Q35)
)</f>
        <v>17027</v>
      </c>
      <c r="U35" s="11">
        <f>_xlfn.LET(
    _xlpm.intervaloSoma, IF($S35="R", 'CEI_COMPLETA'!$E:$E, 'CEI_COMPLETA'!$D:$D),
    SUMIFS(_xlpm.intervaloSoma, 'CEI_COMPLETA'!$A:$A, Ajustes!U$1, 'CEI_COMPLETA'!$B:$B, Ajustes!$Q35)
)</f>
        <v>18273</v>
      </c>
      <c r="V35" s="11">
        <f>_xlfn.LET(
    _xlpm.intervaloSoma, IF($S35="R", 'CEI_COMPLETA'!$E:$E, 'CEI_COMPLETA'!$D:$D),
    SUMIFS(_xlpm.intervaloSoma, 'CEI_COMPLETA'!$A:$A, Ajustes!V$1, 'CEI_COMPLETA'!$B:$B, Ajustes!$Q35)
)</f>
        <v>19915</v>
      </c>
      <c r="W35" s="11">
        <f>_xlfn.LET(
    _xlpm.intervaloSoma, IF($S35="R", 'CEI_COMPLETA'!$E:$E, 'CEI_COMPLETA'!$D:$D),
    SUMIFS(_xlpm.intervaloSoma, 'CEI_COMPLETA'!$A:$A, Ajustes!W$1, 'CEI_COMPLETA'!$B:$B, Ajustes!$Q35)
)</f>
        <v>26186</v>
      </c>
      <c r="X35" s="11">
        <f>_xlfn.LET(
    _xlpm.intervaloSoma, IF($S35="R", 'CEI_COMPLETA'!$E:$E, 'CEI_COMPLETA'!$D:$D),
    SUMIFS(_xlpm.intervaloSoma, 'CEI_COMPLETA'!$A:$A, Ajustes!X$1, 'CEI_COMPLETA'!$B:$B, Ajustes!$Q35)
)</f>
        <v>25666</v>
      </c>
      <c r="Y35" s="11">
        <f>_xlfn.LET(
    _xlpm.intervaloSoma, IF($S35="R", 'CEI_COMPLETA'!$E:$E, 'CEI_COMPLETA'!$D:$D),
    SUMIFS(_xlpm.intervaloSoma, 'CEI_COMPLETA'!$A:$A, Ajustes!Y$1, 'CEI_COMPLETA'!$B:$B, Ajustes!$Q35)
)</f>
        <v>44740</v>
      </c>
      <c r="Z35" s="11">
        <f>_xlfn.LET(
    _xlpm.intervaloSoma, IF($S35="R", 'CEI_COMPLETA'!$E:$E, 'CEI_COMPLETA'!$D:$D),
    SUMIFS(_xlpm.intervaloSoma, 'CEI_COMPLETA'!$A:$A, Ajustes!Z$1, 'CEI_COMPLETA'!$B:$B, Ajustes!$Q35)
)</f>
        <v>62973</v>
      </c>
      <c r="AA35" s="11">
        <f>_xlfn.LET(
    _xlpm.intervaloSoma, IF($S35="R", 'CEI_COMPLETA'!$E:$E, 'CEI_COMPLETA'!$D:$D),
    SUMIFS(_xlpm.intervaloSoma, 'CEI_COMPLETA'!$A:$A, Ajustes!AA$1, 'CEI_COMPLETA'!$B:$B, Ajustes!$Q35)
)</f>
        <v>78078</v>
      </c>
      <c r="AB35" s="11">
        <f>_xlfn.LET(
    _xlpm.intervaloSoma, IF($S35="R", 'CEI_COMPLETA'!$E:$E, 'CEI_COMPLETA'!$D:$D),
    SUMIFS(_xlpm.intervaloSoma, 'CEI_COMPLETA'!$A:$A, Ajustes!AB$1, 'CEI_COMPLETA'!$B:$B, Ajustes!$Q35)
)</f>
        <v>117732</v>
      </c>
      <c r="AC35" s="11">
        <f>_xlfn.LET(
    _xlpm.intervaloSoma, IF($S35="R", 'CEI_COMPLETA'!$E:$E, 'CEI_COMPLETA'!$D:$D),
    SUMIFS(_xlpm.intervaloSoma, 'CEI_COMPLETA'!$A:$A, Ajustes!AC$1, 'CEI_COMPLETA'!$B:$B, Ajustes!$Q35)
)</f>
        <v>174552</v>
      </c>
      <c r="AD35" s="11">
        <f>_xlfn.LET(
    _xlpm.intervaloSoma, IF($S35="R", 'CEI_COMPLETA'!$E:$E, 'CEI_COMPLETA'!$D:$D),
    SUMIFS(_xlpm.intervaloSoma, 'CEI_COMPLETA'!$A:$A, Ajustes!AD$1, 'CEI_COMPLETA'!$B:$B, Ajustes!$R35)
)</f>
        <v>181183</v>
      </c>
      <c r="AE35" s="11">
        <f>_xlfn.LET(
    _xlpm.intervaloSoma, IF($S35="R", 'CEI_COMPLETA'!$E:$E, 'CEI_COMPLETA'!$D:$D),
    SUMIFS(_xlpm.intervaloSoma, 'CEI_COMPLETA'!$A:$A, Ajustes!AE$1, 'CEI_COMPLETA'!$B:$B, Ajustes!$R35)
)</f>
        <v>249840</v>
      </c>
      <c r="AF35" s="11">
        <f>_xlfn.LET(
    _xlpm.intervaloSoma, IF($S35="R", 'CEI_COMPLETA'!$E:$E, 'CEI_COMPLETA'!$D:$D),
    SUMIFS(_xlpm.intervaloSoma, 'CEI_COMPLETA'!$A:$A, Ajustes!AF$1, 'CEI_COMPLETA'!$B:$B, Ajustes!$R35)
)</f>
        <v>252365</v>
      </c>
      <c r="AG35" s="11">
        <f>_xlfn.LET(
    _xlpm.intervaloSoma, IF($S35="R", 'CEI_COMPLETA'!$E:$E, 'CEI_COMPLETA'!$D:$D),
    SUMIFS(_xlpm.intervaloSoma, 'CEI_COMPLETA'!$A:$A, Ajustes!AG$1, 'CEI_COMPLETA'!$B:$B, Ajustes!$R35)
)</f>
        <v>243020</v>
      </c>
      <c r="AH35" s="11">
        <f>_xlfn.LET(
    _xlpm.intervaloSoma, IF($S35="R", 'CEI_COMPLETA'!$E:$E, 'CEI_COMPLETA'!$D:$D),
    SUMIFS(_xlpm.intervaloSoma, 'CEI_COMPLETA'!$A:$A, Ajustes!AH$1, 'CEI_COMPLETA'!$B:$B, Ajustes!$R35)
)</f>
        <v>299515</v>
      </c>
      <c r="AI35" s="11">
        <f>_xlfn.LET(
    _xlpm.intervaloSoma, IF($S35="R", 'CEI_COMPLETA'!$E:$E, 'CEI_COMPLETA'!$D:$D),
    SUMIFS(_xlpm.intervaloSoma, 'CEI_COMPLETA'!$A:$A, Ajustes!AI$1, 'CEI_COMPLETA'!$B:$B, Ajustes!$R35)
)</f>
        <v>361884</v>
      </c>
      <c r="AJ35" s="11">
        <f>_xlfn.LET(
    _xlpm.intervaloSoma, IF($S35="R", 'CEI_COMPLETA'!$E:$E, 'CEI_COMPLETA'!$D:$D),
    SUMIFS(_xlpm.intervaloSoma, 'CEI_COMPLETA'!$A:$A, Ajustes!AJ$1, 'CEI_COMPLETA'!$B:$B, Ajustes!$R35)
)</f>
        <v>387739</v>
      </c>
      <c r="AK35" s="11">
        <f>_xlfn.LET(
    _xlpm.intervaloSoma, IF($S35="R", 'CEI_COMPLETA'!$E:$E, 'CEI_COMPLETA'!$D:$D),
    SUMIFS(_xlpm.intervaloSoma, 'CEI_COMPLETA'!$A:$A, Ajustes!AK$1, 'CEI_COMPLETA'!$B:$B, Ajustes!$R35)
)</f>
        <v>345699</v>
      </c>
      <c r="AL35" s="11">
        <f>_xlfn.LET(
    _xlpm.intervaloSoma, IF($S35="R", 'CEI_COMPLETA'!$E:$E, 'CEI_COMPLETA'!$D:$D),
    SUMIFS(_xlpm.intervaloSoma, 'CEI_COMPLETA'!$A:$A, Ajustes!AL$1, 'CEI_COMPLETA'!$B:$B, Ajustes!$R35)
)</f>
        <v>277997</v>
      </c>
      <c r="AM35" s="11">
        <f>_xlfn.LET(
    _xlpm.intervaloSoma, IF($S35="R", 'CEI_COMPLETA'!$E:$E, 'CEI_COMPLETA'!$D:$D),
    SUMIFS(_xlpm.intervaloSoma, 'CEI_COMPLETA'!$A:$A, Ajustes!AM$1, 'CEI_COMPLETA'!$B:$B, Ajustes!$R35)
)</f>
        <v>263164</v>
      </c>
      <c r="AN35" s="11">
        <f>_xlfn.LET(
    _xlpm.intervaloSoma, IF($S35="R", 'CEI_COMPLETA'!$E:$E, 'CEI_COMPLETA'!$D:$D),
    SUMIFS(_xlpm.intervaloSoma, 'CEI_COMPLETA'!$A:$A, Ajustes!AN$1, 'CEI_COMPLETA'!$B:$B, Ajustes!$R35)
)</f>
        <v>205027</v>
      </c>
      <c r="AO35" s="11">
        <f>_xlfn.LET(
    _xlpm.intervaloSoma, IF($S35="R", 'CEI_COMPLETA'!$E:$E, 'CEI_COMPLETA'!$D:$D),
    SUMIFS(_xlpm.intervaloSoma, 'CEI_COMPLETA'!$A:$A, Ajustes!AO$1, 'CEI_COMPLETA'!$B:$B, Ajustes!$R35)
)</f>
        <v>280195</v>
      </c>
    </row>
    <row r="36" spans="1:41" ht="15.75" thickBot="1" x14ac:dyDescent="0.3">
      <c r="A36" s="21" t="s">
        <v>4</v>
      </c>
      <c r="B36" s="26"/>
      <c r="C36" s="8"/>
      <c r="D36" s="8"/>
      <c r="E36" s="8"/>
      <c r="F36" s="8"/>
      <c r="G36" s="8"/>
      <c r="H36" s="27"/>
      <c r="I36" s="26" cm="1">
        <f t="array" ref="I36">_xlfn.SWITCH(B36,0,0,"-",-1,"+",1)</f>
        <v>0</v>
      </c>
      <c r="J36" s="8" cm="1">
        <f t="array" ref="J36">_xlfn.SWITCH(C36,0,0,"-",-1,"+",1)</f>
        <v>0</v>
      </c>
      <c r="K36" s="8" cm="1">
        <f t="array" ref="K36">_xlfn.SWITCH(D36,0,0,"-",-1,"+",1)</f>
        <v>0</v>
      </c>
      <c r="L36" s="8" cm="1">
        <f t="array" ref="L36">_xlfn.SWITCH(E36,0,0,"-",-1,"+",1)</f>
        <v>0</v>
      </c>
      <c r="M36" s="8" cm="1">
        <f t="array" ref="M36">_xlfn.SWITCH(F36,0,0,"-",-1,"+",1)</f>
        <v>0</v>
      </c>
      <c r="N36" s="8" cm="1">
        <f t="array" ref="N36">_xlfn.SWITCH(G36,0,0,"-",-1,"+",1)</f>
        <v>0</v>
      </c>
      <c r="O36" s="27" cm="1">
        <f t="array" ref="O36">_xlfn.SWITCH(H36,0,0,"-",-1,"+",1)</f>
        <v>0</v>
      </c>
      <c r="P36" s="36" t="s">
        <v>120</v>
      </c>
      <c r="Q36" s="9" t="s">
        <v>140</v>
      </c>
      <c r="R36" s="9" t="s">
        <v>140</v>
      </c>
      <c r="S36" s="37" t="s">
        <v>146</v>
      </c>
      <c r="T36" s="11">
        <f>_xlfn.LET(
    _xlpm.intervaloSoma, IF($S36="R", 'CEI_COMPLETA'!$E:$E, 'CEI_COMPLETA'!$D:$D),
    SUMIFS(_xlpm.intervaloSoma, 'CEI_COMPLETA'!$A:$A, Ajustes!T$1, 'CEI_COMPLETA'!$B:$B, Ajustes!$Q36)
)</f>
        <v>67149</v>
      </c>
      <c r="U36" s="11">
        <f>_xlfn.LET(
    _xlpm.intervaloSoma, IF($S36="R", 'CEI_COMPLETA'!$E:$E, 'CEI_COMPLETA'!$D:$D),
    SUMIFS(_xlpm.intervaloSoma, 'CEI_COMPLETA'!$A:$A, Ajustes!U$1, 'CEI_COMPLETA'!$B:$B, Ajustes!$Q36)
)</f>
        <v>71317</v>
      </c>
      <c r="V36" s="11">
        <f>_xlfn.LET(
    _xlpm.intervaloSoma, IF($S36="R", 'CEI_COMPLETA'!$E:$E, 'CEI_COMPLETA'!$D:$D),
    SUMIFS(_xlpm.intervaloSoma, 'CEI_COMPLETA'!$A:$A, Ajustes!V$1, 'CEI_COMPLETA'!$B:$B, Ajustes!$Q36)
)</f>
        <v>76966</v>
      </c>
      <c r="W36" s="11">
        <f>_xlfn.LET(
    _xlpm.intervaloSoma, IF($S36="R", 'CEI_COMPLETA'!$E:$E, 'CEI_COMPLETA'!$D:$D),
    SUMIFS(_xlpm.intervaloSoma, 'CEI_COMPLETA'!$A:$A, Ajustes!W$1, 'CEI_COMPLETA'!$B:$B, Ajustes!$Q36)
)</f>
        <v>84780</v>
      </c>
      <c r="X36" s="11">
        <f>_xlfn.LET(
    _xlpm.intervaloSoma, IF($S36="R", 'CEI_COMPLETA'!$E:$E, 'CEI_COMPLETA'!$D:$D),
    SUMIFS(_xlpm.intervaloSoma, 'CEI_COMPLETA'!$A:$A, Ajustes!X$1, 'CEI_COMPLETA'!$B:$B, Ajustes!$Q36)
)</f>
        <v>74280</v>
      </c>
      <c r="Y36" s="11">
        <f>_xlfn.LET(
    _xlpm.intervaloSoma, IF($S36="R", 'CEI_COMPLETA'!$E:$E, 'CEI_COMPLETA'!$D:$D),
    SUMIFS(_xlpm.intervaloSoma, 'CEI_COMPLETA'!$A:$A, Ajustes!Y$1, 'CEI_COMPLETA'!$B:$B, Ajustes!$Q36)
)</f>
        <v>102453</v>
      </c>
      <c r="Z36" s="11">
        <f>_xlfn.LET(
    _xlpm.intervaloSoma, IF($S36="R", 'CEI_COMPLETA'!$E:$E, 'CEI_COMPLETA'!$D:$D),
    SUMIFS(_xlpm.intervaloSoma, 'CEI_COMPLETA'!$A:$A, Ajustes!Z$1, 'CEI_COMPLETA'!$B:$B, Ajustes!$Q36)
)</f>
        <v>115636</v>
      </c>
      <c r="AA36" s="11">
        <f>_xlfn.LET(
    _xlpm.intervaloSoma, IF($S36="R", 'CEI_COMPLETA'!$E:$E, 'CEI_COMPLETA'!$D:$D),
    SUMIFS(_xlpm.intervaloSoma, 'CEI_COMPLETA'!$A:$A, Ajustes!AA$1, 'CEI_COMPLETA'!$B:$B, Ajustes!$Q36)
)</f>
        <v>136773</v>
      </c>
      <c r="AB36" s="11">
        <f>_xlfn.LET(
    _xlpm.intervaloSoma, IF($S36="R", 'CEI_COMPLETA'!$E:$E, 'CEI_COMPLETA'!$D:$D),
    SUMIFS(_xlpm.intervaloSoma, 'CEI_COMPLETA'!$A:$A, Ajustes!AB$1, 'CEI_COMPLETA'!$B:$B, Ajustes!$Q36)
)</f>
        <v>180921</v>
      </c>
      <c r="AC36" s="11">
        <f>_xlfn.LET(
    _xlpm.intervaloSoma, IF($S36="R", 'CEI_COMPLETA'!$E:$E, 'CEI_COMPLETA'!$D:$D),
    SUMIFS(_xlpm.intervaloSoma, 'CEI_COMPLETA'!$A:$A, Ajustes!AC$1, 'CEI_COMPLETA'!$B:$B, Ajustes!$Q36)
)</f>
        <v>250244</v>
      </c>
      <c r="AD36" s="11">
        <f>_xlfn.LET(
    _xlpm.intervaloSoma, IF($S36="R", 'CEI_COMPLETA'!$E:$E, 'CEI_COMPLETA'!$D:$D),
    SUMIFS(_xlpm.intervaloSoma, 'CEI_COMPLETA'!$A:$A, Ajustes!AD$1, 'CEI_COMPLETA'!$B:$B, Ajustes!$R36)
)</f>
        <v>265829</v>
      </c>
      <c r="AE36" s="11">
        <f>_xlfn.LET(
    _xlpm.intervaloSoma, IF($S36="R", 'CEI_COMPLETA'!$E:$E, 'CEI_COMPLETA'!$D:$D),
    SUMIFS(_xlpm.intervaloSoma, 'CEI_COMPLETA'!$A:$A, Ajustes!AE$1, 'CEI_COMPLETA'!$B:$B, Ajustes!$R36)
)</f>
        <v>332315</v>
      </c>
      <c r="AF36" s="11">
        <f>_xlfn.LET(
    _xlpm.intervaloSoma, IF($S36="R", 'CEI_COMPLETA'!$E:$E, 'CEI_COMPLETA'!$D:$D),
    SUMIFS(_xlpm.intervaloSoma, 'CEI_COMPLETA'!$A:$A, Ajustes!AF$1, 'CEI_COMPLETA'!$B:$B, Ajustes!$R36)
)</f>
        <v>337723</v>
      </c>
      <c r="AG36" s="11">
        <f>_xlfn.LET(
    _xlpm.intervaloSoma, IF($S36="R", 'CEI_COMPLETA'!$E:$E, 'CEI_COMPLETA'!$D:$D),
    SUMIFS(_xlpm.intervaloSoma, 'CEI_COMPLETA'!$A:$A, Ajustes!AG$1, 'CEI_COMPLETA'!$B:$B, Ajustes!$R36)
)</f>
        <v>319710</v>
      </c>
      <c r="AH36" s="11">
        <f>_xlfn.LET(
    _xlpm.intervaloSoma, IF($S36="R", 'CEI_COMPLETA'!$E:$E, 'CEI_COMPLETA'!$D:$D),
    SUMIFS(_xlpm.intervaloSoma, 'CEI_COMPLETA'!$A:$A, Ajustes!AH$1, 'CEI_COMPLETA'!$B:$B, Ajustes!$R36)
)</f>
        <v>396713</v>
      </c>
      <c r="AI36" s="11">
        <f>_xlfn.LET(
    _xlpm.intervaloSoma, IF($S36="R", 'CEI_COMPLETA'!$E:$E, 'CEI_COMPLETA'!$D:$D),
    SUMIFS(_xlpm.intervaloSoma, 'CEI_COMPLETA'!$A:$A, Ajustes!AI$1, 'CEI_COMPLETA'!$B:$B, Ajustes!$R36)
)</f>
        <v>481361</v>
      </c>
      <c r="AJ36" s="11">
        <f>_xlfn.LET(
    _xlpm.intervaloSoma, IF($S36="R", 'CEI_COMPLETA'!$E:$E, 'CEI_COMPLETA'!$D:$D),
    SUMIFS(_xlpm.intervaloSoma, 'CEI_COMPLETA'!$A:$A, Ajustes!AJ$1, 'CEI_COMPLETA'!$B:$B, Ajustes!$R36)
)</f>
        <v>483297</v>
      </c>
      <c r="AK36" s="11">
        <f>_xlfn.LET(
    _xlpm.intervaloSoma, IF($S36="R", 'CEI_COMPLETA'!$E:$E, 'CEI_COMPLETA'!$D:$D),
    SUMIFS(_xlpm.intervaloSoma, 'CEI_COMPLETA'!$A:$A, Ajustes!AK$1, 'CEI_COMPLETA'!$B:$B, Ajustes!$R36)
)</f>
        <v>436148</v>
      </c>
      <c r="AL36" s="11">
        <f>_xlfn.LET(
    _xlpm.intervaloSoma, IF($S36="R", 'CEI_COMPLETA'!$E:$E, 'CEI_COMPLETA'!$D:$D),
    SUMIFS(_xlpm.intervaloSoma, 'CEI_COMPLETA'!$A:$A, Ajustes!AL$1, 'CEI_COMPLETA'!$B:$B, Ajustes!$R36)
)</f>
        <v>379187</v>
      </c>
      <c r="AM36" s="11">
        <f>_xlfn.LET(
    _xlpm.intervaloSoma, IF($S36="R", 'CEI_COMPLETA'!$E:$E, 'CEI_COMPLETA'!$D:$D),
    SUMIFS(_xlpm.intervaloSoma, 'CEI_COMPLETA'!$A:$A, Ajustes!AM$1, 'CEI_COMPLETA'!$B:$B, Ajustes!$R36)
)</f>
        <v>351263</v>
      </c>
      <c r="AN36" s="11">
        <f>_xlfn.LET(
    _xlpm.intervaloSoma, IF($S36="R", 'CEI_COMPLETA'!$E:$E, 'CEI_COMPLETA'!$D:$D),
    SUMIFS(_xlpm.intervaloSoma, 'CEI_COMPLETA'!$A:$A, Ajustes!AN$1, 'CEI_COMPLETA'!$B:$B, Ajustes!$R36)
)</f>
        <v>239016</v>
      </c>
      <c r="AO36" s="11">
        <f>_xlfn.LET(
    _xlpm.intervaloSoma, IF($S36="R", 'CEI_COMPLETA'!$E:$E, 'CEI_COMPLETA'!$D:$D),
    SUMIFS(_xlpm.intervaloSoma, 'CEI_COMPLETA'!$A:$A, Ajustes!AO$1, 'CEI_COMPLETA'!$B:$B, Ajustes!$R36)
)</f>
        <v>324717</v>
      </c>
    </row>
    <row r="37" spans="1:41" x14ac:dyDescent="0.25">
      <c r="A37" s="19" t="s">
        <v>37</v>
      </c>
      <c r="B37" s="28"/>
      <c r="C37" s="8"/>
      <c r="D37" s="8"/>
      <c r="E37" s="8"/>
      <c r="F37" s="8"/>
      <c r="G37" s="8"/>
      <c r="H37" s="27"/>
      <c r="I37" s="26" cm="1">
        <f t="array" ref="I37">_xlfn.SWITCH(B37,0,0,"-",-1,"+",1)</f>
        <v>0</v>
      </c>
      <c r="J37" s="8" cm="1">
        <f t="array" ref="J37">_xlfn.SWITCH(C37,0,0,"-",-1,"+",1)</f>
        <v>0</v>
      </c>
      <c r="K37" s="8" cm="1">
        <f t="array" ref="K37">_xlfn.SWITCH(D37,0,0,"-",-1,"+",1)</f>
        <v>0</v>
      </c>
      <c r="L37" s="8" cm="1">
        <f t="array" ref="L37">_xlfn.SWITCH(E37,0,0,"-",-1,"+",1)</f>
        <v>0</v>
      </c>
      <c r="M37" s="8" cm="1">
        <f t="array" ref="M37">_xlfn.SWITCH(F37,0,0,"-",-1,"+",1)</f>
        <v>0</v>
      </c>
      <c r="N37" s="8" cm="1">
        <f t="array" ref="N37">_xlfn.SWITCH(G37,0,0,"-",-1,"+",1)</f>
        <v>0</v>
      </c>
      <c r="O37" s="27" cm="1">
        <f t="array" ref="O37">_xlfn.SWITCH(H37,0,0,"-",-1,"+",1)</f>
        <v>0</v>
      </c>
      <c r="P37" s="36" t="s">
        <v>120</v>
      </c>
      <c r="S37" s="37"/>
      <c r="T37" s="14">
        <f>T39-T38</f>
        <v>-8598</v>
      </c>
      <c r="U37" s="14">
        <f t="shared" ref="U37:AO37" si="3">U39-U38</f>
        <v>-9410</v>
      </c>
      <c r="V37" s="14">
        <f t="shared" si="3"/>
        <v>-9696</v>
      </c>
      <c r="W37" s="14">
        <f t="shared" si="3"/>
        <v>-4361</v>
      </c>
      <c r="X37" s="14">
        <f t="shared" si="3"/>
        <v>-5989</v>
      </c>
      <c r="Y37" s="14">
        <f t="shared" si="3"/>
        <v>-9572</v>
      </c>
      <c r="Z37" s="14">
        <f t="shared" si="3"/>
        <v>-13357</v>
      </c>
      <c r="AA37" s="14">
        <f t="shared" si="3"/>
        <v>-17196</v>
      </c>
      <c r="AB37" s="14">
        <f t="shared" si="3"/>
        <v>-20238</v>
      </c>
      <c r="AC37" s="14">
        <f t="shared" si="3"/>
        <v>-11863</v>
      </c>
      <c r="AD37" s="14">
        <f t="shared" si="3"/>
        <v>-35895</v>
      </c>
      <c r="AE37" s="14">
        <f t="shared" si="3"/>
        <v>-37588</v>
      </c>
      <c r="AF37" s="14">
        <f t="shared" si="3"/>
        <v>-40918</v>
      </c>
      <c r="AG37" s="14">
        <f t="shared" si="3"/>
        <v>-45299</v>
      </c>
      <c r="AH37" s="14">
        <f t="shared" si="3"/>
        <v>-44920</v>
      </c>
      <c r="AI37" s="14">
        <f t="shared" si="3"/>
        <v>-61125</v>
      </c>
      <c r="AJ37" s="14">
        <f t="shared" si="3"/>
        <v>-64150</v>
      </c>
      <c r="AK37" s="14">
        <f t="shared" si="3"/>
        <v>-55119</v>
      </c>
      <c r="AL37" s="14">
        <f t="shared" si="3"/>
        <v>-56675</v>
      </c>
      <c r="AM37" s="14">
        <f t="shared" si="3"/>
        <v>-39008</v>
      </c>
      <c r="AN37" s="14">
        <f t="shared" si="3"/>
        <v>-55782</v>
      </c>
      <c r="AO37" s="14">
        <f t="shared" si="3"/>
        <v>-30357</v>
      </c>
    </row>
    <row r="38" spans="1:41" x14ac:dyDescent="0.25">
      <c r="A38" s="20" t="s">
        <v>3</v>
      </c>
      <c r="B38" s="26" t="s">
        <v>260</v>
      </c>
      <c r="C38" s="8"/>
      <c r="D38" s="8"/>
      <c r="E38" s="8"/>
      <c r="F38" s="8"/>
      <c r="G38" s="8" t="s">
        <v>260</v>
      </c>
      <c r="H38" s="27"/>
      <c r="I38" s="26" cm="1">
        <f t="array" ref="I38">_xlfn.SWITCH(B38,0,0,"-",-1,"+",1)</f>
        <v>1</v>
      </c>
      <c r="J38" s="8" cm="1">
        <f t="array" ref="J38">_xlfn.SWITCH(C38,0,0,"-",-1,"+",1)</f>
        <v>0</v>
      </c>
      <c r="K38" s="8" cm="1">
        <f t="array" ref="K38">_xlfn.SWITCH(D38,0,0,"-",-1,"+",1)</f>
        <v>0</v>
      </c>
      <c r="L38" s="8" cm="1">
        <f t="array" ref="L38">_xlfn.SWITCH(E38,0,0,"-",-1,"+",1)</f>
        <v>0</v>
      </c>
      <c r="M38" s="8" cm="1">
        <f t="array" ref="M38">_xlfn.SWITCH(F38,0,0,"-",-1,"+",1)</f>
        <v>0</v>
      </c>
      <c r="N38" s="8" cm="1">
        <f t="array" ref="N38">_xlfn.SWITCH(G38,0,0,"-",-1,"+",1)</f>
        <v>1</v>
      </c>
      <c r="O38" s="27" cm="1">
        <f t="array" ref="O38">_xlfn.SWITCH(H38,0,0,"-",-1,"+",1)</f>
        <v>0</v>
      </c>
      <c r="P38" s="36" t="s">
        <v>120</v>
      </c>
      <c r="Q38" s="9" t="s">
        <v>141</v>
      </c>
      <c r="R38" s="9" t="s">
        <v>141</v>
      </c>
      <c r="S38" s="37" t="s">
        <v>147</v>
      </c>
      <c r="T38" s="11">
        <f>_xlfn.LET(
    _xlpm.intervaloSoma, IF($S38="R", 'CEI_COMPLETA'!$E:$E, 'CEI_COMPLETA'!$D:$D),
    SUMIFS(_xlpm.intervaloSoma, 'CEI_COMPLETA'!$A:$A, Ajustes!T$1, 'CEI_COMPLETA'!$B:$B, Ajustes!$Q38)
)</f>
        <v>15190</v>
      </c>
      <c r="U38" s="11">
        <f>_xlfn.LET(
    _xlpm.intervaloSoma, IF($S38="R", 'CEI_COMPLETA'!$E:$E, 'CEI_COMPLETA'!$D:$D),
    SUMIFS(_xlpm.intervaloSoma, 'CEI_COMPLETA'!$A:$A, Ajustes!U$1, 'CEI_COMPLETA'!$B:$B, Ajustes!$Q38)
)</f>
        <v>18577</v>
      </c>
      <c r="V38" s="11">
        <f>_xlfn.LET(
    _xlpm.intervaloSoma, IF($S38="R", 'CEI_COMPLETA'!$E:$E, 'CEI_COMPLETA'!$D:$D),
    SUMIFS(_xlpm.intervaloSoma, 'CEI_COMPLETA'!$A:$A, Ajustes!V$1, 'CEI_COMPLETA'!$B:$B, Ajustes!$Q38)
)</f>
        <v>19448</v>
      </c>
      <c r="W38" s="11">
        <f>_xlfn.LET(
    _xlpm.intervaloSoma, IF($S38="R", 'CEI_COMPLETA'!$E:$E, 'CEI_COMPLETA'!$D:$D),
    SUMIFS(_xlpm.intervaloSoma, 'CEI_COMPLETA'!$A:$A, Ajustes!W$1, 'CEI_COMPLETA'!$B:$B, Ajustes!$Q38)
)</f>
        <v>18414</v>
      </c>
      <c r="X38" s="11">
        <f>_xlfn.LET(
    _xlpm.intervaloSoma, IF($S38="R", 'CEI_COMPLETA'!$E:$E, 'CEI_COMPLETA'!$D:$D),
    SUMIFS(_xlpm.intervaloSoma, 'CEI_COMPLETA'!$A:$A, Ajustes!X$1, 'CEI_COMPLETA'!$B:$B, Ajustes!$Q38)
)</f>
        <v>20109</v>
      </c>
      <c r="Y38" s="11">
        <f>_xlfn.LET(
    _xlpm.intervaloSoma, IF($S38="R", 'CEI_COMPLETA'!$E:$E, 'CEI_COMPLETA'!$D:$D),
    SUMIFS(_xlpm.intervaloSoma, 'CEI_COMPLETA'!$A:$A, Ajustes!Y$1, 'CEI_COMPLETA'!$B:$B, Ajustes!$Q38)
)</f>
        <v>24340</v>
      </c>
      <c r="Z38" s="11">
        <f>_xlfn.LET(
    _xlpm.intervaloSoma, IF($S38="R", 'CEI_COMPLETA'!$E:$E, 'CEI_COMPLETA'!$D:$D),
    SUMIFS(_xlpm.intervaloSoma, 'CEI_COMPLETA'!$A:$A, Ajustes!Z$1, 'CEI_COMPLETA'!$B:$B, Ajustes!$Q38)
)</f>
        <v>28375</v>
      </c>
      <c r="AA38" s="11">
        <f>_xlfn.LET(
    _xlpm.intervaloSoma, IF($S38="R", 'CEI_COMPLETA'!$E:$E, 'CEI_COMPLETA'!$D:$D),
    SUMIFS(_xlpm.intervaloSoma, 'CEI_COMPLETA'!$A:$A, Ajustes!AA$1, 'CEI_COMPLETA'!$B:$B, Ajustes!$Q38)
)</f>
        <v>32747</v>
      </c>
      <c r="AB38" s="11">
        <f>_xlfn.LET(
    _xlpm.intervaloSoma, IF($S38="R", 'CEI_COMPLETA'!$E:$E, 'CEI_COMPLETA'!$D:$D),
    SUMIFS(_xlpm.intervaloSoma, 'CEI_COMPLETA'!$A:$A, Ajustes!AB$1, 'CEI_COMPLETA'!$B:$B, Ajustes!$Q38)
)</f>
        <v>37438</v>
      </c>
      <c r="AC38" s="11">
        <f>_xlfn.LET(
    _xlpm.intervaloSoma, IF($S38="R", 'CEI_COMPLETA'!$E:$E, 'CEI_COMPLETA'!$D:$D),
    SUMIFS(_xlpm.intervaloSoma, 'CEI_COMPLETA'!$A:$A, Ajustes!AC$1, 'CEI_COMPLETA'!$B:$B, Ajustes!$Q38)
)</f>
        <v>30753</v>
      </c>
      <c r="AD38" s="11">
        <f>_xlfn.LET(
    _xlpm.intervaloSoma, IF($S38="R", 'CEI_COMPLETA'!$E:$E, 'CEI_COMPLETA'!$D:$D),
    SUMIFS(_xlpm.intervaloSoma, 'CEI_COMPLETA'!$A:$A, Ajustes!AD$1, 'CEI_COMPLETA'!$B:$B, Ajustes!$R38)
)</f>
        <v>54719</v>
      </c>
      <c r="AE38" s="11">
        <f>_xlfn.LET(
    _xlpm.intervaloSoma, IF($S38="R", 'CEI_COMPLETA'!$E:$E, 'CEI_COMPLETA'!$D:$D),
    SUMIFS(_xlpm.intervaloSoma, 'CEI_COMPLETA'!$A:$A, Ajustes!AE$1, 'CEI_COMPLETA'!$B:$B, Ajustes!$R38)
)</f>
        <v>52635</v>
      </c>
      <c r="AF38" s="11">
        <f>_xlfn.LET(
    _xlpm.intervaloSoma, IF($S38="R", 'CEI_COMPLETA'!$E:$E, 'CEI_COMPLETA'!$D:$D),
    SUMIFS(_xlpm.intervaloSoma, 'CEI_COMPLETA'!$A:$A, Ajustes!AF$1, 'CEI_COMPLETA'!$B:$B, Ajustes!$R38)
)</f>
        <v>66769</v>
      </c>
      <c r="AG38" s="11">
        <f>_xlfn.LET(
    _xlpm.intervaloSoma, IF($S38="R", 'CEI_COMPLETA'!$E:$E, 'CEI_COMPLETA'!$D:$D),
    SUMIFS(_xlpm.intervaloSoma, 'CEI_COMPLETA'!$A:$A, Ajustes!AG$1, 'CEI_COMPLETA'!$B:$B, Ajustes!$R38)
)</f>
        <v>76459</v>
      </c>
      <c r="AH38" s="11">
        <f>_xlfn.LET(
    _xlpm.intervaloSoma, IF($S38="R", 'CEI_COMPLETA'!$E:$E, 'CEI_COMPLETA'!$D:$D),
    SUMIFS(_xlpm.intervaloSoma, 'CEI_COMPLETA'!$A:$A, Ajustes!AH$1, 'CEI_COMPLETA'!$B:$B, Ajustes!$R38)
)</f>
        <v>78162</v>
      </c>
      <c r="AI38" s="11">
        <f>_xlfn.LET(
    _xlpm.intervaloSoma, IF($S38="R", 'CEI_COMPLETA'!$E:$E, 'CEI_COMPLETA'!$D:$D),
    SUMIFS(_xlpm.intervaloSoma, 'CEI_COMPLETA'!$A:$A, Ajustes!AI$1, 'CEI_COMPLETA'!$B:$B, Ajustes!$R38)
)</f>
        <v>101688</v>
      </c>
      <c r="AJ38" s="11">
        <f>_xlfn.LET(
    _xlpm.intervaloSoma, IF($S38="R", 'CEI_COMPLETA'!$E:$E, 'CEI_COMPLETA'!$D:$D),
    SUMIFS(_xlpm.intervaloSoma, 'CEI_COMPLETA'!$A:$A, Ajustes!AJ$1, 'CEI_COMPLETA'!$B:$B, Ajustes!$R38)
)</f>
        <v>109541</v>
      </c>
      <c r="AK38" s="11">
        <f>_xlfn.LET(
    _xlpm.intervaloSoma, IF($S38="R", 'CEI_COMPLETA'!$E:$E, 'CEI_COMPLETA'!$D:$D),
    SUMIFS(_xlpm.intervaloSoma, 'CEI_COMPLETA'!$A:$A, Ajustes!AK$1, 'CEI_COMPLETA'!$B:$B, Ajustes!$R38)
)</f>
        <v>101744</v>
      </c>
      <c r="AL38" s="11">
        <f>_xlfn.LET(
    _xlpm.intervaloSoma, IF($S38="R", 'CEI_COMPLETA'!$E:$E, 'CEI_COMPLETA'!$D:$D),
    SUMIFS(_xlpm.intervaloSoma, 'CEI_COMPLETA'!$A:$A, Ajustes!AL$1, 'CEI_COMPLETA'!$B:$B, Ajustes!$R38)
)</f>
        <v>104994</v>
      </c>
      <c r="AM38" s="11">
        <f>_xlfn.LET(
    _xlpm.intervaloSoma, IF($S38="R", 'CEI_COMPLETA'!$E:$E, 'CEI_COMPLETA'!$D:$D),
    SUMIFS(_xlpm.intervaloSoma, 'CEI_COMPLETA'!$A:$A, Ajustes!AM$1, 'CEI_COMPLETA'!$B:$B, Ajustes!$R38)
)</f>
        <v>94861</v>
      </c>
      <c r="AN38" s="11">
        <f>_xlfn.LET(
    _xlpm.intervaloSoma, IF($S38="R", 'CEI_COMPLETA'!$E:$E, 'CEI_COMPLETA'!$D:$D),
    SUMIFS(_xlpm.intervaloSoma, 'CEI_COMPLETA'!$A:$A, Ajustes!AN$1, 'CEI_COMPLETA'!$B:$B, Ajustes!$R38)
)</f>
        <v>112163</v>
      </c>
      <c r="AO38" s="11">
        <f>_xlfn.LET(
    _xlpm.intervaloSoma, IF($S38="R", 'CEI_COMPLETA'!$E:$E, 'CEI_COMPLETA'!$D:$D),
    SUMIFS(_xlpm.intervaloSoma, 'CEI_COMPLETA'!$A:$A, Ajustes!AO$1, 'CEI_COMPLETA'!$B:$B, Ajustes!$R38)
)</f>
        <v>100089</v>
      </c>
    </row>
    <row r="39" spans="1:41" ht="15.75" thickBot="1" x14ac:dyDescent="0.3">
      <c r="A39" s="21" t="s">
        <v>4</v>
      </c>
      <c r="B39" s="26"/>
      <c r="C39" s="8"/>
      <c r="D39" s="8"/>
      <c r="E39" s="8"/>
      <c r="F39" s="8"/>
      <c r="G39" s="8"/>
      <c r="H39" s="27"/>
      <c r="I39" s="26" cm="1">
        <f t="array" ref="I39">_xlfn.SWITCH(B39,0,0,"-",-1,"+",1)</f>
        <v>0</v>
      </c>
      <c r="J39" s="8" cm="1">
        <f t="array" ref="J39">_xlfn.SWITCH(C39,0,0,"-",-1,"+",1)</f>
        <v>0</v>
      </c>
      <c r="K39" s="8" cm="1">
        <f t="array" ref="K39">_xlfn.SWITCH(D39,0,0,"-",-1,"+",1)</f>
        <v>0</v>
      </c>
      <c r="L39" s="8" cm="1">
        <f t="array" ref="L39">_xlfn.SWITCH(E39,0,0,"-",-1,"+",1)</f>
        <v>0</v>
      </c>
      <c r="M39" s="8" cm="1">
        <f t="array" ref="M39">_xlfn.SWITCH(F39,0,0,"-",-1,"+",1)</f>
        <v>0</v>
      </c>
      <c r="N39" s="8" cm="1">
        <f t="array" ref="N39">_xlfn.SWITCH(G39,0,0,"-",-1,"+",1)</f>
        <v>0</v>
      </c>
      <c r="O39" s="27" cm="1">
        <f t="array" ref="O39">_xlfn.SWITCH(H39,0,0,"-",-1,"+",1)</f>
        <v>0</v>
      </c>
      <c r="P39" s="36" t="s">
        <v>120</v>
      </c>
      <c r="Q39" s="9" t="s">
        <v>141</v>
      </c>
      <c r="R39" s="9" t="s">
        <v>141</v>
      </c>
      <c r="S39" s="37" t="s">
        <v>146</v>
      </c>
      <c r="T39" s="11">
        <f>_xlfn.LET(
    _xlpm.intervaloSoma, IF($S39="R", 'CEI_COMPLETA'!$E:$E, 'CEI_COMPLETA'!$D:$D),
    SUMIFS(_xlpm.intervaloSoma, 'CEI_COMPLETA'!$A:$A, Ajustes!T$1, 'CEI_COMPLETA'!$B:$B, Ajustes!$Q39)
)</f>
        <v>6592</v>
      </c>
      <c r="U39" s="11">
        <f>_xlfn.LET(
    _xlpm.intervaloSoma, IF($S39="R", 'CEI_COMPLETA'!$E:$E, 'CEI_COMPLETA'!$D:$D),
    SUMIFS(_xlpm.intervaloSoma, 'CEI_COMPLETA'!$A:$A, Ajustes!U$1, 'CEI_COMPLETA'!$B:$B, Ajustes!$Q39)
)</f>
        <v>9167</v>
      </c>
      <c r="V39" s="11">
        <f>_xlfn.LET(
    _xlpm.intervaloSoma, IF($S39="R", 'CEI_COMPLETA'!$E:$E, 'CEI_COMPLETA'!$D:$D),
    SUMIFS(_xlpm.intervaloSoma, 'CEI_COMPLETA'!$A:$A, Ajustes!V$1, 'CEI_COMPLETA'!$B:$B, Ajustes!$Q39)
)</f>
        <v>9752</v>
      </c>
      <c r="W39" s="11">
        <f>_xlfn.LET(
    _xlpm.intervaloSoma, IF($S39="R", 'CEI_COMPLETA'!$E:$E, 'CEI_COMPLETA'!$D:$D),
    SUMIFS(_xlpm.intervaloSoma, 'CEI_COMPLETA'!$A:$A, Ajustes!W$1, 'CEI_COMPLETA'!$B:$B, Ajustes!$Q39)
)</f>
        <v>14053</v>
      </c>
      <c r="X39" s="11">
        <f>_xlfn.LET(
    _xlpm.intervaloSoma, IF($S39="R", 'CEI_COMPLETA'!$E:$E, 'CEI_COMPLETA'!$D:$D),
    SUMIFS(_xlpm.intervaloSoma, 'CEI_COMPLETA'!$A:$A, Ajustes!X$1, 'CEI_COMPLETA'!$B:$B, Ajustes!$Q39)
)</f>
        <v>14120</v>
      </c>
      <c r="Y39" s="11">
        <f>_xlfn.LET(
    _xlpm.intervaloSoma, IF($S39="R", 'CEI_COMPLETA'!$E:$E, 'CEI_COMPLETA'!$D:$D),
    SUMIFS(_xlpm.intervaloSoma, 'CEI_COMPLETA'!$A:$A, Ajustes!Y$1, 'CEI_COMPLETA'!$B:$B, Ajustes!$Q39)
)</f>
        <v>14768</v>
      </c>
      <c r="Z39" s="11">
        <f>_xlfn.LET(
    _xlpm.intervaloSoma, IF($S39="R", 'CEI_COMPLETA'!$E:$E, 'CEI_COMPLETA'!$D:$D),
    SUMIFS(_xlpm.intervaloSoma, 'CEI_COMPLETA'!$A:$A, Ajustes!Z$1, 'CEI_COMPLETA'!$B:$B, Ajustes!$Q39)
)</f>
        <v>15018</v>
      </c>
      <c r="AA39" s="11">
        <f>_xlfn.LET(
    _xlpm.intervaloSoma, IF($S39="R", 'CEI_COMPLETA'!$E:$E, 'CEI_COMPLETA'!$D:$D),
    SUMIFS(_xlpm.intervaloSoma, 'CEI_COMPLETA'!$A:$A, Ajustes!AA$1, 'CEI_COMPLETA'!$B:$B, Ajustes!$Q39)
)</f>
        <v>15551</v>
      </c>
      <c r="AB39" s="11">
        <f>_xlfn.LET(
    _xlpm.intervaloSoma, IF($S39="R", 'CEI_COMPLETA'!$E:$E, 'CEI_COMPLETA'!$D:$D),
    SUMIFS(_xlpm.intervaloSoma, 'CEI_COMPLETA'!$A:$A, Ajustes!AB$1, 'CEI_COMPLETA'!$B:$B, Ajustes!$Q39)
)</f>
        <v>17200</v>
      </c>
      <c r="AC39" s="11">
        <f>_xlfn.LET(
    _xlpm.intervaloSoma, IF($S39="R", 'CEI_COMPLETA'!$E:$E, 'CEI_COMPLETA'!$D:$D),
    SUMIFS(_xlpm.intervaloSoma, 'CEI_COMPLETA'!$A:$A, Ajustes!AC$1, 'CEI_COMPLETA'!$B:$B, Ajustes!$Q39)
)</f>
        <v>18890</v>
      </c>
      <c r="AD39" s="11">
        <f>_xlfn.LET(
    _xlpm.intervaloSoma, IF($S39="R", 'CEI_COMPLETA'!$E:$E, 'CEI_COMPLETA'!$D:$D),
    SUMIFS(_xlpm.intervaloSoma, 'CEI_COMPLETA'!$A:$A, Ajustes!AD$1, 'CEI_COMPLETA'!$B:$B, Ajustes!$R39)
)</f>
        <v>18824</v>
      </c>
      <c r="AE39" s="11">
        <f>_xlfn.LET(
    _xlpm.intervaloSoma, IF($S39="R", 'CEI_COMPLETA'!$E:$E, 'CEI_COMPLETA'!$D:$D),
    SUMIFS(_xlpm.intervaloSoma, 'CEI_COMPLETA'!$A:$A, Ajustes!AE$1, 'CEI_COMPLETA'!$B:$B, Ajustes!$R39)
)</f>
        <v>15047</v>
      </c>
      <c r="AF39" s="11">
        <f>_xlfn.LET(
    _xlpm.intervaloSoma, IF($S39="R", 'CEI_COMPLETA'!$E:$E, 'CEI_COMPLETA'!$D:$D),
    SUMIFS(_xlpm.intervaloSoma, 'CEI_COMPLETA'!$A:$A, Ajustes!AF$1, 'CEI_COMPLETA'!$B:$B, Ajustes!$R39)
)</f>
        <v>25851</v>
      </c>
      <c r="AG39" s="11">
        <f>_xlfn.LET(
    _xlpm.intervaloSoma, IF($S39="R", 'CEI_COMPLETA'!$E:$E, 'CEI_COMPLETA'!$D:$D),
    SUMIFS(_xlpm.intervaloSoma, 'CEI_COMPLETA'!$A:$A, Ajustes!AG$1, 'CEI_COMPLETA'!$B:$B, Ajustes!$R39)
)</f>
        <v>31160</v>
      </c>
      <c r="AH39" s="11">
        <f>_xlfn.LET(
    _xlpm.intervaloSoma, IF($S39="R", 'CEI_COMPLETA'!$E:$E, 'CEI_COMPLETA'!$D:$D),
    SUMIFS(_xlpm.intervaloSoma, 'CEI_COMPLETA'!$A:$A, Ajustes!AH$1, 'CEI_COMPLETA'!$B:$B, Ajustes!$R39)
)</f>
        <v>33242</v>
      </c>
      <c r="AI39" s="11">
        <f>_xlfn.LET(
    _xlpm.intervaloSoma, IF($S39="R", 'CEI_COMPLETA'!$E:$E, 'CEI_COMPLETA'!$D:$D),
    SUMIFS(_xlpm.intervaloSoma, 'CEI_COMPLETA'!$A:$A, Ajustes!AI$1, 'CEI_COMPLETA'!$B:$B, Ajustes!$R39)
)</f>
        <v>40563</v>
      </c>
      <c r="AJ39" s="11">
        <f>_xlfn.LET(
    _xlpm.intervaloSoma, IF($S39="R", 'CEI_COMPLETA'!$E:$E, 'CEI_COMPLETA'!$D:$D),
    SUMIFS(_xlpm.intervaloSoma, 'CEI_COMPLETA'!$A:$A, Ajustes!AJ$1, 'CEI_COMPLETA'!$B:$B, Ajustes!$R39)
)</f>
        <v>45391</v>
      </c>
      <c r="AK39" s="11">
        <f>_xlfn.LET(
    _xlpm.intervaloSoma, IF($S39="R", 'CEI_COMPLETA'!$E:$E, 'CEI_COMPLETA'!$D:$D),
    SUMIFS(_xlpm.intervaloSoma, 'CEI_COMPLETA'!$A:$A, Ajustes!AK$1, 'CEI_COMPLETA'!$B:$B, Ajustes!$R39)
)</f>
        <v>46625</v>
      </c>
      <c r="AL39" s="11">
        <f>_xlfn.LET(
    _xlpm.intervaloSoma, IF($S39="R", 'CEI_COMPLETA'!$E:$E, 'CEI_COMPLETA'!$D:$D),
    SUMIFS(_xlpm.intervaloSoma, 'CEI_COMPLETA'!$A:$A, Ajustes!AL$1, 'CEI_COMPLETA'!$B:$B, Ajustes!$R39)
)</f>
        <v>48319</v>
      </c>
      <c r="AM39" s="11">
        <f>_xlfn.LET(
    _xlpm.intervaloSoma, IF($S39="R", 'CEI_COMPLETA'!$E:$E, 'CEI_COMPLETA'!$D:$D),
    SUMIFS(_xlpm.intervaloSoma, 'CEI_COMPLETA'!$A:$A, Ajustes!AM$1, 'CEI_COMPLETA'!$B:$B, Ajustes!$R39)
)</f>
        <v>55853</v>
      </c>
      <c r="AN39" s="11">
        <f>_xlfn.LET(
    _xlpm.intervaloSoma, IF($S39="R", 'CEI_COMPLETA'!$E:$E, 'CEI_COMPLETA'!$D:$D),
    SUMIFS(_xlpm.intervaloSoma, 'CEI_COMPLETA'!$A:$A, Ajustes!AN$1, 'CEI_COMPLETA'!$B:$B, Ajustes!$R39)
)</f>
        <v>56381</v>
      </c>
      <c r="AO39" s="11">
        <f>_xlfn.LET(
    _xlpm.intervaloSoma, IF($S39="R", 'CEI_COMPLETA'!$E:$E, 'CEI_COMPLETA'!$D:$D),
    SUMIFS(_xlpm.intervaloSoma, 'CEI_COMPLETA'!$A:$A, Ajustes!AO$1, 'CEI_COMPLETA'!$B:$B, Ajustes!$R39)
)</f>
        <v>69732</v>
      </c>
    </row>
    <row r="40" spans="1:41" ht="15.75" thickBot="1" x14ac:dyDescent="0.3">
      <c r="A40" s="22" t="s">
        <v>38</v>
      </c>
      <c r="B40" s="26"/>
      <c r="C40" s="8"/>
      <c r="D40" s="8"/>
      <c r="E40" s="8"/>
      <c r="F40" s="8"/>
      <c r="G40" s="8"/>
      <c r="H40" s="27"/>
      <c r="I40" s="26" cm="1">
        <f t="array" ref="I40">_xlfn.SWITCH(B40,0,0,"-",-1,"+",1)</f>
        <v>0</v>
      </c>
      <c r="J40" s="8" cm="1">
        <f t="array" ref="J40">_xlfn.SWITCH(C40,0,0,"-",-1,"+",1)</f>
        <v>0</v>
      </c>
      <c r="K40" s="8" cm="1">
        <f t="array" ref="K40">_xlfn.SWITCH(D40,0,0,"-",-1,"+",1)</f>
        <v>0</v>
      </c>
      <c r="L40" s="8" cm="1">
        <f t="array" ref="L40">_xlfn.SWITCH(E40,0,0,"-",-1,"+",1)</f>
        <v>0</v>
      </c>
      <c r="M40" s="8" cm="1">
        <f t="array" ref="M40">_xlfn.SWITCH(F40,0,0,"-",-1,"+",1)</f>
        <v>0</v>
      </c>
      <c r="N40" s="8" cm="1">
        <f t="array" ref="N40">_xlfn.SWITCH(G40,0,0,"-",-1,"+",1)</f>
        <v>0</v>
      </c>
      <c r="O40" s="27" cm="1">
        <f t="array" ref="O40">_xlfn.SWITCH(H40,0,0,"-",-1,"+",1)</f>
        <v>0</v>
      </c>
      <c r="P40" s="36" t="s">
        <v>120</v>
      </c>
      <c r="S40" s="37"/>
    </row>
    <row r="41" spans="1:41" ht="15.75" thickBot="1" x14ac:dyDescent="0.3">
      <c r="A41" s="19" t="s">
        <v>44</v>
      </c>
      <c r="B41" s="28"/>
      <c r="C41" s="8"/>
      <c r="D41" s="8"/>
      <c r="E41" s="8"/>
      <c r="F41" s="8"/>
      <c r="G41" s="8"/>
      <c r="H41" s="27"/>
      <c r="I41" s="26" cm="1">
        <f t="array" ref="I41">_xlfn.SWITCH(B41,0,0,"-",-1,"+",1)</f>
        <v>0</v>
      </c>
      <c r="J41" s="8" cm="1">
        <f t="array" ref="J41">_xlfn.SWITCH(C41,0,0,"-",-1,"+",1)</f>
        <v>0</v>
      </c>
      <c r="K41" s="8" cm="1">
        <f t="array" ref="K41">_xlfn.SWITCH(D41,0,0,"-",-1,"+",1)</f>
        <v>0</v>
      </c>
      <c r="L41" s="8" cm="1">
        <f t="array" ref="L41">_xlfn.SWITCH(E41,0,0,"-",-1,"+",1)</f>
        <v>0</v>
      </c>
      <c r="M41" s="8" cm="1">
        <f t="array" ref="M41">_xlfn.SWITCH(F41,0,0,"-",-1,"+",1)</f>
        <v>0</v>
      </c>
      <c r="N41" s="8" cm="1">
        <f t="array" ref="N41">_xlfn.SWITCH(G41,0,0,"-",-1,"+",1)</f>
        <v>0</v>
      </c>
      <c r="O41" s="27" cm="1">
        <f t="array" ref="O41">_xlfn.SWITCH(H41,0,0,"-",-1,"+",1)</f>
        <v>0</v>
      </c>
      <c r="P41" s="36" t="s">
        <v>120</v>
      </c>
      <c r="Q41" s="9" t="s">
        <v>142</v>
      </c>
      <c r="R41" s="9" t="s">
        <v>142</v>
      </c>
      <c r="S41" s="37" t="s">
        <v>146</v>
      </c>
      <c r="T41" s="14">
        <f>_xlfn.LET(
    _xlpm.intervaloSoma, IF($S41="R", 'CEI_COMPLETA'!$E:$E, 'CEI_COMPLETA'!$D:$D),
    SUMIFS(_xlpm.intervaloSoma, 'CEI_COMPLETA'!$A:$A, Ajustes!T$1, 'CEI_COMPLETA'!$B:$B, Ajustes!$Q41)
)</f>
        <v>107799</v>
      </c>
      <c r="U41" s="14">
        <f>_xlfn.LET(
    _xlpm.intervaloSoma, IF($S41="R", 'CEI_COMPLETA'!$E:$E, 'CEI_COMPLETA'!$D:$D),
    SUMIFS(_xlpm.intervaloSoma, 'CEI_COMPLETA'!$A:$A, Ajustes!U$1, 'CEI_COMPLETA'!$B:$B, Ajustes!$Q41)
)</f>
        <v>115533</v>
      </c>
      <c r="V41" s="14">
        <f>_xlfn.LET(
    _xlpm.intervaloSoma, IF($S41="R", 'CEI_COMPLETA'!$E:$E, 'CEI_COMPLETA'!$D:$D),
    SUMIFS(_xlpm.intervaloSoma, 'CEI_COMPLETA'!$A:$A, Ajustes!V$1, 'CEI_COMPLETA'!$B:$B, Ajustes!$Q41)
)</f>
        <v>138143</v>
      </c>
      <c r="W41" s="14">
        <f>_xlfn.LET(
    _xlpm.intervaloSoma, IF($S41="R", 'CEI_COMPLETA'!$E:$E, 'CEI_COMPLETA'!$D:$D),
    SUMIFS(_xlpm.intervaloSoma, 'CEI_COMPLETA'!$A:$A, Ajustes!W$1, 'CEI_COMPLETA'!$B:$B, Ajustes!$Q41)
)</f>
        <v>150926</v>
      </c>
      <c r="X41" s="14">
        <f>_xlfn.LET(
    _xlpm.intervaloSoma, IF($S41="R", 'CEI_COMPLETA'!$E:$E, 'CEI_COMPLETA'!$D:$D),
    SUMIFS(_xlpm.intervaloSoma, 'CEI_COMPLETA'!$A:$A, Ajustes!X$1, 'CEI_COMPLETA'!$B:$B, Ajustes!$Q41)
)</f>
        <v>165425</v>
      </c>
      <c r="Y41" s="14">
        <f>_xlfn.LET(
    _xlpm.intervaloSoma, IF($S41="R", 'CEI_COMPLETA'!$E:$E, 'CEI_COMPLETA'!$D:$D),
    SUMIFS(_xlpm.intervaloSoma, 'CEI_COMPLETA'!$A:$A, Ajustes!Y$1, 'CEI_COMPLETA'!$B:$B, Ajustes!$Q41)
)</f>
        <v>184332</v>
      </c>
      <c r="Z41" s="14">
        <f>_xlfn.LET(
    _xlpm.intervaloSoma, IF($S41="R", 'CEI_COMPLETA'!$E:$E, 'CEI_COMPLETA'!$D:$D),
    SUMIFS(_xlpm.intervaloSoma, 'CEI_COMPLETA'!$A:$A, Ajustes!Z$1, 'CEI_COMPLETA'!$B:$B, Ajustes!$Q41)
)</f>
        <v>216239</v>
      </c>
      <c r="AA41" s="14">
        <f>_xlfn.LET(
    _xlpm.intervaloSoma, IF($S41="R", 'CEI_COMPLETA'!$E:$E, 'CEI_COMPLETA'!$D:$D),
    SUMIFS(_xlpm.intervaloSoma, 'CEI_COMPLETA'!$A:$A, Ajustes!AA$1, 'CEI_COMPLETA'!$B:$B, Ajustes!$Q41)
)</f>
        <v>238126</v>
      </c>
      <c r="AB41" s="14">
        <f>_xlfn.LET(
    _xlpm.intervaloSoma, IF($S41="R", 'CEI_COMPLETA'!$E:$E, 'CEI_COMPLETA'!$D:$D),
    SUMIFS(_xlpm.intervaloSoma, 'CEI_COMPLETA'!$A:$A, Ajustes!AB$1, 'CEI_COMPLETA'!$B:$B, Ajustes!$Q41)
)</f>
        <v>275309</v>
      </c>
      <c r="AC41" s="14">
        <f>_xlfn.LET(
    _xlpm.intervaloSoma, IF($S41="R", 'CEI_COMPLETA'!$E:$E, 'CEI_COMPLETA'!$D:$D),
    SUMIFS(_xlpm.intervaloSoma, 'CEI_COMPLETA'!$A:$A, Ajustes!AC$1, 'CEI_COMPLETA'!$B:$B, Ajustes!$Q41)
)</f>
        <v>311598</v>
      </c>
      <c r="AD41" s="14">
        <f>_xlfn.LET(
    _xlpm.intervaloSoma, IF($S41="R", 'CEI_COMPLETA'!$E:$E, 'CEI_COMPLETA'!$D:$D),
    SUMIFS(_xlpm.intervaloSoma, 'CEI_COMPLETA'!$A:$A, Ajustes!AD$1, 'CEI_COMPLETA'!$B:$B, Ajustes!$Q41)
)</f>
        <v>353863</v>
      </c>
      <c r="AE41" s="14">
        <f>_xlfn.LET(
    _xlpm.intervaloSoma, IF($S41="R", 'CEI_COMPLETA'!$E:$E, 'CEI_COMPLETA'!$D:$D),
    SUMIFS(_xlpm.intervaloSoma, 'CEI_COMPLETA'!$A:$A, Ajustes!AE$1, 'CEI_COMPLETA'!$B:$B, Ajustes!$Q41)
)</f>
        <v>401770</v>
      </c>
      <c r="AF41" s="14">
        <f>_xlfn.LET(
    _xlpm.intervaloSoma, IF($S41="R", 'CEI_COMPLETA'!$E:$E, 'CEI_COMPLETA'!$D:$D),
    SUMIFS(_xlpm.intervaloSoma, 'CEI_COMPLETA'!$A:$A, Ajustes!AF$1, 'CEI_COMPLETA'!$B:$B, Ajustes!$Q41)
)</f>
        <v>436501</v>
      </c>
      <c r="AG41" s="14">
        <f>_xlfn.LET(
    _xlpm.intervaloSoma, IF($S41="R", 'CEI_COMPLETA'!$E:$E, 'CEI_COMPLETA'!$D:$D),
    SUMIFS(_xlpm.intervaloSoma, 'CEI_COMPLETA'!$A:$A, Ajustes!AG$1, 'CEI_COMPLETA'!$B:$B, Ajustes!$Q41)
)</f>
        <v>507505</v>
      </c>
      <c r="AH41" s="14">
        <f>_xlfn.LET(
    _xlpm.intervaloSoma, IF($S41="R", 'CEI_COMPLETA'!$E:$E, 'CEI_COMPLETA'!$D:$D),
    SUMIFS(_xlpm.intervaloSoma, 'CEI_COMPLETA'!$A:$A, Ajustes!AH$1, 'CEI_COMPLETA'!$B:$B, Ajustes!$Q41)
)</f>
        <v>569313</v>
      </c>
      <c r="AI41" s="14">
        <f>_xlfn.LET(
    _xlpm.intervaloSoma, IF($S41="R", 'CEI_COMPLETA'!$E:$E, 'CEI_COMPLETA'!$D:$D),
    SUMIFS(_xlpm.intervaloSoma, 'CEI_COMPLETA'!$A:$A, Ajustes!AI$1, 'CEI_COMPLETA'!$B:$B, Ajustes!$Q41)
)</f>
        <v>612035</v>
      </c>
      <c r="AJ41" s="14">
        <f>_xlfn.LET(
    _xlpm.intervaloSoma, IF($S41="R", 'CEI_COMPLETA'!$E:$E, 'CEI_COMPLETA'!$D:$D),
    SUMIFS(_xlpm.intervaloSoma, 'CEI_COMPLETA'!$A:$A, Ajustes!AJ$1, 'CEI_COMPLETA'!$B:$B, Ajustes!$Q41)
)</f>
        <v>650568</v>
      </c>
      <c r="AK41" s="14">
        <f>_xlfn.LET(
    _xlpm.intervaloSoma, IF($S41="R", 'CEI_COMPLETA'!$E:$E, 'CEI_COMPLETA'!$D:$D),
    SUMIFS(_xlpm.intervaloSoma, 'CEI_COMPLETA'!$A:$A, Ajustes!AK$1, 'CEI_COMPLETA'!$B:$B, Ajustes!$Q41)
)</f>
        <v>667553</v>
      </c>
      <c r="AL41" s="14">
        <f>_xlfn.LET(
    _xlpm.intervaloSoma, IF($S41="R", 'CEI_COMPLETA'!$E:$E, 'CEI_COMPLETA'!$D:$D),
    SUMIFS(_xlpm.intervaloSoma, 'CEI_COMPLETA'!$A:$A, Ajustes!AL$1, 'CEI_COMPLETA'!$B:$B, Ajustes!$Q41)
)</f>
        <v>703281</v>
      </c>
      <c r="AM41" s="14">
        <f>_xlfn.LET(
    _xlpm.intervaloSoma, IF($S41="R", 'CEI_COMPLETA'!$E:$E, 'CEI_COMPLETA'!$D:$D),
    SUMIFS(_xlpm.intervaloSoma, 'CEI_COMPLETA'!$A:$A, Ajustes!AM$1, 'CEI_COMPLETA'!$B:$B, Ajustes!$Q41)
)</f>
        <v>756620</v>
      </c>
      <c r="AN41" s="14">
        <f>_xlfn.LET(
    _xlpm.intervaloSoma, IF($S41="R", 'CEI_COMPLETA'!$E:$E, 'CEI_COMPLETA'!$D:$D),
    SUMIFS(_xlpm.intervaloSoma, 'CEI_COMPLETA'!$A:$A, Ajustes!AN$1, 'CEI_COMPLETA'!$B:$B, Ajustes!$Q41)
)</f>
        <v>792009</v>
      </c>
      <c r="AO41" s="14">
        <f>_xlfn.LET(
    _xlpm.intervaloSoma, IF($S41="R", 'CEI_COMPLETA'!$E:$E, 'CEI_COMPLETA'!$D:$D),
    SUMIFS(_xlpm.intervaloSoma, 'CEI_COMPLETA'!$A:$A, Ajustes!AO$1, 'CEI_COMPLETA'!$B:$B, Ajustes!$Q41)
)</f>
        <v>863167</v>
      </c>
    </row>
    <row r="42" spans="1:41" ht="15.75" thickBot="1" x14ac:dyDescent="0.3">
      <c r="A42" s="19" t="s">
        <v>143</v>
      </c>
      <c r="B42" s="28"/>
      <c r="C42" s="8" t="s">
        <v>259</v>
      </c>
      <c r="D42" s="8"/>
      <c r="E42" s="8"/>
      <c r="F42" s="8" t="s">
        <v>260</v>
      </c>
      <c r="G42" s="8"/>
      <c r="H42" s="27"/>
      <c r="I42" s="26" cm="1">
        <f t="array" ref="I42">_xlfn.SWITCH(B42,0,0,"-",-1,"+",1)</f>
        <v>0</v>
      </c>
      <c r="J42" s="8" cm="1">
        <f t="array" ref="J42">_xlfn.SWITCH(C42,0,0,"-",-1,"+",1)</f>
        <v>-1</v>
      </c>
      <c r="K42" s="8" cm="1">
        <f t="array" ref="K42">_xlfn.SWITCH(D42,0,0,"-",-1,"+",1)</f>
        <v>0</v>
      </c>
      <c r="L42" s="8" cm="1">
        <f t="array" ref="L42">_xlfn.SWITCH(E42,0,0,"-",-1,"+",1)</f>
        <v>0</v>
      </c>
      <c r="M42" s="8" cm="1">
        <f t="array" ref="M42">_xlfn.SWITCH(F42,0,0,"-",-1,"+",1)</f>
        <v>1</v>
      </c>
      <c r="N42" s="8" cm="1">
        <f t="array" ref="N42">_xlfn.SWITCH(G42,0,0,"-",-1,"+",1)</f>
        <v>0</v>
      </c>
      <c r="O42" s="27" cm="1">
        <f t="array" ref="O42">_xlfn.SWITCH(H42,0,0,"-",-1,"+",1)</f>
        <v>0</v>
      </c>
      <c r="P42" s="36" t="s">
        <v>254</v>
      </c>
      <c r="S42" s="37"/>
      <c r="T42" s="14">
        <v>30060</v>
      </c>
      <c r="U42" s="14">
        <v>34712</v>
      </c>
      <c r="V42" s="14">
        <v>40956</v>
      </c>
      <c r="W42" s="14">
        <v>42859</v>
      </c>
      <c r="X42" s="14">
        <v>41910</v>
      </c>
      <c r="Y42" s="14">
        <v>53855</v>
      </c>
      <c r="Z42" s="14">
        <v>67101</v>
      </c>
      <c r="AA42" s="14">
        <v>89816</v>
      </c>
      <c r="AB42" s="14">
        <v>111688</v>
      </c>
      <c r="AC42" s="14">
        <v>145529</v>
      </c>
      <c r="AD42" s="14">
        <v>183445</v>
      </c>
      <c r="AE42" s="14">
        <v>207329</v>
      </c>
      <c r="AF42" s="14">
        <v>209581</v>
      </c>
      <c r="AG42" s="14">
        <v>222059</v>
      </c>
      <c r="AH42" s="14">
        <v>252453</v>
      </c>
      <c r="AI42" s="14">
        <v>285322</v>
      </c>
      <c r="AJ42" s="14">
        <v>320468</v>
      </c>
      <c r="AK42" s="14">
        <v>329896</v>
      </c>
      <c r="AL42" s="14">
        <v>334777</v>
      </c>
      <c r="AM42" s="14">
        <v>369544</v>
      </c>
      <c r="AN42" s="14">
        <v>379659</v>
      </c>
      <c r="AO42" s="14">
        <v>396491</v>
      </c>
    </row>
    <row r="43" spans="1:41" ht="26.25" thickBot="1" x14ac:dyDescent="0.3">
      <c r="A43" s="19" t="s">
        <v>144</v>
      </c>
      <c r="B43" s="30"/>
      <c r="C43" s="31"/>
      <c r="D43" s="31"/>
      <c r="E43" s="31"/>
      <c r="F43" s="31"/>
      <c r="G43" s="31"/>
      <c r="H43" s="32" t="s">
        <v>259</v>
      </c>
      <c r="I43" s="33" cm="1">
        <f t="array" ref="I43">_xlfn.SWITCH(B43,0,0,"-",-1,"+",1)</f>
        <v>0</v>
      </c>
      <c r="J43" s="31" cm="1">
        <f t="array" ref="J43">_xlfn.SWITCH(C43,0,0,"-",-1,"+",1)</f>
        <v>0</v>
      </c>
      <c r="K43" s="31" cm="1">
        <f t="array" ref="K43">_xlfn.SWITCH(D43,0,0,"-",-1,"+",1)</f>
        <v>0</v>
      </c>
      <c r="L43" s="31" cm="1">
        <f t="array" ref="L43">_xlfn.SWITCH(E43,0,0,"-",-1,"+",1)</f>
        <v>0</v>
      </c>
      <c r="M43" s="31" cm="1">
        <f t="array" ref="M43">_xlfn.SWITCH(F43,0,0,"-",-1,"+",1)</f>
        <v>0</v>
      </c>
      <c r="N43" s="31" cm="1">
        <f t="array" ref="N43">_xlfn.SWITCH(G43,0,0,"-",-1,"+",1)</f>
        <v>0</v>
      </c>
      <c r="O43" s="32" cm="1">
        <f t="array" ref="O43">_xlfn.SWITCH(H43,0,0,"-",-1,"+",1)</f>
        <v>-1</v>
      </c>
      <c r="P43" s="38" t="s">
        <v>120</v>
      </c>
      <c r="Q43" s="39" t="s">
        <v>182</v>
      </c>
      <c r="R43" s="39" t="s">
        <v>182</v>
      </c>
      <c r="S43" s="40" t="s">
        <v>146</v>
      </c>
      <c r="T43" s="14">
        <f>_xlfn.LET(
    _xlpm.intervaloSoma, IF($S43="R", 'CEI_COMPLETA'!$E:$E, 'CEI_COMPLETA'!$D:$D),
    SUMIFS(_xlpm.intervaloSoma, 'CEI_COMPLETA'!$A:$A, Ajustes!T$1, 'CEI_COMPLETA'!$B:$B, Ajustes!$Q43)
)</f>
        <v>12561</v>
      </c>
      <c r="U43" s="14">
        <f>_xlfn.LET(
    _xlpm.intervaloSoma, IF($S43="R", 'CEI_COMPLETA'!$E:$E, 'CEI_COMPLETA'!$D:$D),
    SUMIFS(_xlpm.intervaloSoma, 'CEI_COMPLETA'!$A:$A, Ajustes!U$1, 'CEI_COMPLETA'!$B:$B, Ajustes!$Q43)
)</f>
        <v>17532</v>
      </c>
      <c r="V43" s="14">
        <f>_xlfn.LET(
    _xlpm.intervaloSoma, IF($S43="R", 'CEI_COMPLETA'!$E:$E, 'CEI_COMPLETA'!$D:$D),
    SUMIFS(_xlpm.intervaloSoma, 'CEI_COMPLETA'!$A:$A, Ajustes!V$1, 'CEI_COMPLETA'!$B:$B, Ajustes!$Q43)
)</f>
        <v>20392</v>
      </c>
      <c r="W43" s="14">
        <f>_xlfn.LET(
    _xlpm.intervaloSoma, IF($S43="R", 'CEI_COMPLETA'!$E:$E, 'CEI_COMPLETA'!$D:$D),
    SUMIFS(_xlpm.intervaloSoma, 'CEI_COMPLETA'!$A:$A, Ajustes!W$1, 'CEI_COMPLETA'!$B:$B, Ajustes!$Q43)
)</f>
        <v>29065</v>
      </c>
      <c r="X43" s="14">
        <f>_xlfn.LET(
    _xlpm.intervaloSoma, IF($S43="R", 'CEI_COMPLETA'!$E:$E, 'CEI_COMPLETA'!$D:$D),
    SUMIFS(_xlpm.intervaloSoma, 'CEI_COMPLETA'!$A:$A, Ajustes!X$1, 'CEI_COMPLETA'!$B:$B, Ajustes!$Q43)
)</f>
        <v>31691</v>
      </c>
      <c r="Y43" s="14">
        <f>_xlfn.LET(
    _xlpm.intervaloSoma, IF($S43="R", 'CEI_COMPLETA'!$E:$E, 'CEI_COMPLETA'!$D:$D),
    SUMIFS(_xlpm.intervaloSoma, 'CEI_COMPLETA'!$A:$A, Ajustes!Y$1, 'CEI_COMPLETA'!$B:$B, Ajustes!$Q43)
)</f>
        <v>34489</v>
      </c>
      <c r="Z43" s="14">
        <f>_xlfn.LET(
    _xlpm.intervaloSoma, IF($S43="R", 'CEI_COMPLETA'!$E:$E, 'CEI_COMPLETA'!$D:$D),
    SUMIFS(_xlpm.intervaloSoma, 'CEI_COMPLETA'!$A:$A, Ajustes!Z$1, 'CEI_COMPLETA'!$B:$B, Ajustes!$Q43)
)</f>
        <v>40716</v>
      </c>
      <c r="AA43" s="14">
        <f>_xlfn.LET(
    _xlpm.intervaloSoma, IF($S43="R", 'CEI_COMPLETA'!$E:$E, 'CEI_COMPLETA'!$D:$D),
    SUMIFS(_xlpm.intervaloSoma, 'CEI_COMPLETA'!$A:$A, Ajustes!AA$1, 'CEI_COMPLETA'!$B:$B, Ajustes!$Q43)
)</f>
        <v>37250</v>
      </c>
      <c r="AB43" s="14">
        <f>_xlfn.LET(
    _xlpm.intervaloSoma, IF($S43="R", 'CEI_COMPLETA'!$E:$E, 'CEI_COMPLETA'!$D:$D),
    SUMIFS(_xlpm.intervaloSoma, 'CEI_COMPLETA'!$A:$A, Ajustes!AB$1, 'CEI_COMPLETA'!$B:$B, Ajustes!$Q43)
)</f>
        <v>49434</v>
      </c>
      <c r="AC43" s="14">
        <f>_xlfn.LET(
    _xlpm.intervaloSoma, IF($S43="R", 'CEI_COMPLETA'!$E:$E, 'CEI_COMPLETA'!$D:$D),
    SUMIFS(_xlpm.intervaloSoma, 'CEI_COMPLETA'!$A:$A, Ajustes!AC$1, 'CEI_COMPLETA'!$B:$B, Ajustes!$Q43)
)</f>
        <v>40594</v>
      </c>
      <c r="AD43" s="14">
        <f>_xlfn.LET(
    _xlpm.intervaloSoma, IF($S43="R", 'CEI_COMPLETA'!$E:$E, 'CEI_COMPLETA'!$D:$D),
    SUMIFS(_xlpm.intervaloSoma, 'CEI_COMPLETA'!$A:$A, Ajustes!AD$1, 'CEI_COMPLETA'!$B:$B, Ajustes!$Q43)
)</f>
        <v>54217</v>
      </c>
      <c r="AE43" s="14">
        <f>_xlfn.LET(
    _xlpm.intervaloSoma, IF($S43="R", 'CEI_COMPLETA'!$E:$E, 'CEI_COMPLETA'!$D:$D),
    SUMIFS(_xlpm.intervaloSoma, 'CEI_COMPLETA'!$A:$A, Ajustes!AE$1, 'CEI_COMPLETA'!$B:$B, Ajustes!$Q43)
)</f>
        <v>41271</v>
      </c>
      <c r="AF43" s="14">
        <f>_xlfn.LET(
    _xlpm.intervaloSoma, IF($S43="R", 'CEI_COMPLETA'!$E:$E, 'CEI_COMPLETA'!$D:$D),
    SUMIFS(_xlpm.intervaloSoma, 'CEI_COMPLETA'!$A:$A, Ajustes!AF$1, 'CEI_COMPLETA'!$B:$B, Ajustes!$Q43)
)</f>
        <v>66362</v>
      </c>
      <c r="AG43" s="14">
        <f>_xlfn.LET(
    _xlpm.intervaloSoma, IF($S43="R", 'CEI_COMPLETA'!$E:$E, 'CEI_COMPLETA'!$D:$D),
    SUMIFS(_xlpm.intervaloSoma, 'CEI_COMPLETA'!$A:$A, Ajustes!AG$1, 'CEI_COMPLETA'!$B:$B, Ajustes!$Q43)
)</f>
        <v>48941</v>
      </c>
      <c r="AH43" s="14">
        <f>_xlfn.LET(
    _xlpm.intervaloSoma, IF($S43="R", 'CEI_COMPLETA'!$E:$E, 'CEI_COMPLETA'!$D:$D),
    SUMIFS(_xlpm.intervaloSoma, 'CEI_COMPLETA'!$A:$A, Ajustes!AH$1, 'CEI_COMPLETA'!$B:$B, Ajustes!$Q43)
)</f>
        <v>51246</v>
      </c>
      <c r="AI43" s="14">
        <f>_xlfn.LET(
    _xlpm.intervaloSoma, IF($S43="R", 'CEI_COMPLETA'!$E:$E, 'CEI_COMPLETA'!$D:$D),
    SUMIFS(_xlpm.intervaloSoma, 'CEI_COMPLETA'!$A:$A, Ajustes!AI$1, 'CEI_COMPLETA'!$B:$B, Ajustes!$Q43)
)</f>
        <v>93160</v>
      </c>
      <c r="AJ43" s="14">
        <f>_xlfn.LET(
    _xlpm.intervaloSoma, IF($S43="R", 'CEI_COMPLETA'!$E:$E, 'CEI_COMPLETA'!$D:$D),
    SUMIFS(_xlpm.intervaloSoma, 'CEI_COMPLETA'!$A:$A, Ajustes!AJ$1, 'CEI_COMPLETA'!$B:$B, Ajustes!$Q43)
)</f>
        <v>65899</v>
      </c>
      <c r="AK43" s="14">
        <f>_xlfn.LET(
    _xlpm.intervaloSoma, IF($S43="R", 'CEI_COMPLETA'!$E:$E, 'CEI_COMPLETA'!$D:$D),
    SUMIFS(_xlpm.intervaloSoma, 'CEI_COMPLETA'!$A:$A, Ajustes!AK$1, 'CEI_COMPLETA'!$B:$B, Ajustes!$Q43)
)</f>
        <v>14980</v>
      </c>
      <c r="AL43" s="14">
        <f>_xlfn.LET(
    _xlpm.intervaloSoma, IF($S43="R", 'CEI_COMPLETA'!$E:$E, 'CEI_COMPLETA'!$D:$D),
    SUMIFS(_xlpm.intervaloSoma, 'CEI_COMPLETA'!$A:$A, Ajustes!AL$1, 'CEI_COMPLETA'!$B:$B, Ajustes!$Q43)
)</f>
        <v>37222</v>
      </c>
      <c r="AM43" s="14">
        <f>_xlfn.LET(
    _xlpm.intervaloSoma, IF($S43="R", 'CEI_COMPLETA'!$E:$E, 'CEI_COMPLETA'!$D:$D),
    SUMIFS(_xlpm.intervaloSoma, 'CEI_COMPLETA'!$A:$A, Ajustes!AM$1, 'CEI_COMPLETA'!$B:$B, Ajustes!$Q43)
)</f>
        <v>45109</v>
      </c>
      <c r="AN43" s="14">
        <f>_xlfn.LET(
    _xlpm.intervaloSoma, IF($S43="R", 'CEI_COMPLETA'!$E:$E, 'CEI_COMPLETA'!$D:$D),
    SUMIFS(_xlpm.intervaloSoma, 'CEI_COMPLETA'!$A:$A, Ajustes!AN$1, 'CEI_COMPLETA'!$B:$B, Ajustes!$Q43)
)</f>
        <v>47061</v>
      </c>
      <c r="AO43" s="14">
        <f>_xlfn.LET(
    _xlpm.intervaloSoma, IF($S43="R", 'CEI_COMPLETA'!$E:$E, 'CEI_COMPLETA'!$D:$D),
    SUMIFS(_xlpm.intervaloSoma, 'CEI_COMPLETA'!$A:$A, Ajustes!AO$1, 'CEI_COMPLETA'!$B:$B, Ajustes!$Q43)
)</f>
        <v>69769</v>
      </c>
    </row>
    <row r="44" spans="1:41" x14ac:dyDescent="0.25">
      <c r="A44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pans="1:41" ht="30" customHeight="1" x14ac:dyDescent="0.25">
      <c r="A45" s="16" t="s">
        <v>248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T45" s="15">
        <v>2000</v>
      </c>
      <c r="U45" s="15">
        <v>2001</v>
      </c>
      <c r="V45" s="15">
        <v>2002</v>
      </c>
      <c r="W45" s="15">
        <v>2003</v>
      </c>
      <c r="X45" s="15">
        <v>2004</v>
      </c>
      <c r="Y45" s="15">
        <v>2005</v>
      </c>
      <c r="Z45" s="15">
        <v>2006</v>
      </c>
      <c r="AA45" s="15">
        <v>2007</v>
      </c>
      <c r="AB45" s="15">
        <v>2008</v>
      </c>
      <c r="AC45" s="15">
        <v>2009</v>
      </c>
      <c r="AD45" s="15">
        <v>2010</v>
      </c>
      <c r="AE45" s="15">
        <v>2011</v>
      </c>
      <c r="AF45" s="15">
        <v>2012</v>
      </c>
      <c r="AG45" s="15">
        <v>2013</v>
      </c>
      <c r="AH45" s="15">
        <v>2014</v>
      </c>
      <c r="AI45" s="15">
        <v>2015</v>
      </c>
      <c r="AJ45" s="15">
        <v>2016</v>
      </c>
      <c r="AK45" s="15">
        <v>2017</v>
      </c>
      <c r="AL45" s="15">
        <v>2018</v>
      </c>
      <c r="AM45" s="15">
        <v>2019</v>
      </c>
      <c r="AN45" s="15">
        <v>2020</v>
      </c>
      <c r="AO45" s="15">
        <v>2021</v>
      </c>
    </row>
    <row r="46" spans="1:41" x14ac:dyDescent="0.25">
      <c r="A46" s="17" t="s">
        <v>79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T46" s="12">
        <f t="shared" ref="T46:AO46" si="4">T$2+SUMPRODUCT($I$11:$I$43,T$11:T$43)</f>
        <v>742905.38148292247</v>
      </c>
      <c r="U46" s="12">
        <f t="shared" si="4"/>
        <v>812378.06037945347</v>
      </c>
      <c r="V46" s="12">
        <f t="shared" si="4"/>
        <v>891579.00694836385</v>
      </c>
      <c r="W46" s="12">
        <f t="shared" si="4"/>
        <v>1015404.7474881232</v>
      </c>
      <c r="X46" s="12">
        <f t="shared" si="4"/>
        <v>1131726.9114501011</v>
      </c>
      <c r="Y46" s="12">
        <f t="shared" si="4"/>
        <v>1272368.0224201728</v>
      </c>
      <c r="Z46" s="12">
        <f t="shared" si="4"/>
        <v>1421826.2775839791</v>
      </c>
      <c r="AA46" s="12">
        <f t="shared" si="4"/>
        <v>1614160.751628038</v>
      </c>
      <c r="AB46" s="12">
        <f t="shared" si="4"/>
        <v>1872018.0631026314</v>
      </c>
      <c r="AC46" s="12">
        <f t="shared" si="4"/>
        <v>2117406.4071279289</v>
      </c>
      <c r="AD46" s="12">
        <f t="shared" si="4"/>
        <v>2394007.4399466803</v>
      </c>
      <c r="AE46" s="12">
        <f t="shared" si="4"/>
        <v>2765011.1547782067</v>
      </c>
      <c r="AF46" s="12">
        <f t="shared" si="4"/>
        <v>3041792.3061400596</v>
      </c>
      <c r="AG46" s="12">
        <f t="shared" si="4"/>
        <v>3401856.1591707952</v>
      </c>
      <c r="AH46" s="12">
        <f t="shared" si="4"/>
        <v>3767860.0941550159</v>
      </c>
      <c r="AI46" s="12">
        <f t="shared" si="4"/>
        <v>4026414.9738282892</v>
      </c>
      <c r="AJ46" s="12">
        <f t="shared" si="4"/>
        <v>4300950.6308071315</v>
      </c>
      <c r="AK46" s="12">
        <f t="shared" si="4"/>
        <v>4546469.3106430722</v>
      </c>
      <c r="AL46" s="12">
        <f t="shared" si="4"/>
        <v>4681635.9962021774</v>
      </c>
      <c r="AM46" s="12">
        <f t="shared" si="4"/>
        <v>4907821.627607164</v>
      </c>
      <c r="AN46" s="12">
        <f t="shared" si="4"/>
        <v>5249957.4267351897</v>
      </c>
      <c r="AO46" s="12">
        <f t="shared" si="4"/>
        <v>5565230.9155971985</v>
      </c>
    </row>
    <row r="47" spans="1:41" x14ac:dyDescent="0.25">
      <c r="A47" s="17" t="s">
        <v>47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T47" s="12">
        <f t="shared" ref="T47:AO47" si="5">T$3+SUMPRODUCT($J$11:$J$43,T$11:T$43)</f>
        <v>596971.38148292247</v>
      </c>
      <c r="U47" s="12">
        <f t="shared" si="5"/>
        <v>656187.06037945347</v>
      </c>
      <c r="V47" s="12">
        <f t="shared" si="5"/>
        <v>710589.00694836385</v>
      </c>
      <c r="W47" s="12">
        <f t="shared" si="5"/>
        <v>835687.74748812325</v>
      </c>
      <c r="X47" s="12">
        <f t="shared" si="5"/>
        <v>939307.91145010118</v>
      </c>
      <c r="Y47" s="12">
        <f t="shared" si="5"/>
        <v>1044557.0224201727</v>
      </c>
      <c r="Z47" s="12">
        <f t="shared" si="5"/>
        <v>1157118.2775839791</v>
      </c>
      <c r="AA47" s="12">
        <f t="shared" si="5"/>
        <v>1291779.751628038</v>
      </c>
      <c r="AB47" s="12">
        <f t="shared" si="5"/>
        <v>1477173.0631026314</v>
      </c>
      <c r="AC47" s="12">
        <f t="shared" si="5"/>
        <v>1618774.4071279289</v>
      </c>
      <c r="AD47" s="12">
        <f t="shared" si="5"/>
        <v>1821642.4399466803</v>
      </c>
      <c r="AE47" s="12">
        <f t="shared" si="5"/>
        <v>2052316.1547782067</v>
      </c>
      <c r="AF47" s="12">
        <f t="shared" si="5"/>
        <v>2316062.3061400596</v>
      </c>
      <c r="AG47" s="12">
        <f t="shared" si="5"/>
        <v>2577927.1591707952</v>
      </c>
      <c r="AH47" s="12">
        <f t="shared" si="5"/>
        <v>2853532.0941550154</v>
      </c>
      <c r="AI47" s="12">
        <f t="shared" si="5"/>
        <v>2976604.9738282892</v>
      </c>
      <c r="AJ47" s="12">
        <f t="shared" si="5"/>
        <v>3105715.6308071315</v>
      </c>
      <c r="AK47" s="12">
        <f t="shared" si="5"/>
        <v>3295136.3106430727</v>
      </c>
      <c r="AL47" s="12">
        <f t="shared" si="5"/>
        <v>3534253.9962021774</v>
      </c>
      <c r="AM47" s="12">
        <f t="shared" si="5"/>
        <v>3752767.6276071644</v>
      </c>
      <c r="AN47" s="12">
        <f t="shared" si="5"/>
        <v>3695382.4267351897</v>
      </c>
      <c r="AO47" s="12">
        <f t="shared" si="5"/>
        <v>4348621.9155971985</v>
      </c>
    </row>
    <row r="48" spans="1:41" x14ac:dyDescent="0.25">
      <c r="A48" s="17" t="s">
        <v>123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T48" s="12">
        <f t="shared" ref="T48:AO48" si="6">T$4+SUMPRODUCT($K$11:$K$43,T$11:T$43)</f>
        <v>14581.225263997039</v>
      </c>
      <c r="U48" s="12">
        <f t="shared" si="6"/>
        <v>14580.993253399996</v>
      </c>
      <c r="V48" s="12">
        <f t="shared" si="6"/>
        <v>16920.662924790202</v>
      </c>
      <c r="W48" s="12">
        <f t="shared" si="6"/>
        <v>18298.287706933887</v>
      </c>
      <c r="X48" s="12">
        <f t="shared" si="6"/>
        <v>20260.727311416529</v>
      </c>
      <c r="Y48" s="12">
        <f t="shared" si="6"/>
        <v>20808.231732005908</v>
      </c>
      <c r="Z48" s="12">
        <f t="shared" si="6"/>
        <v>22408.25879179909</v>
      </c>
      <c r="AA48" s="12">
        <f t="shared" si="6"/>
        <v>25180.203348985742</v>
      </c>
      <c r="AB48" s="12">
        <f t="shared" si="6"/>
        <v>27991.690879689893</v>
      </c>
      <c r="AC48" s="12">
        <f t="shared" si="6"/>
        <v>33841.752800686256</v>
      </c>
      <c r="AD48" s="12">
        <f t="shared" si="6"/>
        <v>41662.221035892784</v>
      </c>
      <c r="AE48" s="12">
        <f t="shared" si="6"/>
        <v>45727.90763159655</v>
      </c>
      <c r="AF48" s="12">
        <f t="shared" si="6"/>
        <v>52183.805810175079</v>
      </c>
      <c r="AG48" s="12">
        <f t="shared" si="6"/>
        <v>58097.336393009871</v>
      </c>
      <c r="AH48" s="12">
        <f t="shared" si="6"/>
        <v>55141.309244447155</v>
      </c>
      <c r="AI48" s="12">
        <f t="shared" si="6"/>
        <v>47274.228676787519</v>
      </c>
      <c r="AJ48" s="12">
        <f t="shared" si="6"/>
        <v>45355.812430201622</v>
      </c>
      <c r="AK48" s="12">
        <f t="shared" si="6"/>
        <v>65849.476926153409</v>
      </c>
      <c r="AL48" s="12">
        <f t="shared" si="6"/>
        <v>74112.451503145625</v>
      </c>
      <c r="AM48" s="12">
        <f t="shared" si="6"/>
        <v>80863.642551252153</v>
      </c>
      <c r="AN48" s="12">
        <f t="shared" si="6"/>
        <v>86808.906832326436</v>
      </c>
      <c r="AO48" s="12">
        <f t="shared" si="6"/>
        <v>123144.33079775114</v>
      </c>
    </row>
    <row r="49" spans="1:41" x14ac:dyDescent="0.25">
      <c r="A49" s="17" t="s">
        <v>125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T49" s="12">
        <f t="shared" ref="T49:AO49" si="7">T$5+SUMPRODUCT($L$11:$L$43,T$11:T$43)</f>
        <v>59344.987431156667</v>
      </c>
      <c r="U49" s="12">
        <f t="shared" si="7"/>
        <v>59346.969520809522</v>
      </c>
      <c r="V49" s="12">
        <f t="shared" si="7"/>
        <v>68867.819438528662</v>
      </c>
      <c r="W49" s="12">
        <f t="shared" si="7"/>
        <v>74475.166375032437</v>
      </c>
      <c r="X49" s="12">
        <f t="shared" si="7"/>
        <v>82461.70686275253</v>
      </c>
      <c r="Y49" s="12">
        <f t="shared" si="7"/>
        <v>84691.099195426345</v>
      </c>
      <c r="Z49" s="12">
        <f t="shared" si="7"/>
        <v>91204.76628465738</v>
      </c>
      <c r="AA49" s="12">
        <f t="shared" si="7"/>
        <v>102484.55711386641</v>
      </c>
      <c r="AB49" s="12">
        <f t="shared" si="7"/>
        <v>113929.92714927776</v>
      </c>
      <c r="AC49" s="12">
        <f t="shared" si="7"/>
        <v>137740.58790488122</v>
      </c>
      <c r="AD49" s="12">
        <f t="shared" si="7"/>
        <v>169568.89971830984</v>
      </c>
      <c r="AE49" s="12">
        <f t="shared" si="7"/>
        <v>196944.3217283125</v>
      </c>
      <c r="AF49" s="12">
        <f t="shared" si="7"/>
        <v>237051.26178120504</v>
      </c>
      <c r="AG49" s="12">
        <f t="shared" si="7"/>
        <v>269231.9818733448</v>
      </c>
      <c r="AH49" s="12">
        <f t="shared" si="7"/>
        <v>283701.91260200925</v>
      </c>
      <c r="AI49" s="12">
        <f t="shared" si="7"/>
        <v>288422.54358246515</v>
      </c>
      <c r="AJ49" s="12">
        <f t="shared" si="7"/>
        <v>277273.3568997581</v>
      </c>
      <c r="AK49" s="12">
        <f t="shared" si="7"/>
        <v>250511.03935133267</v>
      </c>
      <c r="AL49" s="12">
        <f t="shared" si="7"/>
        <v>251335.28219114707</v>
      </c>
      <c r="AM49" s="12">
        <f t="shared" si="7"/>
        <v>261608.73268680429</v>
      </c>
      <c r="AN49" s="12">
        <f t="shared" si="7"/>
        <v>274630.64850553521</v>
      </c>
      <c r="AO49" s="12">
        <f t="shared" si="7"/>
        <v>329239.25923784683</v>
      </c>
    </row>
    <row r="50" spans="1:41" x14ac:dyDescent="0.25">
      <c r="A50" s="17" t="s">
        <v>255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T50" s="12">
        <f t="shared" ref="T50:AO50" si="8">T$6+SUMPRODUCT($M$11:$M$43,T$11:T$43)</f>
        <v>47087</v>
      </c>
      <c r="U50" s="12">
        <f t="shared" si="8"/>
        <v>52985</v>
      </c>
      <c r="V50" s="12">
        <f t="shared" si="8"/>
        <v>60871</v>
      </c>
      <c r="W50" s="12">
        <f t="shared" si="8"/>
        <v>69045</v>
      </c>
      <c r="X50" s="12">
        <f t="shared" si="8"/>
        <v>67576</v>
      </c>
      <c r="Y50" s="12">
        <f t="shared" si="8"/>
        <v>98595</v>
      </c>
      <c r="Z50" s="12">
        <f t="shared" si="8"/>
        <v>130074</v>
      </c>
      <c r="AA50" s="12">
        <f t="shared" si="8"/>
        <v>167894</v>
      </c>
      <c r="AB50" s="12">
        <f t="shared" si="8"/>
        <v>229420</v>
      </c>
      <c r="AC50" s="12">
        <f t="shared" si="8"/>
        <v>320081</v>
      </c>
      <c r="AD50" s="12">
        <f t="shared" si="8"/>
        <v>364628</v>
      </c>
      <c r="AE50" s="12">
        <f t="shared" si="8"/>
        <v>457169</v>
      </c>
      <c r="AF50" s="12">
        <f t="shared" si="8"/>
        <v>461946</v>
      </c>
      <c r="AG50" s="12">
        <f t="shared" si="8"/>
        <v>465079</v>
      </c>
      <c r="AH50" s="12">
        <f t="shared" si="8"/>
        <v>551968</v>
      </c>
      <c r="AI50" s="12">
        <f t="shared" si="8"/>
        <v>647206</v>
      </c>
      <c r="AJ50" s="12">
        <f t="shared" si="8"/>
        <v>708207</v>
      </c>
      <c r="AK50" s="12">
        <f t="shared" si="8"/>
        <v>675595</v>
      </c>
      <c r="AL50" s="12">
        <f t="shared" si="8"/>
        <v>612774</v>
      </c>
      <c r="AM50" s="12">
        <f t="shared" si="8"/>
        <v>632708</v>
      </c>
      <c r="AN50" s="12">
        <f t="shared" si="8"/>
        <v>584686</v>
      </c>
      <c r="AO50" s="12">
        <f t="shared" si="8"/>
        <v>676686</v>
      </c>
    </row>
    <row r="51" spans="1:41" x14ac:dyDescent="0.25">
      <c r="A51" s="17" t="s">
        <v>256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T51" s="12">
        <f t="shared" ref="T51:AO51" si="9">T$7+SUMPRODUCT($N$11:$N$43,T$11:T$43)</f>
        <v>15190</v>
      </c>
      <c r="U51" s="12">
        <f t="shared" si="9"/>
        <v>18577</v>
      </c>
      <c r="V51" s="12">
        <f t="shared" si="9"/>
        <v>19448</v>
      </c>
      <c r="W51" s="12">
        <f t="shared" si="9"/>
        <v>18414</v>
      </c>
      <c r="X51" s="12">
        <f t="shared" si="9"/>
        <v>20109</v>
      </c>
      <c r="Y51" s="12">
        <f t="shared" si="9"/>
        <v>24340</v>
      </c>
      <c r="Z51" s="12">
        <f t="shared" si="9"/>
        <v>28375</v>
      </c>
      <c r="AA51" s="12">
        <f t="shared" si="9"/>
        <v>32747</v>
      </c>
      <c r="AB51" s="12">
        <f t="shared" si="9"/>
        <v>37438</v>
      </c>
      <c r="AC51" s="12">
        <f t="shared" si="9"/>
        <v>30753</v>
      </c>
      <c r="AD51" s="12">
        <f t="shared" si="9"/>
        <v>54719</v>
      </c>
      <c r="AE51" s="12">
        <f t="shared" si="9"/>
        <v>52635</v>
      </c>
      <c r="AF51" s="12">
        <f t="shared" si="9"/>
        <v>66769</v>
      </c>
      <c r="AG51" s="12">
        <f t="shared" si="9"/>
        <v>76459</v>
      </c>
      <c r="AH51" s="12">
        <f t="shared" si="9"/>
        <v>78162</v>
      </c>
      <c r="AI51" s="12">
        <f t="shared" si="9"/>
        <v>101688</v>
      </c>
      <c r="AJ51" s="12">
        <f t="shared" si="9"/>
        <v>109541</v>
      </c>
      <c r="AK51" s="12">
        <f t="shared" si="9"/>
        <v>101744</v>
      </c>
      <c r="AL51" s="12">
        <f t="shared" si="9"/>
        <v>104994</v>
      </c>
      <c r="AM51" s="12">
        <f t="shared" si="9"/>
        <v>94861</v>
      </c>
      <c r="AN51" s="12">
        <f t="shared" si="9"/>
        <v>112163</v>
      </c>
      <c r="AO51" s="12">
        <f t="shared" si="9"/>
        <v>100089</v>
      </c>
    </row>
    <row r="52" spans="1:41" x14ac:dyDescent="0.25">
      <c r="A52" s="17" t="s">
        <v>257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T52" s="12">
        <f t="shared" ref="T52:AO52" si="10">T$8+SUMPRODUCT($O$11:$O$43,T$11:T$43)</f>
        <v>16829.225263997039</v>
      </c>
      <c r="U52" s="12">
        <f t="shared" si="10"/>
        <v>17799.993253399996</v>
      </c>
      <c r="V52" s="12">
        <f t="shared" si="10"/>
        <v>23119.662924790202</v>
      </c>
      <c r="W52" s="12">
        <f t="shared" si="10"/>
        <v>8392.2877069338865</v>
      </c>
      <c r="X52" s="12">
        <f t="shared" si="10"/>
        <v>11874.727311416529</v>
      </c>
      <c r="Y52" s="12">
        <f t="shared" si="10"/>
        <v>9506.2317320058937</v>
      </c>
      <c r="Z52" s="12">
        <f t="shared" si="10"/>
        <v>3554.258791799075</v>
      </c>
      <c r="AA52" s="12">
        <f t="shared" si="10"/>
        <v>6333.2033489857567</v>
      </c>
      <c r="AB52" s="12">
        <f t="shared" si="10"/>
        <v>-308.30912031012122</v>
      </c>
      <c r="AC52" s="12">
        <f t="shared" si="10"/>
        <v>-7310.2471993137442</v>
      </c>
      <c r="AD52" s="12">
        <f t="shared" si="10"/>
        <v>-37931.778964107216</v>
      </c>
      <c r="AE52" s="12">
        <f t="shared" si="10"/>
        <v>-17862.09236840345</v>
      </c>
      <c r="AF52" s="12">
        <f t="shared" si="10"/>
        <v>-67749.194189824921</v>
      </c>
      <c r="AG52" s="12">
        <f t="shared" si="10"/>
        <v>-17870.663606990129</v>
      </c>
      <c r="AH52" s="12">
        <f t="shared" si="10"/>
        <v>-32092.690755552845</v>
      </c>
      <c r="AI52" s="12">
        <f t="shared" si="10"/>
        <v>-23925.771323212481</v>
      </c>
      <c r="AJ52" s="12">
        <f t="shared" si="10"/>
        <v>61197.812430201622</v>
      </c>
      <c r="AK52" s="12">
        <f t="shared" si="10"/>
        <v>184326.47692615341</v>
      </c>
      <c r="AL52" s="12">
        <f t="shared" si="10"/>
        <v>136233.45150314562</v>
      </c>
      <c r="AM52" s="12">
        <f t="shared" si="10"/>
        <v>122056.64255125215</v>
      </c>
      <c r="AN52" s="12">
        <f t="shared" si="10"/>
        <v>539473.90683232644</v>
      </c>
      <c r="AO52" s="12">
        <f t="shared" si="10"/>
        <v>63279.330797751201</v>
      </c>
    </row>
    <row r="53" spans="1:41" x14ac:dyDescent="0.25">
      <c r="A53" s="1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</row>
    <row r="54" spans="1:41" x14ac:dyDescent="0.25">
      <c r="A54" s="6" t="s">
        <v>288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spans="1:41" x14ac:dyDescent="0.25">
      <c r="A55" s="17" t="s">
        <v>47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T55" s="13">
        <f t="shared" ref="T55:T60" si="11">T47/T$46</f>
        <v>0.80356314055943523</v>
      </c>
      <c r="U55" s="13">
        <f t="shared" ref="U55:AO60" si="12">U47/U$46</f>
        <v>0.80773606819582899</v>
      </c>
      <c r="V55" s="13">
        <f t="shared" si="12"/>
        <v>0.79700060388424765</v>
      </c>
      <c r="W55" s="13">
        <f t="shared" si="12"/>
        <v>0.82300949405192525</v>
      </c>
      <c r="X55" s="13">
        <f t="shared" si="12"/>
        <v>0.82997753428567844</v>
      </c>
      <c r="Y55" s="13">
        <f t="shared" si="12"/>
        <v>0.82095510419486928</v>
      </c>
      <c r="Z55" s="13">
        <f t="shared" si="12"/>
        <v>0.81382535674484657</v>
      </c>
      <c r="AA55" s="13">
        <f t="shared" si="12"/>
        <v>0.80027949528890019</v>
      </c>
      <c r="AB55" s="13">
        <f t="shared" si="12"/>
        <v>0.7890805608223701</v>
      </c>
      <c r="AC55" s="13">
        <f t="shared" si="12"/>
        <v>0.76450812733850682</v>
      </c>
      <c r="AD55" s="13">
        <f t="shared" si="12"/>
        <v>0.76091761852972861</v>
      </c>
      <c r="AE55" s="13">
        <f t="shared" si="12"/>
        <v>0.74224516282026776</v>
      </c>
      <c r="AF55" s="13">
        <f t="shared" si="12"/>
        <v>0.76141369069312659</v>
      </c>
      <c r="AG55" s="13">
        <f t="shared" si="12"/>
        <v>0.75780016513078163</v>
      </c>
      <c r="AH55" s="13">
        <f t="shared" si="12"/>
        <v>0.75733493889054593</v>
      </c>
      <c r="AI55" s="13">
        <f t="shared" si="12"/>
        <v>0.73926929866301205</v>
      </c>
      <c r="AJ55" s="13">
        <f t="shared" si="12"/>
        <v>0.72209980941452978</v>
      </c>
      <c r="AK55" s="13">
        <f t="shared" si="12"/>
        <v>0.72476818504620999</v>
      </c>
      <c r="AL55" s="13">
        <f t="shared" si="12"/>
        <v>0.75491857954553154</v>
      </c>
      <c r="AM55" s="13">
        <f t="shared" si="12"/>
        <v>0.764650370848308</v>
      </c>
      <c r="AN55" s="13">
        <f t="shared" si="12"/>
        <v>0.70388807496163841</v>
      </c>
      <c r="AO55" s="13">
        <f t="shared" si="12"/>
        <v>0.78139110156412128</v>
      </c>
    </row>
    <row r="56" spans="1:41" x14ac:dyDescent="0.25">
      <c r="A56" s="17" t="s">
        <v>123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T56" s="13">
        <f t="shared" si="11"/>
        <v>1.9627297940541605E-2</v>
      </c>
      <c r="U56" s="13">
        <f t="shared" ref="U56:AI56" si="13">U48/U$46</f>
        <v>1.7948531557572301E-2</v>
      </c>
      <c r="V56" s="13">
        <f t="shared" si="13"/>
        <v>1.8978310158630919E-2</v>
      </c>
      <c r="W56" s="13">
        <f t="shared" si="13"/>
        <v>1.8020683626110302E-2</v>
      </c>
      <c r="X56" s="13">
        <f t="shared" si="13"/>
        <v>1.7902487876210446E-2</v>
      </c>
      <c r="Y56" s="13">
        <f t="shared" si="13"/>
        <v>1.6353941128154529E-2</v>
      </c>
      <c r="Z56" s="13">
        <f t="shared" si="13"/>
        <v>1.5760194578676692E-2</v>
      </c>
      <c r="AA56" s="13">
        <f t="shared" si="13"/>
        <v>1.559956362685009E-2</v>
      </c>
      <c r="AB56" s="13">
        <f t="shared" si="13"/>
        <v>1.4952682044796743E-2</v>
      </c>
      <c r="AC56" s="13">
        <f t="shared" si="13"/>
        <v>1.5982643996335848E-2</v>
      </c>
      <c r="AD56" s="13">
        <f t="shared" si="13"/>
        <v>1.740271159592582E-2</v>
      </c>
      <c r="AE56" s="13">
        <f t="shared" si="13"/>
        <v>1.653805538996626E-2</v>
      </c>
      <c r="AF56" s="13">
        <f t="shared" si="13"/>
        <v>1.715561108654217E-2</v>
      </c>
      <c r="AG56" s="13">
        <f t="shared" si="13"/>
        <v>1.7078128431853256E-2</v>
      </c>
      <c r="AH56" s="13">
        <f t="shared" si="13"/>
        <v>1.4634648810338378E-2</v>
      </c>
      <c r="AI56" s="13">
        <f t="shared" si="13"/>
        <v>1.1741022468888617E-2</v>
      </c>
      <c r="AJ56" s="13">
        <f t="shared" si="12"/>
        <v>1.0545531982005101E-2</v>
      </c>
      <c r="AK56" s="13">
        <f t="shared" si="12"/>
        <v>1.4483651472583981E-2</v>
      </c>
      <c r="AL56" s="13">
        <f t="shared" si="12"/>
        <v>1.5830460027919067E-2</v>
      </c>
      <c r="AM56" s="13">
        <f t="shared" si="12"/>
        <v>1.6476483598422399E-2</v>
      </c>
      <c r="AN56" s="13">
        <f t="shared" si="12"/>
        <v>1.6535163959664832E-2</v>
      </c>
      <c r="AO56" s="13">
        <f t="shared" si="12"/>
        <v>2.2127443167295181E-2</v>
      </c>
    </row>
    <row r="57" spans="1:41" x14ac:dyDescent="0.25">
      <c r="A57" s="17" t="s">
        <v>125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T57" s="13">
        <f t="shared" si="11"/>
        <v>7.9882295794785355E-2</v>
      </c>
      <c r="U57" s="13">
        <f t="shared" si="12"/>
        <v>7.3053387843941969E-2</v>
      </c>
      <c r="V57" s="13">
        <f t="shared" si="12"/>
        <v>7.7242531398585487E-2</v>
      </c>
      <c r="W57" s="13">
        <f t="shared" si="12"/>
        <v>7.3345300540761493E-2</v>
      </c>
      <c r="X57" s="13">
        <f t="shared" si="12"/>
        <v>7.2863608727915585E-2</v>
      </c>
      <c r="Y57" s="13">
        <f t="shared" si="12"/>
        <v>6.6561794781933692E-2</v>
      </c>
      <c r="Z57" s="13">
        <f t="shared" si="12"/>
        <v>6.4146209507138924E-2</v>
      </c>
      <c r="AA57" s="13">
        <f t="shared" si="12"/>
        <v>6.3490923695487436E-2</v>
      </c>
      <c r="AB57" s="13">
        <f t="shared" si="12"/>
        <v>6.0859416580870712E-2</v>
      </c>
      <c r="AC57" s="13">
        <f t="shared" si="12"/>
        <v>6.5051559039964332E-2</v>
      </c>
      <c r="AD57" s="13">
        <f t="shared" si="12"/>
        <v>7.0830565055422928E-2</v>
      </c>
      <c r="AE57" s="13">
        <f t="shared" si="12"/>
        <v>7.1227315444269967E-2</v>
      </c>
      <c r="AF57" s="13">
        <f t="shared" si="12"/>
        <v>7.7931442361367453E-2</v>
      </c>
      <c r="AG57" s="13">
        <f t="shared" si="12"/>
        <v>7.9142670729196937E-2</v>
      </c>
      <c r="AH57" s="13">
        <f t="shared" si="12"/>
        <v>7.5295235362403373E-2</v>
      </c>
      <c r="AI57" s="13">
        <f t="shared" si="12"/>
        <v>7.1632592630718056E-2</v>
      </c>
      <c r="AJ57" s="13">
        <f t="shared" si="12"/>
        <v>6.446792365243309E-2</v>
      </c>
      <c r="AK57" s="13">
        <f t="shared" si="12"/>
        <v>5.5100127645181289E-2</v>
      </c>
      <c r="AL57" s="13">
        <f t="shared" si="12"/>
        <v>5.368535323870427E-2</v>
      </c>
      <c r="AM57" s="13">
        <f t="shared" si="12"/>
        <v>5.3304450026304864E-2</v>
      </c>
      <c r="AN57" s="13">
        <f t="shared" si="12"/>
        <v>5.2311023915544548E-2</v>
      </c>
      <c r="AO57" s="13">
        <f t="shared" si="12"/>
        <v>5.9160035626754676E-2</v>
      </c>
    </row>
    <row r="58" spans="1:41" x14ac:dyDescent="0.25">
      <c r="A58" s="17" t="s">
        <v>255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T58" s="13">
        <f t="shared" si="11"/>
        <v>6.338223032657142E-2</v>
      </c>
      <c r="U58" s="13">
        <f t="shared" si="12"/>
        <v>6.5222096194044496E-2</v>
      </c>
      <c r="V58" s="13">
        <f t="shared" si="12"/>
        <v>6.8273253997248248E-2</v>
      </c>
      <c r="W58" s="13">
        <f t="shared" si="12"/>
        <v>6.7997515444753812E-2</v>
      </c>
      <c r="X58" s="13">
        <f t="shared" si="12"/>
        <v>5.971051789641877E-2</v>
      </c>
      <c r="Y58" s="13">
        <f t="shared" si="12"/>
        <v>7.7489372777902993E-2</v>
      </c>
      <c r="Z58" s="13">
        <f t="shared" si="12"/>
        <v>9.1483750195577099E-2</v>
      </c>
      <c r="AA58" s="13">
        <f t="shared" si="12"/>
        <v>0.10401318445555226</v>
      </c>
      <c r="AB58" s="13">
        <f t="shared" si="12"/>
        <v>0.12255223628545849</v>
      </c>
      <c r="AC58" s="13">
        <f t="shared" si="12"/>
        <v>0.15116653983972828</v>
      </c>
      <c r="AD58" s="13">
        <f t="shared" si="12"/>
        <v>0.15230863276186019</v>
      </c>
      <c r="AE58" s="13">
        <f t="shared" si="12"/>
        <v>0.16534074345774979</v>
      </c>
      <c r="AF58" s="13">
        <f t="shared" si="12"/>
        <v>0.15186638452189236</v>
      </c>
      <c r="AG58" s="13">
        <f t="shared" si="12"/>
        <v>0.13671330539541782</v>
      </c>
      <c r="AH58" s="13">
        <f t="shared" si="12"/>
        <v>0.14649376203120007</v>
      </c>
      <c r="AI58" s="13">
        <f t="shared" si="12"/>
        <v>0.16074001418304898</v>
      </c>
      <c r="AJ58" s="13">
        <f t="shared" si="12"/>
        <v>0.16466289915703947</v>
      </c>
      <c r="AK58" s="13">
        <f t="shared" si="12"/>
        <v>0.14859772580416714</v>
      </c>
      <c r="AL58" s="13">
        <f t="shared" si="12"/>
        <v>0.13088886032512836</v>
      </c>
      <c r="AM58" s="13">
        <f t="shared" si="12"/>
        <v>0.12891829573449276</v>
      </c>
      <c r="AN58" s="13">
        <f t="shared" si="12"/>
        <v>0.11136966502290302</v>
      </c>
      <c r="AO58" s="13">
        <f t="shared" si="12"/>
        <v>0.12159172013932248</v>
      </c>
    </row>
    <row r="59" spans="1:41" x14ac:dyDescent="0.25">
      <c r="A59" s="17" t="s">
        <v>256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T59" s="13">
        <f t="shared" si="11"/>
        <v>2.0446749180466368E-2</v>
      </c>
      <c r="U59" s="13">
        <f t="shared" si="12"/>
        <v>2.2867431933505041E-2</v>
      </c>
      <c r="V59" s="13">
        <f t="shared" si="12"/>
        <v>2.1812985555329859E-2</v>
      </c>
      <c r="W59" s="13">
        <f t="shared" si="12"/>
        <v>1.813464044318483E-2</v>
      </c>
      <c r="X59" s="13">
        <f t="shared" si="12"/>
        <v>1.7768420805893883E-2</v>
      </c>
      <c r="Y59" s="13">
        <f t="shared" si="12"/>
        <v>1.9129685414211256E-2</v>
      </c>
      <c r="Z59" s="13">
        <f t="shared" si="12"/>
        <v>1.9956727799556408E-2</v>
      </c>
      <c r="AA59" s="13">
        <f t="shared" si="12"/>
        <v>2.0287322664097406E-2</v>
      </c>
      <c r="AB59" s="13">
        <f t="shared" si="12"/>
        <v>1.9998738654236747E-2</v>
      </c>
      <c r="AC59" s="13">
        <f t="shared" si="12"/>
        <v>1.4523900511717858E-2</v>
      </c>
      <c r="AD59" s="13">
        <f t="shared" si="12"/>
        <v>2.2856654113497119E-2</v>
      </c>
      <c r="AE59" s="13">
        <f t="shared" si="12"/>
        <v>1.9036089568406127E-2</v>
      </c>
      <c r="AF59" s="13">
        <f t="shared" si="12"/>
        <v>2.1950545362752854E-2</v>
      </c>
      <c r="AG59" s="13">
        <f t="shared" si="12"/>
        <v>2.2475671052075562E-2</v>
      </c>
      <c r="AH59" s="13">
        <f t="shared" si="12"/>
        <v>2.0744400812878028E-2</v>
      </c>
      <c r="AI59" s="13">
        <f t="shared" si="12"/>
        <v>2.5255220999567195E-2</v>
      </c>
      <c r="AJ59" s="13">
        <f t="shared" si="12"/>
        <v>2.5469020549869263E-2</v>
      </c>
      <c r="AK59" s="13">
        <f t="shared" si="12"/>
        <v>2.2378683995913501E-2</v>
      </c>
      <c r="AL59" s="13">
        <f t="shared" si="12"/>
        <v>2.2426775615441465E-2</v>
      </c>
      <c r="AM59" s="13">
        <f t="shared" si="12"/>
        <v>1.9328534571508054E-2</v>
      </c>
      <c r="AN59" s="13">
        <f t="shared" si="12"/>
        <v>2.1364554201680683E-2</v>
      </c>
      <c r="AO59" s="13">
        <f t="shared" si="12"/>
        <v>1.798469848205024E-2</v>
      </c>
    </row>
    <row r="60" spans="1:41" x14ac:dyDescent="0.25">
      <c r="A60" s="17" t="s">
        <v>257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T60" s="13">
        <f t="shared" si="11"/>
        <v>2.2653255291278169E-2</v>
      </c>
      <c r="U60" s="13">
        <f t="shared" si="12"/>
        <v>2.1910972392688452E-2</v>
      </c>
      <c r="V60" s="13">
        <f t="shared" si="12"/>
        <v>2.5931143224112708E-2</v>
      </c>
      <c r="W60" s="13">
        <f t="shared" si="12"/>
        <v>8.2649679624745374E-3</v>
      </c>
      <c r="X60" s="13">
        <f t="shared" si="12"/>
        <v>1.0492573068003868E-2</v>
      </c>
      <c r="Y60" s="13">
        <f t="shared" si="12"/>
        <v>7.4712909822459055E-3</v>
      </c>
      <c r="Z60" s="13">
        <f t="shared" si="12"/>
        <v>2.4997841493256167E-3</v>
      </c>
      <c r="AA60" s="13">
        <f t="shared" si="12"/>
        <v>3.9235270357045327E-3</v>
      </c>
      <c r="AB60" s="13">
        <f t="shared" si="12"/>
        <v>-1.6469345375820686E-4</v>
      </c>
      <c r="AC60" s="13">
        <f t="shared" si="12"/>
        <v>-3.4524535179948925E-3</v>
      </c>
      <c r="AD60" s="13">
        <f t="shared" si="12"/>
        <v>-1.5844469959104237E-2</v>
      </c>
      <c r="AE60" s="13">
        <f t="shared" si="12"/>
        <v>-6.4600435110491418E-3</v>
      </c>
      <c r="AF60" s="13">
        <f t="shared" si="12"/>
        <v>-2.2272787676222559E-2</v>
      </c>
      <c r="AG60" s="13">
        <f t="shared" si="12"/>
        <v>-5.2532096510941586E-3</v>
      </c>
      <c r="AH60" s="13">
        <f t="shared" si="12"/>
        <v>-8.5174847137603135E-3</v>
      </c>
      <c r="AI60" s="13">
        <f t="shared" si="12"/>
        <v>-5.9422020528758397E-3</v>
      </c>
      <c r="AJ60" s="13">
        <f t="shared" si="12"/>
        <v>1.4228903719993882E-2</v>
      </c>
      <c r="AK60" s="13">
        <f t="shared" si="12"/>
        <v>4.0542773816740332E-2</v>
      </c>
      <c r="AL60" s="13">
        <f t="shared" si="12"/>
        <v>2.9099539480143377E-2</v>
      </c>
      <c r="AM60" s="13">
        <f t="shared" si="12"/>
        <v>2.486982042392636E-2</v>
      </c>
      <c r="AN60" s="13">
        <f t="shared" si="12"/>
        <v>0.10275776791733167</v>
      </c>
      <c r="AO60" s="13">
        <f t="shared" si="12"/>
        <v>1.1370477120797201E-2</v>
      </c>
    </row>
    <row r="61" spans="1:41" x14ac:dyDescent="0.25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41" x14ac:dyDescent="0.25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</row>
    <row r="63" spans="1:41" x14ac:dyDescent="0.25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41" x14ac:dyDescent="0.25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 spans="2:15" x14ac:dyDescent="0.25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2:15" x14ac:dyDescent="0.25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</row>
    <row r="67" spans="2:15" x14ac:dyDescent="0.25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2:15" x14ac:dyDescent="0.25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</row>
    <row r="69" spans="2:15" x14ac:dyDescent="0.25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2: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</row>
    <row r="71" spans="2: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2:15" x14ac:dyDescent="0.25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</row>
    <row r="73" spans="2:15" x14ac:dyDescent="0.25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2:15" x14ac:dyDescent="0.25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 spans="2:15" x14ac:dyDescent="0.25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2:15" x14ac:dyDescent="0.25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</row>
    <row r="77" spans="2:15" x14ac:dyDescent="0.25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2:15" x14ac:dyDescent="0.25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</row>
    <row r="79" spans="2:15" x14ac:dyDescent="0.25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2:15" x14ac:dyDescent="0.25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 spans="2:15" x14ac:dyDescent="0.25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2:15" x14ac:dyDescent="0.25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</row>
    <row r="83" spans="2:15" x14ac:dyDescent="0.25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2:15" x14ac:dyDescent="0.25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</row>
    <row r="85" spans="2:15" x14ac:dyDescent="0.25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2:15" x14ac:dyDescent="0.25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2:15" x14ac:dyDescent="0.25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spans="2:15" x14ac:dyDescent="0.25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</row>
    <row r="89" spans="2:15" x14ac:dyDescent="0.25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2:15" x14ac:dyDescent="0.25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 spans="2:15" x14ac:dyDescent="0.25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spans="2:15" x14ac:dyDescent="0.25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2:15" x14ac:dyDescent="0.25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2:15" x14ac:dyDescent="0.25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</row>
    <row r="95" spans="2:15" x14ac:dyDescent="0.25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2:15" x14ac:dyDescent="0.25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</row>
    <row r="97" spans="2:15" x14ac:dyDescent="0.25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2:15" x14ac:dyDescent="0.25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</row>
    <row r="99" spans="2:15" x14ac:dyDescent="0.25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2:15" x14ac:dyDescent="0.25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 spans="2:15" x14ac:dyDescent="0.25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2:15" x14ac:dyDescent="0.25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 spans="2:15" x14ac:dyDescent="0.25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2:15" x14ac:dyDescent="0.25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</row>
    <row r="105" spans="2:15" x14ac:dyDescent="0.25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2:15" x14ac:dyDescent="0.25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</row>
    <row r="107" spans="2:15" x14ac:dyDescent="0.25"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spans="2:15" x14ac:dyDescent="0.25"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</row>
    <row r="109" spans="2:15" x14ac:dyDescent="0.25"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2:15" x14ac:dyDescent="0.25"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</row>
    <row r="111" spans="2:15" x14ac:dyDescent="0.25"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2:15" x14ac:dyDescent="0.25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</row>
    <row r="113" spans="2:15" x14ac:dyDescent="0.25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spans="2:15" x14ac:dyDescent="0.25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 spans="2:15" x14ac:dyDescent="0.25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spans="2:15" x14ac:dyDescent="0.25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</row>
    <row r="117" spans="2:15" x14ac:dyDescent="0.25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2:15" x14ac:dyDescent="0.25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</row>
    <row r="119" spans="2:15" x14ac:dyDescent="0.25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2:15" x14ac:dyDescent="0.25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 spans="2:15" x14ac:dyDescent="0.25"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spans="2:15" x14ac:dyDescent="0.25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</row>
    <row r="123" spans="2:15" x14ac:dyDescent="0.25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2:15" x14ac:dyDescent="0.25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</row>
    <row r="125" spans="2:15" x14ac:dyDescent="0.25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spans="2:15" x14ac:dyDescent="0.25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</row>
    <row r="127" spans="2:15" x14ac:dyDescent="0.25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2:15" x14ac:dyDescent="0.25"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</row>
    <row r="129" spans="2:15" x14ac:dyDescent="0.25"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spans="2:15" x14ac:dyDescent="0.25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</row>
    <row r="131" spans="2:15" x14ac:dyDescent="0.25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spans="2:15" x14ac:dyDescent="0.25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</row>
    <row r="133" spans="2:15" x14ac:dyDescent="0.25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spans="2:15" x14ac:dyDescent="0.25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</row>
    <row r="135" spans="2:15" x14ac:dyDescent="0.25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spans="2:15" x14ac:dyDescent="0.25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</row>
    <row r="137" spans="2:15" x14ac:dyDescent="0.25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spans="2:15" x14ac:dyDescent="0.25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</row>
    <row r="139" spans="2:15" x14ac:dyDescent="0.25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spans="2:15" x14ac:dyDescent="0.25"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</row>
    <row r="141" spans="2:15" x14ac:dyDescent="0.25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spans="2:15" x14ac:dyDescent="0.25"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</row>
    <row r="143" spans="2:15" x14ac:dyDescent="0.25"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 spans="2:15" x14ac:dyDescent="0.25"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</row>
    <row r="145" spans="2:15" x14ac:dyDescent="0.25"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spans="2:15" x14ac:dyDescent="0.25"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</row>
    <row r="147" spans="2:15" x14ac:dyDescent="0.25"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spans="2:15" x14ac:dyDescent="0.25"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</row>
    <row r="149" spans="2:15" x14ac:dyDescent="0.25"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</row>
    <row r="150" spans="2:15" x14ac:dyDescent="0.25"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</row>
    <row r="151" spans="2:15" x14ac:dyDescent="0.25"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spans="2:15" x14ac:dyDescent="0.25"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</row>
    <row r="153" spans="2:15" x14ac:dyDescent="0.25"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spans="2:15" x14ac:dyDescent="0.25"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</row>
    <row r="155" spans="2:15" x14ac:dyDescent="0.25"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spans="2:15" x14ac:dyDescent="0.25"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</row>
    <row r="157" spans="2:15" x14ac:dyDescent="0.25"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 spans="2:15" x14ac:dyDescent="0.25"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</row>
    <row r="159" spans="2:15" x14ac:dyDescent="0.25"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spans="2:15" x14ac:dyDescent="0.25"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</row>
    <row r="161" spans="2:15" x14ac:dyDescent="0.25"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spans="2:15" x14ac:dyDescent="0.25"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</row>
    <row r="163" spans="2:15" x14ac:dyDescent="0.25"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</sheetData>
  <conditionalFormatting sqref="B11:H43">
    <cfRule type="notContainsBlanks" dxfId="0" priority="1">
      <formula>LEN(TRIM(B11))&gt;0</formula>
    </cfRule>
  </conditionalFormatting>
  <conditionalFormatting sqref="I11:O43">
    <cfRule type="colorScale" priority="2">
      <colorScale>
        <cfvo type="num" val="-1"/>
        <cfvo type="num" val="0"/>
        <cfvo type="num" val="1"/>
        <color rgb="FFF8696B"/>
        <color theme="0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74C9E-769D-4C71-BFAD-82D575E1CEF6}">
  <sheetPr codeName="Planilha3"/>
  <dimension ref="A2:W62"/>
  <sheetViews>
    <sheetView tabSelected="1" zoomScale="85" zoomScaleNormal="85" workbookViewId="0">
      <pane xSplit="1" ySplit="2" topLeftCell="L3" activePane="bottomRight" state="frozen"/>
      <selection pane="topRight" activeCell="B1" sqref="B1"/>
      <selection pane="bottomLeft" activeCell="A3" sqref="A3"/>
      <selection pane="bottomRight" activeCell="AA2" sqref="AA2"/>
    </sheetView>
  </sheetViews>
  <sheetFormatPr defaultRowHeight="15" x14ac:dyDescent="0.25"/>
  <cols>
    <col min="1" max="1" width="40.140625" customWidth="1"/>
    <col min="2" max="3" width="9" bestFit="1" customWidth="1"/>
    <col min="4" max="23" width="10.5703125" bestFit="1" customWidth="1"/>
  </cols>
  <sheetData>
    <row r="2" spans="1:23" ht="29.25" customHeight="1" x14ac:dyDescent="0.25">
      <c r="A2" s="41" t="s">
        <v>247</v>
      </c>
      <c r="B2" s="15">
        <v>2000</v>
      </c>
      <c r="C2" s="15">
        <v>2001</v>
      </c>
      <c r="D2" s="15">
        <v>2002</v>
      </c>
      <c r="E2" s="15">
        <v>2003</v>
      </c>
      <c r="F2" s="15">
        <v>2004</v>
      </c>
      <c r="G2" s="15">
        <v>2005</v>
      </c>
      <c r="H2" s="15">
        <v>2006</v>
      </c>
      <c r="I2" s="15">
        <v>2007</v>
      </c>
      <c r="J2" s="15">
        <v>2008</v>
      </c>
      <c r="K2" s="15">
        <v>2009</v>
      </c>
      <c r="L2" s="15">
        <v>2010</v>
      </c>
      <c r="M2" s="15">
        <v>2011</v>
      </c>
      <c r="N2" s="15">
        <v>2012</v>
      </c>
      <c r="O2" s="15">
        <v>2013</v>
      </c>
      <c r="P2" s="15">
        <v>2014</v>
      </c>
      <c r="Q2" s="15">
        <v>2015</v>
      </c>
      <c r="R2" s="15">
        <v>2016</v>
      </c>
      <c r="S2" s="15">
        <v>2017</v>
      </c>
      <c r="T2" s="15">
        <v>2018</v>
      </c>
      <c r="U2" s="15">
        <v>2019</v>
      </c>
      <c r="V2" s="15">
        <v>2020</v>
      </c>
      <c r="W2" s="15">
        <v>2021</v>
      </c>
    </row>
    <row r="3" spans="1:23" x14ac:dyDescent="0.25">
      <c r="A3" s="1" t="s">
        <v>79</v>
      </c>
      <c r="B3" s="2">
        <f>Ajustes!T2</f>
        <v>849321</v>
      </c>
      <c r="C3" s="2">
        <f>Ajustes!U2</f>
        <v>921972</v>
      </c>
      <c r="D3" s="2">
        <f>Ajustes!V2</f>
        <v>1011475</v>
      </c>
      <c r="E3" s="2">
        <f>Ajustes!W2</f>
        <v>1154362</v>
      </c>
      <c r="F3" s="2">
        <f>Ajustes!X2</f>
        <v>1276698</v>
      </c>
      <c r="G3" s="2">
        <f>Ajustes!Y2</f>
        <v>1406510</v>
      </c>
      <c r="H3" s="2">
        <f>Ajustes!Z2</f>
        <v>1546184</v>
      </c>
      <c r="I3" s="2">
        <f>Ajustes!AA2</f>
        <v>1737958</v>
      </c>
      <c r="J3" s="2">
        <f>Ajustes!AB2</f>
        <v>1969034</v>
      </c>
      <c r="K3" s="2">
        <f>Ajustes!AC2</f>
        <v>2202388</v>
      </c>
      <c r="L3" s="2">
        <f>Ajustes!AD2</f>
        <v>2492302</v>
      </c>
      <c r="M3" s="2">
        <f>Ajustes!AE2</f>
        <v>2828939</v>
      </c>
      <c r="N3" s="2">
        <f>Ajustes!AF2</f>
        <v>3161213</v>
      </c>
      <c r="O3" s="2">
        <f>Ajustes!AG2</f>
        <v>3550416</v>
      </c>
      <c r="P3" s="2">
        <f>Ajustes!AH2</f>
        <v>3898396</v>
      </c>
      <c r="Q3" s="2">
        <f>Ajustes!AI2</f>
        <v>4148220</v>
      </c>
      <c r="R3" s="2">
        <f>Ajustes!AJ2</f>
        <v>4404397</v>
      </c>
      <c r="S3" s="2">
        <f>Ajustes!AK2</f>
        <v>4704231</v>
      </c>
      <c r="T3" s="2">
        <f>Ajustes!AL2</f>
        <v>4918180</v>
      </c>
      <c r="U3" s="2">
        <f>Ajustes!AM2</f>
        <v>5236490</v>
      </c>
      <c r="V3" s="2">
        <f>Ajustes!AN2</f>
        <v>5625181</v>
      </c>
      <c r="W3" s="2">
        <f>Ajustes!AO2</f>
        <v>5937056</v>
      </c>
    </row>
    <row r="4" spans="1:23" x14ac:dyDescent="0.25">
      <c r="A4" s="1" t="s">
        <v>47</v>
      </c>
      <c r="B4" s="2">
        <f>Ajustes!T3</f>
        <v>754333</v>
      </c>
      <c r="C4" s="2">
        <f>Ajustes!U3</f>
        <v>822656</v>
      </c>
      <c r="D4" s="2">
        <f>Ajustes!V3</f>
        <v>895614</v>
      </c>
      <c r="E4" s="2">
        <f>Ajustes!W3</f>
        <v>1035030</v>
      </c>
      <c r="F4" s="2">
        <f>Ajustes!X3</f>
        <v>1147362</v>
      </c>
      <c r="G4" s="2">
        <f>Ajustes!Y3</f>
        <v>1277027</v>
      </c>
      <c r="H4" s="2">
        <f>Ajustes!Z3</f>
        <v>1411686</v>
      </c>
      <c r="I4" s="2">
        <f>Ajustes!AA3</f>
        <v>1585632</v>
      </c>
      <c r="J4" s="2">
        <f>Ajustes!AB3</f>
        <v>1809794</v>
      </c>
      <c r="K4" s="2">
        <f>Ajustes!AC3</f>
        <v>2011763</v>
      </c>
      <c r="L4" s="2">
        <f>Ajustes!AD3</f>
        <v>2278735</v>
      </c>
      <c r="M4" s="2">
        <f>Ajustes!AE3</f>
        <v>2573419</v>
      </c>
      <c r="N4" s="2">
        <f>Ajustes!AF3</f>
        <v>2883929</v>
      </c>
      <c r="O4" s="2">
        <f>Ajustes!AG3</f>
        <v>3213817</v>
      </c>
      <c r="P4" s="2">
        <f>Ajustes!AH3</f>
        <v>3555352</v>
      </c>
      <c r="Q4" s="2">
        <f>Ajustes!AI3</f>
        <v>3747870</v>
      </c>
      <c r="R4" s="2">
        <f>Ajustes!AJ3</f>
        <v>3939208</v>
      </c>
      <c r="S4" s="2">
        <f>Ajustes!AK3</f>
        <v>4156152</v>
      </c>
      <c r="T4" s="2">
        <f>Ajustes!AL3</f>
        <v>4423548</v>
      </c>
      <c r="U4" s="2">
        <f>Ajustes!AM3</f>
        <v>4705528</v>
      </c>
      <c r="V4" s="2">
        <f>Ajustes!AN3</f>
        <v>4700085</v>
      </c>
      <c r="W4" s="2">
        <f>Ajustes!AO3</f>
        <v>5415523</v>
      </c>
    </row>
    <row r="5" spans="1:23" ht="24.75" customHeight="1" x14ac:dyDescent="0.25">
      <c r="A5" s="41" t="s">
        <v>248</v>
      </c>
      <c r="B5" s="15">
        <v>2000</v>
      </c>
      <c r="C5" s="15">
        <v>2001</v>
      </c>
      <c r="D5" s="15">
        <v>2002</v>
      </c>
      <c r="E5" s="15">
        <v>2003</v>
      </c>
      <c r="F5" s="15">
        <v>2004</v>
      </c>
      <c r="G5" s="15">
        <v>2005</v>
      </c>
      <c r="H5" s="15">
        <v>2006</v>
      </c>
      <c r="I5" s="15">
        <v>2007</v>
      </c>
      <c r="J5" s="15">
        <v>2008</v>
      </c>
      <c r="K5" s="15">
        <v>2009</v>
      </c>
      <c r="L5" s="15">
        <v>2010</v>
      </c>
      <c r="M5" s="15">
        <v>2011</v>
      </c>
      <c r="N5" s="15">
        <v>2012</v>
      </c>
      <c r="O5" s="15">
        <v>2013</v>
      </c>
      <c r="P5" s="15">
        <v>2014</v>
      </c>
      <c r="Q5" s="15">
        <v>2015</v>
      </c>
      <c r="R5" s="15">
        <v>2016</v>
      </c>
      <c r="S5" s="15">
        <v>2017</v>
      </c>
      <c r="T5" s="15">
        <v>2018</v>
      </c>
      <c r="U5" s="15">
        <v>2019</v>
      </c>
      <c r="V5" s="15">
        <v>2020</v>
      </c>
      <c r="W5" s="15">
        <v>2021</v>
      </c>
    </row>
    <row r="6" spans="1:23" x14ac:dyDescent="0.25">
      <c r="A6" s="1" t="s">
        <v>79</v>
      </c>
      <c r="B6" s="4">
        <f>Ajustes!T46</f>
        <v>742905.38148292247</v>
      </c>
      <c r="C6" s="4">
        <f>Ajustes!U46</f>
        <v>812378.06037945347</v>
      </c>
      <c r="D6" s="4">
        <f>Ajustes!V46</f>
        <v>891579.00694836385</v>
      </c>
      <c r="E6" s="4">
        <f>Ajustes!W46</f>
        <v>1015404.7474881232</v>
      </c>
      <c r="F6" s="4">
        <f>Ajustes!X46</f>
        <v>1131726.9114501011</v>
      </c>
      <c r="G6" s="4">
        <f>Ajustes!Y46</f>
        <v>1272368.0224201728</v>
      </c>
      <c r="H6" s="4">
        <f>Ajustes!Z46</f>
        <v>1421826.2775839791</v>
      </c>
      <c r="I6" s="4">
        <f>Ajustes!AA46</f>
        <v>1614160.751628038</v>
      </c>
      <c r="J6" s="4">
        <f>Ajustes!AB46</f>
        <v>1872018.0631026314</v>
      </c>
      <c r="K6" s="4">
        <f>Ajustes!AC46</f>
        <v>2117406.4071279289</v>
      </c>
      <c r="L6" s="4">
        <f>Ajustes!AD46</f>
        <v>2394007.4399466803</v>
      </c>
      <c r="M6" s="4">
        <f>Ajustes!AE46</f>
        <v>2765011.1547782067</v>
      </c>
      <c r="N6" s="4">
        <f>Ajustes!AF46</f>
        <v>3041792.3061400596</v>
      </c>
      <c r="O6" s="4">
        <f>Ajustes!AG46</f>
        <v>3401856.1591707952</v>
      </c>
      <c r="P6" s="4">
        <f>Ajustes!AH46</f>
        <v>3767860.0941550159</v>
      </c>
      <c r="Q6" s="4">
        <f>Ajustes!AI46</f>
        <v>4026414.9738282892</v>
      </c>
      <c r="R6" s="4">
        <f>Ajustes!AJ46</f>
        <v>4300950.6308071315</v>
      </c>
      <c r="S6" s="4">
        <f>Ajustes!AK46</f>
        <v>4546469.3106430722</v>
      </c>
      <c r="T6" s="4">
        <f>Ajustes!AL46</f>
        <v>4681635.9962021774</v>
      </c>
      <c r="U6" s="4">
        <f>Ajustes!AM46</f>
        <v>4907821.627607164</v>
      </c>
      <c r="V6" s="4">
        <f>Ajustes!AN46</f>
        <v>5249957.4267351897</v>
      </c>
      <c r="W6" s="4">
        <f>Ajustes!AO46</f>
        <v>5565230.9155971985</v>
      </c>
    </row>
    <row r="7" spans="1:23" x14ac:dyDescent="0.25">
      <c r="A7" s="1" t="s">
        <v>47</v>
      </c>
      <c r="B7" s="4">
        <f>Ajustes!T47</f>
        <v>596971.38148292247</v>
      </c>
      <c r="C7" s="4">
        <f>Ajustes!U47</f>
        <v>656187.06037945347</v>
      </c>
      <c r="D7" s="4">
        <f>Ajustes!V47</f>
        <v>710589.00694836385</v>
      </c>
      <c r="E7" s="4">
        <f>Ajustes!W47</f>
        <v>835687.74748812325</v>
      </c>
      <c r="F7" s="4">
        <f>Ajustes!X47</f>
        <v>939307.91145010118</v>
      </c>
      <c r="G7" s="4">
        <f>Ajustes!Y47</f>
        <v>1044557.0224201727</v>
      </c>
      <c r="H7" s="4">
        <f>Ajustes!Z47</f>
        <v>1157118.2775839791</v>
      </c>
      <c r="I7" s="4">
        <f>Ajustes!AA47</f>
        <v>1291779.751628038</v>
      </c>
      <c r="J7" s="4">
        <f>Ajustes!AB47</f>
        <v>1477173.0631026314</v>
      </c>
      <c r="K7" s="4">
        <f>Ajustes!AC47</f>
        <v>1618774.4071279289</v>
      </c>
      <c r="L7" s="4">
        <f>Ajustes!AD47</f>
        <v>1821642.4399466803</v>
      </c>
      <c r="M7" s="4">
        <f>Ajustes!AE47</f>
        <v>2052316.1547782067</v>
      </c>
      <c r="N7" s="4">
        <f>Ajustes!AF47</f>
        <v>2316062.3061400596</v>
      </c>
      <c r="O7" s="4">
        <f>Ajustes!AG47</f>
        <v>2577927.1591707952</v>
      </c>
      <c r="P7" s="4">
        <f>Ajustes!AH47</f>
        <v>2853532.0941550154</v>
      </c>
      <c r="Q7" s="4">
        <f>Ajustes!AI47</f>
        <v>2976604.9738282892</v>
      </c>
      <c r="R7" s="4">
        <f>Ajustes!AJ47</f>
        <v>3105715.6308071315</v>
      </c>
      <c r="S7" s="4">
        <f>Ajustes!AK47</f>
        <v>3295136.3106430727</v>
      </c>
      <c r="T7" s="4">
        <f>Ajustes!AL47</f>
        <v>3534253.9962021774</v>
      </c>
      <c r="U7" s="4">
        <f>Ajustes!AM47</f>
        <v>3752767.6276071644</v>
      </c>
      <c r="V7" s="4">
        <f>Ajustes!AN47</f>
        <v>3695382.4267351897</v>
      </c>
      <c r="W7" s="4">
        <f>Ajustes!AO47</f>
        <v>4348621.9155971985</v>
      </c>
    </row>
    <row r="8" spans="1:23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25">
      <c r="A9" s="45" t="s">
        <v>129</v>
      </c>
      <c r="B9" s="3">
        <f>Ajustes!T12</f>
        <v>107290</v>
      </c>
      <c r="C9" s="3">
        <f>Ajustes!U12</f>
        <v>111313</v>
      </c>
      <c r="D9" s="3">
        <f>Ajustes!V12</f>
        <v>120331</v>
      </c>
      <c r="E9" s="3">
        <f>Ajustes!W12</f>
        <v>130517</v>
      </c>
      <c r="F9" s="3">
        <f>Ajustes!X12</f>
        <v>137783</v>
      </c>
      <c r="G9" s="3">
        <f>Ajustes!Y12</f>
        <v>149147</v>
      </c>
      <c r="H9" s="3">
        <f>Ajustes!Z12</f>
        <v>155582</v>
      </c>
      <c r="I9" s="3">
        <f>Ajustes!AA12</f>
        <v>168313</v>
      </c>
      <c r="J9" s="3">
        <f>Ajustes!AB12</f>
        <v>180243</v>
      </c>
      <c r="K9" s="3">
        <f>Ajustes!AC12</f>
        <v>199961</v>
      </c>
      <c r="L9" s="3">
        <f>Ajustes!AD12</f>
        <v>216622</v>
      </c>
      <c r="M9" s="3">
        <f>Ajustes!AE12</f>
        <v>249695</v>
      </c>
      <c r="N9" s="3">
        <f>Ajustes!AF12</f>
        <v>287350</v>
      </c>
      <c r="O9" s="3">
        <f>Ajustes!AG12</f>
        <v>335975</v>
      </c>
      <c r="P9" s="3">
        <f>Ajustes!AH12</f>
        <v>367290</v>
      </c>
      <c r="Q9" s="3">
        <f>Ajustes!AI12</f>
        <v>400237</v>
      </c>
      <c r="R9" s="3">
        <f>Ajustes!AJ12</f>
        <v>423533</v>
      </c>
      <c r="S9" s="3">
        <f>Ajustes!AK12</f>
        <v>441426</v>
      </c>
      <c r="T9" s="3">
        <f>Ajustes!AL12</f>
        <v>460205</v>
      </c>
      <c r="U9" s="3">
        <f>Ajustes!AM12</f>
        <v>482425</v>
      </c>
      <c r="V9" s="3">
        <f>Ajustes!AN12</f>
        <v>516019</v>
      </c>
      <c r="W9" s="3">
        <f>Ajustes!AO12</f>
        <v>547406</v>
      </c>
    </row>
    <row r="10" spans="1:23" x14ac:dyDescent="0.25">
      <c r="A10" s="45"/>
      <c r="B10" s="15">
        <v>2000</v>
      </c>
      <c r="C10" s="15">
        <v>2001</v>
      </c>
      <c r="D10" s="15">
        <v>2002</v>
      </c>
      <c r="E10" s="15">
        <v>2003</v>
      </c>
      <c r="F10" s="15">
        <v>2004</v>
      </c>
      <c r="G10" s="15">
        <v>2005</v>
      </c>
      <c r="H10" s="15">
        <v>2006</v>
      </c>
      <c r="I10" s="15">
        <v>2007</v>
      </c>
      <c r="J10" s="15">
        <v>2008</v>
      </c>
      <c r="K10" s="15">
        <v>2009</v>
      </c>
      <c r="L10" s="15">
        <v>2010</v>
      </c>
      <c r="M10" s="15">
        <v>2011</v>
      </c>
      <c r="N10" s="15">
        <v>2012</v>
      </c>
      <c r="O10" s="15">
        <v>2013</v>
      </c>
      <c r="P10" s="15">
        <v>2014</v>
      </c>
      <c r="Q10" s="15">
        <v>2015</v>
      </c>
      <c r="R10" s="15">
        <v>2016</v>
      </c>
      <c r="S10" s="15">
        <v>2017</v>
      </c>
      <c r="T10" s="15">
        <v>2018</v>
      </c>
      <c r="U10" s="15">
        <v>2019</v>
      </c>
      <c r="V10" s="15">
        <v>2020</v>
      </c>
      <c r="W10" s="15">
        <v>2021</v>
      </c>
    </row>
    <row r="11" spans="1:23" x14ac:dyDescent="0.25">
      <c r="A11" s="1" t="s">
        <v>262</v>
      </c>
      <c r="B11" s="5">
        <f t="shared" ref="B11:W11" si="0">B9/B3</f>
        <v>0.1263244403470537</v>
      </c>
      <c r="C11" s="5">
        <f t="shared" si="0"/>
        <v>0.1207336014542741</v>
      </c>
      <c r="D11" s="5">
        <f t="shared" si="0"/>
        <v>0.11896586667984874</v>
      </c>
      <c r="E11" s="5">
        <f t="shared" si="0"/>
        <v>0.1130641861045322</v>
      </c>
      <c r="F11" s="5">
        <f t="shared" si="0"/>
        <v>0.10792137216475627</v>
      </c>
      <c r="G11" s="5">
        <f t="shared" si="0"/>
        <v>0.10604048318177617</v>
      </c>
      <c r="H11" s="5">
        <f t="shared" si="0"/>
        <v>0.10062321172641807</v>
      </c>
      <c r="I11" s="5">
        <f t="shared" si="0"/>
        <v>9.6845263234209347E-2</v>
      </c>
      <c r="J11" s="5">
        <f t="shared" si="0"/>
        <v>9.1538795165548179E-2</v>
      </c>
      <c r="K11" s="5">
        <f t="shared" si="0"/>
        <v>9.0792812165703771E-2</v>
      </c>
      <c r="L11" s="5">
        <f t="shared" si="0"/>
        <v>8.691643308074222E-2</v>
      </c>
      <c r="M11" s="5">
        <f t="shared" si="0"/>
        <v>8.8264540168593239E-2</v>
      </c>
      <c r="N11" s="5">
        <f t="shared" si="0"/>
        <v>9.0898651878250539E-2</v>
      </c>
      <c r="O11" s="5">
        <f t="shared" si="0"/>
        <v>9.4629756062388187E-2</v>
      </c>
      <c r="P11" s="5">
        <f t="shared" si="0"/>
        <v>9.4215672291886196E-2</v>
      </c>
      <c r="Q11" s="5">
        <f t="shared" si="0"/>
        <v>9.6484034115837641E-2</v>
      </c>
      <c r="R11" s="5">
        <f t="shared" si="0"/>
        <v>9.6161404160433311E-2</v>
      </c>
      <c r="S11" s="5">
        <f t="shared" si="0"/>
        <v>9.3835953208930428E-2</v>
      </c>
      <c r="T11" s="5">
        <f t="shared" si="0"/>
        <v>9.3572215738342235E-2</v>
      </c>
      <c r="U11" s="5">
        <f t="shared" si="0"/>
        <v>9.2127551088610884E-2</v>
      </c>
      <c r="V11" s="5">
        <f t="shared" si="0"/>
        <v>9.1733759322588912E-2</v>
      </c>
      <c r="W11" s="5">
        <f t="shared" si="0"/>
        <v>9.220158947464871E-2</v>
      </c>
    </row>
    <row r="12" spans="1:23" x14ac:dyDescent="0.25">
      <c r="A12" s="1" t="s">
        <v>263</v>
      </c>
      <c r="B12" s="5">
        <f t="shared" ref="B12:W12" si="1">B9/B4</f>
        <v>0.14223161388935657</v>
      </c>
      <c r="C12" s="5">
        <f t="shared" si="1"/>
        <v>0.13530929088221566</v>
      </c>
      <c r="D12" s="5">
        <f t="shared" si="1"/>
        <v>0.13435587206095484</v>
      </c>
      <c r="E12" s="5">
        <f t="shared" si="1"/>
        <v>0.12609972657797358</v>
      </c>
      <c r="F12" s="5">
        <f t="shared" si="1"/>
        <v>0.12008677296267438</v>
      </c>
      <c r="G12" s="5">
        <f t="shared" si="1"/>
        <v>0.11679236226015581</v>
      </c>
      <c r="H12" s="5">
        <f t="shared" si="1"/>
        <v>0.11021006087756059</v>
      </c>
      <c r="I12" s="5">
        <f t="shared" si="1"/>
        <v>0.10614884159754596</v>
      </c>
      <c r="J12" s="5">
        <f t="shared" si="1"/>
        <v>9.9593102861430638E-2</v>
      </c>
      <c r="K12" s="5">
        <f t="shared" si="1"/>
        <v>9.9395902996525939E-2</v>
      </c>
      <c r="L12" s="5">
        <f t="shared" si="1"/>
        <v>9.506239207279478E-2</v>
      </c>
      <c r="M12" s="5">
        <f t="shared" si="1"/>
        <v>9.7028505657259859E-2</v>
      </c>
      <c r="N12" s="5">
        <f t="shared" si="1"/>
        <v>9.9638375285938038E-2</v>
      </c>
      <c r="O12" s="5">
        <f t="shared" si="1"/>
        <v>0.10454079992731384</v>
      </c>
      <c r="P12" s="5">
        <f t="shared" si="1"/>
        <v>0.10330622678148324</v>
      </c>
      <c r="Q12" s="5">
        <f t="shared" si="1"/>
        <v>0.10679052368411925</v>
      </c>
      <c r="R12" s="5">
        <f t="shared" si="1"/>
        <v>0.10751729789338364</v>
      </c>
      <c r="S12" s="5">
        <f t="shared" si="1"/>
        <v>0.10621026372471459</v>
      </c>
      <c r="T12" s="5">
        <f t="shared" si="1"/>
        <v>0.10403526761775841</v>
      </c>
      <c r="U12" s="5">
        <f t="shared" si="1"/>
        <v>0.10252303248434608</v>
      </c>
      <c r="V12" s="5">
        <f t="shared" si="1"/>
        <v>0.10978929104473642</v>
      </c>
      <c r="W12" s="5">
        <f t="shared" si="1"/>
        <v>0.10108091129887178</v>
      </c>
    </row>
    <row r="14" spans="1:23" ht="21" customHeight="1" x14ac:dyDescent="0.25">
      <c r="A14" s="41" t="s">
        <v>249</v>
      </c>
    </row>
    <row r="15" spans="1:23" x14ac:dyDescent="0.25">
      <c r="A15" s="1" t="s">
        <v>264</v>
      </c>
      <c r="B15" s="3">
        <f>Ajustes!T13</f>
        <v>4490.5480144294088</v>
      </c>
      <c r="C15" s="3">
        <f>Ajustes!U13</f>
        <v>4922.3507227554119</v>
      </c>
      <c r="D15" s="3">
        <f>Ajustes!V13</f>
        <v>5726.3238755489519</v>
      </c>
      <c r="E15" s="3">
        <f>Ajustes!W13</f>
        <v>6488.0394724978778</v>
      </c>
      <c r="F15" s="3">
        <f>Ajustes!X13</f>
        <v>6794.078067838549</v>
      </c>
      <c r="G15" s="3">
        <f>Ajustes!Y13</f>
        <v>7317.8924848751576</v>
      </c>
      <c r="H15" s="3">
        <f>Ajustes!Z13</f>
        <v>8031.0547524481926</v>
      </c>
      <c r="I15" s="3">
        <f>Ajustes!AA13</f>
        <v>8919.467543088138</v>
      </c>
      <c r="J15" s="3">
        <f>Ajustes!AB13</f>
        <v>10892.737366458865</v>
      </c>
      <c r="K15" s="3">
        <f>Ajustes!AC13</f>
        <v>11473.960152619811</v>
      </c>
      <c r="L15" s="3">
        <f>Ajustes!AD13</f>
        <v>12676.560053319801</v>
      </c>
      <c r="M15" s="3">
        <f>Ajustes!AE13</f>
        <v>15237.845221793137</v>
      </c>
      <c r="N15" s="3">
        <f>Ajustes!AF13</f>
        <v>16841.693859940184</v>
      </c>
      <c r="O15" s="3">
        <f>Ajustes!AG13</f>
        <v>19470.840829204593</v>
      </c>
      <c r="P15" s="3">
        <f>Ajustes!AH13</f>
        <v>20889.905844984303</v>
      </c>
      <c r="Q15" s="3">
        <f>Ajustes!AI13</f>
        <v>22640.026171710844</v>
      </c>
      <c r="R15" s="3">
        <f>Ajustes!AJ13</f>
        <v>25501.369192868417</v>
      </c>
      <c r="S15" s="3">
        <f>Ajustes!AK13</f>
        <v>25887.689356927414</v>
      </c>
      <c r="T15" s="3">
        <f>Ajustes!AL13</f>
        <v>26236.003797822334</v>
      </c>
      <c r="U15" s="3">
        <f>Ajustes!AM13</f>
        <v>28451.372392835696</v>
      </c>
      <c r="V15" s="3">
        <f>Ajustes!AN13</f>
        <v>32732.573264810228</v>
      </c>
      <c r="W15" s="3">
        <f>Ajustes!AO13</f>
        <v>39050.084402801796</v>
      </c>
    </row>
    <row r="16" spans="1:23" x14ac:dyDescent="0.25">
      <c r="A16" s="1" t="s">
        <v>251</v>
      </c>
      <c r="B16" s="3">
        <f>Ajustes!T14</f>
        <v>15521.07050264819</v>
      </c>
      <c r="C16" s="3">
        <f>Ajustes!U14</f>
        <v>15521.588897791169</v>
      </c>
      <c r="D16" s="3">
        <f>Ajustes!V14</f>
        <v>18011.669176087231</v>
      </c>
      <c r="E16" s="3">
        <f>Ajustes!W14</f>
        <v>19478.213039378887</v>
      </c>
      <c r="F16" s="3">
        <f>Ajustes!X14</f>
        <v>21567.010482060254</v>
      </c>
      <c r="G16" s="3">
        <f>Ajustes!Y14</f>
        <v>22150.085094952108</v>
      </c>
      <c r="H16" s="3">
        <f>Ajustes!Z14</f>
        <v>23853.667663572825</v>
      </c>
      <c r="I16" s="3">
        <f>Ajustes!AA14</f>
        <v>26803.780828873827</v>
      </c>
      <c r="J16" s="3">
        <f>Ajustes!AB14</f>
        <v>29797.199530909842</v>
      </c>
      <c r="K16" s="3">
        <f>Ajustes!AC14</f>
        <v>36024.632719451278</v>
      </c>
      <c r="L16" s="3">
        <f>Ajustes!AD14</f>
        <v>44349</v>
      </c>
      <c r="M16" s="3">
        <f>Ajustes!AE14</f>
        <v>48841</v>
      </c>
      <c r="N16" s="3">
        <f>Ajustes!AF14</f>
        <v>54094</v>
      </c>
      <c r="O16" s="3">
        <f>Ajustes!AG14</f>
        <v>58385</v>
      </c>
      <c r="P16" s="3">
        <f>Ajustes!AH14</f>
        <v>61187</v>
      </c>
      <c r="Q16" s="3">
        <f>Ajustes!AI14</f>
        <v>63066</v>
      </c>
      <c r="R16" s="3">
        <f>Ajustes!AJ14</f>
        <v>63990</v>
      </c>
      <c r="S16" s="3">
        <f>Ajustes!AK14</f>
        <v>63806</v>
      </c>
      <c r="T16" s="3">
        <f>Ajustes!AL14</f>
        <v>68076</v>
      </c>
      <c r="U16" s="3">
        <f>Ajustes!AM14</f>
        <v>72340</v>
      </c>
      <c r="V16" s="3">
        <f>Ajustes!AN14</f>
        <v>76292</v>
      </c>
      <c r="W16" s="3">
        <f>Ajustes!AO14</f>
        <v>83954</v>
      </c>
    </row>
    <row r="17" spans="1:23" x14ac:dyDescent="0.25">
      <c r="A17" s="42"/>
      <c r="B17" s="15">
        <v>2000</v>
      </c>
      <c r="C17" s="15">
        <v>2001</v>
      </c>
      <c r="D17" s="15">
        <v>2002</v>
      </c>
      <c r="E17" s="15">
        <v>2003</v>
      </c>
      <c r="F17" s="15">
        <v>2004</v>
      </c>
      <c r="G17" s="15">
        <v>2005</v>
      </c>
      <c r="H17" s="15">
        <v>2006</v>
      </c>
      <c r="I17" s="15">
        <v>2007</v>
      </c>
      <c r="J17" s="15">
        <v>2008</v>
      </c>
      <c r="K17" s="15">
        <v>2009</v>
      </c>
      <c r="L17" s="15">
        <v>2010</v>
      </c>
      <c r="M17" s="15">
        <v>2011</v>
      </c>
      <c r="N17" s="15">
        <v>2012</v>
      </c>
      <c r="O17" s="15">
        <v>2013</v>
      </c>
      <c r="P17" s="15">
        <v>2014</v>
      </c>
      <c r="Q17" s="15">
        <v>2015</v>
      </c>
      <c r="R17" s="15">
        <v>2016</v>
      </c>
      <c r="S17" s="15">
        <v>2017</v>
      </c>
      <c r="T17" s="15">
        <v>2018</v>
      </c>
      <c r="U17" s="15">
        <v>2019</v>
      </c>
      <c r="V17" s="15">
        <v>2020</v>
      </c>
      <c r="W17" s="15">
        <v>2021</v>
      </c>
    </row>
    <row r="18" spans="1:23" x14ac:dyDescent="0.25">
      <c r="A18" s="1" t="s">
        <v>265</v>
      </c>
      <c r="B18" s="5">
        <f>B15/B$3</f>
        <v>5.28722122075094E-3</v>
      </c>
      <c r="C18" s="5">
        <f t="shared" ref="C18:W18" si="2">C15/C$3</f>
        <v>5.3389373242955446E-3</v>
      </c>
      <c r="D18" s="5">
        <f t="shared" si="2"/>
        <v>5.661359772163377E-3</v>
      </c>
      <c r="E18" s="5">
        <f t="shared" si="2"/>
        <v>5.620454824827808E-3</v>
      </c>
      <c r="F18" s="5">
        <f t="shared" si="2"/>
        <v>5.3216015595219457E-3</v>
      </c>
      <c r="G18" s="5">
        <f t="shared" si="2"/>
        <v>5.2028727025582172E-3</v>
      </c>
      <c r="H18" s="5">
        <f t="shared" si="2"/>
        <v>5.1941132183803435E-3</v>
      </c>
      <c r="I18" s="5">
        <f t="shared" si="2"/>
        <v>5.1321536786781601E-3</v>
      </c>
      <c r="J18" s="5">
        <f t="shared" si="2"/>
        <v>5.5320209638121355E-3</v>
      </c>
      <c r="K18" s="5">
        <f t="shared" si="2"/>
        <v>5.2097814520510512E-3</v>
      </c>
      <c r="L18" s="5">
        <f t="shared" si="2"/>
        <v>5.0862857122932134E-3</v>
      </c>
      <c r="M18" s="5">
        <f t="shared" si="2"/>
        <v>5.3864170354302925E-3</v>
      </c>
      <c r="N18" s="5">
        <f t="shared" si="2"/>
        <v>5.3276048972151465E-3</v>
      </c>
      <c r="O18" s="5">
        <f t="shared" si="2"/>
        <v>5.4841012515729403E-3</v>
      </c>
      <c r="P18" s="5">
        <f t="shared" si="2"/>
        <v>5.3585900059881812E-3</v>
      </c>
      <c r="Q18" s="5">
        <f t="shared" si="2"/>
        <v>5.4577689157544306E-3</v>
      </c>
      <c r="R18" s="5">
        <f t="shared" si="2"/>
        <v>5.7899796936716685E-3</v>
      </c>
      <c r="S18" s="5">
        <f t="shared" si="2"/>
        <v>5.5030650826728986E-3</v>
      </c>
      <c r="T18" s="5">
        <f t="shared" si="2"/>
        <v>5.3344944263573786E-3</v>
      </c>
      <c r="U18" s="5">
        <f t="shared" si="2"/>
        <v>5.4332906952626082E-3</v>
      </c>
      <c r="V18" s="5">
        <f t="shared" si="2"/>
        <v>5.8189368955079363E-3</v>
      </c>
      <c r="W18" s="5">
        <f t="shared" si="2"/>
        <v>6.5773481676443335E-3</v>
      </c>
    </row>
    <row r="19" spans="1:23" x14ac:dyDescent="0.25">
      <c r="A19" s="1" t="s">
        <v>266</v>
      </c>
      <c r="B19" s="5">
        <f>B16/B$3</f>
        <v>1.8274681189618756E-2</v>
      </c>
      <c r="C19" s="5">
        <f t="shared" ref="C19:W19" si="3">C16/C$3</f>
        <v>1.6835206381312195E-2</v>
      </c>
      <c r="D19" s="5">
        <f t="shared" si="3"/>
        <v>1.7807330063607338E-2</v>
      </c>
      <c r="E19" s="5">
        <f t="shared" si="3"/>
        <v>1.6873574354820141E-2</v>
      </c>
      <c r="F19" s="5">
        <f t="shared" si="3"/>
        <v>1.689280509725891E-2</v>
      </c>
      <c r="G19" s="5">
        <f t="shared" si="3"/>
        <v>1.5748259944793928E-2</v>
      </c>
      <c r="H19" s="5">
        <f t="shared" si="3"/>
        <v>1.5427444381504934E-2</v>
      </c>
      <c r="I19" s="5">
        <f t="shared" si="3"/>
        <v>1.5422571102911477E-2</v>
      </c>
      <c r="J19" s="5">
        <f t="shared" si="3"/>
        <v>1.5132902494781626E-2</v>
      </c>
      <c r="K19" s="5">
        <f t="shared" si="3"/>
        <v>1.6357078189424969E-2</v>
      </c>
      <c r="L19" s="5">
        <f t="shared" si="3"/>
        <v>1.779439249336557E-2</v>
      </c>
      <c r="M19" s="5">
        <f t="shared" si="3"/>
        <v>1.7264776653013725E-2</v>
      </c>
      <c r="N19" s="5">
        <f t="shared" si="3"/>
        <v>1.7111785887252772E-2</v>
      </c>
      <c r="O19" s="5">
        <f t="shared" si="3"/>
        <v>1.644455184969874E-2</v>
      </c>
      <c r="P19" s="5">
        <f t="shared" si="3"/>
        <v>1.5695429607459069E-2</v>
      </c>
      <c r="Q19" s="5">
        <f t="shared" si="3"/>
        <v>1.5203147374054414E-2</v>
      </c>
      <c r="R19" s="5">
        <f t="shared" si="3"/>
        <v>1.4528663061027423E-2</v>
      </c>
      <c r="S19" s="5">
        <f t="shared" si="3"/>
        <v>1.3563534613840179E-2</v>
      </c>
      <c r="T19" s="5">
        <f t="shared" si="3"/>
        <v>1.384170567161023E-2</v>
      </c>
      <c r="U19" s="5">
        <f t="shared" si="3"/>
        <v>1.3814597182463827E-2</v>
      </c>
      <c r="V19" s="5">
        <f t="shared" si="3"/>
        <v>1.356258580834999E-2</v>
      </c>
      <c r="W19" s="5">
        <f t="shared" si="3"/>
        <v>1.4140678477683216E-2</v>
      </c>
    </row>
    <row r="21" spans="1:23" ht="27" customHeight="1" x14ac:dyDescent="0.25">
      <c r="A21" s="41" t="s">
        <v>139</v>
      </c>
    </row>
    <row r="22" spans="1:23" x14ac:dyDescent="0.25">
      <c r="A22" s="1" t="s">
        <v>269</v>
      </c>
      <c r="B22" s="2">
        <f>B24-B23</f>
        <v>50122</v>
      </c>
      <c r="C22" s="2">
        <f t="shared" ref="C22:W22" si="4">C24-C23</f>
        <v>53044</v>
      </c>
      <c r="D22" s="2">
        <f t="shared" si="4"/>
        <v>57051</v>
      </c>
      <c r="E22" s="2">
        <f t="shared" si="4"/>
        <v>58594</v>
      </c>
      <c r="F22" s="2">
        <f t="shared" si="4"/>
        <v>48614</v>
      </c>
      <c r="G22" s="2">
        <f t="shared" si="4"/>
        <v>57713</v>
      </c>
      <c r="H22" s="2">
        <f t="shared" si="4"/>
        <v>52663</v>
      </c>
      <c r="I22" s="2">
        <f t="shared" si="4"/>
        <v>58695</v>
      </c>
      <c r="J22" s="2">
        <f t="shared" si="4"/>
        <v>63189</v>
      </c>
      <c r="K22" s="2">
        <f t="shared" si="4"/>
        <v>75692</v>
      </c>
      <c r="L22" s="2">
        <f t="shared" si="4"/>
        <v>84646</v>
      </c>
      <c r="M22" s="2">
        <f t="shared" si="4"/>
        <v>82475</v>
      </c>
      <c r="N22" s="2">
        <f t="shared" si="4"/>
        <v>85358</v>
      </c>
      <c r="O22" s="2">
        <f t="shared" si="4"/>
        <v>76690</v>
      </c>
      <c r="P22" s="2">
        <f t="shared" si="4"/>
        <v>97198</v>
      </c>
      <c r="Q22" s="2">
        <f t="shared" si="4"/>
        <v>119477</v>
      </c>
      <c r="R22" s="2">
        <f t="shared" si="4"/>
        <v>95558</v>
      </c>
      <c r="S22" s="2">
        <f t="shared" si="4"/>
        <v>90449</v>
      </c>
      <c r="T22" s="2">
        <f t="shared" si="4"/>
        <v>101190</v>
      </c>
      <c r="U22" s="2">
        <f t="shared" si="4"/>
        <v>88099</v>
      </c>
      <c r="V22" s="2">
        <f t="shared" si="4"/>
        <v>33989</v>
      </c>
      <c r="W22" s="2">
        <f t="shared" si="4"/>
        <v>44522</v>
      </c>
    </row>
    <row r="23" spans="1:23" x14ac:dyDescent="0.25">
      <c r="A23" s="1" t="s">
        <v>267</v>
      </c>
      <c r="B23" s="2">
        <f>Ajustes!T35</f>
        <v>17027</v>
      </c>
      <c r="C23" s="2">
        <f>Ajustes!U35</f>
        <v>18273</v>
      </c>
      <c r="D23" s="2">
        <f>Ajustes!V35</f>
        <v>19915</v>
      </c>
      <c r="E23" s="2">
        <f>Ajustes!W35</f>
        <v>26186</v>
      </c>
      <c r="F23" s="2">
        <f>Ajustes!X35</f>
        <v>25666</v>
      </c>
      <c r="G23" s="2">
        <f>Ajustes!Y35</f>
        <v>44740</v>
      </c>
      <c r="H23" s="2">
        <f>Ajustes!Z35</f>
        <v>62973</v>
      </c>
      <c r="I23" s="2">
        <f>Ajustes!AA35</f>
        <v>78078</v>
      </c>
      <c r="J23" s="2">
        <f>Ajustes!AB35</f>
        <v>117732</v>
      </c>
      <c r="K23" s="2">
        <f>Ajustes!AC35</f>
        <v>174552</v>
      </c>
      <c r="L23" s="2">
        <f>Ajustes!AD35</f>
        <v>181183</v>
      </c>
      <c r="M23" s="2">
        <f>Ajustes!AE35</f>
        <v>249840</v>
      </c>
      <c r="N23" s="2">
        <f>Ajustes!AF35</f>
        <v>252365</v>
      </c>
      <c r="O23" s="2">
        <f>Ajustes!AG35</f>
        <v>243020</v>
      </c>
      <c r="P23" s="2">
        <f>Ajustes!AH35</f>
        <v>299515</v>
      </c>
      <c r="Q23" s="2">
        <f>Ajustes!AI35</f>
        <v>361884</v>
      </c>
      <c r="R23" s="2">
        <f>Ajustes!AJ35</f>
        <v>387739</v>
      </c>
      <c r="S23" s="2">
        <f>Ajustes!AK35</f>
        <v>345699</v>
      </c>
      <c r="T23" s="2">
        <f>Ajustes!AL35</f>
        <v>277997</v>
      </c>
      <c r="U23" s="2">
        <f>Ajustes!AM35</f>
        <v>263164</v>
      </c>
      <c r="V23" s="2">
        <f>Ajustes!AN35</f>
        <v>205027</v>
      </c>
      <c r="W23" s="2">
        <f>Ajustes!AO35</f>
        <v>280195</v>
      </c>
    </row>
    <row r="24" spans="1:23" x14ac:dyDescent="0.25">
      <c r="A24" s="1" t="s">
        <v>268</v>
      </c>
      <c r="B24" s="2">
        <f>Ajustes!T36</f>
        <v>67149</v>
      </c>
      <c r="C24" s="2">
        <f>Ajustes!U36</f>
        <v>71317</v>
      </c>
      <c r="D24" s="2">
        <f>Ajustes!V36</f>
        <v>76966</v>
      </c>
      <c r="E24" s="2">
        <f>Ajustes!W36</f>
        <v>84780</v>
      </c>
      <c r="F24" s="2">
        <f>Ajustes!X36</f>
        <v>74280</v>
      </c>
      <c r="G24" s="2">
        <f>Ajustes!Y36</f>
        <v>102453</v>
      </c>
      <c r="H24" s="2">
        <f>Ajustes!Z36</f>
        <v>115636</v>
      </c>
      <c r="I24" s="2">
        <f>Ajustes!AA36</f>
        <v>136773</v>
      </c>
      <c r="J24" s="2">
        <f>Ajustes!AB36</f>
        <v>180921</v>
      </c>
      <c r="K24" s="2">
        <f>Ajustes!AC36</f>
        <v>250244</v>
      </c>
      <c r="L24" s="2">
        <f>Ajustes!AD36</f>
        <v>265829</v>
      </c>
      <c r="M24" s="2">
        <f>Ajustes!AE36</f>
        <v>332315</v>
      </c>
      <c r="N24" s="2">
        <f>Ajustes!AF36</f>
        <v>337723</v>
      </c>
      <c r="O24" s="2">
        <f>Ajustes!AG36</f>
        <v>319710</v>
      </c>
      <c r="P24" s="2">
        <f>Ajustes!AH36</f>
        <v>396713</v>
      </c>
      <c r="Q24" s="2">
        <f>Ajustes!AI36</f>
        <v>481361</v>
      </c>
      <c r="R24" s="2">
        <f>Ajustes!AJ36</f>
        <v>483297</v>
      </c>
      <c r="S24" s="2">
        <f>Ajustes!AK36</f>
        <v>436148</v>
      </c>
      <c r="T24" s="2">
        <f>Ajustes!AL36</f>
        <v>379187</v>
      </c>
      <c r="U24" s="2">
        <f>Ajustes!AM36</f>
        <v>351263</v>
      </c>
      <c r="V24" s="2">
        <f>Ajustes!AN36</f>
        <v>239016</v>
      </c>
      <c r="W24" s="2">
        <f>Ajustes!AO36</f>
        <v>324717</v>
      </c>
    </row>
    <row r="25" spans="1:23" x14ac:dyDescent="0.25">
      <c r="A25" s="1" t="s">
        <v>143</v>
      </c>
      <c r="B25" s="3">
        <f>Ajustes!T42</f>
        <v>30060</v>
      </c>
      <c r="C25" s="3">
        <f>Ajustes!U42</f>
        <v>34712</v>
      </c>
      <c r="D25" s="3">
        <f>Ajustes!V42</f>
        <v>40956</v>
      </c>
      <c r="E25" s="3">
        <f>Ajustes!W42</f>
        <v>42859</v>
      </c>
      <c r="F25" s="3">
        <f>Ajustes!X42</f>
        <v>41910</v>
      </c>
      <c r="G25" s="3">
        <f>Ajustes!Y42</f>
        <v>53855</v>
      </c>
      <c r="H25" s="3">
        <f>Ajustes!Z42</f>
        <v>67101</v>
      </c>
      <c r="I25" s="3">
        <f>Ajustes!AA42</f>
        <v>89816</v>
      </c>
      <c r="J25" s="3">
        <f>Ajustes!AB42</f>
        <v>111688</v>
      </c>
      <c r="K25" s="3">
        <f>Ajustes!AC42</f>
        <v>145529</v>
      </c>
      <c r="L25" s="3">
        <f>Ajustes!AD42</f>
        <v>183445</v>
      </c>
      <c r="M25" s="3">
        <f>Ajustes!AE42</f>
        <v>207329</v>
      </c>
      <c r="N25" s="3">
        <f>Ajustes!AF42</f>
        <v>209581</v>
      </c>
      <c r="O25" s="3">
        <f>Ajustes!AG42</f>
        <v>222059</v>
      </c>
      <c r="P25" s="3">
        <f>Ajustes!AH42</f>
        <v>252453</v>
      </c>
      <c r="Q25" s="3">
        <f>Ajustes!AI42</f>
        <v>285322</v>
      </c>
      <c r="R25" s="3">
        <f>Ajustes!AJ42</f>
        <v>320468</v>
      </c>
      <c r="S25" s="3">
        <f>Ajustes!AK42</f>
        <v>329896</v>
      </c>
      <c r="T25" s="3">
        <f>Ajustes!AL42</f>
        <v>334777</v>
      </c>
      <c r="U25" s="3">
        <f>Ajustes!AM42</f>
        <v>369544</v>
      </c>
      <c r="V25" s="3">
        <f>Ajustes!AN42</f>
        <v>379659</v>
      </c>
      <c r="W25" s="3">
        <f>Ajustes!AO42</f>
        <v>396491</v>
      </c>
    </row>
    <row r="26" spans="1:23" x14ac:dyDescent="0.25">
      <c r="A26" s="1" t="s">
        <v>255</v>
      </c>
      <c r="B26" s="3">
        <f>B25+B23</f>
        <v>47087</v>
      </c>
      <c r="C26" s="3">
        <f t="shared" ref="C26:W26" si="5">C25+C23</f>
        <v>52985</v>
      </c>
      <c r="D26" s="3">
        <f t="shared" si="5"/>
        <v>60871</v>
      </c>
      <c r="E26" s="3">
        <f t="shared" si="5"/>
        <v>69045</v>
      </c>
      <c r="F26" s="3">
        <f t="shared" si="5"/>
        <v>67576</v>
      </c>
      <c r="G26" s="3">
        <f t="shared" si="5"/>
        <v>98595</v>
      </c>
      <c r="H26" s="3">
        <f t="shared" si="5"/>
        <v>130074</v>
      </c>
      <c r="I26" s="3">
        <f t="shared" si="5"/>
        <v>167894</v>
      </c>
      <c r="J26" s="3">
        <f t="shared" si="5"/>
        <v>229420</v>
      </c>
      <c r="K26" s="3">
        <f t="shared" si="5"/>
        <v>320081</v>
      </c>
      <c r="L26" s="3">
        <f t="shared" si="5"/>
        <v>364628</v>
      </c>
      <c r="M26" s="3">
        <f t="shared" si="5"/>
        <v>457169</v>
      </c>
      <c r="N26" s="3">
        <f t="shared" si="5"/>
        <v>461946</v>
      </c>
      <c r="O26" s="3">
        <f t="shared" si="5"/>
        <v>465079</v>
      </c>
      <c r="P26" s="3">
        <f t="shared" si="5"/>
        <v>551968</v>
      </c>
      <c r="Q26" s="3">
        <f t="shared" si="5"/>
        <v>647206</v>
      </c>
      <c r="R26" s="3">
        <f t="shared" si="5"/>
        <v>708207</v>
      </c>
      <c r="S26" s="3">
        <f t="shared" si="5"/>
        <v>675595</v>
      </c>
      <c r="T26" s="3">
        <f t="shared" si="5"/>
        <v>612774</v>
      </c>
      <c r="U26" s="3">
        <f t="shared" si="5"/>
        <v>632708</v>
      </c>
      <c r="V26" s="3">
        <f t="shared" si="5"/>
        <v>584686</v>
      </c>
      <c r="W26" s="3">
        <f t="shared" si="5"/>
        <v>676686</v>
      </c>
    </row>
    <row r="27" spans="1:23" x14ac:dyDescent="0.25">
      <c r="B27" s="15">
        <v>2000</v>
      </c>
      <c r="C27" s="15">
        <v>2001</v>
      </c>
      <c r="D27" s="15">
        <v>2002</v>
      </c>
      <c r="E27" s="15">
        <v>2003</v>
      </c>
      <c r="F27" s="15">
        <v>2004</v>
      </c>
      <c r="G27" s="15">
        <v>2005</v>
      </c>
      <c r="H27" s="15">
        <v>2006</v>
      </c>
      <c r="I27" s="15">
        <v>2007</v>
      </c>
      <c r="J27" s="15">
        <v>2008</v>
      </c>
      <c r="K27" s="15">
        <v>2009</v>
      </c>
      <c r="L27" s="15">
        <v>2010</v>
      </c>
      <c r="M27" s="15">
        <v>2011</v>
      </c>
      <c r="N27" s="15">
        <v>2012</v>
      </c>
      <c r="O27" s="15">
        <v>2013</v>
      </c>
      <c r="P27" s="15">
        <v>2014</v>
      </c>
      <c r="Q27" s="15">
        <v>2015</v>
      </c>
      <c r="R27" s="15">
        <v>2016</v>
      </c>
      <c r="S27" s="15">
        <v>2017</v>
      </c>
      <c r="T27" s="15">
        <v>2018</v>
      </c>
      <c r="U27" s="15">
        <v>2019</v>
      </c>
      <c r="V27" s="15">
        <v>2020</v>
      </c>
      <c r="W27" s="15">
        <v>2021</v>
      </c>
    </row>
    <row r="28" spans="1:23" x14ac:dyDescent="0.25">
      <c r="A28" s="1" t="s">
        <v>271</v>
      </c>
      <c r="B28" s="5">
        <f t="shared" ref="B28:W28" si="6">B22/B$3</f>
        <v>5.9014200755662466E-2</v>
      </c>
      <c r="C28" s="5">
        <f t="shared" si="6"/>
        <v>5.7533200574420913E-2</v>
      </c>
      <c r="D28" s="5">
        <f t="shared" si="6"/>
        <v>5.6403766776242613E-2</v>
      </c>
      <c r="E28" s="5">
        <f t="shared" si="6"/>
        <v>5.0758774110720897E-2</v>
      </c>
      <c r="F28" s="5">
        <f t="shared" si="6"/>
        <v>3.8077916625544959E-2</v>
      </c>
      <c r="G28" s="5">
        <f t="shared" si="6"/>
        <v>4.1032769052477408E-2</v>
      </c>
      <c r="H28" s="5">
        <f t="shared" si="6"/>
        <v>3.4059982511783847E-2</v>
      </c>
      <c r="I28" s="5">
        <f t="shared" si="6"/>
        <v>3.3772392658510737E-2</v>
      </c>
      <c r="J28" s="5">
        <f t="shared" si="6"/>
        <v>3.2091370692430905E-2</v>
      </c>
      <c r="K28" s="5">
        <f t="shared" si="6"/>
        <v>3.4368149481381116E-2</v>
      </c>
      <c r="L28" s="5">
        <f t="shared" si="6"/>
        <v>3.3962978804334305E-2</v>
      </c>
      <c r="M28" s="5">
        <f t="shared" si="6"/>
        <v>2.915403973008962E-2</v>
      </c>
      <c r="N28" s="5">
        <f t="shared" si="6"/>
        <v>2.7001660438572155E-2</v>
      </c>
      <c r="O28" s="5">
        <f t="shared" si="6"/>
        <v>2.160028571299814E-2</v>
      </c>
      <c r="P28" s="5">
        <f t="shared" si="6"/>
        <v>2.4932818523310613E-2</v>
      </c>
      <c r="Q28" s="5">
        <f t="shared" si="6"/>
        <v>2.8801992179778316E-2</v>
      </c>
      <c r="R28" s="5">
        <f t="shared" si="6"/>
        <v>2.1696046019466456E-2</v>
      </c>
      <c r="S28" s="5">
        <f t="shared" si="6"/>
        <v>1.9227159550625809E-2</v>
      </c>
      <c r="T28" s="5">
        <f t="shared" si="6"/>
        <v>2.0574684131121675E-2</v>
      </c>
      <c r="U28" s="5">
        <f t="shared" si="6"/>
        <v>1.6824055808375458E-2</v>
      </c>
      <c r="V28" s="5">
        <f t="shared" si="6"/>
        <v>6.0422944612804463E-3</v>
      </c>
      <c r="W28" s="5">
        <f t="shared" si="6"/>
        <v>7.4990028728042987E-3</v>
      </c>
    </row>
    <row r="29" spans="1:23" x14ac:dyDescent="0.25">
      <c r="A29" s="1" t="s">
        <v>272</v>
      </c>
      <c r="B29" s="5">
        <f t="shared" ref="B29:W29" si="7">B23/B$3</f>
        <v>2.0047779343734584E-2</v>
      </c>
      <c r="C29" s="5">
        <f t="shared" si="7"/>
        <v>1.9819473910270592E-2</v>
      </c>
      <c r="D29" s="5">
        <f t="shared" si="7"/>
        <v>1.968906794532737E-2</v>
      </c>
      <c r="E29" s="5">
        <f t="shared" si="7"/>
        <v>2.2684391897862196E-2</v>
      </c>
      <c r="F29" s="5">
        <f t="shared" si="7"/>
        <v>2.0103423049147098E-2</v>
      </c>
      <c r="G29" s="5">
        <f t="shared" si="7"/>
        <v>3.1809229937931477E-2</v>
      </c>
      <c r="H29" s="5">
        <f t="shared" si="7"/>
        <v>4.0728011672608179E-2</v>
      </c>
      <c r="I29" s="5">
        <f t="shared" si="7"/>
        <v>4.4925136280623584E-2</v>
      </c>
      <c r="J29" s="5">
        <f t="shared" si="7"/>
        <v>5.9791755754344519E-2</v>
      </c>
      <c r="K29" s="5">
        <f t="shared" si="7"/>
        <v>7.9255789624716438E-2</v>
      </c>
      <c r="L29" s="5">
        <f t="shared" si="7"/>
        <v>7.2697048752518756E-2</v>
      </c>
      <c r="M29" s="5">
        <f t="shared" si="7"/>
        <v>8.8315796134169025E-2</v>
      </c>
      <c r="N29" s="5">
        <f t="shared" si="7"/>
        <v>7.9831697516111688E-2</v>
      </c>
      <c r="O29" s="5">
        <f t="shared" si="7"/>
        <v>6.8448317042284629E-2</v>
      </c>
      <c r="P29" s="5">
        <f t="shared" si="7"/>
        <v>7.6830316879044611E-2</v>
      </c>
      <c r="Q29" s="5">
        <f t="shared" si="7"/>
        <v>8.7238381763744446E-2</v>
      </c>
      <c r="R29" s="5">
        <f t="shared" si="7"/>
        <v>8.8034525498042068E-2</v>
      </c>
      <c r="S29" s="5">
        <f t="shared" si="7"/>
        <v>7.3486824945458676E-2</v>
      </c>
      <c r="T29" s="5">
        <f t="shared" si="7"/>
        <v>5.6524364704016526E-2</v>
      </c>
      <c r="U29" s="5">
        <f t="shared" si="7"/>
        <v>5.0255801118688284E-2</v>
      </c>
      <c r="V29" s="5">
        <f t="shared" si="7"/>
        <v>3.6448071626495215E-2</v>
      </c>
      <c r="W29" s="5">
        <f t="shared" si="7"/>
        <v>4.7194265979637044E-2</v>
      </c>
    </row>
    <row r="30" spans="1:23" x14ac:dyDescent="0.25">
      <c r="A30" s="1" t="s">
        <v>273</v>
      </c>
      <c r="B30" s="5">
        <f t="shared" ref="B30:W30" si="8">B24/B$3</f>
        <v>7.906198009939705E-2</v>
      </c>
      <c r="C30" s="5">
        <f t="shared" si="8"/>
        <v>7.7352674484691505E-2</v>
      </c>
      <c r="D30" s="5">
        <f t="shared" si="8"/>
        <v>7.6092834721569982E-2</v>
      </c>
      <c r="E30" s="5">
        <f t="shared" si="8"/>
        <v>7.3443166008583097E-2</v>
      </c>
      <c r="F30" s="5">
        <f t="shared" si="8"/>
        <v>5.8181339674692058E-2</v>
      </c>
      <c r="G30" s="5">
        <f t="shared" si="8"/>
        <v>7.2841998990408885E-2</v>
      </c>
      <c r="H30" s="5">
        <f t="shared" si="8"/>
        <v>7.4787994184392026E-2</v>
      </c>
      <c r="I30" s="5">
        <f t="shared" si="8"/>
        <v>7.8697528939134315E-2</v>
      </c>
      <c r="J30" s="5">
        <f t="shared" si="8"/>
        <v>9.1883126446775418E-2</v>
      </c>
      <c r="K30" s="5">
        <f t="shared" si="8"/>
        <v>0.11362393910609757</v>
      </c>
      <c r="L30" s="5">
        <f t="shared" si="8"/>
        <v>0.10666002755685307</v>
      </c>
      <c r="M30" s="5">
        <f t="shared" si="8"/>
        <v>0.11746983586425865</v>
      </c>
      <c r="N30" s="5">
        <f t="shared" si="8"/>
        <v>0.10683335795468385</v>
      </c>
      <c r="O30" s="5">
        <f t="shared" si="8"/>
        <v>9.0048602755282758E-2</v>
      </c>
      <c r="P30" s="5">
        <f t="shared" si="8"/>
        <v>0.10176313540235522</v>
      </c>
      <c r="Q30" s="5">
        <f t="shared" si="8"/>
        <v>0.11604037394352276</v>
      </c>
      <c r="R30" s="5">
        <f t="shared" si="8"/>
        <v>0.10973057151750852</v>
      </c>
      <c r="S30" s="5">
        <f t="shared" si="8"/>
        <v>9.2713984496084478E-2</v>
      </c>
      <c r="T30" s="5">
        <f t="shared" si="8"/>
        <v>7.7099048835138198E-2</v>
      </c>
      <c r="U30" s="5">
        <f t="shared" si="8"/>
        <v>6.7079856927063738E-2</v>
      </c>
      <c r="V30" s="5">
        <f t="shared" si="8"/>
        <v>4.2490366087775663E-2</v>
      </c>
      <c r="W30" s="5">
        <f t="shared" si="8"/>
        <v>5.4693268852441343E-2</v>
      </c>
    </row>
    <row r="31" spans="1:23" ht="30" x14ac:dyDescent="0.25">
      <c r="A31" s="1" t="s">
        <v>274</v>
      </c>
      <c r="B31" s="5">
        <f t="shared" ref="B31:W32" si="9">B25/B$3</f>
        <v>3.5392978626455719E-2</v>
      </c>
      <c r="C31" s="5">
        <f t="shared" si="9"/>
        <v>3.7649733397543524E-2</v>
      </c>
      <c r="D31" s="5">
        <f t="shared" si="9"/>
        <v>4.0491361625349116E-2</v>
      </c>
      <c r="E31" s="5">
        <f t="shared" si="9"/>
        <v>3.7127868034464058E-2</v>
      </c>
      <c r="F31" s="5">
        <f t="shared" si="9"/>
        <v>3.2826870567667532E-2</v>
      </c>
      <c r="G31" s="5">
        <f t="shared" si="9"/>
        <v>3.8289809528549386E-2</v>
      </c>
      <c r="H31" s="5">
        <f t="shared" si="9"/>
        <v>4.339781035116131E-2</v>
      </c>
      <c r="I31" s="5">
        <f t="shared" si="9"/>
        <v>5.1679039424427975E-2</v>
      </c>
      <c r="J31" s="5">
        <f t="shared" si="9"/>
        <v>5.6722230291604919E-2</v>
      </c>
      <c r="K31" s="5">
        <f t="shared" si="9"/>
        <v>6.6077820983405283E-2</v>
      </c>
      <c r="L31" s="5">
        <f t="shared" si="9"/>
        <v>7.3604643418012747E-2</v>
      </c>
      <c r="M31" s="5">
        <f t="shared" si="9"/>
        <v>7.3288607495601704E-2</v>
      </c>
      <c r="N31" s="5">
        <f t="shared" si="9"/>
        <v>6.6297652198697141E-2</v>
      </c>
      <c r="O31" s="5">
        <f t="shared" si="9"/>
        <v>6.2544501827391491E-2</v>
      </c>
      <c r="P31" s="5">
        <f t="shared" si="9"/>
        <v>6.4758172335493885E-2</v>
      </c>
      <c r="Q31" s="5">
        <f t="shared" si="9"/>
        <v>6.8781790743981761E-2</v>
      </c>
      <c r="R31" s="5">
        <f t="shared" si="9"/>
        <v>7.276092504830968E-2</v>
      </c>
      <c r="S31" s="5">
        <f t="shared" si="9"/>
        <v>7.0127508619368395E-2</v>
      </c>
      <c r="T31" s="5">
        <f t="shared" si="9"/>
        <v>6.8069285792711945E-2</v>
      </c>
      <c r="U31" s="5">
        <f t="shared" si="9"/>
        <v>7.0570935874984961E-2</v>
      </c>
      <c r="V31" s="5">
        <f t="shared" si="9"/>
        <v>6.7492761566250045E-2</v>
      </c>
      <c r="W31" s="5">
        <f t="shared" si="9"/>
        <v>6.6782425498428846E-2</v>
      </c>
    </row>
    <row r="32" spans="1:23" x14ac:dyDescent="0.25">
      <c r="A32" s="1" t="s">
        <v>285</v>
      </c>
      <c r="B32" s="5">
        <f t="shared" si="9"/>
        <v>5.5440757970190303E-2</v>
      </c>
      <c r="C32" s="5">
        <f t="shared" si="9"/>
        <v>5.7469207307814123E-2</v>
      </c>
      <c r="D32" s="5">
        <f t="shared" si="9"/>
        <v>6.0180429570676486E-2</v>
      </c>
      <c r="E32" s="5">
        <f t="shared" si="9"/>
        <v>5.9812259932326257E-2</v>
      </c>
      <c r="F32" s="5">
        <f t="shared" si="9"/>
        <v>5.2930293616814623E-2</v>
      </c>
      <c r="G32" s="5">
        <f t="shared" si="9"/>
        <v>7.009903946648087E-2</v>
      </c>
      <c r="H32" s="5">
        <f t="shared" si="9"/>
        <v>8.4125822023769489E-2</v>
      </c>
      <c r="I32" s="5">
        <f t="shared" si="9"/>
        <v>9.6604175705051559E-2</v>
      </c>
      <c r="J32" s="5">
        <f t="shared" si="9"/>
        <v>0.11651398604594944</v>
      </c>
      <c r="K32" s="5">
        <f t="shared" si="9"/>
        <v>0.14533361060812172</v>
      </c>
      <c r="L32" s="5">
        <f t="shared" si="9"/>
        <v>0.14630169217053149</v>
      </c>
      <c r="M32" s="5">
        <f t="shared" si="9"/>
        <v>0.16160440362977074</v>
      </c>
      <c r="N32" s="5">
        <f t="shared" si="9"/>
        <v>0.14612934971480884</v>
      </c>
      <c r="O32" s="5">
        <f t="shared" si="9"/>
        <v>0.13099281886967612</v>
      </c>
      <c r="P32" s="5">
        <f t="shared" si="9"/>
        <v>0.14158848921453848</v>
      </c>
      <c r="Q32" s="5">
        <f t="shared" si="9"/>
        <v>0.15602017250772621</v>
      </c>
      <c r="R32" s="5">
        <f t="shared" si="9"/>
        <v>0.16079545054635175</v>
      </c>
      <c r="S32" s="5">
        <f t="shared" si="9"/>
        <v>0.14361433356482706</v>
      </c>
      <c r="T32" s="5">
        <f t="shared" si="9"/>
        <v>0.12459365049672846</v>
      </c>
      <c r="U32" s="5">
        <f t="shared" si="9"/>
        <v>0.12082673699367324</v>
      </c>
      <c r="V32" s="5">
        <f t="shared" si="9"/>
        <v>0.10394083319274526</v>
      </c>
      <c r="W32" s="5">
        <f t="shared" si="9"/>
        <v>0.1139766914780659</v>
      </c>
    </row>
    <row r="34" spans="1:23" x14ac:dyDescent="0.25">
      <c r="A34" s="45" t="s">
        <v>275</v>
      </c>
      <c r="B34" s="2">
        <f>Ajustes!T18</f>
        <v>11331</v>
      </c>
      <c r="C34" s="2">
        <f>Ajustes!U18</f>
        <v>14687</v>
      </c>
      <c r="D34" s="2">
        <f>Ajustes!V18</f>
        <v>15190</v>
      </c>
      <c r="E34" s="2">
        <f>Ajustes!W18</f>
        <v>27074</v>
      </c>
      <c r="F34" s="2">
        <f>Ajustes!X18</f>
        <v>24602</v>
      </c>
      <c r="G34" s="2">
        <f>Ajustes!Y18</f>
        <v>24607</v>
      </c>
      <c r="H34" s="2">
        <f>Ajustes!Z18</f>
        <v>28239</v>
      </c>
      <c r="I34" s="2">
        <f>Ajustes!AA18</f>
        <v>30586</v>
      </c>
      <c r="J34" s="2">
        <f>Ajustes!AB18</f>
        <v>31253</v>
      </c>
      <c r="K34" s="2">
        <f>Ajustes!AC18</f>
        <v>42827</v>
      </c>
      <c r="L34" s="2">
        <f>Ajustes!AD18</f>
        <v>60549</v>
      </c>
      <c r="M34" s="2">
        <f>Ajustes!AE18</f>
        <v>52629</v>
      </c>
      <c r="N34" s="2">
        <f>Ajustes!AF18</f>
        <v>80269</v>
      </c>
      <c r="O34" s="2">
        <f>Ajustes!AG18</f>
        <v>54208</v>
      </c>
      <c r="P34" s="2">
        <f>Ajustes!AH18</f>
        <v>58846</v>
      </c>
      <c r="Q34" s="2">
        <f>Ajustes!AI18</f>
        <v>99434</v>
      </c>
      <c r="R34" s="2">
        <f>Ajustes!AJ18</f>
        <v>87702</v>
      </c>
      <c r="S34" s="2">
        <f>Ajustes!AK18</f>
        <v>74085</v>
      </c>
      <c r="T34" s="2">
        <f>Ajustes!AL18</f>
        <v>65018</v>
      </c>
      <c r="U34" s="2">
        <f>Ajustes!AM18</f>
        <v>103477</v>
      </c>
      <c r="V34" s="2">
        <f>Ajustes!AN18</f>
        <v>67370</v>
      </c>
      <c r="W34" s="2">
        <f>Ajustes!AO18</f>
        <v>81699</v>
      </c>
    </row>
    <row r="35" spans="1:23" x14ac:dyDescent="0.25">
      <c r="A35" s="45"/>
      <c r="B35" s="15">
        <v>2000</v>
      </c>
      <c r="C35" s="15">
        <v>2001</v>
      </c>
      <c r="D35" s="15">
        <v>2002</v>
      </c>
      <c r="E35" s="15">
        <v>2003</v>
      </c>
      <c r="F35" s="15">
        <v>2004</v>
      </c>
      <c r="G35" s="15">
        <v>2005</v>
      </c>
      <c r="H35" s="15">
        <v>2006</v>
      </c>
      <c r="I35" s="15">
        <v>2007</v>
      </c>
      <c r="J35" s="15">
        <v>2008</v>
      </c>
      <c r="K35" s="15">
        <v>2009</v>
      </c>
      <c r="L35" s="15">
        <v>2010</v>
      </c>
      <c r="M35" s="15">
        <v>2011</v>
      </c>
      <c r="N35" s="15">
        <v>2012</v>
      </c>
      <c r="O35" s="15">
        <v>2013</v>
      </c>
      <c r="P35" s="15">
        <v>2014</v>
      </c>
      <c r="Q35" s="15">
        <v>2015</v>
      </c>
      <c r="R35" s="15">
        <v>2016</v>
      </c>
      <c r="S35" s="15">
        <v>2017</v>
      </c>
      <c r="T35" s="15">
        <v>2018</v>
      </c>
      <c r="U35" s="15">
        <v>2019</v>
      </c>
      <c r="V35" s="15">
        <v>2020</v>
      </c>
      <c r="W35" s="15">
        <v>2021</v>
      </c>
    </row>
    <row r="36" spans="1:23" x14ac:dyDescent="0.25">
      <c r="A36" s="1" t="s">
        <v>270</v>
      </c>
      <c r="B36" s="5">
        <f t="shared" ref="B36:W36" si="10">B34/B3</f>
        <v>1.3341245536140045E-2</v>
      </c>
      <c r="C36" s="5">
        <f t="shared" si="10"/>
        <v>1.5929984858542343E-2</v>
      </c>
      <c r="D36" s="5">
        <f t="shared" si="10"/>
        <v>1.5017672211374478E-2</v>
      </c>
      <c r="E36" s="5">
        <f t="shared" si="10"/>
        <v>2.345364798910567E-2</v>
      </c>
      <c r="F36" s="5">
        <f t="shared" si="10"/>
        <v>1.9270023137813327E-2</v>
      </c>
      <c r="G36" s="5">
        <f t="shared" si="10"/>
        <v>1.7495076465862312E-2</v>
      </c>
      <c r="H36" s="5">
        <f t="shared" si="10"/>
        <v>1.8263673663677801E-2</v>
      </c>
      <c r="I36" s="5">
        <f t="shared" si="10"/>
        <v>1.7598814240620313E-2</v>
      </c>
      <c r="J36" s="5">
        <f t="shared" si="10"/>
        <v>1.5872250047485215E-2</v>
      </c>
      <c r="K36" s="5">
        <f t="shared" si="10"/>
        <v>1.9445710746698583E-2</v>
      </c>
      <c r="L36" s="5">
        <f t="shared" si="10"/>
        <v>2.4294407339078491E-2</v>
      </c>
      <c r="M36" s="5">
        <f t="shared" si="10"/>
        <v>1.8603794567503929E-2</v>
      </c>
      <c r="N36" s="5">
        <f t="shared" si="10"/>
        <v>2.5391835349278899E-2</v>
      </c>
      <c r="O36" s="5">
        <f t="shared" si="10"/>
        <v>1.5268069995178031E-2</v>
      </c>
      <c r="P36" s="5">
        <f t="shared" si="10"/>
        <v>1.5094926220938047E-2</v>
      </c>
      <c r="Q36" s="5">
        <f t="shared" si="10"/>
        <v>2.3970281229057283E-2</v>
      </c>
      <c r="R36" s="5">
        <f t="shared" si="10"/>
        <v>1.9912373929961355E-2</v>
      </c>
      <c r="S36" s="5">
        <f t="shared" si="10"/>
        <v>1.5748588876694194E-2</v>
      </c>
      <c r="T36" s="5">
        <f t="shared" si="10"/>
        <v>1.3219930950066894E-2</v>
      </c>
      <c r="U36" s="5">
        <f t="shared" si="10"/>
        <v>1.9760755773428385E-2</v>
      </c>
      <c r="V36" s="5">
        <f t="shared" si="10"/>
        <v>1.1976503511620338E-2</v>
      </c>
      <c r="W36" s="5">
        <f t="shared" si="10"/>
        <v>1.3760860601618042E-2</v>
      </c>
    </row>
    <row r="38" spans="1:23" x14ac:dyDescent="0.25">
      <c r="A38" s="45" t="s">
        <v>131</v>
      </c>
      <c r="B38" s="2">
        <f>Ajustes!T16</f>
        <v>66827.774736002961</v>
      </c>
      <c r="C38" s="2">
        <f>Ajustes!U16</f>
        <v>66830.006746600004</v>
      </c>
      <c r="D38" s="2">
        <f>Ajustes!V16</f>
        <v>77551.337075209798</v>
      </c>
      <c r="E38" s="2">
        <f>Ajustes!W16</f>
        <v>83865.712293066113</v>
      </c>
      <c r="F38" s="2">
        <f>Ajustes!X16</f>
        <v>92859.272688583471</v>
      </c>
      <c r="G38" s="2">
        <f>Ajustes!Y16</f>
        <v>95369.768267994092</v>
      </c>
      <c r="H38" s="2">
        <f>Ajustes!Z16</f>
        <v>102704.74120820091</v>
      </c>
      <c r="I38" s="2">
        <f>Ajustes!AA16</f>
        <v>115406.79665101426</v>
      </c>
      <c r="J38" s="2">
        <f>Ajustes!AB16</f>
        <v>128295.30912031011</v>
      </c>
      <c r="K38" s="2">
        <f>Ajustes!AC16</f>
        <v>155108.24719931374</v>
      </c>
      <c r="L38" s="2">
        <f>Ajustes!AD16</f>
        <v>190949.77896410722</v>
      </c>
      <c r="M38" s="2">
        <f>Ajustes!AE16</f>
        <v>220753.09236840345</v>
      </c>
      <c r="N38" s="2">
        <f>Ajustes!AF16</f>
        <v>264764.19418982492</v>
      </c>
      <c r="O38" s="2">
        <f>Ajustes!AG16</f>
        <v>300261.66360699013</v>
      </c>
      <c r="P38" s="2">
        <f>Ajustes!AH16</f>
        <v>316290.69075555285</v>
      </c>
      <c r="Q38" s="2">
        <f>Ajustes!AI16</f>
        <v>324841.77132321248</v>
      </c>
      <c r="R38" s="2">
        <f>Ajustes!AJ16</f>
        <v>316289.18756979838</v>
      </c>
      <c r="S38" s="2">
        <f>Ajustes!AK16</f>
        <v>289667.52307384659</v>
      </c>
      <c r="T38" s="2">
        <f>Ajustes!AL16</f>
        <v>293380.54849685438</v>
      </c>
      <c r="U38" s="2">
        <f>Ajustes!AM16</f>
        <v>305428.35744874785</v>
      </c>
      <c r="V38" s="2">
        <f>Ajustes!AN16</f>
        <v>318252.09316767356</v>
      </c>
      <c r="W38" s="2">
        <f>Ajustes!AO16</f>
        <v>376554.66920224886</v>
      </c>
    </row>
    <row r="39" spans="1:23" x14ac:dyDescent="0.25">
      <c r="A39" s="45"/>
      <c r="B39" s="15">
        <v>2000</v>
      </c>
      <c r="C39" s="15">
        <v>2001</v>
      </c>
      <c r="D39" s="15">
        <v>2002</v>
      </c>
      <c r="E39" s="15">
        <v>2003</v>
      </c>
      <c r="F39" s="15">
        <v>2004</v>
      </c>
      <c r="G39" s="15">
        <v>2005</v>
      </c>
      <c r="H39" s="15">
        <v>2006</v>
      </c>
      <c r="I39" s="15">
        <v>2007</v>
      </c>
      <c r="J39" s="15">
        <v>2008</v>
      </c>
      <c r="K39" s="15">
        <v>2009</v>
      </c>
      <c r="L39" s="15">
        <v>2010</v>
      </c>
      <c r="M39" s="15">
        <v>2011</v>
      </c>
      <c r="N39" s="15">
        <v>2012</v>
      </c>
      <c r="O39" s="15">
        <v>2013</v>
      </c>
      <c r="P39" s="15">
        <v>2014</v>
      </c>
      <c r="Q39" s="15">
        <v>2015</v>
      </c>
      <c r="R39" s="15">
        <v>2016</v>
      </c>
      <c r="S39" s="15">
        <v>2017</v>
      </c>
      <c r="T39" s="15">
        <v>2018</v>
      </c>
      <c r="U39" s="15">
        <v>2019</v>
      </c>
      <c r="V39" s="15">
        <v>2020</v>
      </c>
      <c r="W39" s="15">
        <v>2021</v>
      </c>
    </row>
    <row r="40" spans="1:23" x14ac:dyDescent="0.25">
      <c r="A40" s="1" t="s">
        <v>276</v>
      </c>
      <c r="B40" s="5">
        <f t="shared" ref="B40:W40" si="11">B38/B3</f>
        <v>7.8683765897702942E-2</v>
      </c>
      <c r="C40" s="5">
        <f t="shared" si="11"/>
        <v>7.2485939645238681E-2</v>
      </c>
      <c r="D40" s="5">
        <f t="shared" si="11"/>
        <v>7.667153125406935E-2</v>
      </c>
      <c r="E40" s="5">
        <f t="shared" si="11"/>
        <v>7.2651137418821926E-2</v>
      </c>
      <c r="F40" s="5">
        <f t="shared" si="11"/>
        <v>7.2733937617653885E-2</v>
      </c>
      <c r="G40" s="5">
        <f t="shared" si="11"/>
        <v>6.7805965309876287E-2</v>
      </c>
      <c r="H40" s="5">
        <f t="shared" si="11"/>
        <v>6.6424656579165811E-2</v>
      </c>
      <c r="I40" s="5">
        <f t="shared" si="11"/>
        <v>6.6403674111235281E-2</v>
      </c>
      <c r="J40" s="5">
        <f t="shared" si="11"/>
        <v>6.515647221953004E-2</v>
      </c>
      <c r="K40" s="5">
        <f t="shared" si="11"/>
        <v>7.0427303090696891E-2</v>
      </c>
      <c r="L40" s="5">
        <f t="shared" si="11"/>
        <v>7.6615827040265275E-2</v>
      </c>
      <c r="M40" s="5">
        <f t="shared" si="11"/>
        <v>7.803388209091941E-2</v>
      </c>
      <c r="N40" s="5">
        <f t="shared" si="11"/>
        <v>8.3753987532578456E-2</v>
      </c>
      <c r="O40" s="5">
        <f t="shared" si="11"/>
        <v>8.4570840038741976E-2</v>
      </c>
      <c r="P40" s="5">
        <f t="shared" si="11"/>
        <v>8.1133545887989017E-2</v>
      </c>
      <c r="Q40" s="5">
        <f t="shared" si="11"/>
        <v>7.8308713453773535E-2</v>
      </c>
      <c r="R40" s="5">
        <f t="shared" si="11"/>
        <v>7.1812143085602492E-2</v>
      </c>
      <c r="S40" s="5">
        <f t="shared" si="11"/>
        <v>6.1575956426001742E-2</v>
      </c>
      <c r="T40" s="5">
        <f t="shared" si="11"/>
        <v>5.9652259270066239E-2</v>
      </c>
      <c r="U40" s="5">
        <f t="shared" si="11"/>
        <v>5.8326924609566302E-2</v>
      </c>
      <c r="V40" s="5">
        <f t="shared" si="11"/>
        <v>5.6576329395920513E-2</v>
      </c>
      <c r="W40" s="5">
        <f t="shared" si="11"/>
        <v>6.3424476575974498E-2</v>
      </c>
    </row>
    <row r="42" spans="1:23" ht="26.25" customHeight="1" x14ac:dyDescent="0.25">
      <c r="A42" s="41" t="s">
        <v>256</v>
      </c>
    </row>
    <row r="43" spans="1:23" x14ac:dyDescent="0.25">
      <c r="A43" s="1" t="s">
        <v>281</v>
      </c>
      <c r="B43" s="2">
        <f>Ajustes!T37</f>
        <v>-8598</v>
      </c>
      <c r="C43" s="2">
        <f>Ajustes!U37</f>
        <v>-9410</v>
      </c>
      <c r="D43" s="2">
        <f>Ajustes!V37</f>
        <v>-9696</v>
      </c>
      <c r="E43" s="2">
        <f>Ajustes!W37</f>
        <v>-4361</v>
      </c>
      <c r="F43" s="2">
        <f>Ajustes!X37</f>
        <v>-5989</v>
      </c>
      <c r="G43" s="2">
        <f>Ajustes!Y37</f>
        <v>-9572</v>
      </c>
      <c r="H43" s="2">
        <f>Ajustes!Z37</f>
        <v>-13357</v>
      </c>
      <c r="I43" s="2">
        <f>Ajustes!AA37</f>
        <v>-17196</v>
      </c>
      <c r="J43" s="2">
        <f>Ajustes!AB37</f>
        <v>-20238</v>
      </c>
      <c r="K43" s="2">
        <f>Ajustes!AC37</f>
        <v>-11863</v>
      </c>
      <c r="L43" s="2">
        <f>Ajustes!AD37</f>
        <v>-35895</v>
      </c>
      <c r="M43" s="2">
        <f>Ajustes!AE37</f>
        <v>-37588</v>
      </c>
      <c r="N43" s="2">
        <f>Ajustes!AF37</f>
        <v>-40918</v>
      </c>
      <c r="O43" s="2">
        <f>Ajustes!AG37</f>
        <v>-45299</v>
      </c>
      <c r="P43" s="2">
        <f>Ajustes!AH37</f>
        <v>-44920</v>
      </c>
      <c r="Q43" s="2">
        <f>Ajustes!AI37</f>
        <v>-61125</v>
      </c>
      <c r="R43" s="2">
        <f>Ajustes!AJ37</f>
        <v>-64150</v>
      </c>
      <c r="S43" s="2">
        <f>Ajustes!AK37</f>
        <v>-55119</v>
      </c>
      <c r="T43" s="2">
        <f>Ajustes!AL37</f>
        <v>-56675</v>
      </c>
      <c r="U43" s="2">
        <f>Ajustes!AM37</f>
        <v>-39008</v>
      </c>
      <c r="V43" s="2">
        <f>Ajustes!AN37</f>
        <v>-55782</v>
      </c>
      <c r="W43" s="2">
        <f>Ajustes!AO37</f>
        <v>-30357</v>
      </c>
    </row>
    <row r="44" spans="1:23" x14ac:dyDescent="0.25">
      <c r="A44" s="1" t="s">
        <v>282</v>
      </c>
      <c r="B44" s="2">
        <f>Ajustes!T38</f>
        <v>15190</v>
      </c>
      <c r="C44" s="2">
        <f>Ajustes!U38</f>
        <v>18577</v>
      </c>
      <c r="D44" s="2">
        <f>Ajustes!V38</f>
        <v>19448</v>
      </c>
      <c r="E44" s="2">
        <f>Ajustes!W38</f>
        <v>18414</v>
      </c>
      <c r="F44" s="2">
        <f>Ajustes!X38</f>
        <v>20109</v>
      </c>
      <c r="G44" s="2">
        <f>Ajustes!Y38</f>
        <v>24340</v>
      </c>
      <c r="H44" s="2">
        <f>Ajustes!Z38</f>
        <v>28375</v>
      </c>
      <c r="I44" s="2">
        <f>Ajustes!AA38</f>
        <v>32747</v>
      </c>
      <c r="J44" s="2">
        <f>Ajustes!AB38</f>
        <v>37438</v>
      </c>
      <c r="K44" s="2">
        <f>Ajustes!AC38</f>
        <v>30753</v>
      </c>
      <c r="L44" s="2">
        <f>Ajustes!AD38</f>
        <v>54719</v>
      </c>
      <c r="M44" s="2">
        <f>Ajustes!AE38</f>
        <v>52635</v>
      </c>
      <c r="N44" s="2">
        <f>Ajustes!AF38</f>
        <v>66769</v>
      </c>
      <c r="O44" s="2">
        <f>Ajustes!AG38</f>
        <v>76459</v>
      </c>
      <c r="P44" s="2">
        <f>Ajustes!AH38</f>
        <v>78162</v>
      </c>
      <c r="Q44" s="2">
        <f>Ajustes!AI38</f>
        <v>101688</v>
      </c>
      <c r="R44" s="2">
        <f>Ajustes!AJ38</f>
        <v>109541</v>
      </c>
      <c r="S44" s="2">
        <f>Ajustes!AK38</f>
        <v>101744</v>
      </c>
      <c r="T44" s="2">
        <f>Ajustes!AL38</f>
        <v>104994</v>
      </c>
      <c r="U44" s="2">
        <f>Ajustes!AM38</f>
        <v>94861</v>
      </c>
      <c r="V44" s="2">
        <f>Ajustes!AN38</f>
        <v>112163</v>
      </c>
      <c r="W44" s="2">
        <f>Ajustes!AO38</f>
        <v>100089</v>
      </c>
    </row>
    <row r="45" spans="1:23" x14ac:dyDescent="0.25">
      <c r="A45" s="1" t="s">
        <v>283</v>
      </c>
      <c r="B45" s="2">
        <f>Ajustes!T39</f>
        <v>6592</v>
      </c>
      <c r="C45" s="2">
        <f>Ajustes!U39</f>
        <v>9167</v>
      </c>
      <c r="D45" s="2">
        <f>Ajustes!V39</f>
        <v>9752</v>
      </c>
      <c r="E45" s="2">
        <f>Ajustes!W39</f>
        <v>14053</v>
      </c>
      <c r="F45" s="2">
        <f>Ajustes!X39</f>
        <v>14120</v>
      </c>
      <c r="G45" s="2">
        <f>Ajustes!Y39</f>
        <v>14768</v>
      </c>
      <c r="H45" s="2">
        <f>Ajustes!Z39</f>
        <v>15018</v>
      </c>
      <c r="I45" s="2">
        <f>Ajustes!AA39</f>
        <v>15551</v>
      </c>
      <c r="J45" s="2">
        <f>Ajustes!AB39</f>
        <v>17200</v>
      </c>
      <c r="K45" s="2">
        <f>Ajustes!AC39</f>
        <v>18890</v>
      </c>
      <c r="L45" s="2">
        <f>Ajustes!AD39</f>
        <v>18824</v>
      </c>
      <c r="M45" s="2">
        <f>Ajustes!AE39</f>
        <v>15047</v>
      </c>
      <c r="N45" s="2">
        <f>Ajustes!AF39</f>
        <v>25851</v>
      </c>
      <c r="O45" s="2">
        <f>Ajustes!AG39</f>
        <v>31160</v>
      </c>
      <c r="P45" s="2">
        <f>Ajustes!AH39</f>
        <v>33242</v>
      </c>
      <c r="Q45" s="2">
        <f>Ajustes!AI39</f>
        <v>40563</v>
      </c>
      <c r="R45" s="2">
        <f>Ajustes!AJ39</f>
        <v>45391</v>
      </c>
      <c r="S45" s="2">
        <f>Ajustes!AK39</f>
        <v>46625</v>
      </c>
      <c r="T45" s="2">
        <f>Ajustes!AL39</f>
        <v>48319</v>
      </c>
      <c r="U45" s="2">
        <f>Ajustes!AM39</f>
        <v>55853</v>
      </c>
      <c r="V45" s="2">
        <f>Ajustes!AN39</f>
        <v>56381</v>
      </c>
      <c r="W45" s="2">
        <f>Ajustes!AO39</f>
        <v>69732</v>
      </c>
    </row>
    <row r="46" spans="1:23" x14ac:dyDescent="0.25">
      <c r="A46" s="1"/>
      <c r="B46" s="15">
        <v>2000</v>
      </c>
      <c r="C46" s="15">
        <v>2001</v>
      </c>
      <c r="D46" s="15">
        <v>2002</v>
      </c>
      <c r="E46" s="15">
        <v>2003</v>
      </c>
      <c r="F46" s="15">
        <v>2004</v>
      </c>
      <c r="G46" s="15">
        <v>2005</v>
      </c>
      <c r="H46" s="15">
        <v>2006</v>
      </c>
      <c r="I46" s="15">
        <v>2007</v>
      </c>
      <c r="J46" s="15">
        <v>2008</v>
      </c>
      <c r="K46" s="15">
        <v>2009</v>
      </c>
      <c r="L46" s="15">
        <v>2010</v>
      </c>
      <c r="M46" s="15">
        <v>2011</v>
      </c>
      <c r="N46" s="15">
        <v>2012</v>
      </c>
      <c r="O46" s="15">
        <v>2013</v>
      </c>
      <c r="P46" s="15">
        <v>2014</v>
      </c>
      <c r="Q46" s="15">
        <v>2015</v>
      </c>
      <c r="R46" s="15">
        <v>2016</v>
      </c>
      <c r="S46" s="15">
        <v>2017</v>
      </c>
      <c r="T46" s="15">
        <v>2018</v>
      </c>
      <c r="U46" s="15">
        <v>2019</v>
      </c>
      <c r="V46" s="15">
        <v>2020</v>
      </c>
      <c r="W46" s="15">
        <v>2021</v>
      </c>
    </row>
    <row r="47" spans="1:23" x14ac:dyDescent="0.25">
      <c r="A47" s="1" t="s">
        <v>284</v>
      </c>
      <c r="B47" s="5">
        <f>B44/B3</f>
        <v>1.7884875094340068E-2</v>
      </c>
      <c r="C47" s="5">
        <f t="shared" ref="C47:W47" si="12">C44/C3</f>
        <v>2.0149201928041198E-2</v>
      </c>
      <c r="D47" s="5">
        <f t="shared" si="12"/>
        <v>1.9227365975431919E-2</v>
      </c>
      <c r="E47" s="5">
        <f t="shared" si="12"/>
        <v>1.595166854071773E-2</v>
      </c>
      <c r="F47" s="5">
        <f t="shared" si="12"/>
        <v>1.5750788361852217E-2</v>
      </c>
      <c r="G47" s="5">
        <f t="shared" si="12"/>
        <v>1.73052448969435E-2</v>
      </c>
      <c r="H47" s="5">
        <f t="shared" si="12"/>
        <v>1.8351632147273547E-2</v>
      </c>
      <c r="I47" s="5">
        <f t="shared" si="12"/>
        <v>1.8842227487660807E-2</v>
      </c>
      <c r="J47" s="5">
        <f t="shared" si="12"/>
        <v>1.9013384228002157E-2</v>
      </c>
      <c r="K47" s="5">
        <f t="shared" si="12"/>
        <v>1.3963479641189472E-2</v>
      </c>
      <c r="L47" s="5">
        <f t="shared" si="12"/>
        <v>2.1955204465590447E-2</v>
      </c>
      <c r="M47" s="5">
        <f t="shared" si="12"/>
        <v>1.8605915504010515E-2</v>
      </c>
      <c r="N47" s="5">
        <f t="shared" si="12"/>
        <v>2.1121322732761127E-2</v>
      </c>
      <c r="O47" s="5">
        <f t="shared" si="12"/>
        <v>2.1535222914723231E-2</v>
      </c>
      <c r="P47" s="5">
        <f t="shared" si="12"/>
        <v>2.0049784578067491E-2</v>
      </c>
      <c r="Q47" s="5">
        <f t="shared" si="12"/>
        <v>2.451364681718906E-2</v>
      </c>
      <c r="R47" s="5">
        <f t="shared" si="12"/>
        <v>2.4870827947616893E-2</v>
      </c>
      <c r="S47" s="5">
        <f t="shared" si="12"/>
        <v>2.162818960208374E-2</v>
      </c>
      <c r="T47" s="5">
        <f t="shared" si="12"/>
        <v>2.1348140978980031E-2</v>
      </c>
      <c r="U47" s="5">
        <f t="shared" si="12"/>
        <v>1.8115378812907118E-2</v>
      </c>
      <c r="V47" s="5">
        <f t="shared" si="12"/>
        <v>1.9939447281785243E-2</v>
      </c>
      <c r="W47" s="5">
        <f t="shared" si="12"/>
        <v>1.6858355386912303E-2</v>
      </c>
    </row>
    <row r="49" spans="1:23" ht="30" customHeight="1" x14ac:dyDescent="0.25">
      <c r="A49" s="41" t="s">
        <v>277</v>
      </c>
    </row>
    <row r="50" spans="1:23" x14ac:dyDescent="0.25">
      <c r="A50" s="1" t="s">
        <v>49</v>
      </c>
      <c r="B50" s="2">
        <f>Ajustes!T8</f>
        <v>107549</v>
      </c>
      <c r="C50" s="2">
        <f>Ajustes!U8</f>
        <v>116849</v>
      </c>
      <c r="D50" s="2">
        <f>Ajustes!V8</f>
        <v>136253</v>
      </c>
      <c r="E50" s="2">
        <f>Ajustes!W8</f>
        <v>148397</v>
      </c>
      <c r="F50" s="2">
        <f>Ajustes!X8</f>
        <v>161027</v>
      </c>
      <c r="G50" s="2">
        <f>Ajustes!Y8</f>
        <v>163972</v>
      </c>
      <c r="H50" s="2">
        <f>Ajustes!Z8</f>
        <v>175214</v>
      </c>
      <c r="I50" s="2">
        <f>Ajustes!AA8</f>
        <v>189576</v>
      </c>
      <c r="J50" s="2">
        <f>Ajustes!AB8</f>
        <v>208674</v>
      </c>
      <c r="K50" s="2">
        <f>Ajustes!AC8</f>
        <v>231219</v>
      </c>
      <c r="L50" s="2">
        <f>Ajustes!AD8</f>
        <v>267784</v>
      </c>
      <c r="M50" s="2">
        <f>Ajustes!AE8</f>
        <v>296791</v>
      </c>
      <c r="N50" s="2">
        <f>Ajustes!AF8</f>
        <v>343646</v>
      </c>
      <c r="O50" s="2">
        <f>Ajustes!AG8</f>
        <v>385540</v>
      </c>
      <c r="P50" s="2">
        <f>Ajustes!AH8</f>
        <v>394290</v>
      </c>
      <c r="Q50" s="2">
        <f>Ajustes!AI8</f>
        <v>493510</v>
      </c>
      <c r="R50" s="2">
        <f>Ajustes!AJ8</f>
        <v>531088</v>
      </c>
      <c r="S50" s="2">
        <f>Ajustes!AK8</f>
        <v>563059</v>
      </c>
      <c r="T50" s="2">
        <f>Ajustes!AL8</f>
        <v>531854</v>
      </c>
      <c r="U50" s="2">
        <f>Ajustes!AM8</f>
        <v>576071</v>
      </c>
      <c r="V50" s="2">
        <f>Ajustes!AN8</f>
        <v>972157</v>
      </c>
      <c r="W50" s="2">
        <f>Ajustes!AO8</f>
        <v>591302</v>
      </c>
    </row>
    <row r="51" spans="1:23" x14ac:dyDescent="0.25">
      <c r="A51" s="1" t="s">
        <v>257</v>
      </c>
      <c r="B51" s="4">
        <f>Ajustes!T52</f>
        <v>16829.225263997039</v>
      </c>
      <c r="C51" s="4">
        <f>Ajustes!U52</f>
        <v>17799.993253399996</v>
      </c>
      <c r="D51" s="4">
        <f>Ajustes!V52</f>
        <v>23119.662924790202</v>
      </c>
      <c r="E51" s="4">
        <f>Ajustes!W52</f>
        <v>8392.2877069338865</v>
      </c>
      <c r="F51" s="4">
        <f>Ajustes!X52</f>
        <v>11874.727311416529</v>
      </c>
      <c r="G51" s="4">
        <f>Ajustes!Y52</f>
        <v>9506.2317320058937</v>
      </c>
      <c r="H51" s="4">
        <f>Ajustes!Z52</f>
        <v>3554.258791799075</v>
      </c>
      <c r="I51" s="4">
        <f>Ajustes!AA52</f>
        <v>6333.2033489857567</v>
      </c>
      <c r="J51" s="4">
        <f>Ajustes!AB52</f>
        <v>-308.30912031012122</v>
      </c>
      <c r="K51" s="4">
        <f>Ajustes!AC52</f>
        <v>-7310.2471993137442</v>
      </c>
      <c r="L51" s="4">
        <f>Ajustes!AD52</f>
        <v>-37931.778964107216</v>
      </c>
      <c r="M51" s="4">
        <f>Ajustes!AE52</f>
        <v>-17862.09236840345</v>
      </c>
      <c r="N51" s="4">
        <f>Ajustes!AF52</f>
        <v>-67749.194189824921</v>
      </c>
      <c r="O51" s="4">
        <f>Ajustes!AG52</f>
        <v>-17870.663606990129</v>
      </c>
      <c r="P51" s="4">
        <f>Ajustes!AH52</f>
        <v>-32092.690755552845</v>
      </c>
      <c r="Q51" s="4">
        <f>Ajustes!AI52</f>
        <v>-23925.771323212481</v>
      </c>
      <c r="R51" s="4">
        <f>Ajustes!AJ52</f>
        <v>61197.812430201622</v>
      </c>
      <c r="S51" s="4">
        <f>Ajustes!AK52</f>
        <v>184326.47692615341</v>
      </c>
      <c r="T51" s="4">
        <f>Ajustes!AL52</f>
        <v>136233.45150314562</v>
      </c>
      <c r="U51" s="4">
        <f>Ajustes!AM52</f>
        <v>122056.64255125215</v>
      </c>
      <c r="V51" s="4">
        <f>Ajustes!AN52</f>
        <v>539473.90683232644</v>
      </c>
      <c r="W51" s="4">
        <f>Ajustes!AO52</f>
        <v>63279.330797751201</v>
      </c>
    </row>
    <row r="52" spans="1:23" ht="30" x14ac:dyDescent="0.25">
      <c r="A52" s="1" t="s">
        <v>258</v>
      </c>
      <c r="B52" s="2">
        <f>B51+B38</f>
        <v>83657</v>
      </c>
      <c r="C52" s="2">
        <f t="shared" ref="C52:W52" si="13">C51+C38</f>
        <v>84630</v>
      </c>
      <c r="D52" s="2">
        <f t="shared" si="13"/>
        <v>100671</v>
      </c>
      <c r="E52" s="2">
        <f t="shared" si="13"/>
        <v>92258</v>
      </c>
      <c r="F52" s="2">
        <f t="shared" si="13"/>
        <v>104734</v>
      </c>
      <c r="G52" s="2">
        <f t="shared" si="13"/>
        <v>104875.99999999999</v>
      </c>
      <c r="H52" s="2">
        <f t="shared" si="13"/>
        <v>106258.99999999999</v>
      </c>
      <c r="I52" s="2">
        <f t="shared" si="13"/>
        <v>121740.00000000001</v>
      </c>
      <c r="J52" s="2">
        <f t="shared" si="13"/>
        <v>127986.99999999999</v>
      </c>
      <c r="K52" s="2">
        <f t="shared" si="13"/>
        <v>147798</v>
      </c>
      <c r="L52" s="2">
        <f t="shared" si="13"/>
        <v>153018</v>
      </c>
      <c r="M52" s="2">
        <f t="shared" si="13"/>
        <v>202891</v>
      </c>
      <c r="N52" s="2">
        <f t="shared" si="13"/>
        <v>197015</v>
      </c>
      <c r="O52" s="2">
        <f t="shared" si="13"/>
        <v>282391</v>
      </c>
      <c r="P52" s="2">
        <f t="shared" si="13"/>
        <v>284198</v>
      </c>
      <c r="Q52" s="2">
        <f t="shared" si="13"/>
        <v>300916</v>
      </c>
      <c r="R52" s="2">
        <f t="shared" si="13"/>
        <v>377487</v>
      </c>
      <c r="S52" s="2">
        <f t="shared" si="13"/>
        <v>473994</v>
      </c>
      <c r="T52" s="2">
        <f t="shared" si="13"/>
        <v>429614</v>
      </c>
      <c r="U52" s="2">
        <f t="shared" si="13"/>
        <v>427485</v>
      </c>
      <c r="V52" s="2">
        <f t="shared" si="13"/>
        <v>857726</v>
      </c>
      <c r="W52" s="2">
        <f t="shared" si="13"/>
        <v>439834.00000000006</v>
      </c>
    </row>
    <row r="53" spans="1:23" x14ac:dyDescent="0.25">
      <c r="B53" s="15">
        <v>2000</v>
      </c>
      <c r="C53" s="15">
        <v>2001</v>
      </c>
      <c r="D53" s="15">
        <v>2002</v>
      </c>
      <c r="E53" s="15">
        <v>2003</v>
      </c>
      <c r="F53" s="15">
        <v>2004</v>
      </c>
      <c r="G53" s="15">
        <v>2005</v>
      </c>
      <c r="H53" s="15">
        <v>2006</v>
      </c>
      <c r="I53" s="15">
        <v>2007</v>
      </c>
      <c r="J53" s="15">
        <v>2008</v>
      </c>
      <c r="K53" s="15">
        <v>2009</v>
      </c>
      <c r="L53" s="15">
        <v>2010</v>
      </c>
      <c r="M53" s="15">
        <v>2011</v>
      </c>
      <c r="N53" s="15">
        <v>2012</v>
      </c>
      <c r="O53" s="15">
        <v>2013</v>
      </c>
      <c r="P53" s="15">
        <v>2014</v>
      </c>
      <c r="Q53" s="15">
        <v>2015</v>
      </c>
      <c r="R53" s="15">
        <v>2016</v>
      </c>
      <c r="S53" s="15">
        <v>2017</v>
      </c>
      <c r="T53" s="15">
        <v>2018</v>
      </c>
      <c r="U53" s="15">
        <v>2019</v>
      </c>
      <c r="V53" s="15">
        <v>2020</v>
      </c>
      <c r="W53" s="15">
        <v>2021</v>
      </c>
    </row>
    <row r="54" spans="1:23" x14ac:dyDescent="0.25">
      <c r="A54" s="1" t="s">
        <v>278</v>
      </c>
      <c r="B54" s="5">
        <f>B50/B$3</f>
        <v>0.12662938983022909</v>
      </c>
      <c r="C54" s="5">
        <f t="shared" ref="C54:W54" si="14">C50/C$3</f>
        <v>0.12673812219893879</v>
      </c>
      <c r="D54" s="5">
        <f t="shared" si="14"/>
        <v>0.13470723448429275</v>
      </c>
      <c r="E54" s="5">
        <f t="shared" si="14"/>
        <v>0.1285532614552454</v>
      </c>
      <c r="F54" s="5">
        <f t="shared" si="14"/>
        <v>0.12612771383678834</v>
      </c>
      <c r="G54" s="5">
        <f t="shared" si="14"/>
        <v>0.11658075662455297</v>
      </c>
      <c r="H54" s="5">
        <f t="shared" si="14"/>
        <v>0.11332027753488588</v>
      </c>
      <c r="I54" s="5">
        <f t="shared" si="14"/>
        <v>0.10907973610409458</v>
      </c>
      <c r="J54" s="5">
        <f t="shared" si="14"/>
        <v>0.10597785513099317</v>
      </c>
      <c r="K54" s="5">
        <f t="shared" si="14"/>
        <v>0.10498558837044154</v>
      </c>
      <c r="L54" s="5">
        <f t="shared" si="14"/>
        <v>0.10744444292866595</v>
      </c>
      <c r="M54" s="5">
        <f t="shared" si="14"/>
        <v>0.1049124777876087</v>
      </c>
      <c r="N54" s="5">
        <f t="shared" si="14"/>
        <v>0.10870700582339754</v>
      </c>
      <c r="O54" s="5">
        <f t="shared" si="14"/>
        <v>0.10859009197795413</v>
      </c>
      <c r="P54" s="5">
        <f t="shared" si="14"/>
        <v>0.10114159772378178</v>
      </c>
      <c r="Q54" s="5">
        <f t="shared" si="14"/>
        <v>0.11896909999951787</v>
      </c>
      <c r="R54" s="5">
        <f t="shared" si="14"/>
        <v>0.12058131907727664</v>
      </c>
      <c r="S54" s="5">
        <f t="shared" si="14"/>
        <v>0.11969203893261195</v>
      </c>
      <c r="T54" s="5">
        <f t="shared" si="14"/>
        <v>0.10814040966373741</v>
      </c>
      <c r="U54" s="5">
        <f t="shared" si="14"/>
        <v>0.11001090425074811</v>
      </c>
      <c r="V54" s="5">
        <f t="shared" si="14"/>
        <v>0.17282235007193547</v>
      </c>
      <c r="W54" s="5">
        <f t="shared" si="14"/>
        <v>9.9595152883853552E-2</v>
      </c>
    </row>
    <row r="55" spans="1:23" x14ac:dyDescent="0.25">
      <c r="A55" s="1" t="s">
        <v>279</v>
      </c>
      <c r="B55" s="5">
        <f t="shared" ref="B55:B56" si="15">B51/B$3</f>
        <v>1.9814917167945971E-2</v>
      </c>
      <c r="C55" s="5">
        <f t="shared" ref="C55:W55" si="16">C51/C$3</f>
        <v>1.930643582820302E-2</v>
      </c>
      <c r="D55" s="5">
        <f t="shared" si="16"/>
        <v>2.2857374551808203E-2</v>
      </c>
      <c r="E55" s="5">
        <f t="shared" si="16"/>
        <v>7.2700658085885416E-3</v>
      </c>
      <c r="F55" s="5">
        <f t="shared" si="16"/>
        <v>9.301124707187235E-3</v>
      </c>
      <c r="G55" s="5">
        <f t="shared" si="16"/>
        <v>6.758737393979349E-3</v>
      </c>
      <c r="H55" s="5">
        <f t="shared" si="16"/>
        <v>2.2987295120109087E-3</v>
      </c>
      <c r="I55" s="5">
        <f t="shared" si="16"/>
        <v>3.644048561004211E-3</v>
      </c>
      <c r="J55" s="5">
        <f t="shared" si="16"/>
        <v>-1.5657887081184032E-4</v>
      </c>
      <c r="K55" s="5">
        <f t="shared" si="16"/>
        <v>-3.3192367554280826E-3</v>
      </c>
      <c r="L55" s="5">
        <f t="shared" si="16"/>
        <v>-1.521957570314802E-2</v>
      </c>
      <c r="M55" s="5">
        <f t="shared" si="16"/>
        <v>-6.3140606313545292E-3</v>
      </c>
      <c r="N55" s="5">
        <f t="shared" si="16"/>
        <v>-2.1431391744189628E-2</v>
      </c>
      <c r="O55" s="5">
        <f t="shared" si="16"/>
        <v>-5.0333999190489594E-3</v>
      </c>
      <c r="P55" s="5">
        <f t="shared" si="16"/>
        <v>-8.2322808548830964E-3</v>
      </c>
      <c r="Q55" s="5">
        <f t="shared" si="16"/>
        <v>-5.7677199674107159E-3</v>
      </c>
      <c r="R55" s="5">
        <f t="shared" si="16"/>
        <v>1.3894708499302315E-2</v>
      </c>
      <c r="S55" s="5">
        <f t="shared" si="16"/>
        <v>3.9183126195578705E-2</v>
      </c>
      <c r="T55" s="5">
        <f t="shared" si="16"/>
        <v>2.769997265312486E-2</v>
      </c>
      <c r="U55" s="5">
        <f t="shared" si="16"/>
        <v>2.3308865776742082E-2</v>
      </c>
      <c r="V55" s="5">
        <f t="shared" si="16"/>
        <v>9.5903386367892238E-2</v>
      </c>
      <c r="W55" s="5">
        <f t="shared" si="16"/>
        <v>1.0658368524358065E-2</v>
      </c>
    </row>
    <row r="56" spans="1:23" ht="30" x14ac:dyDescent="0.25">
      <c r="A56" s="1" t="s">
        <v>280</v>
      </c>
      <c r="B56" s="5">
        <f t="shared" si="15"/>
        <v>9.8498683065648907E-2</v>
      </c>
      <c r="C56" s="5">
        <f t="shared" ref="C56:W56" si="17">C52/C$3</f>
        <v>9.1792375473441712E-2</v>
      </c>
      <c r="D56" s="5">
        <f t="shared" si="17"/>
        <v>9.952890580587756E-2</v>
      </c>
      <c r="E56" s="5">
        <f t="shared" si="17"/>
        <v>7.9921203227410462E-2</v>
      </c>
      <c r="F56" s="5">
        <f t="shared" si="17"/>
        <v>8.2035062324841118E-2</v>
      </c>
      <c r="G56" s="5">
        <f t="shared" si="17"/>
        <v>7.4564702703855637E-2</v>
      </c>
      <c r="H56" s="5">
        <f t="shared" si="17"/>
        <v>6.8723386091176716E-2</v>
      </c>
      <c r="I56" s="5">
        <f t="shared" si="17"/>
        <v>7.0047722672239493E-2</v>
      </c>
      <c r="J56" s="5">
        <f t="shared" si="17"/>
        <v>6.4999893348718196E-2</v>
      </c>
      <c r="K56" s="5">
        <f t="shared" si="17"/>
        <v>6.7108066335268807E-2</v>
      </c>
      <c r="L56" s="5">
        <f t="shared" si="17"/>
        <v>6.139625133711725E-2</v>
      </c>
      <c r="M56" s="5">
        <f t="shared" si="17"/>
        <v>7.1719821459564875E-2</v>
      </c>
      <c r="N56" s="5">
        <f t="shared" si="17"/>
        <v>6.2322595788388821E-2</v>
      </c>
      <c r="O56" s="5">
        <f t="shared" si="17"/>
        <v>7.953744011969302E-2</v>
      </c>
      <c r="P56" s="5">
        <f t="shared" si="17"/>
        <v>7.2901265033105928E-2</v>
      </c>
      <c r="Q56" s="5">
        <f t="shared" si="17"/>
        <v>7.2540993486362823E-2</v>
      </c>
      <c r="R56" s="5">
        <f t="shared" si="17"/>
        <v>8.5706851584904806E-2</v>
      </c>
      <c r="S56" s="5">
        <f t="shared" si="17"/>
        <v>0.10075908262158044</v>
      </c>
      <c r="T56" s="5">
        <f t="shared" si="17"/>
        <v>8.7352231923191095E-2</v>
      </c>
      <c r="U56" s="5">
        <f t="shared" si="17"/>
        <v>8.1635790386308388E-2</v>
      </c>
      <c r="V56" s="5">
        <f t="shared" si="17"/>
        <v>0.15247971576381275</v>
      </c>
      <c r="W56" s="5">
        <f t="shared" si="17"/>
        <v>7.408284510033257E-2</v>
      </c>
    </row>
    <row r="58" spans="1:23" ht="24" customHeight="1" x14ac:dyDescent="0.25">
      <c r="A58" s="41"/>
      <c r="B58" s="15">
        <v>2000</v>
      </c>
      <c r="C58" s="15">
        <v>2001</v>
      </c>
      <c r="D58" s="15">
        <v>2002</v>
      </c>
      <c r="E58" s="15">
        <v>2003</v>
      </c>
      <c r="F58" s="15">
        <v>2004</v>
      </c>
      <c r="G58" s="15">
        <v>2005</v>
      </c>
      <c r="H58" s="15">
        <v>2006</v>
      </c>
      <c r="I58" s="15">
        <v>2007</v>
      </c>
      <c r="J58" s="15">
        <v>2008</v>
      </c>
      <c r="K58" s="15">
        <v>2009</v>
      </c>
      <c r="L58" s="15">
        <v>2010</v>
      </c>
      <c r="M58" s="15">
        <v>2011</v>
      </c>
      <c r="N58" s="15">
        <v>2012</v>
      </c>
      <c r="O58" s="15">
        <v>2013</v>
      </c>
      <c r="P58" s="15">
        <v>2014</v>
      </c>
      <c r="Q58" s="15">
        <v>2015</v>
      </c>
      <c r="R58" s="15">
        <v>2016</v>
      </c>
      <c r="S58" s="15">
        <v>2017</v>
      </c>
      <c r="T58" s="15">
        <v>2018</v>
      </c>
      <c r="U58" s="15">
        <v>2019</v>
      </c>
      <c r="V58" s="15">
        <v>2020</v>
      </c>
      <c r="W58" s="15">
        <v>2021</v>
      </c>
    </row>
    <row r="59" spans="1:23" x14ac:dyDescent="0.25">
      <c r="A59" t="s">
        <v>276</v>
      </c>
      <c r="B59" s="43">
        <f>B38/B6</f>
        <v>8.995462464224882E-2</v>
      </c>
      <c r="C59" s="43">
        <f t="shared" ref="C59:W59" si="18">C38/C6</f>
        <v>8.2264662237904837E-2</v>
      </c>
      <c r="D59" s="43">
        <f t="shared" si="18"/>
        <v>8.6982013339061512E-2</v>
      </c>
      <c r="E59" s="43">
        <f t="shared" si="18"/>
        <v>8.2593382097661552E-2</v>
      </c>
      <c r="F59" s="43">
        <f t="shared" si="18"/>
        <v>8.2050953944005175E-2</v>
      </c>
      <c r="G59" s="43">
        <f t="shared" si="18"/>
        <v>7.4954546630770502E-2</v>
      </c>
      <c r="H59" s="43">
        <f t="shared" si="18"/>
        <v>7.223438111069426E-2</v>
      </c>
      <c r="I59" s="43">
        <f t="shared" si="18"/>
        <v>7.1496470555745636E-2</v>
      </c>
      <c r="J59" s="43">
        <f t="shared" si="18"/>
        <v>6.8533157691692881E-2</v>
      </c>
      <c r="K59" s="43">
        <f t="shared" si="18"/>
        <v>7.3253885828041918E-2</v>
      </c>
      <c r="L59" s="43">
        <f t="shared" si="18"/>
        <v>7.9761564554018297E-2</v>
      </c>
      <c r="M59" s="43">
        <f t="shared" si="18"/>
        <v>7.9838047664625419E-2</v>
      </c>
      <c r="N59" s="43">
        <f t="shared" si="18"/>
        <v>8.7042167098450751E-2</v>
      </c>
      <c r="O59" s="43">
        <f t="shared" si="18"/>
        <v>8.8264068072819141E-2</v>
      </c>
      <c r="P59" s="43">
        <f t="shared" si="18"/>
        <v>8.3944382979136201E-2</v>
      </c>
      <c r="Q59" s="43">
        <f t="shared" si="18"/>
        <v>8.0677668207247658E-2</v>
      </c>
      <c r="R59" s="43">
        <f t="shared" si="18"/>
        <v>7.3539367158567556E-2</v>
      </c>
      <c r="S59" s="43">
        <f t="shared" si="18"/>
        <v>6.3712631336969208E-2</v>
      </c>
      <c r="T59" s="43">
        <f t="shared" si="18"/>
        <v>6.2666245033755216E-2</v>
      </c>
      <c r="U59" s="43">
        <f t="shared" si="18"/>
        <v>6.2232978421764923E-2</v>
      </c>
      <c r="V59" s="43">
        <f t="shared" si="18"/>
        <v>6.0619937896446173E-2</v>
      </c>
      <c r="W59" s="43">
        <f t="shared" si="18"/>
        <v>6.7662002693708756E-2</v>
      </c>
    </row>
    <row r="60" spans="1:23" x14ac:dyDescent="0.25">
      <c r="A60" s="1" t="s">
        <v>284</v>
      </c>
      <c r="B60" s="43">
        <f>B44/B6</f>
        <v>2.0446749180466368E-2</v>
      </c>
      <c r="C60" s="43">
        <f t="shared" ref="C60:W60" si="19">C44/C6</f>
        <v>2.2867431933505041E-2</v>
      </c>
      <c r="D60" s="43">
        <f t="shared" si="19"/>
        <v>2.1812985555329859E-2</v>
      </c>
      <c r="E60" s="43">
        <f t="shared" si="19"/>
        <v>1.813464044318483E-2</v>
      </c>
      <c r="F60" s="43">
        <f t="shared" si="19"/>
        <v>1.7768420805893883E-2</v>
      </c>
      <c r="G60" s="43">
        <f t="shared" si="19"/>
        <v>1.9129685414211256E-2</v>
      </c>
      <c r="H60" s="43">
        <f t="shared" si="19"/>
        <v>1.9956727799556408E-2</v>
      </c>
      <c r="I60" s="43">
        <f t="shared" si="19"/>
        <v>2.0287322664097406E-2</v>
      </c>
      <c r="J60" s="43">
        <f t="shared" si="19"/>
        <v>1.9998738654236747E-2</v>
      </c>
      <c r="K60" s="43">
        <f t="shared" si="19"/>
        <v>1.4523900511717858E-2</v>
      </c>
      <c r="L60" s="43">
        <f t="shared" si="19"/>
        <v>2.2856654113497119E-2</v>
      </c>
      <c r="M60" s="43">
        <f t="shared" si="19"/>
        <v>1.9036089568406127E-2</v>
      </c>
      <c r="N60" s="43">
        <f t="shared" si="19"/>
        <v>2.1950545362752854E-2</v>
      </c>
      <c r="O60" s="43">
        <f t="shared" si="19"/>
        <v>2.2475671052075562E-2</v>
      </c>
      <c r="P60" s="43">
        <f t="shared" si="19"/>
        <v>2.0744400812878028E-2</v>
      </c>
      <c r="Q60" s="43">
        <f t="shared" si="19"/>
        <v>2.5255220999567195E-2</v>
      </c>
      <c r="R60" s="43">
        <f t="shared" si="19"/>
        <v>2.5469020549869263E-2</v>
      </c>
      <c r="S60" s="43">
        <f t="shared" si="19"/>
        <v>2.2378683995913501E-2</v>
      </c>
      <c r="T60" s="43">
        <f t="shared" si="19"/>
        <v>2.2426775615441465E-2</v>
      </c>
      <c r="U60" s="43">
        <f t="shared" si="19"/>
        <v>1.9328534571508054E-2</v>
      </c>
      <c r="V60" s="43">
        <f t="shared" si="19"/>
        <v>2.1364554201680683E-2</v>
      </c>
      <c r="W60" s="43">
        <f t="shared" si="19"/>
        <v>1.798469848205024E-2</v>
      </c>
    </row>
    <row r="61" spans="1:23" x14ac:dyDescent="0.25">
      <c r="A61" s="1" t="s">
        <v>286</v>
      </c>
      <c r="B61" s="43">
        <f>B26/B6</f>
        <v>6.338223032657142E-2</v>
      </c>
      <c r="C61" s="43">
        <f t="shared" ref="C61:W61" si="20">C26/C6</f>
        <v>6.5222096194044496E-2</v>
      </c>
      <c r="D61" s="43">
        <f t="shared" si="20"/>
        <v>6.8273253997248248E-2</v>
      </c>
      <c r="E61" s="43">
        <f t="shared" si="20"/>
        <v>6.7997515444753812E-2</v>
      </c>
      <c r="F61" s="43">
        <f t="shared" si="20"/>
        <v>5.971051789641877E-2</v>
      </c>
      <c r="G61" s="43">
        <f t="shared" si="20"/>
        <v>7.7489372777902993E-2</v>
      </c>
      <c r="H61" s="43">
        <f t="shared" si="20"/>
        <v>9.1483750195577099E-2</v>
      </c>
      <c r="I61" s="43">
        <f t="shared" si="20"/>
        <v>0.10401318445555226</v>
      </c>
      <c r="J61" s="43">
        <f t="shared" si="20"/>
        <v>0.12255223628545849</v>
      </c>
      <c r="K61" s="43">
        <f t="shared" si="20"/>
        <v>0.15116653983972828</v>
      </c>
      <c r="L61" s="43">
        <f t="shared" si="20"/>
        <v>0.15230863276186019</v>
      </c>
      <c r="M61" s="43">
        <f t="shared" si="20"/>
        <v>0.16534074345774979</v>
      </c>
      <c r="N61" s="43">
        <f t="shared" si="20"/>
        <v>0.15186638452189236</v>
      </c>
      <c r="O61" s="43">
        <f t="shared" si="20"/>
        <v>0.13671330539541782</v>
      </c>
      <c r="P61" s="43">
        <f t="shared" si="20"/>
        <v>0.14649376203120007</v>
      </c>
      <c r="Q61" s="43">
        <f t="shared" si="20"/>
        <v>0.16074001418304898</v>
      </c>
      <c r="R61" s="43">
        <f t="shared" si="20"/>
        <v>0.16466289915703947</v>
      </c>
      <c r="S61" s="43">
        <f t="shared" si="20"/>
        <v>0.14859772580416714</v>
      </c>
      <c r="T61" s="43">
        <f t="shared" si="20"/>
        <v>0.13088886032512836</v>
      </c>
      <c r="U61" s="43">
        <f t="shared" si="20"/>
        <v>0.12891829573449276</v>
      </c>
      <c r="V61" s="43">
        <f t="shared" si="20"/>
        <v>0.11136966502290302</v>
      </c>
      <c r="W61" s="43">
        <f t="shared" si="20"/>
        <v>0.12159172013932248</v>
      </c>
    </row>
    <row r="62" spans="1:23" x14ac:dyDescent="0.25">
      <c r="A62" s="1" t="s">
        <v>287</v>
      </c>
      <c r="B62" s="5">
        <f>B7/B6</f>
        <v>0.80356314055943523</v>
      </c>
      <c r="C62" s="5">
        <f t="shared" ref="C62:W62" si="21">C7/C6</f>
        <v>0.80773606819582899</v>
      </c>
      <c r="D62" s="5">
        <f t="shared" si="21"/>
        <v>0.79700060388424765</v>
      </c>
      <c r="E62" s="5">
        <f t="shared" si="21"/>
        <v>0.82300949405192525</v>
      </c>
      <c r="F62" s="5">
        <f t="shared" si="21"/>
        <v>0.82997753428567844</v>
      </c>
      <c r="G62" s="5">
        <f t="shared" si="21"/>
        <v>0.82095510419486928</v>
      </c>
      <c r="H62" s="5">
        <f t="shared" si="21"/>
        <v>0.81382535674484657</v>
      </c>
      <c r="I62" s="5">
        <f t="shared" si="21"/>
        <v>0.80027949528890019</v>
      </c>
      <c r="J62" s="5">
        <f t="shared" si="21"/>
        <v>0.7890805608223701</v>
      </c>
      <c r="K62" s="5">
        <f t="shared" si="21"/>
        <v>0.76450812733850682</v>
      </c>
      <c r="L62" s="5">
        <f t="shared" si="21"/>
        <v>0.76091761852972861</v>
      </c>
      <c r="M62" s="5">
        <f t="shared" si="21"/>
        <v>0.74224516282026776</v>
      </c>
      <c r="N62" s="5">
        <f t="shared" si="21"/>
        <v>0.76141369069312659</v>
      </c>
      <c r="O62" s="5">
        <f t="shared" si="21"/>
        <v>0.75780016513078163</v>
      </c>
      <c r="P62" s="5">
        <f t="shared" si="21"/>
        <v>0.75733493889054593</v>
      </c>
      <c r="Q62" s="5">
        <f t="shared" si="21"/>
        <v>0.73926929866301205</v>
      </c>
      <c r="R62" s="5">
        <f t="shared" si="21"/>
        <v>0.72209980941452978</v>
      </c>
      <c r="S62" s="5">
        <f t="shared" si="21"/>
        <v>0.72476818504620999</v>
      </c>
      <c r="T62" s="5">
        <f t="shared" si="21"/>
        <v>0.75491857954553154</v>
      </c>
      <c r="U62" s="5">
        <f t="shared" si="21"/>
        <v>0.764650370848308</v>
      </c>
      <c r="V62" s="5">
        <f t="shared" si="21"/>
        <v>0.70388807496163841</v>
      </c>
      <c r="W62" s="5">
        <f t="shared" si="21"/>
        <v>0.78139110156412128</v>
      </c>
    </row>
  </sheetData>
  <mergeCells count="3">
    <mergeCell ref="A9:A10"/>
    <mergeCell ref="A34:A35"/>
    <mergeCell ref="A38:A39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BE18E8-3FC2-4AB0-A8C8-1A2958046B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CEI_COMPLETA</vt:lpstr>
      <vt:lpstr>Ajustes</vt:lpstr>
      <vt:lpstr>Gráficos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Paim</dc:creator>
  <cp:lastModifiedBy>Bruno Paim</cp:lastModifiedBy>
  <dcterms:created xsi:type="dcterms:W3CDTF">2025-06-16T17:16:45Z</dcterms:created>
  <dcterms:modified xsi:type="dcterms:W3CDTF">2025-06-18T17:00:42Z</dcterms:modified>
</cp:coreProperties>
</file>