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316" documentId="8_{28DC32E3-402F-4AA5-AA8E-774F9A126089}" xr6:coauthVersionLast="47" xr6:coauthVersionMax="47" xr10:uidLastSave="{95389B43-9FE9-4A0B-B88F-2FE9203CC8D4}"/>
  <bookViews>
    <workbookView xWindow="28680" yWindow="-120" windowWidth="29040" windowHeight="15720" firstSheet="1" activeTab="1" xr2:uid="{908C6B46-1A3B-4C88-B3AD-0CCEA6E77C8D}"/>
  </bookViews>
  <sheets>
    <sheet name="Série Histórica IPCA" sheetId="2" state="hidden" r:id="rId1"/>
    <sheet name="Endividamento" sheetId="3" r:id="rId2"/>
  </sheets>
  <definedNames>
    <definedName name="DadosExternos_1" localSheetId="0" hidden="1">'Série Histórica IPCA'!$A$1:$D$360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3" l="1"/>
  <c r="D20" i="3" s="1"/>
  <c r="D24" i="3" s="1"/>
  <c r="E19" i="3"/>
  <c r="E20" i="3" s="1"/>
  <c r="E24" i="3" s="1"/>
  <c r="F19" i="3"/>
  <c r="F20" i="3" s="1"/>
  <c r="F30" i="3" s="1"/>
  <c r="G19" i="3"/>
  <c r="G20" i="3" s="1"/>
  <c r="G30" i="3" s="1"/>
  <c r="H19" i="3"/>
  <c r="H20" i="3" s="1"/>
  <c r="H30" i="3" s="1"/>
  <c r="I19" i="3"/>
  <c r="I20" i="3" s="1"/>
  <c r="I30" i="3" s="1"/>
  <c r="J19" i="3"/>
  <c r="J20" i="3" s="1"/>
  <c r="J24" i="3" s="1"/>
  <c r="K19" i="3"/>
  <c r="K20" i="3" s="1"/>
  <c r="K24" i="3" s="1"/>
  <c r="L19" i="3"/>
  <c r="L20" i="3" s="1"/>
  <c r="L24" i="3" s="1"/>
  <c r="M19" i="3"/>
  <c r="M20" i="3" s="1"/>
  <c r="M24" i="3" s="1"/>
  <c r="N19" i="3"/>
  <c r="N20" i="3" s="1"/>
  <c r="N24" i="3" s="1"/>
  <c r="O19" i="3"/>
  <c r="O20" i="3" s="1"/>
  <c r="O30" i="3" s="1"/>
  <c r="P19" i="3"/>
  <c r="P20" i="3" s="1"/>
  <c r="P24" i="3" s="1"/>
  <c r="Q19" i="3"/>
  <c r="Q20" i="3" s="1"/>
  <c r="Q24" i="3" s="1"/>
  <c r="R19" i="3"/>
  <c r="R20" i="3" s="1"/>
  <c r="R30" i="3" s="1"/>
  <c r="S19" i="3"/>
  <c r="S20" i="3" s="1"/>
  <c r="S30" i="3" s="1"/>
  <c r="T19" i="3"/>
  <c r="T20" i="3" s="1"/>
  <c r="T30" i="3" s="1"/>
  <c r="U19" i="3"/>
  <c r="V19" i="3"/>
  <c r="W19" i="3"/>
  <c r="W20" i="3" s="1"/>
  <c r="W24" i="3" s="1"/>
  <c r="U20" i="3"/>
  <c r="U30" i="3" s="1"/>
  <c r="V20" i="3"/>
  <c r="V30" i="3" s="1"/>
  <c r="C19" i="3"/>
  <c r="C20" i="3" s="1"/>
  <c r="C30" i="3" s="1"/>
  <c r="C41" i="3"/>
  <c r="C49" i="3" s="1"/>
  <c r="C37" i="3"/>
  <c r="B20" i="3"/>
  <c r="D27" i="3"/>
  <c r="C27" i="3"/>
  <c r="B27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C23" i="3"/>
  <c r="D23" i="3"/>
  <c r="B23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B11" i="3"/>
  <c r="W30" i="3" l="1"/>
  <c r="M30" i="3"/>
  <c r="L30" i="3"/>
  <c r="K30" i="3"/>
  <c r="C24" i="3"/>
  <c r="C38" i="3" s="1"/>
  <c r="C46" i="3" s="1"/>
  <c r="O24" i="3"/>
  <c r="Q30" i="3"/>
  <c r="P30" i="3"/>
  <c r="I24" i="3"/>
  <c r="N30" i="3"/>
  <c r="H24" i="3"/>
  <c r="U24" i="3"/>
  <c r="T24" i="3"/>
  <c r="J30" i="3"/>
  <c r="V24" i="3"/>
  <c r="E30" i="3"/>
  <c r="D30" i="3"/>
  <c r="S24" i="3"/>
  <c r="G24" i="3"/>
  <c r="R24" i="3"/>
  <c r="F24" i="3"/>
  <c r="C12" i="3"/>
  <c r="D41" i="3" l="1"/>
  <c r="D49" i="3" s="1"/>
  <c r="E41" i="3"/>
  <c r="E49" i="3" s="1"/>
  <c r="F41" i="3"/>
  <c r="F49" i="3" s="1"/>
  <c r="G41" i="3"/>
  <c r="G49" i="3" s="1"/>
  <c r="H41" i="3"/>
  <c r="H49" i="3" s="1"/>
  <c r="I41" i="3"/>
  <c r="I49" i="3" s="1"/>
  <c r="J41" i="3"/>
  <c r="J49" i="3" s="1"/>
  <c r="K41" i="3"/>
  <c r="K49" i="3" s="1"/>
  <c r="L41" i="3"/>
  <c r="L49" i="3" s="1"/>
  <c r="M41" i="3"/>
  <c r="M49" i="3" s="1"/>
  <c r="N41" i="3"/>
  <c r="N49" i="3" s="1"/>
  <c r="O41" i="3"/>
  <c r="O49" i="3" s="1"/>
  <c r="P41" i="3"/>
  <c r="P49" i="3" s="1"/>
  <c r="Q41" i="3"/>
  <c r="Q49" i="3" s="1"/>
  <c r="R41" i="3"/>
  <c r="R49" i="3" s="1"/>
  <c r="S41" i="3"/>
  <c r="S49" i="3" s="1"/>
  <c r="T41" i="3"/>
  <c r="T49" i="3" s="1"/>
  <c r="U41" i="3"/>
  <c r="U49" i="3" s="1"/>
  <c r="V41" i="3"/>
  <c r="V49" i="3" s="1"/>
  <c r="W41" i="3"/>
  <c r="W49" i="3" s="1"/>
  <c r="B41" i="3"/>
  <c r="B33" i="3" l="1"/>
  <c r="C5" i="3"/>
  <c r="W33" i="3"/>
  <c r="W13" i="3" s="1"/>
  <c r="W74" i="3" s="1"/>
  <c r="V33" i="3"/>
  <c r="V13" i="3" s="1"/>
  <c r="V74" i="3" s="1"/>
  <c r="U33" i="3"/>
  <c r="U13" i="3" s="1"/>
  <c r="U74" i="3" s="1"/>
  <c r="T33" i="3"/>
  <c r="T13" i="3" s="1"/>
  <c r="T74" i="3" s="1"/>
  <c r="S33" i="3"/>
  <c r="S13" i="3" s="1"/>
  <c r="S74" i="3" s="1"/>
  <c r="R33" i="3"/>
  <c r="Q33" i="3"/>
  <c r="Q13" i="3" s="1"/>
  <c r="Q74" i="3" s="1"/>
  <c r="P33" i="3"/>
  <c r="P13" i="3" s="1"/>
  <c r="P74" i="3" s="1"/>
  <c r="O33" i="3"/>
  <c r="O13" i="3" s="1"/>
  <c r="O74" i="3" s="1"/>
  <c r="N33" i="3"/>
  <c r="N13" i="3" s="1"/>
  <c r="N74" i="3" s="1"/>
  <c r="M33" i="3"/>
  <c r="M13" i="3" s="1"/>
  <c r="M74" i="3" s="1"/>
  <c r="L33" i="3"/>
  <c r="L13" i="3" s="1"/>
  <c r="L74" i="3" s="1"/>
  <c r="K33" i="3"/>
  <c r="K13" i="3" s="1"/>
  <c r="K74" i="3" s="1"/>
  <c r="J33" i="3"/>
  <c r="J13" i="3" s="1"/>
  <c r="J74" i="3" s="1"/>
  <c r="I33" i="3"/>
  <c r="I13" i="3" s="1"/>
  <c r="I74" i="3" s="1"/>
  <c r="H33" i="3"/>
  <c r="H13" i="3" s="1"/>
  <c r="H74" i="3" s="1"/>
  <c r="G33" i="3"/>
  <c r="G13" i="3" s="1"/>
  <c r="G74" i="3" s="1"/>
  <c r="F33" i="3"/>
  <c r="E33" i="3"/>
  <c r="E13" i="3" s="1"/>
  <c r="E74" i="3" s="1"/>
  <c r="D33" i="3"/>
  <c r="D13" i="3" s="1"/>
  <c r="D74" i="3" s="1"/>
  <c r="C33" i="3"/>
  <c r="C40" i="3" s="1"/>
  <c r="W27" i="3"/>
  <c r="V27" i="3"/>
  <c r="U27" i="3"/>
  <c r="T27" i="3"/>
  <c r="U62" i="3" s="1"/>
  <c r="S27" i="3"/>
  <c r="R27" i="3"/>
  <c r="Q27" i="3"/>
  <c r="P27" i="3"/>
  <c r="Q62" i="3" s="1"/>
  <c r="O27" i="3"/>
  <c r="N27" i="3"/>
  <c r="M27" i="3"/>
  <c r="L27" i="3"/>
  <c r="K27" i="3"/>
  <c r="J27" i="3"/>
  <c r="I27" i="3"/>
  <c r="J62" i="3" s="1"/>
  <c r="H27" i="3"/>
  <c r="I62" i="3" s="1"/>
  <c r="G27" i="3"/>
  <c r="H62" i="3" s="1"/>
  <c r="F27" i="3"/>
  <c r="E27" i="3"/>
  <c r="F62" i="3" s="1"/>
  <c r="E62" i="3"/>
  <c r="D62" i="3"/>
  <c r="W26" i="3"/>
  <c r="W29" i="3" s="1"/>
  <c r="V26" i="3"/>
  <c r="V29" i="3" s="1"/>
  <c r="U26" i="3"/>
  <c r="U29" i="3" s="1"/>
  <c r="T26" i="3"/>
  <c r="T29" i="3" s="1"/>
  <c r="S26" i="3"/>
  <c r="S29" i="3" s="1"/>
  <c r="R26" i="3"/>
  <c r="R29" i="3" s="1"/>
  <c r="Q26" i="3"/>
  <c r="Q29" i="3" s="1"/>
  <c r="P26" i="3"/>
  <c r="P29" i="3" s="1"/>
  <c r="O26" i="3"/>
  <c r="O29" i="3" s="1"/>
  <c r="N26" i="3"/>
  <c r="N29" i="3" s="1"/>
  <c r="M26" i="3"/>
  <c r="M29" i="3" s="1"/>
  <c r="L26" i="3"/>
  <c r="L29" i="3" s="1"/>
  <c r="K26" i="3"/>
  <c r="K29" i="3" s="1"/>
  <c r="J26" i="3"/>
  <c r="J29" i="3" s="1"/>
  <c r="I26" i="3"/>
  <c r="I29" i="3" s="1"/>
  <c r="H26" i="3"/>
  <c r="H29" i="3" s="1"/>
  <c r="G26" i="3"/>
  <c r="G29" i="3" s="1"/>
  <c r="F26" i="3"/>
  <c r="F29" i="3" s="1"/>
  <c r="E26" i="3"/>
  <c r="E29" i="3" s="1"/>
  <c r="D26" i="3"/>
  <c r="D29" i="3" s="1"/>
  <c r="C26" i="3"/>
  <c r="C29" i="3" s="1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C48" i="3" l="1"/>
  <c r="I6" i="3"/>
  <c r="I60" i="3" s="1"/>
  <c r="H6" i="3"/>
  <c r="H56" i="3" s="1"/>
  <c r="H75" i="3" s="1"/>
  <c r="H80" i="3"/>
  <c r="G62" i="3"/>
  <c r="G37" i="3"/>
  <c r="L37" i="3"/>
  <c r="L40" i="3" s="1"/>
  <c r="L62" i="3"/>
  <c r="O37" i="3"/>
  <c r="O40" i="3" s="1"/>
  <c r="O62" i="3"/>
  <c r="T37" i="3"/>
  <c r="T40" i="3" s="1"/>
  <c r="T62" i="3"/>
  <c r="W37" i="3"/>
  <c r="W40" i="3" s="1"/>
  <c r="W62" i="3"/>
  <c r="N37" i="3"/>
  <c r="N38" i="3" s="1"/>
  <c r="N62" i="3"/>
  <c r="R37" i="3"/>
  <c r="R40" i="3" s="1"/>
  <c r="R62" i="3"/>
  <c r="K37" i="3"/>
  <c r="K38" i="3" s="1"/>
  <c r="K62" i="3"/>
  <c r="C59" i="3"/>
  <c r="C62" i="3"/>
  <c r="M37" i="3"/>
  <c r="M38" i="3" s="1"/>
  <c r="M62" i="3"/>
  <c r="P37" i="3"/>
  <c r="P40" i="3" s="1"/>
  <c r="P62" i="3"/>
  <c r="S37" i="3"/>
  <c r="S38" i="3" s="1"/>
  <c r="S62" i="3"/>
  <c r="V37" i="3"/>
  <c r="V38" i="3" s="1"/>
  <c r="V62" i="3"/>
  <c r="C13" i="3"/>
  <c r="C74" i="3" s="1"/>
  <c r="C66" i="3"/>
  <c r="Q6" i="3"/>
  <c r="F6" i="3"/>
  <c r="F13" i="3"/>
  <c r="F74" i="3" s="1"/>
  <c r="R6" i="3"/>
  <c r="R60" i="3" s="1"/>
  <c r="R13" i="3"/>
  <c r="R74" i="3" s="1"/>
  <c r="I59" i="3"/>
  <c r="I37" i="3"/>
  <c r="P28" i="3"/>
  <c r="Q37" i="3"/>
  <c r="J59" i="3"/>
  <c r="J37" i="3"/>
  <c r="L61" i="3"/>
  <c r="T61" i="3"/>
  <c r="N61" i="3"/>
  <c r="V61" i="3"/>
  <c r="G59" i="3"/>
  <c r="D59" i="3"/>
  <c r="D37" i="3"/>
  <c r="E59" i="3"/>
  <c r="E37" i="3"/>
  <c r="T28" i="3"/>
  <c r="U37" i="3"/>
  <c r="H60" i="3"/>
  <c r="H59" i="3"/>
  <c r="H37" i="3"/>
  <c r="H40" i="3" s="1"/>
  <c r="F59" i="3"/>
  <c r="F37" i="3"/>
  <c r="P61" i="3"/>
  <c r="D6" i="3"/>
  <c r="D56" i="3" s="1"/>
  <c r="D61" i="3"/>
  <c r="D66" i="3"/>
  <c r="D70" i="3" s="1"/>
  <c r="C61" i="3"/>
  <c r="K6" i="3"/>
  <c r="K61" i="3"/>
  <c r="S6" i="3"/>
  <c r="S56" i="3" s="1"/>
  <c r="S61" i="3"/>
  <c r="L59" i="3"/>
  <c r="L66" i="3"/>
  <c r="T59" i="3"/>
  <c r="T66" i="3"/>
  <c r="M59" i="3"/>
  <c r="M66" i="3"/>
  <c r="U59" i="3"/>
  <c r="U66" i="3"/>
  <c r="U70" i="3" s="1"/>
  <c r="E61" i="3"/>
  <c r="E66" i="3"/>
  <c r="E70" i="3" s="1"/>
  <c r="M61" i="3"/>
  <c r="U61" i="3"/>
  <c r="C6" i="3"/>
  <c r="C39" i="3" s="1"/>
  <c r="V6" i="3"/>
  <c r="V56" i="3" s="1"/>
  <c r="O66" i="3"/>
  <c r="O59" i="3"/>
  <c r="W59" i="3"/>
  <c r="W66" i="3"/>
  <c r="M28" i="3"/>
  <c r="U28" i="3"/>
  <c r="G6" i="3"/>
  <c r="G56" i="3" s="1"/>
  <c r="G61" i="3"/>
  <c r="G66" i="3"/>
  <c r="O6" i="3"/>
  <c r="O61" i="3"/>
  <c r="W6" i="3"/>
  <c r="W56" i="3" s="1"/>
  <c r="W61" i="3"/>
  <c r="N59" i="3"/>
  <c r="N66" i="3"/>
  <c r="F61" i="3"/>
  <c r="F66" i="3"/>
  <c r="F70" i="3" s="1"/>
  <c r="P66" i="3"/>
  <c r="P59" i="3"/>
  <c r="H61" i="3"/>
  <c r="H66" i="3"/>
  <c r="H70" i="3" s="1"/>
  <c r="Q66" i="3"/>
  <c r="Q70" i="3" s="1"/>
  <c r="Q59" i="3"/>
  <c r="I61" i="3"/>
  <c r="I66" i="3"/>
  <c r="I70" i="3" s="1"/>
  <c r="Q61" i="3"/>
  <c r="P6" i="3"/>
  <c r="K66" i="3"/>
  <c r="K59" i="3"/>
  <c r="S59" i="3"/>
  <c r="S66" i="3"/>
  <c r="V59" i="3"/>
  <c r="V66" i="3"/>
  <c r="R66" i="3"/>
  <c r="R59" i="3"/>
  <c r="D28" i="3"/>
  <c r="J61" i="3"/>
  <c r="J66" i="3"/>
  <c r="J70" i="3" s="1"/>
  <c r="R61" i="3"/>
  <c r="N6" i="3"/>
  <c r="N56" i="3" s="1"/>
  <c r="N75" i="3" s="1"/>
  <c r="H28" i="3"/>
  <c r="M6" i="3"/>
  <c r="M56" i="3" s="1"/>
  <c r="J28" i="3"/>
  <c r="R28" i="3"/>
  <c r="T6" i="3"/>
  <c r="T56" i="3" s="1"/>
  <c r="L6" i="3"/>
  <c r="U6" i="3"/>
  <c r="U56" i="3" s="1"/>
  <c r="E6" i="3"/>
  <c r="C28" i="3"/>
  <c r="K28" i="3"/>
  <c r="S28" i="3"/>
  <c r="E28" i="3"/>
  <c r="J6" i="3"/>
  <c r="J56" i="3" s="1"/>
  <c r="G28" i="3"/>
  <c r="O28" i="3"/>
  <c r="I28" i="3"/>
  <c r="Q28" i="3"/>
  <c r="W28" i="3"/>
  <c r="L28" i="3"/>
  <c r="F28" i="3"/>
  <c r="N28" i="3"/>
  <c r="V28" i="3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  <c r="C47" i="3" l="1"/>
  <c r="C42" i="3"/>
  <c r="C50" i="3" s="1"/>
  <c r="I56" i="3"/>
  <c r="I75" i="3" s="1"/>
  <c r="I80" i="3"/>
  <c r="G70" i="3"/>
  <c r="T38" i="3"/>
  <c r="T46" i="3" s="1"/>
  <c r="S70" i="3"/>
  <c r="F80" i="3"/>
  <c r="F56" i="3"/>
  <c r="F75" i="3" s="1"/>
  <c r="Q80" i="3"/>
  <c r="Q56" i="3"/>
  <c r="Q75" i="3" s="1"/>
  <c r="P56" i="3"/>
  <c r="P75" i="3" s="1"/>
  <c r="L39" i="3"/>
  <c r="L47" i="3" s="1"/>
  <c r="L56" i="3"/>
  <c r="R80" i="3"/>
  <c r="R56" i="3"/>
  <c r="R75" i="3" s="1"/>
  <c r="E56" i="3"/>
  <c r="E75" i="3" s="1"/>
  <c r="K56" i="3"/>
  <c r="K75" i="3" s="1"/>
  <c r="O56" i="3"/>
  <c r="O75" i="3" s="1"/>
  <c r="C56" i="3"/>
  <c r="C75" i="3" s="1"/>
  <c r="L70" i="3"/>
  <c r="M40" i="3"/>
  <c r="I63" i="3"/>
  <c r="I64" i="3" s="1"/>
  <c r="V70" i="3"/>
  <c r="P70" i="3"/>
  <c r="K70" i="3"/>
  <c r="R70" i="3"/>
  <c r="M39" i="3"/>
  <c r="M47" i="3" s="1"/>
  <c r="O38" i="3"/>
  <c r="O46" i="3" s="1"/>
  <c r="L69" i="3"/>
  <c r="N40" i="3"/>
  <c r="L38" i="3"/>
  <c r="W70" i="3"/>
  <c r="V39" i="3"/>
  <c r="V47" i="3" s="1"/>
  <c r="N70" i="3"/>
  <c r="V40" i="3"/>
  <c r="F67" i="3"/>
  <c r="W38" i="3"/>
  <c r="W46" i="3" s="1"/>
  <c r="M70" i="3"/>
  <c r="T70" i="3"/>
  <c r="Q60" i="3"/>
  <c r="Q63" i="3" s="1"/>
  <c r="Q64" i="3" s="1"/>
  <c r="K40" i="3"/>
  <c r="H63" i="3"/>
  <c r="H64" i="3" s="1"/>
  <c r="C70" i="3"/>
  <c r="O70" i="3"/>
  <c r="S39" i="3"/>
  <c r="S47" i="3" s="1"/>
  <c r="R38" i="3"/>
  <c r="R46" i="3" s="1"/>
  <c r="S40" i="3"/>
  <c r="R63" i="3"/>
  <c r="R64" i="3" s="1"/>
  <c r="P38" i="3"/>
  <c r="P46" i="3" s="1"/>
  <c r="V75" i="3"/>
  <c r="T39" i="3"/>
  <c r="T47" i="3" s="1"/>
  <c r="P39" i="3"/>
  <c r="P47" i="3" s="1"/>
  <c r="F60" i="3"/>
  <c r="F63" i="3" s="1"/>
  <c r="F64" i="3" s="1"/>
  <c r="H68" i="3"/>
  <c r="I68" i="3"/>
  <c r="T69" i="3"/>
  <c r="D60" i="3"/>
  <c r="D63" i="3" s="1"/>
  <c r="D80" i="3"/>
  <c r="W60" i="3"/>
  <c r="W63" i="3" s="1"/>
  <c r="W80" i="3"/>
  <c r="O60" i="3"/>
  <c r="O80" i="3"/>
  <c r="G60" i="3"/>
  <c r="G80" i="3"/>
  <c r="D75" i="3"/>
  <c r="R39" i="3"/>
  <c r="R47" i="3" s="1"/>
  <c r="N60" i="3"/>
  <c r="N80" i="3"/>
  <c r="U60" i="3"/>
  <c r="U63" i="3" s="1"/>
  <c r="U80" i="3"/>
  <c r="M60" i="3"/>
  <c r="M68" i="3" s="1"/>
  <c r="M80" i="3"/>
  <c r="W75" i="3"/>
  <c r="W39" i="3"/>
  <c r="W47" i="3" s="1"/>
  <c r="V69" i="3"/>
  <c r="V60" i="3"/>
  <c r="V68" i="3" s="1"/>
  <c r="V80" i="3"/>
  <c r="C60" i="3"/>
  <c r="C68" i="3" s="1"/>
  <c r="C80" i="3"/>
  <c r="L60" i="3"/>
  <c r="L68" i="3" s="1"/>
  <c r="L80" i="3"/>
  <c r="S60" i="3"/>
  <c r="S68" i="3" s="1"/>
  <c r="S80" i="3"/>
  <c r="O39" i="3"/>
  <c r="O47" i="3" s="1"/>
  <c r="T60" i="3"/>
  <c r="T68" i="3" s="1"/>
  <c r="T80" i="3"/>
  <c r="J60" i="3"/>
  <c r="J68" i="3" s="1"/>
  <c r="J80" i="3"/>
  <c r="K60" i="3"/>
  <c r="K68" i="3" s="1"/>
  <c r="K80" i="3"/>
  <c r="N39" i="3"/>
  <c r="N47" i="3" s="1"/>
  <c r="P60" i="3"/>
  <c r="P68" i="3" s="1"/>
  <c r="P80" i="3"/>
  <c r="K39" i="3"/>
  <c r="K47" i="3" s="1"/>
  <c r="E60" i="3"/>
  <c r="E63" i="3" s="1"/>
  <c r="E80" i="3"/>
  <c r="N69" i="3"/>
  <c r="E67" i="3"/>
  <c r="J67" i="3"/>
  <c r="P69" i="3"/>
  <c r="G67" i="3"/>
  <c r="U69" i="3"/>
  <c r="D69" i="3"/>
  <c r="H38" i="3"/>
  <c r="H39" i="3"/>
  <c r="H47" i="3" s="1"/>
  <c r="M46" i="3"/>
  <c r="P48" i="3"/>
  <c r="N46" i="3"/>
  <c r="F38" i="3"/>
  <c r="F39" i="3"/>
  <c r="F47" i="3" s="1"/>
  <c r="F40" i="3"/>
  <c r="G40" i="3"/>
  <c r="G39" i="3"/>
  <c r="G47" i="3" s="1"/>
  <c r="G38" i="3"/>
  <c r="R48" i="3"/>
  <c r="T48" i="3"/>
  <c r="J40" i="3"/>
  <c r="J39" i="3"/>
  <c r="J47" i="3" s="1"/>
  <c r="J38" i="3"/>
  <c r="Q69" i="3"/>
  <c r="C67" i="3"/>
  <c r="O48" i="3"/>
  <c r="E39" i="3"/>
  <c r="E47" i="3" s="1"/>
  <c r="E40" i="3"/>
  <c r="E38" i="3"/>
  <c r="W48" i="3"/>
  <c r="Q40" i="3"/>
  <c r="Q39" i="3"/>
  <c r="Q47" i="3" s="1"/>
  <c r="Q38" i="3"/>
  <c r="K46" i="3"/>
  <c r="L48" i="3"/>
  <c r="S46" i="3"/>
  <c r="U39" i="3"/>
  <c r="U47" i="3" s="1"/>
  <c r="U40" i="3"/>
  <c r="U38" i="3"/>
  <c r="D39" i="3"/>
  <c r="D47" i="3" s="1"/>
  <c r="D40" i="3"/>
  <c r="D38" i="3"/>
  <c r="I40" i="3"/>
  <c r="I39" i="3"/>
  <c r="I47" i="3" s="1"/>
  <c r="I38" i="3"/>
  <c r="V46" i="3"/>
  <c r="M69" i="3"/>
  <c r="J69" i="3"/>
  <c r="F69" i="3"/>
  <c r="I67" i="3"/>
  <c r="T67" i="3"/>
  <c r="H69" i="3"/>
  <c r="G69" i="3"/>
  <c r="L67" i="3"/>
  <c r="R67" i="3"/>
  <c r="H67" i="3"/>
  <c r="W69" i="3"/>
  <c r="M67" i="3"/>
  <c r="C69" i="3"/>
  <c r="O67" i="3"/>
  <c r="P67" i="3"/>
  <c r="O69" i="3"/>
  <c r="E69" i="3"/>
  <c r="S69" i="3"/>
  <c r="V67" i="3"/>
  <c r="U75" i="3"/>
  <c r="S67" i="3"/>
  <c r="Q67" i="3"/>
  <c r="T57" i="3"/>
  <c r="T76" i="3" s="1"/>
  <c r="K67" i="3"/>
  <c r="I69" i="3"/>
  <c r="D67" i="3"/>
  <c r="K69" i="3"/>
  <c r="R69" i="3"/>
  <c r="S75" i="3"/>
  <c r="N67" i="3"/>
  <c r="R68" i="3"/>
  <c r="W67" i="3"/>
  <c r="U67" i="3"/>
  <c r="J75" i="3"/>
  <c r="N57" i="3"/>
  <c r="H57" i="3"/>
  <c r="H76" i="3" s="1"/>
  <c r="C43" i="3" l="1"/>
  <c r="C44" i="3" s="1"/>
  <c r="I57" i="3"/>
  <c r="I76" i="3" s="1"/>
  <c r="C51" i="3"/>
  <c r="O57" i="3"/>
  <c r="O58" i="3" s="1"/>
  <c r="O77" i="3" s="1"/>
  <c r="F57" i="3"/>
  <c r="F76" i="3" s="1"/>
  <c r="Q68" i="3"/>
  <c r="Q71" i="3" s="1"/>
  <c r="Q72" i="3" s="1"/>
  <c r="P57" i="3"/>
  <c r="P76" i="3" s="1"/>
  <c r="F42" i="3"/>
  <c r="F50" i="3" s="1"/>
  <c r="U68" i="3"/>
  <c r="U71" i="3" s="1"/>
  <c r="U72" i="3" s="1"/>
  <c r="W68" i="3"/>
  <c r="W71" i="3" s="1"/>
  <c r="W72" i="3" s="1"/>
  <c r="M42" i="3"/>
  <c r="M50" i="3" s="1"/>
  <c r="K57" i="3"/>
  <c r="K58" i="3" s="1"/>
  <c r="K77" i="3" s="1"/>
  <c r="S63" i="3"/>
  <c r="S64" i="3" s="1"/>
  <c r="P42" i="3"/>
  <c r="P43" i="3" s="1"/>
  <c r="P44" i="3" s="1"/>
  <c r="J71" i="3"/>
  <c r="J72" i="3" s="1"/>
  <c r="S71" i="3"/>
  <c r="S72" i="3" s="1"/>
  <c r="V48" i="3"/>
  <c r="V42" i="3"/>
  <c r="V50" i="3" s="1"/>
  <c r="Q42" i="3"/>
  <c r="Q43" i="3" s="1"/>
  <c r="Q44" i="3" s="1"/>
  <c r="R71" i="3"/>
  <c r="R72" i="3" s="1"/>
  <c r="D42" i="3"/>
  <c r="D50" i="3" s="1"/>
  <c r="R42" i="3"/>
  <c r="R43" i="3" s="1"/>
  <c r="R44" i="3" s="1"/>
  <c r="U42" i="3"/>
  <c r="U50" i="3" s="1"/>
  <c r="N48" i="3"/>
  <c r="N42" i="3"/>
  <c r="N50" i="3" s="1"/>
  <c r="G42" i="3"/>
  <c r="G50" i="3" s="1"/>
  <c r="M71" i="3"/>
  <c r="M72" i="3" s="1"/>
  <c r="P63" i="3"/>
  <c r="P64" i="3" s="1"/>
  <c r="J42" i="3"/>
  <c r="J43" i="3" s="1"/>
  <c r="J44" i="3" s="1"/>
  <c r="I71" i="3"/>
  <c r="I72" i="3" s="1"/>
  <c r="E42" i="3"/>
  <c r="E50" i="3" s="1"/>
  <c r="H42" i="3"/>
  <c r="H43" i="3" s="1"/>
  <c r="H44" i="3" s="1"/>
  <c r="T42" i="3"/>
  <c r="T43" i="3" s="1"/>
  <c r="T44" i="3" s="1"/>
  <c r="O42" i="3"/>
  <c r="S48" i="3"/>
  <c r="S42" i="3"/>
  <c r="S50" i="3" s="1"/>
  <c r="I42" i="3"/>
  <c r="I50" i="3" s="1"/>
  <c r="K48" i="3"/>
  <c r="K42" i="3"/>
  <c r="K43" i="3" s="1"/>
  <c r="K44" i="3" s="1"/>
  <c r="L42" i="3"/>
  <c r="L43" i="3" s="1"/>
  <c r="L44" i="3" s="1"/>
  <c r="M48" i="3"/>
  <c r="W42" i="3"/>
  <c r="W50" i="3" s="1"/>
  <c r="W51" i="3" s="1"/>
  <c r="P71" i="3"/>
  <c r="P72" i="3" s="1"/>
  <c r="V71" i="3"/>
  <c r="V72" i="3" s="1"/>
  <c r="H71" i="3"/>
  <c r="H72" i="3" s="1"/>
  <c r="Q57" i="3"/>
  <c r="Q76" i="3" s="1"/>
  <c r="L71" i="3"/>
  <c r="L72" i="3" s="1"/>
  <c r="F68" i="3"/>
  <c r="F71" i="3" s="1"/>
  <c r="F72" i="3" s="1"/>
  <c r="C71" i="3"/>
  <c r="C72" i="3" s="1"/>
  <c r="L63" i="3"/>
  <c r="L64" i="3" s="1"/>
  <c r="K71" i="3"/>
  <c r="K72" i="3" s="1"/>
  <c r="L46" i="3"/>
  <c r="T71" i="3"/>
  <c r="T72" i="3" s="1"/>
  <c r="T63" i="3"/>
  <c r="T64" i="3" s="1"/>
  <c r="M63" i="3"/>
  <c r="M64" i="3" s="1"/>
  <c r="K63" i="3"/>
  <c r="K64" i="3" s="1"/>
  <c r="R57" i="3"/>
  <c r="R58" i="3" s="1"/>
  <c r="R77" i="3" s="1"/>
  <c r="W64" i="3"/>
  <c r="G63" i="3"/>
  <c r="G64" i="3" s="1"/>
  <c r="N63" i="3"/>
  <c r="N64" i="3" s="1"/>
  <c r="E64" i="3"/>
  <c r="O63" i="3"/>
  <c r="O64" i="3" s="1"/>
  <c r="V63" i="3"/>
  <c r="V64" i="3" s="1"/>
  <c r="V57" i="3"/>
  <c r="V76" i="3" s="1"/>
  <c r="U64" i="3"/>
  <c r="D64" i="3"/>
  <c r="C63" i="3"/>
  <c r="C64" i="3" s="1"/>
  <c r="J63" i="3"/>
  <c r="J64" i="3" s="1"/>
  <c r="D68" i="3"/>
  <c r="D71" i="3" s="1"/>
  <c r="D57" i="3"/>
  <c r="D58" i="3" s="1"/>
  <c r="D77" i="3" s="1"/>
  <c r="O68" i="3"/>
  <c r="Q46" i="3"/>
  <c r="H46" i="3"/>
  <c r="C57" i="3"/>
  <c r="W57" i="3"/>
  <c r="W76" i="3" s="1"/>
  <c r="G68" i="3"/>
  <c r="G71" i="3" s="1"/>
  <c r="J46" i="3"/>
  <c r="E68" i="3"/>
  <c r="N68" i="3"/>
  <c r="N71" i="3" s="1"/>
  <c r="N72" i="3" s="1"/>
  <c r="D46" i="3"/>
  <c r="E46" i="3"/>
  <c r="F46" i="3"/>
  <c r="D48" i="3"/>
  <c r="E48" i="3"/>
  <c r="J48" i="3"/>
  <c r="I48" i="3"/>
  <c r="U46" i="3"/>
  <c r="Q48" i="3"/>
  <c r="G46" i="3"/>
  <c r="U48" i="3"/>
  <c r="I46" i="3"/>
  <c r="G48" i="3"/>
  <c r="F48" i="3"/>
  <c r="H48" i="3"/>
  <c r="H58" i="3"/>
  <c r="H77" i="3" s="1"/>
  <c r="M57" i="3"/>
  <c r="M76" i="3" s="1"/>
  <c r="M75" i="3"/>
  <c r="O76" i="3"/>
  <c r="T58" i="3"/>
  <c r="T77" i="3" s="1"/>
  <c r="T75" i="3"/>
  <c r="U57" i="3"/>
  <c r="U76" i="3" s="1"/>
  <c r="G57" i="3"/>
  <c r="G75" i="3"/>
  <c r="I58" i="3"/>
  <c r="I77" i="3" s="1"/>
  <c r="L57" i="3"/>
  <c r="L76" i="3" s="1"/>
  <c r="L75" i="3"/>
  <c r="N58" i="3"/>
  <c r="N77" i="3" s="1"/>
  <c r="N76" i="3"/>
  <c r="S57" i="3"/>
  <c r="S76" i="3" s="1"/>
  <c r="E57" i="3"/>
  <c r="E76" i="3" s="1"/>
  <c r="J57" i="3"/>
  <c r="J76" i="3" s="1"/>
  <c r="P58" i="3" l="1"/>
  <c r="P77" i="3" s="1"/>
  <c r="V43" i="3"/>
  <c r="V44" i="3" s="1"/>
  <c r="N51" i="3"/>
  <c r="M43" i="3"/>
  <c r="M44" i="3" s="1"/>
  <c r="F58" i="3"/>
  <c r="F77" i="3" s="1"/>
  <c r="S51" i="3"/>
  <c r="K76" i="3"/>
  <c r="V51" i="3"/>
  <c r="L50" i="3"/>
  <c r="L51" i="3" s="1"/>
  <c r="T50" i="3"/>
  <c r="T51" i="3" s="1"/>
  <c r="M51" i="3"/>
  <c r="K50" i="3"/>
  <c r="K51" i="3" s="1"/>
  <c r="Q58" i="3"/>
  <c r="Q77" i="3" s="1"/>
  <c r="O71" i="3"/>
  <c r="O72" i="3" s="1"/>
  <c r="G72" i="3"/>
  <c r="V58" i="3"/>
  <c r="V77" i="3" s="1"/>
  <c r="E71" i="3"/>
  <c r="E72" i="3" s="1"/>
  <c r="P50" i="3"/>
  <c r="P51" i="3" s="1"/>
  <c r="S43" i="3"/>
  <c r="S44" i="3" s="1"/>
  <c r="D72" i="3"/>
  <c r="U51" i="3"/>
  <c r="E51" i="3"/>
  <c r="R50" i="3"/>
  <c r="R51" i="3" s="1"/>
  <c r="R76" i="3"/>
  <c r="I43" i="3"/>
  <c r="I44" i="3" s="1"/>
  <c r="G51" i="3"/>
  <c r="N43" i="3"/>
  <c r="N44" i="3" s="1"/>
  <c r="F51" i="3"/>
  <c r="I51" i="3"/>
  <c r="W58" i="3"/>
  <c r="W77" i="3" s="1"/>
  <c r="D51" i="3"/>
  <c r="D76" i="3"/>
  <c r="D43" i="3"/>
  <c r="D44" i="3" s="1"/>
  <c r="U43" i="3"/>
  <c r="U44" i="3" s="1"/>
  <c r="O50" i="3"/>
  <c r="O51" i="3" s="1"/>
  <c r="O43" i="3"/>
  <c r="O44" i="3" s="1"/>
  <c r="F43" i="3"/>
  <c r="F44" i="3" s="1"/>
  <c r="G43" i="3"/>
  <c r="G44" i="3" s="1"/>
  <c r="C76" i="3"/>
  <c r="C58" i="3"/>
  <c r="C77" i="3" s="1"/>
  <c r="E43" i="3"/>
  <c r="E44" i="3" s="1"/>
  <c r="W43" i="3"/>
  <c r="W44" i="3" s="1"/>
  <c r="L58" i="3"/>
  <c r="L77" i="3" s="1"/>
  <c r="J50" i="3"/>
  <c r="J51" i="3" s="1"/>
  <c r="H50" i="3"/>
  <c r="H51" i="3" s="1"/>
  <c r="Q50" i="3"/>
  <c r="Q51" i="3" s="1"/>
  <c r="U58" i="3"/>
  <c r="U77" i="3" s="1"/>
  <c r="M58" i="3"/>
  <c r="M77" i="3" s="1"/>
  <c r="E58" i="3"/>
  <c r="E77" i="3" s="1"/>
  <c r="J58" i="3"/>
  <c r="J77" i="3" s="1"/>
  <c r="S58" i="3"/>
  <c r="S77" i="3" s="1"/>
  <c r="G58" i="3"/>
  <c r="G77" i="3" s="1"/>
  <c r="G7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511425-CAF9-4C9B-B948-699E69AA6EB4}" keepAlive="1" name="Consulta - Série Histórica IPCA" description="Conexão com a consulta 'Série Histórica IPCA' na pasta de trabalho." type="5" refreshedVersion="8" background="1" saveData="1">
    <dbPr connection="Provider=Microsoft.Mashup.OleDb.1;Data Source=$Workbook$;Location=&quot;Série Histórica IPCA&quot;;Extended Properties=&quot;&quot;" command="SELECT * FROM [Série Histórica IPCA]"/>
  </connection>
</connections>
</file>

<file path=xl/sharedStrings.xml><?xml version="1.0" encoding="utf-8"?>
<sst xmlns="http://schemas.openxmlformats.org/spreadsheetml/2006/main" count="72" uniqueCount="50">
  <si>
    <t>Juros (usos)</t>
  </si>
  <si>
    <t>Renda nacional disponível bruta</t>
  </si>
  <si>
    <t>Despesa de consumo final</t>
  </si>
  <si>
    <t>Juros pessoais e Transferências</t>
  </si>
  <si>
    <t>Intermediação financeira e seguros</t>
  </si>
  <si>
    <t>Dívida PF</t>
  </si>
  <si>
    <t>Mês/Ano</t>
  </si>
  <si>
    <t>NÚMERO ÍNDICE</t>
  </si>
  <si>
    <t>INFLAÇÃO NO ANO</t>
  </si>
  <si>
    <t>INFLAÇÃO 12 MESES</t>
  </si>
  <si>
    <t>ano</t>
  </si>
  <si>
    <t>inflação</t>
  </si>
  <si>
    <t>juros efetivos</t>
  </si>
  <si>
    <t>b = debt to income</t>
  </si>
  <si>
    <r>
      <rPr>
        <sz val="12"/>
        <color theme="1"/>
        <rFont val="Calibri"/>
        <family val="2"/>
      </rPr>
      <t>∆</t>
    </r>
    <r>
      <rPr>
        <sz val="12"/>
        <color theme="1"/>
        <rFont val="Times New Roman"/>
        <family val="1"/>
      </rPr>
      <t>b = change in debt to income</t>
    </r>
  </si>
  <si>
    <t>ratio of new borrowing</t>
  </si>
  <si>
    <t>borrowing = Variação Dívida PF</t>
  </si>
  <si>
    <t>d = new borrowing to income</t>
  </si>
  <si>
    <t>g = variação nominal consumo - inflação</t>
  </si>
  <si>
    <t>i*bt-1</t>
  </si>
  <si>
    <t>g*bt-1</t>
  </si>
  <si>
    <t>infl*bt-1</t>
  </si>
  <si>
    <t>dt</t>
  </si>
  <si>
    <t>SOMA</t>
  </si>
  <si>
    <t>taxa selic</t>
  </si>
  <si>
    <t>fisher effect</t>
  </si>
  <si>
    <t>deficit primario</t>
  </si>
  <si>
    <t>MASON E JAYADEV</t>
  </si>
  <si>
    <t>FAGERENG</t>
  </si>
  <si>
    <t>inadimplência</t>
  </si>
  <si>
    <t/>
  </si>
  <si>
    <t>1+g+i</t>
  </si>
  <si>
    <t>Taxa Nominal de Juros</t>
  </si>
  <si>
    <t>Taxa de Inflação</t>
  </si>
  <si>
    <t>Taxa Real de Variação da Renda</t>
  </si>
  <si>
    <t>Taxa Nominal de Variação na Renda</t>
  </si>
  <si>
    <t>taxa de inadimplência (dez)</t>
  </si>
  <si>
    <t>inadimplência*bt-1</t>
  </si>
  <si>
    <t>Transferências</t>
  </si>
  <si>
    <t>Investimento Residencial</t>
  </si>
  <si>
    <t>DADOS SEÇÃO ANTERIOR</t>
  </si>
  <si>
    <t>RNDB AJUSTADA</t>
  </si>
  <si>
    <t>JUROS</t>
  </si>
  <si>
    <t>CONSUMO E INVESTIMENTO</t>
  </si>
  <si>
    <t>Taxa de variação nominal no pagamento de juros</t>
  </si>
  <si>
    <t>Total (Consumo + Investimento Residencial)</t>
  </si>
  <si>
    <t>Taxa de variação nominal no Total consumo</t>
  </si>
  <si>
    <t>Juros Pessoais (Juros + Intermediação Financeira)</t>
  </si>
  <si>
    <t>% Intermediação Considerada</t>
  </si>
  <si>
    <t>Juros Pessoais (ajustado)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</si>
</sst>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* #,##0.0_-;\-* #,##0.0_-;_-* &quot;-&quot;??_-;_-@_-"/>
    <numFmt numFmtId="167" formatCode="_-* #,##0.0_-;\-* #,##0.0_-;_-* &quot;-&quot;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</font>
    <font>
      <sz val="12"/>
      <color theme="1"/>
      <name val="Times New Roman"/>
      <family val="2"/>
    </font>
    <font>
      <b/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1" fontId="0" fillId="0" borderId="0" xfId="0" applyNumberFormat="1"/>
    <xf numFmtId="164" fontId="0" fillId="0" borderId="0" xfId="1" applyNumberFormat="1" applyFont="1" applyFill="1" applyBorder="1"/>
    <xf numFmtId="164" fontId="0" fillId="0" borderId="0" xfId="1" applyNumberFormat="1" applyFont="1"/>
    <xf numFmtId="43" fontId="0" fillId="0" borderId="0" xfId="1" applyFont="1"/>
    <xf numFmtId="165" fontId="0" fillId="0" borderId="0" xfId="2" applyNumberFormat="1" applyFont="1"/>
    <xf numFmtId="10" fontId="0" fillId="0" borderId="0" xfId="2" applyNumberFormat="1" applyFont="1"/>
    <xf numFmtId="0" fontId="0" fillId="2" borderId="0" xfId="0" applyFill="1"/>
    <xf numFmtId="9" fontId="0" fillId="2" borderId="0" xfId="2" applyFont="1" applyFill="1" applyBorder="1"/>
    <xf numFmtId="14" fontId="0" fillId="0" borderId="0" xfId="0" applyNumberFormat="1"/>
    <xf numFmtId="14" fontId="0" fillId="0" borderId="1" xfId="0" applyNumberFormat="1" applyBorder="1"/>
    <xf numFmtId="9" fontId="0" fillId="0" borderId="0" xfId="2" applyFont="1" applyFill="1" applyBorder="1"/>
    <xf numFmtId="10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9" fontId="0" fillId="0" borderId="0" xfId="0" applyNumberFormat="1"/>
    <xf numFmtId="0" fontId="0" fillId="0" borderId="0" xfId="0" quotePrefix="1"/>
    <xf numFmtId="167" fontId="0" fillId="0" borderId="0" xfId="0" applyNumberFormat="1"/>
    <xf numFmtId="0" fontId="0" fillId="4" borderId="0" xfId="0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164" fontId="2" fillId="0" borderId="0" xfId="1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0" fontId="2" fillId="6" borderId="0" xfId="0" applyFont="1" applyFill="1" applyAlignment="1">
      <alignment horizontal="center"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1">
    <dxf>
      <numFmt numFmtId="19" formatCode="dd/mm/yyyy"/>
    </dxf>
  </dxfs>
  <tableStyles count="0" defaultTableStyle="TableStyleMedium2" defaultPivotStyle="PivotStyleLight16"/>
  <colors>
    <mruColors>
      <color rgb="FFBE3030"/>
      <color rgb="FFF27E7E"/>
      <color rgb="FFFF09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856209150326793E-2"/>
          <c:y val="3.132013888888889E-2"/>
          <c:w val="0.89846732026143794"/>
          <c:h val="0.59003020833333331"/>
        </c:manualLayout>
      </c:layout>
      <c:lineChart>
        <c:grouping val="standard"/>
        <c:varyColors val="0"/>
        <c:ser>
          <c:idx val="0"/>
          <c:order val="0"/>
          <c:tx>
            <c:strRef>
              <c:f>Endividamento!$A$5</c:f>
              <c:strCache>
                <c:ptCount val="1"/>
                <c:pt idx="0">
                  <c:v>Taxa Nominal de Variação na Renda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Endividamento!$B$5:$W$5</c15:sqref>
                  </c15:fullRef>
                </c:ext>
              </c:extLst>
              <c:f>Endividamento!$C$5:$W$5</c:f>
              <c:numCache>
                <c:formatCode>0.0%</c:formatCode>
                <c:ptCount val="21"/>
                <c:pt idx="0">
                  <c:v>9.351484136224153E-2</c:v>
                </c:pt>
                <c:pt idx="1">
                  <c:v>9.7492719746661294E-2</c:v>
                </c:pt>
                <c:pt idx="2">
                  <c:v>0.13888364303639422</c:v>
                </c:pt>
                <c:pt idx="3">
                  <c:v>0.11455743559376885</c:v>
                </c:pt>
                <c:pt idx="4">
                  <c:v>0.12427124383731925</c:v>
                </c:pt>
                <c:pt idx="5">
                  <c:v>0.11746464272146784</c:v>
                </c:pt>
                <c:pt idx="6">
                  <c:v>0.13527283682707081</c:v>
                </c:pt>
                <c:pt idx="7">
                  <c:v>0.15974698382086117</c:v>
                </c:pt>
                <c:pt idx="8">
                  <c:v>0.13108225228265025</c:v>
                </c:pt>
                <c:pt idx="9">
                  <c:v>0.13063199954794502</c:v>
                </c:pt>
                <c:pt idx="10">
                  <c:v>0.15497183034643758</c:v>
                </c:pt>
                <c:pt idx="11">
                  <c:v>0.10010127839214977</c:v>
                </c:pt>
                <c:pt idx="12">
                  <c:v>0.11837226766072195</c:v>
                </c:pt>
                <c:pt idx="13">
                  <c:v>0.10758947993657508</c:v>
                </c:pt>
                <c:pt idx="14">
                  <c:v>6.8621146542665601E-2</c:v>
                </c:pt>
                <c:pt idx="15">
                  <c:v>6.8183646932401309E-2</c:v>
                </c:pt>
                <c:pt idx="16">
                  <c:v>5.7084747282920123E-2</c:v>
                </c:pt>
                <c:pt idx="17">
                  <c:v>2.9730033642300535E-2</c:v>
                </c:pt>
                <c:pt idx="18">
                  <c:v>4.8313374125727115E-2</c:v>
                </c:pt>
                <c:pt idx="19">
                  <c:v>6.9712354092794415E-2</c:v>
                </c:pt>
                <c:pt idx="20">
                  <c:v>6.0052580094553054E-2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4-4D89-888F-A051272E67EE}"/>
            </c:ext>
          </c:extLst>
        </c:ser>
        <c:ser>
          <c:idx val="1"/>
          <c:order val="1"/>
          <c:tx>
            <c:strRef>
              <c:f>Endividamento!$A$24</c:f>
              <c:strCache>
                <c:ptCount val="1"/>
                <c:pt idx="0">
                  <c:v>Taxa Nominal de Juros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Endividamento!$B$24:$W$24</c15:sqref>
                  </c15:fullRef>
                </c:ext>
              </c:extLst>
              <c:f>Endividamento!$C$24:$W$24</c:f>
              <c:numCache>
                <c:formatCode>0%</c:formatCode>
                <c:ptCount val="21"/>
                <c:pt idx="0">
                  <c:v>0.16234819151866234</c:v>
                </c:pt>
                <c:pt idx="1">
                  <c:v>0.15599324006767767</c:v>
                </c:pt>
                <c:pt idx="2">
                  <c:v>0.18531684653763136</c:v>
                </c:pt>
                <c:pt idx="3">
                  <c:v>0.1534273519601162</c:v>
                </c:pt>
                <c:pt idx="4">
                  <c:v>0.21905474877840991</c:v>
                </c:pt>
                <c:pt idx="5">
                  <c:v>0.24117729828270296</c:v>
                </c:pt>
                <c:pt idx="6">
                  <c:v>0.24334821567710765</c:v>
                </c:pt>
                <c:pt idx="7">
                  <c:v>0.27261367093883504</c:v>
                </c:pt>
                <c:pt idx="8">
                  <c:v>0.32674607319552312</c:v>
                </c:pt>
                <c:pt idx="9">
                  <c:v>0.2891728752098775</c:v>
                </c:pt>
                <c:pt idx="10">
                  <c:v>0.32204300867366076</c:v>
                </c:pt>
                <c:pt idx="11">
                  <c:v>0.27383414460534855</c:v>
                </c:pt>
                <c:pt idx="12">
                  <c:v>0.22575619779817571</c:v>
                </c:pt>
                <c:pt idx="13">
                  <c:v>0.23973244157864912</c:v>
                </c:pt>
                <c:pt idx="14">
                  <c:v>0.25555606557608584</c:v>
                </c:pt>
                <c:pt idx="15">
                  <c:v>0.25531619280656259</c:v>
                </c:pt>
                <c:pt idx="16">
                  <c:v>0.22030775623198084</c:v>
                </c:pt>
                <c:pt idx="17">
                  <c:v>0.16745173061424126</c:v>
                </c:pt>
                <c:pt idx="18">
                  <c:v>0.14595677158467399</c:v>
                </c:pt>
                <c:pt idx="19">
                  <c:v>0.10164716124471132</c:v>
                </c:pt>
                <c:pt idx="20">
                  <c:v>0.12510274726427734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4-4D89-888F-A051272E67EE}"/>
            </c:ext>
          </c:extLst>
        </c:ser>
        <c:ser>
          <c:idx val="2"/>
          <c:order val="2"/>
          <c:tx>
            <c:strRef>
              <c:f>Endividamento!$A$33</c:f>
              <c:strCache>
                <c:ptCount val="1"/>
                <c:pt idx="0">
                  <c:v>Taxa de Inflação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Endividamento!$B$33:$W$33</c15:sqref>
                  </c15:fullRef>
                </c:ext>
              </c:extLst>
              <c:f>Endividamento!$C$33:$W$33</c:f>
              <c:numCache>
                <c:formatCode>0.00%</c:formatCode>
                <c:ptCount val="21"/>
                <c:pt idx="0">
                  <c:v>5.9699999999999996E-2</c:v>
                </c:pt>
                <c:pt idx="1">
                  <c:v>7.6700000000000004E-2</c:v>
                </c:pt>
                <c:pt idx="2">
                  <c:v>0.12529999999999999</c:v>
                </c:pt>
                <c:pt idx="3">
                  <c:v>9.3000000000000013E-2</c:v>
                </c:pt>
                <c:pt idx="4">
                  <c:v>7.5999999999999998E-2</c:v>
                </c:pt>
                <c:pt idx="5">
                  <c:v>5.6900000000000006E-2</c:v>
                </c:pt>
                <c:pt idx="6">
                  <c:v>3.1400000000000004E-2</c:v>
                </c:pt>
                <c:pt idx="7">
                  <c:v>4.4600000000000001E-2</c:v>
                </c:pt>
                <c:pt idx="8">
                  <c:v>5.9000000000000004E-2</c:v>
                </c:pt>
                <c:pt idx="9">
                  <c:v>4.3099999999999999E-2</c:v>
                </c:pt>
                <c:pt idx="10">
                  <c:v>5.91E-2</c:v>
                </c:pt>
                <c:pt idx="11">
                  <c:v>6.5000000000000002E-2</c:v>
                </c:pt>
                <c:pt idx="12">
                  <c:v>5.8400000000000001E-2</c:v>
                </c:pt>
                <c:pt idx="13">
                  <c:v>5.91E-2</c:v>
                </c:pt>
                <c:pt idx="14">
                  <c:v>6.4100000000000004E-2</c:v>
                </c:pt>
                <c:pt idx="15">
                  <c:v>0.1067</c:v>
                </c:pt>
                <c:pt idx="16">
                  <c:v>6.2899999999999998E-2</c:v>
                </c:pt>
                <c:pt idx="17">
                  <c:v>2.9500000000000002E-2</c:v>
                </c:pt>
                <c:pt idx="18">
                  <c:v>3.7499999999999999E-2</c:v>
                </c:pt>
                <c:pt idx="19">
                  <c:v>4.3099999999999999E-2</c:v>
                </c:pt>
                <c:pt idx="20">
                  <c:v>4.5199999999999997E-2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4-4D89-888F-A051272E67EE}"/>
            </c:ext>
          </c:extLst>
        </c:ser>
        <c:ser>
          <c:idx val="3"/>
          <c:order val="3"/>
          <c:tx>
            <c:strRef>
              <c:f>Endividamento!$A$6</c:f>
              <c:strCache>
                <c:ptCount val="1"/>
                <c:pt idx="0">
                  <c:v>Taxa Real de Variação da Renda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Endividamento!$B$6:$W$6</c15:sqref>
                  </c15:fullRef>
                </c:ext>
              </c:extLst>
              <c:f>Endividamento!$C$6:$W$6</c:f>
              <c:numCache>
                <c:formatCode>0.0%</c:formatCode>
                <c:ptCount val="21"/>
                <c:pt idx="0">
                  <c:v>3.1909824820459898E-2</c:v>
                </c:pt>
                <c:pt idx="1">
                  <c:v>1.9311525723656908E-2</c:v>
                </c:pt>
                <c:pt idx="2">
                  <c:v>1.2071130397577789E-2</c:v>
                </c:pt>
                <c:pt idx="3">
                  <c:v>1.9723179866211193E-2</c:v>
                </c:pt>
                <c:pt idx="4">
                  <c:v>4.4861750778177667E-2</c:v>
                </c:pt>
                <c:pt idx="5">
                  <c:v>5.7304042692277513E-2</c:v>
                </c:pt>
                <c:pt idx="6">
                  <c:v>0.10071052630121247</c:v>
                </c:pt>
                <c:pt idx="7">
                  <c:v>0.11023069483138159</c:v>
                </c:pt>
                <c:pt idx="8">
                  <c:v>6.8066338321671749E-2</c:v>
                </c:pt>
                <c:pt idx="9">
                  <c:v>8.3915252179028954E-2</c:v>
                </c:pt>
                <c:pt idx="10">
                  <c:v>9.0521981254308104E-2</c:v>
                </c:pt>
                <c:pt idx="11">
                  <c:v>3.2958946847089221E-2</c:v>
                </c:pt>
                <c:pt idx="12">
                  <c:v>5.6663140269011425E-2</c:v>
                </c:pt>
                <c:pt idx="13">
                  <c:v>4.5783665316377231E-2</c:v>
                </c:pt>
                <c:pt idx="14">
                  <c:v>4.2487985552726037E-3</c:v>
                </c:pt>
                <c:pt idx="15">
                  <c:v>-3.4802885215142854E-2</c:v>
                </c:pt>
                <c:pt idx="16">
                  <c:v>-5.4711193123341273E-3</c:v>
                </c:pt>
                <c:pt idx="17">
                  <c:v>2.2344210034042078E-4</c:v>
                </c:pt>
                <c:pt idx="18">
                  <c:v>1.0422529277809067E-2</c:v>
                </c:pt>
                <c:pt idx="19">
                  <c:v>2.5512754379057201E-2</c:v>
                </c:pt>
                <c:pt idx="20">
                  <c:v>1.4210275635814451E-2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4-4D89-888F-A051272E67EE}"/>
            </c:ext>
          </c:extLst>
        </c:ser>
        <c:ser>
          <c:idx val="4"/>
          <c:order val="4"/>
          <c:tx>
            <c:v>Inadimplência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Endividamento!$B$34:$W$34</c15:sqref>
                  </c15:fullRef>
                </c:ext>
              </c:extLst>
              <c:f>Endividamento!$C$34:$W$34</c:f>
              <c:numCache>
                <c:formatCode>0.00%</c:formatCode>
                <c:ptCount val="21"/>
                <c:pt idx="0">
                  <c:v>5.8207320000000007E-2</c:v>
                </c:pt>
                <c:pt idx="1">
                  <c:v>5.9042880000000013E-2</c:v>
                </c:pt>
                <c:pt idx="2">
                  <c:v>5.5092959999999996E-2</c:v>
                </c:pt>
                <c:pt idx="3">
                  <c:v>4.6509480000000006E-2</c:v>
                </c:pt>
                <c:pt idx="4">
                  <c:v>5.1143040000000008E-2</c:v>
                </c:pt>
                <c:pt idx="5">
                  <c:v>5.7447720000000008E-2</c:v>
                </c:pt>
                <c:pt idx="6">
                  <c:v>5.3193960000000005E-2</c:v>
                </c:pt>
                <c:pt idx="7">
                  <c:v>6.0030360000000005E-2</c:v>
                </c:pt>
                <c:pt idx="8">
                  <c:v>5.851116E-2</c:v>
                </c:pt>
                <c:pt idx="9">
                  <c:v>4.3091280000000003E-2</c:v>
                </c:pt>
                <c:pt idx="10">
                  <c:v>5.2199999999999996E-2</c:v>
                </c:pt>
                <c:pt idx="11">
                  <c:v>5.0999999999999997E-2</c:v>
                </c:pt>
                <c:pt idx="12">
                  <c:v>4.0599999999999997E-2</c:v>
                </c:pt>
                <c:pt idx="13">
                  <c:v>3.6699999999999997E-2</c:v>
                </c:pt>
                <c:pt idx="14">
                  <c:v>4.2300000000000004E-2</c:v>
                </c:pt>
                <c:pt idx="15">
                  <c:v>3.95E-2</c:v>
                </c:pt>
                <c:pt idx="16">
                  <c:v>3.5299999999999998E-2</c:v>
                </c:pt>
                <c:pt idx="17">
                  <c:v>3.2500000000000001E-2</c:v>
                </c:pt>
                <c:pt idx="18">
                  <c:v>3.5099999999999999E-2</c:v>
                </c:pt>
                <c:pt idx="19">
                  <c:v>2.8500000000000001E-2</c:v>
                </c:pt>
                <c:pt idx="2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C-4F29-9A8E-F1521430B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1383920"/>
        <c:axId val="1181555248"/>
      </c:lineChart>
      <c:catAx>
        <c:axId val="11613839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181555248"/>
        <c:crosses val="autoZero"/>
        <c:auto val="1"/>
        <c:lblAlgn val="ctr"/>
        <c:lblOffset val="100"/>
        <c:noMultiLvlLbl val="0"/>
      </c:catAx>
      <c:valAx>
        <c:axId val="118155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16138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FISHER -</a:t>
            </a:r>
            <a:r>
              <a:rPr lang="pt-BR" baseline="0"/>
              <a:t> A PARTIR DE DADOS ABSOLUTOS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Endividamento!$A$46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Endividamento!$B$46:$X$46</c:f>
              <c:numCache>
                <c:formatCode>0.00%</c:formatCode>
                <c:ptCount val="23"/>
                <c:pt idx="1">
                  <c:v>2.4596370487349938E-2</c:v>
                </c:pt>
                <c:pt idx="2">
                  <c:v>2.4514104911570411E-2</c:v>
                </c:pt>
                <c:pt idx="3">
                  <c:v>2.9370584991259878E-2</c:v>
                </c:pt>
                <c:pt idx="4" formatCode="0.0%">
                  <c:v>2.5276864288346461E-2</c:v>
                </c:pt>
                <c:pt idx="5" formatCode="0.0%">
                  <c:v>3.9532664238472195E-2</c:v>
                </c:pt>
                <c:pt idx="6" formatCode="0.0%">
                  <c:v>4.9493009011825344E-2</c:v>
                </c:pt>
                <c:pt idx="7" formatCode="0.0%">
                  <c:v>5.4914075109565107E-2</c:v>
                </c:pt>
                <c:pt idx="8" formatCode="0.0%">
                  <c:v>7.2937161234564465E-2</c:v>
                </c:pt>
                <c:pt idx="9" formatCode="0.0%">
                  <c:v>9.3242690036175357E-2</c:v>
                </c:pt>
                <c:pt idx="10" formatCode="0.0%">
                  <c:v>8.5568362969940415E-2</c:v>
                </c:pt>
                <c:pt idx="11" formatCode="0.0%">
                  <c:v>0.10436057792935033</c:v>
                </c:pt>
                <c:pt idx="12" formatCode="0.0%">
                  <c:v>9.1270879527516141E-2</c:v>
                </c:pt>
                <c:pt idx="13" formatCode="0.0%">
                  <c:v>7.9893686202522116E-2</c:v>
                </c:pt>
                <c:pt idx="14" formatCode="0.0%">
                  <c:v>8.8044580954006885E-2</c:v>
                </c:pt>
                <c:pt idx="15" formatCode="0.0%">
                  <c:v>9.6044967423652844E-2</c:v>
                </c:pt>
                <c:pt idx="16" formatCode="0.0%">
                  <c:v>9.6298817315230725E-2</c:v>
                </c:pt>
                <c:pt idx="17" formatCode="0.0%">
                  <c:v>8.0377346701867372E-2</c:v>
                </c:pt>
                <c:pt idx="18" formatCode="0.0%">
                  <c:v>6.1145689326269514E-2</c:v>
                </c:pt>
                <c:pt idx="19" formatCode="0.0%">
                  <c:v>5.6211973808617983E-2</c:v>
                </c:pt>
                <c:pt idx="20" formatCode="0.0%">
                  <c:v>4.1775560637064564E-2</c:v>
                </c:pt>
                <c:pt idx="21" formatCode="0.0%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2-4E22-A85E-85904758D7A9}"/>
            </c:ext>
          </c:extLst>
        </c:ser>
        <c:ser>
          <c:idx val="1"/>
          <c:order val="1"/>
          <c:tx>
            <c:strRef>
              <c:f>Endividamento!$A$47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Endividamento!$B$47:$X$47</c:f>
              <c:numCache>
                <c:formatCode>0.00%</c:formatCode>
                <c:ptCount val="23"/>
                <c:pt idx="1">
                  <c:v>-4.8344602186729257E-3</c:v>
                </c:pt>
                <c:pt idx="2">
                  <c:v>-3.0347774518102799E-3</c:v>
                </c:pt>
                <c:pt idx="3">
                  <c:v>-1.9131350867803872E-3</c:v>
                </c:pt>
                <c:pt idx="4" formatCode="0.0%">
                  <c:v>-3.2493563529823826E-3</c:v>
                </c:pt>
                <c:pt idx="5" formatCode="0.0%">
                  <c:v>-8.0961702065530088E-3</c:v>
                </c:pt>
                <c:pt idx="6" formatCode="0.0%">
                  <c:v>-1.1759603916196295E-2</c:v>
                </c:pt>
                <c:pt idx="7" formatCode="0.0%">
                  <c:v>-2.2726385686619499E-2</c:v>
                </c:pt>
                <c:pt idx="8" formatCode="0.0%">
                  <c:v>-2.9491969108616078E-2</c:v>
                </c:pt>
                <c:pt idx="9" formatCode="0.0%">
                  <c:v>-1.9423916633352342E-2</c:v>
                </c:pt>
                <c:pt idx="10" formatCode="0.0%">
                  <c:v>-2.483113518844994E-2</c:v>
                </c:pt>
                <c:pt idx="11" formatCode="0.0%">
                  <c:v>-2.9334362257751614E-2</c:v>
                </c:pt>
                <c:pt idx="12" formatCode="0.0%">
                  <c:v>-1.0985452787014247E-2</c:v>
                </c:pt>
                <c:pt idx="13" formatCode="0.0%">
                  <c:v>-2.005272587000699E-2</c:v>
                </c:pt>
                <c:pt idx="14" formatCode="0.0%">
                  <c:v>-1.6814593806222425E-2</c:v>
                </c:pt>
                <c:pt idx="15" formatCode="0.0%">
                  <c:v>-1.5968148433922634E-3</c:v>
                </c:pt>
                <c:pt idx="16" formatCode="0.0%">
                  <c:v>1.3126769001742063E-2</c:v>
                </c:pt>
                <c:pt idx="17" formatCode="0.0%">
                  <c:v>1.9960897488861345E-3</c:v>
                </c:pt>
                <c:pt idx="18" formatCode="0.0%">
                  <c:v>-8.1590803509214686E-5</c:v>
                </c:pt>
                <c:pt idx="19" formatCode="0.0%">
                  <c:v>-4.0140031628739872E-3</c:v>
                </c:pt>
                <c:pt idx="20" formatCode="0.0%">
                  <c:v>-1.0485384978090498E-2</c:v>
                </c:pt>
                <c:pt idx="21" formatCode="0.0%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D2-4E22-A85E-85904758D7A9}"/>
            </c:ext>
          </c:extLst>
        </c:ser>
        <c:ser>
          <c:idx val="2"/>
          <c:order val="2"/>
          <c:tx>
            <c:strRef>
              <c:f>Endividamento!$A$48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Endividamento!$B$48:$X$48</c:f>
              <c:numCache>
                <c:formatCode>0.00%</c:formatCode>
                <c:ptCount val="23"/>
                <c:pt idx="1">
                  <c:v>-9.0447777973923071E-3</c:v>
                </c:pt>
                <c:pt idx="2">
                  <c:v>-1.2053290552216954E-2</c:v>
                </c:pt>
                <c:pt idx="3">
                  <c:v>-1.9858606317572733E-2</c:v>
                </c:pt>
                <c:pt idx="4" formatCode="0.0%">
                  <c:v>-1.5321573036255644E-2</c:v>
                </c:pt>
                <c:pt idx="5" formatCode="0.0%">
                  <c:v>-1.3715669251083631E-2</c:v>
                </c:pt>
                <c:pt idx="6" formatCode="0.0%">
                  <c:v>-1.167668861383391E-2</c:v>
                </c:pt>
                <c:pt idx="7" formatCode="0.0%">
                  <c:v>-7.085739065900017E-3</c:v>
                </c:pt>
                <c:pt idx="8" formatCode="0.0%">
                  <c:v>-1.1932627515923198E-2</c:v>
                </c:pt>
                <c:pt idx="9" formatCode="0.0%">
                  <c:v>-1.6836678887468638E-2</c:v>
                </c:pt>
                <c:pt idx="10" formatCode="0.0%">
                  <c:v>-1.2753604366688048E-2</c:v>
                </c:pt>
                <c:pt idx="11" formatCode="0.0%">
                  <c:v>-1.9151821308049558E-2</c:v>
                </c:pt>
                <c:pt idx="12" formatCode="0.0%">
                  <c:v>-2.1664965038741459E-2</c:v>
                </c:pt>
                <c:pt idx="13" formatCode="0.0%">
                  <c:v>-2.0667389510158535E-2</c:v>
                </c:pt>
                <c:pt idx="14" formatCode="0.0%">
                  <c:v>-2.170517557038568E-2</c:v>
                </c:pt>
                <c:pt idx="15" formatCode="0.0%">
                  <c:v>-2.4090535272477023E-2</c:v>
                </c:pt>
                <c:pt idx="16" formatCode="0.0%">
                  <c:v>-4.02445442045265E-2</c:v>
                </c:pt>
                <c:pt idx="17" formatCode="0.0%">
                  <c:v>-2.2948511636711699E-2</c:v>
                </c:pt>
                <c:pt idx="18" formatCode="0.0%">
                  <c:v>-1.0772046538475985E-2</c:v>
                </c:pt>
                <c:pt idx="19" formatCode="0.0%">
                  <c:v>-1.4442283115314654E-2</c:v>
                </c:pt>
                <c:pt idx="20" formatCode="0.0%">
                  <c:v>-1.7713496780522867E-2</c:v>
                </c:pt>
                <c:pt idx="21" formatCode="0.0%">
                  <c:v>-1.9283070427288312E-2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D2-4E22-A85E-85904758D7A9}"/>
            </c:ext>
          </c:extLst>
        </c:ser>
        <c:ser>
          <c:idx val="3"/>
          <c:order val="3"/>
          <c:tx>
            <c:strRef>
              <c:f>Endividamento!$A$50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Endividamento!$B$50:$X$50</c:f>
              <c:numCache>
                <c:formatCode>0.00%</c:formatCode>
                <c:ptCount val="23"/>
                <c:pt idx="1">
                  <c:v>4.0747531626315701E-3</c:v>
                </c:pt>
                <c:pt idx="2">
                  <c:v>1.2715496331128157E-3</c:v>
                </c:pt>
                <c:pt idx="3">
                  <c:v>7.737235711348097E-3</c:v>
                </c:pt>
                <c:pt idx="4" formatCode="0.0%">
                  <c:v>1.7408834986898731E-2</c:v>
                </c:pt>
                <c:pt idx="5" formatCode="0.0%">
                  <c:v>1.751933271637264E-2</c:v>
                </c:pt>
                <c:pt idx="6" formatCode="0.0%">
                  <c:v>7.353232243447215E-3</c:v>
                </c:pt>
                <c:pt idx="7" formatCode="0.0%">
                  <c:v>3.1017193754264434E-2</c:v>
                </c:pt>
                <c:pt idx="8" formatCode="0.0%">
                  <c:v>3.4378820915656316E-3</c:v>
                </c:pt>
                <c:pt idx="9" formatCode="0.0%">
                  <c:v>-2.9128360377331068E-2</c:v>
                </c:pt>
                <c:pt idx="10" formatCode="0.0%">
                  <c:v>-5.8689578715561781E-3</c:v>
                </c:pt>
                <c:pt idx="11" formatCode="0.0%">
                  <c:v>-2.9226496612613943E-2</c:v>
                </c:pt>
                <c:pt idx="12" formatCode="0.0%">
                  <c:v>-1.9985383692282341E-2</c:v>
                </c:pt>
                <c:pt idx="13" formatCode="0.0%">
                  <c:v>-1.0894541563681462E-2</c:v>
                </c:pt>
                <c:pt idx="14" formatCode="0.0%">
                  <c:v>-2.7166417245463349E-2</c:v>
                </c:pt>
                <c:pt idx="15" formatCode="0.0%">
                  <c:v>-5.305577455837026E-2</c:v>
                </c:pt>
                <c:pt idx="16" formatCode="0.0%">
                  <c:v>-6.710334693539928E-2</c:v>
                </c:pt>
                <c:pt idx="17" formatCode="0.0%">
                  <c:v>-4.6222066922969034E-2</c:v>
                </c:pt>
                <c:pt idx="18" formatCode="0.0%">
                  <c:v>-1.7801976824292694E-2</c:v>
                </c:pt>
                <c:pt idx="19" formatCode="0.0%">
                  <c:v>2.5283756633273178E-3</c:v>
                </c:pt>
                <c:pt idx="20" formatCode="0.0%">
                  <c:v>1.4212492474367013E-2</c:v>
                </c:pt>
                <c:pt idx="21" formatCode="0.0%">
                  <c:v>4.6727953535458583E-2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D2-4E22-A85E-85904758D7A9}"/>
            </c:ext>
          </c:extLst>
        </c:ser>
        <c:ser>
          <c:idx val="5"/>
          <c:order val="5"/>
          <c:tx>
            <c:strRef>
              <c:f>Endividamento!$A$49</c:f>
              <c:strCache>
                <c:ptCount val="1"/>
                <c:pt idx="0">
                  <c:v>inadimplência*bt-1</c:v>
                </c:pt>
              </c:strCache>
            </c:strRef>
          </c:tx>
          <c:spPr>
            <a:solidFill>
              <a:srgbClr val="BE3030"/>
            </a:solidFill>
            <a:ln>
              <a:noFill/>
            </a:ln>
            <a:effectLst/>
          </c:spPr>
          <c:invertIfNegative val="0"/>
          <c:val>
            <c:numRef>
              <c:f>Endividamento!$B$49:$W$49</c:f>
              <c:numCache>
                <c:formatCode>0.00%</c:formatCode>
                <c:ptCount val="22"/>
                <c:pt idx="1">
                  <c:v>-9.1471934840400126E-3</c:v>
                </c:pt>
                <c:pt idx="2">
                  <c:v>-9.3576161993271269E-3</c:v>
                </c:pt>
                <c:pt idx="3">
                  <c:v>-9.0764603271345241E-3</c:v>
                </c:pt>
                <c:pt idx="4" formatCode="0.0%">
                  <c:v>-8.3935347989459123E-3</c:v>
                </c:pt>
                <c:pt idx="5" formatCode="0.0%">
                  <c:v>-1.0495278608872623E-2</c:v>
                </c:pt>
                <c:pt idx="6" formatCode="0.0%">
                  <c:v>-1.2963680058945406E-2</c:v>
                </c:pt>
                <c:pt idx="7" formatCode="0.0%">
                  <c:v>-1.4231921766298613E-2</c:v>
                </c:pt>
                <c:pt idx="8" formatCode="0.0%">
                  <c:v>-1.7130710081680368E-2</c:v>
                </c:pt>
                <c:pt idx="9" formatCode="0.0%">
                  <c:v>-1.7313879018004245E-2</c:v>
                </c:pt>
                <c:pt idx="10" formatCode="0.0%">
                  <c:v>-1.3964069280797457E-2</c:v>
                </c:pt>
                <c:pt idx="11" formatCode="0.0%">
                  <c:v>-1.7398633461881603E-2</c:v>
                </c:pt>
                <c:pt idx="12" formatCode="0.0%">
                  <c:v>-1.8048576455789129E-2</c:v>
                </c:pt>
                <c:pt idx="13" formatCode="0.0%">
                  <c:v>-1.4910831271703191E-2</c:v>
                </c:pt>
                <c:pt idx="14" formatCode="0.0%">
                  <c:v>-1.3792864968797294E-2</c:v>
                </c:pt>
                <c:pt idx="15" formatCode="0.0%">
                  <c:v>-1.5954491282581737E-2</c:v>
                </c:pt>
                <c:pt idx="16" formatCode="0.0%">
                  <c:v>-1.4411227498411961E-2</c:v>
                </c:pt>
                <c:pt idx="17" formatCode="0.0%">
                  <c:v>-1.2889940434176347E-2</c:v>
                </c:pt>
                <c:pt idx="18" formatCode="0.0%">
                  <c:v>-1.2516645366606034E-2</c:v>
                </c:pt>
                <c:pt idx="19" formatCode="0.0%">
                  <c:v>-1.4425608747015142E-2</c:v>
                </c:pt>
                <c:pt idx="20" formatCode="0.0%">
                  <c:v>-1.2158573167648607E-2</c:v>
                </c:pt>
                <c:pt idx="21" formatCode="0.0%">
                  <c:v>-1.4603011309420049E-2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A5-46D5-BEDB-53C5FB287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strRef>
              <c:f>Endividamento!$A$28</c:f>
              <c:strCache>
                <c:ptCount val="1"/>
                <c:pt idx="0">
                  <c:v>∆b = change in debt to income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Endividamento!$B$51:$W$51</c:f>
              <c:numCache>
                <c:formatCode>0.00%</c:formatCode>
                <c:ptCount val="22"/>
                <c:pt idx="1">
                  <c:v>5.6446921498762622E-3</c:v>
                </c:pt>
                <c:pt idx="2">
                  <c:v>1.3399703413288671E-3</c:v>
                </c:pt>
                <c:pt idx="3">
                  <c:v>6.2596189711203298E-3</c:v>
                </c:pt>
                <c:pt idx="4">
                  <c:v>1.5721235087061254E-2</c:v>
                </c:pt>
                <c:pt idx="5">
                  <c:v>2.474487888833557E-2</c:v>
                </c:pt>
                <c:pt idx="6">
                  <c:v>2.0446268666296948E-2</c:v>
                </c:pt>
                <c:pt idx="7">
                  <c:v>4.188722234501141E-2</c:v>
                </c:pt>
                <c:pt idx="8">
                  <c:v>1.7819736619910452E-2</c:v>
                </c:pt>
                <c:pt idx="9">
                  <c:v>1.0539855120019072E-2</c:v>
                </c:pt>
                <c:pt idx="10">
                  <c:v>2.8150596262448788E-2</c:v>
                </c:pt>
                <c:pt idx="11">
                  <c:v>9.2492642890536145E-3</c:v>
                </c:pt>
                <c:pt idx="12">
                  <c:v>2.0586501553688959E-2</c:v>
                </c:pt>
                <c:pt idx="13">
                  <c:v>1.3368197986971938E-2</c:v>
                </c:pt>
                <c:pt idx="14">
                  <c:v>8.5655293631381399E-3</c:v>
                </c:pt>
                <c:pt idx="15">
                  <c:v>1.3473514668315631E-3</c:v>
                </c:pt>
                <c:pt idx="16">
                  <c:v>-1.2333532321364957E-2</c:v>
                </c:pt>
                <c:pt idx="17">
                  <c:v>3.129174568964263E-4</c:v>
                </c:pt>
                <c:pt idx="18">
                  <c:v>1.9973429793385587E-2</c:v>
                </c:pt>
                <c:pt idx="19">
                  <c:v>2.5858454446741515E-2</c:v>
                </c:pt>
                <c:pt idx="20">
                  <c:v>1.5630598185169604E-2</c:v>
                </c:pt>
                <c:pt idx="21">
                  <c:v>6.0150441273699812E-2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D2-4E22-A85E-85904758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Efeito Fisher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Endividamento!$B$56:$W$56</c15:sqref>
                  </c15:fullRef>
                </c:ext>
              </c:extLst>
              <c:f>Endividamento!$C$56:$W$56</c:f>
              <c:numCache>
                <c:formatCode>0.00%</c:formatCode>
                <c:ptCount val="21"/>
                <c:pt idx="0">
                  <c:v>1.6511333111235472E-3</c:v>
                </c:pt>
                <c:pt idx="1">
                  <c:v>1.2773114024031924E-4</c:v>
                </c:pt>
                <c:pt idx="2">
                  <c:v>-9.4992864922156285E-4</c:v>
                </c:pt>
                <c:pt idx="3">
                  <c:v>-8.2504010117424344E-4</c:v>
                </c:pt>
                <c:pt idx="4">
                  <c:v>7.2449144999709447E-3</c:v>
                </c:pt>
                <c:pt idx="5">
                  <c:v>1.2177362245801687E-2</c:v>
                </c:pt>
                <c:pt idx="6">
                  <c:v>1.105047350453551E-2</c:v>
                </c:pt>
                <c:pt idx="7">
                  <c:v>1.2718804073349655E-2</c:v>
                </c:pt>
                <c:pt idx="8">
                  <c:v>3.3979149151938656E-2</c:v>
                </c:pt>
                <c:pt idx="9">
                  <c:v>3.0110591122079495E-2</c:v>
                </c:pt>
                <c:pt idx="10">
                  <c:v>3.2416258901252722E-2</c:v>
                </c:pt>
                <c:pt idx="11">
                  <c:v>3.622566057684283E-2</c:v>
                </c:pt>
                <c:pt idx="12">
                  <c:v>2.1464289657235517E-2</c:v>
                </c:pt>
                <c:pt idx="13">
                  <c:v>3.1575698419124477E-2</c:v>
                </c:pt>
                <c:pt idx="14">
                  <c:v>4.9034509435467173E-2</c:v>
                </c:pt>
                <c:pt idx="15">
                  <c:v>4.8841804036758162E-2</c:v>
                </c:pt>
                <c:pt idx="16">
                  <c:v>4.2596138153502432E-2</c:v>
                </c:pt>
                <c:pt idx="17">
                  <c:v>3.6173691488098063E-2</c:v>
                </c:pt>
                <c:pt idx="18">
                  <c:v>2.2379691907847242E-2</c:v>
                </c:pt>
                <c:pt idx="19">
                  <c:v>1.6986200840721035E-3</c:v>
                </c:pt>
                <c:pt idx="20">
                  <c:v>1.3977287819839273E-2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5-44AA-AA88-0C32E372C10B}"/>
            </c:ext>
          </c:extLst>
        </c:ser>
        <c:ser>
          <c:idx val="1"/>
          <c:order val="1"/>
          <c:tx>
            <c:v>Déficit das Famílias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Endividamento!$B$57:$W$57</c15:sqref>
                  </c15:fullRef>
                </c:ext>
              </c:extLst>
              <c:f>Endividamento!$C$57:$W$57</c:f>
              <c:numCache>
                <c:formatCode>0.00%</c:formatCode>
                <c:ptCount val="21"/>
                <c:pt idx="0">
                  <c:v>3.9935588387527655E-3</c:v>
                </c:pt>
                <c:pt idx="1">
                  <c:v>1.212239201088503E-3</c:v>
                </c:pt>
                <c:pt idx="2">
                  <c:v>7.2095476203419082E-3</c:v>
                </c:pt>
                <c:pt idx="3">
                  <c:v>1.6546275188235489E-2</c:v>
                </c:pt>
                <c:pt idx="4">
                  <c:v>1.7499964388364653E-2</c:v>
                </c:pt>
                <c:pt idx="5">
                  <c:v>8.2689064204952648E-3</c:v>
                </c:pt>
                <c:pt idx="6">
                  <c:v>3.0836748840475874E-2</c:v>
                </c:pt>
                <c:pt idx="7">
                  <c:v>5.100932546560832E-3</c:v>
                </c:pt>
                <c:pt idx="8">
                  <c:v>-2.3439294031919564E-2</c:v>
                </c:pt>
                <c:pt idx="9">
                  <c:v>-1.9599948596306822E-3</c:v>
                </c:pt>
                <c:pt idx="10">
                  <c:v>-2.3166994612199183E-2</c:v>
                </c:pt>
                <c:pt idx="11">
                  <c:v>-1.5639159023153812E-2</c:v>
                </c:pt>
                <c:pt idx="12">
                  <c:v>-8.0960916702635978E-3</c:v>
                </c:pt>
                <c:pt idx="13">
                  <c:v>-2.3010169055986331E-2</c:v>
                </c:pt>
                <c:pt idx="14">
                  <c:v>-4.7687157968635603E-2</c:v>
                </c:pt>
                <c:pt idx="15">
                  <c:v>-6.1175336358123077E-2</c:v>
                </c:pt>
                <c:pt idx="16">
                  <c:v>-4.2283220696605998E-2</c:v>
                </c:pt>
                <c:pt idx="17">
                  <c:v>-1.6200261694712441E-2</c:v>
                </c:pt>
                <c:pt idx="18">
                  <c:v>3.4787625388942658E-3</c:v>
                </c:pt>
                <c:pt idx="19">
                  <c:v>1.3931978101097605E-2</c:v>
                </c:pt>
                <c:pt idx="20">
                  <c:v>4.6173153453860513E-2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5-44AA-AA88-0C32E372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431648016"/>
        <c:axId val="1402962576"/>
      </c:barChart>
      <c:lineChart>
        <c:grouping val="standard"/>
        <c:varyColors val="0"/>
        <c:ser>
          <c:idx val="2"/>
          <c:order val="2"/>
          <c:tx>
            <c:v>Variação do Endividamento das Famílias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Endividamento!$B$58:$W$58</c15:sqref>
                  </c15:fullRef>
                </c:ext>
              </c:extLst>
              <c:f>Endividamento!$C$58:$W$58</c:f>
              <c:numCache>
                <c:formatCode>0.0%</c:formatCode>
                <c:ptCount val="21"/>
                <c:pt idx="0">
                  <c:v>5.6446921498763125E-3</c:v>
                </c:pt>
                <c:pt idx="1">
                  <c:v>1.3399703413288222E-3</c:v>
                </c:pt>
                <c:pt idx="2">
                  <c:v>6.2596189711203454E-3</c:v>
                </c:pt>
                <c:pt idx="3">
                  <c:v>1.5721235087061247E-2</c:v>
                </c:pt>
                <c:pt idx="4">
                  <c:v>2.4744878888335597E-2</c:v>
                </c:pt>
                <c:pt idx="5">
                  <c:v>2.0446268666296952E-2</c:v>
                </c:pt>
                <c:pt idx="6">
                  <c:v>4.1887222345011382E-2</c:v>
                </c:pt>
                <c:pt idx="7">
                  <c:v>1.7819736619910487E-2</c:v>
                </c:pt>
                <c:pt idx="8">
                  <c:v>1.0539855120019093E-2</c:v>
                </c:pt>
                <c:pt idx="9">
                  <c:v>2.8150596262448813E-2</c:v>
                </c:pt>
                <c:pt idx="10">
                  <c:v>9.2492642890535381E-3</c:v>
                </c:pt>
                <c:pt idx="11">
                  <c:v>2.0586501553689018E-2</c:v>
                </c:pt>
                <c:pt idx="12">
                  <c:v>1.3368197986971919E-2</c:v>
                </c:pt>
                <c:pt idx="13">
                  <c:v>8.5655293631381468E-3</c:v>
                </c:pt>
                <c:pt idx="14">
                  <c:v>1.34735146683157E-3</c:v>
                </c:pt>
                <c:pt idx="15">
                  <c:v>-1.2333532321364915E-2</c:v>
                </c:pt>
                <c:pt idx="16">
                  <c:v>3.1291745689643324E-4</c:v>
                </c:pt>
                <c:pt idx="17">
                  <c:v>1.9973429793385622E-2</c:v>
                </c:pt>
                <c:pt idx="18">
                  <c:v>2.5858454446741508E-2</c:v>
                </c:pt>
                <c:pt idx="19">
                  <c:v>1.5630598185169708E-2</c:v>
                </c:pt>
                <c:pt idx="20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F5-44AA-AA88-0C32E372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648016"/>
        <c:axId val="1402962576"/>
      </c:lineChart>
      <c:catAx>
        <c:axId val="14316480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402962576"/>
        <c:crosses val="autoZero"/>
        <c:auto val="1"/>
        <c:lblAlgn val="ctr"/>
        <c:lblOffset val="100"/>
        <c:noMultiLvlLbl val="0"/>
      </c:catAx>
      <c:valAx>
        <c:axId val="1402962576"/>
        <c:scaling>
          <c:orientation val="minMax"/>
          <c:max val="0.15000000000000002"/>
          <c:min val="-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43164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FAGERENG</a:t>
            </a:r>
            <a:r>
              <a:rPr lang="pt-BR" baseline="0"/>
              <a:t> - COM APROXIMAÇÃO LINEAR</a:t>
            </a:r>
          </a:p>
        </c:rich>
      </c:tx>
      <c:layout>
        <c:manualLayout>
          <c:xMode val="edge"/>
          <c:yMode val="edge"/>
          <c:x val="0.24514297385620915"/>
          <c:y val="1.62354166666666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Endividamento!$A$59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Endividamento!$B$59:$X$59</c:f>
              <c:numCache>
                <c:formatCode>0.0%</c:formatCode>
                <c:ptCount val="23"/>
                <c:pt idx="1">
                  <c:v>2.4596370487349938E-2</c:v>
                </c:pt>
                <c:pt idx="2">
                  <c:v>2.4514104911570411E-2</c:v>
                </c:pt>
                <c:pt idx="3">
                  <c:v>2.9370584991259874E-2</c:v>
                </c:pt>
                <c:pt idx="4">
                  <c:v>2.5276864288346461E-2</c:v>
                </c:pt>
                <c:pt idx="5">
                  <c:v>3.9532664238472195E-2</c:v>
                </c:pt>
                <c:pt idx="6">
                  <c:v>4.9493009011825344E-2</c:v>
                </c:pt>
                <c:pt idx="7">
                  <c:v>5.4914075109565107E-2</c:v>
                </c:pt>
                <c:pt idx="8">
                  <c:v>7.2937161234564465E-2</c:v>
                </c:pt>
                <c:pt idx="9">
                  <c:v>9.3242690036175357E-2</c:v>
                </c:pt>
                <c:pt idx="10">
                  <c:v>8.5568362969940401E-2</c:v>
                </c:pt>
                <c:pt idx="11">
                  <c:v>0.10436057792935031</c:v>
                </c:pt>
                <c:pt idx="12">
                  <c:v>9.1270879527516141E-2</c:v>
                </c:pt>
                <c:pt idx="13">
                  <c:v>7.9893686202522116E-2</c:v>
                </c:pt>
                <c:pt idx="14">
                  <c:v>8.8044580954006885E-2</c:v>
                </c:pt>
                <c:pt idx="15">
                  <c:v>9.604496742365283E-2</c:v>
                </c:pt>
                <c:pt idx="16">
                  <c:v>9.6298817315230739E-2</c:v>
                </c:pt>
                <c:pt idx="17">
                  <c:v>8.0377346701867372E-2</c:v>
                </c:pt>
                <c:pt idx="18">
                  <c:v>6.1145689326269514E-2</c:v>
                </c:pt>
                <c:pt idx="19">
                  <c:v>5.621197380861799E-2</c:v>
                </c:pt>
                <c:pt idx="20">
                  <c:v>4.1775560637064564E-2</c:v>
                </c:pt>
                <c:pt idx="21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D-4AD7-9B29-2F769AEB112C}"/>
            </c:ext>
          </c:extLst>
        </c:ser>
        <c:ser>
          <c:idx val="1"/>
          <c:order val="1"/>
          <c:tx>
            <c:strRef>
              <c:f>Endividamento!$A$60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Endividamento!$B$60:$X$60</c:f>
              <c:numCache>
                <c:formatCode>0.0%</c:formatCode>
                <c:ptCount val="23"/>
                <c:pt idx="1">
                  <c:v>-4.8344602186729257E-3</c:v>
                </c:pt>
                <c:pt idx="2">
                  <c:v>-3.0347774518102799E-3</c:v>
                </c:pt>
                <c:pt idx="3">
                  <c:v>-1.9131350867803872E-3</c:v>
                </c:pt>
                <c:pt idx="4">
                  <c:v>-3.249356352982383E-3</c:v>
                </c:pt>
                <c:pt idx="5">
                  <c:v>-8.0961702065530088E-3</c:v>
                </c:pt>
                <c:pt idx="6">
                  <c:v>-1.1759603916196293E-2</c:v>
                </c:pt>
                <c:pt idx="7">
                  <c:v>-2.2726385686619496E-2</c:v>
                </c:pt>
                <c:pt idx="8">
                  <c:v>-2.9491969108616078E-2</c:v>
                </c:pt>
                <c:pt idx="9">
                  <c:v>-1.9423916633352339E-2</c:v>
                </c:pt>
                <c:pt idx="10">
                  <c:v>-2.4831135188449937E-2</c:v>
                </c:pt>
                <c:pt idx="11">
                  <c:v>-2.9334362257751611E-2</c:v>
                </c:pt>
                <c:pt idx="12">
                  <c:v>-1.0985452787014247E-2</c:v>
                </c:pt>
                <c:pt idx="13">
                  <c:v>-2.005272587000699E-2</c:v>
                </c:pt>
                <c:pt idx="14">
                  <c:v>-1.6814593806222425E-2</c:v>
                </c:pt>
                <c:pt idx="15">
                  <c:v>-1.5968148433922631E-3</c:v>
                </c:pt>
                <c:pt idx="16">
                  <c:v>1.3126769001742065E-2</c:v>
                </c:pt>
                <c:pt idx="17">
                  <c:v>1.9960897488861345E-3</c:v>
                </c:pt>
                <c:pt idx="18">
                  <c:v>-8.1590803509214686E-5</c:v>
                </c:pt>
                <c:pt idx="19">
                  <c:v>-4.0140031628739872E-3</c:v>
                </c:pt>
                <c:pt idx="20">
                  <c:v>-1.0485384978090496E-2</c:v>
                </c:pt>
                <c:pt idx="21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FD-4AD7-9B29-2F769AEB112C}"/>
            </c:ext>
          </c:extLst>
        </c:ser>
        <c:ser>
          <c:idx val="2"/>
          <c:order val="2"/>
          <c:tx>
            <c:strRef>
              <c:f>Endividamento!$A$61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Endividamento!$B$61:$X$61</c:f>
              <c:numCache>
                <c:formatCode>0.00%</c:formatCode>
                <c:ptCount val="23"/>
                <c:pt idx="1">
                  <c:v>-9.0447777973923071E-3</c:v>
                </c:pt>
                <c:pt idx="2">
                  <c:v>-1.2053290552216954E-2</c:v>
                </c:pt>
                <c:pt idx="3">
                  <c:v>-1.9858606317572729E-2</c:v>
                </c:pt>
                <c:pt idx="4">
                  <c:v>-1.5321573036255646E-2</c:v>
                </c:pt>
                <c:pt idx="5">
                  <c:v>-1.3715669251083633E-2</c:v>
                </c:pt>
                <c:pt idx="6">
                  <c:v>-1.1676688613833912E-2</c:v>
                </c:pt>
                <c:pt idx="7" formatCode="0.0%">
                  <c:v>-7.0857390659000161E-3</c:v>
                </c:pt>
                <c:pt idx="8" formatCode="0.0%">
                  <c:v>-1.1932627515923199E-2</c:v>
                </c:pt>
                <c:pt idx="9" formatCode="0.0%">
                  <c:v>-1.6836678887468638E-2</c:v>
                </c:pt>
                <c:pt idx="10" formatCode="0.0%">
                  <c:v>-1.2753604366688046E-2</c:v>
                </c:pt>
                <c:pt idx="11" formatCode="0.0%">
                  <c:v>-1.9151821308049554E-2</c:v>
                </c:pt>
                <c:pt idx="12" formatCode="0.0%">
                  <c:v>-2.1664965038741459E-2</c:v>
                </c:pt>
                <c:pt idx="13" formatCode="0.0%">
                  <c:v>-2.0667389510158535E-2</c:v>
                </c:pt>
                <c:pt idx="14" formatCode="0.0%">
                  <c:v>-2.170517557038568E-2</c:v>
                </c:pt>
                <c:pt idx="15" formatCode="0.0%">
                  <c:v>-2.4090535272477023E-2</c:v>
                </c:pt>
                <c:pt idx="16" formatCode="0.0%">
                  <c:v>-4.02445442045265E-2</c:v>
                </c:pt>
                <c:pt idx="17" formatCode="0.0%">
                  <c:v>-2.2948511636711702E-2</c:v>
                </c:pt>
                <c:pt idx="18" formatCode="0.0%">
                  <c:v>-1.0772046538475985E-2</c:v>
                </c:pt>
                <c:pt idx="19" formatCode="0.0%">
                  <c:v>-1.4442283115314652E-2</c:v>
                </c:pt>
                <c:pt idx="20" formatCode="0.0%">
                  <c:v>-1.7713496780522867E-2</c:v>
                </c:pt>
                <c:pt idx="21" formatCode="0.0%">
                  <c:v>-1.9283070427288315E-2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FD-4AD7-9B29-2F769AEB112C}"/>
            </c:ext>
          </c:extLst>
        </c:ser>
        <c:ser>
          <c:idx val="3"/>
          <c:order val="3"/>
          <c:tx>
            <c:strRef>
              <c:f>Endividamento!$A$63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Endividamento!$B$63:$X$63</c:f>
              <c:numCache>
                <c:formatCode>0.00%</c:formatCode>
                <c:ptCount val="23"/>
                <c:pt idx="1">
                  <c:v>3.7461907603622835E-3</c:v>
                </c:pt>
                <c:pt idx="2">
                  <c:v>1.1924339250461331E-3</c:v>
                </c:pt>
                <c:pt idx="3">
                  <c:v>7.3923747737569372E-3</c:v>
                </c:pt>
                <c:pt idx="4">
                  <c:v>1.6677648518041752E-2</c:v>
                </c:pt>
                <c:pt idx="5">
                  <c:v>1.6253804385591365E-2</c:v>
                </c:pt>
                <c:pt idx="6">
                  <c:v>6.178640726061016E-3</c:v>
                </c:pt>
                <c:pt idx="7">
                  <c:v>2.8789046524332756E-2</c:v>
                </c:pt>
                <c:pt idx="8">
                  <c:v>2.3681568871672578E-3</c:v>
                </c:pt>
                <c:pt idx="9">
                  <c:v>-2.9745059526635299E-2</c:v>
                </c:pt>
                <c:pt idx="10">
                  <c:v>-7.0820030972682801E-3</c:v>
                </c:pt>
                <c:pt idx="11">
                  <c:v>-2.9709308208502597E-2</c:v>
                </c:pt>
                <c:pt idx="12">
                  <c:v>-2.1035295271520434E-2</c:v>
                </c:pt>
                <c:pt idx="13">
                  <c:v>-1.143729040195254E-2</c:v>
                </c:pt>
                <c:pt idx="14">
                  <c:v>-2.7480772173090511E-2</c:v>
                </c:pt>
                <c:pt idx="15">
                  <c:v>-5.3112767525417215E-2</c:v>
                </c:pt>
                <c:pt idx="16">
                  <c:v>-6.6616172408705349E-2</c:v>
                </c:pt>
                <c:pt idx="17">
                  <c:v>-4.6233112909197474E-2</c:v>
                </c:pt>
                <c:pt idx="18">
                  <c:v>-1.8451113292577689E-2</c:v>
                </c:pt>
                <c:pt idx="19">
                  <c:v>1.6207439122466714E-3</c:v>
                </c:pt>
                <c:pt idx="20">
                  <c:v>1.3767020426089779E-2</c:v>
                </c:pt>
                <c:pt idx="21">
                  <c:v>4.4923440297247569E-2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FD-4AD7-9B29-2F769AEB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634576"/>
        <c:axId val="1063475392"/>
      </c:barChart>
      <c:lineChart>
        <c:grouping val="standard"/>
        <c:varyColors val="0"/>
        <c:ser>
          <c:idx val="4"/>
          <c:order val="4"/>
          <c:tx>
            <c:strRef>
              <c:f>Endividamento!$A$64</c:f>
              <c:strCache>
                <c:ptCount val="1"/>
                <c:pt idx="0">
                  <c:v>SOMA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Endividamento!$B$64:$W$64</c:f>
              <c:numCache>
                <c:formatCode>0.00%</c:formatCode>
                <c:ptCount val="22"/>
                <c:pt idx="1">
                  <c:v>5.6446921498763125E-3</c:v>
                </c:pt>
                <c:pt idx="2">
                  <c:v>1.3399703413288222E-3</c:v>
                </c:pt>
                <c:pt idx="3">
                  <c:v>6.2596189711203454E-3</c:v>
                </c:pt>
                <c:pt idx="4">
                  <c:v>1.5721235087061247E-2</c:v>
                </c:pt>
                <c:pt idx="5">
                  <c:v>2.4744878888335597E-2</c:v>
                </c:pt>
                <c:pt idx="6">
                  <c:v>2.0446268666296952E-2</c:v>
                </c:pt>
                <c:pt idx="7">
                  <c:v>4.1887222345011389E-2</c:v>
                </c:pt>
                <c:pt idx="8">
                  <c:v>1.781973661991048E-2</c:v>
                </c:pt>
                <c:pt idx="9">
                  <c:v>1.0539855120019089E-2</c:v>
                </c:pt>
                <c:pt idx="10">
                  <c:v>2.8150596262448813E-2</c:v>
                </c:pt>
                <c:pt idx="11">
                  <c:v>9.2492642890535347E-3</c:v>
                </c:pt>
                <c:pt idx="12">
                  <c:v>2.0586501553689004E-2</c:v>
                </c:pt>
                <c:pt idx="13">
                  <c:v>1.3368197986971919E-2</c:v>
                </c:pt>
                <c:pt idx="14">
                  <c:v>8.5655293631381503E-3</c:v>
                </c:pt>
                <c:pt idx="15">
                  <c:v>1.34735146683157E-3</c:v>
                </c:pt>
                <c:pt idx="16">
                  <c:v>-1.2333532321364922E-2</c:v>
                </c:pt>
                <c:pt idx="17">
                  <c:v>3.1291745689643324E-4</c:v>
                </c:pt>
                <c:pt idx="18">
                  <c:v>1.9973429793385622E-2</c:v>
                </c:pt>
                <c:pt idx="19">
                  <c:v>2.5858454446741504E-2</c:v>
                </c:pt>
                <c:pt idx="20">
                  <c:v>1.5630598185169708E-2</c:v>
                </c:pt>
                <c:pt idx="21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FD-4AD7-9B29-2F769AEB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634576"/>
        <c:axId val="1063475392"/>
      </c:lineChart>
      <c:catAx>
        <c:axId val="143163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3475392"/>
        <c:crosses val="autoZero"/>
        <c:auto val="1"/>
        <c:lblAlgn val="ctr"/>
        <c:lblOffset val="100"/>
        <c:noMultiLvlLbl val="0"/>
      </c:catAx>
      <c:valAx>
        <c:axId val="106347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16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Endividamento!$A$27</c:f>
              <c:strCache>
                <c:ptCount val="1"/>
                <c:pt idx="0">
                  <c:v>b = debt to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Endividamento!$B$27:$X$27</c:f>
              <c:numCache>
                <c:formatCode>0.0%</c:formatCode>
                <c:ptCount val="23"/>
                <c:pt idx="0">
                  <c:v>0.1515038157017137</c:v>
                </c:pt>
                <c:pt idx="1">
                  <c:v>0.15714850785159001</c:v>
                </c:pt>
                <c:pt idx="2">
                  <c:v>0.15848847819291884</c:v>
                </c:pt>
                <c:pt idx="3">
                  <c:v>0.16474809716403918</c:v>
                </c:pt>
                <c:pt idx="4">
                  <c:v>0.18046933225110043</c:v>
                </c:pt>
                <c:pt idx="5">
                  <c:v>0.20521421113943603</c:v>
                </c:pt>
                <c:pt idx="6">
                  <c:v>0.22566047980573298</c:v>
                </c:pt>
                <c:pt idx="7">
                  <c:v>0.26754770215074436</c:v>
                </c:pt>
                <c:pt idx="8">
                  <c:v>0.28536743877065485</c:v>
                </c:pt>
                <c:pt idx="9">
                  <c:v>0.29590729389067394</c:v>
                </c:pt>
                <c:pt idx="10">
                  <c:v>0.32405789015312275</c:v>
                </c:pt>
                <c:pt idx="11">
                  <c:v>0.33330715444217629</c:v>
                </c:pt>
                <c:pt idx="12">
                  <c:v>0.35389365599586531</c:v>
                </c:pt>
                <c:pt idx="13">
                  <c:v>0.36726185398283723</c:v>
                </c:pt>
                <c:pt idx="14">
                  <c:v>0.37582738334597537</c:v>
                </c:pt>
                <c:pt idx="15">
                  <c:v>0.37717473481280694</c:v>
                </c:pt>
                <c:pt idx="16">
                  <c:v>0.36484120249144203</c:v>
                </c:pt>
                <c:pt idx="17">
                  <c:v>0.36515411994833846</c:v>
                </c:pt>
                <c:pt idx="18">
                  <c:v>0.38512754974172408</c:v>
                </c:pt>
                <c:pt idx="19">
                  <c:v>0.41098600418846559</c:v>
                </c:pt>
                <c:pt idx="20">
                  <c:v>0.4266166023736353</c:v>
                </c:pt>
                <c:pt idx="21">
                  <c:v>0.48676704364733508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2-4848-BEC1-D71B3C303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450256"/>
        <c:axId val="1384184448"/>
      </c:lineChart>
      <c:catAx>
        <c:axId val="122845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4184448"/>
        <c:crosses val="autoZero"/>
        <c:auto val="1"/>
        <c:lblAlgn val="ctr"/>
        <c:lblOffset val="100"/>
        <c:noMultiLvlLbl val="0"/>
      </c:catAx>
      <c:valAx>
        <c:axId val="13841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4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FAGERENG - SEM APROXIMAÇÃO LINEAR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Endividamento!$A$67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Endividamento!$B$67:$X$67</c:f>
              <c:numCache>
                <c:formatCode>0.00%</c:formatCode>
                <c:ptCount val="23"/>
                <c:pt idx="1">
                  <c:v>2.0127169008599871E-2</c:v>
                </c:pt>
                <c:pt idx="2">
                  <c:v>1.9886622328053435E-2</c:v>
                </c:pt>
                <c:pt idx="3">
                  <c:v>2.2409741694417146E-2</c:v>
                </c:pt>
                <c:pt idx="4">
                  <c:v>2.0279452507678344E-2</c:v>
                </c:pt>
                <c:pt idx="5">
                  <c:v>3.0525863308684276E-2</c:v>
                </c:pt>
                <c:pt idx="6">
                  <c:v>3.8127936662402412E-2</c:v>
                </c:pt>
                <c:pt idx="7">
                  <c:v>4.3078369857059505E-2</c:v>
                </c:pt>
                <c:pt idx="8">
                  <c:v>5.5372308110482188E-2</c:v>
                </c:pt>
                <c:pt idx="9">
                  <c:v>6.7286995676746328E-2</c:v>
                </c:pt>
                <c:pt idx="10">
                  <c:v>6.4227355042757672E-2</c:v>
                </c:pt>
                <c:pt idx="11">
                  <c:v>7.5561022482074372E-2</c:v>
                </c:pt>
                <c:pt idx="12">
                  <c:v>6.8171909041369938E-2</c:v>
                </c:pt>
                <c:pt idx="13">
                  <c:v>6.2214928635245817E-2</c:v>
                </c:pt>
                <c:pt idx="14">
                  <c:v>6.778748215358267E-2</c:v>
                </c:pt>
                <c:pt idx="15">
                  <c:v>7.2780302329550642E-2</c:v>
                </c:pt>
                <c:pt idx="16">
                  <c:v>7.0703136881800174E-2</c:v>
                </c:pt>
                <c:pt idx="17">
                  <c:v>6.2637827983434188E-2</c:v>
                </c:pt>
                <c:pt idx="18">
                  <c:v>5.1084507221432651E-2</c:v>
                </c:pt>
                <c:pt idx="19">
                  <c:v>4.7498121738193233E-2</c:v>
                </c:pt>
                <c:pt idx="20">
                  <c:v>3.6493264234558995E-2</c:v>
                </c:pt>
                <c:pt idx="21">
                  <c:v>4.5604361017056901E-2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D-408D-BED2-CEC41FECF2D8}"/>
            </c:ext>
          </c:extLst>
        </c:ser>
        <c:ser>
          <c:idx val="1"/>
          <c:order val="1"/>
          <c:tx>
            <c:strRef>
              <c:f>Endividamento!$A$68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Endividamento!$B$68:$X$68</c:f>
              <c:numCache>
                <c:formatCode>0.00%</c:formatCode>
                <c:ptCount val="23"/>
                <c:pt idx="1">
                  <c:v>-3.9560307459438658E-3</c:v>
                </c:pt>
                <c:pt idx="2">
                  <c:v>-2.4619080831851273E-3</c:v>
                </c:pt>
                <c:pt idx="3">
                  <c:v>-1.4597211166898091E-3</c:v>
                </c:pt>
                <c:pt idx="4">
                  <c:v>-2.606936014259062E-3</c:v>
                </c:pt>
                <c:pt idx="5">
                  <c:v>-6.2516045859759267E-3</c:v>
                </c:pt>
                <c:pt idx="6">
                  <c:v>-9.0592478057768301E-3</c:v>
                </c:pt>
                <c:pt idx="7">
                  <c:v>-1.7828136887838613E-2</c:v>
                </c:pt>
                <c:pt idx="8">
                  <c:v>-2.2389662178039713E-2</c:v>
                </c:pt>
                <c:pt idx="9">
                  <c:v>-1.4016937885712993E-2</c:v>
                </c:pt>
                <c:pt idx="10">
                  <c:v>-1.8638175144516246E-2</c:v>
                </c:pt>
                <c:pt idx="11">
                  <c:v>-2.1239192519188863E-2</c:v>
                </c:pt>
                <c:pt idx="12">
                  <c:v>-8.2052379910376848E-3</c:v>
                </c:pt>
                <c:pt idx="13">
                  <c:v>-1.5615488134846487E-2</c:v>
                </c:pt>
                <c:pt idx="14">
                  <c:v>-1.2945929950583419E-2</c:v>
                </c:pt>
                <c:pt idx="15">
                  <c:v>-1.2100234940345504E-3</c:v>
                </c:pt>
                <c:pt idx="16">
                  <c:v>9.63774812008154E-3</c:v>
                </c:pt>
                <c:pt idx="17">
                  <c:v>1.5555468233355017E-3</c:v>
                </c:pt>
                <c:pt idx="18">
                  <c:v>-6.8165491909472935E-5</c:v>
                </c:pt>
                <c:pt idx="19">
                  <c:v>-3.3917615406426301E-3</c:v>
                </c:pt>
                <c:pt idx="20">
                  <c:v>-9.1595640793635889E-3</c:v>
                </c:pt>
                <c:pt idx="21">
                  <c:v>-5.1801463550482599E-3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D-408D-BED2-CEC41FECF2D8}"/>
            </c:ext>
          </c:extLst>
        </c:ser>
        <c:ser>
          <c:idx val="2"/>
          <c:order val="2"/>
          <c:tx>
            <c:strRef>
              <c:f>Endividamento!$A$69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Endividamento!$B$69:$X$69</c:f>
              <c:numCache>
                <c:formatCode>0.00%</c:formatCode>
                <c:ptCount val="23"/>
                <c:pt idx="1">
                  <c:v>-7.401326609020379E-3</c:v>
                </c:pt>
                <c:pt idx="2">
                  <c:v>-9.7780130209485054E-3</c:v>
                </c:pt>
                <c:pt idx="3">
                  <c:v>-1.5152106712220973E-2</c:v>
                </c:pt>
                <c:pt idx="4">
                  <c:v>-1.2292391539836741E-2</c:v>
                </c:pt>
                <c:pt idx="5">
                  <c:v>-1.0590802639055416E-2</c:v>
                </c:pt>
                <c:pt idx="6">
                  <c:v>-8.9953723320495924E-3</c:v>
                </c:pt>
                <c:pt idx="7">
                  <c:v>-5.5585400934538946E-3</c:v>
                </c:pt>
                <c:pt idx="8">
                  <c:v>-9.0589915510201936E-3</c:v>
                </c:pt>
                <c:pt idx="9">
                  <c:v>-1.2149901928744669E-2</c:v>
                </c:pt>
                <c:pt idx="10">
                  <c:v>-9.5728169536431693E-3</c:v>
                </c:pt>
                <c:pt idx="11">
                  <c:v>-1.3866646095136399E-2</c:v>
                </c:pt>
                <c:pt idx="12">
                  <c:v>-1.6181963334321516E-2</c:v>
                </c:pt>
                <c:pt idx="13">
                  <c:v>-1.60941399072753E-2</c:v>
                </c:pt>
                <c:pt idx="14">
                  <c:v>-1.6711297682097011E-2</c:v>
                </c:pt>
                <c:pt idx="15">
                  <c:v>-1.8255162008413522E-2</c:v>
                </c:pt>
                <c:pt idx="16">
                  <c:v>-2.9547772204968303E-2</c:v>
                </c:pt>
                <c:pt idx="17">
                  <c:v>-1.7883707081149395E-2</c:v>
                </c:pt>
                <c:pt idx="18">
                  <c:v>-8.9995663675995364E-3</c:v>
                </c:pt>
                <c:pt idx="19">
                  <c:v>-1.2203473301332439E-2</c:v>
                </c:pt>
                <c:pt idx="20">
                  <c:v>-1.5473719769929417E-2</c:v>
                </c:pt>
                <c:pt idx="21">
                  <c:v>-1.6476993215956127E-2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D-408D-BED2-CEC41FECF2D8}"/>
            </c:ext>
          </c:extLst>
        </c:ser>
        <c:ser>
          <c:idx val="3"/>
          <c:order val="3"/>
          <c:tx>
            <c:strRef>
              <c:f>Endividamento!$A$71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Endividamento!$B$71:$X$71</c:f>
              <c:numCache>
                <c:formatCode>0.00%</c:formatCode>
                <c:ptCount val="23"/>
                <c:pt idx="1">
                  <c:v>4.0911516244779419E-3</c:v>
                </c:pt>
                <c:pt idx="2">
                  <c:v>1.2202841035146303E-3</c:v>
                </c:pt>
                <c:pt idx="3">
                  <c:v>7.1239110833643537E-3</c:v>
                </c:pt>
                <c:pt idx="4">
                  <c:v>1.6488558934276622E-2</c:v>
                </c:pt>
                <c:pt idx="5">
                  <c:v>1.8188341791542096E-2</c:v>
                </c:pt>
                <c:pt idx="6">
                  <c:v>9.4549140226934062E-3</c:v>
                </c:pt>
                <c:pt idx="7">
                  <c:v>3.161211416318014E-2</c:v>
                </c:pt>
                <c:pt idx="8">
                  <c:v>6.0892330018222987E-3</c:v>
                </c:pt>
                <c:pt idx="9">
                  <c:v>-1.8531065899268079E-2</c:v>
                </c:pt>
                <c:pt idx="10">
                  <c:v>1.7051134973908085E-3</c:v>
                </c:pt>
                <c:pt idx="11">
                  <c:v>-1.8958222012432968E-2</c:v>
                </c:pt>
                <c:pt idx="12">
                  <c:v>-1.0501588776930991E-2</c:v>
                </c:pt>
                <c:pt idx="13">
                  <c:v>-5.9483683555463379E-3</c:v>
                </c:pt>
                <c:pt idx="14">
                  <c:v>-1.9187320336563413E-2</c:v>
                </c:pt>
                <c:pt idx="15">
                  <c:v>-3.9921067186232118E-2</c:v>
                </c:pt>
                <c:pt idx="16">
                  <c:v>-5.2188154002099807E-2</c:v>
                </c:pt>
                <c:pt idx="17">
                  <c:v>-3.5960266008555765E-2</c:v>
                </c:pt>
                <c:pt idx="18">
                  <c:v>-1.2128569061860568E-2</c:v>
                </c:pt>
                <c:pt idx="19">
                  <c:v>5.3780185605705084E-3</c:v>
                </c:pt>
                <c:pt idx="20">
                  <c:v>1.400265987514707E-2</c:v>
                </c:pt>
                <c:pt idx="21">
                  <c:v>4.7139277271865933E-2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D-408D-BED2-CEC41FECF2D8}"/>
            </c:ext>
          </c:extLst>
        </c:ser>
        <c:ser>
          <c:idx val="5"/>
          <c:order val="5"/>
          <c:tx>
            <c:strRef>
              <c:f>Endividamento!$A$70</c:f>
              <c:strCache>
                <c:ptCount val="1"/>
                <c:pt idx="0">
                  <c:v>inadimplência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Endividamento!$B$70:$W$70</c:f>
              <c:numCache>
                <c:formatCode>0.00%</c:formatCode>
                <c:ptCount val="22"/>
                <c:pt idx="1">
                  <c:v>-7.2162711282372565E-3</c:v>
                </c:pt>
                <c:pt idx="2">
                  <c:v>-7.5270149861056098E-3</c:v>
                </c:pt>
                <c:pt idx="3">
                  <c:v>-6.6622059777503712E-3</c:v>
                </c:pt>
                <c:pt idx="4">
                  <c:v>-6.1474488007979156E-3</c:v>
                </c:pt>
                <c:pt idx="5">
                  <c:v>-7.1269189868594322E-3</c:v>
                </c:pt>
                <c:pt idx="6">
                  <c:v>-9.0819618809724438E-3</c:v>
                </c:pt>
                <c:pt idx="7">
                  <c:v>-9.4165846939357565E-3</c:v>
                </c:pt>
                <c:pt idx="8">
                  <c:v>-1.2193150763334094E-2</c:v>
                </c:pt>
                <c:pt idx="9">
                  <c:v>-1.204923484300149E-2</c:v>
                </c:pt>
                <c:pt idx="10">
                  <c:v>-9.5708801795402528E-3</c:v>
                </c:pt>
                <c:pt idx="11">
                  <c:v>-1.2247697566262606E-2</c:v>
                </c:pt>
                <c:pt idx="12">
                  <c:v>-1.2696617385390727E-2</c:v>
                </c:pt>
                <c:pt idx="13">
                  <c:v>-1.1188734250605775E-2</c:v>
                </c:pt>
                <c:pt idx="14">
                  <c:v>-1.037740482120068E-2</c:v>
                </c:pt>
                <c:pt idx="15">
                  <c:v>-1.2046698174038877E-2</c:v>
                </c:pt>
                <c:pt idx="16">
                  <c:v>-1.0938491116178518E-2</c:v>
                </c:pt>
                <c:pt idx="17">
                  <c:v>-1.0036484260168102E-2</c:v>
                </c:pt>
                <c:pt idx="18">
                  <c:v>-9.9147765066774536E-3</c:v>
                </c:pt>
                <c:pt idx="19">
                  <c:v>-1.1422451010047163E-2</c:v>
                </c:pt>
                <c:pt idx="20">
                  <c:v>-1.023204207524335E-2</c:v>
                </c:pt>
                <c:pt idx="21">
                  <c:v>-1.0936057444218668E-2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8-45C4-9E88-54B313F7D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strRef>
              <c:f>Endividamento!$A$72</c:f>
              <c:strCache>
                <c:ptCount val="1"/>
                <c:pt idx="0">
                  <c:v>∆b = change in debt to income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Endividamento!$B$72:$W$72</c:f>
              <c:numCache>
                <c:formatCode>0.0%</c:formatCode>
                <c:ptCount val="22"/>
                <c:pt idx="1">
                  <c:v>5.6446921498763125E-3</c:v>
                </c:pt>
                <c:pt idx="2">
                  <c:v>1.3399703413288222E-3</c:v>
                </c:pt>
                <c:pt idx="3">
                  <c:v>6.2596189711203471E-3</c:v>
                </c:pt>
                <c:pt idx="4">
                  <c:v>1.5721235087061247E-2</c:v>
                </c:pt>
                <c:pt idx="5">
                  <c:v>2.4744878888335597E-2</c:v>
                </c:pt>
                <c:pt idx="6">
                  <c:v>2.0446268666296952E-2</c:v>
                </c:pt>
                <c:pt idx="7">
                  <c:v>4.1887222345011382E-2</c:v>
                </c:pt>
                <c:pt idx="8">
                  <c:v>1.7819736619910487E-2</c:v>
                </c:pt>
                <c:pt idx="9">
                  <c:v>1.0539855120019093E-2</c:v>
                </c:pt>
                <c:pt idx="10">
                  <c:v>2.8150596262448813E-2</c:v>
                </c:pt>
                <c:pt idx="11">
                  <c:v>9.2492642890535381E-3</c:v>
                </c:pt>
                <c:pt idx="12">
                  <c:v>2.0586501553689018E-2</c:v>
                </c:pt>
                <c:pt idx="13">
                  <c:v>1.3368197986971919E-2</c:v>
                </c:pt>
                <c:pt idx="14">
                  <c:v>8.5655293631381468E-3</c:v>
                </c:pt>
                <c:pt idx="15">
                  <c:v>1.34735146683157E-3</c:v>
                </c:pt>
                <c:pt idx="16">
                  <c:v>-1.2333532321364915E-2</c:v>
                </c:pt>
                <c:pt idx="17">
                  <c:v>3.1291745689643324E-4</c:v>
                </c:pt>
                <c:pt idx="18">
                  <c:v>1.9973429793385618E-2</c:v>
                </c:pt>
                <c:pt idx="19">
                  <c:v>2.5858454446741511E-2</c:v>
                </c:pt>
                <c:pt idx="20">
                  <c:v>1.5630598185169708E-2</c:v>
                </c:pt>
                <c:pt idx="21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D-408D-BED2-CEC41FEC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Taxa Nominal de Juros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Endividamento!$B$46:$X$46</c15:sqref>
                  </c15:fullRef>
                </c:ext>
              </c:extLst>
              <c:f>Endividamento!$C$46:$W$46</c:f>
              <c:numCache>
                <c:formatCode>0.00%</c:formatCode>
                <c:ptCount val="21"/>
                <c:pt idx="0">
                  <c:v>2.4596370487349938E-2</c:v>
                </c:pt>
                <c:pt idx="1">
                  <c:v>2.4514104911570411E-2</c:v>
                </c:pt>
                <c:pt idx="2">
                  <c:v>2.9370584991259878E-2</c:v>
                </c:pt>
                <c:pt idx="3" formatCode="0.0%">
                  <c:v>2.5276864288346461E-2</c:v>
                </c:pt>
                <c:pt idx="4" formatCode="0.0%">
                  <c:v>3.9532664238472195E-2</c:v>
                </c:pt>
                <c:pt idx="5" formatCode="0.0%">
                  <c:v>4.9493009011825344E-2</c:v>
                </c:pt>
                <c:pt idx="6" formatCode="0.0%">
                  <c:v>5.4914075109565107E-2</c:v>
                </c:pt>
                <c:pt idx="7" formatCode="0.0%">
                  <c:v>7.2937161234564465E-2</c:v>
                </c:pt>
                <c:pt idx="8" formatCode="0.0%">
                  <c:v>9.3242690036175357E-2</c:v>
                </c:pt>
                <c:pt idx="9" formatCode="0.0%">
                  <c:v>8.5568362969940415E-2</c:v>
                </c:pt>
                <c:pt idx="10" formatCode="0.0%">
                  <c:v>0.10436057792935033</c:v>
                </c:pt>
                <c:pt idx="11" formatCode="0.0%">
                  <c:v>9.1270879527516141E-2</c:v>
                </c:pt>
                <c:pt idx="12" formatCode="0.0%">
                  <c:v>7.9893686202522116E-2</c:v>
                </c:pt>
                <c:pt idx="13" formatCode="0.0%">
                  <c:v>8.8044580954006885E-2</c:v>
                </c:pt>
                <c:pt idx="14" formatCode="0.0%">
                  <c:v>9.6044967423652844E-2</c:v>
                </c:pt>
                <c:pt idx="15" formatCode="0.0%">
                  <c:v>9.6298817315230725E-2</c:v>
                </c:pt>
                <c:pt idx="16" formatCode="0.0%">
                  <c:v>8.0377346701867372E-2</c:v>
                </c:pt>
                <c:pt idx="17" formatCode="0.0%">
                  <c:v>6.1145689326269514E-2</c:v>
                </c:pt>
                <c:pt idx="18" formatCode="0.0%">
                  <c:v>5.6211973808617983E-2</c:v>
                </c:pt>
                <c:pt idx="19" formatCode="0.0%">
                  <c:v>4.1775560637064564E-2</c:v>
                </c:pt>
                <c:pt idx="20" formatCode="0.0%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3-4DB7-B343-649724120AAA}"/>
            </c:ext>
          </c:extLst>
        </c:ser>
        <c:ser>
          <c:idx val="1"/>
          <c:order val="1"/>
          <c:tx>
            <c:v>Taxa Real de Variação da Renda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Endividamento!$B$47:$X$47</c15:sqref>
                  </c15:fullRef>
                </c:ext>
              </c:extLst>
              <c:f>Endividamento!$C$47:$W$47</c:f>
              <c:numCache>
                <c:formatCode>0.00%</c:formatCode>
                <c:ptCount val="21"/>
                <c:pt idx="0">
                  <c:v>-4.8344602186729257E-3</c:v>
                </c:pt>
                <c:pt idx="1">
                  <c:v>-3.0347774518102799E-3</c:v>
                </c:pt>
                <c:pt idx="2">
                  <c:v>-1.9131350867803872E-3</c:v>
                </c:pt>
                <c:pt idx="3" formatCode="0.0%">
                  <c:v>-3.2493563529823826E-3</c:v>
                </c:pt>
                <c:pt idx="4" formatCode="0.0%">
                  <c:v>-8.0961702065530088E-3</c:v>
                </c:pt>
                <c:pt idx="5" formatCode="0.0%">
                  <c:v>-1.1759603916196295E-2</c:v>
                </c:pt>
                <c:pt idx="6" formatCode="0.0%">
                  <c:v>-2.2726385686619499E-2</c:v>
                </c:pt>
                <c:pt idx="7" formatCode="0.0%">
                  <c:v>-2.9491969108616078E-2</c:v>
                </c:pt>
                <c:pt idx="8" formatCode="0.0%">
                  <c:v>-1.9423916633352342E-2</c:v>
                </c:pt>
                <c:pt idx="9" formatCode="0.0%">
                  <c:v>-2.483113518844994E-2</c:v>
                </c:pt>
                <c:pt idx="10" formatCode="0.0%">
                  <c:v>-2.9334362257751614E-2</c:v>
                </c:pt>
                <c:pt idx="11" formatCode="0.0%">
                  <c:v>-1.0985452787014247E-2</c:v>
                </c:pt>
                <c:pt idx="12" formatCode="0.0%">
                  <c:v>-2.005272587000699E-2</c:v>
                </c:pt>
                <c:pt idx="13" formatCode="0.0%">
                  <c:v>-1.6814593806222425E-2</c:v>
                </c:pt>
                <c:pt idx="14" formatCode="0.0%">
                  <c:v>-1.5968148433922634E-3</c:v>
                </c:pt>
                <c:pt idx="15" formatCode="0.0%">
                  <c:v>1.3126769001742063E-2</c:v>
                </c:pt>
                <c:pt idx="16" formatCode="0.0%">
                  <c:v>1.9960897488861345E-3</c:v>
                </c:pt>
                <c:pt idx="17" formatCode="0.0%">
                  <c:v>-8.1590803509214686E-5</c:v>
                </c:pt>
                <c:pt idx="18" formatCode="0.0%">
                  <c:v>-4.0140031628739872E-3</c:v>
                </c:pt>
                <c:pt idx="19" formatCode="0.0%">
                  <c:v>-1.0485384978090498E-2</c:v>
                </c:pt>
                <c:pt idx="20" formatCode="0.0%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3-4DB7-B343-649724120AAA}"/>
            </c:ext>
          </c:extLst>
        </c:ser>
        <c:ser>
          <c:idx val="2"/>
          <c:order val="2"/>
          <c:tx>
            <c:v>Taxa de Inflação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Endividamento!$B$48:$X$48</c15:sqref>
                  </c15:fullRef>
                </c:ext>
              </c:extLst>
              <c:f>Endividamento!$C$48:$W$48</c:f>
              <c:numCache>
                <c:formatCode>0.00%</c:formatCode>
                <c:ptCount val="21"/>
                <c:pt idx="0">
                  <c:v>-9.0447777973923071E-3</c:v>
                </c:pt>
                <c:pt idx="1">
                  <c:v>-1.2053290552216954E-2</c:v>
                </c:pt>
                <c:pt idx="2">
                  <c:v>-1.9858606317572733E-2</c:v>
                </c:pt>
                <c:pt idx="3" formatCode="0.0%">
                  <c:v>-1.5321573036255644E-2</c:v>
                </c:pt>
                <c:pt idx="4" formatCode="0.0%">
                  <c:v>-1.3715669251083631E-2</c:v>
                </c:pt>
                <c:pt idx="5" formatCode="0.0%">
                  <c:v>-1.167668861383391E-2</c:v>
                </c:pt>
                <c:pt idx="6" formatCode="0.0%">
                  <c:v>-7.085739065900017E-3</c:v>
                </c:pt>
                <c:pt idx="7" formatCode="0.0%">
                  <c:v>-1.1932627515923198E-2</c:v>
                </c:pt>
                <c:pt idx="8" formatCode="0.0%">
                  <c:v>-1.6836678887468638E-2</c:v>
                </c:pt>
                <c:pt idx="9" formatCode="0.0%">
                  <c:v>-1.2753604366688048E-2</c:v>
                </c:pt>
                <c:pt idx="10" formatCode="0.0%">
                  <c:v>-1.9151821308049558E-2</c:v>
                </c:pt>
                <c:pt idx="11" formatCode="0.0%">
                  <c:v>-2.1664965038741459E-2</c:v>
                </c:pt>
                <c:pt idx="12" formatCode="0.0%">
                  <c:v>-2.0667389510158535E-2</c:v>
                </c:pt>
                <c:pt idx="13" formatCode="0.0%">
                  <c:v>-2.170517557038568E-2</c:v>
                </c:pt>
                <c:pt idx="14" formatCode="0.0%">
                  <c:v>-2.4090535272477023E-2</c:v>
                </c:pt>
                <c:pt idx="15" formatCode="0.0%">
                  <c:v>-4.02445442045265E-2</c:v>
                </c:pt>
                <c:pt idx="16" formatCode="0.0%">
                  <c:v>-2.2948511636711699E-2</c:v>
                </c:pt>
                <c:pt idx="17" formatCode="0.0%">
                  <c:v>-1.0772046538475985E-2</c:v>
                </c:pt>
                <c:pt idx="18" formatCode="0.0%">
                  <c:v>-1.4442283115314654E-2</c:v>
                </c:pt>
                <c:pt idx="19" formatCode="0.0%">
                  <c:v>-1.7713496780522867E-2</c:v>
                </c:pt>
                <c:pt idx="20" formatCode="0.0%">
                  <c:v>-1.9283070427288312E-2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63-4DB7-B343-649724120AAA}"/>
            </c:ext>
          </c:extLst>
        </c:ser>
        <c:ser>
          <c:idx val="3"/>
          <c:order val="3"/>
          <c:tx>
            <c:v>Déficit das Famílias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Endividamento!$B$50:$X$50</c15:sqref>
                  </c15:fullRef>
                </c:ext>
              </c:extLst>
              <c:f>Endividamento!$C$50:$W$50</c:f>
              <c:numCache>
                <c:formatCode>0.00%</c:formatCode>
                <c:ptCount val="21"/>
                <c:pt idx="0">
                  <c:v>4.0747531626315701E-3</c:v>
                </c:pt>
                <c:pt idx="1">
                  <c:v>1.2715496331128157E-3</c:v>
                </c:pt>
                <c:pt idx="2">
                  <c:v>7.737235711348097E-3</c:v>
                </c:pt>
                <c:pt idx="3" formatCode="0.0%">
                  <c:v>1.7408834986898731E-2</c:v>
                </c:pt>
                <c:pt idx="4" formatCode="0.0%">
                  <c:v>1.751933271637264E-2</c:v>
                </c:pt>
                <c:pt idx="5" formatCode="0.0%">
                  <c:v>7.353232243447215E-3</c:v>
                </c:pt>
                <c:pt idx="6" formatCode="0.0%">
                  <c:v>3.1017193754264434E-2</c:v>
                </c:pt>
                <c:pt idx="7" formatCode="0.0%">
                  <c:v>3.4378820915656316E-3</c:v>
                </c:pt>
                <c:pt idx="8" formatCode="0.0%">
                  <c:v>-2.9128360377331068E-2</c:v>
                </c:pt>
                <c:pt idx="9" formatCode="0.0%">
                  <c:v>-5.8689578715561781E-3</c:v>
                </c:pt>
                <c:pt idx="10" formatCode="0.0%">
                  <c:v>-2.9226496612613943E-2</c:v>
                </c:pt>
                <c:pt idx="11" formatCode="0.0%">
                  <c:v>-1.9985383692282341E-2</c:v>
                </c:pt>
                <c:pt idx="12" formatCode="0.0%">
                  <c:v>-1.0894541563681462E-2</c:v>
                </c:pt>
                <c:pt idx="13" formatCode="0.0%">
                  <c:v>-2.7166417245463349E-2</c:v>
                </c:pt>
                <c:pt idx="14" formatCode="0.0%">
                  <c:v>-5.305577455837026E-2</c:v>
                </c:pt>
                <c:pt idx="15" formatCode="0.0%">
                  <c:v>-6.710334693539928E-2</c:v>
                </c:pt>
                <c:pt idx="16" formatCode="0.0%">
                  <c:v>-4.6222066922969034E-2</c:v>
                </c:pt>
                <c:pt idx="17" formatCode="0.0%">
                  <c:v>-1.7801976824292694E-2</c:v>
                </c:pt>
                <c:pt idx="18" formatCode="0.0%">
                  <c:v>2.5283756633273178E-3</c:v>
                </c:pt>
                <c:pt idx="19" formatCode="0.0%">
                  <c:v>1.4212492474367013E-2</c:v>
                </c:pt>
                <c:pt idx="20" formatCode="0.0%">
                  <c:v>4.6727953535458583E-2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63-4DB7-B343-649724120AAA}"/>
            </c:ext>
          </c:extLst>
        </c:ser>
        <c:ser>
          <c:idx val="5"/>
          <c:order val="5"/>
          <c:tx>
            <c:v>Inadimplência</c:v>
          </c:tx>
          <c:spPr>
            <a:solidFill>
              <a:srgbClr val="BE3030"/>
            </a:solidFill>
            <a:ln>
              <a:noFill/>
            </a:ln>
            <a:effectLst/>
          </c:spPr>
          <c:invertIfNegative val="0"/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Endividamento!$B$49:$W$49</c15:sqref>
                  </c15:fullRef>
                </c:ext>
              </c:extLst>
              <c:f>Endividamento!$C$49:$W$49</c:f>
              <c:numCache>
                <c:formatCode>0.00%</c:formatCode>
                <c:ptCount val="21"/>
                <c:pt idx="0">
                  <c:v>-9.1471934840400126E-3</c:v>
                </c:pt>
                <c:pt idx="1">
                  <c:v>-9.3576161993271269E-3</c:v>
                </c:pt>
                <c:pt idx="2">
                  <c:v>-9.0764603271345241E-3</c:v>
                </c:pt>
                <c:pt idx="3" formatCode="0.0%">
                  <c:v>-8.3935347989459123E-3</c:v>
                </c:pt>
                <c:pt idx="4" formatCode="0.0%">
                  <c:v>-1.0495278608872623E-2</c:v>
                </c:pt>
                <c:pt idx="5" formatCode="0.0%">
                  <c:v>-1.2963680058945406E-2</c:v>
                </c:pt>
                <c:pt idx="6" formatCode="0.0%">
                  <c:v>-1.4231921766298613E-2</c:v>
                </c:pt>
                <c:pt idx="7" formatCode="0.0%">
                  <c:v>-1.7130710081680368E-2</c:v>
                </c:pt>
                <c:pt idx="8" formatCode="0.0%">
                  <c:v>-1.7313879018004245E-2</c:v>
                </c:pt>
                <c:pt idx="9" formatCode="0.0%">
                  <c:v>-1.3964069280797457E-2</c:v>
                </c:pt>
                <c:pt idx="10" formatCode="0.0%">
                  <c:v>-1.7398633461881603E-2</c:v>
                </c:pt>
                <c:pt idx="11" formatCode="0.0%">
                  <c:v>-1.8048576455789129E-2</c:v>
                </c:pt>
                <c:pt idx="12" formatCode="0.0%">
                  <c:v>-1.4910831271703191E-2</c:v>
                </c:pt>
                <c:pt idx="13" formatCode="0.0%">
                  <c:v>-1.3792864968797294E-2</c:v>
                </c:pt>
                <c:pt idx="14" formatCode="0.0%">
                  <c:v>-1.5954491282581737E-2</c:v>
                </c:pt>
                <c:pt idx="15" formatCode="0.0%">
                  <c:v>-1.4411227498411961E-2</c:v>
                </c:pt>
                <c:pt idx="16" formatCode="0.0%">
                  <c:v>-1.2889940434176347E-2</c:v>
                </c:pt>
                <c:pt idx="17" formatCode="0.0%">
                  <c:v>-1.2516645366606034E-2</c:v>
                </c:pt>
                <c:pt idx="18" formatCode="0.0%">
                  <c:v>-1.4425608747015142E-2</c:v>
                </c:pt>
                <c:pt idx="19" formatCode="0.0%">
                  <c:v>-1.2158573167648607E-2</c:v>
                </c:pt>
                <c:pt idx="20" formatCode="0.0%">
                  <c:v>-1.4603011309420049E-2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1-4064-ACD2-816FED4AF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v>Variação do Endividamento das Famílias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Endividamento!$B$51:$W$51</c15:sqref>
                  </c15:fullRef>
                </c:ext>
              </c:extLst>
              <c:f>Endividamento!$C$51:$W$51</c:f>
              <c:numCache>
                <c:formatCode>0.00%</c:formatCode>
                <c:ptCount val="21"/>
                <c:pt idx="0">
                  <c:v>5.6446921498762622E-3</c:v>
                </c:pt>
                <c:pt idx="1">
                  <c:v>1.3399703413288671E-3</c:v>
                </c:pt>
                <c:pt idx="2">
                  <c:v>6.2596189711203298E-3</c:v>
                </c:pt>
                <c:pt idx="3">
                  <c:v>1.5721235087061254E-2</c:v>
                </c:pt>
                <c:pt idx="4">
                  <c:v>2.474487888833557E-2</c:v>
                </c:pt>
                <c:pt idx="5">
                  <c:v>2.0446268666296948E-2</c:v>
                </c:pt>
                <c:pt idx="6">
                  <c:v>4.188722234501141E-2</c:v>
                </c:pt>
                <c:pt idx="7">
                  <c:v>1.7819736619910452E-2</c:v>
                </c:pt>
                <c:pt idx="8">
                  <c:v>1.0539855120019072E-2</c:v>
                </c:pt>
                <c:pt idx="9">
                  <c:v>2.8150596262448788E-2</c:v>
                </c:pt>
                <c:pt idx="10">
                  <c:v>9.2492642890536145E-3</c:v>
                </c:pt>
                <c:pt idx="11">
                  <c:v>2.0586501553688959E-2</c:v>
                </c:pt>
                <c:pt idx="12">
                  <c:v>1.3368197986971938E-2</c:v>
                </c:pt>
                <c:pt idx="13">
                  <c:v>8.5655293631381399E-3</c:v>
                </c:pt>
                <c:pt idx="14">
                  <c:v>1.3473514668315631E-3</c:v>
                </c:pt>
                <c:pt idx="15">
                  <c:v>-1.2333532321364957E-2</c:v>
                </c:pt>
                <c:pt idx="16">
                  <c:v>3.129174568964263E-4</c:v>
                </c:pt>
                <c:pt idx="17">
                  <c:v>1.9973429793385587E-2</c:v>
                </c:pt>
                <c:pt idx="18">
                  <c:v>2.5858454446741515E-2</c:v>
                </c:pt>
                <c:pt idx="19">
                  <c:v>1.5630598185169604E-2</c:v>
                </c:pt>
                <c:pt idx="20">
                  <c:v>6.0150441273699812E-2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63-4DB7-B343-649724120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608784</xdr:colOff>
      <xdr:row>97</xdr:row>
      <xdr:rowOff>30205</xdr:rowOff>
    </xdr:from>
    <xdr:to>
      <xdr:col>23</xdr:col>
      <xdr:colOff>775659</xdr:colOff>
      <xdr:row>112</xdr:row>
      <xdr:rowOff>52705</xdr:rowOff>
    </xdr:to>
    <xdr:graphicFrame macro="">
      <xdr:nvGraphicFramePr>
        <xdr:cNvPr id="2" name="SERIE_HIST_COMPONENTES">
          <a:extLst>
            <a:ext uri="{FF2B5EF4-FFF2-40B4-BE49-F238E27FC236}">
              <a16:creationId xmlns:a16="http://schemas.microsoft.com/office/drawing/2014/main" id="{B5AAA555-8273-41C2-B43D-97C22E938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616603</xdr:colOff>
      <xdr:row>81</xdr:row>
      <xdr:rowOff>133350</xdr:rowOff>
    </xdr:from>
    <xdr:to>
      <xdr:col>17</xdr:col>
      <xdr:colOff>368460</xdr:colOff>
      <xdr:row>96</xdr:row>
      <xdr:rowOff>155850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FAA0C0-337E-4AD4-8614-9945C09A2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922243</xdr:colOff>
      <xdr:row>81</xdr:row>
      <xdr:rowOff>41741</xdr:rowOff>
    </xdr:from>
    <xdr:to>
      <xdr:col>33</xdr:col>
      <xdr:colOff>214667</xdr:colOff>
      <xdr:row>96</xdr:row>
      <xdr:rowOff>64241</xdr:rowOff>
    </xdr:to>
    <xdr:graphicFrame macro="">
      <xdr:nvGraphicFramePr>
        <xdr:cNvPr id="5" name="DECOMPOSICAO_FISHER">
          <a:extLst>
            <a:ext uri="{FF2B5EF4-FFF2-40B4-BE49-F238E27FC236}">
              <a16:creationId xmlns:a16="http://schemas.microsoft.com/office/drawing/2014/main" id="{BD85B19F-8CCC-5348-E66D-DF7DB7553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627529</xdr:colOff>
      <xdr:row>97</xdr:row>
      <xdr:rowOff>29974</xdr:rowOff>
    </xdr:from>
    <xdr:to>
      <xdr:col>17</xdr:col>
      <xdr:colOff>375304</xdr:colOff>
      <xdr:row>112</xdr:row>
      <xdr:rowOff>52474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6B9BD2-F240-8F17-4DEB-5467476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250372</xdr:colOff>
      <xdr:row>84</xdr:row>
      <xdr:rowOff>30616</xdr:rowOff>
    </xdr:from>
    <xdr:to>
      <xdr:col>4</xdr:col>
      <xdr:colOff>727743</xdr:colOff>
      <xdr:row>95</xdr:row>
      <xdr:rowOff>6804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C8440DA-D421-BE3B-7C09-066D2DE26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1016373</xdr:colOff>
      <xdr:row>81</xdr:row>
      <xdr:rowOff>114300</xdr:rowOff>
    </xdr:from>
    <xdr:to>
      <xdr:col>11</xdr:col>
      <xdr:colOff>49773</xdr:colOff>
      <xdr:row>96</xdr:row>
      <xdr:rowOff>136800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6218D6C-C85B-41E8-AEF4-DC22DB99D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598713</xdr:colOff>
      <xdr:row>81</xdr:row>
      <xdr:rowOff>122465</xdr:rowOff>
    </xdr:from>
    <xdr:to>
      <xdr:col>23</xdr:col>
      <xdr:colOff>765588</xdr:colOff>
      <xdr:row>96</xdr:row>
      <xdr:rowOff>144965</xdr:rowOff>
    </xdr:to>
    <xdr:graphicFrame macro="">
      <xdr:nvGraphicFramePr>
        <xdr:cNvPr id="3" name="DECOMPOSICAO_APROXIMACAO_LINEAR">
          <a:extLst>
            <a:ext uri="{FF2B5EF4-FFF2-40B4-BE49-F238E27FC236}">
              <a16:creationId xmlns:a16="http://schemas.microsoft.com/office/drawing/2014/main" id="{6AE38EA7-7250-43D5-A3D4-7D9DC473F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0.07951</cdr:x>
      <cdr:y>0.46246</cdr:y>
    </cdr:from>
    <cdr:to>
      <cdr:x>0.97754</cdr:x>
      <cdr:y>0.46246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C1F13962-DD4F-F852-AE4D-D3AFE65563FE}"/>
            </a:ext>
          </a:extLst>
        </cdr:cNvPr>
        <cdr:cNvCxnSpPr/>
      </cdr:nvCxnSpPr>
      <cdr:spPr>
        <a:xfrm xmlns:a="http://schemas.openxmlformats.org/drawingml/2006/main">
          <a:off x="460095" y="1331893"/>
          <a:ext cx="5196562" cy="0"/>
        </a:xfrm>
        <a:prstGeom xmlns:a="http://schemas.openxmlformats.org/drawingml/2006/main" prst="line">
          <a:avLst/>
        </a:prstGeom>
        <a:ln xmlns:a="http://schemas.openxmlformats.org/drawingml/2006/main" w="1905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3F3CF3B-2CAF-48A8-B126-5F34531B1446}" autoFormatId="16" applyNumberFormats="0" applyBorderFormats="0" applyFontFormats="0" applyPatternFormats="0" applyAlignmentFormats="0" applyWidthHeightFormats="0">
  <queryTableRefresh nextId="5">
    <queryTableFields count="4">
      <queryTableField id="1" name="Mês/Ano" tableColumnId="1"/>
      <queryTableField id="2" name="NÚMERO ÍNDICE" tableColumnId="2"/>
      <queryTableField id="3" name="INFLAÇÃO NO ANO" tableColumnId="3"/>
      <queryTableField id="4" name="INFLAÇÃO 12 MESES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D90F43-F124-4310-9264-45CB5AA5D3E7}" name="Série_Histórica_IPCA" displayName="Série_Histórica_IPCA" ref="A1:D360" tableType="queryTable" totalsRowShown="0">
  <autoFilter ref="A1:D360" xr:uid="{E9D90F43-F124-4310-9264-45CB5AA5D3E7}"/>
  <tableColumns count="4">
    <tableColumn id="1" xr3:uid="{7E881F27-82C9-4F8C-8390-FEB81E15155D}" uniqueName="1" name="Mês/Ano" queryTableFieldId="1" dataDxfId="0"/>
    <tableColumn id="2" xr3:uid="{83C4149A-BB15-47C4-80A1-0EB6475D8460}" uniqueName="2" name="NÚMERO ÍNDICE" queryTableFieldId="2"/>
    <tableColumn id="3" xr3:uid="{630F5BC4-36F4-453D-9877-A2DAD54FABE5}" uniqueName="3" name="INFLAÇÃO NO ANO" queryTableFieldId="3"/>
    <tableColumn id="4" xr3:uid="{2570F9ED-18C7-4192-AD40-63DD4DD761FD}" uniqueName="4" name="INFLAÇÃO 12 MESE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363C-D4D7-42E4-AB93-8F93FD756F89}">
  <sheetPr codeName="Planilha1"/>
  <dimension ref="A1:I360"/>
  <sheetViews>
    <sheetView workbookViewId="0">
      <selection activeCell="I7" sqref="I7"/>
    </sheetView>
  </sheetViews>
  <sheetFormatPr defaultRowHeight="15" x14ac:dyDescent="0.25"/>
  <cols>
    <col min="1" max="1" width="11.5703125" bestFit="1" customWidth="1"/>
    <col min="2" max="2" width="18.140625" bestFit="1" customWidth="1"/>
    <col min="3" max="3" width="20.42578125" bestFit="1" customWidth="1"/>
    <col min="4" max="4" width="21.28515625" bestFit="1" customWidth="1"/>
    <col min="8" max="8" width="10.710937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H1" t="s">
        <v>10</v>
      </c>
      <c r="I1" t="s">
        <v>11</v>
      </c>
    </row>
    <row r="2" spans="1:9" x14ac:dyDescent="0.25">
      <c r="A2" s="9">
        <v>34335</v>
      </c>
      <c r="B2">
        <v>141.31</v>
      </c>
      <c r="C2">
        <v>41.31</v>
      </c>
      <c r="D2">
        <v>2693.84</v>
      </c>
      <c r="H2" s="10">
        <v>34669</v>
      </c>
      <c r="I2">
        <f>VLOOKUP(H2,A:D,3,0)</f>
        <v>916.46</v>
      </c>
    </row>
    <row r="3" spans="1:9" x14ac:dyDescent="0.25">
      <c r="A3" s="9">
        <v>34366</v>
      </c>
      <c r="B3">
        <v>198.22</v>
      </c>
      <c r="C3">
        <v>98.22</v>
      </c>
      <c r="D3">
        <v>3035.71</v>
      </c>
      <c r="H3" s="10">
        <v>35034</v>
      </c>
      <c r="I3">
        <f t="shared" ref="I3:I31" si="0">VLOOKUP(H3,A:D,3,0)</f>
        <v>22.41</v>
      </c>
    </row>
    <row r="4" spans="1:9" x14ac:dyDescent="0.25">
      <c r="A4" s="9">
        <v>34394</v>
      </c>
      <c r="B4">
        <v>282.95999999999998</v>
      </c>
      <c r="C4">
        <v>182.96</v>
      </c>
      <c r="D4">
        <v>3417.39</v>
      </c>
      <c r="H4" s="10">
        <v>35400</v>
      </c>
      <c r="I4">
        <f t="shared" si="0"/>
        <v>9.56</v>
      </c>
    </row>
    <row r="5" spans="1:9" x14ac:dyDescent="0.25">
      <c r="A5" s="9">
        <v>34425</v>
      </c>
      <c r="B5">
        <v>403.73</v>
      </c>
      <c r="C5">
        <v>303.73</v>
      </c>
      <c r="D5">
        <v>3828.49</v>
      </c>
      <c r="H5" s="10">
        <v>35765</v>
      </c>
      <c r="I5">
        <f t="shared" si="0"/>
        <v>5.22</v>
      </c>
    </row>
    <row r="6" spans="1:9" x14ac:dyDescent="0.25">
      <c r="A6" s="9">
        <v>34455</v>
      </c>
      <c r="B6">
        <v>581.49</v>
      </c>
      <c r="C6">
        <v>481.49</v>
      </c>
      <c r="D6">
        <v>4331.1899999999996</v>
      </c>
      <c r="H6" s="10">
        <v>36130</v>
      </c>
      <c r="I6">
        <f t="shared" si="0"/>
        <v>1.65</v>
      </c>
    </row>
    <row r="7" spans="1:9" x14ac:dyDescent="0.25">
      <c r="A7" s="9">
        <v>34486</v>
      </c>
      <c r="B7">
        <v>857.29</v>
      </c>
      <c r="C7">
        <v>757.29</v>
      </c>
      <c r="D7">
        <v>4922.6000000000004</v>
      </c>
      <c r="H7" s="10">
        <v>36495</v>
      </c>
      <c r="I7">
        <f t="shared" si="0"/>
        <v>8.94</v>
      </c>
    </row>
    <row r="8" spans="1:9" x14ac:dyDescent="0.25">
      <c r="A8" s="9">
        <v>34516</v>
      </c>
      <c r="B8">
        <v>915.93</v>
      </c>
      <c r="C8">
        <v>815.93</v>
      </c>
      <c r="D8">
        <v>4005.08</v>
      </c>
      <c r="H8" s="10">
        <v>36861</v>
      </c>
      <c r="I8">
        <f t="shared" si="0"/>
        <v>5.97</v>
      </c>
    </row>
    <row r="9" spans="1:9" x14ac:dyDescent="0.25">
      <c r="A9" s="9">
        <v>34547</v>
      </c>
      <c r="B9">
        <v>932.97</v>
      </c>
      <c r="C9">
        <v>832.97</v>
      </c>
      <c r="D9">
        <v>3044.89</v>
      </c>
      <c r="H9" s="10">
        <v>37226</v>
      </c>
      <c r="I9">
        <f t="shared" si="0"/>
        <v>7.67</v>
      </c>
    </row>
    <row r="10" spans="1:9" x14ac:dyDescent="0.25">
      <c r="A10" s="9">
        <v>34578</v>
      </c>
      <c r="B10">
        <v>947.24</v>
      </c>
      <c r="C10">
        <v>847.24</v>
      </c>
      <c r="D10">
        <v>2253.15</v>
      </c>
      <c r="H10" s="10">
        <v>37591</v>
      </c>
      <c r="I10">
        <f t="shared" si="0"/>
        <v>12.53</v>
      </c>
    </row>
    <row r="11" spans="1:9" x14ac:dyDescent="0.25">
      <c r="A11" s="9">
        <v>34608</v>
      </c>
      <c r="B11">
        <v>972.06</v>
      </c>
      <c r="C11">
        <v>872.06</v>
      </c>
      <c r="D11">
        <v>1703.17</v>
      </c>
      <c r="H11" s="10">
        <v>37956</v>
      </c>
      <c r="I11">
        <f t="shared" si="0"/>
        <v>9.3000000000000007</v>
      </c>
    </row>
    <row r="12" spans="1:9" x14ac:dyDescent="0.25">
      <c r="A12" s="9">
        <v>34639</v>
      </c>
      <c r="B12">
        <v>999.37</v>
      </c>
      <c r="C12">
        <v>899.37</v>
      </c>
      <c r="D12">
        <v>1267.54</v>
      </c>
      <c r="H12" s="10">
        <v>38322</v>
      </c>
      <c r="I12">
        <f t="shared" si="0"/>
        <v>7.6</v>
      </c>
    </row>
    <row r="13" spans="1:9" x14ac:dyDescent="0.25">
      <c r="A13" s="9">
        <v>34669</v>
      </c>
      <c r="B13">
        <v>1016.46</v>
      </c>
      <c r="C13">
        <v>916.46</v>
      </c>
      <c r="D13">
        <v>916.46</v>
      </c>
      <c r="H13" s="10">
        <v>38687</v>
      </c>
      <c r="I13">
        <f t="shared" si="0"/>
        <v>5.69</v>
      </c>
    </row>
    <row r="14" spans="1:9" x14ac:dyDescent="0.25">
      <c r="A14" s="9">
        <v>34700</v>
      </c>
      <c r="B14">
        <v>1033.74</v>
      </c>
      <c r="C14">
        <v>1.7</v>
      </c>
      <c r="D14">
        <v>631.54</v>
      </c>
      <c r="H14" s="10">
        <v>39052</v>
      </c>
      <c r="I14">
        <f t="shared" si="0"/>
        <v>3.14</v>
      </c>
    </row>
    <row r="15" spans="1:9" x14ac:dyDescent="0.25">
      <c r="A15" s="9">
        <v>34731</v>
      </c>
      <c r="B15">
        <v>1044.28</v>
      </c>
      <c r="C15">
        <v>2.74</v>
      </c>
      <c r="D15">
        <v>426.83</v>
      </c>
      <c r="H15" s="10">
        <v>39417</v>
      </c>
      <c r="I15">
        <f t="shared" si="0"/>
        <v>4.46</v>
      </c>
    </row>
    <row r="16" spans="1:9" x14ac:dyDescent="0.25">
      <c r="A16" s="9">
        <v>34759</v>
      </c>
      <c r="B16">
        <v>1060.47</v>
      </c>
      <c r="C16">
        <v>4.33</v>
      </c>
      <c r="D16">
        <v>274.77999999999997</v>
      </c>
      <c r="H16" s="10">
        <v>39783</v>
      </c>
      <c r="I16">
        <f t="shared" si="0"/>
        <v>5.9</v>
      </c>
    </row>
    <row r="17" spans="1:9" x14ac:dyDescent="0.25">
      <c r="A17" s="9">
        <v>34790</v>
      </c>
      <c r="B17">
        <v>1086.24</v>
      </c>
      <c r="C17">
        <v>6.87</v>
      </c>
      <c r="D17">
        <v>169.05</v>
      </c>
      <c r="H17" s="10">
        <v>40148</v>
      </c>
      <c r="I17">
        <f t="shared" si="0"/>
        <v>4.3099999999999996</v>
      </c>
    </row>
    <row r="18" spans="1:9" x14ac:dyDescent="0.25">
      <c r="A18" s="9">
        <v>34820</v>
      </c>
      <c r="B18">
        <v>1115.24</v>
      </c>
      <c r="C18">
        <v>9.7200000000000006</v>
      </c>
      <c r="D18">
        <v>91.79</v>
      </c>
      <c r="H18" s="10">
        <v>40513</v>
      </c>
      <c r="I18">
        <f t="shared" si="0"/>
        <v>5.91</v>
      </c>
    </row>
    <row r="19" spans="1:9" x14ac:dyDescent="0.25">
      <c r="A19" s="9">
        <v>34851</v>
      </c>
      <c r="B19">
        <v>1140.44</v>
      </c>
      <c r="C19">
        <v>12.2</v>
      </c>
      <c r="D19">
        <v>33.03</v>
      </c>
      <c r="H19" s="10">
        <v>40878</v>
      </c>
      <c r="I19">
        <f t="shared" si="0"/>
        <v>6.5</v>
      </c>
    </row>
    <row r="20" spans="1:9" x14ac:dyDescent="0.25">
      <c r="A20" s="9">
        <v>34881</v>
      </c>
      <c r="B20">
        <v>1167.3499999999999</v>
      </c>
      <c r="C20">
        <v>14.84</v>
      </c>
      <c r="D20">
        <v>27.45</v>
      </c>
      <c r="H20" s="10">
        <v>41244</v>
      </c>
      <c r="I20">
        <f t="shared" si="0"/>
        <v>5.84</v>
      </c>
    </row>
    <row r="21" spans="1:9" x14ac:dyDescent="0.25">
      <c r="A21" s="9">
        <v>34912</v>
      </c>
      <c r="B21">
        <v>1178.9100000000001</v>
      </c>
      <c r="C21">
        <v>15.98</v>
      </c>
      <c r="D21">
        <v>26.36</v>
      </c>
      <c r="H21" s="10">
        <v>41609</v>
      </c>
      <c r="I21">
        <f t="shared" si="0"/>
        <v>5.91</v>
      </c>
    </row>
    <row r="22" spans="1:9" x14ac:dyDescent="0.25">
      <c r="A22" s="9">
        <v>34943</v>
      </c>
      <c r="B22">
        <v>1190.58</v>
      </c>
      <c r="C22">
        <v>17.13</v>
      </c>
      <c r="D22">
        <v>25.69</v>
      </c>
      <c r="H22" s="10">
        <v>41974</v>
      </c>
      <c r="I22">
        <f t="shared" si="0"/>
        <v>6.41</v>
      </c>
    </row>
    <row r="23" spans="1:9" x14ac:dyDescent="0.25">
      <c r="A23" s="9">
        <v>34973</v>
      </c>
      <c r="B23">
        <v>1207.3699999999999</v>
      </c>
      <c r="C23">
        <v>18.78</v>
      </c>
      <c r="D23">
        <v>24.21</v>
      </c>
      <c r="H23" s="10">
        <v>42339</v>
      </c>
      <c r="I23">
        <f t="shared" si="0"/>
        <v>10.67</v>
      </c>
    </row>
    <row r="24" spans="1:9" x14ac:dyDescent="0.25">
      <c r="A24" s="9">
        <v>35004</v>
      </c>
      <c r="B24">
        <v>1225.1199999999999</v>
      </c>
      <c r="C24">
        <v>20.53</v>
      </c>
      <c r="D24">
        <v>22.59</v>
      </c>
      <c r="H24" s="10">
        <v>42705</v>
      </c>
      <c r="I24">
        <f t="shared" si="0"/>
        <v>6.29</v>
      </c>
    </row>
    <row r="25" spans="1:9" x14ac:dyDescent="0.25">
      <c r="A25" s="9">
        <v>35034</v>
      </c>
      <c r="B25">
        <v>1244.23</v>
      </c>
      <c r="C25">
        <v>22.41</v>
      </c>
      <c r="D25">
        <v>22.41</v>
      </c>
      <c r="H25" s="10">
        <v>43070</v>
      </c>
      <c r="I25">
        <f t="shared" si="0"/>
        <v>2.95</v>
      </c>
    </row>
    <row r="26" spans="1:9" x14ac:dyDescent="0.25">
      <c r="A26" s="9">
        <v>35065</v>
      </c>
      <c r="B26">
        <v>1260.9000000000001</v>
      </c>
      <c r="C26">
        <v>1.34</v>
      </c>
      <c r="D26">
        <v>21.97</v>
      </c>
      <c r="H26" s="10">
        <v>43435</v>
      </c>
      <c r="I26">
        <f t="shared" si="0"/>
        <v>3.75</v>
      </c>
    </row>
    <row r="27" spans="1:9" x14ac:dyDescent="0.25">
      <c r="A27" s="9">
        <v>35096</v>
      </c>
      <c r="B27">
        <v>1273.8900000000001</v>
      </c>
      <c r="C27">
        <v>2.38</v>
      </c>
      <c r="D27">
        <v>21.99</v>
      </c>
      <c r="H27" s="10">
        <v>43800</v>
      </c>
      <c r="I27">
        <f t="shared" si="0"/>
        <v>4.3099999999999996</v>
      </c>
    </row>
    <row r="28" spans="1:9" x14ac:dyDescent="0.25">
      <c r="A28" s="9">
        <v>35125</v>
      </c>
      <c r="B28">
        <v>1278.3499999999999</v>
      </c>
      <c r="C28">
        <v>2.74</v>
      </c>
      <c r="D28">
        <v>20.55</v>
      </c>
      <c r="H28" s="10">
        <v>44166</v>
      </c>
      <c r="I28">
        <f t="shared" si="0"/>
        <v>4.5199999999999996</v>
      </c>
    </row>
    <row r="29" spans="1:9" x14ac:dyDescent="0.25">
      <c r="A29" s="9">
        <v>35156</v>
      </c>
      <c r="B29">
        <v>1294.46</v>
      </c>
      <c r="C29">
        <v>4.04</v>
      </c>
      <c r="D29">
        <v>19.170000000000002</v>
      </c>
      <c r="H29" s="10">
        <v>44531</v>
      </c>
      <c r="I29">
        <f t="shared" si="0"/>
        <v>10.06</v>
      </c>
    </row>
    <row r="30" spans="1:9" x14ac:dyDescent="0.25">
      <c r="A30" s="9">
        <v>35186</v>
      </c>
      <c r="B30">
        <v>1310.25</v>
      </c>
      <c r="C30">
        <v>5.31</v>
      </c>
      <c r="D30">
        <v>17.489999999999998</v>
      </c>
      <c r="H30" s="10">
        <v>44896</v>
      </c>
      <c r="I30">
        <f t="shared" si="0"/>
        <v>5.79</v>
      </c>
    </row>
    <row r="31" spans="1:9" x14ac:dyDescent="0.25">
      <c r="A31" s="9">
        <v>35217</v>
      </c>
      <c r="B31">
        <v>1325.84</v>
      </c>
      <c r="C31">
        <v>6.56</v>
      </c>
      <c r="D31">
        <v>16.260000000000002</v>
      </c>
      <c r="H31" s="10">
        <v>45261</v>
      </c>
      <c r="I31" t="e">
        <f t="shared" si="0"/>
        <v>#N/A</v>
      </c>
    </row>
    <row r="32" spans="1:9" x14ac:dyDescent="0.25">
      <c r="A32" s="9">
        <v>35247</v>
      </c>
      <c r="B32">
        <v>1340.56</v>
      </c>
      <c r="C32">
        <v>7.74</v>
      </c>
      <c r="D32">
        <v>14.84</v>
      </c>
    </row>
    <row r="33" spans="1:4" x14ac:dyDescent="0.25">
      <c r="A33" s="9">
        <v>35278</v>
      </c>
      <c r="B33">
        <v>1346.46</v>
      </c>
      <c r="C33">
        <v>8.2200000000000006</v>
      </c>
      <c r="D33">
        <v>14.21</v>
      </c>
    </row>
    <row r="34" spans="1:4" x14ac:dyDescent="0.25">
      <c r="A34" s="9">
        <v>35309</v>
      </c>
      <c r="B34">
        <v>1348.48</v>
      </c>
      <c r="C34">
        <v>8.3800000000000008</v>
      </c>
      <c r="D34">
        <v>13.26</v>
      </c>
    </row>
    <row r="35" spans="1:4" x14ac:dyDescent="0.25">
      <c r="A35" s="9">
        <v>35339</v>
      </c>
      <c r="B35">
        <v>1352.53</v>
      </c>
      <c r="C35">
        <v>8.6999999999999993</v>
      </c>
      <c r="D35">
        <v>12.02</v>
      </c>
    </row>
    <row r="36" spans="1:4" x14ac:dyDescent="0.25">
      <c r="A36" s="9">
        <v>35370</v>
      </c>
      <c r="B36">
        <v>1356.86</v>
      </c>
      <c r="C36">
        <v>9.0500000000000007</v>
      </c>
      <c r="D36">
        <v>10.75</v>
      </c>
    </row>
    <row r="37" spans="1:4" x14ac:dyDescent="0.25">
      <c r="A37" s="9">
        <v>35400</v>
      </c>
      <c r="B37">
        <v>1363.24</v>
      </c>
      <c r="C37">
        <v>9.56</v>
      </c>
      <c r="D37">
        <v>9.56</v>
      </c>
    </row>
    <row r="38" spans="1:4" x14ac:dyDescent="0.25">
      <c r="A38" s="9">
        <v>35431</v>
      </c>
      <c r="B38">
        <v>1379.33</v>
      </c>
      <c r="C38">
        <v>1.18</v>
      </c>
      <c r="D38">
        <v>9.39</v>
      </c>
    </row>
    <row r="39" spans="1:4" x14ac:dyDescent="0.25">
      <c r="A39" s="9">
        <v>35462</v>
      </c>
      <c r="B39">
        <v>1386.23</v>
      </c>
      <c r="C39">
        <v>1.69</v>
      </c>
      <c r="D39">
        <v>8.82</v>
      </c>
    </row>
    <row r="40" spans="1:4" x14ac:dyDescent="0.25">
      <c r="A40" s="9">
        <v>35490</v>
      </c>
      <c r="B40">
        <v>1393.3</v>
      </c>
      <c r="C40">
        <v>2.21</v>
      </c>
      <c r="D40">
        <v>8.99</v>
      </c>
    </row>
    <row r="41" spans="1:4" x14ac:dyDescent="0.25">
      <c r="A41" s="9">
        <v>35521</v>
      </c>
      <c r="B41">
        <v>1405.56</v>
      </c>
      <c r="C41">
        <v>3.1</v>
      </c>
      <c r="D41">
        <v>8.58</v>
      </c>
    </row>
    <row r="42" spans="1:4" x14ac:dyDescent="0.25">
      <c r="A42" s="9">
        <v>35551</v>
      </c>
      <c r="B42">
        <v>1411.32</v>
      </c>
      <c r="C42">
        <v>3.53</v>
      </c>
      <c r="D42">
        <v>7.71</v>
      </c>
    </row>
    <row r="43" spans="1:4" x14ac:dyDescent="0.25">
      <c r="A43" s="9">
        <v>35582</v>
      </c>
      <c r="B43">
        <v>1418.94</v>
      </c>
      <c r="C43">
        <v>4.09</v>
      </c>
      <c r="D43">
        <v>7.02</v>
      </c>
    </row>
    <row r="44" spans="1:4" x14ac:dyDescent="0.25">
      <c r="A44" s="9">
        <v>35612</v>
      </c>
      <c r="B44">
        <v>1422.06</v>
      </c>
      <c r="C44">
        <v>4.3099999999999996</v>
      </c>
      <c r="D44">
        <v>6.08</v>
      </c>
    </row>
    <row r="45" spans="1:4" x14ac:dyDescent="0.25">
      <c r="A45" s="9">
        <v>35643</v>
      </c>
      <c r="B45">
        <v>1421.78</v>
      </c>
      <c r="C45">
        <v>4.29</v>
      </c>
      <c r="D45">
        <v>5.59</v>
      </c>
    </row>
    <row r="46" spans="1:4" x14ac:dyDescent="0.25">
      <c r="A46" s="9">
        <v>35674</v>
      </c>
      <c r="B46">
        <v>1422.63</v>
      </c>
      <c r="C46">
        <v>4.3600000000000003</v>
      </c>
      <c r="D46">
        <v>5.5</v>
      </c>
    </row>
    <row r="47" spans="1:4" x14ac:dyDescent="0.25">
      <c r="A47" s="9">
        <v>35704</v>
      </c>
      <c r="B47">
        <v>1425.9</v>
      </c>
      <c r="C47">
        <v>4.5999999999999996</v>
      </c>
      <c r="D47">
        <v>5.42</v>
      </c>
    </row>
    <row r="48" spans="1:4" x14ac:dyDescent="0.25">
      <c r="A48" s="9">
        <v>35735</v>
      </c>
      <c r="B48">
        <v>1428.32</v>
      </c>
      <c r="C48">
        <v>4.7699999999999996</v>
      </c>
      <c r="D48">
        <v>5.27</v>
      </c>
    </row>
    <row r="49" spans="1:4" x14ac:dyDescent="0.25">
      <c r="A49" s="9">
        <v>35765</v>
      </c>
      <c r="B49">
        <v>1434.46</v>
      </c>
      <c r="C49">
        <v>5.22</v>
      </c>
      <c r="D49">
        <v>5.22</v>
      </c>
    </row>
    <row r="50" spans="1:4" x14ac:dyDescent="0.25">
      <c r="A50" s="9">
        <v>35796</v>
      </c>
      <c r="B50">
        <v>1444.64</v>
      </c>
      <c r="C50">
        <v>0.71</v>
      </c>
      <c r="D50">
        <v>4.7300000000000004</v>
      </c>
    </row>
    <row r="51" spans="1:4" x14ac:dyDescent="0.25">
      <c r="A51" s="9">
        <v>35827</v>
      </c>
      <c r="B51">
        <v>1451.29</v>
      </c>
      <c r="C51">
        <v>1.17</v>
      </c>
      <c r="D51">
        <v>4.6900000000000004</v>
      </c>
    </row>
    <row r="52" spans="1:4" x14ac:dyDescent="0.25">
      <c r="A52" s="9">
        <v>35855</v>
      </c>
      <c r="B52">
        <v>1456.22</v>
      </c>
      <c r="C52">
        <v>1.52</v>
      </c>
      <c r="D52">
        <v>4.5199999999999996</v>
      </c>
    </row>
    <row r="53" spans="1:4" x14ac:dyDescent="0.25">
      <c r="A53" s="9">
        <v>35886</v>
      </c>
      <c r="B53">
        <v>1459.71</v>
      </c>
      <c r="C53">
        <v>1.76</v>
      </c>
      <c r="D53">
        <v>3.85</v>
      </c>
    </row>
    <row r="54" spans="1:4" x14ac:dyDescent="0.25">
      <c r="A54" s="9">
        <v>35916</v>
      </c>
      <c r="B54">
        <v>1467.01</v>
      </c>
      <c r="C54">
        <v>2.27</v>
      </c>
      <c r="D54">
        <v>3.95</v>
      </c>
    </row>
    <row r="55" spans="1:4" x14ac:dyDescent="0.25">
      <c r="A55" s="9">
        <v>35947</v>
      </c>
      <c r="B55">
        <v>1467.3</v>
      </c>
      <c r="C55">
        <v>2.29</v>
      </c>
      <c r="D55">
        <v>3.41</v>
      </c>
    </row>
    <row r="56" spans="1:4" x14ac:dyDescent="0.25">
      <c r="A56" s="9">
        <v>35977</v>
      </c>
      <c r="B56">
        <v>1465.54</v>
      </c>
      <c r="C56">
        <v>2.17</v>
      </c>
      <c r="D56">
        <v>3.06</v>
      </c>
    </row>
    <row r="57" spans="1:4" x14ac:dyDescent="0.25">
      <c r="A57" s="9">
        <v>36008</v>
      </c>
      <c r="B57">
        <v>1458.07</v>
      </c>
      <c r="C57">
        <v>1.65</v>
      </c>
      <c r="D57">
        <v>2.5499999999999998</v>
      </c>
    </row>
    <row r="58" spans="1:4" x14ac:dyDescent="0.25">
      <c r="A58" s="9">
        <v>36039</v>
      </c>
      <c r="B58">
        <v>1454.86</v>
      </c>
      <c r="C58">
        <v>1.42</v>
      </c>
      <c r="D58">
        <v>2.27</v>
      </c>
    </row>
    <row r="59" spans="1:4" x14ac:dyDescent="0.25">
      <c r="A59" s="9">
        <v>36069</v>
      </c>
      <c r="B59">
        <v>1455.15</v>
      </c>
      <c r="C59">
        <v>1.44</v>
      </c>
      <c r="D59">
        <v>2.0499999999999998</v>
      </c>
    </row>
    <row r="60" spans="1:4" x14ac:dyDescent="0.25">
      <c r="A60" s="9">
        <v>36100</v>
      </c>
      <c r="B60">
        <v>1453.4</v>
      </c>
      <c r="C60">
        <v>1.32</v>
      </c>
      <c r="D60">
        <v>1.76</v>
      </c>
    </row>
    <row r="61" spans="1:4" x14ac:dyDescent="0.25">
      <c r="A61" s="9">
        <v>36130</v>
      </c>
      <c r="B61">
        <v>1458.2</v>
      </c>
      <c r="C61">
        <v>1.65</v>
      </c>
      <c r="D61">
        <v>1.65</v>
      </c>
    </row>
    <row r="62" spans="1:4" x14ac:dyDescent="0.25">
      <c r="A62" s="9">
        <v>36161</v>
      </c>
      <c r="B62">
        <v>1468.41</v>
      </c>
      <c r="C62">
        <v>0.7</v>
      </c>
      <c r="D62">
        <v>1.65</v>
      </c>
    </row>
    <row r="63" spans="1:4" x14ac:dyDescent="0.25">
      <c r="A63" s="9">
        <v>36192</v>
      </c>
      <c r="B63">
        <v>1483.83</v>
      </c>
      <c r="C63">
        <v>1.76</v>
      </c>
      <c r="D63">
        <v>2.2400000000000002</v>
      </c>
    </row>
    <row r="64" spans="1:4" x14ac:dyDescent="0.25">
      <c r="A64" s="9">
        <v>36220</v>
      </c>
      <c r="B64">
        <v>1500.15</v>
      </c>
      <c r="C64">
        <v>2.88</v>
      </c>
      <c r="D64">
        <v>3.02</v>
      </c>
    </row>
    <row r="65" spans="1:4" x14ac:dyDescent="0.25">
      <c r="A65" s="9">
        <v>36251</v>
      </c>
      <c r="B65">
        <v>1508.55</v>
      </c>
      <c r="C65">
        <v>3.45</v>
      </c>
      <c r="D65">
        <v>3.35</v>
      </c>
    </row>
    <row r="66" spans="1:4" x14ac:dyDescent="0.25">
      <c r="A66" s="9">
        <v>36281</v>
      </c>
      <c r="B66">
        <v>1513.08</v>
      </c>
      <c r="C66">
        <v>3.76</v>
      </c>
      <c r="D66">
        <v>3.14</v>
      </c>
    </row>
    <row r="67" spans="1:4" x14ac:dyDescent="0.25">
      <c r="A67" s="9">
        <v>36312</v>
      </c>
      <c r="B67">
        <v>1515.95</v>
      </c>
      <c r="C67">
        <v>3.96</v>
      </c>
      <c r="D67">
        <v>3.32</v>
      </c>
    </row>
    <row r="68" spans="1:4" x14ac:dyDescent="0.25">
      <c r="A68" s="9">
        <v>36342</v>
      </c>
      <c r="B68">
        <v>1532.47</v>
      </c>
      <c r="C68">
        <v>5.09</v>
      </c>
      <c r="D68">
        <v>4.57</v>
      </c>
    </row>
    <row r="69" spans="1:4" x14ac:dyDescent="0.25">
      <c r="A69" s="9">
        <v>36373</v>
      </c>
      <c r="B69">
        <v>1541.05</v>
      </c>
      <c r="C69">
        <v>5.68</v>
      </c>
      <c r="D69">
        <v>5.69</v>
      </c>
    </row>
    <row r="70" spans="1:4" x14ac:dyDescent="0.25">
      <c r="A70" s="9">
        <v>36404</v>
      </c>
      <c r="B70">
        <v>1545.83</v>
      </c>
      <c r="C70">
        <v>6.01</v>
      </c>
      <c r="D70">
        <v>6.25</v>
      </c>
    </row>
    <row r="71" spans="1:4" x14ac:dyDescent="0.25">
      <c r="A71" s="9">
        <v>36434</v>
      </c>
      <c r="B71">
        <v>1564.23</v>
      </c>
      <c r="C71">
        <v>7.27</v>
      </c>
      <c r="D71">
        <v>7.5</v>
      </c>
    </row>
    <row r="72" spans="1:4" x14ac:dyDescent="0.25">
      <c r="A72" s="9">
        <v>36465</v>
      </c>
      <c r="B72">
        <v>1579.09</v>
      </c>
      <c r="C72">
        <v>8.2899999999999991</v>
      </c>
      <c r="D72">
        <v>8.65</v>
      </c>
    </row>
    <row r="73" spans="1:4" x14ac:dyDescent="0.25">
      <c r="A73" s="9">
        <v>36495</v>
      </c>
      <c r="B73">
        <v>1588.56</v>
      </c>
      <c r="C73">
        <v>8.94</v>
      </c>
      <c r="D73">
        <v>8.94</v>
      </c>
    </row>
    <row r="74" spans="1:4" x14ac:dyDescent="0.25">
      <c r="A74" s="9">
        <v>36526</v>
      </c>
      <c r="B74">
        <v>1598.41</v>
      </c>
      <c r="C74">
        <v>0.62</v>
      </c>
      <c r="D74">
        <v>8.85</v>
      </c>
    </row>
    <row r="75" spans="1:4" x14ac:dyDescent="0.25">
      <c r="A75" s="9">
        <v>36557</v>
      </c>
      <c r="B75">
        <v>1600.49</v>
      </c>
      <c r="C75">
        <v>0.75</v>
      </c>
      <c r="D75">
        <v>7.86</v>
      </c>
    </row>
    <row r="76" spans="1:4" x14ac:dyDescent="0.25">
      <c r="A76" s="9">
        <v>36586</v>
      </c>
      <c r="B76">
        <v>1604.01</v>
      </c>
      <c r="C76">
        <v>0.97</v>
      </c>
      <c r="D76">
        <v>6.92</v>
      </c>
    </row>
    <row r="77" spans="1:4" x14ac:dyDescent="0.25">
      <c r="A77" s="9">
        <v>36617</v>
      </c>
      <c r="B77">
        <v>1610.75</v>
      </c>
      <c r="C77">
        <v>1.4</v>
      </c>
      <c r="D77">
        <v>6.77</v>
      </c>
    </row>
    <row r="78" spans="1:4" x14ac:dyDescent="0.25">
      <c r="A78" s="9">
        <v>36647</v>
      </c>
      <c r="B78">
        <v>1610.91</v>
      </c>
      <c r="C78">
        <v>1.41</v>
      </c>
      <c r="D78">
        <v>6.47</v>
      </c>
    </row>
    <row r="79" spans="1:4" x14ac:dyDescent="0.25">
      <c r="A79" s="9">
        <v>36678</v>
      </c>
      <c r="B79">
        <v>1614.62</v>
      </c>
      <c r="C79">
        <v>1.64</v>
      </c>
      <c r="D79">
        <v>6.51</v>
      </c>
    </row>
    <row r="80" spans="1:4" x14ac:dyDescent="0.25">
      <c r="A80" s="9">
        <v>36708</v>
      </c>
      <c r="B80">
        <v>1640.62</v>
      </c>
      <c r="C80">
        <v>3.28</v>
      </c>
      <c r="D80">
        <v>7.06</v>
      </c>
    </row>
    <row r="81" spans="1:4" x14ac:dyDescent="0.25">
      <c r="A81" s="9">
        <v>36739</v>
      </c>
      <c r="B81">
        <v>1662.11</v>
      </c>
      <c r="C81">
        <v>4.63</v>
      </c>
      <c r="D81">
        <v>7.86</v>
      </c>
    </row>
    <row r="82" spans="1:4" x14ac:dyDescent="0.25">
      <c r="A82" s="9">
        <v>36770</v>
      </c>
      <c r="B82">
        <v>1665.93</v>
      </c>
      <c r="C82">
        <v>4.87</v>
      </c>
      <c r="D82">
        <v>7.77</v>
      </c>
    </row>
    <row r="83" spans="1:4" x14ac:dyDescent="0.25">
      <c r="A83" s="9">
        <v>36800</v>
      </c>
      <c r="B83">
        <v>1668.26</v>
      </c>
      <c r="C83">
        <v>5.0199999999999996</v>
      </c>
      <c r="D83">
        <v>6.65</v>
      </c>
    </row>
    <row r="84" spans="1:4" x14ac:dyDescent="0.25">
      <c r="A84" s="9">
        <v>36831</v>
      </c>
      <c r="B84">
        <v>1673.6</v>
      </c>
      <c r="C84">
        <v>5.35</v>
      </c>
      <c r="D84">
        <v>5.99</v>
      </c>
    </row>
    <row r="85" spans="1:4" x14ac:dyDescent="0.25">
      <c r="A85" s="9">
        <v>36861</v>
      </c>
      <c r="B85">
        <v>1683.47</v>
      </c>
      <c r="C85">
        <v>5.97</v>
      </c>
      <c r="D85">
        <v>5.97</v>
      </c>
    </row>
    <row r="86" spans="1:4" x14ac:dyDescent="0.25">
      <c r="A86" s="9">
        <v>36892</v>
      </c>
      <c r="B86">
        <v>1693.07</v>
      </c>
      <c r="C86">
        <v>0.56999999999999995</v>
      </c>
      <c r="D86">
        <v>5.92</v>
      </c>
    </row>
    <row r="87" spans="1:4" x14ac:dyDescent="0.25">
      <c r="A87" s="9">
        <v>36923</v>
      </c>
      <c r="B87">
        <v>1700.86</v>
      </c>
      <c r="C87">
        <v>1.03</v>
      </c>
      <c r="D87">
        <v>6.27</v>
      </c>
    </row>
    <row r="88" spans="1:4" x14ac:dyDescent="0.25">
      <c r="A88" s="9">
        <v>36951</v>
      </c>
      <c r="B88">
        <v>1707.32</v>
      </c>
      <c r="C88">
        <v>1.42</v>
      </c>
      <c r="D88">
        <v>6.44</v>
      </c>
    </row>
    <row r="89" spans="1:4" x14ac:dyDescent="0.25">
      <c r="A89" s="9">
        <v>36982</v>
      </c>
      <c r="B89">
        <v>1717.22</v>
      </c>
      <c r="C89">
        <v>2</v>
      </c>
      <c r="D89">
        <v>6.61</v>
      </c>
    </row>
    <row r="90" spans="1:4" x14ac:dyDescent="0.25">
      <c r="A90" s="9">
        <v>37012</v>
      </c>
      <c r="B90">
        <v>1724.26</v>
      </c>
      <c r="C90">
        <v>2.42</v>
      </c>
      <c r="D90">
        <v>7.04</v>
      </c>
    </row>
    <row r="91" spans="1:4" x14ac:dyDescent="0.25">
      <c r="A91" s="9">
        <v>37043</v>
      </c>
      <c r="B91">
        <v>1733.23</v>
      </c>
      <c r="C91">
        <v>2.96</v>
      </c>
      <c r="D91">
        <v>7.35</v>
      </c>
    </row>
    <row r="92" spans="1:4" x14ac:dyDescent="0.25">
      <c r="A92" s="9">
        <v>37073</v>
      </c>
      <c r="B92">
        <v>1756.28</v>
      </c>
      <c r="C92">
        <v>4.32</v>
      </c>
      <c r="D92">
        <v>7.05</v>
      </c>
    </row>
    <row r="93" spans="1:4" x14ac:dyDescent="0.25">
      <c r="A93" s="9">
        <v>37104</v>
      </c>
      <c r="B93">
        <v>1768.57</v>
      </c>
      <c r="C93">
        <v>5.0599999999999996</v>
      </c>
      <c r="D93">
        <v>6.41</v>
      </c>
    </row>
    <row r="94" spans="1:4" x14ac:dyDescent="0.25">
      <c r="A94" s="9">
        <v>37135</v>
      </c>
      <c r="B94">
        <v>1773.52</v>
      </c>
      <c r="C94">
        <v>5.35</v>
      </c>
      <c r="D94">
        <v>6.46</v>
      </c>
    </row>
    <row r="95" spans="1:4" x14ac:dyDescent="0.25">
      <c r="A95" s="9">
        <v>37165</v>
      </c>
      <c r="B95">
        <v>1788.24</v>
      </c>
      <c r="C95">
        <v>6.22</v>
      </c>
      <c r="D95">
        <v>7.19</v>
      </c>
    </row>
    <row r="96" spans="1:4" x14ac:dyDescent="0.25">
      <c r="A96" s="9">
        <v>37196</v>
      </c>
      <c r="B96">
        <v>1800.94</v>
      </c>
      <c r="C96">
        <v>6.98</v>
      </c>
      <c r="D96">
        <v>7.61</v>
      </c>
    </row>
    <row r="97" spans="1:4" x14ac:dyDescent="0.25">
      <c r="A97" s="9">
        <v>37226</v>
      </c>
      <c r="B97">
        <v>1812.65</v>
      </c>
      <c r="C97">
        <v>7.67</v>
      </c>
      <c r="D97">
        <v>7.67</v>
      </c>
    </row>
    <row r="98" spans="1:4" x14ac:dyDescent="0.25">
      <c r="A98" s="9">
        <v>37257</v>
      </c>
      <c r="B98">
        <v>1822.08</v>
      </c>
      <c r="C98">
        <v>0.52</v>
      </c>
      <c r="D98">
        <v>7.62</v>
      </c>
    </row>
    <row r="99" spans="1:4" x14ac:dyDescent="0.25">
      <c r="A99" s="9">
        <v>37288</v>
      </c>
      <c r="B99">
        <v>1828.64</v>
      </c>
      <c r="C99">
        <v>0.88</v>
      </c>
      <c r="D99">
        <v>7.51</v>
      </c>
    </row>
    <row r="100" spans="1:4" x14ac:dyDescent="0.25">
      <c r="A100" s="9">
        <v>37316</v>
      </c>
      <c r="B100">
        <v>1839.61</v>
      </c>
      <c r="C100">
        <v>1.49</v>
      </c>
      <c r="D100">
        <v>7.75</v>
      </c>
    </row>
    <row r="101" spans="1:4" x14ac:dyDescent="0.25">
      <c r="A101" s="9">
        <v>37347</v>
      </c>
      <c r="B101">
        <v>1854.33</v>
      </c>
      <c r="C101">
        <v>2.2999999999999998</v>
      </c>
      <c r="D101">
        <v>7.98</v>
      </c>
    </row>
    <row r="102" spans="1:4" x14ac:dyDescent="0.25">
      <c r="A102" s="9">
        <v>37377</v>
      </c>
      <c r="B102">
        <v>1858.22</v>
      </c>
      <c r="C102">
        <v>2.5099999999999998</v>
      </c>
      <c r="D102">
        <v>7.77</v>
      </c>
    </row>
    <row r="103" spans="1:4" x14ac:dyDescent="0.25">
      <c r="A103" s="9">
        <v>37408</v>
      </c>
      <c r="B103">
        <v>1866.02</v>
      </c>
      <c r="C103">
        <v>2.94</v>
      </c>
      <c r="D103">
        <v>7.66</v>
      </c>
    </row>
    <row r="104" spans="1:4" x14ac:dyDescent="0.25">
      <c r="A104" s="9">
        <v>37438</v>
      </c>
      <c r="B104">
        <v>1888.23</v>
      </c>
      <c r="C104">
        <v>4.17</v>
      </c>
      <c r="D104">
        <v>7.51</v>
      </c>
    </row>
    <row r="105" spans="1:4" x14ac:dyDescent="0.25">
      <c r="A105" s="9">
        <v>37469</v>
      </c>
      <c r="B105">
        <v>1900.5</v>
      </c>
      <c r="C105">
        <v>4.8499999999999996</v>
      </c>
      <c r="D105">
        <v>7.46</v>
      </c>
    </row>
    <row r="106" spans="1:4" x14ac:dyDescent="0.25">
      <c r="A106" s="9">
        <v>37500</v>
      </c>
      <c r="B106">
        <v>1914.18</v>
      </c>
      <c r="C106">
        <v>5.6</v>
      </c>
      <c r="D106">
        <v>7.93</v>
      </c>
    </row>
    <row r="107" spans="1:4" x14ac:dyDescent="0.25">
      <c r="A107" s="9">
        <v>37530</v>
      </c>
      <c r="B107">
        <v>1939.26</v>
      </c>
      <c r="C107">
        <v>6.98</v>
      </c>
      <c r="D107">
        <v>8.4499999999999993</v>
      </c>
    </row>
    <row r="108" spans="1:4" x14ac:dyDescent="0.25">
      <c r="A108" s="9">
        <v>37561</v>
      </c>
      <c r="B108">
        <v>1997.83</v>
      </c>
      <c r="C108">
        <v>10.220000000000001</v>
      </c>
      <c r="D108">
        <v>10.93</v>
      </c>
    </row>
    <row r="109" spans="1:4" x14ac:dyDescent="0.25">
      <c r="A109" s="9">
        <v>37591</v>
      </c>
      <c r="B109">
        <v>2039.78</v>
      </c>
      <c r="C109">
        <v>12.53</v>
      </c>
      <c r="D109">
        <v>12.53</v>
      </c>
    </row>
    <row r="110" spans="1:4" x14ac:dyDescent="0.25">
      <c r="A110" s="9">
        <v>37622</v>
      </c>
      <c r="B110">
        <v>2085.6799999999998</v>
      </c>
      <c r="C110">
        <v>2.25</v>
      </c>
      <c r="D110">
        <v>14.47</v>
      </c>
    </row>
    <row r="111" spans="1:4" x14ac:dyDescent="0.25">
      <c r="A111" s="9">
        <v>37653</v>
      </c>
      <c r="B111">
        <v>2118.4299999999998</v>
      </c>
      <c r="C111">
        <v>3.86</v>
      </c>
      <c r="D111">
        <v>15.85</v>
      </c>
    </row>
    <row r="112" spans="1:4" x14ac:dyDescent="0.25">
      <c r="A112" s="9">
        <v>37681</v>
      </c>
      <c r="B112">
        <v>2144.4899999999998</v>
      </c>
      <c r="C112">
        <v>5.13</v>
      </c>
      <c r="D112">
        <v>16.57</v>
      </c>
    </row>
    <row r="113" spans="1:4" x14ac:dyDescent="0.25">
      <c r="A113" s="9">
        <v>37712</v>
      </c>
      <c r="B113">
        <v>2165.29</v>
      </c>
      <c r="C113">
        <v>6.15</v>
      </c>
      <c r="D113">
        <v>16.77</v>
      </c>
    </row>
    <row r="114" spans="1:4" x14ac:dyDescent="0.25">
      <c r="A114" s="9">
        <v>37742</v>
      </c>
      <c r="B114">
        <v>2178.5</v>
      </c>
      <c r="C114">
        <v>6.8</v>
      </c>
      <c r="D114">
        <v>17.239999999999998</v>
      </c>
    </row>
    <row r="115" spans="1:4" x14ac:dyDescent="0.25">
      <c r="A115" s="9">
        <v>37773</v>
      </c>
      <c r="B115">
        <v>2175.23</v>
      </c>
      <c r="C115">
        <v>6.64</v>
      </c>
      <c r="D115">
        <v>16.57</v>
      </c>
    </row>
    <row r="116" spans="1:4" x14ac:dyDescent="0.25">
      <c r="A116" s="9">
        <v>37803</v>
      </c>
      <c r="B116">
        <v>2179.58</v>
      </c>
      <c r="C116">
        <v>6.85</v>
      </c>
      <c r="D116">
        <v>15.43</v>
      </c>
    </row>
    <row r="117" spans="1:4" x14ac:dyDescent="0.25">
      <c r="A117" s="9">
        <v>37834</v>
      </c>
      <c r="B117">
        <v>2186.9899999999998</v>
      </c>
      <c r="C117">
        <v>7.22</v>
      </c>
      <c r="D117">
        <v>15.07</v>
      </c>
    </row>
    <row r="118" spans="1:4" x14ac:dyDescent="0.25">
      <c r="A118" s="9">
        <v>37865</v>
      </c>
      <c r="B118">
        <v>2204.0500000000002</v>
      </c>
      <c r="C118">
        <v>8.0500000000000007</v>
      </c>
      <c r="D118">
        <v>15.14</v>
      </c>
    </row>
    <row r="119" spans="1:4" x14ac:dyDescent="0.25">
      <c r="A119" s="9">
        <v>37895</v>
      </c>
      <c r="B119">
        <v>2210.44</v>
      </c>
      <c r="C119">
        <v>8.3699999999999992</v>
      </c>
      <c r="D119">
        <v>13.98</v>
      </c>
    </row>
    <row r="120" spans="1:4" x14ac:dyDescent="0.25">
      <c r="A120" s="9">
        <v>37926</v>
      </c>
      <c r="B120">
        <v>2217.96</v>
      </c>
      <c r="C120">
        <v>8.74</v>
      </c>
      <c r="D120">
        <v>11.02</v>
      </c>
    </row>
    <row r="121" spans="1:4" x14ac:dyDescent="0.25">
      <c r="A121" s="9">
        <v>37956</v>
      </c>
      <c r="B121">
        <v>2229.4899999999998</v>
      </c>
      <c r="C121">
        <v>9.3000000000000007</v>
      </c>
      <c r="D121">
        <v>9.3000000000000007</v>
      </c>
    </row>
    <row r="122" spans="1:4" x14ac:dyDescent="0.25">
      <c r="A122" s="9">
        <v>37987</v>
      </c>
      <c r="B122">
        <v>2246.4299999999998</v>
      </c>
      <c r="C122">
        <v>0.76</v>
      </c>
      <c r="D122">
        <v>7.71</v>
      </c>
    </row>
    <row r="123" spans="1:4" x14ac:dyDescent="0.25">
      <c r="A123" s="9">
        <v>38018</v>
      </c>
      <c r="B123">
        <v>2260.13</v>
      </c>
      <c r="C123">
        <v>1.37</v>
      </c>
      <c r="D123">
        <v>6.69</v>
      </c>
    </row>
    <row r="124" spans="1:4" x14ac:dyDescent="0.25">
      <c r="A124" s="9">
        <v>38047</v>
      </c>
      <c r="B124">
        <v>2270.75</v>
      </c>
      <c r="C124">
        <v>1.85</v>
      </c>
      <c r="D124">
        <v>5.89</v>
      </c>
    </row>
    <row r="125" spans="1:4" x14ac:dyDescent="0.25">
      <c r="A125" s="9">
        <v>38078</v>
      </c>
      <c r="B125">
        <v>2279.15</v>
      </c>
      <c r="C125">
        <v>2.23</v>
      </c>
      <c r="D125">
        <v>5.26</v>
      </c>
    </row>
    <row r="126" spans="1:4" x14ac:dyDescent="0.25">
      <c r="A126" s="9">
        <v>38108</v>
      </c>
      <c r="B126">
        <v>2290.77</v>
      </c>
      <c r="C126">
        <v>2.75</v>
      </c>
      <c r="D126">
        <v>5.15</v>
      </c>
    </row>
    <row r="127" spans="1:4" x14ac:dyDescent="0.25">
      <c r="A127" s="9">
        <v>38139</v>
      </c>
      <c r="B127">
        <v>2307.0300000000002</v>
      </c>
      <c r="C127">
        <v>3.48</v>
      </c>
      <c r="D127">
        <v>6.06</v>
      </c>
    </row>
    <row r="128" spans="1:4" x14ac:dyDescent="0.25">
      <c r="A128" s="9">
        <v>38169</v>
      </c>
      <c r="B128">
        <v>2328.02</v>
      </c>
      <c r="C128">
        <v>4.42</v>
      </c>
      <c r="D128">
        <v>6.81</v>
      </c>
    </row>
    <row r="129" spans="1:4" x14ac:dyDescent="0.25">
      <c r="A129" s="9">
        <v>38200</v>
      </c>
      <c r="B129">
        <v>2344.08</v>
      </c>
      <c r="C129">
        <v>5.14</v>
      </c>
      <c r="D129">
        <v>7.18</v>
      </c>
    </row>
    <row r="130" spans="1:4" x14ac:dyDescent="0.25">
      <c r="A130" s="9">
        <v>38231</v>
      </c>
      <c r="B130">
        <v>2351.8200000000002</v>
      </c>
      <c r="C130">
        <v>5.49</v>
      </c>
      <c r="D130">
        <v>6.7</v>
      </c>
    </row>
    <row r="131" spans="1:4" x14ac:dyDescent="0.25">
      <c r="A131" s="9">
        <v>38261</v>
      </c>
      <c r="B131">
        <v>2362.17</v>
      </c>
      <c r="C131">
        <v>5.95</v>
      </c>
      <c r="D131">
        <v>6.86</v>
      </c>
    </row>
    <row r="132" spans="1:4" x14ac:dyDescent="0.25">
      <c r="A132" s="9">
        <v>38292</v>
      </c>
      <c r="B132">
        <v>2378.4699999999998</v>
      </c>
      <c r="C132">
        <v>6.68</v>
      </c>
      <c r="D132">
        <v>7.24</v>
      </c>
    </row>
    <row r="133" spans="1:4" x14ac:dyDescent="0.25">
      <c r="A133" s="9">
        <v>38322</v>
      </c>
      <c r="B133">
        <v>2398.92</v>
      </c>
      <c r="C133">
        <v>7.6</v>
      </c>
      <c r="D133">
        <v>7.6</v>
      </c>
    </row>
    <row r="134" spans="1:4" x14ac:dyDescent="0.25">
      <c r="A134" s="9">
        <v>38353</v>
      </c>
      <c r="B134">
        <v>2412.83</v>
      </c>
      <c r="C134">
        <v>0.57999999999999996</v>
      </c>
      <c r="D134">
        <v>7.41</v>
      </c>
    </row>
    <row r="135" spans="1:4" x14ac:dyDescent="0.25">
      <c r="A135" s="9">
        <v>38384</v>
      </c>
      <c r="B135">
        <v>2427.0700000000002</v>
      </c>
      <c r="C135">
        <v>1.17</v>
      </c>
      <c r="D135">
        <v>7.39</v>
      </c>
    </row>
    <row r="136" spans="1:4" x14ac:dyDescent="0.25">
      <c r="A136" s="9">
        <v>38412</v>
      </c>
      <c r="B136">
        <v>2441.87</v>
      </c>
      <c r="C136">
        <v>1.79</v>
      </c>
      <c r="D136">
        <v>7.54</v>
      </c>
    </row>
    <row r="137" spans="1:4" x14ac:dyDescent="0.25">
      <c r="A137" s="9">
        <v>38443</v>
      </c>
      <c r="B137">
        <v>2463.11</v>
      </c>
      <c r="C137">
        <v>2.68</v>
      </c>
      <c r="D137">
        <v>8.07</v>
      </c>
    </row>
    <row r="138" spans="1:4" x14ac:dyDescent="0.25">
      <c r="A138" s="9">
        <v>38473</v>
      </c>
      <c r="B138">
        <v>2475.1799999999998</v>
      </c>
      <c r="C138">
        <v>3.18</v>
      </c>
      <c r="D138">
        <v>8.0500000000000007</v>
      </c>
    </row>
    <row r="139" spans="1:4" x14ac:dyDescent="0.25">
      <c r="A139" s="9">
        <v>38504</v>
      </c>
      <c r="B139">
        <v>2474.6799999999998</v>
      </c>
      <c r="C139">
        <v>3.16</v>
      </c>
      <c r="D139">
        <v>7.27</v>
      </c>
    </row>
    <row r="140" spans="1:4" x14ac:dyDescent="0.25">
      <c r="A140" s="9">
        <v>38534</v>
      </c>
      <c r="B140">
        <v>2480.87</v>
      </c>
      <c r="C140">
        <v>3.42</v>
      </c>
      <c r="D140">
        <v>6.57</v>
      </c>
    </row>
    <row r="141" spans="1:4" x14ac:dyDescent="0.25">
      <c r="A141" s="9">
        <v>38565</v>
      </c>
      <c r="B141">
        <v>2485.09</v>
      </c>
      <c r="C141">
        <v>3.59</v>
      </c>
      <c r="D141">
        <v>6.02</v>
      </c>
    </row>
    <row r="142" spans="1:4" x14ac:dyDescent="0.25">
      <c r="A142" s="9">
        <v>38596</v>
      </c>
      <c r="B142">
        <v>2493.79</v>
      </c>
      <c r="C142">
        <v>3.95</v>
      </c>
      <c r="D142">
        <v>6.04</v>
      </c>
    </row>
    <row r="143" spans="1:4" x14ac:dyDescent="0.25">
      <c r="A143" s="9">
        <v>38626</v>
      </c>
      <c r="B143">
        <v>2512.4899999999998</v>
      </c>
      <c r="C143">
        <v>4.7300000000000004</v>
      </c>
      <c r="D143">
        <v>6.36</v>
      </c>
    </row>
    <row r="144" spans="1:4" x14ac:dyDescent="0.25">
      <c r="A144" s="9">
        <v>38657</v>
      </c>
      <c r="B144">
        <v>2526.31</v>
      </c>
      <c r="C144">
        <v>5.31</v>
      </c>
      <c r="D144">
        <v>6.22</v>
      </c>
    </row>
    <row r="145" spans="1:4" x14ac:dyDescent="0.25">
      <c r="A145" s="9">
        <v>38687</v>
      </c>
      <c r="B145">
        <v>2535.4</v>
      </c>
      <c r="C145">
        <v>5.69</v>
      </c>
      <c r="D145">
        <v>5.69</v>
      </c>
    </row>
    <row r="146" spans="1:4" x14ac:dyDescent="0.25">
      <c r="A146" s="9">
        <v>38718</v>
      </c>
      <c r="B146">
        <v>2550.36</v>
      </c>
      <c r="C146">
        <v>0.59</v>
      </c>
      <c r="D146">
        <v>5.7</v>
      </c>
    </row>
    <row r="147" spans="1:4" x14ac:dyDescent="0.25">
      <c r="A147" s="9">
        <v>38749</v>
      </c>
      <c r="B147">
        <v>2560.8200000000002</v>
      </c>
      <c r="C147">
        <v>1</v>
      </c>
      <c r="D147">
        <v>5.51</v>
      </c>
    </row>
    <row r="148" spans="1:4" x14ac:dyDescent="0.25">
      <c r="A148" s="9">
        <v>38777</v>
      </c>
      <c r="B148">
        <v>2571.83</v>
      </c>
      <c r="C148">
        <v>1.44</v>
      </c>
      <c r="D148">
        <v>5.32</v>
      </c>
    </row>
    <row r="149" spans="1:4" x14ac:dyDescent="0.25">
      <c r="A149" s="9">
        <v>38808</v>
      </c>
      <c r="B149">
        <v>2577.23</v>
      </c>
      <c r="C149">
        <v>1.65</v>
      </c>
      <c r="D149">
        <v>4.63</v>
      </c>
    </row>
    <row r="150" spans="1:4" x14ac:dyDescent="0.25">
      <c r="A150" s="9">
        <v>38838</v>
      </c>
      <c r="B150">
        <v>2579.81</v>
      </c>
      <c r="C150">
        <v>1.75</v>
      </c>
      <c r="D150">
        <v>4.2300000000000004</v>
      </c>
    </row>
    <row r="151" spans="1:4" x14ac:dyDescent="0.25">
      <c r="A151" s="9">
        <v>38869</v>
      </c>
      <c r="B151">
        <v>2574.39</v>
      </c>
      <c r="C151">
        <v>1.54</v>
      </c>
      <c r="D151">
        <v>4.03</v>
      </c>
    </row>
    <row r="152" spans="1:4" x14ac:dyDescent="0.25">
      <c r="A152" s="9">
        <v>38899</v>
      </c>
      <c r="B152">
        <v>2579.2800000000002</v>
      </c>
      <c r="C152">
        <v>1.73</v>
      </c>
      <c r="D152">
        <v>3.97</v>
      </c>
    </row>
    <row r="153" spans="1:4" x14ac:dyDescent="0.25">
      <c r="A153" s="9">
        <v>38930</v>
      </c>
      <c r="B153">
        <v>2580.5700000000002</v>
      </c>
      <c r="C153">
        <v>1.78</v>
      </c>
      <c r="D153">
        <v>3.84</v>
      </c>
    </row>
    <row r="154" spans="1:4" x14ac:dyDescent="0.25">
      <c r="A154" s="9">
        <v>38961</v>
      </c>
      <c r="B154">
        <v>2585.9899999999998</v>
      </c>
      <c r="C154">
        <v>2</v>
      </c>
      <c r="D154">
        <v>3.7</v>
      </c>
    </row>
    <row r="155" spans="1:4" x14ac:dyDescent="0.25">
      <c r="A155" s="9">
        <v>38991</v>
      </c>
      <c r="B155">
        <v>2594.52</v>
      </c>
      <c r="C155">
        <v>2.33</v>
      </c>
      <c r="D155">
        <v>3.26</v>
      </c>
    </row>
    <row r="156" spans="1:4" x14ac:dyDescent="0.25">
      <c r="A156" s="9">
        <v>39022</v>
      </c>
      <c r="B156">
        <v>2602.56</v>
      </c>
      <c r="C156">
        <v>2.65</v>
      </c>
      <c r="D156">
        <v>3.02</v>
      </c>
    </row>
    <row r="157" spans="1:4" x14ac:dyDescent="0.25">
      <c r="A157" s="9">
        <v>39052</v>
      </c>
      <c r="B157">
        <v>2615.0500000000002</v>
      </c>
      <c r="C157">
        <v>3.14</v>
      </c>
      <c r="D157">
        <v>3.14</v>
      </c>
    </row>
    <row r="158" spans="1:4" x14ac:dyDescent="0.25">
      <c r="A158" s="9">
        <v>39083</v>
      </c>
      <c r="B158">
        <v>2626.56</v>
      </c>
      <c r="C158">
        <v>0.44</v>
      </c>
      <c r="D158">
        <v>2.99</v>
      </c>
    </row>
    <row r="159" spans="1:4" x14ac:dyDescent="0.25">
      <c r="A159" s="9">
        <v>39114</v>
      </c>
      <c r="B159">
        <v>2638.12</v>
      </c>
      <c r="C159">
        <v>0.88</v>
      </c>
      <c r="D159">
        <v>3.02</v>
      </c>
    </row>
    <row r="160" spans="1:4" x14ac:dyDescent="0.25">
      <c r="A160" s="9">
        <v>39142</v>
      </c>
      <c r="B160">
        <v>2647.88</v>
      </c>
      <c r="C160">
        <v>1.26</v>
      </c>
      <c r="D160">
        <v>2.96</v>
      </c>
    </row>
    <row r="161" spans="1:4" x14ac:dyDescent="0.25">
      <c r="A161" s="9">
        <v>39173</v>
      </c>
      <c r="B161">
        <v>2654.5</v>
      </c>
      <c r="C161">
        <v>1.51</v>
      </c>
      <c r="D161">
        <v>3</v>
      </c>
    </row>
    <row r="162" spans="1:4" x14ac:dyDescent="0.25">
      <c r="A162" s="9">
        <v>39203</v>
      </c>
      <c r="B162">
        <v>2661.93</v>
      </c>
      <c r="C162">
        <v>1.79</v>
      </c>
      <c r="D162">
        <v>3.18</v>
      </c>
    </row>
    <row r="163" spans="1:4" x14ac:dyDescent="0.25">
      <c r="A163" s="9">
        <v>39234</v>
      </c>
      <c r="B163">
        <v>2669.38</v>
      </c>
      <c r="C163">
        <v>2.08</v>
      </c>
      <c r="D163">
        <v>3.69</v>
      </c>
    </row>
    <row r="164" spans="1:4" x14ac:dyDescent="0.25">
      <c r="A164" s="9">
        <v>39264</v>
      </c>
      <c r="B164">
        <v>2675.79</v>
      </c>
      <c r="C164">
        <v>2.3199999999999998</v>
      </c>
      <c r="D164">
        <v>3.74</v>
      </c>
    </row>
    <row r="165" spans="1:4" x14ac:dyDescent="0.25">
      <c r="A165" s="9">
        <v>39295</v>
      </c>
      <c r="B165">
        <v>2688.37</v>
      </c>
      <c r="C165">
        <v>2.8</v>
      </c>
      <c r="D165">
        <v>4.18</v>
      </c>
    </row>
    <row r="166" spans="1:4" x14ac:dyDescent="0.25">
      <c r="A166" s="9">
        <v>39326</v>
      </c>
      <c r="B166">
        <v>2693.21</v>
      </c>
      <c r="C166">
        <v>2.99</v>
      </c>
      <c r="D166">
        <v>4.1500000000000004</v>
      </c>
    </row>
    <row r="167" spans="1:4" x14ac:dyDescent="0.25">
      <c r="A167" s="9">
        <v>39356</v>
      </c>
      <c r="B167">
        <v>2701.29</v>
      </c>
      <c r="C167">
        <v>3.3</v>
      </c>
      <c r="D167">
        <v>4.12</v>
      </c>
    </row>
    <row r="168" spans="1:4" x14ac:dyDescent="0.25">
      <c r="A168" s="9">
        <v>39387</v>
      </c>
      <c r="B168">
        <v>2711.55</v>
      </c>
      <c r="C168">
        <v>3.69</v>
      </c>
      <c r="D168">
        <v>4.1900000000000004</v>
      </c>
    </row>
    <row r="169" spans="1:4" x14ac:dyDescent="0.25">
      <c r="A169" s="9">
        <v>39417</v>
      </c>
      <c r="B169">
        <v>2731.62</v>
      </c>
      <c r="C169">
        <v>4.46</v>
      </c>
      <c r="D169">
        <v>4.46</v>
      </c>
    </row>
    <row r="170" spans="1:4" x14ac:dyDescent="0.25">
      <c r="A170" s="9">
        <v>39448</v>
      </c>
      <c r="B170">
        <v>2746.37</v>
      </c>
      <c r="C170">
        <v>0.54</v>
      </c>
      <c r="D170">
        <v>4.5599999999999996</v>
      </c>
    </row>
    <row r="171" spans="1:4" x14ac:dyDescent="0.25">
      <c r="A171" s="9">
        <v>39479</v>
      </c>
      <c r="B171">
        <v>2759.83</v>
      </c>
      <c r="C171">
        <v>1.03</v>
      </c>
      <c r="D171">
        <v>4.6100000000000003</v>
      </c>
    </row>
    <row r="172" spans="1:4" x14ac:dyDescent="0.25">
      <c r="A172" s="9">
        <v>39508</v>
      </c>
      <c r="B172">
        <v>2773.08</v>
      </c>
      <c r="C172">
        <v>1.52</v>
      </c>
      <c r="D172">
        <v>4.7300000000000004</v>
      </c>
    </row>
    <row r="173" spans="1:4" x14ac:dyDescent="0.25">
      <c r="A173" s="9">
        <v>39539</v>
      </c>
      <c r="B173">
        <v>2788.33</v>
      </c>
      <c r="C173">
        <v>2.08</v>
      </c>
      <c r="D173">
        <v>5.04</v>
      </c>
    </row>
    <row r="174" spans="1:4" x14ac:dyDescent="0.25">
      <c r="A174" s="9">
        <v>39569</v>
      </c>
      <c r="B174">
        <v>2810.36</v>
      </c>
      <c r="C174">
        <v>2.88</v>
      </c>
      <c r="D174">
        <v>5.58</v>
      </c>
    </row>
    <row r="175" spans="1:4" x14ac:dyDescent="0.25">
      <c r="A175" s="9">
        <v>39600</v>
      </c>
      <c r="B175">
        <v>2831.16</v>
      </c>
      <c r="C175">
        <v>3.64</v>
      </c>
      <c r="D175">
        <v>6.06</v>
      </c>
    </row>
    <row r="176" spans="1:4" x14ac:dyDescent="0.25">
      <c r="A176" s="9">
        <v>39630</v>
      </c>
      <c r="B176">
        <v>2846.16</v>
      </c>
      <c r="C176">
        <v>4.1900000000000004</v>
      </c>
      <c r="D176">
        <v>6.37</v>
      </c>
    </row>
    <row r="177" spans="1:4" x14ac:dyDescent="0.25">
      <c r="A177" s="9">
        <v>39661</v>
      </c>
      <c r="B177">
        <v>2854.13</v>
      </c>
      <c r="C177">
        <v>4.4800000000000004</v>
      </c>
      <c r="D177">
        <v>6.17</v>
      </c>
    </row>
    <row r="178" spans="1:4" x14ac:dyDescent="0.25">
      <c r="A178" s="9">
        <v>39692</v>
      </c>
      <c r="B178">
        <v>2861.55</v>
      </c>
      <c r="C178">
        <v>4.76</v>
      </c>
      <c r="D178">
        <v>6.25</v>
      </c>
    </row>
    <row r="179" spans="1:4" x14ac:dyDescent="0.25">
      <c r="A179" s="9">
        <v>39722</v>
      </c>
      <c r="B179">
        <v>2874.43</v>
      </c>
      <c r="C179">
        <v>5.23</v>
      </c>
      <c r="D179">
        <v>6.41</v>
      </c>
    </row>
    <row r="180" spans="1:4" x14ac:dyDescent="0.25">
      <c r="A180" s="9">
        <v>39753</v>
      </c>
      <c r="B180">
        <v>2884.78</v>
      </c>
      <c r="C180">
        <v>5.61</v>
      </c>
      <c r="D180">
        <v>6.39</v>
      </c>
    </row>
    <row r="181" spans="1:4" x14ac:dyDescent="0.25">
      <c r="A181" s="9">
        <v>39783</v>
      </c>
      <c r="B181">
        <v>2892.86</v>
      </c>
      <c r="C181">
        <v>5.9</v>
      </c>
      <c r="D181">
        <v>5.9</v>
      </c>
    </row>
    <row r="182" spans="1:4" x14ac:dyDescent="0.25">
      <c r="A182" s="9">
        <v>39814</v>
      </c>
      <c r="B182">
        <v>2906.74</v>
      </c>
      <c r="C182">
        <v>0.48</v>
      </c>
      <c r="D182">
        <v>5.84</v>
      </c>
    </row>
    <row r="183" spans="1:4" x14ac:dyDescent="0.25">
      <c r="A183" s="9">
        <v>39845</v>
      </c>
      <c r="B183">
        <v>2922.73</v>
      </c>
      <c r="C183">
        <v>1.03</v>
      </c>
      <c r="D183">
        <v>5.9</v>
      </c>
    </row>
    <row r="184" spans="1:4" x14ac:dyDescent="0.25">
      <c r="A184" s="9">
        <v>39873</v>
      </c>
      <c r="B184">
        <v>2928.57</v>
      </c>
      <c r="C184">
        <v>1.23</v>
      </c>
      <c r="D184">
        <v>5.61</v>
      </c>
    </row>
    <row r="185" spans="1:4" x14ac:dyDescent="0.25">
      <c r="A185" s="9">
        <v>39904</v>
      </c>
      <c r="B185">
        <v>2942.63</v>
      </c>
      <c r="C185">
        <v>1.72</v>
      </c>
      <c r="D185">
        <v>5.53</v>
      </c>
    </row>
    <row r="186" spans="1:4" x14ac:dyDescent="0.25">
      <c r="A186" s="9">
        <v>39934</v>
      </c>
      <c r="B186">
        <v>2956.46</v>
      </c>
      <c r="C186">
        <v>2.2000000000000002</v>
      </c>
      <c r="D186">
        <v>5.2</v>
      </c>
    </row>
    <row r="187" spans="1:4" x14ac:dyDescent="0.25">
      <c r="A187" s="9">
        <v>39965</v>
      </c>
      <c r="B187">
        <v>2967.1</v>
      </c>
      <c r="C187">
        <v>2.57</v>
      </c>
      <c r="D187">
        <v>4.8</v>
      </c>
    </row>
    <row r="188" spans="1:4" x14ac:dyDescent="0.25">
      <c r="A188" s="9">
        <v>39995</v>
      </c>
      <c r="B188">
        <v>2974.22</v>
      </c>
      <c r="C188">
        <v>2.81</v>
      </c>
      <c r="D188">
        <v>4.5</v>
      </c>
    </row>
    <row r="189" spans="1:4" x14ac:dyDescent="0.25">
      <c r="A189" s="9">
        <v>40026</v>
      </c>
      <c r="B189">
        <v>2978.68</v>
      </c>
      <c r="C189">
        <v>2.97</v>
      </c>
      <c r="D189">
        <v>4.3600000000000003</v>
      </c>
    </row>
    <row r="190" spans="1:4" x14ac:dyDescent="0.25">
      <c r="A190" s="9">
        <v>40057</v>
      </c>
      <c r="B190">
        <v>2985.83</v>
      </c>
      <c r="C190">
        <v>3.21</v>
      </c>
      <c r="D190">
        <v>4.34</v>
      </c>
    </row>
    <row r="191" spans="1:4" x14ac:dyDescent="0.25">
      <c r="A191" s="9">
        <v>40087</v>
      </c>
      <c r="B191">
        <v>2994.19</v>
      </c>
      <c r="C191">
        <v>3.5</v>
      </c>
      <c r="D191">
        <v>4.17</v>
      </c>
    </row>
    <row r="192" spans="1:4" x14ac:dyDescent="0.25">
      <c r="A192" s="9">
        <v>40118</v>
      </c>
      <c r="B192">
        <v>3006.47</v>
      </c>
      <c r="C192">
        <v>3.93</v>
      </c>
      <c r="D192">
        <v>4.22</v>
      </c>
    </row>
    <row r="193" spans="1:4" x14ac:dyDescent="0.25">
      <c r="A193" s="9">
        <v>40148</v>
      </c>
      <c r="B193">
        <v>3017.59</v>
      </c>
      <c r="C193">
        <v>4.3099999999999996</v>
      </c>
      <c r="D193">
        <v>4.3099999999999996</v>
      </c>
    </row>
    <row r="194" spans="1:4" x14ac:dyDescent="0.25">
      <c r="A194" s="9">
        <v>40179</v>
      </c>
      <c r="B194">
        <v>3040.22</v>
      </c>
      <c r="C194">
        <v>0.75</v>
      </c>
      <c r="D194">
        <v>4.59</v>
      </c>
    </row>
    <row r="195" spans="1:4" x14ac:dyDescent="0.25">
      <c r="A195" s="9">
        <v>40210</v>
      </c>
      <c r="B195">
        <v>3063.93</v>
      </c>
      <c r="C195">
        <v>1.54</v>
      </c>
      <c r="D195">
        <v>4.83</v>
      </c>
    </row>
    <row r="196" spans="1:4" x14ac:dyDescent="0.25">
      <c r="A196" s="9">
        <v>40238</v>
      </c>
      <c r="B196">
        <v>3079.86</v>
      </c>
      <c r="C196">
        <v>2.06</v>
      </c>
      <c r="D196">
        <v>5.17</v>
      </c>
    </row>
    <row r="197" spans="1:4" x14ac:dyDescent="0.25">
      <c r="A197" s="9">
        <v>40269</v>
      </c>
      <c r="B197">
        <v>3097.42</v>
      </c>
      <c r="C197">
        <v>2.65</v>
      </c>
      <c r="D197">
        <v>5.26</v>
      </c>
    </row>
    <row r="198" spans="1:4" x14ac:dyDescent="0.25">
      <c r="A198" s="9">
        <v>40299</v>
      </c>
      <c r="B198">
        <v>3110.74</v>
      </c>
      <c r="C198">
        <v>3.09</v>
      </c>
      <c r="D198">
        <v>5.22</v>
      </c>
    </row>
    <row r="199" spans="1:4" x14ac:dyDescent="0.25">
      <c r="A199" s="9">
        <v>40330</v>
      </c>
      <c r="B199">
        <v>3110.74</v>
      </c>
      <c r="C199">
        <v>3.09</v>
      </c>
      <c r="D199">
        <v>4.84</v>
      </c>
    </row>
    <row r="200" spans="1:4" x14ac:dyDescent="0.25">
      <c r="A200" s="9">
        <v>40360</v>
      </c>
      <c r="B200">
        <v>3111.05</v>
      </c>
      <c r="C200">
        <v>3.1</v>
      </c>
      <c r="D200">
        <v>4.5999999999999996</v>
      </c>
    </row>
    <row r="201" spans="1:4" x14ac:dyDescent="0.25">
      <c r="A201" s="9">
        <v>40391</v>
      </c>
      <c r="B201">
        <v>3112.29</v>
      </c>
      <c r="C201">
        <v>3.14</v>
      </c>
      <c r="D201">
        <v>4.49</v>
      </c>
    </row>
    <row r="202" spans="1:4" x14ac:dyDescent="0.25">
      <c r="A202" s="9">
        <v>40422</v>
      </c>
      <c r="B202">
        <v>3126.29</v>
      </c>
      <c r="C202">
        <v>3.6</v>
      </c>
      <c r="D202">
        <v>4.7</v>
      </c>
    </row>
    <row r="203" spans="1:4" x14ac:dyDescent="0.25">
      <c r="A203" s="9">
        <v>40452</v>
      </c>
      <c r="B203">
        <v>3149.74</v>
      </c>
      <c r="C203">
        <v>4.38</v>
      </c>
      <c r="D203">
        <v>5.2</v>
      </c>
    </row>
    <row r="204" spans="1:4" x14ac:dyDescent="0.25">
      <c r="A204" s="9">
        <v>40483</v>
      </c>
      <c r="B204">
        <v>3175.88</v>
      </c>
      <c r="C204">
        <v>5.25</v>
      </c>
      <c r="D204">
        <v>5.63</v>
      </c>
    </row>
    <row r="205" spans="1:4" x14ac:dyDescent="0.25">
      <c r="A205" s="9">
        <v>40513</v>
      </c>
      <c r="B205">
        <v>3195.89</v>
      </c>
      <c r="C205">
        <v>5.91</v>
      </c>
      <c r="D205">
        <v>5.91</v>
      </c>
    </row>
    <row r="206" spans="1:4" x14ac:dyDescent="0.25">
      <c r="A206" s="9">
        <v>40544</v>
      </c>
      <c r="B206">
        <v>3222.42</v>
      </c>
      <c r="C206">
        <v>0.83</v>
      </c>
      <c r="D206">
        <v>5.99</v>
      </c>
    </row>
    <row r="207" spans="1:4" x14ac:dyDescent="0.25">
      <c r="A207" s="9">
        <v>40575</v>
      </c>
      <c r="B207">
        <v>3248.2</v>
      </c>
      <c r="C207">
        <v>1.64</v>
      </c>
      <c r="D207">
        <v>6.01</v>
      </c>
    </row>
    <row r="208" spans="1:4" x14ac:dyDescent="0.25">
      <c r="A208" s="9">
        <v>40603</v>
      </c>
      <c r="B208">
        <v>3273.86</v>
      </c>
      <c r="C208">
        <v>2.44</v>
      </c>
      <c r="D208">
        <v>6.3</v>
      </c>
    </row>
    <row r="209" spans="1:4" x14ac:dyDescent="0.25">
      <c r="A209" s="9">
        <v>40634</v>
      </c>
      <c r="B209">
        <v>3299.07</v>
      </c>
      <c r="C209">
        <v>3.23</v>
      </c>
      <c r="D209">
        <v>6.51</v>
      </c>
    </row>
    <row r="210" spans="1:4" x14ac:dyDescent="0.25">
      <c r="A210" s="9">
        <v>40664</v>
      </c>
      <c r="B210">
        <v>3314.58</v>
      </c>
      <c r="C210">
        <v>3.71</v>
      </c>
      <c r="D210">
        <v>6.55</v>
      </c>
    </row>
    <row r="211" spans="1:4" x14ac:dyDescent="0.25">
      <c r="A211" s="9">
        <v>40695</v>
      </c>
      <c r="B211">
        <v>3319.55</v>
      </c>
      <c r="C211">
        <v>3.87</v>
      </c>
      <c r="D211">
        <v>6.71</v>
      </c>
    </row>
    <row r="212" spans="1:4" x14ac:dyDescent="0.25">
      <c r="A212" s="9">
        <v>40725</v>
      </c>
      <c r="B212">
        <v>3324.86</v>
      </c>
      <c r="C212">
        <v>4.04</v>
      </c>
      <c r="D212">
        <v>6.87</v>
      </c>
    </row>
    <row r="213" spans="1:4" x14ac:dyDescent="0.25">
      <c r="A213" s="9">
        <v>40756</v>
      </c>
      <c r="B213">
        <v>3337.16</v>
      </c>
      <c r="C213">
        <v>4.42</v>
      </c>
      <c r="D213">
        <v>7.23</v>
      </c>
    </row>
    <row r="214" spans="1:4" x14ac:dyDescent="0.25">
      <c r="A214" s="9">
        <v>40787</v>
      </c>
      <c r="B214">
        <v>3354.85</v>
      </c>
      <c r="C214">
        <v>4.97</v>
      </c>
      <c r="D214">
        <v>7.31</v>
      </c>
    </row>
    <row r="215" spans="1:4" x14ac:dyDescent="0.25">
      <c r="A215" s="9">
        <v>40817</v>
      </c>
      <c r="B215">
        <v>3369.28</v>
      </c>
      <c r="C215">
        <v>5.43</v>
      </c>
      <c r="D215">
        <v>6.97</v>
      </c>
    </row>
    <row r="216" spans="1:4" x14ac:dyDescent="0.25">
      <c r="A216" s="9">
        <v>40848</v>
      </c>
      <c r="B216">
        <v>3386.8</v>
      </c>
      <c r="C216">
        <v>5.97</v>
      </c>
      <c r="D216">
        <v>6.64</v>
      </c>
    </row>
    <row r="217" spans="1:4" x14ac:dyDescent="0.25">
      <c r="A217" s="9">
        <v>40878</v>
      </c>
      <c r="B217">
        <v>3403.73</v>
      </c>
      <c r="C217">
        <v>6.5</v>
      </c>
      <c r="D217">
        <v>6.5</v>
      </c>
    </row>
    <row r="218" spans="1:4" x14ac:dyDescent="0.25">
      <c r="A218" s="9">
        <v>40909</v>
      </c>
      <c r="B218">
        <v>3422.79</v>
      </c>
      <c r="C218">
        <v>0.56000000000000005</v>
      </c>
      <c r="D218">
        <v>6.22</v>
      </c>
    </row>
    <row r="219" spans="1:4" x14ac:dyDescent="0.25">
      <c r="A219" s="9">
        <v>40940</v>
      </c>
      <c r="B219">
        <v>3438.19</v>
      </c>
      <c r="C219">
        <v>1.01</v>
      </c>
      <c r="D219">
        <v>5.85</v>
      </c>
    </row>
    <row r="220" spans="1:4" x14ac:dyDescent="0.25">
      <c r="A220" s="9">
        <v>40969</v>
      </c>
      <c r="B220">
        <v>3445.41</v>
      </c>
      <c r="C220">
        <v>1.22</v>
      </c>
      <c r="D220">
        <v>5.24</v>
      </c>
    </row>
    <row r="221" spans="1:4" x14ac:dyDescent="0.25">
      <c r="A221" s="9">
        <v>41000</v>
      </c>
      <c r="B221">
        <v>3467.46</v>
      </c>
      <c r="C221">
        <v>1.87</v>
      </c>
      <c r="D221">
        <v>5.0999999999999996</v>
      </c>
    </row>
    <row r="222" spans="1:4" x14ac:dyDescent="0.25">
      <c r="A222" s="9">
        <v>41030</v>
      </c>
      <c r="B222">
        <v>3479.94</v>
      </c>
      <c r="C222">
        <v>2.2400000000000002</v>
      </c>
      <c r="D222">
        <v>4.99</v>
      </c>
    </row>
    <row r="223" spans="1:4" x14ac:dyDescent="0.25">
      <c r="A223" s="9">
        <v>41061</v>
      </c>
      <c r="B223">
        <v>3482.72</v>
      </c>
      <c r="C223">
        <v>2.3199999999999998</v>
      </c>
      <c r="D223">
        <v>4.92</v>
      </c>
    </row>
    <row r="224" spans="1:4" x14ac:dyDescent="0.25">
      <c r="A224" s="9">
        <v>41091</v>
      </c>
      <c r="B224">
        <v>3497.7</v>
      </c>
      <c r="C224">
        <v>2.76</v>
      </c>
      <c r="D224">
        <v>5.2</v>
      </c>
    </row>
    <row r="225" spans="1:4" x14ac:dyDescent="0.25">
      <c r="A225" s="9">
        <v>41122</v>
      </c>
      <c r="B225">
        <v>3512.04</v>
      </c>
      <c r="C225">
        <v>3.18</v>
      </c>
      <c r="D225">
        <v>5.24</v>
      </c>
    </row>
    <row r="226" spans="1:4" x14ac:dyDescent="0.25">
      <c r="A226" s="9">
        <v>41153</v>
      </c>
      <c r="B226">
        <v>3532.06</v>
      </c>
      <c r="C226">
        <v>3.77</v>
      </c>
      <c r="D226">
        <v>5.28</v>
      </c>
    </row>
    <row r="227" spans="1:4" x14ac:dyDescent="0.25">
      <c r="A227" s="9">
        <v>41183</v>
      </c>
      <c r="B227">
        <v>3552.9</v>
      </c>
      <c r="C227">
        <v>4.38</v>
      </c>
      <c r="D227">
        <v>5.45</v>
      </c>
    </row>
    <row r="228" spans="1:4" x14ac:dyDescent="0.25">
      <c r="A228" s="9">
        <v>41214</v>
      </c>
      <c r="B228">
        <v>3574.22</v>
      </c>
      <c r="C228">
        <v>5.01</v>
      </c>
      <c r="D228">
        <v>5.53</v>
      </c>
    </row>
    <row r="229" spans="1:4" x14ac:dyDescent="0.25">
      <c r="A229" s="9">
        <v>41244</v>
      </c>
      <c r="B229">
        <v>3602.46</v>
      </c>
      <c r="C229">
        <v>5.84</v>
      </c>
      <c r="D229">
        <v>5.84</v>
      </c>
    </row>
    <row r="230" spans="1:4" x14ac:dyDescent="0.25">
      <c r="A230" s="9">
        <v>41275</v>
      </c>
      <c r="B230">
        <v>3633.44</v>
      </c>
      <c r="C230">
        <v>0.86</v>
      </c>
      <c r="D230">
        <v>6.15</v>
      </c>
    </row>
    <row r="231" spans="1:4" x14ac:dyDescent="0.25">
      <c r="A231" s="9">
        <v>41306</v>
      </c>
      <c r="B231">
        <v>3655.24</v>
      </c>
      <c r="C231">
        <v>1.47</v>
      </c>
      <c r="D231">
        <v>6.31</v>
      </c>
    </row>
    <row r="232" spans="1:4" x14ac:dyDescent="0.25">
      <c r="A232" s="9">
        <v>41334</v>
      </c>
      <c r="B232">
        <v>3672.42</v>
      </c>
      <c r="C232">
        <v>1.94</v>
      </c>
      <c r="D232">
        <v>6.59</v>
      </c>
    </row>
    <row r="233" spans="1:4" x14ac:dyDescent="0.25">
      <c r="A233" s="9">
        <v>41365</v>
      </c>
      <c r="B233">
        <v>3692.62</v>
      </c>
      <c r="C233">
        <v>2.5</v>
      </c>
      <c r="D233">
        <v>6.49</v>
      </c>
    </row>
    <row r="234" spans="1:4" x14ac:dyDescent="0.25">
      <c r="A234" s="9">
        <v>41395</v>
      </c>
      <c r="B234">
        <v>3706.28</v>
      </c>
      <c r="C234">
        <v>2.88</v>
      </c>
      <c r="D234">
        <v>6.5</v>
      </c>
    </row>
    <row r="235" spans="1:4" x14ac:dyDescent="0.25">
      <c r="A235" s="9">
        <v>41426</v>
      </c>
      <c r="B235">
        <v>3715.92</v>
      </c>
      <c r="C235">
        <v>3.15</v>
      </c>
      <c r="D235">
        <v>6.7</v>
      </c>
    </row>
    <row r="236" spans="1:4" x14ac:dyDescent="0.25">
      <c r="A236" s="9">
        <v>41456</v>
      </c>
      <c r="B236">
        <v>3717.03</v>
      </c>
      <c r="C236">
        <v>3.18</v>
      </c>
      <c r="D236">
        <v>6.27</v>
      </c>
    </row>
    <row r="237" spans="1:4" x14ac:dyDescent="0.25">
      <c r="A237" s="9">
        <v>41487</v>
      </c>
      <c r="B237">
        <v>3725.95</v>
      </c>
      <c r="C237">
        <v>3.43</v>
      </c>
      <c r="D237">
        <v>6.09</v>
      </c>
    </row>
    <row r="238" spans="1:4" x14ac:dyDescent="0.25">
      <c r="A238" s="9">
        <v>41518</v>
      </c>
      <c r="B238">
        <v>3738.99</v>
      </c>
      <c r="C238">
        <v>3.79</v>
      </c>
      <c r="D238">
        <v>5.86</v>
      </c>
    </row>
    <row r="239" spans="1:4" x14ac:dyDescent="0.25">
      <c r="A239" s="9">
        <v>41548</v>
      </c>
      <c r="B239">
        <v>3760.3</v>
      </c>
      <c r="C239">
        <v>4.38</v>
      </c>
      <c r="D239">
        <v>5.84</v>
      </c>
    </row>
    <row r="240" spans="1:4" x14ac:dyDescent="0.25">
      <c r="A240" s="9">
        <v>41579</v>
      </c>
      <c r="B240">
        <v>3780.61</v>
      </c>
      <c r="C240">
        <v>4.95</v>
      </c>
      <c r="D240">
        <v>5.77</v>
      </c>
    </row>
    <row r="241" spans="1:4" x14ac:dyDescent="0.25">
      <c r="A241" s="9">
        <v>41609</v>
      </c>
      <c r="B241">
        <v>3815.39</v>
      </c>
      <c r="C241">
        <v>5.91</v>
      </c>
      <c r="D241">
        <v>5.91</v>
      </c>
    </row>
    <row r="242" spans="1:4" x14ac:dyDescent="0.25">
      <c r="A242" s="9">
        <v>41640</v>
      </c>
      <c r="B242">
        <v>3836.37</v>
      </c>
      <c r="C242">
        <v>0.55000000000000004</v>
      </c>
      <c r="D242">
        <v>5.59</v>
      </c>
    </row>
    <row r="243" spans="1:4" x14ac:dyDescent="0.25">
      <c r="A243" s="9">
        <v>41671</v>
      </c>
      <c r="B243">
        <v>3862.84</v>
      </c>
      <c r="C243">
        <v>1.24</v>
      </c>
      <c r="D243">
        <v>5.68</v>
      </c>
    </row>
    <row r="244" spans="1:4" x14ac:dyDescent="0.25">
      <c r="A244" s="9">
        <v>41699</v>
      </c>
      <c r="B244">
        <v>3898.38</v>
      </c>
      <c r="C244">
        <v>2.1800000000000002</v>
      </c>
      <c r="D244">
        <v>6.15</v>
      </c>
    </row>
    <row r="245" spans="1:4" x14ac:dyDescent="0.25">
      <c r="A245" s="9">
        <v>41730</v>
      </c>
      <c r="B245">
        <v>3924.5</v>
      </c>
      <c r="C245">
        <v>2.86</v>
      </c>
      <c r="D245">
        <v>6.28</v>
      </c>
    </row>
    <row r="246" spans="1:4" x14ac:dyDescent="0.25">
      <c r="A246" s="9">
        <v>41760</v>
      </c>
      <c r="B246">
        <v>3942.55</v>
      </c>
      <c r="C246">
        <v>3.33</v>
      </c>
      <c r="D246">
        <v>6.37</v>
      </c>
    </row>
    <row r="247" spans="1:4" x14ac:dyDescent="0.25">
      <c r="A247" s="9">
        <v>41791</v>
      </c>
      <c r="B247">
        <v>3958.32</v>
      </c>
      <c r="C247">
        <v>3.75</v>
      </c>
      <c r="D247">
        <v>6.52</v>
      </c>
    </row>
    <row r="248" spans="1:4" x14ac:dyDescent="0.25">
      <c r="A248" s="9">
        <v>41821</v>
      </c>
      <c r="B248">
        <v>3958.72</v>
      </c>
      <c r="C248">
        <v>3.76</v>
      </c>
      <c r="D248">
        <v>6.5</v>
      </c>
    </row>
    <row r="249" spans="1:4" x14ac:dyDescent="0.25">
      <c r="A249" s="9">
        <v>41852</v>
      </c>
      <c r="B249">
        <v>3968.62</v>
      </c>
      <c r="C249">
        <v>4.0199999999999996</v>
      </c>
      <c r="D249">
        <v>6.51</v>
      </c>
    </row>
    <row r="250" spans="1:4" x14ac:dyDescent="0.25">
      <c r="A250" s="9">
        <v>41883</v>
      </c>
      <c r="B250">
        <v>3991.24</v>
      </c>
      <c r="C250">
        <v>4.6100000000000003</v>
      </c>
      <c r="D250">
        <v>6.75</v>
      </c>
    </row>
    <row r="251" spans="1:4" x14ac:dyDescent="0.25">
      <c r="A251" s="9">
        <v>41913</v>
      </c>
      <c r="B251">
        <v>4008</v>
      </c>
      <c r="C251">
        <v>5.05</v>
      </c>
      <c r="D251">
        <v>6.59</v>
      </c>
    </row>
    <row r="252" spans="1:4" x14ac:dyDescent="0.25">
      <c r="A252" s="9">
        <v>41944</v>
      </c>
      <c r="B252">
        <v>4028.44</v>
      </c>
      <c r="C252">
        <v>5.58</v>
      </c>
      <c r="D252">
        <v>6.56</v>
      </c>
    </row>
    <row r="253" spans="1:4" x14ac:dyDescent="0.25">
      <c r="A253" s="9">
        <v>41974</v>
      </c>
      <c r="B253">
        <v>4059.86</v>
      </c>
      <c r="C253">
        <v>6.41</v>
      </c>
      <c r="D253">
        <v>6.41</v>
      </c>
    </row>
    <row r="254" spans="1:4" x14ac:dyDescent="0.25">
      <c r="A254" s="9">
        <v>42005</v>
      </c>
      <c r="B254">
        <v>4110.2</v>
      </c>
      <c r="C254">
        <v>1.24</v>
      </c>
      <c r="D254">
        <v>7.14</v>
      </c>
    </row>
    <row r="255" spans="1:4" x14ac:dyDescent="0.25">
      <c r="A255" s="9">
        <v>42036</v>
      </c>
      <c r="B255">
        <v>4160.34</v>
      </c>
      <c r="C255">
        <v>2.48</v>
      </c>
      <c r="D255">
        <v>7.7</v>
      </c>
    </row>
    <row r="256" spans="1:4" x14ac:dyDescent="0.25">
      <c r="A256" s="9">
        <v>42064</v>
      </c>
      <c r="B256">
        <v>4215.26</v>
      </c>
      <c r="C256">
        <v>3.83</v>
      </c>
      <c r="D256">
        <v>8.1300000000000008</v>
      </c>
    </row>
    <row r="257" spans="1:4" x14ac:dyDescent="0.25">
      <c r="A257" s="9">
        <v>42095</v>
      </c>
      <c r="B257">
        <v>4245.1899999999996</v>
      </c>
      <c r="C257">
        <v>4.5599999999999996</v>
      </c>
      <c r="D257">
        <v>8.17</v>
      </c>
    </row>
    <row r="258" spans="1:4" x14ac:dyDescent="0.25">
      <c r="A258" s="9">
        <v>42125</v>
      </c>
      <c r="B258">
        <v>4276.6000000000004</v>
      </c>
      <c r="C258">
        <v>5.34</v>
      </c>
      <c r="D258">
        <v>8.4700000000000006</v>
      </c>
    </row>
    <row r="259" spans="1:4" x14ac:dyDescent="0.25">
      <c r="A259" s="9">
        <v>42156</v>
      </c>
      <c r="B259">
        <v>4310.3900000000003</v>
      </c>
      <c r="C259">
        <v>6.17</v>
      </c>
      <c r="D259">
        <v>8.89</v>
      </c>
    </row>
    <row r="260" spans="1:4" x14ac:dyDescent="0.25">
      <c r="A260" s="9">
        <v>42186</v>
      </c>
      <c r="B260">
        <v>4337.1099999999997</v>
      </c>
      <c r="C260">
        <v>6.83</v>
      </c>
      <c r="D260">
        <v>9.56</v>
      </c>
    </row>
    <row r="261" spans="1:4" x14ac:dyDescent="0.25">
      <c r="A261" s="9">
        <v>42217</v>
      </c>
      <c r="B261">
        <v>4346.6499999999996</v>
      </c>
      <c r="C261">
        <v>7.06</v>
      </c>
      <c r="D261">
        <v>9.5299999999999994</v>
      </c>
    </row>
    <row r="262" spans="1:4" x14ac:dyDescent="0.25">
      <c r="A262" s="9">
        <v>42248</v>
      </c>
      <c r="B262">
        <v>4370.12</v>
      </c>
      <c r="C262">
        <v>7.64</v>
      </c>
      <c r="D262">
        <v>9.49</v>
      </c>
    </row>
    <row r="263" spans="1:4" x14ac:dyDescent="0.25">
      <c r="A263" s="9">
        <v>42278</v>
      </c>
      <c r="B263">
        <v>4405.95</v>
      </c>
      <c r="C263">
        <v>8.52</v>
      </c>
      <c r="D263">
        <v>9.93</v>
      </c>
    </row>
    <row r="264" spans="1:4" x14ac:dyDescent="0.25">
      <c r="A264" s="9">
        <v>42309</v>
      </c>
      <c r="B264">
        <v>4450.45</v>
      </c>
      <c r="C264">
        <v>9.6199999999999992</v>
      </c>
      <c r="D264">
        <v>10.48</v>
      </c>
    </row>
    <row r="265" spans="1:4" x14ac:dyDescent="0.25">
      <c r="A265" s="9">
        <v>42339</v>
      </c>
      <c r="B265">
        <v>4493.17</v>
      </c>
      <c r="C265">
        <v>10.67</v>
      </c>
      <c r="D265">
        <v>10.67</v>
      </c>
    </row>
    <row r="266" spans="1:4" x14ac:dyDescent="0.25">
      <c r="A266" s="9">
        <v>42370</v>
      </c>
      <c r="B266">
        <v>4550.2299999999996</v>
      </c>
      <c r="C266">
        <v>1.27</v>
      </c>
      <c r="D266">
        <v>10.71</v>
      </c>
    </row>
    <row r="267" spans="1:4" x14ac:dyDescent="0.25">
      <c r="A267" s="9">
        <v>42401</v>
      </c>
      <c r="B267">
        <v>4591.18</v>
      </c>
      <c r="C267">
        <v>2.1800000000000002</v>
      </c>
      <c r="D267">
        <v>10.36</v>
      </c>
    </row>
    <row r="268" spans="1:4" x14ac:dyDescent="0.25">
      <c r="A268" s="9">
        <v>42430</v>
      </c>
      <c r="B268">
        <v>4610.92</v>
      </c>
      <c r="C268">
        <v>2.62</v>
      </c>
      <c r="D268">
        <v>9.39</v>
      </c>
    </row>
    <row r="269" spans="1:4" x14ac:dyDescent="0.25">
      <c r="A269" s="9">
        <v>42461</v>
      </c>
      <c r="B269">
        <v>4639.05</v>
      </c>
      <c r="C269">
        <v>3.25</v>
      </c>
      <c r="D269">
        <v>9.2799999999999994</v>
      </c>
    </row>
    <row r="270" spans="1:4" x14ac:dyDescent="0.25">
      <c r="A270" s="9">
        <v>42491</v>
      </c>
      <c r="B270">
        <v>4675.2299999999996</v>
      </c>
      <c r="C270">
        <v>4.05</v>
      </c>
      <c r="D270">
        <v>9.32</v>
      </c>
    </row>
    <row r="271" spans="1:4" x14ac:dyDescent="0.25">
      <c r="A271" s="9">
        <v>42522</v>
      </c>
      <c r="B271">
        <v>4691.59</v>
      </c>
      <c r="C271">
        <v>4.42</v>
      </c>
      <c r="D271">
        <v>8.84</v>
      </c>
    </row>
    <row r="272" spans="1:4" x14ac:dyDescent="0.25">
      <c r="A272" s="9">
        <v>42552</v>
      </c>
      <c r="B272">
        <v>4715.99</v>
      </c>
      <c r="C272">
        <v>4.96</v>
      </c>
      <c r="D272">
        <v>8.74</v>
      </c>
    </row>
    <row r="273" spans="1:4" x14ac:dyDescent="0.25">
      <c r="A273" s="9">
        <v>42583</v>
      </c>
      <c r="B273">
        <v>4736.74</v>
      </c>
      <c r="C273">
        <v>5.42</v>
      </c>
      <c r="D273">
        <v>8.9700000000000006</v>
      </c>
    </row>
    <row r="274" spans="1:4" x14ac:dyDescent="0.25">
      <c r="A274" s="9">
        <v>42614</v>
      </c>
      <c r="B274">
        <v>4740.53</v>
      </c>
      <c r="C274">
        <v>5.51</v>
      </c>
      <c r="D274">
        <v>8.48</v>
      </c>
    </row>
    <row r="275" spans="1:4" x14ac:dyDescent="0.25">
      <c r="A275" s="9">
        <v>42644</v>
      </c>
      <c r="B275">
        <v>4752.8599999999997</v>
      </c>
      <c r="C275">
        <v>5.78</v>
      </c>
      <c r="D275">
        <v>7.87</v>
      </c>
    </row>
    <row r="276" spans="1:4" x14ac:dyDescent="0.25">
      <c r="A276" s="9">
        <v>42675</v>
      </c>
      <c r="B276">
        <v>4761.42</v>
      </c>
      <c r="C276">
        <v>5.97</v>
      </c>
      <c r="D276">
        <v>6.99</v>
      </c>
    </row>
    <row r="277" spans="1:4" x14ac:dyDescent="0.25">
      <c r="A277" s="9">
        <v>42705</v>
      </c>
      <c r="B277">
        <v>4775.7</v>
      </c>
      <c r="C277">
        <v>6.29</v>
      </c>
      <c r="D277">
        <v>6.29</v>
      </c>
    </row>
    <row r="278" spans="1:4" x14ac:dyDescent="0.25">
      <c r="A278" s="9">
        <v>42736</v>
      </c>
      <c r="B278">
        <v>4793.8500000000004</v>
      </c>
      <c r="C278">
        <v>0.38</v>
      </c>
      <c r="D278">
        <v>5.35</v>
      </c>
    </row>
    <row r="279" spans="1:4" x14ac:dyDescent="0.25">
      <c r="A279" s="9">
        <v>42767</v>
      </c>
      <c r="B279">
        <v>4809.67</v>
      </c>
      <c r="C279">
        <v>0.71</v>
      </c>
      <c r="D279">
        <v>4.76</v>
      </c>
    </row>
    <row r="280" spans="1:4" x14ac:dyDescent="0.25">
      <c r="A280" s="9">
        <v>42795</v>
      </c>
      <c r="B280">
        <v>4821.6899999999996</v>
      </c>
      <c r="C280">
        <v>0.96</v>
      </c>
      <c r="D280">
        <v>4.57</v>
      </c>
    </row>
    <row r="281" spans="1:4" x14ac:dyDescent="0.25">
      <c r="A281" s="9">
        <v>42826</v>
      </c>
      <c r="B281">
        <v>4828.4399999999996</v>
      </c>
      <c r="C281">
        <v>1.1000000000000001</v>
      </c>
      <c r="D281">
        <v>4.08</v>
      </c>
    </row>
    <row r="282" spans="1:4" x14ac:dyDescent="0.25">
      <c r="A282" s="9">
        <v>42856</v>
      </c>
      <c r="B282">
        <v>4843.41</v>
      </c>
      <c r="C282">
        <v>1.42</v>
      </c>
      <c r="D282">
        <v>3.6</v>
      </c>
    </row>
    <row r="283" spans="1:4" x14ac:dyDescent="0.25">
      <c r="A283" s="9">
        <v>42887</v>
      </c>
      <c r="B283">
        <v>4832.2700000000004</v>
      </c>
      <c r="C283">
        <v>1.18</v>
      </c>
      <c r="D283">
        <v>3</v>
      </c>
    </row>
    <row r="284" spans="1:4" x14ac:dyDescent="0.25">
      <c r="A284" s="9">
        <v>42917</v>
      </c>
      <c r="B284">
        <v>4843.87</v>
      </c>
      <c r="C284">
        <v>1.43</v>
      </c>
      <c r="D284">
        <v>2.71</v>
      </c>
    </row>
    <row r="285" spans="1:4" x14ac:dyDescent="0.25">
      <c r="A285" s="9">
        <v>42948</v>
      </c>
      <c r="B285">
        <v>4853.07</v>
      </c>
      <c r="C285">
        <v>1.62</v>
      </c>
      <c r="D285">
        <v>2.46</v>
      </c>
    </row>
    <row r="286" spans="1:4" x14ac:dyDescent="0.25">
      <c r="A286" s="9">
        <v>42979</v>
      </c>
      <c r="B286">
        <v>4860.83</v>
      </c>
      <c r="C286">
        <v>1.78</v>
      </c>
      <c r="D286">
        <v>2.54</v>
      </c>
    </row>
    <row r="287" spans="1:4" x14ac:dyDescent="0.25">
      <c r="A287" s="9">
        <v>43009</v>
      </c>
      <c r="B287">
        <v>4881.25</v>
      </c>
      <c r="C287">
        <v>2.21</v>
      </c>
      <c r="D287">
        <v>2.7</v>
      </c>
    </row>
    <row r="288" spans="1:4" x14ac:dyDescent="0.25">
      <c r="A288" s="9">
        <v>43040</v>
      </c>
      <c r="B288">
        <v>4894.92</v>
      </c>
      <c r="C288">
        <v>2.5</v>
      </c>
      <c r="D288">
        <v>2.8</v>
      </c>
    </row>
    <row r="289" spans="1:4" x14ac:dyDescent="0.25">
      <c r="A289" s="9">
        <v>43070</v>
      </c>
      <c r="B289">
        <v>4916.46</v>
      </c>
      <c r="C289">
        <v>2.95</v>
      </c>
      <c r="D289">
        <v>2.95</v>
      </c>
    </row>
    <row r="290" spans="1:4" x14ac:dyDescent="0.25">
      <c r="A290" s="9">
        <v>43101</v>
      </c>
      <c r="B290">
        <v>4930.72</v>
      </c>
      <c r="C290">
        <v>0.28999999999999998</v>
      </c>
      <c r="D290">
        <v>2.86</v>
      </c>
    </row>
    <row r="291" spans="1:4" x14ac:dyDescent="0.25">
      <c r="A291" s="9">
        <v>43132</v>
      </c>
      <c r="B291">
        <v>4946.5</v>
      </c>
      <c r="C291">
        <v>0.61</v>
      </c>
      <c r="D291">
        <v>2.84</v>
      </c>
    </row>
    <row r="292" spans="1:4" x14ac:dyDescent="0.25">
      <c r="A292" s="9">
        <v>43160</v>
      </c>
      <c r="B292">
        <v>4950.95</v>
      </c>
      <c r="C292">
        <v>0.7</v>
      </c>
      <c r="D292">
        <v>2.68</v>
      </c>
    </row>
    <row r="293" spans="1:4" x14ac:dyDescent="0.25">
      <c r="A293" s="9">
        <v>43191</v>
      </c>
      <c r="B293">
        <v>4961.84</v>
      </c>
      <c r="C293">
        <v>0.92</v>
      </c>
      <c r="D293">
        <v>2.76</v>
      </c>
    </row>
    <row r="294" spans="1:4" x14ac:dyDescent="0.25">
      <c r="A294" s="9">
        <v>43221</v>
      </c>
      <c r="B294">
        <v>4981.6899999999996</v>
      </c>
      <c r="C294">
        <v>1.33</v>
      </c>
      <c r="D294">
        <v>2.86</v>
      </c>
    </row>
    <row r="295" spans="1:4" x14ac:dyDescent="0.25">
      <c r="A295" s="9">
        <v>43252</v>
      </c>
      <c r="B295">
        <v>5044.46</v>
      </c>
      <c r="C295">
        <v>2.6</v>
      </c>
      <c r="D295">
        <v>4.3899999999999997</v>
      </c>
    </row>
    <row r="296" spans="1:4" x14ac:dyDescent="0.25">
      <c r="A296" s="9">
        <v>43282</v>
      </c>
      <c r="B296">
        <v>5061.1099999999997</v>
      </c>
      <c r="C296">
        <v>2.94</v>
      </c>
      <c r="D296">
        <v>4.4800000000000004</v>
      </c>
    </row>
    <row r="297" spans="1:4" x14ac:dyDescent="0.25">
      <c r="A297" s="9">
        <v>43313</v>
      </c>
      <c r="B297">
        <v>5056.5600000000004</v>
      </c>
      <c r="C297">
        <v>2.85</v>
      </c>
      <c r="D297">
        <v>4.1900000000000004</v>
      </c>
    </row>
    <row r="298" spans="1:4" x14ac:dyDescent="0.25">
      <c r="A298" s="9">
        <v>43344</v>
      </c>
      <c r="B298">
        <v>5080.83</v>
      </c>
      <c r="C298">
        <v>3.34</v>
      </c>
      <c r="D298">
        <v>4.53</v>
      </c>
    </row>
    <row r="299" spans="1:4" x14ac:dyDescent="0.25">
      <c r="A299" s="9">
        <v>43374</v>
      </c>
      <c r="B299">
        <v>5103.6899999999996</v>
      </c>
      <c r="C299">
        <v>3.81</v>
      </c>
      <c r="D299">
        <v>4.5599999999999996</v>
      </c>
    </row>
    <row r="300" spans="1:4" x14ac:dyDescent="0.25">
      <c r="A300" s="9">
        <v>43405</v>
      </c>
      <c r="B300">
        <v>5092.97</v>
      </c>
      <c r="C300">
        <v>3.59</v>
      </c>
      <c r="D300">
        <v>4.05</v>
      </c>
    </row>
    <row r="301" spans="1:4" x14ac:dyDescent="0.25">
      <c r="A301" s="9">
        <v>43435</v>
      </c>
      <c r="B301">
        <v>5100.6099999999997</v>
      </c>
      <c r="C301">
        <v>3.75</v>
      </c>
      <c r="D301">
        <v>3.75</v>
      </c>
    </row>
    <row r="302" spans="1:4" x14ac:dyDescent="0.25">
      <c r="A302" s="9">
        <v>43466</v>
      </c>
      <c r="B302">
        <v>5116.93</v>
      </c>
      <c r="C302">
        <v>0.32</v>
      </c>
      <c r="D302">
        <v>3.78</v>
      </c>
    </row>
    <row r="303" spans="1:4" x14ac:dyDescent="0.25">
      <c r="A303" s="9">
        <v>43497</v>
      </c>
      <c r="B303">
        <v>5138.93</v>
      </c>
      <c r="C303">
        <v>0.75</v>
      </c>
      <c r="D303">
        <v>3.89</v>
      </c>
    </row>
    <row r="304" spans="1:4" x14ac:dyDescent="0.25">
      <c r="A304" s="9">
        <v>43525</v>
      </c>
      <c r="B304">
        <v>5177.47</v>
      </c>
      <c r="C304">
        <v>1.51</v>
      </c>
      <c r="D304">
        <v>4.58</v>
      </c>
    </row>
    <row r="305" spans="1:4" x14ac:dyDescent="0.25">
      <c r="A305" s="9">
        <v>43556</v>
      </c>
      <c r="B305">
        <v>5206.9799999999996</v>
      </c>
      <c r="C305">
        <v>2.09</v>
      </c>
      <c r="D305">
        <v>4.9400000000000004</v>
      </c>
    </row>
    <row r="306" spans="1:4" x14ac:dyDescent="0.25">
      <c r="A306" s="9">
        <v>43586</v>
      </c>
      <c r="B306">
        <v>5213.75</v>
      </c>
      <c r="C306">
        <v>2.2200000000000002</v>
      </c>
      <c r="D306">
        <v>4.66</v>
      </c>
    </row>
    <row r="307" spans="1:4" x14ac:dyDescent="0.25">
      <c r="A307" s="9">
        <v>43617</v>
      </c>
      <c r="B307">
        <v>5214.2700000000004</v>
      </c>
      <c r="C307">
        <v>2.23</v>
      </c>
      <c r="D307">
        <v>3.37</v>
      </c>
    </row>
    <row r="308" spans="1:4" x14ac:dyDescent="0.25">
      <c r="A308" s="9">
        <v>43647</v>
      </c>
      <c r="B308">
        <v>5224.18</v>
      </c>
      <c r="C308">
        <v>2.42</v>
      </c>
      <c r="D308">
        <v>3.22</v>
      </c>
    </row>
    <row r="309" spans="1:4" x14ac:dyDescent="0.25">
      <c r="A309" s="9">
        <v>43678</v>
      </c>
      <c r="B309">
        <v>5229.93</v>
      </c>
      <c r="C309">
        <v>2.54</v>
      </c>
      <c r="D309">
        <v>3.43</v>
      </c>
    </row>
    <row r="310" spans="1:4" x14ac:dyDescent="0.25">
      <c r="A310" s="9">
        <v>43709</v>
      </c>
      <c r="B310">
        <v>5227.84</v>
      </c>
      <c r="C310">
        <v>2.4900000000000002</v>
      </c>
      <c r="D310">
        <v>2.89</v>
      </c>
    </row>
    <row r="311" spans="1:4" x14ac:dyDescent="0.25">
      <c r="A311" s="9">
        <v>43739</v>
      </c>
      <c r="B311">
        <v>5233.07</v>
      </c>
      <c r="C311">
        <v>2.6</v>
      </c>
      <c r="D311">
        <v>2.54</v>
      </c>
    </row>
    <row r="312" spans="1:4" x14ac:dyDescent="0.25">
      <c r="A312" s="9">
        <v>43770</v>
      </c>
      <c r="B312">
        <v>5259.76</v>
      </c>
      <c r="C312">
        <v>3.12</v>
      </c>
      <c r="D312">
        <v>3.27</v>
      </c>
    </row>
    <row r="313" spans="1:4" x14ac:dyDescent="0.25">
      <c r="A313" s="9">
        <v>43800</v>
      </c>
      <c r="B313">
        <v>5320.25</v>
      </c>
      <c r="C313">
        <v>4.3099999999999996</v>
      </c>
      <c r="D313">
        <v>4.3099999999999996</v>
      </c>
    </row>
    <row r="314" spans="1:4" x14ac:dyDescent="0.25">
      <c r="A314" s="9">
        <v>43831</v>
      </c>
      <c r="B314">
        <v>5331.42</v>
      </c>
      <c r="C314">
        <v>0.21</v>
      </c>
      <c r="D314">
        <v>4.1900000000000004</v>
      </c>
    </row>
    <row r="315" spans="1:4" x14ac:dyDescent="0.25">
      <c r="A315" s="9">
        <v>43862</v>
      </c>
      <c r="B315">
        <v>5344.75</v>
      </c>
      <c r="C315">
        <v>0.46</v>
      </c>
      <c r="D315">
        <v>4.01</v>
      </c>
    </row>
    <row r="316" spans="1:4" x14ac:dyDescent="0.25">
      <c r="A316" s="9">
        <v>43891</v>
      </c>
      <c r="B316">
        <v>5348.49</v>
      </c>
      <c r="C316">
        <v>0.53</v>
      </c>
      <c r="D316">
        <v>3.3</v>
      </c>
    </row>
    <row r="317" spans="1:4" x14ac:dyDescent="0.25">
      <c r="A317" s="9">
        <v>43922</v>
      </c>
      <c r="B317">
        <v>5331.91</v>
      </c>
      <c r="C317">
        <v>0.22</v>
      </c>
      <c r="D317">
        <v>2.4</v>
      </c>
    </row>
    <row r="318" spans="1:4" x14ac:dyDescent="0.25">
      <c r="A318" s="9">
        <v>43952</v>
      </c>
      <c r="B318">
        <v>5311.65</v>
      </c>
      <c r="C318">
        <v>-0.16</v>
      </c>
      <c r="D318">
        <v>1.88</v>
      </c>
    </row>
    <row r="319" spans="1:4" x14ac:dyDescent="0.25">
      <c r="A319" s="9">
        <v>43983</v>
      </c>
      <c r="B319">
        <v>5325.46</v>
      </c>
      <c r="C319">
        <v>0.1</v>
      </c>
      <c r="D319">
        <v>2.13</v>
      </c>
    </row>
    <row r="320" spans="1:4" x14ac:dyDescent="0.25">
      <c r="A320" s="9">
        <v>44013</v>
      </c>
      <c r="B320">
        <v>5344.63</v>
      </c>
      <c r="C320">
        <v>0.46</v>
      </c>
      <c r="D320">
        <v>2.31</v>
      </c>
    </row>
    <row r="321" spans="1:4" x14ac:dyDescent="0.25">
      <c r="A321" s="9">
        <v>44044</v>
      </c>
      <c r="B321">
        <v>5357.46</v>
      </c>
      <c r="C321">
        <v>0.7</v>
      </c>
      <c r="D321">
        <v>2.44</v>
      </c>
    </row>
    <row r="322" spans="1:4" x14ac:dyDescent="0.25">
      <c r="A322" s="9">
        <v>44075</v>
      </c>
      <c r="B322">
        <v>5391.75</v>
      </c>
      <c r="C322">
        <v>1.34</v>
      </c>
      <c r="D322">
        <v>3.14</v>
      </c>
    </row>
    <row r="323" spans="1:4" x14ac:dyDescent="0.25">
      <c r="A323" s="9">
        <v>44105</v>
      </c>
      <c r="B323">
        <v>5438.12</v>
      </c>
      <c r="C323">
        <v>2.2200000000000002</v>
      </c>
      <c r="D323">
        <v>3.92</v>
      </c>
    </row>
    <row r="324" spans="1:4" x14ac:dyDescent="0.25">
      <c r="A324" s="9">
        <v>44136</v>
      </c>
      <c r="B324">
        <v>5486.52</v>
      </c>
      <c r="C324">
        <v>3.13</v>
      </c>
      <c r="D324">
        <v>4.3099999999999996</v>
      </c>
    </row>
    <row r="325" spans="1:4" x14ac:dyDescent="0.25">
      <c r="A325" s="9">
        <v>44166</v>
      </c>
      <c r="B325">
        <v>5560.59</v>
      </c>
      <c r="C325">
        <v>4.5199999999999996</v>
      </c>
      <c r="D325">
        <v>4.5199999999999996</v>
      </c>
    </row>
    <row r="326" spans="1:4" x14ac:dyDescent="0.25">
      <c r="A326" s="9">
        <v>44197</v>
      </c>
      <c r="B326">
        <v>5574.49</v>
      </c>
      <c r="C326">
        <v>0.25</v>
      </c>
      <c r="D326">
        <v>4.5599999999999996</v>
      </c>
    </row>
    <row r="327" spans="1:4" x14ac:dyDescent="0.25">
      <c r="A327" s="9">
        <v>44228</v>
      </c>
      <c r="B327">
        <v>5622.43</v>
      </c>
      <c r="C327">
        <v>1.1100000000000001</v>
      </c>
      <c r="D327">
        <v>5.2</v>
      </c>
    </row>
    <row r="328" spans="1:4" x14ac:dyDescent="0.25">
      <c r="A328" s="9">
        <v>44256</v>
      </c>
      <c r="B328">
        <v>5674.72</v>
      </c>
      <c r="C328">
        <v>2.0499999999999998</v>
      </c>
      <c r="D328">
        <v>6.1</v>
      </c>
    </row>
    <row r="329" spans="1:4" x14ac:dyDescent="0.25">
      <c r="A329" s="9">
        <v>44287</v>
      </c>
      <c r="B329">
        <v>5692.31</v>
      </c>
      <c r="C329">
        <v>2.37</v>
      </c>
      <c r="D329">
        <v>6.76</v>
      </c>
    </row>
    <row r="330" spans="1:4" x14ac:dyDescent="0.25">
      <c r="A330" s="9">
        <v>44317</v>
      </c>
      <c r="B330">
        <v>5739.56</v>
      </c>
      <c r="C330">
        <v>3.22</v>
      </c>
      <c r="D330">
        <v>8.06</v>
      </c>
    </row>
    <row r="331" spans="1:4" x14ac:dyDescent="0.25">
      <c r="A331" s="9">
        <v>44348</v>
      </c>
      <c r="B331">
        <v>5769.98</v>
      </c>
      <c r="C331">
        <v>3.77</v>
      </c>
      <c r="D331">
        <v>8.35</v>
      </c>
    </row>
    <row r="332" spans="1:4" x14ac:dyDescent="0.25">
      <c r="A332" s="9">
        <v>44378</v>
      </c>
      <c r="B332">
        <v>5825.37</v>
      </c>
      <c r="C332">
        <v>4.76</v>
      </c>
      <c r="D332">
        <v>8.99</v>
      </c>
    </row>
    <row r="333" spans="1:4" x14ac:dyDescent="0.25">
      <c r="A333" s="9">
        <v>44409</v>
      </c>
      <c r="B333">
        <v>5876.05</v>
      </c>
      <c r="C333">
        <v>5.67</v>
      </c>
      <c r="D333">
        <v>9.68</v>
      </c>
    </row>
    <row r="334" spans="1:4" x14ac:dyDescent="0.25">
      <c r="A334" s="9">
        <v>44440</v>
      </c>
      <c r="B334">
        <v>5944.21</v>
      </c>
      <c r="C334">
        <v>6.9</v>
      </c>
      <c r="D334">
        <v>10.25</v>
      </c>
    </row>
    <row r="335" spans="1:4" x14ac:dyDescent="0.25">
      <c r="A335" s="9">
        <v>44470</v>
      </c>
      <c r="B335">
        <v>6018.51</v>
      </c>
      <c r="C335">
        <v>8.24</v>
      </c>
      <c r="D335">
        <v>10.67</v>
      </c>
    </row>
    <row r="336" spans="1:4" x14ac:dyDescent="0.25">
      <c r="A336" s="9">
        <v>44501</v>
      </c>
      <c r="B336">
        <v>6075.69</v>
      </c>
      <c r="C336">
        <v>9.26</v>
      </c>
      <c r="D336">
        <v>10.74</v>
      </c>
    </row>
    <row r="337" spans="1:4" x14ac:dyDescent="0.25">
      <c r="A337" s="9">
        <v>44531</v>
      </c>
      <c r="B337">
        <v>6120.04</v>
      </c>
      <c r="C337">
        <v>10.06</v>
      </c>
      <c r="D337">
        <v>10.06</v>
      </c>
    </row>
    <row r="338" spans="1:4" x14ac:dyDescent="0.25">
      <c r="A338" s="9">
        <v>44562</v>
      </c>
      <c r="B338">
        <v>6153.09</v>
      </c>
      <c r="C338">
        <v>0.54</v>
      </c>
      <c r="D338">
        <v>10.38</v>
      </c>
    </row>
    <row r="339" spans="1:4" x14ac:dyDescent="0.25">
      <c r="A339" s="9">
        <v>44593</v>
      </c>
      <c r="B339">
        <v>6215.24</v>
      </c>
      <c r="C339">
        <v>1.56</v>
      </c>
      <c r="D339">
        <v>10.54</v>
      </c>
    </row>
    <row r="340" spans="1:4" x14ac:dyDescent="0.25">
      <c r="A340" s="9">
        <v>44621</v>
      </c>
      <c r="B340">
        <v>6315.93</v>
      </c>
      <c r="C340">
        <v>3.2</v>
      </c>
      <c r="D340">
        <v>11.3</v>
      </c>
    </row>
    <row r="341" spans="1:4" x14ac:dyDescent="0.25">
      <c r="A341" s="9">
        <v>44652</v>
      </c>
      <c r="B341">
        <v>6382.88</v>
      </c>
      <c r="C341">
        <v>4.29</v>
      </c>
      <c r="D341">
        <v>12.13</v>
      </c>
    </row>
    <row r="342" spans="1:4" x14ac:dyDescent="0.25">
      <c r="A342" s="9">
        <v>44682</v>
      </c>
      <c r="B342">
        <v>6412.88</v>
      </c>
      <c r="C342">
        <v>4.78</v>
      </c>
      <c r="D342">
        <v>11.73</v>
      </c>
    </row>
    <row r="343" spans="1:4" x14ac:dyDescent="0.25">
      <c r="A343" s="9">
        <v>44713</v>
      </c>
      <c r="B343">
        <v>6455.85</v>
      </c>
      <c r="C343">
        <v>5.49</v>
      </c>
      <c r="D343">
        <v>11.89</v>
      </c>
    </row>
    <row r="344" spans="1:4" x14ac:dyDescent="0.25">
      <c r="A344" s="9">
        <v>44743</v>
      </c>
      <c r="B344">
        <v>6411.95</v>
      </c>
      <c r="C344">
        <v>4.7699999999999996</v>
      </c>
      <c r="D344">
        <v>10.07</v>
      </c>
    </row>
    <row r="345" spans="1:4" x14ac:dyDescent="0.25">
      <c r="A345" s="9">
        <v>44774</v>
      </c>
      <c r="B345">
        <v>6388.87</v>
      </c>
      <c r="C345">
        <v>4.3899999999999997</v>
      </c>
      <c r="D345">
        <v>8.73</v>
      </c>
    </row>
    <row r="346" spans="1:4" x14ac:dyDescent="0.25">
      <c r="A346" s="9">
        <v>44805</v>
      </c>
      <c r="B346">
        <v>6370.34</v>
      </c>
      <c r="C346">
        <v>4.09</v>
      </c>
      <c r="D346">
        <v>7.17</v>
      </c>
    </row>
    <row r="347" spans="1:4" x14ac:dyDescent="0.25">
      <c r="A347" s="9">
        <v>44835</v>
      </c>
      <c r="B347">
        <v>6407.93</v>
      </c>
      <c r="C347">
        <v>4.7</v>
      </c>
      <c r="D347">
        <v>6.47</v>
      </c>
    </row>
    <row r="348" spans="1:4" x14ac:dyDescent="0.25">
      <c r="A348" s="9">
        <v>44866</v>
      </c>
      <c r="B348">
        <v>6434.2</v>
      </c>
      <c r="C348">
        <v>5.13</v>
      </c>
      <c r="D348">
        <v>5.9</v>
      </c>
    </row>
    <row r="349" spans="1:4" x14ac:dyDescent="0.25">
      <c r="A349" s="9">
        <v>44896</v>
      </c>
      <c r="B349">
        <v>6474.09</v>
      </c>
      <c r="C349">
        <v>5.79</v>
      </c>
      <c r="D349">
        <v>5.79</v>
      </c>
    </row>
    <row r="350" spans="1:4" x14ac:dyDescent="0.25">
      <c r="A350" s="9">
        <v>44927</v>
      </c>
      <c r="B350">
        <v>6508.4</v>
      </c>
      <c r="C350">
        <v>0.53</v>
      </c>
      <c r="D350">
        <v>5.77</v>
      </c>
    </row>
    <row r="351" spans="1:4" x14ac:dyDescent="0.25">
      <c r="A351" s="9">
        <v>44958</v>
      </c>
      <c r="B351">
        <v>6563.07</v>
      </c>
      <c r="C351">
        <v>1.37</v>
      </c>
      <c r="D351">
        <v>5.6</v>
      </c>
    </row>
    <row r="352" spans="1:4" x14ac:dyDescent="0.25">
      <c r="A352" s="9">
        <v>44986</v>
      </c>
      <c r="B352">
        <v>6609.67</v>
      </c>
      <c r="C352">
        <v>2.09</v>
      </c>
      <c r="D352">
        <v>4.6500000000000004</v>
      </c>
    </row>
    <row r="353" spans="1:4" x14ac:dyDescent="0.25">
      <c r="A353" s="9">
        <v>45017</v>
      </c>
      <c r="B353">
        <v>6649.99</v>
      </c>
      <c r="C353">
        <v>2.72</v>
      </c>
      <c r="D353">
        <v>4.18</v>
      </c>
    </row>
    <row r="354" spans="1:4" x14ac:dyDescent="0.25">
      <c r="A354" s="9">
        <v>45047</v>
      </c>
      <c r="B354">
        <v>6665.28</v>
      </c>
      <c r="C354">
        <v>2.95</v>
      </c>
      <c r="D354">
        <v>3.94</v>
      </c>
    </row>
    <row r="355" spans="1:4" x14ac:dyDescent="0.25">
      <c r="A355" s="9">
        <v>45078</v>
      </c>
      <c r="B355">
        <v>6659.95</v>
      </c>
      <c r="C355">
        <v>2.87</v>
      </c>
      <c r="D355">
        <v>3.16</v>
      </c>
    </row>
    <row r="356" spans="1:4" x14ac:dyDescent="0.25">
      <c r="A356" s="9">
        <v>45108</v>
      </c>
      <c r="B356">
        <v>6667.94</v>
      </c>
      <c r="C356">
        <v>2.99</v>
      </c>
      <c r="D356">
        <v>3.99</v>
      </c>
    </row>
    <row r="357" spans="1:4" x14ac:dyDescent="0.25">
      <c r="A357" s="9">
        <v>45139</v>
      </c>
      <c r="B357">
        <v>6683.28</v>
      </c>
      <c r="C357">
        <v>3.23</v>
      </c>
      <c r="D357">
        <v>4.6100000000000003</v>
      </c>
    </row>
    <row r="358" spans="1:4" x14ac:dyDescent="0.25">
      <c r="A358" s="9">
        <v>45170</v>
      </c>
      <c r="B358">
        <v>6700.66</v>
      </c>
      <c r="C358">
        <v>3.5</v>
      </c>
      <c r="D358">
        <v>5.19</v>
      </c>
    </row>
    <row r="359" spans="1:4" x14ac:dyDescent="0.25">
      <c r="A359" s="9">
        <v>45200</v>
      </c>
      <c r="B359">
        <v>6716.74</v>
      </c>
      <c r="C359">
        <v>3.75</v>
      </c>
      <c r="D359">
        <v>4.82</v>
      </c>
    </row>
    <row r="360" spans="1:4" x14ac:dyDescent="0.25">
      <c r="A360" s="9">
        <v>45231</v>
      </c>
      <c r="B360">
        <v>6735.55</v>
      </c>
      <c r="C360">
        <v>4.04</v>
      </c>
      <c r="D360">
        <v>4.68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81B5D-D43F-47EA-A5A4-EE1ED7F49B0E}">
  <sheetPr codeName="Planilha3"/>
  <dimension ref="A1:Y80"/>
  <sheetViews>
    <sheetView tabSelected="1" zoomScaleNormal="100" workbookViewId="0">
      <pane xSplit="1" ySplit="1" topLeftCell="T78" activePane="bottomRight" state="frozen"/>
      <selection pane="topRight" activeCell="B1" sqref="B1"/>
      <selection pane="bottomLeft" activeCell="A2" sqref="A2"/>
      <selection pane="bottomRight" activeCell="Y80" sqref="Y80"/>
    </sheetView>
  </sheetViews>
  <sheetFormatPr defaultRowHeight="15" x14ac:dyDescent="0.25"/>
  <cols>
    <col min="1" max="1" width="48.5703125" style="20" bestFit="1" customWidth="1"/>
    <col min="2" max="12" width="14.85546875" bestFit="1" customWidth="1"/>
    <col min="13" max="13" width="15" bestFit="1" customWidth="1"/>
    <col min="14" max="16" width="14.85546875" bestFit="1" customWidth="1"/>
    <col min="17" max="20" width="15" bestFit="1" customWidth="1"/>
    <col min="21" max="21" width="14.85546875" bestFit="1" customWidth="1"/>
    <col min="22" max="22" width="14.5703125" bestFit="1" customWidth="1"/>
    <col min="23" max="23" width="14.85546875" bestFit="1" customWidth="1"/>
    <col min="24" max="25" width="14.7109375" customWidth="1"/>
  </cols>
  <sheetData>
    <row r="1" spans="1:24" x14ac:dyDescent="0.25">
      <c r="B1" s="18">
        <v>2000</v>
      </c>
      <c r="C1" s="18">
        <v>2001</v>
      </c>
      <c r="D1" s="18">
        <v>2002</v>
      </c>
      <c r="E1" s="18">
        <v>2003</v>
      </c>
      <c r="F1" s="18">
        <v>2004</v>
      </c>
      <c r="G1" s="18">
        <v>2005</v>
      </c>
      <c r="H1" s="18">
        <v>2006</v>
      </c>
      <c r="I1" s="18">
        <v>2007</v>
      </c>
      <c r="J1" s="18">
        <v>2008</v>
      </c>
      <c r="K1" s="18">
        <v>2009</v>
      </c>
      <c r="L1" s="18">
        <v>2010</v>
      </c>
      <c r="M1" s="18">
        <v>2011</v>
      </c>
      <c r="N1" s="18">
        <v>2012</v>
      </c>
      <c r="O1" s="18">
        <v>2013</v>
      </c>
      <c r="P1" s="18">
        <v>2014</v>
      </c>
      <c r="Q1" s="18">
        <v>2015</v>
      </c>
      <c r="R1" s="18">
        <v>2016</v>
      </c>
      <c r="S1" s="18">
        <v>2017</v>
      </c>
      <c r="T1" s="18">
        <v>2018</v>
      </c>
      <c r="U1" s="18">
        <v>2019</v>
      </c>
      <c r="V1" s="18">
        <v>2020</v>
      </c>
      <c r="W1" s="18">
        <v>2021</v>
      </c>
      <c r="X1" s="1"/>
    </row>
    <row r="2" spans="1:24" ht="32.25" customHeight="1" x14ac:dyDescent="0.25">
      <c r="A2" s="19" t="s">
        <v>40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9" t="s">
        <v>41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x14ac:dyDescent="0.25">
      <c r="A4" s="21" t="s">
        <v>1</v>
      </c>
      <c r="B4" s="3">
        <v>742905.38148292247</v>
      </c>
      <c r="C4" s="3">
        <v>812378.06037945347</v>
      </c>
      <c r="D4" s="3">
        <v>891579.00694836385</v>
      </c>
      <c r="E4" s="3">
        <v>1015404.7474881232</v>
      </c>
      <c r="F4" s="3">
        <v>1131726.9114501011</v>
      </c>
      <c r="G4" s="3">
        <v>1272368.0224201728</v>
      </c>
      <c r="H4" s="3">
        <v>1421826.2775839791</v>
      </c>
      <c r="I4" s="3">
        <v>1614160.751628038</v>
      </c>
      <c r="J4" s="3">
        <v>1872018.0631026314</v>
      </c>
      <c r="K4" s="3">
        <v>2117406.4071279289</v>
      </c>
      <c r="L4" s="3">
        <v>2394007.4399466803</v>
      </c>
      <c r="M4" s="3">
        <v>2765011.1547782067</v>
      </c>
      <c r="N4" s="3">
        <v>3041792.3061400596</v>
      </c>
      <c r="O4" s="3">
        <v>3401856.1591707952</v>
      </c>
      <c r="P4" s="3">
        <v>3767860.0941550159</v>
      </c>
      <c r="Q4" s="3">
        <v>4026414.9738282892</v>
      </c>
      <c r="R4" s="3">
        <v>4300950.6308071315</v>
      </c>
      <c r="S4" s="3">
        <v>4546469.3106430722</v>
      </c>
      <c r="T4" s="3">
        <v>4681635.9962021774</v>
      </c>
      <c r="U4" s="3">
        <v>4907821.627607164</v>
      </c>
      <c r="V4" s="3">
        <v>5249957.4267351897</v>
      </c>
      <c r="W4" s="3">
        <v>5565230.9155971985</v>
      </c>
    </row>
    <row r="5" spans="1:24" ht="15.75" x14ac:dyDescent="0.25">
      <c r="A5" s="21" t="s">
        <v>35</v>
      </c>
      <c r="B5" s="3"/>
      <c r="C5" s="5">
        <f>C4/B4-1</f>
        <v>9.351484136224153E-2</v>
      </c>
      <c r="D5" s="5">
        <f t="shared" ref="D5:W5" si="0">D4/C4-1</f>
        <v>9.7492719746661294E-2</v>
      </c>
      <c r="E5" s="5">
        <f t="shared" si="0"/>
        <v>0.13888364303639422</v>
      </c>
      <c r="F5" s="5">
        <f t="shared" si="0"/>
        <v>0.11455743559376885</v>
      </c>
      <c r="G5" s="5">
        <f t="shared" si="0"/>
        <v>0.12427124383731925</v>
      </c>
      <c r="H5" s="5">
        <f t="shared" si="0"/>
        <v>0.11746464272146784</v>
      </c>
      <c r="I5" s="5">
        <f t="shared" si="0"/>
        <v>0.13527283682707081</v>
      </c>
      <c r="J5" s="5">
        <f t="shared" si="0"/>
        <v>0.15974698382086117</v>
      </c>
      <c r="K5" s="5">
        <f t="shared" si="0"/>
        <v>0.13108225228265025</v>
      </c>
      <c r="L5" s="5">
        <f t="shared" si="0"/>
        <v>0.13063199954794502</v>
      </c>
      <c r="M5" s="5">
        <f t="shared" si="0"/>
        <v>0.15497183034643758</v>
      </c>
      <c r="N5" s="5">
        <f t="shared" si="0"/>
        <v>0.10010127839214977</v>
      </c>
      <c r="O5" s="5">
        <f t="shared" si="0"/>
        <v>0.11837226766072195</v>
      </c>
      <c r="P5" s="5">
        <f t="shared" si="0"/>
        <v>0.10758947993657508</v>
      </c>
      <c r="Q5" s="5">
        <f t="shared" si="0"/>
        <v>6.8621146542665601E-2</v>
      </c>
      <c r="R5" s="5">
        <f t="shared" si="0"/>
        <v>6.8183646932401309E-2</v>
      </c>
      <c r="S5" s="5">
        <f t="shared" si="0"/>
        <v>5.7084747282920123E-2</v>
      </c>
      <c r="T5" s="5">
        <f t="shared" si="0"/>
        <v>2.9730033642300535E-2</v>
      </c>
      <c r="U5" s="5">
        <f t="shared" si="0"/>
        <v>4.8313374125727115E-2</v>
      </c>
      <c r="V5" s="5">
        <f t="shared" si="0"/>
        <v>6.9712354092794415E-2</v>
      </c>
      <c r="W5" s="5">
        <f t="shared" si="0"/>
        <v>6.0052580094553054E-2</v>
      </c>
    </row>
    <row r="6" spans="1:24" ht="15.75" x14ac:dyDescent="0.25">
      <c r="A6" s="21" t="s">
        <v>34</v>
      </c>
      <c r="B6" s="3"/>
      <c r="C6" s="5">
        <f t="shared" ref="C6:W6" si="1">C4/(B4*(1+C33))-1</f>
        <v>3.1909824820459898E-2</v>
      </c>
      <c r="D6" s="5">
        <f t="shared" si="1"/>
        <v>1.9311525723656908E-2</v>
      </c>
      <c r="E6" s="5">
        <f t="shared" si="1"/>
        <v>1.2071130397577789E-2</v>
      </c>
      <c r="F6" s="5">
        <f t="shared" si="1"/>
        <v>1.9723179866211193E-2</v>
      </c>
      <c r="G6" s="5">
        <f t="shared" si="1"/>
        <v>4.4861750778177667E-2</v>
      </c>
      <c r="H6" s="5">
        <f t="shared" si="1"/>
        <v>5.7304042692277513E-2</v>
      </c>
      <c r="I6" s="5">
        <f t="shared" si="1"/>
        <v>0.10071052630121247</v>
      </c>
      <c r="J6" s="5">
        <f t="shared" si="1"/>
        <v>0.11023069483138159</v>
      </c>
      <c r="K6" s="5">
        <f t="shared" si="1"/>
        <v>6.8066338321671749E-2</v>
      </c>
      <c r="L6" s="5">
        <f t="shared" si="1"/>
        <v>8.3915252179028954E-2</v>
      </c>
      <c r="M6" s="5">
        <f t="shared" si="1"/>
        <v>9.0521981254308104E-2</v>
      </c>
      <c r="N6" s="5">
        <f t="shared" si="1"/>
        <v>3.2958946847089221E-2</v>
      </c>
      <c r="O6" s="5">
        <f t="shared" si="1"/>
        <v>5.6663140269011425E-2</v>
      </c>
      <c r="P6" s="5">
        <f t="shared" si="1"/>
        <v>4.5783665316377231E-2</v>
      </c>
      <c r="Q6" s="5">
        <f t="shared" si="1"/>
        <v>4.2487985552726037E-3</v>
      </c>
      <c r="R6" s="5">
        <f t="shared" si="1"/>
        <v>-3.4802885215142854E-2</v>
      </c>
      <c r="S6" s="5">
        <f t="shared" si="1"/>
        <v>-5.4711193123341273E-3</v>
      </c>
      <c r="T6" s="5">
        <f t="shared" si="1"/>
        <v>2.2344210034042078E-4</v>
      </c>
      <c r="U6" s="5">
        <f t="shared" si="1"/>
        <v>1.0422529277809067E-2</v>
      </c>
      <c r="V6" s="5">
        <f t="shared" si="1"/>
        <v>2.5512754379057201E-2</v>
      </c>
      <c r="W6" s="5">
        <f t="shared" si="1"/>
        <v>1.4210275635814451E-2</v>
      </c>
    </row>
    <row r="7" spans="1:24" ht="15.75" x14ac:dyDescent="0.25">
      <c r="A7" s="21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4" ht="22.5" customHeight="1" x14ac:dyDescent="0.25">
      <c r="A8" s="19" t="s">
        <v>43</v>
      </c>
      <c r="B8" s="2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24" s="3" customFormat="1" ht="15.75" x14ac:dyDescent="0.25">
      <c r="A9" s="22" t="s">
        <v>2</v>
      </c>
      <c r="B9" s="3">
        <v>596971.38148292247</v>
      </c>
      <c r="C9" s="3">
        <v>656187.06037945347</v>
      </c>
      <c r="D9" s="3">
        <v>710589.00694836385</v>
      </c>
      <c r="E9" s="3">
        <v>835687.74748812325</v>
      </c>
      <c r="F9" s="3">
        <v>939307.91145010118</v>
      </c>
      <c r="G9" s="3">
        <v>1044557.0224201727</v>
      </c>
      <c r="H9" s="3">
        <v>1157118.2775839791</v>
      </c>
      <c r="I9" s="3">
        <v>1291779.751628038</v>
      </c>
      <c r="J9" s="3">
        <v>1477173.0631026314</v>
      </c>
      <c r="K9" s="3">
        <v>1618774.4071279289</v>
      </c>
      <c r="L9" s="3">
        <v>1821642.4399466803</v>
      </c>
      <c r="M9" s="3">
        <v>2052316.1547782067</v>
      </c>
      <c r="N9" s="3">
        <v>2316062.3061400596</v>
      </c>
      <c r="O9" s="3">
        <v>2577927.1591707952</v>
      </c>
      <c r="P9" s="3">
        <v>2853532.0941550154</v>
      </c>
      <c r="Q9" s="3">
        <v>2976604.9738282892</v>
      </c>
      <c r="R9" s="3">
        <v>3105715.6308071315</v>
      </c>
      <c r="S9" s="3">
        <v>3295136.3106430727</v>
      </c>
      <c r="T9" s="3">
        <v>3534253.9962021774</v>
      </c>
      <c r="U9" s="3">
        <v>3752767.6276071644</v>
      </c>
      <c r="V9" s="3">
        <v>3695382.4267351897</v>
      </c>
      <c r="W9" s="3">
        <v>4348621.9155971985</v>
      </c>
    </row>
    <row r="10" spans="1:24" ht="15.75" x14ac:dyDescent="0.25">
      <c r="A10" s="21" t="s">
        <v>39</v>
      </c>
      <c r="B10" s="3">
        <v>59344.987431156667</v>
      </c>
      <c r="C10" s="3">
        <v>59346.969520809522</v>
      </c>
      <c r="D10" s="3">
        <v>68867.819438528662</v>
      </c>
      <c r="E10" s="3">
        <v>74475.166375032437</v>
      </c>
      <c r="F10" s="3">
        <v>82461.70686275253</v>
      </c>
      <c r="G10" s="3">
        <v>84691.099195426345</v>
      </c>
      <c r="H10" s="3">
        <v>91204.76628465738</v>
      </c>
      <c r="I10" s="3">
        <v>102484.55711386641</v>
      </c>
      <c r="J10" s="3">
        <v>113929.92714927776</v>
      </c>
      <c r="K10" s="3">
        <v>137740.58790488122</v>
      </c>
      <c r="L10" s="3">
        <v>169568.89971830984</v>
      </c>
      <c r="M10" s="3">
        <v>196944.3217283125</v>
      </c>
      <c r="N10" s="3">
        <v>237051.26178120504</v>
      </c>
      <c r="O10" s="3">
        <v>269231.9818733448</v>
      </c>
      <c r="P10" s="3">
        <v>283701.91260200925</v>
      </c>
      <c r="Q10" s="3">
        <v>288422.54358246515</v>
      </c>
      <c r="R10" s="3">
        <v>277273.3568997581</v>
      </c>
      <c r="S10" s="3">
        <v>250511.03935133267</v>
      </c>
      <c r="T10" s="3">
        <v>251335.28219114707</v>
      </c>
      <c r="U10" s="3">
        <v>261608.73268680429</v>
      </c>
      <c r="V10" s="3">
        <v>274630.64850553521</v>
      </c>
      <c r="W10" s="3">
        <v>329239.25923784683</v>
      </c>
    </row>
    <row r="11" spans="1:24" ht="15.75" x14ac:dyDescent="0.25">
      <c r="A11" s="21" t="s">
        <v>45</v>
      </c>
      <c r="B11" s="13">
        <f>B9+B10</f>
        <v>656316.36891407915</v>
      </c>
      <c r="C11" s="13">
        <f t="shared" ref="C11:W11" si="2">C9+C10</f>
        <v>715534.02990026295</v>
      </c>
      <c r="D11" s="13">
        <f t="shared" si="2"/>
        <v>779456.82638689247</v>
      </c>
      <c r="E11" s="13">
        <f t="shared" si="2"/>
        <v>910162.91386315564</v>
      </c>
      <c r="F11" s="13">
        <f t="shared" si="2"/>
        <v>1021769.6183128537</v>
      </c>
      <c r="G11" s="13">
        <f t="shared" si="2"/>
        <v>1129248.1216155991</v>
      </c>
      <c r="H11" s="13">
        <f t="shared" si="2"/>
        <v>1248323.0438686365</v>
      </c>
      <c r="I11" s="13">
        <f t="shared" si="2"/>
        <v>1394264.3087419043</v>
      </c>
      <c r="J11" s="13">
        <f t="shared" si="2"/>
        <v>1591102.990251909</v>
      </c>
      <c r="K11" s="13">
        <f t="shared" si="2"/>
        <v>1756514.9950328101</v>
      </c>
      <c r="L11" s="13">
        <f t="shared" si="2"/>
        <v>1991211.3396649901</v>
      </c>
      <c r="M11" s="13">
        <f t="shared" si="2"/>
        <v>2249260.4765065191</v>
      </c>
      <c r="N11" s="13">
        <f t="shared" si="2"/>
        <v>2553113.5679212646</v>
      </c>
      <c r="O11" s="13">
        <f t="shared" si="2"/>
        <v>2847159.1410441399</v>
      </c>
      <c r="P11" s="13">
        <f t="shared" si="2"/>
        <v>3137234.0067570247</v>
      </c>
      <c r="Q11" s="13">
        <f t="shared" si="2"/>
        <v>3265027.5174107542</v>
      </c>
      <c r="R11" s="13">
        <f t="shared" si="2"/>
        <v>3382988.9877068894</v>
      </c>
      <c r="S11" s="13">
        <f t="shared" si="2"/>
        <v>3545647.3499944052</v>
      </c>
      <c r="T11" s="13">
        <f t="shared" si="2"/>
        <v>3785589.2783933245</v>
      </c>
      <c r="U11" s="13">
        <f t="shared" si="2"/>
        <v>4014376.3602939686</v>
      </c>
      <c r="V11" s="13">
        <f t="shared" si="2"/>
        <v>3970013.0752407247</v>
      </c>
      <c r="W11" s="13">
        <f t="shared" si="2"/>
        <v>4677861.1748350449</v>
      </c>
    </row>
    <row r="12" spans="1:24" ht="15.75" x14ac:dyDescent="0.25">
      <c r="A12" s="21" t="s">
        <v>46</v>
      </c>
      <c r="B12" s="3"/>
      <c r="C12" s="5">
        <f>C11/B11-1</f>
        <v>9.0227310777214909E-2</v>
      </c>
      <c r="D12" s="5">
        <f t="shared" ref="D12:W12" si="3">D11/C11-1</f>
        <v>8.9335788118336756E-2</v>
      </c>
      <c r="E12" s="5">
        <f t="shared" si="3"/>
        <v>0.16768868146570792</v>
      </c>
      <c r="F12" s="5">
        <f t="shared" si="3"/>
        <v>0.12262277747176853</v>
      </c>
      <c r="G12" s="5">
        <f t="shared" si="3"/>
        <v>0.1051885878934371</v>
      </c>
      <c r="H12" s="5">
        <f t="shared" si="3"/>
        <v>0.10544619908924768</v>
      </c>
      <c r="I12" s="5">
        <f t="shared" si="3"/>
        <v>0.11690985405587484</v>
      </c>
      <c r="J12" s="5">
        <f t="shared" si="3"/>
        <v>0.14117745127365366</v>
      </c>
      <c r="K12" s="5">
        <f t="shared" si="3"/>
        <v>0.10396058947429454</v>
      </c>
      <c r="L12" s="5">
        <f t="shared" si="3"/>
        <v>0.1336147686161917</v>
      </c>
      <c r="M12" s="5">
        <f t="shared" si="3"/>
        <v>0.12959404745301639</v>
      </c>
      <c r="N12" s="5">
        <f t="shared" si="3"/>
        <v>0.13509021946923672</v>
      </c>
      <c r="O12" s="5">
        <f t="shared" si="3"/>
        <v>0.11517136441458264</v>
      </c>
      <c r="P12" s="5">
        <f t="shared" si="3"/>
        <v>0.10188221007080966</v>
      </c>
      <c r="Q12" s="5">
        <f t="shared" si="3"/>
        <v>4.0734452826434397E-2</v>
      </c>
      <c r="R12" s="5">
        <f t="shared" si="3"/>
        <v>3.6128782886853505E-2</v>
      </c>
      <c r="S12" s="5">
        <f t="shared" si="3"/>
        <v>4.8081256805323269E-2</v>
      </c>
      <c r="T12" s="5">
        <f t="shared" si="3"/>
        <v>6.7672248453952477E-2</v>
      </c>
      <c r="U12" s="5">
        <f t="shared" si="3"/>
        <v>6.0436319176639719E-2</v>
      </c>
      <c r="V12" s="5">
        <f t="shared" si="3"/>
        <v>-1.1051102605136753E-2</v>
      </c>
      <c r="W12" s="5">
        <f t="shared" si="3"/>
        <v>0.17829868219046086</v>
      </c>
    </row>
    <row r="13" spans="1:24" ht="15.75" x14ac:dyDescent="0.25">
      <c r="A13" s="21" t="s">
        <v>18</v>
      </c>
      <c r="B13" s="3"/>
      <c r="C13" s="5">
        <f t="shared" ref="C13:W13" si="4">C11/(B11*(1+C33))-1</f>
        <v>2.8807502856671441E-2</v>
      </c>
      <c r="D13" s="5">
        <f t="shared" si="4"/>
        <v>1.1735662782889067E-2</v>
      </c>
      <c r="E13" s="5">
        <f t="shared" si="4"/>
        <v>3.7668782960728731E-2</v>
      </c>
      <c r="F13" s="5">
        <f t="shared" si="4"/>
        <v>2.7102266671334307E-2</v>
      </c>
      <c r="G13" s="5">
        <f t="shared" si="4"/>
        <v>2.7126940421410062E-2</v>
      </c>
      <c r="H13" s="5">
        <f t="shared" si="4"/>
        <v>4.5932632310765165E-2</v>
      </c>
      <c r="I13" s="5">
        <f t="shared" si="4"/>
        <v>8.2906587217253191E-2</v>
      </c>
      <c r="J13" s="5">
        <f t="shared" si="4"/>
        <v>9.2454002750960829E-2</v>
      </c>
      <c r="K13" s="5">
        <f t="shared" si="4"/>
        <v>4.2455702997445277E-2</v>
      </c>
      <c r="L13" s="5">
        <f t="shared" si="4"/>
        <v>8.6774775780070756E-2</v>
      </c>
      <c r="M13" s="5">
        <f t="shared" si="4"/>
        <v>6.6560331841201359E-2</v>
      </c>
      <c r="N13" s="5">
        <f t="shared" si="4"/>
        <v>6.5812412647170637E-2</v>
      </c>
      <c r="O13" s="5">
        <f t="shared" si="4"/>
        <v>5.3638855266990415E-2</v>
      </c>
      <c r="P13" s="5">
        <f t="shared" si="4"/>
        <v>4.0394873072240323E-2</v>
      </c>
      <c r="Q13" s="5">
        <f t="shared" si="4"/>
        <v>-2.1958037001753361E-2</v>
      </c>
      <c r="R13" s="5">
        <f t="shared" si="4"/>
        <v>-6.3767251389849733E-2</v>
      </c>
      <c r="S13" s="5">
        <f t="shared" si="4"/>
        <v>-1.3941803739464298E-2</v>
      </c>
      <c r="T13" s="5">
        <f t="shared" si="4"/>
        <v>3.7078434632299428E-2</v>
      </c>
      <c r="U13" s="5">
        <f t="shared" si="4"/>
        <v>2.2107295591941689E-2</v>
      </c>
      <c r="V13" s="5">
        <f t="shared" si="4"/>
        <v>-5.1913625352446258E-2</v>
      </c>
      <c r="W13" s="5">
        <f t="shared" si="4"/>
        <v>0.12734278816538547</v>
      </c>
    </row>
    <row r="14" spans="1:24" ht="15.75" x14ac:dyDescent="0.25">
      <c r="A14" s="21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4" ht="24.75" customHeight="1" x14ac:dyDescent="0.25">
      <c r="A15" s="19" t="s">
        <v>42</v>
      </c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4" ht="15.75" x14ac:dyDescent="0.25">
      <c r="A16" s="21" t="s">
        <v>0</v>
      </c>
      <c r="B16" s="2">
        <v>17027.162</v>
      </c>
      <c r="C16" s="2">
        <v>18272.776000000002</v>
      </c>
      <c r="D16" s="2">
        <v>19914.721000000001</v>
      </c>
      <c r="E16" s="2">
        <v>26186.197</v>
      </c>
      <c r="F16" s="2">
        <v>25666.248</v>
      </c>
      <c r="G16" s="2">
        <v>44740.18</v>
      </c>
      <c r="H16" s="2">
        <v>62973.322</v>
      </c>
      <c r="I16" s="2">
        <v>78078.274999999994</v>
      </c>
      <c r="J16" s="2">
        <v>117732.303</v>
      </c>
      <c r="K16" s="2">
        <v>174552</v>
      </c>
      <c r="L16" s="2">
        <v>181183</v>
      </c>
      <c r="M16" s="2">
        <v>249840</v>
      </c>
      <c r="N16" s="2">
        <v>252365</v>
      </c>
      <c r="O16" s="2">
        <v>243020</v>
      </c>
      <c r="P16" s="2">
        <v>299515</v>
      </c>
      <c r="Q16" s="2">
        <v>361884</v>
      </c>
      <c r="R16" s="2">
        <v>387739</v>
      </c>
      <c r="S16" s="2">
        <v>345699</v>
      </c>
      <c r="T16" s="2">
        <v>277997</v>
      </c>
      <c r="U16" s="2">
        <v>263164</v>
      </c>
      <c r="V16" s="2">
        <v>205027</v>
      </c>
      <c r="W16" s="2">
        <v>280195</v>
      </c>
    </row>
    <row r="17" spans="1:25" ht="15.75" x14ac:dyDescent="0.25">
      <c r="A17" s="21" t="s">
        <v>44</v>
      </c>
      <c r="B17" s="2"/>
      <c r="C17" s="11">
        <f t="shared" ref="C17:W17" si="5">((C16+C18)/(B16+B18))-1</f>
        <v>0.1252488735677042</v>
      </c>
      <c r="D17" s="11">
        <f t="shared" si="5"/>
        <v>0.14883416700676455</v>
      </c>
      <c r="E17" s="11">
        <f t="shared" si="5"/>
        <v>0.13429241293199068</v>
      </c>
      <c r="F17" s="11">
        <f t="shared" si="5"/>
        <v>-2.1275180082403256E-2</v>
      </c>
      <c r="G17" s="11">
        <f t="shared" si="5"/>
        <v>0.45902122295987802</v>
      </c>
      <c r="H17" s="11">
        <f t="shared" si="5"/>
        <v>0.31927668269381937</v>
      </c>
      <c r="I17" s="11">
        <f t="shared" si="5"/>
        <v>0.29075648766402939</v>
      </c>
      <c r="J17" s="11">
        <f t="shared" si="5"/>
        <v>0.36645697418807166</v>
      </c>
      <c r="K17" s="11">
        <f t="shared" si="5"/>
        <v>0.39517294596197949</v>
      </c>
      <c r="L17" s="11">
        <f t="shared" si="5"/>
        <v>0.13917414654415605</v>
      </c>
      <c r="M17" s="11">
        <f t="shared" si="5"/>
        <v>0.25379564926445575</v>
      </c>
      <c r="N17" s="11">
        <f t="shared" si="5"/>
        <v>1.0449089942668799E-2</v>
      </c>
      <c r="O17" s="11">
        <f t="shared" si="5"/>
        <v>6.7821780034895696E-3</v>
      </c>
      <c r="P17" s="11">
        <f t="shared" si="5"/>
        <v>0.1868263241298791</v>
      </c>
      <c r="Q17" s="11">
        <f t="shared" si="5"/>
        <v>0.17254261116586478</v>
      </c>
      <c r="R17" s="11">
        <f t="shared" si="5"/>
        <v>9.4252834491645565E-2</v>
      </c>
      <c r="S17" s="11">
        <f t="shared" si="5"/>
        <v>-4.604868350637592E-2</v>
      </c>
      <c r="T17" s="11">
        <f t="shared" si="5"/>
        <v>-9.2986182550196528E-2</v>
      </c>
      <c r="U17" s="11">
        <f t="shared" si="5"/>
        <v>3.2530753589414596E-2</v>
      </c>
      <c r="V17" s="11">
        <f t="shared" si="5"/>
        <v>-7.589915095114963E-2</v>
      </c>
      <c r="W17" s="11">
        <f t="shared" si="5"/>
        <v>0.15734941489962129</v>
      </c>
    </row>
    <row r="18" spans="1:25" ht="15.75" x14ac:dyDescent="0.25">
      <c r="A18" s="21" t="s">
        <v>4</v>
      </c>
      <c r="B18" s="2">
        <v>30060</v>
      </c>
      <c r="C18" s="2">
        <v>34712</v>
      </c>
      <c r="D18" s="2">
        <v>40956</v>
      </c>
      <c r="E18" s="2">
        <v>42859</v>
      </c>
      <c r="F18" s="2">
        <v>41910</v>
      </c>
      <c r="G18" s="2">
        <v>53855</v>
      </c>
      <c r="H18" s="2">
        <v>67101</v>
      </c>
      <c r="I18" s="2">
        <v>89816</v>
      </c>
      <c r="J18" s="2">
        <v>111688</v>
      </c>
      <c r="K18" s="2">
        <v>145529</v>
      </c>
      <c r="L18" s="2">
        <v>183445</v>
      </c>
      <c r="M18" s="2">
        <v>207329</v>
      </c>
      <c r="N18" s="2">
        <v>209581</v>
      </c>
      <c r="O18" s="2">
        <v>222059</v>
      </c>
      <c r="P18" s="2">
        <v>252453</v>
      </c>
      <c r="Q18" s="2">
        <v>285322</v>
      </c>
      <c r="R18" s="2">
        <v>320468</v>
      </c>
      <c r="S18" s="2">
        <v>329896</v>
      </c>
      <c r="T18" s="2">
        <v>334777</v>
      </c>
      <c r="U18" s="2">
        <v>369544</v>
      </c>
      <c r="V18" s="2">
        <v>379659</v>
      </c>
      <c r="W18" s="2">
        <v>396491</v>
      </c>
    </row>
    <row r="19" spans="1:25" ht="15.75" x14ac:dyDescent="0.25">
      <c r="A19" s="21" t="s">
        <v>48</v>
      </c>
      <c r="B19" s="15">
        <v>0</v>
      </c>
      <c r="C19" s="15">
        <f>$B$19</f>
        <v>0</v>
      </c>
      <c r="D19" s="15">
        <f t="shared" ref="D19:W19" si="6">$B$19</f>
        <v>0</v>
      </c>
      <c r="E19" s="15">
        <f t="shared" si="6"/>
        <v>0</v>
      </c>
      <c r="F19" s="15">
        <f t="shared" si="6"/>
        <v>0</v>
      </c>
      <c r="G19" s="15">
        <f t="shared" si="6"/>
        <v>0</v>
      </c>
      <c r="H19" s="15">
        <f t="shared" si="6"/>
        <v>0</v>
      </c>
      <c r="I19" s="15">
        <f t="shared" si="6"/>
        <v>0</v>
      </c>
      <c r="J19" s="15">
        <f t="shared" si="6"/>
        <v>0</v>
      </c>
      <c r="K19" s="15">
        <f t="shared" si="6"/>
        <v>0</v>
      </c>
      <c r="L19" s="15">
        <f t="shared" si="6"/>
        <v>0</v>
      </c>
      <c r="M19" s="15">
        <f t="shared" si="6"/>
        <v>0</v>
      </c>
      <c r="N19" s="15">
        <f t="shared" si="6"/>
        <v>0</v>
      </c>
      <c r="O19" s="15">
        <f t="shared" si="6"/>
        <v>0</v>
      </c>
      <c r="P19" s="15">
        <f t="shared" si="6"/>
        <v>0</v>
      </c>
      <c r="Q19" s="15">
        <f t="shared" si="6"/>
        <v>0</v>
      </c>
      <c r="R19" s="15">
        <f t="shared" si="6"/>
        <v>0</v>
      </c>
      <c r="S19" s="15">
        <f t="shared" si="6"/>
        <v>0</v>
      </c>
      <c r="T19" s="15">
        <f t="shared" si="6"/>
        <v>0</v>
      </c>
      <c r="U19" s="15">
        <f t="shared" si="6"/>
        <v>0</v>
      </c>
      <c r="V19" s="15">
        <f t="shared" si="6"/>
        <v>0</v>
      </c>
      <c r="W19" s="15">
        <f t="shared" si="6"/>
        <v>0</v>
      </c>
    </row>
    <row r="20" spans="1:25" ht="15.75" x14ac:dyDescent="0.25">
      <c r="A20" s="21" t="s">
        <v>49</v>
      </c>
      <c r="B20" s="3">
        <f>B16+B18*B19</f>
        <v>17027.162</v>
      </c>
      <c r="C20" s="3">
        <f t="shared" ref="C20:W20" si="7">C16+C18*C19</f>
        <v>18272.776000000002</v>
      </c>
      <c r="D20" s="3">
        <f t="shared" si="7"/>
        <v>19914.721000000001</v>
      </c>
      <c r="E20" s="3">
        <f t="shared" si="7"/>
        <v>26186.197</v>
      </c>
      <c r="F20" s="3">
        <f t="shared" si="7"/>
        <v>25666.248</v>
      </c>
      <c r="G20" s="3">
        <f t="shared" si="7"/>
        <v>44740.18</v>
      </c>
      <c r="H20" s="3">
        <f t="shared" si="7"/>
        <v>62973.322</v>
      </c>
      <c r="I20" s="3">
        <f t="shared" si="7"/>
        <v>78078.274999999994</v>
      </c>
      <c r="J20" s="3">
        <f t="shared" si="7"/>
        <v>117732.303</v>
      </c>
      <c r="K20" s="3">
        <f t="shared" si="7"/>
        <v>174552</v>
      </c>
      <c r="L20" s="3">
        <f t="shared" si="7"/>
        <v>181183</v>
      </c>
      <c r="M20" s="3">
        <f t="shared" si="7"/>
        <v>249840</v>
      </c>
      <c r="N20" s="3">
        <f t="shared" si="7"/>
        <v>252365</v>
      </c>
      <c r="O20" s="3">
        <f t="shared" si="7"/>
        <v>243020</v>
      </c>
      <c r="P20" s="3">
        <f t="shared" si="7"/>
        <v>299515</v>
      </c>
      <c r="Q20" s="3">
        <f t="shared" si="7"/>
        <v>361884</v>
      </c>
      <c r="R20" s="3">
        <f t="shared" si="7"/>
        <v>387739</v>
      </c>
      <c r="S20" s="3">
        <f t="shared" si="7"/>
        <v>345699</v>
      </c>
      <c r="T20" s="3">
        <f t="shared" si="7"/>
        <v>277997</v>
      </c>
      <c r="U20" s="3">
        <f t="shared" si="7"/>
        <v>263164</v>
      </c>
      <c r="V20" s="3">
        <f t="shared" si="7"/>
        <v>205027</v>
      </c>
      <c r="W20" s="3">
        <f t="shared" si="7"/>
        <v>280195</v>
      </c>
    </row>
    <row r="21" spans="1:25" ht="15.75" x14ac:dyDescent="0.25">
      <c r="A21" s="21" t="s">
        <v>47</v>
      </c>
      <c r="B21" s="3">
        <v>47087</v>
      </c>
      <c r="C21" s="3">
        <v>52985</v>
      </c>
      <c r="D21" s="3">
        <v>60871</v>
      </c>
      <c r="E21" s="3">
        <v>69045</v>
      </c>
      <c r="F21" s="3">
        <v>67576</v>
      </c>
      <c r="G21" s="3">
        <v>98595</v>
      </c>
      <c r="H21" s="3">
        <v>130074</v>
      </c>
      <c r="I21" s="3">
        <v>167894</v>
      </c>
      <c r="J21" s="3">
        <v>229420</v>
      </c>
      <c r="K21" s="3">
        <v>320081</v>
      </c>
      <c r="L21" s="3">
        <v>364628</v>
      </c>
      <c r="M21" s="3">
        <v>457169</v>
      </c>
      <c r="N21" s="3">
        <v>461946</v>
      </c>
      <c r="O21" s="3">
        <v>465079</v>
      </c>
      <c r="P21" s="3">
        <v>551968</v>
      </c>
      <c r="Q21" s="3">
        <v>647206</v>
      </c>
      <c r="R21" s="3">
        <v>708207</v>
      </c>
      <c r="S21" s="3">
        <v>675595</v>
      </c>
      <c r="T21" s="3">
        <v>612774</v>
      </c>
      <c r="U21" s="3">
        <v>632708</v>
      </c>
      <c r="V21" s="3">
        <v>584686</v>
      </c>
      <c r="W21" s="3">
        <v>676686</v>
      </c>
    </row>
    <row r="22" spans="1:25" ht="15.75" x14ac:dyDescent="0.25">
      <c r="A22" s="21" t="s">
        <v>38</v>
      </c>
      <c r="B22" s="3">
        <v>15190</v>
      </c>
      <c r="C22" s="3">
        <v>18577</v>
      </c>
      <c r="D22" s="3">
        <v>19448</v>
      </c>
      <c r="E22" s="3">
        <v>18414</v>
      </c>
      <c r="F22" s="3">
        <v>20109</v>
      </c>
      <c r="G22" s="3">
        <v>24340</v>
      </c>
      <c r="H22" s="3">
        <v>28375</v>
      </c>
      <c r="I22" s="3">
        <v>32747</v>
      </c>
      <c r="J22" s="3">
        <v>37438</v>
      </c>
      <c r="K22" s="3">
        <v>30753</v>
      </c>
      <c r="L22" s="3">
        <v>54719</v>
      </c>
      <c r="M22" s="3">
        <v>52635</v>
      </c>
      <c r="N22" s="3">
        <v>66769</v>
      </c>
      <c r="O22" s="3">
        <v>76459</v>
      </c>
      <c r="P22" s="3">
        <v>78162</v>
      </c>
      <c r="Q22" s="3">
        <v>101688</v>
      </c>
      <c r="R22" s="3">
        <v>109541</v>
      </c>
      <c r="S22" s="3">
        <v>101744</v>
      </c>
      <c r="T22" s="3">
        <v>104994</v>
      </c>
      <c r="U22" s="3">
        <v>94861</v>
      </c>
      <c r="V22" s="3">
        <v>112163</v>
      </c>
      <c r="W22" s="3">
        <v>100089</v>
      </c>
    </row>
    <row r="23" spans="1:25" ht="15.75" x14ac:dyDescent="0.25">
      <c r="A23" s="21" t="s">
        <v>3</v>
      </c>
      <c r="B23" s="3">
        <f>B21+B22</f>
        <v>62277</v>
      </c>
      <c r="C23" s="3">
        <f t="shared" ref="C23:E23" si="8">C21+C22</f>
        <v>71562</v>
      </c>
      <c r="D23" s="3">
        <f t="shared" si="8"/>
        <v>80319</v>
      </c>
      <c r="E23" s="3">
        <f t="shared" si="8"/>
        <v>87459</v>
      </c>
      <c r="F23" s="3">
        <f t="shared" ref="F23" si="9">F21+F22</f>
        <v>87685</v>
      </c>
      <c r="G23" s="3">
        <f t="shared" ref="G23:H23" si="10">G21+G22</f>
        <v>122935</v>
      </c>
      <c r="H23" s="3">
        <f t="shared" si="10"/>
        <v>158449</v>
      </c>
      <c r="I23" s="3">
        <f t="shared" ref="I23" si="11">I21+I22</f>
        <v>200641</v>
      </c>
      <c r="J23" s="3">
        <f t="shared" ref="J23:K23" si="12">J21+J22</f>
        <v>266858</v>
      </c>
      <c r="K23" s="3">
        <f t="shared" si="12"/>
        <v>350834</v>
      </c>
      <c r="L23" s="3">
        <f t="shared" ref="L23" si="13">L21+L22</f>
        <v>419347</v>
      </c>
      <c r="M23" s="3">
        <f t="shared" ref="M23:N23" si="14">M21+M22</f>
        <v>509804</v>
      </c>
      <c r="N23" s="3">
        <f t="shared" si="14"/>
        <v>528715</v>
      </c>
      <c r="O23" s="3">
        <f t="shared" ref="O23" si="15">O21+O22</f>
        <v>541538</v>
      </c>
      <c r="P23" s="3">
        <f t="shared" ref="P23:Q23" si="16">P21+P22</f>
        <v>630130</v>
      </c>
      <c r="Q23" s="3">
        <f t="shared" si="16"/>
        <v>748894</v>
      </c>
      <c r="R23" s="3">
        <f t="shared" ref="R23" si="17">R21+R22</f>
        <v>817748</v>
      </c>
      <c r="S23" s="3">
        <f t="shared" ref="S23:T23" si="18">S21+S22</f>
        <v>777339</v>
      </c>
      <c r="T23" s="3">
        <f t="shared" si="18"/>
        <v>717768</v>
      </c>
      <c r="U23" s="3">
        <f t="shared" ref="U23" si="19">U21+U22</f>
        <v>727569</v>
      </c>
      <c r="V23" s="3">
        <f t="shared" ref="V23:W23" si="20">V21+V22</f>
        <v>696849</v>
      </c>
      <c r="W23" s="3">
        <f t="shared" si="20"/>
        <v>776775</v>
      </c>
    </row>
    <row r="24" spans="1:25" ht="15.75" x14ac:dyDescent="0.25">
      <c r="A24" s="26" t="s">
        <v>32</v>
      </c>
      <c r="B24" s="7"/>
      <c r="C24" s="8">
        <f>(C20)/B25</f>
        <v>0.16234819151866234</v>
      </c>
      <c r="D24" s="8">
        <f t="shared" ref="D24:W24" si="21">(D20)/C25</f>
        <v>0.15599324006767767</v>
      </c>
      <c r="E24" s="8">
        <f t="shared" si="21"/>
        <v>0.18531684653763136</v>
      </c>
      <c r="F24" s="8">
        <f t="shared" si="21"/>
        <v>0.1534273519601162</v>
      </c>
      <c r="G24" s="8">
        <f t="shared" si="21"/>
        <v>0.21905474877840991</v>
      </c>
      <c r="H24" s="8">
        <f t="shared" si="21"/>
        <v>0.24117729828270296</v>
      </c>
      <c r="I24" s="8">
        <f t="shared" si="21"/>
        <v>0.24334821567710765</v>
      </c>
      <c r="J24" s="8">
        <f t="shared" si="21"/>
        <v>0.27261367093883504</v>
      </c>
      <c r="K24" s="8">
        <f t="shared" si="21"/>
        <v>0.32674607319552312</v>
      </c>
      <c r="L24" s="8">
        <f t="shared" si="21"/>
        <v>0.2891728752098775</v>
      </c>
      <c r="M24" s="8">
        <f t="shared" si="21"/>
        <v>0.32204300867366076</v>
      </c>
      <c r="N24" s="8">
        <f t="shared" si="21"/>
        <v>0.27383414460534855</v>
      </c>
      <c r="O24" s="8">
        <f t="shared" si="21"/>
        <v>0.22575619779817571</v>
      </c>
      <c r="P24" s="8">
        <f t="shared" si="21"/>
        <v>0.23973244157864912</v>
      </c>
      <c r="Q24" s="8">
        <f t="shared" si="21"/>
        <v>0.25555606557608584</v>
      </c>
      <c r="R24" s="8">
        <f t="shared" si="21"/>
        <v>0.25531619280656259</v>
      </c>
      <c r="S24" s="8">
        <f t="shared" si="21"/>
        <v>0.22030775623198084</v>
      </c>
      <c r="T24" s="8">
        <f t="shared" si="21"/>
        <v>0.16745173061424126</v>
      </c>
      <c r="U24" s="8">
        <f t="shared" si="21"/>
        <v>0.14595677158467399</v>
      </c>
      <c r="V24" s="8">
        <f t="shared" si="21"/>
        <v>0.10164716124471132</v>
      </c>
      <c r="W24" s="8">
        <f t="shared" si="21"/>
        <v>0.12510274726427734</v>
      </c>
    </row>
    <row r="25" spans="1:25" s="3" customFormat="1" ht="15.75" x14ac:dyDescent="0.25">
      <c r="A25" s="21" t="s">
        <v>5</v>
      </c>
      <c r="B25" s="3">
        <v>112553</v>
      </c>
      <c r="C25" s="3">
        <v>127664</v>
      </c>
      <c r="D25" s="3">
        <v>141305</v>
      </c>
      <c r="E25" s="3">
        <v>167286</v>
      </c>
      <c r="F25" s="3">
        <v>204242</v>
      </c>
      <c r="G25" s="3">
        <v>261108</v>
      </c>
      <c r="H25" s="3">
        <v>320850</v>
      </c>
      <c r="I25" s="3">
        <v>431865</v>
      </c>
      <c r="J25" s="3">
        <v>534213</v>
      </c>
      <c r="K25" s="3">
        <v>626556</v>
      </c>
      <c r="L25" s="3">
        <v>775797</v>
      </c>
      <c r="M25" s="3">
        <v>921598</v>
      </c>
      <c r="N25" s="3">
        <v>1076471</v>
      </c>
      <c r="O25" s="3">
        <v>1249372</v>
      </c>
      <c r="P25" s="3">
        <v>1416065</v>
      </c>
      <c r="Q25" s="3">
        <v>1518662</v>
      </c>
      <c r="R25" s="3">
        <v>1569164</v>
      </c>
      <c r="S25" s="3">
        <v>1660162</v>
      </c>
      <c r="T25" s="3">
        <v>1803027</v>
      </c>
      <c r="U25" s="3">
        <v>2017046</v>
      </c>
      <c r="V25" s="3">
        <v>2239719</v>
      </c>
      <c r="W25" s="3">
        <v>2708971</v>
      </c>
      <c r="X25" s="3">
        <v>3187782</v>
      </c>
      <c r="Y25" s="3">
        <v>3522206</v>
      </c>
    </row>
    <row r="26" spans="1:25" ht="15.75" x14ac:dyDescent="0.25">
      <c r="A26" s="21" t="s">
        <v>16</v>
      </c>
      <c r="C26" s="4">
        <f t="shared" ref="C26:W26" si="22">C25-B25</f>
        <v>15111</v>
      </c>
      <c r="D26" s="4">
        <f t="shared" si="22"/>
        <v>13641</v>
      </c>
      <c r="E26" s="4">
        <f t="shared" si="22"/>
        <v>25981</v>
      </c>
      <c r="F26" s="4">
        <f t="shared" si="22"/>
        <v>36956</v>
      </c>
      <c r="G26" s="4">
        <f t="shared" si="22"/>
        <v>56866</v>
      </c>
      <c r="H26" s="4">
        <f t="shared" si="22"/>
        <v>59742</v>
      </c>
      <c r="I26" s="4">
        <f t="shared" si="22"/>
        <v>111015</v>
      </c>
      <c r="J26" s="4">
        <f t="shared" si="22"/>
        <v>102348</v>
      </c>
      <c r="K26" s="4">
        <f t="shared" si="22"/>
        <v>92343</v>
      </c>
      <c r="L26" s="4">
        <f t="shared" si="22"/>
        <v>149241</v>
      </c>
      <c r="M26" s="4">
        <f t="shared" si="22"/>
        <v>145801</v>
      </c>
      <c r="N26" s="4">
        <f t="shared" si="22"/>
        <v>154873</v>
      </c>
      <c r="O26" s="4">
        <f t="shared" si="22"/>
        <v>172901</v>
      </c>
      <c r="P26" s="4">
        <f t="shared" si="22"/>
        <v>166693</v>
      </c>
      <c r="Q26" s="4">
        <f t="shared" si="22"/>
        <v>102597</v>
      </c>
      <c r="R26" s="4">
        <f t="shared" si="22"/>
        <v>50502</v>
      </c>
      <c r="S26" s="4">
        <f t="shared" si="22"/>
        <v>90998</v>
      </c>
      <c r="T26" s="4">
        <f t="shared" si="22"/>
        <v>142865</v>
      </c>
      <c r="U26" s="4">
        <f t="shared" si="22"/>
        <v>214019</v>
      </c>
      <c r="V26" s="4">
        <f t="shared" si="22"/>
        <v>222673</v>
      </c>
      <c r="W26" s="4">
        <f t="shared" si="22"/>
        <v>469252</v>
      </c>
    </row>
    <row r="27" spans="1:25" ht="15.75" x14ac:dyDescent="0.25">
      <c r="A27" s="21" t="s">
        <v>13</v>
      </c>
      <c r="B27" s="5">
        <f t="shared" ref="B27:W27" si="23">B25/B4</f>
        <v>0.1515038157017137</v>
      </c>
      <c r="C27" s="5">
        <f t="shared" si="23"/>
        <v>0.15714850785159001</v>
      </c>
      <c r="D27" s="5">
        <f t="shared" si="23"/>
        <v>0.15848847819291884</v>
      </c>
      <c r="E27" s="5">
        <f t="shared" si="23"/>
        <v>0.16474809716403918</v>
      </c>
      <c r="F27" s="5">
        <f t="shared" si="23"/>
        <v>0.18046933225110043</v>
      </c>
      <c r="G27" s="5">
        <f t="shared" si="23"/>
        <v>0.20521421113943603</v>
      </c>
      <c r="H27" s="5">
        <f t="shared" si="23"/>
        <v>0.22566047980573298</v>
      </c>
      <c r="I27" s="5">
        <f t="shared" si="23"/>
        <v>0.26754770215074436</v>
      </c>
      <c r="J27" s="5">
        <f t="shared" si="23"/>
        <v>0.28536743877065485</v>
      </c>
      <c r="K27" s="5">
        <f t="shared" si="23"/>
        <v>0.29590729389067394</v>
      </c>
      <c r="L27" s="5">
        <f t="shared" si="23"/>
        <v>0.32405789015312275</v>
      </c>
      <c r="M27" s="5">
        <f t="shared" si="23"/>
        <v>0.33330715444217629</v>
      </c>
      <c r="N27" s="5">
        <f t="shared" si="23"/>
        <v>0.35389365599586531</v>
      </c>
      <c r="O27" s="5">
        <f t="shared" si="23"/>
        <v>0.36726185398283723</v>
      </c>
      <c r="P27" s="5">
        <f t="shared" si="23"/>
        <v>0.37582738334597537</v>
      </c>
      <c r="Q27" s="5">
        <f t="shared" si="23"/>
        <v>0.37717473481280694</v>
      </c>
      <c r="R27" s="5">
        <f t="shared" si="23"/>
        <v>0.36484120249144203</v>
      </c>
      <c r="S27" s="5">
        <f t="shared" si="23"/>
        <v>0.36515411994833846</v>
      </c>
      <c r="T27" s="5">
        <f t="shared" si="23"/>
        <v>0.38512754974172408</v>
      </c>
      <c r="U27" s="5">
        <f t="shared" si="23"/>
        <v>0.41098600418846559</v>
      </c>
      <c r="V27" s="5">
        <f t="shared" si="23"/>
        <v>0.4266166023736353</v>
      </c>
      <c r="W27" s="5">
        <f t="shared" si="23"/>
        <v>0.48676704364733508</v>
      </c>
    </row>
    <row r="28" spans="1:25" ht="15.75" x14ac:dyDescent="0.25">
      <c r="A28" s="21" t="s">
        <v>14</v>
      </c>
      <c r="C28" s="5">
        <f>C27-B27</f>
        <v>5.6446921498763125E-3</v>
      </c>
      <c r="D28" s="5">
        <f t="shared" ref="D28:P28" si="24">D27-C27</f>
        <v>1.3399703413288222E-3</v>
      </c>
      <c r="E28" s="5">
        <f t="shared" si="24"/>
        <v>6.2596189711203454E-3</v>
      </c>
      <c r="F28" s="5">
        <f t="shared" si="24"/>
        <v>1.5721235087061247E-2</v>
      </c>
      <c r="G28" s="5">
        <f t="shared" si="24"/>
        <v>2.4744878888335597E-2</v>
      </c>
      <c r="H28" s="5">
        <f t="shared" si="24"/>
        <v>2.0446268666296952E-2</v>
      </c>
      <c r="I28" s="5">
        <f t="shared" si="24"/>
        <v>4.1887222345011382E-2</v>
      </c>
      <c r="J28" s="5">
        <f t="shared" si="24"/>
        <v>1.7819736619910487E-2</v>
      </c>
      <c r="K28" s="5">
        <f t="shared" si="24"/>
        <v>1.0539855120019093E-2</v>
      </c>
      <c r="L28" s="5">
        <f t="shared" si="24"/>
        <v>2.8150596262448813E-2</v>
      </c>
      <c r="M28" s="5">
        <f t="shared" si="24"/>
        <v>9.2492642890535381E-3</v>
      </c>
      <c r="N28" s="5">
        <f t="shared" si="24"/>
        <v>2.0586501553689018E-2</v>
      </c>
      <c r="O28" s="5">
        <f t="shared" si="24"/>
        <v>1.3368197986971919E-2</v>
      </c>
      <c r="P28" s="5">
        <f t="shared" si="24"/>
        <v>8.5655293631381468E-3</v>
      </c>
      <c r="Q28" s="5">
        <f>Q27-P27</f>
        <v>1.34735146683157E-3</v>
      </c>
      <c r="R28" s="5">
        <f t="shared" ref="R28:W28" si="25">R27-Q27</f>
        <v>-1.2333532321364915E-2</v>
      </c>
      <c r="S28" s="5">
        <f t="shared" si="25"/>
        <v>3.1291745689643324E-4</v>
      </c>
      <c r="T28" s="5">
        <f t="shared" si="25"/>
        <v>1.9973429793385622E-2</v>
      </c>
      <c r="U28" s="5">
        <f t="shared" si="25"/>
        <v>2.5858454446741508E-2</v>
      </c>
      <c r="V28" s="5">
        <f t="shared" si="25"/>
        <v>1.5630598185169708E-2</v>
      </c>
      <c r="W28" s="5">
        <f t="shared" si="25"/>
        <v>6.0150441273699784E-2</v>
      </c>
    </row>
    <row r="29" spans="1:25" ht="15.75" x14ac:dyDescent="0.25">
      <c r="A29" s="21" t="s">
        <v>17</v>
      </c>
      <c r="C29" s="5">
        <f>(C26-C16-C18*C19)/C4</f>
        <v>-3.8920007250357901E-3</v>
      </c>
      <c r="D29" s="5">
        <f t="shared" ref="D29:W29" si="26">(D26-D16-D18*D19)/D4</f>
        <v>-7.0366405569297422E-3</v>
      </c>
      <c r="E29" s="5">
        <f t="shared" si="26"/>
        <v>-2.0208394781254479E-4</v>
      </c>
      <c r="F29" s="5">
        <f t="shared" si="26"/>
        <v>9.9756857292845041E-3</v>
      </c>
      <c r="G29" s="5">
        <f t="shared" si="26"/>
        <v>9.5301200488640565E-3</v>
      </c>
      <c r="H29" s="5">
        <f t="shared" si="26"/>
        <v>-2.2726559854350029E-3</v>
      </c>
      <c r="I29" s="5">
        <f t="shared" si="26"/>
        <v>2.0404860523823367E-2</v>
      </c>
      <c r="J29" s="5">
        <f t="shared" si="26"/>
        <v>-8.2180312803726251E-3</v>
      </c>
      <c r="K29" s="5">
        <f t="shared" si="26"/>
        <v>-3.8825328818905908E-2</v>
      </c>
      <c r="L29" s="5">
        <f t="shared" si="26"/>
        <v>-1.3342481509043019E-2</v>
      </c>
      <c r="M29" s="5">
        <f t="shared" si="26"/>
        <v>-3.7626972976297239E-2</v>
      </c>
      <c r="N29" s="5">
        <f t="shared" si="26"/>
        <v>-3.2050840487434312E-2</v>
      </c>
      <c r="O29" s="5">
        <f t="shared" si="26"/>
        <v>-2.0611982611602117E-2</v>
      </c>
      <c r="P29" s="5">
        <f t="shared" si="26"/>
        <v>-3.5251308881145388E-2</v>
      </c>
      <c r="Q29" s="5">
        <f t="shared" si="26"/>
        <v>-6.4396492086723892E-2</v>
      </c>
      <c r="R29" s="5">
        <f t="shared" si="26"/>
        <v>-7.8409874687799641E-2</v>
      </c>
      <c r="S29" s="5">
        <f t="shared" si="26"/>
        <v>-5.6021713245431322E-2</v>
      </c>
      <c r="T29" s="5">
        <f t="shared" si="26"/>
        <v>-2.8864268838846373E-2</v>
      </c>
      <c r="U29" s="5">
        <f t="shared" si="26"/>
        <v>-1.0013607610258836E-2</v>
      </c>
      <c r="V29" s="5">
        <f t="shared" si="26"/>
        <v>3.3611701135210126E-3</v>
      </c>
      <c r="W29" s="5">
        <f t="shared" si="26"/>
        <v>3.3971097132761564E-2</v>
      </c>
    </row>
    <row r="30" spans="1:25" ht="15.75" x14ac:dyDescent="0.25">
      <c r="A30" s="21" t="s">
        <v>12</v>
      </c>
      <c r="C30" s="6">
        <f>(C20)/C4</f>
        <v>2.2492946192398371E-2</v>
      </c>
      <c r="D30" s="6">
        <f t="shared" ref="D30:W30" si="27">(D20)/D4</f>
        <v>2.233646243888442E-2</v>
      </c>
      <c r="E30" s="6">
        <f t="shared" si="27"/>
        <v>2.5788925120528147E-2</v>
      </c>
      <c r="F30" s="6">
        <f t="shared" si="27"/>
        <v>2.2678835097341105E-2</v>
      </c>
      <c r="G30" s="6">
        <f t="shared" si="27"/>
        <v>3.5162923943105433E-2</v>
      </c>
      <c r="H30" s="6">
        <f t="shared" si="27"/>
        <v>4.4290447428645539E-2</v>
      </c>
      <c r="I30" s="6">
        <f t="shared" si="27"/>
        <v>4.8370817417813232E-2</v>
      </c>
      <c r="J30" s="6">
        <f t="shared" si="27"/>
        <v>6.2890580662920373E-2</v>
      </c>
      <c r="K30" s="6">
        <f t="shared" si="27"/>
        <v>8.2436701529001261E-2</v>
      </c>
      <c r="L30" s="6">
        <f t="shared" si="27"/>
        <v>7.5681886771427634E-2</v>
      </c>
      <c r="M30" s="6">
        <f t="shared" si="27"/>
        <v>9.0357682488279412E-2</v>
      </c>
      <c r="N30" s="6">
        <f t="shared" si="27"/>
        <v>8.2965888068881138E-2</v>
      </c>
      <c r="O30" s="6">
        <f t="shared" si="27"/>
        <v>7.1437470789251792E-2</v>
      </c>
      <c r="P30" s="6">
        <f t="shared" si="27"/>
        <v>7.9492070436646495E-2</v>
      </c>
      <c r="Q30" s="6">
        <f t="shared" si="27"/>
        <v>8.9877472230817546E-2</v>
      </c>
      <c r="R30" s="6">
        <f t="shared" si="27"/>
        <v>9.015192995303821E-2</v>
      </c>
      <c r="S30" s="6">
        <f t="shared" si="27"/>
        <v>7.603680490941285E-2</v>
      </c>
      <c r="T30" s="6">
        <f t="shared" si="27"/>
        <v>5.938031069171458E-2</v>
      </c>
      <c r="U30" s="6">
        <f t="shared" si="27"/>
        <v>5.3621345673947628E-2</v>
      </c>
      <c r="V30" s="6">
        <f t="shared" si="27"/>
        <v>3.9053078593725074E-2</v>
      </c>
      <c r="W30" s="6">
        <f t="shared" si="27"/>
        <v>5.0347416710907963E-2</v>
      </c>
    </row>
    <row r="31" spans="1:25" ht="15.75" x14ac:dyDescent="0.25">
      <c r="A31" s="21" t="s">
        <v>15</v>
      </c>
    </row>
    <row r="32" spans="1:25" ht="15.75" x14ac:dyDescent="0.25">
      <c r="A32" s="21" t="s">
        <v>11</v>
      </c>
      <c r="B32">
        <v>8.94</v>
      </c>
      <c r="C32">
        <v>5.97</v>
      </c>
      <c r="D32">
        <v>7.67</v>
      </c>
      <c r="E32">
        <v>12.53</v>
      </c>
      <c r="F32">
        <v>9.3000000000000007</v>
      </c>
      <c r="G32">
        <v>7.6</v>
      </c>
      <c r="H32">
        <v>5.69</v>
      </c>
      <c r="I32">
        <v>3.14</v>
      </c>
      <c r="J32">
        <v>4.46</v>
      </c>
      <c r="K32">
        <v>5.9</v>
      </c>
      <c r="L32">
        <v>4.3099999999999996</v>
      </c>
      <c r="M32">
        <v>5.91</v>
      </c>
      <c r="N32">
        <v>6.5</v>
      </c>
      <c r="O32">
        <v>5.84</v>
      </c>
      <c r="P32">
        <v>5.91</v>
      </c>
      <c r="Q32">
        <v>6.41</v>
      </c>
      <c r="R32">
        <v>10.67</v>
      </c>
      <c r="S32">
        <v>6.29</v>
      </c>
      <c r="T32">
        <v>2.95</v>
      </c>
      <c r="U32">
        <v>3.75</v>
      </c>
      <c r="V32">
        <v>4.3099999999999996</v>
      </c>
      <c r="W32">
        <v>4.5199999999999996</v>
      </c>
      <c r="X32">
        <v>10.06</v>
      </c>
    </row>
    <row r="33" spans="1:25" ht="15.75" x14ac:dyDescent="0.25">
      <c r="A33" s="21" t="s">
        <v>33</v>
      </c>
      <c r="B33" s="6">
        <f>B32/100</f>
        <v>8.9399999999999993E-2</v>
      </c>
      <c r="C33" s="6">
        <f>C32/100</f>
        <v>5.9699999999999996E-2</v>
      </c>
      <c r="D33" s="6">
        <f t="shared" ref="D33:W33" si="28">D32/100</f>
        <v>7.6700000000000004E-2</v>
      </c>
      <c r="E33" s="6">
        <f t="shared" si="28"/>
        <v>0.12529999999999999</v>
      </c>
      <c r="F33" s="6">
        <f t="shared" si="28"/>
        <v>9.3000000000000013E-2</v>
      </c>
      <c r="G33" s="6">
        <f t="shared" si="28"/>
        <v>7.5999999999999998E-2</v>
      </c>
      <c r="H33" s="6">
        <f t="shared" si="28"/>
        <v>5.6900000000000006E-2</v>
      </c>
      <c r="I33" s="6">
        <f t="shared" si="28"/>
        <v>3.1400000000000004E-2</v>
      </c>
      <c r="J33" s="6">
        <f t="shared" si="28"/>
        <v>4.4600000000000001E-2</v>
      </c>
      <c r="K33" s="6">
        <f t="shared" si="28"/>
        <v>5.9000000000000004E-2</v>
      </c>
      <c r="L33" s="6">
        <f t="shared" si="28"/>
        <v>4.3099999999999999E-2</v>
      </c>
      <c r="M33" s="6">
        <f t="shared" si="28"/>
        <v>5.91E-2</v>
      </c>
      <c r="N33" s="6">
        <f t="shared" si="28"/>
        <v>6.5000000000000002E-2</v>
      </c>
      <c r="O33" s="6">
        <f t="shared" si="28"/>
        <v>5.8400000000000001E-2</v>
      </c>
      <c r="P33" s="6">
        <f t="shared" si="28"/>
        <v>5.91E-2</v>
      </c>
      <c r="Q33" s="6">
        <f t="shared" si="28"/>
        <v>6.4100000000000004E-2</v>
      </c>
      <c r="R33" s="6">
        <f t="shared" si="28"/>
        <v>0.1067</v>
      </c>
      <c r="S33" s="6">
        <f t="shared" si="28"/>
        <v>6.2899999999999998E-2</v>
      </c>
      <c r="T33" s="6">
        <f t="shared" si="28"/>
        <v>2.9500000000000002E-2</v>
      </c>
      <c r="U33" s="6">
        <f t="shared" si="28"/>
        <v>3.7499999999999999E-2</v>
      </c>
      <c r="V33" s="6">
        <f t="shared" si="28"/>
        <v>4.3099999999999999E-2</v>
      </c>
      <c r="W33" s="6">
        <f t="shared" si="28"/>
        <v>4.5199999999999997E-2</v>
      </c>
    </row>
    <row r="34" spans="1:25" ht="15.75" x14ac:dyDescent="0.25">
      <c r="A34" s="21" t="s">
        <v>36</v>
      </c>
      <c r="B34" s="6">
        <v>4.1572080000000004E-2</v>
      </c>
      <c r="C34" s="6">
        <v>5.8207320000000007E-2</v>
      </c>
      <c r="D34" s="6">
        <v>5.9042880000000013E-2</v>
      </c>
      <c r="E34" s="6">
        <v>5.5092959999999996E-2</v>
      </c>
      <c r="F34" s="6">
        <v>4.6509480000000006E-2</v>
      </c>
      <c r="G34" s="6">
        <v>5.1143040000000008E-2</v>
      </c>
      <c r="H34" s="6">
        <v>5.7447720000000008E-2</v>
      </c>
      <c r="I34" s="6">
        <v>5.3193960000000005E-2</v>
      </c>
      <c r="J34" s="6">
        <v>6.0030360000000005E-2</v>
      </c>
      <c r="K34" s="6">
        <v>5.851116E-2</v>
      </c>
      <c r="L34" s="6">
        <v>4.3091280000000003E-2</v>
      </c>
      <c r="M34" s="6">
        <v>5.2199999999999996E-2</v>
      </c>
      <c r="N34" s="6">
        <v>5.0999999999999997E-2</v>
      </c>
      <c r="O34" s="6">
        <v>4.0599999999999997E-2</v>
      </c>
      <c r="P34" s="6">
        <v>3.6699999999999997E-2</v>
      </c>
      <c r="Q34" s="6">
        <v>4.2300000000000004E-2</v>
      </c>
      <c r="R34" s="6">
        <v>3.95E-2</v>
      </c>
      <c r="S34" s="6">
        <v>3.5299999999999998E-2</v>
      </c>
      <c r="T34" s="6">
        <v>3.2500000000000001E-2</v>
      </c>
      <c r="U34" s="6">
        <v>3.5099999999999999E-2</v>
      </c>
      <c r="V34" s="6">
        <v>2.8500000000000001E-2</v>
      </c>
      <c r="W34" s="6">
        <v>0.03</v>
      </c>
      <c r="X34" s="6">
        <v>3.8800000000000001E-2</v>
      </c>
      <c r="Y34" s="6">
        <v>3.6600000000000001E-2</v>
      </c>
    </row>
    <row r="35" spans="1:25" x14ac:dyDescent="0.2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5" x14ac:dyDescent="0.25">
      <c r="A36" s="24" t="s">
        <v>27</v>
      </c>
    </row>
    <row r="37" spans="1:25" x14ac:dyDescent="0.25">
      <c r="A37" s="24"/>
      <c r="C37" s="17">
        <f t="shared" ref="C37:W37" si="29">B27*C4</f>
        <v>123078.37593984437</v>
      </c>
      <c r="D37" s="17">
        <f t="shared" si="29"/>
        <v>140110.31057373778</v>
      </c>
      <c r="E37" s="17">
        <f t="shared" si="29"/>
        <v>160929.95317925769</v>
      </c>
      <c r="F37" s="17">
        <f t="shared" si="29"/>
        <v>186449.8551707392</v>
      </c>
      <c r="G37" s="17">
        <f t="shared" si="29"/>
        <v>229623.40738382176</v>
      </c>
      <c r="H37" s="17">
        <f t="shared" si="29"/>
        <v>291778.95793171704</v>
      </c>
      <c r="I37" s="17">
        <f t="shared" si="29"/>
        <v>364252.28969596565</v>
      </c>
      <c r="J37" s="17">
        <f t="shared" si="29"/>
        <v>500854.13116779615</v>
      </c>
      <c r="K37" s="17">
        <f t="shared" si="29"/>
        <v>604238.84323867154</v>
      </c>
      <c r="L37" s="17">
        <f t="shared" si="29"/>
        <v>708404.26310876233</v>
      </c>
      <c r="M37" s="17">
        <f t="shared" si="29"/>
        <v>896023.68106727523</v>
      </c>
      <c r="N37" s="17">
        <f t="shared" si="29"/>
        <v>1013851.1379636484</v>
      </c>
      <c r="O37" s="17">
        <f t="shared" si="29"/>
        <v>1203895.313341005</v>
      </c>
      <c r="P37" s="17">
        <f t="shared" si="29"/>
        <v>1383791.2837273187</v>
      </c>
      <c r="Q37" s="17">
        <f t="shared" si="29"/>
        <v>1513237.0038789399</v>
      </c>
      <c r="R37" s="17">
        <f t="shared" si="29"/>
        <v>1622209.9136176545</v>
      </c>
      <c r="S37" s="17">
        <f t="shared" si="29"/>
        <v>1658739.3303854559</v>
      </c>
      <c r="T37" s="17">
        <f t="shared" si="29"/>
        <v>1709518.6721116689</v>
      </c>
      <c r="U37" s="17">
        <f t="shared" si="29"/>
        <v>1890137.3180097872</v>
      </c>
      <c r="V37" s="17">
        <f t="shared" si="29"/>
        <v>2157659.0249734549</v>
      </c>
      <c r="W37" s="17">
        <f t="shared" si="29"/>
        <v>2374219.9046367924</v>
      </c>
    </row>
    <row r="38" spans="1:25" x14ac:dyDescent="0.25">
      <c r="A38" s="20" t="s">
        <v>19</v>
      </c>
      <c r="C38" s="3">
        <f t="shared" ref="C38:W38" si="30">C24*C37</f>
        <v>19981.551748887774</v>
      </c>
      <c r="D38" s="3">
        <f t="shared" si="30"/>
        <v>21856.261313285955</v>
      </c>
      <c r="E38" s="3">
        <f t="shared" si="30"/>
        <v>29823.031436628698</v>
      </c>
      <c r="F38" s="3">
        <f t="shared" si="30"/>
        <v>28606.507552193696</v>
      </c>
      <c r="G38" s="3">
        <f t="shared" si="30"/>
        <v>50300.097818105554</v>
      </c>
      <c r="H38" s="3">
        <f t="shared" si="30"/>
        <v>70370.460769713958</v>
      </c>
      <c r="I38" s="3">
        <f t="shared" si="30"/>
        <v>88640.144753814151</v>
      </c>
      <c r="J38" s="3">
        <f t="shared" si="30"/>
        <v>136539.6833025337</v>
      </c>
      <c r="K38" s="3">
        <f t="shared" si="30"/>
        <v>197432.66930044119</v>
      </c>
      <c r="L38" s="3">
        <f t="shared" si="30"/>
        <v>204851.29757409537</v>
      </c>
      <c r="M38" s="3">
        <f t="shared" si="30"/>
        <v>288558.16209375398</v>
      </c>
      <c r="N38" s="3">
        <f t="shared" si="30"/>
        <v>277627.05912143487</v>
      </c>
      <c r="O38" s="3">
        <f t="shared" si="30"/>
        <v>271786.82848690863</v>
      </c>
      <c r="P38" s="3">
        <f t="shared" si="30"/>
        <v>331739.66308320331</v>
      </c>
      <c r="Q38" s="3">
        <f t="shared" si="30"/>
        <v>386716.89499544603</v>
      </c>
      <c r="R38" s="3">
        <f t="shared" si="30"/>
        <v>414176.45907792234</v>
      </c>
      <c r="S38" s="3">
        <f t="shared" si="30"/>
        <v>365433.14005095814</v>
      </c>
      <c r="T38" s="3">
        <f t="shared" si="30"/>
        <v>286261.86016245862</v>
      </c>
      <c r="U38" s="3">
        <f t="shared" si="30"/>
        <v>275878.34078842279</v>
      </c>
      <c r="V38" s="3">
        <f t="shared" si="30"/>
        <v>219319.91482258338</v>
      </c>
      <c r="W38" s="3">
        <f t="shared" si="30"/>
        <v>297021.43267959327</v>
      </c>
    </row>
    <row r="39" spans="1:25" x14ac:dyDescent="0.25">
      <c r="A39" s="20" t="s">
        <v>20</v>
      </c>
      <c r="C39" s="3">
        <f t="shared" ref="C39:W39" si="31">-C6*C37</f>
        <v>-3927.4094154271402</v>
      </c>
      <c r="D39" s="3">
        <f t="shared" si="31"/>
        <v>-2705.7438667942956</v>
      </c>
      <c r="E39" s="3">
        <f t="shared" si="31"/>
        <v>-1942.6064497029079</v>
      </c>
      <c r="F39" s="3">
        <f t="shared" si="31"/>
        <v>-3677.3840295615164</v>
      </c>
      <c r="G39" s="3">
        <f t="shared" si="31"/>
        <v>-10301.308074888973</v>
      </c>
      <c r="H39" s="3">
        <f t="shared" si="31"/>
        <v>-16720.11386202736</v>
      </c>
      <c r="I39" s="3">
        <f t="shared" si="31"/>
        <v>-36684.039801702413</v>
      </c>
      <c r="J39" s="3">
        <f t="shared" si="31"/>
        <v>-55209.498887794107</v>
      </c>
      <c r="K39" s="3">
        <f t="shared" si="31"/>
        <v>-41128.325530978997</v>
      </c>
      <c r="L39" s="3">
        <f t="shared" si="31"/>
        <v>-59445.92238347097</v>
      </c>
      <c r="M39" s="3">
        <f t="shared" si="31"/>
        <v>-81109.838860988035</v>
      </c>
      <c r="N39" s="3">
        <f t="shared" si="31"/>
        <v>-33415.465767004811</v>
      </c>
      <c r="O39" s="3">
        <f t="shared" si="31"/>
        <v>-68216.489009046825</v>
      </c>
      <c r="P39" s="3">
        <f t="shared" si="31"/>
        <v>-63355.037001891571</v>
      </c>
      <c r="Q39" s="3">
        <f t="shared" si="31"/>
        <v>-6429.4391958658834</v>
      </c>
      <c r="R39" s="3">
        <f t="shared" si="31"/>
        <v>56457.585418502029</v>
      </c>
      <c r="S39" s="3">
        <f t="shared" si="31"/>
        <v>9075.1607846000461</v>
      </c>
      <c r="T39" s="3">
        <f t="shared" si="31"/>
        <v>-381.97844266779839</v>
      </c>
      <c r="U39" s="3">
        <f t="shared" si="31"/>
        <v>-19700.011536036516</v>
      </c>
      <c r="V39" s="3">
        <f t="shared" si="31"/>
        <v>-55047.8247379038</v>
      </c>
      <c r="W39" s="3">
        <f t="shared" si="31"/>
        <v>-33738.319264925922</v>
      </c>
    </row>
    <row r="40" spans="1:25" x14ac:dyDescent="0.25">
      <c r="A40" s="20" t="s">
        <v>21</v>
      </c>
      <c r="C40" s="3">
        <f>-C33*C37</f>
        <v>-7347.779043608708</v>
      </c>
      <c r="D40" s="3">
        <f t="shared" ref="D40:W40" si="32">-D33*D37</f>
        <v>-10746.460821005689</v>
      </c>
      <c r="E40" s="3">
        <f t="shared" si="32"/>
        <v>-20164.523133360988</v>
      </c>
      <c r="F40" s="3">
        <f t="shared" si="32"/>
        <v>-17339.836530878747</v>
      </c>
      <c r="G40" s="3">
        <f t="shared" si="32"/>
        <v>-17451.378961170452</v>
      </c>
      <c r="H40" s="3">
        <f>-H33*H37</f>
        <v>-16602.2227063147</v>
      </c>
      <c r="I40" s="3">
        <f t="shared" si="32"/>
        <v>-11437.521896453323</v>
      </c>
      <c r="J40" s="3">
        <f t="shared" si="32"/>
        <v>-22338.094250083708</v>
      </c>
      <c r="K40" s="3">
        <f t="shared" si="32"/>
        <v>-35650.091751081622</v>
      </c>
      <c r="L40" s="3">
        <f t="shared" si="32"/>
        <v>-30532.223739987658</v>
      </c>
      <c r="M40" s="3">
        <f t="shared" si="32"/>
        <v>-52954.999551075969</v>
      </c>
      <c r="N40" s="3">
        <f t="shared" si="32"/>
        <v>-65900.323967637145</v>
      </c>
      <c r="O40" s="3">
        <f t="shared" si="32"/>
        <v>-70307.486299114695</v>
      </c>
      <c r="P40" s="3">
        <f t="shared" si="32"/>
        <v>-81782.064868284535</v>
      </c>
      <c r="Q40" s="3">
        <f t="shared" si="32"/>
        <v>-96998.491948640047</v>
      </c>
      <c r="R40" s="3">
        <f t="shared" si="32"/>
        <v>-173089.79778300374</v>
      </c>
      <c r="S40" s="3">
        <f t="shared" si="32"/>
        <v>-104334.70388124516</v>
      </c>
      <c r="T40" s="3">
        <f t="shared" si="32"/>
        <v>-50430.800827294232</v>
      </c>
      <c r="U40" s="3">
        <f t="shared" si="32"/>
        <v>-70880.149425367024</v>
      </c>
      <c r="V40" s="3">
        <f t="shared" si="32"/>
        <v>-92995.103976355909</v>
      </c>
      <c r="W40" s="3">
        <f t="shared" si="32"/>
        <v>-107314.739689583</v>
      </c>
    </row>
    <row r="41" spans="1:25" x14ac:dyDescent="0.25">
      <c r="A41" s="20" t="s">
        <v>29</v>
      </c>
      <c r="B41" s="3">
        <f t="shared" ref="B41:W41" si="33">-B34*B25</f>
        <v>-4679.0623202400002</v>
      </c>
      <c r="C41" s="3">
        <f>-C34*C25</f>
        <v>-7430.9793004800013</v>
      </c>
      <c r="D41" s="3">
        <f t="shared" si="33"/>
        <v>-8343.0541584000021</v>
      </c>
      <c r="E41" s="3">
        <f t="shared" si="33"/>
        <v>-9216.2809065599995</v>
      </c>
      <c r="F41" s="3">
        <f t="shared" si="33"/>
        <v>-9499.1892141600019</v>
      </c>
      <c r="G41" s="3">
        <f t="shared" si="33"/>
        <v>-13353.856888320002</v>
      </c>
      <c r="H41" s="3">
        <f t="shared" si="33"/>
        <v>-18432.100962000004</v>
      </c>
      <c r="I41" s="3">
        <f t="shared" si="33"/>
        <v>-22972.609535400003</v>
      </c>
      <c r="J41" s="3">
        <f t="shared" si="33"/>
        <v>-32068.998706680002</v>
      </c>
      <c r="K41" s="3">
        <f t="shared" si="33"/>
        <v>-36660.51836496</v>
      </c>
      <c r="L41" s="3">
        <f t="shared" si="33"/>
        <v>-33430.085750160004</v>
      </c>
      <c r="M41" s="3">
        <f t="shared" si="33"/>
        <v>-48107.4156</v>
      </c>
      <c r="N41" s="3">
        <f t="shared" si="33"/>
        <v>-54900.020999999993</v>
      </c>
      <c r="O41" s="3">
        <f t="shared" si="33"/>
        <v>-50724.503199999999</v>
      </c>
      <c r="P41" s="3">
        <f t="shared" si="33"/>
        <v>-51969.585499999994</v>
      </c>
      <c r="Q41" s="3">
        <f t="shared" si="33"/>
        <v>-64239.402600000009</v>
      </c>
      <c r="R41" s="3">
        <f t="shared" si="33"/>
        <v>-61981.978000000003</v>
      </c>
      <c r="S41" s="3">
        <f t="shared" si="33"/>
        <v>-58603.7186</v>
      </c>
      <c r="T41" s="3">
        <f t="shared" si="33"/>
        <v>-58598.377500000002</v>
      </c>
      <c r="U41" s="3">
        <f t="shared" si="33"/>
        <v>-70798.314599999998</v>
      </c>
      <c r="V41" s="3">
        <f t="shared" si="33"/>
        <v>-63831.991500000004</v>
      </c>
      <c r="W41" s="3">
        <f t="shared" si="33"/>
        <v>-81269.12999999999</v>
      </c>
    </row>
    <row r="42" spans="1:25" x14ac:dyDescent="0.25">
      <c r="A42" s="20" t="s">
        <v>22</v>
      </c>
      <c r="C42" s="3">
        <f>C25-C40-C39-C38-C37-C41</f>
        <v>3310.2400707836787</v>
      </c>
      <c r="D42" s="3">
        <f t="shared" ref="D42:W42" si="34">D25-D40-D39-D38-D37-D41</f>
        <v>1133.6869591762807</v>
      </c>
      <c r="E42" s="3">
        <f t="shared" si="34"/>
        <v>7856.4258737375039</v>
      </c>
      <c r="F42" s="3">
        <f t="shared" si="34"/>
        <v>19702.047051667359</v>
      </c>
      <c r="G42" s="3">
        <f t="shared" si="34"/>
        <v>22291.038722452093</v>
      </c>
      <c r="H42" s="3">
        <f t="shared" si="34"/>
        <v>10455.018828911045</v>
      </c>
      <c r="I42" s="3">
        <f t="shared" si="34"/>
        <v>50066.736783775967</v>
      </c>
      <c r="J42" s="3">
        <f t="shared" si="34"/>
        <v>6435.7773742279169</v>
      </c>
      <c r="K42" s="3">
        <f t="shared" si="34"/>
        <v>-61676.576892092104</v>
      </c>
      <c r="L42" s="3">
        <f t="shared" si="34"/>
        <v>-14050.328809239123</v>
      </c>
      <c r="M42" s="3">
        <f t="shared" si="34"/>
        <v>-80811.589148965024</v>
      </c>
      <c r="N42" s="3">
        <f t="shared" si="34"/>
        <v>-60791.386350441448</v>
      </c>
      <c r="O42" s="3">
        <f t="shared" si="34"/>
        <v>-37061.663319752006</v>
      </c>
      <c r="P42" s="3">
        <f t="shared" si="34"/>
        <v>-102359.25944034598</v>
      </c>
      <c r="Q42" s="3">
        <f t="shared" si="34"/>
        <v>-213624.56512988001</v>
      </c>
      <c r="R42" s="3">
        <f t="shared" si="34"/>
        <v>-288608.18233107531</v>
      </c>
      <c r="S42" s="3">
        <f t="shared" si="34"/>
        <v>-210147.20873976898</v>
      </c>
      <c r="T42" s="3">
        <f t="shared" si="34"/>
        <v>-83342.375504165597</v>
      </c>
      <c r="U42" s="3">
        <f t="shared" si="34"/>
        <v>12408.816763193419</v>
      </c>
      <c r="V42" s="3">
        <f t="shared" si="34"/>
        <v>74614.980418221094</v>
      </c>
      <c r="W42" s="3">
        <f t="shared" si="34"/>
        <v>260051.85163812351</v>
      </c>
    </row>
    <row r="43" spans="1:25" ht="14.25" customHeight="1" x14ac:dyDescent="0.25">
      <c r="C43" s="3">
        <f>SUM(C38:C42)</f>
        <v>4585.6240601556019</v>
      </c>
      <c r="D43" s="3">
        <f t="shared" ref="D43:W43" si="35">SUM(D38:D42)</f>
        <v>1194.68942626225</v>
      </c>
      <c r="E43" s="3">
        <f t="shared" si="35"/>
        <v>6356.0468207423073</v>
      </c>
      <c r="F43" s="3">
        <f t="shared" si="35"/>
        <v>17792.144829260789</v>
      </c>
      <c r="G43" s="3">
        <f t="shared" si="35"/>
        <v>31484.592616178215</v>
      </c>
      <c r="H43" s="3">
        <f t="shared" si="35"/>
        <v>29071.042068282943</v>
      </c>
      <c r="I43" s="3">
        <f t="shared" si="35"/>
        <v>67612.710304034379</v>
      </c>
      <c r="J43" s="3">
        <f t="shared" si="35"/>
        <v>33358.868832203792</v>
      </c>
      <c r="K43" s="3">
        <f t="shared" si="35"/>
        <v>22317.156761328479</v>
      </c>
      <c r="L43" s="3">
        <f t="shared" si="35"/>
        <v>67392.736891237611</v>
      </c>
      <c r="M43" s="3">
        <f t="shared" si="35"/>
        <v>25574.318932724942</v>
      </c>
      <c r="N43" s="3">
        <f t="shared" si="35"/>
        <v>62619.862036351464</v>
      </c>
      <c r="O43" s="3">
        <f t="shared" si="35"/>
        <v>45476.686658995102</v>
      </c>
      <c r="P43" s="3">
        <f t="shared" si="35"/>
        <v>32273.716272681224</v>
      </c>
      <c r="Q43" s="3">
        <f t="shared" si="35"/>
        <v>5424.9961210601032</v>
      </c>
      <c r="R43" s="3">
        <f t="shared" si="35"/>
        <v>-53045.913617654704</v>
      </c>
      <c r="S43" s="3">
        <f t="shared" si="35"/>
        <v>1422.6696145440801</v>
      </c>
      <c r="T43" s="3">
        <f t="shared" si="35"/>
        <v>93508.327888330969</v>
      </c>
      <c r="U43" s="3">
        <f t="shared" si="35"/>
        <v>126908.6819902127</v>
      </c>
      <c r="V43" s="3">
        <f t="shared" si="35"/>
        <v>82059.975026544751</v>
      </c>
      <c r="W43" s="3">
        <f t="shared" si="35"/>
        <v>334751.09536320786</v>
      </c>
    </row>
    <row r="44" spans="1:25" x14ac:dyDescent="0.25">
      <c r="C44" s="6">
        <f>C43/C4</f>
        <v>5.6446921498762579E-3</v>
      </c>
      <c r="D44" s="6">
        <f t="shared" ref="D44:W44" si="36">D43/D4</f>
        <v>1.3399703413288654E-3</v>
      </c>
      <c r="E44" s="6">
        <f t="shared" si="36"/>
        <v>6.2596189711203324E-3</v>
      </c>
      <c r="F44" s="6">
        <f t="shared" si="36"/>
        <v>1.5721235087061251E-2</v>
      </c>
      <c r="G44" s="6">
        <f t="shared" si="36"/>
        <v>2.4744878888335573E-2</v>
      </c>
      <c r="H44" s="6">
        <f t="shared" si="36"/>
        <v>2.0446268666296952E-2</v>
      </c>
      <c r="I44" s="6">
        <f t="shared" si="36"/>
        <v>4.1887222345011417E-2</v>
      </c>
      <c r="J44" s="6">
        <f t="shared" si="36"/>
        <v>1.7819736619910452E-2</v>
      </c>
      <c r="K44" s="6">
        <f t="shared" si="36"/>
        <v>1.0539855120019067E-2</v>
      </c>
      <c r="L44" s="6">
        <f t="shared" si="36"/>
        <v>2.8150596262448788E-2</v>
      </c>
      <c r="M44" s="6">
        <f t="shared" si="36"/>
        <v>9.2492642890536058E-3</v>
      </c>
      <c r="N44" s="6">
        <f t="shared" si="36"/>
        <v>2.0586501553688959E-2</v>
      </c>
      <c r="O44" s="6">
        <f t="shared" si="36"/>
        <v>1.3368197986971935E-2</v>
      </c>
      <c r="P44" s="6">
        <f t="shared" si="36"/>
        <v>8.5655293631381399E-3</v>
      </c>
      <c r="Q44" s="6">
        <f t="shared" si="36"/>
        <v>1.3473514668315601E-3</v>
      </c>
      <c r="R44" s="6">
        <f t="shared" si="36"/>
        <v>-1.2333532321364945E-2</v>
      </c>
      <c r="S44" s="6">
        <f t="shared" si="36"/>
        <v>3.1291745689642663E-4</v>
      </c>
      <c r="T44" s="6">
        <f t="shared" si="36"/>
        <v>1.9973429793385584E-2</v>
      </c>
      <c r="U44" s="6">
        <f t="shared" si="36"/>
        <v>2.5858454446741525E-2</v>
      </c>
      <c r="V44" s="6">
        <f t="shared" si="36"/>
        <v>1.5630598185169604E-2</v>
      </c>
      <c r="W44" s="6">
        <f t="shared" si="36"/>
        <v>6.0150441273699798E-2</v>
      </c>
    </row>
    <row r="46" spans="1:25" x14ac:dyDescent="0.25">
      <c r="A46" s="20" t="s">
        <v>19</v>
      </c>
      <c r="C46" s="6">
        <f t="shared" ref="C46:W46" si="37">C38/C$4</f>
        <v>2.4596370487349938E-2</v>
      </c>
      <c r="D46" s="6">
        <f t="shared" si="37"/>
        <v>2.4514104911570411E-2</v>
      </c>
      <c r="E46" s="6">
        <f t="shared" si="37"/>
        <v>2.9370584991259878E-2</v>
      </c>
      <c r="F46" s="5">
        <f t="shared" si="37"/>
        <v>2.5276864288346461E-2</v>
      </c>
      <c r="G46" s="5">
        <f t="shared" si="37"/>
        <v>3.9532664238472195E-2</v>
      </c>
      <c r="H46" s="5">
        <f t="shared" si="37"/>
        <v>4.9493009011825344E-2</v>
      </c>
      <c r="I46" s="5">
        <f t="shared" si="37"/>
        <v>5.4914075109565107E-2</v>
      </c>
      <c r="J46" s="5">
        <f t="shared" si="37"/>
        <v>7.2937161234564465E-2</v>
      </c>
      <c r="K46" s="5">
        <f t="shared" si="37"/>
        <v>9.3242690036175357E-2</v>
      </c>
      <c r="L46" s="5">
        <f t="shared" si="37"/>
        <v>8.5568362969940415E-2</v>
      </c>
      <c r="M46" s="5">
        <f t="shared" si="37"/>
        <v>0.10436057792935033</v>
      </c>
      <c r="N46" s="5">
        <f t="shared" si="37"/>
        <v>9.1270879527516141E-2</v>
      </c>
      <c r="O46" s="5">
        <f t="shared" si="37"/>
        <v>7.9893686202522116E-2</v>
      </c>
      <c r="P46" s="5">
        <f t="shared" si="37"/>
        <v>8.8044580954006885E-2</v>
      </c>
      <c r="Q46" s="5">
        <f t="shared" si="37"/>
        <v>9.6044967423652844E-2</v>
      </c>
      <c r="R46" s="5">
        <f t="shared" si="37"/>
        <v>9.6298817315230725E-2</v>
      </c>
      <c r="S46" s="5">
        <f t="shared" si="37"/>
        <v>8.0377346701867372E-2</v>
      </c>
      <c r="T46" s="5">
        <f t="shared" si="37"/>
        <v>6.1145689326269514E-2</v>
      </c>
      <c r="U46" s="5">
        <f t="shared" si="37"/>
        <v>5.6211973808617983E-2</v>
      </c>
      <c r="V46" s="5">
        <f t="shared" si="37"/>
        <v>4.1775560637064564E-2</v>
      </c>
      <c r="W46" s="5">
        <f t="shared" si="37"/>
        <v>5.3370908985493598E-2</v>
      </c>
    </row>
    <row r="47" spans="1:25" x14ac:dyDescent="0.25">
      <c r="A47" s="20" t="s">
        <v>20</v>
      </c>
      <c r="C47" s="6">
        <f t="shared" ref="C47:W47" si="38">C39/C$4</f>
        <v>-4.8344602186729257E-3</v>
      </c>
      <c r="D47" s="6">
        <f t="shared" si="38"/>
        <v>-3.0347774518102799E-3</v>
      </c>
      <c r="E47" s="6">
        <f t="shared" si="38"/>
        <v>-1.9131350867803872E-3</v>
      </c>
      <c r="F47" s="5">
        <f t="shared" si="38"/>
        <v>-3.2493563529823826E-3</v>
      </c>
      <c r="G47" s="5">
        <f t="shared" si="38"/>
        <v>-8.0961702065530088E-3</v>
      </c>
      <c r="H47" s="5">
        <f t="shared" si="38"/>
        <v>-1.1759603916196295E-2</v>
      </c>
      <c r="I47" s="5">
        <f t="shared" si="38"/>
        <v>-2.2726385686619499E-2</v>
      </c>
      <c r="J47" s="5">
        <f t="shared" si="38"/>
        <v>-2.9491969108616078E-2</v>
      </c>
      <c r="K47" s="5">
        <f t="shared" si="38"/>
        <v>-1.9423916633352342E-2</v>
      </c>
      <c r="L47" s="5">
        <f t="shared" si="38"/>
        <v>-2.483113518844994E-2</v>
      </c>
      <c r="M47" s="5">
        <f t="shared" si="38"/>
        <v>-2.9334362257751614E-2</v>
      </c>
      <c r="N47" s="5">
        <f t="shared" si="38"/>
        <v>-1.0985452787014247E-2</v>
      </c>
      <c r="O47" s="5">
        <f t="shared" si="38"/>
        <v>-2.005272587000699E-2</v>
      </c>
      <c r="P47" s="5">
        <f t="shared" si="38"/>
        <v>-1.6814593806222425E-2</v>
      </c>
      <c r="Q47" s="5">
        <f t="shared" si="38"/>
        <v>-1.5968148433922634E-3</v>
      </c>
      <c r="R47" s="5">
        <f t="shared" si="38"/>
        <v>1.3126769001742063E-2</v>
      </c>
      <c r="S47" s="5">
        <f t="shared" si="38"/>
        <v>1.9960897488861345E-3</v>
      </c>
      <c r="T47" s="5">
        <f t="shared" si="38"/>
        <v>-8.1590803509214686E-5</v>
      </c>
      <c r="U47" s="5">
        <f t="shared" si="38"/>
        <v>-4.0140031628739872E-3</v>
      </c>
      <c r="V47" s="5">
        <f t="shared" si="38"/>
        <v>-1.0485384978090498E-2</v>
      </c>
      <c r="W47" s="5">
        <f t="shared" si="38"/>
        <v>-6.0623395105440115E-3</v>
      </c>
    </row>
    <row r="48" spans="1:25" x14ac:dyDescent="0.25">
      <c r="A48" s="20" t="s">
        <v>21</v>
      </c>
      <c r="C48" s="6">
        <f t="shared" ref="C48:W48" si="39">C40/C$4</f>
        <v>-9.0447777973923071E-3</v>
      </c>
      <c r="D48" s="6">
        <f t="shared" si="39"/>
        <v>-1.2053290552216954E-2</v>
      </c>
      <c r="E48" s="6">
        <f t="shared" si="39"/>
        <v>-1.9858606317572733E-2</v>
      </c>
      <c r="F48" s="5">
        <f t="shared" si="39"/>
        <v>-1.5321573036255644E-2</v>
      </c>
      <c r="G48" s="5">
        <f t="shared" si="39"/>
        <v>-1.3715669251083631E-2</v>
      </c>
      <c r="H48" s="5">
        <f t="shared" si="39"/>
        <v>-1.167668861383391E-2</v>
      </c>
      <c r="I48" s="5">
        <f t="shared" si="39"/>
        <v>-7.085739065900017E-3</v>
      </c>
      <c r="J48" s="5">
        <f t="shared" si="39"/>
        <v>-1.1932627515923198E-2</v>
      </c>
      <c r="K48" s="5">
        <f t="shared" si="39"/>
        <v>-1.6836678887468638E-2</v>
      </c>
      <c r="L48" s="5">
        <f t="shared" si="39"/>
        <v>-1.2753604366688048E-2</v>
      </c>
      <c r="M48" s="5">
        <f t="shared" si="39"/>
        <v>-1.9151821308049558E-2</v>
      </c>
      <c r="N48" s="5">
        <f t="shared" si="39"/>
        <v>-2.1664965038741459E-2</v>
      </c>
      <c r="O48" s="5">
        <f t="shared" si="39"/>
        <v>-2.0667389510158535E-2</v>
      </c>
      <c r="P48" s="5">
        <f t="shared" si="39"/>
        <v>-2.170517557038568E-2</v>
      </c>
      <c r="Q48" s="5">
        <f t="shared" si="39"/>
        <v>-2.4090535272477023E-2</v>
      </c>
      <c r="R48" s="5">
        <f t="shared" si="39"/>
        <v>-4.02445442045265E-2</v>
      </c>
      <c r="S48" s="5">
        <f t="shared" si="39"/>
        <v>-2.2948511636711699E-2</v>
      </c>
      <c r="T48" s="5">
        <f t="shared" si="39"/>
        <v>-1.0772046538475985E-2</v>
      </c>
      <c r="U48" s="5">
        <f t="shared" si="39"/>
        <v>-1.4442283115314654E-2</v>
      </c>
      <c r="V48" s="5">
        <f t="shared" si="39"/>
        <v>-1.7713496780522867E-2</v>
      </c>
      <c r="W48" s="5">
        <f t="shared" si="39"/>
        <v>-1.9283070427288312E-2</v>
      </c>
    </row>
    <row r="49" spans="1:23" x14ac:dyDescent="0.25">
      <c r="A49" s="20" t="s">
        <v>37</v>
      </c>
      <c r="C49" s="6">
        <f t="shared" ref="C49:W49" si="40">C41/C$4</f>
        <v>-9.1471934840400126E-3</v>
      </c>
      <c r="D49" s="6">
        <f t="shared" si="40"/>
        <v>-9.3576161993271269E-3</v>
      </c>
      <c r="E49" s="6">
        <f t="shared" si="40"/>
        <v>-9.0764603271345241E-3</v>
      </c>
      <c r="F49" s="5">
        <f t="shared" si="40"/>
        <v>-8.3935347989459123E-3</v>
      </c>
      <c r="G49" s="5">
        <f t="shared" si="40"/>
        <v>-1.0495278608872623E-2</v>
      </c>
      <c r="H49" s="5">
        <f t="shared" si="40"/>
        <v>-1.2963680058945406E-2</v>
      </c>
      <c r="I49" s="5">
        <f t="shared" si="40"/>
        <v>-1.4231921766298613E-2</v>
      </c>
      <c r="J49" s="5">
        <f t="shared" si="40"/>
        <v>-1.7130710081680368E-2</v>
      </c>
      <c r="K49" s="5">
        <f t="shared" si="40"/>
        <v>-1.7313879018004245E-2</v>
      </c>
      <c r="L49" s="5">
        <f t="shared" si="40"/>
        <v>-1.3964069280797457E-2</v>
      </c>
      <c r="M49" s="5">
        <f t="shared" si="40"/>
        <v>-1.7398633461881603E-2</v>
      </c>
      <c r="N49" s="5">
        <f t="shared" si="40"/>
        <v>-1.8048576455789129E-2</v>
      </c>
      <c r="O49" s="5">
        <f t="shared" si="40"/>
        <v>-1.4910831271703191E-2</v>
      </c>
      <c r="P49" s="5">
        <f t="shared" si="40"/>
        <v>-1.3792864968797294E-2</v>
      </c>
      <c r="Q49" s="5">
        <f t="shared" si="40"/>
        <v>-1.5954491282581737E-2</v>
      </c>
      <c r="R49" s="5">
        <f t="shared" si="40"/>
        <v>-1.4411227498411961E-2</v>
      </c>
      <c r="S49" s="5">
        <f t="shared" si="40"/>
        <v>-1.2889940434176347E-2</v>
      </c>
      <c r="T49" s="5">
        <f t="shared" si="40"/>
        <v>-1.2516645366606034E-2</v>
      </c>
      <c r="U49" s="5">
        <f t="shared" si="40"/>
        <v>-1.4425608747015142E-2</v>
      </c>
      <c r="V49" s="5">
        <f t="shared" si="40"/>
        <v>-1.2158573167648607E-2</v>
      </c>
      <c r="W49" s="5">
        <f t="shared" si="40"/>
        <v>-1.4603011309420049E-2</v>
      </c>
    </row>
    <row r="50" spans="1:23" x14ac:dyDescent="0.25">
      <c r="A50" s="20" t="s">
        <v>22</v>
      </c>
      <c r="C50" s="6">
        <f t="shared" ref="C50:W50" si="41">C42/C$4</f>
        <v>4.0747531626315701E-3</v>
      </c>
      <c r="D50" s="6">
        <f t="shared" si="41"/>
        <v>1.2715496331128157E-3</v>
      </c>
      <c r="E50" s="6">
        <f t="shared" si="41"/>
        <v>7.737235711348097E-3</v>
      </c>
      <c r="F50" s="5">
        <f t="shared" si="41"/>
        <v>1.7408834986898731E-2</v>
      </c>
      <c r="G50" s="5">
        <f t="shared" si="41"/>
        <v>1.751933271637264E-2</v>
      </c>
      <c r="H50" s="5">
        <f t="shared" si="41"/>
        <v>7.353232243447215E-3</v>
      </c>
      <c r="I50" s="5">
        <f t="shared" si="41"/>
        <v>3.1017193754264434E-2</v>
      </c>
      <c r="J50" s="5">
        <f t="shared" si="41"/>
        <v>3.4378820915656316E-3</v>
      </c>
      <c r="K50" s="5">
        <f t="shared" si="41"/>
        <v>-2.9128360377331068E-2</v>
      </c>
      <c r="L50" s="5">
        <f t="shared" si="41"/>
        <v>-5.8689578715561781E-3</v>
      </c>
      <c r="M50" s="5">
        <f t="shared" si="41"/>
        <v>-2.9226496612613943E-2</v>
      </c>
      <c r="N50" s="5">
        <f t="shared" si="41"/>
        <v>-1.9985383692282341E-2</v>
      </c>
      <c r="O50" s="5">
        <f t="shared" si="41"/>
        <v>-1.0894541563681462E-2</v>
      </c>
      <c r="P50" s="5">
        <f t="shared" si="41"/>
        <v>-2.7166417245463349E-2</v>
      </c>
      <c r="Q50" s="5">
        <f t="shared" si="41"/>
        <v>-5.305577455837026E-2</v>
      </c>
      <c r="R50" s="5">
        <f t="shared" si="41"/>
        <v>-6.710334693539928E-2</v>
      </c>
      <c r="S50" s="5">
        <f t="shared" si="41"/>
        <v>-4.6222066922969034E-2</v>
      </c>
      <c r="T50" s="5">
        <f t="shared" si="41"/>
        <v>-1.7801976824292694E-2</v>
      </c>
      <c r="U50" s="5">
        <f t="shared" si="41"/>
        <v>2.5283756633273178E-3</v>
      </c>
      <c r="V50" s="5">
        <f t="shared" si="41"/>
        <v>1.4212492474367013E-2</v>
      </c>
      <c r="W50" s="5">
        <f t="shared" si="41"/>
        <v>4.6727953535458583E-2</v>
      </c>
    </row>
    <row r="51" spans="1:23" x14ac:dyDescent="0.25">
      <c r="A51" s="20" t="s">
        <v>23</v>
      </c>
      <c r="C51" s="12">
        <f>SUM(C46:C50)</f>
        <v>5.6446921498762622E-3</v>
      </c>
      <c r="D51" s="12">
        <f t="shared" ref="D51:W51" si="42">SUM(D46:D50)</f>
        <v>1.3399703413288671E-3</v>
      </c>
      <c r="E51" s="12">
        <f t="shared" si="42"/>
        <v>6.2596189711203298E-3</v>
      </c>
      <c r="F51" s="12">
        <f t="shared" si="42"/>
        <v>1.5721235087061254E-2</v>
      </c>
      <c r="G51" s="12">
        <f t="shared" si="42"/>
        <v>2.474487888833557E-2</v>
      </c>
      <c r="H51" s="12">
        <f t="shared" si="42"/>
        <v>2.0446268666296948E-2</v>
      </c>
      <c r="I51" s="12">
        <f t="shared" si="42"/>
        <v>4.188722234501141E-2</v>
      </c>
      <c r="J51" s="12">
        <f t="shared" si="42"/>
        <v>1.7819736619910452E-2</v>
      </c>
      <c r="K51" s="12">
        <f t="shared" si="42"/>
        <v>1.0539855120019072E-2</v>
      </c>
      <c r="L51" s="12">
        <f t="shared" si="42"/>
        <v>2.8150596262448788E-2</v>
      </c>
      <c r="M51" s="12">
        <f t="shared" si="42"/>
        <v>9.2492642890536145E-3</v>
      </c>
      <c r="N51" s="12">
        <f t="shared" si="42"/>
        <v>2.0586501553688959E-2</v>
      </c>
      <c r="O51" s="12">
        <f t="shared" si="42"/>
        <v>1.3368197986971938E-2</v>
      </c>
      <c r="P51" s="12">
        <f t="shared" si="42"/>
        <v>8.5655293631381399E-3</v>
      </c>
      <c r="Q51" s="12">
        <f t="shared" si="42"/>
        <v>1.3473514668315631E-3</v>
      </c>
      <c r="R51" s="12">
        <f t="shared" si="42"/>
        <v>-1.2333532321364957E-2</v>
      </c>
      <c r="S51" s="12">
        <f t="shared" si="42"/>
        <v>3.129174568964263E-4</v>
      </c>
      <c r="T51" s="12">
        <f t="shared" si="42"/>
        <v>1.9973429793385587E-2</v>
      </c>
      <c r="U51" s="12">
        <f t="shared" si="42"/>
        <v>2.5858454446741515E-2</v>
      </c>
      <c r="V51" s="12">
        <f t="shared" si="42"/>
        <v>1.5630598185169604E-2</v>
      </c>
      <c r="W51" s="12">
        <f t="shared" si="42"/>
        <v>6.0150441273699812E-2</v>
      </c>
    </row>
    <row r="53" spans="1:23" x14ac:dyDescent="0.25">
      <c r="A53" s="20" t="s">
        <v>24</v>
      </c>
      <c r="B53">
        <v>0.17603142076502731</v>
      </c>
      <c r="C53">
        <v>0.17460273972602738</v>
      </c>
      <c r="D53">
        <v>0.19220547945205479</v>
      </c>
      <c r="E53">
        <v>0.23515068493150687</v>
      </c>
      <c r="F53">
        <v>0.16377732240437159</v>
      </c>
      <c r="G53">
        <v>0.19137671232876713</v>
      </c>
      <c r="H53">
        <v>0.15313698630136988</v>
      </c>
      <c r="I53">
        <v>0.12044520547945206</v>
      </c>
      <c r="J53">
        <v>0.12450136612021857</v>
      </c>
      <c r="K53">
        <v>0.10143150684931507</v>
      </c>
      <c r="L53">
        <v>9.9020547945205484E-2</v>
      </c>
      <c r="M53">
        <v>0.11756164383561643</v>
      </c>
      <c r="N53">
        <v>8.6297814207650272E-2</v>
      </c>
      <c r="O53">
        <v>8.2924657534246576E-2</v>
      </c>
      <c r="P53">
        <v>0.1095890410958904</v>
      </c>
      <c r="Q53">
        <v>0.13473287671232875</v>
      </c>
      <c r="R53">
        <v>0.14178961748633878</v>
      </c>
      <c r="S53">
        <v>0.10154794520547945</v>
      </c>
      <c r="T53">
        <v>6.5808219178082189E-2</v>
      </c>
      <c r="U53">
        <v>6.0356164383561645E-2</v>
      </c>
      <c r="V53">
        <v>2.8866120218579233E-2</v>
      </c>
      <c r="W53">
        <v>4.5376712328767124E-2</v>
      </c>
    </row>
    <row r="55" spans="1:23" x14ac:dyDescent="0.25">
      <c r="A55" s="24" t="s">
        <v>28</v>
      </c>
    </row>
    <row r="56" spans="1:23" x14ac:dyDescent="0.25">
      <c r="A56" s="20" t="s">
        <v>25</v>
      </c>
      <c r="C56" s="12">
        <f t="shared" ref="C56:W56" si="43">((C24-C6-C33-C34)/(1+C6+C33+C34))*B27</f>
        <v>1.6511333111235472E-3</v>
      </c>
      <c r="D56" s="12">
        <f t="shared" si="43"/>
        <v>1.2773114024031924E-4</v>
      </c>
      <c r="E56" s="12">
        <f t="shared" si="43"/>
        <v>-9.4992864922156285E-4</v>
      </c>
      <c r="F56" s="12">
        <f t="shared" si="43"/>
        <v>-8.2504010117424344E-4</v>
      </c>
      <c r="G56" s="12">
        <f t="shared" si="43"/>
        <v>7.2449144999709447E-3</v>
      </c>
      <c r="H56" s="12">
        <f t="shared" si="43"/>
        <v>1.2177362245801687E-2</v>
      </c>
      <c r="I56" s="12">
        <f t="shared" si="43"/>
        <v>1.105047350453551E-2</v>
      </c>
      <c r="J56" s="12">
        <f t="shared" si="43"/>
        <v>1.2718804073349655E-2</v>
      </c>
      <c r="K56" s="12">
        <f t="shared" si="43"/>
        <v>3.3979149151938656E-2</v>
      </c>
      <c r="L56" s="12">
        <f t="shared" si="43"/>
        <v>3.0110591122079495E-2</v>
      </c>
      <c r="M56" s="12">
        <f t="shared" si="43"/>
        <v>3.2416258901252722E-2</v>
      </c>
      <c r="N56" s="12">
        <f t="shared" si="43"/>
        <v>3.622566057684283E-2</v>
      </c>
      <c r="O56" s="12">
        <f t="shared" si="43"/>
        <v>2.1464289657235517E-2</v>
      </c>
      <c r="P56" s="12">
        <f t="shared" si="43"/>
        <v>3.1575698419124477E-2</v>
      </c>
      <c r="Q56" s="12">
        <f t="shared" si="43"/>
        <v>4.9034509435467173E-2</v>
      </c>
      <c r="R56" s="12">
        <f t="shared" si="43"/>
        <v>4.8841804036758162E-2</v>
      </c>
      <c r="S56" s="12">
        <f t="shared" si="43"/>
        <v>4.2596138153502432E-2</v>
      </c>
      <c r="T56" s="12">
        <f t="shared" si="43"/>
        <v>3.6173691488098063E-2</v>
      </c>
      <c r="U56" s="12">
        <f t="shared" si="43"/>
        <v>2.2379691907847242E-2</v>
      </c>
      <c r="V56" s="12">
        <f t="shared" si="43"/>
        <v>1.6986200840721035E-3</v>
      </c>
      <c r="W56" s="12">
        <f t="shared" si="43"/>
        <v>1.3977287819839273E-2</v>
      </c>
    </row>
    <row r="57" spans="1:23" x14ac:dyDescent="0.25">
      <c r="A57" s="20" t="s">
        <v>26</v>
      </c>
      <c r="C57" s="12">
        <f t="shared" ref="C57:W57" si="44">C28-C56</f>
        <v>3.9935588387527655E-3</v>
      </c>
      <c r="D57" s="12">
        <f t="shared" si="44"/>
        <v>1.212239201088503E-3</v>
      </c>
      <c r="E57" s="12">
        <f t="shared" si="44"/>
        <v>7.2095476203419082E-3</v>
      </c>
      <c r="F57" s="12">
        <f t="shared" si="44"/>
        <v>1.6546275188235489E-2</v>
      </c>
      <c r="G57" s="12">
        <f t="shared" si="44"/>
        <v>1.7499964388364653E-2</v>
      </c>
      <c r="H57" s="12">
        <f t="shared" si="44"/>
        <v>8.2689064204952648E-3</v>
      </c>
      <c r="I57" s="12">
        <f t="shared" si="44"/>
        <v>3.0836748840475874E-2</v>
      </c>
      <c r="J57" s="12">
        <f t="shared" si="44"/>
        <v>5.100932546560832E-3</v>
      </c>
      <c r="K57" s="12">
        <f t="shared" si="44"/>
        <v>-2.3439294031919564E-2</v>
      </c>
      <c r="L57" s="12">
        <f t="shared" si="44"/>
        <v>-1.9599948596306822E-3</v>
      </c>
      <c r="M57" s="12">
        <f t="shared" si="44"/>
        <v>-2.3166994612199183E-2</v>
      </c>
      <c r="N57" s="12">
        <f t="shared" si="44"/>
        <v>-1.5639159023153812E-2</v>
      </c>
      <c r="O57" s="12">
        <f t="shared" si="44"/>
        <v>-8.0960916702635978E-3</v>
      </c>
      <c r="P57" s="12">
        <f t="shared" si="44"/>
        <v>-2.3010169055986331E-2</v>
      </c>
      <c r="Q57" s="12">
        <f t="shared" si="44"/>
        <v>-4.7687157968635603E-2</v>
      </c>
      <c r="R57" s="12">
        <f t="shared" si="44"/>
        <v>-6.1175336358123077E-2</v>
      </c>
      <c r="S57" s="12">
        <f t="shared" si="44"/>
        <v>-4.2283220696605998E-2</v>
      </c>
      <c r="T57" s="12">
        <f t="shared" si="44"/>
        <v>-1.6200261694712441E-2</v>
      </c>
      <c r="U57" s="12">
        <f t="shared" si="44"/>
        <v>3.4787625388942658E-3</v>
      </c>
      <c r="V57" s="12">
        <f t="shared" si="44"/>
        <v>1.3931978101097605E-2</v>
      </c>
      <c r="W57" s="12">
        <f t="shared" si="44"/>
        <v>4.6173153453860513E-2</v>
      </c>
    </row>
    <row r="58" spans="1:23" ht="15.75" x14ac:dyDescent="0.25">
      <c r="A58" s="23" t="s">
        <v>14</v>
      </c>
      <c r="C58" s="14">
        <f>SUM(C56:C57)</f>
        <v>5.6446921498763125E-3</v>
      </c>
      <c r="D58" s="14">
        <f t="shared" ref="D58:W58" si="45">SUM(D56:D57)</f>
        <v>1.3399703413288222E-3</v>
      </c>
      <c r="E58" s="14">
        <f t="shared" si="45"/>
        <v>6.2596189711203454E-3</v>
      </c>
      <c r="F58" s="14">
        <f t="shared" si="45"/>
        <v>1.5721235087061247E-2</v>
      </c>
      <c r="G58" s="14">
        <f t="shared" si="45"/>
        <v>2.4744878888335597E-2</v>
      </c>
      <c r="H58" s="14">
        <f t="shared" si="45"/>
        <v>2.0446268666296952E-2</v>
      </c>
      <c r="I58" s="14">
        <f t="shared" si="45"/>
        <v>4.1887222345011382E-2</v>
      </c>
      <c r="J58" s="14">
        <f t="shared" si="45"/>
        <v>1.7819736619910487E-2</v>
      </c>
      <c r="K58" s="14">
        <f t="shared" si="45"/>
        <v>1.0539855120019093E-2</v>
      </c>
      <c r="L58" s="14">
        <f t="shared" si="45"/>
        <v>2.8150596262448813E-2</v>
      </c>
      <c r="M58" s="14">
        <f t="shared" si="45"/>
        <v>9.2492642890535381E-3</v>
      </c>
      <c r="N58" s="14">
        <f t="shared" si="45"/>
        <v>2.0586501553689018E-2</v>
      </c>
      <c r="O58" s="14">
        <f t="shared" si="45"/>
        <v>1.3368197986971919E-2</v>
      </c>
      <c r="P58" s="14">
        <f t="shared" si="45"/>
        <v>8.5655293631381468E-3</v>
      </c>
      <c r="Q58" s="14">
        <f t="shared" si="45"/>
        <v>1.34735146683157E-3</v>
      </c>
      <c r="R58" s="14">
        <f t="shared" si="45"/>
        <v>-1.2333532321364915E-2</v>
      </c>
      <c r="S58" s="14">
        <f t="shared" si="45"/>
        <v>3.1291745689643324E-4</v>
      </c>
      <c r="T58" s="14">
        <f t="shared" si="45"/>
        <v>1.9973429793385622E-2</v>
      </c>
      <c r="U58" s="14">
        <f t="shared" si="45"/>
        <v>2.5858454446741508E-2</v>
      </c>
      <c r="V58" s="14">
        <f t="shared" si="45"/>
        <v>1.5630598185169708E-2</v>
      </c>
      <c r="W58" s="14">
        <f t="shared" si="45"/>
        <v>6.0150441273699784E-2</v>
      </c>
    </row>
    <row r="59" spans="1:23" x14ac:dyDescent="0.25">
      <c r="A59" s="20" t="s">
        <v>19</v>
      </c>
      <c r="C59" s="14">
        <f t="shared" ref="C59:W59" si="46">C24*B27</f>
        <v>2.4596370487349938E-2</v>
      </c>
      <c r="D59" s="14">
        <f t="shared" si="46"/>
        <v>2.4514104911570411E-2</v>
      </c>
      <c r="E59" s="14">
        <f t="shared" si="46"/>
        <v>2.9370584991259874E-2</v>
      </c>
      <c r="F59" s="14">
        <f t="shared" si="46"/>
        <v>2.5276864288346461E-2</v>
      </c>
      <c r="G59" s="14">
        <f t="shared" si="46"/>
        <v>3.9532664238472195E-2</v>
      </c>
      <c r="H59" s="14">
        <f t="shared" si="46"/>
        <v>4.9493009011825344E-2</v>
      </c>
      <c r="I59" s="14">
        <f t="shared" si="46"/>
        <v>5.4914075109565107E-2</v>
      </c>
      <c r="J59" s="14">
        <f t="shared" si="46"/>
        <v>7.2937161234564465E-2</v>
      </c>
      <c r="K59" s="14">
        <f t="shared" si="46"/>
        <v>9.3242690036175357E-2</v>
      </c>
      <c r="L59" s="14">
        <f t="shared" si="46"/>
        <v>8.5568362969940401E-2</v>
      </c>
      <c r="M59" s="14">
        <f t="shared" si="46"/>
        <v>0.10436057792935031</v>
      </c>
      <c r="N59" s="14">
        <f t="shared" si="46"/>
        <v>9.1270879527516141E-2</v>
      </c>
      <c r="O59" s="14">
        <f t="shared" si="46"/>
        <v>7.9893686202522116E-2</v>
      </c>
      <c r="P59" s="14">
        <f t="shared" si="46"/>
        <v>8.8044580954006885E-2</v>
      </c>
      <c r="Q59" s="14">
        <f t="shared" si="46"/>
        <v>9.604496742365283E-2</v>
      </c>
      <c r="R59" s="14">
        <f t="shared" si="46"/>
        <v>9.6298817315230739E-2</v>
      </c>
      <c r="S59" s="14">
        <f t="shared" si="46"/>
        <v>8.0377346701867372E-2</v>
      </c>
      <c r="T59" s="14">
        <f t="shared" si="46"/>
        <v>6.1145689326269514E-2</v>
      </c>
      <c r="U59" s="14">
        <f t="shared" si="46"/>
        <v>5.621197380861799E-2</v>
      </c>
      <c r="V59" s="14">
        <f t="shared" si="46"/>
        <v>4.1775560637064564E-2</v>
      </c>
      <c r="W59" s="14">
        <f t="shared" si="46"/>
        <v>5.3370908985493598E-2</v>
      </c>
    </row>
    <row r="60" spans="1:23" x14ac:dyDescent="0.25">
      <c r="A60" s="20" t="s">
        <v>20</v>
      </c>
      <c r="C60" s="14">
        <f t="shared" ref="C60:W60" si="47">-C6*B27</f>
        <v>-4.8344602186729257E-3</v>
      </c>
      <c r="D60" s="14">
        <f t="shared" si="47"/>
        <v>-3.0347774518102799E-3</v>
      </c>
      <c r="E60" s="14">
        <f t="shared" si="47"/>
        <v>-1.9131350867803872E-3</v>
      </c>
      <c r="F60" s="14">
        <f t="shared" si="47"/>
        <v>-3.249356352982383E-3</v>
      </c>
      <c r="G60" s="14">
        <f t="shared" si="47"/>
        <v>-8.0961702065530088E-3</v>
      </c>
      <c r="H60" s="14">
        <f t="shared" si="47"/>
        <v>-1.1759603916196293E-2</v>
      </c>
      <c r="I60" s="14">
        <f t="shared" si="47"/>
        <v>-2.2726385686619496E-2</v>
      </c>
      <c r="J60" s="14">
        <f t="shared" si="47"/>
        <v>-2.9491969108616078E-2</v>
      </c>
      <c r="K60" s="14">
        <f t="shared" si="47"/>
        <v>-1.9423916633352339E-2</v>
      </c>
      <c r="L60" s="14">
        <f t="shared" si="47"/>
        <v>-2.4831135188449937E-2</v>
      </c>
      <c r="M60" s="14">
        <f t="shared" si="47"/>
        <v>-2.9334362257751611E-2</v>
      </c>
      <c r="N60" s="14">
        <f t="shared" si="47"/>
        <v>-1.0985452787014247E-2</v>
      </c>
      <c r="O60" s="14">
        <f t="shared" si="47"/>
        <v>-2.005272587000699E-2</v>
      </c>
      <c r="P60" s="14">
        <f t="shared" si="47"/>
        <v>-1.6814593806222425E-2</v>
      </c>
      <c r="Q60" s="14">
        <f t="shared" si="47"/>
        <v>-1.5968148433922631E-3</v>
      </c>
      <c r="R60" s="14">
        <f t="shared" si="47"/>
        <v>1.3126769001742065E-2</v>
      </c>
      <c r="S60" s="14">
        <f t="shared" si="47"/>
        <v>1.9960897488861345E-3</v>
      </c>
      <c r="T60" s="14">
        <f t="shared" si="47"/>
        <v>-8.1590803509214686E-5</v>
      </c>
      <c r="U60" s="14">
        <f t="shared" si="47"/>
        <v>-4.0140031628739872E-3</v>
      </c>
      <c r="V60" s="14">
        <f t="shared" si="47"/>
        <v>-1.0485384978090496E-2</v>
      </c>
      <c r="W60" s="14">
        <f t="shared" si="47"/>
        <v>-6.0623395105440115E-3</v>
      </c>
    </row>
    <row r="61" spans="1:23" x14ac:dyDescent="0.25">
      <c r="A61" s="20" t="s">
        <v>21</v>
      </c>
      <c r="C61" s="12">
        <f t="shared" ref="C61:W61" si="48">-C33*B27</f>
        <v>-9.0447777973923071E-3</v>
      </c>
      <c r="D61" s="12">
        <f t="shared" si="48"/>
        <v>-1.2053290552216954E-2</v>
      </c>
      <c r="E61" s="12">
        <f t="shared" si="48"/>
        <v>-1.9858606317572729E-2</v>
      </c>
      <c r="F61" s="12">
        <f t="shared" si="48"/>
        <v>-1.5321573036255646E-2</v>
      </c>
      <c r="G61" s="12">
        <f t="shared" si="48"/>
        <v>-1.3715669251083633E-2</v>
      </c>
      <c r="H61" s="12">
        <f t="shared" si="48"/>
        <v>-1.1676688613833912E-2</v>
      </c>
      <c r="I61" s="14">
        <f t="shared" si="48"/>
        <v>-7.0857390659000161E-3</v>
      </c>
      <c r="J61" s="14">
        <f t="shared" si="48"/>
        <v>-1.1932627515923199E-2</v>
      </c>
      <c r="K61" s="14">
        <f t="shared" si="48"/>
        <v>-1.6836678887468638E-2</v>
      </c>
      <c r="L61" s="14">
        <f t="shared" si="48"/>
        <v>-1.2753604366688046E-2</v>
      </c>
      <c r="M61" s="14">
        <f t="shared" si="48"/>
        <v>-1.9151821308049554E-2</v>
      </c>
      <c r="N61" s="14">
        <f t="shared" si="48"/>
        <v>-2.1664965038741459E-2</v>
      </c>
      <c r="O61" s="14">
        <f t="shared" si="48"/>
        <v>-2.0667389510158535E-2</v>
      </c>
      <c r="P61" s="14">
        <f t="shared" si="48"/>
        <v>-2.170517557038568E-2</v>
      </c>
      <c r="Q61" s="14">
        <f t="shared" si="48"/>
        <v>-2.4090535272477023E-2</v>
      </c>
      <c r="R61" s="14">
        <f t="shared" si="48"/>
        <v>-4.02445442045265E-2</v>
      </c>
      <c r="S61" s="14">
        <f t="shared" si="48"/>
        <v>-2.2948511636711702E-2</v>
      </c>
      <c r="T61" s="14">
        <f t="shared" si="48"/>
        <v>-1.0772046538475985E-2</v>
      </c>
      <c r="U61" s="14">
        <f t="shared" si="48"/>
        <v>-1.4442283115314652E-2</v>
      </c>
      <c r="V61" s="14">
        <f t="shared" si="48"/>
        <v>-1.7713496780522867E-2</v>
      </c>
      <c r="W61" s="14">
        <f t="shared" si="48"/>
        <v>-1.9283070427288315E-2</v>
      </c>
    </row>
    <row r="62" spans="1:23" x14ac:dyDescent="0.25">
      <c r="A62" s="20" t="s">
        <v>29</v>
      </c>
      <c r="C62" s="12">
        <f t="shared" ref="C62:W62" si="49">-C34*B27</f>
        <v>-8.8186310817706757E-3</v>
      </c>
      <c r="D62" s="12">
        <f t="shared" si="49"/>
        <v>-9.2785004912604892E-3</v>
      </c>
      <c r="E62" s="12">
        <f t="shared" si="49"/>
        <v>-8.7315993895433486E-3</v>
      </c>
      <c r="F62" s="12">
        <f t="shared" si="49"/>
        <v>-7.6623483300889382E-3</v>
      </c>
      <c r="G62" s="12">
        <f t="shared" si="49"/>
        <v>-9.2297502780913209E-3</v>
      </c>
      <c r="H62" s="12">
        <f t="shared" si="49"/>
        <v>-1.1789088541559203E-2</v>
      </c>
      <c r="I62" s="12">
        <f t="shared" si="49"/>
        <v>-1.2003774536366968E-2</v>
      </c>
      <c r="J62" s="12">
        <f t="shared" si="49"/>
        <v>-1.6060984877281959E-2</v>
      </c>
      <c r="K62" s="12">
        <f t="shared" si="49"/>
        <v>-1.669717986869999E-2</v>
      </c>
      <c r="L62" s="12">
        <f t="shared" si="49"/>
        <v>-1.2751024055085321E-2</v>
      </c>
      <c r="M62" s="12">
        <f t="shared" si="49"/>
        <v>-1.6915821865993007E-2</v>
      </c>
      <c r="N62" s="12">
        <f t="shared" si="49"/>
        <v>-1.6998664876550988E-2</v>
      </c>
      <c r="O62" s="12">
        <f t="shared" si="49"/>
        <v>-1.4368082433432131E-2</v>
      </c>
      <c r="P62" s="12">
        <f t="shared" si="49"/>
        <v>-1.3478510041170125E-2</v>
      </c>
      <c r="Q62" s="12">
        <f t="shared" si="49"/>
        <v>-1.5897498315534761E-2</v>
      </c>
      <c r="R62" s="12">
        <f t="shared" si="49"/>
        <v>-1.4898402025105874E-2</v>
      </c>
      <c r="S62" s="12">
        <f t="shared" si="49"/>
        <v>-1.2878894447947903E-2</v>
      </c>
      <c r="T62" s="12">
        <f t="shared" si="49"/>
        <v>-1.1867508898321E-2</v>
      </c>
      <c r="U62" s="12">
        <f t="shared" si="49"/>
        <v>-1.3517976995934515E-2</v>
      </c>
      <c r="V62" s="12">
        <f t="shared" si="49"/>
        <v>-1.171310111937127E-2</v>
      </c>
      <c r="W62" s="12">
        <f t="shared" si="49"/>
        <v>-1.2798498071209058E-2</v>
      </c>
    </row>
    <row r="63" spans="1:23" x14ac:dyDescent="0.25">
      <c r="A63" s="20" t="s">
        <v>22</v>
      </c>
      <c r="C63" s="12">
        <f t="shared" ref="C63:W63" si="50">C28-C59-C60-C61-C62</f>
        <v>3.7461907603622835E-3</v>
      </c>
      <c r="D63" s="12">
        <f t="shared" si="50"/>
        <v>1.1924339250461331E-3</v>
      </c>
      <c r="E63" s="12">
        <f t="shared" si="50"/>
        <v>7.3923747737569372E-3</v>
      </c>
      <c r="F63" s="12">
        <f t="shared" si="50"/>
        <v>1.6677648518041752E-2</v>
      </c>
      <c r="G63" s="12">
        <f t="shared" si="50"/>
        <v>1.6253804385591365E-2</v>
      </c>
      <c r="H63" s="12">
        <f t="shared" si="50"/>
        <v>6.178640726061016E-3</v>
      </c>
      <c r="I63" s="12">
        <f t="shared" si="50"/>
        <v>2.8789046524332756E-2</v>
      </c>
      <c r="J63" s="12">
        <f t="shared" si="50"/>
        <v>2.3681568871672578E-3</v>
      </c>
      <c r="K63" s="12">
        <f t="shared" si="50"/>
        <v>-2.9745059526635299E-2</v>
      </c>
      <c r="L63" s="12">
        <f t="shared" si="50"/>
        <v>-7.0820030972682801E-3</v>
      </c>
      <c r="M63" s="12">
        <f t="shared" si="50"/>
        <v>-2.9709308208502597E-2</v>
      </c>
      <c r="N63" s="12">
        <f t="shared" si="50"/>
        <v>-2.1035295271520434E-2</v>
      </c>
      <c r="O63" s="12">
        <f t="shared" si="50"/>
        <v>-1.143729040195254E-2</v>
      </c>
      <c r="P63" s="12">
        <f t="shared" si="50"/>
        <v>-2.7480772173090511E-2</v>
      </c>
      <c r="Q63" s="12">
        <f t="shared" si="50"/>
        <v>-5.3112767525417215E-2</v>
      </c>
      <c r="R63" s="12">
        <f t="shared" si="50"/>
        <v>-6.6616172408705349E-2</v>
      </c>
      <c r="S63" s="12">
        <f t="shared" si="50"/>
        <v>-4.6233112909197474E-2</v>
      </c>
      <c r="T63" s="12">
        <f t="shared" si="50"/>
        <v>-1.8451113292577689E-2</v>
      </c>
      <c r="U63" s="12">
        <f t="shared" si="50"/>
        <v>1.6207439122466714E-3</v>
      </c>
      <c r="V63" s="12">
        <f t="shared" si="50"/>
        <v>1.3767020426089779E-2</v>
      </c>
      <c r="W63" s="12">
        <f t="shared" si="50"/>
        <v>4.4923440297247569E-2</v>
      </c>
    </row>
    <row r="64" spans="1:23" x14ac:dyDescent="0.25">
      <c r="A64" s="20" t="s">
        <v>23</v>
      </c>
      <c r="C64" s="12">
        <f>SUM(C59:C63)</f>
        <v>5.6446921498763125E-3</v>
      </c>
      <c r="D64" s="12">
        <f t="shared" ref="D64:W64" si="51">SUM(D59:D63)</f>
        <v>1.3399703413288222E-3</v>
      </c>
      <c r="E64" s="12">
        <f t="shared" si="51"/>
        <v>6.2596189711203454E-3</v>
      </c>
      <c r="F64" s="12">
        <f t="shared" si="51"/>
        <v>1.5721235087061247E-2</v>
      </c>
      <c r="G64" s="12">
        <f t="shared" si="51"/>
        <v>2.4744878888335597E-2</v>
      </c>
      <c r="H64" s="12">
        <f t="shared" si="51"/>
        <v>2.0446268666296952E-2</v>
      </c>
      <c r="I64" s="12">
        <f t="shared" si="51"/>
        <v>4.1887222345011389E-2</v>
      </c>
      <c r="J64" s="12">
        <f t="shared" si="51"/>
        <v>1.781973661991048E-2</v>
      </c>
      <c r="K64" s="12">
        <f t="shared" si="51"/>
        <v>1.0539855120019089E-2</v>
      </c>
      <c r="L64" s="12">
        <f t="shared" si="51"/>
        <v>2.8150596262448813E-2</v>
      </c>
      <c r="M64" s="12">
        <f t="shared" si="51"/>
        <v>9.2492642890535347E-3</v>
      </c>
      <c r="N64" s="12">
        <f t="shared" si="51"/>
        <v>2.0586501553689004E-2</v>
      </c>
      <c r="O64" s="12">
        <f t="shared" si="51"/>
        <v>1.3368197986971919E-2</v>
      </c>
      <c r="P64" s="12">
        <f t="shared" si="51"/>
        <v>8.5655293631381503E-3</v>
      </c>
      <c r="Q64" s="12">
        <f t="shared" si="51"/>
        <v>1.34735146683157E-3</v>
      </c>
      <c r="R64" s="12">
        <f t="shared" si="51"/>
        <v>-1.2333532321364922E-2</v>
      </c>
      <c r="S64" s="12">
        <f t="shared" si="51"/>
        <v>3.1291745689643324E-4</v>
      </c>
      <c r="T64" s="12">
        <f t="shared" si="51"/>
        <v>1.9973429793385622E-2</v>
      </c>
      <c r="U64" s="12">
        <f t="shared" si="51"/>
        <v>2.5858454446741504E-2</v>
      </c>
      <c r="V64" s="12">
        <f t="shared" si="51"/>
        <v>1.5630598185169708E-2</v>
      </c>
      <c r="W64" s="12">
        <f t="shared" si="51"/>
        <v>6.0150441273699784E-2</v>
      </c>
    </row>
    <row r="66" spans="1:23" x14ac:dyDescent="0.25">
      <c r="A66" s="25" t="s">
        <v>31</v>
      </c>
      <c r="B66" s="16" t="s">
        <v>30</v>
      </c>
      <c r="C66" s="12">
        <f t="shared" ref="C66:W66" si="52">C24+C33+1</f>
        <v>1.2220481915186623</v>
      </c>
      <c r="D66" s="12">
        <f t="shared" si="52"/>
        <v>1.2326932400676776</v>
      </c>
      <c r="E66" s="12">
        <f t="shared" si="52"/>
        <v>1.3106168465376313</v>
      </c>
      <c r="F66" s="12">
        <f t="shared" si="52"/>
        <v>1.2464273519601163</v>
      </c>
      <c r="G66" s="12">
        <f t="shared" si="52"/>
        <v>1.2950547487784099</v>
      </c>
      <c r="H66" s="12">
        <f t="shared" si="52"/>
        <v>1.2980772982827029</v>
      </c>
      <c r="I66" s="12">
        <f t="shared" si="52"/>
        <v>1.2747482156771077</v>
      </c>
      <c r="J66" s="12">
        <f t="shared" si="52"/>
        <v>1.3172136709388349</v>
      </c>
      <c r="K66" s="12">
        <f t="shared" si="52"/>
        <v>1.3857460731955231</v>
      </c>
      <c r="L66" s="12">
        <f t="shared" si="52"/>
        <v>1.3322728752098776</v>
      </c>
      <c r="M66" s="12">
        <f t="shared" si="52"/>
        <v>1.3811430086736607</v>
      </c>
      <c r="N66" s="12">
        <f t="shared" si="52"/>
        <v>1.3388341446053484</v>
      </c>
      <c r="O66" s="12">
        <f t="shared" si="52"/>
        <v>1.2841561977981757</v>
      </c>
      <c r="P66" s="12">
        <f t="shared" si="52"/>
        <v>1.2988324415786492</v>
      </c>
      <c r="Q66" s="12">
        <f t="shared" si="52"/>
        <v>1.3196560655760858</v>
      </c>
      <c r="R66" s="12">
        <f t="shared" si="52"/>
        <v>1.3620161928065626</v>
      </c>
      <c r="S66" s="12">
        <f t="shared" si="52"/>
        <v>1.2832077562319808</v>
      </c>
      <c r="T66" s="12">
        <f t="shared" si="52"/>
        <v>1.1969517306142412</v>
      </c>
      <c r="U66" s="12">
        <f t="shared" si="52"/>
        <v>1.183456771584674</v>
      </c>
      <c r="V66" s="12">
        <f t="shared" si="52"/>
        <v>1.1447471612447113</v>
      </c>
      <c r="W66" s="12">
        <f t="shared" si="52"/>
        <v>1.1703027472642773</v>
      </c>
    </row>
    <row r="67" spans="1:23" x14ac:dyDescent="0.25">
      <c r="A67" s="20" t="s">
        <v>19</v>
      </c>
      <c r="C67" s="12">
        <f t="shared" ref="C67:W67" si="53">C59/C$66</f>
        <v>2.0127169008599871E-2</v>
      </c>
      <c r="D67" s="12">
        <f t="shared" si="53"/>
        <v>1.9886622328053435E-2</v>
      </c>
      <c r="E67" s="12">
        <f t="shared" si="53"/>
        <v>2.2409741694417146E-2</v>
      </c>
      <c r="F67" s="12">
        <f t="shared" si="53"/>
        <v>2.0279452507678344E-2</v>
      </c>
      <c r="G67" s="12">
        <f t="shared" si="53"/>
        <v>3.0525863308684276E-2</v>
      </c>
      <c r="H67" s="12">
        <f t="shared" si="53"/>
        <v>3.8127936662402412E-2</v>
      </c>
      <c r="I67" s="12">
        <f t="shared" si="53"/>
        <v>4.3078369857059505E-2</v>
      </c>
      <c r="J67" s="12">
        <f t="shared" si="53"/>
        <v>5.5372308110482188E-2</v>
      </c>
      <c r="K67" s="12">
        <f t="shared" si="53"/>
        <v>6.7286995676746328E-2</v>
      </c>
      <c r="L67" s="12">
        <f t="shared" si="53"/>
        <v>6.4227355042757672E-2</v>
      </c>
      <c r="M67" s="12">
        <f t="shared" si="53"/>
        <v>7.5561022482074372E-2</v>
      </c>
      <c r="N67" s="12">
        <f t="shared" si="53"/>
        <v>6.8171909041369938E-2</v>
      </c>
      <c r="O67" s="12">
        <f t="shared" si="53"/>
        <v>6.2214928635245817E-2</v>
      </c>
      <c r="P67" s="12">
        <f t="shared" si="53"/>
        <v>6.778748215358267E-2</v>
      </c>
      <c r="Q67" s="12">
        <f t="shared" si="53"/>
        <v>7.2780302329550642E-2</v>
      </c>
      <c r="R67" s="12">
        <f t="shared" si="53"/>
        <v>7.0703136881800174E-2</v>
      </c>
      <c r="S67" s="12">
        <f t="shared" si="53"/>
        <v>6.2637827983434188E-2</v>
      </c>
      <c r="T67" s="12">
        <f t="shared" si="53"/>
        <v>5.1084507221432651E-2</v>
      </c>
      <c r="U67" s="12">
        <f t="shared" si="53"/>
        <v>4.7498121738193233E-2</v>
      </c>
      <c r="V67" s="12">
        <f t="shared" si="53"/>
        <v>3.6493264234558995E-2</v>
      </c>
      <c r="W67" s="12">
        <f t="shared" si="53"/>
        <v>4.5604361017056901E-2</v>
      </c>
    </row>
    <row r="68" spans="1:23" x14ac:dyDescent="0.25">
      <c r="A68" s="20" t="s">
        <v>20</v>
      </c>
      <c r="C68" s="12">
        <f t="shared" ref="C68:W68" si="54">C60/C$66</f>
        <v>-3.9560307459438658E-3</v>
      </c>
      <c r="D68" s="12">
        <f t="shared" si="54"/>
        <v>-2.4619080831851273E-3</v>
      </c>
      <c r="E68" s="12">
        <f t="shared" si="54"/>
        <v>-1.4597211166898091E-3</v>
      </c>
      <c r="F68" s="12">
        <f t="shared" si="54"/>
        <v>-2.606936014259062E-3</v>
      </c>
      <c r="G68" s="12">
        <f t="shared" si="54"/>
        <v>-6.2516045859759267E-3</v>
      </c>
      <c r="H68" s="12">
        <f t="shared" si="54"/>
        <v>-9.0592478057768301E-3</v>
      </c>
      <c r="I68" s="12">
        <f t="shared" si="54"/>
        <v>-1.7828136887838613E-2</v>
      </c>
      <c r="J68" s="12">
        <f t="shared" si="54"/>
        <v>-2.2389662178039713E-2</v>
      </c>
      <c r="K68" s="12">
        <f t="shared" si="54"/>
        <v>-1.4016937885712993E-2</v>
      </c>
      <c r="L68" s="12">
        <f t="shared" si="54"/>
        <v>-1.8638175144516246E-2</v>
      </c>
      <c r="M68" s="12">
        <f t="shared" si="54"/>
        <v>-2.1239192519188863E-2</v>
      </c>
      <c r="N68" s="12">
        <f t="shared" si="54"/>
        <v>-8.2052379910376848E-3</v>
      </c>
      <c r="O68" s="12">
        <f t="shared" si="54"/>
        <v>-1.5615488134846487E-2</v>
      </c>
      <c r="P68" s="12">
        <f t="shared" si="54"/>
        <v>-1.2945929950583419E-2</v>
      </c>
      <c r="Q68" s="12">
        <f t="shared" si="54"/>
        <v>-1.2100234940345504E-3</v>
      </c>
      <c r="R68" s="12">
        <f t="shared" si="54"/>
        <v>9.63774812008154E-3</v>
      </c>
      <c r="S68" s="12">
        <f t="shared" si="54"/>
        <v>1.5555468233355017E-3</v>
      </c>
      <c r="T68" s="12">
        <f t="shared" si="54"/>
        <v>-6.8165491909472935E-5</v>
      </c>
      <c r="U68" s="12">
        <f t="shared" si="54"/>
        <v>-3.3917615406426301E-3</v>
      </c>
      <c r="V68" s="12">
        <f t="shared" si="54"/>
        <v>-9.1595640793635889E-3</v>
      </c>
      <c r="W68" s="12">
        <f t="shared" si="54"/>
        <v>-5.1801463550482599E-3</v>
      </c>
    </row>
    <row r="69" spans="1:23" x14ac:dyDescent="0.25">
      <c r="A69" s="20" t="s">
        <v>21</v>
      </c>
      <c r="C69" s="12">
        <f t="shared" ref="C69:W69" si="55">C61/C$66</f>
        <v>-7.401326609020379E-3</v>
      </c>
      <c r="D69" s="12">
        <f t="shared" si="55"/>
        <v>-9.7780130209485054E-3</v>
      </c>
      <c r="E69" s="12">
        <f t="shared" si="55"/>
        <v>-1.5152106712220973E-2</v>
      </c>
      <c r="F69" s="12">
        <f t="shared" si="55"/>
        <v>-1.2292391539836741E-2</v>
      </c>
      <c r="G69" s="12">
        <f t="shared" si="55"/>
        <v>-1.0590802639055416E-2</v>
      </c>
      <c r="H69" s="12">
        <f t="shared" si="55"/>
        <v>-8.9953723320495924E-3</v>
      </c>
      <c r="I69" s="12">
        <f t="shared" si="55"/>
        <v>-5.5585400934538946E-3</v>
      </c>
      <c r="J69" s="12">
        <f t="shared" si="55"/>
        <v>-9.0589915510201936E-3</v>
      </c>
      <c r="K69" s="12">
        <f t="shared" si="55"/>
        <v>-1.2149901928744669E-2</v>
      </c>
      <c r="L69" s="12">
        <f t="shared" si="55"/>
        <v>-9.5728169536431693E-3</v>
      </c>
      <c r="M69" s="12">
        <f t="shared" si="55"/>
        <v>-1.3866646095136399E-2</v>
      </c>
      <c r="N69" s="12">
        <f t="shared" si="55"/>
        <v>-1.6181963334321516E-2</v>
      </c>
      <c r="O69" s="12">
        <f t="shared" si="55"/>
        <v>-1.60941399072753E-2</v>
      </c>
      <c r="P69" s="12">
        <f t="shared" si="55"/>
        <v>-1.6711297682097011E-2</v>
      </c>
      <c r="Q69" s="12">
        <f t="shared" si="55"/>
        <v>-1.8255162008413522E-2</v>
      </c>
      <c r="R69" s="12">
        <f t="shared" si="55"/>
        <v>-2.9547772204968303E-2</v>
      </c>
      <c r="S69" s="12">
        <f t="shared" si="55"/>
        <v>-1.7883707081149395E-2</v>
      </c>
      <c r="T69" s="12">
        <f t="shared" si="55"/>
        <v>-8.9995663675995364E-3</v>
      </c>
      <c r="U69" s="12">
        <f t="shared" si="55"/>
        <v>-1.2203473301332439E-2</v>
      </c>
      <c r="V69" s="12">
        <f t="shared" si="55"/>
        <v>-1.5473719769929417E-2</v>
      </c>
      <c r="W69" s="12">
        <f t="shared" si="55"/>
        <v>-1.6476993215956127E-2</v>
      </c>
    </row>
    <row r="70" spans="1:23" x14ac:dyDescent="0.25">
      <c r="A70" s="20" t="s">
        <v>29</v>
      </c>
      <c r="C70" s="12">
        <f>C62/C$66</f>
        <v>-7.2162711282372565E-3</v>
      </c>
      <c r="D70" s="12">
        <f t="shared" ref="D70:W70" si="56">D62/D$66</f>
        <v>-7.5270149861056098E-3</v>
      </c>
      <c r="E70" s="12">
        <f t="shared" si="56"/>
        <v>-6.6622059777503712E-3</v>
      </c>
      <c r="F70" s="12">
        <f t="shared" si="56"/>
        <v>-6.1474488007979156E-3</v>
      </c>
      <c r="G70" s="12">
        <f t="shared" si="56"/>
        <v>-7.1269189868594322E-3</v>
      </c>
      <c r="H70" s="12">
        <f t="shared" si="56"/>
        <v>-9.0819618809724438E-3</v>
      </c>
      <c r="I70" s="12">
        <f t="shared" si="56"/>
        <v>-9.4165846939357565E-3</v>
      </c>
      <c r="J70" s="12">
        <f t="shared" si="56"/>
        <v>-1.2193150763334094E-2</v>
      </c>
      <c r="K70" s="12">
        <f t="shared" si="56"/>
        <v>-1.204923484300149E-2</v>
      </c>
      <c r="L70" s="12">
        <f t="shared" si="56"/>
        <v>-9.5708801795402528E-3</v>
      </c>
      <c r="M70" s="12">
        <f t="shared" si="56"/>
        <v>-1.2247697566262606E-2</v>
      </c>
      <c r="N70" s="12">
        <f t="shared" si="56"/>
        <v>-1.2696617385390727E-2</v>
      </c>
      <c r="O70" s="12">
        <f t="shared" si="56"/>
        <v>-1.1188734250605775E-2</v>
      </c>
      <c r="P70" s="12">
        <f t="shared" si="56"/>
        <v>-1.037740482120068E-2</v>
      </c>
      <c r="Q70" s="12">
        <f t="shared" si="56"/>
        <v>-1.2046698174038877E-2</v>
      </c>
      <c r="R70" s="12">
        <f t="shared" si="56"/>
        <v>-1.0938491116178518E-2</v>
      </c>
      <c r="S70" s="12">
        <f t="shared" si="56"/>
        <v>-1.0036484260168102E-2</v>
      </c>
      <c r="T70" s="12">
        <f t="shared" si="56"/>
        <v>-9.9147765066774536E-3</v>
      </c>
      <c r="U70" s="12">
        <f t="shared" si="56"/>
        <v>-1.1422451010047163E-2</v>
      </c>
      <c r="V70" s="12">
        <f t="shared" si="56"/>
        <v>-1.023204207524335E-2</v>
      </c>
      <c r="W70" s="12">
        <f t="shared" si="56"/>
        <v>-1.0936057444218668E-2</v>
      </c>
    </row>
    <row r="71" spans="1:23" x14ac:dyDescent="0.25">
      <c r="A71" s="20" t="s">
        <v>22</v>
      </c>
      <c r="C71" s="12">
        <f t="shared" ref="C71:W71" si="57">C28-C67-C68-C69-C70</f>
        <v>4.0911516244779419E-3</v>
      </c>
      <c r="D71" s="12">
        <f t="shared" si="57"/>
        <v>1.2202841035146303E-3</v>
      </c>
      <c r="E71" s="12">
        <f t="shared" si="57"/>
        <v>7.1239110833643537E-3</v>
      </c>
      <c r="F71" s="12">
        <f t="shared" si="57"/>
        <v>1.6488558934276622E-2</v>
      </c>
      <c r="G71" s="12">
        <f t="shared" si="57"/>
        <v>1.8188341791542096E-2</v>
      </c>
      <c r="H71" s="12">
        <f t="shared" si="57"/>
        <v>9.4549140226934062E-3</v>
      </c>
      <c r="I71" s="12">
        <f t="shared" si="57"/>
        <v>3.161211416318014E-2</v>
      </c>
      <c r="J71" s="12">
        <f t="shared" si="57"/>
        <v>6.0892330018222987E-3</v>
      </c>
      <c r="K71" s="12">
        <f t="shared" si="57"/>
        <v>-1.8531065899268079E-2</v>
      </c>
      <c r="L71" s="12">
        <f t="shared" si="57"/>
        <v>1.7051134973908085E-3</v>
      </c>
      <c r="M71" s="12">
        <f t="shared" si="57"/>
        <v>-1.8958222012432968E-2</v>
      </c>
      <c r="N71" s="12">
        <f t="shared" si="57"/>
        <v>-1.0501588776930991E-2</v>
      </c>
      <c r="O71" s="12">
        <f t="shared" si="57"/>
        <v>-5.9483683555463379E-3</v>
      </c>
      <c r="P71" s="12">
        <f t="shared" si="57"/>
        <v>-1.9187320336563413E-2</v>
      </c>
      <c r="Q71" s="12">
        <f t="shared" si="57"/>
        <v>-3.9921067186232118E-2</v>
      </c>
      <c r="R71" s="12">
        <f t="shared" si="57"/>
        <v>-5.2188154002099807E-2</v>
      </c>
      <c r="S71" s="12">
        <f t="shared" si="57"/>
        <v>-3.5960266008555765E-2</v>
      </c>
      <c r="T71" s="12">
        <f t="shared" si="57"/>
        <v>-1.2128569061860568E-2</v>
      </c>
      <c r="U71" s="12">
        <f t="shared" si="57"/>
        <v>5.3780185605705084E-3</v>
      </c>
      <c r="V71" s="12">
        <f t="shared" si="57"/>
        <v>1.400265987514707E-2</v>
      </c>
      <c r="W71" s="12">
        <f t="shared" si="57"/>
        <v>4.7139277271865933E-2</v>
      </c>
    </row>
    <row r="72" spans="1:23" ht="15.75" x14ac:dyDescent="0.25">
      <c r="A72" s="23" t="s">
        <v>14</v>
      </c>
      <c r="C72" s="14">
        <f>SUM(C67:C71)</f>
        <v>5.6446921498763125E-3</v>
      </c>
      <c r="D72" s="14">
        <f t="shared" ref="D72:W72" si="58">SUM(D67:D71)</f>
        <v>1.3399703413288222E-3</v>
      </c>
      <c r="E72" s="14">
        <f t="shared" si="58"/>
        <v>6.2596189711203471E-3</v>
      </c>
      <c r="F72" s="14">
        <f t="shared" si="58"/>
        <v>1.5721235087061247E-2</v>
      </c>
      <c r="G72" s="14">
        <f t="shared" si="58"/>
        <v>2.4744878888335597E-2</v>
      </c>
      <c r="H72" s="14">
        <f t="shared" si="58"/>
        <v>2.0446268666296952E-2</v>
      </c>
      <c r="I72" s="14">
        <f t="shared" si="58"/>
        <v>4.1887222345011382E-2</v>
      </c>
      <c r="J72" s="14">
        <f t="shared" si="58"/>
        <v>1.7819736619910487E-2</v>
      </c>
      <c r="K72" s="14">
        <f t="shared" si="58"/>
        <v>1.0539855120019093E-2</v>
      </c>
      <c r="L72" s="14">
        <f t="shared" si="58"/>
        <v>2.8150596262448813E-2</v>
      </c>
      <c r="M72" s="14">
        <f t="shared" si="58"/>
        <v>9.2492642890535381E-3</v>
      </c>
      <c r="N72" s="14">
        <f t="shared" si="58"/>
        <v>2.0586501553689018E-2</v>
      </c>
      <c r="O72" s="14">
        <f t="shared" si="58"/>
        <v>1.3368197986971919E-2</v>
      </c>
      <c r="P72" s="14">
        <f t="shared" si="58"/>
        <v>8.5655293631381468E-3</v>
      </c>
      <c r="Q72" s="14">
        <f t="shared" si="58"/>
        <v>1.34735146683157E-3</v>
      </c>
      <c r="R72" s="14">
        <f t="shared" si="58"/>
        <v>-1.2333532321364915E-2</v>
      </c>
      <c r="S72" s="14">
        <f t="shared" si="58"/>
        <v>3.1291745689643324E-4</v>
      </c>
      <c r="T72" s="14">
        <f t="shared" si="58"/>
        <v>1.9973429793385618E-2</v>
      </c>
      <c r="U72" s="14">
        <f t="shared" si="58"/>
        <v>2.5858454446741511E-2</v>
      </c>
      <c r="V72" s="14">
        <f t="shared" si="58"/>
        <v>1.5630598185169708E-2</v>
      </c>
      <c r="W72" s="14">
        <f t="shared" si="58"/>
        <v>6.0150441273699784E-2</v>
      </c>
    </row>
    <row r="74" spans="1:23" ht="15.75" x14ac:dyDescent="0.25">
      <c r="A74" s="21" t="s">
        <v>18</v>
      </c>
      <c r="B74" s="3"/>
      <c r="C74" s="5">
        <f t="shared" ref="C74:W74" si="59">C13</f>
        <v>2.8807502856671441E-2</v>
      </c>
      <c r="D74" s="5">
        <f t="shared" si="59"/>
        <v>1.1735662782889067E-2</v>
      </c>
      <c r="E74" s="5">
        <f t="shared" si="59"/>
        <v>3.7668782960728731E-2</v>
      </c>
      <c r="F74" s="5">
        <f t="shared" si="59"/>
        <v>2.7102266671334307E-2</v>
      </c>
      <c r="G74" s="5">
        <f t="shared" si="59"/>
        <v>2.7126940421410062E-2</v>
      </c>
      <c r="H74" s="5">
        <f t="shared" si="59"/>
        <v>4.5932632310765165E-2</v>
      </c>
      <c r="I74" s="5">
        <f t="shared" si="59"/>
        <v>8.2906587217253191E-2</v>
      </c>
      <c r="J74" s="5">
        <f t="shared" si="59"/>
        <v>9.2454002750960829E-2</v>
      </c>
      <c r="K74" s="5">
        <f t="shared" si="59"/>
        <v>4.2455702997445277E-2</v>
      </c>
      <c r="L74" s="5">
        <f t="shared" si="59"/>
        <v>8.6774775780070756E-2</v>
      </c>
      <c r="M74" s="5">
        <f t="shared" si="59"/>
        <v>6.6560331841201359E-2</v>
      </c>
      <c r="N74" s="5">
        <f t="shared" si="59"/>
        <v>6.5812412647170637E-2</v>
      </c>
      <c r="O74" s="5">
        <f t="shared" si="59"/>
        <v>5.3638855266990415E-2</v>
      </c>
      <c r="P74" s="5">
        <f t="shared" si="59"/>
        <v>4.0394873072240323E-2</v>
      </c>
      <c r="Q74" s="5">
        <f t="shared" si="59"/>
        <v>-2.1958037001753361E-2</v>
      </c>
      <c r="R74" s="5">
        <f t="shared" si="59"/>
        <v>-6.3767251389849733E-2</v>
      </c>
      <c r="S74" s="5">
        <f t="shared" si="59"/>
        <v>-1.3941803739464298E-2</v>
      </c>
      <c r="T74" s="5">
        <f t="shared" si="59"/>
        <v>3.7078434632299428E-2</v>
      </c>
      <c r="U74" s="5">
        <f t="shared" si="59"/>
        <v>2.2107295591941689E-2</v>
      </c>
      <c r="V74" s="5">
        <f t="shared" si="59"/>
        <v>-5.1913625352446258E-2</v>
      </c>
      <c r="W74" s="5">
        <f t="shared" si="59"/>
        <v>0.12734278816538547</v>
      </c>
    </row>
    <row r="75" spans="1:23" x14ac:dyDescent="0.25">
      <c r="A75" s="20" t="s">
        <v>25</v>
      </c>
      <c r="C75" s="12">
        <f>C56</f>
        <v>1.6511333111235472E-3</v>
      </c>
      <c r="D75" s="12">
        <f t="shared" ref="D75:W75" si="60">D56</f>
        <v>1.2773114024031924E-4</v>
      </c>
      <c r="E75" s="12">
        <f t="shared" si="60"/>
        <v>-9.4992864922156285E-4</v>
      </c>
      <c r="F75" s="12">
        <f t="shared" si="60"/>
        <v>-8.2504010117424344E-4</v>
      </c>
      <c r="G75" s="12">
        <f t="shared" si="60"/>
        <v>7.2449144999709447E-3</v>
      </c>
      <c r="H75" s="12">
        <f t="shared" si="60"/>
        <v>1.2177362245801687E-2</v>
      </c>
      <c r="I75" s="12">
        <f t="shared" si="60"/>
        <v>1.105047350453551E-2</v>
      </c>
      <c r="J75" s="12">
        <f t="shared" si="60"/>
        <v>1.2718804073349655E-2</v>
      </c>
      <c r="K75" s="12">
        <f t="shared" si="60"/>
        <v>3.3979149151938656E-2</v>
      </c>
      <c r="L75" s="12">
        <f t="shared" si="60"/>
        <v>3.0110591122079495E-2</v>
      </c>
      <c r="M75" s="12">
        <f t="shared" si="60"/>
        <v>3.2416258901252722E-2</v>
      </c>
      <c r="N75" s="12">
        <f t="shared" si="60"/>
        <v>3.622566057684283E-2</v>
      </c>
      <c r="O75" s="12">
        <f t="shared" si="60"/>
        <v>2.1464289657235517E-2</v>
      </c>
      <c r="P75" s="12">
        <f t="shared" si="60"/>
        <v>3.1575698419124477E-2</v>
      </c>
      <c r="Q75" s="12">
        <f t="shared" si="60"/>
        <v>4.9034509435467173E-2</v>
      </c>
      <c r="R75" s="12">
        <f t="shared" si="60"/>
        <v>4.8841804036758162E-2</v>
      </c>
      <c r="S75" s="12">
        <f t="shared" si="60"/>
        <v>4.2596138153502432E-2</v>
      </c>
      <c r="T75" s="12">
        <f t="shared" si="60"/>
        <v>3.6173691488098063E-2</v>
      </c>
      <c r="U75" s="12">
        <f t="shared" si="60"/>
        <v>2.2379691907847242E-2</v>
      </c>
      <c r="V75" s="12">
        <f t="shared" si="60"/>
        <v>1.6986200840721035E-3</v>
      </c>
      <c r="W75" s="12">
        <f t="shared" si="60"/>
        <v>1.3977287819839273E-2</v>
      </c>
    </row>
    <row r="76" spans="1:23" x14ac:dyDescent="0.25">
      <c r="A76" s="20" t="s">
        <v>26</v>
      </c>
      <c r="C76" s="12">
        <f>C57</f>
        <v>3.9935588387527655E-3</v>
      </c>
      <c r="D76" s="12">
        <f t="shared" ref="D76:W76" si="61">D57</f>
        <v>1.212239201088503E-3</v>
      </c>
      <c r="E76" s="12">
        <f t="shared" si="61"/>
        <v>7.2095476203419082E-3</v>
      </c>
      <c r="F76" s="12">
        <f t="shared" si="61"/>
        <v>1.6546275188235489E-2</v>
      </c>
      <c r="G76" s="12">
        <f t="shared" si="61"/>
        <v>1.7499964388364653E-2</v>
      </c>
      <c r="H76" s="12">
        <f t="shared" si="61"/>
        <v>8.2689064204952648E-3</v>
      </c>
      <c r="I76" s="12">
        <f t="shared" si="61"/>
        <v>3.0836748840475874E-2</v>
      </c>
      <c r="J76" s="12">
        <f t="shared" si="61"/>
        <v>5.100932546560832E-3</v>
      </c>
      <c r="K76" s="12">
        <f t="shared" si="61"/>
        <v>-2.3439294031919564E-2</v>
      </c>
      <c r="L76" s="12">
        <f t="shared" si="61"/>
        <v>-1.9599948596306822E-3</v>
      </c>
      <c r="M76" s="12">
        <f t="shared" si="61"/>
        <v>-2.3166994612199183E-2</v>
      </c>
      <c r="N76" s="12">
        <f t="shared" si="61"/>
        <v>-1.5639159023153812E-2</v>
      </c>
      <c r="O76" s="12">
        <f t="shared" si="61"/>
        <v>-8.0960916702635978E-3</v>
      </c>
      <c r="P76" s="12">
        <f t="shared" si="61"/>
        <v>-2.3010169055986331E-2</v>
      </c>
      <c r="Q76" s="12">
        <f t="shared" si="61"/>
        <v>-4.7687157968635603E-2</v>
      </c>
      <c r="R76" s="12">
        <f t="shared" si="61"/>
        <v>-6.1175336358123077E-2</v>
      </c>
      <c r="S76" s="12">
        <f t="shared" si="61"/>
        <v>-4.2283220696605998E-2</v>
      </c>
      <c r="T76" s="12">
        <f t="shared" si="61"/>
        <v>-1.6200261694712441E-2</v>
      </c>
      <c r="U76" s="12">
        <f t="shared" si="61"/>
        <v>3.4787625388942658E-3</v>
      </c>
      <c r="V76" s="12">
        <f t="shared" si="61"/>
        <v>1.3931978101097605E-2</v>
      </c>
      <c r="W76" s="12">
        <f t="shared" si="61"/>
        <v>4.6173153453860513E-2</v>
      </c>
    </row>
    <row r="77" spans="1:23" ht="15.75" x14ac:dyDescent="0.25">
      <c r="A77" s="23" t="s">
        <v>14</v>
      </c>
      <c r="C77" s="14">
        <f>C58</f>
        <v>5.6446921498763125E-3</v>
      </c>
      <c r="D77" s="14">
        <f t="shared" ref="D77:W77" si="62">D58</f>
        <v>1.3399703413288222E-3</v>
      </c>
      <c r="E77" s="14">
        <f t="shared" si="62"/>
        <v>6.2596189711203454E-3</v>
      </c>
      <c r="F77" s="14">
        <f t="shared" si="62"/>
        <v>1.5721235087061247E-2</v>
      </c>
      <c r="G77" s="14">
        <f t="shared" si="62"/>
        <v>2.4744878888335597E-2</v>
      </c>
      <c r="H77" s="14">
        <f t="shared" si="62"/>
        <v>2.0446268666296952E-2</v>
      </c>
      <c r="I77" s="14">
        <f t="shared" si="62"/>
        <v>4.1887222345011382E-2</v>
      </c>
      <c r="J77" s="14">
        <f t="shared" si="62"/>
        <v>1.7819736619910487E-2</v>
      </c>
      <c r="K77" s="14">
        <f t="shared" si="62"/>
        <v>1.0539855120019093E-2</v>
      </c>
      <c r="L77" s="14">
        <f t="shared" si="62"/>
        <v>2.8150596262448813E-2</v>
      </c>
      <c r="M77" s="14">
        <f t="shared" si="62"/>
        <v>9.2492642890535381E-3</v>
      </c>
      <c r="N77" s="14">
        <f t="shared" si="62"/>
        <v>2.0586501553689018E-2</v>
      </c>
      <c r="O77" s="14">
        <f t="shared" si="62"/>
        <v>1.3368197986971919E-2</v>
      </c>
      <c r="P77" s="14">
        <f t="shared" si="62"/>
        <v>8.5655293631381468E-3</v>
      </c>
      <c r="Q77" s="14">
        <f t="shared" si="62"/>
        <v>1.34735146683157E-3</v>
      </c>
      <c r="R77" s="14">
        <f t="shared" si="62"/>
        <v>-1.2333532321364915E-2</v>
      </c>
      <c r="S77" s="14">
        <f t="shared" si="62"/>
        <v>3.1291745689643324E-4</v>
      </c>
      <c r="T77" s="14">
        <f t="shared" si="62"/>
        <v>1.9973429793385622E-2</v>
      </c>
      <c r="U77" s="14">
        <f t="shared" si="62"/>
        <v>2.5858454446741508E-2</v>
      </c>
      <c r="V77" s="14">
        <f t="shared" si="62"/>
        <v>1.5630598185169708E-2</v>
      </c>
      <c r="W77" s="14">
        <f t="shared" si="62"/>
        <v>6.0150441273699784E-2</v>
      </c>
    </row>
    <row r="80" spans="1:23" x14ac:dyDescent="0.25">
      <c r="C80" s="4">
        <f t="shared" ref="C80:W80" si="63">C6+C33</f>
        <v>9.1609824820459901E-2</v>
      </c>
      <c r="D80" s="4">
        <f t="shared" si="63"/>
        <v>9.6011525723656913E-2</v>
      </c>
      <c r="E80" s="4">
        <f t="shared" si="63"/>
        <v>0.13737113039757778</v>
      </c>
      <c r="F80" s="4">
        <f t="shared" si="63"/>
        <v>0.11272317986621121</v>
      </c>
      <c r="G80" s="4">
        <f t="shared" si="63"/>
        <v>0.12086175077817767</v>
      </c>
      <c r="H80" s="4">
        <f t="shared" si="63"/>
        <v>0.11420404269227752</v>
      </c>
      <c r="I80" s="4">
        <f t="shared" si="63"/>
        <v>0.13211052630121248</v>
      </c>
      <c r="J80" s="4">
        <f t="shared" si="63"/>
        <v>0.15483069483138159</v>
      </c>
      <c r="K80" s="4">
        <f t="shared" si="63"/>
        <v>0.12706633832167175</v>
      </c>
      <c r="L80" s="4">
        <f t="shared" si="63"/>
        <v>0.12701525217902895</v>
      </c>
      <c r="M80" s="4">
        <f t="shared" si="63"/>
        <v>0.14962198125430809</v>
      </c>
      <c r="N80" s="4">
        <f t="shared" si="63"/>
        <v>9.7958946847089223E-2</v>
      </c>
      <c r="O80" s="4">
        <f t="shared" si="63"/>
        <v>0.11506314026901143</v>
      </c>
      <c r="P80" s="4">
        <f t="shared" si="63"/>
        <v>0.10488366531637723</v>
      </c>
      <c r="Q80" s="4">
        <f t="shared" si="63"/>
        <v>6.8348798555272608E-2</v>
      </c>
      <c r="R80" s="4">
        <f t="shared" si="63"/>
        <v>7.189711478485715E-2</v>
      </c>
      <c r="S80" s="4">
        <f t="shared" si="63"/>
        <v>5.742888068766587E-2</v>
      </c>
      <c r="T80" s="4">
        <f t="shared" si="63"/>
        <v>2.9723442100340423E-2</v>
      </c>
      <c r="U80" s="4">
        <f t="shared" si="63"/>
        <v>4.7922529277809066E-2</v>
      </c>
      <c r="V80" s="4">
        <f t="shared" si="63"/>
        <v>6.86127543790572E-2</v>
      </c>
      <c r="W80" s="4">
        <f t="shared" si="63"/>
        <v>5.9410275635814448E-2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583181-1C6E-4887-A050-12A9EAB9DE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Série Histórica IPCA</vt:lpstr>
      <vt:lpstr>Endividamento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2023-12-23T22:51:38Z</dcterms:created>
  <dcterms:modified xsi:type="dcterms:W3CDTF">2026-10-17T14:14:45Z</dcterms:modified>
</cp:coreProperties>
</file>