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TESE_Paim/Capitulo_4_2/Input/"/>
    </mc:Choice>
  </mc:AlternateContent>
  <xr:revisionPtr revIDLastSave="816" documentId="8_{2C324C70-7768-4F95-A025-9E3F004ECF2B}" xr6:coauthVersionLast="47" xr6:coauthVersionMax="47" xr10:uidLastSave="{B0543517-BB34-4C7D-9A87-2FA2B0579983}"/>
  <bookViews>
    <workbookView xWindow="-120" yWindow="-120" windowWidth="29040" windowHeight="15720" tabRatio="814" activeTab="2" xr2:uid="{F5DE2708-3F0C-40B6-A265-32039906197E}"/>
  </bookViews>
  <sheets>
    <sheet name="IPEA_razao_capital_produto" sheetId="1" r:id="rId1"/>
    <sheet name="FGV_NUCI" sheetId="2" r:id="rId2"/>
    <sheet name="parametro_v_un" sheetId="3" r:id="rId3"/>
    <sheet name="BCB_expec_IPCA" sheetId="4" r:id="rId4"/>
    <sheet name="BCB_ipca_acum12m" sheetId="6" r:id="rId5"/>
    <sheet name="BCB_selic" sheetId="5" r:id="rId6"/>
    <sheet name="parametro_i" sheetId="7" r:id="rId7"/>
    <sheet name="PAIM_B" sheetId="9" r:id="rId8"/>
    <sheet name="PAIM_Z" sheetId="10" r:id="rId9"/>
    <sheet name="parametro_r" sheetId="11" r:id="rId10"/>
    <sheet name="BCB_TX_JUROS" sheetId="13" r:id="rId11"/>
    <sheet name="parametro_lambda" sheetId="14" r:id="rId12"/>
    <sheet name="parametro_lambda (2)" sheetId="15" r:id="rId13"/>
    <sheet name="regressões" sheetId="16" r:id="rId14"/>
  </sheets>
  <definedNames>
    <definedName name="DadosExternos_1" localSheetId="7" hidden="1">PAIM_B!$A$1:$C$164</definedName>
    <definedName name="DadosExternos_1" localSheetId="8" hidden="1">PAIM_Z!$A$1:$C$164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3" i="15" l="1"/>
  <c r="K3" i="15"/>
  <c r="L1" i="15"/>
  <c r="K1" i="15"/>
  <c r="I3" i="15"/>
  <c r="J3" i="15"/>
  <c r="I4" i="15"/>
  <c r="J4" i="15"/>
  <c r="I5" i="15"/>
  <c r="J5" i="15"/>
  <c r="I6" i="15"/>
  <c r="J6" i="15"/>
  <c r="I7" i="15"/>
  <c r="J7" i="15"/>
  <c r="I8" i="15"/>
  <c r="J8" i="15"/>
  <c r="I9" i="15"/>
  <c r="J9" i="15"/>
  <c r="I10" i="15"/>
  <c r="J10" i="15"/>
  <c r="I11" i="15"/>
  <c r="J11" i="15"/>
  <c r="I12" i="15"/>
  <c r="J12" i="15"/>
  <c r="I13" i="15"/>
  <c r="J13" i="15"/>
  <c r="I14" i="15"/>
  <c r="J14" i="15"/>
  <c r="I15" i="15"/>
  <c r="J15" i="15"/>
  <c r="I16" i="15"/>
  <c r="J16" i="15"/>
  <c r="I17" i="15"/>
  <c r="J17" i="15"/>
  <c r="I18" i="15"/>
  <c r="J18" i="15"/>
  <c r="I19" i="15"/>
  <c r="J19" i="15"/>
  <c r="I20" i="15"/>
  <c r="J20" i="15"/>
  <c r="I21" i="15"/>
  <c r="J21" i="15"/>
  <c r="I22" i="15"/>
  <c r="J22" i="15"/>
  <c r="I23" i="15"/>
  <c r="J23" i="15"/>
  <c r="I24" i="15"/>
  <c r="J24" i="15"/>
  <c r="I25" i="15"/>
  <c r="J25" i="15"/>
  <c r="I26" i="15"/>
  <c r="J26" i="15"/>
  <c r="I27" i="15"/>
  <c r="J27" i="15"/>
  <c r="I28" i="15"/>
  <c r="J28" i="15"/>
  <c r="I29" i="15"/>
  <c r="J29" i="15"/>
  <c r="I30" i="15"/>
  <c r="J30" i="15"/>
  <c r="I31" i="15"/>
  <c r="J31" i="15"/>
  <c r="I32" i="15"/>
  <c r="J32" i="15"/>
  <c r="I33" i="15"/>
  <c r="J33" i="15"/>
  <c r="I34" i="15"/>
  <c r="J34" i="15"/>
  <c r="I35" i="15"/>
  <c r="J35" i="15"/>
  <c r="I36" i="15"/>
  <c r="J36" i="15"/>
  <c r="I37" i="15"/>
  <c r="J37" i="15"/>
  <c r="I38" i="15"/>
  <c r="J38" i="15"/>
  <c r="I39" i="15"/>
  <c r="J39" i="15"/>
  <c r="I40" i="15"/>
  <c r="J40" i="15"/>
  <c r="I41" i="15"/>
  <c r="J41" i="15"/>
  <c r="I42" i="15"/>
  <c r="J42" i="15"/>
  <c r="I43" i="15"/>
  <c r="J43" i="15"/>
  <c r="I44" i="15"/>
  <c r="J44" i="15"/>
  <c r="I45" i="15"/>
  <c r="J45" i="15"/>
  <c r="I46" i="15"/>
  <c r="J46" i="15"/>
  <c r="I47" i="15"/>
  <c r="J47" i="15"/>
  <c r="I48" i="15"/>
  <c r="J48" i="15"/>
  <c r="I49" i="15"/>
  <c r="J49" i="15"/>
  <c r="I50" i="15"/>
  <c r="J50" i="15"/>
  <c r="I51" i="15"/>
  <c r="J51" i="15"/>
  <c r="I52" i="15"/>
  <c r="J52" i="15"/>
  <c r="I53" i="15"/>
  <c r="J53" i="15"/>
  <c r="I54" i="15"/>
  <c r="J54" i="15"/>
  <c r="I55" i="15"/>
  <c r="J55" i="15"/>
  <c r="I56" i="15"/>
  <c r="J56" i="15"/>
  <c r="I57" i="15"/>
  <c r="J57" i="15"/>
  <c r="I58" i="15"/>
  <c r="J58" i="15"/>
  <c r="I59" i="15"/>
  <c r="J59" i="15"/>
  <c r="I60" i="15"/>
  <c r="J60" i="15"/>
  <c r="I61" i="15"/>
  <c r="J61" i="15"/>
  <c r="I62" i="15"/>
  <c r="J62" i="15"/>
  <c r="I63" i="15"/>
  <c r="J63" i="15"/>
  <c r="I64" i="15"/>
  <c r="J64" i="15"/>
  <c r="I65" i="15"/>
  <c r="J65" i="15"/>
  <c r="I66" i="15"/>
  <c r="J66" i="15"/>
  <c r="I67" i="15"/>
  <c r="J67" i="15"/>
  <c r="I68" i="15"/>
  <c r="J68" i="15"/>
  <c r="I69" i="15"/>
  <c r="J69" i="15"/>
  <c r="I70" i="15"/>
  <c r="J70" i="15"/>
  <c r="I71" i="15"/>
  <c r="J71" i="15"/>
  <c r="I72" i="15"/>
  <c r="J72" i="15"/>
  <c r="I73" i="15"/>
  <c r="J73" i="15"/>
  <c r="I74" i="15"/>
  <c r="J74" i="15"/>
  <c r="I75" i="15"/>
  <c r="J75" i="15"/>
  <c r="I76" i="15"/>
  <c r="J76" i="15"/>
  <c r="I77" i="15"/>
  <c r="J77" i="15"/>
  <c r="I78" i="15"/>
  <c r="J78" i="15"/>
  <c r="I79" i="15"/>
  <c r="J79" i="15"/>
  <c r="I80" i="15"/>
  <c r="J80" i="15"/>
  <c r="I81" i="15"/>
  <c r="J81" i="15"/>
  <c r="I82" i="15"/>
  <c r="J82" i="15"/>
  <c r="I83" i="15"/>
  <c r="J83" i="15"/>
  <c r="I84" i="15"/>
  <c r="J84" i="15"/>
  <c r="I85" i="15"/>
  <c r="J85" i="15"/>
  <c r="I86" i="15"/>
  <c r="J86" i="15"/>
  <c r="I87" i="15"/>
  <c r="J87" i="15"/>
  <c r="I88" i="15"/>
  <c r="J88" i="15"/>
  <c r="I89" i="15"/>
  <c r="J89" i="15"/>
  <c r="I90" i="15"/>
  <c r="J90" i="15"/>
  <c r="I91" i="15"/>
  <c r="J91" i="15"/>
  <c r="I92" i="15"/>
  <c r="J92" i="15"/>
  <c r="I93" i="15"/>
  <c r="J93" i="15"/>
  <c r="I94" i="15"/>
  <c r="J94" i="15"/>
  <c r="I95" i="15"/>
  <c r="J95" i="15"/>
  <c r="I96" i="15"/>
  <c r="J96" i="15"/>
  <c r="I97" i="15"/>
  <c r="J97" i="15"/>
  <c r="I98" i="15"/>
  <c r="J98" i="15"/>
  <c r="I99" i="15"/>
  <c r="J99" i="15"/>
  <c r="I100" i="15"/>
  <c r="J100" i="15"/>
  <c r="I101" i="15"/>
  <c r="J101" i="15"/>
  <c r="I102" i="15"/>
  <c r="J102" i="15"/>
  <c r="I103" i="15"/>
  <c r="J103" i="15"/>
  <c r="I104" i="15"/>
  <c r="J104" i="15"/>
  <c r="I105" i="15"/>
  <c r="J105" i="15"/>
  <c r="I106" i="15"/>
  <c r="J106" i="15"/>
  <c r="I107" i="15"/>
  <c r="J107" i="15"/>
  <c r="I108" i="15"/>
  <c r="J108" i="15"/>
  <c r="I109" i="15"/>
  <c r="J109" i="15"/>
  <c r="I110" i="15"/>
  <c r="J110" i="15"/>
  <c r="I111" i="15"/>
  <c r="J111" i="15"/>
  <c r="I112" i="15"/>
  <c r="J112" i="15"/>
  <c r="I113" i="15"/>
  <c r="J113" i="15"/>
  <c r="I114" i="15"/>
  <c r="J114" i="15"/>
  <c r="I115" i="15"/>
  <c r="J115" i="15"/>
  <c r="I116" i="15"/>
  <c r="J116" i="15"/>
  <c r="I117" i="15"/>
  <c r="J117" i="15"/>
  <c r="I118" i="15"/>
  <c r="J118" i="15"/>
  <c r="I119" i="15"/>
  <c r="J119" i="15"/>
  <c r="I120" i="15"/>
  <c r="J120" i="15"/>
  <c r="I121" i="15"/>
  <c r="J121" i="15"/>
  <c r="I122" i="15"/>
  <c r="J122" i="15"/>
  <c r="I123" i="15"/>
  <c r="J123" i="15"/>
  <c r="I124" i="15"/>
  <c r="J124" i="15"/>
  <c r="I125" i="15"/>
  <c r="J125" i="15"/>
  <c r="I126" i="15"/>
  <c r="J126" i="15"/>
  <c r="I127" i="15"/>
  <c r="J127" i="15"/>
  <c r="I128" i="15"/>
  <c r="J128" i="15"/>
  <c r="I129" i="15"/>
  <c r="J129" i="15"/>
  <c r="I130" i="15"/>
  <c r="J130" i="15"/>
  <c r="I131" i="15"/>
  <c r="J131" i="15"/>
  <c r="I132" i="15"/>
  <c r="J132" i="15"/>
  <c r="I133" i="15"/>
  <c r="J133" i="15"/>
  <c r="I134" i="15"/>
  <c r="J134" i="15"/>
  <c r="I135" i="15"/>
  <c r="J135" i="15"/>
  <c r="I136" i="15"/>
  <c r="J136" i="15"/>
  <c r="I137" i="15"/>
  <c r="J137" i="15"/>
  <c r="I138" i="15"/>
  <c r="J138" i="15"/>
  <c r="I139" i="15"/>
  <c r="J139" i="15"/>
  <c r="I140" i="15"/>
  <c r="J140" i="15"/>
  <c r="I141" i="15"/>
  <c r="J141" i="15"/>
  <c r="I142" i="15"/>
  <c r="J142" i="15"/>
  <c r="I143" i="15"/>
  <c r="J143" i="15"/>
  <c r="I144" i="15"/>
  <c r="J144" i="15"/>
  <c r="I145" i="15"/>
  <c r="J145" i="15"/>
  <c r="I146" i="15"/>
  <c r="J146" i="15"/>
  <c r="I147" i="15"/>
  <c r="J147" i="15"/>
  <c r="I148" i="15"/>
  <c r="J148" i="15"/>
  <c r="I149" i="15"/>
  <c r="J149" i="15"/>
  <c r="I150" i="15"/>
  <c r="J150" i="15"/>
  <c r="I151" i="15"/>
  <c r="J151" i="15"/>
  <c r="I152" i="15"/>
  <c r="J152" i="15"/>
  <c r="I153" i="15"/>
  <c r="J153" i="15"/>
  <c r="I154" i="15"/>
  <c r="J154" i="15"/>
  <c r="I155" i="15"/>
  <c r="J155" i="15"/>
  <c r="I156" i="15"/>
  <c r="J156" i="15"/>
  <c r="I157" i="15"/>
  <c r="J157" i="15"/>
  <c r="J2" i="15"/>
  <c r="I2" i="15"/>
  <c r="H10" i="15"/>
  <c r="H18" i="15"/>
  <c r="H26" i="15"/>
  <c r="H34" i="15"/>
  <c r="H42" i="15"/>
  <c r="H58" i="15"/>
  <c r="H66" i="15"/>
  <c r="H74" i="15"/>
  <c r="H82" i="15"/>
  <c r="H90" i="15"/>
  <c r="H98" i="15"/>
  <c r="H106" i="15"/>
  <c r="H122" i="15"/>
  <c r="H130" i="15"/>
  <c r="H138" i="15"/>
  <c r="H146" i="15"/>
  <c r="H154" i="15"/>
  <c r="E3" i="15"/>
  <c r="E4" i="15"/>
  <c r="E5" i="15"/>
  <c r="G5" i="15" s="1"/>
  <c r="E6" i="15"/>
  <c r="E7" i="15"/>
  <c r="E8" i="15"/>
  <c r="E9" i="15"/>
  <c r="F9" i="15"/>
  <c r="E10" i="15"/>
  <c r="E11" i="15"/>
  <c r="E12" i="15"/>
  <c r="E13" i="15"/>
  <c r="G13" i="15" s="1"/>
  <c r="E14" i="15"/>
  <c r="E15" i="15"/>
  <c r="E16" i="15"/>
  <c r="E17" i="15"/>
  <c r="F17" i="15"/>
  <c r="E18" i="15"/>
  <c r="E19" i="15"/>
  <c r="E20" i="15"/>
  <c r="E21" i="15"/>
  <c r="G21" i="15" s="1"/>
  <c r="E22" i="15"/>
  <c r="E23" i="15"/>
  <c r="E24" i="15"/>
  <c r="E25" i="15"/>
  <c r="F25" i="15"/>
  <c r="E26" i="15"/>
  <c r="E27" i="15"/>
  <c r="E28" i="15"/>
  <c r="E29" i="15"/>
  <c r="G29" i="15" s="1"/>
  <c r="E30" i="15"/>
  <c r="E31" i="15"/>
  <c r="E32" i="15"/>
  <c r="E33" i="15"/>
  <c r="F33" i="15"/>
  <c r="E34" i="15"/>
  <c r="E35" i="15"/>
  <c r="E36" i="15"/>
  <c r="E37" i="15"/>
  <c r="G37" i="15" s="1"/>
  <c r="E38" i="15"/>
  <c r="E39" i="15"/>
  <c r="E40" i="15"/>
  <c r="E41" i="15"/>
  <c r="G41" i="15"/>
  <c r="E42" i="15"/>
  <c r="E43" i="15"/>
  <c r="E44" i="15"/>
  <c r="E45" i="15"/>
  <c r="E46" i="15"/>
  <c r="F46" i="15" s="1"/>
  <c r="E47" i="15"/>
  <c r="E48" i="15"/>
  <c r="E49" i="15"/>
  <c r="E50" i="15"/>
  <c r="H50" i="15" s="1"/>
  <c r="E51" i="15"/>
  <c r="E52" i="15"/>
  <c r="E53" i="15"/>
  <c r="E54" i="15"/>
  <c r="E55" i="15"/>
  <c r="F55" i="15" s="1"/>
  <c r="E56" i="15"/>
  <c r="E57" i="15"/>
  <c r="E58" i="15"/>
  <c r="F58" i="15"/>
  <c r="E59" i="15"/>
  <c r="E60" i="15"/>
  <c r="E61" i="15"/>
  <c r="E62" i="15"/>
  <c r="E63" i="15"/>
  <c r="G63" i="15"/>
  <c r="E64" i="15"/>
  <c r="E65" i="15"/>
  <c r="E66" i="15"/>
  <c r="G66" i="15"/>
  <c r="E67" i="15"/>
  <c r="E68" i="15"/>
  <c r="E69" i="15"/>
  <c r="E70" i="15"/>
  <c r="E71" i="15"/>
  <c r="E72" i="15"/>
  <c r="E73" i="15"/>
  <c r="E74" i="15"/>
  <c r="E75" i="15"/>
  <c r="F75" i="15" s="1"/>
  <c r="E76" i="15"/>
  <c r="E77" i="15"/>
  <c r="E78" i="15"/>
  <c r="E79" i="15"/>
  <c r="E80" i="15"/>
  <c r="F80" i="15"/>
  <c r="E81" i="15"/>
  <c r="E82" i="15"/>
  <c r="E83" i="15"/>
  <c r="E84" i="15"/>
  <c r="G84" i="15" s="1"/>
  <c r="E85" i="15"/>
  <c r="E86" i="15"/>
  <c r="E87" i="15"/>
  <c r="E88" i="15"/>
  <c r="G88" i="15"/>
  <c r="E89" i="15"/>
  <c r="E90" i="15"/>
  <c r="E91" i="15"/>
  <c r="E92" i="15"/>
  <c r="E93" i="15"/>
  <c r="E94" i="15"/>
  <c r="E95" i="15"/>
  <c r="E96" i="15"/>
  <c r="E97" i="15"/>
  <c r="F97" i="15" s="1"/>
  <c r="E98" i="15"/>
  <c r="E99" i="15"/>
  <c r="E100" i="15"/>
  <c r="E101" i="15"/>
  <c r="G101" i="15" s="1"/>
  <c r="E102" i="15"/>
  <c r="E103" i="15"/>
  <c r="E104" i="15"/>
  <c r="E105" i="15"/>
  <c r="E106" i="15"/>
  <c r="E107" i="15"/>
  <c r="E108" i="15"/>
  <c r="E109" i="15"/>
  <c r="E110" i="15"/>
  <c r="F110" i="15" s="1"/>
  <c r="E111" i="15"/>
  <c r="G111" i="15"/>
  <c r="E112" i="15"/>
  <c r="E113" i="15"/>
  <c r="E114" i="15"/>
  <c r="H114" i="15" s="1"/>
  <c r="E115" i="15"/>
  <c r="E116" i="15"/>
  <c r="E117" i="15"/>
  <c r="E118" i="15"/>
  <c r="E119" i="15"/>
  <c r="F119" i="15" s="1"/>
  <c r="E120" i="15"/>
  <c r="E121" i="15"/>
  <c r="E122" i="15"/>
  <c r="F122" i="15"/>
  <c r="E123" i="15"/>
  <c r="F123" i="15" s="1"/>
  <c r="E124" i="15"/>
  <c r="E125" i="15"/>
  <c r="E126" i="15"/>
  <c r="E127" i="15"/>
  <c r="E128" i="15"/>
  <c r="F128" i="15" s="1"/>
  <c r="E129" i="15"/>
  <c r="E130" i="15"/>
  <c r="E131" i="15"/>
  <c r="F131" i="15" s="1"/>
  <c r="E132" i="15"/>
  <c r="E133" i="15"/>
  <c r="G133" i="15" s="1"/>
  <c r="E134" i="15"/>
  <c r="E135" i="15"/>
  <c r="E136" i="15"/>
  <c r="G136" i="15" s="1"/>
  <c r="F136" i="15"/>
  <c r="E137" i="15"/>
  <c r="E138" i="15"/>
  <c r="E139" i="15"/>
  <c r="F139" i="15" s="1"/>
  <c r="E140" i="15"/>
  <c r="E141" i="15"/>
  <c r="G141" i="15" s="1"/>
  <c r="E142" i="15"/>
  <c r="E143" i="15"/>
  <c r="E144" i="15"/>
  <c r="G144" i="15" s="1"/>
  <c r="F144" i="15"/>
  <c r="E145" i="15"/>
  <c r="E146" i="15"/>
  <c r="E147" i="15"/>
  <c r="F147" i="15" s="1"/>
  <c r="E148" i="15"/>
  <c r="E149" i="15"/>
  <c r="G149" i="15" s="1"/>
  <c r="E150" i="15"/>
  <c r="E151" i="15"/>
  <c r="F151" i="15" s="1"/>
  <c r="E152" i="15"/>
  <c r="G152" i="15" s="1"/>
  <c r="F152" i="15"/>
  <c r="E153" i="15"/>
  <c r="E154" i="15"/>
  <c r="E155" i="15"/>
  <c r="F155" i="15" s="1"/>
  <c r="E156" i="15"/>
  <c r="G156" i="15" s="1"/>
  <c r="E157" i="15"/>
  <c r="G157" i="15" s="1"/>
  <c r="E2" i="15"/>
  <c r="M157" i="15"/>
  <c r="H157" i="15" s="1"/>
  <c r="C157" i="15"/>
  <c r="B157" i="15"/>
  <c r="O157" i="15" s="1"/>
  <c r="M156" i="15"/>
  <c r="H156" i="15" s="1"/>
  <c r="C156" i="15"/>
  <c r="B156" i="15"/>
  <c r="F156" i="15" s="1"/>
  <c r="M155" i="15"/>
  <c r="H155" i="15" s="1"/>
  <c r="C155" i="15"/>
  <c r="B155" i="15"/>
  <c r="M154" i="15"/>
  <c r="C154" i="15"/>
  <c r="S154" i="15" s="1"/>
  <c r="B154" i="15"/>
  <c r="M153" i="15"/>
  <c r="H153" i="15" s="1"/>
  <c r="C153" i="15"/>
  <c r="S153" i="15" s="1"/>
  <c r="B153" i="15"/>
  <c r="O153" i="15" s="1"/>
  <c r="M152" i="15"/>
  <c r="H152" i="15" s="1"/>
  <c r="C152" i="15"/>
  <c r="B152" i="15"/>
  <c r="M151" i="15"/>
  <c r="H151" i="15" s="1"/>
  <c r="C151" i="15"/>
  <c r="G151" i="15" s="1"/>
  <c r="B151" i="15"/>
  <c r="M150" i="15"/>
  <c r="H150" i="15" s="1"/>
  <c r="C150" i="15"/>
  <c r="G150" i="15" s="1"/>
  <c r="B150" i="15"/>
  <c r="M149" i="15"/>
  <c r="H149" i="15" s="1"/>
  <c r="C149" i="15"/>
  <c r="S149" i="15" s="1"/>
  <c r="B149" i="15"/>
  <c r="O149" i="15" s="1"/>
  <c r="M148" i="15"/>
  <c r="H148" i="15" s="1"/>
  <c r="C148" i="15"/>
  <c r="G148" i="15" s="1"/>
  <c r="B148" i="15"/>
  <c r="F148" i="15" s="1"/>
  <c r="M147" i="15"/>
  <c r="H147" i="15" s="1"/>
  <c r="C147" i="15"/>
  <c r="B147" i="15"/>
  <c r="M146" i="15"/>
  <c r="C146" i="15"/>
  <c r="B146" i="15"/>
  <c r="M145" i="15"/>
  <c r="H145" i="15" s="1"/>
  <c r="C145" i="15"/>
  <c r="G145" i="15" s="1"/>
  <c r="B145" i="15"/>
  <c r="M144" i="15"/>
  <c r="H144" i="15" s="1"/>
  <c r="C144" i="15"/>
  <c r="B144" i="15"/>
  <c r="O144" i="15" s="1"/>
  <c r="M143" i="15"/>
  <c r="H143" i="15" s="1"/>
  <c r="C143" i="15"/>
  <c r="G143" i="15" s="1"/>
  <c r="B143" i="15"/>
  <c r="F143" i="15" s="1"/>
  <c r="M142" i="15"/>
  <c r="H142" i="15" s="1"/>
  <c r="C142" i="15"/>
  <c r="G142" i="15" s="1"/>
  <c r="B142" i="15"/>
  <c r="M141" i="15"/>
  <c r="H141" i="15" s="1"/>
  <c r="C141" i="15"/>
  <c r="S141" i="15" s="1"/>
  <c r="B141" i="15"/>
  <c r="O141" i="15" s="1"/>
  <c r="M140" i="15"/>
  <c r="H140" i="15" s="1"/>
  <c r="C140" i="15"/>
  <c r="S140" i="15" s="1"/>
  <c r="B140" i="15"/>
  <c r="O140" i="15" s="1"/>
  <c r="M139" i="15"/>
  <c r="H139" i="15" s="1"/>
  <c r="C139" i="15"/>
  <c r="B139" i="15"/>
  <c r="M138" i="15"/>
  <c r="C138" i="15"/>
  <c r="B138" i="15"/>
  <c r="M137" i="15"/>
  <c r="H137" i="15" s="1"/>
  <c r="C137" i="15"/>
  <c r="G137" i="15" s="1"/>
  <c r="B137" i="15"/>
  <c r="M136" i="15"/>
  <c r="H136" i="15" s="1"/>
  <c r="C136" i="15"/>
  <c r="B136" i="15"/>
  <c r="O136" i="15" s="1"/>
  <c r="M135" i="15"/>
  <c r="H135" i="15" s="1"/>
  <c r="C135" i="15"/>
  <c r="G135" i="15" s="1"/>
  <c r="B135" i="15"/>
  <c r="F135" i="15" s="1"/>
  <c r="M134" i="15"/>
  <c r="H134" i="15" s="1"/>
  <c r="C134" i="15"/>
  <c r="G134" i="15" s="1"/>
  <c r="B134" i="15"/>
  <c r="M133" i="15"/>
  <c r="H133" i="15" s="1"/>
  <c r="C133" i="15"/>
  <c r="S133" i="15" s="1"/>
  <c r="B133" i="15"/>
  <c r="M132" i="15"/>
  <c r="H132" i="15" s="1"/>
  <c r="C132" i="15"/>
  <c r="G132" i="15" s="1"/>
  <c r="B132" i="15"/>
  <c r="F132" i="15" s="1"/>
  <c r="M131" i="15"/>
  <c r="H131" i="15" s="1"/>
  <c r="C131" i="15"/>
  <c r="B131" i="15"/>
  <c r="M130" i="15"/>
  <c r="C130" i="15"/>
  <c r="B130" i="15"/>
  <c r="M129" i="15"/>
  <c r="H129" i="15" s="1"/>
  <c r="C129" i="15"/>
  <c r="G129" i="15" s="1"/>
  <c r="B129" i="15"/>
  <c r="M128" i="15"/>
  <c r="H128" i="15" s="1"/>
  <c r="C128" i="15"/>
  <c r="B128" i="15"/>
  <c r="O128" i="15" s="1"/>
  <c r="M127" i="15"/>
  <c r="H127" i="15" s="1"/>
  <c r="C127" i="15"/>
  <c r="B127" i="15"/>
  <c r="M126" i="15"/>
  <c r="H126" i="15" s="1"/>
  <c r="C126" i="15"/>
  <c r="B126" i="15"/>
  <c r="M125" i="15"/>
  <c r="H125" i="15" s="1"/>
  <c r="C125" i="15"/>
  <c r="S125" i="15" s="1"/>
  <c r="B125" i="15"/>
  <c r="M124" i="15"/>
  <c r="H124" i="15" s="1"/>
  <c r="C124" i="15"/>
  <c r="B124" i="15"/>
  <c r="F124" i="15" s="1"/>
  <c r="M123" i="15"/>
  <c r="H123" i="15" s="1"/>
  <c r="C123" i="15"/>
  <c r="B123" i="15"/>
  <c r="M122" i="15"/>
  <c r="C122" i="15"/>
  <c r="G122" i="15" s="1"/>
  <c r="B122" i="15"/>
  <c r="M121" i="15"/>
  <c r="H121" i="15" s="1"/>
  <c r="C121" i="15"/>
  <c r="G121" i="15" s="1"/>
  <c r="B121" i="15"/>
  <c r="O121" i="15" s="1"/>
  <c r="M120" i="15"/>
  <c r="H120" i="15" s="1"/>
  <c r="C120" i="15"/>
  <c r="G120" i="15" s="1"/>
  <c r="B120" i="15"/>
  <c r="O120" i="15" s="1"/>
  <c r="M119" i="15"/>
  <c r="H119" i="15" s="1"/>
  <c r="C119" i="15"/>
  <c r="B119" i="15"/>
  <c r="M118" i="15"/>
  <c r="H118" i="15" s="1"/>
  <c r="C118" i="15"/>
  <c r="B118" i="15"/>
  <c r="M117" i="15"/>
  <c r="H117" i="15" s="1"/>
  <c r="C117" i="15"/>
  <c r="B117" i="15"/>
  <c r="M116" i="15"/>
  <c r="H116" i="15" s="1"/>
  <c r="C116" i="15"/>
  <c r="B116" i="15"/>
  <c r="F116" i="15" s="1"/>
  <c r="M115" i="15"/>
  <c r="H115" i="15" s="1"/>
  <c r="C115" i="15"/>
  <c r="B115" i="15"/>
  <c r="M114" i="15"/>
  <c r="C114" i="15"/>
  <c r="B114" i="15"/>
  <c r="F114" i="15" s="1"/>
  <c r="M113" i="15"/>
  <c r="H113" i="15" s="1"/>
  <c r="C113" i="15"/>
  <c r="S113" i="15" s="1"/>
  <c r="B113" i="15"/>
  <c r="M112" i="15"/>
  <c r="H112" i="15" s="1"/>
  <c r="C112" i="15"/>
  <c r="G112" i="15" s="1"/>
  <c r="B112" i="15"/>
  <c r="F112" i="15" s="1"/>
  <c r="M111" i="15"/>
  <c r="H111" i="15" s="1"/>
  <c r="C111" i="15"/>
  <c r="B111" i="15"/>
  <c r="M110" i="15"/>
  <c r="H110" i="15" s="1"/>
  <c r="C110" i="15"/>
  <c r="B110" i="15"/>
  <c r="M109" i="15"/>
  <c r="H109" i="15" s="1"/>
  <c r="C109" i="15"/>
  <c r="B109" i="15"/>
  <c r="M108" i="15"/>
  <c r="H108" i="15" s="1"/>
  <c r="C108" i="15"/>
  <c r="B108" i="15"/>
  <c r="O108" i="15" s="1"/>
  <c r="M107" i="15"/>
  <c r="H107" i="15" s="1"/>
  <c r="C107" i="15"/>
  <c r="B107" i="15"/>
  <c r="M106" i="15"/>
  <c r="C106" i="15"/>
  <c r="B106" i="15"/>
  <c r="F106" i="15" s="1"/>
  <c r="M105" i="15"/>
  <c r="H105" i="15" s="1"/>
  <c r="C105" i="15"/>
  <c r="S105" i="15" s="1"/>
  <c r="B105" i="15"/>
  <c r="O105" i="15" s="1"/>
  <c r="M104" i="15"/>
  <c r="H104" i="15" s="1"/>
  <c r="C104" i="15"/>
  <c r="G104" i="15" s="1"/>
  <c r="B104" i="15"/>
  <c r="F104" i="15" s="1"/>
  <c r="M103" i="15"/>
  <c r="H103" i="15" s="1"/>
  <c r="C103" i="15"/>
  <c r="G103" i="15" s="1"/>
  <c r="B103" i="15"/>
  <c r="M102" i="15"/>
  <c r="H102" i="15" s="1"/>
  <c r="C102" i="15"/>
  <c r="B102" i="15"/>
  <c r="M101" i="15"/>
  <c r="H101" i="15" s="1"/>
  <c r="C101" i="15"/>
  <c r="S101" i="15" s="1"/>
  <c r="B101" i="15"/>
  <c r="M100" i="15"/>
  <c r="H100" i="15" s="1"/>
  <c r="C100" i="15"/>
  <c r="B100" i="15"/>
  <c r="F100" i="15" s="1"/>
  <c r="M99" i="15"/>
  <c r="H99" i="15" s="1"/>
  <c r="C99" i="15"/>
  <c r="B99" i="15"/>
  <c r="M98" i="15"/>
  <c r="C98" i="15"/>
  <c r="G98" i="15" s="1"/>
  <c r="B98" i="15"/>
  <c r="F98" i="15" s="1"/>
  <c r="M97" i="15"/>
  <c r="H97" i="15" s="1"/>
  <c r="C97" i="15"/>
  <c r="G97" i="15" s="1"/>
  <c r="B97" i="15"/>
  <c r="M96" i="15"/>
  <c r="H96" i="15" s="1"/>
  <c r="C96" i="15"/>
  <c r="G96" i="15" s="1"/>
  <c r="B96" i="15"/>
  <c r="F96" i="15" s="1"/>
  <c r="M95" i="15"/>
  <c r="H95" i="15" s="1"/>
  <c r="C95" i="15"/>
  <c r="G95" i="15" s="1"/>
  <c r="B95" i="15"/>
  <c r="M94" i="15"/>
  <c r="H94" i="15" s="1"/>
  <c r="C94" i="15"/>
  <c r="B94" i="15"/>
  <c r="M93" i="15"/>
  <c r="H93" i="15" s="1"/>
  <c r="C93" i="15"/>
  <c r="S93" i="15" s="1"/>
  <c r="B93" i="15"/>
  <c r="M92" i="15"/>
  <c r="H92" i="15" s="1"/>
  <c r="C92" i="15"/>
  <c r="S92" i="15" s="1"/>
  <c r="B92" i="15"/>
  <c r="O92" i="15" s="1"/>
  <c r="M91" i="15"/>
  <c r="O91" i="15" s="1"/>
  <c r="C91" i="15"/>
  <c r="B91" i="15"/>
  <c r="M90" i="15"/>
  <c r="C90" i="15"/>
  <c r="G90" i="15" s="1"/>
  <c r="B90" i="15"/>
  <c r="F90" i="15" s="1"/>
  <c r="M89" i="15"/>
  <c r="H89" i="15" s="1"/>
  <c r="C89" i="15"/>
  <c r="G89" i="15" s="1"/>
  <c r="B89" i="15"/>
  <c r="O89" i="15" s="1"/>
  <c r="M88" i="15"/>
  <c r="H88" i="15" s="1"/>
  <c r="C88" i="15"/>
  <c r="B88" i="15"/>
  <c r="F88" i="15" s="1"/>
  <c r="M87" i="15"/>
  <c r="H87" i="15" s="1"/>
  <c r="C87" i="15"/>
  <c r="G87" i="15" s="1"/>
  <c r="B87" i="15"/>
  <c r="M86" i="15"/>
  <c r="H86" i="15" s="1"/>
  <c r="C86" i="15"/>
  <c r="B86" i="15"/>
  <c r="M85" i="15"/>
  <c r="H85" i="15" s="1"/>
  <c r="C85" i="15"/>
  <c r="B85" i="15"/>
  <c r="M84" i="15"/>
  <c r="H84" i="15" s="1"/>
  <c r="C84" i="15"/>
  <c r="B84" i="15"/>
  <c r="F84" i="15" s="1"/>
  <c r="M83" i="15"/>
  <c r="S83" i="15" s="1"/>
  <c r="C83" i="15"/>
  <c r="B83" i="15"/>
  <c r="M82" i="15"/>
  <c r="C82" i="15"/>
  <c r="G82" i="15" s="1"/>
  <c r="B82" i="15"/>
  <c r="M81" i="15"/>
  <c r="H81" i="15" s="1"/>
  <c r="C81" i="15"/>
  <c r="S81" i="15" s="1"/>
  <c r="B81" i="15"/>
  <c r="M80" i="15"/>
  <c r="H80" i="15" s="1"/>
  <c r="C80" i="15"/>
  <c r="B80" i="15"/>
  <c r="O80" i="15" s="1"/>
  <c r="M79" i="15"/>
  <c r="H79" i="15" s="1"/>
  <c r="C79" i="15"/>
  <c r="B79" i="15"/>
  <c r="M78" i="15"/>
  <c r="H78" i="15" s="1"/>
  <c r="C78" i="15"/>
  <c r="B78" i="15"/>
  <c r="M77" i="15"/>
  <c r="H77" i="15" s="1"/>
  <c r="C77" i="15"/>
  <c r="B77" i="15"/>
  <c r="M76" i="15"/>
  <c r="H76" i="15" s="1"/>
  <c r="C76" i="15"/>
  <c r="B76" i="15"/>
  <c r="O76" i="15" s="1"/>
  <c r="M75" i="15"/>
  <c r="H75" i="15" s="1"/>
  <c r="C75" i="15"/>
  <c r="B75" i="15"/>
  <c r="M74" i="15"/>
  <c r="C74" i="15"/>
  <c r="G74" i="15" s="1"/>
  <c r="B74" i="15"/>
  <c r="F74" i="15" s="1"/>
  <c r="M73" i="15"/>
  <c r="H73" i="15" s="1"/>
  <c r="C73" i="15"/>
  <c r="S73" i="15" s="1"/>
  <c r="B73" i="15"/>
  <c r="O73" i="15" s="1"/>
  <c r="M72" i="15"/>
  <c r="H72" i="15" s="1"/>
  <c r="C72" i="15"/>
  <c r="B72" i="15"/>
  <c r="O72" i="15" s="1"/>
  <c r="M71" i="15"/>
  <c r="H71" i="15" s="1"/>
  <c r="C71" i="15"/>
  <c r="G71" i="15" s="1"/>
  <c r="B71" i="15"/>
  <c r="M70" i="15"/>
  <c r="S70" i="15" s="1"/>
  <c r="C70" i="15"/>
  <c r="B70" i="15"/>
  <c r="M69" i="15"/>
  <c r="H69" i="15" s="1"/>
  <c r="C69" i="15"/>
  <c r="B69" i="15"/>
  <c r="O69" i="15" s="1"/>
  <c r="M68" i="15"/>
  <c r="H68" i="15" s="1"/>
  <c r="C68" i="15"/>
  <c r="B68" i="15"/>
  <c r="F68" i="15" s="1"/>
  <c r="M67" i="15"/>
  <c r="H67" i="15" s="1"/>
  <c r="C67" i="15"/>
  <c r="B67" i="15"/>
  <c r="M66" i="15"/>
  <c r="C66" i="15"/>
  <c r="B66" i="15"/>
  <c r="F66" i="15" s="1"/>
  <c r="M65" i="15"/>
  <c r="H65" i="15" s="1"/>
  <c r="C65" i="15"/>
  <c r="S65" i="15" s="1"/>
  <c r="B65" i="15"/>
  <c r="M64" i="15"/>
  <c r="H64" i="15" s="1"/>
  <c r="C64" i="15"/>
  <c r="G64" i="15" s="1"/>
  <c r="B64" i="15"/>
  <c r="F64" i="15" s="1"/>
  <c r="M63" i="15"/>
  <c r="H63" i="15" s="1"/>
  <c r="C63" i="15"/>
  <c r="B63" i="15"/>
  <c r="M62" i="15"/>
  <c r="H62" i="15" s="1"/>
  <c r="C62" i="15"/>
  <c r="B62" i="15"/>
  <c r="M61" i="15"/>
  <c r="H61" i="15" s="1"/>
  <c r="C61" i="15"/>
  <c r="B61" i="15"/>
  <c r="O61" i="15" s="1"/>
  <c r="M60" i="15"/>
  <c r="H60" i="15" s="1"/>
  <c r="C60" i="15"/>
  <c r="S60" i="15" s="1"/>
  <c r="B60" i="15"/>
  <c r="O60" i="15" s="1"/>
  <c r="M59" i="15"/>
  <c r="O59" i="15" s="1"/>
  <c r="C59" i="15"/>
  <c r="B59" i="15"/>
  <c r="M58" i="15"/>
  <c r="C58" i="15"/>
  <c r="B58" i="15"/>
  <c r="M57" i="15"/>
  <c r="H57" i="15" s="1"/>
  <c r="C57" i="15"/>
  <c r="S57" i="15" s="1"/>
  <c r="B57" i="15"/>
  <c r="M56" i="15"/>
  <c r="H56" i="15" s="1"/>
  <c r="C56" i="15"/>
  <c r="G56" i="15" s="1"/>
  <c r="B56" i="15"/>
  <c r="F56" i="15" s="1"/>
  <c r="M55" i="15"/>
  <c r="H55" i="15" s="1"/>
  <c r="C55" i="15"/>
  <c r="G55" i="15" s="1"/>
  <c r="B55" i="15"/>
  <c r="S54" i="15"/>
  <c r="M54" i="15"/>
  <c r="H54" i="15" s="1"/>
  <c r="C54" i="15"/>
  <c r="B54" i="15"/>
  <c r="M53" i="15"/>
  <c r="H53" i="15" s="1"/>
  <c r="C53" i="15"/>
  <c r="B53" i="15"/>
  <c r="M52" i="15"/>
  <c r="H52" i="15" s="1"/>
  <c r="C52" i="15"/>
  <c r="B52" i="15"/>
  <c r="F52" i="15" s="1"/>
  <c r="M51" i="15"/>
  <c r="C51" i="15"/>
  <c r="B51" i="15"/>
  <c r="M50" i="15"/>
  <c r="C50" i="15"/>
  <c r="G50" i="15" s="1"/>
  <c r="B50" i="15"/>
  <c r="M49" i="15"/>
  <c r="H49" i="15" s="1"/>
  <c r="C49" i="15"/>
  <c r="G49" i="15" s="1"/>
  <c r="B49" i="15"/>
  <c r="M48" i="15"/>
  <c r="H48" i="15" s="1"/>
  <c r="C48" i="15"/>
  <c r="G48" i="15" s="1"/>
  <c r="B48" i="15"/>
  <c r="O48" i="15" s="1"/>
  <c r="M47" i="15"/>
  <c r="H47" i="15" s="1"/>
  <c r="C47" i="15"/>
  <c r="S47" i="15" s="1"/>
  <c r="B47" i="15"/>
  <c r="O47" i="15" s="1"/>
  <c r="M46" i="15"/>
  <c r="H46" i="15" s="1"/>
  <c r="C46" i="15"/>
  <c r="B46" i="15"/>
  <c r="M45" i="15"/>
  <c r="H45" i="15" s="1"/>
  <c r="C45" i="15"/>
  <c r="B45" i="15"/>
  <c r="M44" i="15"/>
  <c r="H44" i="15" s="1"/>
  <c r="C44" i="15"/>
  <c r="B44" i="15"/>
  <c r="F44" i="15" s="1"/>
  <c r="M43" i="15"/>
  <c r="C43" i="15"/>
  <c r="B43" i="15"/>
  <c r="M42" i="15"/>
  <c r="C42" i="15"/>
  <c r="B42" i="15"/>
  <c r="F42" i="15" s="1"/>
  <c r="M41" i="15"/>
  <c r="H41" i="15" s="1"/>
  <c r="C41" i="15"/>
  <c r="B41" i="15"/>
  <c r="M40" i="15"/>
  <c r="H40" i="15" s="1"/>
  <c r="C40" i="15"/>
  <c r="S40" i="15" s="1"/>
  <c r="B40" i="15"/>
  <c r="O40" i="15" s="1"/>
  <c r="M39" i="15"/>
  <c r="H39" i="15" s="1"/>
  <c r="C39" i="15"/>
  <c r="S39" i="15" s="1"/>
  <c r="B39" i="15"/>
  <c r="O39" i="15" s="1"/>
  <c r="M38" i="15"/>
  <c r="H38" i="15" s="1"/>
  <c r="C38" i="15"/>
  <c r="B38" i="15"/>
  <c r="M37" i="15"/>
  <c r="H37" i="15" s="1"/>
  <c r="C37" i="15"/>
  <c r="B37" i="15"/>
  <c r="M36" i="15"/>
  <c r="H36" i="15" s="1"/>
  <c r="C36" i="15"/>
  <c r="B36" i="15"/>
  <c r="F36" i="15" s="1"/>
  <c r="M35" i="15"/>
  <c r="H35" i="15" s="1"/>
  <c r="C35" i="15"/>
  <c r="B35" i="15"/>
  <c r="M34" i="15"/>
  <c r="C34" i="15"/>
  <c r="B34" i="15"/>
  <c r="M33" i="15"/>
  <c r="H33" i="15" s="1"/>
  <c r="C33" i="15"/>
  <c r="B33" i="15"/>
  <c r="M32" i="15"/>
  <c r="H32" i="15" s="1"/>
  <c r="C32" i="15"/>
  <c r="S32" i="15" s="1"/>
  <c r="B32" i="15"/>
  <c r="F32" i="15" s="1"/>
  <c r="M31" i="15"/>
  <c r="H31" i="15" s="1"/>
  <c r="C31" i="15"/>
  <c r="S31" i="15" s="1"/>
  <c r="B31" i="15"/>
  <c r="M30" i="15"/>
  <c r="H30" i="15" s="1"/>
  <c r="C30" i="15"/>
  <c r="B30" i="15"/>
  <c r="M29" i="15"/>
  <c r="H29" i="15" s="1"/>
  <c r="C29" i="15"/>
  <c r="B29" i="15"/>
  <c r="M28" i="15"/>
  <c r="H28" i="15" s="1"/>
  <c r="C28" i="15"/>
  <c r="B28" i="15"/>
  <c r="F28" i="15" s="1"/>
  <c r="M27" i="15"/>
  <c r="C27" i="15"/>
  <c r="B27" i="15"/>
  <c r="M26" i="15"/>
  <c r="C26" i="15"/>
  <c r="B26" i="15"/>
  <c r="F26" i="15" s="1"/>
  <c r="M25" i="15"/>
  <c r="H25" i="15" s="1"/>
  <c r="C25" i="15"/>
  <c r="B25" i="15"/>
  <c r="M24" i="15"/>
  <c r="H24" i="15" s="1"/>
  <c r="C24" i="15"/>
  <c r="G24" i="15" s="1"/>
  <c r="B24" i="15"/>
  <c r="O24" i="15" s="1"/>
  <c r="M23" i="15"/>
  <c r="H23" i="15" s="1"/>
  <c r="C23" i="15"/>
  <c r="S23" i="15" s="1"/>
  <c r="B23" i="15"/>
  <c r="S22" i="15"/>
  <c r="M22" i="15"/>
  <c r="H22" i="15" s="1"/>
  <c r="C22" i="15"/>
  <c r="B22" i="15"/>
  <c r="O22" i="15" s="1"/>
  <c r="M21" i="15"/>
  <c r="H21" i="15" s="1"/>
  <c r="C21" i="15"/>
  <c r="B21" i="15"/>
  <c r="M20" i="15"/>
  <c r="H20" i="15" s="1"/>
  <c r="C20" i="15"/>
  <c r="B20" i="15"/>
  <c r="F20" i="15" s="1"/>
  <c r="M19" i="15"/>
  <c r="C19" i="15"/>
  <c r="B19" i="15"/>
  <c r="M18" i="15"/>
  <c r="C18" i="15"/>
  <c r="S18" i="15" s="1"/>
  <c r="B18" i="15"/>
  <c r="F18" i="15" s="1"/>
  <c r="M17" i="15"/>
  <c r="H17" i="15" s="1"/>
  <c r="C17" i="15"/>
  <c r="G17" i="15" s="1"/>
  <c r="B17" i="15"/>
  <c r="M16" i="15"/>
  <c r="H16" i="15" s="1"/>
  <c r="C16" i="15"/>
  <c r="G16" i="15" s="1"/>
  <c r="B16" i="15"/>
  <c r="M15" i="15"/>
  <c r="H15" i="15" s="1"/>
  <c r="C15" i="15"/>
  <c r="G15" i="15" s="1"/>
  <c r="B15" i="15"/>
  <c r="M14" i="15"/>
  <c r="H14" i="15" s="1"/>
  <c r="C14" i="15"/>
  <c r="B14" i="15"/>
  <c r="O14" i="15" s="1"/>
  <c r="M13" i="15"/>
  <c r="H13" i="15" s="1"/>
  <c r="C13" i="15"/>
  <c r="B13" i="15"/>
  <c r="M12" i="15"/>
  <c r="H12" i="15" s="1"/>
  <c r="C12" i="15"/>
  <c r="B12" i="15"/>
  <c r="F12" i="15" s="1"/>
  <c r="M11" i="15"/>
  <c r="H11" i="15" s="1"/>
  <c r="C11" i="15"/>
  <c r="B11" i="15"/>
  <c r="M10" i="15"/>
  <c r="C10" i="15"/>
  <c r="S10" i="15" s="1"/>
  <c r="B10" i="15"/>
  <c r="F10" i="15" s="1"/>
  <c r="M9" i="15"/>
  <c r="H9" i="15" s="1"/>
  <c r="C9" i="15"/>
  <c r="G9" i="15" s="1"/>
  <c r="B9" i="15"/>
  <c r="M8" i="15"/>
  <c r="H8" i="15" s="1"/>
  <c r="C8" i="15"/>
  <c r="G8" i="15" s="1"/>
  <c r="B8" i="15"/>
  <c r="M7" i="15"/>
  <c r="H7" i="15" s="1"/>
  <c r="C7" i="15"/>
  <c r="G7" i="15" s="1"/>
  <c r="B7" i="15"/>
  <c r="M6" i="15"/>
  <c r="H6" i="15" s="1"/>
  <c r="C6" i="15"/>
  <c r="B6" i="15"/>
  <c r="O6" i="15" s="1"/>
  <c r="M5" i="15"/>
  <c r="H5" i="15" s="1"/>
  <c r="C5" i="15"/>
  <c r="B5" i="15"/>
  <c r="M4" i="15"/>
  <c r="H4" i="15" s="1"/>
  <c r="C4" i="15"/>
  <c r="B4" i="15"/>
  <c r="F4" i="15" s="1"/>
  <c r="M3" i="15"/>
  <c r="H3" i="15" s="1"/>
  <c r="C3" i="15"/>
  <c r="B3" i="15"/>
  <c r="M2" i="15"/>
  <c r="H2" i="15" s="1"/>
  <c r="C2" i="15"/>
  <c r="B2" i="15"/>
  <c r="F2" i="15" s="1"/>
  <c r="P4" i="14"/>
  <c r="P3" i="14"/>
  <c r="P2" i="14"/>
  <c r="O4" i="14"/>
  <c r="O3" i="14"/>
  <c r="O2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98" i="14"/>
  <c r="C98" i="14"/>
  <c r="B99" i="14"/>
  <c r="C99" i="14"/>
  <c r="B100" i="14"/>
  <c r="C100" i="14"/>
  <c r="B101" i="14"/>
  <c r="C101" i="14"/>
  <c r="B102" i="14"/>
  <c r="C102" i="14"/>
  <c r="B103" i="14"/>
  <c r="C103" i="14"/>
  <c r="B104" i="14"/>
  <c r="C104" i="14"/>
  <c r="B105" i="14"/>
  <c r="C105" i="14"/>
  <c r="B106" i="14"/>
  <c r="C106" i="14"/>
  <c r="B107" i="14"/>
  <c r="C107" i="14"/>
  <c r="B108" i="14"/>
  <c r="C108" i="14"/>
  <c r="B109" i="14"/>
  <c r="C109" i="14"/>
  <c r="B110" i="14"/>
  <c r="C110" i="14"/>
  <c r="B111" i="14"/>
  <c r="C111" i="14"/>
  <c r="B112" i="14"/>
  <c r="C112" i="14"/>
  <c r="B113" i="14"/>
  <c r="C113" i="14"/>
  <c r="B114" i="14"/>
  <c r="C114" i="14"/>
  <c r="B115" i="14"/>
  <c r="C115" i="14"/>
  <c r="B116" i="14"/>
  <c r="C116" i="14"/>
  <c r="B117" i="14"/>
  <c r="C117" i="14"/>
  <c r="B118" i="14"/>
  <c r="C118" i="14"/>
  <c r="B119" i="14"/>
  <c r="C119" i="14"/>
  <c r="B120" i="14"/>
  <c r="C120" i="14"/>
  <c r="B121" i="14"/>
  <c r="C121" i="14"/>
  <c r="B122" i="14"/>
  <c r="C122" i="14"/>
  <c r="B123" i="14"/>
  <c r="C123" i="14"/>
  <c r="B124" i="14"/>
  <c r="C124" i="14"/>
  <c r="B125" i="14"/>
  <c r="C125" i="14"/>
  <c r="B126" i="14"/>
  <c r="C126" i="14"/>
  <c r="B127" i="14"/>
  <c r="C127" i="14"/>
  <c r="B128" i="14"/>
  <c r="C128" i="14"/>
  <c r="B129" i="14"/>
  <c r="C129" i="14"/>
  <c r="B130" i="14"/>
  <c r="C130" i="14"/>
  <c r="B131" i="14"/>
  <c r="C131" i="14"/>
  <c r="B132" i="14"/>
  <c r="C132" i="14"/>
  <c r="B133" i="14"/>
  <c r="C133" i="14"/>
  <c r="B134" i="14"/>
  <c r="C134" i="14"/>
  <c r="B135" i="14"/>
  <c r="C135" i="14"/>
  <c r="B136" i="14"/>
  <c r="C136" i="14"/>
  <c r="B137" i="14"/>
  <c r="C137" i="14"/>
  <c r="B138" i="14"/>
  <c r="C138" i="14"/>
  <c r="B139" i="14"/>
  <c r="C139" i="14"/>
  <c r="B140" i="14"/>
  <c r="C140" i="14"/>
  <c r="B141" i="14"/>
  <c r="C141" i="14"/>
  <c r="B142" i="14"/>
  <c r="C142" i="14"/>
  <c r="B143" i="14"/>
  <c r="C143" i="14"/>
  <c r="B144" i="14"/>
  <c r="C144" i="14"/>
  <c r="B145" i="14"/>
  <c r="C145" i="14"/>
  <c r="B146" i="14"/>
  <c r="C146" i="14"/>
  <c r="B147" i="14"/>
  <c r="C147" i="14"/>
  <c r="B148" i="14"/>
  <c r="C148" i="14"/>
  <c r="B149" i="14"/>
  <c r="C149" i="14"/>
  <c r="B150" i="14"/>
  <c r="C150" i="14"/>
  <c r="B151" i="14"/>
  <c r="C151" i="14"/>
  <c r="B152" i="14"/>
  <c r="C152" i="14"/>
  <c r="B153" i="14"/>
  <c r="C153" i="14"/>
  <c r="B154" i="14"/>
  <c r="C154" i="14"/>
  <c r="B155" i="14"/>
  <c r="C155" i="14"/>
  <c r="B156" i="14"/>
  <c r="C156" i="14"/>
  <c r="B157" i="14"/>
  <c r="C157" i="14"/>
  <c r="C2" i="14"/>
  <c r="B2" i="14"/>
  <c r="E3" i="14"/>
  <c r="E4" i="14"/>
  <c r="E5" i="14"/>
  <c r="E6" i="14"/>
  <c r="E7" i="14"/>
  <c r="E8" i="14"/>
  <c r="E9" i="14"/>
  <c r="E10" i="14"/>
  <c r="E11" i="14"/>
  <c r="E12" i="14"/>
  <c r="E13" i="14"/>
  <c r="E14" i="14"/>
  <c r="E15" i="14"/>
  <c r="E16" i="14"/>
  <c r="E17" i="14"/>
  <c r="E18" i="14"/>
  <c r="E19" i="14"/>
  <c r="E20" i="14"/>
  <c r="E21" i="14"/>
  <c r="E22" i="14"/>
  <c r="E23" i="14"/>
  <c r="E24" i="14"/>
  <c r="E25" i="14"/>
  <c r="E26" i="14"/>
  <c r="E27" i="14"/>
  <c r="E28" i="14"/>
  <c r="E29" i="14"/>
  <c r="E30" i="14"/>
  <c r="E31" i="14"/>
  <c r="E32" i="14"/>
  <c r="E33" i="14"/>
  <c r="E34" i="14"/>
  <c r="E35" i="14"/>
  <c r="E36" i="14"/>
  <c r="E37" i="14"/>
  <c r="E38" i="14"/>
  <c r="E39" i="14"/>
  <c r="E40" i="14"/>
  <c r="E41" i="14"/>
  <c r="E42" i="14"/>
  <c r="E43" i="14"/>
  <c r="E44" i="14"/>
  <c r="E45" i="14"/>
  <c r="E46" i="14"/>
  <c r="E47" i="14"/>
  <c r="E48" i="14"/>
  <c r="E49" i="14"/>
  <c r="E50" i="14"/>
  <c r="E51" i="14"/>
  <c r="E52" i="14"/>
  <c r="E53" i="14"/>
  <c r="E54" i="14"/>
  <c r="E55" i="14"/>
  <c r="E56" i="14"/>
  <c r="E57" i="14"/>
  <c r="E58" i="14"/>
  <c r="E59" i="14"/>
  <c r="E60" i="14"/>
  <c r="E61" i="14"/>
  <c r="E62" i="14"/>
  <c r="E63" i="14"/>
  <c r="E64" i="14"/>
  <c r="E65" i="14"/>
  <c r="E66" i="14"/>
  <c r="E67" i="14"/>
  <c r="E68" i="14"/>
  <c r="E69" i="14"/>
  <c r="E70" i="14"/>
  <c r="E71" i="14"/>
  <c r="E72" i="14"/>
  <c r="E73" i="14"/>
  <c r="E74" i="14"/>
  <c r="E75" i="14"/>
  <c r="E76" i="14"/>
  <c r="E77" i="14"/>
  <c r="E78" i="14"/>
  <c r="E79" i="14"/>
  <c r="E80" i="14"/>
  <c r="E81" i="14"/>
  <c r="E82" i="14"/>
  <c r="E83" i="14"/>
  <c r="E84" i="14"/>
  <c r="E85" i="14"/>
  <c r="E86" i="14"/>
  <c r="E87" i="14"/>
  <c r="E88" i="14"/>
  <c r="E89" i="14"/>
  <c r="E90" i="14"/>
  <c r="E91" i="14"/>
  <c r="E92" i="14"/>
  <c r="E93" i="14"/>
  <c r="E94" i="14"/>
  <c r="E95" i="14"/>
  <c r="E96" i="14"/>
  <c r="E97" i="14"/>
  <c r="E98" i="14"/>
  <c r="E99" i="14"/>
  <c r="E100" i="14"/>
  <c r="E101" i="14"/>
  <c r="E102" i="14"/>
  <c r="E103" i="14"/>
  <c r="E104" i="14"/>
  <c r="E105" i="14"/>
  <c r="E106" i="14"/>
  <c r="E107" i="14"/>
  <c r="E108" i="14"/>
  <c r="E109" i="14"/>
  <c r="E110" i="14"/>
  <c r="E111" i="14"/>
  <c r="E112" i="14"/>
  <c r="E113" i="14"/>
  <c r="E114" i="14"/>
  <c r="E115" i="14"/>
  <c r="E116" i="14"/>
  <c r="E117" i="14"/>
  <c r="E118" i="14"/>
  <c r="E119" i="14"/>
  <c r="E120" i="14"/>
  <c r="E121" i="14"/>
  <c r="E122" i="14"/>
  <c r="E123" i="14"/>
  <c r="E124" i="14"/>
  <c r="E125" i="14"/>
  <c r="E126" i="14"/>
  <c r="E127" i="14"/>
  <c r="E128" i="14"/>
  <c r="E129" i="14"/>
  <c r="E130" i="14"/>
  <c r="E131" i="14"/>
  <c r="E132" i="14"/>
  <c r="E133" i="14"/>
  <c r="E134" i="14"/>
  <c r="E135" i="14"/>
  <c r="E136" i="14"/>
  <c r="E137" i="14"/>
  <c r="E138" i="14"/>
  <c r="E139" i="14"/>
  <c r="E140" i="14"/>
  <c r="E141" i="14"/>
  <c r="E142" i="14"/>
  <c r="E143" i="14"/>
  <c r="E144" i="14"/>
  <c r="E145" i="14"/>
  <c r="E146" i="14"/>
  <c r="E147" i="14"/>
  <c r="E148" i="14"/>
  <c r="E149" i="14"/>
  <c r="E150" i="14"/>
  <c r="E151" i="14"/>
  <c r="E152" i="14"/>
  <c r="E153" i="14"/>
  <c r="E154" i="14"/>
  <c r="E155" i="14"/>
  <c r="E156" i="14"/>
  <c r="E157" i="14"/>
  <c r="E2" i="14"/>
  <c r="Q2" i="13"/>
  <c r="Q3" i="13"/>
  <c r="Q4" i="13"/>
  <c r="Q5" i="13"/>
  <c r="Q6" i="13"/>
  <c r="Q7" i="13"/>
  <c r="Q8" i="13"/>
  <c r="Q9" i="13"/>
  <c r="R9" i="13" s="1"/>
  <c r="V9" i="13" s="1"/>
  <c r="S9" i="13"/>
  <c r="Q10" i="13"/>
  <c r="R10" i="13"/>
  <c r="V10" i="13" s="1"/>
  <c r="S10" i="13"/>
  <c r="Q11" i="13"/>
  <c r="R11" i="13"/>
  <c r="V11" i="13" s="1"/>
  <c r="S11" i="13"/>
  <c r="Q12" i="13"/>
  <c r="Q13" i="13"/>
  <c r="Q14" i="13"/>
  <c r="Q15" i="13"/>
  <c r="Q16" i="13"/>
  <c r="Q17" i="13"/>
  <c r="Q18" i="13"/>
  <c r="R18" i="13"/>
  <c r="S18" i="13"/>
  <c r="Q19" i="13"/>
  <c r="R19" i="13" s="1"/>
  <c r="V19" i="13" s="1"/>
  <c r="S19" i="13"/>
  <c r="Q20" i="13"/>
  <c r="R20" i="13" s="1"/>
  <c r="S20" i="13"/>
  <c r="Q21" i="13"/>
  <c r="Q22" i="13"/>
  <c r="Q23" i="13"/>
  <c r="Q24" i="13"/>
  <c r="Q25" i="13"/>
  <c r="Q26" i="13"/>
  <c r="Q27" i="13"/>
  <c r="Q28" i="13"/>
  <c r="Q29" i="13"/>
  <c r="Q30" i="13"/>
  <c r="R30" i="13"/>
  <c r="V30" i="13" s="1"/>
  <c r="S30" i="13"/>
  <c r="Q31" i="13"/>
  <c r="Q32" i="13"/>
  <c r="Q33" i="13"/>
  <c r="Q34" i="13"/>
  <c r="Q35" i="13"/>
  <c r="Q36" i="13"/>
  <c r="Q37" i="13"/>
  <c r="Q38" i="13"/>
  <c r="Q39" i="13"/>
  <c r="Q40" i="13"/>
  <c r="R40" i="13" s="1"/>
  <c r="V40" i="13" s="1"/>
  <c r="S40" i="13"/>
  <c r="Q41" i="13"/>
  <c r="R41" i="13" s="1"/>
  <c r="V41" i="13" s="1"/>
  <c r="S41" i="13"/>
  <c r="Q42" i="13"/>
  <c r="Q43" i="13"/>
  <c r="R43" i="13" s="1"/>
  <c r="V43" i="13" s="1"/>
  <c r="S43" i="13"/>
  <c r="Q44" i="13"/>
  <c r="Q45" i="13"/>
  <c r="R45" i="13"/>
  <c r="S45" i="13"/>
  <c r="Q46" i="13"/>
  <c r="Q47" i="13"/>
  <c r="R47" i="13"/>
  <c r="V47" i="13" s="1"/>
  <c r="S47" i="13"/>
  <c r="Q48" i="13"/>
  <c r="R48" i="13"/>
  <c r="V48" i="13" s="1"/>
  <c r="S48" i="13"/>
  <c r="Q49" i="13"/>
  <c r="Q50" i="13"/>
  <c r="R50" i="13" s="1"/>
  <c r="V50" i="13" s="1"/>
  <c r="S50" i="13"/>
  <c r="Q51" i="13"/>
  <c r="Q52" i="13"/>
  <c r="Q53" i="13"/>
  <c r="Q54" i="13"/>
  <c r="R54" i="13" s="1"/>
  <c r="S54" i="13"/>
  <c r="Q55" i="13"/>
  <c r="R55" i="13"/>
  <c r="V55" i="13" s="1"/>
  <c r="S55" i="13"/>
  <c r="Q56" i="13"/>
  <c r="R56" i="13" s="1"/>
  <c r="V56" i="13" s="1"/>
  <c r="S56" i="13"/>
  <c r="Q57" i="13"/>
  <c r="Q58" i="13"/>
  <c r="Q59" i="13"/>
  <c r="Q60" i="13"/>
  <c r="R60" i="13"/>
  <c r="V60" i="13" s="1"/>
  <c r="S60" i="13"/>
  <c r="Q61" i="13"/>
  <c r="R61" i="13" s="1"/>
  <c r="S61" i="13"/>
  <c r="Q62" i="13"/>
  <c r="R62" i="13"/>
  <c r="S62" i="13"/>
  <c r="Q63" i="13"/>
  <c r="R63" i="13" s="1"/>
  <c r="V63" i="13" s="1"/>
  <c r="S63" i="13"/>
  <c r="Q64" i="13"/>
  <c r="Q65" i="13"/>
  <c r="Q66" i="13"/>
  <c r="Q67" i="13"/>
  <c r="Q68" i="13"/>
  <c r="Q69" i="13"/>
  <c r="R69" i="13" s="1"/>
  <c r="V69" i="13" s="1"/>
  <c r="S69" i="13"/>
  <c r="Q70" i="13"/>
  <c r="Q71" i="13"/>
  <c r="R71" i="13" s="1"/>
  <c r="V71" i="13" s="1"/>
  <c r="S71" i="13"/>
  <c r="Q72" i="13"/>
  <c r="Q73" i="13"/>
  <c r="Q74" i="13"/>
  <c r="Q75" i="13"/>
  <c r="Q76" i="13"/>
  <c r="Q77" i="13"/>
  <c r="Q78" i="13"/>
  <c r="Q79" i="13"/>
  <c r="R79" i="13" s="1"/>
  <c r="V79" i="13" s="1"/>
  <c r="S79" i="13"/>
  <c r="Q80" i="13"/>
  <c r="Q81" i="13"/>
  <c r="Q82" i="13"/>
  <c r="Q83" i="13"/>
  <c r="Q84" i="13"/>
  <c r="R84" i="13" s="1"/>
  <c r="V84" i="13" s="1"/>
  <c r="S84" i="13"/>
  <c r="Q85" i="13"/>
  <c r="Q86" i="13"/>
  <c r="Q87" i="13"/>
  <c r="Q88" i="13"/>
  <c r="Q89" i="13"/>
  <c r="Q90" i="13"/>
  <c r="Q91" i="13"/>
  <c r="Q92" i="13"/>
  <c r="Q93" i="13"/>
  <c r="Q94" i="13"/>
  <c r="Q95" i="13"/>
  <c r="Q96" i="13"/>
  <c r="Q97" i="13"/>
  <c r="Q98" i="13"/>
  <c r="Q99" i="13"/>
  <c r="Q100" i="13"/>
  <c r="Q101" i="13"/>
  <c r="Q102" i="13"/>
  <c r="R102" i="13" s="1"/>
  <c r="V102" i="13" s="1"/>
  <c r="S102" i="13"/>
  <c r="Q103" i="13"/>
  <c r="Q104" i="13"/>
  <c r="Q105" i="13"/>
  <c r="Q106" i="13"/>
  <c r="Q107" i="13"/>
  <c r="Q108" i="13"/>
  <c r="Q109" i="13"/>
  <c r="Q110" i="13"/>
  <c r="Q111" i="13"/>
  <c r="Q112" i="13"/>
  <c r="Q113" i="13"/>
  <c r="Q114" i="13"/>
  <c r="Q115" i="13"/>
  <c r="Q116" i="13"/>
  <c r="Q117" i="13"/>
  <c r="Q118" i="13"/>
  <c r="Q119" i="13"/>
  <c r="Q120" i="13"/>
  <c r="Q121" i="13"/>
  <c r="Q122" i="13"/>
  <c r="Q123" i="13"/>
  <c r="Q124" i="13"/>
  <c r="R124" i="13" s="1"/>
  <c r="V124" i="13" s="1"/>
  <c r="S124" i="13"/>
  <c r="Q125" i="13"/>
  <c r="R125" i="13" s="1"/>
  <c r="V125" i="13" s="1"/>
  <c r="S125" i="13"/>
  <c r="Q126" i="13"/>
  <c r="Q127" i="13"/>
  <c r="Q128" i="13"/>
  <c r="Q129" i="13"/>
  <c r="Q130" i="13"/>
  <c r="Q131" i="13"/>
  <c r="R131" i="13" s="1"/>
  <c r="V131" i="13" s="1"/>
  <c r="S131" i="13"/>
  <c r="Q132" i="13"/>
  <c r="Q133" i="13"/>
  <c r="Q134" i="13"/>
  <c r="Q135" i="13"/>
  <c r="Q136" i="13"/>
  <c r="Q137" i="13"/>
  <c r="Q138" i="13"/>
  <c r="Q139" i="13"/>
  <c r="Q140" i="13"/>
  <c r="R140" i="13" s="1"/>
  <c r="S140" i="13"/>
  <c r="Q141" i="13"/>
  <c r="Q142" i="13"/>
  <c r="Q143" i="13"/>
  <c r="Q144" i="13"/>
  <c r="Q145" i="13"/>
  <c r="Q146" i="13"/>
  <c r="Q147" i="13"/>
  <c r="Q148" i="13"/>
  <c r="Q149" i="13"/>
  <c r="Q150" i="13"/>
  <c r="Q151" i="13"/>
  <c r="Q152" i="13"/>
  <c r="Q153" i="13"/>
  <c r="Q154" i="13"/>
  <c r="Q155" i="13"/>
  <c r="Q156" i="13"/>
  <c r="Q157" i="13"/>
  <c r="Q158" i="13"/>
  <c r="Q159" i="13"/>
  <c r="Q160" i="13"/>
  <c r="Q161" i="13"/>
  <c r="Q162" i="13"/>
  <c r="Q163" i="13"/>
  <c r="Q164" i="13"/>
  <c r="Q165" i="13"/>
  <c r="R165" i="13" s="1"/>
  <c r="V165" i="13" s="1"/>
  <c r="S165" i="13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H3" i="11"/>
  <c r="H2" i="11"/>
  <c r="B3" i="11"/>
  <c r="C3" i="11"/>
  <c r="B4" i="11"/>
  <c r="C4" i="11"/>
  <c r="B5" i="11"/>
  <c r="C5" i="11"/>
  <c r="B6" i="11"/>
  <c r="C6" i="11"/>
  <c r="B7" i="11"/>
  <c r="C7" i="11"/>
  <c r="B8" i="11"/>
  <c r="C8" i="11"/>
  <c r="B9" i="11"/>
  <c r="C9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32" i="11"/>
  <c r="C32" i="11"/>
  <c r="B33" i="11"/>
  <c r="C33" i="11"/>
  <c r="B34" i="11"/>
  <c r="C34" i="11"/>
  <c r="B35" i="11"/>
  <c r="C35" i="11"/>
  <c r="B36" i="11"/>
  <c r="C36" i="11"/>
  <c r="B37" i="11"/>
  <c r="C37" i="11"/>
  <c r="B38" i="11"/>
  <c r="C38" i="11"/>
  <c r="B39" i="11"/>
  <c r="C39" i="11"/>
  <c r="B40" i="11"/>
  <c r="C40" i="11"/>
  <c r="B41" i="11"/>
  <c r="C41" i="11"/>
  <c r="B42" i="11"/>
  <c r="C42" i="11"/>
  <c r="B43" i="11"/>
  <c r="C43" i="11"/>
  <c r="B44" i="11"/>
  <c r="C44" i="11"/>
  <c r="B45" i="11"/>
  <c r="C45" i="11"/>
  <c r="B46" i="11"/>
  <c r="C46" i="11"/>
  <c r="B47" i="11"/>
  <c r="C47" i="11"/>
  <c r="B48" i="11"/>
  <c r="C48" i="11"/>
  <c r="B49" i="11"/>
  <c r="C49" i="11"/>
  <c r="B50" i="11"/>
  <c r="C50" i="11"/>
  <c r="B51" i="11"/>
  <c r="C51" i="11"/>
  <c r="B52" i="11"/>
  <c r="C52" i="11"/>
  <c r="B53" i="11"/>
  <c r="C53" i="11"/>
  <c r="B54" i="11"/>
  <c r="C54" i="11"/>
  <c r="B55" i="11"/>
  <c r="C55" i="11"/>
  <c r="B56" i="11"/>
  <c r="C56" i="11"/>
  <c r="B57" i="11"/>
  <c r="C57" i="11"/>
  <c r="B58" i="11"/>
  <c r="C58" i="11"/>
  <c r="B59" i="11"/>
  <c r="C59" i="11"/>
  <c r="B60" i="11"/>
  <c r="C60" i="11"/>
  <c r="B61" i="11"/>
  <c r="C61" i="11"/>
  <c r="B62" i="11"/>
  <c r="C62" i="11"/>
  <c r="B63" i="11"/>
  <c r="C63" i="11"/>
  <c r="B64" i="11"/>
  <c r="C64" i="11"/>
  <c r="B65" i="11"/>
  <c r="C65" i="11"/>
  <c r="B66" i="11"/>
  <c r="C66" i="11"/>
  <c r="B67" i="11"/>
  <c r="C67" i="11"/>
  <c r="B68" i="11"/>
  <c r="C68" i="11"/>
  <c r="B69" i="11"/>
  <c r="C69" i="11"/>
  <c r="B70" i="11"/>
  <c r="C70" i="11"/>
  <c r="B71" i="11"/>
  <c r="C71" i="11"/>
  <c r="B72" i="11"/>
  <c r="C72" i="11"/>
  <c r="B73" i="11"/>
  <c r="C73" i="11"/>
  <c r="B74" i="11"/>
  <c r="C74" i="11"/>
  <c r="B75" i="11"/>
  <c r="C75" i="11"/>
  <c r="B76" i="11"/>
  <c r="C76" i="11"/>
  <c r="B77" i="11"/>
  <c r="C77" i="11"/>
  <c r="B78" i="11"/>
  <c r="C78" i="11"/>
  <c r="B79" i="11"/>
  <c r="C79" i="11"/>
  <c r="B80" i="11"/>
  <c r="C80" i="11"/>
  <c r="B81" i="11"/>
  <c r="C81" i="11"/>
  <c r="B82" i="11"/>
  <c r="C82" i="11"/>
  <c r="B83" i="11"/>
  <c r="C83" i="11"/>
  <c r="B84" i="11"/>
  <c r="C84" i="11"/>
  <c r="B85" i="11"/>
  <c r="C85" i="11"/>
  <c r="B86" i="11"/>
  <c r="C86" i="11"/>
  <c r="B87" i="11"/>
  <c r="C87" i="11"/>
  <c r="B88" i="11"/>
  <c r="C88" i="11"/>
  <c r="B89" i="11"/>
  <c r="C89" i="11"/>
  <c r="B90" i="11"/>
  <c r="C90" i="11"/>
  <c r="B91" i="11"/>
  <c r="C91" i="11"/>
  <c r="B92" i="11"/>
  <c r="C92" i="11"/>
  <c r="B93" i="11"/>
  <c r="C93" i="11"/>
  <c r="B94" i="11"/>
  <c r="C94" i="11"/>
  <c r="B95" i="11"/>
  <c r="C95" i="11"/>
  <c r="B96" i="11"/>
  <c r="C96" i="11"/>
  <c r="B97" i="11"/>
  <c r="C97" i="11"/>
  <c r="B98" i="11"/>
  <c r="C98" i="11"/>
  <c r="B99" i="11"/>
  <c r="C99" i="11"/>
  <c r="B100" i="11"/>
  <c r="C100" i="11"/>
  <c r="B101" i="11"/>
  <c r="C101" i="11"/>
  <c r="B102" i="11"/>
  <c r="C102" i="11"/>
  <c r="B103" i="11"/>
  <c r="C103" i="11"/>
  <c r="B104" i="11"/>
  <c r="C104" i="11"/>
  <c r="B105" i="11"/>
  <c r="C105" i="11"/>
  <c r="B106" i="11"/>
  <c r="C106" i="11"/>
  <c r="B107" i="11"/>
  <c r="C107" i="11"/>
  <c r="B108" i="11"/>
  <c r="C108" i="11"/>
  <c r="B109" i="11"/>
  <c r="C109" i="11"/>
  <c r="B110" i="11"/>
  <c r="C110" i="11"/>
  <c r="B111" i="11"/>
  <c r="C111" i="11"/>
  <c r="B112" i="11"/>
  <c r="C112" i="11"/>
  <c r="B113" i="11"/>
  <c r="C113" i="11"/>
  <c r="B114" i="11"/>
  <c r="C114" i="11"/>
  <c r="B115" i="11"/>
  <c r="C115" i="11"/>
  <c r="B116" i="11"/>
  <c r="C116" i="11"/>
  <c r="B117" i="11"/>
  <c r="C117" i="11"/>
  <c r="B118" i="11"/>
  <c r="C118" i="11"/>
  <c r="B119" i="11"/>
  <c r="C119" i="11"/>
  <c r="B120" i="11"/>
  <c r="C120" i="11"/>
  <c r="B121" i="11"/>
  <c r="C121" i="11"/>
  <c r="B122" i="11"/>
  <c r="C122" i="11"/>
  <c r="B123" i="11"/>
  <c r="C123" i="11"/>
  <c r="B124" i="11"/>
  <c r="C124" i="11"/>
  <c r="B125" i="11"/>
  <c r="C125" i="11"/>
  <c r="B126" i="11"/>
  <c r="C126" i="11"/>
  <c r="B127" i="11"/>
  <c r="C127" i="11"/>
  <c r="B128" i="11"/>
  <c r="C128" i="11"/>
  <c r="B129" i="11"/>
  <c r="C129" i="11"/>
  <c r="B130" i="11"/>
  <c r="C130" i="11"/>
  <c r="B131" i="11"/>
  <c r="C131" i="11"/>
  <c r="B132" i="11"/>
  <c r="C132" i="11"/>
  <c r="B133" i="11"/>
  <c r="C133" i="11"/>
  <c r="B134" i="11"/>
  <c r="C134" i="11"/>
  <c r="B135" i="11"/>
  <c r="C135" i="11"/>
  <c r="B136" i="11"/>
  <c r="C136" i="11"/>
  <c r="B137" i="11"/>
  <c r="C137" i="11"/>
  <c r="B138" i="11"/>
  <c r="C138" i="11"/>
  <c r="B139" i="11"/>
  <c r="C139" i="11"/>
  <c r="B140" i="11"/>
  <c r="C140" i="11"/>
  <c r="B141" i="11"/>
  <c r="C141" i="11"/>
  <c r="B142" i="11"/>
  <c r="C142" i="11"/>
  <c r="B143" i="11"/>
  <c r="C143" i="11"/>
  <c r="B144" i="11"/>
  <c r="C144" i="11"/>
  <c r="B145" i="11"/>
  <c r="C145" i="11"/>
  <c r="B146" i="11"/>
  <c r="C146" i="11"/>
  <c r="B147" i="11"/>
  <c r="C147" i="11"/>
  <c r="B148" i="11"/>
  <c r="C148" i="11"/>
  <c r="B149" i="11"/>
  <c r="C149" i="11"/>
  <c r="B150" i="11"/>
  <c r="C150" i="11"/>
  <c r="B151" i="11"/>
  <c r="C151" i="11"/>
  <c r="B152" i="11"/>
  <c r="C152" i="11"/>
  <c r="B153" i="11"/>
  <c r="C153" i="11"/>
  <c r="B154" i="11"/>
  <c r="C154" i="11"/>
  <c r="B155" i="11"/>
  <c r="C155" i="11"/>
  <c r="B156" i="11"/>
  <c r="C156" i="11"/>
  <c r="B157" i="11"/>
  <c r="C157" i="11"/>
  <c r="B158" i="11"/>
  <c r="C158" i="11"/>
  <c r="B159" i="11"/>
  <c r="C159" i="11"/>
  <c r="B160" i="11"/>
  <c r="C160" i="11"/>
  <c r="B161" i="11"/>
  <c r="C161" i="11"/>
  <c r="B162" i="11"/>
  <c r="C162" i="11"/>
  <c r="B163" i="11"/>
  <c r="C163" i="11"/>
  <c r="B164" i="11"/>
  <c r="C164" i="11"/>
  <c r="F164" i="10"/>
  <c r="G164" i="10" s="1"/>
  <c r="F163" i="10"/>
  <c r="G163" i="10" s="1"/>
  <c r="F162" i="10"/>
  <c r="G162" i="10" s="1"/>
  <c r="F161" i="10"/>
  <c r="G161" i="10" s="1"/>
  <c r="F160" i="10"/>
  <c r="G160" i="10" s="1"/>
  <c r="F159" i="10"/>
  <c r="G159" i="10" s="1"/>
  <c r="F158" i="10"/>
  <c r="G158" i="10" s="1"/>
  <c r="F157" i="10"/>
  <c r="G157" i="10" s="1"/>
  <c r="F156" i="10"/>
  <c r="G156" i="10" s="1"/>
  <c r="F155" i="10"/>
  <c r="G155" i="10" s="1"/>
  <c r="F154" i="10"/>
  <c r="G154" i="10" s="1"/>
  <c r="F153" i="10"/>
  <c r="G153" i="10" s="1"/>
  <c r="F152" i="10"/>
  <c r="G152" i="10" s="1"/>
  <c r="F151" i="10"/>
  <c r="G151" i="10" s="1"/>
  <c r="F150" i="10"/>
  <c r="G150" i="10" s="1"/>
  <c r="F149" i="10"/>
  <c r="G149" i="10" s="1"/>
  <c r="F148" i="10"/>
  <c r="G148" i="10" s="1"/>
  <c r="F147" i="10"/>
  <c r="G147" i="10" s="1"/>
  <c r="F146" i="10"/>
  <c r="G146" i="10" s="1"/>
  <c r="F145" i="10"/>
  <c r="G145" i="10" s="1"/>
  <c r="F144" i="10"/>
  <c r="G144" i="10" s="1"/>
  <c r="F143" i="10"/>
  <c r="G143" i="10" s="1"/>
  <c r="F142" i="10"/>
  <c r="G142" i="10" s="1"/>
  <c r="F141" i="10"/>
  <c r="G141" i="10" s="1"/>
  <c r="F140" i="10"/>
  <c r="G140" i="10" s="1"/>
  <c r="F139" i="10"/>
  <c r="G139" i="10" s="1"/>
  <c r="F138" i="10"/>
  <c r="G138" i="10" s="1"/>
  <c r="F137" i="10"/>
  <c r="G137" i="10" s="1"/>
  <c r="F136" i="10"/>
  <c r="G136" i="10" s="1"/>
  <c r="F135" i="10"/>
  <c r="G135" i="10" s="1"/>
  <c r="F134" i="10"/>
  <c r="G134" i="10" s="1"/>
  <c r="F133" i="10"/>
  <c r="G133" i="10" s="1"/>
  <c r="F132" i="10"/>
  <c r="G132" i="10" s="1"/>
  <c r="F131" i="10"/>
  <c r="G131" i="10" s="1"/>
  <c r="F130" i="10"/>
  <c r="G130" i="10" s="1"/>
  <c r="F129" i="10"/>
  <c r="G129" i="10" s="1"/>
  <c r="F128" i="10"/>
  <c r="G128" i="10" s="1"/>
  <c r="F127" i="10"/>
  <c r="G127" i="10" s="1"/>
  <c r="F126" i="10"/>
  <c r="G126" i="10" s="1"/>
  <c r="F125" i="10"/>
  <c r="G125" i="10" s="1"/>
  <c r="F124" i="10"/>
  <c r="G124" i="10" s="1"/>
  <c r="F123" i="10"/>
  <c r="G123" i="10" s="1"/>
  <c r="F122" i="10"/>
  <c r="G122" i="10" s="1"/>
  <c r="F121" i="10"/>
  <c r="G121" i="10" s="1"/>
  <c r="F120" i="10"/>
  <c r="G120" i="10" s="1"/>
  <c r="F119" i="10"/>
  <c r="G119" i="10" s="1"/>
  <c r="F118" i="10"/>
  <c r="G118" i="10" s="1"/>
  <c r="F117" i="10"/>
  <c r="G117" i="10" s="1"/>
  <c r="F116" i="10"/>
  <c r="G116" i="10" s="1"/>
  <c r="F115" i="10"/>
  <c r="G115" i="10" s="1"/>
  <c r="F114" i="10"/>
  <c r="G114" i="10" s="1"/>
  <c r="F113" i="10"/>
  <c r="G113" i="10" s="1"/>
  <c r="F112" i="10"/>
  <c r="G112" i="10" s="1"/>
  <c r="F111" i="10"/>
  <c r="G111" i="10" s="1"/>
  <c r="F110" i="10"/>
  <c r="G110" i="10" s="1"/>
  <c r="F109" i="10"/>
  <c r="G109" i="10" s="1"/>
  <c r="F108" i="10"/>
  <c r="G108" i="10" s="1"/>
  <c r="F107" i="10"/>
  <c r="G107" i="10" s="1"/>
  <c r="F106" i="10"/>
  <c r="G106" i="10" s="1"/>
  <c r="F105" i="10"/>
  <c r="G105" i="10" s="1"/>
  <c r="F104" i="10"/>
  <c r="G104" i="10" s="1"/>
  <c r="F103" i="10"/>
  <c r="G103" i="10" s="1"/>
  <c r="F102" i="10"/>
  <c r="G102" i="10" s="1"/>
  <c r="F101" i="10"/>
  <c r="G101" i="10" s="1"/>
  <c r="F100" i="10"/>
  <c r="G100" i="10" s="1"/>
  <c r="F99" i="10"/>
  <c r="G99" i="10" s="1"/>
  <c r="F98" i="10"/>
  <c r="G98" i="10" s="1"/>
  <c r="F97" i="10"/>
  <c r="G97" i="10" s="1"/>
  <c r="F96" i="10"/>
  <c r="G96" i="10" s="1"/>
  <c r="F95" i="10"/>
  <c r="G95" i="10" s="1"/>
  <c r="F94" i="10"/>
  <c r="G94" i="10" s="1"/>
  <c r="F93" i="10"/>
  <c r="G93" i="10" s="1"/>
  <c r="F92" i="10"/>
  <c r="G92" i="10" s="1"/>
  <c r="F91" i="10"/>
  <c r="G91" i="10" s="1"/>
  <c r="F90" i="10"/>
  <c r="G90" i="10" s="1"/>
  <c r="F89" i="10"/>
  <c r="G89" i="10" s="1"/>
  <c r="F88" i="10"/>
  <c r="G88" i="10" s="1"/>
  <c r="F87" i="10"/>
  <c r="G87" i="10" s="1"/>
  <c r="F86" i="10"/>
  <c r="G86" i="10" s="1"/>
  <c r="F85" i="10"/>
  <c r="G85" i="10" s="1"/>
  <c r="F84" i="10"/>
  <c r="G84" i="10" s="1"/>
  <c r="F83" i="10"/>
  <c r="G83" i="10" s="1"/>
  <c r="F82" i="10"/>
  <c r="G82" i="10" s="1"/>
  <c r="F81" i="10"/>
  <c r="G81" i="10" s="1"/>
  <c r="F80" i="10"/>
  <c r="G80" i="10" s="1"/>
  <c r="F79" i="10"/>
  <c r="G79" i="10" s="1"/>
  <c r="F78" i="10"/>
  <c r="G78" i="10" s="1"/>
  <c r="F77" i="10"/>
  <c r="G77" i="10" s="1"/>
  <c r="F76" i="10"/>
  <c r="G76" i="10" s="1"/>
  <c r="G75" i="10"/>
  <c r="F75" i="10"/>
  <c r="F74" i="10"/>
  <c r="G74" i="10" s="1"/>
  <c r="F73" i="10"/>
  <c r="G73" i="10" s="1"/>
  <c r="F72" i="10"/>
  <c r="G72" i="10" s="1"/>
  <c r="F71" i="10"/>
  <c r="G71" i="10" s="1"/>
  <c r="F70" i="10"/>
  <c r="G70" i="10" s="1"/>
  <c r="F69" i="10"/>
  <c r="G69" i="10" s="1"/>
  <c r="F68" i="10"/>
  <c r="G68" i="10" s="1"/>
  <c r="F67" i="10"/>
  <c r="G67" i="10" s="1"/>
  <c r="F66" i="10"/>
  <c r="G66" i="10" s="1"/>
  <c r="F65" i="10"/>
  <c r="G65" i="10" s="1"/>
  <c r="F64" i="10"/>
  <c r="G64" i="10" s="1"/>
  <c r="F63" i="10"/>
  <c r="G63" i="10" s="1"/>
  <c r="F62" i="10"/>
  <c r="G62" i="10" s="1"/>
  <c r="F61" i="10"/>
  <c r="G61" i="10" s="1"/>
  <c r="F60" i="10"/>
  <c r="G60" i="10" s="1"/>
  <c r="F59" i="10"/>
  <c r="G59" i="10" s="1"/>
  <c r="F58" i="10"/>
  <c r="G58" i="10" s="1"/>
  <c r="F57" i="10"/>
  <c r="G57" i="10" s="1"/>
  <c r="F56" i="10"/>
  <c r="G56" i="10" s="1"/>
  <c r="F55" i="10"/>
  <c r="G55" i="10" s="1"/>
  <c r="F54" i="10"/>
  <c r="G54" i="10" s="1"/>
  <c r="F53" i="10"/>
  <c r="G53" i="10" s="1"/>
  <c r="F52" i="10"/>
  <c r="G52" i="10" s="1"/>
  <c r="F51" i="10"/>
  <c r="G51" i="10" s="1"/>
  <c r="F50" i="10"/>
  <c r="G50" i="10" s="1"/>
  <c r="F49" i="10"/>
  <c r="G49" i="10" s="1"/>
  <c r="F48" i="10"/>
  <c r="G48" i="10" s="1"/>
  <c r="F47" i="10"/>
  <c r="G47" i="10" s="1"/>
  <c r="F46" i="10"/>
  <c r="G46" i="10" s="1"/>
  <c r="F45" i="10"/>
  <c r="G45" i="10" s="1"/>
  <c r="F44" i="10"/>
  <c r="G44" i="10" s="1"/>
  <c r="G43" i="10"/>
  <c r="F43" i="10"/>
  <c r="F42" i="10"/>
  <c r="G42" i="10" s="1"/>
  <c r="F41" i="10"/>
  <c r="G41" i="10" s="1"/>
  <c r="F40" i="10"/>
  <c r="G40" i="10" s="1"/>
  <c r="F39" i="10"/>
  <c r="G39" i="10" s="1"/>
  <c r="F38" i="10"/>
  <c r="G38" i="10" s="1"/>
  <c r="G37" i="10"/>
  <c r="F37" i="10"/>
  <c r="F36" i="10"/>
  <c r="G36" i="10" s="1"/>
  <c r="F35" i="10"/>
  <c r="G35" i="10" s="1"/>
  <c r="F34" i="10"/>
  <c r="G34" i="10" s="1"/>
  <c r="F33" i="10"/>
  <c r="G33" i="10" s="1"/>
  <c r="F32" i="10"/>
  <c r="G32" i="10" s="1"/>
  <c r="F31" i="10"/>
  <c r="G31" i="10" s="1"/>
  <c r="F30" i="10"/>
  <c r="G30" i="10" s="1"/>
  <c r="F29" i="10"/>
  <c r="G29" i="10" s="1"/>
  <c r="F28" i="10"/>
  <c r="G28" i="10" s="1"/>
  <c r="F27" i="10"/>
  <c r="G27" i="10" s="1"/>
  <c r="F26" i="10"/>
  <c r="G26" i="10" s="1"/>
  <c r="F25" i="10"/>
  <c r="G25" i="10" s="1"/>
  <c r="F24" i="10"/>
  <c r="G24" i="10" s="1"/>
  <c r="F23" i="10"/>
  <c r="G23" i="10" s="1"/>
  <c r="F22" i="10"/>
  <c r="G22" i="10" s="1"/>
  <c r="F21" i="10"/>
  <c r="G21" i="10" s="1"/>
  <c r="F20" i="10"/>
  <c r="G20" i="10" s="1"/>
  <c r="F19" i="10"/>
  <c r="G19" i="10" s="1"/>
  <c r="F18" i="10"/>
  <c r="G18" i="10" s="1"/>
  <c r="F17" i="10"/>
  <c r="G17" i="10" s="1"/>
  <c r="F16" i="10"/>
  <c r="G16" i="10" s="1"/>
  <c r="F15" i="10"/>
  <c r="G15" i="10" s="1"/>
  <c r="F14" i="10"/>
  <c r="G14" i="10" s="1"/>
  <c r="F13" i="10"/>
  <c r="G13" i="10" s="1"/>
  <c r="F12" i="10"/>
  <c r="G12" i="10" s="1"/>
  <c r="F11" i="10"/>
  <c r="G11" i="10" s="1"/>
  <c r="F10" i="10"/>
  <c r="G10" i="10" s="1"/>
  <c r="F9" i="10"/>
  <c r="G9" i="10" s="1"/>
  <c r="F8" i="10"/>
  <c r="G8" i="10" s="1"/>
  <c r="F7" i="10"/>
  <c r="G7" i="10" s="1"/>
  <c r="F6" i="10"/>
  <c r="G6" i="10" s="1"/>
  <c r="F5" i="10"/>
  <c r="G5" i="10" s="1"/>
  <c r="F4" i="10"/>
  <c r="G4" i="10" s="1"/>
  <c r="F3" i="10"/>
  <c r="G3" i="10" s="1"/>
  <c r="J1" i="10" s="1"/>
  <c r="F164" i="9"/>
  <c r="G164" i="9" s="1"/>
  <c r="F163" i="9"/>
  <c r="G163" i="9" s="1"/>
  <c r="F162" i="9"/>
  <c r="G162" i="9" s="1"/>
  <c r="F161" i="9"/>
  <c r="G161" i="9" s="1"/>
  <c r="F160" i="9"/>
  <c r="G160" i="9" s="1"/>
  <c r="F159" i="9"/>
  <c r="G159" i="9" s="1"/>
  <c r="F158" i="9"/>
  <c r="G158" i="9" s="1"/>
  <c r="F157" i="9"/>
  <c r="G157" i="9" s="1"/>
  <c r="F156" i="9"/>
  <c r="G156" i="9" s="1"/>
  <c r="F155" i="9"/>
  <c r="G155" i="9" s="1"/>
  <c r="F154" i="9"/>
  <c r="G154" i="9" s="1"/>
  <c r="F153" i="9"/>
  <c r="G153" i="9" s="1"/>
  <c r="F152" i="9"/>
  <c r="G152" i="9" s="1"/>
  <c r="F151" i="9"/>
  <c r="G151" i="9" s="1"/>
  <c r="F150" i="9"/>
  <c r="G150" i="9" s="1"/>
  <c r="F149" i="9"/>
  <c r="G149" i="9" s="1"/>
  <c r="F148" i="9"/>
  <c r="G148" i="9" s="1"/>
  <c r="F147" i="9"/>
  <c r="G147" i="9" s="1"/>
  <c r="F146" i="9"/>
  <c r="G146" i="9" s="1"/>
  <c r="F145" i="9"/>
  <c r="G145" i="9" s="1"/>
  <c r="F144" i="9"/>
  <c r="G144" i="9" s="1"/>
  <c r="F143" i="9"/>
  <c r="G143" i="9" s="1"/>
  <c r="F142" i="9"/>
  <c r="G142" i="9" s="1"/>
  <c r="F141" i="9"/>
  <c r="G141" i="9" s="1"/>
  <c r="F140" i="9"/>
  <c r="G140" i="9" s="1"/>
  <c r="F139" i="9"/>
  <c r="G139" i="9" s="1"/>
  <c r="F138" i="9"/>
  <c r="G138" i="9" s="1"/>
  <c r="F137" i="9"/>
  <c r="G137" i="9" s="1"/>
  <c r="F136" i="9"/>
  <c r="G136" i="9" s="1"/>
  <c r="F135" i="9"/>
  <c r="G135" i="9" s="1"/>
  <c r="F134" i="9"/>
  <c r="G134" i="9" s="1"/>
  <c r="F133" i="9"/>
  <c r="G133" i="9" s="1"/>
  <c r="G132" i="9"/>
  <c r="F132" i="9"/>
  <c r="F131" i="9"/>
  <c r="G131" i="9" s="1"/>
  <c r="G130" i="9"/>
  <c r="F130" i="9"/>
  <c r="F129" i="9"/>
  <c r="G129" i="9" s="1"/>
  <c r="F128" i="9"/>
  <c r="G128" i="9" s="1"/>
  <c r="F127" i="9"/>
  <c r="G127" i="9" s="1"/>
  <c r="F126" i="9"/>
  <c r="G126" i="9" s="1"/>
  <c r="F125" i="9"/>
  <c r="G125" i="9" s="1"/>
  <c r="F124" i="9"/>
  <c r="G124" i="9" s="1"/>
  <c r="F123" i="9"/>
  <c r="G123" i="9" s="1"/>
  <c r="F122" i="9"/>
  <c r="G122" i="9" s="1"/>
  <c r="F121" i="9"/>
  <c r="G121" i="9" s="1"/>
  <c r="F120" i="9"/>
  <c r="G120" i="9" s="1"/>
  <c r="G119" i="9"/>
  <c r="F119" i="9"/>
  <c r="F118" i="9"/>
  <c r="G118" i="9" s="1"/>
  <c r="F117" i="9"/>
  <c r="G117" i="9" s="1"/>
  <c r="F116" i="9"/>
  <c r="G116" i="9" s="1"/>
  <c r="F115" i="9"/>
  <c r="G115" i="9" s="1"/>
  <c r="F114" i="9"/>
  <c r="G114" i="9" s="1"/>
  <c r="F113" i="9"/>
  <c r="G113" i="9" s="1"/>
  <c r="F112" i="9"/>
  <c r="G112" i="9" s="1"/>
  <c r="F111" i="9"/>
  <c r="G111" i="9" s="1"/>
  <c r="F110" i="9"/>
  <c r="G110" i="9" s="1"/>
  <c r="F109" i="9"/>
  <c r="G109" i="9" s="1"/>
  <c r="F108" i="9"/>
  <c r="G108" i="9" s="1"/>
  <c r="F107" i="9"/>
  <c r="G107" i="9" s="1"/>
  <c r="F106" i="9"/>
  <c r="G106" i="9" s="1"/>
  <c r="F105" i="9"/>
  <c r="G105" i="9" s="1"/>
  <c r="F104" i="9"/>
  <c r="G104" i="9" s="1"/>
  <c r="F103" i="9"/>
  <c r="G103" i="9" s="1"/>
  <c r="F102" i="9"/>
  <c r="G102" i="9" s="1"/>
  <c r="F101" i="9"/>
  <c r="G101" i="9" s="1"/>
  <c r="F100" i="9"/>
  <c r="G100" i="9" s="1"/>
  <c r="F99" i="9"/>
  <c r="G99" i="9" s="1"/>
  <c r="F98" i="9"/>
  <c r="G98" i="9" s="1"/>
  <c r="F97" i="9"/>
  <c r="G97" i="9" s="1"/>
  <c r="F96" i="9"/>
  <c r="G96" i="9" s="1"/>
  <c r="F95" i="9"/>
  <c r="G95" i="9" s="1"/>
  <c r="F94" i="9"/>
  <c r="G94" i="9" s="1"/>
  <c r="F93" i="9"/>
  <c r="G93" i="9" s="1"/>
  <c r="F92" i="9"/>
  <c r="G92" i="9" s="1"/>
  <c r="F91" i="9"/>
  <c r="G91" i="9" s="1"/>
  <c r="F90" i="9"/>
  <c r="G90" i="9" s="1"/>
  <c r="F89" i="9"/>
  <c r="G89" i="9" s="1"/>
  <c r="F88" i="9"/>
  <c r="G88" i="9" s="1"/>
  <c r="F87" i="9"/>
  <c r="G87" i="9" s="1"/>
  <c r="F86" i="9"/>
  <c r="G86" i="9" s="1"/>
  <c r="F85" i="9"/>
  <c r="G85" i="9" s="1"/>
  <c r="G84" i="9"/>
  <c r="F84" i="9"/>
  <c r="F83" i="9"/>
  <c r="G83" i="9" s="1"/>
  <c r="F82" i="9"/>
  <c r="G82" i="9" s="1"/>
  <c r="F81" i="9"/>
  <c r="G81" i="9" s="1"/>
  <c r="F80" i="9"/>
  <c r="G80" i="9" s="1"/>
  <c r="F79" i="9"/>
  <c r="G79" i="9" s="1"/>
  <c r="F78" i="9"/>
  <c r="G78" i="9" s="1"/>
  <c r="F77" i="9"/>
  <c r="G77" i="9" s="1"/>
  <c r="F76" i="9"/>
  <c r="G76" i="9" s="1"/>
  <c r="F75" i="9"/>
  <c r="G75" i="9" s="1"/>
  <c r="F74" i="9"/>
  <c r="G74" i="9" s="1"/>
  <c r="F73" i="9"/>
  <c r="G73" i="9" s="1"/>
  <c r="F72" i="9"/>
  <c r="G72" i="9" s="1"/>
  <c r="F71" i="9"/>
  <c r="G71" i="9" s="1"/>
  <c r="F70" i="9"/>
  <c r="G70" i="9" s="1"/>
  <c r="F69" i="9"/>
  <c r="G69" i="9" s="1"/>
  <c r="F68" i="9"/>
  <c r="G68" i="9" s="1"/>
  <c r="F67" i="9"/>
  <c r="G67" i="9" s="1"/>
  <c r="F66" i="9"/>
  <c r="G66" i="9" s="1"/>
  <c r="F65" i="9"/>
  <c r="G65" i="9" s="1"/>
  <c r="F64" i="9"/>
  <c r="G64" i="9" s="1"/>
  <c r="F63" i="9"/>
  <c r="G63" i="9" s="1"/>
  <c r="F62" i="9"/>
  <c r="G62" i="9" s="1"/>
  <c r="F61" i="9"/>
  <c r="G61" i="9" s="1"/>
  <c r="F60" i="9"/>
  <c r="G60" i="9" s="1"/>
  <c r="F59" i="9"/>
  <c r="G59" i="9" s="1"/>
  <c r="F58" i="9"/>
  <c r="G58" i="9" s="1"/>
  <c r="F57" i="9"/>
  <c r="G57" i="9" s="1"/>
  <c r="F56" i="9"/>
  <c r="G56" i="9" s="1"/>
  <c r="F55" i="9"/>
  <c r="G55" i="9" s="1"/>
  <c r="F54" i="9"/>
  <c r="G54" i="9" s="1"/>
  <c r="F53" i="9"/>
  <c r="G53" i="9" s="1"/>
  <c r="F52" i="9"/>
  <c r="G52" i="9" s="1"/>
  <c r="F51" i="9"/>
  <c r="G51" i="9" s="1"/>
  <c r="F50" i="9"/>
  <c r="G50" i="9" s="1"/>
  <c r="F49" i="9"/>
  <c r="G49" i="9" s="1"/>
  <c r="F48" i="9"/>
  <c r="G48" i="9" s="1"/>
  <c r="F47" i="9"/>
  <c r="G47" i="9" s="1"/>
  <c r="F46" i="9"/>
  <c r="G46" i="9" s="1"/>
  <c r="F45" i="9"/>
  <c r="G45" i="9" s="1"/>
  <c r="F44" i="9"/>
  <c r="G44" i="9" s="1"/>
  <c r="F43" i="9"/>
  <c r="G43" i="9" s="1"/>
  <c r="F42" i="9"/>
  <c r="G42" i="9" s="1"/>
  <c r="F41" i="9"/>
  <c r="G41" i="9" s="1"/>
  <c r="F40" i="9"/>
  <c r="G40" i="9" s="1"/>
  <c r="F39" i="9"/>
  <c r="G39" i="9" s="1"/>
  <c r="F38" i="9"/>
  <c r="G38" i="9" s="1"/>
  <c r="F37" i="9"/>
  <c r="G37" i="9" s="1"/>
  <c r="F36" i="9"/>
  <c r="G36" i="9" s="1"/>
  <c r="F35" i="9"/>
  <c r="G35" i="9" s="1"/>
  <c r="F34" i="9"/>
  <c r="G34" i="9" s="1"/>
  <c r="F33" i="9"/>
  <c r="G33" i="9" s="1"/>
  <c r="F32" i="9"/>
  <c r="G32" i="9" s="1"/>
  <c r="F31" i="9"/>
  <c r="G31" i="9" s="1"/>
  <c r="F30" i="9"/>
  <c r="G30" i="9" s="1"/>
  <c r="F29" i="9"/>
  <c r="G29" i="9" s="1"/>
  <c r="F28" i="9"/>
  <c r="G28" i="9" s="1"/>
  <c r="F27" i="9"/>
  <c r="G27" i="9" s="1"/>
  <c r="F26" i="9"/>
  <c r="G26" i="9" s="1"/>
  <c r="F25" i="9"/>
  <c r="G25" i="9" s="1"/>
  <c r="F24" i="9"/>
  <c r="G24" i="9" s="1"/>
  <c r="F23" i="9"/>
  <c r="G23" i="9" s="1"/>
  <c r="F22" i="9"/>
  <c r="G22" i="9" s="1"/>
  <c r="F21" i="9"/>
  <c r="G21" i="9" s="1"/>
  <c r="F20" i="9"/>
  <c r="G20" i="9" s="1"/>
  <c r="F19" i="9"/>
  <c r="G19" i="9" s="1"/>
  <c r="F18" i="9"/>
  <c r="G18" i="9" s="1"/>
  <c r="F17" i="9"/>
  <c r="G17" i="9" s="1"/>
  <c r="F16" i="9"/>
  <c r="G16" i="9" s="1"/>
  <c r="F15" i="9"/>
  <c r="G15" i="9" s="1"/>
  <c r="F14" i="9"/>
  <c r="G14" i="9" s="1"/>
  <c r="F13" i="9"/>
  <c r="G13" i="9" s="1"/>
  <c r="F12" i="9"/>
  <c r="G12" i="9" s="1"/>
  <c r="F11" i="9"/>
  <c r="G11" i="9" s="1"/>
  <c r="F10" i="9"/>
  <c r="G10" i="9" s="1"/>
  <c r="F9" i="9"/>
  <c r="G9" i="9" s="1"/>
  <c r="F8" i="9"/>
  <c r="G8" i="9" s="1"/>
  <c r="F7" i="9"/>
  <c r="G7" i="9" s="1"/>
  <c r="F6" i="9"/>
  <c r="G6" i="9" s="1"/>
  <c r="F5" i="9"/>
  <c r="G5" i="9" s="1"/>
  <c r="F4" i="9"/>
  <c r="G4" i="9" s="1"/>
  <c r="F3" i="9"/>
  <c r="G3" i="9" s="1"/>
  <c r="J1" i="9" s="1"/>
  <c r="L2" i="7"/>
  <c r="K2" i="7"/>
  <c r="G3" i="7"/>
  <c r="H3" i="7"/>
  <c r="G4" i="7"/>
  <c r="H4" i="7"/>
  <c r="G5" i="7"/>
  <c r="H5" i="7"/>
  <c r="G6" i="7"/>
  <c r="H6" i="7"/>
  <c r="G7" i="7"/>
  <c r="H7" i="7"/>
  <c r="G8" i="7"/>
  <c r="H8" i="7"/>
  <c r="G9" i="7"/>
  <c r="H9" i="7"/>
  <c r="G10" i="7"/>
  <c r="H10" i="7"/>
  <c r="G11" i="7"/>
  <c r="H11" i="7"/>
  <c r="G12" i="7"/>
  <c r="H12" i="7"/>
  <c r="G13" i="7"/>
  <c r="H13" i="7"/>
  <c r="G14" i="7"/>
  <c r="H14" i="7"/>
  <c r="G15" i="7"/>
  <c r="H15" i="7"/>
  <c r="G16" i="7"/>
  <c r="H16" i="7"/>
  <c r="G17" i="7"/>
  <c r="H17" i="7"/>
  <c r="G18" i="7"/>
  <c r="H18" i="7"/>
  <c r="G19" i="7"/>
  <c r="H19" i="7"/>
  <c r="G20" i="7"/>
  <c r="H20" i="7"/>
  <c r="G21" i="7"/>
  <c r="H21" i="7"/>
  <c r="G22" i="7"/>
  <c r="H22" i="7"/>
  <c r="G23" i="7"/>
  <c r="H23" i="7"/>
  <c r="G24" i="7"/>
  <c r="H24" i="7"/>
  <c r="G25" i="7"/>
  <c r="H25" i="7"/>
  <c r="G26" i="7"/>
  <c r="H26" i="7"/>
  <c r="G27" i="7"/>
  <c r="H27" i="7"/>
  <c r="G28" i="7"/>
  <c r="H28" i="7"/>
  <c r="G29" i="7"/>
  <c r="H29" i="7"/>
  <c r="G30" i="7"/>
  <c r="H30" i="7"/>
  <c r="G31" i="7"/>
  <c r="H31" i="7"/>
  <c r="G32" i="7"/>
  <c r="H32" i="7"/>
  <c r="G33" i="7"/>
  <c r="H33" i="7"/>
  <c r="G34" i="7"/>
  <c r="H34" i="7"/>
  <c r="G35" i="7"/>
  <c r="H35" i="7"/>
  <c r="G36" i="7"/>
  <c r="H36" i="7"/>
  <c r="G37" i="7"/>
  <c r="H37" i="7"/>
  <c r="G38" i="7"/>
  <c r="H38" i="7"/>
  <c r="G39" i="7"/>
  <c r="H39" i="7"/>
  <c r="G40" i="7"/>
  <c r="H40" i="7"/>
  <c r="G41" i="7"/>
  <c r="H41" i="7"/>
  <c r="G42" i="7"/>
  <c r="H42" i="7"/>
  <c r="G43" i="7"/>
  <c r="H43" i="7"/>
  <c r="G44" i="7"/>
  <c r="H44" i="7"/>
  <c r="G45" i="7"/>
  <c r="H45" i="7"/>
  <c r="G46" i="7"/>
  <c r="H46" i="7"/>
  <c r="G47" i="7"/>
  <c r="H47" i="7"/>
  <c r="G48" i="7"/>
  <c r="H48" i="7"/>
  <c r="G49" i="7"/>
  <c r="H49" i="7"/>
  <c r="G50" i="7"/>
  <c r="H50" i="7"/>
  <c r="G51" i="7"/>
  <c r="H51" i="7"/>
  <c r="G52" i="7"/>
  <c r="H52" i="7"/>
  <c r="G53" i="7"/>
  <c r="H53" i="7"/>
  <c r="G54" i="7"/>
  <c r="H54" i="7"/>
  <c r="G55" i="7"/>
  <c r="H55" i="7"/>
  <c r="G56" i="7"/>
  <c r="H56" i="7"/>
  <c r="G57" i="7"/>
  <c r="H57" i="7"/>
  <c r="G58" i="7"/>
  <c r="H58" i="7"/>
  <c r="G59" i="7"/>
  <c r="H59" i="7"/>
  <c r="G60" i="7"/>
  <c r="H60" i="7"/>
  <c r="G61" i="7"/>
  <c r="H61" i="7"/>
  <c r="G62" i="7"/>
  <c r="H62" i="7"/>
  <c r="G63" i="7"/>
  <c r="H63" i="7"/>
  <c r="G64" i="7"/>
  <c r="H64" i="7"/>
  <c r="G65" i="7"/>
  <c r="H65" i="7"/>
  <c r="G66" i="7"/>
  <c r="H66" i="7"/>
  <c r="G67" i="7"/>
  <c r="H67" i="7"/>
  <c r="G68" i="7"/>
  <c r="H68" i="7"/>
  <c r="G69" i="7"/>
  <c r="H69" i="7"/>
  <c r="G70" i="7"/>
  <c r="H70" i="7"/>
  <c r="G71" i="7"/>
  <c r="H71" i="7"/>
  <c r="G72" i="7"/>
  <c r="H72" i="7"/>
  <c r="G73" i="7"/>
  <c r="H73" i="7"/>
  <c r="G74" i="7"/>
  <c r="H74" i="7"/>
  <c r="G75" i="7"/>
  <c r="H75" i="7"/>
  <c r="G76" i="7"/>
  <c r="H76" i="7"/>
  <c r="G77" i="7"/>
  <c r="H77" i="7"/>
  <c r="G78" i="7"/>
  <c r="H78" i="7"/>
  <c r="G79" i="7"/>
  <c r="H79" i="7"/>
  <c r="G80" i="7"/>
  <c r="H80" i="7"/>
  <c r="G81" i="7"/>
  <c r="H81" i="7"/>
  <c r="G82" i="7"/>
  <c r="H82" i="7"/>
  <c r="G83" i="7"/>
  <c r="H83" i="7"/>
  <c r="G84" i="7"/>
  <c r="H84" i="7"/>
  <c r="G85" i="7"/>
  <c r="H85" i="7"/>
  <c r="G86" i="7"/>
  <c r="H86" i="7"/>
  <c r="G87" i="7"/>
  <c r="H87" i="7"/>
  <c r="G88" i="7"/>
  <c r="H88" i="7"/>
  <c r="G89" i="7"/>
  <c r="H89" i="7"/>
  <c r="G90" i="7"/>
  <c r="H90" i="7"/>
  <c r="G91" i="7"/>
  <c r="H91" i="7"/>
  <c r="G92" i="7"/>
  <c r="H92" i="7"/>
  <c r="G93" i="7"/>
  <c r="H93" i="7"/>
  <c r="G94" i="7"/>
  <c r="H94" i="7"/>
  <c r="G95" i="7"/>
  <c r="H95" i="7"/>
  <c r="G96" i="7"/>
  <c r="H96" i="7"/>
  <c r="G97" i="7"/>
  <c r="H97" i="7"/>
  <c r="G98" i="7"/>
  <c r="H98" i="7"/>
  <c r="G99" i="7"/>
  <c r="H99" i="7"/>
  <c r="G100" i="7"/>
  <c r="H100" i="7"/>
  <c r="G101" i="7"/>
  <c r="H101" i="7"/>
  <c r="G102" i="7"/>
  <c r="H102" i="7"/>
  <c r="G103" i="7"/>
  <c r="H103" i="7"/>
  <c r="G104" i="7"/>
  <c r="H104" i="7"/>
  <c r="G105" i="7"/>
  <c r="H105" i="7"/>
  <c r="G106" i="7"/>
  <c r="H106" i="7"/>
  <c r="G107" i="7"/>
  <c r="H107" i="7"/>
  <c r="G108" i="7"/>
  <c r="H108" i="7"/>
  <c r="G109" i="7"/>
  <c r="H109" i="7"/>
  <c r="G110" i="7"/>
  <c r="H110" i="7"/>
  <c r="G111" i="7"/>
  <c r="H111" i="7"/>
  <c r="G112" i="7"/>
  <c r="H112" i="7"/>
  <c r="G113" i="7"/>
  <c r="H113" i="7"/>
  <c r="G114" i="7"/>
  <c r="H114" i="7"/>
  <c r="G115" i="7"/>
  <c r="H115" i="7"/>
  <c r="G116" i="7"/>
  <c r="H116" i="7"/>
  <c r="G117" i="7"/>
  <c r="H117" i="7"/>
  <c r="G118" i="7"/>
  <c r="H118" i="7"/>
  <c r="G119" i="7"/>
  <c r="H119" i="7"/>
  <c r="G120" i="7"/>
  <c r="H120" i="7"/>
  <c r="G121" i="7"/>
  <c r="H121" i="7"/>
  <c r="G122" i="7"/>
  <c r="H122" i="7"/>
  <c r="G123" i="7"/>
  <c r="H123" i="7"/>
  <c r="G124" i="7"/>
  <c r="H124" i="7"/>
  <c r="G125" i="7"/>
  <c r="H125" i="7"/>
  <c r="G126" i="7"/>
  <c r="H126" i="7"/>
  <c r="G127" i="7"/>
  <c r="H127" i="7"/>
  <c r="G128" i="7"/>
  <c r="H128" i="7"/>
  <c r="G129" i="7"/>
  <c r="H129" i="7"/>
  <c r="G130" i="7"/>
  <c r="H130" i="7"/>
  <c r="G131" i="7"/>
  <c r="H131" i="7"/>
  <c r="G132" i="7"/>
  <c r="H132" i="7"/>
  <c r="G133" i="7"/>
  <c r="H133" i="7"/>
  <c r="G134" i="7"/>
  <c r="H134" i="7"/>
  <c r="G135" i="7"/>
  <c r="H135" i="7"/>
  <c r="G136" i="7"/>
  <c r="H136" i="7"/>
  <c r="G137" i="7"/>
  <c r="H137" i="7"/>
  <c r="G138" i="7"/>
  <c r="H138" i="7"/>
  <c r="G139" i="7"/>
  <c r="H139" i="7"/>
  <c r="G140" i="7"/>
  <c r="H140" i="7"/>
  <c r="G141" i="7"/>
  <c r="H141" i="7"/>
  <c r="G142" i="7"/>
  <c r="H142" i="7"/>
  <c r="G143" i="7"/>
  <c r="H143" i="7"/>
  <c r="G144" i="7"/>
  <c r="H144" i="7"/>
  <c r="G145" i="7"/>
  <c r="H145" i="7"/>
  <c r="G146" i="7"/>
  <c r="H146" i="7"/>
  <c r="G147" i="7"/>
  <c r="H147" i="7"/>
  <c r="G148" i="7"/>
  <c r="H148" i="7"/>
  <c r="G149" i="7"/>
  <c r="H149" i="7"/>
  <c r="G150" i="7"/>
  <c r="H150" i="7"/>
  <c r="G151" i="7"/>
  <c r="H151" i="7"/>
  <c r="G152" i="7"/>
  <c r="H152" i="7"/>
  <c r="G153" i="7"/>
  <c r="H153" i="7"/>
  <c r="G154" i="7"/>
  <c r="H154" i="7"/>
  <c r="G155" i="7"/>
  <c r="H155" i="7"/>
  <c r="G156" i="7"/>
  <c r="H156" i="7"/>
  <c r="G157" i="7"/>
  <c r="H157" i="7"/>
  <c r="B3" i="7"/>
  <c r="C3" i="7"/>
  <c r="D3" i="7"/>
  <c r="B4" i="7"/>
  <c r="C4" i="7"/>
  <c r="D4" i="7"/>
  <c r="B5" i="7"/>
  <c r="C5" i="7"/>
  <c r="D5" i="7"/>
  <c r="B6" i="7"/>
  <c r="C6" i="7"/>
  <c r="D6" i="7"/>
  <c r="B7" i="7"/>
  <c r="C7" i="7"/>
  <c r="D7" i="7"/>
  <c r="B8" i="7"/>
  <c r="C8" i="7"/>
  <c r="D8" i="7"/>
  <c r="B9" i="7"/>
  <c r="C9" i="7"/>
  <c r="D9" i="7"/>
  <c r="B10" i="7"/>
  <c r="C10" i="7"/>
  <c r="D10" i="7"/>
  <c r="B11" i="7"/>
  <c r="C11" i="7"/>
  <c r="D11" i="7"/>
  <c r="B12" i="7"/>
  <c r="C12" i="7"/>
  <c r="D12" i="7"/>
  <c r="B13" i="7"/>
  <c r="C13" i="7"/>
  <c r="D13" i="7"/>
  <c r="B14" i="7"/>
  <c r="C14" i="7"/>
  <c r="D14" i="7"/>
  <c r="B15" i="7"/>
  <c r="C15" i="7"/>
  <c r="D15" i="7"/>
  <c r="B16" i="7"/>
  <c r="C16" i="7"/>
  <c r="D16" i="7"/>
  <c r="B17" i="7"/>
  <c r="C17" i="7"/>
  <c r="D17" i="7"/>
  <c r="B18" i="7"/>
  <c r="C18" i="7"/>
  <c r="D18" i="7"/>
  <c r="B19" i="7"/>
  <c r="C19" i="7"/>
  <c r="D19" i="7"/>
  <c r="B20" i="7"/>
  <c r="C20" i="7"/>
  <c r="D20" i="7"/>
  <c r="B21" i="7"/>
  <c r="C21" i="7"/>
  <c r="D21" i="7"/>
  <c r="B22" i="7"/>
  <c r="C22" i="7"/>
  <c r="D22" i="7"/>
  <c r="B23" i="7"/>
  <c r="C23" i="7"/>
  <c r="D23" i="7"/>
  <c r="B24" i="7"/>
  <c r="C24" i="7"/>
  <c r="D24" i="7"/>
  <c r="B25" i="7"/>
  <c r="C25" i="7"/>
  <c r="D25" i="7"/>
  <c r="B26" i="7"/>
  <c r="C26" i="7"/>
  <c r="D26" i="7"/>
  <c r="B27" i="7"/>
  <c r="C27" i="7"/>
  <c r="D27" i="7"/>
  <c r="B28" i="7"/>
  <c r="C28" i="7"/>
  <c r="D28" i="7"/>
  <c r="B29" i="7"/>
  <c r="C29" i="7"/>
  <c r="D29" i="7"/>
  <c r="B30" i="7"/>
  <c r="C30" i="7"/>
  <c r="D30" i="7"/>
  <c r="B31" i="7"/>
  <c r="C31" i="7"/>
  <c r="D31" i="7"/>
  <c r="B32" i="7"/>
  <c r="C32" i="7"/>
  <c r="D32" i="7"/>
  <c r="B33" i="7"/>
  <c r="C33" i="7"/>
  <c r="D33" i="7"/>
  <c r="B34" i="7"/>
  <c r="C34" i="7"/>
  <c r="D34" i="7"/>
  <c r="B35" i="7"/>
  <c r="C35" i="7"/>
  <c r="D35" i="7"/>
  <c r="B36" i="7"/>
  <c r="C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B43" i="7"/>
  <c r="C43" i="7"/>
  <c r="D43" i="7"/>
  <c r="B44" i="7"/>
  <c r="C44" i="7"/>
  <c r="D44" i="7"/>
  <c r="B45" i="7"/>
  <c r="C45" i="7"/>
  <c r="D45" i="7"/>
  <c r="B46" i="7"/>
  <c r="C46" i="7"/>
  <c r="D46" i="7"/>
  <c r="B47" i="7"/>
  <c r="C47" i="7"/>
  <c r="D47" i="7"/>
  <c r="B48" i="7"/>
  <c r="C48" i="7"/>
  <c r="D48" i="7"/>
  <c r="B49" i="7"/>
  <c r="C49" i="7"/>
  <c r="D49" i="7"/>
  <c r="B50" i="7"/>
  <c r="C50" i="7"/>
  <c r="D50" i="7"/>
  <c r="B51" i="7"/>
  <c r="C51" i="7"/>
  <c r="D51" i="7"/>
  <c r="B52" i="7"/>
  <c r="C52" i="7"/>
  <c r="D52" i="7"/>
  <c r="B53" i="7"/>
  <c r="C53" i="7"/>
  <c r="D53" i="7"/>
  <c r="B54" i="7"/>
  <c r="C54" i="7"/>
  <c r="D54" i="7"/>
  <c r="B55" i="7"/>
  <c r="C55" i="7"/>
  <c r="D55" i="7"/>
  <c r="B56" i="7"/>
  <c r="C56" i="7"/>
  <c r="D56" i="7"/>
  <c r="B57" i="7"/>
  <c r="C57" i="7"/>
  <c r="D57" i="7"/>
  <c r="B58" i="7"/>
  <c r="C58" i="7"/>
  <c r="D58" i="7"/>
  <c r="B59" i="7"/>
  <c r="C59" i="7"/>
  <c r="D59" i="7"/>
  <c r="B60" i="7"/>
  <c r="C60" i="7"/>
  <c r="D60" i="7"/>
  <c r="B61" i="7"/>
  <c r="C61" i="7"/>
  <c r="D61" i="7"/>
  <c r="B62" i="7"/>
  <c r="C62" i="7"/>
  <c r="D62" i="7"/>
  <c r="B63" i="7"/>
  <c r="C63" i="7"/>
  <c r="D63" i="7"/>
  <c r="B64" i="7"/>
  <c r="C64" i="7"/>
  <c r="D64" i="7"/>
  <c r="B65" i="7"/>
  <c r="C65" i="7"/>
  <c r="D65" i="7"/>
  <c r="B66" i="7"/>
  <c r="C66" i="7"/>
  <c r="D66" i="7"/>
  <c r="B67" i="7"/>
  <c r="C67" i="7"/>
  <c r="D67" i="7"/>
  <c r="B68" i="7"/>
  <c r="C68" i="7"/>
  <c r="D68" i="7"/>
  <c r="B69" i="7"/>
  <c r="C69" i="7"/>
  <c r="D69" i="7"/>
  <c r="B70" i="7"/>
  <c r="C70" i="7"/>
  <c r="D70" i="7"/>
  <c r="B71" i="7"/>
  <c r="C71" i="7"/>
  <c r="D71" i="7"/>
  <c r="B72" i="7"/>
  <c r="C72" i="7"/>
  <c r="D72" i="7"/>
  <c r="B73" i="7"/>
  <c r="C73" i="7"/>
  <c r="D73" i="7"/>
  <c r="B74" i="7"/>
  <c r="C74" i="7"/>
  <c r="D74" i="7"/>
  <c r="B75" i="7"/>
  <c r="C75" i="7"/>
  <c r="D75" i="7"/>
  <c r="B76" i="7"/>
  <c r="C76" i="7"/>
  <c r="D76" i="7"/>
  <c r="B77" i="7"/>
  <c r="C77" i="7"/>
  <c r="D77" i="7"/>
  <c r="B78" i="7"/>
  <c r="C78" i="7"/>
  <c r="D78" i="7"/>
  <c r="B79" i="7"/>
  <c r="C79" i="7"/>
  <c r="D79" i="7"/>
  <c r="B80" i="7"/>
  <c r="C80" i="7"/>
  <c r="D80" i="7"/>
  <c r="B81" i="7"/>
  <c r="C81" i="7"/>
  <c r="D81" i="7"/>
  <c r="B82" i="7"/>
  <c r="C82" i="7"/>
  <c r="D82" i="7"/>
  <c r="B83" i="7"/>
  <c r="C83" i="7"/>
  <c r="D83" i="7"/>
  <c r="B84" i="7"/>
  <c r="C84" i="7"/>
  <c r="D84" i="7"/>
  <c r="B85" i="7"/>
  <c r="C85" i="7"/>
  <c r="D85" i="7"/>
  <c r="B86" i="7"/>
  <c r="C86" i="7"/>
  <c r="D86" i="7"/>
  <c r="B87" i="7"/>
  <c r="C87" i="7"/>
  <c r="D87" i="7"/>
  <c r="B88" i="7"/>
  <c r="C88" i="7"/>
  <c r="D88" i="7"/>
  <c r="B89" i="7"/>
  <c r="C89" i="7"/>
  <c r="D89" i="7"/>
  <c r="B90" i="7"/>
  <c r="C90" i="7"/>
  <c r="D90" i="7"/>
  <c r="B91" i="7"/>
  <c r="C91" i="7"/>
  <c r="D91" i="7"/>
  <c r="B92" i="7"/>
  <c r="C92" i="7"/>
  <c r="D92" i="7"/>
  <c r="B93" i="7"/>
  <c r="C93" i="7"/>
  <c r="D93" i="7"/>
  <c r="B94" i="7"/>
  <c r="C94" i="7"/>
  <c r="D94" i="7"/>
  <c r="B95" i="7"/>
  <c r="C95" i="7"/>
  <c r="D95" i="7"/>
  <c r="B96" i="7"/>
  <c r="C96" i="7"/>
  <c r="D96" i="7"/>
  <c r="B97" i="7"/>
  <c r="C97" i="7"/>
  <c r="D97" i="7"/>
  <c r="B98" i="7"/>
  <c r="C98" i="7"/>
  <c r="D98" i="7"/>
  <c r="B99" i="7"/>
  <c r="C99" i="7"/>
  <c r="D99" i="7"/>
  <c r="B100" i="7"/>
  <c r="C100" i="7"/>
  <c r="D100" i="7"/>
  <c r="B101" i="7"/>
  <c r="C101" i="7"/>
  <c r="D101" i="7"/>
  <c r="B102" i="7"/>
  <c r="C102" i="7"/>
  <c r="D102" i="7"/>
  <c r="B103" i="7"/>
  <c r="C103" i="7"/>
  <c r="D103" i="7"/>
  <c r="B104" i="7"/>
  <c r="C104" i="7"/>
  <c r="D104" i="7"/>
  <c r="B105" i="7"/>
  <c r="C105" i="7"/>
  <c r="D105" i="7"/>
  <c r="B106" i="7"/>
  <c r="C106" i="7"/>
  <c r="D106" i="7"/>
  <c r="B107" i="7"/>
  <c r="C107" i="7"/>
  <c r="D107" i="7"/>
  <c r="B108" i="7"/>
  <c r="C108" i="7"/>
  <c r="D108" i="7"/>
  <c r="B109" i="7"/>
  <c r="C109" i="7"/>
  <c r="D109" i="7"/>
  <c r="B110" i="7"/>
  <c r="C110" i="7"/>
  <c r="D110" i="7"/>
  <c r="B111" i="7"/>
  <c r="C111" i="7"/>
  <c r="D111" i="7"/>
  <c r="B112" i="7"/>
  <c r="C112" i="7"/>
  <c r="D112" i="7"/>
  <c r="B113" i="7"/>
  <c r="C113" i="7"/>
  <c r="D113" i="7"/>
  <c r="B114" i="7"/>
  <c r="C114" i="7"/>
  <c r="D114" i="7"/>
  <c r="B115" i="7"/>
  <c r="C115" i="7"/>
  <c r="D115" i="7"/>
  <c r="B116" i="7"/>
  <c r="C116" i="7"/>
  <c r="D116" i="7"/>
  <c r="B117" i="7"/>
  <c r="C117" i="7"/>
  <c r="D117" i="7"/>
  <c r="B118" i="7"/>
  <c r="C118" i="7"/>
  <c r="D118" i="7"/>
  <c r="B119" i="7"/>
  <c r="C119" i="7"/>
  <c r="D119" i="7"/>
  <c r="B120" i="7"/>
  <c r="C120" i="7"/>
  <c r="D120" i="7"/>
  <c r="B121" i="7"/>
  <c r="C121" i="7"/>
  <c r="D121" i="7"/>
  <c r="B122" i="7"/>
  <c r="C122" i="7"/>
  <c r="D122" i="7"/>
  <c r="B123" i="7"/>
  <c r="C123" i="7"/>
  <c r="D123" i="7"/>
  <c r="B124" i="7"/>
  <c r="C124" i="7"/>
  <c r="D124" i="7"/>
  <c r="B125" i="7"/>
  <c r="C125" i="7"/>
  <c r="D125" i="7"/>
  <c r="B126" i="7"/>
  <c r="C126" i="7"/>
  <c r="D126" i="7"/>
  <c r="B127" i="7"/>
  <c r="C127" i="7"/>
  <c r="D127" i="7"/>
  <c r="B128" i="7"/>
  <c r="C128" i="7"/>
  <c r="D128" i="7"/>
  <c r="B129" i="7"/>
  <c r="C129" i="7"/>
  <c r="D129" i="7"/>
  <c r="B130" i="7"/>
  <c r="C130" i="7"/>
  <c r="D130" i="7"/>
  <c r="B131" i="7"/>
  <c r="C131" i="7"/>
  <c r="D131" i="7"/>
  <c r="B132" i="7"/>
  <c r="C132" i="7"/>
  <c r="D132" i="7"/>
  <c r="B133" i="7"/>
  <c r="C133" i="7"/>
  <c r="D133" i="7"/>
  <c r="B134" i="7"/>
  <c r="C134" i="7"/>
  <c r="D134" i="7"/>
  <c r="B135" i="7"/>
  <c r="C135" i="7"/>
  <c r="D135" i="7"/>
  <c r="B136" i="7"/>
  <c r="C136" i="7"/>
  <c r="D136" i="7"/>
  <c r="B137" i="7"/>
  <c r="C137" i="7"/>
  <c r="D137" i="7"/>
  <c r="B138" i="7"/>
  <c r="C138" i="7"/>
  <c r="D138" i="7"/>
  <c r="B139" i="7"/>
  <c r="C139" i="7"/>
  <c r="D139" i="7"/>
  <c r="B140" i="7"/>
  <c r="C140" i="7"/>
  <c r="D140" i="7"/>
  <c r="B141" i="7"/>
  <c r="C141" i="7"/>
  <c r="D141" i="7"/>
  <c r="B142" i="7"/>
  <c r="C142" i="7"/>
  <c r="D142" i="7"/>
  <c r="B143" i="7"/>
  <c r="C143" i="7"/>
  <c r="D143" i="7"/>
  <c r="B144" i="7"/>
  <c r="C144" i="7"/>
  <c r="D144" i="7"/>
  <c r="B145" i="7"/>
  <c r="C145" i="7"/>
  <c r="D145" i="7"/>
  <c r="B146" i="7"/>
  <c r="C146" i="7"/>
  <c r="D146" i="7"/>
  <c r="B147" i="7"/>
  <c r="C147" i="7"/>
  <c r="D147" i="7"/>
  <c r="B148" i="7"/>
  <c r="C148" i="7"/>
  <c r="D148" i="7"/>
  <c r="B149" i="7"/>
  <c r="C149" i="7"/>
  <c r="D149" i="7"/>
  <c r="B150" i="7"/>
  <c r="C150" i="7"/>
  <c r="D150" i="7"/>
  <c r="B151" i="7"/>
  <c r="C151" i="7"/>
  <c r="D151" i="7"/>
  <c r="B152" i="7"/>
  <c r="C152" i="7"/>
  <c r="D152" i="7"/>
  <c r="B153" i="7"/>
  <c r="C153" i="7"/>
  <c r="D153" i="7"/>
  <c r="B154" i="7"/>
  <c r="C154" i="7"/>
  <c r="D154" i="7"/>
  <c r="B155" i="7"/>
  <c r="C155" i="7"/>
  <c r="D155" i="7"/>
  <c r="B156" i="7"/>
  <c r="C156" i="7"/>
  <c r="D156" i="7"/>
  <c r="B157" i="7"/>
  <c r="C157" i="7"/>
  <c r="D157" i="7"/>
  <c r="D2" i="7"/>
  <c r="C2" i="7"/>
  <c r="B2" i="7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99" i="5"/>
  <c r="J100" i="5"/>
  <c r="J101" i="5"/>
  <c r="J102" i="5"/>
  <c r="J103" i="5"/>
  <c r="J104" i="5"/>
  <c r="J105" i="5"/>
  <c r="J106" i="5"/>
  <c r="J107" i="5"/>
  <c r="J108" i="5"/>
  <c r="J109" i="5"/>
  <c r="J110" i="5"/>
  <c r="J111" i="5"/>
  <c r="J112" i="5"/>
  <c r="J113" i="5"/>
  <c r="J114" i="5"/>
  <c r="J115" i="5"/>
  <c r="J116" i="5"/>
  <c r="J117" i="5"/>
  <c r="J118" i="5"/>
  <c r="J119" i="5"/>
  <c r="J120" i="5"/>
  <c r="J121" i="5"/>
  <c r="J122" i="5"/>
  <c r="J123" i="5"/>
  <c r="J124" i="5"/>
  <c r="J125" i="5"/>
  <c r="J126" i="5"/>
  <c r="J127" i="5"/>
  <c r="J128" i="5"/>
  <c r="J129" i="5"/>
  <c r="J130" i="5"/>
  <c r="J131" i="5"/>
  <c r="J132" i="5"/>
  <c r="J133" i="5"/>
  <c r="J134" i="5"/>
  <c r="J135" i="5"/>
  <c r="J136" i="5"/>
  <c r="J137" i="5"/>
  <c r="J138" i="5"/>
  <c r="J139" i="5"/>
  <c r="J140" i="5"/>
  <c r="J141" i="5"/>
  <c r="J142" i="5"/>
  <c r="J143" i="5"/>
  <c r="J144" i="5"/>
  <c r="J145" i="5"/>
  <c r="J146" i="5"/>
  <c r="J147" i="5"/>
  <c r="J148" i="5"/>
  <c r="J149" i="5"/>
  <c r="J150" i="5"/>
  <c r="J151" i="5"/>
  <c r="J152" i="5"/>
  <c r="J153" i="5"/>
  <c r="J154" i="5"/>
  <c r="J155" i="5"/>
  <c r="J156" i="5"/>
  <c r="J157" i="5"/>
  <c r="J2" i="5"/>
  <c r="H157" i="5"/>
  <c r="G157" i="5"/>
  <c r="H156" i="5"/>
  <c r="G156" i="5"/>
  <c r="H155" i="5"/>
  <c r="G155" i="5"/>
  <c r="H154" i="5"/>
  <c r="G154" i="5"/>
  <c r="H153" i="5"/>
  <c r="G153" i="5"/>
  <c r="H152" i="5"/>
  <c r="G152" i="5"/>
  <c r="H151" i="5"/>
  <c r="G151" i="5"/>
  <c r="H150" i="5"/>
  <c r="G150" i="5"/>
  <c r="H149" i="5"/>
  <c r="G149" i="5"/>
  <c r="H148" i="5"/>
  <c r="G148" i="5"/>
  <c r="H147" i="5"/>
  <c r="G147" i="5"/>
  <c r="H146" i="5"/>
  <c r="G146" i="5"/>
  <c r="H145" i="5"/>
  <c r="G145" i="5"/>
  <c r="H144" i="5"/>
  <c r="G144" i="5"/>
  <c r="H143" i="5"/>
  <c r="G143" i="5"/>
  <c r="H142" i="5"/>
  <c r="G142" i="5"/>
  <c r="H141" i="5"/>
  <c r="G141" i="5"/>
  <c r="H140" i="5"/>
  <c r="G140" i="5"/>
  <c r="H139" i="5"/>
  <c r="G139" i="5"/>
  <c r="H138" i="5"/>
  <c r="G138" i="5"/>
  <c r="H137" i="5"/>
  <c r="G137" i="5"/>
  <c r="H136" i="5"/>
  <c r="G136" i="5"/>
  <c r="H135" i="5"/>
  <c r="G135" i="5"/>
  <c r="H134" i="5"/>
  <c r="G134" i="5"/>
  <c r="H133" i="5"/>
  <c r="G133" i="5"/>
  <c r="H132" i="5"/>
  <c r="G132" i="5"/>
  <c r="H131" i="5"/>
  <c r="G131" i="5"/>
  <c r="H130" i="5"/>
  <c r="G130" i="5"/>
  <c r="H129" i="5"/>
  <c r="G129" i="5"/>
  <c r="H128" i="5"/>
  <c r="G128" i="5"/>
  <c r="H127" i="5"/>
  <c r="G127" i="5"/>
  <c r="H126" i="5"/>
  <c r="G126" i="5"/>
  <c r="H125" i="5"/>
  <c r="G125" i="5"/>
  <c r="H124" i="5"/>
  <c r="G124" i="5"/>
  <c r="H123" i="5"/>
  <c r="G123" i="5"/>
  <c r="H122" i="5"/>
  <c r="G122" i="5"/>
  <c r="H121" i="5"/>
  <c r="G121" i="5"/>
  <c r="H120" i="5"/>
  <c r="G120" i="5"/>
  <c r="H119" i="5"/>
  <c r="G119" i="5"/>
  <c r="H118" i="5"/>
  <c r="G118" i="5"/>
  <c r="H117" i="5"/>
  <c r="G117" i="5"/>
  <c r="H116" i="5"/>
  <c r="G116" i="5"/>
  <c r="H115" i="5"/>
  <c r="G115" i="5"/>
  <c r="H114" i="5"/>
  <c r="G114" i="5"/>
  <c r="H113" i="5"/>
  <c r="G113" i="5"/>
  <c r="H112" i="5"/>
  <c r="G112" i="5"/>
  <c r="H111" i="5"/>
  <c r="G111" i="5"/>
  <c r="H110" i="5"/>
  <c r="G110" i="5"/>
  <c r="H109" i="5"/>
  <c r="G109" i="5"/>
  <c r="H108" i="5"/>
  <c r="G108" i="5"/>
  <c r="H107" i="5"/>
  <c r="G107" i="5"/>
  <c r="H106" i="5"/>
  <c r="G106" i="5"/>
  <c r="H105" i="5"/>
  <c r="G105" i="5"/>
  <c r="H104" i="5"/>
  <c r="G10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H37" i="5"/>
  <c r="G37" i="5"/>
  <c r="H36" i="5"/>
  <c r="G36" i="5"/>
  <c r="H35" i="5"/>
  <c r="G35" i="5"/>
  <c r="H34" i="5"/>
  <c r="G34" i="5"/>
  <c r="H33" i="5"/>
  <c r="G33" i="5"/>
  <c r="H32" i="5"/>
  <c r="G32" i="5"/>
  <c r="H31" i="5"/>
  <c r="G31" i="5"/>
  <c r="H30" i="5"/>
  <c r="G30" i="5"/>
  <c r="H29" i="5"/>
  <c r="G29" i="5"/>
  <c r="H28" i="5"/>
  <c r="G28" i="5"/>
  <c r="H27" i="5"/>
  <c r="G27" i="5"/>
  <c r="H26" i="5"/>
  <c r="G26" i="5"/>
  <c r="H25" i="5"/>
  <c r="G25" i="5"/>
  <c r="H24" i="5"/>
  <c r="G24" i="5"/>
  <c r="H23" i="5"/>
  <c r="G23" i="5"/>
  <c r="H22" i="5"/>
  <c r="G22" i="5"/>
  <c r="H21" i="5"/>
  <c r="G21" i="5"/>
  <c r="H20" i="5"/>
  <c r="G20" i="5"/>
  <c r="H19" i="5"/>
  <c r="G19" i="5"/>
  <c r="H18" i="5"/>
  <c r="G18" i="5"/>
  <c r="H17" i="5"/>
  <c r="G17" i="5"/>
  <c r="H16" i="5"/>
  <c r="G16" i="5"/>
  <c r="H15" i="5"/>
  <c r="G15" i="5"/>
  <c r="H14" i="5"/>
  <c r="G14" i="5"/>
  <c r="H13" i="5"/>
  <c r="G13" i="5"/>
  <c r="H12" i="5"/>
  <c r="G12" i="5"/>
  <c r="H11" i="5"/>
  <c r="G11" i="5"/>
  <c r="H10" i="5"/>
  <c r="G10" i="5"/>
  <c r="H9" i="5"/>
  <c r="G9" i="5"/>
  <c r="H8" i="5"/>
  <c r="G8" i="5"/>
  <c r="H7" i="5"/>
  <c r="G7" i="5"/>
  <c r="H6" i="5"/>
  <c r="G6" i="5"/>
  <c r="H5" i="5"/>
  <c r="G5" i="5"/>
  <c r="H4" i="5"/>
  <c r="G4" i="5"/>
  <c r="H3" i="5"/>
  <c r="G3" i="5"/>
  <c r="H2" i="5"/>
  <c r="G2" i="5"/>
  <c r="A3" i="5"/>
  <c r="B3" i="5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A30" i="5"/>
  <c r="B30" i="5"/>
  <c r="A31" i="5"/>
  <c r="B31" i="5"/>
  <c r="A32" i="5"/>
  <c r="B32" i="5"/>
  <c r="A33" i="5"/>
  <c r="B33" i="5"/>
  <c r="A34" i="5"/>
  <c r="B34" i="5"/>
  <c r="A35" i="5"/>
  <c r="B35" i="5"/>
  <c r="A36" i="5"/>
  <c r="B36" i="5"/>
  <c r="A37" i="5"/>
  <c r="B37" i="5"/>
  <c r="A38" i="5"/>
  <c r="B38" i="5"/>
  <c r="A39" i="5"/>
  <c r="B39" i="5"/>
  <c r="A40" i="5"/>
  <c r="B40" i="5"/>
  <c r="A41" i="5"/>
  <c r="B41" i="5"/>
  <c r="A42" i="5"/>
  <c r="B42" i="5"/>
  <c r="A43" i="5"/>
  <c r="B43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A74" i="5"/>
  <c r="B74" i="5"/>
  <c r="A75" i="5"/>
  <c r="B75" i="5"/>
  <c r="A76" i="5"/>
  <c r="B76" i="5"/>
  <c r="A77" i="5"/>
  <c r="B77" i="5"/>
  <c r="A78" i="5"/>
  <c r="B78" i="5"/>
  <c r="A79" i="5"/>
  <c r="B79" i="5"/>
  <c r="A80" i="5"/>
  <c r="B80" i="5"/>
  <c r="A81" i="5"/>
  <c r="B81" i="5"/>
  <c r="A82" i="5"/>
  <c r="B82" i="5"/>
  <c r="A83" i="5"/>
  <c r="B83" i="5"/>
  <c r="A84" i="5"/>
  <c r="B84" i="5"/>
  <c r="A85" i="5"/>
  <c r="B85" i="5"/>
  <c r="A86" i="5"/>
  <c r="B86" i="5"/>
  <c r="A87" i="5"/>
  <c r="B87" i="5"/>
  <c r="A88" i="5"/>
  <c r="B88" i="5"/>
  <c r="A89" i="5"/>
  <c r="B89" i="5"/>
  <c r="A90" i="5"/>
  <c r="B90" i="5"/>
  <c r="A91" i="5"/>
  <c r="B91" i="5"/>
  <c r="A92" i="5"/>
  <c r="B92" i="5"/>
  <c r="A93" i="5"/>
  <c r="B93" i="5"/>
  <c r="A94" i="5"/>
  <c r="B94" i="5"/>
  <c r="A95" i="5"/>
  <c r="B95" i="5"/>
  <c r="A96" i="5"/>
  <c r="B96" i="5"/>
  <c r="A97" i="5"/>
  <c r="B97" i="5"/>
  <c r="A98" i="5"/>
  <c r="B98" i="5"/>
  <c r="A99" i="5"/>
  <c r="B99" i="5"/>
  <c r="A100" i="5"/>
  <c r="B100" i="5"/>
  <c r="A101" i="5"/>
  <c r="B101" i="5"/>
  <c r="A102" i="5"/>
  <c r="B102" i="5"/>
  <c r="A103" i="5"/>
  <c r="B103" i="5"/>
  <c r="A104" i="5"/>
  <c r="B104" i="5"/>
  <c r="A105" i="5"/>
  <c r="B105" i="5"/>
  <c r="A106" i="5"/>
  <c r="B106" i="5"/>
  <c r="A107" i="5"/>
  <c r="B107" i="5"/>
  <c r="A108" i="5"/>
  <c r="B108" i="5"/>
  <c r="A109" i="5"/>
  <c r="B109" i="5"/>
  <c r="A110" i="5"/>
  <c r="B110" i="5"/>
  <c r="A111" i="5"/>
  <c r="B111" i="5"/>
  <c r="A112" i="5"/>
  <c r="B112" i="5"/>
  <c r="A113" i="5"/>
  <c r="B113" i="5"/>
  <c r="A114" i="5"/>
  <c r="B114" i="5"/>
  <c r="A115" i="5"/>
  <c r="B115" i="5"/>
  <c r="A116" i="5"/>
  <c r="B116" i="5"/>
  <c r="A117" i="5"/>
  <c r="B117" i="5"/>
  <c r="A118" i="5"/>
  <c r="B118" i="5"/>
  <c r="A119" i="5"/>
  <c r="B119" i="5"/>
  <c r="A120" i="5"/>
  <c r="B120" i="5"/>
  <c r="A121" i="5"/>
  <c r="B121" i="5"/>
  <c r="A122" i="5"/>
  <c r="B122" i="5"/>
  <c r="A123" i="5"/>
  <c r="B123" i="5"/>
  <c r="A124" i="5"/>
  <c r="B124" i="5"/>
  <c r="A125" i="5"/>
  <c r="B125" i="5"/>
  <c r="A126" i="5"/>
  <c r="B126" i="5"/>
  <c r="A127" i="5"/>
  <c r="B127" i="5"/>
  <c r="A128" i="5"/>
  <c r="B128" i="5"/>
  <c r="A129" i="5"/>
  <c r="B129" i="5"/>
  <c r="A130" i="5"/>
  <c r="B130" i="5"/>
  <c r="A131" i="5"/>
  <c r="B131" i="5"/>
  <c r="A132" i="5"/>
  <c r="B132" i="5"/>
  <c r="A133" i="5"/>
  <c r="B133" i="5"/>
  <c r="A134" i="5"/>
  <c r="B134" i="5"/>
  <c r="A135" i="5"/>
  <c r="B135" i="5"/>
  <c r="A136" i="5"/>
  <c r="B136" i="5"/>
  <c r="A137" i="5"/>
  <c r="B137" i="5"/>
  <c r="A138" i="5"/>
  <c r="B138" i="5"/>
  <c r="A139" i="5"/>
  <c r="B139" i="5"/>
  <c r="A140" i="5"/>
  <c r="B140" i="5"/>
  <c r="A141" i="5"/>
  <c r="B141" i="5"/>
  <c r="A142" i="5"/>
  <c r="B142" i="5"/>
  <c r="A143" i="5"/>
  <c r="B143" i="5"/>
  <c r="A144" i="5"/>
  <c r="B144" i="5"/>
  <c r="A145" i="5"/>
  <c r="B145" i="5"/>
  <c r="A146" i="5"/>
  <c r="B146" i="5"/>
  <c r="A147" i="5"/>
  <c r="B147" i="5"/>
  <c r="A148" i="5"/>
  <c r="B148" i="5"/>
  <c r="A149" i="5"/>
  <c r="B149" i="5"/>
  <c r="A150" i="5"/>
  <c r="B150" i="5"/>
  <c r="A151" i="5"/>
  <c r="B151" i="5"/>
  <c r="A152" i="5"/>
  <c r="B152" i="5"/>
  <c r="A153" i="5"/>
  <c r="B153" i="5"/>
  <c r="A154" i="5"/>
  <c r="B154" i="5"/>
  <c r="A155" i="5"/>
  <c r="B155" i="5"/>
  <c r="A156" i="5"/>
  <c r="B156" i="5"/>
  <c r="A157" i="5"/>
  <c r="B157" i="5"/>
  <c r="A158" i="5"/>
  <c r="B158" i="5"/>
  <c r="A159" i="5"/>
  <c r="B159" i="5"/>
  <c r="A160" i="5"/>
  <c r="B160" i="5"/>
  <c r="A161" i="5"/>
  <c r="B161" i="5"/>
  <c r="A162" i="5"/>
  <c r="B162" i="5"/>
  <c r="A163" i="5"/>
  <c r="B163" i="5"/>
  <c r="A164" i="5"/>
  <c r="B164" i="5"/>
  <c r="A165" i="5"/>
  <c r="B165" i="5"/>
  <c r="A166" i="5"/>
  <c r="B166" i="5"/>
  <c r="A167" i="5"/>
  <c r="B167" i="5"/>
  <c r="A168" i="5"/>
  <c r="B168" i="5"/>
  <c r="A169" i="5"/>
  <c r="B169" i="5"/>
  <c r="A170" i="5"/>
  <c r="B170" i="5"/>
  <c r="A171" i="5"/>
  <c r="B171" i="5"/>
  <c r="A172" i="5"/>
  <c r="B172" i="5"/>
  <c r="A173" i="5"/>
  <c r="B173" i="5"/>
  <c r="A174" i="5"/>
  <c r="B174" i="5"/>
  <c r="A175" i="5"/>
  <c r="B175" i="5"/>
  <c r="A176" i="5"/>
  <c r="B176" i="5"/>
  <c r="A177" i="5"/>
  <c r="B177" i="5"/>
  <c r="A178" i="5"/>
  <c r="B178" i="5"/>
  <c r="A179" i="5"/>
  <c r="B179" i="5"/>
  <c r="A180" i="5"/>
  <c r="B180" i="5"/>
  <c r="A181" i="5"/>
  <c r="B181" i="5"/>
  <c r="A182" i="5"/>
  <c r="B182" i="5"/>
  <c r="A183" i="5"/>
  <c r="B183" i="5"/>
  <c r="A184" i="5"/>
  <c r="B184" i="5"/>
  <c r="A185" i="5"/>
  <c r="B185" i="5"/>
  <c r="A186" i="5"/>
  <c r="B186" i="5"/>
  <c r="A187" i="5"/>
  <c r="B187" i="5"/>
  <c r="A188" i="5"/>
  <c r="B188" i="5"/>
  <c r="A189" i="5"/>
  <c r="B189" i="5"/>
  <c r="A190" i="5"/>
  <c r="B190" i="5"/>
  <c r="A191" i="5"/>
  <c r="B191" i="5"/>
  <c r="A192" i="5"/>
  <c r="B192" i="5"/>
  <c r="A193" i="5"/>
  <c r="B193" i="5"/>
  <c r="A194" i="5"/>
  <c r="B194" i="5"/>
  <c r="A195" i="5"/>
  <c r="B195" i="5"/>
  <c r="A196" i="5"/>
  <c r="B196" i="5"/>
  <c r="A197" i="5"/>
  <c r="B197" i="5"/>
  <c r="A198" i="5"/>
  <c r="B198" i="5"/>
  <c r="A199" i="5"/>
  <c r="B199" i="5"/>
  <c r="A200" i="5"/>
  <c r="B200" i="5"/>
  <c r="A201" i="5"/>
  <c r="B201" i="5"/>
  <c r="A202" i="5"/>
  <c r="B202" i="5"/>
  <c r="A203" i="5"/>
  <c r="B203" i="5"/>
  <c r="A204" i="5"/>
  <c r="B204" i="5"/>
  <c r="A205" i="5"/>
  <c r="B205" i="5"/>
  <c r="A206" i="5"/>
  <c r="B206" i="5"/>
  <c r="A207" i="5"/>
  <c r="B207" i="5"/>
  <c r="A208" i="5"/>
  <c r="B208" i="5"/>
  <c r="A209" i="5"/>
  <c r="B209" i="5"/>
  <c r="A210" i="5"/>
  <c r="B210" i="5"/>
  <c r="A211" i="5"/>
  <c r="B211" i="5"/>
  <c r="A212" i="5"/>
  <c r="B212" i="5"/>
  <c r="A213" i="5"/>
  <c r="B213" i="5"/>
  <c r="A214" i="5"/>
  <c r="B214" i="5"/>
  <c r="A215" i="5"/>
  <c r="B215" i="5"/>
  <c r="A216" i="5"/>
  <c r="B216" i="5"/>
  <c r="A217" i="5"/>
  <c r="B217" i="5"/>
  <c r="A218" i="5"/>
  <c r="B218" i="5"/>
  <c r="A219" i="5"/>
  <c r="B219" i="5"/>
  <c r="A220" i="5"/>
  <c r="B220" i="5"/>
  <c r="A221" i="5"/>
  <c r="B221" i="5"/>
  <c r="A222" i="5"/>
  <c r="B222" i="5"/>
  <c r="A223" i="5"/>
  <c r="B223" i="5"/>
  <c r="A224" i="5"/>
  <c r="B224" i="5"/>
  <c r="A225" i="5"/>
  <c r="B225" i="5"/>
  <c r="A226" i="5"/>
  <c r="B226" i="5"/>
  <c r="A227" i="5"/>
  <c r="B227" i="5"/>
  <c r="A228" i="5"/>
  <c r="B228" i="5"/>
  <c r="A229" i="5"/>
  <c r="B229" i="5"/>
  <c r="A230" i="5"/>
  <c r="B230" i="5"/>
  <c r="A231" i="5"/>
  <c r="B231" i="5"/>
  <c r="A232" i="5"/>
  <c r="B232" i="5"/>
  <c r="A233" i="5"/>
  <c r="B233" i="5"/>
  <c r="A234" i="5"/>
  <c r="B234" i="5"/>
  <c r="A235" i="5"/>
  <c r="B235" i="5"/>
  <c r="A236" i="5"/>
  <c r="B236" i="5"/>
  <c r="A237" i="5"/>
  <c r="B237" i="5"/>
  <c r="A238" i="5"/>
  <c r="B238" i="5"/>
  <c r="A239" i="5"/>
  <c r="B239" i="5"/>
  <c r="A240" i="5"/>
  <c r="B240" i="5"/>
  <c r="A241" i="5"/>
  <c r="B241" i="5"/>
  <c r="A242" i="5"/>
  <c r="B242" i="5"/>
  <c r="A243" i="5"/>
  <c r="B243" i="5"/>
  <c r="A244" i="5"/>
  <c r="B244" i="5"/>
  <c r="A245" i="5"/>
  <c r="B245" i="5"/>
  <c r="A246" i="5"/>
  <c r="B246" i="5"/>
  <c r="A247" i="5"/>
  <c r="B247" i="5"/>
  <c r="A248" i="5"/>
  <c r="B248" i="5"/>
  <c r="A249" i="5"/>
  <c r="B249" i="5"/>
  <c r="A250" i="5"/>
  <c r="B250" i="5"/>
  <c r="A251" i="5"/>
  <c r="B251" i="5"/>
  <c r="A252" i="5"/>
  <c r="B252" i="5"/>
  <c r="A253" i="5"/>
  <c r="B253" i="5"/>
  <c r="A254" i="5"/>
  <c r="B254" i="5"/>
  <c r="A255" i="5"/>
  <c r="B255" i="5"/>
  <c r="A256" i="5"/>
  <c r="B256" i="5"/>
  <c r="A257" i="5"/>
  <c r="B257" i="5"/>
  <c r="A258" i="5"/>
  <c r="B258" i="5"/>
  <c r="A259" i="5"/>
  <c r="B259" i="5"/>
  <c r="A260" i="5"/>
  <c r="B260" i="5"/>
  <c r="A261" i="5"/>
  <c r="B261" i="5"/>
  <c r="A262" i="5"/>
  <c r="B262" i="5"/>
  <c r="A263" i="5"/>
  <c r="B263" i="5"/>
  <c r="A264" i="5"/>
  <c r="B264" i="5"/>
  <c r="A265" i="5"/>
  <c r="B265" i="5"/>
  <c r="A266" i="5"/>
  <c r="B266" i="5"/>
  <c r="A267" i="5"/>
  <c r="B267" i="5"/>
  <c r="A268" i="5"/>
  <c r="B268" i="5"/>
  <c r="A269" i="5"/>
  <c r="B269" i="5"/>
  <c r="A270" i="5"/>
  <c r="B270" i="5"/>
  <c r="A271" i="5"/>
  <c r="B271" i="5"/>
  <c r="A272" i="5"/>
  <c r="B272" i="5"/>
  <c r="A273" i="5"/>
  <c r="B273" i="5"/>
  <c r="A274" i="5"/>
  <c r="B274" i="5"/>
  <c r="A275" i="5"/>
  <c r="B275" i="5"/>
  <c r="A276" i="5"/>
  <c r="B276" i="5"/>
  <c r="A277" i="5"/>
  <c r="B277" i="5"/>
  <c r="A278" i="5"/>
  <c r="B278" i="5"/>
  <c r="A279" i="5"/>
  <c r="B279" i="5"/>
  <c r="A280" i="5"/>
  <c r="B280" i="5"/>
  <c r="A281" i="5"/>
  <c r="B281" i="5"/>
  <c r="A282" i="5"/>
  <c r="B282" i="5"/>
  <c r="A283" i="5"/>
  <c r="B283" i="5"/>
  <c r="A284" i="5"/>
  <c r="B284" i="5"/>
  <c r="A285" i="5"/>
  <c r="B285" i="5"/>
  <c r="A286" i="5"/>
  <c r="B286" i="5"/>
  <c r="A287" i="5"/>
  <c r="B287" i="5"/>
  <c r="A288" i="5"/>
  <c r="B288" i="5"/>
  <c r="A289" i="5"/>
  <c r="B289" i="5"/>
  <c r="A290" i="5"/>
  <c r="B290" i="5"/>
  <c r="A291" i="5"/>
  <c r="B291" i="5"/>
  <c r="A292" i="5"/>
  <c r="B292" i="5"/>
  <c r="A293" i="5"/>
  <c r="B293" i="5"/>
  <c r="A294" i="5"/>
  <c r="B294" i="5"/>
  <c r="A295" i="5"/>
  <c r="B295" i="5"/>
  <c r="A296" i="5"/>
  <c r="B296" i="5"/>
  <c r="A297" i="5"/>
  <c r="B297" i="5"/>
  <c r="A298" i="5"/>
  <c r="B298" i="5"/>
  <c r="A299" i="5"/>
  <c r="B299" i="5"/>
  <c r="A300" i="5"/>
  <c r="B300" i="5"/>
  <c r="A301" i="5"/>
  <c r="B301" i="5"/>
  <c r="A302" i="5"/>
  <c r="B302" i="5"/>
  <c r="A303" i="5"/>
  <c r="B303" i="5"/>
  <c r="A304" i="5"/>
  <c r="B304" i="5"/>
  <c r="A305" i="5"/>
  <c r="B305" i="5"/>
  <c r="A306" i="5"/>
  <c r="B306" i="5"/>
  <c r="A307" i="5"/>
  <c r="B307" i="5"/>
  <c r="A308" i="5"/>
  <c r="B308" i="5"/>
  <c r="A309" i="5"/>
  <c r="B309" i="5"/>
  <c r="A310" i="5"/>
  <c r="B310" i="5"/>
  <c r="A311" i="5"/>
  <c r="B311" i="5"/>
  <c r="A312" i="5"/>
  <c r="B312" i="5"/>
  <c r="A313" i="5"/>
  <c r="B313" i="5"/>
  <c r="A314" i="5"/>
  <c r="B314" i="5"/>
  <c r="A315" i="5"/>
  <c r="B315" i="5"/>
  <c r="A316" i="5"/>
  <c r="B316" i="5"/>
  <c r="A317" i="5"/>
  <c r="B317" i="5"/>
  <c r="A318" i="5"/>
  <c r="B318" i="5"/>
  <c r="A319" i="5"/>
  <c r="B319" i="5"/>
  <c r="A320" i="5"/>
  <c r="B320" i="5"/>
  <c r="A321" i="5"/>
  <c r="B321" i="5"/>
  <c r="A322" i="5"/>
  <c r="B322" i="5"/>
  <c r="A323" i="5"/>
  <c r="B323" i="5"/>
  <c r="A324" i="5"/>
  <c r="B324" i="5"/>
  <c r="A325" i="5"/>
  <c r="B325" i="5"/>
  <c r="A326" i="5"/>
  <c r="B326" i="5"/>
  <c r="A327" i="5"/>
  <c r="B327" i="5"/>
  <c r="A328" i="5"/>
  <c r="B328" i="5"/>
  <c r="A329" i="5"/>
  <c r="B329" i="5"/>
  <c r="A330" i="5"/>
  <c r="B330" i="5"/>
  <c r="A331" i="5"/>
  <c r="B331" i="5"/>
  <c r="A332" i="5"/>
  <c r="B332" i="5"/>
  <c r="A333" i="5"/>
  <c r="B333" i="5"/>
  <c r="A334" i="5"/>
  <c r="B334" i="5"/>
  <c r="A335" i="5"/>
  <c r="B335" i="5"/>
  <c r="A336" i="5"/>
  <c r="B336" i="5"/>
  <c r="A337" i="5"/>
  <c r="B337" i="5"/>
  <c r="A338" i="5"/>
  <c r="B338" i="5"/>
  <c r="A339" i="5"/>
  <c r="B339" i="5"/>
  <c r="A340" i="5"/>
  <c r="B340" i="5"/>
  <c r="A341" i="5"/>
  <c r="B341" i="5"/>
  <c r="A342" i="5"/>
  <c r="B342" i="5"/>
  <c r="A343" i="5"/>
  <c r="B343" i="5"/>
  <c r="A344" i="5"/>
  <c r="B344" i="5"/>
  <c r="A345" i="5"/>
  <c r="B345" i="5"/>
  <c r="A346" i="5"/>
  <c r="B346" i="5"/>
  <c r="A347" i="5"/>
  <c r="B347" i="5"/>
  <c r="A348" i="5"/>
  <c r="B348" i="5"/>
  <c r="A349" i="5"/>
  <c r="B349" i="5"/>
  <c r="A350" i="5"/>
  <c r="B350" i="5"/>
  <c r="A351" i="5"/>
  <c r="B351" i="5"/>
  <c r="A352" i="5"/>
  <c r="B352" i="5"/>
  <c r="A353" i="5"/>
  <c r="B353" i="5"/>
  <c r="A354" i="5"/>
  <c r="B354" i="5"/>
  <c r="A355" i="5"/>
  <c r="B355" i="5"/>
  <c r="A356" i="5"/>
  <c r="B356" i="5"/>
  <c r="A357" i="5"/>
  <c r="B357" i="5"/>
  <c r="A358" i="5"/>
  <c r="B358" i="5"/>
  <c r="A359" i="5"/>
  <c r="B359" i="5"/>
  <c r="A360" i="5"/>
  <c r="B360" i="5"/>
  <c r="A361" i="5"/>
  <c r="B361" i="5"/>
  <c r="A362" i="5"/>
  <c r="B362" i="5"/>
  <c r="A363" i="5"/>
  <c r="B363" i="5"/>
  <c r="A364" i="5"/>
  <c r="B364" i="5"/>
  <c r="A365" i="5"/>
  <c r="B365" i="5"/>
  <c r="A366" i="5"/>
  <c r="B366" i="5"/>
  <c r="A367" i="5"/>
  <c r="B367" i="5"/>
  <c r="A368" i="5"/>
  <c r="B368" i="5"/>
  <c r="A369" i="5"/>
  <c r="B369" i="5"/>
  <c r="A370" i="5"/>
  <c r="B370" i="5"/>
  <c r="A371" i="5"/>
  <c r="B371" i="5"/>
  <c r="A372" i="5"/>
  <c r="B372" i="5"/>
  <c r="A373" i="5"/>
  <c r="B373" i="5"/>
  <c r="A374" i="5"/>
  <c r="B374" i="5"/>
  <c r="A375" i="5"/>
  <c r="B375" i="5"/>
  <c r="A376" i="5"/>
  <c r="B376" i="5"/>
  <c r="A377" i="5"/>
  <c r="B377" i="5"/>
  <c r="A378" i="5"/>
  <c r="B378" i="5"/>
  <c r="A379" i="5"/>
  <c r="B379" i="5"/>
  <c r="A380" i="5"/>
  <c r="B380" i="5"/>
  <c r="A381" i="5"/>
  <c r="B381" i="5"/>
  <c r="A382" i="5"/>
  <c r="B382" i="5"/>
  <c r="A383" i="5"/>
  <c r="B383" i="5"/>
  <c r="A384" i="5"/>
  <c r="B384" i="5"/>
  <c r="A385" i="5"/>
  <c r="B385" i="5"/>
  <c r="A386" i="5"/>
  <c r="B386" i="5"/>
  <c r="A387" i="5"/>
  <c r="B387" i="5"/>
  <c r="A388" i="5"/>
  <c r="B388" i="5"/>
  <c r="A389" i="5"/>
  <c r="B389" i="5"/>
  <c r="A390" i="5"/>
  <c r="B390" i="5"/>
  <c r="A391" i="5"/>
  <c r="B391" i="5"/>
  <c r="A392" i="5"/>
  <c r="B392" i="5"/>
  <c r="A393" i="5"/>
  <c r="B393" i="5"/>
  <c r="A394" i="5"/>
  <c r="B394" i="5"/>
  <c r="A395" i="5"/>
  <c r="B395" i="5"/>
  <c r="A396" i="5"/>
  <c r="B396" i="5"/>
  <c r="A397" i="5"/>
  <c r="B397" i="5"/>
  <c r="A398" i="5"/>
  <c r="B398" i="5"/>
  <c r="A399" i="5"/>
  <c r="B399" i="5"/>
  <c r="A400" i="5"/>
  <c r="B400" i="5"/>
  <c r="A401" i="5"/>
  <c r="B401" i="5"/>
  <c r="A402" i="5"/>
  <c r="B402" i="5"/>
  <c r="A403" i="5"/>
  <c r="B403" i="5"/>
  <c r="A404" i="5"/>
  <c r="B404" i="5"/>
  <c r="A405" i="5"/>
  <c r="B405" i="5"/>
  <c r="A406" i="5"/>
  <c r="B406" i="5"/>
  <c r="A407" i="5"/>
  <c r="B407" i="5"/>
  <c r="A408" i="5"/>
  <c r="B408" i="5"/>
  <c r="A409" i="5"/>
  <c r="B409" i="5"/>
  <c r="A410" i="5"/>
  <c r="B410" i="5"/>
  <c r="A411" i="5"/>
  <c r="B411" i="5"/>
  <c r="A412" i="5"/>
  <c r="B412" i="5"/>
  <c r="A413" i="5"/>
  <c r="B413" i="5"/>
  <c r="A414" i="5"/>
  <c r="B414" i="5"/>
  <c r="A415" i="5"/>
  <c r="B415" i="5"/>
  <c r="A416" i="5"/>
  <c r="B416" i="5"/>
  <c r="A417" i="5"/>
  <c r="B417" i="5"/>
  <c r="A418" i="5"/>
  <c r="B418" i="5"/>
  <c r="A419" i="5"/>
  <c r="B419" i="5"/>
  <c r="A420" i="5"/>
  <c r="B420" i="5"/>
  <c r="A421" i="5"/>
  <c r="B421" i="5"/>
  <c r="A422" i="5"/>
  <c r="B422" i="5"/>
  <c r="A423" i="5"/>
  <c r="B423" i="5"/>
  <c r="A424" i="5"/>
  <c r="B424" i="5"/>
  <c r="A425" i="5"/>
  <c r="B425" i="5"/>
  <c r="A426" i="5"/>
  <c r="B426" i="5"/>
  <c r="A427" i="5"/>
  <c r="B427" i="5"/>
  <c r="A428" i="5"/>
  <c r="B428" i="5"/>
  <c r="A429" i="5"/>
  <c r="B429" i="5"/>
  <c r="A430" i="5"/>
  <c r="B430" i="5"/>
  <c r="A431" i="5"/>
  <c r="B431" i="5"/>
  <c r="A432" i="5"/>
  <c r="B432" i="5"/>
  <c r="A433" i="5"/>
  <c r="B433" i="5"/>
  <c r="A434" i="5"/>
  <c r="B434" i="5"/>
  <c r="A435" i="5"/>
  <c r="B435" i="5"/>
  <c r="A436" i="5"/>
  <c r="B436" i="5"/>
  <c r="A437" i="5"/>
  <c r="B437" i="5"/>
  <c r="A438" i="5"/>
  <c r="B438" i="5"/>
  <c r="A439" i="5"/>
  <c r="B439" i="5"/>
  <c r="A440" i="5"/>
  <c r="B440" i="5"/>
  <c r="A441" i="5"/>
  <c r="B441" i="5"/>
  <c r="A442" i="5"/>
  <c r="B442" i="5"/>
  <c r="A443" i="5"/>
  <c r="B443" i="5"/>
  <c r="A444" i="5"/>
  <c r="B444" i="5"/>
  <c r="A445" i="5"/>
  <c r="B445" i="5"/>
  <c r="A446" i="5"/>
  <c r="B446" i="5"/>
  <c r="A447" i="5"/>
  <c r="B447" i="5"/>
  <c r="A448" i="5"/>
  <c r="B448" i="5"/>
  <c r="A449" i="5"/>
  <c r="B449" i="5"/>
  <c r="A450" i="5"/>
  <c r="B450" i="5"/>
  <c r="A451" i="5"/>
  <c r="B451" i="5"/>
  <c r="A452" i="5"/>
  <c r="B452" i="5"/>
  <c r="A453" i="5"/>
  <c r="B453" i="5"/>
  <c r="A454" i="5"/>
  <c r="B454" i="5"/>
  <c r="A455" i="5"/>
  <c r="B455" i="5"/>
  <c r="A456" i="5"/>
  <c r="B456" i="5"/>
  <c r="A457" i="5"/>
  <c r="B457" i="5"/>
  <c r="A458" i="5"/>
  <c r="B458" i="5"/>
  <c r="A459" i="5"/>
  <c r="B459" i="5"/>
  <c r="A460" i="5"/>
  <c r="B460" i="5"/>
  <c r="A461" i="5"/>
  <c r="B461" i="5"/>
  <c r="A462" i="5"/>
  <c r="B462" i="5"/>
  <c r="A463" i="5"/>
  <c r="B463" i="5"/>
  <c r="A464" i="5"/>
  <c r="B464" i="5"/>
  <c r="A465" i="5"/>
  <c r="B465" i="5"/>
  <c r="A466" i="5"/>
  <c r="B466" i="5"/>
  <c r="A467" i="5"/>
  <c r="B467" i="5"/>
  <c r="A468" i="5"/>
  <c r="B468" i="5"/>
  <c r="A469" i="5"/>
  <c r="B469" i="5"/>
  <c r="A470" i="5"/>
  <c r="B470" i="5"/>
  <c r="A471" i="5"/>
  <c r="B471" i="5"/>
  <c r="A472" i="5"/>
  <c r="B472" i="5"/>
  <c r="A473" i="5"/>
  <c r="B473" i="5"/>
  <c r="A474" i="5"/>
  <c r="B474" i="5"/>
  <c r="A475" i="5"/>
  <c r="B475" i="5"/>
  <c r="A476" i="5"/>
  <c r="B476" i="5"/>
  <c r="A477" i="5"/>
  <c r="B477" i="5"/>
  <c r="A478" i="5"/>
  <c r="B478" i="5"/>
  <c r="A479" i="5"/>
  <c r="B479" i="5"/>
  <c r="A480" i="5"/>
  <c r="B480" i="5"/>
  <c r="A481" i="5"/>
  <c r="B481" i="5"/>
  <c r="A482" i="5"/>
  <c r="B482" i="5"/>
  <c r="A483" i="5"/>
  <c r="B483" i="5"/>
  <c r="A484" i="5"/>
  <c r="B484" i="5"/>
  <c r="A485" i="5"/>
  <c r="B485" i="5"/>
  <c r="A486" i="5"/>
  <c r="B486" i="5"/>
  <c r="A487" i="5"/>
  <c r="B487" i="5"/>
  <c r="A488" i="5"/>
  <c r="B488" i="5"/>
  <c r="A489" i="5"/>
  <c r="B489" i="5"/>
  <c r="A490" i="5"/>
  <c r="B490" i="5"/>
  <c r="A491" i="5"/>
  <c r="B491" i="5"/>
  <c r="A492" i="5"/>
  <c r="B492" i="5"/>
  <c r="A493" i="5"/>
  <c r="B493" i="5"/>
  <c r="A494" i="5"/>
  <c r="B494" i="5"/>
  <c r="A495" i="5"/>
  <c r="B495" i="5"/>
  <c r="A496" i="5"/>
  <c r="B496" i="5"/>
  <c r="A497" i="5"/>
  <c r="B497" i="5"/>
  <c r="A498" i="5"/>
  <c r="B498" i="5"/>
  <c r="A499" i="5"/>
  <c r="B499" i="5"/>
  <c r="A500" i="5"/>
  <c r="B500" i="5"/>
  <c r="A501" i="5"/>
  <c r="B501" i="5"/>
  <c r="A502" i="5"/>
  <c r="B502" i="5"/>
  <c r="A503" i="5"/>
  <c r="B503" i="5"/>
  <c r="A504" i="5"/>
  <c r="B504" i="5"/>
  <c r="A505" i="5"/>
  <c r="B505" i="5"/>
  <c r="A506" i="5"/>
  <c r="B506" i="5"/>
  <c r="A507" i="5"/>
  <c r="B507" i="5"/>
  <c r="A508" i="5"/>
  <c r="B508" i="5"/>
  <c r="A509" i="5"/>
  <c r="B509" i="5"/>
  <c r="A510" i="5"/>
  <c r="B510" i="5"/>
  <c r="A511" i="5"/>
  <c r="B511" i="5"/>
  <c r="A512" i="5"/>
  <c r="B512" i="5"/>
  <c r="A513" i="5"/>
  <c r="B513" i="5"/>
  <c r="A514" i="5"/>
  <c r="B514" i="5"/>
  <c r="A515" i="5"/>
  <c r="B515" i="5"/>
  <c r="A516" i="5"/>
  <c r="B516" i="5"/>
  <c r="A517" i="5"/>
  <c r="B517" i="5"/>
  <c r="A518" i="5"/>
  <c r="B518" i="5"/>
  <c r="A519" i="5"/>
  <c r="B519" i="5"/>
  <c r="A520" i="5"/>
  <c r="B520" i="5"/>
  <c r="A521" i="5"/>
  <c r="B521" i="5"/>
  <c r="A522" i="5"/>
  <c r="B522" i="5"/>
  <c r="A523" i="5"/>
  <c r="B523" i="5"/>
  <c r="A524" i="5"/>
  <c r="B524" i="5"/>
  <c r="A525" i="5"/>
  <c r="B525" i="5"/>
  <c r="A526" i="5"/>
  <c r="B526" i="5"/>
  <c r="A527" i="5"/>
  <c r="B527" i="5"/>
  <c r="A528" i="5"/>
  <c r="B528" i="5"/>
  <c r="A529" i="5"/>
  <c r="B529" i="5"/>
  <c r="A530" i="5"/>
  <c r="B530" i="5"/>
  <c r="A531" i="5"/>
  <c r="B531" i="5"/>
  <c r="A532" i="5"/>
  <c r="B532" i="5"/>
  <c r="A533" i="5"/>
  <c r="B533" i="5"/>
  <c r="A534" i="5"/>
  <c r="B534" i="5"/>
  <c r="A535" i="5"/>
  <c r="B535" i="5"/>
  <c r="A536" i="5"/>
  <c r="B536" i="5"/>
  <c r="A537" i="5"/>
  <c r="B537" i="5"/>
  <c r="A538" i="5"/>
  <c r="B538" i="5"/>
  <c r="A539" i="5"/>
  <c r="B539" i="5"/>
  <c r="A540" i="5"/>
  <c r="B540" i="5"/>
  <c r="A541" i="5"/>
  <c r="B541" i="5"/>
  <c r="A542" i="5"/>
  <c r="B542" i="5"/>
  <c r="A543" i="5"/>
  <c r="B543" i="5"/>
  <c r="A544" i="5"/>
  <c r="B544" i="5"/>
  <c r="A545" i="5"/>
  <c r="B545" i="5"/>
  <c r="A546" i="5"/>
  <c r="B546" i="5"/>
  <c r="A547" i="5"/>
  <c r="B547" i="5"/>
  <c r="A548" i="5"/>
  <c r="B548" i="5"/>
  <c r="A549" i="5"/>
  <c r="B549" i="5"/>
  <c r="A550" i="5"/>
  <c r="B550" i="5"/>
  <c r="A551" i="5"/>
  <c r="B551" i="5"/>
  <c r="A552" i="5"/>
  <c r="B552" i="5"/>
  <c r="A553" i="5"/>
  <c r="B553" i="5"/>
  <c r="A554" i="5"/>
  <c r="B554" i="5"/>
  <c r="A555" i="5"/>
  <c r="B555" i="5"/>
  <c r="A556" i="5"/>
  <c r="B556" i="5"/>
  <c r="A557" i="5"/>
  <c r="B557" i="5"/>
  <c r="A558" i="5"/>
  <c r="B558" i="5"/>
  <c r="A559" i="5"/>
  <c r="B559" i="5"/>
  <c r="A560" i="5"/>
  <c r="B560" i="5"/>
  <c r="A561" i="5"/>
  <c r="B561" i="5"/>
  <c r="A562" i="5"/>
  <c r="B562" i="5"/>
  <c r="A563" i="5"/>
  <c r="B563" i="5"/>
  <c r="A564" i="5"/>
  <c r="B564" i="5"/>
  <c r="A565" i="5"/>
  <c r="B565" i="5"/>
  <c r="A566" i="5"/>
  <c r="B566" i="5"/>
  <c r="A567" i="5"/>
  <c r="B567" i="5"/>
  <c r="A568" i="5"/>
  <c r="B568" i="5"/>
  <c r="A569" i="5"/>
  <c r="B569" i="5"/>
  <c r="A570" i="5"/>
  <c r="B570" i="5"/>
  <c r="A571" i="5"/>
  <c r="B571" i="5"/>
  <c r="A572" i="5"/>
  <c r="B572" i="5"/>
  <c r="A573" i="5"/>
  <c r="B573" i="5"/>
  <c r="A574" i="5"/>
  <c r="B574" i="5"/>
  <c r="A575" i="5"/>
  <c r="B575" i="5"/>
  <c r="A576" i="5"/>
  <c r="B576" i="5"/>
  <c r="A577" i="5"/>
  <c r="B577" i="5"/>
  <c r="A578" i="5"/>
  <c r="B578" i="5"/>
  <c r="A579" i="5"/>
  <c r="B579" i="5"/>
  <c r="A580" i="5"/>
  <c r="B580" i="5"/>
  <c r="A581" i="5"/>
  <c r="B581" i="5"/>
  <c r="A582" i="5"/>
  <c r="B582" i="5"/>
  <c r="A583" i="5"/>
  <c r="B583" i="5"/>
  <c r="A584" i="5"/>
  <c r="B584" i="5"/>
  <c r="A585" i="5"/>
  <c r="B585" i="5"/>
  <c r="A586" i="5"/>
  <c r="B586" i="5"/>
  <c r="A587" i="5"/>
  <c r="B587" i="5"/>
  <c r="A588" i="5"/>
  <c r="B588" i="5"/>
  <c r="A589" i="5"/>
  <c r="B589" i="5"/>
  <c r="A590" i="5"/>
  <c r="B590" i="5"/>
  <c r="A591" i="5"/>
  <c r="B591" i="5"/>
  <c r="A592" i="5"/>
  <c r="B592" i="5"/>
  <c r="A593" i="5"/>
  <c r="B593" i="5"/>
  <c r="A594" i="5"/>
  <c r="B594" i="5"/>
  <c r="A595" i="5"/>
  <c r="B595" i="5"/>
  <c r="A596" i="5"/>
  <c r="B596" i="5"/>
  <c r="A597" i="5"/>
  <c r="B597" i="5"/>
  <c r="A598" i="5"/>
  <c r="B598" i="5"/>
  <c r="A599" i="5"/>
  <c r="B599" i="5"/>
  <c r="A600" i="5"/>
  <c r="B600" i="5"/>
  <c r="A601" i="5"/>
  <c r="B601" i="5"/>
  <c r="A602" i="5"/>
  <c r="B602" i="5"/>
  <c r="A603" i="5"/>
  <c r="B603" i="5"/>
  <c r="A604" i="5"/>
  <c r="B604" i="5"/>
  <c r="A605" i="5"/>
  <c r="B605" i="5"/>
  <c r="A606" i="5"/>
  <c r="B606" i="5"/>
  <c r="A607" i="5"/>
  <c r="B607" i="5"/>
  <c r="A608" i="5"/>
  <c r="B608" i="5"/>
  <c r="A609" i="5"/>
  <c r="B609" i="5"/>
  <c r="A610" i="5"/>
  <c r="B610" i="5"/>
  <c r="A611" i="5"/>
  <c r="B611" i="5"/>
  <c r="A612" i="5"/>
  <c r="B612" i="5"/>
  <c r="A613" i="5"/>
  <c r="B613" i="5"/>
  <c r="A614" i="5"/>
  <c r="B614" i="5"/>
  <c r="A615" i="5"/>
  <c r="B615" i="5"/>
  <c r="A616" i="5"/>
  <c r="B616" i="5"/>
  <c r="A617" i="5"/>
  <c r="B617" i="5"/>
  <c r="A618" i="5"/>
  <c r="B618" i="5"/>
  <c r="A619" i="5"/>
  <c r="B619" i="5"/>
  <c r="A620" i="5"/>
  <c r="B620" i="5"/>
  <c r="A621" i="5"/>
  <c r="B621" i="5"/>
  <c r="A622" i="5"/>
  <c r="B622" i="5"/>
  <c r="A623" i="5"/>
  <c r="B623" i="5"/>
  <c r="A624" i="5"/>
  <c r="B624" i="5"/>
  <c r="A625" i="5"/>
  <c r="B625" i="5"/>
  <c r="A626" i="5"/>
  <c r="B626" i="5"/>
  <c r="A627" i="5"/>
  <c r="B627" i="5"/>
  <c r="A628" i="5"/>
  <c r="B628" i="5"/>
  <c r="A629" i="5"/>
  <c r="B629" i="5"/>
  <c r="A630" i="5"/>
  <c r="B630" i="5"/>
  <c r="A631" i="5"/>
  <c r="B631" i="5"/>
  <c r="A632" i="5"/>
  <c r="B632" i="5"/>
  <c r="A633" i="5"/>
  <c r="B633" i="5"/>
  <c r="A634" i="5"/>
  <c r="B634" i="5"/>
  <c r="A635" i="5"/>
  <c r="B635" i="5"/>
  <c r="A636" i="5"/>
  <c r="B636" i="5"/>
  <c r="A637" i="5"/>
  <c r="B637" i="5"/>
  <c r="A638" i="5"/>
  <c r="B638" i="5"/>
  <c r="A639" i="5"/>
  <c r="B639" i="5"/>
  <c r="A640" i="5"/>
  <c r="B640" i="5"/>
  <c r="A641" i="5"/>
  <c r="B641" i="5"/>
  <c r="A642" i="5"/>
  <c r="B642" i="5"/>
  <c r="A643" i="5"/>
  <c r="B643" i="5"/>
  <c r="A644" i="5"/>
  <c r="B644" i="5"/>
  <c r="A645" i="5"/>
  <c r="B645" i="5"/>
  <c r="A646" i="5"/>
  <c r="B646" i="5"/>
  <c r="A647" i="5"/>
  <c r="B647" i="5"/>
  <c r="A648" i="5"/>
  <c r="B648" i="5"/>
  <c r="A649" i="5"/>
  <c r="B649" i="5"/>
  <c r="A650" i="5"/>
  <c r="B650" i="5"/>
  <c r="A651" i="5"/>
  <c r="B651" i="5"/>
  <c r="A652" i="5"/>
  <c r="B652" i="5"/>
  <c r="A653" i="5"/>
  <c r="B653" i="5"/>
  <c r="A654" i="5"/>
  <c r="B654" i="5"/>
  <c r="A655" i="5"/>
  <c r="B655" i="5"/>
  <c r="A656" i="5"/>
  <c r="B656" i="5"/>
  <c r="A657" i="5"/>
  <c r="B657" i="5"/>
  <c r="A658" i="5"/>
  <c r="B658" i="5"/>
  <c r="A659" i="5"/>
  <c r="B659" i="5"/>
  <c r="A660" i="5"/>
  <c r="B660" i="5"/>
  <c r="A661" i="5"/>
  <c r="B661" i="5"/>
  <c r="A662" i="5"/>
  <c r="B662" i="5"/>
  <c r="A663" i="5"/>
  <c r="B663" i="5"/>
  <c r="A664" i="5"/>
  <c r="B664" i="5"/>
  <c r="A665" i="5"/>
  <c r="B665" i="5"/>
  <c r="A666" i="5"/>
  <c r="B666" i="5"/>
  <c r="A667" i="5"/>
  <c r="B667" i="5"/>
  <c r="A668" i="5"/>
  <c r="B668" i="5"/>
  <c r="A669" i="5"/>
  <c r="B669" i="5"/>
  <c r="A670" i="5"/>
  <c r="B670" i="5"/>
  <c r="A671" i="5"/>
  <c r="B671" i="5"/>
  <c r="A672" i="5"/>
  <c r="B672" i="5"/>
  <c r="A673" i="5"/>
  <c r="B673" i="5"/>
  <c r="A674" i="5"/>
  <c r="B674" i="5"/>
  <c r="A675" i="5"/>
  <c r="B675" i="5"/>
  <c r="A676" i="5"/>
  <c r="B676" i="5"/>
  <c r="A677" i="5"/>
  <c r="B677" i="5"/>
  <c r="A678" i="5"/>
  <c r="B678" i="5"/>
  <c r="A679" i="5"/>
  <c r="B679" i="5"/>
  <c r="A680" i="5"/>
  <c r="B680" i="5"/>
  <c r="A681" i="5"/>
  <c r="B681" i="5"/>
  <c r="A682" i="5"/>
  <c r="B682" i="5"/>
  <c r="A683" i="5"/>
  <c r="B683" i="5"/>
  <c r="A684" i="5"/>
  <c r="B684" i="5"/>
  <c r="A685" i="5"/>
  <c r="B685" i="5"/>
  <c r="A686" i="5"/>
  <c r="B686" i="5"/>
  <c r="A687" i="5"/>
  <c r="B687" i="5"/>
  <c r="A688" i="5"/>
  <c r="B688" i="5"/>
  <c r="A689" i="5"/>
  <c r="B689" i="5"/>
  <c r="A690" i="5"/>
  <c r="B690" i="5"/>
  <c r="A691" i="5"/>
  <c r="B691" i="5"/>
  <c r="A692" i="5"/>
  <c r="B692" i="5"/>
  <c r="A693" i="5"/>
  <c r="B693" i="5"/>
  <c r="A694" i="5"/>
  <c r="B694" i="5"/>
  <c r="A695" i="5"/>
  <c r="B695" i="5"/>
  <c r="A696" i="5"/>
  <c r="B696" i="5"/>
  <c r="A697" i="5"/>
  <c r="B697" i="5"/>
  <c r="A698" i="5"/>
  <c r="B698" i="5"/>
  <c r="A699" i="5"/>
  <c r="B699" i="5"/>
  <c r="A700" i="5"/>
  <c r="B700" i="5"/>
  <c r="A701" i="5"/>
  <c r="B701" i="5"/>
  <c r="A702" i="5"/>
  <c r="B702" i="5"/>
  <c r="A703" i="5"/>
  <c r="B703" i="5"/>
  <c r="A704" i="5"/>
  <c r="B704" i="5"/>
  <c r="A705" i="5"/>
  <c r="B705" i="5"/>
  <c r="A706" i="5"/>
  <c r="B706" i="5"/>
  <c r="A707" i="5"/>
  <c r="B707" i="5"/>
  <c r="A708" i="5"/>
  <c r="B708" i="5"/>
  <c r="A709" i="5"/>
  <c r="B709" i="5"/>
  <c r="A710" i="5"/>
  <c r="B710" i="5"/>
  <c r="A711" i="5"/>
  <c r="B711" i="5"/>
  <c r="A712" i="5"/>
  <c r="B712" i="5"/>
  <c r="A713" i="5"/>
  <c r="B713" i="5"/>
  <c r="A714" i="5"/>
  <c r="B714" i="5"/>
  <c r="A715" i="5"/>
  <c r="B715" i="5"/>
  <c r="A716" i="5"/>
  <c r="B716" i="5"/>
  <c r="A717" i="5"/>
  <c r="B717" i="5"/>
  <c r="A718" i="5"/>
  <c r="B718" i="5"/>
  <c r="A719" i="5"/>
  <c r="B719" i="5"/>
  <c r="A720" i="5"/>
  <c r="B720" i="5"/>
  <c r="A721" i="5"/>
  <c r="B721" i="5"/>
  <c r="A722" i="5"/>
  <c r="B722" i="5"/>
  <c r="A723" i="5"/>
  <c r="B723" i="5"/>
  <c r="A724" i="5"/>
  <c r="B724" i="5"/>
  <c r="A725" i="5"/>
  <c r="B725" i="5"/>
  <c r="A726" i="5"/>
  <c r="B726" i="5"/>
  <c r="A727" i="5"/>
  <c r="B727" i="5"/>
  <c r="A728" i="5"/>
  <c r="B728" i="5"/>
  <c r="A729" i="5"/>
  <c r="B729" i="5"/>
  <c r="A730" i="5"/>
  <c r="B730" i="5"/>
  <c r="A731" i="5"/>
  <c r="B731" i="5"/>
  <c r="A732" i="5"/>
  <c r="B732" i="5"/>
  <c r="A733" i="5"/>
  <c r="B733" i="5"/>
  <c r="A734" i="5"/>
  <c r="B734" i="5"/>
  <c r="A735" i="5"/>
  <c r="B735" i="5"/>
  <c r="A736" i="5"/>
  <c r="B736" i="5"/>
  <c r="A737" i="5"/>
  <c r="B737" i="5"/>
  <c r="A738" i="5"/>
  <c r="B738" i="5"/>
  <c r="A739" i="5"/>
  <c r="B739" i="5"/>
  <c r="A740" i="5"/>
  <c r="B740" i="5"/>
  <c r="A741" i="5"/>
  <c r="B741" i="5"/>
  <c r="A742" i="5"/>
  <c r="B742" i="5"/>
  <c r="A743" i="5"/>
  <c r="B743" i="5"/>
  <c r="A744" i="5"/>
  <c r="B744" i="5"/>
  <c r="A745" i="5"/>
  <c r="B745" i="5"/>
  <c r="A746" i="5"/>
  <c r="B746" i="5"/>
  <c r="A747" i="5"/>
  <c r="B747" i="5"/>
  <c r="A748" i="5"/>
  <c r="B748" i="5"/>
  <c r="A749" i="5"/>
  <c r="B749" i="5"/>
  <c r="A750" i="5"/>
  <c r="B750" i="5"/>
  <c r="A751" i="5"/>
  <c r="B751" i="5"/>
  <c r="A752" i="5"/>
  <c r="B752" i="5"/>
  <c r="A753" i="5"/>
  <c r="B753" i="5"/>
  <c r="A754" i="5"/>
  <c r="B754" i="5"/>
  <c r="A755" i="5"/>
  <c r="B755" i="5"/>
  <c r="A756" i="5"/>
  <c r="B756" i="5"/>
  <c r="A757" i="5"/>
  <c r="B757" i="5"/>
  <c r="A758" i="5"/>
  <c r="B758" i="5"/>
  <c r="A759" i="5"/>
  <c r="B759" i="5"/>
  <c r="A760" i="5"/>
  <c r="B760" i="5"/>
  <c r="A761" i="5"/>
  <c r="B761" i="5"/>
  <c r="A762" i="5"/>
  <c r="B762" i="5"/>
  <c r="A763" i="5"/>
  <c r="B763" i="5"/>
  <c r="A764" i="5"/>
  <c r="B764" i="5"/>
  <c r="A765" i="5"/>
  <c r="B765" i="5"/>
  <c r="A766" i="5"/>
  <c r="B766" i="5"/>
  <c r="A767" i="5"/>
  <c r="B767" i="5"/>
  <c r="A768" i="5"/>
  <c r="B768" i="5"/>
  <c r="A769" i="5"/>
  <c r="B769" i="5"/>
  <c r="A770" i="5"/>
  <c r="B770" i="5"/>
  <c r="A771" i="5"/>
  <c r="B771" i="5"/>
  <c r="A772" i="5"/>
  <c r="B772" i="5"/>
  <c r="A773" i="5"/>
  <c r="B773" i="5"/>
  <c r="A774" i="5"/>
  <c r="B774" i="5"/>
  <c r="A775" i="5"/>
  <c r="B775" i="5"/>
  <c r="A776" i="5"/>
  <c r="B776" i="5"/>
  <c r="A777" i="5"/>
  <c r="B777" i="5"/>
  <c r="A778" i="5"/>
  <c r="B778" i="5"/>
  <c r="A779" i="5"/>
  <c r="B779" i="5"/>
  <c r="A780" i="5"/>
  <c r="B780" i="5"/>
  <c r="A781" i="5"/>
  <c r="B781" i="5"/>
  <c r="A782" i="5"/>
  <c r="B782" i="5"/>
  <c r="A783" i="5"/>
  <c r="B783" i="5"/>
  <c r="A784" i="5"/>
  <c r="B784" i="5"/>
  <c r="A785" i="5"/>
  <c r="B785" i="5"/>
  <c r="A786" i="5"/>
  <c r="B786" i="5"/>
  <c r="A787" i="5"/>
  <c r="B787" i="5"/>
  <c r="A788" i="5"/>
  <c r="B788" i="5"/>
  <c r="A789" i="5"/>
  <c r="B789" i="5"/>
  <c r="A790" i="5"/>
  <c r="B790" i="5"/>
  <c r="A791" i="5"/>
  <c r="B791" i="5"/>
  <c r="A792" i="5"/>
  <c r="B792" i="5"/>
  <c r="A793" i="5"/>
  <c r="B793" i="5"/>
  <c r="A794" i="5"/>
  <c r="B794" i="5"/>
  <c r="A795" i="5"/>
  <c r="B795" i="5"/>
  <c r="A796" i="5"/>
  <c r="B796" i="5"/>
  <c r="A797" i="5"/>
  <c r="B797" i="5"/>
  <c r="A798" i="5"/>
  <c r="B798" i="5"/>
  <c r="A799" i="5"/>
  <c r="B799" i="5"/>
  <c r="A800" i="5"/>
  <c r="B800" i="5"/>
  <c r="A801" i="5"/>
  <c r="B801" i="5"/>
  <c r="A802" i="5"/>
  <c r="B802" i="5"/>
  <c r="A803" i="5"/>
  <c r="B803" i="5"/>
  <c r="A804" i="5"/>
  <c r="B804" i="5"/>
  <c r="A805" i="5"/>
  <c r="B805" i="5"/>
  <c r="A806" i="5"/>
  <c r="B806" i="5"/>
  <c r="A807" i="5"/>
  <c r="B807" i="5"/>
  <c r="A808" i="5"/>
  <c r="B808" i="5"/>
  <c r="A809" i="5"/>
  <c r="B809" i="5"/>
  <c r="A810" i="5"/>
  <c r="B810" i="5"/>
  <c r="A811" i="5"/>
  <c r="B811" i="5"/>
  <c r="A812" i="5"/>
  <c r="B812" i="5"/>
  <c r="A813" i="5"/>
  <c r="B813" i="5"/>
  <c r="A814" i="5"/>
  <c r="B814" i="5"/>
  <c r="A815" i="5"/>
  <c r="B815" i="5"/>
  <c r="A816" i="5"/>
  <c r="B816" i="5"/>
  <c r="A817" i="5"/>
  <c r="B817" i="5"/>
  <c r="A818" i="5"/>
  <c r="B818" i="5"/>
  <c r="A819" i="5"/>
  <c r="B819" i="5"/>
  <c r="A820" i="5"/>
  <c r="B820" i="5"/>
  <c r="A821" i="5"/>
  <c r="B821" i="5"/>
  <c r="A822" i="5"/>
  <c r="B822" i="5"/>
  <c r="A823" i="5"/>
  <c r="B823" i="5"/>
  <c r="A824" i="5"/>
  <c r="B824" i="5"/>
  <c r="A825" i="5"/>
  <c r="B825" i="5"/>
  <c r="A826" i="5"/>
  <c r="B826" i="5"/>
  <c r="A827" i="5"/>
  <c r="B827" i="5"/>
  <c r="A828" i="5"/>
  <c r="B828" i="5"/>
  <c r="A829" i="5"/>
  <c r="B829" i="5"/>
  <c r="A830" i="5"/>
  <c r="B830" i="5"/>
  <c r="A831" i="5"/>
  <c r="B831" i="5"/>
  <c r="A832" i="5"/>
  <c r="B832" i="5"/>
  <c r="A833" i="5"/>
  <c r="B833" i="5"/>
  <c r="A834" i="5"/>
  <c r="B834" i="5"/>
  <c r="A835" i="5"/>
  <c r="B835" i="5"/>
  <c r="A836" i="5"/>
  <c r="B836" i="5"/>
  <c r="A837" i="5"/>
  <c r="B837" i="5"/>
  <c r="A838" i="5"/>
  <c r="B838" i="5"/>
  <c r="A839" i="5"/>
  <c r="B839" i="5"/>
  <c r="A840" i="5"/>
  <c r="B840" i="5"/>
  <c r="A841" i="5"/>
  <c r="B841" i="5"/>
  <c r="A842" i="5"/>
  <c r="B842" i="5"/>
  <c r="A843" i="5"/>
  <c r="B843" i="5"/>
  <c r="A844" i="5"/>
  <c r="B844" i="5"/>
  <c r="A845" i="5"/>
  <c r="B845" i="5"/>
  <c r="A846" i="5"/>
  <c r="B846" i="5"/>
  <c r="A847" i="5"/>
  <c r="B847" i="5"/>
  <c r="A848" i="5"/>
  <c r="B848" i="5"/>
  <c r="A849" i="5"/>
  <c r="B849" i="5"/>
  <c r="A850" i="5"/>
  <c r="B850" i="5"/>
  <c r="A851" i="5"/>
  <c r="B851" i="5"/>
  <c r="A852" i="5"/>
  <c r="B852" i="5"/>
  <c r="A853" i="5"/>
  <c r="B853" i="5"/>
  <c r="A854" i="5"/>
  <c r="B854" i="5"/>
  <c r="A855" i="5"/>
  <c r="B855" i="5"/>
  <c r="A856" i="5"/>
  <c r="B856" i="5"/>
  <c r="A857" i="5"/>
  <c r="B857" i="5"/>
  <c r="A858" i="5"/>
  <c r="B858" i="5"/>
  <c r="A859" i="5"/>
  <c r="B859" i="5"/>
  <c r="A860" i="5"/>
  <c r="B860" i="5"/>
  <c r="A861" i="5"/>
  <c r="B861" i="5"/>
  <c r="A862" i="5"/>
  <c r="B862" i="5"/>
  <c r="A863" i="5"/>
  <c r="B863" i="5"/>
  <c r="A864" i="5"/>
  <c r="B864" i="5"/>
  <c r="A865" i="5"/>
  <c r="B865" i="5"/>
  <c r="A866" i="5"/>
  <c r="B866" i="5"/>
  <c r="A867" i="5"/>
  <c r="B867" i="5"/>
  <c r="A868" i="5"/>
  <c r="B868" i="5"/>
  <c r="A869" i="5"/>
  <c r="B869" i="5"/>
  <c r="A870" i="5"/>
  <c r="B870" i="5"/>
  <c r="A871" i="5"/>
  <c r="B871" i="5"/>
  <c r="A872" i="5"/>
  <c r="B872" i="5"/>
  <c r="A873" i="5"/>
  <c r="B873" i="5"/>
  <c r="A874" i="5"/>
  <c r="B874" i="5"/>
  <c r="A875" i="5"/>
  <c r="B875" i="5"/>
  <c r="A876" i="5"/>
  <c r="B876" i="5"/>
  <c r="A877" i="5"/>
  <c r="B877" i="5"/>
  <c r="A878" i="5"/>
  <c r="B878" i="5"/>
  <c r="A879" i="5"/>
  <c r="B879" i="5"/>
  <c r="A880" i="5"/>
  <c r="B880" i="5"/>
  <c r="A881" i="5"/>
  <c r="B881" i="5"/>
  <c r="A882" i="5"/>
  <c r="B882" i="5"/>
  <c r="A883" i="5"/>
  <c r="B883" i="5"/>
  <c r="A884" i="5"/>
  <c r="B884" i="5"/>
  <c r="A885" i="5"/>
  <c r="B885" i="5"/>
  <c r="A886" i="5"/>
  <c r="B886" i="5"/>
  <c r="A887" i="5"/>
  <c r="B887" i="5"/>
  <c r="A888" i="5"/>
  <c r="B888" i="5"/>
  <c r="A889" i="5"/>
  <c r="B889" i="5"/>
  <c r="A890" i="5"/>
  <c r="B890" i="5"/>
  <c r="A891" i="5"/>
  <c r="B891" i="5"/>
  <c r="A892" i="5"/>
  <c r="B892" i="5"/>
  <c r="A893" i="5"/>
  <c r="B893" i="5"/>
  <c r="A894" i="5"/>
  <c r="B894" i="5"/>
  <c r="A895" i="5"/>
  <c r="B895" i="5"/>
  <c r="A896" i="5"/>
  <c r="B896" i="5"/>
  <c r="A897" i="5"/>
  <c r="B897" i="5"/>
  <c r="A898" i="5"/>
  <c r="B898" i="5"/>
  <c r="A899" i="5"/>
  <c r="B899" i="5"/>
  <c r="A900" i="5"/>
  <c r="B900" i="5"/>
  <c r="A901" i="5"/>
  <c r="B901" i="5"/>
  <c r="A902" i="5"/>
  <c r="B902" i="5"/>
  <c r="A903" i="5"/>
  <c r="B903" i="5"/>
  <c r="A904" i="5"/>
  <c r="B904" i="5"/>
  <c r="A905" i="5"/>
  <c r="B905" i="5"/>
  <c r="A906" i="5"/>
  <c r="B906" i="5"/>
  <c r="A907" i="5"/>
  <c r="B907" i="5"/>
  <c r="A908" i="5"/>
  <c r="B908" i="5"/>
  <c r="A909" i="5"/>
  <c r="B909" i="5"/>
  <c r="A910" i="5"/>
  <c r="B910" i="5"/>
  <c r="A911" i="5"/>
  <c r="B911" i="5"/>
  <c r="A912" i="5"/>
  <c r="B912" i="5"/>
  <c r="A913" i="5"/>
  <c r="B913" i="5"/>
  <c r="A914" i="5"/>
  <c r="B914" i="5"/>
  <c r="A915" i="5"/>
  <c r="B915" i="5"/>
  <c r="A916" i="5"/>
  <c r="B916" i="5"/>
  <c r="A917" i="5"/>
  <c r="B917" i="5"/>
  <c r="A918" i="5"/>
  <c r="B918" i="5"/>
  <c r="A919" i="5"/>
  <c r="B919" i="5"/>
  <c r="A920" i="5"/>
  <c r="B920" i="5"/>
  <c r="A921" i="5"/>
  <c r="B921" i="5"/>
  <c r="A922" i="5"/>
  <c r="B922" i="5"/>
  <c r="A923" i="5"/>
  <c r="B923" i="5"/>
  <c r="A924" i="5"/>
  <c r="B924" i="5"/>
  <c r="A925" i="5"/>
  <c r="B925" i="5"/>
  <c r="A926" i="5"/>
  <c r="B926" i="5"/>
  <c r="A927" i="5"/>
  <c r="B927" i="5"/>
  <c r="A928" i="5"/>
  <c r="B928" i="5"/>
  <c r="A929" i="5"/>
  <c r="B929" i="5"/>
  <c r="A930" i="5"/>
  <c r="B930" i="5"/>
  <c r="A931" i="5"/>
  <c r="B931" i="5"/>
  <c r="A932" i="5"/>
  <c r="B932" i="5"/>
  <c r="A933" i="5"/>
  <c r="B933" i="5"/>
  <c r="A934" i="5"/>
  <c r="B934" i="5"/>
  <c r="A935" i="5"/>
  <c r="B935" i="5"/>
  <c r="A936" i="5"/>
  <c r="B936" i="5"/>
  <c r="A937" i="5"/>
  <c r="B937" i="5"/>
  <c r="A938" i="5"/>
  <c r="B938" i="5"/>
  <c r="A939" i="5"/>
  <c r="B939" i="5"/>
  <c r="A940" i="5"/>
  <c r="B940" i="5"/>
  <c r="A941" i="5"/>
  <c r="B941" i="5"/>
  <c r="A942" i="5"/>
  <c r="B942" i="5"/>
  <c r="A943" i="5"/>
  <c r="B943" i="5"/>
  <c r="A944" i="5"/>
  <c r="B944" i="5"/>
  <c r="A945" i="5"/>
  <c r="B945" i="5"/>
  <c r="A946" i="5"/>
  <c r="B946" i="5"/>
  <c r="A947" i="5"/>
  <c r="B947" i="5"/>
  <c r="A948" i="5"/>
  <c r="B948" i="5"/>
  <c r="A949" i="5"/>
  <c r="B949" i="5"/>
  <c r="A950" i="5"/>
  <c r="B950" i="5"/>
  <c r="A951" i="5"/>
  <c r="B951" i="5"/>
  <c r="A952" i="5"/>
  <c r="B952" i="5"/>
  <c r="A953" i="5"/>
  <c r="B953" i="5"/>
  <c r="A954" i="5"/>
  <c r="B954" i="5"/>
  <c r="A955" i="5"/>
  <c r="B955" i="5"/>
  <c r="A956" i="5"/>
  <c r="B956" i="5"/>
  <c r="A957" i="5"/>
  <c r="B957" i="5"/>
  <c r="A958" i="5"/>
  <c r="B958" i="5"/>
  <c r="A959" i="5"/>
  <c r="B959" i="5"/>
  <c r="A960" i="5"/>
  <c r="B960" i="5"/>
  <c r="A961" i="5"/>
  <c r="B961" i="5"/>
  <c r="A962" i="5"/>
  <c r="B962" i="5"/>
  <c r="A963" i="5"/>
  <c r="B963" i="5"/>
  <c r="A964" i="5"/>
  <c r="B964" i="5"/>
  <c r="A965" i="5"/>
  <c r="B965" i="5"/>
  <c r="A966" i="5"/>
  <c r="B966" i="5"/>
  <c r="A967" i="5"/>
  <c r="B967" i="5"/>
  <c r="A968" i="5"/>
  <c r="B968" i="5"/>
  <c r="A969" i="5"/>
  <c r="B969" i="5"/>
  <c r="A970" i="5"/>
  <c r="B970" i="5"/>
  <c r="A971" i="5"/>
  <c r="B971" i="5"/>
  <c r="A972" i="5"/>
  <c r="B972" i="5"/>
  <c r="A973" i="5"/>
  <c r="B973" i="5"/>
  <c r="A974" i="5"/>
  <c r="B974" i="5"/>
  <c r="A975" i="5"/>
  <c r="B975" i="5"/>
  <c r="A976" i="5"/>
  <c r="B976" i="5"/>
  <c r="A977" i="5"/>
  <c r="B977" i="5"/>
  <c r="A978" i="5"/>
  <c r="B978" i="5"/>
  <c r="A979" i="5"/>
  <c r="B979" i="5"/>
  <c r="A980" i="5"/>
  <c r="B980" i="5"/>
  <c r="A981" i="5"/>
  <c r="B981" i="5"/>
  <c r="A982" i="5"/>
  <c r="B982" i="5"/>
  <c r="A983" i="5"/>
  <c r="B983" i="5"/>
  <c r="A984" i="5"/>
  <c r="B984" i="5"/>
  <c r="A985" i="5"/>
  <c r="B985" i="5"/>
  <c r="A986" i="5"/>
  <c r="B986" i="5"/>
  <c r="A987" i="5"/>
  <c r="B987" i="5"/>
  <c r="A988" i="5"/>
  <c r="B988" i="5"/>
  <c r="A989" i="5"/>
  <c r="B989" i="5"/>
  <c r="A990" i="5"/>
  <c r="B990" i="5"/>
  <c r="A991" i="5"/>
  <c r="B991" i="5"/>
  <c r="A992" i="5"/>
  <c r="B992" i="5"/>
  <c r="A993" i="5"/>
  <c r="B993" i="5"/>
  <c r="A994" i="5"/>
  <c r="B994" i="5"/>
  <c r="A995" i="5"/>
  <c r="B995" i="5"/>
  <c r="A996" i="5"/>
  <c r="B996" i="5"/>
  <c r="A997" i="5"/>
  <c r="B997" i="5"/>
  <c r="A998" i="5"/>
  <c r="B998" i="5"/>
  <c r="A999" i="5"/>
  <c r="B999" i="5"/>
  <c r="A1000" i="5"/>
  <c r="B1000" i="5"/>
  <c r="A1001" i="5"/>
  <c r="B1001" i="5"/>
  <c r="A1002" i="5"/>
  <c r="B1002" i="5"/>
  <c r="A1003" i="5"/>
  <c r="B1003" i="5"/>
  <c r="A1004" i="5"/>
  <c r="B1004" i="5"/>
  <c r="A1005" i="5"/>
  <c r="B1005" i="5"/>
  <c r="A1006" i="5"/>
  <c r="B1006" i="5"/>
  <c r="A1007" i="5"/>
  <c r="B1007" i="5"/>
  <c r="A1008" i="5"/>
  <c r="B1008" i="5"/>
  <c r="A1009" i="5"/>
  <c r="B1009" i="5"/>
  <c r="A1010" i="5"/>
  <c r="B1010" i="5"/>
  <c r="A1011" i="5"/>
  <c r="B1011" i="5"/>
  <c r="A1012" i="5"/>
  <c r="B1012" i="5"/>
  <c r="A1013" i="5"/>
  <c r="B1013" i="5"/>
  <c r="A1014" i="5"/>
  <c r="B1014" i="5"/>
  <c r="A1015" i="5"/>
  <c r="B1015" i="5"/>
  <c r="A1016" i="5"/>
  <c r="B1016" i="5"/>
  <c r="A1017" i="5"/>
  <c r="B1017" i="5"/>
  <c r="A1018" i="5"/>
  <c r="B1018" i="5"/>
  <c r="A1019" i="5"/>
  <c r="B1019" i="5"/>
  <c r="A1020" i="5"/>
  <c r="B1020" i="5"/>
  <c r="A1021" i="5"/>
  <c r="B1021" i="5"/>
  <c r="A1022" i="5"/>
  <c r="B1022" i="5"/>
  <c r="A1023" i="5"/>
  <c r="B1023" i="5"/>
  <c r="A1024" i="5"/>
  <c r="B1024" i="5"/>
  <c r="A1025" i="5"/>
  <c r="B1025" i="5"/>
  <c r="A1026" i="5"/>
  <c r="B1026" i="5"/>
  <c r="A1027" i="5"/>
  <c r="B1027" i="5"/>
  <c r="A1028" i="5"/>
  <c r="B1028" i="5"/>
  <c r="A1029" i="5"/>
  <c r="B1029" i="5"/>
  <c r="A1030" i="5"/>
  <c r="B1030" i="5"/>
  <c r="A1031" i="5"/>
  <c r="B1031" i="5"/>
  <c r="A1032" i="5"/>
  <c r="B1032" i="5"/>
  <c r="A1033" i="5"/>
  <c r="B1033" i="5"/>
  <c r="A1034" i="5"/>
  <c r="B1034" i="5"/>
  <c r="A1035" i="5"/>
  <c r="B1035" i="5"/>
  <c r="A1036" i="5"/>
  <c r="B1036" i="5"/>
  <c r="A1037" i="5"/>
  <c r="B1037" i="5"/>
  <c r="A1038" i="5"/>
  <c r="B1038" i="5"/>
  <c r="A1039" i="5"/>
  <c r="B1039" i="5"/>
  <c r="A1040" i="5"/>
  <c r="B1040" i="5"/>
  <c r="A1041" i="5"/>
  <c r="B1041" i="5"/>
  <c r="A1042" i="5"/>
  <c r="B1042" i="5"/>
  <c r="A1043" i="5"/>
  <c r="B1043" i="5"/>
  <c r="A1044" i="5"/>
  <c r="B1044" i="5"/>
  <c r="A1045" i="5"/>
  <c r="B1045" i="5"/>
  <c r="A1046" i="5"/>
  <c r="B1046" i="5"/>
  <c r="A1047" i="5"/>
  <c r="B1047" i="5"/>
  <c r="A1048" i="5"/>
  <c r="B1048" i="5"/>
  <c r="A1049" i="5"/>
  <c r="B1049" i="5"/>
  <c r="A1050" i="5"/>
  <c r="B1050" i="5"/>
  <c r="A1051" i="5"/>
  <c r="B1051" i="5"/>
  <c r="A1052" i="5"/>
  <c r="B1052" i="5"/>
  <c r="A1053" i="5"/>
  <c r="B1053" i="5"/>
  <c r="A1054" i="5"/>
  <c r="B1054" i="5"/>
  <c r="A1055" i="5"/>
  <c r="B1055" i="5"/>
  <c r="A1056" i="5"/>
  <c r="B1056" i="5"/>
  <c r="A1057" i="5"/>
  <c r="B1057" i="5"/>
  <c r="A1058" i="5"/>
  <c r="B1058" i="5"/>
  <c r="A1059" i="5"/>
  <c r="B1059" i="5"/>
  <c r="A1060" i="5"/>
  <c r="B1060" i="5"/>
  <c r="A1061" i="5"/>
  <c r="B1061" i="5"/>
  <c r="A1062" i="5"/>
  <c r="B1062" i="5"/>
  <c r="A1063" i="5"/>
  <c r="B1063" i="5"/>
  <c r="A1064" i="5"/>
  <c r="B1064" i="5"/>
  <c r="A1065" i="5"/>
  <c r="B1065" i="5"/>
  <c r="A1066" i="5"/>
  <c r="B1066" i="5"/>
  <c r="A1067" i="5"/>
  <c r="B1067" i="5"/>
  <c r="A1068" i="5"/>
  <c r="B1068" i="5"/>
  <c r="A1069" i="5"/>
  <c r="B1069" i="5"/>
  <c r="A1070" i="5"/>
  <c r="B1070" i="5"/>
  <c r="A1071" i="5"/>
  <c r="B1071" i="5"/>
  <c r="A1072" i="5"/>
  <c r="B1072" i="5"/>
  <c r="A1073" i="5"/>
  <c r="B1073" i="5"/>
  <c r="A1074" i="5"/>
  <c r="B1074" i="5"/>
  <c r="A1075" i="5"/>
  <c r="B1075" i="5"/>
  <c r="A1076" i="5"/>
  <c r="B1076" i="5"/>
  <c r="A1077" i="5"/>
  <c r="B1077" i="5"/>
  <c r="A1078" i="5"/>
  <c r="B1078" i="5"/>
  <c r="A1079" i="5"/>
  <c r="B1079" i="5"/>
  <c r="A1080" i="5"/>
  <c r="B1080" i="5"/>
  <c r="A1081" i="5"/>
  <c r="B1081" i="5"/>
  <c r="A1082" i="5"/>
  <c r="B1082" i="5"/>
  <c r="A1083" i="5"/>
  <c r="B1083" i="5"/>
  <c r="A1084" i="5"/>
  <c r="B1084" i="5"/>
  <c r="A1085" i="5"/>
  <c r="B1085" i="5"/>
  <c r="A1086" i="5"/>
  <c r="B1086" i="5"/>
  <c r="A1087" i="5"/>
  <c r="B1087" i="5"/>
  <c r="A1088" i="5"/>
  <c r="B1088" i="5"/>
  <c r="A1089" i="5"/>
  <c r="B1089" i="5"/>
  <c r="A1090" i="5"/>
  <c r="B1090" i="5"/>
  <c r="A1091" i="5"/>
  <c r="B1091" i="5"/>
  <c r="A1092" i="5"/>
  <c r="B1092" i="5"/>
  <c r="A1093" i="5"/>
  <c r="B1093" i="5"/>
  <c r="A1094" i="5"/>
  <c r="B1094" i="5"/>
  <c r="A1095" i="5"/>
  <c r="B1095" i="5"/>
  <c r="A1096" i="5"/>
  <c r="B1096" i="5"/>
  <c r="A1097" i="5"/>
  <c r="B1097" i="5"/>
  <c r="A1098" i="5"/>
  <c r="B1098" i="5"/>
  <c r="A1099" i="5"/>
  <c r="B1099" i="5"/>
  <c r="A1100" i="5"/>
  <c r="B1100" i="5"/>
  <c r="A1101" i="5"/>
  <c r="B1101" i="5"/>
  <c r="A1102" i="5"/>
  <c r="B1102" i="5"/>
  <c r="A1103" i="5"/>
  <c r="B1103" i="5"/>
  <c r="A1104" i="5"/>
  <c r="B1104" i="5"/>
  <c r="A1105" i="5"/>
  <c r="B1105" i="5"/>
  <c r="A1106" i="5"/>
  <c r="B1106" i="5"/>
  <c r="A1107" i="5"/>
  <c r="B1107" i="5"/>
  <c r="A1108" i="5"/>
  <c r="B1108" i="5"/>
  <c r="A1109" i="5"/>
  <c r="B1109" i="5"/>
  <c r="A1110" i="5"/>
  <c r="B1110" i="5"/>
  <c r="A1111" i="5"/>
  <c r="B1111" i="5"/>
  <c r="A1112" i="5"/>
  <c r="B1112" i="5"/>
  <c r="A1113" i="5"/>
  <c r="B1113" i="5"/>
  <c r="A1114" i="5"/>
  <c r="B1114" i="5"/>
  <c r="A1115" i="5"/>
  <c r="B1115" i="5"/>
  <c r="A1116" i="5"/>
  <c r="B1116" i="5"/>
  <c r="A1117" i="5"/>
  <c r="B1117" i="5"/>
  <c r="A1118" i="5"/>
  <c r="B1118" i="5"/>
  <c r="A1119" i="5"/>
  <c r="B1119" i="5"/>
  <c r="A1120" i="5"/>
  <c r="B1120" i="5"/>
  <c r="A1121" i="5"/>
  <c r="B1121" i="5"/>
  <c r="A1122" i="5"/>
  <c r="B1122" i="5"/>
  <c r="A1123" i="5"/>
  <c r="B1123" i="5"/>
  <c r="A1124" i="5"/>
  <c r="B1124" i="5"/>
  <c r="A1125" i="5"/>
  <c r="B1125" i="5"/>
  <c r="A1126" i="5"/>
  <c r="B1126" i="5"/>
  <c r="A1127" i="5"/>
  <c r="B1127" i="5"/>
  <c r="A1128" i="5"/>
  <c r="B1128" i="5"/>
  <c r="A1129" i="5"/>
  <c r="B1129" i="5"/>
  <c r="A1130" i="5"/>
  <c r="B1130" i="5"/>
  <c r="A1131" i="5"/>
  <c r="B1131" i="5"/>
  <c r="A1132" i="5"/>
  <c r="B1132" i="5"/>
  <c r="A1133" i="5"/>
  <c r="B1133" i="5"/>
  <c r="A1134" i="5"/>
  <c r="B1134" i="5"/>
  <c r="A1135" i="5"/>
  <c r="B1135" i="5"/>
  <c r="A1136" i="5"/>
  <c r="B1136" i="5"/>
  <c r="A1137" i="5"/>
  <c r="B1137" i="5"/>
  <c r="A1138" i="5"/>
  <c r="B1138" i="5"/>
  <c r="A1139" i="5"/>
  <c r="B1139" i="5"/>
  <c r="A1140" i="5"/>
  <c r="B1140" i="5"/>
  <c r="A1141" i="5"/>
  <c r="B1141" i="5"/>
  <c r="A1142" i="5"/>
  <c r="B1142" i="5"/>
  <c r="A1143" i="5"/>
  <c r="B1143" i="5"/>
  <c r="A1144" i="5"/>
  <c r="B1144" i="5"/>
  <c r="A1145" i="5"/>
  <c r="B1145" i="5"/>
  <c r="A1146" i="5"/>
  <c r="B1146" i="5"/>
  <c r="A1147" i="5"/>
  <c r="B1147" i="5"/>
  <c r="A1148" i="5"/>
  <c r="B1148" i="5"/>
  <c r="A1149" i="5"/>
  <c r="B1149" i="5"/>
  <c r="A1150" i="5"/>
  <c r="B1150" i="5"/>
  <c r="A1151" i="5"/>
  <c r="B1151" i="5"/>
  <c r="A1152" i="5"/>
  <c r="B1152" i="5"/>
  <c r="A1153" i="5"/>
  <c r="B1153" i="5"/>
  <c r="A1154" i="5"/>
  <c r="B1154" i="5"/>
  <c r="A1155" i="5"/>
  <c r="B1155" i="5"/>
  <c r="A1156" i="5"/>
  <c r="B1156" i="5"/>
  <c r="A1157" i="5"/>
  <c r="B1157" i="5"/>
  <c r="A1158" i="5"/>
  <c r="B1158" i="5"/>
  <c r="A1159" i="5"/>
  <c r="B1159" i="5"/>
  <c r="A1160" i="5"/>
  <c r="B1160" i="5"/>
  <c r="A1161" i="5"/>
  <c r="B1161" i="5"/>
  <c r="A1162" i="5"/>
  <c r="B1162" i="5"/>
  <c r="A1163" i="5"/>
  <c r="B1163" i="5"/>
  <c r="A1164" i="5"/>
  <c r="B1164" i="5"/>
  <c r="A1165" i="5"/>
  <c r="B1165" i="5"/>
  <c r="A1166" i="5"/>
  <c r="B1166" i="5"/>
  <c r="A1167" i="5"/>
  <c r="B1167" i="5"/>
  <c r="A1168" i="5"/>
  <c r="B1168" i="5"/>
  <c r="A1169" i="5"/>
  <c r="B1169" i="5"/>
  <c r="A1170" i="5"/>
  <c r="B1170" i="5"/>
  <c r="A1171" i="5"/>
  <c r="B1171" i="5"/>
  <c r="A1172" i="5"/>
  <c r="B1172" i="5"/>
  <c r="A1173" i="5"/>
  <c r="B1173" i="5"/>
  <c r="A1174" i="5"/>
  <c r="B1174" i="5"/>
  <c r="A1175" i="5"/>
  <c r="B1175" i="5"/>
  <c r="A1176" i="5"/>
  <c r="B1176" i="5"/>
  <c r="A1177" i="5"/>
  <c r="B1177" i="5"/>
  <c r="A1178" i="5"/>
  <c r="B1178" i="5"/>
  <c r="A1179" i="5"/>
  <c r="B1179" i="5"/>
  <c r="A1180" i="5"/>
  <c r="B1180" i="5"/>
  <c r="A1181" i="5"/>
  <c r="B1181" i="5"/>
  <c r="A1182" i="5"/>
  <c r="B1182" i="5"/>
  <c r="A1183" i="5"/>
  <c r="B1183" i="5"/>
  <c r="A1184" i="5"/>
  <c r="B1184" i="5"/>
  <c r="A1185" i="5"/>
  <c r="B1185" i="5"/>
  <c r="A1186" i="5"/>
  <c r="B1186" i="5"/>
  <c r="A1187" i="5"/>
  <c r="B1187" i="5"/>
  <c r="A1188" i="5"/>
  <c r="B1188" i="5"/>
  <c r="A1189" i="5"/>
  <c r="B1189" i="5"/>
  <c r="A1190" i="5"/>
  <c r="B1190" i="5"/>
  <c r="A1191" i="5"/>
  <c r="B1191" i="5"/>
  <c r="A1192" i="5"/>
  <c r="B1192" i="5"/>
  <c r="A1193" i="5"/>
  <c r="B1193" i="5"/>
  <c r="A1194" i="5"/>
  <c r="B1194" i="5"/>
  <c r="A1195" i="5"/>
  <c r="B1195" i="5"/>
  <c r="A1196" i="5"/>
  <c r="B1196" i="5"/>
  <c r="A1197" i="5"/>
  <c r="B1197" i="5"/>
  <c r="A1198" i="5"/>
  <c r="B1198" i="5"/>
  <c r="A1199" i="5"/>
  <c r="B1199" i="5"/>
  <c r="A1200" i="5"/>
  <c r="B1200" i="5"/>
  <c r="A1201" i="5"/>
  <c r="B1201" i="5"/>
  <c r="A1202" i="5"/>
  <c r="B1202" i="5"/>
  <c r="A1203" i="5"/>
  <c r="B1203" i="5"/>
  <c r="A1204" i="5"/>
  <c r="B1204" i="5"/>
  <c r="A1205" i="5"/>
  <c r="B1205" i="5"/>
  <c r="A1206" i="5"/>
  <c r="B1206" i="5"/>
  <c r="A1207" i="5"/>
  <c r="B1207" i="5"/>
  <c r="A1208" i="5"/>
  <c r="B1208" i="5"/>
  <c r="A1209" i="5"/>
  <c r="B1209" i="5"/>
  <c r="A1210" i="5"/>
  <c r="B1210" i="5"/>
  <c r="A1211" i="5"/>
  <c r="B1211" i="5"/>
  <c r="A1212" i="5"/>
  <c r="B1212" i="5"/>
  <c r="A1213" i="5"/>
  <c r="B1213" i="5"/>
  <c r="A1214" i="5"/>
  <c r="B1214" i="5"/>
  <c r="A1215" i="5"/>
  <c r="B1215" i="5"/>
  <c r="A1216" i="5"/>
  <c r="B1216" i="5"/>
  <c r="A1217" i="5"/>
  <c r="B1217" i="5"/>
  <c r="A1218" i="5"/>
  <c r="B1218" i="5"/>
  <c r="A1219" i="5"/>
  <c r="B1219" i="5"/>
  <c r="A1220" i="5"/>
  <c r="B1220" i="5"/>
  <c r="A1221" i="5"/>
  <c r="B1221" i="5"/>
  <c r="A1222" i="5"/>
  <c r="B1222" i="5"/>
  <c r="A1223" i="5"/>
  <c r="B1223" i="5"/>
  <c r="A1224" i="5"/>
  <c r="B1224" i="5"/>
  <c r="A1225" i="5"/>
  <c r="B1225" i="5"/>
  <c r="A1226" i="5"/>
  <c r="B1226" i="5"/>
  <c r="A1227" i="5"/>
  <c r="B1227" i="5"/>
  <c r="A1228" i="5"/>
  <c r="B1228" i="5"/>
  <c r="A1229" i="5"/>
  <c r="B1229" i="5"/>
  <c r="A1230" i="5"/>
  <c r="B1230" i="5"/>
  <c r="A1231" i="5"/>
  <c r="B1231" i="5"/>
  <c r="A1232" i="5"/>
  <c r="B1232" i="5"/>
  <c r="A1233" i="5"/>
  <c r="B1233" i="5"/>
  <c r="A1234" i="5"/>
  <c r="B1234" i="5"/>
  <c r="A1235" i="5"/>
  <c r="B1235" i="5"/>
  <c r="A1236" i="5"/>
  <c r="B1236" i="5"/>
  <c r="A1237" i="5"/>
  <c r="B1237" i="5"/>
  <c r="A1238" i="5"/>
  <c r="B1238" i="5"/>
  <c r="A1239" i="5"/>
  <c r="B1239" i="5"/>
  <c r="A1240" i="5"/>
  <c r="B1240" i="5"/>
  <c r="A1241" i="5"/>
  <c r="B1241" i="5"/>
  <c r="A1242" i="5"/>
  <c r="B1242" i="5"/>
  <c r="A1243" i="5"/>
  <c r="B1243" i="5"/>
  <c r="A1244" i="5"/>
  <c r="B1244" i="5"/>
  <c r="A1245" i="5"/>
  <c r="B1245" i="5"/>
  <c r="A1246" i="5"/>
  <c r="B1246" i="5"/>
  <c r="A1247" i="5"/>
  <c r="B1247" i="5"/>
  <c r="A1248" i="5"/>
  <c r="B1248" i="5"/>
  <c r="A1249" i="5"/>
  <c r="B1249" i="5"/>
  <c r="A1250" i="5"/>
  <c r="B1250" i="5"/>
  <c r="A1251" i="5"/>
  <c r="B1251" i="5"/>
  <c r="A1252" i="5"/>
  <c r="B1252" i="5"/>
  <c r="A1253" i="5"/>
  <c r="B1253" i="5"/>
  <c r="A1254" i="5"/>
  <c r="B1254" i="5"/>
  <c r="A1255" i="5"/>
  <c r="B1255" i="5"/>
  <c r="A1256" i="5"/>
  <c r="B1256" i="5"/>
  <c r="A1257" i="5"/>
  <c r="B1257" i="5"/>
  <c r="A1258" i="5"/>
  <c r="B1258" i="5"/>
  <c r="A1259" i="5"/>
  <c r="B1259" i="5"/>
  <c r="A1260" i="5"/>
  <c r="B1260" i="5"/>
  <c r="A1261" i="5"/>
  <c r="B1261" i="5"/>
  <c r="A1262" i="5"/>
  <c r="B1262" i="5"/>
  <c r="A1263" i="5"/>
  <c r="B1263" i="5"/>
  <c r="A1264" i="5"/>
  <c r="B1264" i="5"/>
  <c r="A1265" i="5"/>
  <c r="B1265" i="5"/>
  <c r="A1266" i="5"/>
  <c r="B1266" i="5"/>
  <c r="A1267" i="5"/>
  <c r="B1267" i="5"/>
  <c r="A1268" i="5"/>
  <c r="B1268" i="5"/>
  <c r="A1269" i="5"/>
  <c r="B1269" i="5"/>
  <c r="A1270" i="5"/>
  <c r="B1270" i="5"/>
  <c r="A1271" i="5"/>
  <c r="B1271" i="5"/>
  <c r="A1272" i="5"/>
  <c r="B1272" i="5"/>
  <c r="A1273" i="5"/>
  <c r="B1273" i="5"/>
  <c r="A1274" i="5"/>
  <c r="B1274" i="5"/>
  <c r="A1275" i="5"/>
  <c r="B1275" i="5"/>
  <c r="A1276" i="5"/>
  <c r="B1276" i="5"/>
  <c r="A1277" i="5"/>
  <c r="B1277" i="5"/>
  <c r="A1278" i="5"/>
  <c r="B1278" i="5"/>
  <c r="A1279" i="5"/>
  <c r="B1279" i="5"/>
  <c r="A1280" i="5"/>
  <c r="B1280" i="5"/>
  <c r="A1281" i="5"/>
  <c r="B1281" i="5"/>
  <c r="A1282" i="5"/>
  <c r="B1282" i="5"/>
  <c r="A1283" i="5"/>
  <c r="B1283" i="5"/>
  <c r="A1284" i="5"/>
  <c r="B1284" i="5"/>
  <c r="A1285" i="5"/>
  <c r="B1285" i="5"/>
  <c r="A1286" i="5"/>
  <c r="B1286" i="5"/>
  <c r="A1287" i="5"/>
  <c r="B1287" i="5"/>
  <c r="A1288" i="5"/>
  <c r="B1288" i="5"/>
  <c r="A1289" i="5"/>
  <c r="B1289" i="5"/>
  <c r="A1290" i="5"/>
  <c r="B1290" i="5"/>
  <c r="A1291" i="5"/>
  <c r="B1291" i="5"/>
  <c r="A1292" i="5"/>
  <c r="B1292" i="5"/>
  <c r="A1293" i="5"/>
  <c r="B1293" i="5"/>
  <c r="A1294" i="5"/>
  <c r="B1294" i="5"/>
  <c r="A1295" i="5"/>
  <c r="B1295" i="5"/>
  <c r="A1296" i="5"/>
  <c r="B1296" i="5"/>
  <c r="A1297" i="5"/>
  <c r="B1297" i="5"/>
  <c r="A1298" i="5"/>
  <c r="B1298" i="5"/>
  <c r="A1299" i="5"/>
  <c r="B1299" i="5"/>
  <c r="A1300" i="5"/>
  <c r="B1300" i="5"/>
  <c r="A1301" i="5"/>
  <c r="B1301" i="5"/>
  <c r="A1302" i="5"/>
  <c r="B1302" i="5"/>
  <c r="A1303" i="5"/>
  <c r="B1303" i="5"/>
  <c r="A1304" i="5"/>
  <c r="B1304" i="5"/>
  <c r="A1305" i="5"/>
  <c r="B1305" i="5"/>
  <c r="A1306" i="5"/>
  <c r="B1306" i="5"/>
  <c r="A1307" i="5"/>
  <c r="B1307" i="5"/>
  <c r="A1308" i="5"/>
  <c r="B1308" i="5"/>
  <c r="A1309" i="5"/>
  <c r="B1309" i="5"/>
  <c r="A1310" i="5"/>
  <c r="B1310" i="5"/>
  <c r="A1311" i="5"/>
  <c r="B1311" i="5"/>
  <c r="A1312" i="5"/>
  <c r="B1312" i="5"/>
  <c r="A1313" i="5"/>
  <c r="B1313" i="5"/>
  <c r="A1314" i="5"/>
  <c r="B1314" i="5"/>
  <c r="A1315" i="5"/>
  <c r="B1315" i="5"/>
  <c r="A1316" i="5"/>
  <c r="B1316" i="5"/>
  <c r="A1317" i="5"/>
  <c r="B1317" i="5"/>
  <c r="A1318" i="5"/>
  <c r="B1318" i="5"/>
  <c r="A1319" i="5"/>
  <c r="B1319" i="5"/>
  <c r="A1320" i="5"/>
  <c r="B1320" i="5"/>
  <c r="A1321" i="5"/>
  <c r="B1321" i="5"/>
  <c r="A1322" i="5"/>
  <c r="B1322" i="5"/>
  <c r="A1323" i="5"/>
  <c r="B1323" i="5"/>
  <c r="A1324" i="5"/>
  <c r="B1324" i="5"/>
  <c r="A1325" i="5"/>
  <c r="B1325" i="5"/>
  <c r="A1326" i="5"/>
  <c r="B1326" i="5"/>
  <c r="A1327" i="5"/>
  <c r="B1327" i="5"/>
  <c r="A1328" i="5"/>
  <c r="B1328" i="5"/>
  <c r="A1329" i="5"/>
  <c r="B1329" i="5"/>
  <c r="A1330" i="5"/>
  <c r="B1330" i="5"/>
  <c r="A1331" i="5"/>
  <c r="B1331" i="5"/>
  <c r="A1332" i="5"/>
  <c r="B1332" i="5"/>
  <c r="A1333" i="5"/>
  <c r="B1333" i="5"/>
  <c r="A1334" i="5"/>
  <c r="B1334" i="5"/>
  <c r="A1335" i="5"/>
  <c r="B1335" i="5"/>
  <c r="A1336" i="5"/>
  <c r="B1336" i="5"/>
  <c r="A1337" i="5"/>
  <c r="B1337" i="5"/>
  <c r="A1338" i="5"/>
  <c r="B1338" i="5"/>
  <c r="A1339" i="5"/>
  <c r="B1339" i="5"/>
  <c r="A1340" i="5"/>
  <c r="B1340" i="5"/>
  <c r="A1341" i="5"/>
  <c r="B1341" i="5"/>
  <c r="A1342" i="5"/>
  <c r="B1342" i="5"/>
  <c r="A1343" i="5"/>
  <c r="B1343" i="5"/>
  <c r="A1344" i="5"/>
  <c r="B1344" i="5"/>
  <c r="A1345" i="5"/>
  <c r="B1345" i="5"/>
  <c r="A1346" i="5"/>
  <c r="B1346" i="5"/>
  <c r="A1347" i="5"/>
  <c r="B1347" i="5"/>
  <c r="A1348" i="5"/>
  <c r="B1348" i="5"/>
  <c r="A1349" i="5"/>
  <c r="B1349" i="5"/>
  <c r="A1350" i="5"/>
  <c r="B1350" i="5"/>
  <c r="A1351" i="5"/>
  <c r="B1351" i="5"/>
  <c r="A1352" i="5"/>
  <c r="B1352" i="5"/>
  <c r="A1353" i="5"/>
  <c r="B1353" i="5"/>
  <c r="A1354" i="5"/>
  <c r="B1354" i="5"/>
  <c r="A1355" i="5"/>
  <c r="B1355" i="5"/>
  <c r="A1356" i="5"/>
  <c r="B1356" i="5"/>
  <c r="A1357" i="5"/>
  <c r="B1357" i="5"/>
  <c r="A1358" i="5"/>
  <c r="B1358" i="5"/>
  <c r="A1359" i="5"/>
  <c r="B1359" i="5"/>
  <c r="A1360" i="5"/>
  <c r="B1360" i="5"/>
  <c r="A1361" i="5"/>
  <c r="B1361" i="5"/>
  <c r="A1362" i="5"/>
  <c r="B1362" i="5"/>
  <c r="A1363" i="5"/>
  <c r="B1363" i="5"/>
  <c r="A1364" i="5"/>
  <c r="B1364" i="5"/>
  <c r="A1365" i="5"/>
  <c r="B1365" i="5"/>
  <c r="A1366" i="5"/>
  <c r="B1366" i="5"/>
  <c r="A1367" i="5"/>
  <c r="B1367" i="5"/>
  <c r="A1368" i="5"/>
  <c r="B1368" i="5"/>
  <c r="A1369" i="5"/>
  <c r="B1369" i="5"/>
  <c r="A1370" i="5"/>
  <c r="B1370" i="5"/>
  <c r="A1371" i="5"/>
  <c r="B1371" i="5"/>
  <c r="A1372" i="5"/>
  <c r="B1372" i="5"/>
  <c r="A1373" i="5"/>
  <c r="B1373" i="5"/>
  <c r="A1374" i="5"/>
  <c r="B1374" i="5"/>
  <c r="A1375" i="5"/>
  <c r="B1375" i="5"/>
  <c r="A1376" i="5"/>
  <c r="B1376" i="5"/>
  <c r="A1377" i="5"/>
  <c r="B1377" i="5"/>
  <c r="A1378" i="5"/>
  <c r="B1378" i="5"/>
  <c r="A1379" i="5"/>
  <c r="B1379" i="5"/>
  <c r="A1380" i="5"/>
  <c r="B1380" i="5"/>
  <c r="A1381" i="5"/>
  <c r="B1381" i="5"/>
  <c r="A1382" i="5"/>
  <c r="B1382" i="5"/>
  <c r="A1383" i="5"/>
  <c r="B1383" i="5"/>
  <c r="A1384" i="5"/>
  <c r="B1384" i="5"/>
  <c r="A1385" i="5"/>
  <c r="B1385" i="5"/>
  <c r="A1386" i="5"/>
  <c r="B1386" i="5"/>
  <c r="A1387" i="5"/>
  <c r="B1387" i="5"/>
  <c r="A1388" i="5"/>
  <c r="B1388" i="5"/>
  <c r="A1389" i="5"/>
  <c r="B1389" i="5"/>
  <c r="A1390" i="5"/>
  <c r="B1390" i="5"/>
  <c r="A1391" i="5"/>
  <c r="B1391" i="5"/>
  <c r="A1392" i="5"/>
  <c r="B1392" i="5"/>
  <c r="A1393" i="5"/>
  <c r="B1393" i="5"/>
  <c r="A1394" i="5"/>
  <c r="B1394" i="5"/>
  <c r="A1395" i="5"/>
  <c r="B1395" i="5"/>
  <c r="A1396" i="5"/>
  <c r="B1396" i="5"/>
  <c r="A1397" i="5"/>
  <c r="B1397" i="5"/>
  <c r="A1398" i="5"/>
  <c r="B1398" i="5"/>
  <c r="A1399" i="5"/>
  <c r="B1399" i="5"/>
  <c r="A1400" i="5"/>
  <c r="B1400" i="5"/>
  <c r="A1401" i="5"/>
  <c r="B1401" i="5"/>
  <c r="A1402" i="5"/>
  <c r="B1402" i="5"/>
  <c r="A1403" i="5"/>
  <c r="B1403" i="5"/>
  <c r="A1404" i="5"/>
  <c r="B1404" i="5"/>
  <c r="A1405" i="5"/>
  <c r="B1405" i="5"/>
  <c r="A1406" i="5"/>
  <c r="B1406" i="5"/>
  <c r="A1407" i="5"/>
  <c r="B1407" i="5"/>
  <c r="A1408" i="5"/>
  <c r="B1408" i="5"/>
  <c r="A1409" i="5"/>
  <c r="B1409" i="5"/>
  <c r="A1410" i="5"/>
  <c r="B1410" i="5"/>
  <c r="A1411" i="5"/>
  <c r="B1411" i="5"/>
  <c r="A1412" i="5"/>
  <c r="B1412" i="5"/>
  <c r="A1413" i="5"/>
  <c r="B1413" i="5"/>
  <c r="A1414" i="5"/>
  <c r="B1414" i="5"/>
  <c r="A1415" i="5"/>
  <c r="B1415" i="5"/>
  <c r="A1416" i="5"/>
  <c r="B1416" i="5"/>
  <c r="A1417" i="5"/>
  <c r="B1417" i="5"/>
  <c r="A1418" i="5"/>
  <c r="B1418" i="5"/>
  <c r="A1419" i="5"/>
  <c r="B1419" i="5"/>
  <c r="A1420" i="5"/>
  <c r="B1420" i="5"/>
  <c r="A1421" i="5"/>
  <c r="B1421" i="5"/>
  <c r="A1422" i="5"/>
  <c r="B1422" i="5"/>
  <c r="A1423" i="5"/>
  <c r="B1423" i="5"/>
  <c r="A1424" i="5"/>
  <c r="B1424" i="5"/>
  <c r="A1425" i="5"/>
  <c r="B1425" i="5"/>
  <c r="A1426" i="5"/>
  <c r="B1426" i="5"/>
  <c r="A1427" i="5"/>
  <c r="B1427" i="5"/>
  <c r="A1428" i="5"/>
  <c r="B1428" i="5"/>
  <c r="A1429" i="5"/>
  <c r="B1429" i="5"/>
  <c r="A1430" i="5"/>
  <c r="B1430" i="5"/>
  <c r="A1431" i="5"/>
  <c r="B1431" i="5"/>
  <c r="A1432" i="5"/>
  <c r="B1432" i="5"/>
  <c r="A1433" i="5"/>
  <c r="B1433" i="5"/>
  <c r="A1434" i="5"/>
  <c r="B1434" i="5"/>
  <c r="A1435" i="5"/>
  <c r="B1435" i="5"/>
  <c r="A1436" i="5"/>
  <c r="B1436" i="5"/>
  <c r="A1437" i="5"/>
  <c r="B1437" i="5"/>
  <c r="A1438" i="5"/>
  <c r="B1438" i="5"/>
  <c r="A1439" i="5"/>
  <c r="B1439" i="5"/>
  <c r="A1440" i="5"/>
  <c r="B1440" i="5"/>
  <c r="A1441" i="5"/>
  <c r="B1441" i="5"/>
  <c r="A1442" i="5"/>
  <c r="B1442" i="5"/>
  <c r="A1443" i="5"/>
  <c r="B1443" i="5"/>
  <c r="A1444" i="5"/>
  <c r="B1444" i="5"/>
  <c r="A1445" i="5"/>
  <c r="B1445" i="5"/>
  <c r="A1446" i="5"/>
  <c r="B1446" i="5"/>
  <c r="A1447" i="5"/>
  <c r="B1447" i="5"/>
  <c r="A1448" i="5"/>
  <c r="B1448" i="5"/>
  <c r="A1449" i="5"/>
  <c r="B1449" i="5"/>
  <c r="A1450" i="5"/>
  <c r="B1450" i="5"/>
  <c r="A1451" i="5"/>
  <c r="B1451" i="5"/>
  <c r="A1452" i="5"/>
  <c r="B1452" i="5"/>
  <c r="A1453" i="5"/>
  <c r="B1453" i="5"/>
  <c r="A1454" i="5"/>
  <c r="B1454" i="5"/>
  <c r="A1455" i="5"/>
  <c r="B1455" i="5"/>
  <c r="A1456" i="5"/>
  <c r="B1456" i="5"/>
  <c r="A1457" i="5"/>
  <c r="B1457" i="5"/>
  <c r="A1458" i="5"/>
  <c r="B1458" i="5"/>
  <c r="A1459" i="5"/>
  <c r="B1459" i="5"/>
  <c r="A1460" i="5"/>
  <c r="B1460" i="5"/>
  <c r="A1461" i="5"/>
  <c r="B1461" i="5"/>
  <c r="A1462" i="5"/>
  <c r="B1462" i="5"/>
  <c r="A1463" i="5"/>
  <c r="B1463" i="5"/>
  <c r="A1464" i="5"/>
  <c r="B1464" i="5"/>
  <c r="A1465" i="5"/>
  <c r="B1465" i="5"/>
  <c r="A1466" i="5"/>
  <c r="B1466" i="5"/>
  <c r="A1467" i="5"/>
  <c r="B1467" i="5"/>
  <c r="A1468" i="5"/>
  <c r="B1468" i="5"/>
  <c r="A1469" i="5"/>
  <c r="B1469" i="5"/>
  <c r="A1470" i="5"/>
  <c r="B1470" i="5"/>
  <c r="A1471" i="5"/>
  <c r="B1471" i="5"/>
  <c r="A1472" i="5"/>
  <c r="B1472" i="5"/>
  <c r="A1473" i="5"/>
  <c r="B1473" i="5"/>
  <c r="A1474" i="5"/>
  <c r="B1474" i="5"/>
  <c r="A1475" i="5"/>
  <c r="B1475" i="5"/>
  <c r="A1476" i="5"/>
  <c r="B1476" i="5"/>
  <c r="A1477" i="5"/>
  <c r="B1477" i="5"/>
  <c r="A1478" i="5"/>
  <c r="B1478" i="5"/>
  <c r="A1479" i="5"/>
  <c r="B1479" i="5"/>
  <c r="A1480" i="5"/>
  <c r="B1480" i="5"/>
  <c r="A1481" i="5"/>
  <c r="B1481" i="5"/>
  <c r="A1482" i="5"/>
  <c r="B1482" i="5"/>
  <c r="A1483" i="5"/>
  <c r="B1483" i="5"/>
  <c r="A1484" i="5"/>
  <c r="B1484" i="5"/>
  <c r="A1485" i="5"/>
  <c r="B1485" i="5"/>
  <c r="A1486" i="5"/>
  <c r="B1486" i="5"/>
  <c r="A1487" i="5"/>
  <c r="B1487" i="5"/>
  <c r="A1488" i="5"/>
  <c r="B1488" i="5"/>
  <c r="A1489" i="5"/>
  <c r="B1489" i="5"/>
  <c r="A1490" i="5"/>
  <c r="B1490" i="5"/>
  <c r="A1491" i="5"/>
  <c r="B1491" i="5"/>
  <c r="A1492" i="5"/>
  <c r="B1492" i="5"/>
  <c r="A1493" i="5"/>
  <c r="B1493" i="5"/>
  <c r="A1494" i="5"/>
  <c r="B1494" i="5"/>
  <c r="A1495" i="5"/>
  <c r="B1495" i="5"/>
  <c r="A1496" i="5"/>
  <c r="B1496" i="5"/>
  <c r="A1497" i="5"/>
  <c r="B1497" i="5"/>
  <c r="A1498" i="5"/>
  <c r="B1498" i="5"/>
  <c r="A1499" i="5"/>
  <c r="B1499" i="5"/>
  <c r="A1500" i="5"/>
  <c r="B1500" i="5"/>
  <c r="A1501" i="5"/>
  <c r="B1501" i="5"/>
  <c r="A1502" i="5"/>
  <c r="B1502" i="5"/>
  <c r="A1503" i="5"/>
  <c r="B1503" i="5"/>
  <c r="A1504" i="5"/>
  <c r="B1504" i="5"/>
  <c r="A1505" i="5"/>
  <c r="B1505" i="5"/>
  <c r="A1506" i="5"/>
  <c r="B1506" i="5"/>
  <c r="A1507" i="5"/>
  <c r="B1507" i="5"/>
  <c r="A1508" i="5"/>
  <c r="B1508" i="5"/>
  <c r="A1509" i="5"/>
  <c r="B1509" i="5"/>
  <c r="A1510" i="5"/>
  <c r="B1510" i="5"/>
  <c r="A1511" i="5"/>
  <c r="B1511" i="5"/>
  <c r="A1512" i="5"/>
  <c r="B1512" i="5"/>
  <c r="A1513" i="5"/>
  <c r="B1513" i="5"/>
  <c r="A1514" i="5"/>
  <c r="B1514" i="5"/>
  <c r="A1515" i="5"/>
  <c r="B1515" i="5"/>
  <c r="A1516" i="5"/>
  <c r="B1516" i="5"/>
  <c r="A1517" i="5"/>
  <c r="B1517" i="5"/>
  <c r="A1518" i="5"/>
  <c r="B1518" i="5"/>
  <c r="A1519" i="5"/>
  <c r="B1519" i="5"/>
  <c r="A1520" i="5"/>
  <c r="B1520" i="5"/>
  <c r="A1521" i="5"/>
  <c r="B1521" i="5"/>
  <c r="A1522" i="5"/>
  <c r="B1522" i="5"/>
  <c r="A1523" i="5"/>
  <c r="B1523" i="5"/>
  <c r="A1524" i="5"/>
  <c r="B1524" i="5"/>
  <c r="A1525" i="5"/>
  <c r="B1525" i="5"/>
  <c r="A1526" i="5"/>
  <c r="B1526" i="5"/>
  <c r="A1527" i="5"/>
  <c r="B1527" i="5"/>
  <c r="A1528" i="5"/>
  <c r="B1528" i="5"/>
  <c r="A1529" i="5"/>
  <c r="B1529" i="5"/>
  <c r="A1530" i="5"/>
  <c r="B1530" i="5"/>
  <c r="A1531" i="5"/>
  <c r="B1531" i="5"/>
  <c r="A1532" i="5"/>
  <c r="B1532" i="5"/>
  <c r="A1533" i="5"/>
  <c r="B1533" i="5"/>
  <c r="A1534" i="5"/>
  <c r="B1534" i="5"/>
  <c r="A1535" i="5"/>
  <c r="B1535" i="5"/>
  <c r="A1536" i="5"/>
  <c r="B1536" i="5"/>
  <c r="A1537" i="5"/>
  <c r="B1537" i="5"/>
  <c r="A1538" i="5"/>
  <c r="B1538" i="5"/>
  <c r="A1539" i="5"/>
  <c r="B1539" i="5"/>
  <c r="A1540" i="5"/>
  <c r="B1540" i="5"/>
  <c r="A1541" i="5"/>
  <c r="B1541" i="5"/>
  <c r="A1542" i="5"/>
  <c r="B1542" i="5"/>
  <c r="A1543" i="5"/>
  <c r="B1543" i="5"/>
  <c r="A1544" i="5"/>
  <c r="B1544" i="5"/>
  <c r="A1545" i="5"/>
  <c r="B1545" i="5"/>
  <c r="A1546" i="5"/>
  <c r="B1546" i="5"/>
  <c r="A1547" i="5"/>
  <c r="B1547" i="5"/>
  <c r="A1548" i="5"/>
  <c r="B1548" i="5"/>
  <c r="A1549" i="5"/>
  <c r="B1549" i="5"/>
  <c r="A1550" i="5"/>
  <c r="B1550" i="5"/>
  <c r="A1551" i="5"/>
  <c r="B1551" i="5"/>
  <c r="A1552" i="5"/>
  <c r="B1552" i="5"/>
  <c r="A1553" i="5"/>
  <c r="B1553" i="5"/>
  <c r="A1554" i="5"/>
  <c r="B1554" i="5"/>
  <c r="A1555" i="5"/>
  <c r="B1555" i="5"/>
  <c r="A1556" i="5"/>
  <c r="B1556" i="5"/>
  <c r="A1557" i="5"/>
  <c r="B1557" i="5"/>
  <c r="A1558" i="5"/>
  <c r="B1558" i="5"/>
  <c r="A1559" i="5"/>
  <c r="B1559" i="5"/>
  <c r="A1560" i="5"/>
  <c r="B1560" i="5"/>
  <c r="A1561" i="5"/>
  <c r="B1561" i="5"/>
  <c r="A1562" i="5"/>
  <c r="B1562" i="5"/>
  <c r="A1563" i="5"/>
  <c r="B1563" i="5"/>
  <c r="A1564" i="5"/>
  <c r="B1564" i="5"/>
  <c r="A1565" i="5"/>
  <c r="B1565" i="5"/>
  <c r="A1566" i="5"/>
  <c r="B1566" i="5"/>
  <c r="A1567" i="5"/>
  <c r="B1567" i="5"/>
  <c r="A1568" i="5"/>
  <c r="B1568" i="5"/>
  <c r="A1569" i="5"/>
  <c r="B1569" i="5"/>
  <c r="A1570" i="5"/>
  <c r="B1570" i="5"/>
  <c r="A1571" i="5"/>
  <c r="B1571" i="5"/>
  <c r="A1572" i="5"/>
  <c r="B1572" i="5"/>
  <c r="A1573" i="5"/>
  <c r="B1573" i="5"/>
  <c r="A1574" i="5"/>
  <c r="B1574" i="5"/>
  <c r="A1575" i="5"/>
  <c r="B1575" i="5"/>
  <c r="A1576" i="5"/>
  <c r="B1576" i="5"/>
  <c r="A1577" i="5"/>
  <c r="B1577" i="5"/>
  <c r="A1578" i="5"/>
  <c r="B1578" i="5"/>
  <c r="A1579" i="5"/>
  <c r="B1579" i="5"/>
  <c r="A1580" i="5"/>
  <c r="B1580" i="5"/>
  <c r="A1581" i="5"/>
  <c r="B1581" i="5"/>
  <c r="A1582" i="5"/>
  <c r="B1582" i="5"/>
  <c r="A1583" i="5"/>
  <c r="B1583" i="5"/>
  <c r="A1584" i="5"/>
  <c r="B1584" i="5"/>
  <c r="A1585" i="5"/>
  <c r="B1585" i="5"/>
  <c r="A1586" i="5"/>
  <c r="B1586" i="5"/>
  <c r="A1587" i="5"/>
  <c r="B1587" i="5"/>
  <c r="A1588" i="5"/>
  <c r="B1588" i="5"/>
  <c r="A1589" i="5"/>
  <c r="B1589" i="5"/>
  <c r="A1590" i="5"/>
  <c r="B1590" i="5"/>
  <c r="A1591" i="5"/>
  <c r="B1591" i="5"/>
  <c r="A1592" i="5"/>
  <c r="B1592" i="5"/>
  <c r="A1593" i="5"/>
  <c r="B1593" i="5"/>
  <c r="A1594" i="5"/>
  <c r="B1594" i="5"/>
  <c r="A1595" i="5"/>
  <c r="B1595" i="5"/>
  <c r="A1596" i="5"/>
  <c r="B1596" i="5"/>
  <c r="A1597" i="5"/>
  <c r="B1597" i="5"/>
  <c r="A1598" i="5"/>
  <c r="B1598" i="5"/>
  <c r="A1599" i="5"/>
  <c r="B1599" i="5"/>
  <c r="A1600" i="5"/>
  <c r="B1600" i="5"/>
  <c r="A1601" i="5"/>
  <c r="B1601" i="5"/>
  <c r="A1602" i="5"/>
  <c r="B1602" i="5"/>
  <c r="A1603" i="5"/>
  <c r="B1603" i="5"/>
  <c r="A1604" i="5"/>
  <c r="B1604" i="5"/>
  <c r="A1605" i="5"/>
  <c r="B1605" i="5"/>
  <c r="A1606" i="5"/>
  <c r="B1606" i="5"/>
  <c r="A1607" i="5"/>
  <c r="B1607" i="5"/>
  <c r="A1608" i="5"/>
  <c r="B1608" i="5"/>
  <c r="A1609" i="5"/>
  <c r="B1609" i="5"/>
  <c r="A1610" i="5"/>
  <c r="B1610" i="5"/>
  <c r="A1611" i="5"/>
  <c r="B1611" i="5"/>
  <c r="A1612" i="5"/>
  <c r="B1612" i="5"/>
  <c r="A1613" i="5"/>
  <c r="B1613" i="5"/>
  <c r="A1614" i="5"/>
  <c r="B1614" i="5"/>
  <c r="A1615" i="5"/>
  <c r="B1615" i="5"/>
  <c r="A1616" i="5"/>
  <c r="B1616" i="5"/>
  <c r="A1617" i="5"/>
  <c r="B1617" i="5"/>
  <c r="A1618" i="5"/>
  <c r="B1618" i="5"/>
  <c r="A1619" i="5"/>
  <c r="B1619" i="5"/>
  <c r="A1620" i="5"/>
  <c r="B1620" i="5"/>
  <c r="A1621" i="5"/>
  <c r="B1621" i="5"/>
  <c r="A1622" i="5"/>
  <c r="B1622" i="5"/>
  <c r="A1623" i="5"/>
  <c r="B1623" i="5"/>
  <c r="A1624" i="5"/>
  <c r="B1624" i="5"/>
  <c r="A1625" i="5"/>
  <c r="B1625" i="5"/>
  <c r="A1626" i="5"/>
  <c r="B1626" i="5"/>
  <c r="A1627" i="5"/>
  <c r="B1627" i="5"/>
  <c r="A1628" i="5"/>
  <c r="B1628" i="5"/>
  <c r="A1629" i="5"/>
  <c r="B1629" i="5"/>
  <c r="A1630" i="5"/>
  <c r="B1630" i="5"/>
  <c r="A1631" i="5"/>
  <c r="B1631" i="5"/>
  <c r="A1632" i="5"/>
  <c r="B1632" i="5"/>
  <c r="A1633" i="5"/>
  <c r="B1633" i="5"/>
  <c r="A1634" i="5"/>
  <c r="B1634" i="5"/>
  <c r="A1635" i="5"/>
  <c r="B1635" i="5"/>
  <c r="A1636" i="5"/>
  <c r="B1636" i="5"/>
  <c r="A1637" i="5"/>
  <c r="B1637" i="5"/>
  <c r="A1638" i="5"/>
  <c r="B1638" i="5"/>
  <c r="A1639" i="5"/>
  <c r="B1639" i="5"/>
  <c r="A1640" i="5"/>
  <c r="B1640" i="5"/>
  <c r="A1641" i="5"/>
  <c r="B1641" i="5"/>
  <c r="A1642" i="5"/>
  <c r="B1642" i="5"/>
  <c r="A1643" i="5"/>
  <c r="B1643" i="5"/>
  <c r="A1644" i="5"/>
  <c r="B1644" i="5"/>
  <c r="A1645" i="5"/>
  <c r="B1645" i="5"/>
  <c r="A1646" i="5"/>
  <c r="B1646" i="5"/>
  <c r="A1647" i="5"/>
  <c r="B1647" i="5"/>
  <c r="A1648" i="5"/>
  <c r="B1648" i="5"/>
  <c r="A1649" i="5"/>
  <c r="B1649" i="5"/>
  <c r="A1650" i="5"/>
  <c r="B1650" i="5"/>
  <c r="A1651" i="5"/>
  <c r="B1651" i="5"/>
  <c r="A1652" i="5"/>
  <c r="B1652" i="5"/>
  <c r="A1653" i="5"/>
  <c r="B1653" i="5"/>
  <c r="A1654" i="5"/>
  <c r="B1654" i="5"/>
  <c r="A1655" i="5"/>
  <c r="B1655" i="5"/>
  <c r="A1656" i="5"/>
  <c r="B1656" i="5"/>
  <c r="A1657" i="5"/>
  <c r="B1657" i="5"/>
  <c r="A1658" i="5"/>
  <c r="B1658" i="5"/>
  <c r="A1659" i="5"/>
  <c r="B1659" i="5"/>
  <c r="A1660" i="5"/>
  <c r="B1660" i="5"/>
  <c r="A1661" i="5"/>
  <c r="B1661" i="5"/>
  <c r="A1662" i="5"/>
  <c r="B1662" i="5"/>
  <c r="A1663" i="5"/>
  <c r="B1663" i="5"/>
  <c r="A1664" i="5"/>
  <c r="B1664" i="5"/>
  <c r="A1665" i="5"/>
  <c r="B1665" i="5"/>
  <c r="A1666" i="5"/>
  <c r="B1666" i="5"/>
  <c r="A1667" i="5"/>
  <c r="B1667" i="5"/>
  <c r="A1668" i="5"/>
  <c r="B1668" i="5"/>
  <c r="A1669" i="5"/>
  <c r="B1669" i="5"/>
  <c r="A1670" i="5"/>
  <c r="B1670" i="5"/>
  <c r="A1671" i="5"/>
  <c r="B1671" i="5"/>
  <c r="A1672" i="5"/>
  <c r="B1672" i="5"/>
  <c r="A1673" i="5"/>
  <c r="B1673" i="5"/>
  <c r="A1674" i="5"/>
  <c r="B1674" i="5"/>
  <c r="A1675" i="5"/>
  <c r="B1675" i="5"/>
  <c r="A1676" i="5"/>
  <c r="B1676" i="5"/>
  <c r="A1677" i="5"/>
  <c r="B1677" i="5"/>
  <c r="A1678" i="5"/>
  <c r="B1678" i="5"/>
  <c r="A1679" i="5"/>
  <c r="B1679" i="5"/>
  <c r="A1680" i="5"/>
  <c r="B1680" i="5"/>
  <c r="A1681" i="5"/>
  <c r="B1681" i="5"/>
  <c r="A1682" i="5"/>
  <c r="B1682" i="5"/>
  <c r="A1683" i="5"/>
  <c r="B1683" i="5"/>
  <c r="A1684" i="5"/>
  <c r="B1684" i="5"/>
  <c r="A1685" i="5"/>
  <c r="B1685" i="5"/>
  <c r="A1686" i="5"/>
  <c r="B1686" i="5"/>
  <c r="A1687" i="5"/>
  <c r="B1687" i="5"/>
  <c r="A1688" i="5"/>
  <c r="B1688" i="5"/>
  <c r="A1689" i="5"/>
  <c r="B1689" i="5"/>
  <c r="A1690" i="5"/>
  <c r="B1690" i="5"/>
  <c r="A1691" i="5"/>
  <c r="B1691" i="5"/>
  <c r="A1692" i="5"/>
  <c r="B1692" i="5"/>
  <c r="A1693" i="5"/>
  <c r="B1693" i="5"/>
  <c r="A1694" i="5"/>
  <c r="B1694" i="5"/>
  <c r="A1695" i="5"/>
  <c r="B1695" i="5"/>
  <c r="A1696" i="5"/>
  <c r="B1696" i="5"/>
  <c r="A1697" i="5"/>
  <c r="B1697" i="5"/>
  <c r="A1698" i="5"/>
  <c r="B1698" i="5"/>
  <c r="A1699" i="5"/>
  <c r="B1699" i="5"/>
  <c r="A1700" i="5"/>
  <c r="B1700" i="5"/>
  <c r="A1701" i="5"/>
  <c r="B1701" i="5"/>
  <c r="A1702" i="5"/>
  <c r="B1702" i="5"/>
  <c r="A1703" i="5"/>
  <c r="B1703" i="5"/>
  <c r="A1704" i="5"/>
  <c r="B1704" i="5"/>
  <c r="A1705" i="5"/>
  <c r="B1705" i="5"/>
  <c r="A1706" i="5"/>
  <c r="B1706" i="5"/>
  <c r="A1707" i="5"/>
  <c r="B1707" i="5"/>
  <c r="A1708" i="5"/>
  <c r="B1708" i="5"/>
  <c r="A1709" i="5"/>
  <c r="B1709" i="5"/>
  <c r="A1710" i="5"/>
  <c r="B1710" i="5"/>
  <c r="A1711" i="5"/>
  <c r="B1711" i="5"/>
  <c r="A1712" i="5"/>
  <c r="B1712" i="5"/>
  <c r="A1713" i="5"/>
  <c r="B1713" i="5"/>
  <c r="A1714" i="5"/>
  <c r="B1714" i="5"/>
  <c r="A1715" i="5"/>
  <c r="B1715" i="5"/>
  <c r="A1716" i="5"/>
  <c r="B1716" i="5"/>
  <c r="A1717" i="5"/>
  <c r="B1717" i="5"/>
  <c r="A1718" i="5"/>
  <c r="B1718" i="5"/>
  <c r="A1719" i="5"/>
  <c r="B1719" i="5"/>
  <c r="A1720" i="5"/>
  <c r="B1720" i="5"/>
  <c r="A1721" i="5"/>
  <c r="B1721" i="5"/>
  <c r="A1722" i="5"/>
  <c r="B1722" i="5"/>
  <c r="A1723" i="5"/>
  <c r="B1723" i="5"/>
  <c r="A1724" i="5"/>
  <c r="B1724" i="5"/>
  <c r="A1725" i="5"/>
  <c r="B1725" i="5"/>
  <c r="A1726" i="5"/>
  <c r="B1726" i="5"/>
  <c r="A1727" i="5"/>
  <c r="B1727" i="5"/>
  <c r="A1728" i="5"/>
  <c r="B1728" i="5"/>
  <c r="A1729" i="5"/>
  <c r="B1729" i="5"/>
  <c r="A1730" i="5"/>
  <c r="B1730" i="5"/>
  <c r="A1731" i="5"/>
  <c r="B1731" i="5"/>
  <c r="A1732" i="5"/>
  <c r="B1732" i="5"/>
  <c r="A1733" i="5"/>
  <c r="B1733" i="5"/>
  <c r="A1734" i="5"/>
  <c r="B1734" i="5"/>
  <c r="A1735" i="5"/>
  <c r="B1735" i="5"/>
  <c r="A1736" i="5"/>
  <c r="B1736" i="5"/>
  <c r="A1737" i="5"/>
  <c r="B1737" i="5"/>
  <c r="A1738" i="5"/>
  <c r="B1738" i="5"/>
  <c r="A1739" i="5"/>
  <c r="B1739" i="5"/>
  <c r="A1740" i="5"/>
  <c r="B1740" i="5"/>
  <c r="A1741" i="5"/>
  <c r="B1741" i="5"/>
  <c r="A1742" i="5"/>
  <c r="B1742" i="5"/>
  <c r="A1743" i="5"/>
  <c r="B1743" i="5"/>
  <c r="A1744" i="5"/>
  <c r="B1744" i="5"/>
  <c r="A1745" i="5"/>
  <c r="B1745" i="5"/>
  <c r="A1746" i="5"/>
  <c r="B1746" i="5"/>
  <c r="A1747" i="5"/>
  <c r="B1747" i="5"/>
  <c r="A1748" i="5"/>
  <c r="B1748" i="5"/>
  <c r="A1749" i="5"/>
  <c r="B1749" i="5"/>
  <c r="A1750" i="5"/>
  <c r="B1750" i="5"/>
  <c r="A1751" i="5"/>
  <c r="B1751" i="5"/>
  <c r="A1752" i="5"/>
  <c r="B1752" i="5"/>
  <c r="A1753" i="5"/>
  <c r="B1753" i="5"/>
  <c r="A1754" i="5"/>
  <c r="B1754" i="5"/>
  <c r="A1755" i="5"/>
  <c r="B1755" i="5"/>
  <c r="A1756" i="5"/>
  <c r="B1756" i="5"/>
  <c r="A1757" i="5"/>
  <c r="B1757" i="5"/>
  <c r="A1758" i="5"/>
  <c r="B1758" i="5"/>
  <c r="A1759" i="5"/>
  <c r="B1759" i="5"/>
  <c r="A1760" i="5"/>
  <c r="B1760" i="5"/>
  <c r="A1761" i="5"/>
  <c r="B1761" i="5"/>
  <c r="A1762" i="5"/>
  <c r="B1762" i="5"/>
  <c r="A1763" i="5"/>
  <c r="B1763" i="5"/>
  <c r="A1764" i="5"/>
  <c r="B1764" i="5"/>
  <c r="A1765" i="5"/>
  <c r="B1765" i="5"/>
  <c r="A1766" i="5"/>
  <c r="B1766" i="5"/>
  <c r="A1767" i="5"/>
  <c r="B1767" i="5"/>
  <c r="A1768" i="5"/>
  <c r="B1768" i="5"/>
  <c r="A1769" i="5"/>
  <c r="B1769" i="5"/>
  <c r="A1770" i="5"/>
  <c r="B1770" i="5"/>
  <c r="A1771" i="5"/>
  <c r="B1771" i="5"/>
  <c r="A1772" i="5"/>
  <c r="B1772" i="5"/>
  <c r="A1773" i="5"/>
  <c r="B1773" i="5"/>
  <c r="A1774" i="5"/>
  <c r="B1774" i="5"/>
  <c r="A1775" i="5"/>
  <c r="B1775" i="5"/>
  <c r="A1776" i="5"/>
  <c r="B1776" i="5"/>
  <c r="A1777" i="5"/>
  <c r="B1777" i="5"/>
  <c r="A1778" i="5"/>
  <c r="B1778" i="5"/>
  <c r="A1779" i="5"/>
  <c r="B1779" i="5"/>
  <c r="A1780" i="5"/>
  <c r="B1780" i="5"/>
  <c r="A1781" i="5"/>
  <c r="B1781" i="5"/>
  <c r="A1782" i="5"/>
  <c r="B1782" i="5"/>
  <c r="A1783" i="5"/>
  <c r="B1783" i="5"/>
  <c r="A1784" i="5"/>
  <c r="B1784" i="5"/>
  <c r="A1785" i="5"/>
  <c r="B1785" i="5"/>
  <c r="A1786" i="5"/>
  <c r="B1786" i="5"/>
  <c r="A1787" i="5"/>
  <c r="B1787" i="5"/>
  <c r="A1788" i="5"/>
  <c r="B1788" i="5"/>
  <c r="A1789" i="5"/>
  <c r="B1789" i="5"/>
  <c r="A1790" i="5"/>
  <c r="B1790" i="5"/>
  <c r="A1791" i="5"/>
  <c r="B1791" i="5"/>
  <c r="A1792" i="5"/>
  <c r="B1792" i="5"/>
  <c r="A1793" i="5"/>
  <c r="B1793" i="5"/>
  <c r="A1794" i="5"/>
  <c r="B1794" i="5"/>
  <c r="A1795" i="5"/>
  <c r="B1795" i="5"/>
  <c r="A1796" i="5"/>
  <c r="B1796" i="5"/>
  <c r="A1797" i="5"/>
  <c r="B1797" i="5"/>
  <c r="A1798" i="5"/>
  <c r="B1798" i="5"/>
  <c r="A1799" i="5"/>
  <c r="B1799" i="5"/>
  <c r="A1800" i="5"/>
  <c r="B1800" i="5"/>
  <c r="A1801" i="5"/>
  <c r="B1801" i="5"/>
  <c r="A1802" i="5"/>
  <c r="B1802" i="5"/>
  <c r="A1803" i="5"/>
  <c r="B1803" i="5"/>
  <c r="A1804" i="5"/>
  <c r="B1804" i="5"/>
  <c r="A1805" i="5"/>
  <c r="B1805" i="5"/>
  <c r="A1806" i="5"/>
  <c r="B1806" i="5"/>
  <c r="A1807" i="5"/>
  <c r="B1807" i="5"/>
  <c r="A1808" i="5"/>
  <c r="B1808" i="5"/>
  <c r="A1809" i="5"/>
  <c r="B1809" i="5"/>
  <c r="A1810" i="5"/>
  <c r="B1810" i="5"/>
  <c r="A1811" i="5"/>
  <c r="B1811" i="5"/>
  <c r="A1812" i="5"/>
  <c r="B1812" i="5"/>
  <c r="A1813" i="5"/>
  <c r="B1813" i="5"/>
  <c r="A1814" i="5"/>
  <c r="B1814" i="5"/>
  <c r="A1815" i="5"/>
  <c r="B1815" i="5"/>
  <c r="A1816" i="5"/>
  <c r="B1816" i="5"/>
  <c r="A1817" i="5"/>
  <c r="B1817" i="5"/>
  <c r="A1818" i="5"/>
  <c r="B1818" i="5"/>
  <c r="A1819" i="5"/>
  <c r="B1819" i="5"/>
  <c r="A1820" i="5"/>
  <c r="B1820" i="5"/>
  <c r="A1821" i="5"/>
  <c r="B1821" i="5"/>
  <c r="A1822" i="5"/>
  <c r="B1822" i="5"/>
  <c r="A1823" i="5"/>
  <c r="B1823" i="5"/>
  <c r="A1824" i="5"/>
  <c r="B1824" i="5"/>
  <c r="A1825" i="5"/>
  <c r="B1825" i="5"/>
  <c r="A1826" i="5"/>
  <c r="B1826" i="5"/>
  <c r="A1827" i="5"/>
  <c r="B1827" i="5"/>
  <c r="A1828" i="5"/>
  <c r="B1828" i="5"/>
  <c r="A1829" i="5"/>
  <c r="B1829" i="5"/>
  <c r="A1830" i="5"/>
  <c r="B1830" i="5"/>
  <c r="A1831" i="5"/>
  <c r="B1831" i="5"/>
  <c r="A1832" i="5"/>
  <c r="B1832" i="5"/>
  <c r="A1833" i="5"/>
  <c r="B1833" i="5"/>
  <c r="A1834" i="5"/>
  <c r="B1834" i="5"/>
  <c r="A1835" i="5"/>
  <c r="B1835" i="5"/>
  <c r="A1836" i="5"/>
  <c r="B1836" i="5"/>
  <c r="A1837" i="5"/>
  <c r="B1837" i="5"/>
  <c r="A1838" i="5"/>
  <c r="B1838" i="5"/>
  <c r="A1839" i="5"/>
  <c r="B1839" i="5"/>
  <c r="A1840" i="5"/>
  <c r="B1840" i="5"/>
  <c r="A1841" i="5"/>
  <c r="B1841" i="5"/>
  <c r="A1842" i="5"/>
  <c r="B1842" i="5"/>
  <c r="A1843" i="5"/>
  <c r="B1843" i="5"/>
  <c r="A1844" i="5"/>
  <c r="B1844" i="5"/>
  <c r="A1845" i="5"/>
  <c r="B1845" i="5"/>
  <c r="A1846" i="5"/>
  <c r="B1846" i="5"/>
  <c r="A1847" i="5"/>
  <c r="B1847" i="5"/>
  <c r="A1848" i="5"/>
  <c r="B1848" i="5"/>
  <c r="A1849" i="5"/>
  <c r="B1849" i="5"/>
  <c r="A1850" i="5"/>
  <c r="B1850" i="5"/>
  <c r="A1851" i="5"/>
  <c r="B1851" i="5"/>
  <c r="A1852" i="5"/>
  <c r="B1852" i="5"/>
  <c r="A1853" i="5"/>
  <c r="B1853" i="5"/>
  <c r="A1854" i="5"/>
  <c r="B1854" i="5"/>
  <c r="A1855" i="5"/>
  <c r="B1855" i="5"/>
  <c r="A1856" i="5"/>
  <c r="B1856" i="5"/>
  <c r="A1857" i="5"/>
  <c r="B1857" i="5"/>
  <c r="A1858" i="5"/>
  <c r="B1858" i="5"/>
  <c r="A1859" i="5"/>
  <c r="B1859" i="5"/>
  <c r="A1860" i="5"/>
  <c r="B1860" i="5"/>
  <c r="A1861" i="5"/>
  <c r="B1861" i="5"/>
  <c r="A1862" i="5"/>
  <c r="B1862" i="5"/>
  <c r="A1863" i="5"/>
  <c r="B1863" i="5"/>
  <c r="A1864" i="5"/>
  <c r="B1864" i="5"/>
  <c r="A1865" i="5"/>
  <c r="B1865" i="5"/>
  <c r="A1866" i="5"/>
  <c r="B1866" i="5"/>
  <c r="A1867" i="5"/>
  <c r="B1867" i="5"/>
  <c r="A1868" i="5"/>
  <c r="B1868" i="5"/>
  <c r="A1869" i="5"/>
  <c r="B1869" i="5"/>
  <c r="A1870" i="5"/>
  <c r="B1870" i="5"/>
  <c r="A1871" i="5"/>
  <c r="B1871" i="5"/>
  <c r="A1872" i="5"/>
  <c r="B1872" i="5"/>
  <c r="A1873" i="5"/>
  <c r="B1873" i="5"/>
  <c r="A1874" i="5"/>
  <c r="B1874" i="5"/>
  <c r="A1875" i="5"/>
  <c r="B1875" i="5"/>
  <c r="A1876" i="5"/>
  <c r="B1876" i="5"/>
  <c r="A1877" i="5"/>
  <c r="B1877" i="5"/>
  <c r="A1878" i="5"/>
  <c r="B1878" i="5"/>
  <c r="A1879" i="5"/>
  <c r="B1879" i="5"/>
  <c r="A1880" i="5"/>
  <c r="B1880" i="5"/>
  <c r="A1881" i="5"/>
  <c r="B1881" i="5"/>
  <c r="A1882" i="5"/>
  <c r="B1882" i="5"/>
  <c r="A1883" i="5"/>
  <c r="B1883" i="5"/>
  <c r="A1884" i="5"/>
  <c r="B1884" i="5"/>
  <c r="A1885" i="5"/>
  <c r="B1885" i="5"/>
  <c r="A1886" i="5"/>
  <c r="B1886" i="5"/>
  <c r="A1887" i="5"/>
  <c r="B1887" i="5"/>
  <c r="A1888" i="5"/>
  <c r="B1888" i="5"/>
  <c r="A1889" i="5"/>
  <c r="B1889" i="5"/>
  <c r="A1890" i="5"/>
  <c r="B1890" i="5"/>
  <c r="A1891" i="5"/>
  <c r="B1891" i="5"/>
  <c r="A1892" i="5"/>
  <c r="B1892" i="5"/>
  <c r="A1893" i="5"/>
  <c r="B1893" i="5"/>
  <c r="A1894" i="5"/>
  <c r="B1894" i="5"/>
  <c r="A1895" i="5"/>
  <c r="B1895" i="5"/>
  <c r="A1896" i="5"/>
  <c r="B1896" i="5"/>
  <c r="A1897" i="5"/>
  <c r="B1897" i="5"/>
  <c r="A1898" i="5"/>
  <c r="B1898" i="5"/>
  <c r="A1899" i="5"/>
  <c r="B1899" i="5"/>
  <c r="A1900" i="5"/>
  <c r="B1900" i="5"/>
  <c r="A1901" i="5"/>
  <c r="B1901" i="5"/>
  <c r="A1902" i="5"/>
  <c r="B1902" i="5"/>
  <c r="A1903" i="5"/>
  <c r="B1903" i="5"/>
  <c r="A1904" i="5"/>
  <c r="B1904" i="5"/>
  <c r="A1905" i="5"/>
  <c r="B1905" i="5"/>
  <c r="A1906" i="5"/>
  <c r="B1906" i="5"/>
  <c r="A1907" i="5"/>
  <c r="B1907" i="5"/>
  <c r="A1908" i="5"/>
  <c r="B1908" i="5"/>
  <c r="A1909" i="5"/>
  <c r="B1909" i="5"/>
  <c r="A1910" i="5"/>
  <c r="B1910" i="5"/>
  <c r="A1911" i="5"/>
  <c r="B1911" i="5"/>
  <c r="A1912" i="5"/>
  <c r="B1912" i="5"/>
  <c r="A1913" i="5"/>
  <c r="B1913" i="5"/>
  <c r="A1914" i="5"/>
  <c r="B1914" i="5"/>
  <c r="A1915" i="5"/>
  <c r="B1915" i="5"/>
  <c r="A1916" i="5"/>
  <c r="B1916" i="5"/>
  <c r="A1917" i="5"/>
  <c r="B1917" i="5"/>
  <c r="A1918" i="5"/>
  <c r="B1918" i="5"/>
  <c r="A1919" i="5"/>
  <c r="B1919" i="5"/>
  <c r="A1920" i="5"/>
  <c r="B1920" i="5"/>
  <c r="A1921" i="5"/>
  <c r="B1921" i="5"/>
  <c r="A1922" i="5"/>
  <c r="B1922" i="5"/>
  <c r="A1923" i="5"/>
  <c r="B1923" i="5"/>
  <c r="A1924" i="5"/>
  <c r="B1924" i="5"/>
  <c r="A1925" i="5"/>
  <c r="B1925" i="5"/>
  <c r="A1926" i="5"/>
  <c r="B1926" i="5"/>
  <c r="A1927" i="5"/>
  <c r="B1927" i="5"/>
  <c r="A1928" i="5"/>
  <c r="B1928" i="5"/>
  <c r="A1929" i="5"/>
  <c r="B1929" i="5"/>
  <c r="A1930" i="5"/>
  <c r="B1930" i="5"/>
  <c r="A1931" i="5"/>
  <c r="B1931" i="5"/>
  <c r="A1932" i="5"/>
  <c r="B1932" i="5"/>
  <c r="A1933" i="5"/>
  <c r="B1933" i="5"/>
  <c r="A1934" i="5"/>
  <c r="B1934" i="5"/>
  <c r="A1935" i="5"/>
  <c r="B1935" i="5"/>
  <c r="A1936" i="5"/>
  <c r="B1936" i="5"/>
  <c r="A1937" i="5"/>
  <c r="B1937" i="5"/>
  <c r="A1938" i="5"/>
  <c r="B1938" i="5"/>
  <c r="A1939" i="5"/>
  <c r="B1939" i="5"/>
  <c r="A1940" i="5"/>
  <c r="B1940" i="5"/>
  <c r="A1941" i="5"/>
  <c r="B1941" i="5"/>
  <c r="A1942" i="5"/>
  <c r="B1942" i="5"/>
  <c r="A1943" i="5"/>
  <c r="B1943" i="5"/>
  <c r="A1944" i="5"/>
  <c r="B1944" i="5"/>
  <c r="A1945" i="5"/>
  <c r="B1945" i="5"/>
  <c r="A1946" i="5"/>
  <c r="B1946" i="5"/>
  <c r="A1947" i="5"/>
  <c r="B1947" i="5"/>
  <c r="A1948" i="5"/>
  <c r="B1948" i="5"/>
  <c r="A1949" i="5"/>
  <c r="B1949" i="5"/>
  <c r="A1950" i="5"/>
  <c r="B1950" i="5"/>
  <c r="A1951" i="5"/>
  <c r="B1951" i="5"/>
  <c r="A1952" i="5"/>
  <c r="B1952" i="5"/>
  <c r="A1953" i="5"/>
  <c r="B1953" i="5"/>
  <c r="A1954" i="5"/>
  <c r="B1954" i="5"/>
  <c r="A1955" i="5"/>
  <c r="B1955" i="5"/>
  <c r="A1956" i="5"/>
  <c r="B1956" i="5"/>
  <c r="A1957" i="5"/>
  <c r="B1957" i="5"/>
  <c r="A1958" i="5"/>
  <c r="B1958" i="5"/>
  <c r="A1959" i="5"/>
  <c r="B1959" i="5"/>
  <c r="A1960" i="5"/>
  <c r="B1960" i="5"/>
  <c r="A1961" i="5"/>
  <c r="B1961" i="5"/>
  <c r="A1962" i="5"/>
  <c r="B1962" i="5"/>
  <c r="A1963" i="5"/>
  <c r="B1963" i="5"/>
  <c r="A1964" i="5"/>
  <c r="B1964" i="5"/>
  <c r="A1965" i="5"/>
  <c r="B1965" i="5"/>
  <c r="A1966" i="5"/>
  <c r="B1966" i="5"/>
  <c r="A1967" i="5"/>
  <c r="B1967" i="5"/>
  <c r="A1968" i="5"/>
  <c r="B1968" i="5"/>
  <c r="A1969" i="5"/>
  <c r="B1969" i="5"/>
  <c r="A1970" i="5"/>
  <c r="B1970" i="5"/>
  <c r="A1971" i="5"/>
  <c r="B1971" i="5"/>
  <c r="A1972" i="5"/>
  <c r="B1972" i="5"/>
  <c r="A1973" i="5"/>
  <c r="B1973" i="5"/>
  <c r="A1974" i="5"/>
  <c r="B1974" i="5"/>
  <c r="A1975" i="5"/>
  <c r="B1975" i="5"/>
  <c r="A1976" i="5"/>
  <c r="B1976" i="5"/>
  <c r="A1977" i="5"/>
  <c r="B1977" i="5"/>
  <c r="A1978" i="5"/>
  <c r="B1978" i="5"/>
  <c r="A1979" i="5"/>
  <c r="B1979" i="5"/>
  <c r="A1980" i="5"/>
  <c r="B1980" i="5"/>
  <c r="A1981" i="5"/>
  <c r="B1981" i="5"/>
  <c r="A1982" i="5"/>
  <c r="B1982" i="5"/>
  <c r="A1983" i="5"/>
  <c r="B1983" i="5"/>
  <c r="A1984" i="5"/>
  <c r="B1984" i="5"/>
  <c r="A1985" i="5"/>
  <c r="B1985" i="5"/>
  <c r="A1986" i="5"/>
  <c r="B1986" i="5"/>
  <c r="A1987" i="5"/>
  <c r="B1987" i="5"/>
  <c r="A1988" i="5"/>
  <c r="B1988" i="5"/>
  <c r="A1989" i="5"/>
  <c r="B1989" i="5"/>
  <c r="A1990" i="5"/>
  <c r="B1990" i="5"/>
  <c r="A1991" i="5"/>
  <c r="B1991" i="5"/>
  <c r="A1992" i="5"/>
  <c r="B1992" i="5"/>
  <c r="A1993" i="5"/>
  <c r="B1993" i="5"/>
  <c r="A1994" i="5"/>
  <c r="B1994" i="5"/>
  <c r="A1995" i="5"/>
  <c r="B1995" i="5"/>
  <c r="A1996" i="5"/>
  <c r="B1996" i="5"/>
  <c r="A1997" i="5"/>
  <c r="B1997" i="5"/>
  <c r="A1998" i="5"/>
  <c r="B1998" i="5"/>
  <c r="A1999" i="5"/>
  <c r="B1999" i="5"/>
  <c r="A2000" i="5"/>
  <c r="B2000" i="5"/>
  <c r="A2001" i="5"/>
  <c r="B2001" i="5"/>
  <c r="A2002" i="5"/>
  <c r="B2002" i="5"/>
  <c r="A2003" i="5"/>
  <c r="B2003" i="5"/>
  <c r="A2004" i="5"/>
  <c r="B2004" i="5"/>
  <c r="A2005" i="5"/>
  <c r="B2005" i="5"/>
  <c r="A2006" i="5"/>
  <c r="B2006" i="5"/>
  <c r="A2007" i="5"/>
  <c r="B2007" i="5"/>
  <c r="A2008" i="5"/>
  <c r="B2008" i="5"/>
  <c r="A2009" i="5"/>
  <c r="B2009" i="5"/>
  <c r="A2010" i="5"/>
  <c r="B2010" i="5"/>
  <c r="A2011" i="5"/>
  <c r="B2011" i="5"/>
  <c r="A2012" i="5"/>
  <c r="B2012" i="5"/>
  <c r="A2013" i="5"/>
  <c r="B2013" i="5"/>
  <c r="A2014" i="5"/>
  <c r="B2014" i="5"/>
  <c r="A2015" i="5"/>
  <c r="B2015" i="5"/>
  <c r="A2016" i="5"/>
  <c r="B2016" i="5"/>
  <c r="A2017" i="5"/>
  <c r="B2017" i="5"/>
  <c r="A2018" i="5"/>
  <c r="B2018" i="5"/>
  <c r="A2019" i="5"/>
  <c r="B2019" i="5"/>
  <c r="A2020" i="5"/>
  <c r="B2020" i="5"/>
  <c r="A2021" i="5"/>
  <c r="B2021" i="5"/>
  <c r="A2022" i="5"/>
  <c r="B2022" i="5"/>
  <c r="A2023" i="5"/>
  <c r="B2023" i="5"/>
  <c r="A2024" i="5"/>
  <c r="B2024" i="5"/>
  <c r="A2025" i="5"/>
  <c r="B2025" i="5"/>
  <c r="A2026" i="5"/>
  <c r="B2026" i="5"/>
  <c r="A2027" i="5"/>
  <c r="B2027" i="5"/>
  <c r="A2028" i="5"/>
  <c r="B2028" i="5"/>
  <c r="A2029" i="5"/>
  <c r="B2029" i="5"/>
  <c r="A2030" i="5"/>
  <c r="B2030" i="5"/>
  <c r="A2031" i="5"/>
  <c r="B2031" i="5"/>
  <c r="A2032" i="5"/>
  <c r="B2032" i="5"/>
  <c r="A2033" i="5"/>
  <c r="B2033" i="5"/>
  <c r="A2034" i="5"/>
  <c r="B2034" i="5"/>
  <c r="A2035" i="5"/>
  <c r="B2035" i="5"/>
  <c r="A2036" i="5"/>
  <c r="B2036" i="5"/>
  <c r="A2037" i="5"/>
  <c r="B2037" i="5"/>
  <c r="A2038" i="5"/>
  <c r="B2038" i="5"/>
  <c r="A2039" i="5"/>
  <c r="B2039" i="5"/>
  <c r="A2040" i="5"/>
  <c r="B2040" i="5"/>
  <c r="A2041" i="5"/>
  <c r="B2041" i="5"/>
  <c r="A2042" i="5"/>
  <c r="B2042" i="5"/>
  <c r="A2043" i="5"/>
  <c r="B2043" i="5"/>
  <c r="A2044" i="5"/>
  <c r="B2044" i="5"/>
  <c r="A2045" i="5"/>
  <c r="B2045" i="5"/>
  <c r="A2046" i="5"/>
  <c r="B2046" i="5"/>
  <c r="A2047" i="5"/>
  <c r="B2047" i="5"/>
  <c r="A2048" i="5"/>
  <c r="B2048" i="5"/>
  <c r="A2049" i="5"/>
  <c r="B2049" i="5"/>
  <c r="A2050" i="5"/>
  <c r="B2050" i="5"/>
  <c r="A2051" i="5"/>
  <c r="B2051" i="5"/>
  <c r="A2052" i="5"/>
  <c r="B2052" i="5"/>
  <c r="A2053" i="5"/>
  <c r="B2053" i="5"/>
  <c r="A2054" i="5"/>
  <c r="B2054" i="5"/>
  <c r="A2055" i="5"/>
  <c r="B2055" i="5"/>
  <c r="A2056" i="5"/>
  <c r="B2056" i="5"/>
  <c r="A2057" i="5"/>
  <c r="B2057" i="5"/>
  <c r="A2058" i="5"/>
  <c r="B2058" i="5"/>
  <c r="A2059" i="5"/>
  <c r="B2059" i="5"/>
  <c r="A2060" i="5"/>
  <c r="B2060" i="5"/>
  <c r="A2061" i="5"/>
  <c r="B2061" i="5"/>
  <c r="A2062" i="5"/>
  <c r="B2062" i="5"/>
  <c r="A2063" i="5"/>
  <c r="B2063" i="5"/>
  <c r="A2064" i="5"/>
  <c r="B2064" i="5"/>
  <c r="A2065" i="5"/>
  <c r="B2065" i="5"/>
  <c r="A2066" i="5"/>
  <c r="B2066" i="5"/>
  <c r="A2067" i="5"/>
  <c r="B2067" i="5"/>
  <c r="A2068" i="5"/>
  <c r="B2068" i="5"/>
  <c r="A2069" i="5"/>
  <c r="B2069" i="5"/>
  <c r="A2070" i="5"/>
  <c r="B2070" i="5"/>
  <c r="A2071" i="5"/>
  <c r="B2071" i="5"/>
  <c r="A2072" i="5"/>
  <c r="B2072" i="5"/>
  <c r="A2073" i="5"/>
  <c r="B2073" i="5"/>
  <c r="A2074" i="5"/>
  <c r="B2074" i="5"/>
  <c r="A2075" i="5"/>
  <c r="B2075" i="5"/>
  <c r="A2076" i="5"/>
  <c r="B2076" i="5"/>
  <c r="A2077" i="5"/>
  <c r="B2077" i="5"/>
  <c r="A2078" i="5"/>
  <c r="B2078" i="5"/>
  <c r="A2079" i="5"/>
  <c r="B2079" i="5"/>
  <c r="A2080" i="5"/>
  <c r="B2080" i="5"/>
  <c r="A2081" i="5"/>
  <c r="B2081" i="5"/>
  <c r="A2082" i="5"/>
  <c r="B2082" i="5"/>
  <c r="A2083" i="5"/>
  <c r="B2083" i="5"/>
  <c r="A2084" i="5"/>
  <c r="B2084" i="5"/>
  <c r="A2085" i="5"/>
  <c r="B2085" i="5"/>
  <c r="A2086" i="5"/>
  <c r="B2086" i="5"/>
  <c r="A2087" i="5"/>
  <c r="B2087" i="5"/>
  <c r="A2088" i="5"/>
  <c r="B2088" i="5"/>
  <c r="A2089" i="5"/>
  <c r="B2089" i="5"/>
  <c r="A2090" i="5"/>
  <c r="B2090" i="5"/>
  <c r="A2091" i="5"/>
  <c r="B2091" i="5"/>
  <c r="A2092" i="5"/>
  <c r="B2092" i="5"/>
  <c r="A2093" i="5"/>
  <c r="B2093" i="5"/>
  <c r="A2094" i="5"/>
  <c r="B2094" i="5"/>
  <c r="A2095" i="5"/>
  <c r="B2095" i="5"/>
  <c r="A2096" i="5"/>
  <c r="B2096" i="5"/>
  <c r="A2097" i="5"/>
  <c r="B2097" i="5"/>
  <c r="A2098" i="5"/>
  <c r="B2098" i="5"/>
  <c r="A2099" i="5"/>
  <c r="B2099" i="5"/>
  <c r="A2100" i="5"/>
  <c r="B2100" i="5"/>
  <c r="A2101" i="5"/>
  <c r="B2101" i="5"/>
  <c r="A2102" i="5"/>
  <c r="B2102" i="5"/>
  <c r="A2103" i="5"/>
  <c r="B2103" i="5"/>
  <c r="A2104" i="5"/>
  <c r="B2104" i="5"/>
  <c r="A2105" i="5"/>
  <c r="B2105" i="5"/>
  <c r="A2106" i="5"/>
  <c r="B2106" i="5"/>
  <c r="A2107" i="5"/>
  <c r="B2107" i="5"/>
  <c r="A2108" i="5"/>
  <c r="B2108" i="5"/>
  <c r="A2109" i="5"/>
  <c r="B2109" i="5"/>
  <c r="A2110" i="5"/>
  <c r="B2110" i="5"/>
  <c r="A2111" i="5"/>
  <c r="B2111" i="5"/>
  <c r="A2112" i="5"/>
  <c r="B2112" i="5"/>
  <c r="A2113" i="5"/>
  <c r="B2113" i="5"/>
  <c r="A2114" i="5"/>
  <c r="B2114" i="5"/>
  <c r="A2115" i="5"/>
  <c r="B2115" i="5"/>
  <c r="A2116" i="5"/>
  <c r="B2116" i="5"/>
  <c r="A2117" i="5"/>
  <c r="B2117" i="5"/>
  <c r="A2118" i="5"/>
  <c r="B2118" i="5"/>
  <c r="A2119" i="5"/>
  <c r="B2119" i="5"/>
  <c r="A2120" i="5"/>
  <c r="B2120" i="5"/>
  <c r="A2121" i="5"/>
  <c r="B2121" i="5"/>
  <c r="A2122" i="5"/>
  <c r="B2122" i="5"/>
  <c r="A2123" i="5"/>
  <c r="B2123" i="5"/>
  <c r="A2124" i="5"/>
  <c r="B2124" i="5"/>
  <c r="A2125" i="5"/>
  <c r="B2125" i="5"/>
  <c r="A2126" i="5"/>
  <c r="B2126" i="5"/>
  <c r="A2127" i="5"/>
  <c r="B2127" i="5"/>
  <c r="A2128" i="5"/>
  <c r="B2128" i="5"/>
  <c r="A2129" i="5"/>
  <c r="B2129" i="5"/>
  <c r="A2130" i="5"/>
  <c r="B2130" i="5"/>
  <c r="A2131" i="5"/>
  <c r="B2131" i="5"/>
  <c r="A2132" i="5"/>
  <c r="B2132" i="5"/>
  <c r="A2133" i="5"/>
  <c r="B2133" i="5"/>
  <c r="A2134" i="5"/>
  <c r="B2134" i="5"/>
  <c r="A2135" i="5"/>
  <c r="B2135" i="5"/>
  <c r="A2136" i="5"/>
  <c r="B2136" i="5"/>
  <c r="A2137" i="5"/>
  <c r="B2137" i="5"/>
  <c r="A2138" i="5"/>
  <c r="B2138" i="5"/>
  <c r="A2139" i="5"/>
  <c r="B2139" i="5"/>
  <c r="A2140" i="5"/>
  <c r="B2140" i="5"/>
  <c r="A2141" i="5"/>
  <c r="B2141" i="5"/>
  <c r="A2142" i="5"/>
  <c r="B2142" i="5"/>
  <c r="A2143" i="5"/>
  <c r="B2143" i="5"/>
  <c r="A2144" i="5"/>
  <c r="B2144" i="5"/>
  <c r="A2145" i="5"/>
  <c r="B2145" i="5"/>
  <c r="A2146" i="5"/>
  <c r="B2146" i="5"/>
  <c r="A2147" i="5"/>
  <c r="B2147" i="5"/>
  <c r="A2148" i="5"/>
  <c r="B2148" i="5"/>
  <c r="A2149" i="5"/>
  <c r="B2149" i="5"/>
  <c r="A2150" i="5"/>
  <c r="B2150" i="5"/>
  <c r="A2151" i="5"/>
  <c r="B2151" i="5"/>
  <c r="A2152" i="5"/>
  <c r="B2152" i="5"/>
  <c r="A2153" i="5"/>
  <c r="B2153" i="5"/>
  <c r="A2154" i="5"/>
  <c r="B2154" i="5"/>
  <c r="A2155" i="5"/>
  <c r="B2155" i="5"/>
  <c r="A2156" i="5"/>
  <c r="B2156" i="5"/>
  <c r="A2157" i="5"/>
  <c r="B2157" i="5"/>
  <c r="A2158" i="5"/>
  <c r="B2158" i="5"/>
  <c r="A2159" i="5"/>
  <c r="B2159" i="5"/>
  <c r="A2160" i="5"/>
  <c r="B2160" i="5"/>
  <c r="A2161" i="5"/>
  <c r="B2161" i="5"/>
  <c r="A2162" i="5"/>
  <c r="B2162" i="5"/>
  <c r="A2163" i="5"/>
  <c r="B2163" i="5"/>
  <c r="A2164" i="5"/>
  <c r="B2164" i="5"/>
  <c r="A2165" i="5"/>
  <c r="B2165" i="5"/>
  <c r="A2166" i="5"/>
  <c r="B2166" i="5"/>
  <c r="A2167" i="5"/>
  <c r="B2167" i="5"/>
  <c r="A2168" i="5"/>
  <c r="B2168" i="5"/>
  <c r="A2169" i="5"/>
  <c r="B2169" i="5"/>
  <c r="A2170" i="5"/>
  <c r="B2170" i="5"/>
  <c r="A2171" i="5"/>
  <c r="B2171" i="5"/>
  <c r="A2172" i="5"/>
  <c r="B2172" i="5"/>
  <c r="A2173" i="5"/>
  <c r="B2173" i="5"/>
  <c r="A2174" i="5"/>
  <c r="B2174" i="5"/>
  <c r="A2175" i="5"/>
  <c r="B2175" i="5"/>
  <c r="A2176" i="5"/>
  <c r="B2176" i="5"/>
  <c r="A2177" i="5"/>
  <c r="B2177" i="5"/>
  <c r="A2178" i="5"/>
  <c r="B2178" i="5"/>
  <c r="A2179" i="5"/>
  <c r="B2179" i="5"/>
  <c r="A2180" i="5"/>
  <c r="B2180" i="5"/>
  <c r="A2181" i="5"/>
  <c r="B2181" i="5"/>
  <c r="A2182" i="5"/>
  <c r="B2182" i="5"/>
  <c r="A2183" i="5"/>
  <c r="B2183" i="5"/>
  <c r="A2184" i="5"/>
  <c r="B2184" i="5"/>
  <c r="A2185" i="5"/>
  <c r="B2185" i="5"/>
  <c r="A2186" i="5"/>
  <c r="B2186" i="5"/>
  <c r="A2187" i="5"/>
  <c r="B2187" i="5"/>
  <c r="A2188" i="5"/>
  <c r="B2188" i="5"/>
  <c r="A2189" i="5"/>
  <c r="B2189" i="5"/>
  <c r="A2190" i="5"/>
  <c r="B2190" i="5"/>
  <c r="A2191" i="5"/>
  <c r="B2191" i="5"/>
  <c r="A2192" i="5"/>
  <c r="B2192" i="5"/>
  <c r="A2193" i="5"/>
  <c r="B2193" i="5"/>
  <c r="A2194" i="5"/>
  <c r="B2194" i="5"/>
  <c r="A2195" i="5"/>
  <c r="B2195" i="5"/>
  <c r="A2196" i="5"/>
  <c r="B2196" i="5"/>
  <c r="A2197" i="5"/>
  <c r="B2197" i="5"/>
  <c r="A2198" i="5"/>
  <c r="B2198" i="5"/>
  <c r="A2199" i="5"/>
  <c r="B2199" i="5"/>
  <c r="A2200" i="5"/>
  <c r="B2200" i="5"/>
  <c r="A2201" i="5"/>
  <c r="B2201" i="5"/>
  <c r="A2202" i="5"/>
  <c r="B2202" i="5"/>
  <c r="A2203" i="5"/>
  <c r="B2203" i="5"/>
  <c r="A2204" i="5"/>
  <c r="B2204" i="5"/>
  <c r="A2205" i="5"/>
  <c r="B2205" i="5"/>
  <c r="A2206" i="5"/>
  <c r="B2206" i="5"/>
  <c r="A2207" i="5"/>
  <c r="B2207" i="5"/>
  <c r="A2208" i="5"/>
  <c r="B2208" i="5"/>
  <c r="A2209" i="5"/>
  <c r="B2209" i="5"/>
  <c r="A2210" i="5"/>
  <c r="B2210" i="5"/>
  <c r="A2211" i="5"/>
  <c r="B2211" i="5"/>
  <c r="A2212" i="5"/>
  <c r="B2212" i="5"/>
  <c r="A2213" i="5"/>
  <c r="B2213" i="5"/>
  <c r="A2214" i="5"/>
  <c r="B2214" i="5"/>
  <c r="A2215" i="5"/>
  <c r="B2215" i="5"/>
  <c r="A2216" i="5"/>
  <c r="B2216" i="5"/>
  <c r="A2217" i="5"/>
  <c r="B2217" i="5"/>
  <c r="A2218" i="5"/>
  <c r="B2218" i="5"/>
  <c r="A2219" i="5"/>
  <c r="B2219" i="5"/>
  <c r="A2220" i="5"/>
  <c r="B2220" i="5"/>
  <c r="A2221" i="5"/>
  <c r="B2221" i="5"/>
  <c r="A2222" i="5"/>
  <c r="B2222" i="5"/>
  <c r="A2223" i="5"/>
  <c r="B2223" i="5"/>
  <c r="A2224" i="5"/>
  <c r="B2224" i="5"/>
  <c r="A2225" i="5"/>
  <c r="B2225" i="5"/>
  <c r="A2226" i="5"/>
  <c r="B2226" i="5"/>
  <c r="A2227" i="5"/>
  <c r="B2227" i="5"/>
  <c r="A2228" i="5"/>
  <c r="B2228" i="5"/>
  <c r="A2229" i="5"/>
  <c r="B2229" i="5"/>
  <c r="A2230" i="5"/>
  <c r="B2230" i="5"/>
  <c r="A2231" i="5"/>
  <c r="B2231" i="5"/>
  <c r="A2232" i="5"/>
  <c r="B2232" i="5"/>
  <c r="A2233" i="5"/>
  <c r="B2233" i="5"/>
  <c r="A2234" i="5"/>
  <c r="B2234" i="5"/>
  <c r="A2235" i="5"/>
  <c r="B2235" i="5"/>
  <c r="A2236" i="5"/>
  <c r="B2236" i="5"/>
  <c r="A2237" i="5"/>
  <c r="B2237" i="5"/>
  <c r="A2238" i="5"/>
  <c r="B2238" i="5"/>
  <c r="A2239" i="5"/>
  <c r="B2239" i="5"/>
  <c r="A2240" i="5"/>
  <c r="B2240" i="5"/>
  <c r="A2241" i="5"/>
  <c r="B2241" i="5"/>
  <c r="A2242" i="5"/>
  <c r="B2242" i="5"/>
  <c r="A2243" i="5"/>
  <c r="B2243" i="5"/>
  <c r="A2244" i="5"/>
  <c r="B2244" i="5"/>
  <c r="A2245" i="5"/>
  <c r="B2245" i="5"/>
  <c r="A2246" i="5"/>
  <c r="B2246" i="5"/>
  <c r="A2247" i="5"/>
  <c r="B2247" i="5"/>
  <c r="A2248" i="5"/>
  <c r="B2248" i="5"/>
  <c r="A2249" i="5"/>
  <c r="B2249" i="5"/>
  <c r="A2250" i="5"/>
  <c r="B2250" i="5"/>
  <c r="A2251" i="5"/>
  <c r="B2251" i="5"/>
  <c r="A2252" i="5"/>
  <c r="B2252" i="5"/>
  <c r="A2253" i="5"/>
  <c r="B2253" i="5"/>
  <c r="A2254" i="5"/>
  <c r="B2254" i="5"/>
  <c r="A2255" i="5"/>
  <c r="B2255" i="5"/>
  <c r="A2256" i="5"/>
  <c r="B2256" i="5"/>
  <c r="A2257" i="5"/>
  <c r="B2257" i="5"/>
  <c r="A2258" i="5"/>
  <c r="B2258" i="5"/>
  <c r="A2259" i="5"/>
  <c r="B2259" i="5"/>
  <c r="A2260" i="5"/>
  <c r="B2260" i="5"/>
  <c r="A2261" i="5"/>
  <c r="B2261" i="5"/>
  <c r="A2262" i="5"/>
  <c r="B2262" i="5"/>
  <c r="A2263" i="5"/>
  <c r="B2263" i="5"/>
  <c r="A2264" i="5"/>
  <c r="B2264" i="5"/>
  <c r="A2265" i="5"/>
  <c r="B2265" i="5"/>
  <c r="A2266" i="5"/>
  <c r="B2266" i="5"/>
  <c r="A2267" i="5"/>
  <c r="B2267" i="5"/>
  <c r="A2268" i="5"/>
  <c r="B2268" i="5"/>
  <c r="A2269" i="5"/>
  <c r="B2269" i="5"/>
  <c r="A2270" i="5"/>
  <c r="B2270" i="5"/>
  <c r="A2271" i="5"/>
  <c r="B2271" i="5"/>
  <c r="A2272" i="5"/>
  <c r="B2272" i="5"/>
  <c r="A2273" i="5"/>
  <c r="B2273" i="5"/>
  <c r="A2274" i="5"/>
  <c r="B2274" i="5"/>
  <c r="A2275" i="5"/>
  <c r="B2275" i="5"/>
  <c r="A2276" i="5"/>
  <c r="B2276" i="5"/>
  <c r="A2277" i="5"/>
  <c r="B2277" i="5"/>
  <c r="A2278" i="5"/>
  <c r="B2278" i="5"/>
  <c r="A2279" i="5"/>
  <c r="B2279" i="5"/>
  <c r="A2280" i="5"/>
  <c r="B2280" i="5"/>
  <c r="A2281" i="5"/>
  <c r="B2281" i="5"/>
  <c r="A2282" i="5"/>
  <c r="B2282" i="5"/>
  <c r="A2283" i="5"/>
  <c r="B2283" i="5"/>
  <c r="A2284" i="5"/>
  <c r="B2284" i="5"/>
  <c r="A2285" i="5"/>
  <c r="B2285" i="5"/>
  <c r="A2286" i="5"/>
  <c r="B2286" i="5"/>
  <c r="A2287" i="5"/>
  <c r="B2287" i="5"/>
  <c r="A2288" i="5"/>
  <c r="B2288" i="5"/>
  <c r="A2289" i="5"/>
  <c r="B2289" i="5"/>
  <c r="A2290" i="5"/>
  <c r="B2290" i="5"/>
  <c r="A2291" i="5"/>
  <c r="B2291" i="5"/>
  <c r="A2292" i="5"/>
  <c r="B2292" i="5"/>
  <c r="A2293" i="5"/>
  <c r="B2293" i="5"/>
  <c r="A2294" i="5"/>
  <c r="B2294" i="5"/>
  <c r="A2295" i="5"/>
  <c r="B2295" i="5"/>
  <c r="A2296" i="5"/>
  <c r="B2296" i="5"/>
  <c r="A2297" i="5"/>
  <c r="B2297" i="5"/>
  <c r="A2298" i="5"/>
  <c r="B2298" i="5"/>
  <c r="A2299" i="5"/>
  <c r="B2299" i="5"/>
  <c r="A2300" i="5"/>
  <c r="B2300" i="5"/>
  <c r="A2301" i="5"/>
  <c r="B2301" i="5"/>
  <c r="A2302" i="5"/>
  <c r="B2302" i="5"/>
  <c r="A2303" i="5"/>
  <c r="B2303" i="5"/>
  <c r="A2304" i="5"/>
  <c r="B2304" i="5"/>
  <c r="A2305" i="5"/>
  <c r="B2305" i="5"/>
  <c r="A2306" i="5"/>
  <c r="B2306" i="5"/>
  <c r="A2307" i="5"/>
  <c r="B2307" i="5"/>
  <c r="A2308" i="5"/>
  <c r="B2308" i="5"/>
  <c r="A2309" i="5"/>
  <c r="B2309" i="5"/>
  <c r="A2310" i="5"/>
  <c r="B2310" i="5"/>
  <c r="A2311" i="5"/>
  <c r="B2311" i="5"/>
  <c r="A2312" i="5"/>
  <c r="B2312" i="5"/>
  <c r="A2313" i="5"/>
  <c r="B2313" i="5"/>
  <c r="A2314" i="5"/>
  <c r="B2314" i="5"/>
  <c r="A2315" i="5"/>
  <c r="B2315" i="5"/>
  <c r="A2316" i="5"/>
  <c r="B2316" i="5"/>
  <c r="A2317" i="5"/>
  <c r="B2317" i="5"/>
  <c r="A2318" i="5"/>
  <c r="B2318" i="5"/>
  <c r="A2319" i="5"/>
  <c r="B2319" i="5"/>
  <c r="A2320" i="5"/>
  <c r="B2320" i="5"/>
  <c r="A2321" i="5"/>
  <c r="B2321" i="5"/>
  <c r="A2322" i="5"/>
  <c r="B2322" i="5"/>
  <c r="A2323" i="5"/>
  <c r="B2323" i="5"/>
  <c r="A2324" i="5"/>
  <c r="B2324" i="5"/>
  <c r="A2325" i="5"/>
  <c r="B2325" i="5"/>
  <c r="A2326" i="5"/>
  <c r="B2326" i="5"/>
  <c r="A2327" i="5"/>
  <c r="B2327" i="5"/>
  <c r="A2328" i="5"/>
  <c r="B2328" i="5"/>
  <c r="A2329" i="5"/>
  <c r="B2329" i="5"/>
  <c r="A2330" i="5"/>
  <c r="B2330" i="5"/>
  <c r="A2331" i="5"/>
  <c r="B2331" i="5"/>
  <c r="A2332" i="5"/>
  <c r="B2332" i="5"/>
  <c r="A2333" i="5"/>
  <c r="B2333" i="5"/>
  <c r="A2334" i="5"/>
  <c r="B2334" i="5"/>
  <c r="A2335" i="5"/>
  <c r="B2335" i="5"/>
  <c r="A2336" i="5"/>
  <c r="B2336" i="5"/>
  <c r="A2337" i="5"/>
  <c r="B2337" i="5"/>
  <c r="A2338" i="5"/>
  <c r="B2338" i="5"/>
  <c r="A2339" i="5"/>
  <c r="B2339" i="5"/>
  <c r="A2340" i="5"/>
  <c r="B2340" i="5"/>
  <c r="A2341" i="5"/>
  <c r="B2341" i="5"/>
  <c r="A2342" i="5"/>
  <c r="B2342" i="5"/>
  <c r="A2343" i="5"/>
  <c r="B2343" i="5"/>
  <c r="A2344" i="5"/>
  <c r="B2344" i="5"/>
  <c r="A2345" i="5"/>
  <c r="B2345" i="5"/>
  <c r="A2346" i="5"/>
  <c r="B2346" i="5"/>
  <c r="A2347" i="5"/>
  <c r="B2347" i="5"/>
  <c r="A2348" i="5"/>
  <c r="B2348" i="5"/>
  <c r="A2349" i="5"/>
  <c r="B2349" i="5"/>
  <c r="A2350" i="5"/>
  <c r="B2350" i="5"/>
  <c r="A2351" i="5"/>
  <c r="B2351" i="5"/>
  <c r="A2352" i="5"/>
  <c r="B2352" i="5"/>
  <c r="A2353" i="5"/>
  <c r="B2353" i="5"/>
  <c r="A2354" i="5"/>
  <c r="B2354" i="5"/>
  <c r="A2355" i="5"/>
  <c r="B2355" i="5"/>
  <c r="A2356" i="5"/>
  <c r="B2356" i="5"/>
  <c r="A2357" i="5"/>
  <c r="B2357" i="5"/>
  <c r="A2358" i="5"/>
  <c r="B2358" i="5"/>
  <c r="A2359" i="5"/>
  <c r="B2359" i="5"/>
  <c r="A2360" i="5"/>
  <c r="B2360" i="5"/>
  <c r="A2361" i="5"/>
  <c r="B2361" i="5"/>
  <c r="A2362" i="5"/>
  <c r="B2362" i="5"/>
  <c r="A2363" i="5"/>
  <c r="B2363" i="5"/>
  <c r="A2364" i="5"/>
  <c r="B2364" i="5"/>
  <c r="A2365" i="5"/>
  <c r="B2365" i="5"/>
  <c r="A2366" i="5"/>
  <c r="B2366" i="5"/>
  <c r="A2367" i="5"/>
  <c r="B2367" i="5"/>
  <c r="A2368" i="5"/>
  <c r="B2368" i="5"/>
  <c r="A2369" i="5"/>
  <c r="B2369" i="5"/>
  <c r="A2370" i="5"/>
  <c r="B2370" i="5"/>
  <c r="A2371" i="5"/>
  <c r="B2371" i="5"/>
  <c r="A2372" i="5"/>
  <c r="B2372" i="5"/>
  <c r="A2373" i="5"/>
  <c r="B2373" i="5"/>
  <c r="A2374" i="5"/>
  <c r="B2374" i="5"/>
  <c r="A2375" i="5"/>
  <c r="B2375" i="5"/>
  <c r="A2376" i="5"/>
  <c r="B2376" i="5"/>
  <c r="A2377" i="5"/>
  <c r="B2377" i="5"/>
  <c r="A2378" i="5"/>
  <c r="B2378" i="5"/>
  <c r="A2379" i="5"/>
  <c r="B2379" i="5"/>
  <c r="A2380" i="5"/>
  <c r="B2380" i="5"/>
  <c r="A2381" i="5"/>
  <c r="B2381" i="5"/>
  <c r="A2382" i="5"/>
  <c r="B2382" i="5"/>
  <c r="A2383" i="5"/>
  <c r="B2383" i="5"/>
  <c r="A2384" i="5"/>
  <c r="B2384" i="5"/>
  <c r="A2385" i="5"/>
  <c r="B2385" i="5"/>
  <c r="A2386" i="5"/>
  <c r="B2386" i="5"/>
  <c r="A2387" i="5"/>
  <c r="B2387" i="5"/>
  <c r="A2388" i="5"/>
  <c r="B2388" i="5"/>
  <c r="A2389" i="5"/>
  <c r="B2389" i="5"/>
  <c r="A2390" i="5"/>
  <c r="B2390" i="5"/>
  <c r="A2391" i="5"/>
  <c r="B2391" i="5"/>
  <c r="A2392" i="5"/>
  <c r="B2392" i="5"/>
  <c r="A2393" i="5"/>
  <c r="B2393" i="5"/>
  <c r="A2394" i="5"/>
  <c r="B2394" i="5"/>
  <c r="A2395" i="5"/>
  <c r="B2395" i="5"/>
  <c r="A2396" i="5"/>
  <c r="B2396" i="5"/>
  <c r="A2397" i="5"/>
  <c r="B2397" i="5"/>
  <c r="A2398" i="5"/>
  <c r="B2398" i="5"/>
  <c r="A2399" i="5"/>
  <c r="B2399" i="5"/>
  <c r="A2400" i="5"/>
  <c r="B2400" i="5"/>
  <c r="A2401" i="5"/>
  <c r="B2401" i="5"/>
  <c r="A2402" i="5"/>
  <c r="B2402" i="5"/>
  <c r="A2403" i="5"/>
  <c r="B2403" i="5"/>
  <c r="A2404" i="5"/>
  <c r="B2404" i="5"/>
  <c r="A2405" i="5"/>
  <c r="B2405" i="5"/>
  <c r="A2406" i="5"/>
  <c r="B2406" i="5"/>
  <c r="A2407" i="5"/>
  <c r="B2407" i="5"/>
  <c r="A2408" i="5"/>
  <c r="B2408" i="5"/>
  <c r="A2409" i="5"/>
  <c r="B2409" i="5"/>
  <c r="A2410" i="5"/>
  <c r="B2410" i="5"/>
  <c r="A2411" i="5"/>
  <c r="B2411" i="5"/>
  <c r="A2412" i="5"/>
  <c r="B2412" i="5"/>
  <c r="A2413" i="5"/>
  <c r="B2413" i="5"/>
  <c r="A2414" i="5"/>
  <c r="B2414" i="5"/>
  <c r="A2415" i="5"/>
  <c r="B2415" i="5"/>
  <c r="A2416" i="5"/>
  <c r="B2416" i="5"/>
  <c r="A2417" i="5"/>
  <c r="B2417" i="5"/>
  <c r="A2418" i="5"/>
  <c r="B2418" i="5"/>
  <c r="A2419" i="5"/>
  <c r="B2419" i="5"/>
  <c r="A2420" i="5"/>
  <c r="B2420" i="5"/>
  <c r="A2421" i="5"/>
  <c r="B2421" i="5"/>
  <c r="A2422" i="5"/>
  <c r="B2422" i="5"/>
  <c r="A2423" i="5"/>
  <c r="B2423" i="5"/>
  <c r="A2424" i="5"/>
  <c r="B2424" i="5"/>
  <c r="A2425" i="5"/>
  <c r="B2425" i="5"/>
  <c r="A2426" i="5"/>
  <c r="B2426" i="5"/>
  <c r="A2427" i="5"/>
  <c r="B2427" i="5"/>
  <c r="A2428" i="5"/>
  <c r="B2428" i="5"/>
  <c r="A2429" i="5"/>
  <c r="B2429" i="5"/>
  <c r="A2430" i="5"/>
  <c r="B2430" i="5"/>
  <c r="A2431" i="5"/>
  <c r="B2431" i="5"/>
  <c r="A2432" i="5"/>
  <c r="B2432" i="5"/>
  <c r="A2433" i="5"/>
  <c r="B2433" i="5"/>
  <c r="A2434" i="5"/>
  <c r="B2434" i="5"/>
  <c r="A2435" i="5"/>
  <c r="B2435" i="5"/>
  <c r="A2436" i="5"/>
  <c r="B2436" i="5"/>
  <c r="A2437" i="5"/>
  <c r="B2437" i="5"/>
  <c r="A2438" i="5"/>
  <c r="B2438" i="5"/>
  <c r="A2439" i="5"/>
  <c r="B2439" i="5"/>
  <c r="A2440" i="5"/>
  <c r="B2440" i="5"/>
  <c r="A2441" i="5"/>
  <c r="B2441" i="5"/>
  <c r="A2442" i="5"/>
  <c r="B2442" i="5"/>
  <c r="A2443" i="5"/>
  <c r="B2443" i="5"/>
  <c r="A2444" i="5"/>
  <c r="B2444" i="5"/>
  <c r="A2445" i="5"/>
  <c r="B2445" i="5"/>
  <c r="A2446" i="5"/>
  <c r="B2446" i="5"/>
  <c r="A2447" i="5"/>
  <c r="B2447" i="5"/>
  <c r="A2448" i="5"/>
  <c r="B2448" i="5"/>
  <c r="A2449" i="5"/>
  <c r="B2449" i="5"/>
  <c r="A2450" i="5"/>
  <c r="B2450" i="5"/>
  <c r="A2451" i="5"/>
  <c r="B2451" i="5"/>
  <c r="A2452" i="5"/>
  <c r="B2452" i="5"/>
  <c r="A2453" i="5"/>
  <c r="B2453" i="5"/>
  <c r="A2454" i="5"/>
  <c r="B2454" i="5"/>
  <c r="A2455" i="5"/>
  <c r="B2455" i="5"/>
  <c r="A2456" i="5"/>
  <c r="B2456" i="5"/>
  <c r="A2457" i="5"/>
  <c r="B2457" i="5"/>
  <c r="A2458" i="5"/>
  <c r="B2458" i="5"/>
  <c r="A2459" i="5"/>
  <c r="B2459" i="5"/>
  <c r="A2460" i="5"/>
  <c r="B2460" i="5"/>
  <c r="A2461" i="5"/>
  <c r="B2461" i="5"/>
  <c r="A2462" i="5"/>
  <c r="B2462" i="5"/>
  <c r="A2463" i="5"/>
  <c r="B2463" i="5"/>
  <c r="A2464" i="5"/>
  <c r="B2464" i="5"/>
  <c r="A2465" i="5"/>
  <c r="B2465" i="5"/>
  <c r="A2466" i="5"/>
  <c r="B2466" i="5"/>
  <c r="A2467" i="5"/>
  <c r="B2467" i="5"/>
  <c r="A2468" i="5"/>
  <c r="B2468" i="5"/>
  <c r="A2469" i="5"/>
  <c r="B2469" i="5"/>
  <c r="A2470" i="5"/>
  <c r="B2470" i="5"/>
  <c r="A2471" i="5"/>
  <c r="B2471" i="5"/>
  <c r="A2472" i="5"/>
  <c r="B2472" i="5"/>
  <c r="A2473" i="5"/>
  <c r="B2473" i="5"/>
  <c r="A2474" i="5"/>
  <c r="B2474" i="5"/>
  <c r="A2475" i="5"/>
  <c r="B2475" i="5"/>
  <c r="A2476" i="5"/>
  <c r="B2476" i="5"/>
  <c r="A2477" i="5"/>
  <c r="B2477" i="5"/>
  <c r="A2478" i="5"/>
  <c r="B2478" i="5"/>
  <c r="A2479" i="5"/>
  <c r="B2479" i="5"/>
  <c r="A2480" i="5"/>
  <c r="B2480" i="5"/>
  <c r="A2481" i="5"/>
  <c r="B2481" i="5"/>
  <c r="A2482" i="5"/>
  <c r="B2482" i="5"/>
  <c r="A2483" i="5"/>
  <c r="B2483" i="5"/>
  <c r="A2484" i="5"/>
  <c r="B2484" i="5"/>
  <c r="A2485" i="5"/>
  <c r="B2485" i="5"/>
  <c r="A2486" i="5"/>
  <c r="B2486" i="5"/>
  <c r="A2487" i="5"/>
  <c r="B2487" i="5"/>
  <c r="A2488" i="5"/>
  <c r="B2488" i="5"/>
  <c r="A2489" i="5"/>
  <c r="B2489" i="5"/>
  <c r="A2490" i="5"/>
  <c r="B2490" i="5"/>
  <c r="A2491" i="5"/>
  <c r="B2491" i="5"/>
  <c r="A2492" i="5"/>
  <c r="B2492" i="5"/>
  <c r="A2493" i="5"/>
  <c r="B2493" i="5"/>
  <c r="A2494" i="5"/>
  <c r="B2494" i="5"/>
  <c r="A2495" i="5"/>
  <c r="B2495" i="5"/>
  <c r="A2496" i="5"/>
  <c r="B2496" i="5"/>
  <c r="A2497" i="5"/>
  <c r="B2497" i="5"/>
  <c r="A2498" i="5"/>
  <c r="B2498" i="5"/>
  <c r="A2499" i="5"/>
  <c r="B2499" i="5"/>
  <c r="A2500" i="5"/>
  <c r="B2500" i="5"/>
  <c r="A2501" i="5"/>
  <c r="B2501" i="5"/>
  <c r="A2502" i="5"/>
  <c r="B2502" i="5"/>
  <c r="A2503" i="5"/>
  <c r="B2503" i="5"/>
  <c r="A2504" i="5"/>
  <c r="B2504" i="5"/>
  <c r="A2505" i="5"/>
  <c r="B2505" i="5"/>
  <c r="A2506" i="5"/>
  <c r="B2506" i="5"/>
  <c r="A2507" i="5"/>
  <c r="B2507" i="5"/>
  <c r="A2508" i="5"/>
  <c r="B2508" i="5"/>
  <c r="A2509" i="5"/>
  <c r="B2509" i="5"/>
  <c r="A2510" i="5"/>
  <c r="B2510" i="5"/>
  <c r="A2511" i="5"/>
  <c r="B2511" i="5"/>
  <c r="A2512" i="5"/>
  <c r="B2512" i="5"/>
  <c r="A2513" i="5"/>
  <c r="B2513" i="5"/>
  <c r="A2514" i="5"/>
  <c r="B2514" i="5"/>
  <c r="A2515" i="5"/>
  <c r="B2515" i="5"/>
  <c r="A2516" i="5"/>
  <c r="B2516" i="5"/>
  <c r="A2517" i="5"/>
  <c r="B2517" i="5"/>
  <c r="A2518" i="5"/>
  <c r="B2518" i="5"/>
  <c r="A2519" i="5"/>
  <c r="B2519" i="5"/>
  <c r="A2520" i="5"/>
  <c r="B2520" i="5"/>
  <c r="A2521" i="5"/>
  <c r="B2521" i="5"/>
  <c r="A2522" i="5"/>
  <c r="B2522" i="5"/>
  <c r="A2523" i="5"/>
  <c r="B2523" i="5"/>
  <c r="A2524" i="5"/>
  <c r="B2524" i="5"/>
  <c r="A2525" i="5"/>
  <c r="B2525" i="5"/>
  <c r="A2526" i="5"/>
  <c r="B2526" i="5"/>
  <c r="A2527" i="5"/>
  <c r="B2527" i="5"/>
  <c r="A2528" i="5"/>
  <c r="B2528" i="5"/>
  <c r="A2529" i="5"/>
  <c r="B2529" i="5"/>
  <c r="A2530" i="5"/>
  <c r="B2530" i="5"/>
  <c r="A2531" i="5"/>
  <c r="B2531" i="5"/>
  <c r="A2532" i="5"/>
  <c r="B2532" i="5"/>
  <c r="A2533" i="5"/>
  <c r="B2533" i="5"/>
  <c r="A2534" i="5"/>
  <c r="B2534" i="5"/>
  <c r="A2535" i="5"/>
  <c r="B2535" i="5"/>
  <c r="A2536" i="5"/>
  <c r="B2536" i="5"/>
  <c r="A2537" i="5"/>
  <c r="B2537" i="5"/>
  <c r="A2538" i="5"/>
  <c r="B2538" i="5"/>
  <c r="A2539" i="5"/>
  <c r="B2539" i="5"/>
  <c r="A2540" i="5"/>
  <c r="B2540" i="5"/>
  <c r="A2541" i="5"/>
  <c r="B2541" i="5"/>
  <c r="A2542" i="5"/>
  <c r="B2542" i="5"/>
  <c r="A2543" i="5"/>
  <c r="B2543" i="5"/>
  <c r="A2544" i="5"/>
  <c r="B2544" i="5"/>
  <c r="A2545" i="5"/>
  <c r="B2545" i="5"/>
  <c r="A2546" i="5"/>
  <c r="B2546" i="5"/>
  <c r="A2547" i="5"/>
  <c r="B2547" i="5"/>
  <c r="A2548" i="5"/>
  <c r="B2548" i="5"/>
  <c r="A2549" i="5"/>
  <c r="B2549" i="5"/>
  <c r="A2550" i="5"/>
  <c r="B2550" i="5"/>
  <c r="A2551" i="5"/>
  <c r="B2551" i="5"/>
  <c r="A2552" i="5"/>
  <c r="B2552" i="5"/>
  <c r="A2553" i="5"/>
  <c r="B2553" i="5"/>
  <c r="A2554" i="5"/>
  <c r="B2554" i="5"/>
  <c r="A2555" i="5"/>
  <c r="B2555" i="5"/>
  <c r="A2556" i="5"/>
  <c r="B2556" i="5"/>
  <c r="A2557" i="5"/>
  <c r="B2557" i="5"/>
  <c r="A2558" i="5"/>
  <c r="B2558" i="5"/>
  <c r="A2559" i="5"/>
  <c r="B2559" i="5"/>
  <c r="A2560" i="5"/>
  <c r="B2560" i="5"/>
  <c r="A2561" i="5"/>
  <c r="B2561" i="5"/>
  <c r="A2562" i="5"/>
  <c r="B2562" i="5"/>
  <c r="A2563" i="5"/>
  <c r="B2563" i="5"/>
  <c r="A2564" i="5"/>
  <c r="B2564" i="5"/>
  <c r="A2565" i="5"/>
  <c r="B2565" i="5"/>
  <c r="A2566" i="5"/>
  <c r="B2566" i="5"/>
  <c r="A2567" i="5"/>
  <c r="B2567" i="5"/>
  <c r="A2568" i="5"/>
  <c r="B2568" i="5"/>
  <c r="A2569" i="5"/>
  <c r="B2569" i="5"/>
  <c r="A2570" i="5"/>
  <c r="B2570" i="5"/>
  <c r="A2571" i="5"/>
  <c r="B2571" i="5"/>
  <c r="A2572" i="5"/>
  <c r="B2572" i="5"/>
  <c r="A2573" i="5"/>
  <c r="B2573" i="5"/>
  <c r="A2574" i="5"/>
  <c r="B2574" i="5"/>
  <c r="A2575" i="5"/>
  <c r="B2575" i="5"/>
  <c r="A2576" i="5"/>
  <c r="B2576" i="5"/>
  <c r="A2577" i="5"/>
  <c r="B2577" i="5"/>
  <c r="A2578" i="5"/>
  <c r="B2578" i="5"/>
  <c r="A2579" i="5"/>
  <c r="B2579" i="5"/>
  <c r="A2580" i="5"/>
  <c r="B2580" i="5"/>
  <c r="A2581" i="5"/>
  <c r="B2581" i="5"/>
  <c r="A2582" i="5"/>
  <c r="B2582" i="5"/>
  <c r="A2583" i="5"/>
  <c r="B2583" i="5"/>
  <c r="A2584" i="5"/>
  <c r="B2584" i="5"/>
  <c r="A2585" i="5"/>
  <c r="B2585" i="5"/>
  <c r="A2586" i="5"/>
  <c r="B2586" i="5"/>
  <c r="A2587" i="5"/>
  <c r="B2587" i="5"/>
  <c r="A2588" i="5"/>
  <c r="B2588" i="5"/>
  <c r="A2589" i="5"/>
  <c r="B2589" i="5"/>
  <c r="A2590" i="5"/>
  <c r="B2590" i="5"/>
  <c r="A2591" i="5"/>
  <c r="B2591" i="5"/>
  <c r="A2592" i="5"/>
  <c r="B2592" i="5"/>
  <c r="A2593" i="5"/>
  <c r="B2593" i="5"/>
  <c r="A2594" i="5"/>
  <c r="B2594" i="5"/>
  <c r="A2595" i="5"/>
  <c r="B2595" i="5"/>
  <c r="A2596" i="5"/>
  <c r="B2596" i="5"/>
  <c r="A2597" i="5"/>
  <c r="B2597" i="5"/>
  <c r="A2598" i="5"/>
  <c r="B2598" i="5"/>
  <c r="A2599" i="5"/>
  <c r="B2599" i="5"/>
  <c r="A2600" i="5"/>
  <c r="B2600" i="5"/>
  <c r="A2601" i="5"/>
  <c r="B2601" i="5"/>
  <c r="A2602" i="5"/>
  <c r="B2602" i="5"/>
  <c r="A2603" i="5"/>
  <c r="B2603" i="5"/>
  <c r="A2604" i="5"/>
  <c r="B2604" i="5"/>
  <c r="A2605" i="5"/>
  <c r="B2605" i="5"/>
  <c r="A2606" i="5"/>
  <c r="B2606" i="5"/>
  <c r="A2607" i="5"/>
  <c r="B2607" i="5"/>
  <c r="A2608" i="5"/>
  <c r="B2608" i="5"/>
  <c r="A2609" i="5"/>
  <c r="B2609" i="5"/>
  <c r="A2610" i="5"/>
  <c r="B2610" i="5"/>
  <c r="A2611" i="5"/>
  <c r="B2611" i="5"/>
  <c r="A2612" i="5"/>
  <c r="B2612" i="5"/>
  <c r="A2613" i="5"/>
  <c r="B2613" i="5"/>
  <c r="A2614" i="5"/>
  <c r="B2614" i="5"/>
  <c r="A2615" i="5"/>
  <c r="B2615" i="5"/>
  <c r="A2616" i="5"/>
  <c r="B2616" i="5"/>
  <c r="A2617" i="5"/>
  <c r="B2617" i="5"/>
  <c r="A2618" i="5"/>
  <c r="B2618" i="5"/>
  <c r="A2619" i="5"/>
  <c r="B2619" i="5"/>
  <c r="A2620" i="5"/>
  <c r="B2620" i="5"/>
  <c r="A2621" i="5"/>
  <c r="B2621" i="5"/>
  <c r="A2622" i="5"/>
  <c r="B2622" i="5"/>
  <c r="A2623" i="5"/>
  <c r="B2623" i="5"/>
  <c r="A2624" i="5"/>
  <c r="B2624" i="5"/>
  <c r="A2625" i="5"/>
  <c r="B2625" i="5"/>
  <c r="A2626" i="5"/>
  <c r="B2626" i="5"/>
  <c r="A2627" i="5"/>
  <c r="B2627" i="5"/>
  <c r="A2628" i="5"/>
  <c r="B2628" i="5"/>
  <c r="A2629" i="5"/>
  <c r="B2629" i="5"/>
  <c r="A2630" i="5"/>
  <c r="B2630" i="5"/>
  <c r="A2631" i="5"/>
  <c r="B2631" i="5"/>
  <c r="A2632" i="5"/>
  <c r="B2632" i="5"/>
  <c r="A2633" i="5"/>
  <c r="B2633" i="5"/>
  <c r="A2634" i="5"/>
  <c r="B2634" i="5"/>
  <c r="A2635" i="5"/>
  <c r="B2635" i="5"/>
  <c r="A2636" i="5"/>
  <c r="B2636" i="5"/>
  <c r="A2637" i="5"/>
  <c r="B2637" i="5"/>
  <c r="A2638" i="5"/>
  <c r="B2638" i="5"/>
  <c r="A2639" i="5"/>
  <c r="B2639" i="5"/>
  <c r="A2640" i="5"/>
  <c r="B2640" i="5"/>
  <c r="A2641" i="5"/>
  <c r="B2641" i="5"/>
  <c r="A2642" i="5"/>
  <c r="B2642" i="5"/>
  <c r="A2643" i="5"/>
  <c r="B2643" i="5"/>
  <c r="A2644" i="5"/>
  <c r="B2644" i="5"/>
  <c r="A2645" i="5"/>
  <c r="B2645" i="5"/>
  <c r="A2646" i="5"/>
  <c r="B2646" i="5"/>
  <c r="A2647" i="5"/>
  <c r="B2647" i="5"/>
  <c r="A2648" i="5"/>
  <c r="B2648" i="5"/>
  <c r="A2649" i="5"/>
  <c r="B2649" i="5"/>
  <c r="A2650" i="5"/>
  <c r="B2650" i="5"/>
  <c r="A2651" i="5"/>
  <c r="B2651" i="5"/>
  <c r="A2652" i="5"/>
  <c r="B2652" i="5"/>
  <c r="A2653" i="5"/>
  <c r="B2653" i="5"/>
  <c r="A2654" i="5"/>
  <c r="B2654" i="5"/>
  <c r="A2655" i="5"/>
  <c r="B2655" i="5"/>
  <c r="A2656" i="5"/>
  <c r="B2656" i="5"/>
  <c r="A2657" i="5"/>
  <c r="B2657" i="5"/>
  <c r="A2658" i="5"/>
  <c r="B2658" i="5"/>
  <c r="A2659" i="5"/>
  <c r="B2659" i="5"/>
  <c r="A2660" i="5"/>
  <c r="B2660" i="5"/>
  <c r="A2661" i="5"/>
  <c r="B2661" i="5"/>
  <c r="A2662" i="5"/>
  <c r="B2662" i="5"/>
  <c r="A2663" i="5"/>
  <c r="B2663" i="5"/>
  <c r="A2664" i="5"/>
  <c r="B2664" i="5"/>
  <c r="A2665" i="5"/>
  <c r="B2665" i="5"/>
  <c r="A2666" i="5"/>
  <c r="B2666" i="5"/>
  <c r="A2667" i="5"/>
  <c r="B2667" i="5"/>
  <c r="A2668" i="5"/>
  <c r="B2668" i="5"/>
  <c r="A2669" i="5"/>
  <c r="B2669" i="5"/>
  <c r="A2670" i="5"/>
  <c r="B2670" i="5"/>
  <c r="A2671" i="5"/>
  <c r="B2671" i="5"/>
  <c r="A2672" i="5"/>
  <c r="B2672" i="5"/>
  <c r="A2673" i="5"/>
  <c r="B2673" i="5"/>
  <c r="A2674" i="5"/>
  <c r="B2674" i="5"/>
  <c r="A2675" i="5"/>
  <c r="B2675" i="5"/>
  <c r="A2676" i="5"/>
  <c r="B2676" i="5"/>
  <c r="A2677" i="5"/>
  <c r="B2677" i="5"/>
  <c r="A2678" i="5"/>
  <c r="B2678" i="5"/>
  <c r="A2679" i="5"/>
  <c r="B2679" i="5"/>
  <c r="A2680" i="5"/>
  <c r="B2680" i="5"/>
  <c r="A2681" i="5"/>
  <c r="B2681" i="5"/>
  <c r="A2682" i="5"/>
  <c r="B2682" i="5"/>
  <c r="A2683" i="5"/>
  <c r="B2683" i="5"/>
  <c r="A2684" i="5"/>
  <c r="B2684" i="5"/>
  <c r="A2685" i="5"/>
  <c r="B2685" i="5"/>
  <c r="A2686" i="5"/>
  <c r="B2686" i="5"/>
  <c r="A2687" i="5"/>
  <c r="B2687" i="5"/>
  <c r="A2688" i="5"/>
  <c r="B2688" i="5"/>
  <c r="A2689" i="5"/>
  <c r="B2689" i="5"/>
  <c r="A2690" i="5"/>
  <c r="B2690" i="5"/>
  <c r="A2691" i="5"/>
  <c r="B2691" i="5"/>
  <c r="A2692" i="5"/>
  <c r="B2692" i="5"/>
  <c r="A2693" i="5"/>
  <c r="B2693" i="5"/>
  <c r="A2694" i="5"/>
  <c r="B2694" i="5"/>
  <c r="A2695" i="5"/>
  <c r="B2695" i="5"/>
  <c r="A2696" i="5"/>
  <c r="B2696" i="5"/>
  <c r="A2697" i="5"/>
  <c r="B2697" i="5"/>
  <c r="A2698" i="5"/>
  <c r="B2698" i="5"/>
  <c r="A2699" i="5"/>
  <c r="B2699" i="5"/>
  <c r="A2700" i="5"/>
  <c r="B2700" i="5"/>
  <c r="A2701" i="5"/>
  <c r="B2701" i="5"/>
  <c r="A2702" i="5"/>
  <c r="B2702" i="5"/>
  <c r="A2703" i="5"/>
  <c r="B2703" i="5"/>
  <c r="A2704" i="5"/>
  <c r="B2704" i="5"/>
  <c r="A2705" i="5"/>
  <c r="B2705" i="5"/>
  <c r="A2706" i="5"/>
  <c r="B2706" i="5"/>
  <c r="A2707" i="5"/>
  <c r="B2707" i="5"/>
  <c r="A2708" i="5"/>
  <c r="B2708" i="5"/>
  <c r="A2709" i="5"/>
  <c r="B2709" i="5"/>
  <c r="A2710" i="5"/>
  <c r="B2710" i="5"/>
  <c r="A2711" i="5"/>
  <c r="B2711" i="5"/>
  <c r="A2712" i="5"/>
  <c r="B2712" i="5"/>
  <c r="A2713" i="5"/>
  <c r="B2713" i="5"/>
  <c r="A2714" i="5"/>
  <c r="B2714" i="5"/>
  <c r="A2715" i="5"/>
  <c r="B2715" i="5"/>
  <c r="A2716" i="5"/>
  <c r="B2716" i="5"/>
  <c r="A2717" i="5"/>
  <c r="B2717" i="5"/>
  <c r="A2718" i="5"/>
  <c r="B2718" i="5"/>
  <c r="A2719" i="5"/>
  <c r="B2719" i="5"/>
  <c r="A2720" i="5"/>
  <c r="B2720" i="5"/>
  <c r="A2721" i="5"/>
  <c r="B2721" i="5"/>
  <c r="A2722" i="5"/>
  <c r="B2722" i="5"/>
  <c r="A2723" i="5"/>
  <c r="B2723" i="5"/>
  <c r="A2724" i="5"/>
  <c r="B2724" i="5"/>
  <c r="A2725" i="5"/>
  <c r="B2725" i="5"/>
  <c r="A2726" i="5"/>
  <c r="B2726" i="5"/>
  <c r="A2727" i="5"/>
  <c r="B2727" i="5"/>
  <c r="A2728" i="5"/>
  <c r="B2728" i="5"/>
  <c r="A2729" i="5"/>
  <c r="B2729" i="5"/>
  <c r="A2730" i="5"/>
  <c r="B2730" i="5"/>
  <c r="A2731" i="5"/>
  <c r="B2731" i="5"/>
  <c r="A2732" i="5"/>
  <c r="B2732" i="5"/>
  <c r="A2733" i="5"/>
  <c r="B2733" i="5"/>
  <c r="A2734" i="5"/>
  <c r="B2734" i="5"/>
  <c r="A2735" i="5"/>
  <c r="B2735" i="5"/>
  <c r="A2736" i="5"/>
  <c r="B2736" i="5"/>
  <c r="A2737" i="5"/>
  <c r="B2737" i="5"/>
  <c r="A2738" i="5"/>
  <c r="B2738" i="5"/>
  <c r="A2739" i="5"/>
  <c r="B2739" i="5"/>
  <c r="A2740" i="5"/>
  <c r="B2740" i="5"/>
  <c r="A2741" i="5"/>
  <c r="B2741" i="5"/>
  <c r="A2742" i="5"/>
  <c r="B2742" i="5"/>
  <c r="A2743" i="5"/>
  <c r="B2743" i="5"/>
  <c r="A2744" i="5"/>
  <c r="B2744" i="5"/>
  <c r="A2745" i="5"/>
  <c r="B2745" i="5"/>
  <c r="A2746" i="5"/>
  <c r="B2746" i="5"/>
  <c r="A2747" i="5"/>
  <c r="B2747" i="5"/>
  <c r="A2748" i="5"/>
  <c r="B2748" i="5"/>
  <c r="A2749" i="5"/>
  <c r="B2749" i="5"/>
  <c r="A2750" i="5"/>
  <c r="B2750" i="5"/>
  <c r="A2751" i="5"/>
  <c r="B2751" i="5"/>
  <c r="A2752" i="5"/>
  <c r="B2752" i="5"/>
  <c r="A2753" i="5"/>
  <c r="B2753" i="5"/>
  <c r="A2754" i="5"/>
  <c r="B2754" i="5"/>
  <c r="A2755" i="5"/>
  <c r="B2755" i="5"/>
  <c r="A2756" i="5"/>
  <c r="B2756" i="5"/>
  <c r="A2757" i="5"/>
  <c r="B2757" i="5"/>
  <c r="A2758" i="5"/>
  <c r="B2758" i="5"/>
  <c r="A2759" i="5"/>
  <c r="B2759" i="5"/>
  <c r="A2760" i="5"/>
  <c r="B2760" i="5"/>
  <c r="A2761" i="5"/>
  <c r="B2761" i="5"/>
  <c r="A2762" i="5"/>
  <c r="B2762" i="5"/>
  <c r="A2763" i="5"/>
  <c r="B2763" i="5"/>
  <c r="A2764" i="5"/>
  <c r="B2764" i="5"/>
  <c r="A2765" i="5"/>
  <c r="B2765" i="5"/>
  <c r="A2766" i="5"/>
  <c r="B2766" i="5"/>
  <c r="A2767" i="5"/>
  <c r="B2767" i="5"/>
  <c r="A2768" i="5"/>
  <c r="B2768" i="5"/>
  <c r="A2769" i="5"/>
  <c r="B2769" i="5"/>
  <c r="A2770" i="5"/>
  <c r="B2770" i="5"/>
  <c r="A2771" i="5"/>
  <c r="B2771" i="5"/>
  <c r="A2772" i="5"/>
  <c r="B2772" i="5"/>
  <c r="A2773" i="5"/>
  <c r="B2773" i="5"/>
  <c r="A2774" i="5"/>
  <c r="B2774" i="5"/>
  <c r="A2775" i="5"/>
  <c r="B2775" i="5"/>
  <c r="A2776" i="5"/>
  <c r="B2776" i="5"/>
  <c r="A2777" i="5"/>
  <c r="B2777" i="5"/>
  <c r="A2778" i="5"/>
  <c r="B2778" i="5"/>
  <c r="A2779" i="5"/>
  <c r="B2779" i="5"/>
  <c r="A2780" i="5"/>
  <c r="B2780" i="5"/>
  <c r="A2781" i="5"/>
  <c r="B2781" i="5"/>
  <c r="A2782" i="5"/>
  <c r="B2782" i="5"/>
  <c r="A2783" i="5"/>
  <c r="B2783" i="5"/>
  <c r="A2784" i="5"/>
  <c r="B2784" i="5"/>
  <c r="A2785" i="5"/>
  <c r="B2785" i="5"/>
  <c r="A2786" i="5"/>
  <c r="B2786" i="5"/>
  <c r="A2787" i="5"/>
  <c r="B2787" i="5"/>
  <c r="A2788" i="5"/>
  <c r="B2788" i="5"/>
  <c r="A2789" i="5"/>
  <c r="B2789" i="5"/>
  <c r="A2790" i="5"/>
  <c r="B2790" i="5"/>
  <c r="A2791" i="5"/>
  <c r="B2791" i="5"/>
  <c r="A2792" i="5"/>
  <c r="B2792" i="5"/>
  <c r="A2793" i="5"/>
  <c r="B2793" i="5"/>
  <c r="A2794" i="5"/>
  <c r="B2794" i="5"/>
  <c r="A2795" i="5"/>
  <c r="B2795" i="5"/>
  <c r="A2796" i="5"/>
  <c r="B2796" i="5"/>
  <c r="A2797" i="5"/>
  <c r="B2797" i="5"/>
  <c r="A2798" i="5"/>
  <c r="B2798" i="5"/>
  <c r="A2799" i="5"/>
  <c r="B2799" i="5"/>
  <c r="A2800" i="5"/>
  <c r="B2800" i="5"/>
  <c r="A2801" i="5"/>
  <c r="B2801" i="5"/>
  <c r="A2802" i="5"/>
  <c r="B2802" i="5"/>
  <c r="A2803" i="5"/>
  <c r="B2803" i="5"/>
  <c r="A2804" i="5"/>
  <c r="B2804" i="5"/>
  <c r="A2805" i="5"/>
  <c r="B2805" i="5"/>
  <c r="A2806" i="5"/>
  <c r="B2806" i="5"/>
  <c r="A2807" i="5"/>
  <c r="B2807" i="5"/>
  <c r="A2808" i="5"/>
  <c r="B2808" i="5"/>
  <c r="A2809" i="5"/>
  <c r="B2809" i="5"/>
  <c r="A2810" i="5"/>
  <c r="B2810" i="5"/>
  <c r="A2811" i="5"/>
  <c r="B2811" i="5"/>
  <c r="A2812" i="5"/>
  <c r="B2812" i="5"/>
  <c r="A2813" i="5"/>
  <c r="B2813" i="5"/>
  <c r="A2814" i="5"/>
  <c r="B2814" i="5"/>
  <c r="A2815" i="5"/>
  <c r="B2815" i="5"/>
  <c r="A2816" i="5"/>
  <c r="B2816" i="5"/>
  <c r="A2817" i="5"/>
  <c r="B2817" i="5"/>
  <c r="A2818" i="5"/>
  <c r="B2818" i="5"/>
  <c r="A2819" i="5"/>
  <c r="B2819" i="5"/>
  <c r="A2820" i="5"/>
  <c r="B2820" i="5"/>
  <c r="A2821" i="5"/>
  <c r="B2821" i="5"/>
  <c r="A2822" i="5"/>
  <c r="B2822" i="5"/>
  <c r="A2823" i="5"/>
  <c r="B2823" i="5"/>
  <c r="A2824" i="5"/>
  <c r="B2824" i="5"/>
  <c r="A2825" i="5"/>
  <c r="B2825" i="5"/>
  <c r="A2826" i="5"/>
  <c r="B2826" i="5"/>
  <c r="A2827" i="5"/>
  <c r="B2827" i="5"/>
  <c r="A2828" i="5"/>
  <c r="B2828" i="5"/>
  <c r="A2829" i="5"/>
  <c r="B2829" i="5"/>
  <c r="A2830" i="5"/>
  <c r="B2830" i="5"/>
  <c r="A2831" i="5"/>
  <c r="B2831" i="5"/>
  <c r="A2832" i="5"/>
  <c r="B2832" i="5"/>
  <c r="A2833" i="5"/>
  <c r="B2833" i="5"/>
  <c r="A2834" i="5"/>
  <c r="B2834" i="5"/>
  <c r="A2835" i="5"/>
  <c r="B2835" i="5"/>
  <c r="A2836" i="5"/>
  <c r="B2836" i="5"/>
  <c r="A2837" i="5"/>
  <c r="B2837" i="5"/>
  <c r="A2838" i="5"/>
  <c r="B2838" i="5"/>
  <c r="A2839" i="5"/>
  <c r="B2839" i="5"/>
  <c r="A2840" i="5"/>
  <c r="B2840" i="5"/>
  <c r="A2841" i="5"/>
  <c r="B2841" i="5"/>
  <c r="A2842" i="5"/>
  <c r="B2842" i="5"/>
  <c r="A2843" i="5"/>
  <c r="B2843" i="5"/>
  <c r="A2844" i="5"/>
  <c r="B2844" i="5"/>
  <c r="A2845" i="5"/>
  <c r="B2845" i="5"/>
  <c r="A2846" i="5"/>
  <c r="B2846" i="5"/>
  <c r="A2847" i="5"/>
  <c r="B2847" i="5"/>
  <c r="A2848" i="5"/>
  <c r="B2848" i="5"/>
  <c r="A2849" i="5"/>
  <c r="B2849" i="5"/>
  <c r="A2850" i="5"/>
  <c r="B2850" i="5"/>
  <c r="A2851" i="5"/>
  <c r="B2851" i="5"/>
  <c r="A2852" i="5"/>
  <c r="B2852" i="5"/>
  <c r="A2853" i="5"/>
  <c r="B2853" i="5"/>
  <c r="A2854" i="5"/>
  <c r="B2854" i="5"/>
  <c r="A2855" i="5"/>
  <c r="B2855" i="5"/>
  <c r="A2856" i="5"/>
  <c r="B2856" i="5"/>
  <c r="A2857" i="5"/>
  <c r="B2857" i="5"/>
  <c r="A2858" i="5"/>
  <c r="B2858" i="5"/>
  <c r="A2859" i="5"/>
  <c r="B2859" i="5"/>
  <c r="A2860" i="5"/>
  <c r="B2860" i="5"/>
  <c r="A2861" i="5"/>
  <c r="B2861" i="5"/>
  <c r="A2862" i="5"/>
  <c r="B2862" i="5"/>
  <c r="A2863" i="5"/>
  <c r="B2863" i="5"/>
  <c r="A2864" i="5"/>
  <c r="B2864" i="5"/>
  <c r="A2865" i="5"/>
  <c r="B2865" i="5"/>
  <c r="A2866" i="5"/>
  <c r="B2866" i="5"/>
  <c r="A2867" i="5"/>
  <c r="B2867" i="5"/>
  <c r="A2868" i="5"/>
  <c r="B2868" i="5"/>
  <c r="A2869" i="5"/>
  <c r="B2869" i="5"/>
  <c r="A2870" i="5"/>
  <c r="B2870" i="5"/>
  <c r="A2871" i="5"/>
  <c r="B2871" i="5"/>
  <c r="A2872" i="5"/>
  <c r="B2872" i="5"/>
  <c r="A2873" i="5"/>
  <c r="B2873" i="5"/>
  <c r="A2874" i="5"/>
  <c r="B2874" i="5"/>
  <c r="A2875" i="5"/>
  <c r="B2875" i="5"/>
  <c r="A2876" i="5"/>
  <c r="B2876" i="5"/>
  <c r="A2877" i="5"/>
  <c r="B2877" i="5"/>
  <c r="A2878" i="5"/>
  <c r="B2878" i="5"/>
  <c r="A2879" i="5"/>
  <c r="B2879" i="5"/>
  <c r="A2880" i="5"/>
  <c r="B2880" i="5"/>
  <c r="A2881" i="5"/>
  <c r="B2881" i="5"/>
  <c r="A2882" i="5"/>
  <c r="B2882" i="5"/>
  <c r="A2883" i="5"/>
  <c r="B2883" i="5"/>
  <c r="A2884" i="5"/>
  <c r="B2884" i="5"/>
  <c r="A2885" i="5"/>
  <c r="B2885" i="5"/>
  <c r="A2886" i="5"/>
  <c r="B2886" i="5"/>
  <c r="A2887" i="5"/>
  <c r="B2887" i="5"/>
  <c r="A2888" i="5"/>
  <c r="B2888" i="5"/>
  <c r="A2889" i="5"/>
  <c r="B2889" i="5"/>
  <c r="A2890" i="5"/>
  <c r="B2890" i="5"/>
  <c r="A2891" i="5"/>
  <c r="B2891" i="5"/>
  <c r="A2892" i="5"/>
  <c r="B2892" i="5"/>
  <c r="A2893" i="5"/>
  <c r="B2893" i="5"/>
  <c r="A2894" i="5"/>
  <c r="B2894" i="5"/>
  <c r="A2895" i="5"/>
  <c r="B2895" i="5"/>
  <c r="A2896" i="5"/>
  <c r="B2896" i="5"/>
  <c r="A2897" i="5"/>
  <c r="B2897" i="5"/>
  <c r="A2898" i="5"/>
  <c r="B2898" i="5"/>
  <c r="A2899" i="5"/>
  <c r="B2899" i="5"/>
  <c r="A2900" i="5"/>
  <c r="B2900" i="5"/>
  <c r="A2901" i="5"/>
  <c r="B2901" i="5"/>
  <c r="A2902" i="5"/>
  <c r="B2902" i="5"/>
  <c r="A2903" i="5"/>
  <c r="B2903" i="5"/>
  <c r="A2904" i="5"/>
  <c r="B2904" i="5"/>
  <c r="A2905" i="5"/>
  <c r="B2905" i="5"/>
  <c r="A2906" i="5"/>
  <c r="B2906" i="5"/>
  <c r="A2907" i="5"/>
  <c r="B2907" i="5"/>
  <c r="A2908" i="5"/>
  <c r="B2908" i="5"/>
  <c r="A2909" i="5"/>
  <c r="B2909" i="5"/>
  <c r="A2910" i="5"/>
  <c r="B2910" i="5"/>
  <c r="A2911" i="5"/>
  <c r="B2911" i="5"/>
  <c r="A2912" i="5"/>
  <c r="B2912" i="5"/>
  <c r="A2913" i="5"/>
  <c r="B2913" i="5"/>
  <c r="A2914" i="5"/>
  <c r="B2914" i="5"/>
  <c r="A2915" i="5"/>
  <c r="B2915" i="5"/>
  <c r="A2916" i="5"/>
  <c r="B2916" i="5"/>
  <c r="A2917" i="5"/>
  <c r="B2917" i="5"/>
  <c r="A2918" i="5"/>
  <c r="B2918" i="5"/>
  <c r="A2919" i="5"/>
  <c r="B2919" i="5"/>
  <c r="A2920" i="5"/>
  <c r="B2920" i="5"/>
  <c r="A2921" i="5"/>
  <c r="B2921" i="5"/>
  <c r="A2922" i="5"/>
  <c r="B2922" i="5"/>
  <c r="A2923" i="5"/>
  <c r="B2923" i="5"/>
  <c r="A2924" i="5"/>
  <c r="B2924" i="5"/>
  <c r="A2925" i="5"/>
  <c r="B2925" i="5"/>
  <c r="A2926" i="5"/>
  <c r="B2926" i="5"/>
  <c r="A2927" i="5"/>
  <c r="B2927" i="5"/>
  <c r="A2928" i="5"/>
  <c r="B2928" i="5"/>
  <c r="A2929" i="5"/>
  <c r="B2929" i="5"/>
  <c r="A2930" i="5"/>
  <c r="B2930" i="5"/>
  <c r="A2931" i="5"/>
  <c r="B2931" i="5"/>
  <c r="A2932" i="5"/>
  <c r="B2932" i="5"/>
  <c r="A2933" i="5"/>
  <c r="B2933" i="5"/>
  <c r="A2934" i="5"/>
  <c r="B2934" i="5"/>
  <c r="A2935" i="5"/>
  <c r="B2935" i="5"/>
  <c r="A2936" i="5"/>
  <c r="B2936" i="5"/>
  <c r="A2937" i="5"/>
  <c r="B2937" i="5"/>
  <c r="A2938" i="5"/>
  <c r="B2938" i="5"/>
  <c r="A2939" i="5"/>
  <c r="B2939" i="5"/>
  <c r="A2940" i="5"/>
  <c r="B2940" i="5"/>
  <c r="A2941" i="5"/>
  <c r="B2941" i="5"/>
  <c r="A2942" i="5"/>
  <c r="B2942" i="5"/>
  <c r="A2943" i="5"/>
  <c r="B2943" i="5"/>
  <c r="A2944" i="5"/>
  <c r="B2944" i="5"/>
  <c r="A2945" i="5"/>
  <c r="B2945" i="5"/>
  <c r="A2946" i="5"/>
  <c r="B2946" i="5"/>
  <c r="A2947" i="5"/>
  <c r="B2947" i="5"/>
  <c r="A2948" i="5"/>
  <c r="B2948" i="5"/>
  <c r="A2949" i="5"/>
  <c r="B2949" i="5"/>
  <c r="A2950" i="5"/>
  <c r="B2950" i="5"/>
  <c r="A2951" i="5"/>
  <c r="B2951" i="5"/>
  <c r="A2952" i="5"/>
  <c r="B2952" i="5"/>
  <c r="A2953" i="5"/>
  <c r="B2953" i="5"/>
  <c r="A2954" i="5"/>
  <c r="B2954" i="5"/>
  <c r="A2955" i="5"/>
  <c r="B2955" i="5"/>
  <c r="A2956" i="5"/>
  <c r="B2956" i="5"/>
  <c r="A2957" i="5"/>
  <c r="B2957" i="5"/>
  <c r="A2958" i="5"/>
  <c r="B2958" i="5"/>
  <c r="A2959" i="5"/>
  <c r="B2959" i="5"/>
  <c r="A2960" i="5"/>
  <c r="B2960" i="5"/>
  <c r="A2961" i="5"/>
  <c r="B2961" i="5"/>
  <c r="A2962" i="5"/>
  <c r="B2962" i="5"/>
  <c r="A2963" i="5"/>
  <c r="B2963" i="5"/>
  <c r="A2964" i="5"/>
  <c r="B2964" i="5"/>
  <c r="A2965" i="5"/>
  <c r="B2965" i="5"/>
  <c r="A2966" i="5"/>
  <c r="B2966" i="5"/>
  <c r="A2967" i="5"/>
  <c r="B2967" i="5"/>
  <c r="A2968" i="5"/>
  <c r="B2968" i="5"/>
  <c r="A2969" i="5"/>
  <c r="B2969" i="5"/>
  <c r="A2970" i="5"/>
  <c r="B2970" i="5"/>
  <c r="A2971" i="5"/>
  <c r="B2971" i="5"/>
  <c r="A2972" i="5"/>
  <c r="B2972" i="5"/>
  <c r="A2973" i="5"/>
  <c r="B2973" i="5"/>
  <c r="A2974" i="5"/>
  <c r="B2974" i="5"/>
  <c r="A2975" i="5"/>
  <c r="B2975" i="5"/>
  <c r="A2976" i="5"/>
  <c r="B2976" i="5"/>
  <c r="A2977" i="5"/>
  <c r="B2977" i="5"/>
  <c r="A2978" i="5"/>
  <c r="B2978" i="5"/>
  <c r="A2979" i="5"/>
  <c r="B2979" i="5"/>
  <c r="A2980" i="5"/>
  <c r="B2980" i="5"/>
  <c r="A2981" i="5"/>
  <c r="B2981" i="5"/>
  <c r="A2982" i="5"/>
  <c r="B2982" i="5"/>
  <c r="A2983" i="5"/>
  <c r="B2983" i="5"/>
  <c r="A2984" i="5"/>
  <c r="B2984" i="5"/>
  <c r="A2985" i="5"/>
  <c r="B2985" i="5"/>
  <c r="A2986" i="5"/>
  <c r="B2986" i="5"/>
  <c r="A2987" i="5"/>
  <c r="B2987" i="5"/>
  <c r="A2988" i="5"/>
  <c r="B2988" i="5"/>
  <c r="A2989" i="5"/>
  <c r="B2989" i="5"/>
  <c r="A2990" i="5"/>
  <c r="B2990" i="5"/>
  <c r="A2991" i="5"/>
  <c r="B2991" i="5"/>
  <c r="A2992" i="5"/>
  <c r="B2992" i="5"/>
  <c r="A2993" i="5"/>
  <c r="B2993" i="5"/>
  <c r="A2994" i="5"/>
  <c r="B2994" i="5"/>
  <c r="A2995" i="5"/>
  <c r="B2995" i="5"/>
  <c r="A2996" i="5"/>
  <c r="B2996" i="5"/>
  <c r="A2997" i="5"/>
  <c r="B2997" i="5"/>
  <c r="A2998" i="5"/>
  <c r="B2998" i="5"/>
  <c r="A2999" i="5"/>
  <c r="B2999" i="5"/>
  <c r="A3000" i="5"/>
  <c r="B3000" i="5"/>
  <c r="A3001" i="5"/>
  <c r="B3001" i="5"/>
  <c r="A3002" i="5"/>
  <c r="B3002" i="5"/>
  <c r="A3003" i="5"/>
  <c r="B3003" i="5"/>
  <c r="A3004" i="5"/>
  <c r="B3004" i="5"/>
  <c r="A3005" i="5"/>
  <c r="B3005" i="5"/>
  <c r="A3006" i="5"/>
  <c r="B3006" i="5"/>
  <c r="A3007" i="5"/>
  <c r="B3007" i="5"/>
  <c r="A3008" i="5"/>
  <c r="B3008" i="5"/>
  <c r="A3009" i="5"/>
  <c r="B3009" i="5"/>
  <c r="A3010" i="5"/>
  <c r="B3010" i="5"/>
  <c r="A3011" i="5"/>
  <c r="B3011" i="5"/>
  <c r="A3012" i="5"/>
  <c r="B3012" i="5"/>
  <c r="A3013" i="5"/>
  <c r="B3013" i="5"/>
  <c r="A3014" i="5"/>
  <c r="B3014" i="5"/>
  <c r="A3015" i="5"/>
  <c r="B3015" i="5"/>
  <c r="A3016" i="5"/>
  <c r="B3016" i="5"/>
  <c r="A3017" i="5"/>
  <c r="B3017" i="5"/>
  <c r="A3018" i="5"/>
  <c r="B3018" i="5"/>
  <c r="A3019" i="5"/>
  <c r="B3019" i="5"/>
  <c r="A3020" i="5"/>
  <c r="B3020" i="5"/>
  <c r="A3021" i="5"/>
  <c r="B3021" i="5"/>
  <c r="A3022" i="5"/>
  <c r="B3022" i="5"/>
  <c r="A3023" i="5"/>
  <c r="B3023" i="5"/>
  <c r="A3024" i="5"/>
  <c r="B3024" i="5"/>
  <c r="A3025" i="5"/>
  <c r="B3025" i="5"/>
  <c r="A3026" i="5"/>
  <c r="B3026" i="5"/>
  <c r="A3027" i="5"/>
  <c r="B3027" i="5"/>
  <c r="A3028" i="5"/>
  <c r="B3028" i="5"/>
  <c r="A3029" i="5"/>
  <c r="B3029" i="5"/>
  <c r="A3030" i="5"/>
  <c r="B3030" i="5"/>
  <c r="A3031" i="5"/>
  <c r="B3031" i="5"/>
  <c r="A3032" i="5"/>
  <c r="B3032" i="5"/>
  <c r="A3033" i="5"/>
  <c r="B3033" i="5"/>
  <c r="A3034" i="5"/>
  <c r="B3034" i="5"/>
  <c r="A3035" i="5"/>
  <c r="B3035" i="5"/>
  <c r="A3036" i="5"/>
  <c r="B3036" i="5"/>
  <c r="A3037" i="5"/>
  <c r="B3037" i="5"/>
  <c r="A3038" i="5"/>
  <c r="B3038" i="5"/>
  <c r="A3039" i="5"/>
  <c r="B3039" i="5"/>
  <c r="A3040" i="5"/>
  <c r="B3040" i="5"/>
  <c r="A3041" i="5"/>
  <c r="B3041" i="5"/>
  <c r="A3042" i="5"/>
  <c r="B3042" i="5"/>
  <c r="A3043" i="5"/>
  <c r="B3043" i="5"/>
  <c r="A3044" i="5"/>
  <c r="B3044" i="5"/>
  <c r="A3045" i="5"/>
  <c r="B3045" i="5"/>
  <c r="A3046" i="5"/>
  <c r="B3046" i="5"/>
  <c r="A3047" i="5"/>
  <c r="B3047" i="5"/>
  <c r="A3048" i="5"/>
  <c r="B3048" i="5"/>
  <c r="A3049" i="5"/>
  <c r="B3049" i="5"/>
  <c r="A3050" i="5"/>
  <c r="B3050" i="5"/>
  <c r="A3051" i="5"/>
  <c r="B3051" i="5"/>
  <c r="A3052" i="5"/>
  <c r="B3052" i="5"/>
  <c r="A3053" i="5"/>
  <c r="B3053" i="5"/>
  <c r="A3054" i="5"/>
  <c r="B3054" i="5"/>
  <c r="A3055" i="5"/>
  <c r="B3055" i="5"/>
  <c r="A3056" i="5"/>
  <c r="B3056" i="5"/>
  <c r="A3057" i="5"/>
  <c r="B3057" i="5"/>
  <c r="A3058" i="5"/>
  <c r="B3058" i="5"/>
  <c r="A3059" i="5"/>
  <c r="B3059" i="5"/>
  <c r="A3060" i="5"/>
  <c r="B3060" i="5"/>
  <c r="A3061" i="5"/>
  <c r="B3061" i="5"/>
  <c r="A3062" i="5"/>
  <c r="B3062" i="5"/>
  <c r="A3063" i="5"/>
  <c r="B3063" i="5"/>
  <c r="A3064" i="5"/>
  <c r="B3064" i="5"/>
  <c r="A3065" i="5"/>
  <c r="B3065" i="5"/>
  <c r="A3066" i="5"/>
  <c r="B3066" i="5"/>
  <c r="A3067" i="5"/>
  <c r="B3067" i="5"/>
  <c r="A3068" i="5"/>
  <c r="B3068" i="5"/>
  <c r="A3069" i="5"/>
  <c r="B3069" i="5"/>
  <c r="A3070" i="5"/>
  <c r="B3070" i="5"/>
  <c r="A3071" i="5"/>
  <c r="B3071" i="5"/>
  <c r="A3072" i="5"/>
  <c r="B3072" i="5"/>
  <c r="A3073" i="5"/>
  <c r="B3073" i="5"/>
  <c r="A3074" i="5"/>
  <c r="B3074" i="5"/>
  <c r="A3075" i="5"/>
  <c r="B3075" i="5"/>
  <c r="A3076" i="5"/>
  <c r="B3076" i="5"/>
  <c r="A3077" i="5"/>
  <c r="B3077" i="5"/>
  <c r="A3078" i="5"/>
  <c r="B3078" i="5"/>
  <c r="A3079" i="5"/>
  <c r="B3079" i="5"/>
  <c r="A3080" i="5"/>
  <c r="B3080" i="5"/>
  <c r="A3081" i="5"/>
  <c r="B3081" i="5"/>
  <c r="A3082" i="5"/>
  <c r="B3082" i="5"/>
  <c r="A3083" i="5"/>
  <c r="B3083" i="5"/>
  <c r="A3084" i="5"/>
  <c r="B3084" i="5"/>
  <c r="A3085" i="5"/>
  <c r="B3085" i="5"/>
  <c r="A3086" i="5"/>
  <c r="B3086" i="5"/>
  <c r="A3087" i="5"/>
  <c r="B3087" i="5"/>
  <c r="A3088" i="5"/>
  <c r="B3088" i="5"/>
  <c r="A3089" i="5"/>
  <c r="B3089" i="5"/>
  <c r="A3090" i="5"/>
  <c r="B3090" i="5"/>
  <c r="A3091" i="5"/>
  <c r="B3091" i="5"/>
  <c r="A3092" i="5"/>
  <c r="B3092" i="5"/>
  <c r="A3093" i="5"/>
  <c r="B3093" i="5"/>
  <c r="A3094" i="5"/>
  <c r="B3094" i="5"/>
  <c r="A3095" i="5"/>
  <c r="B3095" i="5"/>
  <c r="A3096" i="5"/>
  <c r="B3096" i="5"/>
  <c r="A3097" i="5"/>
  <c r="B3097" i="5"/>
  <c r="A3098" i="5"/>
  <c r="B3098" i="5"/>
  <c r="A3099" i="5"/>
  <c r="B3099" i="5"/>
  <c r="A3100" i="5"/>
  <c r="B3100" i="5"/>
  <c r="A3101" i="5"/>
  <c r="B3101" i="5"/>
  <c r="A3102" i="5"/>
  <c r="B3102" i="5"/>
  <c r="A3103" i="5"/>
  <c r="B3103" i="5"/>
  <c r="A3104" i="5"/>
  <c r="B3104" i="5"/>
  <c r="A3105" i="5"/>
  <c r="B3105" i="5"/>
  <c r="A3106" i="5"/>
  <c r="B3106" i="5"/>
  <c r="A3107" i="5"/>
  <c r="B3107" i="5"/>
  <c r="A3108" i="5"/>
  <c r="B3108" i="5"/>
  <c r="A3109" i="5"/>
  <c r="B3109" i="5"/>
  <c r="A3110" i="5"/>
  <c r="B3110" i="5"/>
  <c r="A3111" i="5"/>
  <c r="B3111" i="5"/>
  <c r="A3112" i="5"/>
  <c r="B3112" i="5"/>
  <c r="A3113" i="5"/>
  <c r="B3113" i="5"/>
  <c r="A3114" i="5"/>
  <c r="B3114" i="5"/>
  <c r="A3115" i="5"/>
  <c r="B3115" i="5"/>
  <c r="A3116" i="5"/>
  <c r="B3116" i="5"/>
  <c r="A3117" i="5"/>
  <c r="B3117" i="5"/>
  <c r="A3118" i="5"/>
  <c r="B3118" i="5"/>
  <c r="A3119" i="5"/>
  <c r="B3119" i="5"/>
  <c r="A3120" i="5"/>
  <c r="B3120" i="5"/>
  <c r="A3121" i="5"/>
  <c r="B3121" i="5"/>
  <c r="A3122" i="5"/>
  <c r="B3122" i="5"/>
  <c r="A3123" i="5"/>
  <c r="B3123" i="5"/>
  <c r="A3124" i="5"/>
  <c r="B3124" i="5"/>
  <c r="A3125" i="5"/>
  <c r="B3125" i="5"/>
  <c r="A3126" i="5"/>
  <c r="B3126" i="5"/>
  <c r="A3127" i="5"/>
  <c r="B3127" i="5"/>
  <c r="A3128" i="5"/>
  <c r="B3128" i="5"/>
  <c r="A3129" i="5"/>
  <c r="B3129" i="5"/>
  <c r="A3130" i="5"/>
  <c r="B3130" i="5"/>
  <c r="A3131" i="5"/>
  <c r="B3131" i="5"/>
  <c r="A3132" i="5"/>
  <c r="B3132" i="5"/>
  <c r="A3133" i="5"/>
  <c r="B3133" i="5"/>
  <c r="A3134" i="5"/>
  <c r="B3134" i="5"/>
  <c r="A3135" i="5"/>
  <c r="B3135" i="5"/>
  <c r="A3136" i="5"/>
  <c r="B3136" i="5"/>
  <c r="A3137" i="5"/>
  <c r="B3137" i="5"/>
  <c r="A3138" i="5"/>
  <c r="B3138" i="5"/>
  <c r="A3139" i="5"/>
  <c r="B3139" i="5"/>
  <c r="A3140" i="5"/>
  <c r="B3140" i="5"/>
  <c r="A3141" i="5"/>
  <c r="B3141" i="5"/>
  <c r="A3142" i="5"/>
  <c r="B3142" i="5"/>
  <c r="A3143" i="5"/>
  <c r="B3143" i="5"/>
  <c r="A3144" i="5"/>
  <c r="B3144" i="5"/>
  <c r="A3145" i="5"/>
  <c r="B3145" i="5"/>
  <c r="A3146" i="5"/>
  <c r="B3146" i="5"/>
  <c r="A3147" i="5"/>
  <c r="B3147" i="5"/>
  <c r="A3148" i="5"/>
  <c r="B3148" i="5"/>
  <c r="A3149" i="5"/>
  <c r="B3149" i="5"/>
  <c r="A3150" i="5"/>
  <c r="B3150" i="5"/>
  <c r="A3151" i="5"/>
  <c r="B3151" i="5"/>
  <c r="A3152" i="5"/>
  <c r="B3152" i="5"/>
  <c r="A3153" i="5"/>
  <c r="B3153" i="5"/>
  <c r="A3154" i="5"/>
  <c r="B3154" i="5"/>
  <c r="A3155" i="5"/>
  <c r="B3155" i="5"/>
  <c r="A3156" i="5"/>
  <c r="B3156" i="5"/>
  <c r="A3157" i="5"/>
  <c r="B3157" i="5"/>
  <c r="A3158" i="5"/>
  <c r="B3158" i="5"/>
  <c r="A3159" i="5"/>
  <c r="B3159" i="5"/>
  <c r="A3160" i="5"/>
  <c r="B3160" i="5"/>
  <c r="A3161" i="5"/>
  <c r="B3161" i="5"/>
  <c r="A3162" i="5"/>
  <c r="B3162" i="5"/>
  <c r="A3163" i="5"/>
  <c r="B3163" i="5"/>
  <c r="A3164" i="5"/>
  <c r="B3164" i="5"/>
  <c r="A3165" i="5"/>
  <c r="B3165" i="5"/>
  <c r="A3166" i="5"/>
  <c r="B3166" i="5"/>
  <c r="A3167" i="5"/>
  <c r="B3167" i="5"/>
  <c r="A3168" i="5"/>
  <c r="B3168" i="5"/>
  <c r="A3169" i="5"/>
  <c r="B3169" i="5"/>
  <c r="A3170" i="5"/>
  <c r="B3170" i="5"/>
  <c r="A3171" i="5"/>
  <c r="B3171" i="5"/>
  <c r="A3172" i="5"/>
  <c r="B3172" i="5"/>
  <c r="A3173" i="5"/>
  <c r="B3173" i="5"/>
  <c r="A3174" i="5"/>
  <c r="B3174" i="5"/>
  <c r="A3175" i="5"/>
  <c r="B3175" i="5"/>
  <c r="A3176" i="5"/>
  <c r="B3176" i="5"/>
  <c r="A3177" i="5"/>
  <c r="B3177" i="5"/>
  <c r="A3178" i="5"/>
  <c r="B3178" i="5"/>
  <c r="A3179" i="5"/>
  <c r="B3179" i="5"/>
  <c r="A3180" i="5"/>
  <c r="B3180" i="5"/>
  <c r="A3181" i="5"/>
  <c r="B3181" i="5"/>
  <c r="A3182" i="5"/>
  <c r="B3182" i="5"/>
  <c r="A3183" i="5"/>
  <c r="B3183" i="5"/>
  <c r="A3184" i="5"/>
  <c r="B3184" i="5"/>
  <c r="A3185" i="5"/>
  <c r="B3185" i="5"/>
  <c r="A3186" i="5"/>
  <c r="B3186" i="5"/>
  <c r="A3187" i="5"/>
  <c r="B3187" i="5"/>
  <c r="A3188" i="5"/>
  <c r="B3188" i="5"/>
  <c r="A3189" i="5"/>
  <c r="B3189" i="5"/>
  <c r="A3190" i="5"/>
  <c r="B3190" i="5"/>
  <c r="A3191" i="5"/>
  <c r="B3191" i="5"/>
  <c r="A3192" i="5"/>
  <c r="B3192" i="5"/>
  <c r="A3193" i="5"/>
  <c r="B3193" i="5"/>
  <c r="A3194" i="5"/>
  <c r="B3194" i="5"/>
  <c r="A3195" i="5"/>
  <c r="B3195" i="5"/>
  <c r="A3196" i="5"/>
  <c r="B3196" i="5"/>
  <c r="A3197" i="5"/>
  <c r="B3197" i="5"/>
  <c r="A3198" i="5"/>
  <c r="B3198" i="5"/>
  <c r="A3199" i="5"/>
  <c r="B3199" i="5"/>
  <c r="A3200" i="5"/>
  <c r="B3200" i="5"/>
  <c r="A3201" i="5"/>
  <c r="B3201" i="5"/>
  <c r="A3202" i="5"/>
  <c r="B3202" i="5"/>
  <c r="A3203" i="5"/>
  <c r="B3203" i="5"/>
  <c r="A3204" i="5"/>
  <c r="B3204" i="5"/>
  <c r="A3205" i="5"/>
  <c r="B3205" i="5"/>
  <c r="A3206" i="5"/>
  <c r="B3206" i="5"/>
  <c r="A3207" i="5"/>
  <c r="B3207" i="5"/>
  <c r="A3208" i="5"/>
  <c r="B3208" i="5"/>
  <c r="A3209" i="5"/>
  <c r="B3209" i="5"/>
  <c r="A3210" i="5"/>
  <c r="B3210" i="5"/>
  <c r="A3211" i="5"/>
  <c r="B3211" i="5"/>
  <c r="A3212" i="5"/>
  <c r="B3212" i="5"/>
  <c r="A3213" i="5"/>
  <c r="B3213" i="5"/>
  <c r="A3214" i="5"/>
  <c r="B3214" i="5"/>
  <c r="A3215" i="5"/>
  <c r="B3215" i="5"/>
  <c r="A3216" i="5"/>
  <c r="B3216" i="5"/>
  <c r="A3217" i="5"/>
  <c r="B3217" i="5"/>
  <c r="A3218" i="5"/>
  <c r="B3218" i="5"/>
  <c r="A3219" i="5"/>
  <c r="B3219" i="5"/>
  <c r="A3220" i="5"/>
  <c r="B3220" i="5"/>
  <c r="A3221" i="5"/>
  <c r="B3221" i="5"/>
  <c r="A3222" i="5"/>
  <c r="B3222" i="5"/>
  <c r="A3223" i="5"/>
  <c r="B3223" i="5"/>
  <c r="A3224" i="5"/>
  <c r="B3224" i="5"/>
  <c r="A3225" i="5"/>
  <c r="B3225" i="5"/>
  <c r="A3226" i="5"/>
  <c r="B3226" i="5"/>
  <c r="A3227" i="5"/>
  <c r="B3227" i="5"/>
  <c r="A3228" i="5"/>
  <c r="B3228" i="5"/>
  <c r="A3229" i="5"/>
  <c r="B3229" i="5"/>
  <c r="A3230" i="5"/>
  <c r="B3230" i="5"/>
  <c r="A3231" i="5"/>
  <c r="B3231" i="5"/>
  <c r="A3232" i="5"/>
  <c r="B3232" i="5"/>
  <c r="A3233" i="5"/>
  <c r="B3233" i="5"/>
  <c r="A3234" i="5"/>
  <c r="B3234" i="5"/>
  <c r="A3235" i="5"/>
  <c r="B3235" i="5"/>
  <c r="A3236" i="5"/>
  <c r="B3236" i="5"/>
  <c r="A3237" i="5"/>
  <c r="B3237" i="5"/>
  <c r="A3238" i="5"/>
  <c r="B3238" i="5"/>
  <c r="A3239" i="5"/>
  <c r="B3239" i="5"/>
  <c r="A3240" i="5"/>
  <c r="B3240" i="5"/>
  <c r="A3241" i="5"/>
  <c r="B3241" i="5"/>
  <c r="A3242" i="5"/>
  <c r="B3242" i="5"/>
  <c r="A3243" i="5"/>
  <c r="B3243" i="5"/>
  <c r="A3244" i="5"/>
  <c r="B3244" i="5"/>
  <c r="A3245" i="5"/>
  <c r="B3245" i="5"/>
  <c r="A3246" i="5"/>
  <c r="B3246" i="5"/>
  <c r="A3247" i="5"/>
  <c r="B3247" i="5"/>
  <c r="A3248" i="5"/>
  <c r="B3248" i="5"/>
  <c r="A3249" i="5"/>
  <c r="B3249" i="5"/>
  <c r="A3250" i="5"/>
  <c r="B3250" i="5"/>
  <c r="A3251" i="5"/>
  <c r="B3251" i="5"/>
  <c r="A3252" i="5"/>
  <c r="B3252" i="5"/>
  <c r="A3253" i="5"/>
  <c r="B3253" i="5"/>
  <c r="A3254" i="5"/>
  <c r="B3254" i="5"/>
  <c r="A3255" i="5"/>
  <c r="B3255" i="5"/>
  <c r="A3256" i="5"/>
  <c r="B3256" i="5"/>
  <c r="A3257" i="5"/>
  <c r="B3257" i="5"/>
  <c r="A3258" i="5"/>
  <c r="B3258" i="5"/>
  <c r="A3259" i="5"/>
  <c r="B3259" i="5"/>
  <c r="A3260" i="5"/>
  <c r="B3260" i="5"/>
  <c r="A3261" i="5"/>
  <c r="B3261" i="5"/>
  <c r="A3262" i="5"/>
  <c r="B3262" i="5"/>
  <c r="A3263" i="5"/>
  <c r="B3263" i="5"/>
  <c r="A3264" i="5"/>
  <c r="B3264" i="5"/>
  <c r="A3265" i="5"/>
  <c r="B3265" i="5"/>
  <c r="A3266" i="5"/>
  <c r="B3266" i="5"/>
  <c r="A3267" i="5"/>
  <c r="B3267" i="5"/>
  <c r="A3268" i="5"/>
  <c r="B3268" i="5"/>
  <c r="A3269" i="5"/>
  <c r="B3269" i="5"/>
  <c r="A3270" i="5"/>
  <c r="B3270" i="5"/>
  <c r="A3271" i="5"/>
  <c r="B3271" i="5"/>
  <c r="A3272" i="5"/>
  <c r="B3272" i="5"/>
  <c r="A3273" i="5"/>
  <c r="B3273" i="5"/>
  <c r="A3274" i="5"/>
  <c r="B3274" i="5"/>
  <c r="A3275" i="5"/>
  <c r="B3275" i="5"/>
  <c r="A3276" i="5"/>
  <c r="B3276" i="5"/>
  <c r="A3277" i="5"/>
  <c r="B3277" i="5"/>
  <c r="A3278" i="5"/>
  <c r="B3278" i="5"/>
  <c r="A3279" i="5"/>
  <c r="B3279" i="5"/>
  <c r="A3280" i="5"/>
  <c r="B3280" i="5"/>
  <c r="A3281" i="5"/>
  <c r="B3281" i="5"/>
  <c r="A3282" i="5"/>
  <c r="B3282" i="5"/>
  <c r="A3283" i="5"/>
  <c r="B3283" i="5"/>
  <c r="A3284" i="5"/>
  <c r="B3284" i="5"/>
  <c r="A3285" i="5"/>
  <c r="B3285" i="5"/>
  <c r="A3286" i="5"/>
  <c r="B3286" i="5"/>
  <c r="A3287" i="5"/>
  <c r="B3287" i="5"/>
  <c r="A3288" i="5"/>
  <c r="B3288" i="5"/>
  <c r="A3289" i="5"/>
  <c r="B3289" i="5"/>
  <c r="A3290" i="5"/>
  <c r="B3290" i="5"/>
  <c r="A3291" i="5"/>
  <c r="B3291" i="5"/>
  <c r="A3292" i="5"/>
  <c r="B3292" i="5"/>
  <c r="A3293" i="5"/>
  <c r="B3293" i="5"/>
  <c r="A3294" i="5"/>
  <c r="B3294" i="5"/>
  <c r="A3295" i="5"/>
  <c r="B3295" i="5"/>
  <c r="A3296" i="5"/>
  <c r="B3296" i="5"/>
  <c r="A3297" i="5"/>
  <c r="B3297" i="5"/>
  <c r="A3298" i="5"/>
  <c r="B3298" i="5"/>
  <c r="A3299" i="5"/>
  <c r="B3299" i="5"/>
  <c r="A3300" i="5"/>
  <c r="B3300" i="5"/>
  <c r="A3301" i="5"/>
  <c r="B3301" i="5"/>
  <c r="A3302" i="5"/>
  <c r="B3302" i="5"/>
  <c r="A3303" i="5"/>
  <c r="B3303" i="5"/>
  <c r="A3304" i="5"/>
  <c r="B3304" i="5"/>
  <c r="A3305" i="5"/>
  <c r="B3305" i="5"/>
  <c r="A3306" i="5"/>
  <c r="B3306" i="5"/>
  <c r="A3307" i="5"/>
  <c r="B3307" i="5"/>
  <c r="A3308" i="5"/>
  <c r="B3308" i="5"/>
  <c r="A3309" i="5"/>
  <c r="B3309" i="5"/>
  <c r="A3310" i="5"/>
  <c r="B3310" i="5"/>
  <c r="A3311" i="5"/>
  <c r="B3311" i="5"/>
  <c r="A3312" i="5"/>
  <c r="B3312" i="5"/>
  <c r="A3313" i="5"/>
  <c r="B3313" i="5"/>
  <c r="A3314" i="5"/>
  <c r="B3314" i="5"/>
  <c r="A3315" i="5"/>
  <c r="B3315" i="5"/>
  <c r="A3316" i="5"/>
  <c r="B3316" i="5"/>
  <c r="A3317" i="5"/>
  <c r="B3317" i="5"/>
  <c r="A3318" i="5"/>
  <c r="B3318" i="5"/>
  <c r="A3319" i="5"/>
  <c r="B3319" i="5"/>
  <c r="A3320" i="5"/>
  <c r="B3320" i="5"/>
  <c r="A3321" i="5"/>
  <c r="B3321" i="5"/>
  <c r="A3322" i="5"/>
  <c r="B3322" i="5"/>
  <c r="A3323" i="5"/>
  <c r="B3323" i="5"/>
  <c r="A3324" i="5"/>
  <c r="B3324" i="5"/>
  <c r="A3325" i="5"/>
  <c r="B3325" i="5"/>
  <c r="A3326" i="5"/>
  <c r="B3326" i="5"/>
  <c r="A3327" i="5"/>
  <c r="B3327" i="5"/>
  <c r="A3328" i="5"/>
  <c r="B3328" i="5"/>
  <c r="A3329" i="5"/>
  <c r="B3329" i="5"/>
  <c r="A3330" i="5"/>
  <c r="B3330" i="5"/>
  <c r="A3331" i="5"/>
  <c r="B3331" i="5"/>
  <c r="A3332" i="5"/>
  <c r="B3332" i="5"/>
  <c r="A3333" i="5"/>
  <c r="B3333" i="5"/>
  <c r="A3334" i="5"/>
  <c r="B3334" i="5"/>
  <c r="A3335" i="5"/>
  <c r="B3335" i="5"/>
  <c r="A3336" i="5"/>
  <c r="B3336" i="5"/>
  <c r="A3337" i="5"/>
  <c r="B3337" i="5"/>
  <c r="A3338" i="5"/>
  <c r="B3338" i="5"/>
  <c r="A3339" i="5"/>
  <c r="B3339" i="5"/>
  <c r="A3340" i="5"/>
  <c r="B3340" i="5"/>
  <c r="A3341" i="5"/>
  <c r="B3341" i="5"/>
  <c r="A3342" i="5"/>
  <c r="B3342" i="5"/>
  <c r="A3343" i="5"/>
  <c r="B3343" i="5"/>
  <c r="A3344" i="5"/>
  <c r="B3344" i="5"/>
  <c r="A3345" i="5"/>
  <c r="B3345" i="5"/>
  <c r="A3346" i="5"/>
  <c r="B3346" i="5"/>
  <c r="A3347" i="5"/>
  <c r="B3347" i="5"/>
  <c r="A3348" i="5"/>
  <c r="B3348" i="5"/>
  <c r="A3349" i="5"/>
  <c r="B3349" i="5"/>
  <c r="A3350" i="5"/>
  <c r="B3350" i="5"/>
  <c r="A3351" i="5"/>
  <c r="B3351" i="5"/>
  <c r="A3352" i="5"/>
  <c r="B3352" i="5"/>
  <c r="A3353" i="5"/>
  <c r="B3353" i="5"/>
  <c r="A3354" i="5"/>
  <c r="B3354" i="5"/>
  <c r="A3355" i="5"/>
  <c r="B3355" i="5"/>
  <c r="A3356" i="5"/>
  <c r="B3356" i="5"/>
  <c r="A3357" i="5"/>
  <c r="B3357" i="5"/>
  <c r="A3358" i="5"/>
  <c r="B3358" i="5"/>
  <c r="A3359" i="5"/>
  <c r="B3359" i="5"/>
  <c r="A3360" i="5"/>
  <c r="B3360" i="5"/>
  <c r="A3361" i="5"/>
  <c r="B3361" i="5"/>
  <c r="A3362" i="5"/>
  <c r="B3362" i="5"/>
  <c r="A3363" i="5"/>
  <c r="B3363" i="5"/>
  <c r="A3364" i="5"/>
  <c r="B3364" i="5"/>
  <c r="A3365" i="5"/>
  <c r="B3365" i="5"/>
  <c r="A3366" i="5"/>
  <c r="B3366" i="5"/>
  <c r="A3367" i="5"/>
  <c r="B3367" i="5"/>
  <c r="A3368" i="5"/>
  <c r="B3368" i="5"/>
  <c r="A3369" i="5"/>
  <c r="B3369" i="5"/>
  <c r="A3370" i="5"/>
  <c r="B3370" i="5"/>
  <c r="A3371" i="5"/>
  <c r="B3371" i="5"/>
  <c r="A3372" i="5"/>
  <c r="B3372" i="5"/>
  <c r="A3373" i="5"/>
  <c r="B3373" i="5"/>
  <c r="A3374" i="5"/>
  <c r="B3374" i="5"/>
  <c r="A3375" i="5"/>
  <c r="B3375" i="5"/>
  <c r="A3376" i="5"/>
  <c r="B3376" i="5"/>
  <c r="A3377" i="5"/>
  <c r="B3377" i="5"/>
  <c r="A3378" i="5"/>
  <c r="B3378" i="5"/>
  <c r="A3379" i="5"/>
  <c r="B3379" i="5"/>
  <c r="A3380" i="5"/>
  <c r="B3380" i="5"/>
  <c r="A3381" i="5"/>
  <c r="B3381" i="5"/>
  <c r="A3382" i="5"/>
  <c r="B3382" i="5"/>
  <c r="A3383" i="5"/>
  <c r="B3383" i="5"/>
  <c r="A3384" i="5"/>
  <c r="B3384" i="5"/>
  <c r="A3385" i="5"/>
  <c r="B3385" i="5"/>
  <c r="A3386" i="5"/>
  <c r="B3386" i="5"/>
  <c r="A3387" i="5"/>
  <c r="B3387" i="5"/>
  <c r="A3388" i="5"/>
  <c r="B3388" i="5"/>
  <c r="A3389" i="5"/>
  <c r="B3389" i="5"/>
  <c r="A3390" i="5"/>
  <c r="B3390" i="5"/>
  <c r="A3391" i="5"/>
  <c r="B3391" i="5"/>
  <c r="A3392" i="5"/>
  <c r="B3392" i="5"/>
  <c r="A3393" i="5"/>
  <c r="B3393" i="5"/>
  <c r="A3394" i="5"/>
  <c r="B3394" i="5"/>
  <c r="A3395" i="5"/>
  <c r="B3395" i="5"/>
  <c r="A3396" i="5"/>
  <c r="B3396" i="5"/>
  <c r="A3397" i="5"/>
  <c r="B3397" i="5"/>
  <c r="A3398" i="5"/>
  <c r="B3398" i="5"/>
  <c r="A3399" i="5"/>
  <c r="B3399" i="5"/>
  <c r="A3400" i="5"/>
  <c r="B3400" i="5"/>
  <c r="A3401" i="5"/>
  <c r="B3401" i="5"/>
  <c r="A3402" i="5"/>
  <c r="B3402" i="5"/>
  <c r="A3403" i="5"/>
  <c r="B3403" i="5"/>
  <c r="A3404" i="5"/>
  <c r="B3404" i="5"/>
  <c r="A3405" i="5"/>
  <c r="B3405" i="5"/>
  <c r="A3406" i="5"/>
  <c r="B3406" i="5"/>
  <c r="A3407" i="5"/>
  <c r="B3407" i="5"/>
  <c r="A3408" i="5"/>
  <c r="B3408" i="5"/>
  <c r="A3409" i="5"/>
  <c r="B3409" i="5"/>
  <c r="A3410" i="5"/>
  <c r="B3410" i="5"/>
  <c r="A3411" i="5"/>
  <c r="B3411" i="5"/>
  <c r="A3412" i="5"/>
  <c r="B3412" i="5"/>
  <c r="A3413" i="5"/>
  <c r="B3413" i="5"/>
  <c r="A3414" i="5"/>
  <c r="B3414" i="5"/>
  <c r="A3415" i="5"/>
  <c r="B3415" i="5"/>
  <c r="A3416" i="5"/>
  <c r="B3416" i="5"/>
  <c r="A3417" i="5"/>
  <c r="B3417" i="5"/>
  <c r="A3418" i="5"/>
  <c r="B3418" i="5"/>
  <c r="A3419" i="5"/>
  <c r="B3419" i="5"/>
  <c r="A3420" i="5"/>
  <c r="B3420" i="5"/>
  <c r="A3421" i="5"/>
  <c r="B3421" i="5"/>
  <c r="A3422" i="5"/>
  <c r="B3422" i="5"/>
  <c r="A3423" i="5"/>
  <c r="B3423" i="5"/>
  <c r="A3424" i="5"/>
  <c r="B3424" i="5"/>
  <c r="A3425" i="5"/>
  <c r="B3425" i="5"/>
  <c r="A3426" i="5"/>
  <c r="B3426" i="5"/>
  <c r="A3427" i="5"/>
  <c r="B3427" i="5"/>
  <c r="A3428" i="5"/>
  <c r="B3428" i="5"/>
  <c r="A3429" i="5"/>
  <c r="B3429" i="5"/>
  <c r="A3430" i="5"/>
  <c r="B3430" i="5"/>
  <c r="A3431" i="5"/>
  <c r="B3431" i="5"/>
  <c r="A3432" i="5"/>
  <c r="B3432" i="5"/>
  <c r="A3433" i="5"/>
  <c r="B3433" i="5"/>
  <c r="A3434" i="5"/>
  <c r="B3434" i="5"/>
  <c r="A3435" i="5"/>
  <c r="B3435" i="5"/>
  <c r="A3436" i="5"/>
  <c r="B3436" i="5"/>
  <c r="A3437" i="5"/>
  <c r="B3437" i="5"/>
  <c r="A3438" i="5"/>
  <c r="B3438" i="5"/>
  <c r="A3439" i="5"/>
  <c r="B3439" i="5"/>
  <c r="A3440" i="5"/>
  <c r="B3440" i="5"/>
  <c r="A3441" i="5"/>
  <c r="B3441" i="5"/>
  <c r="A3442" i="5"/>
  <c r="B3442" i="5"/>
  <c r="A3443" i="5"/>
  <c r="B3443" i="5"/>
  <c r="A3444" i="5"/>
  <c r="B3444" i="5"/>
  <c r="A3445" i="5"/>
  <c r="B3445" i="5"/>
  <c r="A3446" i="5"/>
  <c r="B3446" i="5"/>
  <c r="A3447" i="5"/>
  <c r="B3447" i="5"/>
  <c r="A3448" i="5"/>
  <c r="B3448" i="5"/>
  <c r="A3449" i="5"/>
  <c r="B3449" i="5"/>
  <c r="A3450" i="5"/>
  <c r="B3450" i="5"/>
  <c r="A3451" i="5"/>
  <c r="B3451" i="5"/>
  <c r="A3452" i="5"/>
  <c r="B3452" i="5"/>
  <c r="A3453" i="5"/>
  <c r="B3453" i="5"/>
  <c r="A3454" i="5"/>
  <c r="B3454" i="5"/>
  <c r="A3455" i="5"/>
  <c r="B3455" i="5"/>
  <c r="A3456" i="5"/>
  <c r="B3456" i="5"/>
  <c r="A3457" i="5"/>
  <c r="B3457" i="5"/>
  <c r="A3458" i="5"/>
  <c r="B3458" i="5"/>
  <c r="A3459" i="5"/>
  <c r="B3459" i="5"/>
  <c r="A3460" i="5"/>
  <c r="B3460" i="5"/>
  <c r="A3461" i="5"/>
  <c r="B3461" i="5"/>
  <c r="A3462" i="5"/>
  <c r="B3462" i="5"/>
  <c r="A3463" i="5"/>
  <c r="B3463" i="5"/>
  <c r="A3464" i="5"/>
  <c r="B3464" i="5"/>
  <c r="A3465" i="5"/>
  <c r="B3465" i="5"/>
  <c r="A3466" i="5"/>
  <c r="B3466" i="5"/>
  <c r="A3467" i="5"/>
  <c r="B3467" i="5"/>
  <c r="A3468" i="5"/>
  <c r="B3468" i="5"/>
  <c r="A3469" i="5"/>
  <c r="B3469" i="5"/>
  <c r="A3470" i="5"/>
  <c r="B3470" i="5"/>
  <c r="A3471" i="5"/>
  <c r="B3471" i="5"/>
  <c r="A3472" i="5"/>
  <c r="B3472" i="5"/>
  <c r="A3473" i="5"/>
  <c r="B3473" i="5"/>
  <c r="A3474" i="5"/>
  <c r="B3474" i="5"/>
  <c r="A3475" i="5"/>
  <c r="B3475" i="5"/>
  <c r="A3476" i="5"/>
  <c r="B3476" i="5"/>
  <c r="A3477" i="5"/>
  <c r="B3477" i="5"/>
  <c r="A3478" i="5"/>
  <c r="B3478" i="5"/>
  <c r="A3479" i="5"/>
  <c r="B3479" i="5"/>
  <c r="A3480" i="5"/>
  <c r="B3480" i="5"/>
  <c r="A3481" i="5"/>
  <c r="B3481" i="5"/>
  <c r="A3482" i="5"/>
  <c r="B3482" i="5"/>
  <c r="A3483" i="5"/>
  <c r="B3483" i="5"/>
  <c r="A3484" i="5"/>
  <c r="B3484" i="5"/>
  <c r="A3485" i="5"/>
  <c r="B3485" i="5"/>
  <c r="A3486" i="5"/>
  <c r="B3486" i="5"/>
  <c r="A3487" i="5"/>
  <c r="B3487" i="5"/>
  <c r="A3488" i="5"/>
  <c r="B3488" i="5"/>
  <c r="A3489" i="5"/>
  <c r="B3489" i="5"/>
  <c r="A3490" i="5"/>
  <c r="B3490" i="5"/>
  <c r="A3491" i="5"/>
  <c r="B3491" i="5"/>
  <c r="A3492" i="5"/>
  <c r="B3492" i="5"/>
  <c r="A3493" i="5"/>
  <c r="B3493" i="5"/>
  <c r="A3494" i="5"/>
  <c r="B3494" i="5"/>
  <c r="A3495" i="5"/>
  <c r="B3495" i="5"/>
  <c r="A3496" i="5"/>
  <c r="B3496" i="5"/>
  <c r="A3497" i="5"/>
  <c r="B3497" i="5"/>
  <c r="A3498" i="5"/>
  <c r="B3498" i="5"/>
  <c r="A3499" i="5"/>
  <c r="B3499" i="5"/>
  <c r="A3500" i="5"/>
  <c r="B3500" i="5"/>
  <c r="A3501" i="5"/>
  <c r="B3501" i="5"/>
  <c r="A3502" i="5"/>
  <c r="B3502" i="5"/>
  <c r="A3503" i="5"/>
  <c r="B3503" i="5"/>
  <c r="A3504" i="5"/>
  <c r="B3504" i="5"/>
  <c r="A3505" i="5"/>
  <c r="B3505" i="5"/>
  <c r="A3506" i="5"/>
  <c r="B3506" i="5"/>
  <c r="A3507" i="5"/>
  <c r="B3507" i="5"/>
  <c r="A3508" i="5"/>
  <c r="B3508" i="5"/>
  <c r="A3509" i="5"/>
  <c r="B3509" i="5"/>
  <c r="A3510" i="5"/>
  <c r="B3510" i="5"/>
  <c r="A3511" i="5"/>
  <c r="B3511" i="5"/>
  <c r="A3512" i="5"/>
  <c r="B3512" i="5"/>
  <c r="A3513" i="5"/>
  <c r="B3513" i="5"/>
  <c r="A3514" i="5"/>
  <c r="B3514" i="5"/>
  <c r="A3515" i="5"/>
  <c r="B3515" i="5"/>
  <c r="A3516" i="5"/>
  <c r="B3516" i="5"/>
  <c r="A3517" i="5"/>
  <c r="B3517" i="5"/>
  <c r="A3518" i="5"/>
  <c r="B3518" i="5"/>
  <c r="A3519" i="5"/>
  <c r="B3519" i="5"/>
  <c r="A3520" i="5"/>
  <c r="B3520" i="5"/>
  <c r="A3521" i="5"/>
  <c r="B3521" i="5"/>
  <c r="A3522" i="5"/>
  <c r="B3522" i="5"/>
  <c r="A3523" i="5"/>
  <c r="B3523" i="5"/>
  <c r="A3524" i="5"/>
  <c r="B3524" i="5"/>
  <c r="A3525" i="5"/>
  <c r="B3525" i="5"/>
  <c r="A3526" i="5"/>
  <c r="B3526" i="5"/>
  <c r="A3527" i="5"/>
  <c r="B3527" i="5"/>
  <c r="A3528" i="5"/>
  <c r="B3528" i="5"/>
  <c r="A3529" i="5"/>
  <c r="B3529" i="5"/>
  <c r="A3530" i="5"/>
  <c r="B3530" i="5"/>
  <c r="A3531" i="5"/>
  <c r="B3531" i="5"/>
  <c r="A3532" i="5"/>
  <c r="B3532" i="5"/>
  <c r="A3533" i="5"/>
  <c r="B3533" i="5"/>
  <c r="A3534" i="5"/>
  <c r="B3534" i="5"/>
  <c r="A3535" i="5"/>
  <c r="B3535" i="5"/>
  <c r="A3536" i="5"/>
  <c r="B3536" i="5"/>
  <c r="A3537" i="5"/>
  <c r="B3537" i="5"/>
  <c r="A3538" i="5"/>
  <c r="B3538" i="5"/>
  <c r="A3539" i="5"/>
  <c r="B3539" i="5"/>
  <c r="A3540" i="5"/>
  <c r="B3540" i="5"/>
  <c r="A3541" i="5"/>
  <c r="B3541" i="5"/>
  <c r="A3542" i="5"/>
  <c r="B3542" i="5"/>
  <c r="A3543" i="5"/>
  <c r="B3543" i="5"/>
  <c r="A3544" i="5"/>
  <c r="B3544" i="5"/>
  <c r="A3545" i="5"/>
  <c r="B3545" i="5"/>
  <c r="A3546" i="5"/>
  <c r="B3546" i="5"/>
  <c r="A3547" i="5"/>
  <c r="B3547" i="5"/>
  <c r="A3548" i="5"/>
  <c r="B3548" i="5"/>
  <c r="A3549" i="5"/>
  <c r="B3549" i="5"/>
  <c r="A3550" i="5"/>
  <c r="B3550" i="5"/>
  <c r="A3551" i="5"/>
  <c r="B3551" i="5"/>
  <c r="A3552" i="5"/>
  <c r="B3552" i="5"/>
  <c r="A3553" i="5"/>
  <c r="B3553" i="5"/>
  <c r="A3554" i="5"/>
  <c r="B3554" i="5"/>
  <c r="A3555" i="5"/>
  <c r="B3555" i="5"/>
  <c r="A3556" i="5"/>
  <c r="B3556" i="5"/>
  <c r="A3557" i="5"/>
  <c r="B3557" i="5"/>
  <c r="A3558" i="5"/>
  <c r="B3558" i="5"/>
  <c r="A3559" i="5"/>
  <c r="B3559" i="5"/>
  <c r="A3560" i="5"/>
  <c r="B3560" i="5"/>
  <c r="A3561" i="5"/>
  <c r="B3561" i="5"/>
  <c r="A3562" i="5"/>
  <c r="B3562" i="5"/>
  <c r="A3563" i="5"/>
  <c r="B3563" i="5"/>
  <c r="A3564" i="5"/>
  <c r="B3564" i="5"/>
  <c r="A3565" i="5"/>
  <c r="B3565" i="5"/>
  <c r="A3566" i="5"/>
  <c r="B3566" i="5"/>
  <c r="A3567" i="5"/>
  <c r="B3567" i="5"/>
  <c r="A3568" i="5"/>
  <c r="B3568" i="5"/>
  <c r="A3569" i="5"/>
  <c r="B3569" i="5"/>
  <c r="A3570" i="5"/>
  <c r="B3570" i="5"/>
  <c r="A3571" i="5"/>
  <c r="B3571" i="5"/>
  <c r="A3572" i="5"/>
  <c r="B3572" i="5"/>
  <c r="A3573" i="5"/>
  <c r="B3573" i="5"/>
  <c r="A3574" i="5"/>
  <c r="B3574" i="5"/>
  <c r="A3575" i="5"/>
  <c r="B3575" i="5"/>
  <c r="A3576" i="5"/>
  <c r="B3576" i="5"/>
  <c r="A3577" i="5"/>
  <c r="B3577" i="5"/>
  <c r="A3578" i="5"/>
  <c r="B3578" i="5"/>
  <c r="A3579" i="5"/>
  <c r="B3579" i="5"/>
  <c r="A3580" i="5"/>
  <c r="B3580" i="5"/>
  <c r="A3581" i="5"/>
  <c r="B3581" i="5"/>
  <c r="A3582" i="5"/>
  <c r="B3582" i="5"/>
  <c r="A3583" i="5"/>
  <c r="B3583" i="5"/>
  <c r="A3584" i="5"/>
  <c r="B3584" i="5"/>
  <c r="A3585" i="5"/>
  <c r="B3585" i="5"/>
  <c r="A3586" i="5"/>
  <c r="B3586" i="5"/>
  <c r="A3587" i="5"/>
  <c r="B3587" i="5"/>
  <c r="A3588" i="5"/>
  <c r="B3588" i="5"/>
  <c r="A3589" i="5"/>
  <c r="B3589" i="5"/>
  <c r="A3590" i="5"/>
  <c r="B3590" i="5"/>
  <c r="A3591" i="5"/>
  <c r="B3591" i="5"/>
  <c r="A3592" i="5"/>
  <c r="B3592" i="5"/>
  <c r="A3593" i="5"/>
  <c r="B3593" i="5"/>
  <c r="A3594" i="5"/>
  <c r="B3594" i="5"/>
  <c r="A3595" i="5"/>
  <c r="B3595" i="5"/>
  <c r="A3596" i="5"/>
  <c r="B3596" i="5"/>
  <c r="A3597" i="5"/>
  <c r="B3597" i="5"/>
  <c r="A3598" i="5"/>
  <c r="B3598" i="5"/>
  <c r="A3599" i="5"/>
  <c r="B3599" i="5"/>
  <c r="A3600" i="5"/>
  <c r="B3600" i="5"/>
  <c r="A3601" i="5"/>
  <c r="B3601" i="5"/>
  <c r="A3602" i="5"/>
  <c r="B3602" i="5"/>
  <c r="A3603" i="5"/>
  <c r="B3603" i="5"/>
  <c r="A3604" i="5"/>
  <c r="B3604" i="5"/>
  <c r="A3605" i="5"/>
  <c r="B3605" i="5"/>
  <c r="A3606" i="5"/>
  <c r="B3606" i="5"/>
  <c r="A3607" i="5"/>
  <c r="B3607" i="5"/>
  <c r="A3608" i="5"/>
  <c r="B3608" i="5"/>
  <c r="A3609" i="5"/>
  <c r="B3609" i="5"/>
  <c r="A3610" i="5"/>
  <c r="B3610" i="5"/>
  <c r="A3611" i="5"/>
  <c r="B3611" i="5"/>
  <c r="A3612" i="5"/>
  <c r="B3612" i="5"/>
  <c r="A3613" i="5"/>
  <c r="B3613" i="5"/>
  <c r="A3614" i="5"/>
  <c r="B3614" i="5"/>
  <c r="A3615" i="5"/>
  <c r="B3615" i="5"/>
  <c r="A3616" i="5"/>
  <c r="B3616" i="5"/>
  <c r="A3617" i="5"/>
  <c r="B3617" i="5"/>
  <c r="A3618" i="5"/>
  <c r="B3618" i="5"/>
  <c r="A3619" i="5"/>
  <c r="B3619" i="5"/>
  <c r="A3620" i="5"/>
  <c r="B3620" i="5"/>
  <c r="A3621" i="5"/>
  <c r="B3621" i="5"/>
  <c r="A3622" i="5"/>
  <c r="B3622" i="5"/>
  <c r="A3623" i="5"/>
  <c r="B3623" i="5"/>
  <c r="A3624" i="5"/>
  <c r="B3624" i="5"/>
  <c r="A3625" i="5"/>
  <c r="B3625" i="5"/>
  <c r="A3626" i="5"/>
  <c r="B3626" i="5"/>
  <c r="A3627" i="5"/>
  <c r="B3627" i="5"/>
  <c r="A3628" i="5"/>
  <c r="B3628" i="5"/>
  <c r="A3629" i="5"/>
  <c r="B3629" i="5"/>
  <c r="A3630" i="5"/>
  <c r="B3630" i="5"/>
  <c r="A3631" i="5"/>
  <c r="B3631" i="5"/>
  <c r="A3632" i="5"/>
  <c r="B3632" i="5"/>
  <c r="A3633" i="5"/>
  <c r="B3633" i="5"/>
  <c r="A3634" i="5"/>
  <c r="B3634" i="5"/>
  <c r="A3635" i="5"/>
  <c r="B3635" i="5"/>
  <c r="A3636" i="5"/>
  <c r="B3636" i="5"/>
  <c r="A3637" i="5"/>
  <c r="B3637" i="5"/>
  <c r="A3638" i="5"/>
  <c r="B3638" i="5"/>
  <c r="A3639" i="5"/>
  <c r="B3639" i="5"/>
  <c r="A3640" i="5"/>
  <c r="B3640" i="5"/>
  <c r="A3641" i="5"/>
  <c r="B3641" i="5"/>
  <c r="A3642" i="5"/>
  <c r="B3642" i="5"/>
  <c r="A3643" i="5"/>
  <c r="B3643" i="5"/>
  <c r="A3644" i="5"/>
  <c r="B3644" i="5"/>
  <c r="A3645" i="5"/>
  <c r="B3645" i="5"/>
  <c r="A3646" i="5"/>
  <c r="B3646" i="5"/>
  <c r="A3647" i="5"/>
  <c r="B3647" i="5"/>
  <c r="A3648" i="5"/>
  <c r="B3648" i="5"/>
  <c r="A3649" i="5"/>
  <c r="B3649" i="5"/>
  <c r="A3650" i="5"/>
  <c r="B3650" i="5"/>
  <c r="A3651" i="5"/>
  <c r="B3651" i="5"/>
  <c r="A3652" i="5"/>
  <c r="B3652" i="5"/>
  <c r="A3653" i="5"/>
  <c r="B3653" i="5"/>
  <c r="A3654" i="5"/>
  <c r="B3654" i="5"/>
  <c r="A3655" i="5"/>
  <c r="B3655" i="5"/>
  <c r="A3656" i="5"/>
  <c r="B3656" i="5"/>
  <c r="A3657" i="5"/>
  <c r="B3657" i="5"/>
  <c r="A3658" i="5"/>
  <c r="B3658" i="5"/>
  <c r="A3659" i="5"/>
  <c r="B3659" i="5"/>
  <c r="A3660" i="5"/>
  <c r="B3660" i="5"/>
  <c r="A3661" i="5"/>
  <c r="B3661" i="5"/>
  <c r="A3662" i="5"/>
  <c r="B3662" i="5"/>
  <c r="A3663" i="5"/>
  <c r="B3663" i="5"/>
  <c r="A3664" i="5"/>
  <c r="B3664" i="5"/>
  <c r="A3665" i="5"/>
  <c r="B3665" i="5"/>
  <c r="A3666" i="5"/>
  <c r="B3666" i="5"/>
  <c r="A3667" i="5"/>
  <c r="B3667" i="5"/>
  <c r="A3668" i="5"/>
  <c r="B3668" i="5"/>
  <c r="A3669" i="5"/>
  <c r="B3669" i="5"/>
  <c r="A3670" i="5"/>
  <c r="B3670" i="5"/>
  <c r="A3671" i="5"/>
  <c r="B3671" i="5"/>
  <c r="A3672" i="5"/>
  <c r="B3672" i="5"/>
  <c r="A3673" i="5"/>
  <c r="B3673" i="5"/>
  <c r="A3674" i="5"/>
  <c r="B3674" i="5"/>
  <c r="A3675" i="5"/>
  <c r="B3675" i="5"/>
  <c r="A3676" i="5"/>
  <c r="B3676" i="5"/>
  <c r="A3677" i="5"/>
  <c r="B3677" i="5"/>
  <c r="A3678" i="5"/>
  <c r="B3678" i="5"/>
  <c r="A3679" i="5"/>
  <c r="B3679" i="5"/>
  <c r="A3680" i="5"/>
  <c r="B3680" i="5"/>
  <c r="A3681" i="5"/>
  <c r="B3681" i="5"/>
  <c r="A3682" i="5"/>
  <c r="B3682" i="5"/>
  <c r="A3683" i="5"/>
  <c r="B3683" i="5"/>
  <c r="A3684" i="5"/>
  <c r="B3684" i="5"/>
  <c r="A3685" i="5"/>
  <c r="B3685" i="5"/>
  <c r="A3686" i="5"/>
  <c r="B3686" i="5"/>
  <c r="A3687" i="5"/>
  <c r="B3687" i="5"/>
  <c r="A3688" i="5"/>
  <c r="B3688" i="5"/>
  <c r="A3689" i="5"/>
  <c r="B3689" i="5"/>
  <c r="A3690" i="5"/>
  <c r="B3690" i="5"/>
  <c r="A3691" i="5"/>
  <c r="B3691" i="5"/>
  <c r="A3692" i="5"/>
  <c r="B3692" i="5"/>
  <c r="A3693" i="5"/>
  <c r="B3693" i="5"/>
  <c r="A3694" i="5"/>
  <c r="B3694" i="5"/>
  <c r="A3695" i="5"/>
  <c r="B3695" i="5"/>
  <c r="A3696" i="5"/>
  <c r="B3696" i="5"/>
  <c r="A3697" i="5"/>
  <c r="B3697" i="5"/>
  <c r="A3698" i="5"/>
  <c r="B3698" i="5"/>
  <c r="A3699" i="5"/>
  <c r="B3699" i="5"/>
  <c r="A3700" i="5"/>
  <c r="B3700" i="5"/>
  <c r="A3701" i="5"/>
  <c r="B3701" i="5"/>
  <c r="A3702" i="5"/>
  <c r="B3702" i="5"/>
  <c r="A3703" i="5"/>
  <c r="B3703" i="5"/>
  <c r="A3704" i="5"/>
  <c r="B3704" i="5"/>
  <c r="A3705" i="5"/>
  <c r="B3705" i="5"/>
  <c r="A3706" i="5"/>
  <c r="B3706" i="5"/>
  <c r="A3707" i="5"/>
  <c r="B3707" i="5"/>
  <c r="A3708" i="5"/>
  <c r="B3708" i="5"/>
  <c r="A3709" i="5"/>
  <c r="B3709" i="5"/>
  <c r="A3710" i="5"/>
  <c r="B3710" i="5"/>
  <c r="A3711" i="5"/>
  <c r="B3711" i="5"/>
  <c r="A3712" i="5"/>
  <c r="B3712" i="5"/>
  <c r="A3713" i="5"/>
  <c r="B3713" i="5"/>
  <c r="A3714" i="5"/>
  <c r="B3714" i="5"/>
  <c r="A3715" i="5"/>
  <c r="B3715" i="5"/>
  <c r="A3716" i="5"/>
  <c r="B3716" i="5"/>
  <c r="A3717" i="5"/>
  <c r="B3717" i="5"/>
  <c r="A3718" i="5"/>
  <c r="B3718" i="5"/>
  <c r="A3719" i="5"/>
  <c r="B3719" i="5"/>
  <c r="A3720" i="5"/>
  <c r="B3720" i="5"/>
  <c r="A3721" i="5"/>
  <c r="B3721" i="5"/>
  <c r="A3722" i="5"/>
  <c r="B3722" i="5"/>
  <c r="A3723" i="5"/>
  <c r="B3723" i="5"/>
  <c r="A3724" i="5"/>
  <c r="B3724" i="5"/>
  <c r="A3725" i="5"/>
  <c r="B3725" i="5"/>
  <c r="A3726" i="5"/>
  <c r="B3726" i="5"/>
  <c r="A3727" i="5"/>
  <c r="B3727" i="5"/>
  <c r="A3728" i="5"/>
  <c r="B3728" i="5"/>
  <c r="A3729" i="5"/>
  <c r="B3729" i="5"/>
  <c r="A3730" i="5"/>
  <c r="B3730" i="5"/>
  <c r="A3731" i="5"/>
  <c r="B3731" i="5"/>
  <c r="A3732" i="5"/>
  <c r="B3732" i="5"/>
  <c r="A3733" i="5"/>
  <c r="B3733" i="5"/>
  <c r="A3734" i="5"/>
  <c r="B3734" i="5"/>
  <c r="A3735" i="5"/>
  <c r="B3735" i="5"/>
  <c r="A3736" i="5"/>
  <c r="B3736" i="5"/>
  <c r="A3737" i="5"/>
  <c r="B3737" i="5"/>
  <c r="A3738" i="5"/>
  <c r="B3738" i="5"/>
  <c r="A3739" i="5"/>
  <c r="B3739" i="5"/>
  <c r="A3740" i="5"/>
  <c r="B3740" i="5"/>
  <c r="A3741" i="5"/>
  <c r="B3741" i="5"/>
  <c r="A3742" i="5"/>
  <c r="B3742" i="5"/>
  <c r="A3743" i="5"/>
  <c r="B3743" i="5"/>
  <c r="A3744" i="5"/>
  <c r="B3744" i="5"/>
  <c r="A3745" i="5"/>
  <c r="B3745" i="5"/>
  <c r="A3746" i="5"/>
  <c r="B3746" i="5"/>
  <c r="A3747" i="5"/>
  <c r="B3747" i="5"/>
  <c r="A3748" i="5"/>
  <c r="B3748" i="5"/>
  <c r="A3749" i="5"/>
  <c r="B3749" i="5"/>
  <c r="A3750" i="5"/>
  <c r="B3750" i="5"/>
  <c r="A3751" i="5"/>
  <c r="B3751" i="5"/>
  <c r="A3752" i="5"/>
  <c r="B3752" i="5"/>
  <c r="A3753" i="5"/>
  <c r="B3753" i="5"/>
  <c r="A3754" i="5"/>
  <c r="B3754" i="5"/>
  <c r="A3755" i="5"/>
  <c r="B3755" i="5"/>
  <c r="A3756" i="5"/>
  <c r="B3756" i="5"/>
  <c r="A3757" i="5"/>
  <c r="B3757" i="5"/>
  <c r="A3758" i="5"/>
  <c r="B3758" i="5"/>
  <c r="A3759" i="5"/>
  <c r="B3759" i="5"/>
  <c r="A3760" i="5"/>
  <c r="B3760" i="5"/>
  <c r="A3761" i="5"/>
  <c r="B3761" i="5"/>
  <c r="A3762" i="5"/>
  <c r="B3762" i="5"/>
  <c r="A3763" i="5"/>
  <c r="B3763" i="5"/>
  <c r="A3764" i="5"/>
  <c r="B3764" i="5"/>
  <c r="A3765" i="5"/>
  <c r="B3765" i="5"/>
  <c r="A3766" i="5"/>
  <c r="B3766" i="5"/>
  <c r="A3767" i="5"/>
  <c r="B3767" i="5"/>
  <c r="A3768" i="5"/>
  <c r="B3768" i="5"/>
  <c r="A3769" i="5"/>
  <c r="B3769" i="5"/>
  <c r="A3770" i="5"/>
  <c r="B3770" i="5"/>
  <c r="A3771" i="5"/>
  <c r="B3771" i="5"/>
  <c r="A3772" i="5"/>
  <c r="B3772" i="5"/>
  <c r="A3773" i="5"/>
  <c r="B3773" i="5"/>
  <c r="A3774" i="5"/>
  <c r="B3774" i="5"/>
  <c r="A3775" i="5"/>
  <c r="B3775" i="5"/>
  <c r="A3776" i="5"/>
  <c r="B3776" i="5"/>
  <c r="A3777" i="5"/>
  <c r="B3777" i="5"/>
  <c r="A3778" i="5"/>
  <c r="B3778" i="5"/>
  <c r="A3779" i="5"/>
  <c r="B3779" i="5"/>
  <c r="A3780" i="5"/>
  <c r="B3780" i="5"/>
  <c r="A3781" i="5"/>
  <c r="B3781" i="5"/>
  <c r="A3782" i="5"/>
  <c r="B3782" i="5"/>
  <c r="A3783" i="5"/>
  <c r="B3783" i="5"/>
  <c r="A3784" i="5"/>
  <c r="B3784" i="5"/>
  <c r="A3785" i="5"/>
  <c r="B3785" i="5"/>
  <c r="A3786" i="5"/>
  <c r="B3786" i="5"/>
  <c r="A3787" i="5"/>
  <c r="B3787" i="5"/>
  <c r="A3788" i="5"/>
  <c r="B3788" i="5"/>
  <c r="A3789" i="5"/>
  <c r="B3789" i="5"/>
  <c r="A3790" i="5"/>
  <c r="B3790" i="5"/>
  <c r="A3791" i="5"/>
  <c r="B3791" i="5"/>
  <c r="A3792" i="5"/>
  <c r="B3792" i="5"/>
  <c r="A3793" i="5"/>
  <c r="B3793" i="5"/>
  <c r="A3794" i="5"/>
  <c r="B3794" i="5"/>
  <c r="A3795" i="5"/>
  <c r="B3795" i="5"/>
  <c r="A3796" i="5"/>
  <c r="B3796" i="5"/>
  <c r="A3797" i="5"/>
  <c r="B3797" i="5"/>
  <c r="A3798" i="5"/>
  <c r="B3798" i="5"/>
  <c r="A3799" i="5"/>
  <c r="B3799" i="5"/>
  <c r="A3800" i="5"/>
  <c r="B3800" i="5"/>
  <c r="A3801" i="5"/>
  <c r="B3801" i="5"/>
  <c r="A3802" i="5"/>
  <c r="B3802" i="5"/>
  <c r="A3803" i="5"/>
  <c r="B3803" i="5"/>
  <c r="A3804" i="5"/>
  <c r="B3804" i="5"/>
  <c r="A3805" i="5"/>
  <c r="B3805" i="5"/>
  <c r="A3806" i="5"/>
  <c r="B3806" i="5"/>
  <c r="A3807" i="5"/>
  <c r="B3807" i="5"/>
  <c r="A3808" i="5"/>
  <c r="B3808" i="5"/>
  <c r="A3809" i="5"/>
  <c r="B3809" i="5"/>
  <c r="A3810" i="5"/>
  <c r="B3810" i="5"/>
  <c r="A3811" i="5"/>
  <c r="B3811" i="5"/>
  <c r="A3812" i="5"/>
  <c r="B3812" i="5"/>
  <c r="A3813" i="5"/>
  <c r="B3813" i="5"/>
  <c r="A3814" i="5"/>
  <c r="B3814" i="5"/>
  <c r="A3815" i="5"/>
  <c r="B3815" i="5"/>
  <c r="A3816" i="5"/>
  <c r="B3816" i="5"/>
  <c r="A3817" i="5"/>
  <c r="B3817" i="5"/>
  <c r="A3818" i="5"/>
  <c r="B3818" i="5"/>
  <c r="A3819" i="5"/>
  <c r="B3819" i="5"/>
  <c r="A3820" i="5"/>
  <c r="B3820" i="5"/>
  <c r="A3821" i="5"/>
  <c r="B3821" i="5"/>
  <c r="A3822" i="5"/>
  <c r="B3822" i="5"/>
  <c r="A3823" i="5"/>
  <c r="B3823" i="5"/>
  <c r="A3824" i="5"/>
  <c r="B3824" i="5"/>
  <c r="A3825" i="5"/>
  <c r="B3825" i="5"/>
  <c r="A3826" i="5"/>
  <c r="B3826" i="5"/>
  <c r="A3827" i="5"/>
  <c r="B3827" i="5"/>
  <c r="A3828" i="5"/>
  <c r="B3828" i="5"/>
  <c r="A3829" i="5"/>
  <c r="B3829" i="5"/>
  <c r="A3830" i="5"/>
  <c r="B3830" i="5"/>
  <c r="A3831" i="5"/>
  <c r="B3831" i="5"/>
  <c r="A3832" i="5"/>
  <c r="B3832" i="5"/>
  <c r="A3833" i="5"/>
  <c r="B3833" i="5"/>
  <c r="A3834" i="5"/>
  <c r="B3834" i="5"/>
  <c r="A3835" i="5"/>
  <c r="B3835" i="5"/>
  <c r="A3836" i="5"/>
  <c r="B3836" i="5"/>
  <c r="A3837" i="5"/>
  <c r="B3837" i="5"/>
  <c r="A3838" i="5"/>
  <c r="B3838" i="5"/>
  <c r="A3839" i="5"/>
  <c r="B3839" i="5"/>
  <c r="A3840" i="5"/>
  <c r="B3840" i="5"/>
  <c r="A3841" i="5"/>
  <c r="B3841" i="5"/>
  <c r="A3842" i="5"/>
  <c r="B3842" i="5"/>
  <c r="A3843" i="5"/>
  <c r="B3843" i="5"/>
  <c r="A3844" i="5"/>
  <c r="B3844" i="5"/>
  <c r="A3845" i="5"/>
  <c r="B3845" i="5"/>
  <c r="A3846" i="5"/>
  <c r="B3846" i="5"/>
  <c r="A3847" i="5"/>
  <c r="B3847" i="5"/>
  <c r="A3848" i="5"/>
  <c r="B3848" i="5"/>
  <c r="A3849" i="5"/>
  <c r="B3849" i="5"/>
  <c r="A3850" i="5"/>
  <c r="B3850" i="5"/>
  <c r="A3851" i="5"/>
  <c r="B3851" i="5"/>
  <c r="A3852" i="5"/>
  <c r="B3852" i="5"/>
  <c r="A3853" i="5"/>
  <c r="B3853" i="5"/>
  <c r="A3854" i="5"/>
  <c r="B3854" i="5"/>
  <c r="A3855" i="5"/>
  <c r="B3855" i="5"/>
  <c r="A3856" i="5"/>
  <c r="B3856" i="5"/>
  <c r="A3857" i="5"/>
  <c r="B3857" i="5"/>
  <c r="A3858" i="5"/>
  <c r="B3858" i="5"/>
  <c r="A3859" i="5"/>
  <c r="B3859" i="5"/>
  <c r="A3860" i="5"/>
  <c r="B3860" i="5"/>
  <c r="A3861" i="5"/>
  <c r="B3861" i="5"/>
  <c r="A3862" i="5"/>
  <c r="B3862" i="5"/>
  <c r="A3863" i="5"/>
  <c r="B3863" i="5"/>
  <c r="A3864" i="5"/>
  <c r="B3864" i="5"/>
  <c r="A3865" i="5"/>
  <c r="B3865" i="5"/>
  <c r="A3866" i="5"/>
  <c r="B3866" i="5"/>
  <c r="A3867" i="5"/>
  <c r="B3867" i="5"/>
  <c r="A3868" i="5"/>
  <c r="B3868" i="5"/>
  <c r="A3869" i="5"/>
  <c r="B3869" i="5"/>
  <c r="A3870" i="5"/>
  <c r="B3870" i="5"/>
  <c r="A3871" i="5"/>
  <c r="B3871" i="5"/>
  <c r="A3872" i="5"/>
  <c r="B3872" i="5"/>
  <c r="A3873" i="5"/>
  <c r="B3873" i="5"/>
  <c r="A3874" i="5"/>
  <c r="B3874" i="5"/>
  <c r="A3875" i="5"/>
  <c r="B3875" i="5"/>
  <c r="A3876" i="5"/>
  <c r="B3876" i="5"/>
  <c r="A3877" i="5"/>
  <c r="B3877" i="5"/>
  <c r="A3878" i="5"/>
  <c r="B3878" i="5"/>
  <c r="A3879" i="5"/>
  <c r="B3879" i="5"/>
  <c r="A3880" i="5"/>
  <c r="B3880" i="5"/>
  <c r="A3881" i="5"/>
  <c r="B3881" i="5"/>
  <c r="A3882" i="5"/>
  <c r="B3882" i="5"/>
  <c r="A3883" i="5"/>
  <c r="B3883" i="5"/>
  <c r="A3884" i="5"/>
  <c r="B3884" i="5"/>
  <c r="A3885" i="5"/>
  <c r="B3885" i="5"/>
  <c r="A3886" i="5"/>
  <c r="B3886" i="5"/>
  <c r="A3887" i="5"/>
  <c r="B3887" i="5"/>
  <c r="A3888" i="5"/>
  <c r="B3888" i="5"/>
  <c r="A3889" i="5"/>
  <c r="B3889" i="5"/>
  <c r="A3890" i="5"/>
  <c r="B3890" i="5"/>
  <c r="A3891" i="5"/>
  <c r="B3891" i="5"/>
  <c r="A3892" i="5"/>
  <c r="B3892" i="5"/>
  <c r="A3893" i="5"/>
  <c r="B3893" i="5"/>
  <c r="A3894" i="5"/>
  <c r="B3894" i="5"/>
  <c r="A3895" i="5"/>
  <c r="B3895" i="5"/>
  <c r="A3896" i="5"/>
  <c r="B3896" i="5"/>
  <c r="A3897" i="5"/>
  <c r="B3897" i="5"/>
  <c r="A3898" i="5"/>
  <c r="B3898" i="5"/>
  <c r="A3899" i="5"/>
  <c r="B3899" i="5"/>
  <c r="A3900" i="5"/>
  <c r="B3900" i="5"/>
  <c r="A3901" i="5"/>
  <c r="B3901" i="5"/>
  <c r="A3902" i="5"/>
  <c r="B3902" i="5"/>
  <c r="A3903" i="5"/>
  <c r="B3903" i="5"/>
  <c r="A3904" i="5"/>
  <c r="B3904" i="5"/>
  <c r="A3905" i="5"/>
  <c r="B3905" i="5"/>
  <c r="A3906" i="5"/>
  <c r="B3906" i="5"/>
  <c r="A3907" i="5"/>
  <c r="B3907" i="5"/>
  <c r="A3908" i="5"/>
  <c r="B3908" i="5"/>
  <c r="A3909" i="5"/>
  <c r="B3909" i="5"/>
  <c r="A3910" i="5"/>
  <c r="B3910" i="5"/>
  <c r="A3911" i="5"/>
  <c r="B3911" i="5"/>
  <c r="A3912" i="5"/>
  <c r="B3912" i="5"/>
  <c r="A3913" i="5"/>
  <c r="B3913" i="5"/>
  <c r="A3914" i="5"/>
  <c r="B3914" i="5"/>
  <c r="A3915" i="5"/>
  <c r="B3915" i="5"/>
  <c r="A3916" i="5"/>
  <c r="B3916" i="5"/>
  <c r="A3917" i="5"/>
  <c r="B3917" i="5"/>
  <c r="A3918" i="5"/>
  <c r="B3918" i="5"/>
  <c r="A3919" i="5"/>
  <c r="B3919" i="5"/>
  <c r="A3920" i="5"/>
  <c r="B3920" i="5"/>
  <c r="A3921" i="5"/>
  <c r="B3921" i="5"/>
  <c r="A3922" i="5"/>
  <c r="B3922" i="5"/>
  <c r="A3923" i="5"/>
  <c r="B3923" i="5"/>
  <c r="A3924" i="5"/>
  <c r="B3924" i="5"/>
  <c r="A3925" i="5"/>
  <c r="B3925" i="5"/>
  <c r="A3926" i="5"/>
  <c r="B3926" i="5"/>
  <c r="A3927" i="5"/>
  <c r="B3927" i="5"/>
  <c r="A3928" i="5"/>
  <c r="B3928" i="5"/>
  <c r="A3929" i="5"/>
  <c r="B3929" i="5"/>
  <c r="A3930" i="5"/>
  <c r="B3930" i="5"/>
  <c r="A3931" i="5"/>
  <c r="B3931" i="5"/>
  <c r="A3932" i="5"/>
  <c r="B3932" i="5"/>
  <c r="A3933" i="5"/>
  <c r="B3933" i="5"/>
  <c r="A3934" i="5"/>
  <c r="B3934" i="5"/>
  <c r="A3935" i="5"/>
  <c r="B3935" i="5"/>
  <c r="A3936" i="5"/>
  <c r="B3936" i="5"/>
  <c r="A3937" i="5"/>
  <c r="B3937" i="5"/>
  <c r="A3938" i="5"/>
  <c r="B3938" i="5"/>
  <c r="A3939" i="5"/>
  <c r="B3939" i="5"/>
  <c r="A3940" i="5"/>
  <c r="B3940" i="5"/>
  <c r="A3941" i="5"/>
  <c r="B3941" i="5"/>
  <c r="A3942" i="5"/>
  <c r="B3942" i="5"/>
  <c r="A3943" i="5"/>
  <c r="B3943" i="5"/>
  <c r="A3944" i="5"/>
  <c r="B3944" i="5"/>
  <c r="A3945" i="5"/>
  <c r="B3945" i="5"/>
  <c r="A3946" i="5"/>
  <c r="B3946" i="5"/>
  <c r="A3947" i="5"/>
  <c r="B3947" i="5"/>
  <c r="A3948" i="5"/>
  <c r="B3948" i="5"/>
  <c r="A3949" i="5"/>
  <c r="B3949" i="5"/>
  <c r="A3950" i="5"/>
  <c r="B3950" i="5"/>
  <c r="A3951" i="5"/>
  <c r="B3951" i="5"/>
  <c r="A3952" i="5"/>
  <c r="B3952" i="5"/>
  <c r="A3953" i="5"/>
  <c r="B3953" i="5"/>
  <c r="A3954" i="5"/>
  <c r="B3954" i="5"/>
  <c r="A3955" i="5"/>
  <c r="B3955" i="5"/>
  <c r="A3956" i="5"/>
  <c r="B3956" i="5"/>
  <c r="A3957" i="5"/>
  <c r="B3957" i="5"/>
  <c r="A3958" i="5"/>
  <c r="B3958" i="5"/>
  <c r="A3959" i="5"/>
  <c r="B3959" i="5"/>
  <c r="A3960" i="5"/>
  <c r="B3960" i="5"/>
  <c r="A3961" i="5"/>
  <c r="B3961" i="5"/>
  <c r="A3962" i="5"/>
  <c r="B3962" i="5"/>
  <c r="A3963" i="5"/>
  <c r="B3963" i="5"/>
  <c r="A3964" i="5"/>
  <c r="B3964" i="5"/>
  <c r="A3965" i="5"/>
  <c r="B3965" i="5"/>
  <c r="A3966" i="5"/>
  <c r="B3966" i="5"/>
  <c r="A3967" i="5"/>
  <c r="B3967" i="5"/>
  <c r="A3968" i="5"/>
  <c r="B3968" i="5"/>
  <c r="A3969" i="5"/>
  <c r="B3969" i="5"/>
  <c r="A3970" i="5"/>
  <c r="B3970" i="5"/>
  <c r="A3971" i="5"/>
  <c r="B3971" i="5"/>
  <c r="A3972" i="5"/>
  <c r="B3972" i="5"/>
  <c r="A3973" i="5"/>
  <c r="B3973" i="5"/>
  <c r="A3974" i="5"/>
  <c r="B3974" i="5"/>
  <c r="A3975" i="5"/>
  <c r="B3975" i="5"/>
  <c r="A3976" i="5"/>
  <c r="B3976" i="5"/>
  <c r="A3977" i="5"/>
  <c r="B3977" i="5"/>
  <c r="A3978" i="5"/>
  <c r="B3978" i="5"/>
  <c r="A3979" i="5"/>
  <c r="B3979" i="5"/>
  <c r="A3980" i="5"/>
  <c r="B3980" i="5"/>
  <c r="A3981" i="5"/>
  <c r="B3981" i="5"/>
  <c r="A3982" i="5"/>
  <c r="B3982" i="5"/>
  <c r="A3983" i="5"/>
  <c r="B3983" i="5"/>
  <c r="A3984" i="5"/>
  <c r="B3984" i="5"/>
  <c r="A3985" i="5"/>
  <c r="B3985" i="5"/>
  <c r="A3986" i="5"/>
  <c r="B3986" i="5"/>
  <c r="A3987" i="5"/>
  <c r="B3987" i="5"/>
  <c r="A3988" i="5"/>
  <c r="B3988" i="5"/>
  <c r="A3989" i="5"/>
  <c r="B3989" i="5"/>
  <c r="A3990" i="5"/>
  <c r="B3990" i="5"/>
  <c r="A3991" i="5"/>
  <c r="B3991" i="5"/>
  <c r="A3992" i="5"/>
  <c r="B3992" i="5"/>
  <c r="A3993" i="5"/>
  <c r="B3993" i="5"/>
  <c r="A3994" i="5"/>
  <c r="B3994" i="5"/>
  <c r="A3995" i="5"/>
  <c r="B3995" i="5"/>
  <c r="A3996" i="5"/>
  <c r="B3996" i="5"/>
  <c r="A3997" i="5"/>
  <c r="B3997" i="5"/>
  <c r="A3998" i="5"/>
  <c r="B3998" i="5"/>
  <c r="A3999" i="5"/>
  <c r="B3999" i="5"/>
  <c r="A4000" i="5"/>
  <c r="B4000" i="5"/>
  <c r="A4001" i="5"/>
  <c r="B4001" i="5"/>
  <c r="A4002" i="5"/>
  <c r="B4002" i="5"/>
  <c r="A4003" i="5"/>
  <c r="B4003" i="5"/>
  <c r="A4004" i="5"/>
  <c r="B4004" i="5"/>
  <c r="A4005" i="5"/>
  <c r="B4005" i="5"/>
  <c r="A4006" i="5"/>
  <c r="B4006" i="5"/>
  <c r="A4007" i="5"/>
  <c r="B4007" i="5"/>
  <c r="A4008" i="5"/>
  <c r="B4008" i="5"/>
  <c r="A4009" i="5"/>
  <c r="B4009" i="5"/>
  <c r="A4010" i="5"/>
  <c r="B4010" i="5"/>
  <c r="A4011" i="5"/>
  <c r="B4011" i="5"/>
  <c r="A4012" i="5"/>
  <c r="B4012" i="5"/>
  <c r="A4013" i="5"/>
  <c r="B4013" i="5"/>
  <c r="A4014" i="5"/>
  <c r="B4014" i="5"/>
  <c r="A4015" i="5"/>
  <c r="B4015" i="5"/>
  <c r="A4016" i="5"/>
  <c r="B4016" i="5"/>
  <c r="A4017" i="5"/>
  <c r="B4017" i="5"/>
  <c r="A4018" i="5"/>
  <c r="B4018" i="5"/>
  <c r="A4019" i="5"/>
  <c r="B4019" i="5"/>
  <c r="A4020" i="5"/>
  <c r="B4020" i="5"/>
  <c r="A4021" i="5"/>
  <c r="B4021" i="5"/>
  <c r="A4022" i="5"/>
  <c r="B4022" i="5"/>
  <c r="A4023" i="5"/>
  <c r="B4023" i="5"/>
  <c r="A4024" i="5"/>
  <c r="B4024" i="5"/>
  <c r="A4025" i="5"/>
  <c r="B4025" i="5"/>
  <c r="A4026" i="5"/>
  <c r="B4026" i="5"/>
  <c r="A4027" i="5"/>
  <c r="B4027" i="5"/>
  <c r="A4028" i="5"/>
  <c r="B4028" i="5"/>
  <c r="A4029" i="5"/>
  <c r="B4029" i="5"/>
  <c r="A4030" i="5"/>
  <c r="B4030" i="5"/>
  <c r="A4031" i="5"/>
  <c r="B4031" i="5"/>
  <c r="A4032" i="5"/>
  <c r="B4032" i="5"/>
  <c r="A4033" i="5"/>
  <c r="B4033" i="5"/>
  <c r="A4034" i="5"/>
  <c r="B4034" i="5"/>
  <c r="A4035" i="5"/>
  <c r="B4035" i="5"/>
  <c r="A4036" i="5"/>
  <c r="B4036" i="5"/>
  <c r="A4037" i="5"/>
  <c r="B4037" i="5"/>
  <c r="A4038" i="5"/>
  <c r="B4038" i="5"/>
  <c r="A4039" i="5"/>
  <c r="B4039" i="5"/>
  <c r="A4040" i="5"/>
  <c r="B4040" i="5"/>
  <c r="A4041" i="5"/>
  <c r="B4041" i="5"/>
  <c r="A4042" i="5"/>
  <c r="B4042" i="5"/>
  <c r="A4043" i="5"/>
  <c r="B4043" i="5"/>
  <c r="A4044" i="5"/>
  <c r="B4044" i="5"/>
  <c r="A4045" i="5"/>
  <c r="B4045" i="5"/>
  <c r="A4046" i="5"/>
  <c r="B4046" i="5"/>
  <c r="A4047" i="5"/>
  <c r="B4047" i="5"/>
  <c r="A4048" i="5"/>
  <c r="B4048" i="5"/>
  <c r="A4049" i="5"/>
  <c r="B4049" i="5"/>
  <c r="A4050" i="5"/>
  <c r="B4050" i="5"/>
  <c r="A4051" i="5"/>
  <c r="B4051" i="5"/>
  <c r="A4052" i="5"/>
  <c r="B4052" i="5"/>
  <c r="A4053" i="5"/>
  <c r="B4053" i="5"/>
  <c r="A4054" i="5"/>
  <c r="B4054" i="5"/>
  <c r="A4055" i="5"/>
  <c r="B4055" i="5"/>
  <c r="A4056" i="5"/>
  <c r="B4056" i="5"/>
  <c r="A4057" i="5"/>
  <c r="B4057" i="5"/>
  <c r="A4058" i="5"/>
  <c r="B4058" i="5"/>
  <c r="A4059" i="5"/>
  <c r="B4059" i="5"/>
  <c r="A4060" i="5"/>
  <c r="B4060" i="5"/>
  <c r="A4061" i="5"/>
  <c r="B4061" i="5"/>
  <c r="A4062" i="5"/>
  <c r="B4062" i="5"/>
  <c r="A4063" i="5"/>
  <c r="B4063" i="5"/>
  <c r="A4064" i="5"/>
  <c r="B4064" i="5"/>
  <c r="A4065" i="5"/>
  <c r="B4065" i="5"/>
  <c r="A4066" i="5"/>
  <c r="B4066" i="5"/>
  <c r="A4067" i="5"/>
  <c r="B4067" i="5"/>
  <c r="A4068" i="5"/>
  <c r="B4068" i="5"/>
  <c r="A4069" i="5"/>
  <c r="B4069" i="5"/>
  <c r="A4070" i="5"/>
  <c r="B4070" i="5"/>
  <c r="A4071" i="5"/>
  <c r="B4071" i="5"/>
  <c r="A4072" i="5"/>
  <c r="B4072" i="5"/>
  <c r="A4073" i="5"/>
  <c r="B4073" i="5"/>
  <c r="A4074" i="5"/>
  <c r="B4074" i="5"/>
  <c r="A4075" i="5"/>
  <c r="B4075" i="5"/>
  <c r="A4076" i="5"/>
  <c r="B4076" i="5"/>
  <c r="A4077" i="5"/>
  <c r="B4077" i="5"/>
  <c r="A4078" i="5"/>
  <c r="B4078" i="5"/>
  <c r="A4079" i="5"/>
  <c r="B4079" i="5"/>
  <c r="A4080" i="5"/>
  <c r="B4080" i="5"/>
  <c r="A4081" i="5"/>
  <c r="B4081" i="5"/>
  <c r="A4082" i="5"/>
  <c r="B4082" i="5"/>
  <c r="A4083" i="5"/>
  <c r="B4083" i="5"/>
  <c r="A4084" i="5"/>
  <c r="B4084" i="5"/>
  <c r="A4085" i="5"/>
  <c r="B4085" i="5"/>
  <c r="A4086" i="5"/>
  <c r="B4086" i="5"/>
  <c r="A4087" i="5"/>
  <c r="B4087" i="5"/>
  <c r="A4088" i="5"/>
  <c r="B4088" i="5"/>
  <c r="A4089" i="5"/>
  <c r="B4089" i="5"/>
  <c r="A4090" i="5"/>
  <c r="B4090" i="5"/>
  <c r="A4091" i="5"/>
  <c r="B4091" i="5"/>
  <c r="A4092" i="5"/>
  <c r="B4092" i="5"/>
  <c r="A4093" i="5"/>
  <c r="B4093" i="5"/>
  <c r="A4094" i="5"/>
  <c r="B4094" i="5"/>
  <c r="A4095" i="5"/>
  <c r="B4095" i="5"/>
  <c r="A4096" i="5"/>
  <c r="B4096" i="5"/>
  <c r="A4097" i="5"/>
  <c r="B4097" i="5"/>
  <c r="A4098" i="5"/>
  <c r="B4098" i="5"/>
  <c r="A4099" i="5"/>
  <c r="B4099" i="5"/>
  <c r="A4100" i="5"/>
  <c r="B4100" i="5"/>
  <c r="A4101" i="5"/>
  <c r="B4101" i="5"/>
  <c r="A4102" i="5"/>
  <c r="B4102" i="5"/>
  <c r="A4103" i="5"/>
  <c r="B4103" i="5"/>
  <c r="A4104" i="5"/>
  <c r="B4104" i="5"/>
  <c r="A4105" i="5"/>
  <c r="B4105" i="5"/>
  <c r="A4106" i="5"/>
  <c r="B4106" i="5"/>
  <c r="A4107" i="5"/>
  <c r="B4107" i="5"/>
  <c r="A4108" i="5"/>
  <c r="B4108" i="5"/>
  <c r="A4109" i="5"/>
  <c r="B4109" i="5"/>
  <c r="A4110" i="5"/>
  <c r="B4110" i="5"/>
  <c r="A4111" i="5"/>
  <c r="B4111" i="5"/>
  <c r="A4112" i="5"/>
  <c r="B4112" i="5"/>
  <c r="A4113" i="5"/>
  <c r="B4113" i="5"/>
  <c r="A4114" i="5"/>
  <c r="B4114" i="5"/>
  <c r="A4115" i="5"/>
  <c r="B4115" i="5"/>
  <c r="A4116" i="5"/>
  <c r="B4116" i="5"/>
  <c r="A4117" i="5"/>
  <c r="B4117" i="5"/>
  <c r="A4118" i="5"/>
  <c r="B4118" i="5"/>
  <c r="A4119" i="5"/>
  <c r="B4119" i="5"/>
  <c r="A4120" i="5"/>
  <c r="B4120" i="5"/>
  <c r="A4121" i="5"/>
  <c r="B4121" i="5"/>
  <c r="A4122" i="5"/>
  <c r="B4122" i="5"/>
  <c r="A4123" i="5"/>
  <c r="B4123" i="5"/>
  <c r="A4124" i="5"/>
  <c r="B4124" i="5"/>
  <c r="A4125" i="5"/>
  <c r="B4125" i="5"/>
  <c r="A4126" i="5"/>
  <c r="B4126" i="5"/>
  <c r="A4127" i="5"/>
  <c r="B4127" i="5"/>
  <c r="A4128" i="5"/>
  <c r="B4128" i="5"/>
  <c r="A4129" i="5"/>
  <c r="B4129" i="5"/>
  <c r="A4130" i="5"/>
  <c r="B4130" i="5"/>
  <c r="A4131" i="5"/>
  <c r="B4131" i="5"/>
  <c r="A4132" i="5"/>
  <c r="B4132" i="5"/>
  <c r="A4133" i="5"/>
  <c r="B4133" i="5"/>
  <c r="A4134" i="5"/>
  <c r="B4134" i="5"/>
  <c r="A4135" i="5"/>
  <c r="B4135" i="5"/>
  <c r="A4136" i="5"/>
  <c r="B4136" i="5"/>
  <c r="A4137" i="5"/>
  <c r="B4137" i="5"/>
  <c r="A4138" i="5"/>
  <c r="B4138" i="5"/>
  <c r="A4139" i="5"/>
  <c r="B4139" i="5"/>
  <c r="A4140" i="5"/>
  <c r="B4140" i="5"/>
  <c r="A4141" i="5"/>
  <c r="B4141" i="5"/>
  <c r="A4142" i="5"/>
  <c r="B4142" i="5"/>
  <c r="A4143" i="5"/>
  <c r="B4143" i="5"/>
  <c r="A4144" i="5"/>
  <c r="B4144" i="5"/>
  <c r="A4145" i="5"/>
  <c r="B4145" i="5"/>
  <c r="A4146" i="5"/>
  <c r="B4146" i="5"/>
  <c r="A4147" i="5"/>
  <c r="B4147" i="5"/>
  <c r="A4148" i="5"/>
  <c r="B4148" i="5"/>
  <c r="A4149" i="5"/>
  <c r="B4149" i="5"/>
  <c r="A4150" i="5"/>
  <c r="B4150" i="5"/>
  <c r="A4151" i="5"/>
  <c r="B4151" i="5"/>
  <c r="A4152" i="5"/>
  <c r="B4152" i="5"/>
  <c r="A4153" i="5"/>
  <c r="B4153" i="5"/>
  <c r="A4154" i="5"/>
  <c r="B4154" i="5"/>
  <c r="A4155" i="5"/>
  <c r="B4155" i="5"/>
  <c r="A4156" i="5"/>
  <c r="B4156" i="5"/>
  <c r="A4157" i="5"/>
  <c r="B4157" i="5"/>
  <c r="A4158" i="5"/>
  <c r="B4158" i="5"/>
  <c r="A4159" i="5"/>
  <c r="B4159" i="5"/>
  <c r="A4160" i="5"/>
  <c r="B4160" i="5"/>
  <c r="A4161" i="5"/>
  <c r="B4161" i="5"/>
  <c r="A4162" i="5"/>
  <c r="B4162" i="5"/>
  <c r="A4163" i="5"/>
  <c r="B4163" i="5"/>
  <c r="A4164" i="5"/>
  <c r="B4164" i="5"/>
  <c r="A4165" i="5"/>
  <c r="B4165" i="5"/>
  <c r="A4166" i="5"/>
  <c r="B4166" i="5"/>
  <c r="A4167" i="5"/>
  <c r="B4167" i="5"/>
  <c r="A4168" i="5"/>
  <c r="B4168" i="5"/>
  <c r="A4169" i="5"/>
  <c r="B4169" i="5"/>
  <c r="A4170" i="5"/>
  <c r="B4170" i="5"/>
  <c r="A4171" i="5"/>
  <c r="B4171" i="5"/>
  <c r="A4172" i="5"/>
  <c r="B4172" i="5"/>
  <c r="A4173" i="5"/>
  <c r="B4173" i="5"/>
  <c r="A4174" i="5"/>
  <c r="B4174" i="5"/>
  <c r="A4175" i="5"/>
  <c r="B4175" i="5"/>
  <c r="A4176" i="5"/>
  <c r="B4176" i="5"/>
  <c r="A4177" i="5"/>
  <c r="B4177" i="5"/>
  <c r="A4178" i="5"/>
  <c r="B4178" i="5"/>
  <c r="A4179" i="5"/>
  <c r="B4179" i="5"/>
  <c r="A4180" i="5"/>
  <c r="B4180" i="5"/>
  <c r="A4181" i="5"/>
  <c r="B4181" i="5"/>
  <c r="A4182" i="5"/>
  <c r="B4182" i="5"/>
  <c r="A4183" i="5"/>
  <c r="B4183" i="5"/>
  <c r="A4184" i="5"/>
  <c r="B4184" i="5"/>
  <c r="A4185" i="5"/>
  <c r="B4185" i="5"/>
  <c r="A4186" i="5"/>
  <c r="B4186" i="5"/>
  <c r="A4187" i="5"/>
  <c r="B4187" i="5"/>
  <c r="A4188" i="5"/>
  <c r="B4188" i="5"/>
  <c r="A4189" i="5"/>
  <c r="B4189" i="5"/>
  <c r="A4190" i="5"/>
  <c r="B4190" i="5"/>
  <c r="A4191" i="5"/>
  <c r="B4191" i="5"/>
  <c r="A4192" i="5"/>
  <c r="B4192" i="5"/>
  <c r="A4193" i="5"/>
  <c r="B4193" i="5"/>
  <c r="A4194" i="5"/>
  <c r="B4194" i="5"/>
  <c r="A4195" i="5"/>
  <c r="B4195" i="5"/>
  <c r="A4196" i="5"/>
  <c r="B4196" i="5"/>
  <c r="A4197" i="5"/>
  <c r="B4197" i="5"/>
  <c r="A4198" i="5"/>
  <c r="B4198" i="5"/>
  <c r="A4199" i="5"/>
  <c r="B4199" i="5"/>
  <c r="A4200" i="5"/>
  <c r="B4200" i="5"/>
  <c r="A4201" i="5"/>
  <c r="B4201" i="5"/>
  <c r="A4202" i="5"/>
  <c r="B4202" i="5"/>
  <c r="A4203" i="5"/>
  <c r="B4203" i="5"/>
  <c r="A4204" i="5"/>
  <c r="B4204" i="5"/>
  <c r="A4205" i="5"/>
  <c r="B4205" i="5"/>
  <c r="A4206" i="5"/>
  <c r="B4206" i="5"/>
  <c r="A4207" i="5"/>
  <c r="B4207" i="5"/>
  <c r="A4208" i="5"/>
  <c r="B4208" i="5"/>
  <c r="A4209" i="5"/>
  <c r="B4209" i="5"/>
  <c r="A4210" i="5"/>
  <c r="B4210" i="5"/>
  <c r="A4211" i="5"/>
  <c r="B4211" i="5"/>
  <c r="A4212" i="5"/>
  <c r="B4212" i="5"/>
  <c r="A4213" i="5"/>
  <c r="B4213" i="5"/>
  <c r="A4214" i="5"/>
  <c r="B4214" i="5"/>
  <c r="A4215" i="5"/>
  <c r="B4215" i="5"/>
  <c r="A4216" i="5"/>
  <c r="B4216" i="5"/>
  <c r="A4217" i="5"/>
  <c r="B4217" i="5"/>
  <c r="A4218" i="5"/>
  <c r="B4218" i="5"/>
  <c r="A4219" i="5"/>
  <c r="B4219" i="5"/>
  <c r="A4220" i="5"/>
  <c r="B4220" i="5"/>
  <c r="A4221" i="5"/>
  <c r="B4221" i="5"/>
  <c r="A4222" i="5"/>
  <c r="B4222" i="5"/>
  <c r="A4223" i="5"/>
  <c r="B4223" i="5"/>
  <c r="A4224" i="5"/>
  <c r="B4224" i="5"/>
  <c r="A4225" i="5"/>
  <c r="B4225" i="5"/>
  <c r="A4226" i="5"/>
  <c r="B4226" i="5"/>
  <c r="A4227" i="5"/>
  <c r="B4227" i="5"/>
  <c r="A4228" i="5"/>
  <c r="B4228" i="5"/>
  <c r="A4229" i="5"/>
  <c r="B4229" i="5"/>
  <c r="A4230" i="5"/>
  <c r="B4230" i="5"/>
  <c r="A4231" i="5"/>
  <c r="B4231" i="5"/>
  <c r="A4232" i="5"/>
  <c r="B4232" i="5"/>
  <c r="A4233" i="5"/>
  <c r="B4233" i="5"/>
  <c r="A4234" i="5"/>
  <c r="B4234" i="5"/>
  <c r="A4235" i="5"/>
  <c r="B4235" i="5"/>
  <c r="A4236" i="5"/>
  <c r="B4236" i="5"/>
  <c r="A4237" i="5"/>
  <c r="B4237" i="5"/>
  <c r="A4238" i="5"/>
  <c r="B4238" i="5"/>
  <c r="A4239" i="5"/>
  <c r="B4239" i="5"/>
  <c r="A4240" i="5"/>
  <c r="B4240" i="5"/>
  <c r="A4241" i="5"/>
  <c r="B4241" i="5"/>
  <c r="A4242" i="5"/>
  <c r="B4242" i="5"/>
  <c r="A4243" i="5"/>
  <c r="B4243" i="5"/>
  <c r="A4244" i="5"/>
  <c r="B4244" i="5"/>
  <c r="A4245" i="5"/>
  <c r="B4245" i="5"/>
  <c r="A4246" i="5"/>
  <c r="B4246" i="5"/>
  <c r="A4247" i="5"/>
  <c r="B4247" i="5"/>
  <c r="A4248" i="5"/>
  <c r="B4248" i="5"/>
  <c r="A4249" i="5"/>
  <c r="B4249" i="5"/>
  <c r="A4250" i="5"/>
  <c r="B4250" i="5"/>
  <c r="A4251" i="5"/>
  <c r="B4251" i="5"/>
  <c r="A4252" i="5"/>
  <c r="B4252" i="5"/>
  <c r="A4253" i="5"/>
  <c r="B4253" i="5"/>
  <c r="A4254" i="5"/>
  <c r="B4254" i="5"/>
  <c r="A4255" i="5"/>
  <c r="B4255" i="5"/>
  <c r="A4256" i="5"/>
  <c r="B4256" i="5"/>
  <c r="A4257" i="5"/>
  <c r="B4257" i="5"/>
  <c r="A4258" i="5"/>
  <c r="B4258" i="5"/>
  <c r="A4259" i="5"/>
  <c r="B4259" i="5"/>
  <c r="A4260" i="5"/>
  <c r="B4260" i="5"/>
  <c r="A4261" i="5"/>
  <c r="B4261" i="5"/>
  <c r="A4262" i="5"/>
  <c r="B4262" i="5"/>
  <c r="A4263" i="5"/>
  <c r="B4263" i="5"/>
  <c r="A4264" i="5"/>
  <c r="B4264" i="5"/>
  <c r="A4265" i="5"/>
  <c r="B4265" i="5"/>
  <c r="A4266" i="5"/>
  <c r="B4266" i="5"/>
  <c r="A4267" i="5"/>
  <c r="B4267" i="5"/>
  <c r="A4268" i="5"/>
  <c r="B4268" i="5"/>
  <c r="A4269" i="5"/>
  <c r="B4269" i="5"/>
  <c r="A4270" i="5"/>
  <c r="B4270" i="5"/>
  <c r="A4271" i="5"/>
  <c r="B4271" i="5"/>
  <c r="A4272" i="5"/>
  <c r="B4272" i="5"/>
  <c r="A4273" i="5"/>
  <c r="B4273" i="5"/>
  <c r="A4274" i="5"/>
  <c r="B4274" i="5"/>
  <c r="A4275" i="5"/>
  <c r="B4275" i="5"/>
  <c r="A4276" i="5"/>
  <c r="B4276" i="5"/>
  <c r="A4277" i="5"/>
  <c r="B4277" i="5"/>
  <c r="A4278" i="5"/>
  <c r="B4278" i="5"/>
  <c r="A4279" i="5"/>
  <c r="B4279" i="5"/>
  <c r="A4280" i="5"/>
  <c r="B4280" i="5"/>
  <c r="A4281" i="5"/>
  <c r="B4281" i="5"/>
  <c r="A4282" i="5"/>
  <c r="B4282" i="5"/>
  <c r="A4283" i="5"/>
  <c r="B4283" i="5"/>
  <c r="A4284" i="5"/>
  <c r="B4284" i="5"/>
  <c r="A4285" i="5"/>
  <c r="B4285" i="5"/>
  <c r="A4286" i="5"/>
  <c r="B4286" i="5"/>
  <c r="A4287" i="5"/>
  <c r="B4287" i="5"/>
  <c r="A4288" i="5"/>
  <c r="B4288" i="5"/>
  <c r="A4289" i="5"/>
  <c r="B4289" i="5"/>
  <c r="A4290" i="5"/>
  <c r="B4290" i="5"/>
  <c r="A4291" i="5"/>
  <c r="B4291" i="5"/>
  <c r="A4292" i="5"/>
  <c r="B4292" i="5"/>
  <c r="A4293" i="5"/>
  <c r="B4293" i="5"/>
  <c r="A4294" i="5"/>
  <c r="B4294" i="5"/>
  <c r="A4295" i="5"/>
  <c r="B4295" i="5"/>
  <c r="A4296" i="5"/>
  <c r="B4296" i="5"/>
  <c r="A4297" i="5"/>
  <c r="B4297" i="5"/>
  <c r="A4298" i="5"/>
  <c r="B4298" i="5"/>
  <c r="A4299" i="5"/>
  <c r="B4299" i="5"/>
  <c r="A4300" i="5"/>
  <c r="B4300" i="5"/>
  <c r="A4301" i="5"/>
  <c r="B4301" i="5"/>
  <c r="A4302" i="5"/>
  <c r="B4302" i="5"/>
  <c r="A4303" i="5"/>
  <c r="B4303" i="5"/>
  <c r="A4304" i="5"/>
  <c r="B4304" i="5"/>
  <c r="A4305" i="5"/>
  <c r="B4305" i="5"/>
  <c r="A4306" i="5"/>
  <c r="B4306" i="5"/>
  <c r="A4307" i="5"/>
  <c r="B4307" i="5"/>
  <c r="A4308" i="5"/>
  <c r="B4308" i="5"/>
  <c r="A4309" i="5"/>
  <c r="B4309" i="5"/>
  <c r="A4310" i="5"/>
  <c r="B4310" i="5"/>
  <c r="A4311" i="5"/>
  <c r="B4311" i="5"/>
  <c r="A4312" i="5"/>
  <c r="B4312" i="5"/>
  <c r="A4313" i="5"/>
  <c r="B4313" i="5"/>
  <c r="A4314" i="5"/>
  <c r="B4314" i="5"/>
  <c r="A4315" i="5"/>
  <c r="B4315" i="5"/>
  <c r="A4316" i="5"/>
  <c r="B4316" i="5"/>
  <c r="A4317" i="5"/>
  <c r="B4317" i="5"/>
  <c r="A4318" i="5"/>
  <c r="B4318" i="5"/>
  <c r="A4319" i="5"/>
  <c r="B4319" i="5"/>
  <c r="A4320" i="5"/>
  <c r="B4320" i="5"/>
  <c r="A4321" i="5"/>
  <c r="B4321" i="5"/>
  <c r="A4322" i="5"/>
  <c r="B4322" i="5"/>
  <c r="A4323" i="5"/>
  <c r="B4323" i="5"/>
  <c r="A4324" i="5"/>
  <c r="B4324" i="5"/>
  <c r="A4325" i="5"/>
  <c r="B4325" i="5"/>
  <c r="A4326" i="5"/>
  <c r="B4326" i="5"/>
  <c r="A4327" i="5"/>
  <c r="B4327" i="5"/>
  <c r="A4328" i="5"/>
  <c r="B4328" i="5"/>
  <c r="A4329" i="5"/>
  <c r="B4329" i="5"/>
  <c r="A4330" i="5"/>
  <c r="B4330" i="5"/>
  <c r="A4331" i="5"/>
  <c r="B4331" i="5"/>
  <c r="A4332" i="5"/>
  <c r="B4332" i="5"/>
  <c r="A4333" i="5"/>
  <c r="B4333" i="5"/>
  <c r="A4334" i="5"/>
  <c r="B4334" i="5"/>
  <c r="A4335" i="5"/>
  <c r="B4335" i="5"/>
  <c r="A4336" i="5"/>
  <c r="B4336" i="5"/>
  <c r="A4337" i="5"/>
  <c r="B4337" i="5"/>
  <c r="A4338" i="5"/>
  <c r="B4338" i="5"/>
  <c r="A4339" i="5"/>
  <c r="B4339" i="5"/>
  <c r="A4340" i="5"/>
  <c r="B4340" i="5"/>
  <c r="A4341" i="5"/>
  <c r="B4341" i="5"/>
  <c r="A4342" i="5"/>
  <c r="B4342" i="5"/>
  <c r="A4343" i="5"/>
  <c r="B4343" i="5"/>
  <c r="A4344" i="5"/>
  <c r="B4344" i="5"/>
  <c r="A4345" i="5"/>
  <c r="B4345" i="5"/>
  <c r="A4346" i="5"/>
  <c r="B4346" i="5"/>
  <c r="A4347" i="5"/>
  <c r="B4347" i="5"/>
  <c r="A4348" i="5"/>
  <c r="B4348" i="5"/>
  <c r="A4349" i="5"/>
  <c r="B4349" i="5"/>
  <c r="A4350" i="5"/>
  <c r="B4350" i="5"/>
  <c r="A4351" i="5"/>
  <c r="B4351" i="5"/>
  <c r="A4352" i="5"/>
  <c r="B4352" i="5"/>
  <c r="A4353" i="5"/>
  <c r="B4353" i="5"/>
  <c r="A4354" i="5"/>
  <c r="B4354" i="5"/>
  <c r="A4355" i="5"/>
  <c r="B4355" i="5"/>
  <c r="A4356" i="5"/>
  <c r="B4356" i="5"/>
  <c r="A4357" i="5"/>
  <c r="B4357" i="5"/>
  <c r="A4358" i="5"/>
  <c r="B4358" i="5"/>
  <c r="A4359" i="5"/>
  <c r="B4359" i="5"/>
  <c r="A4360" i="5"/>
  <c r="B4360" i="5"/>
  <c r="A4361" i="5"/>
  <c r="B4361" i="5"/>
  <c r="A4362" i="5"/>
  <c r="B4362" i="5"/>
  <c r="A4363" i="5"/>
  <c r="B4363" i="5"/>
  <c r="A4364" i="5"/>
  <c r="B4364" i="5"/>
  <c r="A4365" i="5"/>
  <c r="B4365" i="5"/>
  <c r="A4366" i="5"/>
  <c r="B4366" i="5"/>
  <c r="A4367" i="5"/>
  <c r="B4367" i="5"/>
  <c r="A4368" i="5"/>
  <c r="B4368" i="5"/>
  <c r="A4369" i="5"/>
  <c r="B4369" i="5"/>
  <c r="A4370" i="5"/>
  <c r="B4370" i="5"/>
  <c r="A4371" i="5"/>
  <c r="B4371" i="5"/>
  <c r="A4372" i="5"/>
  <c r="B4372" i="5"/>
  <c r="A4373" i="5"/>
  <c r="B4373" i="5"/>
  <c r="A4374" i="5"/>
  <c r="B4374" i="5"/>
  <c r="A4375" i="5"/>
  <c r="B4375" i="5"/>
  <c r="A4376" i="5"/>
  <c r="B4376" i="5"/>
  <c r="A4377" i="5"/>
  <c r="B4377" i="5"/>
  <c r="A4378" i="5"/>
  <c r="B4378" i="5"/>
  <c r="A4379" i="5"/>
  <c r="B4379" i="5"/>
  <c r="A4380" i="5"/>
  <c r="B4380" i="5"/>
  <c r="A4381" i="5"/>
  <c r="B4381" i="5"/>
  <c r="A4382" i="5"/>
  <c r="B4382" i="5"/>
  <c r="A4383" i="5"/>
  <c r="B4383" i="5"/>
  <c r="A4384" i="5"/>
  <c r="B4384" i="5"/>
  <c r="A4385" i="5"/>
  <c r="B4385" i="5"/>
  <c r="A4386" i="5"/>
  <c r="B4386" i="5"/>
  <c r="A4387" i="5"/>
  <c r="B4387" i="5"/>
  <c r="A4388" i="5"/>
  <c r="B4388" i="5"/>
  <c r="A4389" i="5"/>
  <c r="B4389" i="5"/>
  <c r="A4390" i="5"/>
  <c r="B4390" i="5"/>
  <c r="A4391" i="5"/>
  <c r="B4391" i="5"/>
  <c r="A4392" i="5"/>
  <c r="B4392" i="5"/>
  <c r="A4393" i="5"/>
  <c r="B4393" i="5"/>
  <c r="A4394" i="5"/>
  <c r="B4394" i="5"/>
  <c r="A4395" i="5"/>
  <c r="B4395" i="5"/>
  <c r="A4396" i="5"/>
  <c r="B4396" i="5"/>
  <c r="A4397" i="5"/>
  <c r="B4397" i="5"/>
  <c r="A4398" i="5"/>
  <c r="B4398" i="5"/>
  <c r="A4399" i="5"/>
  <c r="B4399" i="5"/>
  <c r="A4400" i="5"/>
  <c r="B4400" i="5"/>
  <c r="A4401" i="5"/>
  <c r="B4401" i="5"/>
  <c r="A4402" i="5"/>
  <c r="B4402" i="5"/>
  <c r="A4403" i="5"/>
  <c r="B4403" i="5"/>
  <c r="A4404" i="5"/>
  <c r="B4404" i="5"/>
  <c r="A4405" i="5"/>
  <c r="B4405" i="5"/>
  <c r="A4406" i="5"/>
  <c r="B4406" i="5"/>
  <c r="A4407" i="5"/>
  <c r="B4407" i="5"/>
  <c r="A4408" i="5"/>
  <c r="B4408" i="5"/>
  <c r="A4409" i="5"/>
  <c r="B4409" i="5"/>
  <c r="A4410" i="5"/>
  <c r="B4410" i="5"/>
  <c r="A4411" i="5"/>
  <c r="B4411" i="5"/>
  <c r="A4412" i="5"/>
  <c r="B4412" i="5"/>
  <c r="A4413" i="5"/>
  <c r="B4413" i="5"/>
  <c r="A4414" i="5"/>
  <c r="B4414" i="5"/>
  <c r="A4415" i="5"/>
  <c r="B4415" i="5"/>
  <c r="A4416" i="5"/>
  <c r="B4416" i="5"/>
  <c r="A4417" i="5"/>
  <c r="B4417" i="5"/>
  <c r="A4418" i="5"/>
  <c r="B4418" i="5"/>
  <c r="A4419" i="5"/>
  <c r="B4419" i="5"/>
  <c r="A4420" i="5"/>
  <c r="B4420" i="5"/>
  <c r="A4421" i="5"/>
  <c r="B4421" i="5"/>
  <c r="A4422" i="5"/>
  <c r="B4422" i="5"/>
  <c r="A4423" i="5"/>
  <c r="B4423" i="5"/>
  <c r="A4424" i="5"/>
  <c r="B4424" i="5"/>
  <c r="A4425" i="5"/>
  <c r="B4425" i="5"/>
  <c r="A4426" i="5"/>
  <c r="B4426" i="5"/>
  <c r="A4427" i="5"/>
  <c r="B4427" i="5"/>
  <c r="A4428" i="5"/>
  <c r="B4428" i="5"/>
  <c r="A4429" i="5"/>
  <c r="B4429" i="5"/>
  <c r="A4430" i="5"/>
  <c r="B4430" i="5"/>
  <c r="A4431" i="5"/>
  <c r="B4431" i="5"/>
  <c r="A4432" i="5"/>
  <c r="B4432" i="5"/>
  <c r="A4433" i="5"/>
  <c r="B4433" i="5"/>
  <c r="A4434" i="5"/>
  <c r="B4434" i="5"/>
  <c r="A4435" i="5"/>
  <c r="B4435" i="5"/>
  <c r="A4436" i="5"/>
  <c r="B4436" i="5"/>
  <c r="A4437" i="5"/>
  <c r="B4437" i="5"/>
  <c r="A4438" i="5"/>
  <c r="B4438" i="5"/>
  <c r="A4439" i="5"/>
  <c r="B4439" i="5"/>
  <c r="A4440" i="5"/>
  <c r="B4440" i="5"/>
  <c r="A4441" i="5"/>
  <c r="B4441" i="5"/>
  <c r="A4442" i="5"/>
  <c r="B4442" i="5"/>
  <c r="A4443" i="5"/>
  <c r="B4443" i="5"/>
  <c r="A4444" i="5"/>
  <c r="B4444" i="5"/>
  <c r="A4445" i="5"/>
  <c r="B4445" i="5"/>
  <c r="A4446" i="5"/>
  <c r="B4446" i="5"/>
  <c r="A4447" i="5"/>
  <c r="B4447" i="5"/>
  <c r="A4448" i="5"/>
  <c r="B4448" i="5"/>
  <c r="A4449" i="5"/>
  <c r="B4449" i="5"/>
  <c r="A4450" i="5"/>
  <c r="B4450" i="5"/>
  <c r="A4451" i="5"/>
  <c r="B4451" i="5"/>
  <c r="A4452" i="5"/>
  <c r="B4452" i="5"/>
  <c r="A4453" i="5"/>
  <c r="B4453" i="5"/>
  <c r="A4454" i="5"/>
  <c r="B4454" i="5"/>
  <c r="A4455" i="5"/>
  <c r="B4455" i="5"/>
  <c r="A4456" i="5"/>
  <c r="B4456" i="5"/>
  <c r="A4457" i="5"/>
  <c r="B4457" i="5"/>
  <c r="A4458" i="5"/>
  <c r="B4458" i="5"/>
  <c r="A4459" i="5"/>
  <c r="B4459" i="5"/>
  <c r="A4460" i="5"/>
  <c r="B4460" i="5"/>
  <c r="A4461" i="5"/>
  <c r="B4461" i="5"/>
  <c r="A4462" i="5"/>
  <c r="B4462" i="5"/>
  <c r="A4463" i="5"/>
  <c r="B4463" i="5"/>
  <c r="A4464" i="5"/>
  <c r="B4464" i="5"/>
  <c r="A4465" i="5"/>
  <c r="B4465" i="5"/>
  <c r="A4466" i="5"/>
  <c r="B4466" i="5"/>
  <c r="A4467" i="5"/>
  <c r="B4467" i="5"/>
  <c r="A4468" i="5"/>
  <c r="B4468" i="5"/>
  <c r="A4469" i="5"/>
  <c r="B4469" i="5"/>
  <c r="A4470" i="5"/>
  <c r="B4470" i="5"/>
  <c r="A4471" i="5"/>
  <c r="B4471" i="5"/>
  <c r="A4472" i="5"/>
  <c r="B4472" i="5"/>
  <c r="A4473" i="5"/>
  <c r="B4473" i="5"/>
  <c r="A4474" i="5"/>
  <c r="B4474" i="5"/>
  <c r="A4475" i="5"/>
  <c r="B4475" i="5"/>
  <c r="A4476" i="5"/>
  <c r="B4476" i="5"/>
  <c r="A4477" i="5"/>
  <c r="B4477" i="5"/>
  <c r="A4478" i="5"/>
  <c r="B4478" i="5"/>
  <c r="A4479" i="5"/>
  <c r="B4479" i="5"/>
  <c r="A4480" i="5"/>
  <c r="B4480" i="5"/>
  <c r="A4481" i="5"/>
  <c r="B4481" i="5"/>
  <c r="A4482" i="5"/>
  <c r="B4482" i="5"/>
  <c r="A4483" i="5"/>
  <c r="B4483" i="5"/>
  <c r="A4484" i="5"/>
  <c r="B4484" i="5"/>
  <c r="A4485" i="5"/>
  <c r="B4485" i="5"/>
  <c r="A4486" i="5"/>
  <c r="B4486" i="5"/>
  <c r="A4487" i="5"/>
  <c r="B4487" i="5"/>
  <c r="A4488" i="5"/>
  <c r="B4488" i="5"/>
  <c r="A4489" i="5"/>
  <c r="B4489" i="5"/>
  <c r="A4490" i="5"/>
  <c r="B4490" i="5"/>
  <c r="A4491" i="5"/>
  <c r="B4491" i="5"/>
  <c r="A4492" i="5"/>
  <c r="B4492" i="5"/>
  <c r="A4493" i="5"/>
  <c r="B4493" i="5"/>
  <c r="A4494" i="5"/>
  <c r="B4494" i="5"/>
  <c r="A4495" i="5"/>
  <c r="B4495" i="5"/>
  <c r="A4496" i="5"/>
  <c r="B4496" i="5"/>
  <c r="A4497" i="5"/>
  <c r="B4497" i="5"/>
  <c r="A4498" i="5"/>
  <c r="B4498" i="5"/>
  <c r="A4499" i="5"/>
  <c r="B4499" i="5"/>
  <c r="A4500" i="5"/>
  <c r="B4500" i="5"/>
  <c r="A4501" i="5"/>
  <c r="B4501" i="5"/>
  <c r="A4502" i="5"/>
  <c r="B4502" i="5"/>
  <c r="A4503" i="5"/>
  <c r="B4503" i="5"/>
  <c r="A4504" i="5"/>
  <c r="B4504" i="5"/>
  <c r="A4505" i="5"/>
  <c r="B4505" i="5"/>
  <c r="A4506" i="5"/>
  <c r="B4506" i="5"/>
  <c r="A4507" i="5"/>
  <c r="B4507" i="5"/>
  <c r="A4508" i="5"/>
  <c r="B4508" i="5"/>
  <c r="A4509" i="5"/>
  <c r="B4509" i="5"/>
  <c r="A4510" i="5"/>
  <c r="B4510" i="5"/>
  <c r="A4511" i="5"/>
  <c r="B4511" i="5"/>
  <c r="A4512" i="5"/>
  <c r="B4512" i="5"/>
  <c r="A4513" i="5"/>
  <c r="B4513" i="5"/>
  <c r="A4514" i="5"/>
  <c r="B4514" i="5"/>
  <c r="A4515" i="5"/>
  <c r="B4515" i="5"/>
  <c r="A4516" i="5"/>
  <c r="B4516" i="5"/>
  <c r="A4517" i="5"/>
  <c r="B4517" i="5"/>
  <c r="A4518" i="5"/>
  <c r="B4518" i="5"/>
  <c r="A4519" i="5"/>
  <c r="B4519" i="5"/>
  <c r="A4520" i="5"/>
  <c r="B4520" i="5"/>
  <c r="A4521" i="5"/>
  <c r="B4521" i="5"/>
  <c r="A4522" i="5"/>
  <c r="B4522" i="5"/>
  <c r="A4523" i="5"/>
  <c r="B4523" i="5"/>
  <c r="A4524" i="5"/>
  <c r="B4524" i="5"/>
  <c r="A4525" i="5"/>
  <c r="B4525" i="5"/>
  <c r="A4526" i="5"/>
  <c r="B4526" i="5"/>
  <c r="A4527" i="5"/>
  <c r="B4527" i="5"/>
  <c r="A4528" i="5"/>
  <c r="B4528" i="5"/>
  <c r="A4529" i="5"/>
  <c r="B4529" i="5"/>
  <c r="A4530" i="5"/>
  <c r="B4530" i="5"/>
  <c r="A4531" i="5"/>
  <c r="B4531" i="5"/>
  <c r="A4532" i="5"/>
  <c r="B4532" i="5"/>
  <c r="A4533" i="5"/>
  <c r="B4533" i="5"/>
  <c r="A4534" i="5"/>
  <c r="B4534" i="5"/>
  <c r="A4535" i="5"/>
  <c r="B4535" i="5"/>
  <c r="A4536" i="5"/>
  <c r="B4536" i="5"/>
  <c r="A4537" i="5"/>
  <c r="B4537" i="5"/>
  <c r="A4538" i="5"/>
  <c r="B4538" i="5"/>
  <c r="A4539" i="5"/>
  <c r="B4539" i="5"/>
  <c r="A4540" i="5"/>
  <c r="B4540" i="5"/>
  <c r="A4541" i="5"/>
  <c r="B4541" i="5"/>
  <c r="A4542" i="5"/>
  <c r="B4542" i="5"/>
  <c r="A4543" i="5"/>
  <c r="B4543" i="5"/>
  <c r="A4544" i="5"/>
  <c r="B4544" i="5"/>
  <c r="A4545" i="5"/>
  <c r="B4545" i="5"/>
  <c r="A4546" i="5"/>
  <c r="B4546" i="5"/>
  <c r="A4547" i="5"/>
  <c r="B4547" i="5"/>
  <c r="A4548" i="5"/>
  <c r="B4548" i="5"/>
  <c r="A4549" i="5"/>
  <c r="B4549" i="5"/>
  <c r="A4550" i="5"/>
  <c r="B4550" i="5"/>
  <c r="A4551" i="5"/>
  <c r="B4551" i="5"/>
  <c r="A4552" i="5"/>
  <c r="B4552" i="5"/>
  <c r="A4553" i="5"/>
  <c r="B4553" i="5"/>
  <c r="A4554" i="5"/>
  <c r="B4554" i="5"/>
  <c r="A4555" i="5"/>
  <c r="B4555" i="5"/>
  <c r="A4556" i="5"/>
  <c r="B4556" i="5"/>
  <c r="A4557" i="5"/>
  <c r="B4557" i="5"/>
  <c r="A4558" i="5"/>
  <c r="B4558" i="5"/>
  <c r="A4559" i="5"/>
  <c r="B4559" i="5"/>
  <c r="A4560" i="5"/>
  <c r="B4560" i="5"/>
  <c r="A4561" i="5"/>
  <c r="B4561" i="5"/>
  <c r="A4562" i="5"/>
  <c r="B4562" i="5"/>
  <c r="A4563" i="5"/>
  <c r="B4563" i="5"/>
  <c r="A4564" i="5"/>
  <c r="B4564" i="5"/>
  <c r="A4565" i="5"/>
  <c r="B4565" i="5"/>
  <c r="A4566" i="5"/>
  <c r="B4566" i="5"/>
  <c r="A4567" i="5"/>
  <c r="B4567" i="5"/>
  <c r="A4568" i="5"/>
  <c r="B4568" i="5"/>
  <c r="A4569" i="5"/>
  <c r="B4569" i="5"/>
  <c r="A4570" i="5"/>
  <c r="B4570" i="5"/>
  <c r="A4571" i="5"/>
  <c r="B4571" i="5"/>
  <c r="A4572" i="5"/>
  <c r="B4572" i="5"/>
  <c r="A4573" i="5"/>
  <c r="B4573" i="5"/>
  <c r="A4574" i="5"/>
  <c r="B4574" i="5"/>
  <c r="A4575" i="5"/>
  <c r="B4575" i="5"/>
  <c r="A4576" i="5"/>
  <c r="B4576" i="5"/>
  <c r="A4577" i="5"/>
  <c r="B4577" i="5"/>
  <c r="A4578" i="5"/>
  <c r="B4578" i="5"/>
  <c r="A4579" i="5"/>
  <c r="B4579" i="5"/>
  <c r="A4580" i="5"/>
  <c r="B4580" i="5"/>
  <c r="A4581" i="5"/>
  <c r="B4581" i="5"/>
  <c r="A4582" i="5"/>
  <c r="B4582" i="5"/>
  <c r="A4583" i="5"/>
  <c r="B4583" i="5"/>
  <c r="A4584" i="5"/>
  <c r="B4584" i="5"/>
  <c r="A4585" i="5"/>
  <c r="B4585" i="5"/>
  <c r="A4586" i="5"/>
  <c r="B4586" i="5"/>
  <c r="A4587" i="5"/>
  <c r="B4587" i="5"/>
  <c r="A4588" i="5"/>
  <c r="B4588" i="5"/>
  <c r="A4589" i="5"/>
  <c r="B4589" i="5"/>
  <c r="A4590" i="5"/>
  <c r="B4590" i="5"/>
  <c r="A4591" i="5"/>
  <c r="B4591" i="5"/>
  <c r="A4592" i="5"/>
  <c r="B4592" i="5"/>
  <c r="A4593" i="5"/>
  <c r="B4593" i="5"/>
  <c r="A4594" i="5"/>
  <c r="B4594" i="5"/>
  <c r="A4595" i="5"/>
  <c r="B4595" i="5"/>
  <c r="A4596" i="5"/>
  <c r="B4596" i="5"/>
  <c r="A4597" i="5"/>
  <c r="B4597" i="5"/>
  <c r="A4598" i="5"/>
  <c r="B4598" i="5"/>
  <c r="A4599" i="5"/>
  <c r="B4599" i="5"/>
  <c r="A4600" i="5"/>
  <c r="B4600" i="5"/>
  <c r="A4601" i="5"/>
  <c r="B4601" i="5"/>
  <c r="A4602" i="5"/>
  <c r="B4602" i="5"/>
  <c r="A4603" i="5"/>
  <c r="B4603" i="5"/>
  <c r="A4604" i="5"/>
  <c r="B4604" i="5"/>
  <c r="A4605" i="5"/>
  <c r="B4605" i="5"/>
  <c r="A4606" i="5"/>
  <c r="B4606" i="5"/>
  <c r="A4607" i="5"/>
  <c r="B4607" i="5"/>
  <c r="A4608" i="5"/>
  <c r="B4608" i="5"/>
  <c r="A4609" i="5"/>
  <c r="B4609" i="5"/>
  <c r="A4610" i="5"/>
  <c r="B4610" i="5"/>
  <c r="A4611" i="5"/>
  <c r="B4611" i="5"/>
  <c r="A4612" i="5"/>
  <c r="B4612" i="5"/>
  <c r="A4613" i="5"/>
  <c r="B4613" i="5"/>
  <c r="A4614" i="5"/>
  <c r="B4614" i="5"/>
  <c r="A4615" i="5"/>
  <c r="B4615" i="5"/>
  <c r="A4616" i="5"/>
  <c r="B4616" i="5"/>
  <c r="A4617" i="5"/>
  <c r="B4617" i="5"/>
  <c r="A4618" i="5"/>
  <c r="B4618" i="5"/>
  <c r="A4619" i="5"/>
  <c r="B4619" i="5"/>
  <c r="A4620" i="5"/>
  <c r="B4620" i="5"/>
  <c r="A4621" i="5"/>
  <c r="B4621" i="5"/>
  <c r="A4622" i="5"/>
  <c r="B4622" i="5"/>
  <c r="A4623" i="5"/>
  <c r="B4623" i="5"/>
  <c r="A4624" i="5"/>
  <c r="B4624" i="5"/>
  <c r="A4625" i="5"/>
  <c r="B4625" i="5"/>
  <c r="A4626" i="5"/>
  <c r="B4626" i="5"/>
  <c r="A4627" i="5"/>
  <c r="B4627" i="5"/>
  <c r="A4628" i="5"/>
  <c r="B4628" i="5"/>
  <c r="A4629" i="5"/>
  <c r="B4629" i="5"/>
  <c r="A4630" i="5"/>
  <c r="B4630" i="5"/>
  <c r="A4631" i="5"/>
  <c r="B4631" i="5"/>
  <c r="A4632" i="5"/>
  <c r="B4632" i="5"/>
  <c r="A4633" i="5"/>
  <c r="B4633" i="5"/>
  <c r="A4634" i="5"/>
  <c r="B4634" i="5"/>
  <c r="A4635" i="5"/>
  <c r="B4635" i="5"/>
  <c r="A4636" i="5"/>
  <c r="B4636" i="5"/>
  <c r="A4637" i="5"/>
  <c r="B4637" i="5"/>
  <c r="A4638" i="5"/>
  <c r="B4638" i="5"/>
  <c r="A4639" i="5"/>
  <c r="B4639" i="5"/>
  <c r="A4640" i="5"/>
  <c r="B4640" i="5"/>
  <c r="A4641" i="5"/>
  <c r="B4641" i="5"/>
  <c r="A4642" i="5"/>
  <c r="B4642" i="5"/>
  <c r="A4643" i="5"/>
  <c r="B4643" i="5"/>
  <c r="A4644" i="5"/>
  <c r="B4644" i="5"/>
  <c r="A4645" i="5"/>
  <c r="B4645" i="5"/>
  <c r="A4646" i="5"/>
  <c r="B4646" i="5"/>
  <c r="A4647" i="5"/>
  <c r="B4647" i="5"/>
  <c r="A4648" i="5"/>
  <c r="B4648" i="5"/>
  <c r="A4649" i="5"/>
  <c r="B4649" i="5"/>
  <c r="A4650" i="5"/>
  <c r="B4650" i="5"/>
  <c r="A4651" i="5"/>
  <c r="B4651" i="5"/>
  <c r="A4652" i="5"/>
  <c r="B4652" i="5"/>
  <c r="A4653" i="5"/>
  <c r="B4653" i="5"/>
  <c r="A4654" i="5"/>
  <c r="B4654" i="5"/>
  <c r="A4655" i="5"/>
  <c r="B4655" i="5"/>
  <c r="A4656" i="5"/>
  <c r="B4656" i="5"/>
  <c r="A4657" i="5"/>
  <c r="B4657" i="5"/>
  <c r="A4658" i="5"/>
  <c r="B4658" i="5"/>
  <c r="A4659" i="5"/>
  <c r="B4659" i="5"/>
  <c r="A4660" i="5"/>
  <c r="B4660" i="5"/>
  <c r="A4661" i="5"/>
  <c r="B4661" i="5"/>
  <c r="A4662" i="5"/>
  <c r="B4662" i="5"/>
  <c r="A4663" i="5"/>
  <c r="B4663" i="5"/>
  <c r="A4664" i="5"/>
  <c r="B4664" i="5"/>
  <c r="A4665" i="5"/>
  <c r="B4665" i="5"/>
  <c r="A4666" i="5"/>
  <c r="B4666" i="5"/>
  <c r="A4667" i="5"/>
  <c r="B4667" i="5"/>
  <c r="A4668" i="5"/>
  <c r="B4668" i="5"/>
  <c r="A4669" i="5"/>
  <c r="B4669" i="5"/>
  <c r="A4670" i="5"/>
  <c r="B4670" i="5"/>
  <c r="A4671" i="5"/>
  <c r="B4671" i="5"/>
  <c r="A4672" i="5"/>
  <c r="B4672" i="5"/>
  <c r="A4673" i="5"/>
  <c r="B4673" i="5"/>
  <c r="A4674" i="5"/>
  <c r="B4674" i="5"/>
  <c r="A4675" i="5"/>
  <c r="B4675" i="5"/>
  <c r="A4676" i="5"/>
  <c r="B4676" i="5"/>
  <c r="A4677" i="5"/>
  <c r="B4677" i="5"/>
  <c r="A4678" i="5"/>
  <c r="B4678" i="5"/>
  <c r="A4679" i="5"/>
  <c r="B4679" i="5"/>
  <c r="A4680" i="5"/>
  <c r="B4680" i="5"/>
  <c r="A4681" i="5"/>
  <c r="B4681" i="5"/>
  <c r="A4682" i="5"/>
  <c r="B4682" i="5"/>
  <c r="A4683" i="5"/>
  <c r="B4683" i="5"/>
  <c r="A4684" i="5"/>
  <c r="B4684" i="5"/>
  <c r="A4685" i="5"/>
  <c r="B4685" i="5"/>
  <c r="A4686" i="5"/>
  <c r="B4686" i="5"/>
  <c r="A4687" i="5"/>
  <c r="B4687" i="5"/>
  <c r="A4688" i="5"/>
  <c r="B4688" i="5"/>
  <c r="A4689" i="5"/>
  <c r="B4689" i="5"/>
  <c r="A4690" i="5"/>
  <c r="B4690" i="5"/>
  <c r="A4691" i="5"/>
  <c r="B4691" i="5"/>
  <c r="A4692" i="5"/>
  <c r="B4692" i="5"/>
  <c r="A4693" i="5"/>
  <c r="B4693" i="5"/>
  <c r="A4694" i="5"/>
  <c r="B4694" i="5"/>
  <c r="A4695" i="5"/>
  <c r="B4695" i="5"/>
  <c r="A4696" i="5"/>
  <c r="B4696" i="5"/>
  <c r="A4697" i="5"/>
  <c r="B4697" i="5"/>
  <c r="A4698" i="5"/>
  <c r="B4698" i="5"/>
  <c r="A4699" i="5"/>
  <c r="B4699" i="5"/>
  <c r="A4700" i="5"/>
  <c r="B4700" i="5"/>
  <c r="A4701" i="5"/>
  <c r="B4701" i="5"/>
  <c r="A4702" i="5"/>
  <c r="B4702" i="5"/>
  <c r="A4703" i="5"/>
  <c r="B4703" i="5"/>
  <c r="A4704" i="5"/>
  <c r="B4704" i="5"/>
  <c r="A4705" i="5"/>
  <c r="B4705" i="5"/>
  <c r="A4706" i="5"/>
  <c r="B4706" i="5"/>
  <c r="A4707" i="5"/>
  <c r="B4707" i="5"/>
  <c r="A4708" i="5"/>
  <c r="B4708" i="5"/>
  <c r="A4709" i="5"/>
  <c r="B4709" i="5"/>
  <c r="A4710" i="5"/>
  <c r="B4710" i="5"/>
  <c r="A4711" i="5"/>
  <c r="B4711" i="5"/>
  <c r="A4712" i="5"/>
  <c r="B4712" i="5"/>
  <c r="A4713" i="5"/>
  <c r="B4713" i="5"/>
  <c r="A4714" i="5"/>
  <c r="B4714" i="5"/>
  <c r="A4715" i="5"/>
  <c r="B4715" i="5"/>
  <c r="A4716" i="5"/>
  <c r="B4716" i="5"/>
  <c r="A4717" i="5"/>
  <c r="B4717" i="5"/>
  <c r="A4718" i="5"/>
  <c r="B4718" i="5"/>
  <c r="A4719" i="5"/>
  <c r="B4719" i="5"/>
  <c r="A4720" i="5"/>
  <c r="B4720" i="5"/>
  <c r="A4721" i="5"/>
  <c r="B4721" i="5"/>
  <c r="A4722" i="5"/>
  <c r="B4722" i="5"/>
  <c r="A4723" i="5"/>
  <c r="B4723" i="5"/>
  <c r="A4724" i="5"/>
  <c r="B4724" i="5"/>
  <c r="A4725" i="5"/>
  <c r="B4725" i="5"/>
  <c r="A4726" i="5"/>
  <c r="B4726" i="5"/>
  <c r="A4727" i="5"/>
  <c r="B4727" i="5"/>
  <c r="A4728" i="5"/>
  <c r="B4728" i="5"/>
  <c r="A4729" i="5"/>
  <c r="B4729" i="5"/>
  <c r="A4730" i="5"/>
  <c r="B4730" i="5"/>
  <c r="A4731" i="5"/>
  <c r="B4731" i="5"/>
  <c r="A4732" i="5"/>
  <c r="B4732" i="5"/>
  <c r="A4733" i="5"/>
  <c r="B4733" i="5"/>
  <c r="A4734" i="5"/>
  <c r="B4734" i="5"/>
  <c r="A4735" i="5"/>
  <c r="B4735" i="5"/>
  <c r="A4736" i="5"/>
  <c r="B4736" i="5"/>
  <c r="A4737" i="5"/>
  <c r="B4737" i="5"/>
  <c r="A4738" i="5"/>
  <c r="B4738" i="5"/>
  <c r="A4739" i="5"/>
  <c r="B4739" i="5"/>
  <c r="A4740" i="5"/>
  <c r="B4740" i="5"/>
  <c r="A4741" i="5"/>
  <c r="B4741" i="5"/>
  <c r="A4742" i="5"/>
  <c r="B4742" i="5"/>
  <c r="A4743" i="5"/>
  <c r="B4743" i="5"/>
  <c r="A4744" i="5"/>
  <c r="B4744" i="5"/>
  <c r="A4745" i="5"/>
  <c r="B4745" i="5"/>
  <c r="A4746" i="5"/>
  <c r="B4746" i="5"/>
  <c r="A4747" i="5"/>
  <c r="B4747" i="5"/>
  <c r="A4748" i="5"/>
  <c r="B4748" i="5"/>
  <c r="A4749" i="5"/>
  <c r="B4749" i="5"/>
  <c r="A4750" i="5"/>
  <c r="B4750" i="5"/>
  <c r="A4751" i="5"/>
  <c r="B4751" i="5"/>
  <c r="A4752" i="5"/>
  <c r="B4752" i="5"/>
  <c r="A4753" i="5"/>
  <c r="B4753" i="5"/>
  <c r="A4754" i="5"/>
  <c r="B4754" i="5"/>
  <c r="A4755" i="5"/>
  <c r="B4755" i="5"/>
  <c r="A4756" i="5"/>
  <c r="B4756" i="5"/>
  <c r="A4757" i="5"/>
  <c r="B4757" i="5"/>
  <c r="A4758" i="5"/>
  <c r="B4758" i="5"/>
  <c r="A4759" i="5"/>
  <c r="B4759" i="5"/>
  <c r="A4760" i="5"/>
  <c r="B4760" i="5"/>
  <c r="A4761" i="5"/>
  <c r="B4761" i="5"/>
  <c r="A4762" i="5"/>
  <c r="B4762" i="5"/>
  <c r="A4763" i="5"/>
  <c r="B4763" i="5"/>
  <c r="A4764" i="5"/>
  <c r="B4764" i="5"/>
  <c r="A4765" i="5"/>
  <c r="B4765" i="5"/>
  <c r="A4766" i="5"/>
  <c r="B4766" i="5"/>
  <c r="A4767" i="5"/>
  <c r="B4767" i="5"/>
  <c r="A4768" i="5"/>
  <c r="B4768" i="5"/>
  <c r="A4769" i="5"/>
  <c r="B4769" i="5"/>
  <c r="A4770" i="5"/>
  <c r="B4770" i="5"/>
  <c r="A4771" i="5"/>
  <c r="B4771" i="5"/>
  <c r="A4772" i="5"/>
  <c r="B4772" i="5"/>
  <c r="A4773" i="5"/>
  <c r="B4773" i="5"/>
  <c r="A4774" i="5"/>
  <c r="B4774" i="5"/>
  <c r="A4775" i="5"/>
  <c r="B4775" i="5"/>
  <c r="A4776" i="5"/>
  <c r="B4776" i="5"/>
  <c r="A4777" i="5"/>
  <c r="B4777" i="5"/>
  <c r="A4778" i="5"/>
  <c r="B4778" i="5"/>
  <c r="A4779" i="5"/>
  <c r="B4779" i="5"/>
  <c r="A4780" i="5"/>
  <c r="B4780" i="5"/>
  <c r="A4781" i="5"/>
  <c r="B4781" i="5"/>
  <c r="A4782" i="5"/>
  <c r="B4782" i="5"/>
  <c r="A4783" i="5"/>
  <c r="B4783" i="5"/>
  <c r="A4784" i="5"/>
  <c r="B4784" i="5"/>
  <c r="A4785" i="5"/>
  <c r="B4785" i="5"/>
  <c r="A4786" i="5"/>
  <c r="B4786" i="5"/>
  <c r="A4787" i="5"/>
  <c r="B4787" i="5"/>
  <c r="A4788" i="5"/>
  <c r="B4788" i="5"/>
  <c r="A4789" i="5"/>
  <c r="B4789" i="5"/>
  <c r="A4790" i="5"/>
  <c r="B4790" i="5"/>
  <c r="A4791" i="5"/>
  <c r="B4791" i="5"/>
  <c r="A4792" i="5"/>
  <c r="B4792" i="5"/>
  <c r="A4793" i="5"/>
  <c r="B4793" i="5"/>
  <c r="A4794" i="5"/>
  <c r="B4794" i="5"/>
  <c r="A4795" i="5"/>
  <c r="B4795" i="5"/>
  <c r="A4796" i="5"/>
  <c r="B4796" i="5"/>
  <c r="A4797" i="5"/>
  <c r="B4797" i="5"/>
  <c r="A4798" i="5"/>
  <c r="B4798" i="5"/>
  <c r="A4799" i="5"/>
  <c r="B4799" i="5"/>
  <c r="A4800" i="5"/>
  <c r="B4800" i="5"/>
  <c r="A4801" i="5"/>
  <c r="B4801" i="5"/>
  <c r="A4802" i="5"/>
  <c r="B4802" i="5"/>
  <c r="A4803" i="5"/>
  <c r="B4803" i="5"/>
  <c r="A4804" i="5"/>
  <c r="B4804" i="5"/>
  <c r="A4805" i="5"/>
  <c r="B4805" i="5"/>
  <c r="A4806" i="5"/>
  <c r="B4806" i="5"/>
  <c r="A4807" i="5"/>
  <c r="B4807" i="5"/>
  <c r="A4808" i="5"/>
  <c r="B4808" i="5"/>
  <c r="A4809" i="5"/>
  <c r="B4809" i="5"/>
  <c r="A4810" i="5"/>
  <c r="B4810" i="5"/>
  <c r="A4811" i="5"/>
  <c r="B4811" i="5"/>
  <c r="A4812" i="5"/>
  <c r="B4812" i="5"/>
  <c r="A4813" i="5"/>
  <c r="B4813" i="5"/>
  <c r="A4814" i="5"/>
  <c r="B4814" i="5"/>
  <c r="A4815" i="5"/>
  <c r="B4815" i="5"/>
  <c r="A4816" i="5"/>
  <c r="B4816" i="5"/>
  <c r="A4817" i="5"/>
  <c r="B4817" i="5"/>
  <c r="A4818" i="5"/>
  <c r="B4818" i="5"/>
  <c r="A4819" i="5"/>
  <c r="B4819" i="5"/>
  <c r="A4820" i="5"/>
  <c r="B4820" i="5"/>
  <c r="A4821" i="5"/>
  <c r="B4821" i="5"/>
  <c r="A4822" i="5"/>
  <c r="B4822" i="5"/>
  <c r="A4823" i="5"/>
  <c r="B4823" i="5"/>
  <c r="A4824" i="5"/>
  <c r="B4824" i="5"/>
  <c r="A4825" i="5"/>
  <c r="B4825" i="5"/>
  <c r="A4826" i="5"/>
  <c r="B4826" i="5"/>
  <c r="A4827" i="5"/>
  <c r="B4827" i="5"/>
  <c r="A4828" i="5"/>
  <c r="B4828" i="5"/>
  <c r="A4829" i="5"/>
  <c r="B4829" i="5"/>
  <c r="A4830" i="5"/>
  <c r="B4830" i="5"/>
  <c r="A4831" i="5"/>
  <c r="B4831" i="5"/>
  <c r="A4832" i="5"/>
  <c r="B4832" i="5"/>
  <c r="A4833" i="5"/>
  <c r="B4833" i="5"/>
  <c r="A4834" i="5"/>
  <c r="B4834" i="5"/>
  <c r="A4835" i="5"/>
  <c r="B4835" i="5"/>
  <c r="A4836" i="5"/>
  <c r="B4836" i="5"/>
  <c r="A4837" i="5"/>
  <c r="B4837" i="5"/>
  <c r="A4838" i="5"/>
  <c r="B4838" i="5"/>
  <c r="A4839" i="5"/>
  <c r="B4839" i="5"/>
  <c r="A4840" i="5"/>
  <c r="B4840" i="5"/>
  <c r="A4841" i="5"/>
  <c r="B4841" i="5"/>
  <c r="A4842" i="5"/>
  <c r="B4842" i="5"/>
  <c r="A4843" i="5"/>
  <c r="B4843" i="5"/>
  <c r="A4844" i="5"/>
  <c r="B4844" i="5"/>
  <c r="A4845" i="5"/>
  <c r="B4845" i="5"/>
  <c r="A4846" i="5"/>
  <c r="B4846" i="5"/>
  <c r="A4847" i="5"/>
  <c r="B4847" i="5"/>
  <c r="A4848" i="5"/>
  <c r="B4848" i="5"/>
  <c r="A4849" i="5"/>
  <c r="B4849" i="5"/>
  <c r="A4850" i="5"/>
  <c r="B4850" i="5"/>
  <c r="A4851" i="5"/>
  <c r="B4851" i="5"/>
  <c r="A4852" i="5"/>
  <c r="B4852" i="5"/>
  <c r="A4853" i="5"/>
  <c r="B4853" i="5"/>
  <c r="A4854" i="5"/>
  <c r="B4854" i="5"/>
  <c r="A4855" i="5"/>
  <c r="B4855" i="5"/>
  <c r="A4856" i="5"/>
  <c r="B4856" i="5"/>
  <c r="A4857" i="5"/>
  <c r="B4857" i="5"/>
  <c r="A4858" i="5"/>
  <c r="B4858" i="5"/>
  <c r="A4859" i="5"/>
  <c r="B4859" i="5"/>
  <c r="A4860" i="5"/>
  <c r="B4860" i="5"/>
  <c r="A4861" i="5"/>
  <c r="B4861" i="5"/>
  <c r="A4862" i="5"/>
  <c r="B4862" i="5"/>
  <c r="A4863" i="5"/>
  <c r="B4863" i="5"/>
  <c r="A4864" i="5"/>
  <c r="B4864" i="5"/>
  <c r="A4865" i="5"/>
  <c r="B4865" i="5"/>
  <c r="A4866" i="5"/>
  <c r="B4866" i="5"/>
  <c r="A4867" i="5"/>
  <c r="B4867" i="5"/>
  <c r="A4868" i="5"/>
  <c r="B4868" i="5"/>
  <c r="A4869" i="5"/>
  <c r="B4869" i="5"/>
  <c r="A4870" i="5"/>
  <c r="B4870" i="5"/>
  <c r="A4871" i="5"/>
  <c r="B4871" i="5"/>
  <c r="A4872" i="5"/>
  <c r="B4872" i="5"/>
  <c r="A4873" i="5"/>
  <c r="B4873" i="5"/>
  <c r="A4874" i="5"/>
  <c r="B4874" i="5"/>
  <c r="A4875" i="5"/>
  <c r="B4875" i="5"/>
  <c r="A4876" i="5"/>
  <c r="B4876" i="5"/>
  <c r="A4877" i="5"/>
  <c r="B4877" i="5"/>
  <c r="A4878" i="5"/>
  <c r="B4878" i="5"/>
  <c r="A4879" i="5"/>
  <c r="B4879" i="5"/>
  <c r="A4880" i="5"/>
  <c r="B4880" i="5"/>
  <c r="A4881" i="5"/>
  <c r="B4881" i="5"/>
  <c r="A4882" i="5"/>
  <c r="B4882" i="5"/>
  <c r="A4883" i="5"/>
  <c r="B4883" i="5"/>
  <c r="A4884" i="5"/>
  <c r="B4884" i="5"/>
  <c r="A4885" i="5"/>
  <c r="B4885" i="5"/>
  <c r="A4886" i="5"/>
  <c r="B4886" i="5"/>
  <c r="A4887" i="5"/>
  <c r="B4887" i="5"/>
  <c r="A4888" i="5"/>
  <c r="B4888" i="5"/>
  <c r="A4889" i="5"/>
  <c r="B4889" i="5"/>
  <c r="A4890" i="5"/>
  <c r="B4890" i="5"/>
  <c r="A4891" i="5"/>
  <c r="B4891" i="5"/>
  <c r="A4892" i="5"/>
  <c r="B4892" i="5"/>
  <c r="A4893" i="5"/>
  <c r="B4893" i="5"/>
  <c r="A4894" i="5"/>
  <c r="B4894" i="5"/>
  <c r="A4895" i="5"/>
  <c r="B4895" i="5"/>
  <c r="A4896" i="5"/>
  <c r="B4896" i="5"/>
  <c r="A4897" i="5"/>
  <c r="B4897" i="5"/>
  <c r="A4898" i="5"/>
  <c r="B4898" i="5"/>
  <c r="A4899" i="5"/>
  <c r="B4899" i="5"/>
  <c r="A4900" i="5"/>
  <c r="B4900" i="5"/>
  <c r="A4901" i="5"/>
  <c r="B4901" i="5"/>
  <c r="A4902" i="5"/>
  <c r="B4902" i="5"/>
  <c r="A4903" i="5"/>
  <c r="B4903" i="5"/>
  <c r="A4904" i="5"/>
  <c r="B4904" i="5"/>
  <c r="A4905" i="5"/>
  <c r="B4905" i="5"/>
  <c r="A4906" i="5"/>
  <c r="B4906" i="5"/>
  <c r="A4907" i="5"/>
  <c r="B4907" i="5"/>
  <c r="A4908" i="5"/>
  <c r="B4908" i="5"/>
  <c r="A4909" i="5"/>
  <c r="B4909" i="5"/>
  <c r="A4910" i="5"/>
  <c r="B4910" i="5"/>
  <c r="A4911" i="5"/>
  <c r="B4911" i="5"/>
  <c r="A4912" i="5"/>
  <c r="B4912" i="5"/>
  <c r="A4913" i="5"/>
  <c r="B4913" i="5"/>
  <c r="A4914" i="5"/>
  <c r="B4914" i="5"/>
  <c r="A4915" i="5"/>
  <c r="B4915" i="5"/>
  <c r="A4916" i="5"/>
  <c r="B4916" i="5"/>
  <c r="A4917" i="5"/>
  <c r="B4917" i="5"/>
  <c r="A4918" i="5"/>
  <c r="B4918" i="5"/>
  <c r="A4919" i="5"/>
  <c r="B4919" i="5"/>
  <c r="A4920" i="5"/>
  <c r="B4920" i="5"/>
  <c r="A4921" i="5"/>
  <c r="B4921" i="5"/>
  <c r="A4922" i="5"/>
  <c r="B4922" i="5"/>
  <c r="A4923" i="5"/>
  <c r="B4923" i="5"/>
  <c r="A4924" i="5"/>
  <c r="B4924" i="5"/>
  <c r="A4925" i="5"/>
  <c r="B4925" i="5"/>
  <c r="A4926" i="5"/>
  <c r="B4926" i="5"/>
  <c r="A4927" i="5"/>
  <c r="B4927" i="5"/>
  <c r="A4928" i="5"/>
  <c r="B4928" i="5"/>
  <c r="A4929" i="5"/>
  <c r="B4929" i="5"/>
  <c r="A4930" i="5"/>
  <c r="B4930" i="5"/>
  <c r="A4931" i="5"/>
  <c r="B4931" i="5"/>
  <c r="A4932" i="5"/>
  <c r="B4932" i="5"/>
  <c r="A4933" i="5"/>
  <c r="B4933" i="5"/>
  <c r="A4934" i="5"/>
  <c r="B4934" i="5"/>
  <c r="A4935" i="5"/>
  <c r="B4935" i="5"/>
  <c r="A4936" i="5"/>
  <c r="B4936" i="5"/>
  <c r="A4937" i="5"/>
  <c r="B4937" i="5"/>
  <c r="A4938" i="5"/>
  <c r="B4938" i="5"/>
  <c r="A4939" i="5"/>
  <c r="B4939" i="5"/>
  <c r="A4940" i="5"/>
  <c r="B4940" i="5"/>
  <c r="A4941" i="5"/>
  <c r="B4941" i="5"/>
  <c r="A4942" i="5"/>
  <c r="B4942" i="5"/>
  <c r="A4943" i="5"/>
  <c r="B4943" i="5"/>
  <c r="A4944" i="5"/>
  <c r="B4944" i="5"/>
  <c r="A4945" i="5"/>
  <c r="B4945" i="5"/>
  <c r="A4946" i="5"/>
  <c r="B4946" i="5"/>
  <c r="A4947" i="5"/>
  <c r="B4947" i="5"/>
  <c r="A4948" i="5"/>
  <c r="B4948" i="5"/>
  <c r="A4949" i="5"/>
  <c r="B4949" i="5"/>
  <c r="A4950" i="5"/>
  <c r="B4950" i="5"/>
  <c r="A4951" i="5"/>
  <c r="B4951" i="5"/>
  <c r="A4952" i="5"/>
  <c r="B4952" i="5"/>
  <c r="A4953" i="5"/>
  <c r="B4953" i="5"/>
  <c r="A4954" i="5"/>
  <c r="B4954" i="5"/>
  <c r="A4955" i="5"/>
  <c r="B4955" i="5"/>
  <c r="A4956" i="5"/>
  <c r="B4956" i="5"/>
  <c r="A4957" i="5"/>
  <c r="B4957" i="5"/>
  <c r="A4958" i="5"/>
  <c r="B4958" i="5"/>
  <c r="A4959" i="5"/>
  <c r="B4959" i="5"/>
  <c r="A4960" i="5"/>
  <c r="B4960" i="5"/>
  <c r="A4961" i="5"/>
  <c r="B4961" i="5"/>
  <c r="A4962" i="5"/>
  <c r="B4962" i="5"/>
  <c r="A4963" i="5"/>
  <c r="B4963" i="5"/>
  <c r="A4964" i="5"/>
  <c r="B4964" i="5"/>
  <c r="A4965" i="5"/>
  <c r="B4965" i="5"/>
  <c r="A4966" i="5"/>
  <c r="B4966" i="5"/>
  <c r="A4967" i="5"/>
  <c r="B4967" i="5"/>
  <c r="A4968" i="5"/>
  <c r="B4968" i="5"/>
  <c r="A4969" i="5"/>
  <c r="B4969" i="5"/>
  <c r="A4970" i="5"/>
  <c r="B4970" i="5"/>
  <c r="A4971" i="5"/>
  <c r="B4971" i="5"/>
  <c r="A4972" i="5"/>
  <c r="B4972" i="5"/>
  <c r="A4973" i="5"/>
  <c r="B4973" i="5"/>
  <c r="A4974" i="5"/>
  <c r="B4974" i="5"/>
  <c r="A4975" i="5"/>
  <c r="B4975" i="5"/>
  <c r="A4976" i="5"/>
  <c r="B4976" i="5"/>
  <c r="A4977" i="5"/>
  <c r="B4977" i="5"/>
  <c r="A4978" i="5"/>
  <c r="B4978" i="5"/>
  <c r="A4979" i="5"/>
  <c r="B4979" i="5"/>
  <c r="A4980" i="5"/>
  <c r="B4980" i="5"/>
  <c r="A4981" i="5"/>
  <c r="B4981" i="5"/>
  <c r="A4982" i="5"/>
  <c r="B4982" i="5"/>
  <c r="A4983" i="5"/>
  <c r="B4983" i="5"/>
  <c r="A4984" i="5"/>
  <c r="B4984" i="5"/>
  <c r="A4985" i="5"/>
  <c r="B4985" i="5"/>
  <c r="A4986" i="5"/>
  <c r="B4986" i="5"/>
  <c r="A4987" i="5"/>
  <c r="B4987" i="5"/>
  <c r="A4988" i="5"/>
  <c r="B4988" i="5"/>
  <c r="A4989" i="5"/>
  <c r="B4989" i="5"/>
  <c r="A4990" i="5"/>
  <c r="B4990" i="5"/>
  <c r="A4991" i="5"/>
  <c r="B4991" i="5"/>
  <c r="A4992" i="5"/>
  <c r="B4992" i="5"/>
  <c r="A4993" i="5"/>
  <c r="B4993" i="5"/>
  <c r="A4994" i="5"/>
  <c r="B4994" i="5"/>
  <c r="A4995" i="5"/>
  <c r="B4995" i="5"/>
  <c r="A4996" i="5"/>
  <c r="B4996" i="5"/>
  <c r="A4997" i="5"/>
  <c r="B4997" i="5"/>
  <c r="A4998" i="5"/>
  <c r="B4998" i="5"/>
  <c r="A4999" i="5"/>
  <c r="B4999" i="5"/>
  <c r="A5000" i="5"/>
  <c r="B5000" i="5"/>
  <c r="A5001" i="5"/>
  <c r="B5001" i="5"/>
  <c r="A5002" i="5"/>
  <c r="B5002" i="5"/>
  <c r="A5003" i="5"/>
  <c r="B5003" i="5"/>
  <c r="A5004" i="5"/>
  <c r="B5004" i="5"/>
  <c r="A5005" i="5"/>
  <c r="B5005" i="5"/>
  <c r="B2" i="5"/>
  <c r="A2" i="5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3" i="4"/>
  <c r="G4" i="4"/>
  <c r="H4" i="4"/>
  <c r="G5" i="4"/>
  <c r="H5" i="4"/>
  <c r="G6" i="4"/>
  <c r="H6" i="4"/>
  <c r="G7" i="4"/>
  <c r="H7" i="4"/>
  <c r="G8" i="4"/>
  <c r="H8" i="4"/>
  <c r="G9" i="4"/>
  <c r="H9" i="4"/>
  <c r="G10" i="4"/>
  <c r="H10" i="4"/>
  <c r="G11" i="4"/>
  <c r="H11" i="4"/>
  <c r="G12" i="4"/>
  <c r="H12" i="4"/>
  <c r="G13" i="4"/>
  <c r="H13" i="4"/>
  <c r="G14" i="4"/>
  <c r="H14" i="4"/>
  <c r="G15" i="4"/>
  <c r="H15" i="4"/>
  <c r="G16" i="4"/>
  <c r="H16" i="4"/>
  <c r="G17" i="4"/>
  <c r="H17" i="4"/>
  <c r="G18" i="4"/>
  <c r="H18" i="4"/>
  <c r="G19" i="4"/>
  <c r="H19" i="4"/>
  <c r="G20" i="4"/>
  <c r="H20" i="4"/>
  <c r="G21" i="4"/>
  <c r="H21" i="4"/>
  <c r="G22" i="4"/>
  <c r="H22" i="4"/>
  <c r="G23" i="4"/>
  <c r="H23" i="4"/>
  <c r="G24" i="4"/>
  <c r="H24" i="4"/>
  <c r="G25" i="4"/>
  <c r="H25" i="4"/>
  <c r="G26" i="4"/>
  <c r="H26" i="4"/>
  <c r="G27" i="4"/>
  <c r="H27" i="4"/>
  <c r="G28" i="4"/>
  <c r="H28" i="4"/>
  <c r="G29" i="4"/>
  <c r="H29" i="4"/>
  <c r="G30" i="4"/>
  <c r="H30" i="4"/>
  <c r="G31" i="4"/>
  <c r="H31" i="4"/>
  <c r="G32" i="4"/>
  <c r="H32" i="4"/>
  <c r="G33" i="4"/>
  <c r="H33" i="4"/>
  <c r="G34" i="4"/>
  <c r="H34" i="4"/>
  <c r="G35" i="4"/>
  <c r="H35" i="4"/>
  <c r="G36" i="4"/>
  <c r="H36" i="4"/>
  <c r="G37" i="4"/>
  <c r="H37" i="4"/>
  <c r="G38" i="4"/>
  <c r="H38" i="4"/>
  <c r="G39" i="4"/>
  <c r="H39" i="4"/>
  <c r="G40" i="4"/>
  <c r="H40" i="4"/>
  <c r="G41" i="4"/>
  <c r="H41" i="4"/>
  <c r="G42" i="4"/>
  <c r="H42" i="4"/>
  <c r="G43" i="4"/>
  <c r="H43" i="4"/>
  <c r="G44" i="4"/>
  <c r="H44" i="4"/>
  <c r="G45" i="4"/>
  <c r="H45" i="4"/>
  <c r="G46" i="4"/>
  <c r="H46" i="4"/>
  <c r="G47" i="4"/>
  <c r="H47" i="4"/>
  <c r="G48" i="4"/>
  <c r="H48" i="4"/>
  <c r="G49" i="4"/>
  <c r="H49" i="4"/>
  <c r="G50" i="4"/>
  <c r="H50" i="4"/>
  <c r="G51" i="4"/>
  <c r="H51" i="4"/>
  <c r="G52" i="4"/>
  <c r="H52" i="4"/>
  <c r="G53" i="4"/>
  <c r="H53" i="4"/>
  <c r="G54" i="4"/>
  <c r="H54" i="4"/>
  <c r="G55" i="4"/>
  <c r="H55" i="4"/>
  <c r="G56" i="4"/>
  <c r="H56" i="4"/>
  <c r="G57" i="4"/>
  <c r="H57" i="4"/>
  <c r="G58" i="4"/>
  <c r="H58" i="4"/>
  <c r="G59" i="4"/>
  <c r="H59" i="4"/>
  <c r="G60" i="4"/>
  <c r="H60" i="4"/>
  <c r="G61" i="4"/>
  <c r="H61" i="4"/>
  <c r="G62" i="4"/>
  <c r="H62" i="4"/>
  <c r="G63" i="4"/>
  <c r="H63" i="4"/>
  <c r="G64" i="4"/>
  <c r="H64" i="4"/>
  <c r="G65" i="4"/>
  <c r="H65" i="4"/>
  <c r="G66" i="4"/>
  <c r="H66" i="4"/>
  <c r="G67" i="4"/>
  <c r="H67" i="4"/>
  <c r="G68" i="4"/>
  <c r="H68" i="4"/>
  <c r="G69" i="4"/>
  <c r="H69" i="4"/>
  <c r="G70" i="4"/>
  <c r="H70" i="4"/>
  <c r="G71" i="4"/>
  <c r="H71" i="4"/>
  <c r="G72" i="4"/>
  <c r="H72" i="4"/>
  <c r="G73" i="4"/>
  <c r="H73" i="4"/>
  <c r="G74" i="4"/>
  <c r="H74" i="4"/>
  <c r="G75" i="4"/>
  <c r="H75" i="4"/>
  <c r="G76" i="4"/>
  <c r="H76" i="4"/>
  <c r="G77" i="4"/>
  <c r="H77" i="4"/>
  <c r="G78" i="4"/>
  <c r="H78" i="4"/>
  <c r="G79" i="4"/>
  <c r="H79" i="4"/>
  <c r="G80" i="4"/>
  <c r="H80" i="4"/>
  <c r="G81" i="4"/>
  <c r="H81" i="4"/>
  <c r="G82" i="4"/>
  <c r="H82" i="4"/>
  <c r="G83" i="4"/>
  <c r="H83" i="4"/>
  <c r="G84" i="4"/>
  <c r="H84" i="4"/>
  <c r="G85" i="4"/>
  <c r="H85" i="4"/>
  <c r="G86" i="4"/>
  <c r="H86" i="4"/>
  <c r="G87" i="4"/>
  <c r="H87" i="4"/>
  <c r="G88" i="4"/>
  <c r="H88" i="4"/>
  <c r="G89" i="4"/>
  <c r="H89" i="4"/>
  <c r="G90" i="4"/>
  <c r="H90" i="4"/>
  <c r="G91" i="4"/>
  <c r="H91" i="4"/>
  <c r="G92" i="4"/>
  <c r="H92" i="4"/>
  <c r="G93" i="4"/>
  <c r="H93" i="4"/>
  <c r="G94" i="4"/>
  <c r="H94" i="4"/>
  <c r="G95" i="4"/>
  <c r="H95" i="4"/>
  <c r="G96" i="4"/>
  <c r="H96" i="4"/>
  <c r="G97" i="4"/>
  <c r="H97" i="4"/>
  <c r="G98" i="4"/>
  <c r="H98" i="4"/>
  <c r="G99" i="4"/>
  <c r="H99" i="4"/>
  <c r="G100" i="4"/>
  <c r="H100" i="4"/>
  <c r="G101" i="4"/>
  <c r="H101" i="4"/>
  <c r="G102" i="4"/>
  <c r="H102" i="4"/>
  <c r="G103" i="4"/>
  <c r="H103" i="4"/>
  <c r="G104" i="4"/>
  <c r="H104" i="4"/>
  <c r="G105" i="4"/>
  <c r="H105" i="4"/>
  <c r="G106" i="4"/>
  <c r="H106" i="4"/>
  <c r="G107" i="4"/>
  <c r="H107" i="4"/>
  <c r="G108" i="4"/>
  <c r="H108" i="4"/>
  <c r="G109" i="4"/>
  <c r="H109" i="4"/>
  <c r="G110" i="4"/>
  <c r="H110" i="4"/>
  <c r="G111" i="4"/>
  <c r="H111" i="4"/>
  <c r="G112" i="4"/>
  <c r="H112" i="4"/>
  <c r="G113" i="4"/>
  <c r="H113" i="4"/>
  <c r="G114" i="4"/>
  <c r="H114" i="4"/>
  <c r="G115" i="4"/>
  <c r="H115" i="4"/>
  <c r="G116" i="4"/>
  <c r="H116" i="4"/>
  <c r="G117" i="4"/>
  <c r="H117" i="4"/>
  <c r="G118" i="4"/>
  <c r="H118" i="4"/>
  <c r="G119" i="4"/>
  <c r="H119" i="4"/>
  <c r="G120" i="4"/>
  <c r="H120" i="4"/>
  <c r="G121" i="4"/>
  <c r="H121" i="4"/>
  <c r="G122" i="4"/>
  <c r="H122" i="4"/>
  <c r="G123" i="4"/>
  <c r="H123" i="4"/>
  <c r="G124" i="4"/>
  <c r="H124" i="4"/>
  <c r="G125" i="4"/>
  <c r="H125" i="4"/>
  <c r="G126" i="4"/>
  <c r="H126" i="4"/>
  <c r="G127" i="4"/>
  <c r="H127" i="4"/>
  <c r="G128" i="4"/>
  <c r="H128" i="4"/>
  <c r="G129" i="4"/>
  <c r="H129" i="4"/>
  <c r="G130" i="4"/>
  <c r="H130" i="4"/>
  <c r="G131" i="4"/>
  <c r="H131" i="4"/>
  <c r="G132" i="4"/>
  <c r="H132" i="4"/>
  <c r="G133" i="4"/>
  <c r="H133" i="4"/>
  <c r="G134" i="4"/>
  <c r="H134" i="4"/>
  <c r="G135" i="4"/>
  <c r="H135" i="4"/>
  <c r="G136" i="4"/>
  <c r="H136" i="4"/>
  <c r="G137" i="4"/>
  <c r="H137" i="4"/>
  <c r="G138" i="4"/>
  <c r="H138" i="4"/>
  <c r="G139" i="4"/>
  <c r="H139" i="4"/>
  <c r="G140" i="4"/>
  <c r="H140" i="4"/>
  <c r="G141" i="4"/>
  <c r="H141" i="4"/>
  <c r="G142" i="4"/>
  <c r="H142" i="4"/>
  <c r="G143" i="4"/>
  <c r="H143" i="4"/>
  <c r="G144" i="4"/>
  <c r="H144" i="4"/>
  <c r="G145" i="4"/>
  <c r="H145" i="4"/>
  <c r="G146" i="4"/>
  <c r="H146" i="4"/>
  <c r="G147" i="4"/>
  <c r="H147" i="4"/>
  <c r="G148" i="4"/>
  <c r="H148" i="4"/>
  <c r="G149" i="4"/>
  <c r="H149" i="4"/>
  <c r="G150" i="4"/>
  <c r="H150" i="4"/>
  <c r="G151" i="4"/>
  <c r="H151" i="4"/>
  <c r="G152" i="4"/>
  <c r="H152" i="4"/>
  <c r="G153" i="4"/>
  <c r="H153" i="4"/>
  <c r="G154" i="4"/>
  <c r="H154" i="4"/>
  <c r="G155" i="4"/>
  <c r="H155" i="4"/>
  <c r="G156" i="4"/>
  <c r="H156" i="4"/>
  <c r="G157" i="4"/>
  <c r="H157" i="4"/>
  <c r="G158" i="4"/>
  <c r="H158" i="4"/>
  <c r="H3" i="4"/>
  <c r="G3" i="4"/>
  <c r="A4" i="4"/>
  <c r="B4" i="4"/>
  <c r="A5" i="4"/>
  <c r="B5" i="4"/>
  <c r="A6" i="4"/>
  <c r="B6" i="4"/>
  <c r="A7" i="4"/>
  <c r="B7" i="4"/>
  <c r="A8" i="4"/>
  <c r="B8" i="4"/>
  <c r="A9" i="4"/>
  <c r="B9" i="4"/>
  <c r="A10" i="4"/>
  <c r="B10" i="4"/>
  <c r="A11" i="4"/>
  <c r="B11" i="4"/>
  <c r="A12" i="4"/>
  <c r="B12" i="4"/>
  <c r="A13" i="4"/>
  <c r="B13" i="4"/>
  <c r="A14" i="4"/>
  <c r="B14" i="4"/>
  <c r="A15" i="4"/>
  <c r="B15" i="4"/>
  <c r="A16" i="4"/>
  <c r="B16" i="4"/>
  <c r="A17" i="4"/>
  <c r="B17" i="4"/>
  <c r="A18" i="4"/>
  <c r="B18" i="4"/>
  <c r="A19" i="4"/>
  <c r="B19" i="4"/>
  <c r="A20" i="4"/>
  <c r="B20" i="4"/>
  <c r="A21" i="4"/>
  <c r="B21" i="4"/>
  <c r="A22" i="4"/>
  <c r="B22" i="4"/>
  <c r="A23" i="4"/>
  <c r="B23" i="4"/>
  <c r="A24" i="4"/>
  <c r="B24" i="4"/>
  <c r="A25" i="4"/>
  <c r="B25" i="4"/>
  <c r="A26" i="4"/>
  <c r="B26" i="4"/>
  <c r="A27" i="4"/>
  <c r="B27" i="4"/>
  <c r="A28" i="4"/>
  <c r="B28" i="4"/>
  <c r="A29" i="4"/>
  <c r="B29" i="4"/>
  <c r="A30" i="4"/>
  <c r="B30" i="4"/>
  <c r="A31" i="4"/>
  <c r="B31" i="4"/>
  <c r="A32" i="4"/>
  <c r="B32" i="4"/>
  <c r="A33" i="4"/>
  <c r="B33" i="4"/>
  <c r="A34" i="4"/>
  <c r="B34" i="4"/>
  <c r="A35" i="4"/>
  <c r="B35" i="4"/>
  <c r="A36" i="4"/>
  <c r="B36" i="4"/>
  <c r="A37" i="4"/>
  <c r="B37" i="4"/>
  <c r="A38" i="4"/>
  <c r="B38" i="4"/>
  <c r="A39" i="4"/>
  <c r="B39" i="4"/>
  <c r="A40" i="4"/>
  <c r="B40" i="4"/>
  <c r="A41" i="4"/>
  <c r="B41" i="4"/>
  <c r="A42" i="4"/>
  <c r="B42" i="4"/>
  <c r="A43" i="4"/>
  <c r="B43" i="4"/>
  <c r="A44" i="4"/>
  <c r="B44" i="4"/>
  <c r="A45" i="4"/>
  <c r="B45" i="4"/>
  <c r="A46" i="4"/>
  <c r="B46" i="4"/>
  <c r="A47" i="4"/>
  <c r="B47" i="4"/>
  <c r="A48" i="4"/>
  <c r="B48" i="4"/>
  <c r="A49" i="4"/>
  <c r="B49" i="4"/>
  <c r="A50" i="4"/>
  <c r="B50" i="4"/>
  <c r="A51" i="4"/>
  <c r="B51" i="4"/>
  <c r="A52" i="4"/>
  <c r="B52" i="4"/>
  <c r="A53" i="4"/>
  <c r="B53" i="4"/>
  <c r="A54" i="4"/>
  <c r="B54" i="4"/>
  <c r="A55" i="4"/>
  <c r="B55" i="4"/>
  <c r="A56" i="4"/>
  <c r="B56" i="4"/>
  <c r="A57" i="4"/>
  <c r="B57" i="4"/>
  <c r="A58" i="4"/>
  <c r="B58" i="4"/>
  <c r="A59" i="4"/>
  <c r="B59" i="4"/>
  <c r="A60" i="4"/>
  <c r="B60" i="4"/>
  <c r="A61" i="4"/>
  <c r="B61" i="4"/>
  <c r="A62" i="4"/>
  <c r="B62" i="4"/>
  <c r="A63" i="4"/>
  <c r="B63" i="4"/>
  <c r="A64" i="4"/>
  <c r="B64" i="4"/>
  <c r="A65" i="4"/>
  <c r="B65" i="4"/>
  <c r="A66" i="4"/>
  <c r="B66" i="4"/>
  <c r="A67" i="4"/>
  <c r="B67" i="4"/>
  <c r="A68" i="4"/>
  <c r="B68" i="4"/>
  <c r="A69" i="4"/>
  <c r="B69" i="4"/>
  <c r="A70" i="4"/>
  <c r="B70" i="4"/>
  <c r="A71" i="4"/>
  <c r="B71" i="4"/>
  <c r="A72" i="4"/>
  <c r="B72" i="4"/>
  <c r="A73" i="4"/>
  <c r="B73" i="4"/>
  <c r="A74" i="4"/>
  <c r="B74" i="4"/>
  <c r="A75" i="4"/>
  <c r="B75" i="4"/>
  <c r="A76" i="4"/>
  <c r="B76" i="4"/>
  <c r="A77" i="4"/>
  <c r="B77" i="4"/>
  <c r="A78" i="4"/>
  <c r="B78" i="4"/>
  <c r="A79" i="4"/>
  <c r="B79" i="4"/>
  <c r="A80" i="4"/>
  <c r="B80" i="4"/>
  <c r="A81" i="4"/>
  <c r="B81" i="4"/>
  <c r="A82" i="4"/>
  <c r="B82" i="4"/>
  <c r="A83" i="4"/>
  <c r="B83" i="4"/>
  <c r="A84" i="4"/>
  <c r="B84" i="4"/>
  <c r="A85" i="4"/>
  <c r="B85" i="4"/>
  <c r="A86" i="4"/>
  <c r="B86" i="4"/>
  <c r="A87" i="4"/>
  <c r="B87" i="4"/>
  <c r="A88" i="4"/>
  <c r="B88" i="4"/>
  <c r="A89" i="4"/>
  <c r="B89" i="4"/>
  <c r="A90" i="4"/>
  <c r="B90" i="4"/>
  <c r="A91" i="4"/>
  <c r="B91" i="4"/>
  <c r="A92" i="4"/>
  <c r="B92" i="4"/>
  <c r="A93" i="4"/>
  <c r="B93" i="4"/>
  <c r="A94" i="4"/>
  <c r="B94" i="4"/>
  <c r="A95" i="4"/>
  <c r="B95" i="4"/>
  <c r="A96" i="4"/>
  <c r="B96" i="4"/>
  <c r="A97" i="4"/>
  <c r="B97" i="4"/>
  <c r="A98" i="4"/>
  <c r="B98" i="4"/>
  <c r="A99" i="4"/>
  <c r="B99" i="4"/>
  <c r="A100" i="4"/>
  <c r="B100" i="4"/>
  <c r="A101" i="4"/>
  <c r="B101" i="4"/>
  <c r="A102" i="4"/>
  <c r="B102" i="4"/>
  <c r="A103" i="4"/>
  <c r="B103" i="4"/>
  <c r="A104" i="4"/>
  <c r="B104" i="4"/>
  <c r="A105" i="4"/>
  <c r="B105" i="4"/>
  <c r="A106" i="4"/>
  <c r="B106" i="4"/>
  <c r="A107" i="4"/>
  <c r="B107" i="4"/>
  <c r="A108" i="4"/>
  <c r="B108" i="4"/>
  <c r="A109" i="4"/>
  <c r="B109" i="4"/>
  <c r="A110" i="4"/>
  <c r="B110" i="4"/>
  <c r="A111" i="4"/>
  <c r="B111" i="4"/>
  <c r="A112" i="4"/>
  <c r="B112" i="4"/>
  <c r="A113" i="4"/>
  <c r="B113" i="4"/>
  <c r="A114" i="4"/>
  <c r="B114" i="4"/>
  <c r="A115" i="4"/>
  <c r="B115" i="4"/>
  <c r="A116" i="4"/>
  <c r="B116" i="4"/>
  <c r="A117" i="4"/>
  <c r="B117" i="4"/>
  <c r="A118" i="4"/>
  <c r="B118" i="4"/>
  <c r="A119" i="4"/>
  <c r="B119" i="4"/>
  <c r="A120" i="4"/>
  <c r="B120" i="4"/>
  <c r="A121" i="4"/>
  <c r="B121" i="4"/>
  <c r="A122" i="4"/>
  <c r="B122" i="4"/>
  <c r="A123" i="4"/>
  <c r="B123" i="4"/>
  <c r="A124" i="4"/>
  <c r="B124" i="4"/>
  <c r="A125" i="4"/>
  <c r="B125" i="4"/>
  <c r="A126" i="4"/>
  <c r="B126" i="4"/>
  <c r="A127" i="4"/>
  <c r="B127" i="4"/>
  <c r="A128" i="4"/>
  <c r="B128" i="4"/>
  <c r="A129" i="4"/>
  <c r="B129" i="4"/>
  <c r="A130" i="4"/>
  <c r="B130" i="4"/>
  <c r="A131" i="4"/>
  <c r="B131" i="4"/>
  <c r="A132" i="4"/>
  <c r="B132" i="4"/>
  <c r="A133" i="4"/>
  <c r="B133" i="4"/>
  <c r="A134" i="4"/>
  <c r="B134" i="4"/>
  <c r="A135" i="4"/>
  <c r="B135" i="4"/>
  <c r="A136" i="4"/>
  <c r="B136" i="4"/>
  <c r="A137" i="4"/>
  <c r="B137" i="4"/>
  <c r="A138" i="4"/>
  <c r="B138" i="4"/>
  <c r="A139" i="4"/>
  <c r="B139" i="4"/>
  <c r="A140" i="4"/>
  <c r="B140" i="4"/>
  <c r="A141" i="4"/>
  <c r="B141" i="4"/>
  <c r="A142" i="4"/>
  <c r="B142" i="4"/>
  <c r="A143" i="4"/>
  <c r="B143" i="4"/>
  <c r="A144" i="4"/>
  <c r="B144" i="4"/>
  <c r="A145" i="4"/>
  <c r="B145" i="4"/>
  <c r="A146" i="4"/>
  <c r="B146" i="4"/>
  <c r="A147" i="4"/>
  <c r="B147" i="4"/>
  <c r="A148" i="4"/>
  <c r="B148" i="4"/>
  <c r="A149" i="4"/>
  <c r="B149" i="4"/>
  <c r="A150" i="4"/>
  <c r="B150" i="4"/>
  <c r="A151" i="4"/>
  <c r="B151" i="4"/>
  <c r="A152" i="4"/>
  <c r="B152" i="4"/>
  <c r="A153" i="4"/>
  <c r="B153" i="4"/>
  <c r="A154" i="4"/>
  <c r="B154" i="4"/>
  <c r="A155" i="4"/>
  <c r="B155" i="4"/>
  <c r="A156" i="4"/>
  <c r="B156" i="4"/>
  <c r="A157" i="4"/>
  <c r="B157" i="4"/>
  <c r="A158" i="4"/>
  <c r="B158" i="4"/>
  <c r="A159" i="4"/>
  <c r="B159" i="4"/>
  <c r="A160" i="4"/>
  <c r="B160" i="4"/>
  <c r="A161" i="4"/>
  <c r="B161" i="4"/>
  <c r="A162" i="4"/>
  <c r="B162" i="4"/>
  <c r="A163" i="4"/>
  <c r="B163" i="4"/>
  <c r="A164" i="4"/>
  <c r="B164" i="4"/>
  <c r="A165" i="4"/>
  <c r="B165" i="4"/>
  <c r="A166" i="4"/>
  <c r="B166" i="4"/>
  <c r="A167" i="4"/>
  <c r="B167" i="4"/>
  <c r="A168" i="4"/>
  <c r="B168" i="4"/>
  <c r="A169" i="4"/>
  <c r="B169" i="4"/>
  <c r="A170" i="4"/>
  <c r="B170" i="4"/>
  <c r="A171" i="4"/>
  <c r="B171" i="4"/>
  <c r="A172" i="4"/>
  <c r="B172" i="4"/>
  <c r="A173" i="4"/>
  <c r="B173" i="4"/>
  <c r="A174" i="4"/>
  <c r="B174" i="4"/>
  <c r="A175" i="4"/>
  <c r="B175" i="4"/>
  <c r="A176" i="4"/>
  <c r="B176" i="4"/>
  <c r="A177" i="4"/>
  <c r="B177" i="4"/>
  <c r="A178" i="4"/>
  <c r="B178" i="4"/>
  <c r="A179" i="4"/>
  <c r="B179" i="4"/>
  <c r="A180" i="4"/>
  <c r="B180" i="4"/>
  <c r="A181" i="4"/>
  <c r="B181" i="4"/>
  <c r="A182" i="4"/>
  <c r="B182" i="4"/>
  <c r="A183" i="4"/>
  <c r="B183" i="4"/>
  <c r="A184" i="4"/>
  <c r="B184" i="4"/>
  <c r="A185" i="4"/>
  <c r="B185" i="4"/>
  <c r="A186" i="4"/>
  <c r="B186" i="4"/>
  <c r="A187" i="4"/>
  <c r="B187" i="4"/>
  <c r="A188" i="4"/>
  <c r="B188" i="4"/>
  <c r="A189" i="4"/>
  <c r="B189" i="4"/>
  <c r="A190" i="4"/>
  <c r="B190" i="4"/>
  <c r="A191" i="4"/>
  <c r="B191" i="4"/>
  <c r="A192" i="4"/>
  <c r="B192" i="4"/>
  <c r="A193" i="4"/>
  <c r="B193" i="4"/>
  <c r="A194" i="4"/>
  <c r="B194" i="4"/>
  <c r="A195" i="4"/>
  <c r="B195" i="4"/>
  <c r="A196" i="4"/>
  <c r="B196" i="4"/>
  <c r="A197" i="4"/>
  <c r="B197" i="4"/>
  <c r="A198" i="4"/>
  <c r="B198" i="4"/>
  <c r="A199" i="4"/>
  <c r="B199" i="4"/>
  <c r="A200" i="4"/>
  <c r="B200" i="4"/>
  <c r="A201" i="4"/>
  <c r="B201" i="4"/>
  <c r="A202" i="4"/>
  <c r="B202" i="4"/>
  <c r="A203" i="4"/>
  <c r="B203" i="4"/>
  <c r="A204" i="4"/>
  <c r="B204" i="4"/>
  <c r="A205" i="4"/>
  <c r="B205" i="4"/>
  <c r="A206" i="4"/>
  <c r="B206" i="4"/>
  <c r="A207" i="4"/>
  <c r="B207" i="4"/>
  <c r="A208" i="4"/>
  <c r="B208" i="4"/>
  <c r="A209" i="4"/>
  <c r="B209" i="4"/>
  <c r="A210" i="4"/>
  <c r="B210" i="4"/>
  <c r="A211" i="4"/>
  <c r="B211" i="4"/>
  <c r="A212" i="4"/>
  <c r="B212" i="4"/>
  <c r="A213" i="4"/>
  <c r="B213" i="4"/>
  <c r="A214" i="4"/>
  <c r="B214" i="4"/>
  <c r="A215" i="4"/>
  <c r="B215" i="4"/>
  <c r="A216" i="4"/>
  <c r="B216" i="4"/>
  <c r="A217" i="4"/>
  <c r="B217" i="4"/>
  <c r="A218" i="4"/>
  <c r="B218" i="4"/>
  <c r="A219" i="4"/>
  <c r="B219" i="4"/>
  <c r="A220" i="4"/>
  <c r="B220" i="4"/>
  <c r="A221" i="4"/>
  <c r="B221" i="4"/>
  <c r="A222" i="4"/>
  <c r="B222" i="4"/>
  <c r="A223" i="4"/>
  <c r="B223" i="4"/>
  <c r="A224" i="4"/>
  <c r="B224" i="4"/>
  <c r="A225" i="4"/>
  <c r="B225" i="4"/>
  <c r="A226" i="4"/>
  <c r="B226" i="4"/>
  <c r="A227" i="4"/>
  <c r="B227" i="4"/>
  <c r="A228" i="4"/>
  <c r="B228" i="4"/>
  <c r="A229" i="4"/>
  <c r="B229" i="4"/>
  <c r="A230" i="4"/>
  <c r="B230" i="4"/>
  <c r="A231" i="4"/>
  <c r="B231" i="4"/>
  <c r="A232" i="4"/>
  <c r="B232" i="4"/>
  <c r="A233" i="4"/>
  <c r="B233" i="4"/>
  <c r="A234" i="4"/>
  <c r="B234" i="4"/>
  <c r="A235" i="4"/>
  <c r="B235" i="4"/>
  <c r="A236" i="4"/>
  <c r="B236" i="4"/>
  <c r="A237" i="4"/>
  <c r="B237" i="4"/>
  <c r="A238" i="4"/>
  <c r="B238" i="4"/>
  <c r="A239" i="4"/>
  <c r="B239" i="4"/>
  <c r="A240" i="4"/>
  <c r="B240" i="4"/>
  <c r="A241" i="4"/>
  <c r="B241" i="4"/>
  <c r="A242" i="4"/>
  <c r="B242" i="4"/>
  <c r="A243" i="4"/>
  <c r="B243" i="4"/>
  <c r="A244" i="4"/>
  <c r="B244" i="4"/>
  <c r="A245" i="4"/>
  <c r="B245" i="4"/>
  <c r="A246" i="4"/>
  <c r="B246" i="4"/>
  <c r="A247" i="4"/>
  <c r="B247" i="4"/>
  <c r="A248" i="4"/>
  <c r="B248" i="4"/>
  <c r="A249" i="4"/>
  <c r="B249" i="4"/>
  <c r="A250" i="4"/>
  <c r="B250" i="4"/>
  <c r="A251" i="4"/>
  <c r="B251" i="4"/>
  <c r="A252" i="4"/>
  <c r="B252" i="4"/>
  <c r="A253" i="4"/>
  <c r="B253" i="4"/>
  <c r="A254" i="4"/>
  <c r="B254" i="4"/>
  <c r="A255" i="4"/>
  <c r="B255" i="4"/>
  <c r="A256" i="4"/>
  <c r="B256" i="4"/>
  <c r="A257" i="4"/>
  <c r="B257" i="4"/>
  <c r="A258" i="4"/>
  <c r="B258" i="4"/>
  <c r="A259" i="4"/>
  <c r="B259" i="4"/>
  <c r="A260" i="4"/>
  <c r="B260" i="4"/>
  <c r="A261" i="4"/>
  <c r="B261" i="4"/>
  <c r="A262" i="4"/>
  <c r="B262" i="4"/>
  <c r="A263" i="4"/>
  <c r="B263" i="4"/>
  <c r="A264" i="4"/>
  <c r="B264" i="4"/>
  <c r="A265" i="4"/>
  <c r="B265" i="4"/>
  <c r="A266" i="4"/>
  <c r="B266" i="4"/>
  <c r="A267" i="4"/>
  <c r="B267" i="4"/>
  <c r="A268" i="4"/>
  <c r="B268" i="4"/>
  <c r="A269" i="4"/>
  <c r="B269" i="4"/>
  <c r="A270" i="4"/>
  <c r="B270" i="4"/>
  <c r="A271" i="4"/>
  <c r="B271" i="4"/>
  <c r="A272" i="4"/>
  <c r="B272" i="4"/>
  <c r="A273" i="4"/>
  <c r="B273" i="4"/>
  <c r="A274" i="4"/>
  <c r="B274" i="4"/>
  <c r="A275" i="4"/>
  <c r="B275" i="4"/>
  <c r="A276" i="4"/>
  <c r="B276" i="4"/>
  <c r="A277" i="4"/>
  <c r="B277" i="4"/>
  <c r="A278" i="4"/>
  <c r="B278" i="4"/>
  <c r="A279" i="4"/>
  <c r="B279" i="4"/>
  <c r="A280" i="4"/>
  <c r="B280" i="4"/>
  <c r="A281" i="4"/>
  <c r="B281" i="4"/>
  <c r="A282" i="4"/>
  <c r="B282" i="4"/>
  <c r="A283" i="4"/>
  <c r="B283" i="4"/>
  <c r="A284" i="4"/>
  <c r="B284" i="4"/>
  <c r="A285" i="4"/>
  <c r="B285" i="4"/>
  <c r="A286" i="4"/>
  <c r="B286" i="4"/>
  <c r="A287" i="4"/>
  <c r="B287" i="4"/>
  <c r="A288" i="4"/>
  <c r="B288" i="4"/>
  <c r="A289" i="4"/>
  <c r="B289" i="4"/>
  <c r="A290" i="4"/>
  <c r="B290" i="4"/>
  <c r="A291" i="4"/>
  <c r="B291" i="4"/>
  <c r="A292" i="4"/>
  <c r="B292" i="4"/>
  <c r="A293" i="4"/>
  <c r="B293" i="4"/>
  <c r="A294" i="4"/>
  <c r="B294" i="4"/>
  <c r="A295" i="4"/>
  <c r="B295" i="4"/>
  <c r="A296" i="4"/>
  <c r="B296" i="4"/>
  <c r="A297" i="4"/>
  <c r="B297" i="4"/>
  <c r="A298" i="4"/>
  <c r="B298" i="4"/>
  <c r="A299" i="4"/>
  <c r="B299" i="4"/>
  <c r="A300" i="4"/>
  <c r="B300" i="4"/>
  <c r="A301" i="4"/>
  <c r="B301" i="4"/>
  <c r="A302" i="4"/>
  <c r="B302" i="4"/>
  <c r="A303" i="4"/>
  <c r="B303" i="4"/>
  <c r="A304" i="4"/>
  <c r="B304" i="4"/>
  <c r="A305" i="4"/>
  <c r="B305" i="4"/>
  <c r="A306" i="4"/>
  <c r="B306" i="4"/>
  <c r="A307" i="4"/>
  <c r="B307" i="4"/>
  <c r="A308" i="4"/>
  <c r="B308" i="4"/>
  <c r="A309" i="4"/>
  <c r="B309" i="4"/>
  <c r="A310" i="4"/>
  <c r="B310" i="4"/>
  <c r="A311" i="4"/>
  <c r="B311" i="4"/>
  <c r="A312" i="4"/>
  <c r="B312" i="4"/>
  <c r="A313" i="4"/>
  <c r="B313" i="4"/>
  <c r="A314" i="4"/>
  <c r="B314" i="4"/>
  <c r="A315" i="4"/>
  <c r="B315" i="4"/>
  <c r="A316" i="4"/>
  <c r="B316" i="4"/>
  <c r="A317" i="4"/>
  <c r="B317" i="4"/>
  <c r="A318" i="4"/>
  <c r="B318" i="4"/>
  <c r="A319" i="4"/>
  <c r="B319" i="4"/>
  <c r="A320" i="4"/>
  <c r="B320" i="4"/>
  <c r="A321" i="4"/>
  <c r="B321" i="4"/>
  <c r="A322" i="4"/>
  <c r="B322" i="4"/>
  <c r="A323" i="4"/>
  <c r="B323" i="4"/>
  <c r="A324" i="4"/>
  <c r="B324" i="4"/>
  <c r="A325" i="4"/>
  <c r="B325" i="4"/>
  <c r="A326" i="4"/>
  <c r="B326" i="4"/>
  <c r="A327" i="4"/>
  <c r="B327" i="4"/>
  <c r="A328" i="4"/>
  <c r="B328" i="4"/>
  <c r="A329" i="4"/>
  <c r="B329" i="4"/>
  <c r="A330" i="4"/>
  <c r="B330" i="4"/>
  <c r="A331" i="4"/>
  <c r="B331" i="4"/>
  <c r="A332" i="4"/>
  <c r="B332" i="4"/>
  <c r="A333" i="4"/>
  <c r="B333" i="4"/>
  <c r="A334" i="4"/>
  <c r="B334" i="4"/>
  <c r="A335" i="4"/>
  <c r="B335" i="4"/>
  <c r="A336" i="4"/>
  <c r="B336" i="4"/>
  <c r="A337" i="4"/>
  <c r="B337" i="4"/>
  <c r="A338" i="4"/>
  <c r="B338" i="4"/>
  <c r="A339" i="4"/>
  <c r="B339" i="4"/>
  <c r="A340" i="4"/>
  <c r="B340" i="4"/>
  <c r="A341" i="4"/>
  <c r="B341" i="4"/>
  <c r="A342" i="4"/>
  <c r="B342" i="4"/>
  <c r="A343" i="4"/>
  <c r="B343" i="4"/>
  <c r="A344" i="4"/>
  <c r="B344" i="4"/>
  <c r="A345" i="4"/>
  <c r="B345" i="4"/>
  <c r="A346" i="4"/>
  <c r="B346" i="4"/>
  <c r="A347" i="4"/>
  <c r="B347" i="4"/>
  <c r="A348" i="4"/>
  <c r="B348" i="4"/>
  <c r="A349" i="4"/>
  <c r="B349" i="4"/>
  <c r="A350" i="4"/>
  <c r="B350" i="4"/>
  <c r="A351" i="4"/>
  <c r="B351" i="4"/>
  <c r="A352" i="4"/>
  <c r="B352" i="4"/>
  <c r="A353" i="4"/>
  <c r="B353" i="4"/>
  <c r="A354" i="4"/>
  <c r="B354" i="4"/>
  <c r="A355" i="4"/>
  <c r="B355" i="4"/>
  <c r="A356" i="4"/>
  <c r="B356" i="4"/>
  <c r="A357" i="4"/>
  <c r="B357" i="4"/>
  <c r="A358" i="4"/>
  <c r="B358" i="4"/>
  <c r="A359" i="4"/>
  <c r="B359" i="4"/>
  <c r="A360" i="4"/>
  <c r="B360" i="4"/>
  <c r="A361" i="4"/>
  <c r="B361" i="4"/>
  <c r="A362" i="4"/>
  <c r="B362" i="4"/>
  <c r="A363" i="4"/>
  <c r="B363" i="4"/>
  <c r="A364" i="4"/>
  <c r="B364" i="4"/>
  <c r="A365" i="4"/>
  <c r="B365" i="4"/>
  <c r="A366" i="4"/>
  <c r="B366" i="4"/>
  <c r="A367" i="4"/>
  <c r="B367" i="4"/>
  <c r="A368" i="4"/>
  <c r="B368" i="4"/>
  <c r="A369" i="4"/>
  <c r="B369" i="4"/>
  <c r="A370" i="4"/>
  <c r="B370" i="4"/>
  <c r="A371" i="4"/>
  <c r="B371" i="4"/>
  <c r="A372" i="4"/>
  <c r="B372" i="4"/>
  <c r="A373" i="4"/>
  <c r="B373" i="4"/>
  <c r="A374" i="4"/>
  <c r="B374" i="4"/>
  <c r="A375" i="4"/>
  <c r="B375" i="4"/>
  <c r="A376" i="4"/>
  <c r="B376" i="4"/>
  <c r="A377" i="4"/>
  <c r="B377" i="4"/>
  <c r="A378" i="4"/>
  <c r="B378" i="4"/>
  <c r="A379" i="4"/>
  <c r="B379" i="4"/>
  <c r="A380" i="4"/>
  <c r="B380" i="4"/>
  <c r="A381" i="4"/>
  <c r="B381" i="4"/>
  <c r="A382" i="4"/>
  <c r="B382" i="4"/>
  <c r="A383" i="4"/>
  <c r="B383" i="4"/>
  <c r="A384" i="4"/>
  <c r="B384" i="4"/>
  <c r="A385" i="4"/>
  <c r="B385" i="4"/>
  <c r="A386" i="4"/>
  <c r="B386" i="4"/>
  <c r="A387" i="4"/>
  <c r="B387" i="4"/>
  <c r="A388" i="4"/>
  <c r="B388" i="4"/>
  <c r="A389" i="4"/>
  <c r="B389" i="4"/>
  <c r="A390" i="4"/>
  <c r="B390" i="4"/>
  <c r="A391" i="4"/>
  <c r="B391" i="4"/>
  <c r="A392" i="4"/>
  <c r="B392" i="4"/>
  <c r="A393" i="4"/>
  <c r="B393" i="4"/>
  <c r="A394" i="4"/>
  <c r="B394" i="4"/>
  <c r="A395" i="4"/>
  <c r="B395" i="4"/>
  <c r="A396" i="4"/>
  <c r="B396" i="4"/>
  <c r="A397" i="4"/>
  <c r="B397" i="4"/>
  <c r="A398" i="4"/>
  <c r="B398" i="4"/>
  <c r="A399" i="4"/>
  <c r="B399" i="4"/>
  <c r="A400" i="4"/>
  <c r="B400" i="4"/>
  <c r="A401" i="4"/>
  <c r="B401" i="4"/>
  <c r="A402" i="4"/>
  <c r="B402" i="4"/>
  <c r="A403" i="4"/>
  <c r="B403" i="4"/>
  <c r="A404" i="4"/>
  <c r="B404" i="4"/>
  <c r="A405" i="4"/>
  <c r="B405" i="4"/>
  <c r="A406" i="4"/>
  <c r="B406" i="4"/>
  <c r="A407" i="4"/>
  <c r="B407" i="4"/>
  <c r="A408" i="4"/>
  <c r="B408" i="4"/>
  <c r="A409" i="4"/>
  <c r="B409" i="4"/>
  <c r="A410" i="4"/>
  <c r="B410" i="4"/>
  <c r="A411" i="4"/>
  <c r="B411" i="4"/>
  <c r="A412" i="4"/>
  <c r="B412" i="4"/>
  <c r="A413" i="4"/>
  <c r="B413" i="4"/>
  <c r="A414" i="4"/>
  <c r="B414" i="4"/>
  <c r="A415" i="4"/>
  <c r="B415" i="4"/>
  <c r="A416" i="4"/>
  <c r="B416" i="4"/>
  <c r="A417" i="4"/>
  <c r="B417" i="4"/>
  <c r="A418" i="4"/>
  <c r="B418" i="4"/>
  <c r="A419" i="4"/>
  <c r="B419" i="4"/>
  <c r="A420" i="4"/>
  <c r="B420" i="4"/>
  <c r="A421" i="4"/>
  <c r="B421" i="4"/>
  <c r="A422" i="4"/>
  <c r="B422" i="4"/>
  <c r="A423" i="4"/>
  <c r="B423" i="4"/>
  <c r="A424" i="4"/>
  <c r="B424" i="4"/>
  <c r="A425" i="4"/>
  <c r="B425" i="4"/>
  <c r="A426" i="4"/>
  <c r="B426" i="4"/>
  <c r="A427" i="4"/>
  <c r="B427" i="4"/>
  <c r="A428" i="4"/>
  <c r="B428" i="4"/>
  <c r="A429" i="4"/>
  <c r="B429" i="4"/>
  <c r="A430" i="4"/>
  <c r="B430" i="4"/>
  <c r="A431" i="4"/>
  <c r="B431" i="4"/>
  <c r="A432" i="4"/>
  <c r="B432" i="4"/>
  <c r="A433" i="4"/>
  <c r="B433" i="4"/>
  <c r="A434" i="4"/>
  <c r="B434" i="4"/>
  <c r="A435" i="4"/>
  <c r="B435" i="4"/>
  <c r="A436" i="4"/>
  <c r="B436" i="4"/>
  <c r="A437" i="4"/>
  <c r="B437" i="4"/>
  <c r="A438" i="4"/>
  <c r="B438" i="4"/>
  <c r="A439" i="4"/>
  <c r="B439" i="4"/>
  <c r="A440" i="4"/>
  <c r="B440" i="4"/>
  <c r="A441" i="4"/>
  <c r="B441" i="4"/>
  <c r="A442" i="4"/>
  <c r="B442" i="4"/>
  <c r="A443" i="4"/>
  <c r="B443" i="4"/>
  <c r="A444" i="4"/>
  <c r="B444" i="4"/>
  <c r="A445" i="4"/>
  <c r="B445" i="4"/>
  <c r="A446" i="4"/>
  <c r="B446" i="4"/>
  <c r="A447" i="4"/>
  <c r="B447" i="4"/>
  <c r="A448" i="4"/>
  <c r="B448" i="4"/>
  <c r="A449" i="4"/>
  <c r="B449" i="4"/>
  <c r="A450" i="4"/>
  <c r="B450" i="4"/>
  <c r="A451" i="4"/>
  <c r="B451" i="4"/>
  <c r="A452" i="4"/>
  <c r="B452" i="4"/>
  <c r="A453" i="4"/>
  <c r="B453" i="4"/>
  <c r="A454" i="4"/>
  <c r="B454" i="4"/>
  <c r="A455" i="4"/>
  <c r="B455" i="4"/>
  <c r="A456" i="4"/>
  <c r="B456" i="4"/>
  <c r="A457" i="4"/>
  <c r="B457" i="4"/>
  <c r="A458" i="4"/>
  <c r="B458" i="4"/>
  <c r="A459" i="4"/>
  <c r="B459" i="4"/>
  <c r="A460" i="4"/>
  <c r="B460" i="4"/>
  <c r="A461" i="4"/>
  <c r="B461" i="4"/>
  <c r="A462" i="4"/>
  <c r="B462" i="4"/>
  <c r="A463" i="4"/>
  <c r="B463" i="4"/>
  <c r="A464" i="4"/>
  <c r="B464" i="4"/>
  <c r="A465" i="4"/>
  <c r="B465" i="4"/>
  <c r="A466" i="4"/>
  <c r="B466" i="4"/>
  <c r="A467" i="4"/>
  <c r="B467" i="4"/>
  <c r="A468" i="4"/>
  <c r="B468" i="4"/>
  <c r="A469" i="4"/>
  <c r="B469" i="4"/>
  <c r="A470" i="4"/>
  <c r="B470" i="4"/>
  <c r="A471" i="4"/>
  <c r="B471" i="4"/>
  <c r="A472" i="4"/>
  <c r="B472" i="4"/>
  <c r="A473" i="4"/>
  <c r="B473" i="4"/>
  <c r="A474" i="4"/>
  <c r="B474" i="4"/>
  <c r="A475" i="4"/>
  <c r="B475" i="4"/>
  <c r="A476" i="4"/>
  <c r="B476" i="4"/>
  <c r="A477" i="4"/>
  <c r="B477" i="4"/>
  <c r="A478" i="4"/>
  <c r="B478" i="4"/>
  <c r="A479" i="4"/>
  <c r="B479" i="4"/>
  <c r="A480" i="4"/>
  <c r="B480" i="4"/>
  <c r="A481" i="4"/>
  <c r="B481" i="4"/>
  <c r="A482" i="4"/>
  <c r="B482" i="4"/>
  <c r="A483" i="4"/>
  <c r="B483" i="4"/>
  <c r="A484" i="4"/>
  <c r="B484" i="4"/>
  <c r="A485" i="4"/>
  <c r="B485" i="4"/>
  <c r="A486" i="4"/>
  <c r="B486" i="4"/>
  <c r="A487" i="4"/>
  <c r="B487" i="4"/>
  <c r="A488" i="4"/>
  <c r="B488" i="4"/>
  <c r="A489" i="4"/>
  <c r="B489" i="4"/>
  <c r="A490" i="4"/>
  <c r="B490" i="4"/>
  <c r="A491" i="4"/>
  <c r="B491" i="4"/>
  <c r="A492" i="4"/>
  <c r="B492" i="4"/>
  <c r="A493" i="4"/>
  <c r="B493" i="4"/>
  <c r="A494" i="4"/>
  <c r="B494" i="4"/>
  <c r="A495" i="4"/>
  <c r="B495" i="4"/>
  <c r="A496" i="4"/>
  <c r="B496" i="4"/>
  <c r="A497" i="4"/>
  <c r="B497" i="4"/>
  <c r="A498" i="4"/>
  <c r="B498" i="4"/>
  <c r="A499" i="4"/>
  <c r="B499" i="4"/>
  <c r="A500" i="4"/>
  <c r="B500" i="4"/>
  <c r="A501" i="4"/>
  <c r="B501" i="4"/>
  <c r="A502" i="4"/>
  <c r="B502" i="4"/>
  <c r="A503" i="4"/>
  <c r="B503" i="4"/>
  <c r="A504" i="4"/>
  <c r="B504" i="4"/>
  <c r="A505" i="4"/>
  <c r="B505" i="4"/>
  <c r="A506" i="4"/>
  <c r="B506" i="4"/>
  <c r="A507" i="4"/>
  <c r="B507" i="4"/>
  <c r="A508" i="4"/>
  <c r="B508" i="4"/>
  <c r="A509" i="4"/>
  <c r="B509" i="4"/>
  <c r="A510" i="4"/>
  <c r="B510" i="4"/>
  <c r="A511" i="4"/>
  <c r="B511" i="4"/>
  <c r="A512" i="4"/>
  <c r="B512" i="4"/>
  <c r="A513" i="4"/>
  <c r="B513" i="4"/>
  <c r="A514" i="4"/>
  <c r="B514" i="4"/>
  <c r="A515" i="4"/>
  <c r="B515" i="4"/>
  <c r="A516" i="4"/>
  <c r="B516" i="4"/>
  <c r="A517" i="4"/>
  <c r="B517" i="4"/>
  <c r="A518" i="4"/>
  <c r="B518" i="4"/>
  <c r="A519" i="4"/>
  <c r="B519" i="4"/>
  <c r="A520" i="4"/>
  <c r="B520" i="4"/>
  <c r="A521" i="4"/>
  <c r="B521" i="4"/>
  <c r="A522" i="4"/>
  <c r="B522" i="4"/>
  <c r="A523" i="4"/>
  <c r="B523" i="4"/>
  <c r="A524" i="4"/>
  <c r="B524" i="4"/>
  <c r="A525" i="4"/>
  <c r="B525" i="4"/>
  <c r="A526" i="4"/>
  <c r="B526" i="4"/>
  <c r="A527" i="4"/>
  <c r="B527" i="4"/>
  <c r="A528" i="4"/>
  <c r="B528" i="4"/>
  <c r="A529" i="4"/>
  <c r="B529" i="4"/>
  <c r="A530" i="4"/>
  <c r="B530" i="4"/>
  <c r="A531" i="4"/>
  <c r="B531" i="4"/>
  <c r="A532" i="4"/>
  <c r="B532" i="4"/>
  <c r="A533" i="4"/>
  <c r="B533" i="4"/>
  <c r="A534" i="4"/>
  <c r="B534" i="4"/>
  <c r="A535" i="4"/>
  <c r="B535" i="4"/>
  <c r="A536" i="4"/>
  <c r="B536" i="4"/>
  <c r="A537" i="4"/>
  <c r="B537" i="4"/>
  <c r="A538" i="4"/>
  <c r="B538" i="4"/>
  <c r="A539" i="4"/>
  <c r="B539" i="4"/>
  <c r="A540" i="4"/>
  <c r="B540" i="4"/>
  <c r="A541" i="4"/>
  <c r="B541" i="4"/>
  <c r="A542" i="4"/>
  <c r="B542" i="4"/>
  <c r="A543" i="4"/>
  <c r="B543" i="4"/>
  <c r="A544" i="4"/>
  <c r="B544" i="4"/>
  <c r="A545" i="4"/>
  <c r="B545" i="4"/>
  <c r="A546" i="4"/>
  <c r="B546" i="4"/>
  <c r="A547" i="4"/>
  <c r="B547" i="4"/>
  <c r="A548" i="4"/>
  <c r="B548" i="4"/>
  <c r="A549" i="4"/>
  <c r="B549" i="4"/>
  <c r="A550" i="4"/>
  <c r="B550" i="4"/>
  <c r="A551" i="4"/>
  <c r="B551" i="4"/>
  <c r="A552" i="4"/>
  <c r="B552" i="4"/>
  <c r="A553" i="4"/>
  <c r="B553" i="4"/>
  <c r="A554" i="4"/>
  <c r="B554" i="4"/>
  <c r="A555" i="4"/>
  <c r="B555" i="4"/>
  <c r="A556" i="4"/>
  <c r="B556" i="4"/>
  <c r="A557" i="4"/>
  <c r="B557" i="4"/>
  <c r="A558" i="4"/>
  <c r="B558" i="4"/>
  <c r="A559" i="4"/>
  <c r="B559" i="4"/>
  <c r="A560" i="4"/>
  <c r="B560" i="4"/>
  <c r="A561" i="4"/>
  <c r="B561" i="4"/>
  <c r="A562" i="4"/>
  <c r="B562" i="4"/>
  <c r="A563" i="4"/>
  <c r="B563" i="4"/>
  <c r="A564" i="4"/>
  <c r="B564" i="4"/>
  <c r="A565" i="4"/>
  <c r="B565" i="4"/>
  <c r="A566" i="4"/>
  <c r="B566" i="4"/>
  <c r="A567" i="4"/>
  <c r="B567" i="4"/>
  <c r="A568" i="4"/>
  <c r="B568" i="4"/>
  <c r="A569" i="4"/>
  <c r="B569" i="4"/>
  <c r="A570" i="4"/>
  <c r="B570" i="4"/>
  <c r="A571" i="4"/>
  <c r="B571" i="4"/>
  <c r="A572" i="4"/>
  <c r="B572" i="4"/>
  <c r="A573" i="4"/>
  <c r="B573" i="4"/>
  <c r="A574" i="4"/>
  <c r="B574" i="4"/>
  <c r="A575" i="4"/>
  <c r="B575" i="4"/>
  <c r="A576" i="4"/>
  <c r="B576" i="4"/>
  <c r="A577" i="4"/>
  <c r="B577" i="4"/>
  <c r="A578" i="4"/>
  <c r="B578" i="4"/>
  <c r="A579" i="4"/>
  <c r="B579" i="4"/>
  <c r="A580" i="4"/>
  <c r="B580" i="4"/>
  <c r="A581" i="4"/>
  <c r="B581" i="4"/>
  <c r="A582" i="4"/>
  <c r="B582" i="4"/>
  <c r="A583" i="4"/>
  <c r="B583" i="4"/>
  <c r="A584" i="4"/>
  <c r="B584" i="4"/>
  <c r="A585" i="4"/>
  <c r="B585" i="4"/>
  <c r="A586" i="4"/>
  <c r="B586" i="4"/>
  <c r="A587" i="4"/>
  <c r="B587" i="4"/>
  <c r="A588" i="4"/>
  <c r="B588" i="4"/>
  <c r="A589" i="4"/>
  <c r="B589" i="4"/>
  <c r="A590" i="4"/>
  <c r="B590" i="4"/>
  <c r="A591" i="4"/>
  <c r="B591" i="4"/>
  <c r="A592" i="4"/>
  <c r="B592" i="4"/>
  <c r="A593" i="4"/>
  <c r="B593" i="4"/>
  <c r="A594" i="4"/>
  <c r="B594" i="4"/>
  <c r="A595" i="4"/>
  <c r="B595" i="4"/>
  <c r="A596" i="4"/>
  <c r="B596" i="4"/>
  <c r="A597" i="4"/>
  <c r="B597" i="4"/>
  <c r="A598" i="4"/>
  <c r="B598" i="4"/>
  <c r="A599" i="4"/>
  <c r="B599" i="4"/>
  <c r="A600" i="4"/>
  <c r="B600" i="4"/>
  <c r="A601" i="4"/>
  <c r="B601" i="4"/>
  <c r="A602" i="4"/>
  <c r="B602" i="4"/>
  <c r="A603" i="4"/>
  <c r="B603" i="4"/>
  <c r="A604" i="4"/>
  <c r="B604" i="4"/>
  <c r="A605" i="4"/>
  <c r="B605" i="4"/>
  <c r="A606" i="4"/>
  <c r="B606" i="4"/>
  <c r="A607" i="4"/>
  <c r="B607" i="4"/>
  <c r="A608" i="4"/>
  <c r="B608" i="4"/>
  <c r="A609" i="4"/>
  <c r="B609" i="4"/>
  <c r="A610" i="4"/>
  <c r="B610" i="4"/>
  <c r="A611" i="4"/>
  <c r="B611" i="4"/>
  <c r="A612" i="4"/>
  <c r="B612" i="4"/>
  <c r="A613" i="4"/>
  <c r="B613" i="4"/>
  <c r="A614" i="4"/>
  <c r="B614" i="4"/>
  <c r="A615" i="4"/>
  <c r="B615" i="4"/>
  <c r="A616" i="4"/>
  <c r="B616" i="4"/>
  <c r="A617" i="4"/>
  <c r="B617" i="4"/>
  <c r="A618" i="4"/>
  <c r="B618" i="4"/>
  <c r="A619" i="4"/>
  <c r="B619" i="4"/>
  <c r="A620" i="4"/>
  <c r="B620" i="4"/>
  <c r="A621" i="4"/>
  <c r="B621" i="4"/>
  <c r="A622" i="4"/>
  <c r="B622" i="4"/>
  <c r="A623" i="4"/>
  <c r="B623" i="4"/>
  <c r="A624" i="4"/>
  <c r="B624" i="4"/>
  <c r="A625" i="4"/>
  <c r="B625" i="4"/>
  <c r="A626" i="4"/>
  <c r="B626" i="4"/>
  <c r="A627" i="4"/>
  <c r="B627" i="4"/>
  <c r="A628" i="4"/>
  <c r="B628" i="4"/>
  <c r="A629" i="4"/>
  <c r="B629" i="4"/>
  <c r="A630" i="4"/>
  <c r="B630" i="4"/>
  <c r="A631" i="4"/>
  <c r="B631" i="4"/>
  <c r="A632" i="4"/>
  <c r="B632" i="4"/>
  <c r="A633" i="4"/>
  <c r="B633" i="4"/>
  <c r="A634" i="4"/>
  <c r="B634" i="4"/>
  <c r="A635" i="4"/>
  <c r="B635" i="4"/>
  <c r="A636" i="4"/>
  <c r="B636" i="4"/>
  <c r="A637" i="4"/>
  <c r="B637" i="4"/>
  <c r="A638" i="4"/>
  <c r="B638" i="4"/>
  <c r="A639" i="4"/>
  <c r="B639" i="4"/>
  <c r="A640" i="4"/>
  <c r="B640" i="4"/>
  <c r="A641" i="4"/>
  <c r="B641" i="4"/>
  <c r="A642" i="4"/>
  <c r="B642" i="4"/>
  <c r="A643" i="4"/>
  <c r="B643" i="4"/>
  <c r="A644" i="4"/>
  <c r="B644" i="4"/>
  <c r="A645" i="4"/>
  <c r="B645" i="4"/>
  <c r="A646" i="4"/>
  <c r="B646" i="4"/>
  <c r="A647" i="4"/>
  <c r="B647" i="4"/>
  <c r="A648" i="4"/>
  <c r="B648" i="4"/>
  <c r="A649" i="4"/>
  <c r="B649" i="4"/>
  <c r="A650" i="4"/>
  <c r="B650" i="4"/>
  <c r="A651" i="4"/>
  <c r="B651" i="4"/>
  <c r="A652" i="4"/>
  <c r="B652" i="4"/>
  <c r="A653" i="4"/>
  <c r="B653" i="4"/>
  <c r="A654" i="4"/>
  <c r="B654" i="4"/>
  <c r="A655" i="4"/>
  <c r="B655" i="4"/>
  <c r="A656" i="4"/>
  <c r="B656" i="4"/>
  <c r="A657" i="4"/>
  <c r="B657" i="4"/>
  <c r="A658" i="4"/>
  <c r="B658" i="4"/>
  <c r="A659" i="4"/>
  <c r="B659" i="4"/>
  <c r="A660" i="4"/>
  <c r="B660" i="4"/>
  <c r="A661" i="4"/>
  <c r="B661" i="4"/>
  <c r="A662" i="4"/>
  <c r="B662" i="4"/>
  <c r="A663" i="4"/>
  <c r="B663" i="4"/>
  <c r="A664" i="4"/>
  <c r="B664" i="4"/>
  <c r="A665" i="4"/>
  <c r="B665" i="4"/>
  <c r="A666" i="4"/>
  <c r="B666" i="4"/>
  <c r="A667" i="4"/>
  <c r="B667" i="4"/>
  <c r="A668" i="4"/>
  <c r="B668" i="4"/>
  <c r="A669" i="4"/>
  <c r="B669" i="4"/>
  <c r="A670" i="4"/>
  <c r="B670" i="4"/>
  <c r="A671" i="4"/>
  <c r="B671" i="4"/>
  <c r="A672" i="4"/>
  <c r="B672" i="4"/>
  <c r="A673" i="4"/>
  <c r="B673" i="4"/>
  <c r="A674" i="4"/>
  <c r="B674" i="4"/>
  <c r="A675" i="4"/>
  <c r="B675" i="4"/>
  <c r="A676" i="4"/>
  <c r="B676" i="4"/>
  <c r="A677" i="4"/>
  <c r="B677" i="4"/>
  <c r="A678" i="4"/>
  <c r="B678" i="4"/>
  <c r="A679" i="4"/>
  <c r="B679" i="4"/>
  <c r="A680" i="4"/>
  <c r="B680" i="4"/>
  <c r="A681" i="4"/>
  <c r="B681" i="4"/>
  <c r="A682" i="4"/>
  <c r="B682" i="4"/>
  <c r="A683" i="4"/>
  <c r="B683" i="4"/>
  <c r="A684" i="4"/>
  <c r="B684" i="4"/>
  <c r="A685" i="4"/>
  <c r="B685" i="4"/>
  <c r="A686" i="4"/>
  <c r="B686" i="4"/>
  <c r="A687" i="4"/>
  <c r="B687" i="4"/>
  <c r="A688" i="4"/>
  <c r="B688" i="4"/>
  <c r="A689" i="4"/>
  <c r="B689" i="4"/>
  <c r="A690" i="4"/>
  <c r="B690" i="4"/>
  <c r="A691" i="4"/>
  <c r="B691" i="4"/>
  <c r="A692" i="4"/>
  <c r="B692" i="4"/>
  <c r="A693" i="4"/>
  <c r="B693" i="4"/>
  <c r="A694" i="4"/>
  <c r="B694" i="4"/>
  <c r="A695" i="4"/>
  <c r="B695" i="4"/>
  <c r="A696" i="4"/>
  <c r="B696" i="4"/>
  <c r="A697" i="4"/>
  <c r="B697" i="4"/>
  <c r="A698" i="4"/>
  <c r="B698" i="4"/>
  <c r="A699" i="4"/>
  <c r="B699" i="4"/>
  <c r="A700" i="4"/>
  <c r="B700" i="4"/>
  <c r="A701" i="4"/>
  <c r="B701" i="4"/>
  <c r="A702" i="4"/>
  <c r="B702" i="4"/>
  <c r="A703" i="4"/>
  <c r="B703" i="4"/>
  <c r="A704" i="4"/>
  <c r="B704" i="4"/>
  <c r="A705" i="4"/>
  <c r="B705" i="4"/>
  <c r="A706" i="4"/>
  <c r="B706" i="4"/>
  <c r="A707" i="4"/>
  <c r="B707" i="4"/>
  <c r="A708" i="4"/>
  <c r="B708" i="4"/>
  <c r="A709" i="4"/>
  <c r="B709" i="4"/>
  <c r="A710" i="4"/>
  <c r="B710" i="4"/>
  <c r="A711" i="4"/>
  <c r="B711" i="4"/>
  <c r="A712" i="4"/>
  <c r="B712" i="4"/>
  <c r="A713" i="4"/>
  <c r="B713" i="4"/>
  <c r="A714" i="4"/>
  <c r="B714" i="4"/>
  <c r="A715" i="4"/>
  <c r="B715" i="4"/>
  <c r="A716" i="4"/>
  <c r="B716" i="4"/>
  <c r="A717" i="4"/>
  <c r="B717" i="4"/>
  <c r="A718" i="4"/>
  <c r="B718" i="4"/>
  <c r="A719" i="4"/>
  <c r="B719" i="4"/>
  <c r="A720" i="4"/>
  <c r="B720" i="4"/>
  <c r="A721" i="4"/>
  <c r="B721" i="4"/>
  <c r="A722" i="4"/>
  <c r="B722" i="4"/>
  <c r="A723" i="4"/>
  <c r="B723" i="4"/>
  <c r="A724" i="4"/>
  <c r="B724" i="4"/>
  <c r="A725" i="4"/>
  <c r="B725" i="4"/>
  <c r="A726" i="4"/>
  <c r="B726" i="4"/>
  <c r="A727" i="4"/>
  <c r="B727" i="4"/>
  <c r="A728" i="4"/>
  <c r="B728" i="4"/>
  <c r="A729" i="4"/>
  <c r="B729" i="4"/>
  <c r="A730" i="4"/>
  <c r="B730" i="4"/>
  <c r="A731" i="4"/>
  <c r="B731" i="4"/>
  <c r="A732" i="4"/>
  <c r="B732" i="4"/>
  <c r="A733" i="4"/>
  <c r="B733" i="4"/>
  <c r="A734" i="4"/>
  <c r="B734" i="4"/>
  <c r="A735" i="4"/>
  <c r="B735" i="4"/>
  <c r="A736" i="4"/>
  <c r="B736" i="4"/>
  <c r="A737" i="4"/>
  <c r="B737" i="4"/>
  <c r="A738" i="4"/>
  <c r="B738" i="4"/>
  <c r="A739" i="4"/>
  <c r="B739" i="4"/>
  <c r="A740" i="4"/>
  <c r="B740" i="4"/>
  <c r="A741" i="4"/>
  <c r="B741" i="4"/>
  <c r="A742" i="4"/>
  <c r="B742" i="4"/>
  <c r="A743" i="4"/>
  <c r="B743" i="4"/>
  <c r="A744" i="4"/>
  <c r="B744" i="4"/>
  <c r="A745" i="4"/>
  <c r="B745" i="4"/>
  <c r="A746" i="4"/>
  <c r="B746" i="4"/>
  <c r="A747" i="4"/>
  <c r="B747" i="4"/>
  <c r="A748" i="4"/>
  <c r="B748" i="4"/>
  <c r="A749" i="4"/>
  <c r="B749" i="4"/>
  <c r="A750" i="4"/>
  <c r="B750" i="4"/>
  <c r="A751" i="4"/>
  <c r="B751" i="4"/>
  <c r="A752" i="4"/>
  <c r="B752" i="4"/>
  <c r="A753" i="4"/>
  <c r="B753" i="4"/>
  <c r="A754" i="4"/>
  <c r="B754" i="4"/>
  <c r="A755" i="4"/>
  <c r="B755" i="4"/>
  <c r="A756" i="4"/>
  <c r="B756" i="4"/>
  <c r="A757" i="4"/>
  <c r="B757" i="4"/>
  <c r="A758" i="4"/>
  <c r="B758" i="4"/>
  <c r="A759" i="4"/>
  <c r="B759" i="4"/>
  <c r="A760" i="4"/>
  <c r="B760" i="4"/>
  <c r="A761" i="4"/>
  <c r="B761" i="4"/>
  <c r="A762" i="4"/>
  <c r="B762" i="4"/>
  <c r="A763" i="4"/>
  <c r="B763" i="4"/>
  <c r="A764" i="4"/>
  <c r="B764" i="4"/>
  <c r="A765" i="4"/>
  <c r="B765" i="4"/>
  <c r="A766" i="4"/>
  <c r="B766" i="4"/>
  <c r="A767" i="4"/>
  <c r="B767" i="4"/>
  <c r="A768" i="4"/>
  <c r="B768" i="4"/>
  <c r="A769" i="4"/>
  <c r="B769" i="4"/>
  <c r="A770" i="4"/>
  <c r="B770" i="4"/>
  <c r="A771" i="4"/>
  <c r="B771" i="4"/>
  <c r="A772" i="4"/>
  <c r="B772" i="4"/>
  <c r="A773" i="4"/>
  <c r="B773" i="4"/>
  <c r="A774" i="4"/>
  <c r="B774" i="4"/>
  <c r="A775" i="4"/>
  <c r="B775" i="4"/>
  <c r="A776" i="4"/>
  <c r="B776" i="4"/>
  <c r="A777" i="4"/>
  <c r="B777" i="4"/>
  <c r="A778" i="4"/>
  <c r="B778" i="4"/>
  <c r="A779" i="4"/>
  <c r="B779" i="4"/>
  <c r="A780" i="4"/>
  <c r="B780" i="4"/>
  <c r="A781" i="4"/>
  <c r="B781" i="4"/>
  <c r="A782" i="4"/>
  <c r="B782" i="4"/>
  <c r="A783" i="4"/>
  <c r="B783" i="4"/>
  <c r="A784" i="4"/>
  <c r="B784" i="4"/>
  <c r="A785" i="4"/>
  <c r="B785" i="4"/>
  <c r="A786" i="4"/>
  <c r="B786" i="4"/>
  <c r="A787" i="4"/>
  <c r="B787" i="4"/>
  <c r="A788" i="4"/>
  <c r="B788" i="4"/>
  <c r="A789" i="4"/>
  <c r="B789" i="4"/>
  <c r="A790" i="4"/>
  <c r="B790" i="4"/>
  <c r="A791" i="4"/>
  <c r="B791" i="4"/>
  <c r="A792" i="4"/>
  <c r="B792" i="4"/>
  <c r="A793" i="4"/>
  <c r="B793" i="4"/>
  <c r="A794" i="4"/>
  <c r="B794" i="4"/>
  <c r="A795" i="4"/>
  <c r="B795" i="4"/>
  <c r="A796" i="4"/>
  <c r="B796" i="4"/>
  <c r="A797" i="4"/>
  <c r="B797" i="4"/>
  <c r="A798" i="4"/>
  <c r="B798" i="4"/>
  <c r="A799" i="4"/>
  <c r="B799" i="4"/>
  <c r="A800" i="4"/>
  <c r="B800" i="4"/>
  <c r="A801" i="4"/>
  <c r="B801" i="4"/>
  <c r="A802" i="4"/>
  <c r="B802" i="4"/>
  <c r="A803" i="4"/>
  <c r="B803" i="4"/>
  <c r="A804" i="4"/>
  <c r="B804" i="4"/>
  <c r="A805" i="4"/>
  <c r="B805" i="4"/>
  <c r="A806" i="4"/>
  <c r="B806" i="4"/>
  <c r="A807" i="4"/>
  <c r="B807" i="4"/>
  <c r="A808" i="4"/>
  <c r="B808" i="4"/>
  <c r="A809" i="4"/>
  <c r="B809" i="4"/>
  <c r="A810" i="4"/>
  <c r="B810" i="4"/>
  <c r="A811" i="4"/>
  <c r="B811" i="4"/>
  <c r="A812" i="4"/>
  <c r="B812" i="4"/>
  <c r="A813" i="4"/>
  <c r="B813" i="4"/>
  <c r="A814" i="4"/>
  <c r="B814" i="4"/>
  <c r="A815" i="4"/>
  <c r="B815" i="4"/>
  <c r="A816" i="4"/>
  <c r="B816" i="4"/>
  <c r="A817" i="4"/>
  <c r="B817" i="4"/>
  <c r="A818" i="4"/>
  <c r="B818" i="4"/>
  <c r="A819" i="4"/>
  <c r="B819" i="4"/>
  <c r="A820" i="4"/>
  <c r="B820" i="4"/>
  <c r="A821" i="4"/>
  <c r="B821" i="4"/>
  <c r="A822" i="4"/>
  <c r="B822" i="4"/>
  <c r="A823" i="4"/>
  <c r="B823" i="4"/>
  <c r="A824" i="4"/>
  <c r="B824" i="4"/>
  <c r="A825" i="4"/>
  <c r="B825" i="4"/>
  <c r="A826" i="4"/>
  <c r="B826" i="4"/>
  <c r="A827" i="4"/>
  <c r="B827" i="4"/>
  <c r="A828" i="4"/>
  <c r="B828" i="4"/>
  <c r="A829" i="4"/>
  <c r="B829" i="4"/>
  <c r="A830" i="4"/>
  <c r="B830" i="4"/>
  <c r="A831" i="4"/>
  <c r="B831" i="4"/>
  <c r="A832" i="4"/>
  <c r="B832" i="4"/>
  <c r="A833" i="4"/>
  <c r="B833" i="4"/>
  <c r="A834" i="4"/>
  <c r="B834" i="4"/>
  <c r="A835" i="4"/>
  <c r="B835" i="4"/>
  <c r="A836" i="4"/>
  <c r="B836" i="4"/>
  <c r="A837" i="4"/>
  <c r="B837" i="4"/>
  <c r="A838" i="4"/>
  <c r="B838" i="4"/>
  <c r="A839" i="4"/>
  <c r="B839" i="4"/>
  <c r="A840" i="4"/>
  <c r="B840" i="4"/>
  <c r="A841" i="4"/>
  <c r="B841" i="4"/>
  <c r="A842" i="4"/>
  <c r="B842" i="4"/>
  <c r="A843" i="4"/>
  <c r="B843" i="4"/>
  <c r="A844" i="4"/>
  <c r="B844" i="4"/>
  <c r="A845" i="4"/>
  <c r="B845" i="4"/>
  <c r="A846" i="4"/>
  <c r="B846" i="4"/>
  <c r="A847" i="4"/>
  <c r="B847" i="4"/>
  <c r="A848" i="4"/>
  <c r="B848" i="4"/>
  <c r="A849" i="4"/>
  <c r="B849" i="4"/>
  <c r="A850" i="4"/>
  <c r="B850" i="4"/>
  <c r="A851" i="4"/>
  <c r="B851" i="4"/>
  <c r="A852" i="4"/>
  <c r="B852" i="4"/>
  <c r="A853" i="4"/>
  <c r="B853" i="4"/>
  <c r="A854" i="4"/>
  <c r="B854" i="4"/>
  <c r="A855" i="4"/>
  <c r="B855" i="4"/>
  <c r="A856" i="4"/>
  <c r="B856" i="4"/>
  <c r="A857" i="4"/>
  <c r="B857" i="4"/>
  <c r="A858" i="4"/>
  <c r="B858" i="4"/>
  <c r="A859" i="4"/>
  <c r="B859" i="4"/>
  <c r="A860" i="4"/>
  <c r="B860" i="4"/>
  <c r="A861" i="4"/>
  <c r="B861" i="4"/>
  <c r="A862" i="4"/>
  <c r="B862" i="4"/>
  <c r="A863" i="4"/>
  <c r="B863" i="4"/>
  <c r="A864" i="4"/>
  <c r="B864" i="4"/>
  <c r="A865" i="4"/>
  <c r="B865" i="4"/>
  <c r="A866" i="4"/>
  <c r="B866" i="4"/>
  <c r="A867" i="4"/>
  <c r="B867" i="4"/>
  <c r="A868" i="4"/>
  <c r="B868" i="4"/>
  <c r="A869" i="4"/>
  <c r="B869" i="4"/>
  <c r="A870" i="4"/>
  <c r="B870" i="4"/>
  <c r="A871" i="4"/>
  <c r="B871" i="4"/>
  <c r="A872" i="4"/>
  <c r="B872" i="4"/>
  <c r="A873" i="4"/>
  <c r="B873" i="4"/>
  <c r="A874" i="4"/>
  <c r="B874" i="4"/>
  <c r="A875" i="4"/>
  <c r="B875" i="4"/>
  <c r="A876" i="4"/>
  <c r="B876" i="4"/>
  <c r="A877" i="4"/>
  <c r="B877" i="4"/>
  <c r="A878" i="4"/>
  <c r="B878" i="4"/>
  <c r="A879" i="4"/>
  <c r="B879" i="4"/>
  <c r="A880" i="4"/>
  <c r="B880" i="4"/>
  <c r="A881" i="4"/>
  <c r="B881" i="4"/>
  <c r="A882" i="4"/>
  <c r="B882" i="4"/>
  <c r="A883" i="4"/>
  <c r="B883" i="4"/>
  <c r="A884" i="4"/>
  <c r="B884" i="4"/>
  <c r="A885" i="4"/>
  <c r="B885" i="4"/>
  <c r="A886" i="4"/>
  <c r="B886" i="4"/>
  <c r="A887" i="4"/>
  <c r="B887" i="4"/>
  <c r="A888" i="4"/>
  <c r="B888" i="4"/>
  <c r="A889" i="4"/>
  <c r="B889" i="4"/>
  <c r="A890" i="4"/>
  <c r="B890" i="4"/>
  <c r="A891" i="4"/>
  <c r="B891" i="4"/>
  <c r="A892" i="4"/>
  <c r="B892" i="4"/>
  <c r="A893" i="4"/>
  <c r="B893" i="4"/>
  <c r="A894" i="4"/>
  <c r="B894" i="4"/>
  <c r="A895" i="4"/>
  <c r="B895" i="4"/>
  <c r="A896" i="4"/>
  <c r="B896" i="4"/>
  <c r="A897" i="4"/>
  <c r="B897" i="4"/>
  <c r="A898" i="4"/>
  <c r="B898" i="4"/>
  <c r="A899" i="4"/>
  <c r="B899" i="4"/>
  <c r="A900" i="4"/>
  <c r="B900" i="4"/>
  <c r="A901" i="4"/>
  <c r="B901" i="4"/>
  <c r="A902" i="4"/>
  <c r="B902" i="4"/>
  <c r="A903" i="4"/>
  <c r="B903" i="4"/>
  <c r="A904" i="4"/>
  <c r="B904" i="4"/>
  <c r="A905" i="4"/>
  <c r="B905" i="4"/>
  <c r="A906" i="4"/>
  <c r="B906" i="4"/>
  <c r="A907" i="4"/>
  <c r="B907" i="4"/>
  <c r="A908" i="4"/>
  <c r="B908" i="4"/>
  <c r="A909" i="4"/>
  <c r="B909" i="4"/>
  <c r="A910" i="4"/>
  <c r="B910" i="4"/>
  <c r="A911" i="4"/>
  <c r="B911" i="4"/>
  <c r="A912" i="4"/>
  <c r="B912" i="4"/>
  <c r="A913" i="4"/>
  <c r="B913" i="4"/>
  <c r="A914" i="4"/>
  <c r="B914" i="4"/>
  <c r="A915" i="4"/>
  <c r="B915" i="4"/>
  <c r="A916" i="4"/>
  <c r="B916" i="4"/>
  <c r="A917" i="4"/>
  <c r="B917" i="4"/>
  <c r="A918" i="4"/>
  <c r="B918" i="4"/>
  <c r="A919" i="4"/>
  <c r="B919" i="4"/>
  <c r="A920" i="4"/>
  <c r="B920" i="4"/>
  <c r="A921" i="4"/>
  <c r="B921" i="4"/>
  <c r="A922" i="4"/>
  <c r="B922" i="4"/>
  <c r="A923" i="4"/>
  <c r="B923" i="4"/>
  <c r="A924" i="4"/>
  <c r="B924" i="4"/>
  <c r="A925" i="4"/>
  <c r="B925" i="4"/>
  <c r="A926" i="4"/>
  <c r="B926" i="4"/>
  <c r="A927" i="4"/>
  <c r="B927" i="4"/>
  <c r="A928" i="4"/>
  <c r="B928" i="4"/>
  <c r="A929" i="4"/>
  <c r="B929" i="4"/>
  <c r="A930" i="4"/>
  <c r="B930" i="4"/>
  <c r="A931" i="4"/>
  <c r="B931" i="4"/>
  <c r="A932" i="4"/>
  <c r="B932" i="4"/>
  <c r="A933" i="4"/>
  <c r="B933" i="4"/>
  <c r="A934" i="4"/>
  <c r="B934" i="4"/>
  <c r="A935" i="4"/>
  <c r="B935" i="4"/>
  <c r="A936" i="4"/>
  <c r="B936" i="4"/>
  <c r="A937" i="4"/>
  <c r="B937" i="4"/>
  <c r="A938" i="4"/>
  <c r="B938" i="4"/>
  <c r="A939" i="4"/>
  <c r="B939" i="4"/>
  <c r="A940" i="4"/>
  <c r="B940" i="4"/>
  <c r="A941" i="4"/>
  <c r="B941" i="4"/>
  <c r="A942" i="4"/>
  <c r="B942" i="4"/>
  <c r="A943" i="4"/>
  <c r="B943" i="4"/>
  <c r="A944" i="4"/>
  <c r="B944" i="4"/>
  <c r="A945" i="4"/>
  <c r="B945" i="4"/>
  <c r="A946" i="4"/>
  <c r="B946" i="4"/>
  <c r="A947" i="4"/>
  <c r="B947" i="4"/>
  <c r="A948" i="4"/>
  <c r="B948" i="4"/>
  <c r="A949" i="4"/>
  <c r="B949" i="4"/>
  <c r="A950" i="4"/>
  <c r="B950" i="4"/>
  <c r="A951" i="4"/>
  <c r="B951" i="4"/>
  <c r="A952" i="4"/>
  <c r="B952" i="4"/>
  <c r="A953" i="4"/>
  <c r="B953" i="4"/>
  <c r="A954" i="4"/>
  <c r="B954" i="4"/>
  <c r="A955" i="4"/>
  <c r="B955" i="4"/>
  <c r="A956" i="4"/>
  <c r="B956" i="4"/>
  <c r="A957" i="4"/>
  <c r="B957" i="4"/>
  <c r="A958" i="4"/>
  <c r="B958" i="4"/>
  <c r="A959" i="4"/>
  <c r="B959" i="4"/>
  <c r="A960" i="4"/>
  <c r="B960" i="4"/>
  <c r="A961" i="4"/>
  <c r="B961" i="4"/>
  <c r="A962" i="4"/>
  <c r="B962" i="4"/>
  <c r="A963" i="4"/>
  <c r="B963" i="4"/>
  <c r="A964" i="4"/>
  <c r="B964" i="4"/>
  <c r="A965" i="4"/>
  <c r="B965" i="4"/>
  <c r="A966" i="4"/>
  <c r="B966" i="4"/>
  <c r="A967" i="4"/>
  <c r="B967" i="4"/>
  <c r="A968" i="4"/>
  <c r="B968" i="4"/>
  <c r="A969" i="4"/>
  <c r="B969" i="4"/>
  <c r="A970" i="4"/>
  <c r="B970" i="4"/>
  <c r="A971" i="4"/>
  <c r="B971" i="4"/>
  <c r="A972" i="4"/>
  <c r="B972" i="4"/>
  <c r="A973" i="4"/>
  <c r="B973" i="4"/>
  <c r="A974" i="4"/>
  <c r="B974" i="4"/>
  <c r="A975" i="4"/>
  <c r="B975" i="4"/>
  <c r="A976" i="4"/>
  <c r="B976" i="4"/>
  <c r="A977" i="4"/>
  <c r="B977" i="4"/>
  <c r="A978" i="4"/>
  <c r="B978" i="4"/>
  <c r="A979" i="4"/>
  <c r="B979" i="4"/>
  <c r="A980" i="4"/>
  <c r="B980" i="4"/>
  <c r="A981" i="4"/>
  <c r="B981" i="4"/>
  <c r="A982" i="4"/>
  <c r="B982" i="4"/>
  <c r="A983" i="4"/>
  <c r="B983" i="4"/>
  <c r="A984" i="4"/>
  <c r="B984" i="4"/>
  <c r="A985" i="4"/>
  <c r="B985" i="4"/>
  <c r="A986" i="4"/>
  <c r="B986" i="4"/>
  <c r="A987" i="4"/>
  <c r="B987" i="4"/>
  <c r="A988" i="4"/>
  <c r="B988" i="4"/>
  <c r="A989" i="4"/>
  <c r="B989" i="4"/>
  <c r="A990" i="4"/>
  <c r="B990" i="4"/>
  <c r="A991" i="4"/>
  <c r="B991" i="4"/>
  <c r="A992" i="4"/>
  <c r="B992" i="4"/>
  <c r="A993" i="4"/>
  <c r="B993" i="4"/>
  <c r="A994" i="4"/>
  <c r="B994" i="4"/>
  <c r="A995" i="4"/>
  <c r="B995" i="4"/>
  <c r="A996" i="4"/>
  <c r="B996" i="4"/>
  <c r="A997" i="4"/>
  <c r="B997" i="4"/>
  <c r="A998" i="4"/>
  <c r="B998" i="4"/>
  <c r="A999" i="4"/>
  <c r="B999" i="4"/>
  <c r="A1000" i="4"/>
  <c r="B1000" i="4"/>
  <c r="A1001" i="4"/>
  <c r="B1001" i="4"/>
  <c r="A1002" i="4"/>
  <c r="B1002" i="4"/>
  <c r="A1003" i="4"/>
  <c r="B1003" i="4"/>
  <c r="A1004" i="4"/>
  <c r="B1004" i="4"/>
  <c r="A1005" i="4"/>
  <c r="B1005" i="4"/>
  <c r="A1006" i="4"/>
  <c r="B1006" i="4"/>
  <c r="A1007" i="4"/>
  <c r="B1007" i="4"/>
  <c r="A1008" i="4"/>
  <c r="B1008" i="4"/>
  <c r="A1009" i="4"/>
  <c r="B1009" i="4"/>
  <c r="A1010" i="4"/>
  <c r="B1010" i="4"/>
  <c r="A1011" i="4"/>
  <c r="B1011" i="4"/>
  <c r="A1012" i="4"/>
  <c r="B1012" i="4"/>
  <c r="A1013" i="4"/>
  <c r="B1013" i="4"/>
  <c r="A1014" i="4"/>
  <c r="B1014" i="4"/>
  <c r="A1015" i="4"/>
  <c r="B1015" i="4"/>
  <c r="A1016" i="4"/>
  <c r="B1016" i="4"/>
  <c r="A1017" i="4"/>
  <c r="B1017" i="4"/>
  <c r="A1018" i="4"/>
  <c r="B1018" i="4"/>
  <c r="A1019" i="4"/>
  <c r="B1019" i="4"/>
  <c r="A1020" i="4"/>
  <c r="B1020" i="4"/>
  <c r="A1021" i="4"/>
  <c r="B1021" i="4"/>
  <c r="A1022" i="4"/>
  <c r="B1022" i="4"/>
  <c r="A1023" i="4"/>
  <c r="B1023" i="4"/>
  <c r="A1024" i="4"/>
  <c r="B1024" i="4"/>
  <c r="A1025" i="4"/>
  <c r="B1025" i="4"/>
  <c r="A1026" i="4"/>
  <c r="B1026" i="4"/>
  <c r="A1027" i="4"/>
  <c r="B1027" i="4"/>
  <c r="A1028" i="4"/>
  <c r="B1028" i="4"/>
  <c r="A1029" i="4"/>
  <c r="B1029" i="4"/>
  <c r="A1030" i="4"/>
  <c r="B1030" i="4"/>
  <c r="A1031" i="4"/>
  <c r="B1031" i="4"/>
  <c r="A1032" i="4"/>
  <c r="B1032" i="4"/>
  <c r="A1033" i="4"/>
  <c r="B1033" i="4"/>
  <c r="A1034" i="4"/>
  <c r="B1034" i="4"/>
  <c r="A1035" i="4"/>
  <c r="B1035" i="4"/>
  <c r="A1036" i="4"/>
  <c r="B1036" i="4"/>
  <c r="A1037" i="4"/>
  <c r="B1037" i="4"/>
  <c r="A1038" i="4"/>
  <c r="B1038" i="4"/>
  <c r="A1039" i="4"/>
  <c r="B1039" i="4"/>
  <c r="A1040" i="4"/>
  <c r="B1040" i="4"/>
  <c r="A1041" i="4"/>
  <c r="B1041" i="4"/>
  <c r="A1042" i="4"/>
  <c r="B1042" i="4"/>
  <c r="A1043" i="4"/>
  <c r="B1043" i="4"/>
  <c r="A1044" i="4"/>
  <c r="B1044" i="4"/>
  <c r="A1045" i="4"/>
  <c r="B1045" i="4"/>
  <c r="A1046" i="4"/>
  <c r="B1046" i="4"/>
  <c r="A1047" i="4"/>
  <c r="B1047" i="4"/>
  <c r="A1048" i="4"/>
  <c r="B1048" i="4"/>
  <c r="A1049" i="4"/>
  <c r="B1049" i="4"/>
  <c r="A1050" i="4"/>
  <c r="B1050" i="4"/>
  <c r="A1051" i="4"/>
  <c r="B1051" i="4"/>
  <c r="A1052" i="4"/>
  <c r="B1052" i="4"/>
  <c r="A1053" i="4"/>
  <c r="B1053" i="4"/>
  <c r="A1054" i="4"/>
  <c r="B1054" i="4"/>
  <c r="A1055" i="4"/>
  <c r="B1055" i="4"/>
  <c r="A1056" i="4"/>
  <c r="B1056" i="4"/>
  <c r="A1057" i="4"/>
  <c r="B1057" i="4"/>
  <c r="A1058" i="4"/>
  <c r="B1058" i="4"/>
  <c r="A1059" i="4"/>
  <c r="B1059" i="4"/>
  <c r="A1060" i="4"/>
  <c r="B1060" i="4"/>
  <c r="A1061" i="4"/>
  <c r="B1061" i="4"/>
  <c r="A1062" i="4"/>
  <c r="B1062" i="4"/>
  <c r="A1063" i="4"/>
  <c r="B1063" i="4"/>
  <c r="A1064" i="4"/>
  <c r="B1064" i="4"/>
  <c r="A1065" i="4"/>
  <c r="B1065" i="4"/>
  <c r="A1066" i="4"/>
  <c r="B1066" i="4"/>
  <c r="A1067" i="4"/>
  <c r="B1067" i="4"/>
  <c r="A1068" i="4"/>
  <c r="B1068" i="4"/>
  <c r="A1069" i="4"/>
  <c r="B1069" i="4"/>
  <c r="A1070" i="4"/>
  <c r="B1070" i="4"/>
  <c r="A1071" i="4"/>
  <c r="B1071" i="4"/>
  <c r="A1072" i="4"/>
  <c r="B1072" i="4"/>
  <c r="A1073" i="4"/>
  <c r="B1073" i="4"/>
  <c r="A1074" i="4"/>
  <c r="B1074" i="4"/>
  <c r="A1075" i="4"/>
  <c r="B1075" i="4"/>
  <c r="A1076" i="4"/>
  <c r="B1076" i="4"/>
  <c r="A1077" i="4"/>
  <c r="B1077" i="4"/>
  <c r="A1078" i="4"/>
  <c r="B1078" i="4"/>
  <c r="A1079" i="4"/>
  <c r="B1079" i="4"/>
  <c r="A1080" i="4"/>
  <c r="B1080" i="4"/>
  <c r="A1081" i="4"/>
  <c r="B1081" i="4"/>
  <c r="A1082" i="4"/>
  <c r="B1082" i="4"/>
  <c r="A1083" i="4"/>
  <c r="B1083" i="4"/>
  <c r="A1084" i="4"/>
  <c r="B1084" i="4"/>
  <c r="A1085" i="4"/>
  <c r="B1085" i="4"/>
  <c r="A1086" i="4"/>
  <c r="B1086" i="4"/>
  <c r="A1087" i="4"/>
  <c r="B1087" i="4"/>
  <c r="A1088" i="4"/>
  <c r="B1088" i="4"/>
  <c r="A1089" i="4"/>
  <c r="B1089" i="4"/>
  <c r="A1090" i="4"/>
  <c r="B1090" i="4"/>
  <c r="A1091" i="4"/>
  <c r="B1091" i="4"/>
  <c r="A1092" i="4"/>
  <c r="B1092" i="4"/>
  <c r="A1093" i="4"/>
  <c r="B1093" i="4"/>
  <c r="A1094" i="4"/>
  <c r="B1094" i="4"/>
  <c r="A1095" i="4"/>
  <c r="B1095" i="4"/>
  <c r="A1096" i="4"/>
  <c r="B1096" i="4"/>
  <c r="A1097" i="4"/>
  <c r="B1097" i="4"/>
  <c r="A1098" i="4"/>
  <c r="B1098" i="4"/>
  <c r="A1099" i="4"/>
  <c r="B1099" i="4"/>
  <c r="A1100" i="4"/>
  <c r="B1100" i="4"/>
  <c r="A1101" i="4"/>
  <c r="B1101" i="4"/>
  <c r="A1102" i="4"/>
  <c r="B1102" i="4"/>
  <c r="A1103" i="4"/>
  <c r="B1103" i="4"/>
  <c r="A1104" i="4"/>
  <c r="B1104" i="4"/>
  <c r="A1105" i="4"/>
  <c r="B1105" i="4"/>
  <c r="A1106" i="4"/>
  <c r="B1106" i="4"/>
  <c r="A1107" i="4"/>
  <c r="B1107" i="4"/>
  <c r="A1108" i="4"/>
  <c r="B1108" i="4"/>
  <c r="A1109" i="4"/>
  <c r="B1109" i="4"/>
  <c r="A1110" i="4"/>
  <c r="B1110" i="4"/>
  <c r="A1111" i="4"/>
  <c r="B1111" i="4"/>
  <c r="A1112" i="4"/>
  <c r="B1112" i="4"/>
  <c r="A1113" i="4"/>
  <c r="B1113" i="4"/>
  <c r="A1114" i="4"/>
  <c r="B1114" i="4"/>
  <c r="A1115" i="4"/>
  <c r="B1115" i="4"/>
  <c r="A1116" i="4"/>
  <c r="B1116" i="4"/>
  <c r="A1117" i="4"/>
  <c r="B1117" i="4"/>
  <c r="A1118" i="4"/>
  <c r="B1118" i="4"/>
  <c r="A1119" i="4"/>
  <c r="B1119" i="4"/>
  <c r="A1120" i="4"/>
  <c r="B1120" i="4"/>
  <c r="A1121" i="4"/>
  <c r="B1121" i="4"/>
  <c r="A1122" i="4"/>
  <c r="B1122" i="4"/>
  <c r="A1123" i="4"/>
  <c r="B1123" i="4"/>
  <c r="A1124" i="4"/>
  <c r="B1124" i="4"/>
  <c r="A1125" i="4"/>
  <c r="B1125" i="4"/>
  <c r="A1126" i="4"/>
  <c r="B1126" i="4"/>
  <c r="A1127" i="4"/>
  <c r="B1127" i="4"/>
  <c r="A1128" i="4"/>
  <c r="B1128" i="4"/>
  <c r="A1129" i="4"/>
  <c r="B1129" i="4"/>
  <c r="A1130" i="4"/>
  <c r="B1130" i="4"/>
  <c r="A1131" i="4"/>
  <c r="B1131" i="4"/>
  <c r="A1132" i="4"/>
  <c r="B1132" i="4"/>
  <c r="A1133" i="4"/>
  <c r="B1133" i="4"/>
  <c r="A1134" i="4"/>
  <c r="B1134" i="4"/>
  <c r="A1135" i="4"/>
  <c r="B1135" i="4"/>
  <c r="A1136" i="4"/>
  <c r="B1136" i="4"/>
  <c r="A1137" i="4"/>
  <c r="B1137" i="4"/>
  <c r="A1138" i="4"/>
  <c r="B1138" i="4"/>
  <c r="A1139" i="4"/>
  <c r="B1139" i="4"/>
  <c r="A1140" i="4"/>
  <c r="B1140" i="4"/>
  <c r="A1141" i="4"/>
  <c r="B1141" i="4"/>
  <c r="A1142" i="4"/>
  <c r="B1142" i="4"/>
  <c r="A1143" i="4"/>
  <c r="B1143" i="4"/>
  <c r="A1144" i="4"/>
  <c r="B1144" i="4"/>
  <c r="A1145" i="4"/>
  <c r="B1145" i="4"/>
  <c r="A1146" i="4"/>
  <c r="B1146" i="4"/>
  <c r="A1147" i="4"/>
  <c r="B1147" i="4"/>
  <c r="A1148" i="4"/>
  <c r="B1148" i="4"/>
  <c r="A1149" i="4"/>
  <c r="B1149" i="4"/>
  <c r="A1150" i="4"/>
  <c r="B1150" i="4"/>
  <c r="A1151" i="4"/>
  <c r="B1151" i="4"/>
  <c r="A1152" i="4"/>
  <c r="B1152" i="4"/>
  <c r="A1153" i="4"/>
  <c r="B1153" i="4"/>
  <c r="A1154" i="4"/>
  <c r="B1154" i="4"/>
  <c r="A1155" i="4"/>
  <c r="B1155" i="4"/>
  <c r="A1156" i="4"/>
  <c r="B1156" i="4"/>
  <c r="A1157" i="4"/>
  <c r="B1157" i="4"/>
  <c r="A1158" i="4"/>
  <c r="B1158" i="4"/>
  <c r="A1159" i="4"/>
  <c r="B1159" i="4"/>
  <c r="A1160" i="4"/>
  <c r="B1160" i="4"/>
  <c r="A1161" i="4"/>
  <c r="B1161" i="4"/>
  <c r="A1162" i="4"/>
  <c r="B1162" i="4"/>
  <c r="A1163" i="4"/>
  <c r="B1163" i="4"/>
  <c r="A1164" i="4"/>
  <c r="B1164" i="4"/>
  <c r="A1165" i="4"/>
  <c r="B1165" i="4"/>
  <c r="A1166" i="4"/>
  <c r="B1166" i="4"/>
  <c r="A1167" i="4"/>
  <c r="B1167" i="4"/>
  <c r="A1168" i="4"/>
  <c r="B1168" i="4"/>
  <c r="A1169" i="4"/>
  <c r="B1169" i="4"/>
  <c r="A1170" i="4"/>
  <c r="B1170" i="4"/>
  <c r="A1171" i="4"/>
  <c r="B1171" i="4"/>
  <c r="A1172" i="4"/>
  <c r="B1172" i="4"/>
  <c r="A1173" i="4"/>
  <c r="B1173" i="4"/>
  <c r="A1174" i="4"/>
  <c r="B1174" i="4"/>
  <c r="A1175" i="4"/>
  <c r="B1175" i="4"/>
  <c r="A1176" i="4"/>
  <c r="B1176" i="4"/>
  <c r="A1177" i="4"/>
  <c r="B1177" i="4"/>
  <c r="A1178" i="4"/>
  <c r="B1178" i="4"/>
  <c r="A1179" i="4"/>
  <c r="B1179" i="4"/>
  <c r="A1180" i="4"/>
  <c r="B1180" i="4"/>
  <c r="A1181" i="4"/>
  <c r="B1181" i="4"/>
  <c r="A1182" i="4"/>
  <c r="B1182" i="4"/>
  <c r="A1183" i="4"/>
  <c r="B1183" i="4"/>
  <c r="A1184" i="4"/>
  <c r="B1184" i="4"/>
  <c r="A1185" i="4"/>
  <c r="B1185" i="4"/>
  <c r="A1186" i="4"/>
  <c r="B1186" i="4"/>
  <c r="A1187" i="4"/>
  <c r="B1187" i="4"/>
  <c r="A1188" i="4"/>
  <c r="B1188" i="4"/>
  <c r="A1189" i="4"/>
  <c r="B1189" i="4"/>
  <c r="A1190" i="4"/>
  <c r="B1190" i="4"/>
  <c r="A1191" i="4"/>
  <c r="B1191" i="4"/>
  <c r="A1192" i="4"/>
  <c r="B1192" i="4"/>
  <c r="A1193" i="4"/>
  <c r="B1193" i="4"/>
  <c r="A1194" i="4"/>
  <c r="B1194" i="4"/>
  <c r="A1195" i="4"/>
  <c r="B1195" i="4"/>
  <c r="A1196" i="4"/>
  <c r="B1196" i="4"/>
  <c r="A1197" i="4"/>
  <c r="B1197" i="4"/>
  <c r="A1198" i="4"/>
  <c r="B1198" i="4"/>
  <c r="A1199" i="4"/>
  <c r="B1199" i="4"/>
  <c r="A1200" i="4"/>
  <c r="B1200" i="4"/>
  <c r="A1201" i="4"/>
  <c r="B1201" i="4"/>
  <c r="A1202" i="4"/>
  <c r="B1202" i="4"/>
  <c r="A1203" i="4"/>
  <c r="B1203" i="4"/>
  <c r="A1204" i="4"/>
  <c r="B1204" i="4"/>
  <c r="A1205" i="4"/>
  <c r="B1205" i="4"/>
  <c r="A1206" i="4"/>
  <c r="B1206" i="4"/>
  <c r="A1207" i="4"/>
  <c r="B1207" i="4"/>
  <c r="A1208" i="4"/>
  <c r="B1208" i="4"/>
  <c r="A1209" i="4"/>
  <c r="B1209" i="4"/>
  <c r="A1210" i="4"/>
  <c r="B1210" i="4"/>
  <c r="A1211" i="4"/>
  <c r="B1211" i="4"/>
  <c r="A1212" i="4"/>
  <c r="B1212" i="4"/>
  <c r="A1213" i="4"/>
  <c r="B1213" i="4"/>
  <c r="A1214" i="4"/>
  <c r="B1214" i="4"/>
  <c r="A1215" i="4"/>
  <c r="B1215" i="4"/>
  <c r="A1216" i="4"/>
  <c r="B1216" i="4"/>
  <c r="A1217" i="4"/>
  <c r="B1217" i="4"/>
  <c r="A1218" i="4"/>
  <c r="B1218" i="4"/>
  <c r="A1219" i="4"/>
  <c r="B1219" i="4"/>
  <c r="A1220" i="4"/>
  <c r="B1220" i="4"/>
  <c r="A1221" i="4"/>
  <c r="B1221" i="4"/>
  <c r="A1222" i="4"/>
  <c r="B1222" i="4"/>
  <c r="A1223" i="4"/>
  <c r="B1223" i="4"/>
  <c r="A1224" i="4"/>
  <c r="B1224" i="4"/>
  <c r="A1225" i="4"/>
  <c r="B1225" i="4"/>
  <c r="A1226" i="4"/>
  <c r="B1226" i="4"/>
  <c r="A1227" i="4"/>
  <c r="B1227" i="4"/>
  <c r="A1228" i="4"/>
  <c r="B1228" i="4"/>
  <c r="A1229" i="4"/>
  <c r="B1229" i="4"/>
  <c r="A1230" i="4"/>
  <c r="B1230" i="4"/>
  <c r="A1231" i="4"/>
  <c r="B1231" i="4"/>
  <c r="A1232" i="4"/>
  <c r="B1232" i="4"/>
  <c r="A1233" i="4"/>
  <c r="B1233" i="4"/>
  <c r="A1234" i="4"/>
  <c r="B1234" i="4"/>
  <c r="A1235" i="4"/>
  <c r="B1235" i="4"/>
  <c r="A1236" i="4"/>
  <c r="B1236" i="4"/>
  <c r="A1237" i="4"/>
  <c r="B1237" i="4"/>
  <c r="A1238" i="4"/>
  <c r="B1238" i="4"/>
  <c r="A1239" i="4"/>
  <c r="B1239" i="4"/>
  <c r="A1240" i="4"/>
  <c r="B1240" i="4"/>
  <c r="A1241" i="4"/>
  <c r="B1241" i="4"/>
  <c r="A1242" i="4"/>
  <c r="B1242" i="4"/>
  <c r="A1243" i="4"/>
  <c r="B1243" i="4"/>
  <c r="A1244" i="4"/>
  <c r="B1244" i="4"/>
  <c r="A1245" i="4"/>
  <c r="B1245" i="4"/>
  <c r="A1246" i="4"/>
  <c r="B1246" i="4"/>
  <c r="A1247" i="4"/>
  <c r="B1247" i="4"/>
  <c r="A1248" i="4"/>
  <c r="B1248" i="4"/>
  <c r="A1249" i="4"/>
  <c r="B1249" i="4"/>
  <c r="A1250" i="4"/>
  <c r="B1250" i="4"/>
  <c r="A1251" i="4"/>
  <c r="B1251" i="4"/>
  <c r="A1252" i="4"/>
  <c r="B1252" i="4"/>
  <c r="A1253" i="4"/>
  <c r="B1253" i="4"/>
  <c r="A1254" i="4"/>
  <c r="B1254" i="4"/>
  <c r="A1255" i="4"/>
  <c r="B1255" i="4"/>
  <c r="A1256" i="4"/>
  <c r="B1256" i="4"/>
  <c r="A1257" i="4"/>
  <c r="B1257" i="4"/>
  <c r="A1258" i="4"/>
  <c r="B1258" i="4"/>
  <c r="A1259" i="4"/>
  <c r="B1259" i="4"/>
  <c r="A1260" i="4"/>
  <c r="B1260" i="4"/>
  <c r="A1261" i="4"/>
  <c r="B1261" i="4"/>
  <c r="A1262" i="4"/>
  <c r="B1262" i="4"/>
  <c r="A1263" i="4"/>
  <c r="B1263" i="4"/>
  <c r="A1264" i="4"/>
  <c r="B1264" i="4"/>
  <c r="A1265" i="4"/>
  <c r="B1265" i="4"/>
  <c r="A1266" i="4"/>
  <c r="B1266" i="4"/>
  <c r="A1267" i="4"/>
  <c r="B1267" i="4"/>
  <c r="A1268" i="4"/>
  <c r="B1268" i="4"/>
  <c r="A1269" i="4"/>
  <c r="B1269" i="4"/>
  <c r="A1270" i="4"/>
  <c r="B1270" i="4"/>
  <c r="A1271" i="4"/>
  <c r="B1271" i="4"/>
  <c r="A1272" i="4"/>
  <c r="B1272" i="4"/>
  <c r="A1273" i="4"/>
  <c r="B1273" i="4"/>
  <c r="A1274" i="4"/>
  <c r="B1274" i="4"/>
  <c r="A1275" i="4"/>
  <c r="B1275" i="4"/>
  <c r="A1276" i="4"/>
  <c r="B1276" i="4"/>
  <c r="A1277" i="4"/>
  <c r="B1277" i="4"/>
  <c r="A1278" i="4"/>
  <c r="B1278" i="4"/>
  <c r="A1279" i="4"/>
  <c r="B1279" i="4"/>
  <c r="A1280" i="4"/>
  <c r="B1280" i="4"/>
  <c r="A1281" i="4"/>
  <c r="B1281" i="4"/>
  <c r="A1282" i="4"/>
  <c r="B1282" i="4"/>
  <c r="A1283" i="4"/>
  <c r="B1283" i="4"/>
  <c r="A1284" i="4"/>
  <c r="B1284" i="4"/>
  <c r="A1285" i="4"/>
  <c r="B1285" i="4"/>
  <c r="A1286" i="4"/>
  <c r="B1286" i="4"/>
  <c r="A1287" i="4"/>
  <c r="B1287" i="4"/>
  <c r="A1288" i="4"/>
  <c r="B1288" i="4"/>
  <c r="A1289" i="4"/>
  <c r="B1289" i="4"/>
  <c r="A1290" i="4"/>
  <c r="B1290" i="4"/>
  <c r="A1291" i="4"/>
  <c r="B1291" i="4"/>
  <c r="A1292" i="4"/>
  <c r="B1292" i="4"/>
  <c r="A1293" i="4"/>
  <c r="B1293" i="4"/>
  <c r="A1294" i="4"/>
  <c r="B1294" i="4"/>
  <c r="A1295" i="4"/>
  <c r="B1295" i="4"/>
  <c r="A1296" i="4"/>
  <c r="B1296" i="4"/>
  <c r="A1297" i="4"/>
  <c r="B1297" i="4"/>
  <c r="A1298" i="4"/>
  <c r="B1298" i="4"/>
  <c r="A1299" i="4"/>
  <c r="B1299" i="4"/>
  <c r="A1300" i="4"/>
  <c r="B1300" i="4"/>
  <c r="A1301" i="4"/>
  <c r="B1301" i="4"/>
  <c r="A1302" i="4"/>
  <c r="B1302" i="4"/>
  <c r="A1303" i="4"/>
  <c r="B1303" i="4"/>
  <c r="A1304" i="4"/>
  <c r="B1304" i="4"/>
  <c r="A1305" i="4"/>
  <c r="B1305" i="4"/>
  <c r="A1306" i="4"/>
  <c r="B1306" i="4"/>
  <c r="A1307" i="4"/>
  <c r="B1307" i="4"/>
  <c r="A1308" i="4"/>
  <c r="B1308" i="4"/>
  <c r="A1309" i="4"/>
  <c r="B1309" i="4"/>
  <c r="A1310" i="4"/>
  <c r="B1310" i="4"/>
  <c r="A1311" i="4"/>
  <c r="B1311" i="4"/>
  <c r="A1312" i="4"/>
  <c r="B1312" i="4"/>
  <c r="A1313" i="4"/>
  <c r="B1313" i="4"/>
  <c r="A1314" i="4"/>
  <c r="B1314" i="4"/>
  <c r="A1315" i="4"/>
  <c r="B1315" i="4"/>
  <c r="A1316" i="4"/>
  <c r="B1316" i="4"/>
  <c r="A1317" i="4"/>
  <c r="B1317" i="4"/>
  <c r="A1318" i="4"/>
  <c r="B1318" i="4"/>
  <c r="A1319" i="4"/>
  <c r="B1319" i="4"/>
  <c r="A1320" i="4"/>
  <c r="B1320" i="4"/>
  <c r="A1321" i="4"/>
  <c r="B1321" i="4"/>
  <c r="A1322" i="4"/>
  <c r="B1322" i="4"/>
  <c r="A1323" i="4"/>
  <c r="B1323" i="4"/>
  <c r="A1324" i="4"/>
  <c r="B1324" i="4"/>
  <c r="A1325" i="4"/>
  <c r="B1325" i="4"/>
  <c r="A1326" i="4"/>
  <c r="B1326" i="4"/>
  <c r="A1327" i="4"/>
  <c r="B1327" i="4"/>
  <c r="A1328" i="4"/>
  <c r="B1328" i="4"/>
  <c r="A1329" i="4"/>
  <c r="B1329" i="4"/>
  <c r="A1330" i="4"/>
  <c r="B1330" i="4"/>
  <c r="A1331" i="4"/>
  <c r="B1331" i="4"/>
  <c r="A1332" i="4"/>
  <c r="B1332" i="4"/>
  <c r="A1333" i="4"/>
  <c r="B1333" i="4"/>
  <c r="A1334" i="4"/>
  <c r="B1334" i="4"/>
  <c r="A1335" i="4"/>
  <c r="B1335" i="4"/>
  <c r="A1336" i="4"/>
  <c r="B1336" i="4"/>
  <c r="A1337" i="4"/>
  <c r="B1337" i="4"/>
  <c r="A1338" i="4"/>
  <c r="B1338" i="4"/>
  <c r="A1339" i="4"/>
  <c r="B1339" i="4"/>
  <c r="A1340" i="4"/>
  <c r="B1340" i="4"/>
  <c r="A1341" i="4"/>
  <c r="B1341" i="4"/>
  <c r="A1342" i="4"/>
  <c r="B1342" i="4"/>
  <c r="A1343" i="4"/>
  <c r="B1343" i="4"/>
  <c r="A1344" i="4"/>
  <c r="B1344" i="4"/>
  <c r="A1345" i="4"/>
  <c r="B1345" i="4"/>
  <c r="A1346" i="4"/>
  <c r="B1346" i="4"/>
  <c r="A1347" i="4"/>
  <c r="B1347" i="4"/>
  <c r="A1348" i="4"/>
  <c r="B1348" i="4"/>
  <c r="A1349" i="4"/>
  <c r="B1349" i="4"/>
  <c r="A1350" i="4"/>
  <c r="B1350" i="4"/>
  <c r="A1351" i="4"/>
  <c r="B1351" i="4"/>
  <c r="A1352" i="4"/>
  <c r="B1352" i="4"/>
  <c r="A1353" i="4"/>
  <c r="B1353" i="4"/>
  <c r="A1354" i="4"/>
  <c r="B1354" i="4"/>
  <c r="A1355" i="4"/>
  <c r="B1355" i="4"/>
  <c r="A1356" i="4"/>
  <c r="B1356" i="4"/>
  <c r="A1357" i="4"/>
  <c r="B1357" i="4"/>
  <c r="A1358" i="4"/>
  <c r="B1358" i="4"/>
  <c r="A1359" i="4"/>
  <c r="B1359" i="4"/>
  <c r="A1360" i="4"/>
  <c r="B1360" i="4"/>
  <c r="A1361" i="4"/>
  <c r="B1361" i="4"/>
  <c r="A1362" i="4"/>
  <c r="B1362" i="4"/>
  <c r="A1363" i="4"/>
  <c r="B1363" i="4"/>
  <c r="A1364" i="4"/>
  <c r="B1364" i="4"/>
  <c r="A1365" i="4"/>
  <c r="B1365" i="4"/>
  <c r="A1366" i="4"/>
  <c r="B1366" i="4"/>
  <c r="A1367" i="4"/>
  <c r="B1367" i="4"/>
  <c r="A1368" i="4"/>
  <c r="B1368" i="4"/>
  <c r="A1369" i="4"/>
  <c r="B1369" i="4"/>
  <c r="A1370" i="4"/>
  <c r="B1370" i="4"/>
  <c r="A1371" i="4"/>
  <c r="B1371" i="4"/>
  <c r="A1372" i="4"/>
  <c r="B1372" i="4"/>
  <c r="A1373" i="4"/>
  <c r="B1373" i="4"/>
  <c r="A1374" i="4"/>
  <c r="B1374" i="4"/>
  <c r="A1375" i="4"/>
  <c r="B1375" i="4"/>
  <c r="A1376" i="4"/>
  <c r="B1376" i="4"/>
  <c r="A1377" i="4"/>
  <c r="B1377" i="4"/>
  <c r="A1378" i="4"/>
  <c r="B1378" i="4"/>
  <c r="A1379" i="4"/>
  <c r="B1379" i="4"/>
  <c r="A1380" i="4"/>
  <c r="B1380" i="4"/>
  <c r="A1381" i="4"/>
  <c r="B1381" i="4"/>
  <c r="A1382" i="4"/>
  <c r="B1382" i="4"/>
  <c r="A1383" i="4"/>
  <c r="B1383" i="4"/>
  <c r="A1384" i="4"/>
  <c r="B1384" i="4"/>
  <c r="A1385" i="4"/>
  <c r="B1385" i="4"/>
  <c r="A1386" i="4"/>
  <c r="B1386" i="4"/>
  <c r="A1387" i="4"/>
  <c r="B1387" i="4"/>
  <c r="A1388" i="4"/>
  <c r="B1388" i="4"/>
  <c r="A1389" i="4"/>
  <c r="B1389" i="4"/>
  <c r="A1390" i="4"/>
  <c r="B1390" i="4"/>
  <c r="A1391" i="4"/>
  <c r="B1391" i="4"/>
  <c r="A1392" i="4"/>
  <c r="B1392" i="4"/>
  <c r="A1393" i="4"/>
  <c r="B1393" i="4"/>
  <c r="A1394" i="4"/>
  <c r="B1394" i="4"/>
  <c r="A1395" i="4"/>
  <c r="B1395" i="4"/>
  <c r="A1396" i="4"/>
  <c r="B1396" i="4"/>
  <c r="A1397" i="4"/>
  <c r="B1397" i="4"/>
  <c r="A1398" i="4"/>
  <c r="B1398" i="4"/>
  <c r="A1399" i="4"/>
  <c r="B1399" i="4"/>
  <c r="A1400" i="4"/>
  <c r="B1400" i="4"/>
  <c r="A1401" i="4"/>
  <c r="B1401" i="4"/>
  <c r="A1402" i="4"/>
  <c r="B1402" i="4"/>
  <c r="A1403" i="4"/>
  <c r="B1403" i="4"/>
  <c r="A1404" i="4"/>
  <c r="B1404" i="4"/>
  <c r="A1405" i="4"/>
  <c r="B1405" i="4"/>
  <c r="A1406" i="4"/>
  <c r="B1406" i="4"/>
  <c r="A1407" i="4"/>
  <c r="B1407" i="4"/>
  <c r="A1408" i="4"/>
  <c r="B1408" i="4"/>
  <c r="A1409" i="4"/>
  <c r="B1409" i="4"/>
  <c r="A1410" i="4"/>
  <c r="B1410" i="4"/>
  <c r="A1411" i="4"/>
  <c r="B1411" i="4"/>
  <c r="A1412" i="4"/>
  <c r="B1412" i="4"/>
  <c r="A1413" i="4"/>
  <c r="B1413" i="4"/>
  <c r="A1414" i="4"/>
  <c r="B1414" i="4"/>
  <c r="A1415" i="4"/>
  <c r="B1415" i="4"/>
  <c r="A1416" i="4"/>
  <c r="B1416" i="4"/>
  <c r="A1417" i="4"/>
  <c r="B1417" i="4"/>
  <c r="A1418" i="4"/>
  <c r="B1418" i="4"/>
  <c r="A1419" i="4"/>
  <c r="B1419" i="4"/>
  <c r="A1420" i="4"/>
  <c r="B1420" i="4"/>
  <c r="A1421" i="4"/>
  <c r="B1421" i="4"/>
  <c r="A1422" i="4"/>
  <c r="B1422" i="4"/>
  <c r="A1423" i="4"/>
  <c r="B1423" i="4"/>
  <c r="A1424" i="4"/>
  <c r="B1424" i="4"/>
  <c r="A1425" i="4"/>
  <c r="B1425" i="4"/>
  <c r="A1426" i="4"/>
  <c r="B1426" i="4"/>
  <c r="A1427" i="4"/>
  <c r="B1427" i="4"/>
  <c r="A1428" i="4"/>
  <c r="B1428" i="4"/>
  <c r="A1429" i="4"/>
  <c r="B1429" i="4"/>
  <c r="A1430" i="4"/>
  <c r="B1430" i="4"/>
  <c r="A1431" i="4"/>
  <c r="B1431" i="4"/>
  <c r="A1432" i="4"/>
  <c r="B1432" i="4"/>
  <c r="A1433" i="4"/>
  <c r="B1433" i="4"/>
  <c r="A1434" i="4"/>
  <c r="B1434" i="4"/>
  <c r="A1435" i="4"/>
  <c r="B1435" i="4"/>
  <c r="A1436" i="4"/>
  <c r="B1436" i="4"/>
  <c r="A1437" i="4"/>
  <c r="B1437" i="4"/>
  <c r="A1438" i="4"/>
  <c r="B1438" i="4"/>
  <c r="A1439" i="4"/>
  <c r="B1439" i="4"/>
  <c r="A1440" i="4"/>
  <c r="B1440" i="4"/>
  <c r="A1441" i="4"/>
  <c r="B1441" i="4"/>
  <c r="A1442" i="4"/>
  <c r="B1442" i="4"/>
  <c r="A1443" i="4"/>
  <c r="B1443" i="4"/>
  <c r="A1444" i="4"/>
  <c r="B1444" i="4"/>
  <c r="A1445" i="4"/>
  <c r="B1445" i="4"/>
  <c r="A1446" i="4"/>
  <c r="B1446" i="4"/>
  <c r="A1447" i="4"/>
  <c r="B1447" i="4"/>
  <c r="A1448" i="4"/>
  <c r="B1448" i="4"/>
  <c r="A1449" i="4"/>
  <c r="B1449" i="4"/>
  <c r="A1450" i="4"/>
  <c r="B1450" i="4"/>
  <c r="A1451" i="4"/>
  <c r="B1451" i="4"/>
  <c r="A1452" i="4"/>
  <c r="B1452" i="4"/>
  <c r="A1453" i="4"/>
  <c r="B1453" i="4"/>
  <c r="A1454" i="4"/>
  <c r="B1454" i="4"/>
  <c r="A1455" i="4"/>
  <c r="B1455" i="4"/>
  <c r="A1456" i="4"/>
  <c r="B1456" i="4"/>
  <c r="A1457" i="4"/>
  <c r="B1457" i="4"/>
  <c r="A1458" i="4"/>
  <c r="B1458" i="4"/>
  <c r="A1459" i="4"/>
  <c r="B1459" i="4"/>
  <c r="A1460" i="4"/>
  <c r="B1460" i="4"/>
  <c r="A1461" i="4"/>
  <c r="B1461" i="4"/>
  <c r="A1462" i="4"/>
  <c r="B1462" i="4"/>
  <c r="A1463" i="4"/>
  <c r="B1463" i="4"/>
  <c r="A1464" i="4"/>
  <c r="B1464" i="4"/>
  <c r="A1465" i="4"/>
  <c r="B1465" i="4"/>
  <c r="A1466" i="4"/>
  <c r="B1466" i="4"/>
  <c r="A1467" i="4"/>
  <c r="B1467" i="4"/>
  <c r="A1468" i="4"/>
  <c r="B1468" i="4"/>
  <c r="A1469" i="4"/>
  <c r="B1469" i="4"/>
  <c r="A1470" i="4"/>
  <c r="B1470" i="4"/>
  <c r="A1471" i="4"/>
  <c r="B1471" i="4"/>
  <c r="A1472" i="4"/>
  <c r="B1472" i="4"/>
  <c r="A1473" i="4"/>
  <c r="B1473" i="4"/>
  <c r="A1474" i="4"/>
  <c r="B1474" i="4"/>
  <c r="A1475" i="4"/>
  <c r="B1475" i="4"/>
  <c r="A1476" i="4"/>
  <c r="B1476" i="4"/>
  <c r="A1477" i="4"/>
  <c r="B1477" i="4"/>
  <c r="A1478" i="4"/>
  <c r="B1478" i="4"/>
  <c r="A1479" i="4"/>
  <c r="B1479" i="4"/>
  <c r="A1480" i="4"/>
  <c r="B1480" i="4"/>
  <c r="A1481" i="4"/>
  <c r="B1481" i="4"/>
  <c r="A1482" i="4"/>
  <c r="B1482" i="4"/>
  <c r="A1483" i="4"/>
  <c r="B1483" i="4"/>
  <c r="A1484" i="4"/>
  <c r="B1484" i="4"/>
  <c r="A1485" i="4"/>
  <c r="B1485" i="4"/>
  <c r="A1486" i="4"/>
  <c r="B1486" i="4"/>
  <c r="A1487" i="4"/>
  <c r="B1487" i="4"/>
  <c r="A1488" i="4"/>
  <c r="B1488" i="4"/>
  <c r="A1489" i="4"/>
  <c r="B1489" i="4"/>
  <c r="A1490" i="4"/>
  <c r="B1490" i="4"/>
  <c r="A1491" i="4"/>
  <c r="B1491" i="4"/>
  <c r="A1492" i="4"/>
  <c r="B1492" i="4"/>
  <c r="A1493" i="4"/>
  <c r="B1493" i="4"/>
  <c r="A1494" i="4"/>
  <c r="B1494" i="4"/>
  <c r="A1495" i="4"/>
  <c r="B1495" i="4"/>
  <c r="A1496" i="4"/>
  <c r="B1496" i="4"/>
  <c r="A1497" i="4"/>
  <c r="B1497" i="4"/>
  <c r="A1498" i="4"/>
  <c r="B1498" i="4"/>
  <c r="A1499" i="4"/>
  <c r="B1499" i="4"/>
  <c r="A1500" i="4"/>
  <c r="B1500" i="4"/>
  <c r="A1501" i="4"/>
  <c r="B1501" i="4"/>
  <c r="A1502" i="4"/>
  <c r="B1502" i="4"/>
  <c r="A1503" i="4"/>
  <c r="B1503" i="4"/>
  <c r="A1504" i="4"/>
  <c r="B1504" i="4"/>
  <c r="A1505" i="4"/>
  <c r="B1505" i="4"/>
  <c r="A1506" i="4"/>
  <c r="B1506" i="4"/>
  <c r="A1507" i="4"/>
  <c r="B1507" i="4"/>
  <c r="A1508" i="4"/>
  <c r="B1508" i="4"/>
  <c r="A1509" i="4"/>
  <c r="B1509" i="4"/>
  <c r="A1510" i="4"/>
  <c r="B1510" i="4"/>
  <c r="A1511" i="4"/>
  <c r="B1511" i="4"/>
  <c r="A1512" i="4"/>
  <c r="B1512" i="4"/>
  <c r="A1513" i="4"/>
  <c r="B1513" i="4"/>
  <c r="A1514" i="4"/>
  <c r="B1514" i="4"/>
  <c r="A1515" i="4"/>
  <c r="B1515" i="4"/>
  <c r="A1516" i="4"/>
  <c r="B1516" i="4"/>
  <c r="A1517" i="4"/>
  <c r="B1517" i="4"/>
  <c r="A1518" i="4"/>
  <c r="B1518" i="4"/>
  <c r="A1519" i="4"/>
  <c r="B1519" i="4"/>
  <c r="A1520" i="4"/>
  <c r="B1520" i="4"/>
  <c r="A1521" i="4"/>
  <c r="B1521" i="4"/>
  <c r="A1522" i="4"/>
  <c r="B1522" i="4"/>
  <c r="A1523" i="4"/>
  <c r="B1523" i="4"/>
  <c r="A1524" i="4"/>
  <c r="B1524" i="4"/>
  <c r="A1525" i="4"/>
  <c r="B1525" i="4"/>
  <c r="A1526" i="4"/>
  <c r="B1526" i="4"/>
  <c r="A1527" i="4"/>
  <c r="B1527" i="4"/>
  <c r="A1528" i="4"/>
  <c r="B1528" i="4"/>
  <c r="A1529" i="4"/>
  <c r="B1529" i="4"/>
  <c r="A1530" i="4"/>
  <c r="B1530" i="4"/>
  <c r="A1531" i="4"/>
  <c r="B1531" i="4"/>
  <c r="A1532" i="4"/>
  <c r="B1532" i="4"/>
  <c r="A1533" i="4"/>
  <c r="B1533" i="4"/>
  <c r="A1534" i="4"/>
  <c r="B1534" i="4"/>
  <c r="A1535" i="4"/>
  <c r="B1535" i="4"/>
  <c r="A1536" i="4"/>
  <c r="B1536" i="4"/>
  <c r="A1537" i="4"/>
  <c r="B1537" i="4"/>
  <c r="A1538" i="4"/>
  <c r="B1538" i="4"/>
  <c r="A1539" i="4"/>
  <c r="B1539" i="4"/>
  <c r="A1540" i="4"/>
  <c r="B1540" i="4"/>
  <c r="A1541" i="4"/>
  <c r="B1541" i="4"/>
  <c r="A1542" i="4"/>
  <c r="B1542" i="4"/>
  <c r="A1543" i="4"/>
  <c r="B1543" i="4"/>
  <c r="A1544" i="4"/>
  <c r="B1544" i="4"/>
  <c r="A1545" i="4"/>
  <c r="B1545" i="4"/>
  <c r="A1546" i="4"/>
  <c r="B1546" i="4"/>
  <c r="A1547" i="4"/>
  <c r="B1547" i="4"/>
  <c r="A1548" i="4"/>
  <c r="B1548" i="4"/>
  <c r="A1549" i="4"/>
  <c r="B1549" i="4"/>
  <c r="A1550" i="4"/>
  <c r="B1550" i="4"/>
  <c r="A1551" i="4"/>
  <c r="B1551" i="4"/>
  <c r="A1552" i="4"/>
  <c r="B1552" i="4"/>
  <c r="A1553" i="4"/>
  <c r="B1553" i="4"/>
  <c r="A1554" i="4"/>
  <c r="B1554" i="4"/>
  <c r="A1555" i="4"/>
  <c r="B1555" i="4"/>
  <c r="A1556" i="4"/>
  <c r="B1556" i="4"/>
  <c r="A1557" i="4"/>
  <c r="B1557" i="4"/>
  <c r="A1558" i="4"/>
  <c r="B1558" i="4"/>
  <c r="A1559" i="4"/>
  <c r="B1559" i="4"/>
  <c r="A1560" i="4"/>
  <c r="B1560" i="4"/>
  <c r="A1561" i="4"/>
  <c r="B1561" i="4"/>
  <c r="A1562" i="4"/>
  <c r="B1562" i="4"/>
  <c r="A1563" i="4"/>
  <c r="B1563" i="4"/>
  <c r="A1564" i="4"/>
  <c r="B1564" i="4"/>
  <c r="A1565" i="4"/>
  <c r="B1565" i="4"/>
  <c r="A1566" i="4"/>
  <c r="B1566" i="4"/>
  <c r="A1567" i="4"/>
  <c r="B1567" i="4"/>
  <c r="A1568" i="4"/>
  <c r="B1568" i="4"/>
  <c r="A1569" i="4"/>
  <c r="B1569" i="4"/>
  <c r="A1570" i="4"/>
  <c r="B1570" i="4"/>
  <c r="A1571" i="4"/>
  <c r="B1571" i="4"/>
  <c r="A1572" i="4"/>
  <c r="B1572" i="4"/>
  <c r="A1573" i="4"/>
  <c r="B1573" i="4"/>
  <c r="A1574" i="4"/>
  <c r="B1574" i="4"/>
  <c r="A1575" i="4"/>
  <c r="B1575" i="4"/>
  <c r="A1576" i="4"/>
  <c r="B1576" i="4"/>
  <c r="A1577" i="4"/>
  <c r="B1577" i="4"/>
  <c r="A1578" i="4"/>
  <c r="B1578" i="4"/>
  <c r="A1579" i="4"/>
  <c r="B1579" i="4"/>
  <c r="A1580" i="4"/>
  <c r="B1580" i="4"/>
  <c r="A1581" i="4"/>
  <c r="B1581" i="4"/>
  <c r="A1582" i="4"/>
  <c r="B1582" i="4"/>
  <c r="A1583" i="4"/>
  <c r="B1583" i="4"/>
  <c r="A1584" i="4"/>
  <c r="B1584" i="4"/>
  <c r="A1585" i="4"/>
  <c r="B1585" i="4"/>
  <c r="A1586" i="4"/>
  <c r="B1586" i="4"/>
  <c r="A1587" i="4"/>
  <c r="B1587" i="4"/>
  <c r="A1588" i="4"/>
  <c r="B1588" i="4"/>
  <c r="A1589" i="4"/>
  <c r="B1589" i="4"/>
  <c r="A1590" i="4"/>
  <c r="B1590" i="4"/>
  <c r="A1591" i="4"/>
  <c r="B1591" i="4"/>
  <c r="A1592" i="4"/>
  <c r="B1592" i="4"/>
  <c r="A1593" i="4"/>
  <c r="B1593" i="4"/>
  <c r="A1594" i="4"/>
  <c r="B1594" i="4"/>
  <c r="A1595" i="4"/>
  <c r="B1595" i="4"/>
  <c r="A1596" i="4"/>
  <c r="B1596" i="4"/>
  <c r="A1597" i="4"/>
  <c r="B1597" i="4"/>
  <c r="A1598" i="4"/>
  <c r="B1598" i="4"/>
  <c r="A1599" i="4"/>
  <c r="B1599" i="4"/>
  <c r="A1600" i="4"/>
  <c r="B1600" i="4"/>
  <c r="A1601" i="4"/>
  <c r="B1601" i="4"/>
  <c r="A1602" i="4"/>
  <c r="B1602" i="4"/>
  <c r="A1603" i="4"/>
  <c r="B1603" i="4"/>
  <c r="A1604" i="4"/>
  <c r="B1604" i="4"/>
  <c r="A1605" i="4"/>
  <c r="B1605" i="4"/>
  <c r="A1606" i="4"/>
  <c r="B1606" i="4"/>
  <c r="A1607" i="4"/>
  <c r="B1607" i="4"/>
  <c r="A1608" i="4"/>
  <c r="B1608" i="4"/>
  <c r="A1609" i="4"/>
  <c r="B1609" i="4"/>
  <c r="A1610" i="4"/>
  <c r="B1610" i="4"/>
  <c r="A1611" i="4"/>
  <c r="B1611" i="4"/>
  <c r="A1612" i="4"/>
  <c r="B1612" i="4"/>
  <c r="A1613" i="4"/>
  <c r="B1613" i="4"/>
  <c r="A1614" i="4"/>
  <c r="B1614" i="4"/>
  <c r="A1615" i="4"/>
  <c r="B1615" i="4"/>
  <c r="A1616" i="4"/>
  <c r="B1616" i="4"/>
  <c r="A1617" i="4"/>
  <c r="B1617" i="4"/>
  <c r="A1618" i="4"/>
  <c r="B1618" i="4"/>
  <c r="A1619" i="4"/>
  <c r="B1619" i="4"/>
  <c r="A1620" i="4"/>
  <c r="B1620" i="4"/>
  <c r="A1621" i="4"/>
  <c r="B1621" i="4"/>
  <c r="A1622" i="4"/>
  <c r="B1622" i="4"/>
  <c r="A1623" i="4"/>
  <c r="B1623" i="4"/>
  <c r="A1624" i="4"/>
  <c r="B1624" i="4"/>
  <c r="A1625" i="4"/>
  <c r="B1625" i="4"/>
  <c r="A1626" i="4"/>
  <c r="B1626" i="4"/>
  <c r="A1627" i="4"/>
  <c r="B1627" i="4"/>
  <c r="A1628" i="4"/>
  <c r="B1628" i="4"/>
  <c r="A1629" i="4"/>
  <c r="B1629" i="4"/>
  <c r="A1630" i="4"/>
  <c r="B1630" i="4"/>
  <c r="A1631" i="4"/>
  <c r="B1631" i="4"/>
  <c r="A1632" i="4"/>
  <c r="B1632" i="4"/>
  <c r="A1633" i="4"/>
  <c r="B1633" i="4"/>
  <c r="A1634" i="4"/>
  <c r="B1634" i="4"/>
  <c r="A1635" i="4"/>
  <c r="B1635" i="4"/>
  <c r="A1636" i="4"/>
  <c r="B1636" i="4"/>
  <c r="A1637" i="4"/>
  <c r="B1637" i="4"/>
  <c r="A1638" i="4"/>
  <c r="B1638" i="4"/>
  <c r="A1639" i="4"/>
  <c r="B1639" i="4"/>
  <c r="A1640" i="4"/>
  <c r="B1640" i="4"/>
  <c r="A1641" i="4"/>
  <c r="B1641" i="4"/>
  <c r="A1642" i="4"/>
  <c r="B1642" i="4"/>
  <c r="A1643" i="4"/>
  <c r="B1643" i="4"/>
  <c r="A1644" i="4"/>
  <c r="B1644" i="4"/>
  <c r="A1645" i="4"/>
  <c r="B1645" i="4"/>
  <c r="A1646" i="4"/>
  <c r="B1646" i="4"/>
  <c r="A1647" i="4"/>
  <c r="B1647" i="4"/>
  <c r="A1648" i="4"/>
  <c r="B1648" i="4"/>
  <c r="A1649" i="4"/>
  <c r="B1649" i="4"/>
  <c r="A1650" i="4"/>
  <c r="B1650" i="4"/>
  <c r="A1651" i="4"/>
  <c r="B1651" i="4"/>
  <c r="A1652" i="4"/>
  <c r="B1652" i="4"/>
  <c r="A1653" i="4"/>
  <c r="B1653" i="4"/>
  <c r="A1654" i="4"/>
  <c r="B1654" i="4"/>
  <c r="A1655" i="4"/>
  <c r="B1655" i="4"/>
  <c r="A1656" i="4"/>
  <c r="B1656" i="4"/>
  <c r="A1657" i="4"/>
  <c r="B1657" i="4"/>
  <c r="A1658" i="4"/>
  <c r="B1658" i="4"/>
  <c r="A1659" i="4"/>
  <c r="B1659" i="4"/>
  <c r="A1660" i="4"/>
  <c r="B1660" i="4"/>
  <c r="A1661" i="4"/>
  <c r="B1661" i="4"/>
  <c r="A1662" i="4"/>
  <c r="B1662" i="4"/>
  <c r="A1663" i="4"/>
  <c r="B1663" i="4"/>
  <c r="A1664" i="4"/>
  <c r="B1664" i="4"/>
  <c r="A1665" i="4"/>
  <c r="B1665" i="4"/>
  <c r="A1666" i="4"/>
  <c r="B1666" i="4"/>
  <c r="A1667" i="4"/>
  <c r="B1667" i="4"/>
  <c r="A1668" i="4"/>
  <c r="B1668" i="4"/>
  <c r="A1669" i="4"/>
  <c r="B1669" i="4"/>
  <c r="A1670" i="4"/>
  <c r="B1670" i="4"/>
  <c r="A1671" i="4"/>
  <c r="B1671" i="4"/>
  <c r="A1672" i="4"/>
  <c r="B1672" i="4"/>
  <c r="A1673" i="4"/>
  <c r="B1673" i="4"/>
  <c r="A1674" i="4"/>
  <c r="B1674" i="4"/>
  <c r="A1675" i="4"/>
  <c r="B1675" i="4"/>
  <c r="A1676" i="4"/>
  <c r="B1676" i="4"/>
  <c r="A1677" i="4"/>
  <c r="B1677" i="4"/>
  <c r="A1678" i="4"/>
  <c r="B1678" i="4"/>
  <c r="A1679" i="4"/>
  <c r="B1679" i="4"/>
  <c r="A1680" i="4"/>
  <c r="B1680" i="4"/>
  <c r="A1681" i="4"/>
  <c r="B1681" i="4"/>
  <c r="A1682" i="4"/>
  <c r="B1682" i="4"/>
  <c r="A1683" i="4"/>
  <c r="B1683" i="4"/>
  <c r="A1684" i="4"/>
  <c r="B1684" i="4"/>
  <c r="A1685" i="4"/>
  <c r="B1685" i="4"/>
  <c r="A1686" i="4"/>
  <c r="B1686" i="4"/>
  <c r="A1687" i="4"/>
  <c r="B1687" i="4"/>
  <c r="A1688" i="4"/>
  <c r="B1688" i="4"/>
  <c r="A1689" i="4"/>
  <c r="B1689" i="4"/>
  <c r="A1690" i="4"/>
  <c r="B1690" i="4"/>
  <c r="A1691" i="4"/>
  <c r="B1691" i="4"/>
  <c r="A1692" i="4"/>
  <c r="B1692" i="4"/>
  <c r="A1693" i="4"/>
  <c r="B1693" i="4"/>
  <c r="A1694" i="4"/>
  <c r="B1694" i="4"/>
  <c r="A1695" i="4"/>
  <c r="B1695" i="4"/>
  <c r="A1696" i="4"/>
  <c r="B1696" i="4"/>
  <c r="A1697" i="4"/>
  <c r="B1697" i="4"/>
  <c r="A1698" i="4"/>
  <c r="B1698" i="4"/>
  <c r="A1699" i="4"/>
  <c r="B1699" i="4"/>
  <c r="A1700" i="4"/>
  <c r="B1700" i="4"/>
  <c r="A1701" i="4"/>
  <c r="B1701" i="4"/>
  <c r="A1702" i="4"/>
  <c r="B1702" i="4"/>
  <c r="A1703" i="4"/>
  <c r="B1703" i="4"/>
  <c r="A1704" i="4"/>
  <c r="B1704" i="4"/>
  <c r="A1705" i="4"/>
  <c r="B1705" i="4"/>
  <c r="A1706" i="4"/>
  <c r="B1706" i="4"/>
  <c r="A1707" i="4"/>
  <c r="B1707" i="4"/>
  <c r="A1708" i="4"/>
  <c r="B1708" i="4"/>
  <c r="A1709" i="4"/>
  <c r="B1709" i="4"/>
  <c r="A1710" i="4"/>
  <c r="B1710" i="4"/>
  <c r="A1711" i="4"/>
  <c r="B1711" i="4"/>
  <c r="A1712" i="4"/>
  <c r="B1712" i="4"/>
  <c r="A1713" i="4"/>
  <c r="B1713" i="4"/>
  <c r="A1714" i="4"/>
  <c r="B1714" i="4"/>
  <c r="A1715" i="4"/>
  <c r="B1715" i="4"/>
  <c r="A1716" i="4"/>
  <c r="B1716" i="4"/>
  <c r="A1717" i="4"/>
  <c r="B1717" i="4"/>
  <c r="A1718" i="4"/>
  <c r="B1718" i="4"/>
  <c r="A1719" i="4"/>
  <c r="B1719" i="4"/>
  <c r="A1720" i="4"/>
  <c r="B1720" i="4"/>
  <c r="A1721" i="4"/>
  <c r="B1721" i="4"/>
  <c r="A1722" i="4"/>
  <c r="B1722" i="4"/>
  <c r="A1723" i="4"/>
  <c r="B1723" i="4"/>
  <c r="A1724" i="4"/>
  <c r="B1724" i="4"/>
  <c r="A1725" i="4"/>
  <c r="B1725" i="4"/>
  <c r="A1726" i="4"/>
  <c r="B1726" i="4"/>
  <c r="A1727" i="4"/>
  <c r="B1727" i="4"/>
  <c r="A1728" i="4"/>
  <c r="B1728" i="4"/>
  <c r="A1729" i="4"/>
  <c r="B1729" i="4"/>
  <c r="A1730" i="4"/>
  <c r="B1730" i="4"/>
  <c r="A1731" i="4"/>
  <c r="B1731" i="4"/>
  <c r="A1732" i="4"/>
  <c r="B1732" i="4"/>
  <c r="A1733" i="4"/>
  <c r="B1733" i="4"/>
  <c r="A1734" i="4"/>
  <c r="B1734" i="4"/>
  <c r="A1735" i="4"/>
  <c r="B1735" i="4"/>
  <c r="A1736" i="4"/>
  <c r="B1736" i="4"/>
  <c r="A1737" i="4"/>
  <c r="B1737" i="4"/>
  <c r="A1738" i="4"/>
  <c r="B1738" i="4"/>
  <c r="A1739" i="4"/>
  <c r="B1739" i="4"/>
  <c r="A1740" i="4"/>
  <c r="B1740" i="4"/>
  <c r="A1741" i="4"/>
  <c r="B1741" i="4"/>
  <c r="A1742" i="4"/>
  <c r="B1742" i="4"/>
  <c r="A1743" i="4"/>
  <c r="B1743" i="4"/>
  <c r="A1744" i="4"/>
  <c r="B1744" i="4"/>
  <c r="A1745" i="4"/>
  <c r="B1745" i="4"/>
  <c r="A1746" i="4"/>
  <c r="B1746" i="4"/>
  <c r="A1747" i="4"/>
  <c r="B1747" i="4"/>
  <c r="A1748" i="4"/>
  <c r="B1748" i="4"/>
  <c r="A1749" i="4"/>
  <c r="B1749" i="4"/>
  <c r="A1750" i="4"/>
  <c r="B1750" i="4"/>
  <c r="A1751" i="4"/>
  <c r="B1751" i="4"/>
  <c r="A1752" i="4"/>
  <c r="B1752" i="4"/>
  <c r="A1753" i="4"/>
  <c r="B1753" i="4"/>
  <c r="A1754" i="4"/>
  <c r="B1754" i="4"/>
  <c r="A1755" i="4"/>
  <c r="B1755" i="4"/>
  <c r="A1756" i="4"/>
  <c r="B1756" i="4"/>
  <c r="A1757" i="4"/>
  <c r="B1757" i="4"/>
  <c r="A1758" i="4"/>
  <c r="B1758" i="4"/>
  <c r="A1759" i="4"/>
  <c r="B1759" i="4"/>
  <c r="A1760" i="4"/>
  <c r="B1760" i="4"/>
  <c r="A1761" i="4"/>
  <c r="B1761" i="4"/>
  <c r="A1762" i="4"/>
  <c r="B1762" i="4"/>
  <c r="A1763" i="4"/>
  <c r="B1763" i="4"/>
  <c r="A1764" i="4"/>
  <c r="B1764" i="4"/>
  <c r="A1765" i="4"/>
  <c r="B1765" i="4"/>
  <c r="A1766" i="4"/>
  <c r="B1766" i="4"/>
  <c r="A1767" i="4"/>
  <c r="B1767" i="4"/>
  <c r="A1768" i="4"/>
  <c r="B1768" i="4"/>
  <c r="A1769" i="4"/>
  <c r="B1769" i="4"/>
  <c r="A1770" i="4"/>
  <c r="B1770" i="4"/>
  <c r="A1771" i="4"/>
  <c r="B1771" i="4"/>
  <c r="A1772" i="4"/>
  <c r="B1772" i="4"/>
  <c r="A1773" i="4"/>
  <c r="B1773" i="4"/>
  <c r="A1774" i="4"/>
  <c r="B1774" i="4"/>
  <c r="A1775" i="4"/>
  <c r="B1775" i="4"/>
  <c r="A1776" i="4"/>
  <c r="B1776" i="4"/>
  <c r="A1777" i="4"/>
  <c r="B1777" i="4"/>
  <c r="A1778" i="4"/>
  <c r="B1778" i="4"/>
  <c r="A1779" i="4"/>
  <c r="B1779" i="4"/>
  <c r="A1780" i="4"/>
  <c r="B1780" i="4"/>
  <c r="A1781" i="4"/>
  <c r="B1781" i="4"/>
  <c r="A1782" i="4"/>
  <c r="B1782" i="4"/>
  <c r="A1783" i="4"/>
  <c r="B1783" i="4"/>
  <c r="A1784" i="4"/>
  <c r="B1784" i="4"/>
  <c r="A1785" i="4"/>
  <c r="B1785" i="4"/>
  <c r="A1786" i="4"/>
  <c r="B1786" i="4"/>
  <c r="A1787" i="4"/>
  <c r="B1787" i="4"/>
  <c r="A1788" i="4"/>
  <c r="B1788" i="4"/>
  <c r="A1789" i="4"/>
  <c r="B1789" i="4"/>
  <c r="A1790" i="4"/>
  <c r="B1790" i="4"/>
  <c r="A1791" i="4"/>
  <c r="B1791" i="4"/>
  <c r="A1792" i="4"/>
  <c r="B1792" i="4"/>
  <c r="A1793" i="4"/>
  <c r="B1793" i="4"/>
  <c r="A1794" i="4"/>
  <c r="B1794" i="4"/>
  <c r="A1795" i="4"/>
  <c r="B1795" i="4"/>
  <c r="A1796" i="4"/>
  <c r="B1796" i="4"/>
  <c r="A1797" i="4"/>
  <c r="B1797" i="4"/>
  <c r="A1798" i="4"/>
  <c r="B1798" i="4"/>
  <c r="A1799" i="4"/>
  <c r="B1799" i="4"/>
  <c r="A1800" i="4"/>
  <c r="B1800" i="4"/>
  <c r="A1801" i="4"/>
  <c r="B1801" i="4"/>
  <c r="A1802" i="4"/>
  <c r="B1802" i="4"/>
  <c r="A1803" i="4"/>
  <c r="B1803" i="4"/>
  <c r="A1804" i="4"/>
  <c r="B1804" i="4"/>
  <c r="A1805" i="4"/>
  <c r="B1805" i="4"/>
  <c r="A1806" i="4"/>
  <c r="B1806" i="4"/>
  <c r="A1807" i="4"/>
  <c r="B1807" i="4"/>
  <c r="A1808" i="4"/>
  <c r="B1808" i="4"/>
  <c r="A1809" i="4"/>
  <c r="B1809" i="4"/>
  <c r="A1810" i="4"/>
  <c r="B1810" i="4"/>
  <c r="A1811" i="4"/>
  <c r="B1811" i="4"/>
  <c r="A1812" i="4"/>
  <c r="B1812" i="4"/>
  <c r="A1813" i="4"/>
  <c r="B1813" i="4"/>
  <c r="A1814" i="4"/>
  <c r="B1814" i="4"/>
  <c r="A1815" i="4"/>
  <c r="B1815" i="4"/>
  <c r="A1816" i="4"/>
  <c r="B1816" i="4"/>
  <c r="A1817" i="4"/>
  <c r="B1817" i="4"/>
  <c r="A1818" i="4"/>
  <c r="B1818" i="4"/>
  <c r="A1819" i="4"/>
  <c r="B1819" i="4"/>
  <c r="A1820" i="4"/>
  <c r="B1820" i="4"/>
  <c r="A1821" i="4"/>
  <c r="B1821" i="4"/>
  <c r="A1822" i="4"/>
  <c r="B1822" i="4"/>
  <c r="A1823" i="4"/>
  <c r="B1823" i="4"/>
  <c r="A1824" i="4"/>
  <c r="B1824" i="4"/>
  <c r="A1825" i="4"/>
  <c r="B1825" i="4"/>
  <c r="A1826" i="4"/>
  <c r="B1826" i="4"/>
  <c r="A1827" i="4"/>
  <c r="B1827" i="4"/>
  <c r="A1828" i="4"/>
  <c r="B1828" i="4"/>
  <c r="A1829" i="4"/>
  <c r="B1829" i="4"/>
  <c r="A1830" i="4"/>
  <c r="B1830" i="4"/>
  <c r="A1831" i="4"/>
  <c r="B1831" i="4"/>
  <c r="A1832" i="4"/>
  <c r="B1832" i="4"/>
  <c r="A1833" i="4"/>
  <c r="B1833" i="4"/>
  <c r="A1834" i="4"/>
  <c r="B1834" i="4"/>
  <c r="A1835" i="4"/>
  <c r="B1835" i="4"/>
  <c r="A1836" i="4"/>
  <c r="B1836" i="4"/>
  <c r="A1837" i="4"/>
  <c r="B1837" i="4"/>
  <c r="A1838" i="4"/>
  <c r="B1838" i="4"/>
  <c r="A1839" i="4"/>
  <c r="B1839" i="4"/>
  <c r="A1840" i="4"/>
  <c r="B1840" i="4"/>
  <c r="A1841" i="4"/>
  <c r="B1841" i="4"/>
  <c r="A1842" i="4"/>
  <c r="B1842" i="4"/>
  <c r="A1843" i="4"/>
  <c r="B1843" i="4"/>
  <c r="A1844" i="4"/>
  <c r="B1844" i="4"/>
  <c r="A1845" i="4"/>
  <c r="B1845" i="4"/>
  <c r="A1846" i="4"/>
  <c r="B1846" i="4"/>
  <c r="A1847" i="4"/>
  <c r="B1847" i="4"/>
  <c r="A1848" i="4"/>
  <c r="B1848" i="4"/>
  <c r="A1849" i="4"/>
  <c r="B1849" i="4"/>
  <c r="A1850" i="4"/>
  <c r="B1850" i="4"/>
  <c r="A1851" i="4"/>
  <c r="B1851" i="4"/>
  <c r="A1852" i="4"/>
  <c r="B1852" i="4"/>
  <c r="A1853" i="4"/>
  <c r="B1853" i="4"/>
  <c r="A1854" i="4"/>
  <c r="B1854" i="4"/>
  <c r="A1855" i="4"/>
  <c r="B1855" i="4"/>
  <c r="A1856" i="4"/>
  <c r="B1856" i="4"/>
  <c r="A1857" i="4"/>
  <c r="B1857" i="4"/>
  <c r="A1858" i="4"/>
  <c r="B1858" i="4"/>
  <c r="A1859" i="4"/>
  <c r="B1859" i="4"/>
  <c r="A1860" i="4"/>
  <c r="B1860" i="4"/>
  <c r="A1861" i="4"/>
  <c r="B1861" i="4"/>
  <c r="A1862" i="4"/>
  <c r="B1862" i="4"/>
  <c r="A1863" i="4"/>
  <c r="B1863" i="4"/>
  <c r="A1864" i="4"/>
  <c r="B1864" i="4"/>
  <c r="A1865" i="4"/>
  <c r="B1865" i="4"/>
  <c r="A1866" i="4"/>
  <c r="B1866" i="4"/>
  <c r="A1867" i="4"/>
  <c r="B1867" i="4"/>
  <c r="A1868" i="4"/>
  <c r="B1868" i="4"/>
  <c r="A1869" i="4"/>
  <c r="B1869" i="4"/>
  <c r="A1870" i="4"/>
  <c r="B1870" i="4"/>
  <c r="A1871" i="4"/>
  <c r="B1871" i="4"/>
  <c r="A1872" i="4"/>
  <c r="B1872" i="4"/>
  <c r="A1873" i="4"/>
  <c r="B1873" i="4"/>
  <c r="A1874" i="4"/>
  <c r="B1874" i="4"/>
  <c r="A1875" i="4"/>
  <c r="B1875" i="4"/>
  <c r="A1876" i="4"/>
  <c r="B1876" i="4"/>
  <c r="A1877" i="4"/>
  <c r="B1877" i="4"/>
  <c r="A1878" i="4"/>
  <c r="B1878" i="4"/>
  <c r="A1879" i="4"/>
  <c r="B1879" i="4"/>
  <c r="A1880" i="4"/>
  <c r="B1880" i="4"/>
  <c r="A1881" i="4"/>
  <c r="B1881" i="4"/>
  <c r="A1882" i="4"/>
  <c r="B1882" i="4"/>
  <c r="A1883" i="4"/>
  <c r="B1883" i="4"/>
  <c r="A1884" i="4"/>
  <c r="B1884" i="4"/>
  <c r="A1885" i="4"/>
  <c r="B1885" i="4"/>
  <c r="A1886" i="4"/>
  <c r="B1886" i="4"/>
  <c r="A1887" i="4"/>
  <c r="B1887" i="4"/>
  <c r="A1888" i="4"/>
  <c r="B1888" i="4"/>
  <c r="A1889" i="4"/>
  <c r="B1889" i="4"/>
  <c r="A1890" i="4"/>
  <c r="B1890" i="4"/>
  <c r="A1891" i="4"/>
  <c r="B1891" i="4"/>
  <c r="A1892" i="4"/>
  <c r="B1892" i="4"/>
  <c r="A1893" i="4"/>
  <c r="B1893" i="4"/>
  <c r="A1894" i="4"/>
  <c r="B1894" i="4"/>
  <c r="A1895" i="4"/>
  <c r="B1895" i="4"/>
  <c r="A1896" i="4"/>
  <c r="B1896" i="4"/>
  <c r="A1897" i="4"/>
  <c r="B1897" i="4"/>
  <c r="A1898" i="4"/>
  <c r="B1898" i="4"/>
  <c r="A1899" i="4"/>
  <c r="B1899" i="4"/>
  <c r="A1900" i="4"/>
  <c r="B1900" i="4"/>
  <c r="A1901" i="4"/>
  <c r="B1901" i="4"/>
  <c r="A1902" i="4"/>
  <c r="B1902" i="4"/>
  <c r="A1903" i="4"/>
  <c r="B1903" i="4"/>
  <c r="A1904" i="4"/>
  <c r="B1904" i="4"/>
  <c r="A1905" i="4"/>
  <c r="B1905" i="4"/>
  <c r="A1906" i="4"/>
  <c r="B1906" i="4"/>
  <c r="A1907" i="4"/>
  <c r="B1907" i="4"/>
  <c r="A1908" i="4"/>
  <c r="B1908" i="4"/>
  <c r="A1909" i="4"/>
  <c r="B1909" i="4"/>
  <c r="A1910" i="4"/>
  <c r="B1910" i="4"/>
  <c r="A1911" i="4"/>
  <c r="B1911" i="4"/>
  <c r="A1912" i="4"/>
  <c r="B1912" i="4"/>
  <c r="A1913" i="4"/>
  <c r="B1913" i="4"/>
  <c r="A1914" i="4"/>
  <c r="B1914" i="4"/>
  <c r="A1915" i="4"/>
  <c r="B1915" i="4"/>
  <c r="A1916" i="4"/>
  <c r="B1916" i="4"/>
  <c r="A1917" i="4"/>
  <c r="B1917" i="4"/>
  <c r="A1918" i="4"/>
  <c r="B1918" i="4"/>
  <c r="A1919" i="4"/>
  <c r="B1919" i="4"/>
  <c r="A1920" i="4"/>
  <c r="B1920" i="4"/>
  <c r="A1921" i="4"/>
  <c r="B1921" i="4"/>
  <c r="A1922" i="4"/>
  <c r="B1922" i="4"/>
  <c r="A1923" i="4"/>
  <c r="B1923" i="4"/>
  <c r="A1924" i="4"/>
  <c r="B1924" i="4"/>
  <c r="A1925" i="4"/>
  <c r="B1925" i="4"/>
  <c r="A1926" i="4"/>
  <c r="B1926" i="4"/>
  <c r="A1927" i="4"/>
  <c r="B1927" i="4"/>
  <c r="A1928" i="4"/>
  <c r="B1928" i="4"/>
  <c r="A1929" i="4"/>
  <c r="B1929" i="4"/>
  <c r="A1930" i="4"/>
  <c r="B1930" i="4"/>
  <c r="A1931" i="4"/>
  <c r="B1931" i="4"/>
  <c r="A1932" i="4"/>
  <c r="B1932" i="4"/>
  <c r="A1933" i="4"/>
  <c r="B1933" i="4"/>
  <c r="A1934" i="4"/>
  <c r="B1934" i="4"/>
  <c r="A1935" i="4"/>
  <c r="B1935" i="4"/>
  <c r="A1936" i="4"/>
  <c r="B1936" i="4"/>
  <c r="A1937" i="4"/>
  <c r="B1937" i="4"/>
  <c r="A1938" i="4"/>
  <c r="B1938" i="4"/>
  <c r="A1939" i="4"/>
  <c r="B1939" i="4"/>
  <c r="A1940" i="4"/>
  <c r="B1940" i="4"/>
  <c r="A1941" i="4"/>
  <c r="B1941" i="4"/>
  <c r="A1942" i="4"/>
  <c r="B1942" i="4"/>
  <c r="A1943" i="4"/>
  <c r="B1943" i="4"/>
  <c r="A1944" i="4"/>
  <c r="B1944" i="4"/>
  <c r="A1945" i="4"/>
  <c r="B1945" i="4"/>
  <c r="A1946" i="4"/>
  <c r="B1946" i="4"/>
  <c r="A1947" i="4"/>
  <c r="B1947" i="4"/>
  <c r="A1948" i="4"/>
  <c r="B1948" i="4"/>
  <c r="A1949" i="4"/>
  <c r="B1949" i="4"/>
  <c r="A1950" i="4"/>
  <c r="B1950" i="4"/>
  <c r="A1951" i="4"/>
  <c r="B1951" i="4"/>
  <c r="A1952" i="4"/>
  <c r="B1952" i="4"/>
  <c r="A1953" i="4"/>
  <c r="B1953" i="4"/>
  <c r="A1954" i="4"/>
  <c r="B1954" i="4"/>
  <c r="A1955" i="4"/>
  <c r="B1955" i="4"/>
  <c r="A1956" i="4"/>
  <c r="B1956" i="4"/>
  <c r="A1957" i="4"/>
  <c r="B1957" i="4"/>
  <c r="A1958" i="4"/>
  <c r="B1958" i="4"/>
  <c r="A1959" i="4"/>
  <c r="B1959" i="4"/>
  <c r="A1960" i="4"/>
  <c r="B1960" i="4"/>
  <c r="A1961" i="4"/>
  <c r="B1961" i="4"/>
  <c r="A1962" i="4"/>
  <c r="B1962" i="4"/>
  <c r="A1963" i="4"/>
  <c r="B1963" i="4"/>
  <c r="A1964" i="4"/>
  <c r="B1964" i="4"/>
  <c r="A1965" i="4"/>
  <c r="B1965" i="4"/>
  <c r="A1966" i="4"/>
  <c r="B1966" i="4"/>
  <c r="A1967" i="4"/>
  <c r="B1967" i="4"/>
  <c r="A1968" i="4"/>
  <c r="B1968" i="4"/>
  <c r="A1969" i="4"/>
  <c r="B1969" i="4"/>
  <c r="A1970" i="4"/>
  <c r="B1970" i="4"/>
  <c r="A1971" i="4"/>
  <c r="B1971" i="4"/>
  <c r="A1972" i="4"/>
  <c r="B1972" i="4"/>
  <c r="A1973" i="4"/>
  <c r="B1973" i="4"/>
  <c r="A1974" i="4"/>
  <c r="B1974" i="4"/>
  <c r="A1975" i="4"/>
  <c r="B1975" i="4"/>
  <c r="A1976" i="4"/>
  <c r="B1976" i="4"/>
  <c r="A1977" i="4"/>
  <c r="B1977" i="4"/>
  <c r="A1978" i="4"/>
  <c r="B1978" i="4"/>
  <c r="A1979" i="4"/>
  <c r="B1979" i="4"/>
  <c r="A1980" i="4"/>
  <c r="B1980" i="4"/>
  <c r="A1981" i="4"/>
  <c r="B1981" i="4"/>
  <c r="A1982" i="4"/>
  <c r="B1982" i="4"/>
  <c r="A1983" i="4"/>
  <c r="B1983" i="4"/>
  <c r="A1984" i="4"/>
  <c r="B1984" i="4"/>
  <c r="A1985" i="4"/>
  <c r="B1985" i="4"/>
  <c r="A1986" i="4"/>
  <c r="B1986" i="4"/>
  <c r="A1987" i="4"/>
  <c r="B1987" i="4"/>
  <c r="A1988" i="4"/>
  <c r="B1988" i="4"/>
  <c r="A1989" i="4"/>
  <c r="B1989" i="4"/>
  <c r="A1990" i="4"/>
  <c r="B1990" i="4"/>
  <c r="A1991" i="4"/>
  <c r="B1991" i="4"/>
  <c r="A1992" i="4"/>
  <c r="B1992" i="4"/>
  <c r="A1993" i="4"/>
  <c r="B1993" i="4"/>
  <c r="A1994" i="4"/>
  <c r="B1994" i="4"/>
  <c r="A1995" i="4"/>
  <c r="B1995" i="4"/>
  <c r="A1996" i="4"/>
  <c r="B1996" i="4"/>
  <c r="A1997" i="4"/>
  <c r="B1997" i="4"/>
  <c r="A1998" i="4"/>
  <c r="B1998" i="4"/>
  <c r="A1999" i="4"/>
  <c r="B1999" i="4"/>
  <c r="A2000" i="4"/>
  <c r="B2000" i="4"/>
  <c r="A2001" i="4"/>
  <c r="B2001" i="4"/>
  <c r="A2002" i="4"/>
  <c r="B2002" i="4"/>
  <c r="A2003" i="4"/>
  <c r="B2003" i="4"/>
  <c r="A2004" i="4"/>
  <c r="B2004" i="4"/>
  <c r="A2005" i="4"/>
  <c r="B2005" i="4"/>
  <c r="A2006" i="4"/>
  <c r="B2006" i="4"/>
  <c r="A2007" i="4"/>
  <c r="B2007" i="4"/>
  <c r="A2008" i="4"/>
  <c r="B2008" i="4"/>
  <c r="A2009" i="4"/>
  <c r="B2009" i="4"/>
  <c r="A2010" i="4"/>
  <c r="B2010" i="4"/>
  <c r="A2011" i="4"/>
  <c r="B2011" i="4"/>
  <c r="A2012" i="4"/>
  <c r="B2012" i="4"/>
  <c r="A2013" i="4"/>
  <c r="B2013" i="4"/>
  <c r="A2014" i="4"/>
  <c r="B2014" i="4"/>
  <c r="A2015" i="4"/>
  <c r="B2015" i="4"/>
  <c r="A2016" i="4"/>
  <c r="B2016" i="4"/>
  <c r="A2017" i="4"/>
  <c r="B2017" i="4"/>
  <c r="A2018" i="4"/>
  <c r="B2018" i="4"/>
  <c r="A2019" i="4"/>
  <c r="B2019" i="4"/>
  <c r="A2020" i="4"/>
  <c r="B2020" i="4"/>
  <c r="A2021" i="4"/>
  <c r="B2021" i="4"/>
  <c r="A2022" i="4"/>
  <c r="B2022" i="4"/>
  <c r="A2023" i="4"/>
  <c r="B2023" i="4"/>
  <c r="A2024" i="4"/>
  <c r="B2024" i="4"/>
  <c r="A2025" i="4"/>
  <c r="B2025" i="4"/>
  <c r="A2026" i="4"/>
  <c r="B2026" i="4"/>
  <c r="A2027" i="4"/>
  <c r="B2027" i="4"/>
  <c r="A2028" i="4"/>
  <c r="B2028" i="4"/>
  <c r="A2029" i="4"/>
  <c r="B2029" i="4"/>
  <c r="A2030" i="4"/>
  <c r="B2030" i="4"/>
  <c r="A2031" i="4"/>
  <c r="B2031" i="4"/>
  <c r="A2032" i="4"/>
  <c r="B2032" i="4"/>
  <c r="A2033" i="4"/>
  <c r="B2033" i="4"/>
  <c r="A2034" i="4"/>
  <c r="B2034" i="4"/>
  <c r="A2035" i="4"/>
  <c r="B2035" i="4"/>
  <c r="A2036" i="4"/>
  <c r="B2036" i="4"/>
  <c r="A2037" i="4"/>
  <c r="B2037" i="4"/>
  <c r="A2038" i="4"/>
  <c r="B2038" i="4"/>
  <c r="A2039" i="4"/>
  <c r="B2039" i="4"/>
  <c r="A2040" i="4"/>
  <c r="B2040" i="4"/>
  <c r="A2041" i="4"/>
  <c r="B2041" i="4"/>
  <c r="A2042" i="4"/>
  <c r="B2042" i="4"/>
  <c r="A2043" i="4"/>
  <c r="B2043" i="4"/>
  <c r="A2044" i="4"/>
  <c r="B2044" i="4"/>
  <c r="A2045" i="4"/>
  <c r="B2045" i="4"/>
  <c r="A2046" i="4"/>
  <c r="B2046" i="4"/>
  <c r="A2047" i="4"/>
  <c r="B2047" i="4"/>
  <c r="A2048" i="4"/>
  <c r="B2048" i="4"/>
  <c r="A2049" i="4"/>
  <c r="B2049" i="4"/>
  <c r="A2050" i="4"/>
  <c r="B2050" i="4"/>
  <c r="A2051" i="4"/>
  <c r="B2051" i="4"/>
  <c r="A2052" i="4"/>
  <c r="B2052" i="4"/>
  <c r="A2053" i="4"/>
  <c r="B2053" i="4"/>
  <c r="A2054" i="4"/>
  <c r="B2054" i="4"/>
  <c r="A2055" i="4"/>
  <c r="B2055" i="4"/>
  <c r="A2056" i="4"/>
  <c r="B2056" i="4"/>
  <c r="A2057" i="4"/>
  <c r="B2057" i="4"/>
  <c r="A2058" i="4"/>
  <c r="B2058" i="4"/>
  <c r="A2059" i="4"/>
  <c r="B2059" i="4"/>
  <c r="A2060" i="4"/>
  <c r="B2060" i="4"/>
  <c r="A2061" i="4"/>
  <c r="B2061" i="4"/>
  <c r="A2062" i="4"/>
  <c r="B2062" i="4"/>
  <c r="A2063" i="4"/>
  <c r="B2063" i="4"/>
  <c r="A2064" i="4"/>
  <c r="B2064" i="4"/>
  <c r="A2065" i="4"/>
  <c r="B2065" i="4"/>
  <c r="A2066" i="4"/>
  <c r="B2066" i="4"/>
  <c r="A2067" i="4"/>
  <c r="B2067" i="4"/>
  <c r="A2068" i="4"/>
  <c r="B2068" i="4"/>
  <c r="A2069" i="4"/>
  <c r="B2069" i="4"/>
  <c r="A2070" i="4"/>
  <c r="B2070" i="4"/>
  <c r="A2071" i="4"/>
  <c r="B2071" i="4"/>
  <c r="A2072" i="4"/>
  <c r="B2072" i="4"/>
  <c r="A2073" i="4"/>
  <c r="B2073" i="4"/>
  <c r="A2074" i="4"/>
  <c r="B2074" i="4"/>
  <c r="A2075" i="4"/>
  <c r="B2075" i="4"/>
  <c r="A2076" i="4"/>
  <c r="B2076" i="4"/>
  <c r="A2077" i="4"/>
  <c r="B2077" i="4"/>
  <c r="A2078" i="4"/>
  <c r="B2078" i="4"/>
  <c r="A2079" i="4"/>
  <c r="B2079" i="4"/>
  <c r="A2080" i="4"/>
  <c r="B2080" i="4"/>
  <c r="A2081" i="4"/>
  <c r="B2081" i="4"/>
  <c r="A2082" i="4"/>
  <c r="B2082" i="4"/>
  <c r="A2083" i="4"/>
  <c r="B2083" i="4"/>
  <c r="A2084" i="4"/>
  <c r="B2084" i="4"/>
  <c r="A2085" i="4"/>
  <c r="B2085" i="4"/>
  <c r="A2086" i="4"/>
  <c r="B2086" i="4"/>
  <c r="A2087" i="4"/>
  <c r="B2087" i="4"/>
  <c r="A2088" i="4"/>
  <c r="B2088" i="4"/>
  <c r="A2089" i="4"/>
  <c r="B2089" i="4"/>
  <c r="A2090" i="4"/>
  <c r="B2090" i="4"/>
  <c r="A2091" i="4"/>
  <c r="B2091" i="4"/>
  <c r="A2092" i="4"/>
  <c r="B2092" i="4"/>
  <c r="A2093" i="4"/>
  <c r="B2093" i="4"/>
  <c r="A2094" i="4"/>
  <c r="B2094" i="4"/>
  <c r="A2095" i="4"/>
  <c r="B2095" i="4"/>
  <c r="A2096" i="4"/>
  <c r="B2096" i="4"/>
  <c r="A2097" i="4"/>
  <c r="B2097" i="4"/>
  <c r="A2098" i="4"/>
  <c r="B2098" i="4"/>
  <c r="A2099" i="4"/>
  <c r="B2099" i="4"/>
  <c r="A2100" i="4"/>
  <c r="B2100" i="4"/>
  <c r="A2101" i="4"/>
  <c r="B2101" i="4"/>
  <c r="A2102" i="4"/>
  <c r="B2102" i="4"/>
  <c r="A2103" i="4"/>
  <c r="B2103" i="4"/>
  <c r="A2104" i="4"/>
  <c r="B2104" i="4"/>
  <c r="A2105" i="4"/>
  <c r="B2105" i="4"/>
  <c r="A2106" i="4"/>
  <c r="B2106" i="4"/>
  <c r="A2107" i="4"/>
  <c r="B2107" i="4"/>
  <c r="A2108" i="4"/>
  <c r="B2108" i="4"/>
  <c r="A2109" i="4"/>
  <c r="B2109" i="4"/>
  <c r="A2110" i="4"/>
  <c r="B2110" i="4"/>
  <c r="A2111" i="4"/>
  <c r="B2111" i="4"/>
  <c r="A2112" i="4"/>
  <c r="B2112" i="4"/>
  <c r="A2113" i="4"/>
  <c r="B2113" i="4"/>
  <c r="A2114" i="4"/>
  <c r="B2114" i="4"/>
  <c r="A2115" i="4"/>
  <c r="B2115" i="4"/>
  <c r="A2116" i="4"/>
  <c r="B2116" i="4"/>
  <c r="A2117" i="4"/>
  <c r="B2117" i="4"/>
  <c r="A2118" i="4"/>
  <c r="B2118" i="4"/>
  <c r="A2119" i="4"/>
  <c r="B2119" i="4"/>
  <c r="A2120" i="4"/>
  <c r="B2120" i="4"/>
  <c r="A2121" i="4"/>
  <c r="B2121" i="4"/>
  <c r="A2122" i="4"/>
  <c r="B2122" i="4"/>
  <c r="A2123" i="4"/>
  <c r="B2123" i="4"/>
  <c r="A2124" i="4"/>
  <c r="B2124" i="4"/>
  <c r="A2125" i="4"/>
  <c r="B2125" i="4"/>
  <c r="A2126" i="4"/>
  <c r="B2126" i="4"/>
  <c r="A2127" i="4"/>
  <c r="B2127" i="4"/>
  <c r="A2128" i="4"/>
  <c r="B2128" i="4"/>
  <c r="A2129" i="4"/>
  <c r="B2129" i="4"/>
  <c r="A2130" i="4"/>
  <c r="B2130" i="4"/>
  <c r="A2131" i="4"/>
  <c r="B2131" i="4"/>
  <c r="A2132" i="4"/>
  <c r="B2132" i="4"/>
  <c r="A2133" i="4"/>
  <c r="B2133" i="4"/>
  <c r="A2134" i="4"/>
  <c r="B2134" i="4"/>
  <c r="A2135" i="4"/>
  <c r="B2135" i="4"/>
  <c r="A2136" i="4"/>
  <c r="B2136" i="4"/>
  <c r="A2137" i="4"/>
  <c r="B2137" i="4"/>
  <c r="A2138" i="4"/>
  <c r="B2138" i="4"/>
  <c r="A2139" i="4"/>
  <c r="B2139" i="4"/>
  <c r="A2140" i="4"/>
  <c r="B2140" i="4"/>
  <c r="A2141" i="4"/>
  <c r="B2141" i="4"/>
  <c r="A2142" i="4"/>
  <c r="B2142" i="4"/>
  <c r="A2143" i="4"/>
  <c r="B2143" i="4"/>
  <c r="A2144" i="4"/>
  <c r="B2144" i="4"/>
  <c r="A2145" i="4"/>
  <c r="B2145" i="4"/>
  <c r="A2146" i="4"/>
  <c r="B2146" i="4"/>
  <c r="A2147" i="4"/>
  <c r="B2147" i="4"/>
  <c r="A2148" i="4"/>
  <c r="B2148" i="4"/>
  <c r="A2149" i="4"/>
  <c r="B2149" i="4"/>
  <c r="A2150" i="4"/>
  <c r="B2150" i="4"/>
  <c r="A2151" i="4"/>
  <c r="B2151" i="4"/>
  <c r="A2152" i="4"/>
  <c r="B2152" i="4"/>
  <c r="A2153" i="4"/>
  <c r="B2153" i="4"/>
  <c r="A2154" i="4"/>
  <c r="B2154" i="4"/>
  <c r="A2155" i="4"/>
  <c r="B2155" i="4"/>
  <c r="A2156" i="4"/>
  <c r="B2156" i="4"/>
  <c r="A2157" i="4"/>
  <c r="B2157" i="4"/>
  <c r="A2158" i="4"/>
  <c r="B2158" i="4"/>
  <c r="A2159" i="4"/>
  <c r="B2159" i="4"/>
  <c r="A2160" i="4"/>
  <c r="B2160" i="4"/>
  <c r="A2161" i="4"/>
  <c r="B2161" i="4"/>
  <c r="A2162" i="4"/>
  <c r="B2162" i="4"/>
  <c r="A2163" i="4"/>
  <c r="B2163" i="4"/>
  <c r="A2164" i="4"/>
  <c r="B2164" i="4"/>
  <c r="A2165" i="4"/>
  <c r="B2165" i="4"/>
  <c r="A2166" i="4"/>
  <c r="B2166" i="4"/>
  <c r="A2167" i="4"/>
  <c r="B2167" i="4"/>
  <c r="A2168" i="4"/>
  <c r="B2168" i="4"/>
  <c r="A2169" i="4"/>
  <c r="B2169" i="4"/>
  <c r="A2170" i="4"/>
  <c r="B2170" i="4"/>
  <c r="A2171" i="4"/>
  <c r="B2171" i="4"/>
  <c r="A2172" i="4"/>
  <c r="B2172" i="4"/>
  <c r="A2173" i="4"/>
  <c r="B2173" i="4"/>
  <c r="A2174" i="4"/>
  <c r="B2174" i="4"/>
  <c r="A2175" i="4"/>
  <c r="B2175" i="4"/>
  <c r="A2176" i="4"/>
  <c r="B2176" i="4"/>
  <c r="A2177" i="4"/>
  <c r="B2177" i="4"/>
  <c r="A2178" i="4"/>
  <c r="B2178" i="4"/>
  <c r="A2179" i="4"/>
  <c r="B2179" i="4"/>
  <c r="A2180" i="4"/>
  <c r="B2180" i="4"/>
  <c r="A2181" i="4"/>
  <c r="B2181" i="4"/>
  <c r="A2182" i="4"/>
  <c r="B2182" i="4"/>
  <c r="A2183" i="4"/>
  <c r="B2183" i="4"/>
  <c r="A2184" i="4"/>
  <c r="B2184" i="4"/>
  <c r="A2185" i="4"/>
  <c r="B2185" i="4"/>
  <c r="A2186" i="4"/>
  <c r="B2186" i="4"/>
  <c r="A2187" i="4"/>
  <c r="B2187" i="4"/>
  <c r="A2188" i="4"/>
  <c r="B2188" i="4"/>
  <c r="A2189" i="4"/>
  <c r="B2189" i="4"/>
  <c r="A2190" i="4"/>
  <c r="B2190" i="4"/>
  <c r="A2191" i="4"/>
  <c r="B2191" i="4"/>
  <c r="A2192" i="4"/>
  <c r="B2192" i="4"/>
  <c r="A2193" i="4"/>
  <c r="B2193" i="4"/>
  <c r="A2194" i="4"/>
  <c r="B2194" i="4"/>
  <c r="A2195" i="4"/>
  <c r="B2195" i="4"/>
  <c r="A2196" i="4"/>
  <c r="B2196" i="4"/>
  <c r="A2197" i="4"/>
  <c r="B2197" i="4"/>
  <c r="A2198" i="4"/>
  <c r="B2198" i="4"/>
  <c r="A2199" i="4"/>
  <c r="B2199" i="4"/>
  <c r="A2200" i="4"/>
  <c r="B2200" i="4"/>
  <c r="A2201" i="4"/>
  <c r="B2201" i="4"/>
  <c r="A2202" i="4"/>
  <c r="B2202" i="4"/>
  <c r="A2203" i="4"/>
  <c r="B2203" i="4"/>
  <c r="A2204" i="4"/>
  <c r="B2204" i="4"/>
  <c r="A2205" i="4"/>
  <c r="B2205" i="4"/>
  <c r="A2206" i="4"/>
  <c r="B2206" i="4"/>
  <c r="A2207" i="4"/>
  <c r="B2207" i="4"/>
  <c r="A2208" i="4"/>
  <c r="B2208" i="4"/>
  <c r="A2209" i="4"/>
  <c r="B2209" i="4"/>
  <c r="A2210" i="4"/>
  <c r="B2210" i="4"/>
  <c r="A2211" i="4"/>
  <c r="B2211" i="4"/>
  <c r="A2212" i="4"/>
  <c r="B2212" i="4"/>
  <c r="A2213" i="4"/>
  <c r="B2213" i="4"/>
  <c r="A2214" i="4"/>
  <c r="B2214" i="4"/>
  <c r="A2215" i="4"/>
  <c r="B2215" i="4"/>
  <c r="A2216" i="4"/>
  <c r="B2216" i="4"/>
  <c r="A2217" i="4"/>
  <c r="B2217" i="4"/>
  <c r="A2218" i="4"/>
  <c r="B2218" i="4"/>
  <c r="A2219" i="4"/>
  <c r="B2219" i="4"/>
  <c r="A2220" i="4"/>
  <c r="B2220" i="4"/>
  <c r="A2221" i="4"/>
  <c r="B2221" i="4"/>
  <c r="A2222" i="4"/>
  <c r="B2222" i="4"/>
  <c r="A2223" i="4"/>
  <c r="B2223" i="4"/>
  <c r="A2224" i="4"/>
  <c r="B2224" i="4"/>
  <c r="A2225" i="4"/>
  <c r="B2225" i="4"/>
  <c r="A2226" i="4"/>
  <c r="B2226" i="4"/>
  <c r="A2227" i="4"/>
  <c r="B2227" i="4"/>
  <c r="A2228" i="4"/>
  <c r="B2228" i="4"/>
  <c r="A2229" i="4"/>
  <c r="B2229" i="4"/>
  <c r="A2230" i="4"/>
  <c r="B2230" i="4"/>
  <c r="A2231" i="4"/>
  <c r="B2231" i="4"/>
  <c r="A2232" i="4"/>
  <c r="B2232" i="4"/>
  <c r="A2233" i="4"/>
  <c r="B2233" i="4"/>
  <c r="A2234" i="4"/>
  <c r="B2234" i="4"/>
  <c r="A2235" i="4"/>
  <c r="B2235" i="4"/>
  <c r="A2236" i="4"/>
  <c r="B2236" i="4"/>
  <c r="A2237" i="4"/>
  <c r="B2237" i="4"/>
  <c r="A2238" i="4"/>
  <c r="B2238" i="4"/>
  <c r="A2239" i="4"/>
  <c r="B2239" i="4"/>
  <c r="A2240" i="4"/>
  <c r="B2240" i="4"/>
  <c r="A2241" i="4"/>
  <c r="B2241" i="4"/>
  <c r="A2242" i="4"/>
  <c r="B2242" i="4"/>
  <c r="A2243" i="4"/>
  <c r="B2243" i="4"/>
  <c r="A2244" i="4"/>
  <c r="B2244" i="4"/>
  <c r="A2245" i="4"/>
  <c r="B2245" i="4"/>
  <c r="A2246" i="4"/>
  <c r="B2246" i="4"/>
  <c r="A2247" i="4"/>
  <c r="B2247" i="4"/>
  <c r="A2248" i="4"/>
  <c r="B2248" i="4"/>
  <c r="A2249" i="4"/>
  <c r="B2249" i="4"/>
  <c r="A2250" i="4"/>
  <c r="B2250" i="4"/>
  <c r="A2251" i="4"/>
  <c r="B2251" i="4"/>
  <c r="A2252" i="4"/>
  <c r="B2252" i="4"/>
  <c r="A2253" i="4"/>
  <c r="B2253" i="4"/>
  <c r="A2254" i="4"/>
  <c r="B2254" i="4"/>
  <c r="A2255" i="4"/>
  <c r="B2255" i="4"/>
  <c r="A2256" i="4"/>
  <c r="B2256" i="4"/>
  <c r="A2257" i="4"/>
  <c r="B2257" i="4"/>
  <c r="A2258" i="4"/>
  <c r="B2258" i="4"/>
  <c r="A2259" i="4"/>
  <c r="B2259" i="4"/>
  <c r="A2260" i="4"/>
  <c r="B2260" i="4"/>
  <c r="A2261" i="4"/>
  <c r="B2261" i="4"/>
  <c r="A2262" i="4"/>
  <c r="B2262" i="4"/>
  <c r="A2263" i="4"/>
  <c r="B2263" i="4"/>
  <c r="A2264" i="4"/>
  <c r="B2264" i="4"/>
  <c r="A2265" i="4"/>
  <c r="B2265" i="4"/>
  <c r="A2266" i="4"/>
  <c r="B2266" i="4"/>
  <c r="A2267" i="4"/>
  <c r="B2267" i="4"/>
  <c r="A2268" i="4"/>
  <c r="B2268" i="4"/>
  <c r="A2269" i="4"/>
  <c r="B2269" i="4"/>
  <c r="A2270" i="4"/>
  <c r="B2270" i="4"/>
  <c r="A2271" i="4"/>
  <c r="B2271" i="4"/>
  <c r="A2272" i="4"/>
  <c r="B2272" i="4"/>
  <c r="A2273" i="4"/>
  <c r="B2273" i="4"/>
  <c r="A2274" i="4"/>
  <c r="B2274" i="4"/>
  <c r="A2275" i="4"/>
  <c r="B2275" i="4"/>
  <c r="A2276" i="4"/>
  <c r="B2276" i="4"/>
  <c r="A2277" i="4"/>
  <c r="B2277" i="4"/>
  <c r="A2278" i="4"/>
  <c r="B2278" i="4"/>
  <c r="A2279" i="4"/>
  <c r="B2279" i="4"/>
  <c r="A2280" i="4"/>
  <c r="B2280" i="4"/>
  <c r="A2281" i="4"/>
  <c r="B2281" i="4"/>
  <c r="A2282" i="4"/>
  <c r="B2282" i="4"/>
  <c r="A2283" i="4"/>
  <c r="B2283" i="4"/>
  <c r="A2284" i="4"/>
  <c r="B2284" i="4"/>
  <c r="A2285" i="4"/>
  <c r="B2285" i="4"/>
  <c r="A2286" i="4"/>
  <c r="B2286" i="4"/>
  <c r="A2287" i="4"/>
  <c r="B2287" i="4"/>
  <c r="A2288" i="4"/>
  <c r="B2288" i="4"/>
  <c r="A2289" i="4"/>
  <c r="B2289" i="4"/>
  <c r="A2290" i="4"/>
  <c r="B2290" i="4"/>
  <c r="A2291" i="4"/>
  <c r="B2291" i="4"/>
  <c r="A2292" i="4"/>
  <c r="B2292" i="4"/>
  <c r="A2293" i="4"/>
  <c r="B2293" i="4"/>
  <c r="A2294" i="4"/>
  <c r="B2294" i="4"/>
  <c r="A2295" i="4"/>
  <c r="B2295" i="4"/>
  <c r="A2296" i="4"/>
  <c r="B2296" i="4"/>
  <c r="A2297" i="4"/>
  <c r="B2297" i="4"/>
  <c r="A2298" i="4"/>
  <c r="B2298" i="4"/>
  <c r="A2299" i="4"/>
  <c r="B2299" i="4"/>
  <c r="A2300" i="4"/>
  <c r="B2300" i="4"/>
  <c r="A2301" i="4"/>
  <c r="B2301" i="4"/>
  <c r="A2302" i="4"/>
  <c r="B2302" i="4"/>
  <c r="A2303" i="4"/>
  <c r="B2303" i="4"/>
  <c r="A2304" i="4"/>
  <c r="B2304" i="4"/>
  <c r="A2305" i="4"/>
  <c r="B2305" i="4"/>
  <c r="A2306" i="4"/>
  <c r="B2306" i="4"/>
  <c r="A2307" i="4"/>
  <c r="B2307" i="4"/>
  <c r="A2308" i="4"/>
  <c r="B2308" i="4"/>
  <c r="A2309" i="4"/>
  <c r="B2309" i="4"/>
  <c r="A2310" i="4"/>
  <c r="B2310" i="4"/>
  <c r="A2311" i="4"/>
  <c r="B2311" i="4"/>
  <c r="A2312" i="4"/>
  <c r="B2312" i="4"/>
  <c r="A2313" i="4"/>
  <c r="B2313" i="4"/>
  <c r="A2314" i="4"/>
  <c r="B2314" i="4"/>
  <c r="A2315" i="4"/>
  <c r="B2315" i="4"/>
  <c r="A2316" i="4"/>
  <c r="B2316" i="4"/>
  <c r="A2317" i="4"/>
  <c r="B2317" i="4"/>
  <c r="A2318" i="4"/>
  <c r="B2318" i="4"/>
  <c r="A2319" i="4"/>
  <c r="B2319" i="4"/>
  <c r="A2320" i="4"/>
  <c r="B2320" i="4"/>
  <c r="A2321" i="4"/>
  <c r="B2321" i="4"/>
  <c r="A2322" i="4"/>
  <c r="B2322" i="4"/>
  <c r="A2323" i="4"/>
  <c r="B2323" i="4"/>
  <c r="A2324" i="4"/>
  <c r="B2324" i="4"/>
  <c r="A2325" i="4"/>
  <c r="B2325" i="4"/>
  <c r="A2326" i="4"/>
  <c r="B2326" i="4"/>
  <c r="A2327" i="4"/>
  <c r="B2327" i="4"/>
  <c r="A2328" i="4"/>
  <c r="B2328" i="4"/>
  <c r="A2329" i="4"/>
  <c r="B2329" i="4"/>
  <c r="A2330" i="4"/>
  <c r="B2330" i="4"/>
  <c r="A2331" i="4"/>
  <c r="B2331" i="4"/>
  <c r="A2332" i="4"/>
  <c r="B2332" i="4"/>
  <c r="A2333" i="4"/>
  <c r="B2333" i="4"/>
  <c r="A2334" i="4"/>
  <c r="B2334" i="4"/>
  <c r="A2335" i="4"/>
  <c r="B2335" i="4"/>
  <c r="A2336" i="4"/>
  <c r="B2336" i="4"/>
  <c r="A2337" i="4"/>
  <c r="B2337" i="4"/>
  <c r="A2338" i="4"/>
  <c r="B2338" i="4"/>
  <c r="A2339" i="4"/>
  <c r="B2339" i="4"/>
  <c r="A2340" i="4"/>
  <c r="B2340" i="4"/>
  <c r="A2341" i="4"/>
  <c r="B2341" i="4"/>
  <c r="A2342" i="4"/>
  <c r="B2342" i="4"/>
  <c r="A2343" i="4"/>
  <c r="B2343" i="4"/>
  <c r="A2344" i="4"/>
  <c r="B2344" i="4"/>
  <c r="A2345" i="4"/>
  <c r="B2345" i="4"/>
  <c r="A2346" i="4"/>
  <c r="B2346" i="4"/>
  <c r="A2347" i="4"/>
  <c r="B2347" i="4"/>
  <c r="A2348" i="4"/>
  <c r="B2348" i="4"/>
  <c r="A2349" i="4"/>
  <c r="B2349" i="4"/>
  <c r="A2350" i="4"/>
  <c r="B2350" i="4"/>
  <c r="A2351" i="4"/>
  <c r="B2351" i="4"/>
  <c r="A2352" i="4"/>
  <c r="B2352" i="4"/>
  <c r="A2353" i="4"/>
  <c r="B2353" i="4"/>
  <c r="A2354" i="4"/>
  <c r="B2354" i="4"/>
  <c r="A2355" i="4"/>
  <c r="B2355" i="4"/>
  <c r="A2356" i="4"/>
  <c r="B2356" i="4"/>
  <c r="A2357" i="4"/>
  <c r="B2357" i="4"/>
  <c r="A2358" i="4"/>
  <c r="B2358" i="4"/>
  <c r="A2359" i="4"/>
  <c r="B2359" i="4"/>
  <c r="A2360" i="4"/>
  <c r="B2360" i="4"/>
  <c r="A2361" i="4"/>
  <c r="B2361" i="4"/>
  <c r="A2362" i="4"/>
  <c r="B2362" i="4"/>
  <c r="A2363" i="4"/>
  <c r="B2363" i="4"/>
  <c r="A2364" i="4"/>
  <c r="B2364" i="4"/>
  <c r="A2365" i="4"/>
  <c r="B2365" i="4"/>
  <c r="A2366" i="4"/>
  <c r="B2366" i="4"/>
  <c r="A2367" i="4"/>
  <c r="B2367" i="4"/>
  <c r="A2368" i="4"/>
  <c r="B2368" i="4"/>
  <c r="A2369" i="4"/>
  <c r="B2369" i="4"/>
  <c r="A2370" i="4"/>
  <c r="B2370" i="4"/>
  <c r="A2371" i="4"/>
  <c r="B2371" i="4"/>
  <c r="A2372" i="4"/>
  <c r="B2372" i="4"/>
  <c r="A2373" i="4"/>
  <c r="B2373" i="4"/>
  <c r="A2374" i="4"/>
  <c r="B2374" i="4"/>
  <c r="A2375" i="4"/>
  <c r="B2375" i="4"/>
  <c r="A2376" i="4"/>
  <c r="B2376" i="4"/>
  <c r="A2377" i="4"/>
  <c r="B2377" i="4"/>
  <c r="A2378" i="4"/>
  <c r="B2378" i="4"/>
  <c r="A2379" i="4"/>
  <c r="B2379" i="4"/>
  <c r="A2380" i="4"/>
  <c r="B2380" i="4"/>
  <c r="A2381" i="4"/>
  <c r="B2381" i="4"/>
  <c r="A2382" i="4"/>
  <c r="B2382" i="4"/>
  <c r="A2383" i="4"/>
  <c r="B2383" i="4"/>
  <c r="A2384" i="4"/>
  <c r="B2384" i="4"/>
  <c r="A2385" i="4"/>
  <c r="B2385" i="4"/>
  <c r="A2386" i="4"/>
  <c r="B2386" i="4"/>
  <c r="A2387" i="4"/>
  <c r="B2387" i="4"/>
  <c r="A2388" i="4"/>
  <c r="B2388" i="4"/>
  <c r="A2389" i="4"/>
  <c r="B2389" i="4"/>
  <c r="A2390" i="4"/>
  <c r="B2390" i="4"/>
  <c r="A2391" i="4"/>
  <c r="B2391" i="4"/>
  <c r="A2392" i="4"/>
  <c r="B2392" i="4"/>
  <c r="A2393" i="4"/>
  <c r="B2393" i="4"/>
  <c r="A2394" i="4"/>
  <c r="B2394" i="4"/>
  <c r="A2395" i="4"/>
  <c r="B2395" i="4"/>
  <c r="A2396" i="4"/>
  <c r="B2396" i="4"/>
  <c r="A2397" i="4"/>
  <c r="B2397" i="4"/>
  <c r="A2398" i="4"/>
  <c r="B2398" i="4"/>
  <c r="A2399" i="4"/>
  <c r="B2399" i="4"/>
  <c r="A2400" i="4"/>
  <c r="B2400" i="4"/>
  <c r="A2401" i="4"/>
  <c r="B2401" i="4"/>
  <c r="A2402" i="4"/>
  <c r="B2402" i="4"/>
  <c r="A2403" i="4"/>
  <c r="B2403" i="4"/>
  <c r="A2404" i="4"/>
  <c r="B2404" i="4"/>
  <c r="A2405" i="4"/>
  <c r="B2405" i="4"/>
  <c r="A2406" i="4"/>
  <c r="B2406" i="4"/>
  <c r="A2407" i="4"/>
  <c r="B2407" i="4"/>
  <c r="A2408" i="4"/>
  <c r="B2408" i="4"/>
  <c r="A2409" i="4"/>
  <c r="B2409" i="4"/>
  <c r="A2410" i="4"/>
  <c r="B2410" i="4"/>
  <c r="A2411" i="4"/>
  <c r="B2411" i="4"/>
  <c r="A2412" i="4"/>
  <c r="B2412" i="4"/>
  <c r="A2413" i="4"/>
  <c r="B2413" i="4"/>
  <c r="A2414" i="4"/>
  <c r="B2414" i="4"/>
  <c r="A2415" i="4"/>
  <c r="B2415" i="4"/>
  <c r="A2416" i="4"/>
  <c r="B2416" i="4"/>
  <c r="A2417" i="4"/>
  <c r="B2417" i="4"/>
  <c r="A2418" i="4"/>
  <c r="B2418" i="4"/>
  <c r="A2419" i="4"/>
  <c r="B2419" i="4"/>
  <c r="A2420" i="4"/>
  <c r="B2420" i="4"/>
  <c r="A2421" i="4"/>
  <c r="B2421" i="4"/>
  <c r="A2422" i="4"/>
  <c r="B2422" i="4"/>
  <c r="A2423" i="4"/>
  <c r="B2423" i="4"/>
  <c r="A2424" i="4"/>
  <c r="B2424" i="4"/>
  <c r="A2425" i="4"/>
  <c r="B2425" i="4"/>
  <c r="A2426" i="4"/>
  <c r="B2426" i="4"/>
  <c r="A2427" i="4"/>
  <c r="B2427" i="4"/>
  <c r="A2428" i="4"/>
  <c r="B2428" i="4"/>
  <c r="A2429" i="4"/>
  <c r="B2429" i="4"/>
  <c r="A2430" i="4"/>
  <c r="B2430" i="4"/>
  <c r="A2431" i="4"/>
  <c r="B2431" i="4"/>
  <c r="A2432" i="4"/>
  <c r="B2432" i="4"/>
  <c r="A2433" i="4"/>
  <c r="B2433" i="4"/>
  <c r="A2434" i="4"/>
  <c r="B2434" i="4"/>
  <c r="A2435" i="4"/>
  <c r="B2435" i="4"/>
  <c r="A2436" i="4"/>
  <c r="B2436" i="4"/>
  <c r="A2437" i="4"/>
  <c r="B2437" i="4"/>
  <c r="A2438" i="4"/>
  <c r="B2438" i="4"/>
  <c r="A2439" i="4"/>
  <c r="B2439" i="4"/>
  <c r="A2440" i="4"/>
  <c r="B2440" i="4"/>
  <c r="A2441" i="4"/>
  <c r="B2441" i="4"/>
  <c r="A2442" i="4"/>
  <c r="B2442" i="4"/>
  <c r="A2443" i="4"/>
  <c r="B2443" i="4"/>
  <c r="A2444" i="4"/>
  <c r="B2444" i="4"/>
  <c r="A2445" i="4"/>
  <c r="B2445" i="4"/>
  <c r="A2446" i="4"/>
  <c r="B2446" i="4"/>
  <c r="A2447" i="4"/>
  <c r="B2447" i="4"/>
  <c r="A2448" i="4"/>
  <c r="B2448" i="4"/>
  <c r="A2449" i="4"/>
  <c r="B2449" i="4"/>
  <c r="A2450" i="4"/>
  <c r="B2450" i="4"/>
  <c r="A2451" i="4"/>
  <c r="B2451" i="4"/>
  <c r="A2452" i="4"/>
  <c r="B2452" i="4"/>
  <c r="A2453" i="4"/>
  <c r="B2453" i="4"/>
  <c r="A2454" i="4"/>
  <c r="B2454" i="4"/>
  <c r="A2455" i="4"/>
  <c r="B2455" i="4"/>
  <c r="A2456" i="4"/>
  <c r="B2456" i="4"/>
  <c r="A2457" i="4"/>
  <c r="B2457" i="4"/>
  <c r="A2458" i="4"/>
  <c r="B2458" i="4"/>
  <c r="A2459" i="4"/>
  <c r="B2459" i="4"/>
  <c r="A2460" i="4"/>
  <c r="B2460" i="4"/>
  <c r="A2461" i="4"/>
  <c r="B2461" i="4"/>
  <c r="A2462" i="4"/>
  <c r="B2462" i="4"/>
  <c r="A2463" i="4"/>
  <c r="B2463" i="4"/>
  <c r="A2464" i="4"/>
  <c r="B2464" i="4"/>
  <c r="A2465" i="4"/>
  <c r="B2465" i="4"/>
  <c r="A2466" i="4"/>
  <c r="B2466" i="4"/>
  <c r="A2467" i="4"/>
  <c r="B2467" i="4"/>
  <c r="A2468" i="4"/>
  <c r="B2468" i="4"/>
  <c r="A2469" i="4"/>
  <c r="B2469" i="4"/>
  <c r="A2470" i="4"/>
  <c r="B2470" i="4"/>
  <c r="A2471" i="4"/>
  <c r="B2471" i="4"/>
  <c r="A2472" i="4"/>
  <c r="B2472" i="4"/>
  <c r="A2473" i="4"/>
  <c r="B2473" i="4"/>
  <c r="A2474" i="4"/>
  <c r="B2474" i="4"/>
  <c r="A2475" i="4"/>
  <c r="B2475" i="4"/>
  <c r="A2476" i="4"/>
  <c r="B2476" i="4"/>
  <c r="A2477" i="4"/>
  <c r="B2477" i="4"/>
  <c r="A2478" i="4"/>
  <c r="B2478" i="4"/>
  <c r="A2479" i="4"/>
  <c r="B2479" i="4"/>
  <c r="A2480" i="4"/>
  <c r="B2480" i="4"/>
  <c r="A2481" i="4"/>
  <c r="B2481" i="4"/>
  <c r="A2482" i="4"/>
  <c r="B2482" i="4"/>
  <c r="A2483" i="4"/>
  <c r="B2483" i="4"/>
  <c r="A2484" i="4"/>
  <c r="B2484" i="4"/>
  <c r="A2485" i="4"/>
  <c r="B2485" i="4"/>
  <c r="A2486" i="4"/>
  <c r="B2486" i="4"/>
  <c r="A2487" i="4"/>
  <c r="B2487" i="4"/>
  <c r="A2488" i="4"/>
  <c r="B2488" i="4"/>
  <c r="A2489" i="4"/>
  <c r="B2489" i="4"/>
  <c r="A2490" i="4"/>
  <c r="B2490" i="4"/>
  <c r="A2491" i="4"/>
  <c r="B2491" i="4"/>
  <c r="A2492" i="4"/>
  <c r="B2492" i="4"/>
  <c r="A2493" i="4"/>
  <c r="B2493" i="4"/>
  <c r="A2494" i="4"/>
  <c r="B2494" i="4"/>
  <c r="A2495" i="4"/>
  <c r="B2495" i="4"/>
  <c r="A2496" i="4"/>
  <c r="B2496" i="4"/>
  <c r="A2497" i="4"/>
  <c r="B2497" i="4"/>
  <c r="A2498" i="4"/>
  <c r="B2498" i="4"/>
  <c r="A2499" i="4"/>
  <c r="B2499" i="4"/>
  <c r="A2500" i="4"/>
  <c r="B2500" i="4"/>
  <c r="A2501" i="4"/>
  <c r="B2501" i="4"/>
  <c r="A2502" i="4"/>
  <c r="B2502" i="4"/>
  <c r="A2503" i="4"/>
  <c r="B2503" i="4"/>
  <c r="A2504" i="4"/>
  <c r="B2504" i="4"/>
  <c r="A2505" i="4"/>
  <c r="B2505" i="4"/>
  <c r="A2506" i="4"/>
  <c r="B2506" i="4"/>
  <c r="A2507" i="4"/>
  <c r="B2507" i="4"/>
  <c r="A2508" i="4"/>
  <c r="B2508" i="4"/>
  <c r="A2509" i="4"/>
  <c r="B2509" i="4"/>
  <c r="A2510" i="4"/>
  <c r="B2510" i="4"/>
  <c r="A2511" i="4"/>
  <c r="B2511" i="4"/>
  <c r="A2512" i="4"/>
  <c r="B2512" i="4"/>
  <c r="A2513" i="4"/>
  <c r="B2513" i="4"/>
  <c r="A2514" i="4"/>
  <c r="B2514" i="4"/>
  <c r="A2515" i="4"/>
  <c r="B2515" i="4"/>
  <c r="A2516" i="4"/>
  <c r="B2516" i="4"/>
  <c r="A2517" i="4"/>
  <c r="B2517" i="4"/>
  <c r="A2518" i="4"/>
  <c r="B2518" i="4"/>
  <c r="A2519" i="4"/>
  <c r="B2519" i="4"/>
  <c r="A2520" i="4"/>
  <c r="B2520" i="4"/>
  <c r="A2521" i="4"/>
  <c r="B2521" i="4"/>
  <c r="A2522" i="4"/>
  <c r="B2522" i="4"/>
  <c r="A2523" i="4"/>
  <c r="B2523" i="4"/>
  <c r="A2524" i="4"/>
  <c r="B2524" i="4"/>
  <c r="A2525" i="4"/>
  <c r="B2525" i="4"/>
  <c r="A2526" i="4"/>
  <c r="B2526" i="4"/>
  <c r="A2527" i="4"/>
  <c r="B2527" i="4"/>
  <c r="A2528" i="4"/>
  <c r="B2528" i="4"/>
  <c r="A2529" i="4"/>
  <c r="B2529" i="4"/>
  <c r="A2530" i="4"/>
  <c r="B2530" i="4"/>
  <c r="A2531" i="4"/>
  <c r="B2531" i="4"/>
  <c r="A2532" i="4"/>
  <c r="B2532" i="4"/>
  <c r="A2533" i="4"/>
  <c r="B2533" i="4"/>
  <c r="A2534" i="4"/>
  <c r="B2534" i="4"/>
  <c r="A2535" i="4"/>
  <c r="B2535" i="4"/>
  <c r="A2536" i="4"/>
  <c r="B2536" i="4"/>
  <c r="A2537" i="4"/>
  <c r="B2537" i="4"/>
  <c r="A2538" i="4"/>
  <c r="B2538" i="4"/>
  <c r="A2539" i="4"/>
  <c r="B2539" i="4"/>
  <c r="A2540" i="4"/>
  <c r="B2540" i="4"/>
  <c r="A2541" i="4"/>
  <c r="B2541" i="4"/>
  <c r="A2542" i="4"/>
  <c r="B2542" i="4"/>
  <c r="A2543" i="4"/>
  <c r="B2543" i="4"/>
  <c r="A2544" i="4"/>
  <c r="B2544" i="4"/>
  <c r="A2545" i="4"/>
  <c r="B2545" i="4"/>
  <c r="A2546" i="4"/>
  <c r="B2546" i="4"/>
  <c r="A2547" i="4"/>
  <c r="B2547" i="4"/>
  <c r="A2548" i="4"/>
  <c r="B2548" i="4"/>
  <c r="A2549" i="4"/>
  <c r="B2549" i="4"/>
  <c r="A2550" i="4"/>
  <c r="B2550" i="4"/>
  <c r="A2551" i="4"/>
  <c r="B2551" i="4"/>
  <c r="A2552" i="4"/>
  <c r="B2552" i="4"/>
  <c r="A2553" i="4"/>
  <c r="B2553" i="4"/>
  <c r="A2554" i="4"/>
  <c r="B2554" i="4"/>
  <c r="A2555" i="4"/>
  <c r="B2555" i="4"/>
  <c r="A2556" i="4"/>
  <c r="B2556" i="4"/>
  <c r="A2557" i="4"/>
  <c r="B2557" i="4"/>
  <c r="A2558" i="4"/>
  <c r="B2558" i="4"/>
  <c r="A2559" i="4"/>
  <c r="B2559" i="4"/>
  <c r="A2560" i="4"/>
  <c r="B2560" i="4"/>
  <c r="A2561" i="4"/>
  <c r="B2561" i="4"/>
  <c r="A2562" i="4"/>
  <c r="B2562" i="4"/>
  <c r="A2563" i="4"/>
  <c r="B2563" i="4"/>
  <c r="A2564" i="4"/>
  <c r="B2564" i="4"/>
  <c r="A2565" i="4"/>
  <c r="B2565" i="4"/>
  <c r="A2566" i="4"/>
  <c r="B2566" i="4"/>
  <c r="A2567" i="4"/>
  <c r="B2567" i="4"/>
  <c r="A2568" i="4"/>
  <c r="B2568" i="4"/>
  <c r="A2569" i="4"/>
  <c r="B2569" i="4"/>
  <c r="A2570" i="4"/>
  <c r="B2570" i="4"/>
  <c r="A2571" i="4"/>
  <c r="B2571" i="4"/>
  <c r="A2572" i="4"/>
  <c r="B2572" i="4"/>
  <c r="A2573" i="4"/>
  <c r="B2573" i="4"/>
  <c r="A2574" i="4"/>
  <c r="B2574" i="4"/>
  <c r="A2575" i="4"/>
  <c r="B2575" i="4"/>
  <c r="A2576" i="4"/>
  <c r="B2576" i="4"/>
  <c r="A2577" i="4"/>
  <c r="B2577" i="4"/>
  <c r="A2578" i="4"/>
  <c r="B2578" i="4"/>
  <c r="A2579" i="4"/>
  <c r="B2579" i="4"/>
  <c r="A2580" i="4"/>
  <c r="B2580" i="4"/>
  <c r="A2581" i="4"/>
  <c r="B2581" i="4"/>
  <c r="A2582" i="4"/>
  <c r="B2582" i="4"/>
  <c r="A2583" i="4"/>
  <c r="B2583" i="4"/>
  <c r="A2584" i="4"/>
  <c r="B2584" i="4"/>
  <c r="A2585" i="4"/>
  <c r="B2585" i="4"/>
  <c r="A2586" i="4"/>
  <c r="B2586" i="4"/>
  <c r="A2587" i="4"/>
  <c r="B2587" i="4"/>
  <c r="A2588" i="4"/>
  <c r="B2588" i="4"/>
  <c r="A2589" i="4"/>
  <c r="B2589" i="4"/>
  <c r="A2590" i="4"/>
  <c r="B2590" i="4"/>
  <c r="A2591" i="4"/>
  <c r="B2591" i="4"/>
  <c r="A2592" i="4"/>
  <c r="B2592" i="4"/>
  <c r="A2593" i="4"/>
  <c r="B2593" i="4"/>
  <c r="A2594" i="4"/>
  <c r="B2594" i="4"/>
  <c r="A2595" i="4"/>
  <c r="B2595" i="4"/>
  <c r="A2596" i="4"/>
  <c r="B2596" i="4"/>
  <c r="A2597" i="4"/>
  <c r="B2597" i="4"/>
  <c r="A2598" i="4"/>
  <c r="B2598" i="4"/>
  <c r="A2599" i="4"/>
  <c r="B2599" i="4"/>
  <c r="A2600" i="4"/>
  <c r="B2600" i="4"/>
  <c r="A2601" i="4"/>
  <c r="B2601" i="4"/>
  <c r="A2602" i="4"/>
  <c r="B2602" i="4"/>
  <c r="A2603" i="4"/>
  <c r="B2603" i="4"/>
  <c r="A2604" i="4"/>
  <c r="B2604" i="4"/>
  <c r="A2605" i="4"/>
  <c r="B2605" i="4"/>
  <c r="A2606" i="4"/>
  <c r="B2606" i="4"/>
  <c r="A2607" i="4"/>
  <c r="B2607" i="4"/>
  <c r="A2608" i="4"/>
  <c r="B2608" i="4"/>
  <c r="A2609" i="4"/>
  <c r="B2609" i="4"/>
  <c r="A2610" i="4"/>
  <c r="B2610" i="4"/>
  <c r="A2611" i="4"/>
  <c r="B2611" i="4"/>
  <c r="A2612" i="4"/>
  <c r="B2612" i="4"/>
  <c r="A2613" i="4"/>
  <c r="B2613" i="4"/>
  <c r="A2614" i="4"/>
  <c r="B2614" i="4"/>
  <c r="A2615" i="4"/>
  <c r="B2615" i="4"/>
  <c r="A2616" i="4"/>
  <c r="B2616" i="4"/>
  <c r="A2617" i="4"/>
  <c r="B2617" i="4"/>
  <c r="A2618" i="4"/>
  <c r="B2618" i="4"/>
  <c r="A2619" i="4"/>
  <c r="B2619" i="4"/>
  <c r="A2620" i="4"/>
  <c r="B2620" i="4"/>
  <c r="A2621" i="4"/>
  <c r="B2621" i="4"/>
  <c r="A2622" i="4"/>
  <c r="B2622" i="4"/>
  <c r="A2623" i="4"/>
  <c r="B2623" i="4"/>
  <c r="A2624" i="4"/>
  <c r="B2624" i="4"/>
  <c r="A2625" i="4"/>
  <c r="B2625" i="4"/>
  <c r="A2626" i="4"/>
  <c r="B2626" i="4"/>
  <c r="A2627" i="4"/>
  <c r="B2627" i="4"/>
  <c r="A2628" i="4"/>
  <c r="B2628" i="4"/>
  <c r="A2629" i="4"/>
  <c r="B2629" i="4"/>
  <c r="A2630" i="4"/>
  <c r="B2630" i="4"/>
  <c r="A2631" i="4"/>
  <c r="B2631" i="4"/>
  <c r="A2632" i="4"/>
  <c r="B2632" i="4"/>
  <c r="A2633" i="4"/>
  <c r="B2633" i="4"/>
  <c r="A2634" i="4"/>
  <c r="B2634" i="4"/>
  <c r="A2635" i="4"/>
  <c r="B2635" i="4"/>
  <c r="A2636" i="4"/>
  <c r="B2636" i="4"/>
  <c r="A2637" i="4"/>
  <c r="B2637" i="4"/>
  <c r="A2638" i="4"/>
  <c r="B2638" i="4"/>
  <c r="A2639" i="4"/>
  <c r="B2639" i="4"/>
  <c r="A2640" i="4"/>
  <c r="B2640" i="4"/>
  <c r="A2641" i="4"/>
  <c r="B2641" i="4"/>
  <c r="A2642" i="4"/>
  <c r="B2642" i="4"/>
  <c r="A2643" i="4"/>
  <c r="B2643" i="4"/>
  <c r="A2644" i="4"/>
  <c r="B2644" i="4"/>
  <c r="A2645" i="4"/>
  <c r="B2645" i="4"/>
  <c r="A2646" i="4"/>
  <c r="B2646" i="4"/>
  <c r="A2647" i="4"/>
  <c r="B2647" i="4"/>
  <c r="A2648" i="4"/>
  <c r="B2648" i="4"/>
  <c r="A2649" i="4"/>
  <c r="B2649" i="4"/>
  <c r="A2650" i="4"/>
  <c r="B2650" i="4"/>
  <c r="A2651" i="4"/>
  <c r="B2651" i="4"/>
  <c r="A2652" i="4"/>
  <c r="B2652" i="4"/>
  <c r="A2653" i="4"/>
  <c r="B2653" i="4"/>
  <c r="A2654" i="4"/>
  <c r="B2654" i="4"/>
  <c r="A2655" i="4"/>
  <c r="B2655" i="4"/>
  <c r="A2656" i="4"/>
  <c r="B2656" i="4"/>
  <c r="A2657" i="4"/>
  <c r="B2657" i="4"/>
  <c r="A2658" i="4"/>
  <c r="B2658" i="4"/>
  <c r="A2659" i="4"/>
  <c r="B2659" i="4"/>
  <c r="A2660" i="4"/>
  <c r="B2660" i="4"/>
  <c r="A2661" i="4"/>
  <c r="B2661" i="4"/>
  <c r="A2662" i="4"/>
  <c r="B2662" i="4"/>
  <c r="A2663" i="4"/>
  <c r="B2663" i="4"/>
  <c r="A2664" i="4"/>
  <c r="B2664" i="4"/>
  <c r="A2665" i="4"/>
  <c r="B2665" i="4"/>
  <c r="A2666" i="4"/>
  <c r="B2666" i="4"/>
  <c r="A2667" i="4"/>
  <c r="B2667" i="4"/>
  <c r="A2668" i="4"/>
  <c r="B2668" i="4"/>
  <c r="A2669" i="4"/>
  <c r="B2669" i="4"/>
  <c r="A2670" i="4"/>
  <c r="B2670" i="4"/>
  <c r="A2671" i="4"/>
  <c r="B2671" i="4"/>
  <c r="A2672" i="4"/>
  <c r="B2672" i="4"/>
  <c r="A2673" i="4"/>
  <c r="B2673" i="4"/>
  <c r="A2674" i="4"/>
  <c r="B2674" i="4"/>
  <c r="A2675" i="4"/>
  <c r="B2675" i="4"/>
  <c r="A2676" i="4"/>
  <c r="B2676" i="4"/>
  <c r="A2677" i="4"/>
  <c r="B2677" i="4"/>
  <c r="A2678" i="4"/>
  <c r="B2678" i="4"/>
  <c r="A2679" i="4"/>
  <c r="B2679" i="4"/>
  <c r="A2680" i="4"/>
  <c r="B2680" i="4"/>
  <c r="A2681" i="4"/>
  <c r="B2681" i="4"/>
  <c r="A2682" i="4"/>
  <c r="B2682" i="4"/>
  <c r="A2683" i="4"/>
  <c r="B2683" i="4"/>
  <c r="A2684" i="4"/>
  <c r="B2684" i="4"/>
  <c r="A2685" i="4"/>
  <c r="B2685" i="4"/>
  <c r="A2686" i="4"/>
  <c r="B2686" i="4"/>
  <c r="A2687" i="4"/>
  <c r="B2687" i="4"/>
  <c r="A2688" i="4"/>
  <c r="B2688" i="4"/>
  <c r="A2689" i="4"/>
  <c r="B2689" i="4"/>
  <c r="A2690" i="4"/>
  <c r="B2690" i="4"/>
  <c r="A2691" i="4"/>
  <c r="B2691" i="4"/>
  <c r="A2692" i="4"/>
  <c r="B2692" i="4"/>
  <c r="A2693" i="4"/>
  <c r="B2693" i="4"/>
  <c r="A2694" i="4"/>
  <c r="B2694" i="4"/>
  <c r="A2695" i="4"/>
  <c r="B2695" i="4"/>
  <c r="A2696" i="4"/>
  <c r="B2696" i="4"/>
  <c r="A2697" i="4"/>
  <c r="B2697" i="4"/>
  <c r="A2698" i="4"/>
  <c r="B2698" i="4"/>
  <c r="A2699" i="4"/>
  <c r="B2699" i="4"/>
  <c r="A2700" i="4"/>
  <c r="B2700" i="4"/>
  <c r="A2701" i="4"/>
  <c r="B2701" i="4"/>
  <c r="A2702" i="4"/>
  <c r="B2702" i="4"/>
  <c r="A2703" i="4"/>
  <c r="B2703" i="4"/>
  <c r="A2704" i="4"/>
  <c r="B2704" i="4"/>
  <c r="A2705" i="4"/>
  <c r="B2705" i="4"/>
  <c r="A2706" i="4"/>
  <c r="B2706" i="4"/>
  <c r="A2707" i="4"/>
  <c r="B2707" i="4"/>
  <c r="A2708" i="4"/>
  <c r="B2708" i="4"/>
  <c r="A2709" i="4"/>
  <c r="B2709" i="4"/>
  <c r="A2710" i="4"/>
  <c r="B2710" i="4"/>
  <c r="A2711" i="4"/>
  <c r="B2711" i="4"/>
  <c r="A2712" i="4"/>
  <c r="B2712" i="4"/>
  <c r="A2713" i="4"/>
  <c r="B2713" i="4"/>
  <c r="A2714" i="4"/>
  <c r="B2714" i="4"/>
  <c r="A2715" i="4"/>
  <c r="B2715" i="4"/>
  <c r="A2716" i="4"/>
  <c r="B2716" i="4"/>
  <c r="A2717" i="4"/>
  <c r="B2717" i="4"/>
  <c r="A2718" i="4"/>
  <c r="B2718" i="4"/>
  <c r="A2719" i="4"/>
  <c r="B2719" i="4"/>
  <c r="A2720" i="4"/>
  <c r="B2720" i="4"/>
  <c r="A2721" i="4"/>
  <c r="B2721" i="4"/>
  <c r="A2722" i="4"/>
  <c r="B2722" i="4"/>
  <c r="A2723" i="4"/>
  <c r="B2723" i="4"/>
  <c r="A2724" i="4"/>
  <c r="B2724" i="4"/>
  <c r="A2725" i="4"/>
  <c r="B2725" i="4"/>
  <c r="A2726" i="4"/>
  <c r="B2726" i="4"/>
  <c r="A2727" i="4"/>
  <c r="B2727" i="4"/>
  <c r="A2728" i="4"/>
  <c r="B2728" i="4"/>
  <c r="A2729" i="4"/>
  <c r="B2729" i="4"/>
  <c r="A2730" i="4"/>
  <c r="B2730" i="4"/>
  <c r="A2731" i="4"/>
  <c r="B2731" i="4"/>
  <c r="A2732" i="4"/>
  <c r="B2732" i="4"/>
  <c r="A2733" i="4"/>
  <c r="B2733" i="4"/>
  <c r="A2734" i="4"/>
  <c r="B2734" i="4"/>
  <c r="A2735" i="4"/>
  <c r="B2735" i="4"/>
  <c r="A2736" i="4"/>
  <c r="B2736" i="4"/>
  <c r="A2737" i="4"/>
  <c r="B2737" i="4"/>
  <c r="A2738" i="4"/>
  <c r="B2738" i="4"/>
  <c r="A2739" i="4"/>
  <c r="B2739" i="4"/>
  <c r="A2740" i="4"/>
  <c r="B2740" i="4"/>
  <c r="A2741" i="4"/>
  <c r="B2741" i="4"/>
  <c r="A2742" i="4"/>
  <c r="B2742" i="4"/>
  <c r="A2743" i="4"/>
  <c r="B2743" i="4"/>
  <c r="A2744" i="4"/>
  <c r="B2744" i="4"/>
  <c r="A2745" i="4"/>
  <c r="B2745" i="4"/>
  <c r="A2746" i="4"/>
  <c r="B2746" i="4"/>
  <c r="A2747" i="4"/>
  <c r="B2747" i="4"/>
  <c r="A2748" i="4"/>
  <c r="B2748" i="4"/>
  <c r="A2749" i="4"/>
  <c r="B2749" i="4"/>
  <c r="A2750" i="4"/>
  <c r="B2750" i="4"/>
  <c r="A2751" i="4"/>
  <c r="B2751" i="4"/>
  <c r="A2752" i="4"/>
  <c r="B2752" i="4"/>
  <c r="A2753" i="4"/>
  <c r="B2753" i="4"/>
  <c r="A2754" i="4"/>
  <c r="B2754" i="4"/>
  <c r="A2755" i="4"/>
  <c r="B2755" i="4"/>
  <c r="A2756" i="4"/>
  <c r="B2756" i="4"/>
  <c r="A2757" i="4"/>
  <c r="B2757" i="4"/>
  <c r="A2758" i="4"/>
  <c r="B2758" i="4"/>
  <c r="A2759" i="4"/>
  <c r="B2759" i="4"/>
  <c r="A2760" i="4"/>
  <c r="B2760" i="4"/>
  <c r="A2761" i="4"/>
  <c r="B2761" i="4"/>
  <c r="A2762" i="4"/>
  <c r="B2762" i="4"/>
  <c r="A2763" i="4"/>
  <c r="B2763" i="4"/>
  <c r="A2764" i="4"/>
  <c r="B2764" i="4"/>
  <c r="A2765" i="4"/>
  <c r="B2765" i="4"/>
  <c r="A2766" i="4"/>
  <c r="B2766" i="4"/>
  <c r="A2767" i="4"/>
  <c r="B2767" i="4"/>
  <c r="A2768" i="4"/>
  <c r="B2768" i="4"/>
  <c r="A2769" i="4"/>
  <c r="B2769" i="4"/>
  <c r="A2770" i="4"/>
  <c r="B2770" i="4"/>
  <c r="A2771" i="4"/>
  <c r="B2771" i="4"/>
  <c r="A2772" i="4"/>
  <c r="B2772" i="4"/>
  <c r="A2773" i="4"/>
  <c r="B2773" i="4"/>
  <c r="A2774" i="4"/>
  <c r="B2774" i="4"/>
  <c r="A2775" i="4"/>
  <c r="B2775" i="4"/>
  <c r="A2776" i="4"/>
  <c r="B2776" i="4"/>
  <c r="A2777" i="4"/>
  <c r="B2777" i="4"/>
  <c r="A2778" i="4"/>
  <c r="B2778" i="4"/>
  <c r="A2779" i="4"/>
  <c r="B2779" i="4"/>
  <c r="A2780" i="4"/>
  <c r="B2780" i="4"/>
  <c r="A2781" i="4"/>
  <c r="B2781" i="4"/>
  <c r="A2782" i="4"/>
  <c r="B2782" i="4"/>
  <c r="A2783" i="4"/>
  <c r="B2783" i="4"/>
  <c r="A2784" i="4"/>
  <c r="B2784" i="4"/>
  <c r="A2785" i="4"/>
  <c r="B2785" i="4"/>
  <c r="A2786" i="4"/>
  <c r="B2786" i="4"/>
  <c r="A2787" i="4"/>
  <c r="B2787" i="4"/>
  <c r="A2788" i="4"/>
  <c r="B2788" i="4"/>
  <c r="A2789" i="4"/>
  <c r="B2789" i="4"/>
  <c r="A2790" i="4"/>
  <c r="B2790" i="4"/>
  <c r="A2791" i="4"/>
  <c r="B2791" i="4"/>
  <c r="A2792" i="4"/>
  <c r="B2792" i="4"/>
  <c r="A2793" i="4"/>
  <c r="B2793" i="4"/>
  <c r="A2794" i="4"/>
  <c r="B2794" i="4"/>
  <c r="A2795" i="4"/>
  <c r="B2795" i="4"/>
  <c r="A2796" i="4"/>
  <c r="B2796" i="4"/>
  <c r="A2797" i="4"/>
  <c r="B2797" i="4"/>
  <c r="A2798" i="4"/>
  <c r="B2798" i="4"/>
  <c r="A2799" i="4"/>
  <c r="B2799" i="4"/>
  <c r="A2800" i="4"/>
  <c r="B2800" i="4"/>
  <c r="A2801" i="4"/>
  <c r="B2801" i="4"/>
  <c r="A2802" i="4"/>
  <c r="B2802" i="4"/>
  <c r="A2803" i="4"/>
  <c r="B2803" i="4"/>
  <c r="A2804" i="4"/>
  <c r="B2804" i="4"/>
  <c r="A2805" i="4"/>
  <c r="B2805" i="4"/>
  <c r="A2806" i="4"/>
  <c r="B2806" i="4"/>
  <c r="A2807" i="4"/>
  <c r="B2807" i="4"/>
  <c r="A2808" i="4"/>
  <c r="B2808" i="4"/>
  <c r="A2809" i="4"/>
  <c r="B2809" i="4"/>
  <c r="A2810" i="4"/>
  <c r="B2810" i="4"/>
  <c r="A2811" i="4"/>
  <c r="B2811" i="4"/>
  <c r="A2812" i="4"/>
  <c r="B2812" i="4"/>
  <c r="A2813" i="4"/>
  <c r="B2813" i="4"/>
  <c r="A2814" i="4"/>
  <c r="B2814" i="4"/>
  <c r="A2815" i="4"/>
  <c r="B2815" i="4"/>
  <c r="A2816" i="4"/>
  <c r="B2816" i="4"/>
  <c r="A2817" i="4"/>
  <c r="B2817" i="4"/>
  <c r="A2818" i="4"/>
  <c r="B2818" i="4"/>
  <c r="A2819" i="4"/>
  <c r="B2819" i="4"/>
  <c r="A2820" i="4"/>
  <c r="B2820" i="4"/>
  <c r="A2821" i="4"/>
  <c r="B2821" i="4"/>
  <c r="A2822" i="4"/>
  <c r="B2822" i="4"/>
  <c r="A2823" i="4"/>
  <c r="B2823" i="4"/>
  <c r="A2824" i="4"/>
  <c r="B2824" i="4"/>
  <c r="A2825" i="4"/>
  <c r="B2825" i="4"/>
  <c r="A2826" i="4"/>
  <c r="B2826" i="4"/>
  <c r="A2827" i="4"/>
  <c r="B2827" i="4"/>
  <c r="A2828" i="4"/>
  <c r="B2828" i="4"/>
  <c r="A2829" i="4"/>
  <c r="B2829" i="4"/>
  <c r="A2830" i="4"/>
  <c r="B2830" i="4"/>
  <c r="A2831" i="4"/>
  <c r="B2831" i="4"/>
  <c r="A2832" i="4"/>
  <c r="B2832" i="4"/>
  <c r="A2833" i="4"/>
  <c r="B2833" i="4"/>
  <c r="A2834" i="4"/>
  <c r="B2834" i="4"/>
  <c r="A2835" i="4"/>
  <c r="B2835" i="4"/>
  <c r="A2836" i="4"/>
  <c r="B2836" i="4"/>
  <c r="A2837" i="4"/>
  <c r="B2837" i="4"/>
  <c r="A2838" i="4"/>
  <c r="B2838" i="4"/>
  <c r="A2839" i="4"/>
  <c r="B2839" i="4"/>
  <c r="A2840" i="4"/>
  <c r="B2840" i="4"/>
  <c r="A2841" i="4"/>
  <c r="B2841" i="4"/>
  <c r="A2842" i="4"/>
  <c r="B2842" i="4"/>
  <c r="A2843" i="4"/>
  <c r="B2843" i="4"/>
  <c r="A2844" i="4"/>
  <c r="B2844" i="4"/>
  <c r="A2845" i="4"/>
  <c r="B2845" i="4"/>
  <c r="A2846" i="4"/>
  <c r="B2846" i="4"/>
  <c r="A2847" i="4"/>
  <c r="B2847" i="4"/>
  <c r="A2848" i="4"/>
  <c r="B2848" i="4"/>
  <c r="A2849" i="4"/>
  <c r="B2849" i="4"/>
  <c r="A2850" i="4"/>
  <c r="B2850" i="4"/>
  <c r="A2851" i="4"/>
  <c r="B2851" i="4"/>
  <c r="A2852" i="4"/>
  <c r="B2852" i="4"/>
  <c r="A2853" i="4"/>
  <c r="B2853" i="4"/>
  <c r="A2854" i="4"/>
  <c r="B2854" i="4"/>
  <c r="A2855" i="4"/>
  <c r="B2855" i="4"/>
  <c r="A2856" i="4"/>
  <c r="B2856" i="4"/>
  <c r="A2857" i="4"/>
  <c r="B2857" i="4"/>
  <c r="A2858" i="4"/>
  <c r="B2858" i="4"/>
  <c r="A2859" i="4"/>
  <c r="B2859" i="4"/>
  <c r="A2860" i="4"/>
  <c r="B2860" i="4"/>
  <c r="A2861" i="4"/>
  <c r="B2861" i="4"/>
  <c r="A2862" i="4"/>
  <c r="B2862" i="4"/>
  <c r="A2863" i="4"/>
  <c r="B2863" i="4"/>
  <c r="A2864" i="4"/>
  <c r="B2864" i="4"/>
  <c r="A2865" i="4"/>
  <c r="B2865" i="4"/>
  <c r="A2866" i="4"/>
  <c r="B2866" i="4"/>
  <c r="A2867" i="4"/>
  <c r="B2867" i="4"/>
  <c r="A2868" i="4"/>
  <c r="B2868" i="4"/>
  <c r="A2869" i="4"/>
  <c r="B2869" i="4"/>
  <c r="A2870" i="4"/>
  <c r="B2870" i="4"/>
  <c r="A2871" i="4"/>
  <c r="B2871" i="4"/>
  <c r="A2872" i="4"/>
  <c r="B2872" i="4"/>
  <c r="A2873" i="4"/>
  <c r="B2873" i="4"/>
  <c r="A2874" i="4"/>
  <c r="B2874" i="4"/>
  <c r="A2875" i="4"/>
  <c r="B2875" i="4"/>
  <c r="A2876" i="4"/>
  <c r="B2876" i="4"/>
  <c r="A2877" i="4"/>
  <c r="B2877" i="4"/>
  <c r="A2878" i="4"/>
  <c r="B2878" i="4"/>
  <c r="A2879" i="4"/>
  <c r="B2879" i="4"/>
  <c r="A2880" i="4"/>
  <c r="B2880" i="4"/>
  <c r="A2881" i="4"/>
  <c r="B2881" i="4"/>
  <c r="A2882" i="4"/>
  <c r="B2882" i="4"/>
  <c r="A2883" i="4"/>
  <c r="B2883" i="4"/>
  <c r="A2884" i="4"/>
  <c r="B2884" i="4"/>
  <c r="A2885" i="4"/>
  <c r="B2885" i="4"/>
  <c r="A2886" i="4"/>
  <c r="B2886" i="4"/>
  <c r="A2887" i="4"/>
  <c r="B2887" i="4"/>
  <c r="A2888" i="4"/>
  <c r="B2888" i="4"/>
  <c r="A2889" i="4"/>
  <c r="B2889" i="4"/>
  <c r="A2890" i="4"/>
  <c r="B2890" i="4"/>
  <c r="A2891" i="4"/>
  <c r="B2891" i="4"/>
  <c r="A2892" i="4"/>
  <c r="B2892" i="4"/>
  <c r="A2893" i="4"/>
  <c r="B2893" i="4"/>
  <c r="A2894" i="4"/>
  <c r="B2894" i="4"/>
  <c r="A2895" i="4"/>
  <c r="B2895" i="4"/>
  <c r="A2896" i="4"/>
  <c r="B2896" i="4"/>
  <c r="A2897" i="4"/>
  <c r="B2897" i="4"/>
  <c r="A2898" i="4"/>
  <c r="B2898" i="4"/>
  <c r="A2899" i="4"/>
  <c r="B2899" i="4"/>
  <c r="A2900" i="4"/>
  <c r="B2900" i="4"/>
  <c r="A2901" i="4"/>
  <c r="B2901" i="4"/>
  <c r="A2902" i="4"/>
  <c r="B2902" i="4"/>
  <c r="A2903" i="4"/>
  <c r="B2903" i="4"/>
  <c r="A2904" i="4"/>
  <c r="B2904" i="4"/>
  <c r="A2905" i="4"/>
  <c r="B2905" i="4"/>
  <c r="A2906" i="4"/>
  <c r="B2906" i="4"/>
  <c r="A2907" i="4"/>
  <c r="B2907" i="4"/>
  <c r="A2908" i="4"/>
  <c r="B2908" i="4"/>
  <c r="A2909" i="4"/>
  <c r="B2909" i="4"/>
  <c r="A2910" i="4"/>
  <c r="B2910" i="4"/>
  <c r="A2911" i="4"/>
  <c r="B2911" i="4"/>
  <c r="A2912" i="4"/>
  <c r="B2912" i="4"/>
  <c r="A2913" i="4"/>
  <c r="B2913" i="4"/>
  <c r="A2914" i="4"/>
  <c r="B2914" i="4"/>
  <c r="A2915" i="4"/>
  <c r="B2915" i="4"/>
  <c r="A2916" i="4"/>
  <c r="B2916" i="4"/>
  <c r="A2917" i="4"/>
  <c r="B2917" i="4"/>
  <c r="A2918" i="4"/>
  <c r="B2918" i="4"/>
  <c r="A2919" i="4"/>
  <c r="B2919" i="4"/>
  <c r="A2920" i="4"/>
  <c r="B2920" i="4"/>
  <c r="A2921" i="4"/>
  <c r="B2921" i="4"/>
  <c r="A2922" i="4"/>
  <c r="B2922" i="4"/>
  <c r="A2923" i="4"/>
  <c r="B2923" i="4"/>
  <c r="A2924" i="4"/>
  <c r="B2924" i="4"/>
  <c r="A2925" i="4"/>
  <c r="B2925" i="4"/>
  <c r="A2926" i="4"/>
  <c r="B2926" i="4"/>
  <c r="A2927" i="4"/>
  <c r="B2927" i="4"/>
  <c r="A2928" i="4"/>
  <c r="B2928" i="4"/>
  <c r="A2929" i="4"/>
  <c r="B2929" i="4"/>
  <c r="A2930" i="4"/>
  <c r="B2930" i="4"/>
  <c r="A2931" i="4"/>
  <c r="B2931" i="4"/>
  <c r="A2932" i="4"/>
  <c r="B2932" i="4"/>
  <c r="A2933" i="4"/>
  <c r="B2933" i="4"/>
  <c r="A2934" i="4"/>
  <c r="B2934" i="4"/>
  <c r="A2935" i="4"/>
  <c r="B2935" i="4"/>
  <c r="A2936" i="4"/>
  <c r="B2936" i="4"/>
  <c r="A2937" i="4"/>
  <c r="B2937" i="4"/>
  <c r="A2938" i="4"/>
  <c r="B2938" i="4"/>
  <c r="A2939" i="4"/>
  <c r="B2939" i="4"/>
  <c r="A2940" i="4"/>
  <c r="B2940" i="4"/>
  <c r="A2941" i="4"/>
  <c r="B2941" i="4"/>
  <c r="A2942" i="4"/>
  <c r="B2942" i="4"/>
  <c r="A2943" i="4"/>
  <c r="B2943" i="4"/>
  <c r="A2944" i="4"/>
  <c r="B2944" i="4"/>
  <c r="A2945" i="4"/>
  <c r="B2945" i="4"/>
  <c r="A2946" i="4"/>
  <c r="B2946" i="4"/>
  <c r="A2947" i="4"/>
  <c r="B2947" i="4"/>
  <c r="A2948" i="4"/>
  <c r="B2948" i="4"/>
  <c r="A2949" i="4"/>
  <c r="B2949" i="4"/>
  <c r="A2950" i="4"/>
  <c r="B2950" i="4"/>
  <c r="A2951" i="4"/>
  <c r="B2951" i="4"/>
  <c r="A2952" i="4"/>
  <c r="B2952" i="4"/>
  <c r="A2953" i="4"/>
  <c r="B2953" i="4"/>
  <c r="A2954" i="4"/>
  <c r="B2954" i="4"/>
  <c r="A2955" i="4"/>
  <c r="B2955" i="4"/>
  <c r="A2956" i="4"/>
  <c r="B2956" i="4"/>
  <c r="A2957" i="4"/>
  <c r="B2957" i="4"/>
  <c r="A2958" i="4"/>
  <c r="B2958" i="4"/>
  <c r="A2959" i="4"/>
  <c r="B2959" i="4"/>
  <c r="A2960" i="4"/>
  <c r="B2960" i="4"/>
  <c r="A2961" i="4"/>
  <c r="B2961" i="4"/>
  <c r="A2962" i="4"/>
  <c r="B2962" i="4"/>
  <c r="A2963" i="4"/>
  <c r="B2963" i="4"/>
  <c r="A2964" i="4"/>
  <c r="B2964" i="4"/>
  <c r="A2965" i="4"/>
  <c r="B2965" i="4"/>
  <c r="A2966" i="4"/>
  <c r="B2966" i="4"/>
  <c r="A2967" i="4"/>
  <c r="B2967" i="4"/>
  <c r="A2968" i="4"/>
  <c r="B2968" i="4"/>
  <c r="A2969" i="4"/>
  <c r="B2969" i="4"/>
  <c r="A2970" i="4"/>
  <c r="B2970" i="4"/>
  <c r="A2971" i="4"/>
  <c r="B2971" i="4"/>
  <c r="A2972" i="4"/>
  <c r="B2972" i="4"/>
  <c r="A2973" i="4"/>
  <c r="B2973" i="4"/>
  <c r="A2974" i="4"/>
  <c r="B2974" i="4"/>
  <c r="A2975" i="4"/>
  <c r="B2975" i="4"/>
  <c r="A2976" i="4"/>
  <c r="B2976" i="4"/>
  <c r="A2977" i="4"/>
  <c r="B2977" i="4"/>
  <c r="A2978" i="4"/>
  <c r="B2978" i="4"/>
  <c r="A2979" i="4"/>
  <c r="B2979" i="4"/>
  <c r="A2980" i="4"/>
  <c r="B2980" i="4"/>
  <c r="A2981" i="4"/>
  <c r="B2981" i="4"/>
  <c r="A2982" i="4"/>
  <c r="B2982" i="4"/>
  <c r="A2983" i="4"/>
  <c r="B2983" i="4"/>
  <c r="A2984" i="4"/>
  <c r="B2984" i="4"/>
  <c r="A2985" i="4"/>
  <c r="B2985" i="4"/>
  <c r="A2986" i="4"/>
  <c r="B2986" i="4"/>
  <c r="A2987" i="4"/>
  <c r="B2987" i="4"/>
  <c r="A2988" i="4"/>
  <c r="B2988" i="4"/>
  <c r="A2989" i="4"/>
  <c r="B2989" i="4"/>
  <c r="A2990" i="4"/>
  <c r="B2990" i="4"/>
  <c r="A2991" i="4"/>
  <c r="B2991" i="4"/>
  <c r="A2992" i="4"/>
  <c r="B2992" i="4"/>
  <c r="A2993" i="4"/>
  <c r="B2993" i="4"/>
  <c r="A2994" i="4"/>
  <c r="B2994" i="4"/>
  <c r="A2995" i="4"/>
  <c r="B2995" i="4"/>
  <c r="A2996" i="4"/>
  <c r="B2996" i="4"/>
  <c r="A2997" i="4"/>
  <c r="B2997" i="4"/>
  <c r="A2998" i="4"/>
  <c r="B2998" i="4"/>
  <c r="A2999" i="4"/>
  <c r="B2999" i="4"/>
  <c r="A3000" i="4"/>
  <c r="B3000" i="4"/>
  <c r="A3001" i="4"/>
  <c r="B3001" i="4"/>
  <c r="A3002" i="4"/>
  <c r="B3002" i="4"/>
  <c r="A3003" i="4"/>
  <c r="B3003" i="4"/>
  <c r="A3004" i="4"/>
  <c r="B3004" i="4"/>
  <c r="A3005" i="4"/>
  <c r="B3005" i="4"/>
  <c r="A3006" i="4"/>
  <c r="B3006" i="4"/>
  <c r="A3007" i="4"/>
  <c r="B3007" i="4"/>
  <c r="A3008" i="4"/>
  <c r="B3008" i="4"/>
  <c r="A3009" i="4"/>
  <c r="B3009" i="4"/>
  <c r="A3010" i="4"/>
  <c r="B3010" i="4"/>
  <c r="A3011" i="4"/>
  <c r="B3011" i="4"/>
  <c r="A3012" i="4"/>
  <c r="B3012" i="4"/>
  <c r="A3013" i="4"/>
  <c r="B3013" i="4"/>
  <c r="A3014" i="4"/>
  <c r="B3014" i="4"/>
  <c r="A3015" i="4"/>
  <c r="B3015" i="4"/>
  <c r="A3016" i="4"/>
  <c r="B3016" i="4"/>
  <c r="A3017" i="4"/>
  <c r="B3017" i="4"/>
  <c r="A3018" i="4"/>
  <c r="B3018" i="4"/>
  <c r="A3019" i="4"/>
  <c r="B3019" i="4"/>
  <c r="A3020" i="4"/>
  <c r="B3020" i="4"/>
  <c r="A3021" i="4"/>
  <c r="B3021" i="4"/>
  <c r="A3022" i="4"/>
  <c r="B3022" i="4"/>
  <c r="A3023" i="4"/>
  <c r="B3023" i="4"/>
  <c r="A3024" i="4"/>
  <c r="B3024" i="4"/>
  <c r="A3025" i="4"/>
  <c r="B3025" i="4"/>
  <c r="A3026" i="4"/>
  <c r="B3026" i="4"/>
  <c r="A3027" i="4"/>
  <c r="B3027" i="4"/>
  <c r="A3028" i="4"/>
  <c r="B3028" i="4"/>
  <c r="A3029" i="4"/>
  <c r="B3029" i="4"/>
  <c r="A3030" i="4"/>
  <c r="B3030" i="4"/>
  <c r="A3031" i="4"/>
  <c r="B3031" i="4"/>
  <c r="A3032" i="4"/>
  <c r="B3032" i="4"/>
  <c r="A3033" i="4"/>
  <c r="B3033" i="4"/>
  <c r="A3034" i="4"/>
  <c r="B3034" i="4"/>
  <c r="A3035" i="4"/>
  <c r="B3035" i="4"/>
  <c r="A3036" i="4"/>
  <c r="B3036" i="4"/>
  <c r="A3037" i="4"/>
  <c r="B3037" i="4"/>
  <c r="A3038" i="4"/>
  <c r="B3038" i="4"/>
  <c r="A3039" i="4"/>
  <c r="B3039" i="4"/>
  <c r="A3040" i="4"/>
  <c r="B3040" i="4"/>
  <c r="A3041" i="4"/>
  <c r="B3041" i="4"/>
  <c r="A3042" i="4"/>
  <c r="B3042" i="4"/>
  <c r="A3043" i="4"/>
  <c r="B3043" i="4"/>
  <c r="A3044" i="4"/>
  <c r="B3044" i="4"/>
  <c r="A3045" i="4"/>
  <c r="B3045" i="4"/>
  <c r="A3046" i="4"/>
  <c r="B3046" i="4"/>
  <c r="A3047" i="4"/>
  <c r="B3047" i="4"/>
  <c r="A3048" i="4"/>
  <c r="B3048" i="4"/>
  <c r="A3049" i="4"/>
  <c r="B3049" i="4"/>
  <c r="A3050" i="4"/>
  <c r="B3050" i="4"/>
  <c r="A3051" i="4"/>
  <c r="B3051" i="4"/>
  <c r="A3052" i="4"/>
  <c r="B3052" i="4"/>
  <c r="A3053" i="4"/>
  <c r="B3053" i="4"/>
  <c r="A3054" i="4"/>
  <c r="B3054" i="4"/>
  <c r="A3055" i="4"/>
  <c r="B3055" i="4"/>
  <c r="A3056" i="4"/>
  <c r="B3056" i="4"/>
  <c r="A3057" i="4"/>
  <c r="B3057" i="4"/>
  <c r="A3058" i="4"/>
  <c r="B3058" i="4"/>
  <c r="A3059" i="4"/>
  <c r="B3059" i="4"/>
  <c r="A3060" i="4"/>
  <c r="B3060" i="4"/>
  <c r="A3061" i="4"/>
  <c r="B3061" i="4"/>
  <c r="A3062" i="4"/>
  <c r="B3062" i="4"/>
  <c r="A3063" i="4"/>
  <c r="B3063" i="4"/>
  <c r="A3064" i="4"/>
  <c r="B3064" i="4"/>
  <c r="A3065" i="4"/>
  <c r="B3065" i="4"/>
  <c r="A3066" i="4"/>
  <c r="B3066" i="4"/>
  <c r="A3067" i="4"/>
  <c r="B3067" i="4"/>
  <c r="A3068" i="4"/>
  <c r="B3068" i="4"/>
  <c r="A3069" i="4"/>
  <c r="B3069" i="4"/>
  <c r="A3070" i="4"/>
  <c r="B3070" i="4"/>
  <c r="A3071" i="4"/>
  <c r="B3071" i="4"/>
  <c r="A3072" i="4"/>
  <c r="B3072" i="4"/>
  <c r="A3073" i="4"/>
  <c r="B3073" i="4"/>
  <c r="A3074" i="4"/>
  <c r="B3074" i="4"/>
  <c r="A3075" i="4"/>
  <c r="B3075" i="4"/>
  <c r="A3076" i="4"/>
  <c r="B3076" i="4"/>
  <c r="A3077" i="4"/>
  <c r="B3077" i="4"/>
  <c r="A3078" i="4"/>
  <c r="B3078" i="4"/>
  <c r="A3079" i="4"/>
  <c r="B3079" i="4"/>
  <c r="A3080" i="4"/>
  <c r="B3080" i="4"/>
  <c r="A3081" i="4"/>
  <c r="B3081" i="4"/>
  <c r="A3082" i="4"/>
  <c r="B3082" i="4"/>
  <c r="A3083" i="4"/>
  <c r="B3083" i="4"/>
  <c r="A3084" i="4"/>
  <c r="B3084" i="4"/>
  <c r="A3085" i="4"/>
  <c r="B3085" i="4"/>
  <c r="A3086" i="4"/>
  <c r="B3086" i="4"/>
  <c r="A3087" i="4"/>
  <c r="B3087" i="4"/>
  <c r="A3088" i="4"/>
  <c r="B3088" i="4"/>
  <c r="A3089" i="4"/>
  <c r="B3089" i="4"/>
  <c r="A3090" i="4"/>
  <c r="B3090" i="4"/>
  <c r="A3091" i="4"/>
  <c r="B3091" i="4"/>
  <c r="A3092" i="4"/>
  <c r="B3092" i="4"/>
  <c r="A3093" i="4"/>
  <c r="B3093" i="4"/>
  <c r="A3094" i="4"/>
  <c r="B3094" i="4"/>
  <c r="A3095" i="4"/>
  <c r="B3095" i="4"/>
  <c r="A3096" i="4"/>
  <c r="B3096" i="4"/>
  <c r="A3097" i="4"/>
  <c r="B3097" i="4"/>
  <c r="A3098" i="4"/>
  <c r="B3098" i="4"/>
  <c r="A3099" i="4"/>
  <c r="B3099" i="4"/>
  <c r="A3100" i="4"/>
  <c r="B3100" i="4"/>
  <c r="A3101" i="4"/>
  <c r="B3101" i="4"/>
  <c r="A3102" i="4"/>
  <c r="B3102" i="4"/>
  <c r="A3103" i="4"/>
  <c r="B3103" i="4"/>
  <c r="A3104" i="4"/>
  <c r="B3104" i="4"/>
  <c r="A3105" i="4"/>
  <c r="B3105" i="4"/>
  <c r="A3106" i="4"/>
  <c r="B3106" i="4"/>
  <c r="A3107" i="4"/>
  <c r="B3107" i="4"/>
  <c r="A3108" i="4"/>
  <c r="B3108" i="4"/>
  <c r="A3109" i="4"/>
  <c r="B3109" i="4"/>
  <c r="A3110" i="4"/>
  <c r="B3110" i="4"/>
  <c r="A3111" i="4"/>
  <c r="B3111" i="4"/>
  <c r="A3112" i="4"/>
  <c r="B3112" i="4"/>
  <c r="A3113" i="4"/>
  <c r="B3113" i="4"/>
  <c r="A3114" i="4"/>
  <c r="B3114" i="4"/>
  <c r="A3115" i="4"/>
  <c r="B3115" i="4"/>
  <c r="A3116" i="4"/>
  <c r="B3116" i="4"/>
  <c r="A3117" i="4"/>
  <c r="B3117" i="4"/>
  <c r="A3118" i="4"/>
  <c r="B3118" i="4"/>
  <c r="A3119" i="4"/>
  <c r="B3119" i="4"/>
  <c r="A3120" i="4"/>
  <c r="B3120" i="4"/>
  <c r="A3121" i="4"/>
  <c r="B3121" i="4"/>
  <c r="A3122" i="4"/>
  <c r="B3122" i="4"/>
  <c r="A3123" i="4"/>
  <c r="B3123" i="4"/>
  <c r="A3124" i="4"/>
  <c r="B3124" i="4"/>
  <c r="A3125" i="4"/>
  <c r="B3125" i="4"/>
  <c r="A3126" i="4"/>
  <c r="B3126" i="4"/>
  <c r="A3127" i="4"/>
  <c r="B3127" i="4"/>
  <c r="A3128" i="4"/>
  <c r="B3128" i="4"/>
  <c r="A3129" i="4"/>
  <c r="B3129" i="4"/>
  <c r="A3130" i="4"/>
  <c r="B3130" i="4"/>
  <c r="A3131" i="4"/>
  <c r="B3131" i="4"/>
  <c r="A3132" i="4"/>
  <c r="B3132" i="4"/>
  <c r="A3133" i="4"/>
  <c r="B3133" i="4"/>
  <c r="A3134" i="4"/>
  <c r="B3134" i="4"/>
  <c r="A3135" i="4"/>
  <c r="B3135" i="4"/>
  <c r="A3136" i="4"/>
  <c r="B3136" i="4"/>
  <c r="A3137" i="4"/>
  <c r="B3137" i="4"/>
  <c r="A3138" i="4"/>
  <c r="B3138" i="4"/>
  <c r="A3139" i="4"/>
  <c r="B3139" i="4"/>
  <c r="A3140" i="4"/>
  <c r="B3140" i="4"/>
  <c r="A3141" i="4"/>
  <c r="B3141" i="4"/>
  <c r="A3142" i="4"/>
  <c r="B3142" i="4"/>
  <c r="A3143" i="4"/>
  <c r="B3143" i="4"/>
  <c r="A3144" i="4"/>
  <c r="B3144" i="4"/>
  <c r="A3145" i="4"/>
  <c r="B3145" i="4"/>
  <c r="A3146" i="4"/>
  <c r="B3146" i="4"/>
  <c r="A3147" i="4"/>
  <c r="B3147" i="4"/>
  <c r="A3148" i="4"/>
  <c r="B3148" i="4"/>
  <c r="A3149" i="4"/>
  <c r="B3149" i="4"/>
  <c r="A3150" i="4"/>
  <c r="B3150" i="4"/>
  <c r="A3151" i="4"/>
  <c r="B3151" i="4"/>
  <c r="A3152" i="4"/>
  <c r="B3152" i="4"/>
  <c r="A3153" i="4"/>
  <c r="B3153" i="4"/>
  <c r="A3154" i="4"/>
  <c r="B3154" i="4"/>
  <c r="A3155" i="4"/>
  <c r="B3155" i="4"/>
  <c r="A3156" i="4"/>
  <c r="B3156" i="4"/>
  <c r="A3157" i="4"/>
  <c r="B3157" i="4"/>
  <c r="A3158" i="4"/>
  <c r="B3158" i="4"/>
  <c r="A3159" i="4"/>
  <c r="B3159" i="4"/>
  <c r="A3160" i="4"/>
  <c r="B3160" i="4"/>
  <c r="A3161" i="4"/>
  <c r="B3161" i="4"/>
  <c r="A3162" i="4"/>
  <c r="B3162" i="4"/>
  <c r="A3163" i="4"/>
  <c r="B3163" i="4"/>
  <c r="A3164" i="4"/>
  <c r="B3164" i="4"/>
  <c r="A3165" i="4"/>
  <c r="B3165" i="4"/>
  <c r="A3166" i="4"/>
  <c r="B3166" i="4"/>
  <c r="A3167" i="4"/>
  <c r="B3167" i="4"/>
  <c r="A3168" i="4"/>
  <c r="B3168" i="4"/>
  <c r="A3169" i="4"/>
  <c r="B3169" i="4"/>
  <c r="A3170" i="4"/>
  <c r="B3170" i="4"/>
  <c r="A3171" i="4"/>
  <c r="B3171" i="4"/>
  <c r="A3172" i="4"/>
  <c r="B3172" i="4"/>
  <c r="A3173" i="4"/>
  <c r="B3173" i="4"/>
  <c r="A3174" i="4"/>
  <c r="B3174" i="4"/>
  <c r="A3175" i="4"/>
  <c r="B3175" i="4"/>
  <c r="A3176" i="4"/>
  <c r="B3176" i="4"/>
  <c r="A3177" i="4"/>
  <c r="B3177" i="4"/>
  <c r="A3178" i="4"/>
  <c r="B3178" i="4"/>
  <c r="A3179" i="4"/>
  <c r="B3179" i="4"/>
  <c r="A3180" i="4"/>
  <c r="B3180" i="4"/>
  <c r="A3181" i="4"/>
  <c r="B3181" i="4"/>
  <c r="A3182" i="4"/>
  <c r="B3182" i="4"/>
  <c r="A3183" i="4"/>
  <c r="B3183" i="4"/>
  <c r="A3184" i="4"/>
  <c r="B3184" i="4"/>
  <c r="A3185" i="4"/>
  <c r="B3185" i="4"/>
  <c r="A3186" i="4"/>
  <c r="B3186" i="4"/>
  <c r="A3187" i="4"/>
  <c r="B3187" i="4"/>
  <c r="A3188" i="4"/>
  <c r="B3188" i="4"/>
  <c r="A3189" i="4"/>
  <c r="B3189" i="4"/>
  <c r="A3190" i="4"/>
  <c r="B3190" i="4"/>
  <c r="A3191" i="4"/>
  <c r="B3191" i="4"/>
  <c r="A3192" i="4"/>
  <c r="B3192" i="4"/>
  <c r="A3193" i="4"/>
  <c r="B3193" i="4"/>
  <c r="A3194" i="4"/>
  <c r="B3194" i="4"/>
  <c r="A3195" i="4"/>
  <c r="B3195" i="4"/>
  <c r="A3196" i="4"/>
  <c r="B3196" i="4"/>
  <c r="A3197" i="4"/>
  <c r="B3197" i="4"/>
  <c r="A3198" i="4"/>
  <c r="B3198" i="4"/>
  <c r="A3199" i="4"/>
  <c r="B3199" i="4"/>
  <c r="A3200" i="4"/>
  <c r="B3200" i="4"/>
  <c r="A3201" i="4"/>
  <c r="B3201" i="4"/>
  <c r="A3202" i="4"/>
  <c r="B3202" i="4"/>
  <c r="A3203" i="4"/>
  <c r="B3203" i="4"/>
  <c r="A3204" i="4"/>
  <c r="B3204" i="4"/>
  <c r="A3205" i="4"/>
  <c r="B3205" i="4"/>
  <c r="A3206" i="4"/>
  <c r="B3206" i="4"/>
  <c r="A3207" i="4"/>
  <c r="B3207" i="4"/>
  <c r="A3208" i="4"/>
  <c r="B3208" i="4"/>
  <c r="A3209" i="4"/>
  <c r="B3209" i="4"/>
  <c r="A3210" i="4"/>
  <c r="B3210" i="4"/>
  <c r="A3211" i="4"/>
  <c r="B3211" i="4"/>
  <c r="A3212" i="4"/>
  <c r="B3212" i="4"/>
  <c r="A3213" i="4"/>
  <c r="B3213" i="4"/>
  <c r="A3214" i="4"/>
  <c r="B3214" i="4"/>
  <c r="A3215" i="4"/>
  <c r="B3215" i="4"/>
  <c r="A3216" i="4"/>
  <c r="B3216" i="4"/>
  <c r="A3217" i="4"/>
  <c r="B3217" i="4"/>
  <c r="A3218" i="4"/>
  <c r="B3218" i="4"/>
  <c r="A3219" i="4"/>
  <c r="B3219" i="4"/>
  <c r="A3220" i="4"/>
  <c r="B3220" i="4"/>
  <c r="A3221" i="4"/>
  <c r="B3221" i="4"/>
  <c r="A3222" i="4"/>
  <c r="B3222" i="4"/>
  <c r="A3223" i="4"/>
  <c r="B3223" i="4"/>
  <c r="A3224" i="4"/>
  <c r="B3224" i="4"/>
  <c r="A3225" i="4"/>
  <c r="B3225" i="4"/>
  <c r="A3226" i="4"/>
  <c r="B3226" i="4"/>
  <c r="A3227" i="4"/>
  <c r="B3227" i="4"/>
  <c r="A3228" i="4"/>
  <c r="B3228" i="4"/>
  <c r="A3229" i="4"/>
  <c r="B3229" i="4"/>
  <c r="A3230" i="4"/>
  <c r="B3230" i="4"/>
  <c r="A3231" i="4"/>
  <c r="B3231" i="4"/>
  <c r="A3232" i="4"/>
  <c r="B3232" i="4"/>
  <c r="A3233" i="4"/>
  <c r="B3233" i="4"/>
  <c r="A3234" i="4"/>
  <c r="B3234" i="4"/>
  <c r="A3235" i="4"/>
  <c r="B3235" i="4"/>
  <c r="A3236" i="4"/>
  <c r="B3236" i="4"/>
  <c r="A3237" i="4"/>
  <c r="B3237" i="4"/>
  <c r="A3238" i="4"/>
  <c r="B3238" i="4"/>
  <c r="A3239" i="4"/>
  <c r="B3239" i="4"/>
  <c r="A3240" i="4"/>
  <c r="B3240" i="4"/>
  <c r="A3241" i="4"/>
  <c r="B3241" i="4"/>
  <c r="A3242" i="4"/>
  <c r="B3242" i="4"/>
  <c r="A3243" i="4"/>
  <c r="B3243" i="4"/>
  <c r="A3244" i="4"/>
  <c r="B3244" i="4"/>
  <c r="A3245" i="4"/>
  <c r="B3245" i="4"/>
  <c r="A3246" i="4"/>
  <c r="B3246" i="4"/>
  <c r="A3247" i="4"/>
  <c r="B3247" i="4"/>
  <c r="A3248" i="4"/>
  <c r="B3248" i="4"/>
  <c r="A3249" i="4"/>
  <c r="B3249" i="4"/>
  <c r="A3250" i="4"/>
  <c r="B3250" i="4"/>
  <c r="A3251" i="4"/>
  <c r="B3251" i="4"/>
  <c r="A3252" i="4"/>
  <c r="B3252" i="4"/>
  <c r="A3253" i="4"/>
  <c r="B3253" i="4"/>
  <c r="A3254" i="4"/>
  <c r="B3254" i="4"/>
  <c r="A3255" i="4"/>
  <c r="B3255" i="4"/>
  <c r="A3256" i="4"/>
  <c r="B3256" i="4"/>
  <c r="A3257" i="4"/>
  <c r="B3257" i="4"/>
  <c r="A3258" i="4"/>
  <c r="B3258" i="4"/>
  <c r="A3259" i="4"/>
  <c r="B3259" i="4"/>
  <c r="A3260" i="4"/>
  <c r="B3260" i="4"/>
  <c r="A3261" i="4"/>
  <c r="B3261" i="4"/>
  <c r="A3262" i="4"/>
  <c r="B3262" i="4"/>
  <c r="A3263" i="4"/>
  <c r="B3263" i="4"/>
  <c r="A3264" i="4"/>
  <c r="B3264" i="4"/>
  <c r="A3265" i="4"/>
  <c r="B3265" i="4"/>
  <c r="A3266" i="4"/>
  <c r="B3266" i="4"/>
  <c r="A3267" i="4"/>
  <c r="B3267" i="4"/>
  <c r="A3268" i="4"/>
  <c r="B3268" i="4"/>
  <c r="A3269" i="4"/>
  <c r="B3269" i="4"/>
  <c r="A3270" i="4"/>
  <c r="B3270" i="4"/>
  <c r="A3271" i="4"/>
  <c r="B3271" i="4"/>
  <c r="A3272" i="4"/>
  <c r="B3272" i="4"/>
  <c r="A3273" i="4"/>
  <c r="B3273" i="4"/>
  <c r="A3274" i="4"/>
  <c r="B3274" i="4"/>
  <c r="A3275" i="4"/>
  <c r="B3275" i="4"/>
  <c r="A3276" i="4"/>
  <c r="B3276" i="4"/>
  <c r="A3277" i="4"/>
  <c r="B3277" i="4"/>
  <c r="A3278" i="4"/>
  <c r="B3278" i="4"/>
  <c r="A3279" i="4"/>
  <c r="B3279" i="4"/>
  <c r="A3280" i="4"/>
  <c r="B3280" i="4"/>
  <c r="A3281" i="4"/>
  <c r="B3281" i="4"/>
  <c r="A3282" i="4"/>
  <c r="B3282" i="4"/>
  <c r="A3283" i="4"/>
  <c r="B3283" i="4"/>
  <c r="A3284" i="4"/>
  <c r="B3284" i="4"/>
  <c r="A3285" i="4"/>
  <c r="B3285" i="4"/>
  <c r="A3286" i="4"/>
  <c r="B3286" i="4"/>
  <c r="A3287" i="4"/>
  <c r="B3287" i="4"/>
  <c r="A3288" i="4"/>
  <c r="B3288" i="4"/>
  <c r="A3289" i="4"/>
  <c r="B3289" i="4"/>
  <c r="A3290" i="4"/>
  <c r="B3290" i="4"/>
  <c r="A3291" i="4"/>
  <c r="B3291" i="4"/>
  <c r="A3292" i="4"/>
  <c r="B3292" i="4"/>
  <c r="A3293" i="4"/>
  <c r="B3293" i="4"/>
  <c r="A3294" i="4"/>
  <c r="B3294" i="4"/>
  <c r="A3295" i="4"/>
  <c r="B3295" i="4"/>
  <c r="A3296" i="4"/>
  <c r="B3296" i="4"/>
  <c r="A3297" i="4"/>
  <c r="B3297" i="4"/>
  <c r="A3298" i="4"/>
  <c r="B3298" i="4"/>
  <c r="A3299" i="4"/>
  <c r="B3299" i="4"/>
  <c r="A3300" i="4"/>
  <c r="B3300" i="4"/>
  <c r="A3301" i="4"/>
  <c r="B3301" i="4"/>
  <c r="A3302" i="4"/>
  <c r="B3302" i="4"/>
  <c r="A3303" i="4"/>
  <c r="B3303" i="4"/>
  <c r="A3304" i="4"/>
  <c r="B3304" i="4"/>
  <c r="A3305" i="4"/>
  <c r="B3305" i="4"/>
  <c r="A3306" i="4"/>
  <c r="B3306" i="4"/>
  <c r="A3307" i="4"/>
  <c r="B3307" i="4"/>
  <c r="A3308" i="4"/>
  <c r="B3308" i="4"/>
  <c r="A3309" i="4"/>
  <c r="B3309" i="4"/>
  <c r="A3310" i="4"/>
  <c r="B3310" i="4"/>
  <c r="A3311" i="4"/>
  <c r="B3311" i="4"/>
  <c r="A3312" i="4"/>
  <c r="B3312" i="4"/>
  <c r="A3313" i="4"/>
  <c r="B3313" i="4"/>
  <c r="A3314" i="4"/>
  <c r="B3314" i="4"/>
  <c r="A3315" i="4"/>
  <c r="B3315" i="4"/>
  <c r="A3316" i="4"/>
  <c r="B3316" i="4"/>
  <c r="A3317" i="4"/>
  <c r="B3317" i="4"/>
  <c r="A3318" i="4"/>
  <c r="B3318" i="4"/>
  <c r="A3319" i="4"/>
  <c r="B3319" i="4"/>
  <c r="A3320" i="4"/>
  <c r="B3320" i="4"/>
  <c r="A3321" i="4"/>
  <c r="B3321" i="4"/>
  <c r="A3322" i="4"/>
  <c r="B3322" i="4"/>
  <c r="A3323" i="4"/>
  <c r="B3323" i="4"/>
  <c r="A3324" i="4"/>
  <c r="B3324" i="4"/>
  <c r="A3325" i="4"/>
  <c r="B3325" i="4"/>
  <c r="A3326" i="4"/>
  <c r="B3326" i="4"/>
  <c r="A3327" i="4"/>
  <c r="B3327" i="4"/>
  <c r="A3328" i="4"/>
  <c r="B3328" i="4"/>
  <c r="A3329" i="4"/>
  <c r="B3329" i="4"/>
  <c r="A3330" i="4"/>
  <c r="B3330" i="4"/>
  <c r="A3331" i="4"/>
  <c r="B3331" i="4"/>
  <c r="A3332" i="4"/>
  <c r="B3332" i="4"/>
  <c r="A3333" i="4"/>
  <c r="B3333" i="4"/>
  <c r="A3334" i="4"/>
  <c r="B3334" i="4"/>
  <c r="A3335" i="4"/>
  <c r="B3335" i="4"/>
  <c r="A3336" i="4"/>
  <c r="B3336" i="4"/>
  <c r="A3337" i="4"/>
  <c r="B3337" i="4"/>
  <c r="A3338" i="4"/>
  <c r="B3338" i="4"/>
  <c r="A3339" i="4"/>
  <c r="B3339" i="4"/>
  <c r="A3340" i="4"/>
  <c r="B3340" i="4"/>
  <c r="A3341" i="4"/>
  <c r="B3341" i="4"/>
  <c r="A3342" i="4"/>
  <c r="B3342" i="4"/>
  <c r="A3343" i="4"/>
  <c r="B3343" i="4"/>
  <c r="A3344" i="4"/>
  <c r="B3344" i="4"/>
  <c r="A3345" i="4"/>
  <c r="B3345" i="4"/>
  <c r="A3346" i="4"/>
  <c r="B3346" i="4"/>
  <c r="A3347" i="4"/>
  <c r="B3347" i="4"/>
  <c r="A3348" i="4"/>
  <c r="B3348" i="4"/>
  <c r="A3349" i="4"/>
  <c r="B3349" i="4"/>
  <c r="A3350" i="4"/>
  <c r="B3350" i="4"/>
  <c r="A3351" i="4"/>
  <c r="B3351" i="4"/>
  <c r="A3352" i="4"/>
  <c r="B3352" i="4"/>
  <c r="A3353" i="4"/>
  <c r="B3353" i="4"/>
  <c r="A3354" i="4"/>
  <c r="B3354" i="4"/>
  <c r="A3355" i="4"/>
  <c r="B3355" i="4"/>
  <c r="A3356" i="4"/>
  <c r="B3356" i="4"/>
  <c r="A3357" i="4"/>
  <c r="B3357" i="4"/>
  <c r="A3358" i="4"/>
  <c r="B3358" i="4"/>
  <c r="A3359" i="4"/>
  <c r="B3359" i="4"/>
  <c r="A3360" i="4"/>
  <c r="B3360" i="4"/>
  <c r="A3361" i="4"/>
  <c r="B3361" i="4"/>
  <c r="A3362" i="4"/>
  <c r="B3362" i="4"/>
  <c r="A3363" i="4"/>
  <c r="B3363" i="4"/>
  <c r="A3364" i="4"/>
  <c r="B3364" i="4"/>
  <c r="A3365" i="4"/>
  <c r="B3365" i="4"/>
  <c r="A3366" i="4"/>
  <c r="B3366" i="4"/>
  <c r="A3367" i="4"/>
  <c r="B3367" i="4"/>
  <c r="A3368" i="4"/>
  <c r="B3368" i="4"/>
  <c r="A3369" i="4"/>
  <c r="B3369" i="4"/>
  <c r="A3370" i="4"/>
  <c r="B3370" i="4"/>
  <c r="A3371" i="4"/>
  <c r="B3371" i="4"/>
  <c r="A3372" i="4"/>
  <c r="B3372" i="4"/>
  <c r="A3373" i="4"/>
  <c r="B3373" i="4"/>
  <c r="A3374" i="4"/>
  <c r="B3374" i="4"/>
  <c r="A3375" i="4"/>
  <c r="B3375" i="4"/>
  <c r="A3376" i="4"/>
  <c r="B3376" i="4"/>
  <c r="A3377" i="4"/>
  <c r="B3377" i="4"/>
  <c r="A3378" i="4"/>
  <c r="B3378" i="4"/>
  <c r="A3379" i="4"/>
  <c r="B3379" i="4"/>
  <c r="A3380" i="4"/>
  <c r="B3380" i="4"/>
  <c r="A3381" i="4"/>
  <c r="B3381" i="4"/>
  <c r="A3382" i="4"/>
  <c r="B3382" i="4"/>
  <c r="A3383" i="4"/>
  <c r="B3383" i="4"/>
  <c r="A3384" i="4"/>
  <c r="B3384" i="4"/>
  <c r="A3385" i="4"/>
  <c r="B3385" i="4"/>
  <c r="A3386" i="4"/>
  <c r="B3386" i="4"/>
  <c r="A3387" i="4"/>
  <c r="B3387" i="4"/>
  <c r="A3388" i="4"/>
  <c r="B3388" i="4"/>
  <c r="A3389" i="4"/>
  <c r="B3389" i="4"/>
  <c r="A3390" i="4"/>
  <c r="B3390" i="4"/>
  <c r="A3391" i="4"/>
  <c r="B3391" i="4"/>
  <c r="A3392" i="4"/>
  <c r="B3392" i="4"/>
  <c r="A3393" i="4"/>
  <c r="B3393" i="4"/>
  <c r="A3394" i="4"/>
  <c r="B3394" i="4"/>
  <c r="A3395" i="4"/>
  <c r="B3395" i="4"/>
  <c r="A3396" i="4"/>
  <c r="B3396" i="4"/>
  <c r="A3397" i="4"/>
  <c r="B3397" i="4"/>
  <c r="A3398" i="4"/>
  <c r="B3398" i="4"/>
  <c r="A3399" i="4"/>
  <c r="B3399" i="4"/>
  <c r="A3400" i="4"/>
  <c r="B3400" i="4"/>
  <c r="A3401" i="4"/>
  <c r="B3401" i="4"/>
  <c r="A3402" i="4"/>
  <c r="B3402" i="4"/>
  <c r="A3403" i="4"/>
  <c r="B3403" i="4"/>
  <c r="A3404" i="4"/>
  <c r="B3404" i="4"/>
  <c r="A3405" i="4"/>
  <c r="B3405" i="4"/>
  <c r="A3406" i="4"/>
  <c r="B3406" i="4"/>
  <c r="A3407" i="4"/>
  <c r="B3407" i="4"/>
  <c r="A3408" i="4"/>
  <c r="B3408" i="4"/>
  <c r="A3409" i="4"/>
  <c r="B3409" i="4"/>
  <c r="A3410" i="4"/>
  <c r="B3410" i="4"/>
  <c r="A3411" i="4"/>
  <c r="B3411" i="4"/>
  <c r="A3412" i="4"/>
  <c r="B3412" i="4"/>
  <c r="A3413" i="4"/>
  <c r="B3413" i="4"/>
  <c r="A3414" i="4"/>
  <c r="B3414" i="4"/>
  <c r="A3415" i="4"/>
  <c r="B3415" i="4"/>
  <c r="A3416" i="4"/>
  <c r="B3416" i="4"/>
  <c r="A3417" i="4"/>
  <c r="B3417" i="4"/>
  <c r="A3418" i="4"/>
  <c r="B3418" i="4"/>
  <c r="A3419" i="4"/>
  <c r="B3419" i="4"/>
  <c r="A3420" i="4"/>
  <c r="B3420" i="4"/>
  <c r="A3421" i="4"/>
  <c r="B3421" i="4"/>
  <c r="A3422" i="4"/>
  <c r="B3422" i="4"/>
  <c r="A3423" i="4"/>
  <c r="B3423" i="4"/>
  <c r="A3424" i="4"/>
  <c r="B3424" i="4"/>
  <c r="A3425" i="4"/>
  <c r="B3425" i="4"/>
  <c r="A3426" i="4"/>
  <c r="B3426" i="4"/>
  <c r="A3427" i="4"/>
  <c r="B3427" i="4"/>
  <c r="A3428" i="4"/>
  <c r="B3428" i="4"/>
  <c r="A3429" i="4"/>
  <c r="B3429" i="4"/>
  <c r="A3430" i="4"/>
  <c r="B3430" i="4"/>
  <c r="A3431" i="4"/>
  <c r="B3431" i="4"/>
  <c r="A3432" i="4"/>
  <c r="B3432" i="4"/>
  <c r="A3433" i="4"/>
  <c r="B3433" i="4"/>
  <c r="A3434" i="4"/>
  <c r="B3434" i="4"/>
  <c r="A3435" i="4"/>
  <c r="B3435" i="4"/>
  <c r="A3436" i="4"/>
  <c r="B3436" i="4"/>
  <c r="A3437" i="4"/>
  <c r="B3437" i="4"/>
  <c r="A3438" i="4"/>
  <c r="B3438" i="4"/>
  <c r="A3439" i="4"/>
  <c r="B3439" i="4"/>
  <c r="A3440" i="4"/>
  <c r="B3440" i="4"/>
  <c r="A3441" i="4"/>
  <c r="B3441" i="4"/>
  <c r="A3442" i="4"/>
  <c r="B3442" i="4"/>
  <c r="A3443" i="4"/>
  <c r="B3443" i="4"/>
  <c r="A3444" i="4"/>
  <c r="B3444" i="4"/>
  <c r="A3445" i="4"/>
  <c r="B3445" i="4"/>
  <c r="A3446" i="4"/>
  <c r="B3446" i="4"/>
  <c r="A3447" i="4"/>
  <c r="B3447" i="4"/>
  <c r="B3" i="4"/>
  <c r="A3" i="4"/>
  <c r="C16" i="3"/>
  <c r="E16" i="3"/>
  <c r="E3" i="3"/>
  <c r="E4" i="3"/>
  <c r="E5" i="3"/>
  <c r="E6" i="3"/>
  <c r="E7" i="3"/>
  <c r="E8" i="3"/>
  <c r="E9" i="3"/>
  <c r="E10" i="3"/>
  <c r="E11" i="3"/>
  <c r="E12" i="3"/>
  <c r="E13" i="3"/>
  <c r="E14" i="3"/>
  <c r="E2" i="3"/>
  <c r="C3" i="3"/>
  <c r="C4" i="3"/>
  <c r="C5" i="3"/>
  <c r="C6" i="3"/>
  <c r="C7" i="3"/>
  <c r="C8" i="3"/>
  <c r="C9" i="3"/>
  <c r="C10" i="3"/>
  <c r="C11" i="3"/>
  <c r="C12" i="3"/>
  <c r="C13" i="3"/>
  <c r="C14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2" i="3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2" i="2"/>
  <c r="O13" i="15" l="1"/>
  <c r="O21" i="15"/>
  <c r="O34" i="15"/>
  <c r="O50" i="15"/>
  <c r="O55" i="15"/>
  <c r="O63" i="15"/>
  <c r="O71" i="15"/>
  <c r="O87" i="15"/>
  <c r="W3" i="15" s="1"/>
  <c r="O95" i="15"/>
  <c r="S150" i="15"/>
  <c r="G140" i="15"/>
  <c r="F127" i="15"/>
  <c r="F118" i="15"/>
  <c r="G113" i="15"/>
  <c r="G109" i="15"/>
  <c r="F105" i="15"/>
  <c r="G92" i="15"/>
  <c r="F83" i="15"/>
  <c r="F63" i="15"/>
  <c r="F54" i="15"/>
  <c r="G45" i="15"/>
  <c r="F41" i="15"/>
  <c r="S5" i="15"/>
  <c r="O8" i="15"/>
  <c r="S13" i="15"/>
  <c r="O16" i="15"/>
  <c r="S21" i="15"/>
  <c r="S26" i="15"/>
  <c r="O29" i="15"/>
  <c r="S34" i="15"/>
  <c r="O37" i="15"/>
  <c r="S42" i="15"/>
  <c r="O45" i="15"/>
  <c r="O66" i="15"/>
  <c r="S71" i="15"/>
  <c r="S79" i="15"/>
  <c r="O82" i="15"/>
  <c r="S119" i="15"/>
  <c r="S127" i="15"/>
  <c r="F140" i="15"/>
  <c r="F126" i="15"/>
  <c r="G117" i="15"/>
  <c r="F113" i="15"/>
  <c r="F108" i="15"/>
  <c r="G100" i="15"/>
  <c r="F91" i="15"/>
  <c r="G79" i="15"/>
  <c r="F71" i="15"/>
  <c r="F62" i="15"/>
  <c r="G57" i="15"/>
  <c r="G53" i="15"/>
  <c r="F49" i="15"/>
  <c r="G40" i="15"/>
  <c r="G36" i="15"/>
  <c r="G32" i="15"/>
  <c r="G28" i="15"/>
  <c r="G20" i="15"/>
  <c r="G12" i="15"/>
  <c r="G4" i="15"/>
  <c r="G105" i="15"/>
  <c r="F92" i="15"/>
  <c r="S8" i="15"/>
  <c r="S16" i="15"/>
  <c r="S37" i="15"/>
  <c r="S53" i="15"/>
  <c r="S58" i="15"/>
  <c r="S66" i="15"/>
  <c r="S106" i="15"/>
  <c r="S114" i="15"/>
  <c r="S138" i="15"/>
  <c r="S146" i="15"/>
  <c r="S151" i="15"/>
  <c r="G125" i="15"/>
  <c r="F121" i="15"/>
  <c r="G108" i="15"/>
  <c r="F99" i="15"/>
  <c r="F82" i="15"/>
  <c r="F79" i="15"/>
  <c r="F70" i="15"/>
  <c r="G65" i="15"/>
  <c r="G61" i="15"/>
  <c r="F57" i="15"/>
  <c r="G44" i="15"/>
  <c r="F40" i="15"/>
  <c r="F35" i="15"/>
  <c r="F27" i="15"/>
  <c r="F24" i="15"/>
  <c r="F19" i="15"/>
  <c r="F16" i="15"/>
  <c r="F11" i="15"/>
  <c r="F8" i="15"/>
  <c r="F3" i="15"/>
  <c r="G116" i="15"/>
  <c r="F107" i="15"/>
  <c r="F87" i="15"/>
  <c r="F78" i="15"/>
  <c r="G73" i="15"/>
  <c r="G69" i="15"/>
  <c r="F65" i="15"/>
  <c r="F60" i="15"/>
  <c r="G52" i="15"/>
  <c r="F48" i="15"/>
  <c r="F43" i="15"/>
  <c r="G34" i="15"/>
  <c r="G26" i="15"/>
  <c r="G18" i="15"/>
  <c r="G10" i="15"/>
  <c r="H70" i="15"/>
  <c r="S6" i="15"/>
  <c r="S14" i="15"/>
  <c r="O19" i="15"/>
  <c r="O46" i="15"/>
  <c r="S72" i="15"/>
  <c r="S80" i="15"/>
  <c r="S104" i="15"/>
  <c r="S112" i="15"/>
  <c r="S120" i="15"/>
  <c r="S128" i="15"/>
  <c r="O152" i="15"/>
  <c r="F154" i="15"/>
  <c r="F146" i="15"/>
  <c r="F138" i="15"/>
  <c r="F130" i="15"/>
  <c r="G124" i="15"/>
  <c r="F120" i="15"/>
  <c r="F115" i="15"/>
  <c r="G106" i="15"/>
  <c r="F95" i="15"/>
  <c r="F86" i="15"/>
  <c r="G81" i="15"/>
  <c r="G77" i="15"/>
  <c r="F73" i="15"/>
  <c r="G60" i="15"/>
  <c r="F51" i="15"/>
  <c r="G42" i="15"/>
  <c r="G39" i="15"/>
  <c r="F34" i="15"/>
  <c r="G31" i="15"/>
  <c r="G23" i="15"/>
  <c r="O12" i="15"/>
  <c r="O25" i="15"/>
  <c r="O27" i="15"/>
  <c r="S38" i="15"/>
  <c r="O43" i="15"/>
  <c r="S46" i="15"/>
  <c r="O51" i="15"/>
  <c r="O94" i="15"/>
  <c r="O102" i="15"/>
  <c r="O110" i="15"/>
  <c r="O118" i="15"/>
  <c r="O126" i="15"/>
  <c r="O134" i="15"/>
  <c r="O142" i="15"/>
  <c r="O150" i="15"/>
  <c r="S152" i="15"/>
  <c r="G153" i="15"/>
  <c r="F150" i="15"/>
  <c r="F142" i="15"/>
  <c r="F134" i="15"/>
  <c r="G114" i="15"/>
  <c r="F103" i="15"/>
  <c r="F94" i="15"/>
  <c r="G85" i="15"/>
  <c r="F81" i="15"/>
  <c r="F76" i="15"/>
  <c r="G72" i="15"/>
  <c r="G68" i="15"/>
  <c r="F59" i="15"/>
  <c r="G47" i="15"/>
  <c r="F39" i="15"/>
  <c r="F31" i="15"/>
  <c r="F23" i="15"/>
  <c r="F15" i="15"/>
  <c r="F7" i="15"/>
  <c r="S12" i="15"/>
  <c r="S25" i="15"/>
  <c r="S33" i="15"/>
  <c r="S78" i="15"/>
  <c r="S86" i="15"/>
  <c r="S94" i="15"/>
  <c r="S102" i="15"/>
  <c r="S118" i="15"/>
  <c r="S126" i="15"/>
  <c r="S134" i="15"/>
  <c r="F153" i="15"/>
  <c r="F145" i="15"/>
  <c r="F137" i="15"/>
  <c r="F129" i="15"/>
  <c r="G119" i="15"/>
  <c r="F111" i="15"/>
  <c r="F102" i="15"/>
  <c r="G93" i="15"/>
  <c r="F89" i="15"/>
  <c r="G80" i="15"/>
  <c r="G76" i="15"/>
  <c r="F72" i="15"/>
  <c r="F67" i="15"/>
  <c r="G58" i="15"/>
  <c r="F50" i="15"/>
  <c r="F47" i="15"/>
  <c r="F38" i="15"/>
  <c r="G33" i="15"/>
  <c r="F30" i="15"/>
  <c r="G25" i="15"/>
  <c r="F22" i="15"/>
  <c r="F14" i="15"/>
  <c r="F6" i="15"/>
  <c r="H91" i="15"/>
  <c r="H83" i="15"/>
  <c r="H59" i="15"/>
  <c r="H51" i="15"/>
  <c r="H43" i="15"/>
  <c r="H27" i="15"/>
  <c r="H19" i="15"/>
  <c r="F157" i="15"/>
  <c r="G154" i="15"/>
  <c r="F149" i="15"/>
  <c r="G146" i="15"/>
  <c r="F141" i="15"/>
  <c r="G138" i="15"/>
  <c r="F133" i="15"/>
  <c r="G130" i="15"/>
  <c r="F125" i="15"/>
  <c r="F117" i="15"/>
  <c r="F109" i="15"/>
  <c r="F101" i="15"/>
  <c r="F93" i="15"/>
  <c r="F85" i="15"/>
  <c r="F77" i="15"/>
  <c r="F69" i="15"/>
  <c r="F61" i="15"/>
  <c r="F53" i="15"/>
  <c r="F45" i="15"/>
  <c r="F37" i="15"/>
  <c r="F29" i="15"/>
  <c r="F21" i="15"/>
  <c r="F13" i="15"/>
  <c r="F5" i="15"/>
  <c r="G127" i="15"/>
  <c r="G126" i="15"/>
  <c r="G118" i="15"/>
  <c r="G110" i="15"/>
  <c r="G102" i="15"/>
  <c r="G94" i="15"/>
  <c r="G86" i="15"/>
  <c r="G78" i="15"/>
  <c r="G70" i="15"/>
  <c r="G62" i="15"/>
  <c r="G54" i="15"/>
  <c r="G46" i="15"/>
  <c r="G38" i="15"/>
  <c r="G30" i="15"/>
  <c r="G22" i="15"/>
  <c r="G14" i="15"/>
  <c r="G6" i="15"/>
  <c r="G155" i="15"/>
  <c r="G147" i="15"/>
  <c r="G139" i="15"/>
  <c r="G131" i="15"/>
  <c r="G123" i="15"/>
  <c r="G115" i="15"/>
  <c r="G107" i="15"/>
  <c r="G99" i="15"/>
  <c r="G91" i="15"/>
  <c r="G83" i="15"/>
  <c r="G75" i="15"/>
  <c r="G67" i="15"/>
  <c r="G59" i="15"/>
  <c r="G51" i="15"/>
  <c r="G43" i="15"/>
  <c r="G35" i="15"/>
  <c r="G27" i="15"/>
  <c r="G19" i="15"/>
  <c r="G11" i="15"/>
  <c r="G3" i="15"/>
  <c r="G128" i="15"/>
  <c r="S2" i="15"/>
  <c r="O5" i="15"/>
  <c r="S7" i="15"/>
  <c r="S15" i="15"/>
  <c r="O18" i="15"/>
  <c r="O23" i="15"/>
  <c r="O31" i="15"/>
  <c r="S41" i="15"/>
  <c r="O44" i="15"/>
  <c r="S49" i="15"/>
  <c r="O57" i="15"/>
  <c r="S62" i="15"/>
  <c r="O67" i="15"/>
  <c r="O78" i="15"/>
  <c r="O86" i="15"/>
  <c r="S88" i="15"/>
  <c r="S96" i="15"/>
  <c r="O104" i="15"/>
  <c r="S109" i="15"/>
  <c r="O112" i="15"/>
  <c r="S117" i="15"/>
  <c r="S122" i="15"/>
  <c r="O125" i="15"/>
  <c r="S130" i="15"/>
  <c r="O133" i="15"/>
  <c r="S135" i="15"/>
  <c r="S143" i="15"/>
  <c r="O146" i="15"/>
  <c r="O151" i="15"/>
  <c r="S156" i="15"/>
  <c r="S99" i="15"/>
  <c r="S29" i="15"/>
  <c r="O32" i="15"/>
  <c r="S50" i="15"/>
  <c r="O53" i="15"/>
  <c r="S55" i="15"/>
  <c r="S63" i="15"/>
  <c r="S76" i="15"/>
  <c r="O79" i="15"/>
  <c r="S89" i="15"/>
  <c r="S97" i="15"/>
  <c r="S110" i="15"/>
  <c r="S115" i="15"/>
  <c r="S136" i="15"/>
  <c r="S144" i="15"/>
  <c r="S157" i="15"/>
  <c r="S24" i="15"/>
  <c r="S45" i="15"/>
  <c r="O131" i="15"/>
  <c r="O9" i="15"/>
  <c r="O30" i="15"/>
  <c r="O38" i="15"/>
  <c r="S48" i="15"/>
  <c r="O56" i="15"/>
  <c r="S61" i="15"/>
  <c r="O64" i="15"/>
  <c r="S69" i="15"/>
  <c r="S74" i="15"/>
  <c r="O77" i="15"/>
  <c r="S82" i="15"/>
  <c r="O85" i="15"/>
  <c r="S87" i="15"/>
  <c r="S95" i="15"/>
  <c r="O98" i="15"/>
  <c r="O103" i="15"/>
  <c r="S108" i="15"/>
  <c r="O111" i="15"/>
  <c r="S121" i="15"/>
  <c r="O124" i="15"/>
  <c r="S129" i="15"/>
  <c r="O137" i="15"/>
  <c r="S142" i="15"/>
  <c r="O145" i="15"/>
  <c r="S147" i="15"/>
  <c r="S9" i="15"/>
  <c r="S17" i="15"/>
  <c r="S30" i="15"/>
  <c r="O35" i="15"/>
  <c r="O54" i="15"/>
  <c r="S56" i="15"/>
  <c r="S64" i="15"/>
  <c r="S77" i="15"/>
  <c r="S85" i="15"/>
  <c r="S90" i="15"/>
  <c r="O93" i="15"/>
  <c r="S98" i="15"/>
  <c r="O101" i="15"/>
  <c r="S103" i="15"/>
  <c r="S111" i="15"/>
  <c r="O114" i="15"/>
  <c r="O119" i="15"/>
  <c r="S124" i="15"/>
  <c r="O127" i="15"/>
  <c r="S137" i="15"/>
  <c r="S145" i="15"/>
  <c r="O155" i="15"/>
  <c r="O2" i="15"/>
  <c r="O7" i="15"/>
  <c r="O15" i="15"/>
  <c r="O28" i="15"/>
  <c r="O41" i="15"/>
  <c r="O62" i="15"/>
  <c r="O70" i="15"/>
  <c r="O88" i="15"/>
  <c r="O96" i="15"/>
  <c r="O109" i="15"/>
  <c r="O117" i="15"/>
  <c r="O130" i="15"/>
  <c r="O135" i="15"/>
  <c r="O143" i="15"/>
  <c r="O156" i="15"/>
  <c r="G2" i="15"/>
  <c r="S107" i="15"/>
  <c r="S139" i="15"/>
  <c r="O3" i="15"/>
  <c r="S28" i="15"/>
  <c r="S44" i="15"/>
  <c r="S11" i="15"/>
  <c r="S3" i="15"/>
  <c r="O10" i="15"/>
  <c r="O17" i="15"/>
  <c r="O26" i="15"/>
  <c r="O33" i="15"/>
  <c r="O42" i="15"/>
  <c r="O49" i="15"/>
  <c r="O58" i="15"/>
  <c r="O65" i="15"/>
  <c r="O74" i="15"/>
  <c r="O81" i="15"/>
  <c r="O90" i="15"/>
  <c r="O97" i="15"/>
  <c r="O106" i="15"/>
  <c r="O113" i="15"/>
  <c r="O122" i="15"/>
  <c r="O129" i="15"/>
  <c r="O138" i="15"/>
  <c r="O154" i="15"/>
  <c r="S75" i="15"/>
  <c r="O4" i="15"/>
  <c r="O20" i="15"/>
  <c r="O36" i="15"/>
  <c r="O52" i="15"/>
  <c r="O68" i="15"/>
  <c r="O84" i="15"/>
  <c r="O100" i="15"/>
  <c r="O116" i="15"/>
  <c r="O132" i="15"/>
  <c r="O148" i="15"/>
  <c r="S123" i="15"/>
  <c r="S4" i="15"/>
  <c r="S20" i="15"/>
  <c r="S36" i="15"/>
  <c r="S52" i="15"/>
  <c r="S68" i="15"/>
  <c r="S84" i="15"/>
  <c r="S100" i="15"/>
  <c r="S116" i="15"/>
  <c r="S132" i="15"/>
  <c r="S148" i="15"/>
  <c r="S27" i="15"/>
  <c r="S59" i="15"/>
  <c r="S91" i="15"/>
  <c r="S155" i="15"/>
  <c r="S35" i="15"/>
  <c r="S51" i="15"/>
  <c r="S67" i="15"/>
  <c r="S131" i="15"/>
  <c r="S19" i="15"/>
  <c r="S43" i="15"/>
  <c r="O11" i="15"/>
  <c r="O75" i="15"/>
  <c r="O83" i="15"/>
  <c r="O99" i="15"/>
  <c r="O107" i="15"/>
  <c r="O115" i="15"/>
  <c r="O123" i="15"/>
  <c r="O139" i="15"/>
  <c r="O147" i="15"/>
  <c r="V45" i="13"/>
  <c r="V62" i="13"/>
  <c r="V140" i="13"/>
  <c r="V18" i="13"/>
  <c r="V54" i="13"/>
  <c r="V61" i="13"/>
  <c r="V20" i="13"/>
  <c r="S26" i="13"/>
  <c r="R26" i="13"/>
  <c r="V26" i="13" s="1"/>
  <c r="R34" i="13"/>
  <c r="S34" i="13"/>
  <c r="V34" i="13" s="1"/>
  <c r="R64" i="13"/>
  <c r="S64" i="13"/>
  <c r="R107" i="13"/>
  <c r="S107" i="13"/>
  <c r="V107" i="13" s="1"/>
  <c r="R152" i="13"/>
  <c r="S152" i="13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2" i="14"/>
  <c r="R7" i="13"/>
  <c r="S7" i="13"/>
  <c r="K9" i="14"/>
  <c r="K10" i="14"/>
  <c r="K11" i="14"/>
  <c r="K18" i="14"/>
  <c r="K19" i="14"/>
  <c r="K20" i="14"/>
  <c r="R22" i="13"/>
  <c r="S22" i="13"/>
  <c r="R24" i="13"/>
  <c r="S24" i="13"/>
  <c r="K26" i="14"/>
  <c r="R29" i="13"/>
  <c r="S29" i="13"/>
  <c r="K30" i="14"/>
  <c r="R31" i="13"/>
  <c r="S31" i="13"/>
  <c r="S32" i="13"/>
  <c r="R32" i="13"/>
  <c r="K34" i="14"/>
  <c r="R39" i="13"/>
  <c r="S39" i="13"/>
  <c r="K40" i="14"/>
  <c r="K41" i="14"/>
  <c r="K43" i="14"/>
  <c r="K45" i="14"/>
  <c r="K47" i="14"/>
  <c r="K48" i="14"/>
  <c r="K50" i="14"/>
  <c r="R51" i="13"/>
  <c r="S51" i="13"/>
  <c r="R52" i="13"/>
  <c r="S52" i="13"/>
  <c r="K54" i="14"/>
  <c r="K55" i="14"/>
  <c r="K56" i="14"/>
  <c r="K60" i="14"/>
  <c r="K61" i="14"/>
  <c r="K62" i="14"/>
  <c r="K63" i="14"/>
  <c r="K69" i="14"/>
  <c r="K71" i="14"/>
  <c r="R73" i="13"/>
  <c r="S73" i="13"/>
  <c r="R78" i="13"/>
  <c r="S78" i="13"/>
  <c r="K79" i="14"/>
  <c r="K84" i="14"/>
  <c r="R90" i="13"/>
  <c r="S90" i="13"/>
  <c r="R93" i="13"/>
  <c r="S93" i="13"/>
  <c r="K102" i="14"/>
  <c r="R105" i="13"/>
  <c r="S105" i="13"/>
  <c r="K107" i="14"/>
  <c r="K124" i="14"/>
  <c r="K125" i="14"/>
  <c r="R127" i="13"/>
  <c r="S127" i="13"/>
  <c r="K131" i="14"/>
  <c r="K140" i="14"/>
  <c r="R15" i="13"/>
  <c r="S15" i="13"/>
  <c r="R17" i="13"/>
  <c r="S17" i="13"/>
  <c r="R80" i="13"/>
  <c r="S80" i="13"/>
  <c r="R82" i="13"/>
  <c r="S82" i="13"/>
  <c r="R119" i="13"/>
  <c r="S119" i="13"/>
  <c r="R122" i="13"/>
  <c r="S122" i="13"/>
  <c r="R128" i="13"/>
  <c r="S128" i="13"/>
  <c r="R129" i="13"/>
  <c r="V129" i="13" s="1"/>
  <c r="S129" i="13"/>
  <c r="R13" i="13"/>
  <c r="V13" i="13" s="1"/>
  <c r="S13" i="13"/>
  <c r="R14" i="13"/>
  <c r="V14" i="13" s="1"/>
  <c r="S14" i="13"/>
  <c r="R21" i="13"/>
  <c r="V21" i="13" s="1"/>
  <c r="S21" i="13"/>
  <c r="S28" i="13"/>
  <c r="R28" i="13"/>
  <c r="R57" i="13"/>
  <c r="S57" i="13"/>
  <c r="S59" i="13"/>
  <c r="R59" i="13"/>
  <c r="R65" i="13"/>
  <c r="S65" i="13"/>
  <c r="R77" i="13"/>
  <c r="V77" i="13" s="1"/>
  <c r="S77" i="13"/>
  <c r="R83" i="13"/>
  <c r="S83" i="13"/>
  <c r="R91" i="13"/>
  <c r="S91" i="13"/>
  <c r="R123" i="13"/>
  <c r="V123" i="13" s="1"/>
  <c r="S123" i="13"/>
  <c r="R157" i="13"/>
  <c r="S157" i="13"/>
  <c r="R164" i="13"/>
  <c r="V164" i="13" s="1"/>
  <c r="S164" i="13"/>
  <c r="R16" i="13"/>
  <c r="S16" i="13"/>
  <c r="R23" i="13"/>
  <c r="V23" i="13" s="1"/>
  <c r="S23" i="13"/>
  <c r="R35" i="13"/>
  <c r="S35" i="13"/>
  <c r="R44" i="13"/>
  <c r="S44" i="13"/>
  <c r="R49" i="13"/>
  <c r="V49" i="13" s="1"/>
  <c r="S49" i="13"/>
  <c r="R66" i="13"/>
  <c r="V66" i="13" s="1"/>
  <c r="S66" i="13"/>
  <c r="R67" i="13"/>
  <c r="S67" i="13"/>
  <c r="R68" i="13"/>
  <c r="S68" i="13"/>
  <c r="S70" i="13"/>
  <c r="R70" i="13"/>
  <c r="R81" i="13"/>
  <c r="S81" i="13"/>
  <c r="R85" i="13"/>
  <c r="S85" i="13"/>
  <c r="R86" i="13"/>
  <c r="S86" i="13"/>
  <c r="R87" i="13"/>
  <c r="S87" i="13"/>
  <c r="R89" i="13"/>
  <c r="V89" i="13" s="1"/>
  <c r="S89" i="13"/>
  <c r="R92" i="13"/>
  <c r="S92" i="13"/>
  <c r="R96" i="13"/>
  <c r="S96" i="13"/>
  <c r="R100" i="13"/>
  <c r="S100" i="13"/>
  <c r="R101" i="13"/>
  <c r="S101" i="13"/>
  <c r="R106" i="13"/>
  <c r="S106" i="13"/>
  <c r="R110" i="13"/>
  <c r="S110" i="13"/>
  <c r="R112" i="13"/>
  <c r="V112" i="13" s="1"/>
  <c r="S112" i="13"/>
  <c r="R115" i="13"/>
  <c r="S115" i="13"/>
  <c r="R116" i="13"/>
  <c r="S116" i="13"/>
  <c r="R132" i="13"/>
  <c r="S132" i="13"/>
  <c r="R143" i="13"/>
  <c r="S143" i="13"/>
  <c r="R145" i="13"/>
  <c r="S145" i="13"/>
  <c r="R146" i="13"/>
  <c r="S146" i="13"/>
  <c r="R150" i="13"/>
  <c r="S150" i="13"/>
  <c r="R154" i="13"/>
  <c r="S154" i="13"/>
  <c r="R158" i="13"/>
  <c r="S158" i="13"/>
  <c r="R160" i="13"/>
  <c r="S160" i="13"/>
  <c r="R162" i="13"/>
  <c r="V162" i="13" s="1"/>
  <c r="S162" i="13"/>
  <c r="S2" i="13"/>
  <c r="R2" i="13"/>
  <c r="S3" i="13"/>
  <c r="R3" i="13"/>
  <c r="R4" i="13"/>
  <c r="V4" i="13" s="1"/>
  <c r="S4" i="13"/>
  <c r="S5" i="13"/>
  <c r="R5" i="13"/>
  <c r="S6" i="13"/>
  <c r="R6" i="13"/>
  <c r="S8" i="13"/>
  <c r="R8" i="13"/>
  <c r="S12" i="13"/>
  <c r="R12" i="13"/>
  <c r="S25" i="13"/>
  <c r="R25" i="13"/>
  <c r="S27" i="13"/>
  <c r="R27" i="13"/>
  <c r="R33" i="13"/>
  <c r="V33" i="13" s="1"/>
  <c r="S33" i="13"/>
  <c r="R36" i="13"/>
  <c r="S36" i="13"/>
  <c r="R37" i="13"/>
  <c r="V37" i="13" s="1"/>
  <c r="S37" i="13"/>
  <c r="R38" i="13"/>
  <c r="S38" i="13"/>
  <c r="R42" i="13"/>
  <c r="S42" i="13"/>
  <c r="S46" i="13"/>
  <c r="R46" i="13"/>
  <c r="R53" i="13"/>
  <c r="V53" i="13" s="1"/>
  <c r="S53" i="13"/>
  <c r="R58" i="13"/>
  <c r="V58" i="13" s="1"/>
  <c r="S58" i="13"/>
  <c r="S72" i="13"/>
  <c r="R72" i="13"/>
  <c r="R74" i="13"/>
  <c r="S74" i="13"/>
  <c r="R75" i="13"/>
  <c r="V75" i="13" s="1"/>
  <c r="S75" i="13"/>
  <c r="R76" i="13"/>
  <c r="S76" i="13"/>
  <c r="R88" i="13"/>
  <c r="S88" i="13"/>
  <c r="R94" i="13"/>
  <c r="V94" i="13" s="1"/>
  <c r="S94" i="13"/>
  <c r="R95" i="13"/>
  <c r="V95" i="13" s="1"/>
  <c r="S95" i="13"/>
  <c r="R97" i="13"/>
  <c r="S97" i="13"/>
  <c r="R98" i="13"/>
  <c r="S98" i="13"/>
  <c r="R99" i="13"/>
  <c r="S99" i="13"/>
  <c r="R103" i="13"/>
  <c r="V103" i="13" s="1"/>
  <c r="S103" i="13"/>
  <c r="R104" i="13"/>
  <c r="S104" i="13"/>
  <c r="R108" i="13"/>
  <c r="S108" i="13"/>
  <c r="R109" i="13"/>
  <c r="V109" i="13" s="1"/>
  <c r="S109" i="13"/>
  <c r="R111" i="13"/>
  <c r="S111" i="13"/>
  <c r="R113" i="13"/>
  <c r="V113" i="13" s="1"/>
  <c r="S113" i="13"/>
  <c r="R114" i="13"/>
  <c r="S114" i="13"/>
  <c r="R117" i="13"/>
  <c r="S117" i="13"/>
  <c r="R118" i="13"/>
  <c r="S118" i="13"/>
  <c r="R120" i="13"/>
  <c r="S120" i="13"/>
  <c r="R121" i="13"/>
  <c r="V121" i="13" s="1"/>
  <c r="S121" i="13"/>
  <c r="R130" i="13"/>
  <c r="S130" i="13"/>
  <c r="R133" i="13"/>
  <c r="S133" i="13"/>
  <c r="R134" i="13"/>
  <c r="V134" i="13" s="1"/>
  <c r="S134" i="13"/>
  <c r="R135" i="13"/>
  <c r="S135" i="13"/>
  <c r="R136" i="13"/>
  <c r="S136" i="13"/>
  <c r="R137" i="13"/>
  <c r="V137" i="13" s="1"/>
  <c r="S137" i="13"/>
  <c r="R138" i="13"/>
  <c r="S138" i="13"/>
  <c r="R139" i="13"/>
  <c r="S139" i="13"/>
  <c r="R141" i="13"/>
  <c r="V141" i="13" s="1"/>
  <c r="S141" i="13"/>
  <c r="R142" i="13"/>
  <c r="S142" i="13"/>
  <c r="R144" i="13"/>
  <c r="S144" i="13"/>
  <c r="R147" i="13"/>
  <c r="V147" i="13" s="1"/>
  <c r="S147" i="13"/>
  <c r="R148" i="13"/>
  <c r="S148" i="13"/>
  <c r="S149" i="13"/>
  <c r="R149" i="13"/>
  <c r="R151" i="13"/>
  <c r="S151" i="13"/>
  <c r="R153" i="13"/>
  <c r="V153" i="13" s="1"/>
  <c r="S153" i="13"/>
  <c r="R155" i="13"/>
  <c r="S155" i="13"/>
  <c r="S156" i="13"/>
  <c r="R156" i="13"/>
  <c r="R159" i="13"/>
  <c r="S159" i="13"/>
  <c r="R161" i="13"/>
  <c r="S161" i="13"/>
  <c r="R163" i="13"/>
  <c r="V163" i="13" s="1"/>
  <c r="S163" i="13"/>
  <c r="R126" i="13"/>
  <c r="S126" i="13"/>
  <c r="F2" i="13"/>
  <c r="G2" i="13"/>
  <c r="H2" i="13"/>
  <c r="F3" i="13"/>
  <c r="G3" i="13"/>
  <c r="H3" i="13"/>
  <c r="F4" i="13"/>
  <c r="G4" i="13"/>
  <c r="H4" i="13"/>
  <c r="F5" i="13"/>
  <c r="G5" i="13"/>
  <c r="H5" i="13"/>
  <c r="F6" i="13"/>
  <c r="G6" i="13"/>
  <c r="H6" i="13"/>
  <c r="F7" i="13"/>
  <c r="G7" i="13"/>
  <c r="H7" i="13"/>
  <c r="F8" i="13"/>
  <c r="G8" i="13"/>
  <c r="H8" i="13"/>
  <c r="F9" i="13"/>
  <c r="L9" i="13" s="1"/>
  <c r="G9" i="13"/>
  <c r="H9" i="13"/>
  <c r="F10" i="13"/>
  <c r="G10" i="13"/>
  <c r="H10" i="13"/>
  <c r="F11" i="13"/>
  <c r="G11" i="13"/>
  <c r="H11" i="13"/>
  <c r="F12" i="13"/>
  <c r="L12" i="13" s="1"/>
  <c r="G12" i="13"/>
  <c r="H12" i="13"/>
  <c r="F13" i="13"/>
  <c r="L13" i="13" s="1"/>
  <c r="G13" i="13"/>
  <c r="H13" i="13"/>
  <c r="F14" i="13"/>
  <c r="G14" i="13"/>
  <c r="H14" i="13"/>
  <c r="F15" i="13"/>
  <c r="G15" i="13"/>
  <c r="H15" i="13"/>
  <c r="F16" i="13"/>
  <c r="G16" i="13"/>
  <c r="H16" i="13"/>
  <c r="F17" i="13"/>
  <c r="L17" i="13" s="1"/>
  <c r="H17" i="13"/>
  <c r="G17" i="13"/>
  <c r="G18" i="13"/>
  <c r="H18" i="13"/>
  <c r="F18" i="13"/>
  <c r="F19" i="13"/>
  <c r="L19" i="13" s="1"/>
  <c r="G19" i="13"/>
  <c r="H19" i="13"/>
  <c r="F20" i="13"/>
  <c r="H20" i="13"/>
  <c r="G20" i="13"/>
  <c r="H21" i="13"/>
  <c r="F21" i="13"/>
  <c r="L21" i="13" s="1"/>
  <c r="G21" i="13"/>
  <c r="F22" i="13"/>
  <c r="G22" i="13"/>
  <c r="H22" i="13"/>
  <c r="H23" i="13"/>
  <c r="F23" i="13"/>
  <c r="L23" i="13" s="1"/>
  <c r="G23" i="13"/>
  <c r="F24" i="13"/>
  <c r="L24" i="13" s="1"/>
  <c r="H24" i="13"/>
  <c r="G24" i="13"/>
  <c r="F25" i="13"/>
  <c r="L25" i="13" s="1"/>
  <c r="G25" i="13"/>
  <c r="H25" i="13"/>
  <c r="F26" i="13"/>
  <c r="L26" i="13" s="1"/>
  <c r="H26" i="13"/>
  <c r="G26" i="13"/>
  <c r="H27" i="13"/>
  <c r="G27" i="13"/>
  <c r="F27" i="13"/>
  <c r="H28" i="13"/>
  <c r="F28" i="13"/>
  <c r="L28" i="13" s="1"/>
  <c r="G28" i="13"/>
  <c r="F29" i="13"/>
  <c r="H29" i="13"/>
  <c r="G29" i="13"/>
  <c r="G30" i="13"/>
  <c r="F30" i="13"/>
  <c r="L30" i="13" s="1"/>
  <c r="H30" i="13"/>
  <c r="F31" i="13"/>
  <c r="H31" i="13"/>
  <c r="G31" i="13"/>
  <c r="F32" i="13"/>
  <c r="L32" i="13" s="1"/>
  <c r="G32" i="13"/>
  <c r="H32" i="13"/>
  <c r="H33" i="13"/>
  <c r="G33" i="13"/>
  <c r="F33" i="13"/>
  <c r="H34" i="13"/>
  <c r="F34" i="13"/>
  <c r="G34" i="13"/>
  <c r="F35" i="13"/>
  <c r="H35" i="13"/>
  <c r="G35" i="13"/>
  <c r="H36" i="13"/>
  <c r="G36" i="13"/>
  <c r="F36" i="13"/>
  <c r="F37" i="13"/>
  <c r="G37" i="13"/>
  <c r="H37" i="13"/>
  <c r="H38" i="13"/>
  <c r="F38" i="13"/>
  <c r="G38" i="13"/>
  <c r="F39" i="13"/>
  <c r="G39" i="13"/>
  <c r="H39" i="13"/>
  <c r="H40" i="13"/>
  <c r="F40" i="13"/>
  <c r="G40" i="13"/>
  <c r="G41" i="13"/>
  <c r="H41" i="13"/>
  <c r="F41" i="13"/>
  <c r="G42" i="13"/>
  <c r="H42" i="13"/>
  <c r="F42" i="13"/>
  <c r="G43" i="13"/>
  <c r="H43" i="13"/>
  <c r="F43" i="13"/>
  <c r="H44" i="13"/>
  <c r="F44" i="13"/>
  <c r="G44" i="13"/>
  <c r="G45" i="13"/>
  <c r="F45" i="13"/>
  <c r="H45" i="13"/>
  <c r="G46" i="13"/>
  <c r="F46" i="13"/>
  <c r="H46" i="13"/>
  <c r="F47" i="13"/>
  <c r="H47" i="13"/>
  <c r="G47" i="13"/>
  <c r="H48" i="13"/>
  <c r="G48" i="13"/>
  <c r="F48" i="13"/>
  <c r="F49" i="13"/>
  <c r="G49" i="13"/>
  <c r="H49" i="13"/>
  <c r="G50" i="13"/>
  <c r="H50" i="13"/>
  <c r="F50" i="13"/>
  <c r="L50" i="13" s="1"/>
  <c r="G51" i="13"/>
  <c r="H51" i="13"/>
  <c r="F51" i="13"/>
  <c r="G52" i="13"/>
  <c r="H52" i="13"/>
  <c r="F52" i="13"/>
  <c r="G53" i="13"/>
  <c r="F53" i="13"/>
  <c r="H53" i="13"/>
  <c r="F54" i="13"/>
  <c r="H54" i="13"/>
  <c r="G54" i="13"/>
  <c r="G55" i="13"/>
  <c r="F55" i="13"/>
  <c r="H55" i="13"/>
  <c r="F56" i="13"/>
  <c r="H56" i="13"/>
  <c r="G56" i="13"/>
  <c r="G57" i="13"/>
  <c r="F57" i="13"/>
  <c r="H57" i="13"/>
  <c r="G58" i="13"/>
  <c r="F58" i="13"/>
  <c r="H58" i="13"/>
  <c r="H59" i="13"/>
  <c r="F59" i="13"/>
  <c r="G59" i="13"/>
  <c r="H60" i="13"/>
  <c r="F60" i="13"/>
  <c r="G60" i="13"/>
  <c r="H61" i="13"/>
  <c r="F61" i="13"/>
  <c r="G61" i="13"/>
  <c r="H62" i="13"/>
  <c r="F62" i="13"/>
  <c r="G62" i="13"/>
  <c r="G63" i="13"/>
  <c r="F63" i="13"/>
  <c r="H63" i="13"/>
  <c r="H64" i="13"/>
  <c r="F64" i="13"/>
  <c r="G64" i="13"/>
  <c r="F65" i="13"/>
  <c r="H65" i="13"/>
  <c r="G65" i="13"/>
  <c r="G66" i="13"/>
  <c r="H66" i="13"/>
  <c r="F66" i="13"/>
  <c r="H67" i="13"/>
  <c r="F67" i="13"/>
  <c r="G67" i="13"/>
  <c r="G68" i="13"/>
  <c r="F68" i="13"/>
  <c r="H68" i="13"/>
  <c r="H69" i="13"/>
  <c r="F69" i="13"/>
  <c r="G69" i="13"/>
  <c r="H70" i="13"/>
  <c r="G70" i="13"/>
  <c r="F70" i="13"/>
  <c r="H71" i="13"/>
  <c r="G71" i="13"/>
  <c r="F71" i="13"/>
  <c r="F72" i="13"/>
  <c r="H72" i="13"/>
  <c r="G72" i="13"/>
  <c r="H73" i="13"/>
  <c r="G73" i="13"/>
  <c r="F73" i="13"/>
  <c r="F74" i="13"/>
  <c r="G74" i="13"/>
  <c r="H74" i="13"/>
  <c r="F75" i="13"/>
  <c r="G75" i="13"/>
  <c r="H75" i="13"/>
  <c r="G76" i="13"/>
  <c r="F76" i="13"/>
  <c r="H76" i="13"/>
  <c r="F77" i="13"/>
  <c r="H77" i="13"/>
  <c r="G77" i="13"/>
  <c r="G78" i="13"/>
  <c r="H78" i="13"/>
  <c r="F78" i="13"/>
  <c r="L78" i="13" s="1"/>
  <c r="H79" i="13"/>
  <c r="G79" i="13"/>
  <c r="F79" i="13"/>
  <c r="F80" i="13"/>
  <c r="L80" i="13" s="1"/>
  <c r="G80" i="13"/>
  <c r="H80" i="13"/>
  <c r="F81" i="13"/>
  <c r="G81" i="13"/>
  <c r="H81" i="13"/>
  <c r="G82" i="13"/>
  <c r="H82" i="13"/>
  <c r="F82" i="13"/>
  <c r="G83" i="13"/>
  <c r="H83" i="13"/>
  <c r="F83" i="13"/>
  <c r="H84" i="13"/>
  <c r="G84" i="13"/>
  <c r="F84" i="13"/>
  <c r="H85" i="13"/>
  <c r="G85" i="13"/>
  <c r="F85" i="13"/>
  <c r="F86" i="13"/>
  <c r="H86" i="13"/>
  <c r="G86" i="13"/>
  <c r="G87" i="13"/>
  <c r="F87" i="13"/>
  <c r="L87" i="13" s="1"/>
  <c r="H87" i="13"/>
  <c r="H88" i="13"/>
  <c r="G88" i="13"/>
  <c r="F88" i="13"/>
  <c r="H89" i="13"/>
  <c r="F89" i="13"/>
  <c r="G89" i="13"/>
  <c r="G90" i="13"/>
  <c r="H90" i="13"/>
  <c r="F90" i="13"/>
  <c r="F91" i="13"/>
  <c r="L91" i="13" s="1"/>
  <c r="G91" i="13"/>
  <c r="H91" i="13"/>
  <c r="G92" i="13"/>
  <c r="F92" i="13"/>
  <c r="L92" i="13" s="1"/>
  <c r="H92" i="13"/>
  <c r="H93" i="13"/>
  <c r="G93" i="13"/>
  <c r="F93" i="13"/>
  <c r="G94" i="13"/>
  <c r="H94" i="13"/>
  <c r="F94" i="13"/>
  <c r="G95" i="13"/>
  <c r="F95" i="13"/>
  <c r="H95" i="13"/>
  <c r="G96" i="13"/>
  <c r="F96" i="13"/>
  <c r="H96" i="13"/>
  <c r="H97" i="13"/>
  <c r="G97" i="13"/>
  <c r="F97" i="13"/>
  <c r="H98" i="13"/>
  <c r="G98" i="13"/>
  <c r="F98" i="13"/>
  <c r="G99" i="13"/>
  <c r="F99" i="13"/>
  <c r="L99" i="13" s="1"/>
  <c r="H99" i="13"/>
  <c r="H100" i="13"/>
  <c r="G100" i="13"/>
  <c r="F100" i="13"/>
  <c r="H101" i="13"/>
  <c r="F101" i="13"/>
  <c r="G101" i="13"/>
  <c r="H102" i="13"/>
  <c r="F102" i="13"/>
  <c r="L102" i="13" s="1"/>
  <c r="G102" i="13"/>
  <c r="H103" i="13"/>
  <c r="G103" i="13"/>
  <c r="F103" i="13"/>
  <c r="H104" i="13"/>
  <c r="F104" i="13"/>
  <c r="G104" i="13"/>
  <c r="G105" i="13"/>
  <c r="F105" i="13"/>
  <c r="L105" i="13" s="1"/>
  <c r="H105" i="13"/>
  <c r="G106" i="13"/>
  <c r="H106" i="13"/>
  <c r="F106" i="13"/>
  <c r="G107" i="13"/>
  <c r="H107" i="13"/>
  <c r="F107" i="13"/>
  <c r="G108" i="13"/>
  <c r="H108" i="13"/>
  <c r="F108" i="13"/>
  <c r="F109" i="13"/>
  <c r="L109" i="13" s="1"/>
  <c r="G109" i="13"/>
  <c r="H109" i="13"/>
  <c r="F110" i="13"/>
  <c r="H110" i="13"/>
  <c r="G110" i="13"/>
  <c r="H111" i="13"/>
  <c r="F111" i="13"/>
  <c r="L111" i="13" s="1"/>
  <c r="G111" i="13"/>
  <c r="F112" i="13"/>
  <c r="H112" i="13"/>
  <c r="G112" i="13"/>
  <c r="F113" i="13"/>
  <c r="H113" i="13"/>
  <c r="G113" i="13"/>
  <c r="H114" i="13"/>
  <c r="G114" i="13"/>
  <c r="F114" i="13"/>
  <c r="F115" i="13"/>
  <c r="G115" i="13"/>
  <c r="H115" i="13"/>
  <c r="G116" i="13"/>
  <c r="F116" i="13"/>
  <c r="H116" i="13"/>
  <c r="H117" i="13"/>
  <c r="F117" i="13"/>
  <c r="G117" i="13"/>
  <c r="H118" i="13"/>
  <c r="G118" i="13"/>
  <c r="F118" i="13"/>
  <c r="H119" i="13"/>
  <c r="F119" i="13"/>
  <c r="L119" i="13" s="1"/>
  <c r="G119" i="13"/>
  <c r="G120" i="13"/>
  <c r="H120" i="13"/>
  <c r="F120" i="13"/>
  <c r="G121" i="13"/>
  <c r="H121" i="13"/>
  <c r="F121" i="13"/>
  <c r="F122" i="13"/>
  <c r="L122" i="13" s="1"/>
  <c r="G122" i="13"/>
  <c r="H122" i="13"/>
  <c r="F123" i="13"/>
  <c r="G123" i="13"/>
  <c r="H123" i="13"/>
  <c r="G124" i="13"/>
  <c r="H124" i="13"/>
  <c r="F124" i="13"/>
  <c r="H125" i="13"/>
  <c r="G125" i="13"/>
  <c r="F125" i="13"/>
  <c r="H126" i="13"/>
  <c r="F126" i="13"/>
  <c r="G126" i="13"/>
  <c r="G127" i="13"/>
  <c r="F127" i="13"/>
  <c r="H127" i="13"/>
  <c r="G128" i="13"/>
  <c r="H128" i="13"/>
  <c r="F128" i="13"/>
  <c r="F129" i="13"/>
  <c r="G129" i="13"/>
  <c r="H129" i="13"/>
  <c r="F130" i="13"/>
  <c r="G130" i="13"/>
  <c r="H130" i="13"/>
  <c r="G131" i="13"/>
  <c r="H131" i="13"/>
  <c r="F131" i="13"/>
  <c r="G132" i="13"/>
  <c r="F132" i="13"/>
  <c r="H132" i="13"/>
  <c r="G133" i="13"/>
  <c r="H133" i="13"/>
  <c r="F133" i="13"/>
  <c r="G134" i="13"/>
  <c r="H134" i="13"/>
  <c r="F134" i="13"/>
  <c r="H135" i="13"/>
  <c r="G135" i="13"/>
  <c r="F135" i="13"/>
  <c r="H136" i="13"/>
  <c r="G136" i="13"/>
  <c r="F136" i="13"/>
  <c r="G137" i="13"/>
  <c r="H137" i="13"/>
  <c r="F137" i="13"/>
  <c r="G138" i="13"/>
  <c r="F138" i="13"/>
  <c r="H138" i="13"/>
  <c r="H139" i="13"/>
  <c r="F139" i="13"/>
  <c r="G139" i="13"/>
  <c r="G140" i="13"/>
  <c r="H140" i="13"/>
  <c r="F140" i="13"/>
  <c r="G141" i="13"/>
  <c r="F141" i="13"/>
  <c r="H141" i="13"/>
  <c r="H142" i="13"/>
  <c r="F142" i="13"/>
  <c r="L142" i="13" s="1"/>
  <c r="G142" i="13"/>
  <c r="F143" i="13"/>
  <c r="H143" i="13"/>
  <c r="G143" i="13"/>
  <c r="F144" i="13"/>
  <c r="G144" i="13"/>
  <c r="H144" i="13"/>
  <c r="F145" i="13"/>
  <c r="L145" i="13" s="1"/>
  <c r="G145" i="13"/>
  <c r="H145" i="13"/>
  <c r="H146" i="13"/>
  <c r="G146" i="13"/>
  <c r="F146" i="13"/>
  <c r="H147" i="13"/>
  <c r="F147" i="13"/>
  <c r="L147" i="13" s="1"/>
  <c r="G147" i="13"/>
  <c r="G148" i="13"/>
  <c r="H148" i="13"/>
  <c r="F148" i="13"/>
  <c r="F149" i="13"/>
  <c r="L149" i="13" s="1"/>
  <c r="H149" i="13"/>
  <c r="G149" i="13"/>
  <c r="H150" i="13"/>
  <c r="G150" i="13"/>
  <c r="F150" i="13"/>
  <c r="G151" i="13"/>
  <c r="H151" i="13"/>
  <c r="F151" i="13"/>
  <c r="H152" i="13"/>
  <c r="F152" i="13"/>
  <c r="L152" i="13" s="1"/>
  <c r="G152" i="13"/>
  <c r="G153" i="13"/>
  <c r="F153" i="13"/>
  <c r="L153" i="13" s="1"/>
  <c r="H153" i="13"/>
  <c r="G154" i="13"/>
  <c r="H154" i="13"/>
  <c r="F154" i="13"/>
  <c r="H155" i="13"/>
  <c r="G155" i="13"/>
  <c r="F155" i="13"/>
  <c r="F156" i="13"/>
  <c r="L156" i="13" s="1"/>
  <c r="G156" i="13"/>
  <c r="H156" i="13"/>
  <c r="F157" i="13"/>
  <c r="L157" i="13" s="1"/>
  <c r="G157" i="13"/>
  <c r="H157" i="13"/>
  <c r="F158" i="13"/>
  <c r="G158" i="13"/>
  <c r="H158" i="13"/>
  <c r="F159" i="13"/>
  <c r="G159" i="13"/>
  <c r="H159" i="13"/>
  <c r="G160" i="13"/>
  <c r="H160" i="13"/>
  <c r="F160" i="13"/>
  <c r="G161" i="13"/>
  <c r="H161" i="13"/>
  <c r="F161" i="13"/>
  <c r="F162" i="13"/>
  <c r="H162" i="13"/>
  <c r="G162" i="13"/>
  <c r="H163" i="13"/>
  <c r="F163" i="13"/>
  <c r="L163" i="13" s="1"/>
  <c r="G163" i="13"/>
  <c r="H164" i="13"/>
  <c r="F164" i="13"/>
  <c r="G164" i="13"/>
  <c r="F165" i="13"/>
  <c r="L165" i="13" s="1"/>
  <c r="H165" i="13"/>
  <c r="G165" i="13"/>
  <c r="H2" i="7"/>
  <c r="G2" i="7"/>
  <c r="X4" i="15" l="1"/>
  <c r="X3" i="15"/>
  <c r="W2" i="15"/>
  <c r="W4" i="15"/>
  <c r="X2" i="15"/>
  <c r="V64" i="13"/>
  <c r="V152" i="13"/>
  <c r="V157" i="13"/>
  <c r="V67" i="13"/>
  <c r="V68" i="13"/>
  <c r="V87" i="13"/>
  <c r="V106" i="13"/>
  <c r="V115" i="13"/>
  <c r="V145" i="13"/>
  <c r="V135" i="13"/>
  <c r="L15" i="13"/>
  <c r="V91" i="13"/>
  <c r="V16" i="13"/>
  <c r="V35" i="13"/>
  <c r="V154" i="13"/>
  <c r="V158" i="13"/>
  <c r="V160" i="13"/>
  <c r="V36" i="13"/>
  <c r="V42" i="13"/>
  <c r="V97" i="13"/>
  <c r="V98" i="13"/>
  <c r="V142" i="13"/>
  <c r="V144" i="13"/>
  <c r="L16" i="13"/>
  <c r="L20" i="13"/>
  <c r="L34" i="13"/>
  <c r="L95" i="13"/>
  <c r="L164" i="13"/>
  <c r="V15" i="13"/>
  <c r="V17" i="13"/>
  <c r="V80" i="13"/>
  <c r="V82" i="13"/>
  <c r="V119" i="13"/>
  <c r="V122" i="13"/>
  <c r="V128" i="13"/>
  <c r="V57" i="13"/>
  <c r="V65" i="13"/>
  <c r="V44" i="13"/>
  <c r="V81" i="13"/>
  <c r="V85" i="13"/>
  <c r="V100" i="13"/>
  <c r="V101" i="13"/>
  <c r="V116" i="13"/>
  <c r="V146" i="13"/>
  <c r="V150" i="13"/>
  <c r="V74" i="13"/>
  <c r="V99" i="13"/>
  <c r="V104" i="13"/>
  <c r="V108" i="13"/>
  <c r="V111" i="13"/>
  <c r="V136" i="13"/>
  <c r="V138" i="13"/>
  <c r="V139" i="13"/>
  <c r="V159" i="13"/>
  <c r="V161" i="13"/>
  <c r="V83" i="13"/>
  <c r="V86" i="13"/>
  <c r="V92" i="13"/>
  <c r="V96" i="13"/>
  <c r="V110" i="13"/>
  <c r="V132" i="13"/>
  <c r="V143" i="13"/>
  <c r="V38" i="13"/>
  <c r="V76" i="13"/>
  <c r="V88" i="13"/>
  <c r="V114" i="13"/>
  <c r="V117" i="13"/>
  <c r="V118" i="13"/>
  <c r="V120" i="13"/>
  <c r="V130" i="13"/>
  <c r="V133" i="13"/>
  <c r="V148" i="13"/>
  <c r="V151" i="13"/>
  <c r="V155" i="13"/>
  <c r="V126" i="13"/>
  <c r="L29" i="13"/>
  <c r="L31" i="13"/>
  <c r="L81" i="13"/>
  <c r="L115" i="13"/>
  <c r="L144" i="13"/>
  <c r="L159" i="13"/>
  <c r="V7" i="13"/>
  <c r="V22" i="13"/>
  <c r="V24" i="13"/>
  <c r="V29" i="13"/>
  <c r="V31" i="13"/>
  <c r="V39" i="13"/>
  <c r="V51" i="13"/>
  <c r="V52" i="13"/>
  <c r="V73" i="13"/>
  <c r="V78" i="13"/>
  <c r="V90" i="13"/>
  <c r="V93" i="13"/>
  <c r="V105" i="13"/>
  <c r="V127" i="13"/>
  <c r="L22" i="13"/>
  <c r="L2" i="13"/>
  <c r="L3" i="13"/>
  <c r="L4" i="13"/>
  <c r="L5" i="13"/>
  <c r="L6" i="13"/>
  <c r="L7" i="13"/>
  <c r="L8" i="13"/>
  <c r="L10" i="13"/>
  <c r="L11" i="13"/>
  <c r="L14" i="13"/>
  <c r="L35" i="13"/>
  <c r="L37" i="13"/>
  <c r="L38" i="13"/>
  <c r="L39" i="13"/>
  <c r="L40" i="13"/>
  <c r="L44" i="13"/>
  <c r="L45" i="13"/>
  <c r="L46" i="13"/>
  <c r="L47" i="13"/>
  <c r="L49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7" i="13"/>
  <c r="L68" i="13"/>
  <c r="L69" i="13"/>
  <c r="L72" i="13"/>
  <c r="L74" i="13"/>
  <c r="L75" i="13"/>
  <c r="L76" i="13"/>
  <c r="L77" i="13"/>
  <c r="L86" i="13"/>
  <c r="L89" i="13"/>
  <c r="L101" i="13"/>
  <c r="L110" i="13"/>
  <c r="L112" i="13"/>
  <c r="L113" i="13"/>
  <c r="L117" i="13"/>
  <c r="L96" i="13"/>
  <c r="L104" i="13"/>
  <c r="L116" i="13"/>
  <c r="L143" i="13"/>
  <c r="L158" i="13"/>
  <c r="L162" i="13"/>
  <c r="L123" i="13"/>
  <c r="L126" i="13"/>
  <c r="L127" i="13"/>
  <c r="L129" i="13"/>
  <c r="L130" i="13"/>
  <c r="L132" i="13"/>
  <c r="L138" i="13"/>
  <c r="L139" i="13"/>
  <c r="L141" i="13"/>
  <c r="V32" i="13"/>
  <c r="K15" i="14"/>
  <c r="K17" i="14"/>
  <c r="K80" i="14"/>
  <c r="K82" i="14"/>
  <c r="K119" i="14"/>
  <c r="K129" i="14"/>
  <c r="K13" i="14"/>
  <c r="K14" i="14"/>
  <c r="K21" i="14"/>
  <c r="V28" i="13"/>
  <c r="V59" i="13"/>
  <c r="K77" i="14"/>
  <c r="K123" i="14"/>
  <c r="K23" i="14"/>
  <c r="K49" i="14"/>
  <c r="K66" i="14"/>
  <c r="V70" i="13"/>
  <c r="K89" i="14"/>
  <c r="K112" i="14"/>
  <c r="V2" i="13"/>
  <c r="V3" i="13"/>
  <c r="K4" i="14"/>
  <c r="V5" i="13"/>
  <c r="V6" i="13"/>
  <c r="V8" i="13"/>
  <c r="V12" i="13"/>
  <c r="V25" i="13"/>
  <c r="V27" i="13"/>
  <c r="K33" i="14"/>
  <c r="K37" i="14"/>
  <c r="V46" i="13"/>
  <c r="K53" i="14"/>
  <c r="K58" i="14"/>
  <c r="V72" i="13"/>
  <c r="K75" i="14"/>
  <c r="K94" i="14"/>
  <c r="K95" i="14"/>
  <c r="K103" i="14"/>
  <c r="K109" i="14"/>
  <c r="K113" i="14"/>
  <c r="K121" i="14"/>
  <c r="K134" i="14"/>
  <c r="K137" i="14"/>
  <c r="K141" i="14"/>
  <c r="K147" i="14"/>
  <c r="V149" i="13"/>
  <c r="K153" i="14"/>
  <c r="V156" i="13"/>
  <c r="L18" i="13"/>
  <c r="L27" i="13"/>
  <c r="L33" i="13"/>
  <c r="L36" i="13"/>
  <c r="L41" i="13"/>
  <c r="L42" i="13"/>
  <c r="L43" i="13"/>
  <c r="L48" i="13"/>
  <c r="L51" i="13"/>
  <c r="L52" i="13"/>
  <c r="L66" i="13"/>
  <c r="L70" i="13"/>
  <c r="L71" i="13"/>
  <c r="L73" i="13"/>
  <c r="L79" i="13"/>
  <c r="L82" i="13"/>
  <c r="L83" i="13"/>
  <c r="L84" i="13"/>
  <c r="L85" i="13"/>
  <c r="L88" i="13"/>
  <c r="L90" i="13"/>
  <c r="L93" i="13"/>
  <c r="L94" i="13"/>
  <c r="L97" i="13"/>
  <c r="L98" i="13"/>
  <c r="L100" i="13"/>
  <c r="L103" i="13"/>
  <c r="L106" i="13"/>
  <c r="L107" i="13"/>
  <c r="L108" i="13"/>
  <c r="L114" i="13"/>
  <c r="L118" i="13"/>
  <c r="L120" i="13"/>
  <c r="L121" i="13"/>
  <c r="L124" i="13"/>
  <c r="L125" i="13"/>
  <c r="L128" i="13"/>
  <c r="L131" i="13"/>
  <c r="L133" i="13"/>
  <c r="L134" i="13"/>
  <c r="L135" i="13"/>
  <c r="L136" i="13"/>
  <c r="L137" i="13"/>
  <c r="L140" i="13"/>
  <c r="L146" i="13"/>
  <c r="L148" i="13"/>
  <c r="L150" i="13"/>
  <c r="L151" i="13"/>
  <c r="L154" i="13"/>
  <c r="L155" i="13"/>
  <c r="L160" i="13"/>
  <c r="L161" i="13"/>
  <c r="K64" i="14" l="1"/>
  <c r="K152" i="14"/>
  <c r="K157" i="14"/>
  <c r="K67" i="14"/>
  <c r="K68" i="14"/>
  <c r="K87" i="14"/>
  <c r="K106" i="14"/>
  <c r="K115" i="14"/>
  <c r="K145" i="14"/>
  <c r="K135" i="14"/>
  <c r="K91" i="14"/>
  <c r="K16" i="14"/>
  <c r="K35" i="14"/>
  <c r="K154" i="14"/>
  <c r="K36" i="14"/>
  <c r="K42" i="14"/>
  <c r="K97" i="14"/>
  <c r="K98" i="14"/>
  <c r="K142" i="14"/>
  <c r="K144" i="14"/>
  <c r="K122" i="14"/>
  <c r="K128" i="14"/>
  <c r="K57" i="14"/>
  <c r="K65" i="14"/>
  <c r="K44" i="14"/>
  <c r="K81" i="14"/>
  <c r="K85" i="14"/>
  <c r="K100" i="14"/>
  <c r="K101" i="14"/>
  <c r="K116" i="14"/>
  <c r="K146" i="14"/>
  <c r="K150" i="14"/>
  <c r="K74" i="14"/>
  <c r="K99" i="14"/>
  <c r="K104" i="14"/>
  <c r="K108" i="14"/>
  <c r="K111" i="14"/>
  <c r="K136" i="14"/>
  <c r="K138" i="14"/>
  <c r="K139" i="14"/>
  <c r="K83" i="14"/>
  <c r="K86" i="14"/>
  <c r="K92" i="14"/>
  <c r="K96" i="14"/>
  <c r="K110" i="14"/>
  <c r="K132" i="14"/>
  <c r="K143" i="14"/>
  <c r="K38" i="14"/>
  <c r="K76" i="14"/>
  <c r="K88" i="14"/>
  <c r="K114" i="14"/>
  <c r="K117" i="14"/>
  <c r="K118" i="14"/>
  <c r="K120" i="14"/>
  <c r="K130" i="14"/>
  <c r="K133" i="14"/>
  <c r="K148" i="14"/>
  <c r="K151" i="14"/>
  <c r="K155" i="14"/>
  <c r="K126" i="14"/>
  <c r="K7" i="14"/>
  <c r="K22" i="14"/>
  <c r="K24" i="14"/>
  <c r="K29" i="14"/>
  <c r="K31" i="14"/>
  <c r="K39" i="14"/>
  <c r="K51" i="14"/>
  <c r="K52" i="14"/>
  <c r="K73" i="14"/>
  <c r="K78" i="14"/>
  <c r="K90" i="14"/>
  <c r="K93" i="14"/>
  <c r="K105" i="14"/>
  <c r="K127" i="14"/>
  <c r="K32" i="14"/>
  <c r="K28" i="14"/>
  <c r="K59" i="14"/>
  <c r="K70" i="14"/>
  <c r="K2" i="14"/>
  <c r="K3" i="14"/>
  <c r="K5" i="14"/>
  <c r="K6" i="14"/>
  <c r="K8" i="14"/>
  <c r="K12" i="14"/>
  <c r="K25" i="14"/>
  <c r="K27" i="14"/>
  <c r="K46" i="14"/>
  <c r="K72" i="14"/>
  <c r="K149" i="14"/>
  <c r="K156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9460CF-2161-47CE-AB24-25CCE9856D77}" keepAlive="1" name="Consulta - imobiliario" description="Conexão com a consulta 'imobiliario' na pasta de trabalho." type="5" refreshedVersion="8" background="1" saveData="1">
    <dbPr connection="Provider=Microsoft.Mashup.OleDb.1;Data Source=$Workbook$;Location=imobiliario;Extended Properties=&quot;&quot;" command="SELECT * FROM [imobiliario]"/>
  </connection>
  <connection id="2" xr16:uid="{A648E369-6AA4-40BD-95A9-693B92EBC1DA}" keepAlive="1" name="Consulta - rotativo" description="Conexão com a consulta 'rotativo' na pasta de trabalho." type="5" refreshedVersion="8" background="1" saveData="1">
    <dbPr connection="Provider=Microsoft.Mashup.OleDb.1;Data Source=$Workbook$;Location=rotativo;Extended Properties=&quot;&quot;" command="SELECT * FROM [rotativo]"/>
  </connection>
</connections>
</file>

<file path=xl/sharedStrings.xml><?xml version="1.0" encoding="utf-8"?>
<sst xmlns="http://schemas.openxmlformats.org/spreadsheetml/2006/main" count="182" uniqueCount="99">
  <si>
    <t>Data</t>
  </si>
  <si>
    <t>Capital fixo – relação capital-produto - - - Instituto de Pesquisa Econômica Aplicada - DIMAC_CFRCP</t>
  </si>
  <si>
    <t>Sondagem Industrial - Nível de Utilização da Capacidade Instalada Sem Ajuste Sazonal (CNAE 2.0)(1416216)</t>
  </si>
  <si>
    <t>ANO</t>
  </si>
  <si>
    <t>MÉDIA ANUAL</t>
  </si>
  <si>
    <t>razão capital produto</t>
  </si>
  <si>
    <t>NUCI</t>
  </si>
  <si>
    <t>razão capital produto de pleno emprego</t>
  </si>
  <si>
    <t>média 2013-25</t>
  </si>
  <si>
    <t>IPCA - variação % - Mediana - Período de 01/01/2013 a 31/12/2020 - Base: Expectativas informadas nos últimos 30 dias</t>
  </si>
  <si>
    <t>Infl. 12 m</t>
  </si>
  <si>
    <t>Infl. 12 m suav.</t>
  </si>
  <si>
    <t>432 - Taxa de juros - Meta Selic definida pelo Copom - % a.a.</t>
  </si>
  <si>
    <t>Fonte</t>
  </si>
  <si>
    <t>Copom</t>
  </si>
  <si>
    <t>IBGE</t>
  </si>
  <si>
    <t>13522 - Índice nacional de preços ao consumidor - amplo (IPCA) - em 12 meses - %</t>
  </si>
  <si>
    <t>MÊS</t>
  </si>
  <si>
    <t>DATA</t>
  </si>
  <si>
    <t>EXPECTATIVA MÉDIA DE IPCA</t>
  </si>
  <si>
    <t>SELIC MÉDIA MENSAL</t>
  </si>
  <si>
    <t>selic</t>
  </si>
  <si>
    <t>expec_IPCA</t>
  </si>
  <si>
    <t>acum_12m_IPCA</t>
  </si>
  <si>
    <t>selic_ex_ante</t>
  </si>
  <si>
    <t>selic_ex_post</t>
  </si>
  <si>
    <t>média</t>
  </si>
  <si>
    <t>2013-2025</t>
  </si>
  <si>
    <t>date</t>
  </si>
  <si>
    <t>SALDO</t>
  </si>
  <si>
    <t>AMORTIZACAO</t>
  </si>
  <si>
    <t>média 2014-2025</t>
  </si>
  <si>
    <t>rotativo</t>
  </si>
  <si>
    <t>imobiliário</t>
  </si>
  <si>
    <t>Tipo de Crédito</t>
  </si>
  <si>
    <t>B</t>
  </si>
  <si>
    <t>Z</t>
  </si>
  <si>
    <t>cheque especial, cartão de crédito rotativo, cartão de crédito parcelado</t>
  </si>
  <si>
    <t>imobiliário com taxas reguladas e imobiliário com taxas de mercado</t>
  </si>
  <si>
    <t>modalidades incluídas</t>
  </si>
  <si>
    <t>20573 - Saldo da carteira de crédito com recursos livres - Pessoas físicas - Cheque especial - R$ (milhões)</t>
  </si>
  <si>
    <t>20587 - Saldo da carteira de crédito com recursos livres - Pessoas físicas - Cartão de crédito rotativo - R$ (milhões)</t>
  </si>
  <si>
    <t>20588 - Saldo da carteira de crédito com recursos livres - Pessoas físicas - Cartão de crédito parcelado - R$ (milhões)</t>
  </si>
  <si>
    <t>20610 - Saldo da carteira de crédito com recursos direcionados - Pessoas físicas - Financiamento imobiliário com taxas de mercado - R$ (milhões)</t>
  </si>
  <si>
    <t>20611 - Saldo da carteira de crédito com recursos direcionados - Pessoas físicas - Financiamento imobiliário com taxas reguladas - R$ (milhões)</t>
  </si>
  <si>
    <t>BCB-DSTAT</t>
  </si>
  <si>
    <t>%Cheque Especial</t>
  </si>
  <si>
    <t>%CC Rotativo</t>
  </si>
  <si>
    <t>%CC Parcelado</t>
  </si>
  <si>
    <t>TOTAL MODALIDADES (B)</t>
  </si>
  <si>
    <t>TOTAL MODALIDADES (Z)</t>
  </si>
  <si>
    <t>%Imobiliário taxas mercado</t>
  </si>
  <si>
    <t>%Imobiliário taxas reguladas</t>
  </si>
  <si>
    <t>SELIC</t>
  </si>
  <si>
    <t>20741 - Taxa média de juros das operações de crédito com recursos livres - Pessoas físicas - Cheque especial - % a.a.</t>
  </si>
  <si>
    <t>22022 - Taxa média de juros das operações de crédito com recursos livres - Pessoas físicas - Cartão de crédito rotativo - % a.a.</t>
  </si>
  <si>
    <t>22023 - Taxa média de juros das operações de crédito com recursos livres - Pessoas físicas - Cartão de crédito parcelado - % a.a.</t>
  </si>
  <si>
    <t>20772 - Taxa média de juros das operações de crédito com recursos direcionados - Pessoas físicas - Financiamento imobiliário com taxas de mercado - % a.a.</t>
  </si>
  <si>
    <t>20773 - Taxa média de juros das operações de crédito com recursos direcionados - Pessoas físicas - Financiamento imobiliário com taxas reguladas - % a.a.</t>
  </si>
  <si>
    <t>TX_JUROS_PONDERADA</t>
  </si>
  <si>
    <t>i_ponderado_B</t>
  </si>
  <si>
    <t>i_ponderado_Z</t>
  </si>
  <si>
    <t>razao_i_ponderado_B_SELIC</t>
  </si>
  <si>
    <t>razao_i_ponderado_Z_SELIC</t>
  </si>
  <si>
    <t>media2013-2019</t>
  </si>
  <si>
    <t>media2020-2022</t>
  </si>
  <si>
    <t>media2023-2025</t>
  </si>
  <si>
    <t>ipca_acum_12m</t>
  </si>
  <si>
    <t>i_ponderado_B_real</t>
  </si>
  <si>
    <t>i_ponderado_Z_real</t>
  </si>
  <si>
    <t>RESUMO DOS RESULTADOS</t>
  </si>
  <si>
    <t>Estatística de regressão</t>
  </si>
  <si>
    <t>R múltiplo</t>
  </si>
  <si>
    <t>R-Quadrado</t>
  </si>
  <si>
    <t>R-quadrado ajustado</t>
  </si>
  <si>
    <t>Erro padrão</t>
  </si>
  <si>
    <t>Observações</t>
  </si>
  <si>
    <t>ANOVA</t>
  </si>
  <si>
    <t>Regressão</t>
  </si>
  <si>
    <t>Resíduo</t>
  </si>
  <si>
    <t>Total</t>
  </si>
  <si>
    <t>Interseção</t>
  </si>
  <si>
    <t>gl</t>
  </si>
  <si>
    <t>SQ</t>
  </si>
  <si>
    <t>MQ</t>
  </si>
  <si>
    <t>F</t>
  </si>
  <si>
    <t>F de significação</t>
  </si>
  <si>
    <t>Coeficientes</t>
  </si>
  <si>
    <t>Stat t</t>
  </si>
  <si>
    <t>valor-P</t>
  </si>
  <si>
    <t>95% inferiores</t>
  </si>
  <si>
    <t>95% superiores</t>
  </si>
  <si>
    <t>Inferior 95,0%</t>
  </si>
  <si>
    <t>Superior 95,0%</t>
  </si>
  <si>
    <t>Variável X 1</t>
  </si>
  <si>
    <t>RESULTADOS DE RESÍDUOS</t>
  </si>
  <si>
    <t>Observação</t>
  </si>
  <si>
    <t>Y previsto</t>
  </si>
  <si>
    <t>Resíduos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</si>
</sst>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0"/>
    <numFmt numFmtId="165" formatCode="0.0"/>
    <numFmt numFmtId="166" formatCode="_-* #,##0.000_-;\-* #,##0.0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17" fontId="0" fillId="0" borderId="0" xfId="0" applyNumberFormat="1"/>
    <xf numFmtId="2" fontId="0" fillId="0" borderId="0" xfId="0" applyNumberFormat="1"/>
    <xf numFmtId="165" fontId="0" fillId="0" borderId="0" xfId="0" applyNumberFormat="1"/>
    <xf numFmtId="0" fontId="2" fillId="0" borderId="0" xfId="3"/>
    <xf numFmtId="0" fontId="2" fillId="0" borderId="0" xfId="3" applyAlignment="1">
      <alignment horizontal="center" vertical="center"/>
    </xf>
    <xf numFmtId="14" fontId="2" fillId="0" borderId="0" xfId="3" applyNumberFormat="1" applyAlignment="1">
      <alignment horizontal="center"/>
    </xf>
    <xf numFmtId="164" fontId="2" fillId="0" borderId="0" xfId="3" applyNumberFormat="1"/>
    <xf numFmtId="14" fontId="0" fillId="0" borderId="0" xfId="0" applyNumberFormat="1"/>
    <xf numFmtId="14" fontId="2" fillId="0" borderId="0" xfId="3" applyNumberFormat="1"/>
    <xf numFmtId="0" fontId="2" fillId="2" borderId="0" xfId="3" applyFill="1"/>
    <xf numFmtId="43" fontId="0" fillId="2" borderId="0" xfId="1" applyFont="1" applyFill="1"/>
    <xf numFmtId="0" fontId="0" fillId="2" borderId="0" xfId="0" applyFill="1"/>
    <xf numFmtId="4" fontId="0" fillId="2" borderId="0" xfId="0" applyNumberFormat="1" applyFill="1"/>
    <xf numFmtId="166" fontId="0" fillId="0" borderId="0" xfId="1" applyNumberFormat="1" applyFont="1"/>
    <xf numFmtId="10" fontId="0" fillId="0" borderId="0" xfId="2" applyNumberFormat="1" applyFont="1"/>
    <xf numFmtId="10" fontId="0" fillId="0" borderId="0" xfId="0" applyNumberFormat="1"/>
    <xf numFmtId="9" fontId="0" fillId="0" borderId="0" xfId="2" applyFont="1"/>
    <xf numFmtId="3" fontId="0" fillId="0" borderId="0" xfId="0" applyNumberFormat="1"/>
    <xf numFmtId="9" fontId="0" fillId="0" borderId="0" xfId="2" applyFont="1" applyAlignment="1">
      <alignment wrapText="1"/>
    </xf>
    <xf numFmtId="0" fontId="0" fillId="3" borderId="0" xfId="0" applyFill="1" applyAlignment="1">
      <alignment wrapText="1"/>
    </xf>
    <xf numFmtId="0" fontId="0" fillId="3" borderId="0" xfId="0" applyFill="1"/>
    <xf numFmtId="0" fontId="0" fillId="4" borderId="0" xfId="0" applyFill="1" applyAlignment="1">
      <alignment wrapText="1"/>
    </xf>
    <xf numFmtId="0" fontId="0" fillId="4" borderId="0" xfId="0" applyFill="1"/>
    <xf numFmtId="43" fontId="0" fillId="0" borderId="0" xfId="1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Continuous"/>
    </xf>
  </cellXfs>
  <cellStyles count="4">
    <cellStyle name="Normal" xfId="0" builtinId="0"/>
    <cellStyle name="Normal 2" xfId="3" xr:uid="{10AA8D68-5450-4610-9DFA-5111C385039A}"/>
    <cellStyle name="Porcentagem" xfId="2" builtinId="5"/>
    <cellStyle name="Vírgula" xfId="1" builtinId="3"/>
  </cellStyles>
  <dxfs count="3"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parametro_v_un!$E$1</c:f>
              <c:strCache>
                <c:ptCount val="1"/>
                <c:pt idx="0">
                  <c:v>razão capital produto de pleno emprego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parametro_v_un!$A$2:$A$14</c:f>
              <c:numCache>
                <c:formatCode>General</c:formatCode>
                <c:ptCount val="13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2020</c:v>
                </c:pt>
                <c:pt idx="8">
                  <c:v>2021</c:v>
                </c:pt>
                <c:pt idx="9">
                  <c:v>2022</c:v>
                </c:pt>
                <c:pt idx="10">
                  <c:v>2023</c:v>
                </c:pt>
                <c:pt idx="11">
                  <c:v>2024</c:v>
                </c:pt>
                <c:pt idx="12">
                  <c:v>2025</c:v>
                </c:pt>
              </c:numCache>
            </c:numRef>
          </c:cat>
          <c:val>
            <c:numRef>
              <c:f>parametro_v_un!$E$2:$E$14</c:f>
              <c:numCache>
                <c:formatCode>General</c:formatCode>
                <c:ptCount val="13"/>
                <c:pt idx="0">
                  <c:v>1.741580434666667</c:v>
                </c:pt>
                <c:pt idx="1">
                  <c:v>1.7444085974999999</c:v>
                </c:pt>
                <c:pt idx="2">
                  <c:v>1.7134893019999999</c:v>
                </c:pt>
                <c:pt idx="3">
                  <c:v>1.7097644026666665</c:v>
                </c:pt>
                <c:pt idx="4">
                  <c:v>1.693212312</c:v>
                </c:pt>
                <c:pt idx="5">
                  <c:v>1.6914564975833335</c:v>
                </c:pt>
                <c:pt idx="6">
                  <c:v>1.6572007818333336</c:v>
                </c:pt>
                <c:pt idx="7">
                  <c:v>1.6636611539999999</c:v>
                </c:pt>
                <c:pt idx="8">
                  <c:v>1.7382176540000001</c:v>
                </c:pt>
                <c:pt idx="9">
                  <c:v>1.7279050066666668</c:v>
                </c:pt>
                <c:pt idx="10">
                  <c:v>1.6760320900000003</c:v>
                </c:pt>
                <c:pt idx="11">
                  <c:v>1.6724800040000003</c:v>
                </c:pt>
                <c:pt idx="12">
                  <c:v>1.6756159962499999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BE-41CA-A9D5-182BF64EDB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187856"/>
        <c:axId val="207033248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parametro_v_un!$B$1</c15:sqref>
                        </c15:formulaRef>
                      </c:ext>
                    </c:extLst>
                    <c:strCache>
                      <c:ptCount val="1"/>
                      <c:pt idx="0">
                        <c:v>razão capital produto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parametro_v_un!$A$2:$A$14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  <c:pt idx="5">
                        <c:v>2018</c:v>
                      </c:pt>
                      <c:pt idx="6">
                        <c:v>2019</c:v>
                      </c:pt>
                      <c:pt idx="7">
                        <c:v>2020</c:v>
                      </c:pt>
                      <c:pt idx="8">
                        <c:v>2021</c:v>
                      </c:pt>
                      <c:pt idx="9">
                        <c:v>2022</c:v>
                      </c:pt>
                      <c:pt idx="10">
                        <c:v>2023</c:v>
                      </c:pt>
                      <c:pt idx="11">
                        <c:v>2024</c:v>
                      </c:pt>
                      <c:pt idx="12">
                        <c:v>2025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parametro_v_un!$B$2:$B$14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2.1101540000000001</c:v>
                      </c:pt>
                      <c:pt idx="1">
                        <c:v>2.148066</c:v>
                      </c:pt>
                      <c:pt idx="2">
                        <c:v>2.2437659999999999</c:v>
                      </c:pt>
                      <c:pt idx="3">
                        <c:v>2.3146629999999999</c:v>
                      </c:pt>
                      <c:pt idx="4">
                        <c:v>2.2758229999999999</c:v>
                      </c:pt>
                      <c:pt idx="5">
                        <c:v>2.2297570000000002</c:v>
                      </c:pt>
                      <c:pt idx="6">
                        <c:v>2.2064140000000001</c:v>
                      </c:pt>
                      <c:pt idx="7">
                        <c:v>2.277428</c:v>
                      </c:pt>
                      <c:pt idx="8">
                        <c:v>2.1891910000000001</c:v>
                      </c:pt>
                      <c:pt idx="9">
                        <c:v>2.1420309999999998</c:v>
                      </c:pt>
                      <c:pt idx="10">
                        <c:v>2.086347</c:v>
                      </c:pt>
                      <c:pt idx="11">
                        <c:v>2.0367120000000001</c:v>
                      </c:pt>
                      <c:pt idx="12">
                        <c:v>2.044473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14BE-41CA-A9D5-182BF64EDB6E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parametro_v_un!$C$1</c15:sqref>
                        </c15:formulaRef>
                      </c:ext>
                    </c:extLst>
                    <c:strCache>
                      <c:ptCount val="1"/>
                      <c:pt idx="0">
                        <c:v>NUCI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parametro_v_un!$A$2:$A$14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  <c:pt idx="5">
                        <c:v>2018</c:v>
                      </c:pt>
                      <c:pt idx="6">
                        <c:v>2019</c:v>
                      </c:pt>
                      <c:pt idx="7">
                        <c:v>2020</c:v>
                      </c:pt>
                      <c:pt idx="8">
                        <c:v>2021</c:v>
                      </c:pt>
                      <c:pt idx="9">
                        <c:v>2022</c:v>
                      </c:pt>
                      <c:pt idx="10">
                        <c:v>2023</c:v>
                      </c:pt>
                      <c:pt idx="11">
                        <c:v>2024</c:v>
                      </c:pt>
                      <c:pt idx="12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parametro_v_un!$C$2:$C$14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82.533333333333346</c:v>
                      </c:pt>
                      <c:pt idx="1">
                        <c:v>81.208333333333329</c:v>
                      </c:pt>
                      <c:pt idx="2">
                        <c:v>76.36666666666666</c:v>
                      </c:pt>
                      <c:pt idx="3">
                        <c:v>73.86666666666666</c:v>
                      </c:pt>
                      <c:pt idx="4">
                        <c:v>74.400000000000006</c:v>
                      </c:pt>
                      <c:pt idx="5">
                        <c:v>75.858333333333334</c:v>
                      </c:pt>
                      <c:pt idx="6">
                        <c:v>75.108333333333334</c:v>
                      </c:pt>
                      <c:pt idx="7">
                        <c:v>73.05</c:v>
                      </c:pt>
                      <c:pt idx="8">
                        <c:v>79.399999999999991</c:v>
                      </c:pt>
                      <c:pt idx="9">
                        <c:v>80.666666666666671</c:v>
                      </c:pt>
                      <c:pt idx="10">
                        <c:v>80.333333333333343</c:v>
                      </c:pt>
                      <c:pt idx="11">
                        <c:v>82.116666666666674</c:v>
                      </c:pt>
                      <c:pt idx="12">
                        <c:v>81.958333333333329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4BE-41CA-A9D5-182BF64EDB6E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parametro_v_un!$D$1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parametro_v_un!$A$2:$A$14</c15:sqref>
                        </c15:formulaRef>
                      </c:ext>
                    </c:extLst>
                    <c:numCache>
                      <c:formatCode>General</c:formatCode>
                      <c:ptCount val="13"/>
                      <c:pt idx="0">
                        <c:v>2013</c:v>
                      </c:pt>
                      <c:pt idx="1">
                        <c:v>2014</c:v>
                      </c:pt>
                      <c:pt idx="2">
                        <c:v>2015</c:v>
                      </c:pt>
                      <c:pt idx="3">
                        <c:v>2016</c:v>
                      </c:pt>
                      <c:pt idx="4">
                        <c:v>2017</c:v>
                      </c:pt>
                      <c:pt idx="5">
                        <c:v>2018</c:v>
                      </c:pt>
                      <c:pt idx="6">
                        <c:v>2019</c:v>
                      </c:pt>
                      <c:pt idx="7">
                        <c:v>2020</c:v>
                      </c:pt>
                      <c:pt idx="8">
                        <c:v>2021</c:v>
                      </c:pt>
                      <c:pt idx="9">
                        <c:v>2022</c:v>
                      </c:pt>
                      <c:pt idx="10">
                        <c:v>2023</c:v>
                      </c:pt>
                      <c:pt idx="11">
                        <c:v>2024</c:v>
                      </c:pt>
                      <c:pt idx="12">
                        <c:v>2025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parametro_v_un!$D$2:$D$14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4BE-41CA-A9D5-182BF64EDB6E}"/>
                  </c:ext>
                </c:extLst>
              </c15:ser>
            </c15:filteredLineSeries>
          </c:ext>
        </c:extLst>
      </c:lineChart>
      <c:catAx>
        <c:axId val="80518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033248"/>
        <c:crosses val="autoZero"/>
        <c:auto val="1"/>
        <c:lblAlgn val="ctr"/>
        <c:lblOffset val="100"/>
        <c:noMultiLvlLbl val="0"/>
      </c:catAx>
      <c:valAx>
        <c:axId val="2070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518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parametro_i!$G$1</c:f>
              <c:strCache>
                <c:ptCount val="1"/>
                <c:pt idx="0">
                  <c:v>selic_ex_ante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parametro_i!$F$2:$F$157</c:f>
              <c:numCache>
                <c:formatCode>m/d/yyyy</c:formatCode>
                <c:ptCount val="156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</c:numCache>
            </c:numRef>
          </c:cat>
          <c:val>
            <c:numRef>
              <c:f>parametro_i!$G$2:$G$157</c:f>
              <c:numCache>
                <c:formatCode>General</c:formatCode>
                <c:ptCount val="156"/>
                <c:pt idx="0">
                  <c:v>1.6063636363636364</c:v>
                </c:pt>
                <c:pt idx="1">
                  <c:v>1.7527777777777782</c:v>
                </c:pt>
                <c:pt idx="2">
                  <c:v>1.8009999999999993</c:v>
                </c:pt>
                <c:pt idx="3">
                  <c:v>1.8969696969696974</c:v>
                </c:pt>
                <c:pt idx="4">
                  <c:v>1.9436866359447</c:v>
                </c:pt>
                <c:pt idx="5">
                  <c:v>2.3055000000000012</c:v>
                </c:pt>
                <c:pt idx="6">
                  <c:v>2.6904488078541355</c:v>
                </c:pt>
                <c:pt idx="7">
                  <c:v>2.6170234604105573</c:v>
                </c:pt>
                <c:pt idx="8">
                  <c:v>2.8200000000000012</c:v>
                </c:pt>
                <c:pt idx="9">
                  <c:v>3.1065778401122026</c:v>
                </c:pt>
                <c:pt idx="10">
                  <c:v>3.3504999999999985</c:v>
                </c:pt>
                <c:pt idx="11">
                  <c:v>3.8942857142857141</c:v>
                </c:pt>
                <c:pt idx="12">
                  <c:v>4.2139736070381213</c:v>
                </c:pt>
                <c:pt idx="13">
                  <c:v>4.4483571428571427</c:v>
                </c:pt>
                <c:pt idx="14">
                  <c:v>4.5194736842105279</c:v>
                </c:pt>
                <c:pt idx="15">
                  <c:v>4.7778333333333318</c:v>
                </c:pt>
                <c:pt idx="16">
                  <c:v>4.9961904761904758</c:v>
                </c:pt>
                <c:pt idx="17">
                  <c:v>5.0430000000000028</c:v>
                </c:pt>
                <c:pt idx="18">
                  <c:v>5.1043478260869595</c:v>
                </c:pt>
                <c:pt idx="19">
                  <c:v>4.906190476190476</c:v>
                </c:pt>
                <c:pt idx="20">
                  <c:v>4.7177272727272737</c:v>
                </c:pt>
                <c:pt idx="21">
                  <c:v>4.6365638148667614</c:v>
                </c:pt>
                <c:pt idx="22">
                  <c:v>4.7695000000000007</c:v>
                </c:pt>
                <c:pt idx="23">
                  <c:v>5.0547947214076263</c:v>
                </c:pt>
                <c:pt idx="24">
                  <c:v>5.1198617511520759</c:v>
                </c:pt>
                <c:pt idx="25">
                  <c:v>5.4438888888888872</c:v>
                </c:pt>
                <c:pt idx="26">
                  <c:v>5.8459384164222872</c:v>
                </c:pt>
                <c:pt idx="27">
                  <c:v>6.50566666666667</c:v>
                </c:pt>
                <c:pt idx="28">
                  <c:v>7.1989999999999998</c:v>
                </c:pt>
                <c:pt idx="29">
                  <c:v>7.4942857142857129</c:v>
                </c:pt>
                <c:pt idx="30">
                  <c:v>7.7622580645161294</c:v>
                </c:pt>
                <c:pt idx="31">
                  <c:v>8.5557142857142878</c:v>
                </c:pt>
                <c:pt idx="32">
                  <c:v>8.3857142857142879</c:v>
                </c:pt>
                <c:pt idx="33">
                  <c:v>7.81952380952381</c:v>
                </c:pt>
                <c:pt idx="34">
                  <c:v>7.2660000000000009</c:v>
                </c:pt>
                <c:pt idx="35">
                  <c:v>7.1090909090909085</c:v>
                </c:pt>
                <c:pt idx="36">
                  <c:v>7.1119999999999992</c:v>
                </c:pt>
                <c:pt idx="37">
                  <c:v>7.238947368421055</c:v>
                </c:pt>
                <c:pt idx="38">
                  <c:v>7.5181818181818185</c:v>
                </c:pt>
                <c:pt idx="39">
                  <c:v>7.9019999999999992</c:v>
                </c:pt>
                <c:pt idx="40">
                  <c:v>8.0980952380952385</c:v>
                </c:pt>
                <c:pt idx="41">
                  <c:v>8.2304545454545455</c:v>
                </c:pt>
                <c:pt idx="42">
                  <c:v>8.4438095238095237</c:v>
                </c:pt>
                <c:pt idx="43">
                  <c:v>8.7626086956521725</c:v>
                </c:pt>
                <c:pt idx="44">
                  <c:v>9.0233333333333334</c:v>
                </c:pt>
                <c:pt idx="45">
                  <c:v>9.1867258064516122</c:v>
                </c:pt>
                <c:pt idx="46">
                  <c:v>9.1304999999999996</c:v>
                </c:pt>
                <c:pt idx="47">
                  <c:v>8.9731818181818177</c:v>
                </c:pt>
                <c:pt idx="48">
                  <c:v>8.5434017595307914</c:v>
                </c:pt>
                <c:pt idx="49">
                  <c:v>8.2098412698412702</c:v>
                </c:pt>
                <c:pt idx="50">
                  <c:v>7.7434782608695656</c:v>
                </c:pt>
                <c:pt idx="51">
                  <c:v>7.1155555555555559</c:v>
                </c:pt>
                <c:pt idx="52">
                  <c:v>6.5945454545454547</c:v>
                </c:pt>
                <c:pt idx="53">
                  <c:v>5.8547619047619053</c:v>
                </c:pt>
                <c:pt idx="54">
                  <c:v>5.7282334869431635</c:v>
                </c:pt>
                <c:pt idx="55">
                  <c:v>4.7417391304347829</c:v>
                </c:pt>
                <c:pt idx="56">
                  <c:v>4.456833333333333</c:v>
                </c:pt>
                <c:pt idx="57">
                  <c:v>4.0800768049155156</c:v>
                </c:pt>
                <c:pt idx="58">
                  <c:v>3.4360000000000017</c:v>
                </c:pt>
                <c:pt idx="59">
                  <c:v>3.2337741935483875</c:v>
                </c:pt>
                <c:pt idx="60">
                  <c:v>3.0999999999999983</c:v>
                </c:pt>
                <c:pt idx="61">
                  <c:v>2.8363888888888886</c:v>
                </c:pt>
                <c:pt idx="62">
                  <c:v>2.7564976958525342</c:v>
                </c:pt>
                <c:pt idx="63">
                  <c:v>2.5219047619047608</c:v>
                </c:pt>
                <c:pt idx="64">
                  <c:v>2.2809523809523808</c:v>
                </c:pt>
                <c:pt idx="65">
                  <c:v>1.951428571428572</c:v>
                </c:pt>
                <c:pt idx="66">
                  <c:v>2.563636363636363</c:v>
                </c:pt>
                <c:pt idx="67">
                  <c:v>2.844347826086957</c:v>
                </c:pt>
                <c:pt idx="68">
                  <c:v>2.5705263157894747</c:v>
                </c:pt>
                <c:pt idx="69">
                  <c:v>2.4381818181818184</c:v>
                </c:pt>
                <c:pt idx="70">
                  <c:v>2.8434999999999997</c:v>
                </c:pt>
                <c:pt idx="71">
                  <c:v>2.8614999999999995</c:v>
                </c:pt>
                <c:pt idx="72">
                  <c:v>2.6050000000000009</c:v>
                </c:pt>
                <c:pt idx="73">
                  <c:v>2.5269999999999997</c:v>
                </c:pt>
                <c:pt idx="74">
                  <c:v>2.492105263157895</c:v>
                </c:pt>
                <c:pt idx="75">
                  <c:v>2.6776190476190478</c:v>
                </c:pt>
                <c:pt idx="76">
                  <c:v>2.8854545454545457</c:v>
                </c:pt>
                <c:pt idx="77">
                  <c:v>2.9736842105263159</c:v>
                </c:pt>
                <c:pt idx="78">
                  <c:v>2.8704347826086956</c:v>
                </c:pt>
                <c:pt idx="79">
                  <c:v>2.3881818181818186</c:v>
                </c:pt>
                <c:pt idx="80">
                  <c:v>2.3823809523809523</c:v>
                </c:pt>
                <c:pt idx="81">
                  <c:v>2.1030014025245429</c:v>
                </c:pt>
                <c:pt idx="82">
                  <c:v>1.3674999999999997</c:v>
                </c:pt>
                <c:pt idx="83">
                  <c:v>0.69170506912442464</c:v>
                </c:pt>
                <c:pt idx="84">
                  <c:v>0.80136363636363539</c:v>
                </c:pt>
                <c:pt idx="85">
                  <c:v>0.88310344827586285</c:v>
                </c:pt>
                <c:pt idx="86">
                  <c:v>0.62623167155425197</c:v>
                </c:pt>
                <c:pt idx="87">
                  <c:v>0.9139999999999997</c:v>
                </c:pt>
                <c:pt idx="88">
                  <c:v>0.46616129032258069</c:v>
                </c:pt>
                <c:pt idx="89">
                  <c:v>-0.32880952380952344</c:v>
                </c:pt>
                <c:pt idx="90">
                  <c:v>-0.98869565217391298</c:v>
                </c:pt>
                <c:pt idx="91">
                  <c:v>-0.96586789554531505</c:v>
                </c:pt>
                <c:pt idx="92">
                  <c:v>-1.1819047619047618</c:v>
                </c:pt>
                <c:pt idx="93">
                  <c:v>-1.5638095238095246</c:v>
                </c:pt>
                <c:pt idx="94">
                  <c:v>-1.8179999999999992</c:v>
                </c:pt>
                <c:pt idx="95">
                  <c:v>-2.1513636363636355</c:v>
                </c:pt>
                <c:pt idx="96">
                  <c:v>-1.6420000000000003</c:v>
                </c:pt>
                <c:pt idx="97">
                  <c:v>-1.775555555555556</c:v>
                </c:pt>
                <c:pt idx="98">
                  <c:v>-1.9167164095371669</c:v>
                </c:pt>
                <c:pt idx="99">
                  <c:v>-1.3566700000000012</c:v>
                </c:pt>
                <c:pt idx="100">
                  <c:v>-0.84332964669738963</c:v>
                </c:pt>
                <c:pt idx="101">
                  <c:v>-0.56353333333333433</c:v>
                </c:pt>
                <c:pt idx="102">
                  <c:v>-0.27859545454545476</c:v>
                </c:pt>
                <c:pt idx="103">
                  <c:v>0.46945410557184886</c:v>
                </c:pt>
                <c:pt idx="104">
                  <c:v>0.43763333333333421</c:v>
                </c:pt>
                <c:pt idx="105">
                  <c:v>1.4112233870967748</c:v>
                </c:pt>
                <c:pt idx="106">
                  <c:v>2.1302750000000001</c:v>
                </c:pt>
                <c:pt idx="107">
                  <c:v>3.447598877980365</c:v>
                </c:pt>
                <c:pt idx="108">
                  <c:v>4.0963666666666665</c:v>
                </c:pt>
                <c:pt idx="109">
                  <c:v>5.2679518796992468</c:v>
                </c:pt>
                <c:pt idx="110">
                  <c:v>5.3916118768328456</c:v>
                </c:pt>
                <c:pt idx="111">
                  <c:v>5.9616105263157886</c:v>
                </c:pt>
                <c:pt idx="112">
                  <c:v>6.6947904692082112</c:v>
                </c:pt>
                <c:pt idx="113">
                  <c:v>6.9947857142857144</c:v>
                </c:pt>
                <c:pt idx="114">
                  <c:v>8.0840333333333323</c:v>
                </c:pt>
                <c:pt idx="115">
                  <c:v>8.4234737727910236</c:v>
                </c:pt>
                <c:pt idx="116">
                  <c:v>8.7089333333333325</c:v>
                </c:pt>
                <c:pt idx="117">
                  <c:v>8.7415249999999993</c:v>
                </c:pt>
                <c:pt idx="118">
                  <c:v>8.5180499999999988</c:v>
                </c:pt>
                <c:pt idx="119">
                  <c:v>8.446536363636362</c:v>
                </c:pt>
                <c:pt idx="120">
                  <c:v>8.3111500000000014</c:v>
                </c:pt>
                <c:pt idx="121">
                  <c:v>7.9863166666666663</c:v>
                </c:pt>
                <c:pt idx="122">
                  <c:v>8.1324521739130446</c:v>
                </c:pt>
                <c:pt idx="123">
                  <c:v>8.4073666666666647</c:v>
                </c:pt>
                <c:pt idx="124">
                  <c:v>8.7340454545454556</c:v>
                </c:pt>
                <c:pt idx="125">
                  <c:v>9.4870857142857155</c:v>
                </c:pt>
                <c:pt idx="126">
                  <c:v>9.6586904761904755</c:v>
                </c:pt>
                <c:pt idx="127">
                  <c:v>9.1555232819074348</c:v>
                </c:pt>
                <c:pt idx="128">
                  <c:v>8.9569083333333346</c:v>
                </c:pt>
                <c:pt idx="129">
                  <c:v>8.7600047619047618</c:v>
                </c:pt>
                <c:pt idx="130">
                  <c:v>8.3473016666666684</c:v>
                </c:pt>
                <c:pt idx="131">
                  <c:v>8.0743674193548394</c:v>
                </c:pt>
                <c:pt idx="132">
                  <c:v>7.9086181818181815</c:v>
                </c:pt>
                <c:pt idx="133">
                  <c:v>7.4625157894736835</c:v>
                </c:pt>
                <c:pt idx="134">
                  <c:v>7.5294206451612906</c:v>
                </c:pt>
                <c:pt idx="135">
                  <c:v>7.2382681818181824</c:v>
                </c:pt>
                <c:pt idx="136">
                  <c:v>6.914363748079877</c:v>
                </c:pt>
                <c:pt idx="137">
                  <c:v>6.8514549999999996</c:v>
                </c:pt>
                <c:pt idx="138">
                  <c:v>6.7807391304347817</c:v>
                </c:pt>
                <c:pt idx="139">
                  <c:v>6.728790909090911</c:v>
                </c:pt>
                <c:pt idx="140">
                  <c:v>6.5865190476190474</c:v>
                </c:pt>
                <c:pt idx="141">
                  <c:v>6.6733782608695638</c:v>
                </c:pt>
                <c:pt idx="142">
                  <c:v>6.9195315789473701</c:v>
                </c:pt>
                <c:pt idx="143">
                  <c:v>7.1601565284178177</c:v>
                </c:pt>
                <c:pt idx="144">
                  <c:v>7.1419979472140751</c:v>
                </c:pt>
                <c:pt idx="145">
                  <c:v>7.4380649999999999</c:v>
                </c:pt>
                <c:pt idx="146">
                  <c:v>8.2060178268251249</c:v>
                </c:pt>
                <c:pt idx="147">
                  <c:v>9.1636049999999987</c:v>
                </c:pt>
                <c:pt idx="148">
                  <c:v>9.710296774193548</c:v>
                </c:pt>
                <c:pt idx="149">
                  <c:v>10.102705</c:v>
                </c:pt>
                <c:pt idx="150">
                  <c:v>10.411904347826086</c:v>
                </c:pt>
                <c:pt idx="151">
                  <c:v>10.659990476190476</c:v>
                </c:pt>
                <c:pt idx="152">
                  <c:v>10.639999999999999</c:v>
                </c:pt>
                <c:pt idx="153">
                  <c:v>10.847630434782609</c:v>
                </c:pt>
                <c:pt idx="154">
                  <c:v>10.96402105263158</c:v>
                </c:pt>
                <c:pt idx="155">
                  <c:v>11.00080909090909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22-405D-A135-3C0D79E272C6}"/>
            </c:ext>
          </c:extLst>
        </c:ser>
        <c:ser>
          <c:idx val="1"/>
          <c:order val="1"/>
          <c:tx>
            <c:strRef>
              <c:f>parametro_i!$H$1</c:f>
              <c:strCache>
                <c:ptCount val="1"/>
                <c:pt idx="0">
                  <c:v>selic_ex_post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parametro_i!$F$2:$F$157</c:f>
              <c:numCache>
                <c:formatCode>m/d/yyyy</c:formatCode>
                <c:ptCount val="156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</c:numCache>
            </c:numRef>
          </c:cat>
          <c:val>
            <c:numRef>
              <c:f>parametro_i!$H$2:$H$157</c:f>
              <c:numCache>
                <c:formatCode>General</c:formatCode>
                <c:ptCount val="156"/>
                <c:pt idx="0">
                  <c:v>1.0999999999999996</c:v>
                </c:pt>
                <c:pt idx="1">
                  <c:v>0.94000000000000039</c:v>
                </c:pt>
                <c:pt idx="2">
                  <c:v>0.66000000000000014</c:v>
                </c:pt>
                <c:pt idx="3">
                  <c:v>0.86833333333333318</c:v>
                </c:pt>
                <c:pt idx="4">
                  <c:v>1.032258064516129</c:v>
                </c:pt>
                <c:pt idx="5">
                  <c:v>1.2999999999999998</c:v>
                </c:pt>
                <c:pt idx="6">
                  <c:v>2.0687096774193545</c:v>
                </c:pt>
                <c:pt idx="7">
                  <c:v>2.4583870967741941</c:v>
                </c:pt>
                <c:pt idx="8">
                  <c:v>3.1399999999999997</c:v>
                </c:pt>
                <c:pt idx="9">
                  <c:v>3.5148387096774201</c:v>
                </c:pt>
                <c:pt idx="10">
                  <c:v>3.7800000000000011</c:v>
                </c:pt>
                <c:pt idx="11">
                  <c:v>4.09</c:v>
                </c:pt>
                <c:pt idx="12">
                  <c:v>4.6680645161290322</c:v>
                </c:pt>
                <c:pt idx="13">
                  <c:v>4.8378571428571426</c:v>
                </c:pt>
                <c:pt idx="14">
                  <c:v>4.5999999999999996</c:v>
                </c:pt>
                <c:pt idx="15">
                  <c:v>4.7033333333333323</c:v>
                </c:pt>
                <c:pt idx="16">
                  <c:v>4.63</c:v>
                </c:pt>
                <c:pt idx="17">
                  <c:v>4.4800000000000004</c:v>
                </c:pt>
                <c:pt idx="18">
                  <c:v>4.5</c:v>
                </c:pt>
                <c:pt idx="19">
                  <c:v>4.49</c:v>
                </c:pt>
                <c:pt idx="20">
                  <c:v>4.25</c:v>
                </c:pt>
                <c:pt idx="21">
                  <c:v>4.4261290322580642</c:v>
                </c:pt>
                <c:pt idx="22">
                  <c:v>4.6900000000000004</c:v>
                </c:pt>
                <c:pt idx="23">
                  <c:v>5.2916129032258059</c:v>
                </c:pt>
                <c:pt idx="24">
                  <c:v>4.7712903225806462</c:v>
                </c:pt>
                <c:pt idx="25">
                  <c:v>4.55</c:v>
                </c:pt>
                <c:pt idx="26">
                  <c:v>4.5554838709677412</c:v>
                </c:pt>
                <c:pt idx="27">
                  <c:v>4.5966666666666676</c:v>
                </c:pt>
                <c:pt idx="28">
                  <c:v>4.7799999999999994</c:v>
                </c:pt>
                <c:pt idx="29">
                  <c:v>4.8099999999999987</c:v>
                </c:pt>
                <c:pt idx="30">
                  <c:v>4.2222580645161294</c:v>
                </c:pt>
                <c:pt idx="31">
                  <c:v>4.7200000000000006</c:v>
                </c:pt>
                <c:pt idx="32">
                  <c:v>4.76</c:v>
                </c:pt>
                <c:pt idx="33">
                  <c:v>4.32</c:v>
                </c:pt>
                <c:pt idx="34">
                  <c:v>3.7699999999999996</c:v>
                </c:pt>
                <c:pt idx="35">
                  <c:v>3.58</c:v>
                </c:pt>
                <c:pt idx="36">
                  <c:v>3.5399999999999991</c:v>
                </c:pt>
                <c:pt idx="37">
                  <c:v>3.8900000000000006</c:v>
                </c:pt>
                <c:pt idx="38">
                  <c:v>4.8599999999999994</c:v>
                </c:pt>
                <c:pt idx="39">
                  <c:v>4.9700000000000006</c:v>
                </c:pt>
                <c:pt idx="40">
                  <c:v>4.93</c:v>
                </c:pt>
                <c:pt idx="41">
                  <c:v>5.41</c:v>
                </c:pt>
                <c:pt idx="42">
                  <c:v>5.51</c:v>
                </c:pt>
                <c:pt idx="43">
                  <c:v>5.2799999999999994</c:v>
                </c:pt>
                <c:pt idx="44">
                  <c:v>5.77</c:v>
                </c:pt>
                <c:pt idx="45">
                  <c:v>6.283225806451612</c:v>
                </c:pt>
                <c:pt idx="46">
                  <c:v>7.01</c:v>
                </c:pt>
                <c:pt idx="47">
                  <c:v>7.46</c:v>
                </c:pt>
                <c:pt idx="48">
                  <c:v>7.9161290322580644</c:v>
                </c:pt>
                <c:pt idx="49">
                  <c:v>8.0792857142857137</c:v>
                </c:pt>
                <c:pt idx="50">
                  <c:v>7.68</c:v>
                </c:pt>
                <c:pt idx="51">
                  <c:v>7.57</c:v>
                </c:pt>
                <c:pt idx="52">
                  <c:v>7.65</c:v>
                </c:pt>
                <c:pt idx="53">
                  <c:v>7.25</c:v>
                </c:pt>
                <c:pt idx="54">
                  <c:v>7.3787096774193541</c:v>
                </c:pt>
                <c:pt idx="55">
                  <c:v>6.79</c:v>
                </c:pt>
                <c:pt idx="56">
                  <c:v>5.9433333333333325</c:v>
                </c:pt>
                <c:pt idx="57">
                  <c:v>5.4048387096774198</c:v>
                </c:pt>
                <c:pt idx="58">
                  <c:v>4.7</c:v>
                </c:pt>
                <c:pt idx="59">
                  <c:v>4.1467741935483868</c:v>
                </c:pt>
                <c:pt idx="60">
                  <c:v>4.1400000000000006</c:v>
                </c:pt>
                <c:pt idx="61">
                  <c:v>3.9725000000000001</c:v>
                </c:pt>
                <c:pt idx="62">
                  <c:v>3.9893548387096769</c:v>
                </c:pt>
                <c:pt idx="63">
                  <c:v>3.74</c:v>
                </c:pt>
                <c:pt idx="64">
                  <c:v>3.64</c:v>
                </c:pt>
                <c:pt idx="65">
                  <c:v>2.1100000000000003</c:v>
                </c:pt>
                <c:pt idx="66">
                  <c:v>2.0199999999999996</c:v>
                </c:pt>
                <c:pt idx="67">
                  <c:v>2.3099999999999996</c:v>
                </c:pt>
                <c:pt idx="68">
                  <c:v>1.9699999999999998</c:v>
                </c:pt>
                <c:pt idx="69">
                  <c:v>1.9400000000000004</c:v>
                </c:pt>
                <c:pt idx="70">
                  <c:v>2.4500000000000002</c:v>
                </c:pt>
                <c:pt idx="71">
                  <c:v>2.75</c:v>
                </c:pt>
                <c:pt idx="72">
                  <c:v>2.72</c:v>
                </c:pt>
                <c:pt idx="73">
                  <c:v>2.61</c:v>
                </c:pt>
                <c:pt idx="74">
                  <c:v>1.92</c:v>
                </c:pt>
                <c:pt idx="75">
                  <c:v>1.5599999999999996</c:v>
                </c:pt>
                <c:pt idx="76">
                  <c:v>1.8399999999999999</c:v>
                </c:pt>
                <c:pt idx="77">
                  <c:v>3.13</c:v>
                </c:pt>
                <c:pt idx="78">
                  <c:v>3.28</c:v>
                </c:pt>
                <c:pt idx="79">
                  <c:v>2.57</c:v>
                </c:pt>
                <c:pt idx="80">
                  <c:v>2.9099999999999997</c:v>
                </c:pt>
                <c:pt idx="81">
                  <c:v>2.943870967741935</c:v>
                </c:pt>
                <c:pt idx="82">
                  <c:v>1.73</c:v>
                </c:pt>
                <c:pt idx="83">
                  <c:v>0.36741935483871035</c:v>
                </c:pt>
                <c:pt idx="84">
                  <c:v>0.30999999999999961</c:v>
                </c:pt>
                <c:pt idx="85">
                  <c:v>0.28310344827586231</c:v>
                </c:pt>
                <c:pt idx="86">
                  <c:v>0.74032258064516121</c:v>
                </c:pt>
                <c:pt idx="87">
                  <c:v>1.35</c:v>
                </c:pt>
                <c:pt idx="88">
                  <c:v>1.2651612903225806</c:v>
                </c:pt>
                <c:pt idx="89">
                  <c:v>0.54499999999999993</c:v>
                </c:pt>
                <c:pt idx="90">
                  <c:v>-6.0000000000000053E-2</c:v>
                </c:pt>
                <c:pt idx="91">
                  <c:v>-0.39967741935483847</c:v>
                </c:pt>
                <c:pt idx="92">
                  <c:v>-1.1400000000000001</c:v>
                </c:pt>
                <c:pt idx="93">
                  <c:v>-1.92</c:v>
                </c:pt>
                <c:pt idx="94">
                  <c:v>-2.3099999999999996</c:v>
                </c:pt>
                <c:pt idx="95">
                  <c:v>-2.5199999999999996</c:v>
                </c:pt>
                <c:pt idx="96">
                  <c:v>-2.5599999999999996</c:v>
                </c:pt>
                <c:pt idx="97">
                  <c:v>-3.2</c:v>
                </c:pt>
                <c:pt idx="98">
                  <c:v>-3.7612903225806447</c:v>
                </c:pt>
                <c:pt idx="99">
                  <c:v>-4.01</c:v>
                </c:pt>
                <c:pt idx="100">
                  <c:v>-4.6809677419354845</c:v>
                </c:pt>
                <c:pt idx="101">
                  <c:v>-4.5</c:v>
                </c:pt>
                <c:pt idx="102">
                  <c:v>-4.74</c:v>
                </c:pt>
                <c:pt idx="103">
                  <c:v>-4.5590322580645157</c:v>
                </c:pt>
                <c:pt idx="104">
                  <c:v>-4.7333333333333334</c:v>
                </c:pt>
                <c:pt idx="105">
                  <c:v>-4.2264516129032259</c:v>
                </c:pt>
                <c:pt idx="106">
                  <c:v>-2.99</c:v>
                </c:pt>
                <c:pt idx="107">
                  <c:v>-1.1970967741935485</c:v>
                </c:pt>
                <c:pt idx="108">
                  <c:v>-1.1300000000000008</c:v>
                </c:pt>
                <c:pt idx="109">
                  <c:v>0.1028571428571432</c:v>
                </c:pt>
                <c:pt idx="110">
                  <c:v>-6.6129032258064768E-2</c:v>
                </c:pt>
                <c:pt idx="111">
                  <c:v>-0.38000000000000078</c:v>
                </c:pt>
                <c:pt idx="112">
                  <c:v>0.89096774193548356</c:v>
                </c:pt>
                <c:pt idx="113">
                  <c:v>1.1099999999999994</c:v>
                </c:pt>
                <c:pt idx="114">
                  <c:v>3.1799999999999997</c:v>
                </c:pt>
                <c:pt idx="115">
                  <c:v>4.9716129032258056</c:v>
                </c:pt>
                <c:pt idx="116">
                  <c:v>6.58</c:v>
                </c:pt>
                <c:pt idx="117">
                  <c:v>7.28</c:v>
                </c:pt>
                <c:pt idx="118">
                  <c:v>7.85</c:v>
                </c:pt>
                <c:pt idx="119">
                  <c:v>7.96</c:v>
                </c:pt>
                <c:pt idx="120">
                  <c:v>7.98</c:v>
                </c:pt>
                <c:pt idx="121">
                  <c:v>8.15</c:v>
                </c:pt>
                <c:pt idx="122">
                  <c:v>9.1</c:v>
                </c:pt>
                <c:pt idx="123">
                  <c:v>9.57</c:v>
                </c:pt>
                <c:pt idx="124">
                  <c:v>9.81</c:v>
                </c:pt>
                <c:pt idx="125">
                  <c:v>10.59</c:v>
                </c:pt>
                <c:pt idx="126">
                  <c:v>9.76</c:v>
                </c:pt>
                <c:pt idx="127">
                  <c:v>8.6722580645161287</c:v>
                </c:pt>
                <c:pt idx="128">
                  <c:v>7.8933333333333335</c:v>
                </c:pt>
                <c:pt idx="129">
                  <c:v>7.93</c:v>
                </c:pt>
                <c:pt idx="130">
                  <c:v>7.5866666666666678</c:v>
                </c:pt>
                <c:pt idx="131">
                  <c:v>7.339677419354838</c:v>
                </c:pt>
                <c:pt idx="132">
                  <c:v>7.24</c:v>
                </c:pt>
                <c:pt idx="133">
                  <c:v>6.75</c:v>
                </c:pt>
                <c:pt idx="134">
                  <c:v>7.1425806451612903</c:v>
                </c:pt>
                <c:pt idx="135">
                  <c:v>7.0600000000000005</c:v>
                </c:pt>
                <c:pt idx="136">
                  <c:v>6.6345161290322583</c:v>
                </c:pt>
                <c:pt idx="137">
                  <c:v>6.27</c:v>
                </c:pt>
                <c:pt idx="138">
                  <c:v>6</c:v>
                </c:pt>
                <c:pt idx="139">
                  <c:v>6.26</c:v>
                </c:pt>
                <c:pt idx="140">
                  <c:v>6.18</c:v>
                </c:pt>
                <c:pt idx="141">
                  <c:v>5.99</c:v>
                </c:pt>
                <c:pt idx="142">
                  <c:v>6.28</c:v>
                </c:pt>
                <c:pt idx="143">
                  <c:v>7.06516129032258</c:v>
                </c:pt>
                <c:pt idx="144">
                  <c:v>7.7545161290322584</c:v>
                </c:pt>
                <c:pt idx="145">
                  <c:v>8.1900000000000013</c:v>
                </c:pt>
                <c:pt idx="146">
                  <c:v>8.1570967741935476</c:v>
                </c:pt>
                <c:pt idx="147">
                  <c:v>8.7199999999999989</c:v>
                </c:pt>
                <c:pt idx="148">
                  <c:v>9.3170967741935478</c:v>
                </c:pt>
                <c:pt idx="149">
                  <c:v>9.5</c:v>
                </c:pt>
                <c:pt idx="150">
                  <c:v>9.77</c:v>
                </c:pt>
                <c:pt idx="151">
                  <c:v>9.870000000000001</c:v>
                </c:pt>
                <c:pt idx="152">
                  <c:v>9.83</c:v>
                </c:pt>
                <c:pt idx="153">
                  <c:v>10.32</c:v>
                </c:pt>
                <c:pt idx="154">
                  <c:v>10.54</c:v>
                </c:pt>
                <c:pt idx="155">
                  <c:v>10.74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22-405D-A135-3C0D79E27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5126608"/>
        <c:axId val="283664672"/>
      </c:lineChart>
      <c:dateAx>
        <c:axId val="8051266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3664672"/>
        <c:crosses val="autoZero"/>
        <c:auto val="1"/>
        <c:lblOffset val="100"/>
        <c:baseTimeUnit val="months"/>
      </c:dateAx>
      <c:valAx>
        <c:axId val="28366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512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parametro_lambda!$G$1</c:f>
              <c:strCache>
                <c:ptCount val="1"/>
                <c:pt idx="0">
                  <c:v>razao_i_ponderado_B_SELIC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parametro_lambda!$A$2:$A$164</c:f>
              <c:numCache>
                <c:formatCode>m/d/yyyy</c:formatCode>
                <c:ptCount val="1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</c:numCache>
            </c:numRef>
          </c:cat>
          <c:val>
            <c:numRef>
              <c:f>parametro_lambda!$G$2:$G$164</c:f>
              <c:numCache>
                <c:formatCode>General</c:formatCode>
                <c:ptCount val="163"/>
                <c:pt idx="0">
                  <c:v>24.192653794276332</c:v>
                </c:pt>
                <c:pt idx="1">
                  <c:v>24.603289953566733</c:v>
                </c:pt>
                <c:pt idx="2">
                  <c:v>24.527409142747796</c:v>
                </c:pt>
                <c:pt idx="3">
                  <c:v>23.965151690087215</c:v>
                </c:pt>
                <c:pt idx="4">
                  <c:v>23.52623933073107</c:v>
                </c:pt>
                <c:pt idx="5">
                  <c:v>22.446626573432567</c:v>
                </c:pt>
                <c:pt idx="6">
                  <c:v>21.646307286384797</c:v>
                </c:pt>
                <c:pt idx="7">
                  <c:v>21.097621925245207</c:v>
                </c:pt>
                <c:pt idx="8">
                  <c:v>20.159191467517349</c:v>
                </c:pt>
                <c:pt idx="9">
                  <c:v>19.548351560865115</c:v>
                </c:pt>
                <c:pt idx="10">
                  <c:v>19.697858181910647</c:v>
                </c:pt>
                <c:pt idx="11">
                  <c:v>19.381603149905779</c:v>
                </c:pt>
                <c:pt idx="12">
                  <c:v>18.903938775354568</c:v>
                </c:pt>
                <c:pt idx="13">
                  <c:v>18.969997123917114</c:v>
                </c:pt>
                <c:pt idx="14">
                  <c:v>18.381942637590832</c:v>
                </c:pt>
                <c:pt idx="15">
                  <c:v>17.542454470906367</c:v>
                </c:pt>
                <c:pt idx="16">
                  <c:v>17.831320582865615</c:v>
                </c:pt>
                <c:pt idx="17">
                  <c:v>18.239573836093431</c:v>
                </c:pt>
                <c:pt idx="18">
                  <c:v>18.228943002779729</c:v>
                </c:pt>
                <c:pt idx="19">
                  <c:v>18.571645475437901</c:v>
                </c:pt>
                <c:pt idx="20">
                  <c:v>18.530817369975647</c:v>
                </c:pt>
                <c:pt idx="21">
                  <c:v>19.311580434238088</c:v>
                </c:pt>
                <c:pt idx="22">
                  <c:v>19.596339275253989</c:v>
                </c:pt>
                <c:pt idx="23">
                  <c:v>19.308898966357678</c:v>
                </c:pt>
                <c:pt idx="24">
                  <c:v>19.433959727028835</c:v>
                </c:pt>
                <c:pt idx="25">
                  <c:v>19.560749197492626</c:v>
                </c:pt>
                <c:pt idx="26">
                  <c:v>18.938808510056777</c:v>
                </c:pt>
                <c:pt idx="27">
                  <c:v>19.102315258767693</c:v>
                </c:pt>
                <c:pt idx="28">
                  <c:v>19.339613991126789</c:v>
                </c:pt>
                <c:pt idx="29">
                  <c:v>19.518444420433354</c:v>
                </c:pt>
                <c:pt idx="30">
                  <c:v>20.267269956880455</c:v>
                </c:pt>
                <c:pt idx="31">
                  <c:v>19.96453629332628</c:v>
                </c:pt>
                <c:pt idx="32">
                  <c:v>20.777065077050928</c:v>
                </c:pt>
                <c:pt idx="33">
                  <c:v>20.788957425773603</c:v>
                </c:pt>
                <c:pt idx="34">
                  <c:v>21.97892257323031</c:v>
                </c:pt>
                <c:pt idx="35">
                  <c:v>22.449556763082889</c:v>
                </c:pt>
                <c:pt idx="36">
                  <c:v>23.330382073089989</c:v>
                </c:pt>
                <c:pt idx="37">
                  <c:v>23.591457935815601</c:v>
                </c:pt>
                <c:pt idx="38">
                  <c:v>23.836925725397652</c:v>
                </c:pt>
                <c:pt idx="39">
                  <c:v>24.364958106731386</c:v>
                </c:pt>
                <c:pt idx="40">
                  <c:v>24.703441262305649</c:v>
                </c:pt>
                <c:pt idx="41">
                  <c:v>24.732582079550564</c:v>
                </c:pt>
                <c:pt idx="42">
                  <c:v>24.930751347611636</c:v>
                </c:pt>
                <c:pt idx="43">
                  <c:v>25.502298482272014</c:v>
                </c:pt>
                <c:pt idx="44">
                  <c:v>25.919784977204458</c:v>
                </c:pt>
                <c:pt idx="45">
                  <c:v>25.897744187505413</c:v>
                </c:pt>
                <c:pt idx="46">
                  <c:v>26.683841422581686</c:v>
                </c:pt>
                <c:pt idx="47">
                  <c:v>27.314352568126179</c:v>
                </c:pt>
                <c:pt idx="48">
                  <c:v>28.27476509728216</c:v>
                </c:pt>
                <c:pt idx="49">
                  <c:v>29.192062156559096</c:v>
                </c:pt>
                <c:pt idx="50">
                  <c:v>30.2743549503808</c:v>
                </c:pt>
                <c:pt idx="51">
                  <c:v>28.773509578587749</c:v>
                </c:pt>
                <c:pt idx="52">
                  <c:v>26.141533054853507</c:v>
                </c:pt>
                <c:pt idx="53">
                  <c:v>29.413085784943394</c:v>
                </c:pt>
                <c:pt idx="54">
                  <c:v>31.579885865485796</c:v>
                </c:pt>
                <c:pt idx="55">
                  <c:v>34.380872486975044</c:v>
                </c:pt>
                <c:pt idx="56">
                  <c:v>33.535177121153303</c:v>
                </c:pt>
                <c:pt idx="57">
                  <c:v>35.533056388437309</c:v>
                </c:pt>
                <c:pt idx="58">
                  <c:v>38.724674761202415</c:v>
                </c:pt>
                <c:pt idx="59">
                  <c:v>40.2172792625448</c:v>
                </c:pt>
                <c:pt idx="60">
                  <c:v>40.187103287610242</c:v>
                </c:pt>
                <c:pt idx="61">
                  <c:v>41.983804689029256</c:v>
                </c:pt>
                <c:pt idx="62">
                  <c:v>42.66551058754898</c:v>
                </c:pt>
                <c:pt idx="63">
                  <c:v>43.887284791804049</c:v>
                </c:pt>
                <c:pt idx="64">
                  <c:v>40.754093743746076</c:v>
                </c:pt>
                <c:pt idx="65">
                  <c:v>39.334759328655998</c:v>
                </c:pt>
                <c:pt idx="66">
                  <c:v>37.830361148047629</c:v>
                </c:pt>
                <c:pt idx="67">
                  <c:v>37.929253163671106</c:v>
                </c:pt>
                <c:pt idx="68">
                  <c:v>37.694726363810091</c:v>
                </c:pt>
                <c:pt idx="69">
                  <c:v>37.702773521259992</c:v>
                </c:pt>
                <c:pt idx="70">
                  <c:v>38.142548026523521</c:v>
                </c:pt>
                <c:pt idx="71">
                  <c:v>38.245106793501741</c:v>
                </c:pt>
                <c:pt idx="72">
                  <c:v>38.426876602103896</c:v>
                </c:pt>
                <c:pt idx="73">
                  <c:v>39.261206322749118</c:v>
                </c:pt>
                <c:pt idx="74">
                  <c:v>39.958365534476393</c:v>
                </c:pt>
                <c:pt idx="75">
                  <c:v>39.637101095742416</c:v>
                </c:pt>
                <c:pt idx="76">
                  <c:v>39.638648397435901</c:v>
                </c:pt>
                <c:pt idx="77">
                  <c:v>39.755430809513307</c:v>
                </c:pt>
                <c:pt idx="78">
                  <c:v>39.528615859449197</c:v>
                </c:pt>
                <c:pt idx="79">
                  <c:v>42.732820440843533</c:v>
                </c:pt>
                <c:pt idx="80">
                  <c:v>43.932341926015553</c:v>
                </c:pt>
                <c:pt idx="81">
                  <c:v>47.620515936298268</c:v>
                </c:pt>
                <c:pt idx="82">
                  <c:v>52.820255834936781</c:v>
                </c:pt>
                <c:pt idx="83">
                  <c:v>55.543133503779465</c:v>
                </c:pt>
                <c:pt idx="84">
                  <c:v>51.477691150932088</c:v>
                </c:pt>
                <c:pt idx="85">
                  <c:v>54.252020237208313</c:v>
                </c:pt>
                <c:pt idx="86">
                  <c:v>57.445758431894589</c:v>
                </c:pt>
                <c:pt idx="87">
                  <c:v>56.674678999756225</c:v>
                </c:pt>
                <c:pt idx="88">
                  <c:v>64.776293846242623</c:v>
                </c:pt>
                <c:pt idx="89">
                  <c:v>70.952809707471559</c:v>
                </c:pt>
                <c:pt idx="90">
                  <c:v>90.191724715233434</c:v>
                </c:pt>
                <c:pt idx="91">
                  <c:v>99.809101037004439</c:v>
                </c:pt>
                <c:pt idx="92">
                  <c:v>102.89955655703011</c:v>
                </c:pt>
                <c:pt idx="93">
                  <c:v>104.87884894716933</c:v>
                </c:pt>
                <c:pt idx="94">
                  <c:v>106.16017570318981</c:v>
                </c:pt>
                <c:pt idx="95">
                  <c:v>107.57153035752631</c:v>
                </c:pt>
                <c:pt idx="96">
                  <c:v>109.75532004237945</c:v>
                </c:pt>
                <c:pt idx="97">
                  <c:v>111.23577967445434</c:v>
                </c:pt>
                <c:pt idx="98">
                  <c:v>94.713409740659856</c:v>
                </c:pt>
                <c:pt idx="99">
                  <c:v>80.722720110690062</c:v>
                </c:pt>
                <c:pt idx="100">
                  <c:v>64.603056419948246</c:v>
                </c:pt>
                <c:pt idx="101">
                  <c:v>57.062986408602569</c:v>
                </c:pt>
                <c:pt idx="102">
                  <c:v>51.722785331301822</c:v>
                </c:pt>
                <c:pt idx="103">
                  <c:v>43.425848603859464</c:v>
                </c:pt>
                <c:pt idx="104">
                  <c:v>41.187839396248457</c:v>
                </c:pt>
                <c:pt idx="105">
                  <c:v>35.971342923177879</c:v>
                </c:pt>
                <c:pt idx="106">
                  <c:v>30.019330139251906</c:v>
                </c:pt>
                <c:pt idx="107">
                  <c:v>26.658314745270754</c:v>
                </c:pt>
                <c:pt idx="108">
                  <c:v>25.60350353799274</c:v>
                </c:pt>
                <c:pt idx="109">
                  <c:v>23.232885692010797</c:v>
                </c:pt>
                <c:pt idx="110">
                  <c:v>21.665124547945783</c:v>
                </c:pt>
                <c:pt idx="111">
                  <c:v>21.224749852406482</c:v>
                </c:pt>
                <c:pt idx="112">
                  <c:v>19.816448328505388</c:v>
                </c:pt>
                <c:pt idx="113">
                  <c:v>19.381572631395834</c:v>
                </c:pt>
                <c:pt idx="114">
                  <c:v>20.155486494325135</c:v>
                </c:pt>
                <c:pt idx="115">
                  <c:v>19.942171073755357</c:v>
                </c:pt>
                <c:pt idx="116">
                  <c:v>19.779257862190317</c:v>
                </c:pt>
                <c:pt idx="117">
                  <c:v>20.298085635863934</c:v>
                </c:pt>
                <c:pt idx="118">
                  <c:v>19.917093443861862</c:v>
                </c:pt>
                <c:pt idx="119">
                  <c:v>20.536465188484708</c:v>
                </c:pt>
                <c:pt idx="120">
                  <c:v>20.472436762154665</c:v>
                </c:pt>
                <c:pt idx="121">
                  <c:v>20.971876587884282</c:v>
                </c:pt>
                <c:pt idx="122">
                  <c:v>20.886977995411474</c:v>
                </c:pt>
                <c:pt idx="123">
                  <c:v>21.666601828241518</c:v>
                </c:pt>
                <c:pt idx="124">
                  <c:v>21.577550093079591</c:v>
                </c:pt>
                <c:pt idx="125">
                  <c:v>20.9892082411206</c:v>
                </c:pt>
                <c:pt idx="126">
                  <c:v>21.064638180288604</c:v>
                </c:pt>
                <c:pt idx="127">
                  <c:v>21.659790369504378</c:v>
                </c:pt>
                <c:pt idx="128">
                  <c:v>21.789779654446317</c:v>
                </c:pt>
                <c:pt idx="129">
                  <c:v>22.11411299724189</c:v>
                </c:pt>
                <c:pt idx="130">
                  <c:v>22.481624461371325</c:v>
                </c:pt>
                <c:pt idx="131">
                  <c:v>23.375102359274344</c:v>
                </c:pt>
                <c:pt idx="132">
                  <c:v>22.28629135316713</c:v>
                </c:pt>
                <c:pt idx="133">
                  <c:v>23.053351994745046</c:v>
                </c:pt>
                <c:pt idx="134">
                  <c:v>23.67951158469738</c:v>
                </c:pt>
                <c:pt idx="135">
                  <c:v>24.086026488979336</c:v>
                </c:pt>
                <c:pt idx="136">
                  <c:v>24.598334618295517</c:v>
                </c:pt>
                <c:pt idx="137">
                  <c:v>25.119068989674172</c:v>
                </c:pt>
                <c:pt idx="138">
                  <c:v>24.716636258204765</c:v>
                </c:pt>
                <c:pt idx="139">
                  <c:v>24.796722624397614</c:v>
                </c:pt>
                <c:pt idx="140">
                  <c:v>25.219237402301339</c:v>
                </c:pt>
                <c:pt idx="141">
                  <c:v>24.448125480913784</c:v>
                </c:pt>
                <c:pt idx="142">
                  <c:v>24.064010277902913</c:v>
                </c:pt>
                <c:pt idx="143">
                  <c:v>22.283014207334791</c:v>
                </c:pt>
                <c:pt idx="144">
                  <c:v>21.717786016040975</c:v>
                </c:pt>
                <c:pt idx="145">
                  <c:v>20.803880506298373</c:v>
                </c:pt>
                <c:pt idx="146">
                  <c:v>20.33139445625363</c:v>
                </c:pt>
                <c:pt idx="147">
                  <c:v>19.581576457905346</c:v>
                </c:pt>
                <c:pt idx="148">
                  <c:v>19.179873647868625</c:v>
                </c:pt>
                <c:pt idx="149">
                  <c:v>18.958750286892695</c:v>
                </c:pt>
                <c:pt idx="150">
                  <c:v>18.725448758907575</c:v>
                </c:pt>
                <c:pt idx="151">
                  <c:v>18.794779813417261</c:v>
                </c:pt>
                <c:pt idx="152">
                  <c:v>18.577728687561216</c:v>
                </c:pt>
                <c:pt idx="153">
                  <c:v>18.650735637313076</c:v>
                </c:pt>
                <c:pt idx="154">
                  <c:v>18.827747020180539</c:v>
                </c:pt>
                <c:pt idx="155">
                  <c:v>18.636048910581557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54-420F-9133-41529818C7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713680"/>
        <c:axId val="1814395840"/>
      </c:lineChart>
      <c:dateAx>
        <c:axId val="600713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4395840"/>
        <c:crosses val="autoZero"/>
        <c:auto val="1"/>
        <c:lblOffset val="100"/>
        <c:baseTimeUnit val="months"/>
      </c:dateAx>
      <c:valAx>
        <c:axId val="18143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71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parametro_lambda!$K$1</c:f>
              <c:strCache>
                <c:ptCount val="1"/>
                <c:pt idx="0">
                  <c:v>razao_i_ponderado_Z_SELIC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parametro_lambda!$A$2:$A$164</c:f>
              <c:numCache>
                <c:formatCode>m/d/yyyy</c:formatCode>
                <c:ptCount val="1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</c:numCache>
            </c:numRef>
          </c:cat>
          <c:val>
            <c:numRef>
              <c:f>parametro_lambda!$K$2:$K$164</c:f>
              <c:numCache>
                <c:formatCode>General</c:formatCode>
                <c:ptCount val="163"/>
                <c:pt idx="0">
                  <c:v>1.0949862604605771</c:v>
                </c:pt>
                <c:pt idx="1">
                  <c:v>1.0606682913417285</c:v>
                </c:pt>
                <c:pt idx="2">
                  <c:v>1.0619890892971464</c:v>
                </c:pt>
                <c:pt idx="3">
                  <c:v>1.0664463204919914</c:v>
                </c:pt>
                <c:pt idx="4">
                  <c:v>1.0346761340405601</c:v>
                </c:pt>
                <c:pt idx="5">
                  <c:v>0.97625304855762529</c:v>
                </c:pt>
                <c:pt idx="6">
                  <c:v>0.95515970242948778</c:v>
                </c:pt>
                <c:pt idx="7">
                  <c:v>0.94471984973100953</c:v>
                </c:pt>
                <c:pt idx="8">
                  <c:v>0.92701494861306621</c:v>
                </c:pt>
                <c:pt idx="9">
                  <c:v>0.92721268191592054</c:v>
                </c:pt>
                <c:pt idx="10">
                  <c:v>0.92109425778566612</c:v>
                </c:pt>
                <c:pt idx="11">
                  <c:v>0.88220825225193489</c:v>
                </c:pt>
                <c:pt idx="12">
                  <c:v>0.92793136700166412</c:v>
                </c:pt>
                <c:pt idx="13">
                  <c:v>0.83161240756597454</c:v>
                </c:pt>
                <c:pt idx="14">
                  <c:v>0.91048948782426731</c:v>
                </c:pt>
                <c:pt idx="15">
                  <c:v>0.83632311527771885</c:v>
                </c:pt>
                <c:pt idx="16">
                  <c:v>0.86620899727516365</c:v>
                </c:pt>
                <c:pt idx="17">
                  <c:v>0.83871149989000893</c:v>
                </c:pt>
                <c:pt idx="18">
                  <c:v>0.88128892825077465</c:v>
                </c:pt>
                <c:pt idx="19">
                  <c:v>0.87209471560978935</c:v>
                </c:pt>
                <c:pt idx="20">
                  <c:v>0.85921046378425536</c:v>
                </c:pt>
                <c:pt idx="21">
                  <c:v>0.85850658013302528</c:v>
                </c:pt>
                <c:pt idx="22">
                  <c:v>0.82545582715114452</c:v>
                </c:pt>
                <c:pt idx="23">
                  <c:v>0.76601651511577962</c:v>
                </c:pt>
                <c:pt idx="24">
                  <c:v>0.78644219620466604</c:v>
                </c:pt>
                <c:pt idx="25">
                  <c:v>0.72153512475924197</c:v>
                </c:pt>
                <c:pt idx="26">
                  <c:v>0.77696963378104744</c:v>
                </c:pt>
                <c:pt idx="27">
                  <c:v>0.76591017950493234</c:v>
                </c:pt>
                <c:pt idx="28">
                  <c:v>0.76590412639421723</c:v>
                </c:pt>
                <c:pt idx="29">
                  <c:v>0.76382877620441458</c:v>
                </c:pt>
                <c:pt idx="30">
                  <c:v>0.78248490143707272</c:v>
                </c:pt>
                <c:pt idx="31">
                  <c:v>0.74052534770843703</c:v>
                </c:pt>
                <c:pt idx="32">
                  <c:v>0.7317270603595265</c:v>
                </c:pt>
                <c:pt idx="33">
                  <c:v>0.73659332833147428</c:v>
                </c:pt>
                <c:pt idx="34">
                  <c:v>0.74375830886339733</c:v>
                </c:pt>
                <c:pt idx="35">
                  <c:v>0.70816674402152491</c:v>
                </c:pt>
                <c:pt idx="36">
                  <c:v>0.73636861511332552</c:v>
                </c:pt>
                <c:pt idx="37">
                  <c:v>0.71161947967104711</c:v>
                </c:pt>
                <c:pt idx="38">
                  <c:v>0.75479434579737326</c:v>
                </c:pt>
                <c:pt idx="39">
                  <c:v>0.74141247431543289</c:v>
                </c:pt>
                <c:pt idx="40">
                  <c:v>0.78320519380810683</c:v>
                </c:pt>
                <c:pt idx="41">
                  <c:v>0.79037592411693292</c:v>
                </c:pt>
                <c:pt idx="42">
                  <c:v>0.80046788866210494</c:v>
                </c:pt>
                <c:pt idx="43">
                  <c:v>0.78827671027239443</c:v>
                </c:pt>
                <c:pt idx="44">
                  <c:v>0.775482851722053</c:v>
                </c:pt>
                <c:pt idx="45">
                  <c:v>0.75702550117739498</c:v>
                </c:pt>
                <c:pt idx="46">
                  <c:v>0.76506567358177568</c:v>
                </c:pt>
                <c:pt idx="47">
                  <c:v>0.79439243976396479</c:v>
                </c:pt>
                <c:pt idx="48">
                  <c:v>0.82277694809764712</c:v>
                </c:pt>
                <c:pt idx="49">
                  <c:v>0.71726658716062219</c:v>
                </c:pt>
                <c:pt idx="50">
                  <c:v>0.80420846371543753</c:v>
                </c:pt>
                <c:pt idx="51">
                  <c:v>0.77894446318352883</c:v>
                </c:pt>
                <c:pt idx="52">
                  <c:v>0.8851807727328258</c:v>
                </c:pt>
                <c:pt idx="53">
                  <c:v>0.90631276906152547</c:v>
                </c:pt>
                <c:pt idx="54">
                  <c:v>0.92174893536727065</c:v>
                </c:pt>
                <c:pt idx="55">
                  <c:v>0.92951235688972256</c:v>
                </c:pt>
                <c:pt idx="56">
                  <c:v>1.0061111938348173</c:v>
                </c:pt>
                <c:pt idx="57">
                  <c:v>1.0645969336999979</c:v>
                </c:pt>
                <c:pt idx="58">
                  <c:v>1.056556785949506</c:v>
                </c:pt>
                <c:pt idx="59">
                  <c:v>1.1366523112869309</c:v>
                </c:pt>
                <c:pt idx="60">
                  <c:v>1.1907380201170885</c:v>
                </c:pt>
                <c:pt idx="61">
                  <c:v>1.217237577982933</c:v>
                </c:pt>
                <c:pt idx="62">
                  <c:v>1.2258889927524594</c:v>
                </c:pt>
                <c:pt idx="63">
                  <c:v>1.2570298117825707</c:v>
                </c:pt>
                <c:pt idx="64">
                  <c:v>1.239078729453299</c:v>
                </c:pt>
                <c:pt idx="65">
                  <c:v>1.2370277107917753</c:v>
                </c:pt>
                <c:pt idx="66">
                  <c:v>1.2307173348499072</c:v>
                </c:pt>
                <c:pt idx="67">
                  <c:v>1.2283274909938728</c:v>
                </c:pt>
                <c:pt idx="68">
                  <c:v>1.1865392243097963</c:v>
                </c:pt>
                <c:pt idx="69">
                  <c:v>1.1979451223873281</c:v>
                </c:pt>
                <c:pt idx="70">
                  <c:v>1.2093775734932171</c:v>
                </c:pt>
                <c:pt idx="71">
                  <c:v>1.2079021760916229</c:v>
                </c:pt>
                <c:pt idx="72">
                  <c:v>1.2784928863110789</c:v>
                </c:pt>
                <c:pt idx="73">
                  <c:v>1.1868895916736149</c:v>
                </c:pt>
                <c:pt idx="74">
                  <c:v>1.200260327927777</c:v>
                </c:pt>
                <c:pt idx="75">
                  <c:v>1.2034336977273266</c:v>
                </c:pt>
                <c:pt idx="76">
                  <c:v>1.2087734147895188</c:v>
                </c:pt>
                <c:pt idx="77">
                  <c:v>1.1907747002542084</c:v>
                </c:pt>
                <c:pt idx="78">
                  <c:v>1.2023409716584781</c:v>
                </c:pt>
                <c:pt idx="79">
                  <c:v>1.3840069437166618</c:v>
                </c:pt>
                <c:pt idx="80">
                  <c:v>1.31852448522104</c:v>
                </c:pt>
                <c:pt idx="81">
                  <c:v>1.3498956343614672</c:v>
                </c:pt>
                <c:pt idx="82">
                  <c:v>1.4466278734657094</c:v>
                </c:pt>
                <c:pt idx="83">
                  <c:v>1.5510586634541592</c:v>
                </c:pt>
                <c:pt idx="84">
                  <c:v>1.6462063004982479</c:v>
                </c:pt>
                <c:pt idx="85">
                  <c:v>1.7096592728278188</c:v>
                </c:pt>
                <c:pt idx="86">
                  <c:v>1.7701049407060714</c:v>
                </c:pt>
                <c:pt idx="87">
                  <c:v>1.9248314622780991</c:v>
                </c:pt>
                <c:pt idx="88">
                  <c:v>2.2786064562159769</c:v>
                </c:pt>
                <c:pt idx="89">
                  <c:v>2.6811253288955856</c:v>
                </c:pt>
                <c:pt idx="90">
                  <c:v>3.1814770425132295</c:v>
                </c:pt>
                <c:pt idx="91">
                  <c:v>3.5098178277275967</c:v>
                </c:pt>
                <c:pt idx="92">
                  <c:v>3.5762542288860093</c:v>
                </c:pt>
                <c:pt idx="93">
                  <c:v>3.5330898979501133</c:v>
                </c:pt>
                <c:pt idx="94">
                  <c:v>3.5195399446223727</c:v>
                </c:pt>
                <c:pt idx="95">
                  <c:v>3.5188914925105395</c:v>
                </c:pt>
                <c:pt idx="96">
                  <c:v>3.5007029953326723</c:v>
                </c:pt>
                <c:pt idx="97">
                  <c:v>3.4952709559513693</c:v>
                </c:pt>
                <c:pt idx="98">
                  <c:v>2.9455707657626689</c:v>
                </c:pt>
                <c:pt idx="99">
                  <c:v>2.4301157162621601</c:v>
                </c:pt>
                <c:pt idx="100">
                  <c:v>1.9664607630478383</c:v>
                </c:pt>
                <c:pt idx="101">
                  <c:v>1.7418085903841136</c:v>
                </c:pt>
                <c:pt idx="102">
                  <c:v>1.6072367643198722</c:v>
                </c:pt>
                <c:pt idx="103">
                  <c:v>1.3569315727954712</c:v>
                </c:pt>
                <c:pt idx="104">
                  <c:v>1.3015070895118024</c:v>
                </c:pt>
                <c:pt idx="105">
                  <c:v>1.1609447895081899</c:v>
                </c:pt>
                <c:pt idx="106">
                  <c:v>1.0039189754921114</c:v>
                </c:pt>
                <c:pt idx="107">
                  <c:v>0.9985076426748225</c:v>
                </c:pt>
                <c:pt idx="108">
                  <c:v>1.0150808868819823</c:v>
                </c:pt>
                <c:pt idx="109">
                  <c:v>0.76471763132839632</c:v>
                </c:pt>
                <c:pt idx="110">
                  <c:v>0.83633027567501184</c:v>
                </c:pt>
                <c:pt idx="111">
                  <c:v>0.80115206131372041</c:v>
                </c:pt>
                <c:pt idx="112">
                  <c:v>0.800394765583476</c:v>
                </c:pt>
                <c:pt idx="113">
                  <c:v>0.77519008161644032</c:v>
                </c:pt>
                <c:pt idx="114">
                  <c:v>0.80461996716097084</c:v>
                </c:pt>
                <c:pt idx="115">
                  <c:v>0.76459134354659064</c:v>
                </c:pt>
                <c:pt idx="116">
                  <c:v>0.7368011781128595</c:v>
                </c:pt>
                <c:pt idx="117">
                  <c:v>0.72453231883584779</c:v>
                </c:pt>
                <c:pt idx="118">
                  <c:v>0.74557020699287047</c:v>
                </c:pt>
                <c:pt idx="119">
                  <c:v>0.76216877121465021</c:v>
                </c:pt>
                <c:pt idx="120">
                  <c:v>0.78190294626543666</c:v>
                </c:pt>
                <c:pt idx="121">
                  <c:v>0.68676961011735838</c:v>
                </c:pt>
                <c:pt idx="122">
                  <c:v>0.76975076430720957</c:v>
                </c:pt>
                <c:pt idx="123">
                  <c:v>0.74530032252169653</c:v>
                </c:pt>
                <c:pt idx="124">
                  <c:v>0.81820923008920121</c:v>
                </c:pt>
                <c:pt idx="125">
                  <c:v>0.80477968806030287</c:v>
                </c:pt>
                <c:pt idx="126">
                  <c:v>0.83111583108776388</c:v>
                </c:pt>
                <c:pt idx="127">
                  <c:v>0.81868233128645673</c:v>
                </c:pt>
                <c:pt idx="128">
                  <c:v>0.78146733665586121</c:v>
                </c:pt>
                <c:pt idx="129">
                  <c:v>0.78156495527787617</c:v>
                </c:pt>
                <c:pt idx="130">
                  <c:v>0.81596413266146561</c:v>
                </c:pt>
                <c:pt idx="131">
                  <c:v>0.76874900745062058</c:v>
                </c:pt>
                <c:pt idx="132">
                  <c:v>0.78863639185206746</c:v>
                </c:pt>
                <c:pt idx="133">
                  <c:v>0.79160961318441292</c:v>
                </c:pt>
                <c:pt idx="134">
                  <c:v>0.83749510910566505</c:v>
                </c:pt>
                <c:pt idx="135">
                  <c:v>0.86977843953351408</c:v>
                </c:pt>
                <c:pt idx="136">
                  <c:v>0.88864309337534209</c:v>
                </c:pt>
                <c:pt idx="137">
                  <c:v>0.91353665280752261</c:v>
                </c:pt>
                <c:pt idx="138">
                  <c:v>0.90259191387738724</c:v>
                </c:pt>
                <c:pt idx="139">
                  <c:v>0.90360745918718266</c:v>
                </c:pt>
                <c:pt idx="140">
                  <c:v>0.8956078069949972</c:v>
                </c:pt>
                <c:pt idx="141">
                  <c:v>0.90352392887055077</c:v>
                </c:pt>
                <c:pt idx="142">
                  <c:v>0.85430071171640909</c:v>
                </c:pt>
                <c:pt idx="143">
                  <c:v>0.83141894478149525</c:v>
                </c:pt>
                <c:pt idx="144">
                  <c:v>0.8986428581327861</c:v>
                </c:pt>
                <c:pt idx="145">
                  <c:v>0.75713382892838221</c:v>
                </c:pt>
                <c:pt idx="146">
                  <c:v>0.80407383140369737</c:v>
                </c:pt>
                <c:pt idx="147">
                  <c:v>0.74834794249947134</c:v>
                </c:pt>
                <c:pt idx="148">
                  <c:v>0.73727275256300484</c:v>
                </c:pt>
                <c:pt idx="149">
                  <c:v>0.70840151673589036</c:v>
                </c:pt>
                <c:pt idx="150">
                  <c:v>0.70415729289864759</c:v>
                </c:pt>
                <c:pt idx="151">
                  <c:v>0.7010597095840243</c:v>
                </c:pt>
                <c:pt idx="152">
                  <c:v>0.69350524777467781</c:v>
                </c:pt>
                <c:pt idx="153">
                  <c:v>0.69622450436896643</c:v>
                </c:pt>
                <c:pt idx="154">
                  <c:v>0.69173956788149427</c:v>
                </c:pt>
                <c:pt idx="155">
                  <c:v>0.72035745304322973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A6-4C85-8E1E-CF8E67433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633504"/>
        <c:axId val="207024608"/>
      </c:lineChart>
      <c:dateAx>
        <c:axId val="1756633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024608"/>
        <c:crosses val="autoZero"/>
        <c:auto val="1"/>
        <c:lblOffset val="100"/>
        <c:baseTimeUnit val="months"/>
      </c:dateAx>
      <c:valAx>
        <c:axId val="20702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663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'parametro_lambda (2)'!$O$1</c:f>
              <c:strCache>
                <c:ptCount val="1"/>
                <c:pt idx="0">
                  <c:v>razao_i_ponderado_B_SELIC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'parametro_lambda (2)'!$A$2:$A$164</c:f>
              <c:numCache>
                <c:formatCode>m/d/yyyy</c:formatCode>
                <c:ptCount val="1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</c:numCache>
            </c:numRef>
          </c:cat>
          <c:val>
            <c:numRef>
              <c:f>'parametro_lambda (2)'!$O$2:$O$164</c:f>
              <c:numCache>
                <c:formatCode>General</c:formatCode>
                <c:ptCount val="163"/>
                <c:pt idx="0">
                  <c:v>24.192653794276332</c:v>
                </c:pt>
                <c:pt idx="1">
                  <c:v>24.603289953566733</c:v>
                </c:pt>
                <c:pt idx="2">
                  <c:v>24.527409142747796</c:v>
                </c:pt>
                <c:pt idx="3">
                  <c:v>23.965151690087215</c:v>
                </c:pt>
                <c:pt idx="4">
                  <c:v>23.52623933073107</c:v>
                </c:pt>
                <c:pt idx="5">
                  <c:v>22.446626573432567</c:v>
                </c:pt>
                <c:pt idx="6">
                  <c:v>21.646307286384797</c:v>
                </c:pt>
                <c:pt idx="7">
                  <c:v>21.097621925245207</c:v>
                </c:pt>
                <c:pt idx="8">
                  <c:v>20.159191467517349</c:v>
                </c:pt>
                <c:pt idx="9">
                  <c:v>19.548351560865115</c:v>
                </c:pt>
                <c:pt idx="10">
                  <c:v>19.697858181910647</c:v>
                </c:pt>
                <c:pt idx="11">
                  <c:v>19.381603149905779</c:v>
                </c:pt>
                <c:pt idx="12">
                  <c:v>18.903938775354568</c:v>
                </c:pt>
                <c:pt idx="13">
                  <c:v>18.969997123917114</c:v>
                </c:pt>
                <c:pt idx="14">
                  <c:v>18.381942637590832</c:v>
                </c:pt>
                <c:pt idx="15">
                  <c:v>17.542454470906367</c:v>
                </c:pt>
                <c:pt idx="16">
                  <c:v>17.831320582865615</c:v>
                </c:pt>
                <c:pt idx="17">
                  <c:v>18.239573836093431</c:v>
                </c:pt>
                <c:pt idx="18">
                  <c:v>18.228943002779729</c:v>
                </c:pt>
                <c:pt idx="19">
                  <c:v>18.571645475437901</c:v>
                </c:pt>
                <c:pt idx="20">
                  <c:v>18.530817369975647</c:v>
                </c:pt>
                <c:pt idx="21">
                  <c:v>19.311580434238088</c:v>
                </c:pt>
                <c:pt idx="22">
                  <c:v>19.596339275253989</c:v>
                </c:pt>
                <c:pt idx="23">
                  <c:v>19.308898966357678</c:v>
                </c:pt>
                <c:pt idx="24">
                  <c:v>19.433959727028835</c:v>
                </c:pt>
                <c:pt idx="25">
                  <c:v>19.560749197492626</c:v>
                </c:pt>
                <c:pt idx="26">
                  <c:v>18.938808510056777</c:v>
                </c:pt>
                <c:pt idx="27">
                  <c:v>19.102315258767693</c:v>
                </c:pt>
                <c:pt idx="28">
                  <c:v>19.339613991126789</c:v>
                </c:pt>
                <c:pt idx="29">
                  <c:v>19.518444420433354</c:v>
                </c:pt>
                <c:pt idx="30">
                  <c:v>20.267269956880455</c:v>
                </c:pt>
                <c:pt idx="31">
                  <c:v>19.96453629332628</c:v>
                </c:pt>
                <c:pt idx="32">
                  <c:v>20.777065077050928</c:v>
                </c:pt>
                <c:pt idx="33">
                  <c:v>20.788957425773603</c:v>
                </c:pt>
                <c:pt idx="34">
                  <c:v>21.97892257323031</c:v>
                </c:pt>
                <c:pt idx="35">
                  <c:v>22.449556763082889</c:v>
                </c:pt>
                <c:pt idx="36">
                  <c:v>23.330382073089989</c:v>
                </c:pt>
                <c:pt idx="37">
                  <c:v>23.591457935815601</c:v>
                </c:pt>
                <c:pt idx="38">
                  <c:v>23.836925725397652</c:v>
                </c:pt>
                <c:pt idx="39">
                  <c:v>24.364958106731386</c:v>
                </c:pt>
                <c:pt idx="40">
                  <c:v>24.703441262305649</c:v>
                </c:pt>
                <c:pt idx="41">
                  <c:v>24.732582079550564</c:v>
                </c:pt>
                <c:pt idx="42">
                  <c:v>24.930751347611636</c:v>
                </c:pt>
                <c:pt idx="43">
                  <c:v>25.502298482272014</c:v>
                </c:pt>
                <c:pt idx="44">
                  <c:v>25.919784977204458</c:v>
                </c:pt>
                <c:pt idx="45">
                  <c:v>25.897744187505413</c:v>
                </c:pt>
                <c:pt idx="46">
                  <c:v>26.683841422581686</c:v>
                </c:pt>
                <c:pt idx="47">
                  <c:v>27.314352568126179</c:v>
                </c:pt>
                <c:pt idx="48">
                  <c:v>28.27476509728216</c:v>
                </c:pt>
                <c:pt idx="49">
                  <c:v>29.192062156559096</c:v>
                </c:pt>
                <c:pt idx="50">
                  <c:v>30.2743549503808</c:v>
                </c:pt>
                <c:pt idx="51">
                  <c:v>28.773509578587749</c:v>
                </c:pt>
                <c:pt idx="52">
                  <c:v>26.141533054853507</c:v>
                </c:pt>
                <c:pt idx="53">
                  <c:v>29.413085784943394</c:v>
                </c:pt>
                <c:pt idx="54">
                  <c:v>31.579885865485796</c:v>
                </c:pt>
                <c:pt idx="55">
                  <c:v>34.380872486975044</c:v>
                </c:pt>
                <c:pt idx="56">
                  <c:v>33.535177121153303</c:v>
                </c:pt>
                <c:pt idx="57">
                  <c:v>35.533056388437309</c:v>
                </c:pt>
                <c:pt idx="58">
                  <c:v>38.724674761202415</c:v>
                </c:pt>
                <c:pt idx="59">
                  <c:v>40.2172792625448</c:v>
                </c:pt>
                <c:pt idx="60">
                  <c:v>40.187103287610242</c:v>
                </c:pt>
                <c:pt idx="61">
                  <c:v>41.983804689029256</c:v>
                </c:pt>
                <c:pt idx="62">
                  <c:v>42.66551058754898</c:v>
                </c:pt>
                <c:pt idx="63">
                  <c:v>43.887284791804049</c:v>
                </c:pt>
                <c:pt idx="64">
                  <c:v>40.754093743746076</c:v>
                </c:pt>
                <c:pt idx="65">
                  <c:v>39.334759328655998</c:v>
                </c:pt>
                <c:pt idx="66">
                  <c:v>37.830361148047629</c:v>
                </c:pt>
                <c:pt idx="67">
                  <c:v>37.929253163671106</c:v>
                </c:pt>
                <c:pt idx="68">
                  <c:v>37.694726363810091</c:v>
                </c:pt>
                <c:pt idx="69">
                  <c:v>37.702773521259992</c:v>
                </c:pt>
                <c:pt idx="70">
                  <c:v>38.142548026523521</c:v>
                </c:pt>
                <c:pt idx="71">
                  <c:v>38.245106793501741</c:v>
                </c:pt>
                <c:pt idx="72">
                  <c:v>38.426876602103896</c:v>
                </c:pt>
                <c:pt idx="73">
                  <c:v>39.261206322749118</c:v>
                </c:pt>
                <c:pt idx="74">
                  <c:v>39.958365534476393</c:v>
                </c:pt>
                <c:pt idx="75">
                  <c:v>39.637101095742416</c:v>
                </c:pt>
                <c:pt idx="76">
                  <c:v>39.638648397435901</c:v>
                </c:pt>
                <c:pt idx="77">
                  <c:v>39.755430809513307</c:v>
                </c:pt>
                <c:pt idx="78">
                  <c:v>39.528615859449197</c:v>
                </c:pt>
                <c:pt idx="79">
                  <c:v>42.732820440843533</c:v>
                </c:pt>
                <c:pt idx="80">
                  <c:v>43.932341926015553</c:v>
                </c:pt>
                <c:pt idx="81">
                  <c:v>47.620515936298268</c:v>
                </c:pt>
                <c:pt idx="82">
                  <c:v>52.820255834936781</c:v>
                </c:pt>
                <c:pt idx="83">
                  <c:v>55.543133503779465</c:v>
                </c:pt>
                <c:pt idx="84">
                  <c:v>51.477691150932088</c:v>
                </c:pt>
                <c:pt idx="85">
                  <c:v>54.252020237208313</c:v>
                </c:pt>
                <c:pt idx="86">
                  <c:v>57.445758431894589</c:v>
                </c:pt>
                <c:pt idx="87">
                  <c:v>56.674678999756225</c:v>
                </c:pt>
                <c:pt idx="88">
                  <c:v>64.776293846242623</c:v>
                </c:pt>
                <c:pt idx="89">
                  <c:v>70.952809707471559</c:v>
                </c:pt>
                <c:pt idx="90">
                  <c:v>90.191724715233434</c:v>
                </c:pt>
                <c:pt idx="91">
                  <c:v>99.809101037004439</c:v>
                </c:pt>
                <c:pt idx="92">
                  <c:v>102.89955655703011</c:v>
                </c:pt>
                <c:pt idx="93">
                  <c:v>104.87884894716933</c:v>
                </c:pt>
                <c:pt idx="94">
                  <c:v>106.16017570318981</c:v>
                </c:pt>
                <c:pt idx="95">
                  <c:v>107.57153035752631</c:v>
                </c:pt>
                <c:pt idx="96">
                  <c:v>109.75532004237945</c:v>
                </c:pt>
                <c:pt idx="97">
                  <c:v>111.23577967445434</c:v>
                </c:pt>
                <c:pt idx="98">
                  <c:v>94.713409740659856</c:v>
                </c:pt>
                <c:pt idx="99">
                  <c:v>80.722720110690062</c:v>
                </c:pt>
                <c:pt idx="100">
                  <c:v>64.603056419948246</c:v>
                </c:pt>
                <c:pt idx="101">
                  <c:v>57.062986408602569</c:v>
                </c:pt>
                <c:pt idx="102">
                  <c:v>51.722785331301822</c:v>
                </c:pt>
                <c:pt idx="103">
                  <c:v>43.425848603859464</c:v>
                </c:pt>
                <c:pt idx="104">
                  <c:v>41.187839396248457</c:v>
                </c:pt>
                <c:pt idx="105">
                  <c:v>35.971342923177879</c:v>
                </c:pt>
                <c:pt idx="106">
                  <c:v>30.019330139251906</c:v>
                </c:pt>
                <c:pt idx="107">
                  <c:v>26.658314745270754</c:v>
                </c:pt>
                <c:pt idx="108">
                  <c:v>25.60350353799274</c:v>
                </c:pt>
                <c:pt idx="109">
                  <c:v>23.232885692010797</c:v>
                </c:pt>
                <c:pt idx="110">
                  <c:v>21.665124547945783</c:v>
                </c:pt>
                <c:pt idx="111">
                  <c:v>21.224749852406482</c:v>
                </c:pt>
                <c:pt idx="112">
                  <c:v>19.816448328505388</c:v>
                </c:pt>
                <c:pt idx="113">
                  <c:v>19.381572631395834</c:v>
                </c:pt>
                <c:pt idx="114">
                  <c:v>20.155486494325135</c:v>
                </c:pt>
                <c:pt idx="115">
                  <c:v>19.942171073755357</c:v>
                </c:pt>
                <c:pt idx="116">
                  <c:v>19.779257862190317</c:v>
                </c:pt>
                <c:pt idx="117">
                  <c:v>20.298085635863934</c:v>
                </c:pt>
                <c:pt idx="118">
                  <c:v>19.917093443861862</c:v>
                </c:pt>
                <c:pt idx="119">
                  <c:v>20.536465188484708</c:v>
                </c:pt>
                <c:pt idx="120">
                  <c:v>20.472436762154665</c:v>
                </c:pt>
                <c:pt idx="121">
                  <c:v>20.971876587884282</c:v>
                </c:pt>
                <c:pt idx="122">
                  <c:v>20.886977995411474</c:v>
                </c:pt>
                <c:pt idx="123">
                  <c:v>21.666601828241518</c:v>
                </c:pt>
                <c:pt idx="124">
                  <c:v>21.577550093079591</c:v>
                </c:pt>
                <c:pt idx="125">
                  <c:v>20.9892082411206</c:v>
                </c:pt>
                <c:pt idx="126">
                  <c:v>21.064638180288604</c:v>
                </c:pt>
                <c:pt idx="127">
                  <c:v>21.659790369504378</c:v>
                </c:pt>
                <c:pt idx="128">
                  <c:v>21.789779654446317</c:v>
                </c:pt>
                <c:pt idx="129">
                  <c:v>22.11411299724189</c:v>
                </c:pt>
                <c:pt idx="130">
                  <c:v>22.481624461371325</c:v>
                </c:pt>
                <c:pt idx="131">
                  <c:v>23.375102359274344</c:v>
                </c:pt>
                <c:pt idx="132">
                  <c:v>22.28629135316713</c:v>
                </c:pt>
                <c:pt idx="133">
                  <c:v>23.053351994745046</c:v>
                </c:pt>
                <c:pt idx="134">
                  <c:v>23.67951158469738</c:v>
                </c:pt>
                <c:pt idx="135">
                  <c:v>24.086026488979336</c:v>
                </c:pt>
                <c:pt idx="136">
                  <c:v>24.598334618295517</c:v>
                </c:pt>
                <c:pt idx="137">
                  <c:v>25.119068989674172</c:v>
                </c:pt>
                <c:pt idx="138">
                  <c:v>24.716636258204765</c:v>
                </c:pt>
                <c:pt idx="139">
                  <c:v>24.796722624397614</c:v>
                </c:pt>
                <c:pt idx="140">
                  <c:v>25.219237402301339</c:v>
                </c:pt>
                <c:pt idx="141">
                  <c:v>24.448125480913784</c:v>
                </c:pt>
                <c:pt idx="142">
                  <c:v>24.064010277902913</c:v>
                </c:pt>
                <c:pt idx="143">
                  <c:v>22.283014207334791</c:v>
                </c:pt>
                <c:pt idx="144">
                  <c:v>21.717786016040975</c:v>
                </c:pt>
                <c:pt idx="145">
                  <c:v>20.803880506298373</c:v>
                </c:pt>
                <c:pt idx="146">
                  <c:v>20.33139445625363</c:v>
                </c:pt>
                <c:pt idx="147">
                  <c:v>19.581576457905346</c:v>
                </c:pt>
                <c:pt idx="148">
                  <c:v>19.179873647868625</c:v>
                </c:pt>
                <c:pt idx="149">
                  <c:v>18.958750286892695</c:v>
                </c:pt>
                <c:pt idx="150">
                  <c:v>18.725448758907575</c:v>
                </c:pt>
                <c:pt idx="151">
                  <c:v>18.794779813417261</c:v>
                </c:pt>
                <c:pt idx="152">
                  <c:v>18.577728687561216</c:v>
                </c:pt>
                <c:pt idx="153">
                  <c:v>18.650735637313076</c:v>
                </c:pt>
                <c:pt idx="154">
                  <c:v>18.827747020180539</c:v>
                </c:pt>
                <c:pt idx="155">
                  <c:v>18.636048910581557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6F-467C-8DF3-0F90E6A86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0713680"/>
        <c:axId val="1814395840"/>
      </c:lineChart>
      <c:dateAx>
        <c:axId val="6007136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4395840"/>
        <c:crosses val="autoZero"/>
        <c:auto val="1"/>
        <c:lblOffset val="100"/>
        <c:baseTimeUnit val="months"/>
      </c:dateAx>
      <c:valAx>
        <c:axId val="181439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0713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'parametro_lambda (2)'!$S$1</c:f>
              <c:strCache>
                <c:ptCount val="1"/>
                <c:pt idx="0">
                  <c:v>razao_i_ponderado_Z_SELIC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'parametro_lambda (2)'!$A$2:$A$164</c:f>
              <c:numCache>
                <c:formatCode>m/d/yyyy</c:formatCode>
                <c:ptCount val="1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</c:numCache>
            </c:numRef>
          </c:cat>
          <c:val>
            <c:numRef>
              <c:f>'parametro_lambda (2)'!$S$2:$S$164</c:f>
              <c:numCache>
                <c:formatCode>General</c:formatCode>
                <c:ptCount val="163"/>
                <c:pt idx="0">
                  <c:v>1.0949862604605771</c:v>
                </c:pt>
                <c:pt idx="1">
                  <c:v>1.0606682913417285</c:v>
                </c:pt>
                <c:pt idx="2">
                  <c:v>1.0619890892971464</c:v>
                </c:pt>
                <c:pt idx="3">
                  <c:v>1.0664463204919914</c:v>
                </c:pt>
                <c:pt idx="4">
                  <c:v>1.0346761340405601</c:v>
                </c:pt>
                <c:pt idx="5">
                  <c:v>0.97625304855762529</c:v>
                </c:pt>
                <c:pt idx="6">
                  <c:v>0.95515970242948778</c:v>
                </c:pt>
                <c:pt idx="7">
                  <c:v>0.94471984973100953</c:v>
                </c:pt>
                <c:pt idx="8">
                  <c:v>0.92701494861306621</c:v>
                </c:pt>
                <c:pt idx="9">
                  <c:v>0.92721268191592054</c:v>
                </c:pt>
                <c:pt idx="10">
                  <c:v>0.92109425778566612</c:v>
                </c:pt>
                <c:pt idx="11">
                  <c:v>0.88220825225193489</c:v>
                </c:pt>
                <c:pt idx="12">
                  <c:v>0.92793136700166412</c:v>
                </c:pt>
                <c:pt idx="13">
                  <c:v>0.83161240756597454</c:v>
                </c:pt>
                <c:pt idx="14">
                  <c:v>0.91048948782426731</c:v>
                </c:pt>
                <c:pt idx="15">
                  <c:v>0.83632311527771885</c:v>
                </c:pt>
                <c:pt idx="16">
                  <c:v>0.86620899727516365</c:v>
                </c:pt>
                <c:pt idx="17">
                  <c:v>0.83871149989000893</c:v>
                </c:pt>
                <c:pt idx="18">
                  <c:v>0.88128892825077465</c:v>
                </c:pt>
                <c:pt idx="19">
                  <c:v>0.87209471560978935</c:v>
                </c:pt>
                <c:pt idx="20">
                  <c:v>0.85921046378425536</c:v>
                </c:pt>
                <c:pt idx="21">
                  <c:v>0.85850658013302528</c:v>
                </c:pt>
                <c:pt idx="22">
                  <c:v>0.82545582715114452</c:v>
                </c:pt>
                <c:pt idx="23">
                  <c:v>0.76601651511577962</c:v>
                </c:pt>
                <c:pt idx="24">
                  <c:v>0.78644219620466604</c:v>
                </c:pt>
                <c:pt idx="25">
                  <c:v>0.72153512475924197</c:v>
                </c:pt>
                <c:pt idx="26">
                  <c:v>0.77696963378104744</c:v>
                </c:pt>
                <c:pt idx="27">
                  <c:v>0.76591017950493234</c:v>
                </c:pt>
                <c:pt idx="28">
                  <c:v>0.76590412639421723</c:v>
                </c:pt>
                <c:pt idx="29">
                  <c:v>0.76382877620441458</c:v>
                </c:pt>
                <c:pt idx="30">
                  <c:v>0.78248490143707272</c:v>
                </c:pt>
                <c:pt idx="31">
                  <c:v>0.74052534770843703</c:v>
                </c:pt>
                <c:pt idx="32">
                  <c:v>0.7317270603595265</c:v>
                </c:pt>
                <c:pt idx="33">
                  <c:v>0.73659332833147428</c:v>
                </c:pt>
                <c:pt idx="34">
                  <c:v>0.74375830886339733</c:v>
                </c:pt>
                <c:pt idx="35">
                  <c:v>0.70816674402152491</c:v>
                </c:pt>
                <c:pt idx="36">
                  <c:v>0.73636861511332552</c:v>
                </c:pt>
                <c:pt idx="37">
                  <c:v>0.71161947967104711</c:v>
                </c:pt>
                <c:pt idx="38">
                  <c:v>0.75479434579737326</c:v>
                </c:pt>
                <c:pt idx="39">
                  <c:v>0.74141247431543289</c:v>
                </c:pt>
                <c:pt idx="40">
                  <c:v>0.78320519380810683</c:v>
                </c:pt>
                <c:pt idx="41">
                  <c:v>0.79037592411693292</c:v>
                </c:pt>
                <c:pt idx="42">
                  <c:v>0.80046788866210494</c:v>
                </c:pt>
                <c:pt idx="43">
                  <c:v>0.78827671027239443</c:v>
                </c:pt>
                <c:pt idx="44">
                  <c:v>0.775482851722053</c:v>
                </c:pt>
                <c:pt idx="45">
                  <c:v>0.75702550117739498</c:v>
                </c:pt>
                <c:pt idx="46">
                  <c:v>0.76506567358177568</c:v>
                </c:pt>
                <c:pt idx="47">
                  <c:v>0.79439243976396479</c:v>
                </c:pt>
                <c:pt idx="48">
                  <c:v>0.82277694809764712</c:v>
                </c:pt>
                <c:pt idx="49">
                  <c:v>0.71726658716062219</c:v>
                </c:pt>
                <c:pt idx="50">
                  <c:v>0.80420846371543753</c:v>
                </c:pt>
                <c:pt idx="51">
                  <c:v>0.77894446318352883</c:v>
                </c:pt>
                <c:pt idx="52">
                  <c:v>0.8851807727328258</c:v>
                </c:pt>
                <c:pt idx="53">
                  <c:v>0.90631276906152547</c:v>
                </c:pt>
                <c:pt idx="54">
                  <c:v>0.92174893536727065</c:v>
                </c:pt>
                <c:pt idx="55">
                  <c:v>0.92951235688972256</c:v>
                </c:pt>
                <c:pt idx="56">
                  <c:v>1.0061111938348173</c:v>
                </c:pt>
                <c:pt idx="57">
                  <c:v>1.0645969336999979</c:v>
                </c:pt>
                <c:pt idx="58">
                  <c:v>1.056556785949506</c:v>
                </c:pt>
                <c:pt idx="59">
                  <c:v>1.1366523112869309</c:v>
                </c:pt>
                <c:pt idx="60">
                  <c:v>1.1907380201170885</c:v>
                </c:pt>
                <c:pt idx="61">
                  <c:v>1.217237577982933</c:v>
                </c:pt>
                <c:pt idx="62">
                  <c:v>1.2258889927524594</c:v>
                </c:pt>
                <c:pt idx="63">
                  <c:v>1.2570298117825707</c:v>
                </c:pt>
                <c:pt idx="64">
                  <c:v>1.239078729453299</c:v>
                </c:pt>
                <c:pt idx="65">
                  <c:v>1.2370277107917753</c:v>
                </c:pt>
                <c:pt idx="66">
                  <c:v>1.2307173348499072</c:v>
                </c:pt>
                <c:pt idx="67">
                  <c:v>1.2283274909938728</c:v>
                </c:pt>
                <c:pt idx="68">
                  <c:v>1.1865392243097963</c:v>
                </c:pt>
                <c:pt idx="69">
                  <c:v>1.1979451223873281</c:v>
                </c:pt>
                <c:pt idx="70">
                  <c:v>1.2093775734932171</c:v>
                </c:pt>
                <c:pt idx="71">
                  <c:v>1.2079021760916229</c:v>
                </c:pt>
                <c:pt idx="72">
                  <c:v>1.2784928863110789</c:v>
                </c:pt>
                <c:pt idx="73">
                  <c:v>1.1868895916736149</c:v>
                </c:pt>
                <c:pt idx="74">
                  <c:v>1.200260327927777</c:v>
                </c:pt>
                <c:pt idx="75">
                  <c:v>1.2034336977273266</c:v>
                </c:pt>
                <c:pt idx="76">
                  <c:v>1.2087734147895188</c:v>
                </c:pt>
                <c:pt idx="77">
                  <c:v>1.1907747002542084</c:v>
                </c:pt>
                <c:pt idx="78">
                  <c:v>1.2023409716584781</c:v>
                </c:pt>
                <c:pt idx="79">
                  <c:v>1.3840069437166618</c:v>
                </c:pt>
                <c:pt idx="80">
                  <c:v>1.31852448522104</c:v>
                </c:pt>
                <c:pt idx="81">
                  <c:v>1.3498956343614672</c:v>
                </c:pt>
                <c:pt idx="82">
                  <c:v>1.4466278734657094</c:v>
                </c:pt>
                <c:pt idx="83">
                  <c:v>1.5510586634541592</c:v>
                </c:pt>
                <c:pt idx="84">
                  <c:v>1.6462063004982479</c:v>
                </c:pt>
                <c:pt idx="85">
                  <c:v>1.7096592728278188</c:v>
                </c:pt>
                <c:pt idx="86">
                  <c:v>1.7701049407060714</c:v>
                </c:pt>
                <c:pt idx="87">
                  <c:v>1.9248314622780991</c:v>
                </c:pt>
                <c:pt idx="88">
                  <c:v>2.2786064562159769</c:v>
                </c:pt>
                <c:pt idx="89">
                  <c:v>2.6811253288955856</c:v>
                </c:pt>
                <c:pt idx="90">
                  <c:v>3.1814770425132295</c:v>
                </c:pt>
                <c:pt idx="91">
                  <c:v>3.5098178277275967</c:v>
                </c:pt>
                <c:pt idx="92">
                  <c:v>3.5762542288860093</c:v>
                </c:pt>
                <c:pt idx="93">
                  <c:v>3.5330898979501133</c:v>
                </c:pt>
                <c:pt idx="94">
                  <c:v>3.5195399446223727</c:v>
                </c:pt>
                <c:pt idx="95">
                  <c:v>3.5188914925105395</c:v>
                </c:pt>
                <c:pt idx="96">
                  <c:v>3.5007029953326723</c:v>
                </c:pt>
                <c:pt idx="97">
                  <c:v>3.4952709559513693</c:v>
                </c:pt>
                <c:pt idx="98">
                  <c:v>2.9455707657626689</c:v>
                </c:pt>
                <c:pt idx="99">
                  <c:v>2.4301157162621601</c:v>
                </c:pt>
                <c:pt idx="100">
                  <c:v>1.9664607630478383</c:v>
                </c:pt>
                <c:pt idx="101">
                  <c:v>1.7418085903841136</c:v>
                </c:pt>
                <c:pt idx="102">
                  <c:v>1.6072367643198722</c:v>
                </c:pt>
                <c:pt idx="103">
                  <c:v>1.3569315727954712</c:v>
                </c:pt>
                <c:pt idx="104">
                  <c:v>1.3015070895118024</c:v>
                </c:pt>
                <c:pt idx="105">
                  <c:v>1.1609447895081899</c:v>
                </c:pt>
                <c:pt idx="106">
                  <c:v>1.0039189754921114</c:v>
                </c:pt>
                <c:pt idx="107">
                  <c:v>0.9985076426748225</c:v>
                </c:pt>
                <c:pt idx="108">
                  <c:v>1.0150808868819823</c:v>
                </c:pt>
                <c:pt idx="109">
                  <c:v>0.76471763132839632</c:v>
                </c:pt>
                <c:pt idx="110">
                  <c:v>0.83633027567501184</c:v>
                </c:pt>
                <c:pt idx="111">
                  <c:v>0.80115206131372041</c:v>
                </c:pt>
                <c:pt idx="112">
                  <c:v>0.800394765583476</c:v>
                </c:pt>
                <c:pt idx="113">
                  <c:v>0.77519008161644032</c:v>
                </c:pt>
                <c:pt idx="114">
                  <c:v>0.80461996716097084</c:v>
                </c:pt>
                <c:pt idx="115">
                  <c:v>0.76459134354659064</c:v>
                </c:pt>
                <c:pt idx="116">
                  <c:v>0.7368011781128595</c:v>
                </c:pt>
                <c:pt idx="117">
                  <c:v>0.72453231883584779</c:v>
                </c:pt>
                <c:pt idx="118">
                  <c:v>0.74557020699287047</c:v>
                </c:pt>
                <c:pt idx="119">
                  <c:v>0.76216877121465021</c:v>
                </c:pt>
                <c:pt idx="120">
                  <c:v>0.78190294626543666</c:v>
                </c:pt>
                <c:pt idx="121">
                  <c:v>0.68676961011735838</c:v>
                </c:pt>
                <c:pt idx="122">
                  <c:v>0.76975076430720957</c:v>
                </c:pt>
                <c:pt idx="123">
                  <c:v>0.74530032252169653</c:v>
                </c:pt>
                <c:pt idx="124">
                  <c:v>0.81820923008920121</c:v>
                </c:pt>
                <c:pt idx="125">
                  <c:v>0.80477968806030287</c:v>
                </c:pt>
                <c:pt idx="126">
                  <c:v>0.83111583108776388</c:v>
                </c:pt>
                <c:pt idx="127">
                  <c:v>0.81868233128645673</c:v>
                </c:pt>
                <c:pt idx="128">
                  <c:v>0.78146733665586121</c:v>
                </c:pt>
                <c:pt idx="129">
                  <c:v>0.78156495527787617</c:v>
                </c:pt>
                <c:pt idx="130">
                  <c:v>0.81596413266146561</c:v>
                </c:pt>
                <c:pt idx="131">
                  <c:v>0.76874900745062058</c:v>
                </c:pt>
                <c:pt idx="132">
                  <c:v>0.78863639185206746</c:v>
                </c:pt>
                <c:pt idx="133">
                  <c:v>0.79160961318441292</c:v>
                </c:pt>
                <c:pt idx="134">
                  <c:v>0.83749510910566505</c:v>
                </c:pt>
                <c:pt idx="135">
                  <c:v>0.86977843953351408</c:v>
                </c:pt>
                <c:pt idx="136">
                  <c:v>0.88864309337534209</c:v>
                </c:pt>
                <c:pt idx="137">
                  <c:v>0.91353665280752261</c:v>
                </c:pt>
                <c:pt idx="138">
                  <c:v>0.90259191387738724</c:v>
                </c:pt>
                <c:pt idx="139">
                  <c:v>0.90360745918718266</c:v>
                </c:pt>
                <c:pt idx="140">
                  <c:v>0.8956078069949972</c:v>
                </c:pt>
                <c:pt idx="141">
                  <c:v>0.90352392887055077</c:v>
                </c:pt>
                <c:pt idx="142">
                  <c:v>0.85430071171640909</c:v>
                </c:pt>
                <c:pt idx="143">
                  <c:v>0.83141894478149525</c:v>
                </c:pt>
                <c:pt idx="144">
                  <c:v>0.8986428581327861</c:v>
                </c:pt>
                <c:pt idx="145">
                  <c:v>0.75713382892838221</c:v>
                </c:pt>
                <c:pt idx="146">
                  <c:v>0.80407383140369737</c:v>
                </c:pt>
                <c:pt idx="147">
                  <c:v>0.74834794249947134</c:v>
                </c:pt>
                <c:pt idx="148">
                  <c:v>0.73727275256300484</c:v>
                </c:pt>
                <c:pt idx="149">
                  <c:v>0.70840151673589036</c:v>
                </c:pt>
                <c:pt idx="150">
                  <c:v>0.70415729289864759</c:v>
                </c:pt>
                <c:pt idx="151">
                  <c:v>0.7010597095840243</c:v>
                </c:pt>
                <c:pt idx="152">
                  <c:v>0.69350524777467781</c:v>
                </c:pt>
                <c:pt idx="153">
                  <c:v>0.69622450436896643</c:v>
                </c:pt>
                <c:pt idx="154">
                  <c:v>0.69173956788149427</c:v>
                </c:pt>
                <c:pt idx="155">
                  <c:v>0.72035745304322973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4-4690-9E39-85E22E2770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56633504"/>
        <c:axId val="207024608"/>
      </c:lineChart>
      <c:dateAx>
        <c:axId val="17566335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7024608"/>
        <c:crosses val="autoZero"/>
        <c:auto val="1"/>
        <c:lblOffset val="100"/>
        <c:baseTimeUnit val="months"/>
      </c:dateAx>
      <c:valAx>
        <c:axId val="20702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5663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'parametro_lambda (2)'!$F$1</c:f>
              <c:strCache>
                <c:ptCount val="1"/>
                <c:pt idx="0">
                  <c:v>i_ponderado_B_real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'parametro_lambda (2)'!$A$2:$A$164</c:f>
              <c:numCache>
                <c:formatCode>m/d/yyyy</c:formatCode>
                <c:ptCount val="1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</c:numCache>
            </c:numRef>
          </c:cat>
          <c:val>
            <c:numRef>
              <c:f>'parametro_lambda (2)'!$F$2:$F$164</c:f>
              <c:numCache>
                <c:formatCode>General</c:formatCode>
                <c:ptCount val="163"/>
                <c:pt idx="0">
                  <c:v>169.24674000850339</c:v>
                </c:pt>
                <c:pt idx="1">
                  <c:v>172.0638521633588</c:v>
                </c:pt>
                <c:pt idx="2">
                  <c:v>171.23371628492151</c:v>
                </c:pt>
                <c:pt idx="3">
                  <c:v>169.85357451955841</c:v>
                </c:pt>
                <c:pt idx="4">
                  <c:v>170.70570592663563</c:v>
                </c:pt>
                <c:pt idx="5">
                  <c:v>172.87301258746055</c:v>
                </c:pt>
                <c:pt idx="6">
                  <c:v>174.23227204936998</c:v>
                </c:pt>
                <c:pt idx="7">
                  <c:v>174.26063903838644</c:v>
                </c:pt>
                <c:pt idx="8">
                  <c:v>175.57272320765614</c:v>
                </c:pt>
                <c:pt idx="9">
                  <c:v>177.031675891964</c:v>
                </c:pt>
                <c:pt idx="10">
                  <c:v>182.34454563724668</c:v>
                </c:pt>
                <c:pt idx="11">
                  <c:v>187.9060314990578</c:v>
                </c:pt>
                <c:pt idx="12">
                  <c:v>188.32782356654042</c:v>
                </c:pt>
                <c:pt idx="13">
                  <c:v>193.84371974977105</c:v>
                </c:pt>
                <c:pt idx="14">
                  <c:v>191.45588335410145</c:v>
                </c:pt>
                <c:pt idx="15">
                  <c:v>186.39462493878824</c:v>
                </c:pt>
                <c:pt idx="16">
                  <c:v>189.77452641152175</c:v>
                </c:pt>
                <c:pt idx="17">
                  <c:v>194.11531219702775</c:v>
                </c:pt>
                <c:pt idx="18">
                  <c:v>194.01837303057701</c:v>
                </c:pt>
                <c:pt idx="19">
                  <c:v>197.77810022981691</c:v>
                </c:pt>
                <c:pt idx="20">
                  <c:v>197.08899106973212</c:v>
                </c:pt>
                <c:pt idx="21">
                  <c:v>206.14886188039699</c:v>
                </c:pt>
                <c:pt idx="22">
                  <c:v>213.89881684660736</c:v>
                </c:pt>
                <c:pt idx="23">
                  <c:v>219.53526129181444</c:v>
                </c:pt>
                <c:pt idx="24">
                  <c:v>224.34353642598057</c:v>
                </c:pt>
                <c:pt idx="25">
                  <c:v>231.91917766928466</c:v>
                </c:pt>
                <c:pt idx="26">
                  <c:v>232.11794988967188</c:v>
                </c:pt>
                <c:pt idx="27">
                  <c:v>235.70289147026756</c:v>
                </c:pt>
                <c:pt idx="28">
                  <c:v>247.77988538242997</c:v>
                </c:pt>
                <c:pt idx="29">
                  <c:v>258.51268855993698</c:v>
                </c:pt>
                <c:pt idx="30">
                  <c:v>269.76874480894111</c:v>
                </c:pt>
                <c:pt idx="31">
                  <c:v>274.9646421798995</c:v>
                </c:pt>
                <c:pt idx="32">
                  <c:v>286.58317734797572</c:v>
                </c:pt>
                <c:pt idx="33">
                  <c:v>286.31264331727385</c:v>
                </c:pt>
                <c:pt idx="34">
                  <c:v>302.71964666853188</c:v>
                </c:pt>
                <c:pt idx="35">
                  <c:v>309.23618387393117</c:v>
                </c:pt>
                <c:pt idx="36">
                  <c:v>321.74794454153238</c:v>
                </c:pt>
                <c:pt idx="37">
                  <c:v>325.81827558537231</c:v>
                </c:pt>
                <c:pt idx="38">
                  <c:v>330.28619158691657</c:v>
                </c:pt>
                <c:pt idx="39">
                  <c:v>337.92065302092226</c:v>
                </c:pt>
                <c:pt idx="40">
                  <c:v>342.70403798785549</c:v>
                </c:pt>
                <c:pt idx="41">
                  <c:v>343.59929463359555</c:v>
                </c:pt>
                <c:pt idx="42">
                  <c:v>346.5232067034658</c:v>
                </c:pt>
                <c:pt idx="43">
                  <c:v>354.43775337237616</c:v>
                </c:pt>
                <c:pt idx="44">
                  <c:v>360.87693592516348</c:v>
                </c:pt>
                <c:pt idx="45">
                  <c:v>358.66662136348384</c:v>
                </c:pt>
                <c:pt idx="46">
                  <c:v>366.58377991614361</c:v>
                </c:pt>
                <c:pt idx="47">
                  <c:v>369.28234781173495</c:v>
                </c:pt>
                <c:pt idx="48">
                  <c:v>369.74668213733185</c:v>
                </c:pt>
                <c:pt idx="49">
                  <c:v>370.0452266172498</c:v>
                </c:pt>
                <c:pt idx="50">
                  <c:v>366.2908481421648</c:v>
                </c:pt>
                <c:pt idx="51">
                  <c:v>331.13138659054732</c:v>
                </c:pt>
                <c:pt idx="52">
                  <c:v>290.49224686710193</c:v>
                </c:pt>
                <c:pt idx="53">
                  <c:v>298.48412929566979</c:v>
                </c:pt>
                <c:pt idx="54">
                  <c:v>315.89030014292524</c:v>
                </c:pt>
                <c:pt idx="55">
                  <c:v>315.56307050451915</c:v>
                </c:pt>
                <c:pt idx="56">
                  <c:v>281.95008591111713</c:v>
                </c:pt>
                <c:pt idx="57">
                  <c:v>285.28969089015726</c:v>
                </c:pt>
                <c:pt idx="58">
                  <c:v>287.63506070901809</c:v>
                </c:pt>
                <c:pt idx="59">
                  <c:v>282.46294960515667</c:v>
                </c:pt>
                <c:pt idx="60">
                  <c:v>278.44972301327169</c:v>
                </c:pt>
                <c:pt idx="61">
                  <c:v>283.17466944401184</c:v>
                </c:pt>
                <c:pt idx="62">
                  <c:v>281.87142948308872</c:v>
                </c:pt>
                <c:pt idx="63">
                  <c:v>282.50735114672631</c:v>
                </c:pt>
                <c:pt idx="64">
                  <c:v>262.04160933434946</c:v>
                </c:pt>
                <c:pt idx="65">
                  <c:v>251.28593563626399</c:v>
                </c:pt>
                <c:pt idx="66">
                  <c:v>241.41734746230961</c:v>
                </c:pt>
                <c:pt idx="67">
                  <c:v>242.35014556386221</c:v>
                </c:pt>
                <c:pt idx="68">
                  <c:v>240.48572136476557</c:v>
                </c:pt>
                <c:pt idx="69">
                  <c:v>240.50802788818996</c:v>
                </c:pt>
                <c:pt idx="70">
                  <c:v>243.87656217240288</c:v>
                </c:pt>
                <c:pt idx="71">
                  <c:v>244.84319415776133</c:v>
                </c:pt>
                <c:pt idx="72">
                  <c:v>245.99469791367534</c:v>
                </c:pt>
                <c:pt idx="73">
                  <c:v>251.3078410978693</c:v>
                </c:pt>
                <c:pt idx="74">
                  <c:v>255.14937597409656</c:v>
                </c:pt>
                <c:pt idx="75">
                  <c:v>252.7011571223257</c:v>
                </c:pt>
                <c:pt idx="76">
                  <c:v>252.99121458333335</c:v>
                </c:pt>
                <c:pt idx="77">
                  <c:v>255.04030026183648</c:v>
                </c:pt>
                <c:pt idx="78">
                  <c:v>253.71600308641976</c:v>
                </c:pt>
                <c:pt idx="79">
                  <c:v>252.96692264506117</c:v>
                </c:pt>
                <c:pt idx="80">
                  <c:v>251.91758317089023</c:v>
                </c:pt>
                <c:pt idx="81">
                  <c:v>258.6047648119582</c:v>
                </c:pt>
                <c:pt idx="82">
                  <c:v>260.83127917468391</c:v>
                </c:pt>
                <c:pt idx="83">
                  <c:v>255.48852767896847</c:v>
                </c:pt>
                <c:pt idx="84">
                  <c:v>227.45961017919441</c:v>
                </c:pt>
                <c:pt idx="85">
                  <c:v>228.89953515629088</c:v>
                </c:pt>
                <c:pt idx="86">
                  <c:v>228.79939495467084</c:v>
                </c:pt>
                <c:pt idx="87">
                  <c:v>210.13004624908584</c:v>
                </c:pt>
                <c:pt idx="88">
                  <c:v>201.85189193576309</c:v>
                </c:pt>
                <c:pt idx="89">
                  <c:v>187.66876596748642</c:v>
                </c:pt>
                <c:pt idx="90">
                  <c:v>200.62138060927523</c:v>
                </c:pt>
                <c:pt idx="91">
                  <c:v>201.20276259969455</c:v>
                </c:pt>
                <c:pt idx="92">
                  <c:v>202.65911311406023</c:v>
                </c:pt>
                <c:pt idx="93">
                  <c:v>205.83769789433867</c:v>
                </c:pt>
                <c:pt idx="94">
                  <c:v>208.01035140637961</c:v>
                </c:pt>
                <c:pt idx="95">
                  <c:v>210.62306071505262</c:v>
                </c:pt>
                <c:pt idx="96">
                  <c:v>214.9506400847589</c:v>
                </c:pt>
                <c:pt idx="97">
                  <c:v>217.27155934890868</c:v>
                </c:pt>
                <c:pt idx="98">
                  <c:v>215.40716794186582</c:v>
                </c:pt>
                <c:pt idx="99">
                  <c:v>215.22748030439769</c:v>
                </c:pt>
                <c:pt idx="100">
                  <c:v>210.23581161256706</c:v>
                </c:pt>
                <c:pt idx="101">
                  <c:v>211.34249767311991</c:v>
                </c:pt>
                <c:pt idx="102">
                  <c:v>210.83183765803273</c:v>
                </c:pt>
                <c:pt idx="103">
                  <c:v>212.70236986653839</c:v>
                </c:pt>
                <c:pt idx="104">
                  <c:v>216.96958066930398</c:v>
                </c:pt>
                <c:pt idx="105">
                  <c:v>221.11308867434778</c:v>
                </c:pt>
                <c:pt idx="106">
                  <c:v>221.90980857920226</c:v>
                </c:pt>
                <c:pt idx="107">
                  <c:v>226.21006375042387</c:v>
                </c:pt>
                <c:pt idx="108">
                  <c:v>226.45240772643285</c:v>
                </c:pt>
                <c:pt idx="109">
                  <c:v>236.72428343640061</c:v>
                </c:pt>
                <c:pt idx="110">
                  <c:v>232.08321367168125</c:v>
                </c:pt>
                <c:pt idx="111">
                  <c:v>237.26081076577617</c:v>
                </c:pt>
                <c:pt idx="112">
                  <c:v>238.37275511379787</c:v>
                </c:pt>
                <c:pt idx="113">
                  <c:v>240.07044420814583</c:v>
                </c:pt>
                <c:pt idx="114">
                  <c:v>256.99019604980805</c:v>
                </c:pt>
                <c:pt idx="115">
                  <c:v>264.50990850250281</c:v>
                </c:pt>
                <c:pt idx="116">
                  <c:v>264.79479560511686</c:v>
                </c:pt>
                <c:pt idx="117">
                  <c:v>272.62867749312909</c:v>
                </c:pt>
                <c:pt idx="118">
                  <c:v>267.96003485310064</c:v>
                </c:pt>
                <c:pt idx="119">
                  <c:v>276.58639634166474</c:v>
                </c:pt>
                <c:pt idx="120">
                  <c:v>275.72600547962668</c:v>
                </c:pt>
                <c:pt idx="121">
                  <c:v>282.76330308340886</c:v>
                </c:pt>
                <c:pt idx="122">
                  <c:v>282.5459474369078</c:v>
                </c:pt>
                <c:pt idx="123">
                  <c:v>293.73577513832089</c:v>
                </c:pt>
                <c:pt idx="124">
                  <c:v>292.75131377984439</c:v>
                </c:pt>
                <c:pt idx="125">
                  <c:v>285.44161331540823</c:v>
                </c:pt>
                <c:pt idx="126">
                  <c:v>285.64877497896828</c:v>
                </c:pt>
                <c:pt idx="127">
                  <c:v>283.08092531107832</c:v>
                </c:pt>
                <c:pt idx="128">
                  <c:v>279.892950479006</c:v>
                </c:pt>
                <c:pt idx="129">
                  <c:v>277.1349407148341</c:v>
                </c:pt>
                <c:pt idx="130">
                  <c:v>271.09459339282159</c:v>
                </c:pt>
                <c:pt idx="131">
                  <c:v>274.93868386132135</c:v>
                </c:pt>
                <c:pt idx="132">
                  <c:v>257.35392339971378</c:v>
                </c:pt>
                <c:pt idx="133">
                  <c:v>254.85020994088177</c:v>
                </c:pt>
                <c:pt idx="134">
                  <c:v>258.26330165959274</c:v>
                </c:pt>
                <c:pt idx="135">
                  <c:v>255.23478475652786</c:v>
                </c:pt>
                <c:pt idx="136">
                  <c:v>255.93950282231555</c:v>
                </c:pt>
                <c:pt idx="137">
                  <c:v>259.52022439157878</c:v>
                </c:pt>
                <c:pt idx="138">
                  <c:v>255.02468071115004</c:v>
                </c:pt>
                <c:pt idx="139">
                  <c:v>256.12558755617493</c:v>
                </c:pt>
                <c:pt idx="140">
                  <c:v>262.90391646439417</c:v>
                </c:pt>
                <c:pt idx="141">
                  <c:v>258.0573489198232</c:v>
                </c:pt>
                <c:pt idx="142">
                  <c:v>263.44371459861748</c:v>
                </c:pt>
                <c:pt idx="143">
                  <c:v>260.23004803079692</c:v>
                </c:pt>
                <c:pt idx="144">
                  <c:v>262.88402618140782</c:v>
                </c:pt>
                <c:pt idx="145">
                  <c:v>270.59141670845344</c:v>
                </c:pt>
                <c:pt idx="146">
                  <c:v>271.78119375423296</c:v>
                </c:pt>
                <c:pt idx="147">
                  <c:v>273.50746452515119</c:v>
                </c:pt>
                <c:pt idx="148">
                  <c:v>275.41766670065772</c:v>
                </c:pt>
                <c:pt idx="149">
                  <c:v>276.18744176035648</c:v>
                </c:pt>
                <c:pt idx="150">
                  <c:v>275.65173138361359</c:v>
                </c:pt>
                <c:pt idx="151">
                  <c:v>276.7916972012589</c:v>
                </c:pt>
                <c:pt idx="152">
                  <c:v>273.49593031341823</c:v>
                </c:pt>
                <c:pt idx="153">
                  <c:v>275.08103455969615</c:v>
                </c:pt>
                <c:pt idx="154">
                  <c:v>277.9562053027081</c:v>
                </c:pt>
                <c:pt idx="155">
                  <c:v>275.28073365872336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9F-44C4-8FF5-FE1DA6CF2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9760"/>
        <c:axId val="2006685199"/>
      </c:lineChart>
      <c:lineChart>
        <c:grouping val="standard"/>
        <c:varyColors val="0"/>
        <c:ser>
          <c:idx val="1"/>
          <c:order val="1"/>
          <c:tx>
            <c:strRef>
              <c:f>'parametro_lambda (2)'!$G$1</c:f>
              <c:strCache>
                <c:ptCount val="1"/>
                <c:pt idx="0">
                  <c:v>i_ponderado_Z_real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'parametro_lambda (2)'!$A$2:$A$164</c:f>
              <c:numCache>
                <c:formatCode>m/d/yyyy</c:formatCode>
                <c:ptCount val="163"/>
                <c:pt idx="0">
                  <c:v>41275</c:v>
                </c:pt>
                <c:pt idx="1">
                  <c:v>41306</c:v>
                </c:pt>
                <c:pt idx="2">
                  <c:v>41334</c:v>
                </c:pt>
                <c:pt idx="3">
                  <c:v>41365</c:v>
                </c:pt>
                <c:pt idx="4">
                  <c:v>41395</c:v>
                </c:pt>
                <c:pt idx="5">
                  <c:v>41426</c:v>
                </c:pt>
                <c:pt idx="6">
                  <c:v>41456</c:v>
                </c:pt>
                <c:pt idx="7">
                  <c:v>41487</c:v>
                </c:pt>
                <c:pt idx="8">
                  <c:v>41518</c:v>
                </c:pt>
                <c:pt idx="9">
                  <c:v>41548</c:v>
                </c:pt>
                <c:pt idx="10">
                  <c:v>41579</c:v>
                </c:pt>
                <c:pt idx="11">
                  <c:v>41609</c:v>
                </c:pt>
                <c:pt idx="12">
                  <c:v>41640</c:v>
                </c:pt>
                <c:pt idx="13">
                  <c:v>41671</c:v>
                </c:pt>
                <c:pt idx="14">
                  <c:v>41699</c:v>
                </c:pt>
                <c:pt idx="15">
                  <c:v>41730</c:v>
                </c:pt>
                <c:pt idx="16">
                  <c:v>41760</c:v>
                </c:pt>
                <c:pt idx="17">
                  <c:v>41791</c:v>
                </c:pt>
                <c:pt idx="18">
                  <c:v>41821</c:v>
                </c:pt>
                <c:pt idx="19">
                  <c:v>41852</c:v>
                </c:pt>
                <c:pt idx="20">
                  <c:v>41883</c:v>
                </c:pt>
                <c:pt idx="21">
                  <c:v>41913</c:v>
                </c:pt>
                <c:pt idx="22">
                  <c:v>41944</c:v>
                </c:pt>
                <c:pt idx="23">
                  <c:v>41974</c:v>
                </c:pt>
                <c:pt idx="24">
                  <c:v>42005</c:v>
                </c:pt>
                <c:pt idx="25">
                  <c:v>42036</c:v>
                </c:pt>
                <c:pt idx="26">
                  <c:v>42064</c:v>
                </c:pt>
                <c:pt idx="27">
                  <c:v>42095</c:v>
                </c:pt>
                <c:pt idx="28">
                  <c:v>42125</c:v>
                </c:pt>
                <c:pt idx="29">
                  <c:v>42156</c:v>
                </c:pt>
                <c:pt idx="30">
                  <c:v>42186</c:v>
                </c:pt>
                <c:pt idx="31">
                  <c:v>42217</c:v>
                </c:pt>
                <c:pt idx="32">
                  <c:v>42248</c:v>
                </c:pt>
                <c:pt idx="33">
                  <c:v>42278</c:v>
                </c:pt>
                <c:pt idx="34">
                  <c:v>42309</c:v>
                </c:pt>
                <c:pt idx="35">
                  <c:v>42339</c:v>
                </c:pt>
                <c:pt idx="36">
                  <c:v>42370</c:v>
                </c:pt>
                <c:pt idx="37">
                  <c:v>42401</c:v>
                </c:pt>
                <c:pt idx="38">
                  <c:v>42430</c:v>
                </c:pt>
                <c:pt idx="39">
                  <c:v>42461</c:v>
                </c:pt>
                <c:pt idx="40">
                  <c:v>42491</c:v>
                </c:pt>
                <c:pt idx="41">
                  <c:v>42522</c:v>
                </c:pt>
                <c:pt idx="42">
                  <c:v>42552</c:v>
                </c:pt>
                <c:pt idx="43">
                  <c:v>42583</c:v>
                </c:pt>
                <c:pt idx="44">
                  <c:v>42614</c:v>
                </c:pt>
                <c:pt idx="45">
                  <c:v>42644</c:v>
                </c:pt>
                <c:pt idx="46">
                  <c:v>42675</c:v>
                </c:pt>
                <c:pt idx="47">
                  <c:v>42705</c:v>
                </c:pt>
                <c:pt idx="48">
                  <c:v>42736</c:v>
                </c:pt>
                <c:pt idx="49">
                  <c:v>42767</c:v>
                </c:pt>
                <c:pt idx="50">
                  <c:v>42795</c:v>
                </c:pt>
                <c:pt idx="51">
                  <c:v>42826</c:v>
                </c:pt>
                <c:pt idx="52">
                  <c:v>42856</c:v>
                </c:pt>
                <c:pt idx="53">
                  <c:v>42887</c:v>
                </c:pt>
                <c:pt idx="54">
                  <c:v>42917</c:v>
                </c:pt>
                <c:pt idx="55">
                  <c:v>42948</c:v>
                </c:pt>
                <c:pt idx="56">
                  <c:v>42979</c:v>
                </c:pt>
                <c:pt idx="57">
                  <c:v>43009</c:v>
                </c:pt>
                <c:pt idx="58">
                  <c:v>43040</c:v>
                </c:pt>
                <c:pt idx="59">
                  <c:v>43070</c:v>
                </c:pt>
                <c:pt idx="60">
                  <c:v>43101</c:v>
                </c:pt>
                <c:pt idx="61">
                  <c:v>43132</c:v>
                </c:pt>
                <c:pt idx="62">
                  <c:v>43160</c:v>
                </c:pt>
                <c:pt idx="63">
                  <c:v>43191</c:v>
                </c:pt>
                <c:pt idx="64">
                  <c:v>43221</c:v>
                </c:pt>
                <c:pt idx="65">
                  <c:v>43252</c:v>
                </c:pt>
                <c:pt idx="66">
                  <c:v>43282</c:v>
                </c:pt>
                <c:pt idx="67">
                  <c:v>43313</c:v>
                </c:pt>
                <c:pt idx="68">
                  <c:v>43344</c:v>
                </c:pt>
                <c:pt idx="69">
                  <c:v>43374</c:v>
                </c:pt>
                <c:pt idx="70">
                  <c:v>43405</c:v>
                </c:pt>
                <c:pt idx="71">
                  <c:v>43435</c:v>
                </c:pt>
                <c:pt idx="72">
                  <c:v>43466</c:v>
                </c:pt>
                <c:pt idx="73">
                  <c:v>43497</c:v>
                </c:pt>
                <c:pt idx="74">
                  <c:v>43525</c:v>
                </c:pt>
                <c:pt idx="75">
                  <c:v>43556</c:v>
                </c:pt>
                <c:pt idx="76">
                  <c:v>43586</c:v>
                </c:pt>
                <c:pt idx="77">
                  <c:v>43617</c:v>
                </c:pt>
                <c:pt idx="78">
                  <c:v>43647</c:v>
                </c:pt>
                <c:pt idx="79">
                  <c:v>43678</c:v>
                </c:pt>
                <c:pt idx="80">
                  <c:v>43709</c:v>
                </c:pt>
                <c:pt idx="81">
                  <c:v>43739</c:v>
                </c:pt>
                <c:pt idx="82">
                  <c:v>43770</c:v>
                </c:pt>
                <c:pt idx="83">
                  <c:v>43800</c:v>
                </c:pt>
                <c:pt idx="84">
                  <c:v>43831</c:v>
                </c:pt>
                <c:pt idx="85">
                  <c:v>43862</c:v>
                </c:pt>
                <c:pt idx="86">
                  <c:v>43891</c:v>
                </c:pt>
                <c:pt idx="87">
                  <c:v>43922</c:v>
                </c:pt>
                <c:pt idx="88">
                  <c:v>43952</c:v>
                </c:pt>
                <c:pt idx="89">
                  <c:v>43983</c:v>
                </c:pt>
                <c:pt idx="90">
                  <c:v>44013</c:v>
                </c:pt>
                <c:pt idx="91">
                  <c:v>44044</c:v>
                </c:pt>
                <c:pt idx="92">
                  <c:v>44075</c:v>
                </c:pt>
                <c:pt idx="93">
                  <c:v>44105</c:v>
                </c:pt>
                <c:pt idx="94">
                  <c:v>44136</c:v>
                </c:pt>
                <c:pt idx="95">
                  <c:v>44166</c:v>
                </c:pt>
                <c:pt idx="96">
                  <c:v>44197</c:v>
                </c:pt>
                <c:pt idx="97">
                  <c:v>44228</c:v>
                </c:pt>
                <c:pt idx="98">
                  <c:v>44256</c:v>
                </c:pt>
                <c:pt idx="99">
                  <c:v>44287</c:v>
                </c:pt>
                <c:pt idx="100">
                  <c:v>44317</c:v>
                </c:pt>
                <c:pt idx="101">
                  <c:v>44348</c:v>
                </c:pt>
                <c:pt idx="102">
                  <c:v>44378</c:v>
                </c:pt>
                <c:pt idx="103">
                  <c:v>44409</c:v>
                </c:pt>
                <c:pt idx="104">
                  <c:v>44440</c:v>
                </c:pt>
                <c:pt idx="105">
                  <c:v>44470</c:v>
                </c:pt>
                <c:pt idx="106">
                  <c:v>44501</c:v>
                </c:pt>
                <c:pt idx="107">
                  <c:v>44531</c:v>
                </c:pt>
                <c:pt idx="108">
                  <c:v>44562</c:v>
                </c:pt>
                <c:pt idx="109">
                  <c:v>44593</c:v>
                </c:pt>
                <c:pt idx="110">
                  <c:v>44621</c:v>
                </c:pt>
                <c:pt idx="111">
                  <c:v>44652</c:v>
                </c:pt>
                <c:pt idx="112">
                  <c:v>44682</c:v>
                </c:pt>
                <c:pt idx="113">
                  <c:v>44713</c:v>
                </c:pt>
                <c:pt idx="114">
                  <c:v>44743</c:v>
                </c:pt>
                <c:pt idx="115">
                  <c:v>44774</c:v>
                </c:pt>
                <c:pt idx="116">
                  <c:v>44805</c:v>
                </c:pt>
                <c:pt idx="117">
                  <c:v>44835</c:v>
                </c:pt>
                <c:pt idx="118">
                  <c:v>44866</c:v>
                </c:pt>
                <c:pt idx="119">
                  <c:v>44896</c:v>
                </c:pt>
                <c:pt idx="120">
                  <c:v>44927</c:v>
                </c:pt>
                <c:pt idx="121">
                  <c:v>44958</c:v>
                </c:pt>
                <c:pt idx="122">
                  <c:v>44986</c:v>
                </c:pt>
                <c:pt idx="123">
                  <c:v>45017</c:v>
                </c:pt>
                <c:pt idx="124">
                  <c:v>45047</c:v>
                </c:pt>
                <c:pt idx="125">
                  <c:v>45078</c:v>
                </c:pt>
                <c:pt idx="126">
                  <c:v>45108</c:v>
                </c:pt>
                <c:pt idx="127">
                  <c:v>45139</c:v>
                </c:pt>
                <c:pt idx="128">
                  <c:v>45170</c:v>
                </c:pt>
                <c:pt idx="129">
                  <c:v>45200</c:v>
                </c:pt>
                <c:pt idx="130">
                  <c:v>45231</c:v>
                </c:pt>
                <c:pt idx="131">
                  <c:v>45261</c:v>
                </c:pt>
                <c:pt idx="132">
                  <c:v>45292</c:v>
                </c:pt>
                <c:pt idx="133">
                  <c:v>45323</c:v>
                </c:pt>
                <c:pt idx="134">
                  <c:v>45352</c:v>
                </c:pt>
                <c:pt idx="135">
                  <c:v>45383</c:v>
                </c:pt>
                <c:pt idx="136">
                  <c:v>45413</c:v>
                </c:pt>
                <c:pt idx="137">
                  <c:v>45444</c:v>
                </c:pt>
                <c:pt idx="138">
                  <c:v>45474</c:v>
                </c:pt>
                <c:pt idx="139">
                  <c:v>45505</c:v>
                </c:pt>
                <c:pt idx="140">
                  <c:v>45536</c:v>
                </c:pt>
                <c:pt idx="141">
                  <c:v>45566</c:v>
                </c:pt>
                <c:pt idx="142">
                  <c:v>45597</c:v>
                </c:pt>
                <c:pt idx="143">
                  <c:v>45627</c:v>
                </c:pt>
                <c:pt idx="144">
                  <c:v>45658</c:v>
                </c:pt>
                <c:pt idx="145">
                  <c:v>45689</c:v>
                </c:pt>
                <c:pt idx="146">
                  <c:v>45717</c:v>
                </c:pt>
                <c:pt idx="147">
                  <c:v>45748</c:v>
                </c:pt>
                <c:pt idx="148">
                  <c:v>45778</c:v>
                </c:pt>
                <c:pt idx="149">
                  <c:v>45809</c:v>
                </c:pt>
                <c:pt idx="150">
                  <c:v>45839</c:v>
                </c:pt>
                <c:pt idx="151">
                  <c:v>45870</c:v>
                </c:pt>
                <c:pt idx="152">
                  <c:v>45901</c:v>
                </c:pt>
                <c:pt idx="153">
                  <c:v>45931</c:v>
                </c:pt>
                <c:pt idx="154">
                  <c:v>45962</c:v>
                </c:pt>
                <c:pt idx="155">
                  <c:v>45992</c:v>
                </c:pt>
              </c:numCache>
            </c:numRef>
          </c:cat>
          <c:val>
            <c:numRef>
              <c:f>'parametro_lambda (2)'!$G$2:$G$164</c:f>
              <c:numCache>
                <c:formatCode>General</c:formatCode>
                <c:ptCount val="163"/>
                <c:pt idx="0">
                  <c:v>1.7886503883391844</c:v>
                </c:pt>
                <c:pt idx="1">
                  <c:v>1.3798451122275317</c:v>
                </c:pt>
                <c:pt idx="2">
                  <c:v>1.1094208974043109</c:v>
                </c:pt>
                <c:pt idx="3">
                  <c:v>1.3572675082869026</c:v>
                </c:pt>
                <c:pt idx="4">
                  <c:v>1.2934476547893796</c:v>
                </c:pt>
                <c:pt idx="5">
                  <c:v>1.1100243884610022</c:v>
                </c:pt>
                <c:pt idx="6">
                  <c:v>1.6947994541297611</c:v>
                </c:pt>
                <c:pt idx="7">
                  <c:v>1.9858309735070172</c:v>
                </c:pt>
                <c:pt idx="8">
                  <c:v>2.4831345375175955</c:v>
                </c:pt>
                <c:pt idx="9">
                  <c:v>2.8339250888908705</c:v>
                </c:pt>
                <c:pt idx="10">
                  <c:v>3.0264501618531128</c:v>
                </c:pt>
                <c:pt idx="11">
                  <c:v>2.9120825225193485</c:v>
                </c:pt>
                <c:pt idx="12">
                  <c:v>3.9287798292428775</c:v>
                </c:pt>
                <c:pt idx="13">
                  <c:v>3.0667805010064111</c:v>
                </c:pt>
                <c:pt idx="14">
                  <c:v>3.637761994110873</c:v>
                </c:pt>
                <c:pt idx="15">
                  <c:v>2.9056155494669449</c:v>
                </c:pt>
                <c:pt idx="16">
                  <c:v>3.1582989700267996</c:v>
                </c:pt>
                <c:pt idx="17">
                  <c:v>2.7058264987900991</c:v>
                </c:pt>
                <c:pt idx="18">
                  <c:v>3.1941782107585208</c:v>
                </c:pt>
                <c:pt idx="19">
                  <c:v>3.0830418717076835</c:v>
                </c:pt>
                <c:pt idx="20">
                  <c:v>2.7013151016268093</c:v>
                </c:pt>
                <c:pt idx="21">
                  <c:v>2.8674192617880045</c:v>
                </c:pt>
                <c:pt idx="22">
                  <c:v>2.7263780554503763</c:v>
                </c:pt>
                <c:pt idx="23">
                  <c:v>2.5536287373628728</c:v>
                </c:pt>
                <c:pt idx="24">
                  <c:v>2.2275413209217083</c:v>
                </c:pt>
                <c:pt idx="25">
                  <c:v>1.1388052783007145</c:v>
                </c:pt>
                <c:pt idx="26">
                  <c:v>1.7262357575611897</c:v>
                </c:pt>
                <c:pt idx="27">
                  <c:v>1.6081199583463039</c:v>
                </c:pt>
                <c:pt idx="28">
                  <c:v>1.6782296747233776</c:v>
                </c:pt>
                <c:pt idx="29">
                  <c:v>1.5744542340004788</c:v>
                </c:pt>
                <c:pt idx="30">
                  <c:v>1.2244088431932045</c:v>
                </c:pt>
                <c:pt idx="31">
                  <c:v>1.0224862048452277</c:v>
                </c:pt>
                <c:pt idx="32">
                  <c:v>0.93711061012325203</c:v>
                </c:pt>
                <c:pt idx="33">
                  <c:v>0.566454928723509</c:v>
                </c:pt>
                <c:pt idx="34">
                  <c:v>0.1185559013034112</c:v>
                </c:pt>
                <c:pt idx="35">
                  <c:v>-0.57862389769326938</c:v>
                </c:pt>
                <c:pt idx="36">
                  <c:v>-0.21674723463511292</c:v>
                </c:pt>
                <c:pt idx="37">
                  <c:v>-0.21942241468757828</c:v>
                </c:pt>
                <c:pt idx="38">
                  <c:v>1.3658194276125677</c:v>
                </c:pt>
                <c:pt idx="39">
                  <c:v>1.2851277589949195</c:v>
                </c:pt>
                <c:pt idx="40">
                  <c:v>1.8406740117655218</c:v>
                </c:pt>
                <c:pt idx="41">
                  <c:v>2.4228569186662945</c:v>
                </c:pt>
                <c:pt idx="42">
                  <c:v>2.666667413434995</c:v>
                </c:pt>
                <c:pt idx="43">
                  <c:v>2.2629431213816193</c:v>
                </c:pt>
                <c:pt idx="44">
                  <c:v>2.5706306370392547</c:v>
                </c:pt>
                <c:pt idx="45">
                  <c:v>2.8443528594058725</c:v>
                </c:pt>
                <c:pt idx="46">
                  <c:v>3.7209194301448587</c:v>
                </c:pt>
                <c:pt idx="47">
                  <c:v>4.6328960467545164</c:v>
                </c:pt>
                <c:pt idx="48">
                  <c:v>5.5650651582308832</c:v>
                </c:pt>
                <c:pt idx="49">
                  <c:v>4.4491906458658459</c:v>
                </c:pt>
                <c:pt idx="50">
                  <c:v>5.2815536805141097</c:v>
                </c:pt>
                <c:pt idx="51">
                  <c:v>4.9947029960881117</c:v>
                </c:pt>
                <c:pt idx="52">
                  <c:v>6.3582836932442905</c:v>
                </c:pt>
                <c:pt idx="53">
                  <c:v>6.2897058828806358</c:v>
                </c:pt>
                <c:pt idx="54">
                  <c:v>6.5892574043907706</c:v>
                </c:pt>
                <c:pt idx="55">
                  <c:v>6.1379893012299336</c:v>
                </c:pt>
                <c:pt idx="56">
                  <c:v>5.9951766276986982</c:v>
                </c:pt>
                <c:pt idx="57">
                  <c:v>5.928386438455628</c:v>
                </c:pt>
                <c:pt idx="58">
                  <c:v>5.1241758946212945</c:v>
                </c:pt>
                <c:pt idx="59">
                  <c:v>5.1165647897782192</c:v>
                </c:pt>
                <c:pt idx="60">
                  <c:v>5.4751661408196206</c:v>
                </c:pt>
                <c:pt idx="61">
                  <c:v>5.4524310000087315</c:v>
                </c:pt>
                <c:pt idx="62">
                  <c:v>5.4958886855345472</c:v>
                </c:pt>
                <c:pt idx="63">
                  <c:v>5.4106937765867098</c:v>
                </c:pt>
                <c:pt idx="64">
                  <c:v>5.1940117414464435</c:v>
                </c:pt>
                <c:pt idx="65">
                  <c:v>3.6506801201465402</c:v>
                </c:pt>
                <c:pt idx="66">
                  <c:v>3.5196626765243959</c:v>
                </c:pt>
                <c:pt idx="67">
                  <c:v>3.7941286914601724</c:v>
                </c:pt>
                <c:pt idx="68">
                  <c:v>3.1825049580136753</c:v>
                </c:pt>
                <c:pt idx="69">
                  <c:v>3.2266432955176336</c:v>
                </c:pt>
                <c:pt idx="70">
                  <c:v>3.8109542277059107</c:v>
                </c:pt>
                <c:pt idx="71">
                  <c:v>4.1013641445955491</c:v>
                </c:pt>
                <c:pt idx="72">
                  <c:v>4.5302037610220136</c:v>
                </c:pt>
                <c:pt idx="73">
                  <c:v>3.8247823458784969</c:v>
                </c:pt>
                <c:pt idx="74">
                  <c:v>3.2216921315305509</c:v>
                </c:pt>
                <c:pt idx="75">
                  <c:v>2.8823190352276216</c:v>
                </c:pt>
                <c:pt idx="76">
                  <c:v>3.1970271961318719</c:v>
                </c:pt>
                <c:pt idx="77">
                  <c:v>4.3700355516523546</c:v>
                </c:pt>
                <c:pt idx="78">
                  <c:v>4.5952163157801067</c:v>
                </c:pt>
                <c:pt idx="79">
                  <c:v>4.8740416622999714</c:v>
                </c:pt>
                <c:pt idx="80">
                  <c:v>4.7574420142820308</c:v>
                </c:pt>
                <c:pt idx="81">
                  <c:v>4.8626534787564326</c:v>
                </c:pt>
                <c:pt idx="82">
                  <c:v>3.9631393673285467</c:v>
                </c:pt>
                <c:pt idx="83">
                  <c:v>2.9449518129307455</c:v>
                </c:pt>
                <c:pt idx="84">
                  <c:v>3.2179283522421152</c:v>
                </c:pt>
                <c:pt idx="85">
                  <c:v>3.3297441195539124</c:v>
                </c:pt>
                <c:pt idx="86">
                  <c:v>3.8517949620463039</c:v>
                </c:pt>
                <c:pt idx="87">
                  <c:v>4.8181179835428711</c:v>
                </c:pt>
                <c:pt idx="88">
                  <c:v>5.2865848219696048</c:v>
                </c:pt>
                <c:pt idx="89">
                  <c:v>5.0420102547956906</c:v>
                </c:pt>
                <c:pt idx="90">
                  <c:v>4.8483233456547659</c:v>
                </c:pt>
                <c:pt idx="91">
                  <c:v>4.7211605678635653</c:v>
                </c:pt>
                <c:pt idx="92">
                  <c:v>4.012508457772018</c:v>
                </c:pt>
                <c:pt idx="93">
                  <c:v>3.1461797959002267</c:v>
                </c:pt>
                <c:pt idx="94">
                  <c:v>2.7290798892447459</c:v>
                </c:pt>
                <c:pt idx="95">
                  <c:v>2.5177829850210793</c:v>
                </c:pt>
                <c:pt idx="96">
                  <c:v>2.4414059906653449</c:v>
                </c:pt>
                <c:pt idx="97">
                  <c:v>1.7905419119027384</c:v>
                </c:pt>
                <c:pt idx="98">
                  <c:v>0.78883485541269405</c:v>
                </c:pt>
                <c:pt idx="99">
                  <c:v>-7.7181780279059531E-2</c:v>
                </c:pt>
                <c:pt idx="100">
                  <c:v>-1.4152656474431922</c:v>
                </c:pt>
                <c:pt idx="101">
                  <c:v>-1.6440369270211619</c:v>
                </c:pt>
                <c:pt idx="102">
                  <c:v>-2.1592437516405436</c:v>
                </c:pt>
                <c:pt idx="103">
                  <c:v>-2.7311971877006105</c:v>
                </c:pt>
                <c:pt idx="104">
                  <c:v>-3.0700192228598908</c:v>
                </c:pt>
                <c:pt idx="105">
                  <c:v>-3.1893960740560994</c:v>
                </c:pt>
                <c:pt idx="106">
                  <c:v>-2.9596279399361372</c:v>
                </c:pt>
                <c:pt idx="107">
                  <c:v>-1.21032339274492</c:v>
                </c:pt>
                <c:pt idx="108">
                  <c:v>-0.99050179634166469</c:v>
                </c:pt>
                <c:pt idx="109">
                  <c:v>-2.4012194951477817</c:v>
                </c:pt>
                <c:pt idx="110">
                  <c:v>-1.904773596650875</c:v>
                </c:pt>
                <c:pt idx="111">
                  <c:v>-2.7164632795637864</c:v>
                </c:pt>
                <c:pt idx="112">
                  <c:v>-1.6282434827569361</c:v>
                </c:pt>
                <c:pt idx="113">
                  <c:v>-1.8125289389862758</c:v>
                </c:pt>
                <c:pt idx="114">
                  <c:v>0.59121456488286306</c:v>
                </c:pt>
                <c:pt idx="115">
                  <c:v>1.7461346184327216</c:v>
                </c:pt>
                <c:pt idx="116">
                  <c:v>2.9610161990518176</c:v>
                </c:pt>
                <c:pt idx="117">
                  <c:v>3.4923193839929079</c:v>
                </c:pt>
                <c:pt idx="118">
                  <c:v>4.3515903461519692</c:v>
                </c:pt>
                <c:pt idx="119">
                  <c:v>4.689820604201441</c:v>
                </c:pt>
                <c:pt idx="120">
                  <c:v>4.9811655111497544</c:v>
                </c:pt>
                <c:pt idx="121">
                  <c:v>3.8430821391136778</c:v>
                </c:pt>
                <c:pt idx="122">
                  <c:v>5.9340730092241305</c:v>
                </c:pt>
                <c:pt idx="123">
                  <c:v>6.067879434673328</c:v>
                </c:pt>
                <c:pt idx="124">
                  <c:v>7.3103769137265164</c:v>
                </c:pt>
                <c:pt idx="125">
                  <c:v>7.9057207108291649</c:v>
                </c:pt>
                <c:pt idx="126">
                  <c:v>7.4378426774567536</c:v>
                </c:pt>
                <c:pt idx="127">
                  <c:v>6.2639499970064056</c:v>
                </c:pt>
                <c:pt idx="128">
                  <c:v>5.0341976545808516</c:v>
                </c:pt>
                <c:pt idx="129">
                  <c:v>5.1449531797929211</c:v>
                </c:pt>
                <c:pt idx="130">
                  <c:v>5.3291600273139785</c:v>
                </c:pt>
                <c:pt idx="131">
                  <c:v>4.5739901455586311</c:v>
                </c:pt>
                <c:pt idx="132">
                  <c:v>4.7564776042617929</c:v>
                </c:pt>
                <c:pt idx="133">
                  <c:v>4.4056081483246459</c:v>
                </c:pt>
                <c:pt idx="134">
                  <c:v>5.3432321355006298</c:v>
                </c:pt>
                <c:pt idx="135">
                  <c:v>5.6601182249852773</c:v>
                </c:pt>
                <c:pt idx="136">
                  <c:v>5.4580842929169204</c:v>
                </c:pt>
                <c:pt idx="137">
                  <c:v>5.3621348544789864</c:v>
                </c:pt>
                <c:pt idx="138">
                  <c:v>4.977215095712566</c:v>
                </c:pt>
                <c:pt idx="139">
                  <c:v>5.2478783214654179</c:v>
                </c:pt>
                <c:pt idx="140">
                  <c:v>5.0734427541469707</c:v>
                </c:pt>
                <c:pt idx="141">
                  <c:v>4.9528822353584214</c:v>
                </c:pt>
                <c:pt idx="142">
                  <c:v>4.6554529356379613</c:v>
                </c:pt>
                <c:pt idx="143">
                  <c:v>5.0598624480056884</c:v>
                </c:pt>
                <c:pt idx="144">
                  <c:v>6.5063519707158415</c:v>
                </c:pt>
                <c:pt idx="145">
                  <c:v>4.9720232333010648</c:v>
                </c:pt>
                <c:pt idx="146">
                  <c:v>5.4852326524488078</c:v>
                </c:pt>
                <c:pt idx="147">
                  <c:v>5.1339581806174666</c:v>
                </c:pt>
                <c:pt idx="148">
                  <c:v>5.4715326282407553</c:v>
                </c:pt>
                <c:pt idx="149">
                  <c:v>5.1697625235279716</c:v>
                </c:pt>
                <c:pt idx="150">
                  <c:v>5.3323593934797131</c:v>
                </c:pt>
                <c:pt idx="151">
                  <c:v>5.3858956437603647</c:v>
                </c:pt>
                <c:pt idx="152">
                  <c:v>5.2325787166201678</c:v>
                </c:pt>
                <c:pt idx="153">
                  <c:v>5.7633675655344963</c:v>
                </c:pt>
                <c:pt idx="154">
                  <c:v>5.9160935182224135</c:v>
                </c:pt>
                <c:pt idx="155">
                  <c:v>6.5453617956484464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9F-44C4-8FF5-FE1DA6CF2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99728"/>
        <c:axId val="2006593519"/>
      </c:lineChart>
      <c:dateAx>
        <c:axId val="337976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06685199"/>
        <c:crosses val="autoZero"/>
        <c:auto val="1"/>
        <c:lblOffset val="100"/>
        <c:baseTimeUnit val="months"/>
      </c:dateAx>
      <c:valAx>
        <c:axId val="2006685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79760"/>
        <c:crosses val="autoZero"/>
        <c:crossBetween val="between"/>
      </c:valAx>
      <c:valAx>
        <c:axId val="200659351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199728"/>
        <c:crosses val="max"/>
        <c:crossBetween val="between"/>
      </c:valAx>
      <c:dateAx>
        <c:axId val="319972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0659351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Variável X 1 Plotagem de resíduos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'parametro_lambda (2)'!$H$2:$H$157</c:f>
              <c:numCache>
                <c:formatCode>_(* #,##0.00_);_(* \(#,##0.00\);_(* "-"??_);_(@_)</c:formatCode>
                <c:ptCount val="156"/>
                <c:pt idx="0">
                  <c:v>1.0999999999999996</c:v>
                </c:pt>
                <c:pt idx="1">
                  <c:v>0.94000000000000039</c:v>
                </c:pt>
                <c:pt idx="2">
                  <c:v>0.66000000000000014</c:v>
                </c:pt>
                <c:pt idx="3">
                  <c:v>0.86833333333333318</c:v>
                </c:pt>
                <c:pt idx="4">
                  <c:v>1.032258064516129</c:v>
                </c:pt>
                <c:pt idx="5">
                  <c:v>1.2999999999999998</c:v>
                </c:pt>
                <c:pt idx="6">
                  <c:v>2.0687096774193545</c:v>
                </c:pt>
                <c:pt idx="7">
                  <c:v>2.4583870967741941</c:v>
                </c:pt>
                <c:pt idx="8">
                  <c:v>3.1399999999999997</c:v>
                </c:pt>
                <c:pt idx="9">
                  <c:v>3.5148387096774201</c:v>
                </c:pt>
                <c:pt idx="10">
                  <c:v>3.7800000000000011</c:v>
                </c:pt>
                <c:pt idx="11">
                  <c:v>4.09</c:v>
                </c:pt>
                <c:pt idx="12">
                  <c:v>4.6680645161290322</c:v>
                </c:pt>
                <c:pt idx="13">
                  <c:v>4.8378571428571426</c:v>
                </c:pt>
                <c:pt idx="14">
                  <c:v>4.5999999999999996</c:v>
                </c:pt>
                <c:pt idx="15">
                  <c:v>4.7033333333333323</c:v>
                </c:pt>
                <c:pt idx="16">
                  <c:v>4.63</c:v>
                </c:pt>
                <c:pt idx="17">
                  <c:v>4.4800000000000004</c:v>
                </c:pt>
                <c:pt idx="18">
                  <c:v>4.5</c:v>
                </c:pt>
                <c:pt idx="19">
                  <c:v>4.49</c:v>
                </c:pt>
                <c:pt idx="20">
                  <c:v>4.25</c:v>
                </c:pt>
                <c:pt idx="21">
                  <c:v>4.4261290322580642</c:v>
                </c:pt>
                <c:pt idx="22">
                  <c:v>4.6900000000000004</c:v>
                </c:pt>
                <c:pt idx="23">
                  <c:v>5.2916129032258059</c:v>
                </c:pt>
                <c:pt idx="24">
                  <c:v>4.7712903225806462</c:v>
                </c:pt>
                <c:pt idx="25">
                  <c:v>4.55</c:v>
                </c:pt>
                <c:pt idx="26">
                  <c:v>4.5554838709677412</c:v>
                </c:pt>
                <c:pt idx="27">
                  <c:v>4.5966666666666676</c:v>
                </c:pt>
                <c:pt idx="28">
                  <c:v>4.7799999999999994</c:v>
                </c:pt>
                <c:pt idx="29">
                  <c:v>4.8099999999999987</c:v>
                </c:pt>
                <c:pt idx="30">
                  <c:v>4.2222580645161294</c:v>
                </c:pt>
                <c:pt idx="31">
                  <c:v>4.7200000000000006</c:v>
                </c:pt>
                <c:pt idx="32">
                  <c:v>4.76</c:v>
                </c:pt>
                <c:pt idx="33">
                  <c:v>4.32</c:v>
                </c:pt>
                <c:pt idx="34">
                  <c:v>3.7699999999999996</c:v>
                </c:pt>
                <c:pt idx="35">
                  <c:v>3.58</c:v>
                </c:pt>
                <c:pt idx="36">
                  <c:v>3.5399999999999991</c:v>
                </c:pt>
                <c:pt idx="37">
                  <c:v>3.8900000000000006</c:v>
                </c:pt>
                <c:pt idx="38">
                  <c:v>4.8599999999999994</c:v>
                </c:pt>
                <c:pt idx="39">
                  <c:v>4.9700000000000006</c:v>
                </c:pt>
                <c:pt idx="40">
                  <c:v>4.93</c:v>
                </c:pt>
                <c:pt idx="41">
                  <c:v>5.41</c:v>
                </c:pt>
                <c:pt idx="42">
                  <c:v>5.51</c:v>
                </c:pt>
                <c:pt idx="43">
                  <c:v>5.2799999999999994</c:v>
                </c:pt>
                <c:pt idx="44">
                  <c:v>5.77</c:v>
                </c:pt>
                <c:pt idx="45">
                  <c:v>6.283225806451612</c:v>
                </c:pt>
                <c:pt idx="46">
                  <c:v>7.01</c:v>
                </c:pt>
                <c:pt idx="47">
                  <c:v>7.46</c:v>
                </c:pt>
                <c:pt idx="48">
                  <c:v>7.9161290322580644</c:v>
                </c:pt>
                <c:pt idx="49">
                  <c:v>8.0792857142857137</c:v>
                </c:pt>
                <c:pt idx="50">
                  <c:v>7.68</c:v>
                </c:pt>
                <c:pt idx="51">
                  <c:v>7.57</c:v>
                </c:pt>
                <c:pt idx="52">
                  <c:v>7.65</c:v>
                </c:pt>
                <c:pt idx="53">
                  <c:v>7.25</c:v>
                </c:pt>
                <c:pt idx="54">
                  <c:v>7.3787096774193541</c:v>
                </c:pt>
                <c:pt idx="55">
                  <c:v>6.79</c:v>
                </c:pt>
                <c:pt idx="56">
                  <c:v>5.9433333333333325</c:v>
                </c:pt>
                <c:pt idx="57">
                  <c:v>5.4048387096774198</c:v>
                </c:pt>
                <c:pt idx="58">
                  <c:v>4.7</c:v>
                </c:pt>
                <c:pt idx="59">
                  <c:v>4.1467741935483868</c:v>
                </c:pt>
                <c:pt idx="60">
                  <c:v>4.1400000000000006</c:v>
                </c:pt>
                <c:pt idx="61">
                  <c:v>3.9725000000000001</c:v>
                </c:pt>
                <c:pt idx="62">
                  <c:v>3.9893548387096769</c:v>
                </c:pt>
                <c:pt idx="63">
                  <c:v>3.74</c:v>
                </c:pt>
                <c:pt idx="64">
                  <c:v>3.64</c:v>
                </c:pt>
                <c:pt idx="65">
                  <c:v>2.1100000000000003</c:v>
                </c:pt>
                <c:pt idx="66">
                  <c:v>2.0199999999999996</c:v>
                </c:pt>
                <c:pt idx="67">
                  <c:v>2.3099999999999996</c:v>
                </c:pt>
                <c:pt idx="68">
                  <c:v>1.9699999999999998</c:v>
                </c:pt>
                <c:pt idx="69">
                  <c:v>1.9400000000000004</c:v>
                </c:pt>
                <c:pt idx="70">
                  <c:v>2.4500000000000002</c:v>
                </c:pt>
                <c:pt idx="71">
                  <c:v>2.75</c:v>
                </c:pt>
                <c:pt idx="72">
                  <c:v>2.72</c:v>
                </c:pt>
                <c:pt idx="73">
                  <c:v>2.61</c:v>
                </c:pt>
                <c:pt idx="74">
                  <c:v>1.92</c:v>
                </c:pt>
                <c:pt idx="75">
                  <c:v>1.5599999999999996</c:v>
                </c:pt>
                <c:pt idx="76">
                  <c:v>1.8399999999999999</c:v>
                </c:pt>
                <c:pt idx="77">
                  <c:v>3.13</c:v>
                </c:pt>
                <c:pt idx="78">
                  <c:v>3.28</c:v>
                </c:pt>
                <c:pt idx="79">
                  <c:v>2.57</c:v>
                </c:pt>
                <c:pt idx="80">
                  <c:v>2.9099999999999997</c:v>
                </c:pt>
                <c:pt idx="81">
                  <c:v>2.943870967741935</c:v>
                </c:pt>
                <c:pt idx="82">
                  <c:v>1.73</c:v>
                </c:pt>
                <c:pt idx="83">
                  <c:v>0.36741935483871035</c:v>
                </c:pt>
                <c:pt idx="84">
                  <c:v>0.30999999999999961</c:v>
                </c:pt>
                <c:pt idx="85">
                  <c:v>0.28310344827586231</c:v>
                </c:pt>
                <c:pt idx="86">
                  <c:v>0.74032258064516121</c:v>
                </c:pt>
                <c:pt idx="87">
                  <c:v>1.35</c:v>
                </c:pt>
                <c:pt idx="88">
                  <c:v>1.2651612903225806</c:v>
                </c:pt>
                <c:pt idx="89">
                  <c:v>0.54499999999999993</c:v>
                </c:pt>
                <c:pt idx="90">
                  <c:v>-6.0000000000000053E-2</c:v>
                </c:pt>
                <c:pt idx="91">
                  <c:v>-0.39967741935483847</c:v>
                </c:pt>
                <c:pt idx="92">
                  <c:v>-1.1400000000000001</c:v>
                </c:pt>
                <c:pt idx="93">
                  <c:v>-1.92</c:v>
                </c:pt>
                <c:pt idx="94">
                  <c:v>-2.3099999999999996</c:v>
                </c:pt>
                <c:pt idx="95">
                  <c:v>-2.5199999999999996</c:v>
                </c:pt>
                <c:pt idx="96">
                  <c:v>-2.5599999999999996</c:v>
                </c:pt>
                <c:pt idx="97">
                  <c:v>-3.2</c:v>
                </c:pt>
                <c:pt idx="98">
                  <c:v>-3.7612903225806447</c:v>
                </c:pt>
                <c:pt idx="99">
                  <c:v>-4.01</c:v>
                </c:pt>
                <c:pt idx="100">
                  <c:v>-4.6809677419354845</c:v>
                </c:pt>
                <c:pt idx="101">
                  <c:v>-4.5</c:v>
                </c:pt>
                <c:pt idx="102">
                  <c:v>-4.74</c:v>
                </c:pt>
                <c:pt idx="103">
                  <c:v>-4.5590322580645157</c:v>
                </c:pt>
                <c:pt idx="104">
                  <c:v>-4.7333333333333334</c:v>
                </c:pt>
                <c:pt idx="105">
                  <c:v>-4.2264516129032259</c:v>
                </c:pt>
                <c:pt idx="106">
                  <c:v>-2.99</c:v>
                </c:pt>
                <c:pt idx="107">
                  <c:v>-1.1970967741935485</c:v>
                </c:pt>
                <c:pt idx="108">
                  <c:v>-1.1300000000000008</c:v>
                </c:pt>
                <c:pt idx="109">
                  <c:v>0.1028571428571432</c:v>
                </c:pt>
                <c:pt idx="110">
                  <c:v>-6.6129032258064768E-2</c:v>
                </c:pt>
                <c:pt idx="111">
                  <c:v>-0.38000000000000078</c:v>
                </c:pt>
                <c:pt idx="112">
                  <c:v>0.89096774193548356</c:v>
                </c:pt>
                <c:pt idx="113">
                  <c:v>1.1099999999999994</c:v>
                </c:pt>
                <c:pt idx="114">
                  <c:v>3.1799999999999997</c:v>
                </c:pt>
                <c:pt idx="115">
                  <c:v>4.9716129032258056</c:v>
                </c:pt>
                <c:pt idx="116">
                  <c:v>6.58</c:v>
                </c:pt>
                <c:pt idx="117">
                  <c:v>7.28</c:v>
                </c:pt>
                <c:pt idx="118">
                  <c:v>7.85</c:v>
                </c:pt>
                <c:pt idx="119">
                  <c:v>7.96</c:v>
                </c:pt>
                <c:pt idx="120">
                  <c:v>7.98</c:v>
                </c:pt>
                <c:pt idx="121">
                  <c:v>8.15</c:v>
                </c:pt>
                <c:pt idx="122">
                  <c:v>9.1</c:v>
                </c:pt>
                <c:pt idx="123">
                  <c:v>9.57</c:v>
                </c:pt>
                <c:pt idx="124">
                  <c:v>9.81</c:v>
                </c:pt>
                <c:pt idx="125">
                  <c:v>10.59</c:v>
                </c:pt>
                <c:pt idx="126">
                  <c:v>9.76</c:v>
                </c:pt>
                <c:pt idx="127">
                  <c:v>8.6722580645161287</c:v>
                </c:pt>
                <c:pt idx="128">
                  <c:v>7.8933333333333335</c:v>
                </c:pt>
                <c:pt idx="129">
                  <c:v>7.93</c:v>
                </c:pt>
                <c:pt idx="130">
                  <c:v>7.5866666666666678</c:v>
                </c:pt>
                <c:pt idx="131">
                  <c:v>7.339677419354838</c:v>
                </c:pt>
                <c:pt idx="132">
                  <c:v>7.24</c:v>
                </c:pt>
                <c:pt idx="133">
                  <c:v>6.75</c:v>
                </c:pt>
                <c:pt idx="134">
                  <c:v>7.1425806451612903</c:v>
                </c:pt>
                <c:pt idx="135">
                  <c:v>7.0600000000000005</c:v>
                </c:pt>
                <c:pt idx="136">
                  <c:v>6.6345161290322583</c:v>
                </c:pt>
                <c:pt idx="137">
                  <c:v>6.27</c:v>
                </c:pt>
                <c:pt idx="138">
                  <c:v>6</c:v>
                </c:pt>
                <c:pt idx="139">
                  <c:v>6.26</c:v>
                </c:pt>
                <c:pt idx="140">
                  <c:v>6.18</c:v>
                </c:pt>
                <c:pt idx="141">
                  <c:v>5.99</c:v>
                </c:pt>
                <c:pt idx="142">
                  <c:v>6.28</c:v>
                </c:pt>
                <c:pt idx="143">
                  <c:v>7.06516129032258</c:v>
                </c:pt>
                <c:pt idx="144">
                  <c:v>7.7545161290322584</c:v>
                </c:pt>
                <c:pt idx="145">
                  <c:v>8.1900000000000013</c:v>
                </c:pt>
                <c:pt idx="146">
                  <c:v>8.1570967741935476</c:v>
                </c:pt>
                <c:pt idx="147">
                  <c:v>8.7199999999999989</c:v>
                </c:pt>
                <c:pt idx="148">
                  <c:v>9.3170967741935478</c:v>
                </c:pt>
                <c:pt idx="149">
                  <c:v>9.5</c:v>
                </c:pt>
                <c:pt idx="150">
                  <c:v>9.77</c:v>
                </c:pt>
                <c:pt idx="151">
                  <c:v>9.870000000000001</c:v>
                </c:pt>
                <c:pt idx="152">
                  <c:v>9.83</c:v>
                </c:pt>
                <c:pt idx="153">
                  <c:v>10.32</c:v>
                </c:pt>
                <c:pt idx="154">
                  <c:v>10.54</c:v>
                </c:pt>
                <c:pt idx="155">
                  <c:v>10.74</c:v>
                </c:pt>
              </c:numCache>
            </c:numRef>
          </c:xVal>
          <c:yVal>
            <c:numRef>
              <c:f>regressões!$C$25:$C$180</c:f>
              <c:numCache>
                <c:formatCode>General</c:formatCode>
                <c:ptCount val="156"/>
                <c:pt idx="0">
                  <c:v>-63.530489648564156</c:v>
                </c:pt>
                <c:pt idx="1">
                  <c:v>-59.555370493761131</c:v>
                </c:pt>
                <c:pt idx="2">
                  <c:v>-58.358994122290113</c:v>
                </c:pt>
                <c:pt idx="3">
                  <c:v>-61.246957502168328</c:v>
                </c:pt>
                <c:pt idx="4">
                  <c:v>-61.581238508679917</c:v>
                </c:pt>
                <c:pt idx="5">
                  <c:v>-61.351725819541542</c:v>
                </c:pt>
                <c:pt idx="6">
                  <c:v>-65.556036278751407</c:v>
                </c:pt>
                <c:pt idx="7">
                  <c:v>-68.347976660575114</c:v>
                </c:pt>
                <c:pt idx="8">
                  <c:v>-71.96909569874353</c:v>
                </c:pt>
                <c:pt idx="9">
                  <c:v>-73.223054574796834</c:v>
                </c:pt>
                <c:pt idx="10">
                  <c:v>-69.829301268943453</c:v>
                </c:pt>
                <c:pt idx="11">
                  <c:v>-66.511453969530834</c:v>
                </c:pt>
                <c:pt idx="12">
                  <c:v>-70.273429127665452</c:v>
                </c:pt>
                <c:pt idx="13">
                  <c:v>-65.986414508751324</c:v>
                </c:pt>
                <c:pt idx="14">
                  <c:v>-66.652749426820208</c:v>
                </c:pt>
                <c:pt idx="15">
                  <c:v>-72.461887362932941</c:v>
                </c:pt>
                <c:pt idx="16">
                  <c:v>-68.551232681890127</c:v>
                </c:pt>
                <c:pt idx="17">
                  <c:v>-63.124815333933242</c:v>
                </c:pt>
                <c:pt idx="18">
                  <c:v>-63.366505375377386</c:v>
                </c:pt>
                <c:pt idx="19">
                  <c:v>-59.534402738640779</c:v>
                </c:pt>
                <c:pt idx="20">
                  <c:v>-58.486501398804137</c:v>
                </c:pt>
                <c:pt idx="21">
                  <c:v>-50.701372164694504</c:v>
                </c:pt>
                <c:pt idx="22">
                  <c:v>-44.861194871784846</c:v>
                </c:pt>
                <c:pt idx="23">
                  <c:v>-43.578950134042088</c:v>
                </c:pt>
                <c:pt idx="24">
                  <c:v>-35.004817558514048</c:v>
                </c:pt>
                <c:pt idx="25">
                  <c:v>-25.82757792415336</c:v>
                </c:pt>
                <c:pt idx="26">
                  <c:v>-25.668495459812732</c:v>
                </c:pt>
                <c:pt idx="27">
                  <c:v>-22.381616164821878</c:v>
                </c:pt>
                <c:pt idx="28">
                  <c:v>-11.631505273432794</c:v>
                </c:pt>
                <c:pt idx="29">
                  <c:v>-1.1158284084159504</c:v>
                </c:pt>
                <c:pt idx="30">
                  <c:v>14.39403581216996</c:v>
                </c:pt>
                <c:pt idx="31">
                  <c:v>15.987504149017127</c:v>
                </c:pt>
                <c:pt idx="32">
                  <c:v>27.316537567106423</c:v>
                </c:pt>
                <c:pt idx="33">
                  <c:v>30.230522786260508</c:v>
                </c:pt>
                <c:pt idx="34">
                  <c:v>50.618175199838475</c:v>
                </c:pt>
                <c:pt idx="35">
                  <c:v>58.509845717675546</c:v>
                </c:pt>
                <c:pt idx="36">
                  <c:v>71.31110813526368</c:v>
                </c:pt>
                <c:pt idx="37">
                  <c:v>72.848298866718181</c:v>
                </c:pt>
                <c:pt idx="38">
                  <c:v>70.295797431080018</c:v>
                </c:pt>
                <c:pt idx="39">
                  <c:v>77.134129052621688</c:v>
                </c:pt>
                <c:pt idx="40">
                  <c:v>82.20701576954184</c:v>
                </c:pt>
                <c:pt idx="41">
                  <c:v>79.628251415439081</c:v>
                </c:pt>
                <c:pt idx="42">
                  <c:v>81.828409110342079</c:v>
                </c:pt>
                <c:pt idx="43">
                  <c:v>91.40759084167712</c:v>
                </c:pt>
                <c:pt idx="44">
                  <c:v>94.300376957124854</c:v>
                </c:pt>
                <c:pt idx="45">
                  <c:v>88.375568167790675</c:v>
                </c:pt>
                <c:pt idx="46">
                  <c:v>91.03266669851098</c:v>
                </c:pt>
                <c:pt idx="47">
                  <c:v>90.474339906749663</c:v>
                </c:pt>
                <c:pt idx="48">
                  <c:v>87.637420405882949</c:v>
                </c:pt>
                <c:pt idx="49">
                  <c:v>86.75511126157437</c:v>
                </c:pt>
                <c:pt idx="50">
                  <c:v>85.890580612251483</c:v>
                </c:pt>
                <c:pt idx="51">
                  <c:v>51.527248873098017</c:v>
                </c:pt>
                <c:pt idx="52">
                  <c:v>10.309105649678827</c:v>
                </c:pt>
                <c:pt idx="53">
                  <c:v>21.196005578115717</c:v>
                </c:pt>
                <c:pt idx="54">
                  <c:v>37.670634504042368</c:v>
                </c:pt>
                <c:pt idx="55">
                  <c:v>41.60421691181449</c:v>
                </c:pt>
                <c:pt idx="56">
                  <c:v>14.119019359801939</c:v>
                </c:pt>
                <c:pt idx="57">
                  <c:v>21.356002736515222</c:v>
                </c:pt>
                <c:pt idx="58">
                  <c:v>28.802673553129182</c:v>
                </c:pt>
                <c:pt idx="59">
                  <c:v>27.634558426909194</c:v>
                </c:pt>
                <c:pt idx="60">
                  <c:v>23.670360357199399</c:v>
                </c:pt>
                <c:pt idx="61">
                  <c:v>29.607595366009718</c:v>
                </c:pt>
                <c:pt idx="62">
                  <c:v>28.182367772531649</c:v>
                </c:pt>
                <c:pt idx="63">
                  <c:v>30.623005990523069</c:v>
                </c:pt>
                <c:pt idx="64">
                  <c:v>10.881018553113478</c:v>
                </c:pt>
                <c:pt idx="65">
                  <c:v>11.198786792027107</c:v>
                </c:pt>
                <c:pt idx="66">
                  <c:v>1.9815775555432538</c:v>
                </c:pt>
                <c:pt idx="67">
                  <c:v>0.81548796969079262</c:v>
                </c:pt>
                <c:pt idx="68">
                  <c:v>1.4118286454828421</c:v>
                </c:pt>
                <c:pt idx="69">
                  <c:v>1.6512614813973983</c:v>
                </c:pt>
                <c:pt idx="70">
                  <c:v>1.3286484532773102</c:v>
                </c:pt>
                <c:pt idx="71">
                  <c:v>0.12401731373398661</c:v>
                </c:pt>
                <c:pt idx="72">
                  <c:v>1.4926473821381592</c:v>
                </c:pt>
                <c:pt idx="73">
                  <c:v>7.6019203787961089</c:v>
                </c:pt>
                <c:pt idx="74">
                  <c:v>16.437360442297461</c:v>
                </c:pt>
                <c:pt idx="75">
                  <c:v>16.59465734040873</c:v>
                </c:pt>
                <c:pt idx="76">
                  <c:v>14.858202551508072</c:v>
                </c:pt>
                <c:pt idx="77">
                  <c:v>7.5708567929335402</c:v>
                </c:pt>
                <c:pt idx="78">
                  <c:v>5.1609280550659093</c:v>
                </c:pt>
                <c:pt idx="79">
                  <c:v>9.5505036759748805</c:v>
                </c:pt>
                <c:pt idx="80">
                  <c:v>6.0403993269152636</c:v>
                </c:pt>
                <c:pt idx="81">
                  <c:v>12.482438357107242</c:v>
                </c:pt>
                <c:pt idx="82">
                  <c:v>23.4943969553226</c:v>
                </c:pt>
                <c:pt idx="83">
                  <c:v>28.013382491419122</c:v>
                </c:pt>
                <c:pt idx="84">
                  <c:v>0.40004008436821437</c:v>
                </c:pt>
                <c:pt idx="85">
                  <c:v>2.0346300312834558</c:v>
                </c:pt>
                <c:pt idx="86">
                  <c:v>-1.374653644046731</c:v>
                </c:pt>
                <c:pt idx="87">
                  <c:v>-24.456569345399885</c:v>
                </c:pt>
                <c:pt idx="88">
                  <c:v>-32.120699785766533</c:v>
                </c:pt>
                <c:pt idx="89">
                  <c:v>-41.091626908512836</c:v>
                </c:pt>
                <c:pt idx="90">
                  <c:v>-23.760298298172103</c:v>
                </c:pt>
                <c:pt idx="91">
                  <c:v>-20.720486124396245</c:v>
                </c:pt>
                <c:pt idx="92">
                  <c:v>-13.906018543740686</c:v>
                </c:pt>
                <c:pt idx="93">
                  <c:v>-5.0821496387176239</c:v>
                </c:pt>
                <c:pt idx="94">
                  <c:v>-8.68540643043616E-2</c:v>
                </c:pt>
                <c:pt idx="95">
                  <c:v>4.0457394317998876</c:v>
                </c:pt>
                <c:pt idx="96">
                  <c:v>8.6628205514930698</c:v>
                </c:pt>
                <c:pt idx="97">
                  <c:v>15.615767815433315</c:v>
                </c:pt>
                <c:pt idx="98">
                  <c:v>17.813739674335721</c:v>
                </c:pt>
                <c:pt idx="99">
                  <c:v>19.434099208157136</c:v>
                </c:pt>
                <c:pt idx="100">
                  <c:v>19.298588903203608</c:v>
                </c:pt>
                <c:pt idx="101">
                  <c:v>19.095513014218909</c:v>
                </c:pt>
                <c:pt idx="102">
                  <c:v>20.321863499053165</c:v>
                </c:pt>
                <c:pt idx="103">
                  <c:v>20.882633758021313</c:v>
                </c:pt>
                <c:pt idx="104">
                  <c:v>26.411356218659932</c:v>
                </c:pt>
                <c:pt idx="105">
                  <c:v>26.886285596181523</c:v>
                </c:pt>
                <c:pt idx="106">
                  <c:v>18.734132858295652</c:v>
                </c:pt>
                <c:pt idx="107">
                  <c:v>10.058172493813913</c:v>
                </c:pt>
                <c:pt idx="108">
                  <c:v>9.8149006311352025</c:v>
                </c:pt>
                <c:pt idx="109">
                  <c:v>11.16391883257802</c:v>
                </c:pt>
                <c:pt idx="110">
                  <c:v>7.7458939033448075</c:v>
                </c:pt>
                <c:pt idx="111">
                  <c:v>15.195145858224066</c:v>
                </c:pt>
                <c:pt idx="112">
                  <c:v>7.1084055695650932</c:v>
                </c:pt>
                <c:pt idx="113">
                  <c:v>7.2208391135815475</c:v>
                </c:pt>
                <c:pt idx="114">
                  <c:v>9.1588753934214822</c:v>
                </c:pt>
                <c:pt idx="115">
                  <c:v>3.7117110765415191</c:v>
                </c:pt>
                <c:pt idx="116">
                  <c:v>-7.6441738001565795</c:v>
                </c:pt>
                <c:pt idx="117">
                  <c:v>-4.8765725369151482</c:v>
                </c:pt>
                <c:pt idx="118">
                  <c:v>-13.670615114256975</c:v>
                </c:pt>
                <c:pt idx="119">
                  <c:v>-5.8403834381568913</c:v>
                </c:pt>
                <c:pt idx="120">
                  <c:v>-6.8455251751884134</c:v>
                </c:pt>
                <c:pt idx="121">
                  <c:v>-1.0386100088505827</c:v>
                </c:pt>
                <c:pt idx="122">
                  <c:v>-8.1316322175405844</c:v>
                </c:pt>
                <c:pt idx="123">
                  <c:v>-0.34345007847360876</c:v>
                </c:pt>
                <c:pt idx="124">
                  <c:v>-3.0649219368715421</c:v>
                </c:pt>
                <c:pt idx="125">
                  <c:v>-16.019906526052353</c:v>
                </c:pt>
                <c:pt idx="126">
                  <c:v>-9.8055835502640321</c:v>
                </c:pt>
                <c:pt idx="127">
                  <c:v>-4.5008533717359001</c:v>
                </c:pt>
                <c:pt idx="128">
                  <c:v>-2.0513263841708067</c:v>
                </c:pt>
                <c:pt idx="129">
                  <c:v>-5.0747127524973621</c:v>
                </c:pt>
                <c:pt idx="130">
                  <c:v>-8.6301700537889019</c:v>
                </c:pt>
                <c:pt idx="131">
                  <c:v>-2.998484102171119</c:v>
                </c:pt>
                <c:pt idx="132">
                  <c:v>-19.86182488034359</c:v>
                </c:pt>
                <c:pt idx="133">
                  <c:v>-18.819141901836019</c:v>
                </c:pt>
                <c:pt idx="134">
                  <c:v>-18.247369777754557</c:v>
                </c:pt>
                <c:pt idx="135">
                  <c:v>-20.678205648588403</c:v>
                </c:pt>
                <c:pt idx="136">
                  <c:v>-16.89402945189164</c:v>
                </c:pt>
                <c:pt idx="137">
                  <c:v>-10.675106451296131</c:v>
                </c:pt>
                <c:pt idx="138">
                  <c:v>-13.216513319313265</c:v>
                </c:pt>
                <c:pt idx="139">
                  <c:v>-13.997367849203272</c:v>
                </c:pt>
                <c:pt idx="140">
                  <c:v>-6.6400354410101841</c:v>
                </c:pt>
                <c:pt idx="141">
                  <c:v>-10.111469673143404</c:v>
                </c:pt>
                <c:pt idx="142">
                  <c:v>-6.8239916817541939</c:v>
                </c:pt>
                <c:pt idx="143">
                  <c:v>-15.720297438833768</c:v>
                </c:pt>
                <c:pt idx="144">
                  <c:v>-18.055555092432712</c:v>
                </c:pt>
                <c:pt idx="145">
                  <c:v>-13.499998133792872</c:v>
                </c:pt>
                <c:pt idx="146">
                  <c:v>-12.072082551733786</c:v>
                </c:pt>
                <c:pt idx="147">
                  <c:v>-14.419848504421623</c:v>
                </c:pt>
                <c:pt idx="148">
                  <c:v>-16.831160354929239</c:v>
                </c:pt>
                <c:pt idx="149">
                  <c:v>-17.385155393960986</c:v>
                </c:pt>
                <c:pt idx="150">
                  <c:v>-19.875002583115418</c:v>
                </c:pt>
                <c:pt idx="151">
                  <c:v>-19.45879114043737</c:v>
                </c:pt>
                <c:pt idx="152">
                  <c:v>-22.465056278291172</c:v>
                </c:pt>
                <c:pt idx="153">
                  <c:v>-24.426348469352831</c:v>
                </c:pt>
                <c:pt idx="154">
                  <c:v>-23.143437351268858</c:v>
                </c:pt>
                <c:pt idx="155">
                  <c:v>-27.266417745188107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F89-4521-99C6-32DD228E1D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992512"/>
        <c:axId val="2006442319"/>
      </c:scatterChart>
      <c:valAx>
        <c:axId val="60992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Variável X 1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crossAx val="2006442319"/>
        <c:crosses val="autoZero"/>
        <c:crossBetween val="midCat"/>
      </c:valAx>
      <c:valAx>
        <c:axId val="200644231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Resíduos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099251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Variável X 1 Plotagem de resíduos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xVal>
            <c:numRef>
              <c:f>'parametro_lambda (2)'!$H$2:$H$157</c:f>
              <c:numCache>
                <c:formatCode>_(* #,##0.00_);_(* \(#,##0.00\);_(* "-"??_);_(@_)</c:formatCode>
                <c:ptCount val="156"/>
                <c:pt idx="0">
                  <c:v>1.0999999999999996</c:v>
                </c:pt>
                <c:pt idx="1">
                  <c:v>0.94000000000000039</c:v>
                </c:pt>
                <c:pt idx="2">
                  <c:v>0.66000000000000014</c:v>
                </c:pt>
                <c:pt idx="3">
                  <c:v>0.86833333333333318</c:v>
                </c:pt>
                <c:pt idx="4">
                  <c:v>1.032258064516129</c:v>
                </c:pt>
                <c:pt idx="5">
                  <c:v>1.2999999999999998</c:v>
                </c:pt>
                <c:pt idx="6">
                  <c:v>2.0687096774193545</c:v>
                </c:pt>
                <c:pt idx="7">
                  <c:v>2.4583870967741941</c:v>
                </c:pt>
                <c:pt idx="8">
                  <c:v>3.1399999999999997</c:v>
                </c:pt>
                <c:pt idx="9">
                  <c:v>3.5148387096774201</c:v>
                </c:pt>
                <c:pt idx="10">
                  <c:v>3.7800000000000011</c:v>
                </c:pt>
                <c:pt idx="11">
                  <c:v>4.09</c:v>
                </c:pt>
                <c:pt idx="12">
                  <c:v>4.6680645161290322</c:v>
                </c:pt>
                <c:pt idx="13">
                  <c:v>4.8378571428571426</c:v>
                </c:pt>
                <c:pt idx="14">
                  <c:v>4.5999999999999996</c:v>
                </c:pt>
                <c:pt idx="15">
                  <c:v>4.7033333333333323</c:v>
                </c:pt>
                <c:pt idx="16">
                  <c:v>4.63</c:v>
                </c:pt>
                <c:pt idx="17">
                  <c:v>4.4800000000000004</c:v>
                </c:pt>
                <c:pt idx="18">
                  <c:v>4.5</c:v>
                </c:pt>
                <c:pt idx="19">
                  <c:v>4.49</c:v>
                </c:pt>
                <c:pt idx="20">
                  <c:v>4.25</c:v>
                </c:pt>
                <c:pt idx="21">
                  <c:v>4.4261290322580642</c:v>
                </c:pt>
                <c:pt idx="22">
                  <c:v>4.6900000000000004</c:v>
                </c:pt>
                <c:pt idx="23">
                  <c:v>5.2916129032258059</c:v>
                </c:pt>
                <c:pt idx="24">
                  <c:v>4.7712903225806462</c:v>
                </c:pt>
                <c:pt idx="25">
                  <c:v>4.55</c:v>
                </c:pt>
                <c:pt idx="26">
                  <c:v>4.5554838709677412</c:v>
                </c:pt>
                <c:pt idx="27">
                  <c:v>4.5966666666666676</c:v>
                </c:pt>
                <c:pt idx="28">
                  <c:v>4.7799999999999994</c:v>
                </c:pt>
                <c:pt idx="29">
                  <c:v>4.8099999999999987</c:v>
                </c:pt>
                <c:pt idx="30">
                  <c:v>4.2222580645161294</c:v>
                </c:pt>
                <c:pt idx="31">
                  <c:v>4.7200000000000006</c:v>
                </c:pt>
                <c:pt idx="32">
                  <c:v>4.76</c:v>
                </c:pt>
                <c:pt idx="33">
                  <c:v>4.32</c:v>
                </c:pt>
                <c:pt idx="34">
                  <c:v>3.7699999999999996</c:v>
                </c:pt>
                <c:pt idx="35">
                  <c:v>3.58</c:v>
                </c:pt>
                <c:pt idx="36">
                  <c:v>3.5399999999999991</c:v>
                </c:pt>
                <c:pt idx="37">
                  <c:v>3.8900000000000006</c:v>
                </c:pt>
                <c:pt idx="38">
                  <c:v>4.8599999999999994</c:v>
                </c:pt>
                <c:pt idx="39">
                  <c:v>4.9700000000000006</c:v>
                </c:pt>
                <c:pt idx="40">
                  <c:v>4.93</c:v>
                </c:pt>
                <c:pt idx="41">
                  <c:v>5.41</c:v>
                </c:pt>
                <c:pt idx="42">
                  <c:v>5.51</c:v>
                </c:pt>
                <c:pt idx="43">
                  <c:v>5.2799999999999994</c:v>
                </c:pt>
                <c:pt idx="44">
                  <c:v>5.77</c:v>
                </c:pt>
                <c:pt idx="45">
                  <c:v>6.283225806451612</c:v>
                </c:pt>
                <c:pt idx="46">
                  <c:v>7.01</c:v>
                </c:pt>
                <c:pt idx="47">
                  <c:v>7.46</c:v>
                </c:pt>
                <c:pt idx="48">
                  <c:v>7.9161290322580644</c:v>
                </c:pt>
                <c:pt idx="49">
                  <c:v>8.0792857142857137</c:v>
                </c:pt>
                <c:pt idx="50">
                  <c:v>7.68</c:v>
                </c:pt>
                <c:pt idx="51">
                  <c:v>7.57</c:v>
                </c:pt>
                <c:pt idx="52">
                  <c:v>7.65</c:v>
                </c:pt>
                <c:pt idx="53">
                  <c:v>7.25</c:v>
                </c:pt>
                <c:pt idx="54">
                  <c:v>7.3787096774193541</c:v>
                </c:pt>
                <c:pt idx="55">
                  <c:v>6.79</c:v>
                </c:pt>
                <c:pt idx="56">
                  <c:v>5.9433333333333325</c:v>
                </c:pt>
                <c:pt idx="57">
                  <c:v>5.4048387096774198</c:v>
                </c:pt>
                <c:pt idx="58">
                  <c:v>4.7</c:v>
                </c:pt>
                <c:pt idx="59">
                  <c:v>4.1467741935483868</c:v>
                </c:pt>
                <c:pt idx="60">
                  <c:v>4.1400000000000006</c:v>
                </c:pt>
                <c:pt idx="61">
                  <c:v>3.9725000000000001</c:v>
                </c:pt>
                <c:pt idx="62">
                  <c:v>3.9893548387096769</c:v>
                </c:pt>
                <c:pt idx="63">
                  <c:v>3.74</c:v>
                </c:pt>
                <c:pt idx="64">
                  <c:v>3.64</c:v>
                </c:pt>
                <c:pt idx="65">
                  <c:v>2.1100000000000003</c:v>
                </c:pt>
                <c:pt idx="66">
                  <c:v>2.0199999999999996</c:v>
                </c:pt>
                <c:pt idx="67">
                  <c:v>2.3099999999999996</c:v>
                </c:pt>
                <c:pt idx="68">
                  <c:v>1.9699999999999998</c:v>
                </c:pt>
                <c:pt idx="69">
                  <c:v>1.9400000000000004</c:v>
                </c:pt>
                <c:pt idx="70">
                  <c:v>2.4500000000000002</c:v>
                </c:pt>
                <c:pt idx="71">
                  <c:v>2.75</c:v>
                </c:pt>
                <c:pt idx="72">
                  <c:v>2.72</c:v>
                </c:pt>
                <c:pt idx="73">
                  <c:v>2.61</c:v>
                </c:pt>
                <c:pt idx="74">
                  <c:v>1.92</c:v>
                </c:pt>
                <c:pt idx="75">
                  <c:v>1.5599999999999996</c:v>
                </c:pt>
                <c:pt idx="76">
                  <c:v>1.8399999999999999</c:v>
                </c:pt>
                <c:pt idx="77">
                  <c:v>3.13</c:v>
                </c:pt>
                <c:pt idx="78">
                  <c:v>3.28</c:v>
                </c:pt>
                <c:pt idx="79">
                  <c:v>2.57</c:v>
                </c:pt>
                <c:pt idx="80">
                  <c:v>2.9099999999999997</c:v>
                </c:pt>
                <c:pt idx="81">
                  <c:v>2.943870967741935</c:v>
                </c:pt>
                <c:pt idx="82">
                  <c:v>1.73</c:v>
                </c:pt>
                <c:pt idx="83">
                  <c:v>0.36741935483871035</c:v>
                </c:pt>
                <c:pt idx="84">
                  <c:v>0.30999999999999961</c:v>
                </c:pt>
                <c:pt idx="85">
                  <c:v>0.28310344827586231</c:v>
                </c:pt>
                <c:pt idx="86">
                  <c:v>0.74032258064516121</c:v>
                </c:pt>
                <c:pt idx="87">
                  <c:v>1.35</c:v>
                </c:pt>
                <c:pt idx="88">
                  <c:v>1.2651612903225806</c:v>
                </c:pt>
                <c:pt idx="89">
                  <c:v>0.54499999999999993</c:v>
                </c:pt>
                <c:pt idx="90">
                  <c:v>-6.0000000000000053E-2</c:v>
                </c:pt>
                <c:pt idx="91">
                  <c:v>-0.39967741935483847</c:v>
                </c:pt>
                <c:pt idx="92">
                  <c:v>-1.1400000000000001</c:v>
                </c:pt>
                <c:pt idx="93">
                  <c:v>-1.92</c:v>
                </c:pt>
                <c:pt idx="94">
                  <c:v>-2.3099999999999996</c:v>
                </c:pt>
                <c:pt idx="95">
                  <c:v>-2.5199999999999996</c:v>
                </c:pt>
                <c:pt idx="96">
                  <c:v>-2.5599999999999996</c:v>
                </c:pt>
                <c:pt idx="97">
                  <c:v>-3.2</c:v>
                </c:pt>
                <c:pt idx="98">
                  <c:v>-3.7612903225806447</c:v>
                </c:pt>
                <c:pt idx="99">
                  <c:v>-4.01</c:v>
                </c:pt>
                <c:pt idx="100">
                  <c:v>-4.6809677419354845</c:v>
                </c:pt>
                <c:pt idx="101">
                  <c:v>-4.5</c:v>
                </c:pt>
                <c:pt idx="102">
                  <c:v>-4.74</c:v>
                </c:pt>
                <c:pt idx="103">
                  <c:v>-4.5590322580645157</c:v>
                </c:pt>
                <c:pt idx="104">
                  <c:v>-4.7333333333333334</c:v>
                </c:pt>
                <c:pt idx="105">
                  <c:v>-4.2264516129032259</c:v>
                </c:pt>
                <c:pt idx="106">
                  <c:v>-2.99</c:v>
                </c:pt>
                <c:pt idx="107">
                  <c:v>-1.1970967741935485</c:v>
                </c:pt>
                <c:pt idx="108">
                  <c:v>-1.1300000000000008</c:v>
                </c:pt>
                <c:pt idx="109">
                  <c:v>0.1028571428571432</c:v>
                </c:pt>
                <c:pt idx="110">
                  <c:v>-6.6129032258064768E-2</c:v>
                </c:pt>
                <c:pt idx="111">
                  <c:v>-0.38000000000000078</c:v>
                </c:pt>
                <c:pt idx="112">
                  <c:v>0.89096774193548356</c:v>
                </c:pt>
                <c:pt idx="113">
                  <c:v>1.1099999999999994</c:v>
                </c:pt>
                <c:pt idx="114">
                  <c:v>3.1799999999999997</c:v>
                </c:pt>
                <c:pt idx="115">
                  <c:v>4.9716129032258056</c:v>
                </c:pt>
                <c:pt idx="116">
                  <c:v>6.58</c:v>
                </c:pt>
                <c:pt idx="117">
                  <c:v>7.28</c:v>
                </c:pt>
                <c:pt idx="118">
                  <c:v>7.85</c:v>
                </c:pt>
                <c:pt idx="119">
                  <c:v>7.96</c:v>
                </c:pt>
                <c:pt idx="120">
                  <c:v>7.98</c:v>
                </c:pt>
                <c:pt idx="121">
                  <c:v>8.15</c:v>
                </c:pt>
                <c:pt idx="122">
                  <c:v>9.1</c:v>
                </c:pt>
                <c:pt idx="123">
                  <c:v>9.57</c:v>
                </c:pt>
                <c:pt idx="124">
                  <c:v>9.81</c:v>
                </c:pt>
                <c:pt idx="125">
                  <c:v>10.59</c:v>
                </c:pt>
                <c:pt idx="126">
                  <c:v>9.76</c:v>
                </c:pt>
                <c:pt idx="127">
                  <c:v>8.6722580645161287</c:v>
                </c:pt>
                <c:pt idx="128">
                  <c:v>7.8933333333333335</c:v>
                </c:pt>
                <c:pt idx="129">
                  <c:v>7.93</c:v>
                </c:pt>
                <c:pt idx="130">
                  <c:v>7.5866666666666678</c:v>
                </c:pt>
                <c:pt idx="131">
                  <c:v>7.339677419354838</c:v>
                </c:pt>
                <c:pt idx="132">
                  <c:v>7.24</c:v>
                </c:pt>
                <c:pt idx="133">
                  <c:v>6.75</c:v>
                </c:pt>
                <c:pt idx="134">
                  <c:v>7.1425806451612903</c:v>
                </c:pt>
                <c:pt idx="135">
                  <c:v>7.0600000000000005</c:v>
                </c:pt>
                <c:pt idx="136">
                  <c:v>6.6345161290322583</c:v>
                </c:pt>
                <c:pt idx="137">
                  <c:v>6.27</c:v>
                </c:pt>
                <c:pt idx="138">
                  <c:v>6</c:v>
                </c:pt>
                <c:pt idx="139">
                  <c:v>6.26</c:v>
                </c:pt>
                <c:pt idx="140">
                  <c:v>6.18</c:v>
                </c:pt>
                <c:pt idx="141">
                  <c:v>5.99</c:v>
                </c:pt>
                <c:pt idx="142">
                  <c:v>6.28</c:v>
                </c:pt>
                <c:pt idx="143">
                  <c:v>7.06516129032258</c:v>
                </c:pt>
                <c:pt idx="144">
                  <c:v>7.7545161290322584</c:v>
                </c:pt>
                <c:pt idx="145">
                  <c:v>8.1900000000000013</c:v>
                </c:pt>
                <c:pt idx="146">
                  <c:v>8.1570967741935476</c:v>
                </c:pt>
                <c:pt idx="147">
                  <c:v>8.7199999999999989</c:v>
                </c:pt>
                <c:pt idx="148">
                  <c:v>9.3170967741935478</c:v>
                </c:pt>
                <c:pt idx="149">
                  <c:v>9.5</c:v>
                </c:pt>
                <c:pt idx="150">
                  <c:v>9.77</c:v>
                </c:pt>
                <c:pt idx="151">
                  <c:v>9.870000000000001</c:v>
                </c:pt>
                <c:pt idx="152">
                  <c:v>9.83</c:v>
                </c:pt>
                <c:pt idx="153">
                  <c:v>10.32</c:v>
                </c:pt>
                <c:pt idx="154">
                  <c:v>10.54</c:v>
                </c:pt>
                <c:pt idx="155">
                  <c:v>10.74</c:v>
                </c:pt>
              </c:numCache>
            </c:numRef>
          </c:xVal>
          <c:yVal>
            <c:numRef>
              <c:f>regressões!$W$25:$W$180</c:f>
              <c:numCache>
                <c:formatCode>General</c:formatCode>
                <c:ptCount val="156"/>
                <c:pt idx="0">
                  <c:v>-9.7050278815902669E-2</c:v>
                </c:pt>
                <c:pt idx="1">
                  <c:v>-0.4320928508876114</c:v>
                </c:pt>
                <c:pt idx="2">
                  <c:v>-0.57343233364092949</c:v>
                </c:pt>
                <c:pt idx="3">
                  <c:v>-0.42163091031034838</c:v>
                </c:pt>
                <c:pt idx="4">
                  <c:v>-0.56102283525202146</c:v>
                </c:pt>
                <c:pt idx="5">
                  <c:v>-0.8678796587440154</c:v>
                </c:pt>
                <c:pt idx="6">
                  <c:v>-0.63749274575103732</c:v>
                </c:pt>
                <c:pt idx="7">
                  <c:v>-0.52610910234203301</c:v>
                </c:pt>
                <c:pt idx="8">
                  <c:v>-0.34304060614678189</c:v>
                </c:pt>
                <c:pt idx="9">
                  <c:v>-0.16505703480257061</c:v>
                </c:pt>
                <c:pt idx="10">
                  <c:v>-9.4775797971042408E-2</c:v>
                </c:pt>
                <c:pt idx="11">
                  <c:v>-0.35205867638219823</c:v>
                </c:pt>
                <c:pt idx="12">
                  <c:v>0.39814111897120963</c:v>
                </c:pt>
                <c:pt idx="13">
                  <c:v>-0.54213547972469645</c:v>
                </c:pt>
                <c:pt idx="14">
                  <c:v>0.13850217608200399</c:v>
                </c:pt>
                <c:pt idx="15">
                  <c:v>-0.64128268158772173</c:v>
                </c:pt>
                <c:pt idx="16">
                  <c:v>-0.35479135500955916</c:v>
                </c:pt>
                <c:pt idx="17">
                  <c:v>-0.73811129120881258</c:v>
                </c:pt>
                <c:pt idx="18">
                  <c:v>-0.25897991724538283</c:v>
                </c:pt>
                <c:pt idx="19">
                  <c:v>-0.36550608729372414</c:v>
                </c:pt>
                <c:pt idx="20">
                  <c:v>-0.63658880131468187</c:v>
                </c:pt>
                <c:pt idx="21">
                  <c:v>-0.5516831016490702</c:v>
                </c:pt>
                <c:pt idx="22">
                  <c:v>-0.81437328360096206</c:v>
                </c:pt>
                <c:pt idx="23">
                  <c:v>-1.2644763174838198</c:v>
                </c:pt>
                <c:pt idx="24">
                  <c:v>-1.3506862306660539</c:v>
                </c:pt>
                <c:pt idx="25">
                  <c:v>-2.3374036947156718</c:v>
                </c:pt>
                <c:pt idx="26">
                  <c:v>-1.752501372650114</c:v>
                </c:pt>
                <c:pt idx="27">
                  <c:v>-1.8896031366817336</c:v>
                </c:pt>
                <c:pt idx="28">
                  <c:v>-1.9040131853504292</c:v>
                </c:pt>
                <c:pt idx="29">
                  <c:v>-2.0216191330808169</c:v>
                </c:pt>
                <c:pt idx="30">
                  <c:v>-2.1007055586445866</c:v>
                </c:pt>
                <c:pt idx="31">
                  <c:v>-2.5320956412136004</c:v>
                </c:pt>
                <c:pt idx="32">
                  <c:v>-2.6359119119455618</c:v>
                </c:pt>
                <c:pt idx="33">
                  <c:v>-2.8037201572354578</c:v>
                </c:pt>
                <c:pt idx="34">
                  <c:v>-2.9980598895182466</c:v>
                </c:pt>
                <c:pt idx="35">
                  <c:v>-3.6076464774674939</c:v>
                </c:pt>
                <c:pt idx="36">
                  <c:v>-3.2273291383993508</c:v>
                </c:pt>
                <c:pt idx="37">
                  <c:v>-3.3913602335391948</c:v>
                </c:pt>
                <c:pt idx="38">
                  <c:v>-2.2533047844812106</c:v>
                </c:pt>
                <c:pt idx="39">
                  <c:v>-2.3847083121263211</c:v>
                </c:pt>
                <c:pt idx="40">
                  <c:v>-1.810721383345733</c:v>
                </c:pt>
                <c:pt idx="41">
                  <c:v>-1.4498265885647932</c:v>
                </c:pt>
                <c:pt idx="42">
                  <c:v>-1.2521177838210571</c:v>
                </c:pt>
                <c:pt idx="43">
                  <c:v>-1.5498081888170132</c:v>
                </c:pt>
                <c:pt idx="44">
                  <c:v>-1.4680189542817077</c:v>
                </c:pt>
                <c:pt idx="45">
                  <c:v>-1.4309025023335398</c:v>
                </c:pt>
                <c:pt idx="46">
                  <c:v>-0.88939111748567168</c:v>
                </c:pt>
                <c:pt idx="47">
                  <c:v>-0.18487210598835802</c:v>
                </c:pt>
                <c:pt idx="48">
                  <c:v>0.53701381292252304</c:v>
                </c:pt>
                <c:pt idx="49">
                  <c:v>-0.65407868724591989</c:v>
                </c:pt>
                <c:pt idx="50">
                  <c:v>0.3623618097163126</c:v>
                </c:pt>
                <c:pt idx="51">
                  <c:v>0.12622298431777601</c:v>
                </c:pt>
                <c:pt idx="52">
                  <c:v>1.4529223294539824</c:v>
                </c:pt>
                <c:pt idx="53">
                  <c:v>1.568751279190189</c:v>
                </c:pt>
                <c:pt idx="54">
                  <c:v>1.80896546418432</c:v>
                </c:pt>
                <c:pt idx="55">
                  <c:v>1.6291024716543268</c:v>
                </c:pt>
                <c:pt idx="56">
                  <c:v>1.8766174403344635</c:v>
                </c:pt>
                <c:pt idx="57">
                  <c:v>2.058082373290345</c:v>
                </c:pt>
                <c:pt idx="58">
                  <c:v>1.5788143865674602</c:v>
                </c:pt>
                <c:pt idx="59">
                  <c:v>1.8262497281528214</c:v>
                </c:pt>
                <c:pt idx="60">
                  <c:v>2.1879740969055907</c:v>
                </c:pt>
                <c:pt idx="61">
                  <c:v>2.2424592868865187</c:v>
                </c:pt>
                <c:pt idx="62">
                  <c:v>2.2781466069161915</c:v>
                </c:pt>
                <c:pt idx="63">
                  <c:v>2.3079084927725413</c:v>
                </c:pt>
                <c:pt idx="64">
                  <c:v>2.1373281476572403</c:v>
                </c:pt>
                <c:pt idx="65">
                  <c:v>1.2993523837393042</c:v>
                </c:pt>
                <c:pt idx="66">
                  <c:v>1.2098264611396292</c:v>
                </c:pt>
                <c:pt idx="67">
                  <c:v>1.3505975750030066</c:v>
                </c:pt>
                <c:pt idx="68">
                  <c:v>0.89571958764139081</c:v>
                </c:pt>
                <c:pt idx="69">
                  <c:v>0.95368843215283849</c:v>
                </c:pt>
                <c:pt idx="70">
                  <c:v>1.3028807452137929</c:v>
                </c:pt>
                <c:pt idx="71">
                  <c:v>1.4549855920285362</c:v>
                </c:pt>
                <c:pt idx="72">
                  <c:v>1.89765571546249</c:v>
                </c:pt>
                <c:pt idx="73">
                  <c:v>1.242946159346435</c:v>
                </c:pt>
                <c:pt idx="74">
                  <c:v>0.9579576061707491</c:v>
                </c:pt>
                <c:pt idx="75">
                  <c:v>0.78455059395769489</c:v>
                </c:pt>
                <c:pt idx="76">
                  <c:v>0.97017402279204212</c:v>
                </c:pt>
                <c:pt idx="77">
                  <c:v>1.5484705769904741</c:v>
                </c:pt>
                <c:pt idx="78">
                  <c:v>1.7044988060807782</c:v>
                </c:pt>
                <c:pt idx="79">
                  <c:v>2.3106461517778958</c:v>
                </c:pt>
                <c:pt idx="80">
                  <c:v>2.0373007576750739</c:v>
                </c:pt>
                <c:pt idx="81">
                  <c:v>2.1268971335926325</c:v>
                </c:pt>
                <c:pt idx="82">
                  <c:v>1.7869980530161786</c:v>
                </c:pt>
                <c:pt idx="83">
                  <c:v>1.3969832039908063</c:v>
                </c:pt>
                <c:pt idx="84">
                  <c:v>1.6964310362842532</c:v>
                </c:pt>
                <c:pt idx="85">
                  <c:v>1.8206465684993167</c:v>
                </c:pt>
                <c:pt idx="86">
                  <c:v>2.1319116638519784</c:v>
                </c:pt>
                <c:pt idx="87">
                  <c:v>2.8171630913253711</c:v>
                </c:pt>
                <c:pt idx="88">
                  <c:v>3.3247420087087685</c:v>
                </c:pt>
                <c:pt idx="89">
                  <c:v>3.4121739672791604</c:v>
                </c:pt>
                <c:pt idx="90">
                  <c:v>3.4974022827892748</c:v>
                </c:pt>
                <c:pt idx="91">
                  <c:v>3.5268365359538434</c:v>
                </c:pt>
                <c:pt idx="92">
                  <c:v>3.1594856471761514</c:v>
                </c:pt>
                <c:pt idx="93">
                  <c:v>2.6527501674990885</c:v>
                </c:pt>
                <c:pt idx="94">
                  <c:v>2.4154468519409722</c:v>
                </c:pt>
                <c:pt idx="95">
                  <c:v>2.3009634967697323</c:v>
                </c:pt>
                <c:pt idx="96">
                  <c:v>2.2430271784239837</c:v>
                </c:pt>
                <c:pt idx="97">
                  <c:v>1.8872139158211549</c:v>
                </c:pt>
                <c:pt idx="98">
                  <c:v>1.1442711839873667</c:v>
                </c:pt>
                <c:pt idx="99">
                  <c:v>0.39291391284157506</c:v>
                </c:pt>
                <c:pt idx="100">
                  <c:v>-0.6358424857679521</c:v>
                </c:pt>
                <c:pt idx="101">
                  <c:v>-0.94804295277819794</c:v>
                </c:pt>
                <c:pt idx="102">
                  <c:v>-1.3526057213376628</c:v>
                </c:pt>
                <c:pt idx="103">
                  <c:v>-2.0079883448300055</c:v>
                </c:pt>
                <c:pt idx="104">
                  <c:v>-2.2664546385586748</c:v>
                </c:pt>
                <c:pt idx="105">
                  <c:v>-2.6195125293007822</c:v>
                </c:pt>
                <c:pt idx="106">
                  <c:v>-2.9597694850701473</c:v>
                </c:pt>
                <c:pt idx="107">
                  <c:v>-2.0370236254878225</c:v>
                </c:pt>
                <c:pt idx="108">
                  <c:v>-1.8481347759400275</c:v>
                </c:pt>
                <c:pt idx="109">
                  <c:v>-3.8272204531967873</c:v>
                </c:pt>
                <c:pt idx="110">
                  <c:v>-3.2528690720632225</c:v>
                </c:pt>
                <c:pt idx="111">
                  <c:v>-3.9198589343493881</c:v>
                </c:pt>
                <c:pt idx="112">
                  <c:v>-3.4175767462469349</c:v>
                </c:pt>
                <c:pt idx="113">
                  <c:v>-3.7028397751438593</c:v>
                </c:pt>
                <c:pt idx="114">
                  <c:v>-2.2534012547915001</c:v>
                </c:pt>
                <c:pt idx="115">
                  <c:v>-1.9244450283340822</c:v>
                </c:pt>
                <c:pt idx="116">
                  <c:v>-1.4510570814713626</c:v>
                </c:pt>
                <c:pt idx="117">
                  <c:v>-1.2424657267050288</c:v>
                </c:pt>
                <c:pt idx="118">
                  <c:v>-0.64597439768826881</c:v>
                </c:pt>
                <c:pt idx="119">
                  <c:v>-0.35845599866625921</c:v>
                </c:pt>
                <c:pt idx="120">
                  <c:v>-7.6331429722938715E-2</c:v>
                </c:pt>
                <c:pt idx="121">
                  <c:v>-1.2927876748014562</c:v>
                </c:pt>
                <c:pt idx="122">
                  <c:v>0.36023714007182761</c:v>
                </c:pt>
                <c:pt idx="123">
                  <c:v>0.27736562240368823</c:v>
                </c:pt>
                <c:pt idx="124">
                  <c:v>1.4092190453969602</c:v>
                </c:pt>
                <c:pt idx="125">
                  <c:v>1.6449696603048807</c:v>
                </c:pt>
                <c:pt idx="126">
                  <c:v>1.5597356541396801</c:v>
                </c:pt>
                <c:pt idx="127">
                  <c:v>0.8873103890576628</c:v>
                </c:pt>
                <c:pt idx="128">
                  <c:v>1.6655511729794625E-2</c:v>
                </c:pt>
                <c:pt idx="129">
                  <c:v>0.11050708393271069</c:v>
                </c:pt>
                <c:pt idx="130">
                  <c:v>0.45299640053948131</c:v>
                </c:pt>
                <c:pt idx="131">
                  <c:v>-0.18830726402517151</c:v>
                </c:pt>
                <c:pt idx="132">
                  <c:v>4.0133169573842054E-2</c:v>
                </c:pt>
                <c:pt idx="133">
                  <c:v>-8.4838005240975178E-2</c:v>
                </c:pt>
                <c:pt idx="134">
                  <c:v>0.67179966980474237</c:v>
                </c:pt>
                <c:pt idx="135">
                  <c:v>1.0267568323422633</c:v>
                </c:pt>
                <c:pt idx="136">
                  <c:v>1.0208781555736781</c:v>
                </c:pt>
                <c:pt idx="137">
                  <c:v>1.0929768130331983</c:v>
                </c:pt>
                <c:pt idx="138">
                  <c:v>0.83253161733418413</c:v>
                </c:pt>
                <c:pt idx="139">
                  <c:v>0.98333044902212663</c:v>
                </c:pt>
                <c:pt idx="140">
                  <c:v>0.84577623372365096</c:v>
                </c:pt>
                <c:pt idx="141">
                  <c:v>0.81280892598253551</c:v>
                </c:pt>
                <c:pt idx="142">
                  <c:v>0.38168472518967622</c:v>
                </c:pt>
                <c:pt idx="143">
                  <c:v>0.42412161329687059</c:v>
                </c:pt>
                <c:pt idx="144">
                  <c:v>1.5528069050929894</c:v>
                </c:pt>
                <c:pt idx="145">
                  <c:v>-0.18228725662405587</c:v>
                </c:pt>
                <c:pt idx="146">
                  <c:v>0.34609110569319235</c:v>
                </c:pt>
                <c:pt idx="147">
                  <c:v>-0.26469126643996876</c:v>
                </c:pt>
                <c:pt idx="148">
                  <c:v>-0.20238852280445574</c:v>
                </c:pt>
                <c:pt idx="149">
                  <c:v>-0.58848010572419263</c:v>
                </c:pt>
                <c:pt idx="150">
                  <c:v>-0.55035779883985647</c:v>
                </c:pt>
                <c:pt idx="151">
                  <c:v>-0.54292323858417113</c:v>
                </c:pt>
                <c:pt idx="152">
                  <c:v>-0.67779948971438131</c:v>
                </c:pt>
                <c:pt idx="153">
                  <c:v>-0.37290892192238267</c:v>
                </c:pt>
                <c:pt idx="154">
                  <c:v>-0.32160668728938813</c:v>
                </c:pt>
                <c:pt idx="155">
                  <c:v>0.21545821008671417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144-48BB-A122-4EFE435E1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001792"/>
        <c:axId val="2006666479"/>
      </c:scatterChart>
      <c:valAx>
        <c:axId val="610017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Variável X 1</a:t>
                </a:r>
              </a:p>
            </c:rich>
          </c:tx>
          <c:overlay val="0"/>
        </c:title>
        <c:numFmt formatCode="_(* #,##0.00_);_(* \(#,##0.00\);_(* &quot;-&quot;??_);_(@_)" sourceLinked="1"/>
        <c:majorTickMark val="out"/>
        <c:minorTickMark val="none"/>
        <c:tickLblPos val="nextTo"/>
        <c:crossAx val="2006666479"/>
        <c:crosses val="autoZero"/>
        <c:crossBetween val="midCat"/>
      </c:valAx>
      <c:valAx>
        <c:axId val="2006666479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Resíduos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1001792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1</xdr:row>
      <xdr:rowOff>176212</xdr:rowOff>
    </xdr:from>
    <xdr:to>
      <xdr:col>13</xdr:col>
      <xdr:colOff>247650</xdr:colOff>
      <xdr:row>16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BF1113C-966C-6955-EF31-9305DEB3D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361950</xdr:colOff>
      <xdr:row>2</xdr:row>
      <xdr:rowOff>14287</xdr:rowOff>
    </xdr:from>
    <xdr:to>
      <xdr:col>20</xdr:col>
      <xdr:colOff>514350</xdr:colOff>
      <xdr:row>16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86BFF01-ED1C-3171-C432-7453C5A42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521076</xdr:colOff>
      <xdr:row>2</xdr:row>
      <xdr:rowOff>51547</xdr:rowOff>
    </xdr:from>
    <xdr:to>
      <xdr:col>26</xdr:col>
      <xdr:colOff>123268</xdr:colOff>
      <xdr:row>16</xdr:row>
      <xdr:rowOff>127747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2702E9F7-9143-F34F-00EE-1A8834DB22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465042</xdr:colOff>
      <xdr:row>17</xdr:row>
      <xdr:rowOff>123272</xdr:rowOff>
    </xdr:from>
    <xdr:to>
      <xdr:col>26</xdr:col>
      <xdr:colOff>44822</xdr:colOff>
      <xdr:row>32</xdr:row>
      <xdr:rowOff>8972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9BA37CD7-1B1B-8C8A-7045-C473DA2684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521076</xdr:colOff>
      <xdr:row>2</xdr:row>
      <xdr:rowOff>51547</xdr:rowOff>
    </xdr:from>
    <xdr:to>
      <xdr:col>34</xdr:col>
      <xdr:colOff>123268</xdr:colOff>
      <xdr:row>16</xdr:row>
      <xdr:rowOff>127747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6F8AE7C-1BB9-43E8-A2F3-3554CDE1BD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465042</xdr:colOff>
      <xdr:row>17</xdr:row>
      <xdr:rowOff>123272</xdr:rowOff>
    </xdr:from>
    <xdr:to>
      <xdr:col>34</xdr:col>
      <xdr:colOff>44822</xdr:colOff>
      <xdr:row>32</xdr:row>
      <xdr:rowOff>8972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030A836-B10A-4EA3-AF28-557B3CFD71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291353</xdr:colOff>
      <xdr:row>12</xdr:row>
      <xdr:rowOff>89647</xdr:rowOff>
    </xdr:from>
    <xdr:to>
      <xdr:col>22</xdr:col>
      <xdr:colOff>224118</xdr:colOff>
      <xdr:row>38</xdr:row>
      <xdr:rowOff>11206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AB3E1C2-B690-7EC4-ED98-BB9D951545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323849</xdr:colOff>
      <xdr:row>0</xdr:row>
      <xdr:rowOff>180975</xdr:rowOff>
    </xdr:from>
    <xdr:to>
      <xdr:col>18</xdr:col>
      <xdr:colOff>295274</xdr:colOff>
      <xdr:row>23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2C6AE0-96B4-DB4A-A994-F9A59EFDB7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238124</xdr:colOff>
      <xdr:row>0</xdr:row>
      <xdr:rowOff>180975</xdr:rowOff>
    </xdr:from>
    <xdr:to>
      <xdr:col>37</xdr:col>
      <xdr:colOff>428625</xdr:colOff>
      <xdr:row>23</xdr:row>
      <xdr:rowOff>95250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E971797-F97B-5307-CC86-840160220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A405462F-40AE-47E3-8D9D-2F95984D88C7}" autoFormatId="16" applyNumberFormats="0" applyBorderFormats="0" applyFontFormats="0" applyPatternFormats="0" applyAlignmentFormats="0" applyWidthHeightFormats="0">
  <queryTableRefresh nextId="5">
    <queryTableFields count="3">
      <queryTableField id="1" name="date" tableColumnId="1"/>
      <queryTableField id="2" name="SALDO" tableColumnId="2"/>
      <queryTableField id="3" name="AMORTIZACAO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576C100-B111-4918-9C6E-D0C4F6540BDA}" autoFormatId="16" applyNumberFormats="0" applyBorderFormats="0" applyFontFormats="0" applyPatternFormats="0" applyAlignmentFormats="0" applyWidthHeightFormats="0">
  <queryTableRefresh nextId="5">
    <queryTableFields count="3">
      <queryTableField id="1" name="date" tableColumnId="1"/>
      <queryTableField id="2" name="SALDO" tableColumnId="2"/>
      <queryTableField id="3" name="AMORTIZACAO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8D0A84-898E-42D2-9FA9-CA07D00C6BFF}" name="rotativo_" displayName="rotativo_" ref="A1:C164" tableType="queryTable" totalsRowShown="0">
  <autoFilter ref="A1:C164" xr:uid="{F1F6D056-AB8D-4104-AD4C-FF60B40FB049}"/>
  <tableColumns count="3">
    <tableColumn id="1" xr3:uid="{657C89FA-FCB8-4498-A737-8B10E730E7C3}" uniqueName="1" name="date" queryTableFieldId="1" dataDxfId="2"/>
    <tableColumn id="2" xr3:uid="{D5C2B6F7-8458-48DF-97B0-CB8AAFD3E637}" uniqueName="2" name="SALDO" queryTableFieldId="2"/>
    <tableColumn id="3" xr3:uid="{6D970B8D-9140-46D2-AF85-86BEF926CDBF}" uniqueName="3" name="AMORTIZACAO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1C0095-F3C7-4EBC-A1C3-4753D9934EFE}" name="imobiliario" displayName="imobiliario" ref="A1:C164" tableType="queryTable" totalsRowShown="0">
  <autoFilter ref="A1:C164" xr:uid="{C16A32AB-D95E-49DF-8165-031305D6078C}"/>
  <tableColumns count="3">
    <tableColumn id="1" xr3:uid="{32AADBF6-9F56-401B-9161-B3F52D2C306C}" uniqueName="1" name="date" queryTableFieldId="1" dataDxfId="1"/>
    <tableColumn id="2" xr3:uid="{36D6A3B0-28EB-47E7-A401-D4C3BA048FAE}" uniqueName="2" name="SALDO" queryTableFieldId="2" dataDxfId="0"/>
    <tableColumn id="3" xr3:uid="{6EAAC7FE-AE82-4D29-B573-41B0207D81BF}" uniqueName="3" name="AMORTIZACAO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ECE4E-270D-42D8-85CF-93EA49C81C32}">
  <sheetPr>
    <tabColor theme="5" tint="0.79998168889431442"/>
  </sheetPr>
  <dimension ref="A1:B80"/>
  <sheetViews>
    <sheetView workbookViewId="0">
      <selection sqref="A1:B1048576"/>
    </sheetView>
  </sheetViews>
  <sheetFormatPr defaultRowHeight="15" x14ac:dyDescent="0.25"/>
  <cols>
    <col min="2" max="2" width="21.85546875" customWidth="1"/>
  </cols>
  <sheetData>
    <row r="1" spans="1:2" ht="75" x14ac:dyDescent="0.25">
      <c r="A1" s="1" t="s">
        <v>0</v>
      </c>
      <c r="B1" s="1" t="s">
        <v>1</v>
      </c>
    </row>
    <row r="2" spans="1:2" x14ac:dyDescent="0.25">
      <c r="A2">
        <v>1947</v>
      </c>
      <c r="B2">
        <v>1.6938850000000001</v>
      </c>
    </row>
    <row r="3" spans="1:2" x14ac:dyDescent="0.25">
      <c r="A3">
        <v>1948</v>
      </c>
      <c r="B3">
        <v>1.6250359999999999</v>
      </c>
    </row>
    <row r="4" spans="1:2" x14ac:dyDescent="0.25">
      <c r="A4">
        <v>1949</v>
      </c>
      <c r="B4">
        <v>1.598943</v>
      </c>
    </row>
    <row r="5" spans="1:2" x14ac:dyDescent="0.25">
      <c r="A5">
        <v>1950</v>
      </c>
      <c r="B5">
        <v>1.5912059999999999</v>
      </c>
    </row>
    <row r="6" spans="1:2" x14ac:dyDescent="0.25">
      <c r="A6">
        <v>1951</v>
      </c>
      <c r="B6">
        <v>1.6571880000000001</v>
      </c>
    </row>
    <row r="7" spans="1:2" x14ac:dyDescent="0.25">
      <c r="A7">
        <v>1952</v>
      </c>
      <c r="B7">
        <v>1.679438</v>
      </c>
    </row>
    <row r="8" spans="1:2" x14ac:dyDescent="0.25">
      <c r="A8">
        <v>1953</v>
      </c>
      <c r="B8">
        <v>1.7192620000000001</v>
      </c>
    </row>
    <row r="9" spans="1:2" x14ac:dyDescent="0.25">
      <c r="A9">
        <v>1954</v>
      </c>
      <c r="B9">
        <v>1.735781</v>
      </c>
    </row>
    <row r="10" spans="1:2" x14ac:dyDescent="0.25">
      <c r="A10">
        <v>1955</v>
      </c>
      <c r="B10">
        <v>1.6935640000000001</v>
      </c>
    </row>
    <row r="11" spans="1:2" x14ac:dyDescent="0.25">
      <c r="A11">
        <v>1956</v>
      </c>
      <c r="B11">
        <v>1.756697</v>
      </c>
    </row>
    <row r="12" spans="1:2" x14ac:dyDescent="0.25">
      <c r="A12">
        <v>1957</v>
      </c>
      <c r="B12">
        <v>1.7535609999999999</v>
      </c>
    </row>
    <row r="13" spans="1:2" x14ac:dyDescent="0.25">
      <c r="A13">
        <v>1958</v>
      </c>
      <c r="B13">
        <v>1.7159139999999999</v>
      </c>
    </row>
    <row r="14" spans="1:2" x14ac:dyDescent="0.25">
      <c r="A14">
        <v>1959</v>
      </c>
      <c r="B14">
        <v>1.7065360000000001</v>
      </c>
    </row>
    <row r="15" spans="1:2" x14ac:dyDescent="0.25">
      <c r="A15">
        <v>1960</v>
      </c>
      <c r="B15">
        <v>1.698888</v>
      </c>
    </row>
    <row r="16" spans="1:2" x14ac:dyDescent="0.25">
      <c r="A16">
        <v>1961</v>
      </c>
      <c r="B16">
        <v>1.657861</v>
      </c>
    </row>
    <row r="17" spans="1:2" x14ac:dyDescent="0.25">
      <c r="A17">
        <v>1962</v>
      </c>
      <c r="B17">
        <v>1.687243</v>
      </c>
    </row>
    <row r="18" spans="1:2" x14ac:dyDescent="0.25">
      <c r="A18">
        <v>1963</v>
      </c>
      <c r="B18">
        <v>1.8126439999999999</v>
      </c>
    </row>
    <row r="19" spans="1:2" x14ac:dyDescent="0.25">
      <c r="A19">
        <v>1964</v>
      </c>
      <c r="B19">
        <v>1.8663110000000001</v>
      </c>
    </row>
    <row r="20" spans="1:2" x14ac:dyDescent="0.25">
      <c r="A20">
        <v>1965</v>
      </c>
      <c r="B20">
        <v>1.9151800000000001</v>
      </c>
    </row>
    <row r="21" spans="1:2" x14ac:dyDescent="0.25">
      <c r="A21">
        <v>1966</v>
      </c>
      <c r="B21">
        <v>1.9112130000000001</v>
      </c>
    </row>
    <row r="22" spans="1:2" x14ac:dyDescent="0.25">
      <c r="A22">
        <v>1967</v>
      </c>
      <c r="B22">
        <v>1.9419299999999999</v>
      </c>
    </row>
    <row r="23" spans="1:2" x14ac:dyDescent="0.25">
      <c r="A23">
        <v>1968</v>
      </c>
      <c r="B23">
        <v>1.9039809999999999</v>
      </c>
    </row>
    <row r="24" spans="1:2" x14ac:dyDescent="0.25">
      <c r="A24">
        <v>1969</v>
      </c>
      <c r="B24">
        <v>1.880269</v>
      </c>
    </row>
    <row r="25" spans="1:2" x14ac:dyDescent="0.25">
      <c r="A25">
        <v>1970</v>
      </c>
      <c r="B25">
        <v>1.836374</v>
      </c>
    </row>
    <row r="26" spans="1:2" x14ac:dyDescent="0.25">
      <c r="A26">
        <v>1971</v>
      </c>
      <c r="B26">
        <v>1.7935509999999999</v>
      </c>
    </row>
    <row r="27" spans="1:2" x14ac:dyDescent="0.25">
      <c r="A27">
        <v>1972</v>
      </c>
      <c r="B27">
        <v>1.758286</v>
      </c>
    </row>
    <row r="28" spans="1:2" x14ac:dyDescent="0.25">
      <c r="A28">
        <v>1973</v>
      </c>
      <c r="B28">
        <v>1.718153</v>
      </c>
    </row>
    <row r="29" spans="1:2" x14ac:dyDescent="0.25">
      <c r="A29">
        <v>1974</v>
      </c>
      <c r="B29">
        <v>1.7748280000000001</v>
      </c>
    </row>
    <row r="30" spans="1:2" x14ac:dyDescent="0.25">
      <c r="A30">
        <v>1975</v>
      </c>
      <c r="B30">
        <v>1.8803270000000001</v>
      </c>
    </row>
    <row r="31" spans="1:2" x14ac:dyDescent="0.25">
      <c r="A31">
        <v>1976</v>
      </c>
      <c r="B31">
        <v>1.89293</v>
      </c>
    </row>
    <row r="32" spans="1:2" x14ac:dyDescent="0.25">
      <c r="A32">
        <v>1977</v>
      </c>
      <c r="B32">
        <v>1.9707809999999999</v>
      </c>
    </row>
    <row r="33" spans="1:2" x14ac:dyDescent="0.25">
      <c r="A33">
        <v>1978</v>
      </c>
      <c r="B33">
        <v>2.045579</v>
      </c>
    </row>
    <row r="34" spans="1:2" x14ac:dyDescent="0.25">
      <c r="A34">
        <v>1979</v>
      </c>
      <c r="B34">
        <v>2.0729760000000002</v>
      </c>
    </row>
    <row r="35" spans="1:2" x14ac:dyDescent="0.25">
      <c r="A35">
        <v>1980</v>
      </c>
      <c r="B35">
        <v>2.0707930000000001</v>
      </c>
    </row>
    <row r="36" spans="1:2" x14ac:dyDescent="0.25">
      <c r="A36">
        <v>1981</v>
      </c>
      <c r="B36">
        <v>2.2975829999999999</v>
      </c>
    </row>
    <row r="37" spans="1:2" x14ac:dyDescent="0.25">
      <c r="A37">
        <v>1982</v>
      </c>
      <c r="B37">
        <v>2.3875549999999999</v>
      </c>
    </row>
    <row r="38" spans="1:2" x14ac:dyDescent="0.25">
      <c r="A38">
        <v>1983</v>
      </c>
      <c r="B38">
        <v>2.5323959999999999</v>
      </c>
    </row>
    <row r="39" spans="1:2" x14ac:dyDescent="0.25">
      <c r="A39">
        <v>1984</v>
      </c>
      <c r="B39">
        <v>2.4632869999999998</v>
      </c>
    </row>
    <row r="40" spans="1:2" x14ac:dyDescent="0.25">
      <c r="A40">
        <v>1985</v>
      </c>
      <c r="B40">
        <v>2.3559190000000001</v>
      </c>
    </row>
    <row r="41" spans="1:2" x14ac:dyDescent="0.25">
      <c r="A41">
        <v>1986</v>
      </c>
      <c r="B41">
        <v>2.3004560000000001</v>
      </c>
    </row>
    <row r="42" spans="1:2" x14ac:dyDescent="0.25">
      <c r="A42">
        <v>1987</v>
      </c>
      <c r="B42">
        <v>2.3168669999999998</v>
      </c>
    </row>
    <row r="43" spans="1:2" x14ac:dyDescent="0.25">
      <c r="A43">
        <v>1988</v>
      </c>
      <c r="B43">
        <v>2.400776</v>
      </c>
    </row>
    <row r="44" spans="1:2" x14ac:dyDescent="0.25">
      <c r="A44">
        <v>1989</v>
      </c>
      <c r="B44">
        <v>2.4089580000000002</v>
      </c>
    </row>
    <row r="45" spans="1:2" x14ac:dyDescent="0.25">
      <c r="A45">
        <v>1990</v>
      </c>
      <c r="B45">
        <v>2.5795360000000001</v>
      </c>
    </row>
    <row r="46" spans="1:2" x14ac:dyDescent="0.25">
      <c r="A46">
        <v>1991</v>
      </c>
      <c r="B46">
        <v>2.603729</v>
      </c>
    </row>
    <row r="47" spans="1:2" x14ac:dyDescent="0.25">
      <c r="A47">
        <v>1992</v>
      </c>
      <c r="B47">
        <v>2.6571120000000001</v>
      </c>
    </row>
    <row r="48" spans="1:2" x14ac:dyDescent="0.25">
      <c r="A48">
        <v>1993</v>
      </c>
      <c r="B48">
        <v>2.577515</v>
      </c>
    </row>
    <row r="49" spans="1:2" x14ac:dyDescent="0.25">
      <c r="A49">
        <v>1994</v>
      </c>
      <c r="B49">
        <v>2.4957729999999998</v>
      </c>
    </row>
    <row r="50" spans="1:2" x14ac:dyDescent="0.25">
      <c r="A50">
        <v>1995</v>
      </c>
      <c r="B50">
        <v>2.4758360000000001</v>
      </c>
    </row>
    <row r="51" spans="1:2" x14ac:dyDescent="0.25">
      <c r="A51">
        <v>1996</v>
      </c>
      <c r="B51">
        <v>2.4876339999999999</v>
      </c>
    </row>
    <row r="52" spans="1:2" x14ac:dyDescent="0.25">
      <c r="A52">
        <v>1997</v>
      </c>
      <c r="B52">
        <v>2.4765169999999999</v>
      </c>
    </row>
    <row r="53" spans="1:2" x14ac:dyDescent="0.25">
      <c r="A53">
        <v>1998</v>
      </c>
      <c r="B53">
        <v>2.531917</v>
      </c>
    </row>
    <row r="54" spans="1:2" x14ac:dyDescent="0.25">
      <c r="A54">
        <v>1999</v>
      </c>
      <c r="B54">
        <v>2.571755</v>
      </c>
    </row>
    <row r="55" spans="1:2" x14ac:dyDescent="0.25">
      <c r="A55">
        <v>2000</v>
      </c>
      <c r="B55">
        <v>2.5210279999999998</v>
      </c>
    </row>
    <row r="56" spans="1:2" x14ac:dyDescent="0.25">
      <c r="A56">
        <v>2001</v>
      </c>
      <c r="B56">
        <v>2.5399910000000001</v>
      </c>
    </row>
    <row r="57" spans="1:2" x14ac:dyDescent="0.25">
      <c r="A57">
        <v>2002</v>
      </c>
      <c r="B57">
        <v>2.5084590000000002</v>
      </c>
    </row>
    <row r="58" spans="1:2" x14ac:dyDescent="0.25">
      <c r="A58">
        <v>2003</v>
      </c>
      <c r="B58">
        <v>2.5127269999999999</v>
      </c>
    </row>
    <row r="59" spans="1:2" x14ac:dyDescent="0.25">
      <c r="A59">
        <v>2004</v>
      </c>
      <c r="B59">
        <v>2.416579</v>
      </c>
    </row>
    <row r="60" spans="1:2" x14ac:dyDescent="0.25">
      <c r="A60">
        <v>2005</v>
      </c>
      <c r="B60">
        <v>2.378298</v>
      </c>
    </row>
    <row r="61" spans="1:2" x14ac:dyDescent="0.25">
      <c r="A61">
        <v>2006</v>
      </c>
      <c r="B61">
        <v>2.329081</v>
      </c>
    </row>
    <row r="62" spans="1:2" x14ac:dyDescent="0.25">
      <c r="A62">
        <v>2007</v>
      </c>
      <c r="B62">
        <v>2.250197</v>
      </c>
    </row>
    <row r="63" spans="1:2" x14ac:dyDescent="0.25">
      <c r="A63">
        <v>2008</v>
      </c>
      <c r="B63">
        <v>2.206566</v>
      </c>
    </row>
    <row r="64" spans="1:2" x14ac:dyDescent="0.25">
      <c r="A64">
        <v>2009</v>
      </c>
      <c r="B64">
        <v>2.2641040000000001</v>
      </c>
    </row>
    <row r="65" spans="1:2" x14ac:dyDescent="0.25">
      <c r="A65">
        <v>2010</v>
      </c>
      <c r="B65">
        <v>2.179176</v>
      </c>
    </row>
    <row r="66" spans="1:2" x14ac:dyDescent="0.25">
      <c r="A66">
        <v>2011</v>
      </c>
      <c r="B66">
        <v>2.0873840000000001</v>
      </c>
    </row>
    <row r="67" spans="1:2" x14ac:dyDescent="0.25">
      <c r="A67">
        <v>2012</v>
      </c>
      <c r="B67">
        <v>2.109248</v>
      </c>
    </row>
    <row r="68" spans="1:2" x14ac:dyDescent="0.25">
      <c r="A68">
        <v>2013</v>
      </c>
      <c r="B68">
        <v>2.1101540000000001</v>
      </c>
    </row>
    <row r="69" spans="1:2" x14ac:dyDescent="0.25">
      <c r="A69">
        <v>2014</v>
      </c>
      <c r="B69">
        <v>2.148066</v>
      </c>
    </row>
    <row r="70" spans="1:2" x14ac:dyDescent="0.25">
      <c r="A70">
        <v>2015</v>
      </c>
      <c r="B70">
        <v>2.2437659999999999</v>
      </c>
    </row>
    <row r="71" spans="1:2" x14ac:dyDescent="0.25">
      <c r="A71">
        <v>2016</v>
      </c>
      <c r="B71">
        <v>2.3146629999999999</v>
      </c>
    </row>
    <row r="72" spans="1:2" x14ac:dyDescent="0.25">
      <c r="A72">
        <v>2017</v>
      </c>
      <c r="B72">
        <v>2.2758229999999999</v>
      </c>
    </row>
    <row r="73" spans="1:2" x14ac:dyDescent="0.25">
      <c r="A73">
        <v>2018</v>
      </c>
      <c r="B73">
        <v>2.2297570000000002</v>
      </c>
    </row>
    <row r="74" spans="1:2" x14ac:dyDescent="0.25">
      <c r="A74">
        <v>2019</v>
      </c>
      <c r="B74">
        <v>2.2064140000000001</v>
      </c>
    </row>
    <row r="75" spans="1:2" x14ac:dyDescent="0.25">
      <c r="A75">
        <v>2020</v>
      </c>
      <c r="B75">
        <v>2.277428</v>
      </c>
    </row>
    <row r="76" spans="1:2" x14ac:dyDescent="0.25">
      <c r="A76">
        <v>2021</v>
      </c>
      <c r="B76">
        <v>2.1891910000000001</v>
      </c>
    </row>
    <row r="77" spans="1:2" x14ac:dyDescent="0.25">
      <c r="A77">
        <v>2022</v>
      </c>
      <c r="B77">
        <v>2.1420309999999998</v>
      </c>
    </row>
    <row r="78" spans="1:2" x14ac:dyDescent="0.25">
      <c r="A78">
        <v>2023</v>
      </c>
      <c r="B78">
        <v>2.086347</v>
      </c>
    </row>
    <row r="79" spans="1:2" x14ac:dyDescent="0.25">
      <c r="A79">
        <v>2024</v>
      </c>
      <c r="B79">
        <v>2.0367120000000001</v>
      </c>
    </row>
    <row r="80" spans="1:2" x14ac:dyDescent="0.25">
      <c r="A80">
        <v>2025</v>
      </c>
      <c r="B80">
        <v>2.044473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66774-4341-4E27-96B4-63305C33681D}">
  <sheetPr>
    <tabColor theme="5" tint="0.79998168889431442"/>
  </sheetPr>
  <dimension ref="A1:H309"/>
  <sheetViews>
    <sheetView workbookViewId="0">
      <selection activeCell="G24" sqref="G24"/>
    </sheetView>
  </sheetViews>
  <sheetFormatPr defaultRowHeight="15" x14ac:dyDescent="0.25"/>
  <cols>
    <col min="8" max="8" width="10.5703125" bestFit="1" customWidth="1"/>
  </cols>
  <sheetData>
    <row r="1" spans="1:8" x14ac:dyDescent="0.25">
      <c r="A1" t="s">
        <v>3</v>
      </c>
      <c r="B1" t="s">
        <v>0</v>
      </c>
      <c r="C1" t="s">
        <v>2</v>
      </c>
      <c r="G1" t="s">
        <v>3</v>
      </c>
      <c r="H1" t="s">
        <v>4</v>
      </c>
    </row>
    <row r="2" spans="1:8" x14ac:dyDescent="0.25">
      <c r="A2">
        <f>YEAR(B2)</f>
        <v>2001</v>
      </c>
      <c r="B2" s="2">
        <v>36892</v>
      </c>
      <c r="C2">
        <v>81</v>
      </c>
      <c r="G2">
        <v>2001</v>
      </c>
      <c r="H2" s="4">
        <f>AVERAGEIF($A:$A,$G2,$C:$C)</f>
        <v>80.13333333333334</v>
      </c>
    </row>
    <row r="3" spans="1:8" x14ac:dyDescent="0.25">
      <c r="A3">
        <f t="shared" ref="A3:A66" si="0">YEAR(B3)</f>
        <v>2001</v>
      </c>
      <c r="B3" s="2">
        <v>36923</v>
      </c>
      <c r="C3">
        <v>81.8</v>
      </c>
      <c r="G3">
        <v>2002</v>
      </c>
      <c r="H3" s="4">
        <f t="shared" ref="H3:H27" si="1">AVERAGEIF($A:$A,$G3,$C:$C)</f>
        <v>78.61666666666666</v>
      </c>
    </row>
    <row r="4" spans="1:8" x14ac:dyDescent="0.25">
      <c r="A4">
        <f t="shared" si="0"/>
        <v>2001</v>
      </c>
      <c r="B4" s="2">
        <v>36951</v>
      </c>
      <c r="C4">
        <v>81.3</v>
      </c>
      <c r="G4">
        <v>2003</v>
      </c>
      <c r="H4" s="4">
        <f t="shared" si="1"/>
        <v>79.441666666666663</v>
      </c>
    </row>
    <row r="5" spans="1:8" x14ac:dyDescent="0.25">
      <c r="A5">
        <f t="shared" si="0"/>
        <v>2001</v>
      </c>
      <c r="B5" s="2">
        <v>36982</v>
      </c>
      <c r="C5">
        <v>80.7</v>
      </c>
      <c r="G5">
        <v>2004</v>
      </c>
      <c r="H5" s="4">
        <f t="shared" si="1"/>
        <v>81.558333333333337</v>
      </c>
    </row>
    <row r="6" spans="1:8" x14ac:dyDescent="0.25">
      <c r="A6">
        <f t="shared" si="0"/>
        <v>2001</v>
      </c>
      <c r="B6" s="2">
        <v>37012</v>
      </c>
      <c r="C6">
        <v>80.2</v>
      </c>
      <c r="G6">
        <v>2005</v>
      </c>
      <c r="H6" s="4">
        <f t="shared" si="1"/>
        <v>81.516666666666666</v>
      </c>
    </row>
    <row r="7" spans="1:8" x14ac:dyDescent="0.25">
      <c r="A7">
        <f t="shared" si="0"/>
        <v>2001</v>
      </c>
      <c r="B7" s="2">
        <v>37043</v>
      </c>
      <c r="C7">
        <v>79.599999999999994</v>
      </c>
      <c r="G7">
        <v>2006</v>
      </c>
      <c r="H7" s="4">
        <f t="shared" si="1"/>
        <v>81.533333333333331</v>
      </c>
    </row>
    <row r="8" spans="1:8" x14ac:dyDescent="0.25">
      <c r="A8">
        <f t="shared" si="0"/>
        <v>2001</v>
      </c>
      <c r="B8" s="2">
        <v>37073</v>
      </c>
      <c r="C8">
        <v>79</v>
      </c>
      <c r="G8">
        <v>2007</v>
      </c>
      <c r="H8" s="4">
        <f t="shared" si="1"/>
        <v>83.55</v>
      </c>
    </row>
    <row r="9" spans="1:8" x14ac:dyDescent="0.25">
      <c r="A9">
        <f t="shared" si="0"/>
        <v>2001</v>
      </c>
      <c r="B9" s="2">
        <v>37104</v>
      </c>
      <c r="C9">
        <v>79.2</v>
      </c>
      <c r="G9">
        <v>2008</v>
      </c>
      <c r="H9" s="4">
        <f t="shared" si="1"/>
        <v>84.316666666666663</v>
      </c>
    </row>
    <row r="10" spans="1:8" x14ac:dyDescent="0.25">
      <c r="A10">
        <f t="shared" si="0"/>
        <v>2001</v>
      </c>
      <c r="B10" s="2">
        <v>37135</v>
      </c>
      <c r="C10">
        <v>79.400000000000006</v>
      </c>
      <c r="G10">
        <v>2009</v>
      </c>
      <c r="H10" s="4">
        <f t="shared" si="1"/>
        <v>79.091666666666669</v>
      </c>
    </row>
    <row r="11" spans="1:8" x14ac:dyDescent="0.25">
      <c r="A11">
        <f t="shared" si="0"/>
        <v>2001</v>
      </c>
      <c r="B11" s="2">
        <v>37165</v>
      </c>
      <c r="C11">
        <v>79.7</v>
      </c>
      <c r="G11">
        <v>2010</v>
      </c>
      <c r="H11" s="4">
        <f t="shared" si="1"/>
        <v>83.733333333333334</v>
      </c>
    </row>
    <row r="12" spans="1:8" x14ac:dyDescent="0.25">
      <c r="A12">
        <f t="shared" si="0"/>
        <v>2001</v>
      </c>
      <c r="B12" s="2">
        <v>37196</v>
      </c>
      <c r="C12">
        <v>79.8</v>
      </c>
      <c r="G12">
        <v>2011</v>
      </c>
      <c r="H12" s="4">
        <f t="shared" si="1"/>
        <v>82.841666666666669</v>
      </c>
    </row>
    <row r="13" spans="1:8" x14ac:dyDescent="0.25">
      <c r="A13">
        <f t="shared" si="0"/>
        <v>2001</v>
      </c>
      <c r="B13" s="2">
        <v>37226</v>
      </c>
      <c r="C13">
        <v>79.900000000000006</v>
      </c>
      <c r="G13">
        <v>2012</v>
      </c>
      <c r="H13" s="4">
        <f t="shared" si="1"/>
        <v>82.291666666666671</v>
      </c>
    </row>
    <row r="14" spans="1:8" x14ac:dyDescent="0.25">
      <c r="A14">
        <f t="shared" si="0"/>
        <v>2002</v>
      </c>
      <c r="B14" s="2">
        <v>37257</v>
      </c>
      <c r="C14">
        <v>78.599999999999994</v>
      </c>
      <c r="G14">
        <v>2013</v>
      </c>
      <c r="H14" s="4">
        <f t="shared" si="1"/>
        <v>82.533333333333346</v>
      </c>
    </row>
    <row r="15" spans="1:8" x14ac:dyDescent="0.25">
      <c r="A15">
        <f t="shared" si="0"/>
        <v>2002</v>
      </c>
      <c r="B15" s="2">
        <v>37288</v>
      </c>
      <c r="C15">
        <v>79.2</v>
      </c>
      <c r="G15">
        <v>2014</v>
      </c>
      <c r="H15" s="4">
        <f t="shared" si="1"/>
        <v>81.208333333333329</v>
      </c>
    </row>
    <row r="16" spans="1:8" x14ac:dyDescent="0.25">
      <c r="A16">
        <f t="shared" si="0"/>
        <v>2002</v>
      </c>
      <c r="B16" s="2">
        <v>37316</v>
      </c>
      <c r="C16">
        <v>78.3</v>
      </c>
      <c r="G16">
        <v>2015</v>
      </c>
      <c r="H16" s="4">
        <f t="shared" si="1"/>
        <v>76.36666666666666</v>
      </c>
    </row>
    <row r="17" spans="1:8" x14ac:dyDescent="0.25">
      <c r="A17">
        <f t="shared" si="0"/>
        <v>2002</v>
      </c>
      <c r="B17" s="2">
        <v>37347</v>
      </c>
      <c r="C17">
        <v>77.400000000000006</v>
      </c>
      <c r="G17">
        <v>2016</v>
      </c>
      <c r="H17" s="4">
        <f t="shared" si="1"/>
        <v>73.86666666666666</v>
      </c>
    </row>
    <row r="18" spans="1:8" x14ac:dyDescent="0.25">
      <c r="A18">
        <f t="shared" si="0"/>
        <v>2002</v>
      </c>
      <c r="B18" s="2">
        <v>37377</v>
      </c>
      <c r="C18">
        <v>77.599999999999994</v>
      </c>
      <c r="G18">
        <v>2017</v>
      </c>
      <c r="H18" s="4">
        <f t="shared" si="1"/>
        <v>74.400000000000006</v>
      </c>
    </row>
    <row r="19" spans="1:8" x14ac:dyDescent="0.25">
      <c r="A19">
        <f t="shared" si="0"/>
        <v>2002</v>
      </c>
      <c r="B19" s="2">
        <v>37408</v>
      </c>
      <c r="C19">
        <v>77.7</v>
      </c>
      <c r="G19">
        <v>2018</v>
      </c>
      <c r="H19" s="4">
        <f t="shared" si="1"/>
        <v>75.858333333333334</v>
      </c>
    </row>
    <row r="20" spans="1:8" x14ac:dyDescent="0.25">
      <c r="A20">
        <f t="shared" si="0"/>
        <v>2002</v>
      </c>
      <c r="B20" s="2">
        <v>37438</v>
      </c>
      <c r="C20">
        <v>77.7</v>
      </c>
      <c r="G20">
        <v>2019</v>
      </c>
      <c r="H20" s="4">
        <f t="shared" si="1"/>
        <v>75.108333333333334</v>
      </c>
    </row>
    <row r="21" spans="1:8" x14ac:dyDescent="0.25">
      <c r="A21">
        <f t="shared" si="0"/>
        <v>2002</v>
      </c>
      <c r="B21" s="2">
        <v>37469</v>
      </c>
      <c r="C21">
        <v>78.3</v>
      </c>
      <c r="G21">
        <v>2020</v>
      </c>
      <c r="H21" s="4">
        <f t="shared" si="1"/>
        <v>73.05</v>
      </c>
    </row>
    <row r="22" spans="1:8" x14ac:dyDescent="0.25">
      <c r="A22">
        <f t="shared" si="0"/>
        <v>2002</v>
      </c>
      <c r="B22" s="2">
        <v>37500</v>
      </c>
      <c r="C22">
        <v>78.900000000000006</v>
      </c>
      <c r="G22">
        <v>2021</v>
      </c>
      <c r="H22" s="4">
        <f t="shared" si="1"/>
        <v>79.399999999999991</v>
      </c>
    </row>
    <row r="23" spans="1:8" x14ac:dyDescent="0.25">
      <c r="A23">
        <f t="shared" si="0"/>
        <v>2002</v>
      </c>
      <c r="B23" s="2">
        <v>37530</v>
      </c>
      <c r="C23">
        <v>79.5</v>
      </c>
      <c r="G23">
        <v>2022</v>
      </c>
      <c r="H23" s="4">
        <f t="shared" si="1"/>
        <v>80.666666666666671</v>
      </c>
    </row>
    <row r="24" spans="1:8" x14ac:dyDescent="0.25">
      <c r="A24">
        <f t="shared" si="0"/>
        <v>2002</v>
      </c>
      <c r="B24" s="2">
        <v>37561</v>
      </c>
      <c r="C24">
        <v>79.900000000000006</v>
      </c>
      <c r="G24">
        <v>2023</v>
      </c>
      <c r="H24" s="4">
        <f t="shared" si="1"/>
        <v>80.333333333333343</v>
      </c>
    </row>
    <row r="25" spans="1:8" x14ac:dyDescent="0.25">
      <c r="A25">
        <f t="shared" si="0"/>
        <v>2002</v>
      </c>
      <c r="B25" s="2">
        <v>37591</v>
      </c>
      <c r="C25">
        <v>80.3</v>
      </c>
      <c r="G25">
        <v>2024</v>
      </c>
      <c r="H25" s="4">
        <f t="shared" si="1"/>
        <v>82.116666666666674</v>
      </c>
    </row>
    <row r="26" spans="1:8" x14ac:dyDescent="0.25">
      <c r="A26">
        <f t="shared" si="0"/>
        <v>2003</v>
      </c>
      <c r="B26" s="2">
        <v>37622</v>
      </c>
      <c r="C26">
        <v>79.400000000000006</v>
      </c>
      <c r="G26">
        <v>2025</v>
      </c>
      <c r="H26" s="4">
        <f t="shared" si="1"/>
        <v>81.958333333333329</v>
      </c>
    </row>
    <row r="27" spans="1:8" x14ac:dyDescent="0.25">
      <c r="A27">
        <f t="shared" si="0"/>
        <v>2003</v>
      </c>
      <c r="B27" s="2">
        <v>37653</v>
      </c>
      <c r="C27">
        <v>80</v>
      </c>
      <c r="G27">
        <v>2026</v>
      </c>
      <c r="H27" s="4">
        <f t="shared" si="1"/>
        <v>81.774999999999991</v>
      </c>
    </row>
    <row r="28" spans="1:8" x14ac:dyDescent="0.25">
      <c r="A28">
        <f t="shared" si="0"/>
        <v>2003</v>
      </c>
      <c r="B28" s="2">
        <v>37681</v>
      </c>
      <c r="C28">
        <v>79.3</v>
      </c>
    </row>
    <row r="29" spans="1:8" x14ac:dyDescent="0.25">
      <c r="A29">
        <f t="shared" si="0"/>
        <v>2003</v>
      </c>
      <c r="B29" s="2">
        <v>37712</v>
      </c>
      <c r="C29">
        <v>78.3</v>
      </c>
    </row>
    <row r="30" spans="1:8" x14ac:dyDescent="0.25">
      <c r="A30">
        <f t="shared" si="0"/>
        <v>2003</v>
      </c>
      <c r="B30" s="2">
        <v>37742</v>
      </c>
      <c r="C30">
        <v>78.099999999999994</v>
      </c>
    </row>
    <row r="31" spans="1:8" x14ac:dyDescent="0.25">
      <c r="A31">
        <f t="shared" si="0"/>
        <v>2003</v>
      </c>
      <c r="B31" s="2">
        <v>37773</v>
      </c>
      <c r="C31">
        <v>77.8</v>
      </c>
    </row>
    <row r="32" spans="1:8" x14ac:dyDescent="0.25">
      <c r="A32">
        <f t="shared" si="0"/>
        <v>2003</v>
      </c>
      <c r="B32" s="2">
        <v>37803</v>
      </c>
      <c r="C32">
        <v>77.400000000000006</v>
      </c>
    </row>
    <row r="33" spans="1:3" x14ac:dyDescent="0.25">
      <c r="A33">
        <f t="shared" si="0"/>
        <v>2003</v>
      </c>
      <c r="B33" s="2">
        <v>37834</v>
      </c>
      <c r="C33">
        <v>78.8</v>
      </c>
    </row>
    <row r="34" spans="1:3" x14ac:dyDescent="0.25">
      <c r="A34">
        <f t="shared" si="0"/>
        <v>2003</v>
      </c>
      <c r="B34" s="2">
        <v>37865</v>
      </c>
      <c r="C34">
        <v>80</v>
      </c>
    </row>
    <row r="35" spans="1:3" x14ac:dyDescent="0.25">
      <c r="A35">
        <f t="shared" si="0"/>
        <v>2003</v>
      </c>
      <c r="B35" s="2">
        <v>37895</v>
      </c>
      <c r="C35">
        <v>81.400000000000006</v>
      </c>
    </row>
    <row r="36" spans="1:3" x14ac:dyDescent="0.25">
      <c r="A36">
        <f t="shared" si="0"/>
        <v>2003</v>
      </c>
      <c r="B36" s="2">
        <v>37926</v>
      </c>
      <c r="C36">
        <v>81.400000000000006</v>
      </c>
    </row>
    <row r="37" spans="1:3" x14ac:dyDescent="0.25">
      <c r="A37">
        <f t="shared" si="0"/>
        <v>2003</v>
      </c>
      <c r="B37" s="2">
        <v>37956</v>
      </c>
      <c r="C37">
        <v>81.400000000000006</v>
      </c>
    </row>
    <row r="38" spans="1:3" x14ac:dyDescent="0.25">
      <c r="A38">
        <f t="shared" si="0"/>
        <v>2004</v>
      </c>
      <c r="B38" s="2">
        <v>37987</v>
      </c>
      <c r="C38">
        <v>80</v>
      </c>
    </row>
    <row r="39" spans="1:3" x14ac:dyDescent="0.25">
      <c r="A39">
        <f t="shared" si="0"/>
        <v>2004</v>
      </c>
      <c r="B39" s="2">
        <v>38018</v>
      </c>
      <c r="C39">
        <v>80.8</v>
      </c>
    </row>
    <row r="40" spans="1:3" x14ac:dyDescent="0.25">
      <c r="A40">
        <f t="shared" si="0"/>
        <v>2004</v>
      </c>
      <c r="B40" s="2">
        <v>38047</v>
      </c>
      <c r="C40">
        <v>80.099999999999994</v>
      </c>
    </row>
    <row r="41" spans="1:3" x14ac:dyDescent="0.25">
      <c r="A41">
        <f t="shared" si="0"/>
        <v>2004</v>
      </c>
      <c r="B41" s="2">
        <v>38078</v>
      </c>
      <c r="C41">
        <v>79.2</v>
      </c>
    </row>
    <row r="42" spans="1:3" x14ac:dyDescent="0.25">
      <c r="A42">
        <f t="shared" si="0"/>
        <v>2004</v>
      </c>
      <c r="B42" s="2">
        <v>38108</v>
      </c>
      <c r="C42">
        <v>80</v>
      </c>
    </row>
    <row r="43" spans="1:3" x14ac:dyDescent="0.25">
      <c r="A43">
        <f t="shared" si="0"/>
        <v>2004</v>
      </c>
      <c r="B43" s="2">
        <v>38139</v>
      </c>
      <c r="C43">
        <v>80.599999999999994</v>
      </c>
    </row>
    <row r="44" spans="1:3" x14ac:dyDescent="0.25">
      <c r="A44">
        <f t="shared" si="0"/>
        <v>2004</v>
      </c>
      <c r="B44" s="2">
        <v>38169</v>
      </c>
      <c r="C44">
        <v>81.099999999999994</v>
      </c>
    </row>
    <row r="45" spans="1:3" x14ac:dyDescent="0.25">
      <c r="A45">
        <f t="shared" si="0"/>
        <v>2004</v>
      </c>
      <c r="B45" s="2">
        <v>38200</v>
      </c>
      <c r="C45">
        <v>82.1</v>
      </c>
    </row>
    <row r="46" spans="1:3" x14ac:dyDescent="0.25">
      <c r="A46">
        <f t="shared" si="0"/>
        <v>2004</v>
      </c>
      <c r="B46" s="2">
        <v>38231</v>
      </c>
      <c r="C46">
        <v>83</v>
      </c>
    </row>
    <row r="47" spans="1:3" x14ac:dyDescent="0.25">
      <c r="A47">
        <f t="shared" si="0"/>
        <v>2004</v>
      </c>
      <c r="B47" s="2">
        <v>38261</v>
      </c>
      <c r="C47">
        <v>84</v>
      </c>
    </row>
    <row r="48" spans="1:3" x14ac:dyDescent="0.25">
      <c r="A48">
        <f t="shared" si="0"/>
        <v>2004</v>
      </c>
      <c r="B48" s="2">
        <v>38292</v>
      </c>
      <c r="C48">
        <v>83.9</v>
      </c>
    </row>
    <row r="49" spans="1:3" x14ac:dyDescent="0.25">
      <c r="A49">
        <f t="shared" si="0"/>
        <v>2004</v>
      </c>
      <c r="B49" s="2">
        <v>38322</v>
      </c>
      <c r="C49">
        <v>83.9</v>
      </c>
    </row>
    <row r="50" spans="1:3" x14ac:dyDescent="0.25">
      <c r="A50">
        <f t="shared" si="0"/>
        <v>2005</v>
      </c>
      <c r="B50" s="2">
        <v>38353</v>
      </c>
      <c r="C50">
        <v>82.4</v>
      </c>
    </row>
    <row r="51" spans="1:3" x14ac:dyDescent="0.25">
      <c r="A51">
        <f t="shared" si="0"/>
        <v>2005</v>
      </c>
      <c r="B51" s="2">
        <v>38384</v>
      </c>
      <c r="C51">
        <v>83</v>
      </c>
    </row>
    <row r="52" spans="1:3" x14ac:dyDescent="0.25">
      <c r="A52">
        <f t="shared" si="0"/>
        <v>2005</v>
      </c>
      <c r="B52" s="2">
        <v>38412</v>
      </c>
      <c r="C52">
        <v>82.1</v>
      </c>
    </row>
    <row r="53" spans="1:3" x14ac:dyDescent="0.25">
      <c r="A53">
        <f t="shared" si="0"/>
        <v>2005</v>
      </c>
      <c r="B53" s="2">
        <v>38443</v>
      </c>
      <c r="C53">
        <v>81</v>
      </c>
    </row>
    <row r="54" spans="1:3" x14ac:dyDescent="0.25">
      <c r="A54">
        <f t="shared" si="0"/>
        <v>2005</v>
      </c>
      <c r="B54" s="2">
        <v>38473</v>
      </c>
      <c r="C54">
        <v>80.900000000000006</v>
      </c>
    </row>
    <row r="55" spans="1:3" x14ac:dyDescent="0.25">
      <c r="A55">
        <f t="shared" si="0"/>
        <v>2005</v>
      </c>
      <c r="B55" s="2">
        <v>38504</v>
      </c>
      <c r="C55">
        <v>80.599999999999994</v>
      </c>
    </row>
    <row r="56" spans="1:3" x14ac:dyDescent="0.25">
      <c r="A56">
        <f t="shared" si="0"/>
        <v>2005</v>
      </c>
      <c r="B56" s="2">
        <v>38534</v>
      </c>
      <c r="C56">
        <v>80.099999999999994</v>
      </c>
    </row>
    <row r="57" spans="1:3" x14ac:dyDescent="0.25">
      <c r="A57">
        <f t="shared" si="0"/>
        <v>2005</v>
      </c>
      <c r="B57" s="2">
        <v>38565</v>
      </c>
      <c r="C57">
        <v>80.900000000000006</v>
      </c>
    </row>
    <row r="58" spans="1:3" x14ac:dyDescent="0.25">
      <c r="A58">
        <f t="shared" si="0"/>
        <v>2005</v>
      </c>
      <c r="B58" s="2">
        <v>38596</v>
      </c>
      <c r="C58">
        <v>81.5</v>
      </c>
    </row>
    <row r="59" spans="1:3" x14ac:dyDescent="0.25">
      <c r="A59">
        <f t="shared" si="0"/>
        <v>2005</v>
      </c>
      <c r="B59" s="2">
        <v>38626</v>
      </c>
      <c r="C59">
        <v>82.4</v>
      </c>
    </row>
    <row r="60" spans="1:3" x14ac:dyDescent="0.25">
      <c r="A60">
        <f t="shared" si="0"/>
        <v>2005</v>
      </c>
      <c r="B60" s="2">
        <v>38657</v>
      </c>
      <c r="C60">
        <v>81.8</v>
      </c>
    </row>
    <row r="61" spans="1:3" x14ac:dyDescent="0.25">
      <c r="A61">
        <f t="shared" si="0"/>
        <v>2005</v>
      </c>
      <c r="B61" s="2">
        <v>38687</v>
      </c>
      <c r="C61">
        <v>81.5</v>
      </c>
    </row>
    <row r="62" spans="1:3" x14ac:dyDescent="0.25">
      <c r="A62">
        <f t="shared" si="0"/>
        <v>2006</v>
      </c>
      <c r="B62" s="2">
        <v>38718</v>
      </c>
      <c r="C62">
        <v>80.5</v>
      </c>
    </row>
    <row r="63" spans="1:3" x14ac:dyDescent="0.25">
      <c r="A63">
        <f t="shared" si="0"/>
        <v>2006</v>
      </c>
      <c r="B63" s="2">
        <v>38749</v>
      </c>
      <c r="C63">
        <v>80.2</v>
      </c>
    </row>
    <row r="64" spans="1:3" x14ac:dyDescent="0.25">
      <c r="A64">
        <f t="shared" si="0"/>
        <v>2006</v>
      </c>
      <c r="B64" s="2">
        <v>38777</v>
      </c>
      <c r="C64">
        <v>80.900000000000006</v>
      </c>
    </row>
    <row r="65" spans="1:3" x14ac:dyDescent="0.25">
      <c r="A65">
        <f t="shared" si="0"/>
        <v>2006</v>
      </c>
      <c r="B65" s="2">
        <v>38808</v>
      </c>
      <c r="C65">
        <v>79.400000000000006</v>
      </c>
    </row>
    <row r="66" spans="1:3" x14ac:dyDescent="0.25">
      <c r="A66">
        <f t="shared" si="0"/>
        <v>2006</v>
      </c>
      <c r="B66" s="2">
        <v>38838</v>
      </c>
      <c r="C66">
        <v>80.7</v>
      </c>
    </row>
    <row r="67" spans="1:3" x14ac:dyDescent="0.25">
      <c r="A67">
        <f t="shared" ref="A67:A130" si="2">YEAR(B67)</f>
        <v>2006</v>
      </c>
      <c r="B67" s="2">
        <v>38869</v>
      </c>
      <c r="C67">
        <v>80.400000000000006</v>
      </c>
    </row>
    <row r="68" spans="1:3" x14ac:dyDescent="0.25">
      <c r="A68">
        <f t="shared" si="2"/>
        <v>2006</v>
      </c>
      <c r="B68" s="2">
        <v>38899</v>
      </c>
      <c r="C68">
        <v>81.5</v>
      </c>
    </row>
    <row r="69" spans="1:3" x14ac:dyDescent="0.25">
      <c r="A69">
        <f t="shared" si="2"/>
        <v>2006</v>
      </c>
      <c r="B69" s="2">
        <v>38930</v>
      </c>
      <c r="C69">
        <v>81.900000000000006</v>
      </c>
    </row>
    <row r="70" spans="1:3" x14ac:dyDescent="0.25">
      <c r="A70">
        <f t="shared" si="2"/>
        <v>2006</v>
      </c>
      <c r="B70" s="2">
        <v>38961</v>
      </c>
      <c r="C70">
        <v>83.1</v>
      </c>
    </row>
    <row r="71" spans="1:3" x14ac:dyDescent="0.25">
      <c r="A71">
        <f t="shared" si="2"/>
        <v>2006</v>
      </c>
      <c r="B71" s="2">
        <v>38991</v>
      </c>
      <c r="C71">
        <v>83.4</v>
      </c>
    </row>
    <row r="72" spans="1:3" x14ac:dyDescent="0.25">
      <c r="A72">
        <f t="shared" si="2"/>
        <v>2006</v>
      </c>
      <c r="B72" s="2">
        <v>39022</v>
      </c>
      <c r="C72">
        <v>83.5</v>
      </c>
    </row>
    <row r="73" spans="1:3" x14ac:dyDescent="0.25">
      <c r="A73">
        <f t="shared" si="2"/>
        <v>2006</v>
      </c>
      <c r="B73" s="2">
        <v>39052</v>
      </c>
      <c r="C73">
        <v>82.9</v>
      </c>
    </row>
    <row r="74" spans="1:3" x14ac:dyDescent="0.25">
      <c r="A74">
        <f t="shared" si="2"/>
        <v>2007</v>
      </c>
      <c r="B74" s="2">
        <v>39083</v>
      </c>
      <c r="C74">
        <v>80.7</v>
      </c>
    </row>
    <row r="75" spans="1:3" x14ac:dyDescent="0.25">
      <c r="A75">
        <f t="shared" si="2"/>
        <v>2007</v>
      </c>
      <c r="B75" s="2">
        <v>39114</v>
      </c>
      <c r="C75">
        <v>82.7</v>
      </c>
    </row>
    <row r="76" spans="1:3" x14ac:dyDescent="0.25">
      <c r="A76">
        <f t="shared" si="2"/>
        <v>2007</v>
      </c>
      <c r="B76" s="2">
        <v>39142</v>
      </c>
      <c r="C76">
        <v>81.3</v>
      </c>
    </row>
    <row r="77" spans="1:3" x14ac:dyDescent="0.25">
      <c r="A77">
        <f t="shared" si="2"/>
        <v>2007</v>
      </c>
      <c r="B77" s="2">
        <v>39173</v>
      </c>
      <c r="C77">
        <v>81.599999999999994</v>
      </c>
    </row>
    <row r="78" spans="1:3" x14ac:dyDescent="0.25">
      <c r="A78">
        <f t="shared" si="2"/>
        <v>2007</v>
      </c>
      <c r="B78" s="2">
        <v>39203</v>
      </c>
      <c r="C78">
        <v>82.3</v>
      </c>
    </row>
    <row r="79" spans="1:3" x14ac:dyDescent="0.25">
      <c r="A79">
        <f t="shared" si="2"/>
        <v>2007</v>
      </c>
      <c r="B79" s="2">
        <v>39234</v>
      </c>
      <c r="C79">
        <v>83.1</v>
      </c>
    </row>
    <row r="80" spans="1:3" x14ac:dyDescent="0.25">
      <c r="A80">
        <f t="shared" si="2"/>
        <v>2007</v>
      </c>
      <c r="B80" s="2">
        <v>39264</v>
      </c>
      <c r="C80">
        <v>83.3</v>
      </c>
    </row>
    <row r="81" spans="1:3" x14ac:dyDescent="0.25">
      <c r="A81">
        <f t="shared" si="2"/>
        <v>2007</v>
      </c>
      <c r="B81" s="2">
        <v>39295</v>
      </c>
      <c r="C81">
        <v>83.7</v>
      </c>
    </row>
    <row r="82" spans="1:3" x14ac:dyDescent="0.25">
      <c r="A82">
        <f t="shared" si="2"/>
        <v>2007</v>
      </c>
      <c r="B82" s="2">
        <v>39326</v>
      </c>
      <c r="C82">
        <v>85</v>
      </c>
    </row>
    <row r="83" spans="1:3" x14ac:dyDescent="0.25">
      <c r="A83">
        <f t="shared" si="2"/>
        <v>2007</v>
      </c>
      <c r="B83" s="2">
        <v>39356</v>
      </c>
      <c r="C83">
        <v>86.5</v>
      </c>
    </row>
    <row r="84" spans="1:3" x14ac:dyDescent="0.25">
      <c r="A84">
        <f t="shared" si="2"/>
        <v>2007</v>
      </c>
      <c r="B84" s="2">
        <v>39387</v>
      </c>
      <c r="C84">
        <v>86.6</v>
      </c>
    </row>
    <row r="85" spans="1:3" x14ac:dyDescent="0.25">
      <c r="A85">
        <f t="shared" si="2"/>
        <v>2007</v>
      </c>
      <c r="B85" s="2">
        <v>39417</v>
      </c>
      <c r="C85">
        <v>85.8</v>
      </c>
    </row>
    <row r="86" spans="1:3" x14ac:dyDescent="0.25">
      <c r="A86">
        <f t="shared" si="2"/>
        <v>2008</v>
      </c>
      <c r="B86" s="2">
        <v>39448</v>
      </c>
      <c r="C86">
        <v>84.1</v>
      </c>
    </row>
    <row r="87" spans="1:3" x14ac:dyDescent="0.25">
      <c r="A87">
        <f t="shared" si="2"/>
        <v>2008</v>
      </c>
      <c r="B87" s="2">
        <v>39479</v>
      </c>
      <c r="C87">
        <v>84.3</v>
      </c>
    </row>
    <row r="88" spans="1:3" x14ac:dyDescent="0.25">
      <c r="A88">
        <f t="shared" si="2"/>
        <v>2008</v>
      </c>
      <c r="B88" s="2">
        <v>39508</v>
      </c>
      <c r="C88">
        <v>84.4</v>
      </c>
    </row>
    <row r="89" spans="1:3" x14ac:dyDescent="0.25">
      <c r="A89">
        <f t="shared" si="2"/>
        <v>2008</v>
      </c>
      <c r="B89" s="2">
        <v>39539</v>
      </c>
      <c r="C89">
        <v>83.8</v>
      </c>
    </row>
    <row r="90" spans="1:3" x14ac:dyDescent="0.25">
      <c r="A90">
        <f t="shared" si="2"/>
        <v>2008</v>
      </c>
      <c r="B90" s="2">
        <v>39569</v>
      </c>
      <c r="C90">
        <v>84</v>
      </c>
    </row>
    <row r="91" spans="1:3" x14ac:dyDescent="0.25">
      <c r="A91">
        <f t="shared" si="2"/>
        <v>2008</v>
      </c>
      <c r="B91" s="2">
        <v>39600</v>
      </c>
      <c r="C91">
        <v>84.3</v>
      </c>
    </row>
    <row r="92" spans="1:3" x14ac:dyDescent="0.25">
      <c r="A92">
        <f t="shared" si="2"/>
        <v>2008</v>
      </c>
      <c r="B92" s="2">
        <v>39630</v>
      </c>
      <c r="C92">
        <v>84.9</v>
      </c>
    </row>
    <row r="93" spans="1:3" x14ac:dyDescent="0.25">
      <c r="A93">
        <f t="shared" si="2"/>
        <v>2008</v>
      </c>
      <c r="B93" s="2">
        <v>39661</v>
      </c>
      <c r="C93">
        <v>85.5</v>
      </c>
    </row>
    <row r="94" spans="1:3" x14ac:dyDescent="0.25">
      <c r="A94">
        <f t="shared" si="2"/>
        <v>2008</v>
      </c>
      <c r="B94" s="2">
        <v>39692</v>
      </c>
      <c r="C94">
        <v>85.6</v>
      </c>
    </row>
    <row r="95" spans="1:3" x14ac:dyDescent="0.25">
      <c r="A95">
        <f t="shared" si="2"/>
        <v>2008</v>
      </c>
      <c r="B95" s="2">
        <v>39722</v>
      </c>
      <c r="C95">
        <v>86</v>
      </c>
    </row>
    <row r="96" spans="1:3" x14ac:dyDescent="0.25">
      <c r="A96">
        <f t="shared" si="2"/>
        <v>2008</v>
      </c>
      <c r="B96" s="2">
        <v>39753</v>
      </c>
      <c r="C96">
        <v>84.8</v>
      </c>
    </row>
    <row r="97" spans="1:3" x14ac:dyDescent="0.25">
      <c r="A97">
        <f t="shared" si="2"/>
        <v>2008</v>
      </c>
      <c r="B97" s="2">
        <v>39783</v>
      </c>
      <c r="C97">
        <v>80.099999999999994</v>
      </c>
    </row>
    <row r="98" spans="1:3" x14ac:dyDescent="0.25">
      <c r="A98">
        <f t="shared" si="2"/>
        <v>2009</v>
      </c>
      <c r="B98" s="2">
        <v>39814</v>
      </c>
      <c r="C98">
        <v>75.7</v>
      </c>
    </row>
    <row r="99" spans="1:3" x14ac:dyDescent="0.25">
      <c r="A99">
        <f t="shared" si="2"/>
        <v>2009</v>
      </c>
      <c r="B99" s="2">
        <v>39845</v>
      </c>
      <c r="C99">
        <v>76.8</v>
      </c>
    </row>
    <row r="100" spans="1:3" x14ac:dyDescent="0.25">
      <c r="A100">
        <f t="shared" si="2"/>
        <v>2009</v>
      </c>
      <c r="B100" s="2">
        <v>39873</v>
      </c>
      <c r="C100">
        <v>76</v>
      </c>
    </row>
    <row r="101" spans="1:3" x14ac:dyDescent="0.25">
      <c r="A101">
        <f t="shared" si="2"/>
        <v>2009</v>
      </c>
      <c r="B101" s="2">
        <v>39904</v>
      </c>
      <c r="C101">
        <v>76.2</v>
      </c>
    </row>
    <row r="102" spans="1:3" x14ac:dyDescent="0.25">
      <c r="A102">
        <f t="shared" si="2"/>
        <v>2009</v>
      </c>
      <c r="B102" s="2">
        <v>39934</v>
      </c>
      <c r="C102">
        <v>77.3</v>
      </c>
    </row>
    <row r="103" spans="1:3" x14ac:dyDescent="0.25">
      <c r="A103">
        <f t="shared" si="2"/>
        <v>2009</v>
      </c>
      <c r="B103" s="2">
        <v>39965</v>
      </c>
      <c r="C103">
        <v>78</v>
      </c>
    </row>
    <row r="104" spans="1:3" x14ac:dyDescent="0.25">
      <c r="A104">
        <f t="shared" si="2"/>
        <v>2009</v>
      </c>
      <c r="B104" s="2">
        <v>39995</v>
      </c>
      <c r="C104">
        <v>77.5</v>
      </c>
    </row>
    <row r="105" spans="1:3" x14ac:dyDescent="0.25">
      <c r="A105">
        <f t="shared" si="2"/>
        <v>2009</v>
      </c>
      <c r="B105" s="2">
        <v>40026</v>
      </c>
      <c r="C105">
        <v>79.599999999999994</v>
      </c>
    </row>
    <row r="106" spans="1:3" x14ac:dyDescent="0.25">
      <c r="A106">
        <f t="shared" si="2"/>
        <v>2009</v>
      </c>
      <c r="B106" s="2">
        <v>40057</v>
      </c>
      <c r="C106">
        <v>81.5</v>
      </c>
    </row>
    <row r="107" spans="1:3" x14ac:dyDescent="0.25">
      <c r="A107">
        <f t="shared" si="2"/>
        <v>2009</v>
      </c>
      <c r="B107" s="2">
        <v>40087</v>
      </c>
      <c r="C107">
        <v>82.9</v>
      </c>
    </row>
    <row r="108" spans="1:3" x14ac:dyDescent="0.25">
      <c r="A108">
        <f t="shared" si="2"/>
        <v>2009</v>
      </c>
      <c r="B108" s="2">
        <v>40118</v>
      </c>
      <c r="C108">
        <v>83.9</v>
      </c>
    </row>
    <row r="109" spans="1:3" x14ac:dyDescent="0.25">
      <c r="A109">
        <f t="shared" si="2"/>
        <v>2009</v>
      </c>
      <c r="B109" s="2">
        <v>40148</v>
      </c>
      <c r="C109">
        <v>83.7</v>
      </c>
    </row>
    <row r="110" spans="1:3" x14ac:dyDescent="0.25">
      <c r="A110">
        <f t="shared" si="2"/>
        <v>2010</v>
      </c>
      <c r="B110" s="2">
        <v>40179</v>
      </c>
      <c r="C110">
        <v>80.7</v>
      </c>
    </row>
    <row r="111" spans="1:3" x14ac:dyDescent="0.25">
      <c r="A111">
        <f t="shared" si="2"/>
        <v>2010</v>
      </c>
      <c r="B111" s="2">
        <v>40210</v>
      </c>
      <c r="C111">
        <v>82.1</v>
      </c>
    </row>
    <row r="112" spans="1:3" x14ac:dyDescent="0.25">
      <c r="A112">
        <f t="shared" si="2"/>
        <v>2010</v>
      </c>
      <c r="B112" s="2">
        <v>40238</v>
      </c>
      <c r="C112">
        <v>81.900000000000006</v>
      </c>
    </row>
    <row r="113" spans="1:3" x14ac:dyDescent="0.25">
      <c r="A113">
        <f t="shared" si="2"/>
        <v>2010</v>
      </c>
      <c r="B113" s="2">
        <v>40269</v>
      </c>
      <c r="C113">
        <v>82.8</v>
      </c>
    </row>
    <row r="114" spans="1:3" x14ac:dyDescent="0.25">
      <c r="A114">
        <f t="shared" si="2"/>
        <v>2010</v>
      </c>
      <c r="B114" s="2">
        <v>40299</v>
      </c>
      <c r="C114">
        <v>83.3</v>
      </c>
    </row>
    <row r="115" spans="1:3" x14ac:dyDescent="0.25">
      <c r="A115">
        <f t="shared" si="2"/>
        <v>2010</v>
      </c>
      <c r="B115" s="2">
        <v>40330</v>
      </c>
      <c r="C115">
        <v>83.8</v>
      </c>
    </row>
    <row r="116" spans="1:3" x14ac:dyDescent="0.25">
      <c r="A116">
        <f t="shared" si="2"/>
        <v>2010</v>
      </c>
      <c r="B116" s="2">
        <v>40360</v>
      </c>
      <c r="C116">
        <v>83.9</v>
      </c>
    </row>
    <row r="117" spans="1:3" x14ac:dyDescent="0.25">
      <c r="A117">
        <f t="shared" si="2"/>
        <v>2010</v>
      </c>
      <c r="B117" s="2">
        <v>40391</v>
      </c>
      <c r="C117">
        <v>84.4</v>
      </c>
    </row>
    <row r="118" spans="1:3" x14ac:dyDescent="0.25">
      <c r="A118">
        <f t="shared" si="2"/>
        <v>2010</v>
      </c>
      <c r="B118" s="2">
        <v>40422</v>
      </c>
      <c r="C118">
        <v>84.5</v>
      </c>
    </row>
    <row r="119" spans="1:3" x14ac:dyDescent="0.25">
      <c r="A119">
        <f t="shared" si="2"/>
        <v>2010</v>
      </c>
      <c r="B119" s="2">
        <v>40452</v>
      </c>
      <c r="C119">
        <v>86</v>
      </c>
    </row>
    <row r="120" spans="1:3" x14ac:dyDescent="0.25">
      <c r="A120">
        <f t="shared" si="2"/>
        <v>2010</v>
      </c>
      <c r="B120" s="2">
        <v>40483</v>
      </c>
      <c r="C120">
        <v>86</v>
      </c>
    </row>
    <row r="121" spans="1:3" x14ac:dyDescent="0.25">
      <c r="A121">
        <f t="shared" si="2"/>
        <v>2010</v>
      </c>
      <c r="B121" s="2">
        <v>40513</v>
      </c>
      <c r="C121">
        <v>85.4</v>
      </c>
    </row>
    <row r="122" spans="1:3" x14ac:dyDescent="0.25">
      <c r="A122">
        <f t="shared" si="2"/>
        <v>2011</v>
      </c>
      <c r="B122" s="2">
        <v>40544</v>
      </c>
      <c r="C122">
        <v>82.1</v>
      </c>
    </row>
    <row r="123" spans="1:3" x14ac:dyDescent="0.25">
      <c r="A123">
        <f t="shared" si="2"/>
        <v>2011</v>
      </c>
      <c r="B123" s="2">
        <v>40575</v>
      </c>
      <c r="C123">
        <v>82.4</v>
      </c>
    </row>
    <row r="124" spans="1:3" x14ac:dyDescent="0.25">
      <c r="A124">
        <f t="shared" si="2"/>
        <v>2011</v>
      </c>
      <c r="B124" s="2">
        <v>40603</v>
      </c>
      <c r="C124">
        <v>81.8</v>
      </c>
    </row>
    <row r="125" spans="1:3" x14ac:dyDescent="0.25">
      <c r="A125">
        <f t="shared" si="2"/>
        <v>2011</v>
      </c>
      <c r="B125" s="2">
        <v>40634</v>
      </c>
      <c r="C125">
        <v>82.2</v>
      </c>
    </row>
    <row r="126" spans="1:3" x14ac:dyDescent="0.25">
      <c r="A126">
        <f t="shared" si="2"/>
        <v>2011</v>
      </c>
      <c r="B126" s="2">
        <v>40664</v>
      </c>
      <c r="C126">
        <v>83</v>
      </c>
    </row>
    <row r="127" spans="1:3" x14ac:dyDescent="0.25">
      <c r="A127">
        <f t="shared" si="2"/>
        <v>2011</v>
      </c>
      <c r="B127" s="2">
        <v>40695</v>
      </c>
      <c r="C127">
        <v>82.9</v>
      </c>
    </row>
    <row r="128" spans="1:3" x14ac:dyDescent="0.25">
      <c r="A128">
        <f t="shared" si="2"/>
        <v>2011</v>
      </c>
      <c r="B128" s="2">
        <v>40725</v>
      </c>
      <c r="C128">
        <v>82.5</v>
      </c>
    </row>
    <row r="129" spans="1:3" x14ac:dyDescent="0.25">
      <c r="A129">
        <f t="shared" si="2"/>
        <v>2011</v>
      </c>
      <c r="B129" s="2">
        <v>40756</v>
      </c>
      <c r="C129">
        <v>82.6</v>
      </c>
    </row>
    <row r="130" spans="1:3" x14ac:dyDescent="0.25">
      <c r="A130">
        <f t="shared" si="2"/>
        <v>2011</v>
      </c>
      <c r="B130" s="2">
        <v>40787</v>
      </c>
      <c r="C130">
        <v>83.2</v>
      </c>
    </row>
    <row r="131" spans="1:3" x14ac:dyDescent="0.25">
      <c r="A131">
        <f t="shared" ref="A131:A194" si="3">YEAR(B131)</f>
        <v>2011</v>
      </c>
      <c r="B131" s="2">
        <v>40817</v>
      </c>
      <c r="C131">
        <v>84.3</v>
      </c>
    </row>
    <row r="132" spans="1:3" x14ac:dyDescent="0.25">
      <c r="A132">
        <f t="shared" si="3"/>
        <v>2011</v>
      </c>
      <c r="B132" s="2">
        <v>40848</v>
      </c>
      <c r="C132">
        <v>84.1</v>
      </c>
    </row>
    <row r="133" spans="1:3" x14ac:dyDescent="0.25">
      <c r="A133">
        <f t="shared" si="3"/>
        <v>2011</v>
      </c>
      <c r="B133" s="2">
        <v>40878</v>
      </c>
      <c r="C133">
        <v>83</v>
      </c>
    </row>
    <row r="134" spans="1:3" x14ac:dyDescent="0.25">
      <c r="A134">
        <f t="shared" si="3"/>
        <v>2012</v>
      </c>
      <c r="B134" s="2">
        <v>40909</v>
      </c>
      <c r="C134">
        <v>80.599999999999994</v>
      </c>
    </row>
    <row r="135" spans="1:3" x14ac:dyDescent="0.25">
      <c r="A135">
        <f t="shared" si="3"/>
        <v>2012</v>
      </c>
      <c r="B135" s="2">
        <v>40940</v>
      </c>
      <c r="C135">
        <v>81.900000000000006</v>
      </c>
    </row>
    <row r="136" spans="1:3" x14ac:dyDescent="0.25">
      <c r="A136">
        <f t="shared" si="3"/>
        <v>2012</v>
      </c>
      <c r="B136" s="2">
        <v>40969</v>
      </c>
      <c r="C136">
        <v>80.900000000000006</v>
      </c>
    </row>
    <row r="137" spans="1:3" x14ac:dyDescent="0.25">
      <c r="A137">
        <f t="shared" si="3"/>
        <v>2012</v>
      </c>
      <c r="B137" s="2">
        <v>41000</v>
      </c>
      <c r="C137">
        <v>80.8</v>
      </c>
    </row>
    <row r="138" spans="1:3" x14ac:dyDescent="0.25">
      <c r="A138">
        <f t="shared" si="3"/>
        <v>2012</v>
      </c>
      <c r="B138" s="2">
        <v>41030</v>
      </c>
      <c r="C138">
        <v>81.8</v>
      </c>
    </row>
    <row r="139" spans="1:3" x14ac:dyDescent="0.25">
      <c r="A139">
        <f t="shared" si="3"/>
        <v>2012</v>
      </c>
      <c r="B139" s="2">
        <v>41061</v>
      </c>
      <c r="C139">
        <v>81.599999999999994</v>
      </c>
    </row>
    <row r="140" spans="1:3" x14ac:dyDescent="0.25">
      <c r="A140">
        <f t="shared" si="3"/>
        <v>2012</v>
      </c>
      <c r="B140" s="2">
        <v>41091</v>
      </c>
      <c r="C140">
        <v>81.8</v>
      </c>
    </row>
    <row r="141" spans="1:3" x14ac:dyDescent="0.25">
      <c r="A141">
        <f t="shared" si="3"/>
        <v>2012</v>
      </c>
      <c r="B141" s="2">
        <v>41122</v>
      </c>
      <c r="C141">
        <v>83</v>
      </c>
    </row>
    <row r="142" spans="1:3" x14ac:dyDescent="0.25">
      <c r="A142">
        <f t="shared" si="3"/>
        <v>2012</v>
      </c>
      <c r="B142" s="2">
        <v>41153</v>
      </c>
      <c r="C142">
        <v>83</v>
      </c>
    </row>
    <row r="143" spans="1:3" x14ac:dyDescent="0.25">
      <c r="A143">
        <f t="shared" si="3"/>
        <v>2012</v>
      </c>
      <c r="B143" s="2">
        <v>41183</v>
      </c>
      <c r="C143">
        <v>84</v>
      </c>
    </row>
    <row r="144" spans="1:3" x14ac:dyDescent="0.25">
      <c r="A144">
        <f t="shared" si="3"/>
        <v>2012</v>
      </c>
      <c r="B144" s="2">
        <v>41214</v>
      </c>
      <c r="C144">
        <v>84</v>
      </c>
    </row>
    <row r="145" spans="1:3" x14ac:dyDescent="0.25">
      <c r="A145">
        <f t="shared" si="3"/>
        <v>2012</v>
      </c>
      <c r="B145" s="2">
        <v>41244</v>
      </c>
      <c r="C145">
        <v>84.1</v>
      </c>
    </row>
    <row r="146" spans="1:3" x14ac:dyDescent="0.25">
      <c r="A146">
        <f t="shared" si="3"/>
        <v>2013</v>
      </c>
      <c r="B146" s="2">
        <v>41275</v>
      </c>
      <c r="C146">
        <v>80.5</v>
      </c>
    </row>
    <row r="147" spans="1:3" x14ac:dyDescent="0.25">
      <c r="A147">
        <f t="shared" si="3"/>
        <v>2013</v>
      </c>
      <c r="B147" s="2">
        <v>41306</v>
      </c>
      <c r="C147">
        <v>81.8</v>
      </c>
    </row>
    <row r="148" spans="1:3" x14ac:dyDescent="0.25">
      <c r="A148">
        <f t="shared" si="3"/>
        <v>2013</v>
      </c>
      <c r="B148" s="2">
        <v>41334</v>
      </c>
      <c r="C148">
        <v>81.2</v>
      </c>
    </row>
    <row r="149" spans="1:3" x14ac:dyDescent="0.25">
      <c r="A149">
        <f t="shared" si="3"/>
        <v>2013</v>
      </c>
      <c r="B149" s="2">
        <v>41365</v>
      </c>
      <c r="C149">
        <v>81</v>
      </c>
    </row>
    <row r="150" spans="1:3" x14ac:dyDescent="0.25">
      <c r="A150">
        <f t="shared" si="3"/>
        <v>2013</v>
      </c>
      <c r="B150" s="2">
        <v>41395</v>
      </c>
      <c r="C150">
        <v>81.900000000000006</v>
      </c>
    </row>
    <row r="151" spans="1:3" x14ac:dyDescent="0.25">
      <c r="A151">
        <f t="shared" si="3"/>
        <v>2013</v>
      </c>
      <c r="B151" s="2">
        <v>41426</v>
      </c>
      <c r="C151">
        <v>82.3</v>
      </c>
    </row>
    <row r="152" spans="1:3" x14ac:dyDescent="0.25">
      <c r="A152">
        <f t="shared" si="3"/>
        <v>2013</v>
      </c>
      <c r="B152" s="2">
        <v>41456</v>
      </c>
      <c r="C152">
        <v>82.3</v>
      </c>
    </row>
    <row r="153" spans="1:3" x14ac:dyDescent="0.25">
      <c r="A153">
        <f t="shared" si="3"/>
        <v>2013</v>
      </c>
      <c r="B153" s="2">
        <v>41487</v>
      </c>
      <c r="C153">
        <v>83</v>
      </c>
    </row>
    <row r="154" spans="1:3" x14ac:dyDescent="0.25">
      <c r="A154">
        <f t="shared" si="3"/>
        <v>2013</v>
      </c>
      <c r="B154" s="2">
        <v>41518</v>
      </c>
      <c r="C154">
        <v>83.1</v>
      </c>
    </row>
    <row r="155" spans="1:3" x14ac:dyDescent="0.25">
      <c r="A155">
        <f t="shared" si="3"/>
        <v>2013</v>
      </c>
      <c r="B155" s="2">
        <v>41548</v>
      </c>
      <c r="C155">
        <v>84.2</v>
      </c>
    </row>
    <row r="156" spans="1:3" x14ac:dyDescent="0.25">
      <c r="A156">
        <f t="shared" si="3"/>
        <v>2013</v>
      </c>
      <c r="B156" s="2">
        <v>41579</v>
      </c>
      <c r="C156">
        <v>85.1</v>
      </c>
    </row>
    <row r="157" spans="1:3" x14ac:dyDescent="0.25">
      <c r="A157">
        <f t="shared" si="3"/>
        <v>2013</v>
      </c>
      <c r="B157" s="2">
        <v>41609</v>
      </c>
      <c r="C157">
        <v>84</v>
      </c>
    </row>
    <row r="158" spans="1:3" x14ac:dyDescent="0.25">
      <c r="A158">
        <f t="shared" si="3"/>
        <v>2014</v>
      </c>
      <c r="B158" s="2">
        <v>41640</v>
      </c>
      <c r="C158">
        <v>81</v>
      </c>
    </row>
    <row r="159" spans="1:3" x14ac:dyDescent="0.25">
      <c r="A159">
        <f t="shared" si="3"/>
        <v>2014</v>
      </c>
      <c r="B159" s="2">
        <v>41671</v>
      </c>
      <c r="C159">
        <v>82</v>
      </c>
    </row>
    <row r="160" spans="1:3" x14ac:dyDescent="0.25">
      <c r="A160">
        <f t="shared" si="3"/>
        <v>2014</v>
      </c>
      <c r="B160" s="2">
        <v>41699</v>
      </c>
      <c r="C160">
        <v>81.5</v>
      </c>
    </row>
    <row r="161" spans="1:3" x14ac:dyDescent="0.25">
      <c r="A161">
        <f t="shared" si="3"/>
        <v>2014</v>
      </c>
      <c r="B161" s="2">
        <v>41730</v>
      </c>
      <c r="C161">
        <v>80.8</v>
      </c>
    </row>
    <row r="162" spans="1:3" x14ac:dyDescent="0.25">
      <c r="A162">
        <f t="shared" si="3"/>
        <v>2014</v>
      </c>
      <c r="B162" s="2">
        <v>41760</v>
      </c>
      <c r="C162">
        <v>81.3</v>
      </c>
    </row>
    <row r="163" spans="1:3" x14ac:dyDescent="0.25">
      <c r="A163">
        <f t="shared" si="3"/>
        <v>2014</v>
      </c>
      <c r="B163" s="2">
        <v>41791</v>
      </c>
      <c r="C163">
        <v>81.099999999999994</v>
      </c>
    </row>
    <row r="164" spans="1:3" x14ac:dyDescent="0.25">
      <c r="A164">
        <f t="shared" si="3"/>
        <v>2014</v>
      </c>
      <c r="B164" s="2">
        <v>41821</v>
      </c>
      <c r="C164">
        <v>80.099999999999994</v>
      </c>
    </row>
    <row r="165" spans="1:3" x14ac:dyDescent="0.25">
      <c r="A165">
        <f t="shared" si="3"/>
        <v>2014</v>
      </c>
      <c r="B165" s="2">
        <v>41852</v>
      </c>
      <c r="C165">
        <v>80.8</v>
      </c>
    </row>
    <row r="166" spans="1:3" x14ac:dyDescent="0.25">
      <c r="A166">
        <f t="shared" si="3"/>
        <v>2014</v>
      </c>
      <c r="B166" s="2">
        <v>41883</v>
      </c>
      <c r="C166">
        <v>81.400000000000006</v>
      </c>
    </row>
    <row r="167" spans="1:3" x14ac:dyDescent="0.25">
      <c r="A167">
        <f t="shared" si="3"/>
        <v>2014</v>
      </c>
      <c r="B167" s="2">
        <v>41913</v>
      </c>
      <c r="C167">
        <v>81.5</v>
      </c>
    </row>
    <row r="168" spans="1:3" x14ac:dyDescent="0.25">
      <c r="A168">
        <f t="shared" si="3"/>
        <v>2014</v>
      </c>
      <c r="B168" s="2">
        <v>41944</v>
      </c>
      <c r="C168">
        <v>82.6</v>
      </c>
    </row>
    <row r="169" spans="1:3" x14ac:dyDescent="0.25">
      <c r="A169">
        <f t="shared" si="3"/>
        <v>2014</v>
      </c>
      <c r="B169" s="2">
        <v>41974</v>
      </c>
      <c r="C169">
        <v>80.400000000000006</v>
      </c>
    </row>
    <row r="170" spans="1:3" x14ac:dyDescent="0.25">
      <c r="A170">
        <f t="shared" si="3"/>
        <v>2015</v>
      </c>
      <c r="B170" s="2">
        <v>42005</v>
      </c>
      <c r="C170">
        <v>77.599999999999994</v>
      </c>
    </row>
    <row r="171" spans="1:3" x14ac:dyDescent="0.25">
      <c r="A171">
        <f t="shared" si="3"/>
        <v>2015</v>
      </c>
      <c r="B171" s="2">
        <v>42036</v>
      </c>
      <c r="C171">
        <v>78.599999999999994</v>
      </c>
    </row>
    <row r="172" spans="1:3" x14ac:dyDescent="0.25">
      <c r="A172">
        <f t="shared" si="3"/>
        <v>2015</v>
      </c>
      <c r="B172" s="2">
        <v>42064</v>
      </c>
      <c r="C172">
        <v>77.3</v>
      </c>
    </row>
    <row r="173" spans="1:3" x14ac:dyDescent="0.25">
      <c r="A173">
        <f t="shared" si="3"/>
        <v>2015</v>
      </c>
      <c r="B173" s="2">
        <v>42095</v>
      </c>
      <c r="C173">
        <v>76.400000000000006</v>
      </c>
    </row>
    <row r="174" spans="1:3" x14ac:dyDescent="0.25">
      <c r="A174">
        <f t="shared" si="3"/>
        <v>2015</v>
      </c>
      <c r="B174" s="2">
        <v>42125</v>
      </c>
      <c r="C174">
        <v>76</v>
      </c>
    </row>
    <row r="175" spans="1:3" x14ac:dyDescent="0.25">
      <c r="A175">
        <f t="shared" si="3"/>
        <v>2015</v>
      </c>
      <c r="B175" s="2">
        <v>42156</v>
      </c>
      <c r="C175">
        <v>75.3</v>
      </c>
    </row>
    <row r="176" spans="1:3" x14ac:dyDescent="0.25">
      <c r="A176">
        <f t="shared" si="3"/>
        <v>2015</v>
      </c>
      <c r="B176" s="2">
        <v>42186</v>
      </c>
      <c r="C176">
        <v>74.5</v>
      </c>
    </row>
    <row r="177" spans="1:3" x14ac:dyDescent="0.25">
      <c r="A177">
        <f t="shared" si="3"/>
        <v>2015</v>
      </c>
      <c r="B177" s="2">
        <v>42217</v>
      </c>
      <c r="C177">
        <v>75.3</v>
      </c>
    </row>
    <row r="178" spans="1:3" x14ac:dyDescent="0.25">
      <c r="A178">
        <f t="shared" si="3"/>
        <v>2015</v>
      </c>
      <c r="B178" s="2">
        <v>42248</v>
      </c>
      <c r="C178">
        <v>75.7</v>
      </c>
    </row>
    <row r="179" spans="1:3" x14ac:dyDescent="0.25">
      <c r="A179">
        <f t="shared" si="3"/>
        <v>2015</v>
      </c>
      <c r="B179" s="2">
        <v>42278</v>
      </c>
      <c r="C179">
        <v>76.5</v>
      </c>
    </row>
    <row r="180" spans="1:3" x14ac:dyDescent="0.25">
      <c r="A180">
        <f t="shared" si="3"/>
        <v>2015</v>
      </c>
      <c r="B180" s="2">
        <v>42309</v>
      </c>
      <c r="C180">
        <v>76.8</v>
      </c>
    </row>
    <row r="181" spans="1:3" x14ac:dyDescent="0.25">
      <c r="A181">
        <f t="shared" si="3"/>
        <v>2015</v>
      </c>
      <c r="B181" s="2">
        <v>42339</v>
      </c>
      <c r="C181">
        <v>76.400000000000006</v>
      </c>
    </row>
    <row r="182" spans="1:3" x14ac:dyDescent="0.25">
      <c r="A182">
        <f t="shared" si="3"/>
        <v>2016</v>
      </c>
      <c r="B182" s="2">
        <v>42370</v>
      </c>
      <c r="C182">
        <v>72.400000000000006</v>
      </c>
    </row>
    <row r="183" spans="1:3" x14ac:dyDescent="0.25">
      <c r="A183">
        <f t="shared" si="3"/>
        <v>2016</v>
      </c>
      <c r="B183" s="2">
        <v>42401</v>
      </c>
      <c r="C183">
        <v>73.5</v>
      </c>
    </row>
    <row r="184" spans="1:3" x14ac:dyDescent="0.25">
      <c r="A184">
        <f t="shared" si="3"/>
        <v>2016</v>
      </c>
      <c r="B184" s="2">
        <v>42430</v>
      </c>
      <c r="C184">
        <v>72.599999999999994</v>
      </c>
    </row>
    <row r="185" spans="1:3" x14ac:dyDescent="0.25">
      <c r="A185">
        <f t="shared" si="3"/>
        <v>2016</v>
      </c>
      <c r="B185" s="2">
        <v>42461</v>
      </c>
      <c r="C185">
        <v>73.2</v>
      </c>
    </row>
    <row r="186" spans="1:3" x14ac:dyDescent="0.25">
      <c r="A186">
        <f t="shared" si="3"/>
        <v>2016</v>
      </c>
      <c r="B186" s="2">
        <v>42491</v>
      </c>
      <c r="C186">
        <v>73.099999999999994</v>
      </c>
    </row>
    <row r="187" spans="1:3" x14ac:dyDescent="0.25">
      <c r="A187">
        <f t="shared" si="3"/>
        <v>2016</v>
      </c>
      <c r="B187" s="2">
        <v>42522</v>
      </c>
      <c r="C187">
        <v>73.400000000000006</v>
      </c>
    </row>
    <row r="188" spans="1:3" x14ac:dyDescent="0.25">
      <c r="A188">
        <f t="shared" si="3"/>
        <v>2016</v>
      </c>
      <c r="B188" s="2">
        <v>42552</v>
      </c>
      <c r="C188">
        <v>73.5</v>
      </c>
    </row>
    <row r="189" spans="1:3" x14ac:dyDescent="0.25">
      <c r="A189">
        <f t="shared" si="3"/>
        <v>2016</v>
      </c>
      <c r="B189" s="2">
        <v>42583</v>
      </c>
      <c r="C189">
        <v>73.900000000000006</v>
      </c>
    </row>
    <row r="190" spans="1:3" x14ac:dyDescent="0.25">
      <c r="A190">
        <f t="shared" si="3"/>
        <v>2016</v>
      </c>
      <c r="B190" s="2">
        <v>42614</v>
      </c>
      <c r="C190">
        <v>75.400000000000006</v>
      </c>
    </row>
    <row r="191" spans="1:3" x14ac:dyDescent="0.25">
      <c r="A191">
        <f t="shared" si="3"/>
        <v>2016</v>
      </c>
      <c r="B191" s="2">
        <v>42644</v>
      </c>
      <c r="C191">
        <v>75.2</v>
      </c>
    </row>
    <row r="192" spans="1:3" x14ac:dyDescent="0.25">
      <c r="A192">
        <f t="shared" si="3"/>
        <v>2016</v>
      </c>
      <c r="B192" s="2">
        <v>42675</v>
      </c>
      <c r="C192">
        <v>76.2</v>
      </c>
    </row>
    <row r="193" spans="1:3" x14ac:dyDescent="0.25">
      <c r="A193">
        <f t="shared" si="3"/>
        <v>2016</v>
      </c>
      <c r="B193" s="2">
        <v>42705</v>
      </c>
      <c r="C193">
        <v>74</v>
      </c>
    </row>
    <row r="194" spans="1:3" x14ac:dyDescent="0.25">
      <c r="A194">
        <f t="shared" si="3"/>
        <v>2017</v>
      </c>
      <c r="B194" s="2">
        <v>42736</v>
      </c>
      <c r="C194">
        <v>73.2</v>
      </c>
    </row>
    <row r="195" spans="1:3" x14ac:dyDescent="0.25">
      <c r="A195">
        <f t="shared" ref="A195:A258" si="4">YEAR(B195)</f>
        <v>2017</v>
      </c>
      <c r="B195" s="2">
        <v>42767</v>
      </c>
      <c r="C195">
        <v>73.7</v>
      </c>
    </row>
    <row r="196" spans="1:3" x14ac:dyDescent="0.25">
      <c r="A196">
        <f t="shared" si="4"/>
        <v>2017</v>
      </c>
      <c r="B196" s="2">
        <v>42795</v>
      </c>
      <c r="C196">
        <v>73.3</v>
      </c>
    </row>
    <row r="197" spans="1:3" x14ac:dyDescent="0.25">
      <c r="A197">
        <f t="shared" si="4"/>
        <v>2017</v>
      </c>
      <c r="B197" s="2">
        <v>42826</v>
      </c>
      <c r="C197">
        <v>73.400000000000006</v>
      </c>
    </row>
    <row r="198" spans="1:3" x14ac:dyDescent="0.25">
      <c r="A198">
        <f t="shared" si="4"/>
        <v>2017</v>
      </c>
      <c r="B198" s="2">
        <v>42856</v>
      </c>
      <c r="C198">
        <v>74</v>
      </c>
    </row>
    <row r="199" spans="1:3" x14ac:dyDescent="0.25">
      <c r="A199">
        <f t="shared" si="4"/>
        <v>2017</v>
      </c>
      <c r="B199" s="2">
        <v>42887</v>
      </c>
      <c r="C199">
        <v>73.599999999999994</v>
      </c>
    </row>
    <row r="200" spans="1:3" x14ac:dyDescent="0.25">
      <c r="A200">
        <f t="shared" si="4"/>
        <v>2017</v>
      </c>
      <c r="B200" s="2">
        <v>42917</v>
      </c>
      <c r="C200">
        <v>74</v>
      </c>
    </row>
    <row r="201" spans="1:3" x14ac:dyDescent="0.25">
      <c r="A201">
        <f t="shared" si="4"/>
        <v>2017</v>
      </c>
      <c r="B201" s="2">
        <v>42948</v>
      </c>
      <c r="C201">
        <v>74.2</v>
      </c>
    </row>
    <row r="202" spans="1:3" x14ac:dyDescent="0.25">
      <c r="A202">
        <f t="shared" si="4"/>
        <v>2017</v>
      </c>
      <c r="B202" s="2">
        <v>42979</v>
      </c>
      <c r="C202">
        <v>74.900000000000006</v>
      </c>
    </row>
    <row r="203" spans="1:3" x14ac:dyDescent="0.25">
      <c r="A203">
        <f t="shared" si="4"/>
        <v>2017</v>
      </c>
      <c r="B203" s="2">
        <v>43009</v>
      </c>
      <c r="C203">
        <v>76</v>
      </c>
    </row>
    <row r="204" spans="1:3" x14ac:dyDescent="0.25">
      <c r="A204">
        <f t="shared" si="4"/>
        <v>2017</v>
      </c>
      <c r="B204" s="2">
        <v>43040</v>
      </c>
      <c r="C204">
        <v>76.599999999999994</v>
      </c>
    </row>
    <row r="205" spans="1:3" x14ac:dyDescent="0.25">
      <c r="A205">
        <f t="shared" si="4"/>
        <v>2017</v>
      </c>
      <c r="B205" s="2">
        <v>43070</v>
      </c>
      <c r="C205">
        <v>75.900000000000006</v>
      </c>
    </row>
    <row r="206" spans="1:3" x14ac:dyDescent="0.25">
      <c r="A206">
        <f t="shared" si="4"/>
        <v>2018</v>
      </c>
      <c r="B206" s="2">
        <v>43101</v>
      </c>
      <c r="C206">
        <v>73.3</v>
      </c>
    </row>
    <row r="207" spans="1:3" x14ac:dyDescent="0.25">
      <c r="A207">
        <f t="shared" si="4"/>
        <v>2018</v>
      </c>
      <c r="B207" s="2">
        <v>43132</v>
      </c>
      <c r="C207">
        <v>75.2</v>
      </c>
    </row>
    <row r="208" spans="1:3" x14ac:dyDescent="0.25">
      <c r="A208">
        <f t="shared" si="4"/>
        <v>2018</v>
      </c>
      <c r="B208" s="2">
        <v>43160</v>
      </c>
      <c r="C208">
        <v>75.099999999999994</v>
      </c>
    </row>
    <row r="209" spans="1:3" x14ac:dyDescent="0.25">
      <c r="A209">
        <f t="shared" si="4"/>
        <v>2018</v>
      </c>
      <c r="B209" s="2">
        <v>43191</v>
      </c>
      <c r="C209">
        <v>75.5</v>
      </c>
    </row>
    <row r="210" spans="1:3" x14ac:dyDescent="0.25">
      <c r="A210">
        <f t="shared" si="4"/>
        <v>2018</v>
      </c>
      <c r="B210" s="2">
        <v>43221</v>
      </c>
      <c r="C210">
        <v>75.900000000000006</v>
      </c>
    </row>
    <row r="211" spans="1:3" x14ac:dyDescent="0.25">
      <c r="A211">
        <f t="shared" si="4"/>
        <v>2018</v>
      </c>
      <c r="B211" s="2">
        <v>43252</v>
      </c>
      <c r="C211">
        <v>75.599999999999994</v>
      </c>
    </row>
    <row r="212" spans="1:3" x14ac:dyDescent="0.25">
      <c r="A212">
        <f t="shared" si="4"/>
        <v>2018</v>
      </c>
      <c r="B212" s="2">
        <v>43282</v>
      </c>
      <c r="C212">
        <v>75.099999999999994</v>
      </c>
    </row>
    <row r="213" spans="1:3" x14ac:dyDescent="0.25">
      <c r="A213">
        <f t="shared" si="4"/>
        <v>2018</v>
      </c>
      <c r="B213" s="2">
        <v>43313</v>
      </c>
      <c r="C213">
        <v>76</v>
      </c>
    </row>
    <row r="214" spans="1:3" x14ac:dyDescent="0.25">
      <c r="A214">
        <f t="shared" si="4"/>
        <v>2018</v>
      </c>
      <c r="B214" s="2">
        <v>43344</v>
      </c>
      <c r="C214">
        <v>77.7</v>
      </c>
    </row>
    <row r="215" spans="1:3" x14ac:dyDescent="0.25">
      <c r="A215">
        <f t="shared" si="4"/>
        <v>2018</v>
      </c>
      <c r="B215" s="2">
        <v>43374</v>
      </c>
      <c r="C215">
        <v>77.900000000000006</v>
      </c>
    </row>
    <row r="216" spans="1:3" x14ac:dyDescent="0.25">
      <c r="A216">
        <f t="shared" si="4"/>
        <v>2018</v>
      </c>
      <c r="B216" s="2">
        <v>43405</v>
      </c>
      <c r="C216">
        <v>77.3</v>
      </c>
    </row>
    <row r="217" spans="1:3" x14ac:dyDescent="0.25">
      <c r="A217">
        <f t="shared" si="4"/>
        <v>2018</v>
      </c>
      <c r="B217" s="2">
        <v>43435</v>
      </c>
      <c r="C217">
        <v>75.7</v>
      </c>
    </row>
    <row r="218" spans="1:3" x14ac:dyDescent="0.25">
      <c r="A218">
        <f t="shared" si="4"/>
        <v>2019</v>
      </c>
      <c r="B218" s="2">
        <v>43466</v>
      </c>
      <c r="C218">
        <v>72.7</v>
      </c>
    </row>
    <row r="219" spans="1:3" x14ac:dyDescent="0.25">
      <c r="A219">
        <f t="shared" si="4"/>
        <v>2019</v>
      </c>
      <c r="B219" s="2">
        <v>43497</v>
      </c>
      <c r="C219">
        <v>74.099999999999994</v>
      </c>
    </row>
    <row r="220" spans="1:3" x14ac:dyDescent="0.25">
      <c r="A220">
        <f t="shared" si="4"/>
        <v>2019</v>
      </c>
      <c r="B220" s="2">
        <v>43525</v>
      </c>
      <c r="C220">
        <v>73.599999999999994</v>
      </c>
    </row>
    <row r="221" spans="1:3" x14ac:dyDescent="0.25">
      <c r="A221">
        <f t="shared" si="4"/>
        <v>2019</v>
      </c>
      <c r="B221" s="2">
        <v>43556</v>
      </c>
      <c r="C221">
        <v>73.5</v>
      </c>
    </row>
    <row r="222" spans="1:3" x14ac:dyDescent="0.25">
      <c r="A222">
        <f t="shared" si="4"/>
        <v>2019</v>
      </c>
      <c r="B222" s="2">
        <v>43586</v>
      </c>
      <c r="C222">
        <v>74.8</v>
      </c>
    </row>
    <row r="223" spans="1:3" x14ac:dyDescent="0.25">
      <c r="A223">
        <f t="shared" si="4"/>
        <v>2019</v>
      </c>
      <c r="B223" s="2">
        <v>43617</v>
      </c>
      <c r="C223">
        <v>74.5</v>
      </c>
    </row>
    <row r="224" spans="1:3" x14ac:dyDescent="0.25">
      <c r="A224">
        <f t="shared" si="4"/>
        <v>2019</v>
      </c>
      <c r="B224" s="2">
        <v>43647</v>
      </c>
      <c r="C224">
        <v>74.900000000000006</v>
      </c>
    </row>
    <row r="225" spans="1:3" x14ac:dyDescent="0.25">
      <c r="A225">
        <f t="shared" si="4"/>
        <v>2019</v>
      </c>
      <c r="B225" s="2">
        <v>43678</v>
      </c>
      <c r="C225">
        <v>75.900000000000006</v>
      </c>
    </row>
    <row r="226" spans="1:3" x14ac:dyDescent="0.25">
      <c r="A226">
        <f t="shared" si="4"/>
        <v>2019</v>
      </c>
      <c r="B226" s="2">
        <v>43709</v>
      </c>
      <c r="C226">
        <v>76.5</v>
      </c>
    </row>
    <row r="227" spans="1:3" x14ac:dyDescent="0.25">
      <c r="A227">
        <f t="shared" si="4"/>
        <v>2019</v>
      </c>
      <c r="B227" s="2">
        <v>43739</v>
      </c>
      <c r="C227">
        <v>77.5</v>
      </c>
    </row>
    <row r="228" spans="1:3" x14ac:dyDescent="0.25">
      <c r="A228">
        <f t="shared" si="4"/>
        <v>2019</v>
      </c>
      <c r="B228" s="2">
        <v>43770</v>
      </c>
      <c r="C228">
        <v>77.3</v>
      </c>
    </row>
    <row r="229" spans="1:3" x14ac:dyDescent="0.25">
      <c r="A229">
        <f t="shared" si="4"/>
        <v>2019</v>
      </c>
      <c r="B229" s="2">
        <v>43800</v>
      </c>
      <c r="C229">
        <v>76</v>
      </c>
    </row>
    <row r="230" spans="1:3" x14ac:dyDescent="0.25">
      <c r="A230">
        <f t="shared" si="4"/>
        <v>2020</v>
      </c>
      <c r="B230" s="2">
        <v>43831</v>
      </c>
      <c r="C230">
        <v>74</v>
      </c>
    </row>
    <row r="231" spans="1:3" x14ac:dyDescent="0.25">
      <c r="A231">
        <f t="shared" si="4"/>
        <v>2020</v>
      </c>
      <c r="B231" s="2">
        <v>43862</v>
      </c>
      <c r="C231">
        <v>75.599999999999994</v>
      </c>
    </row>
    <row r="232" spans="1:3" x14ac:dyDescent="0.25">
      <c r="A232">
        <f t="shared" si="4"/>
        <v>2020</v>
      </c>
      <c r="B232" s="2">
        <v>43891</v>
      </c>
      <c r="C232">
        <v>74.2</v>
      </c>
    </row>
    <row r="233" spans="1:3" x14ac:dyDescent="0.25">
      <c r="A233">
        <f t="shared" si="4"/>
        <v>2020</v>
      </c>
      <c r="B233" s="2">
        <v>43922</v>
      </c>
      <c r="C233">
        <v>56.5</v>
      </c>
    </row>
    <row r="234" spans="1:3" x14ac:dyDescent="0.25">
      <c r="A234">
        <f t="shared" si="4"/>
        <v>2020</v>
      </c>
      <c r="B234" s="2">
        <v>43952</v>
      </c>
      <c r="C234">
        <v>59.9</v>
      </c>
    </row>
    <row r="235" spans="1:3" x14ac:dyDescent="0.25">
      <c r="A235">
        <f t="shared" si="4"/>
        <v>2020</v>
      </c>
      <c r="B235" s="2">
        <v>43983</v>
      </c>
      <c r="C235">
        <v>66.099999999999994</v>
      </c>
    </row>
    <row r="236" spans="1:3" x14ac:dyDescent="0.25">
      <c r="A236">
        <f t="shared" si="4"/>
        <v>2020</v>
      </c>
      <c r="B236" s="2">
        <v>44013</v>
      </c>
      <c r="C236">
        <v>71.8</v>
      </c>
    </row>
    <row r="237" spans="1:3" x14ac:dyDescent="0.25">
      <c r="A237">
        <f t="shared" si="4"/>
        <v>2020</v>
      </c>
      <c r="B237" s="2">
        <v>44044</v>
      </c>
      <c r="C237">
        <v>75.5</v>
      </c>
    </row>
    <row r="238" spans="1:3" x14ac:dyDescent="0.25">
      <c r="A238">
        <f t="shared" si="4"/>
        <v>2020</v>
      </c>
      <c r="B238" s="2">
        <v>44075</v>
      </c>
      <c r="C238">
        <v>79.3</v>
      </c>
    </row>
    <row r="239" spans="1:3" x14ac:dyDescent="0.25">
      <c r="A239">
        <f t="shared" si="4"/>
        <v>2020</v>
      </c>
      <c r="B239" s="2">
        <v>44105</v>
      </c>
      <c r="C239">
        <v>81.7</v>
      </c>
    </row>
    <row r="240" spans="1:3" x14ac:dyDescent="0.25">
      <c r="A240">
        <f t="shared" si="4"/>
        <v>2020</v>
      </c>
      <c r="B240" s="2">
        <v>44136</v>
      </c>
      <c r="C240">
        <v>81.8</v>
      </c>
    </row>
    <row r="241" spans="1:3" x14ac:dyDescent="0.25">
      <c r="A241">
        <f t="shared" si="4"/>
        <v>2020</v>
      </c>
      <c r="B241" s="2">
        <v>44166</v>
      </c>
      <c r="C241">
        <v>80.2</v>
      </c>
    </row>
    <row r="242" spans="1:3" x14ac:dyDescent="0.25">
      <c r="A242">
        <f t="shared" si="4"/>
        <v>2021</v>
      </c>
      <c r="B242" s="2">
        <v>44197</v>
      </c>
      <c r="C242">
        <v>78.099999999999994</v>
      </c>
    </row>
    <row r="243" spans="1:3" x14ac:dyDescent="0.25">
      <c r="A243">
        <f t="shared" si="4"/>
        <v>2021</v>
      </c>
      <c r="B243" s="2">
        <v>44228</v>
      </c>
      <c r="C243">
        <v>78.5</v>
      </c>
    </row>
    <row r="244" spans="1:3" x14ac:dyDescent="0.25">
      <c r="A244">
        <f t="shared" si="4"/>
        <v>2021</v>
      </c>
      <c r="B244" s="2">
        <v>44256</v>
      </c>
      <c r="C244">
        <v>77.2</v>
      </c>
    </row>
    <row r="245" spans="1:3" x14ac:dyDescent="0.25">
      <c r="A245">
        <f t="shared" si="4"/>
        <v>2021</v>
      </c>
      <c r="B245" s="2">
        <v>44287</v>
      </c>
      <c r="C245">
        <v>75.599999999999994</v>
      </c>
    </row>
    <row r="246" spans="1:3" x14ac:dyDescent="0.25">
      <c r="A246">
        <f t="shared" si="4"/>
        <v>2021</v>
      </c>
      <c r="B246" s="2">
        <v>44317</v>
      </c>
      <c r="C246">
        <v>77.3</v>
      </c>
    </row>
    <row r="247" spans="1:3" x14ac:dyDescent="0.25">
      <c r="A247">
        <f t="shared" si="4"/>
        <v>2021</v>
      </c>
      <c r="B247" s="2">
        <v>44348</v>
      </c>
      <c r="C247">
        <v>78.8</v>
      </c>
    </row>
    <row r="248" spans="1:3" x14ac:dyDescent="0.25">
      <c r="A248">
        <f t="shared" si="4"/>
        <v>2021</v>
      </c>
      <c r="B248" s="2">
        <v>44378</v>
      </c>
      <c r="C248">
        <v>79.5</v>
      </c>
    </row>
    <row r="249" spans="1:3" x14ac:dyDescent="0.25">
      <c r="A249">
        <f t="shared" si="4"/>
        <v>2021</v>
      </c>
      <c r="B249" s="2">
        <v>44409</v>
      </c>
      <c r="C249">
        <v>79.900000000000006</v>
      </c>
    </row>
    <row r="250" spans="1:3" x14ac:dyDescent="0.25">
      <c r="A250">
        <f t="shared" si="4"/>
        <v>2021</v>
      </c>
      <c r="B250" s="2">
        <v>44440</v>
      </c>
      <c r="C250">
        <v>81.3</v>
      </c>
    </row>
    <row r="251" spans="1:3" x14ac:dyDescent="0.25">
      <c r="A251">
        <f t="shared" si="4"/>
        <v>2021</v>
      </c>
      <c r="B251" s="2">
        <v>44470</v>
      </c>
      <c r="C251">
        <v>83.2</v>
      </c>
    </row>
    <row r="252" spans="1:3" x14ac:dyDescent="0.25">
      <c r="A252">
        <f t="shared" si="4"/>
        <v>2021</v>
      </c>
      <c r="B252" s="2">
        <v>44501</v>
      </c>
      <c r="C252">
        <v>82.8</v>
      </c>
    </row>
    <row r="253" spans="1:3" x14ac:dyDescent="0.25">
      <c r="A253">
        <f t="shared" si="4"/>
        <v>2021</v>
      </c>
      <c r="B253" s="2">
        <v>44531</v>
      </c>
      <c r="C253">
        <v>80.599999999999994</v>
      </c>
    </row>
    <row r="254" spans="1:3" x14ac:dyDescent="0.25">
      <c r="A254">
        <f t="shared" si="4"/>
        <v>2022</v>
      </c>
      <c r="B254" s="2">
        <v>44562</v>
      </c>
      <c r="C254">
        <v>78.900000000000006</v>
      </c>
    </row>
    <row r="255" spans="1:3" x14ac:dyDescent="0.25">
      <c r="A255">
        <f t="shared" si="4"/>
        <v>2022</v>
      </c>
      <c r="B255" s="2">
        <v>44593</v>
      </c>
      <c r="C255">
        <v>79.3</v>
      </c>
    </row>
    <row r="256" spans="1:3" x14ac:dyDescent="0.25">
      <c r="A256">
        <f t="shared" si="4"/>
        <v>2022</v>
      </c>
      <c r="B256" s="2">
        <v>44621</v>
      </c>
      <c r="C256">
        <v>79</v>
      </c>
    </row>
    <row r="257" spans="1:3" x14ac:dyDescent="0.25">
      <c r="A257">
        <f t="shared" si="4"/>
        <v>2022</v>
      </c>
      <c r="B257" s="2">
        <v>44652</v>
      </c>
      <c r="C257">
        <v>78.7</v>
      </c>
    </row>
    <row r="258" spans="1:3" x14ac:dyDescent="0.25">
      <c r="A258">
        <f t="shared" si="4"/>
        <v>2022</v>
      </c>
      <c r="B258" s="2">
        <v>44682</v>
      </c>
      <c r="C258">
        <v>80.3</v>
      </c>
    </row>
    <row r="259" spans="1:3" x14ac:dyDescent="0.25">
      <c r="A259">
        <f t="shared" ref="A259:A309" si="5">YEAR(B259)</f>
        <v>2022</v>
      </c>
      <c r="B259" s="2">
        <v>44713</v>
      </c>
      <c r="C259">
        <v>80.8</v>
      </c>
    </row>
    <row r="260" spans="1:3" x14ac:dyDescent="0.25">
      <c r="A260">
        <f t="shared" si="5"/>
        <v>2022</v>
      </c>
      <c r="B260" s="2">
        <v>44743</v>
      </c>
      <c r="C260">
        <v>81.7</v>
      </c>
    </row>
    <row r="261" spans="1:3" x14ac:dyDescent="0.25">
      <c r="A261">
        <f t="shared" si="5"/>
        <v>2022</v>
      </c>
      <c r="B261" s="2">
        <v>44774</v>
      </c>
      <c r="C261">
        <v>82.4</v>
      </c>
    </row>
    <row r="262" spans="1:3" x14ac:dyDescent="0.25">
      <c r="A262">
        <f t="shared" si="5"/>
        <v>2022</v>
      </c>
      <c r="B262" s="2">
        <v>44805</v>
      </c>
      <c r="C262">
        <v>81.900000000000006</v>
      </c>
    </row>
    <row r="263" spans="1:3" x14ac:dyDescent="0.25">
      <c r="A263">
        <f t="shared" si="5"/>
        <v>2022</v>
      </c>
      <c r="B263" s="2">
        <v>44835</v>
      </c>
      <c r="C263">
        <v>82.6</v>
      </c>
    </row>
    <row r="264" spans="1:3" x14ac:dyDescent="0.25">
      <c r="A264">
        <f t="shared" si="5"/>
        <v>2022</v>
      </c>
      <c r="B264" s="2">
        <v>44866</v>
      </c>
      <c r="C264">
        <v>81.900000000000006</v>
      </c>
    </row>
    <row r="265" spans="1:3" x14ac:dyDescent="0.25">
      <c r="A265">
        <f t="shared" si="5"/>
        <v>2022</v>
      </c>
      <c r="B265" s="2">
        <v>44896</v>
      </c>
      <c r="C265">
        <v>80.5</v>
      </c>
    </row>
    <row r="266" spans="1:3" x14ac:dyDescent="0.25">
      <c r="A266">
        <f t="shared" si="5"/>
        <v>2023</v>
      </c>
      <c r="B266" s="2">
        <v>44927</v>
      </c>
      <c r="C266">
        <v>77</v>
      </c>
    </row>
    <row r="267" spans="1:3" x14ac:dyDescent="0.25">
      <c r="A267">
        <f t="shared" si="5"/>
        <v>2023</v>
      </c>
      <c r="B267" s="2">
        <v>44958</v>
      </c>
      <c r="C267">
        <v>78.099999999999994</v>
      </c>
    </row>
    <row r="268" spans="1:3" x14ac:dyDescent="0.25">
      <c r="A268">
        <f t="shared" si="5"/>
        <v>2023</v>
      </c>
      <c r="B268" s="2">
        <v>44986</v>
      </c>
      <c r="C268">
        <v>77.900000000000006</v>
      </c>
    </row>
    <row r="269" spans="1:3" x14ac:dyDescent="0.25">
      <c r="A269">
        <f t="shared" si="5"/>
        <v>2023</v>
      </c>
      <c r="B269" s="2">
        <v>45017</v>
      </c>
      <c r="C269">
        <v>79.599999999999994</v>
      </c>
    </row>
    <row r="270" spans="1:3" x14ac:dyDescent="0.25">
      <c r="A270">
        <f t="shared" si="5"/>
        <v>2023</v>
      </c>
      <c r="B270" s="2">
        <v>45047</v>
      </c>
      <c r="C270">
        <v>79.599999999999994</v>
      </c>
    </row>
    <row r="271" spans="1:3" x14ac:dyDescent="0.25">
      <c r="A271">
        <f t="shared" si="5"/>
        <v>2023</v>
      </c>
      <c r="B271" s="2">
        <v>45078</v>
      </c>
      <c r="C271">
        <v>79.8</v>
      </c>
    </row>
    <row r="272" spans="1:3" x14ac:dyDescent="0.25">
      <c r="A272">
        <f t="shared" si="5"/>
        <v>2023</v>
      </c>
      <c r="B272" s="2">
        <v>45108</v>
      </c>
      <c r="C272">
        <v>80.400000000000006</v>
      </c>
    </row>
    <row r="273" spans="1:3" x14ac:dyDescent="0.25">
      <c r="A273">
        <f t="shared" si="5"/>
        <v>2023</v>
      </c>
      <c r="B273" s="2">
        <v>45139</v>
      </c>
      <c r="C273">
        <v>81</v>
      </c>
    </row>
    <row r="274" spans="1:3" x14ac:dyDescent="0.25">
      <c r="A274">
        <f t="shared" si="5"/>
        <v>2023</v>
      </c>
      <c r="B274" s="2">
        <v>45170</v>
      </c>
      <c r="C274">
        <v>82.8</v>
      </c>
    </row>
    <row r="275" spans="1:3" x14ac:dyDescent="0.25">
      <c r="A275">
        <f t="shared" si="5"/>
        <v>2023</v>
      </c>
      <c r="B275" s="2">
        <v>45200</v>
      </c>
      <c r="C275">
        <v>82.7</v>
      </c>
    </row>
    <row r="276" spans="1:3" x14ac:dyDescent="0.25">
      <c r="A276">
        <f t="shared" si="5"/>
        <v>2023</v>
      </c>
      <c r="B276" s="2">
        <v>45231</v>
      </c>
      <c r="C276">
        <v>83</v>
      </c>
    </row>
    <row r="277" spans="1:3" x14ac:dyDescent="0.25">
      <c r="A277">
        <f t="shared" si="5"/>
        <v>2023</v>
      </c>
      <c r="B277" s="2">
        <v>45261</v>
      </c>
      <c r="C277">
        <v>82.1</v>
      </c>
    </row>
    <row r="278" spans="1:3" x14ac:dyDescent="0.25">
      <c r="A278">
        <f t="shared" si="5"/>
        <v>2024</v>
      </c>
      <c r="B278" s="2">
        <v>45292</v>
      </c>
      <c r="C278">
        <v>79.2</v>
      </c>
    </row>
    <row r="279" spans="1:3" x14ac:dyDescent="0.25">
      <c r="A279">
        <f t="shared" si="5"/>
        <v>2024</v>
      </c>
      <c r="B279" s="2">
        <v>45323</v>
      </c>
      <c r="C279">
        <v>80</v>
      </c>
    </row>
    <row r="280" spans="1:3" x14ac:dyDescent="0.25">
      <c r="A280">
        <f t="shared" si="5"/>
        <v>2024</v>
      </c>
      <c r="B280" s="2">
        <v>45352</v>
      </c>
      <c r="C280">
        <v>80.099999999999994</v>
      </c>
    </row>
    <row r="281" spans="1:3" x14ac:dyDescent="0.25">
      <c r="A281">
        <f t="shared" si="5"/>
        <v>2024</v>
      </c>
      <c r="B281" s="2">
        <v>45383</v>
      </c>
      <c r="C281">
        <v>81.099999999999994</v>
      </c>
    </row>
    <row r="282" spans="1:3" x14ac:dyDescent="0.25">
      <c r="A282">
        <f t="shared" si="5"/>
        <v>2024</v>
      </c>
      <c r="B282" s="2">
        <v>45413</v>
      </c>
      <c r="C282">
        <v>81.3</v>
      </c>
    </row>
    <row r="283" spans="1:3" x14ac:dyDescent="0.25">
      <c r="A283">
        <f t="shared" si="5"/>
        <v>2024</v>
      </c>
      <c r="B283" s="2">
        <v>45444</v>
      </c>
      <c r="C283">
        <v>82.1</v>
      </c>
    </row>
    <row r="284" spans="1:3" x14ac:dyDescent="0.25">
      <c r="A284">
        <f t="shared" si="5"/>
        <v>2024</v>
      </c>
      <c r="B284" s="2">
        <v>45474</v>
      </c>
      <c r="C284">
        <v>83</v>
      </c>
    </row>
    <row r="285" spans="1:3" x14ac:dyDescent="0.25">
      <c r="A285">
        <f t="shared" si="5"/>
        <v>2024</v>
      </c>
      <c r="B285" s="2">
        <v>45505</v>
      </c>
      <c r="C285">
        <v>83.7</v>
      </c>
    </row>
    <row r="286" spans="1:3" x14ac:dyDescent="0.25">
      <c r="A286">
        <f t="shared" si="5"/>
        <v>2024</v>
      </c>
      <c r="B286" s="2">
        <v>45536</v>
      </c>
      <c r="C286">
        <v>84.6</v>
      </c>
    </row>
    <row r="287" spans="1:3" x14ac:dyDescent="0.25">
      <c r="A287">
        <f t="shared" si="5"/>
        <v>2024</v>
      </c>
      <c r="B287" s="2">
        <v>45566</v>
      </c>
      <c r="C287">
        <v>84.5</v>
      </c>
    </row>
    <row r="288" spans="1:3" x14ac:dyDescent="0.25">
      <c r="A288">
        <f t="shared" si="5"/>
        <v>2024</v>
      </c>
      <c r="B288" s="2">
        <v>45597</v>
      </c>
      <c r="C288">
        <v>83.7</v>
      </c>
    </row>
    <row r="289" spans="1:3" x14ac:dyDescent="0.25">
      <c r="A289">
        <f t="shared" si="5"/>
        <v>2024</v>
      </c>
      <c r="B289" s="2">
        <v>45627</v>
      </c>
      <c r="C289">
        <v>82.1</v>
      </c>
    </row>
    <row r="290" spans="1:3" x14ac:dyDescent="0.25">
      <c r="A290">
        <f t="shared" si="5"/>
        <v>2025</v>
      </c>
      <c r="B290" s="2">
        <v>45658</v>
      </c>
      <c r="C290">
        <v>79.7</v>
      </c>
    </row>
    <row r="291" spans="1:3" x14ac:dyDescent="0.25">
      <c r="A291">
        <f t="shared" si="5"/>
        <v>2025</v>
      </c>
      <c r="B291" s="2">
        <v>45689</v>
      </c>
      <c r="C291">
        <v>80</v>
      </c>
    </row>
    <row r="292" spans="1:3" x14ac:dyDescent="0.25">
      <c r="A292">
        <f t="shared" si="5"/>
        <v>2025</v>
      </c>
      <c r="B292" s="2">
        <v>45717</v>
      </c>
      <c r="C292">
        <v>80.2</v>
      </c>
    </row>
    <row r="293" spans="1:3" x14ac:dyDescent="0.25">
      <c r="A293">
        <f t="shared" si="5"/>
        <v>2025</v>
      </c>
      <c r="B293" s="2">
        <v>45748</v>
      </c>
      <c r="C293">
        <v>81.8</v>
      </c>
    </row>
    <row r="294" spans="1:3" x14ac:dyDescent="0.25">
      <c r="A294">
        <f t="shared" si="5"/>
        <v>2025</v>
      </c>
      <c r="B294" s="2">
        <v>45778</v>
      </c>
      <c r="C294">
        <v>83.1</v>
      </c>
    </row>
    <row r="295" spans="1:3" x14ac:dyDescent="0.25">
      <c r="A295">
        <f t="shared" si="5"/>
        <v>2025</v>
      </c>
      <c r="B295" s="2">
        <v>45809</v>
      </c>
      <c r="C295">
        <v>83.5</v>
      </c>
    </row>
    <row r="296" spans="1:3" x14ac:dyDescent="0.25">
      <c r="A296">
        <f t="shared" si="5"/>
        <v>2025</v>
      </c>
      <c r="B296" s="2">
        <v>45839</v>
      </c>
      <c r="C296">
        <v>82.2</v>
      </c>
    </row>
    <row r="297" spans="1:3" x14ac:dyDescent="0.25">
      <c r="A297">
        <f t="shared" si="5"/>
        <v>2025</v>
      </c>
      <c r="B297" s="2">
        <v>45870</v>
      </c>
      <c r="C297">
        <v>83.1</v>
      </c>
    </row>
    <row r="298" spans="1:3" x14ac:dyDescent="0.25">
      <c r="A298">
        <f t="shared" si="5"/>
        <v>2025</v>
      </c>
      <c r="B298" s="2">
        <v>45901</v>
      </c>
      <c r="C298">
        <v>83.8</v>
      </c>
    </row>
    <row r="299" spans="1:3" x14ac:dyDescent="0.25">
      <c r="A299">
        <f t="shared" si="5"/>
        <v>2025</v>
      </c>
      <c r="B299" s="2">
        <v>45931</v>
      </c>
      <c r="C299">
        <v>83.9</v>
      </c>
    </row>
    <row r="300" spans="1:3" x14ac:dyDescent="0.25">
      <c r="A300">
        <f t="shared" si="5"/>
        <v>2025</v>
      </c>
      <c r="B300" s="2">
        <v>45962</v>
      </c>
      <c r="C300">
        <v>81.7</v>
      </c>
    </row>
    <row r="301" spans="1:3" x14ac:dyDescent="0.25">
      <c r="A301">
        <f t="shared" si="5"/>
        <v>2025</v>
      </c>
      <c r="B301" s="2">
        <v>45992</v>
      </c>
      <c r="C301">
        <v>80.5</v>
      </c>
    </row>
    <row r="302" spans="1:3" x14ac:dyDescent="0.25">
      <c r="A302">
        <f t="shared" si="5"/>
        <v>2026</v>
      </c>
      <c r="B302" s="2">
        <v>46023</v>
      </c>
      <c r="C302">
        <v>79.099999999999994</v>
      </c>
    </row>
    <row r="303" spans="1:3" x14ac:dyDescent="0.25">
      <c r="A303">
        <f t="shared" si="5"/>
        <v>2026</v>
      </c>
      <c r="B303" s="2">
        <v>46054</v>
      </c>
      <c r="C303">
        <v>80.3</v>
      </c>
    </row>
    <row r="304" spans="1:3" x14ac:dyDescent="0.25">
      <c r="A304">
        <f t="shared" si="5"/>
        <v>2026</v>
      </c>
      <c r="B304" s="2">
        <v>46082</v>
      </c>
      <c r="C304">
        <v>80.900000000000006</v>
      </c>
    </row>
    <row r="305" spans="1:3" x14ac:dyDescent="0.25">
      <c r="A305">
        <f t="shared" si="5"/>
        <v>2026</v>
      </c>
      <c r="B305" s="2">
        <v>46113</v>
      </c>
      <c r="C305">
        <v>82.1</v>
      </c>
    </row>
    <row r="306" spans="1:3" x14ac:dyDescent="0.25">
      <c r="A306">
        <f t="shared" si="5"/>
        <v>2026</v>
      </c>
      <c r="B306" s="2">
        <v>46143</v>
      </c>
      <c r="C306">
        <v>82.4</v>
      </c>
    </row>
    <row r="307" spans="1:3" x14ac:dyDescent="0.25">
      <c r="A307">
        <f t="shared" si="5"/>
        <v>2026</v>
      </c>
      <c r="B307" s="2">
        <v>46174</v>
      </c>
      <c r="C307">
        <v>82.9</v>
      </c>
    </row>
    <row r="308" spans="1:3" x14ac:dyDescent="0.25">
      <c r="A308">
        <f t="shared" si="5"/>
        <v>2026</v>
      </c>
      <c r="B308" s="2">
        <v>46204</v>
      </c>
      <c r="C308">
        <v>82.9</v>
      </c>
    </row>
    <row r="309" spans="1:3" x14ac:dyDescent="0.25">
      <c r="A309">
        <f t="shared" si="5"/>
        <v>2026</v>
      </c>
      <c r="B309" s="2">
        <v>46235</v>
      </c>
      <c r="C309">
        <v>83.6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D34A-6DED-4E57-8993-BCEC11A1071E}">
  <sheetPr>
    <tabColor theme="5"/>
  </sheetPr>
  <dimension ref="A1:E16"/>
  <sheetViews>
    <sheetView tabSelected="1" workbookViewId="0">
      <selection activeCell="D34" sqref="D34"/>
    </sheetView>
  </sheetViews>
  <sheetFormatPr defaultRowHeight="15" x14ac:dyDescent="0.25"/>
  <cols>
    <col min="2" max="2" width="20.28515625" bestFit="1" customWidth="1"/>
    <col min="3" max="3" width="13.5703125" customWidth="1"/>
    <col min="4" max="4" width="13.85546875" bestFit="1" customWidth="1"/>
    <col min="5" max="5" width="37" bestFit="1" customWidth="1"/>
  </cols>
  <sheetData>
    <row r="1" spans="1:5" x14ac:dyDescent="0.25">
      <c r="B1" t="s">
        <v>5</v>
      </c>
      <c r="C1" t="s">
        <v>6</v>
      </c>
      <c r="E1" t="s">
        <v>7</v>
      </c>
    </row>
    <row r="2" spans="1:5" x14ac:dyDescent="0.25">
      <c r="A2">
        <v>2013</v>
      </c>
      <c r="B2">
        <f>VLOOKUP(A2,IPEA_razao_capital_produto!A:B,2,0)</f>
        <v>2.1101540000000001</v>
      </c>
      <c r="C2">
        <f>VLOOKUP(A2,FGV_NUCI!G:H,2,0)</f>
        <v>82.533333333333346</v>
      </c>
      <c r="E2">
        <f>B2*C2/100</f>
        <v>1.741580434666667</v>
      </c>
    </row>
    <row r="3" spans="1:5" x14ac:dyDescent="0.25">
      <c r="A3">
        <v>2014</v>
      </c>
      <c r="B3">
        <f>VLOOKUP(A3,IPEA_razao_capital_produto!A:B,2,0)</f>
        <v>2.148066</v>
      </c>
      <c r="C3">
        <f>VLOOKUP(A3,FGV_NUCI!G:H,2,0)</f>
        <v>81.208333333333329</v>
      </c>
      <c r="E3">
        <f t="shared" ref="E3:E14" si="0">B3*C3/100</f>
        <v>1.7444085974999999</v>
      </c>
    </row>
    <row r="4" spans="1:5" x14ac:dyDescent="0.25">
      <c r="A4">
        <v>2015</v>
      </c>
      <c r="B4">
        <f>VLOOKUP(A4,IPEA_razao_capital_produto!A:B,2,0)</f>
        <v>2.2437659999999999</v>
      </c>
      <c r="C4">
        <f>VLOOKUP(A4,FGV_NUCI!G:H,2,0)</f>
        <v>76.36666666666666</v>
      </c>
      <c r="E4">
        <f t="shared" si="0"/>
        <v>1.7134893019999999</v>
      </c>
    </row>
    <row r="5" spans="1:5" x14ac:dyDescent="0.25">
      <c r="A5">
        <v>2016</v>
      </c>
      <c r="B5">
        <f>VLOOKUP(A5,IPEA_razao_capital_produto!A:B,2,0)</f>
        <v>2.3146629999999999</v>
      </c>
      <c r="C5">
        <f>VLOOKUP(A5,FGV_NUCI!G:H,2,0)</f>
        <v>73.86666666666666</v>
      </c>
      <c r="E5">
        <f t="shared" si="0"/>
        <v>1.7097644026666665</v>
      </c>
    </row>
    <row r="6" spans="1:5" x14ac:dyDescent="0.25">
      <c r="A6">
        <v>2017</v>
      </c>
      <c r="B6">
        <f>VLOOKUP(A6,IPEA_razao_capital_produto!A:B,2,0)</f>
        <v>2.2758229999999999</v>
      </c>
      <c r="C6">
        <f>VLOOKUP(A6,FGV_NUCI!G:H,2,0)</f>
        <v>74.400000000000006</v>
      </c>
      <c r="E6">
        <f t="shared" si="0"/>
        <v>1.693212312</v>
      </c>
    </row>
    <row r="7" spans="1:5" x14ac:dyDescent="0.25">
      <c r="A7">
        <v>2018</v>
      </c>
      <c r="B7">
        <f>VLOOKUP(A7,IPEA_razao_capital_produto!A:B,2,0)</f>
        <v>2.2297570000000002</v>
      </c>
      <c r="C7">
        <f>VLOOKUP(A7,FGV_NUCI!G:H,2,0)</f>
        <v>75.858333333333334</v>
      </c>
      <c r="E7">
        <f t="shared" si="0"/>
        <v>1.6914564975833335</v>
      </c>
    </row>
    <row r="8" spans="1:5" x14ac:dyDescent="0.25">
      <c r="A8">
        <v>2019</v>
      </c>
      <c r="B8">
        <f>VLOOKUP(A8,IPEA_razao_capital_produto!A:B,2,0)</f>
        <v>2.2064140000000001</v>
      </c>
      <c r="C8">
        <f>VLOOKUP(A8,FGV_NUCI!G:H,2,0)</f>
        <v>75.108333333333334</v>
      </c>
      <c r="E8">
        <f t="shared" si="0"/>
        <v>1.6572007818333336</v>
      </c>
    </row>
    <row r="9" spans="1:5" x14ac:dyDescent="0.25">
      <c r="A9">
        <v>2020</v>
      </c>
      <c r="B9">
        <f>VLOOKUP(A9,IPEA_razao_capital_produto!A:B,2,0)</f>
        <v>2.277428</v>
      </c>
      <c r="C9">
        <f>VLOOKUP(A9,FGV_NUCI!G:H,2,0)</f>
        <v>73.05</v>
      </c>
      <c r="E9">
        <f t="shared" si="0"/>
        <v>1.6636611539999999</v>
      </c>
    </row>
    <row r="10" spans="1:5" x14ac:dyDescent="0.25">
      <c r="A10">
        <v>2021</v>
      </c>
      <c r="B10">
        <f>VLOOKUP(A10,IPEA_razao_capital_produto!A:B,2,0)</f>
        <v>2.1891910000000001</v>
      </c>
      <c r="C10">
        <f>VLOOKUP(A10,FGV_NUCI!G:H,2,0)</f>
        <v>79.399999999999991</v>
      </c>
      <c r="E10">
        <f t="shared" si="0"/>
        <v>1.7382176540000001</v>
      </c>
    </row>
    <row r="11" spans="1:5" x14ac:dyDescent="0.25">
      <c r="A11">
        <v>2022</v>
      </c>
      <c r="B11">
        <f>VLOOKUP(A11,IPEA_razao_capital_produto!A:B,2,0)</f>
        <v>2.1420309999999998</v>
      </c>
      <c r="C11">
        <f>VLOOKUP(A11,FGV_NUCI!G:H,2,0)</f>
        <v>80.666666666666671</v>
      </c>
      <c r="E11">
        <f t="shared" si="0"/>
        <v>1.7279050066666668</v>
      </c>
    </row>
    <row r="12" spans="1:5" x14ac:dyDescent="0.25">
      <c r="A12">
        <v>2023</v>
      </c>
      <c r="B12">
        <f>VLOOKUP(A12,IPEA_razao_capital_produto!A:B,2,0)</f>
        <v>2.086347</v>
      </c>
      <c r="C12">
        <f>VLOOKUP(A12,FGV_NUCI!G:H,2,0)</f>
        <v>80.333333333333343</v>
      </c>
      <c r="E12">
        <f t="shared" si="0"/>
        <v>1.6760320900000003</v>
      </c>
    </row>
    <row r="13" spans="1:5" x14ac:dyDescent="0.25">
      <c r="A13">
        <v>2024</v>
      </c>
      <c r="B13">
        <f>VLOOKUP(A13,IPEA_razao_capital_produto!A:B,2,0)</f>
        <v>2.0367120000000001</v>
      </c>
      <c r="C13">
        <f>VLOOKUP(A13,FGV_NUCI!G:H,2,0)</f>
        <v>82.116666666666674</v>
      </c>
      <c r="E13">
        <f t="shared" si="0"/>
        <v>1.6724800040000003</v>
      </c>
    </row>
    <row r="14" spans="1:5" x14ac:dyDescent="0.25">
      <c r="A14">
        <v>2025</v>
      </c>
      <c r="B14">
        <f>VLOOKUP(A14,IPEA_razao_capital_produto!A:B,2,0)</f>
        <v>2.044473</v>
      </c>
      <c r="C14">
        <f>VLOOKUP(A14,FGV_NUCI!G:H,2,0)</f>
        <v>81.958333333333329</v>
      </c>
      <c r="E14">
        <f t="shared" si="0"/>
        <v>1.6756159962499999</v>
      </c>
    </row>
    <row r="16" spans="1:5" x14ac:dyDescent="0.25">
      <c r="A16" t="s">
        <v>8</v>
      </c>
      <c r="C16">
        <f>AVERAGE(C2:C14)</f>
        <v>78.220512820512823</v>
      </c>
      <c r="E16">
        <f>AVERAGE(E2:E14)</f>
        <v>1.7003864794743586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11F6C-5859-47C6-9FA1-0A37DE793D80}">
  <sheetPr>
    <tabColor theme="5" tint="0.79998168889431442"/>
  </sheetPr>
  <dimension ref="A1:J3447"/>
  <sheetViews>
    <sheetView zoomScale="85" zoomScaleNormal="85" workbookViewId="0">
      <selection activeCell="J1" sqref="J1:J1048576"/>
    </sheetView>
  </sheetViews>
  <sheetFormatPr defaultRowHeight="12.75" x14ac:dyDescent="0.2"/>
  <cols>
    <col min="1" max="1" width="12.28515625" style="5" bestFit="1" customWidth="1"/>
    <col min="2" max="2" width="9.140625" style="5"/>
    <col min="3" max="3" width="23.42578125" style="5" customWidth="1"/>
    <col min="4" max="8" width="9.140625" style="5"/>
    <col min="9" max="9" width="10.28515625" style="5" bestFit="1" customWidth="1"/>
    <col min="10" max="10" width="9.140625" style="11"/>
    <col min="11" max="255" width="9.140625" style="5"/>
    <col min="256" max="256" width="23.42578125" style="5" customWidth="1"/>
    <col min="257" max="511" width="9.140625" style="5"/>
    <col min="512" max="512" width="23.42578125" style="5" customWidth="1"/>
    <col min="513" max="767" width="9.140625" style="5"/>
    <col min="768" max="768" width="23.42578125" style="5" customWidth="1"/>
    <col min="769" max="1023" width="9.140625" style="5"/>
    <col min="1024" max="1024" width="23.42578125" style="5" customWidth="1"/>
    <col min="1025" max="1279" width="9.140625" style="5"/>
    <col min="1280" max="1280" width="23.42578125" style="5" customWidth="1"/>
    <col min="1281" max="1535" width="9.140625" style="5"/>
    <col min="1536" max="1536" width="23.42578125" style="5" customWidth="1"/>
    <col min="1537" max="1791" width="9.140625" style="5"/>
    <col min="1792" max="1792" width="23.42578125" style="5" customWidth="1"/>
    <col min="1793" max="2047" width="9.140625" style="5"/>
    <col min="2048" max="2048" width="23.42578125" style="5" customWidth="1"/>
    <col min="2049" max="2303" width="9.140625" style="5"/>
    <col min="2304" max="2304" width="23.42578125" style="5" customWidth="1"/>
    <col min="2305" max="2559" width="9.140625" style="5"/>
    <col min="2560" max="2560" width="23.42578125" style="5" customWidth="1"/>
    <col min="2561" max="2815" width="9.140625" style="5"/>
    <col min="2816" max="2816" width="23.42578125" style="5" customWidth="1"/>
    <col min="2817" max="3071" width="9.140625" style="5"/>
    <col min="3072" max="3072" width="23.42578125" style="5" customWidth="1"/>
    <col min="3073" max="3327" width="9.140625" style="5"/>
    <col min="3328" max="3328" width="23.42578125" style="5" customWidth="1"/>
    <col min="3329" max="3583" width="9.140625" style="5"/>
    <col min="3584" max="3584" width="23.42578125" style="5" customWidth="1"/>
    <col min="3585" max="3839" width="9.140625" style="5"/>
    <col min="3840" max="3840" width="23.42578125" style="5" customWidth="1"/>
    <col min="3841" max="4095" width="9.140625" style="5"/>
    <col min="4096" max="4096" width="23.42578125" style="5" customWidth="1"/>
    <col min="4097" max="4351" width="9.140625" style="5"/>
    <col min="4352" max="4352" width="23.42578125" style="5" customWidth="1"/>
    <col min="4353" max="4607" width="9.140625" style="5"/>
    <col min="4608" max="4608" width="23.42578125" style="5" customWidth="1"/>
    <col min="4609" max="4863" width="9.140625" style="5"/>
    <col min="4864" max="4864" width="23.42578125" style="5" customWidth="1"/>
    <col min="4865" max="5119" width="9.140625" style="5"/>
    <col min="5120" max="5120" width="23.42578125" style="5" customWidth="1"/>
    <col min="5121" max="5375" width="9.140625" style="5"/>
    <col min="5376" max="5376" width="23.42578125" style="5" customWidth="1"/>
    <col min="5377" max="5631" width="9.140625" style="5"/>
    <col min="5632" max="5632" width="23.42578125" style="5" customWidth="1"/>
    <col min="5633" max="5887" width="9.140625" style="5"/>
    <col min="5888" max="5888" width="23.42578125" style="5" customWidth="1"/>
    <col min="5889" max="6143" width="9.140625" style="5"/>
    <col min="6144" max="6144" width="23.42578125" style="5" customWidth="1"/>
    <col min="6145" max="6399" width="9.140625" style="5"/>
    <col min="6400" max="6400" width="23.42578125" style="5" customWidth="1"/>
    <col min="6401" max="6655" width="9.140625" style="5"/>
    <col min="6656" max="6656" width="23.42578125" style="5" customWidth="1"/>
    <col min="6657" max="6911" width="9.140625" style="5"/>
    <col min="6912" max="6912" width="23.42578125" style="5" customWidth="1"/>
    <col min="6913" max="7167" width="9.140625" style="5"/>
    <col min="7168" max="7168" width="23.42578125" style="5" customWidth="1"/>
    <col min="7169" max="7423" width="9.140625" style="5"/>
    <col min="7424" max="7424" width="23.42578125" style="5" customWidth="1"/>
    <col min="7425" max="7679" width="9.140625" style="5"/>
    <col min="7680" max="7680" width="23.42578125" style="5" customWidth="1"/>
    <col min="7681" max="7935" width="9.140625" style="5"/>
    <col min="7936" max="7936" width="23.42578125" style="5" customWidth="1"/>
    <col min="7937" max="8191" width="9.140625" style="5"/>
    <col min="8192" max="8192" width="23.42578125" style="5" customWidth="1"/>
    <col min="8193" max="8447" width="9.140625" style="5"/>
    <col min="8448" max="8448" width="23.42578125" style="5" customWidth="1"/>
    <col min="8449" max="8703" width="9.140625" style="5"/>
    <col min="8704" max="8704" width="23.42578125" style="5" customWidth="1"/>
    <col min="8705" max="8959" width="9.140625" style="5"/>
    <col min="8960" max="8960" width="23.42578125" style="5" customWidth="1"/>
    <col min="8961" max="9215" width="9.140625" style="5"/>
    <col min="9216" max="9216" width="23.42578125" style="5" customWidth="1"/>
    <col min="9217" max="9471" width="9.140625" style="5"/>
    <col min="9472" max="9472" width="23.42578125" style="5" customWidth="1"/>
    <col min="9473" max="9727" width="9.140625" style="5"/>
    <col min="9728" max="9728" width="23.42578125" style="5" customWidth="1"/>
    <col min="9729" max="9983" width="9.140625" style="5"/>
    <col min="9984" max="9984" width="23.42578125" style="5" customWidth="1"/>
    <col min="9985" max="10239" width="9.140625" style="5"/>
    <col min="10240" max="10240" width="23.42578125" style="5" customWidth="1"/>
    <col min="10241" max="10495" width="9.140625" style="5"/>
    <col min="10496" max="10496" width="23.42578125" style="5" customWidth="1"/>
    <col min="10497" max="10751" width="9.140625" style="5"/>
    <col min="10752" max="10752" width="23.42578125" style="5" customWidth="1"/>
    <col min="10753" max="11007" width="9.140625" style="5"/>
    <col min="11008" max="11008" width="23.42578125" style="5" customWidth="1"/>
    <col min="11009" max="11263" width="9.140625" style="5"/>
    <col min="11264" max="11264" width="23.42578125" style="5" customWidth="1"/>
    <col min="11265" max="11519" width="9.140625" style="5"/>
    <col min="11520" max="11520" width="23.42578125" style="5" customWidth="1"/>
    <col min="11521" max="11775" width="9.140625" style="5"/>
    <col min="11776" max="11776" width="23.42578125" style="5" customWidth="1"/>
    <col min="11777" max="12031" width="9.140625" style="5"/>
    <col min="12032" max="12032" width="23.42578125" style="5" customWidth="1"/>
    <col min="12033" max="12287" width="9.140625" style="5"/>
    <col min="12288" max="12288" width="23.42578125" style="5" customWidth="1"/>
    <col min="12289" max="12543" width="9.140625" style="5"/>
    <col min="12544" max="12544" width="23.42578125" style="5" customWidth="1"/>
    <col min="12545" max="12799" width="9.140625" style="5"/>
    <col min="12800" max="12800" width="23.42578125" style="5" customWidth="1"/>
    <col min="12801" max="13055" width="9.140625" style="5"/>
    <col min="13056" max="13056" width="23.42578125" style="5" customWidth="1"/>
    <col min="13057" max="13311" width="9.140625" style="5"/>
    <col min="13312" max="13312" width="23.42578125" style="5" customWidth="1"/>
    <col min="13313" max="13567" width="9.140625" style="5"/>
    <col min="13568" max="13568" width="23.42578125" style="5" customWidth="1"/>
    <col min="13569" max="13823" width="9.140625" style="5"/>
    <col min="13824" max="13824" width="23.42578125" style="5" customWidth="1"/>
    <col min="13825" max="14079" width="9.140625" style="5"/>
    <col min="14080" max="14080" width="23.42578125" style="5" customWidth="1"/>
    <col min="14081" max="14335" width="9.140625" style="5"/>
    <col min="14336" max="14336" width="23.42578125" style="5" customWidth="1"/>
    <col min="14337" max="14591" width="9.140625" style="5"/>
    <col min="14592" max="14592" width="23.42578125" style="5" customWidth="1"/>
    <col min="14593" max="14847" width="9.140625" style="5"/>
    <col min="14848" max="14848" width="23.42578125" style="5" customWidth="1"/>
    <col min="14849" max="15103" width="9.140625" style="5"/>
    <col min="15104" max="15104" width="23.42578125" style="5" customWidth="1"/>
    <col min="15105" max="15359" width="9.140625" style="5"/>
    <col min="15360" max="15360" width="23.42578125" style="5" customWidth="1"/>
    <col min="15361" max="15615" width="9.140625" style="5"/>
    <col min="15616" max="15616" width="23.42578125" style="5" customWidth="1"/>
    <col min="15617" max="15871" width="9.140625" style="5"/>
    <col min="15872" max="15872" width="23.42578125" style="5" customWidth="1"/>
    <col min="15873" max="16127" width="9.140625" style="5"/>
    <col min="16128" max="16128" width="23.42578125" style="5" customWidth="1"/>
    <col min="16129" max="16384" width="9.140625" style="5"/>
  </cols>
  <sheetData>
    <row r="1" spans="1:10" x14ac:dyDescent="0.2">
      <c r="C1" s="5" t="s">
        <v>9</v>
      </c>
    </row>
    <row r="2" spans="1:10" x14ac:dyDescent="0.2">
      <c r="A2" s="5" t="s">
        <v>17</v>
      </c>
      <c r="B2" s="5" t="s">
        <v>3</v>
      </c>
      <c r="C2" s="6" t="s">
        <v>0</v>
      </c>
      <c r="D2" s="6" t="s">
        <v>10</v>
      </c>
      <c r="E2" s="6" t="s">
        <v>11</v>
      </c>
      <c r="G2" s="5" t="s">
        <v>17</v>
      </c>
      <c r="H2" s="5" t="s">
        <v>3</v>
      </c>
      <c r="I2" s="5" t="s">
        <v>18</v>
      </c>
      <c r="J2" s="11" t="s">
        <v>19</v>
      </c>
    </row>
    <row r="3" spans="1:10" x14ac:dyDescent="0.2">
      <c r="A3" s="5">
        <f>MONTH(C3)</f>
        <v>1</v>
      </c>
      <c r="B3" s="5">
        <f>YEAR(C3)</f>
        <v>2013</v>
      </c>
      <c r="C3" s="7">
        <v>41276</v>
      </c>
      <c r="D3" s="8">
        <v>5.67</v>
      </c>
      <c r="E3" s="8">
        <v>5.52</v>
      </c>
      <c r="G3" s="5">
        <f>MONTH(I3)</f>
        <v>1</v>
      </c>
      <c r="H3" s="5">
        <f>YEAR(I3)</f>
        <v>2013</v>
      </c>
      <c r="I3" s="10">
        <v>41275</v>
      </c>
      <c r="J3" s="11">
        <f>AVERAGEIFS(D:D,A:A,G3,B:B,H3)</f>
        <v>5.6436363636363636</v>
      </c>
    </row>
    <row r="4" spans="1:10" x14ac:dyDescent="0.2">
      <c r="A4" s="5">
        <f t="shared" ref="A4:A67" si="0">MONTH(C4)</f>
        <v>1</v>
      </c>
      <c r="B4" s="5">
        <f t="shared" ref="B4:B67" si="1">YEAR(C4)</f>
        <v>2013</v>
      </c>
      <c r="C4" s="7">
        <v>41277</v>
      </c>
      <c r="D4" s="8">
        <v>5.67</v>
      </c>
      <c r="E4" s="8">
        <v>5.52</v>
      </c>
      <c r="G4" s="5">
        <f t="shared" ref="G4:G67" si="2">MONTH(I4)</f>
        <v>2</v>
      </c>
      <c r="H4" s="5">
        <f t="shared" ref="H4:H67" si="3">YEAR(I4)</f>
        <v>2013</v>
      </c>
      <c r="I4" s="10">
        <v>41306</v>
      </c>
      <c r="J4" s="11">
        <f t="shared" ref="J4:J67" si="4">AVERAGEIFS(D:D,A:A,G4,B:B,H4)</f>
        <v>5.4972222222222218</v>
      </c>
    </row>
    <row r="5" spans="1:10" x14ac:dyDescent="0.2">
      <c r="A5" s="5">
        <f t="shared" si="0"/>
        <v>1</v>
      </c>
      <c r="B5" s="5">
        <f t="shared" si="1"/>
        <v>2013</v>
      </c>
      <c r="C5" s="7">
        <v>41278</v>
      </c>
      <c r="D5" s="8">
        <v>5.67</v>
      </c>
      <c r="E5" s="8">
        <v>5.52</v>
      </c>
      <c r="G5" s="5">
        <f t="shared" si="2"/>
        <v>3</v>
      </c>
      <c r="H5" s="5">
        <f t="shared" si="3"/>
        <v>2013</v>
      </c>
      <c r="I5" s="10">
        <v>41334</v>
      </c>
      <c r="J5" s="11">
        <f t="shared" si="4"/>
        <v>5.4490000000000007</v>
      </c>
    </row>
    <row r="6" spans="1:10" x14ac:dyDescent="0.2">
      <c r="A6" s="5">
        <f t="shared" si="0"/>
        <v>1</v>
      </c>
      <c r="B6" s="5">
        <f t="shared" si="1"/>
        <v>2013</v>
      </c>
      <c r="C6" s="7">
        <v>41281</v>
      </c>
      <c r="D6" s="8">
        <v>5.67</v>
      </c>
      <c r="E6" s="8">
        <v>5.5</v>
      </c>
      <c r="G6" s="5">
        <f t="shared" si="2"/>
        <v>4</v>
      </c>
      <c r="H6" s="5">
        <f t="shared" si="3"/>
        <v>2013</v>
      </c>
      <c r="I6" s="10">
        <v>41365</v>
      </c>
      <c r="J6" s="11">
        <f t="shared" si="4"/>
        <v>5.461363636363636</v>
      </c>
    </row>
    <row r="7" spans="1:10" x14ac:dyDescent="0.2">
      <c r="A7" s="5">
        <f t="shared" si="0"/>
        <v>1</v>
      </c>
      <c r="B7" s="5">
        <f t="shared" si="1"/>
        <v>2013</v>
      </c>
      <c r="C7" s="7">
        <v>41282</v>
      </c>
      <c r="D7" s="8">
        <v>5.69</v>
      </c>
      <c r="E7" s="8">
        <v>5.53</v>
      </c>
      <c r="G7" s="5">
        <f t="shared" si="2"/>
        <v>5</v>
      </c>
      <c r="H7" s="5">
        <f t="shared" si="3"/>
        <v>2013</v>
      </c>
      <c r="I7" s="10">
        <v>41395</v>
      </c>
      <c r="J7" s="11">
        <f t="shared" si="4"/>
        <v>5.588571428571429</v>
      </c>
    </row>
    <row r="8" spans="1:10" x14ac:dyDescent="0.2">
      <c r="A8" s="5">
        <f t="shared" si="0"/>
        <v>1</v>
      </c>
      <c r="B8" s="5">
        <f t="shared" si="1"/>
        <v>2013</v>
      </c>
      <c r="C8" s="7">
        <v>41283</v>
      </c>
      <c r="D8" s="8">
        <v>5.71</v>
      </c>
      <c r="E8" s="8">
        <v>5.52</v>
      </c>
      <c r="G8" s="5">
        <f t="shared" si="2"/>
        <v>6</v>
      </c>
      <c r="H8" s="5">
        <f t="shared" si="3"/>
        <v>2013</v>
      </c>
      <c r="I8" s="10">
        <v>41426</v>
      </c>
      <c r="J8" s="11">
        <f t="shared" si="4"/>
        <v>5.6944999999999988</v>
      </c>
    </row>
    <row r="9" spans="1:10" x14ac:dyDescent="0.2">
      <c r="A9" s="5">
        <f t="shared" si="0"/>
        <v>1</v>
      </c>
      <c r="B9" s="5">
        <f t="shared" si="1"/>
        <v>2013</v>
      </c>
      <c r="C9" s="7">
        <v>41284</v>
      </c>
      <c r="D9" s="8">
        <v>5.51</v>
      </c>
      <c r="E9" s="8">
        <v>5.54</v>
      </c>
      <c r="G9" s="5">
        <f t="shared" si="2"/>
        <v>7</v>
      </c>
      <c r="H9" s="5">
        <f t="shared" si="3"/>
        <v>2013</v>
      </c>
      <c r="I9" s="10">
        <v>41456</v>
      </c>
      <c r="J9" s="11">
        <f t="shared" si="4"/>
        <v>5.6482608695652186</v>
      </c>
    </row>
    <row r="10" spans="1:10" x14ac:dyDescent="0.2">
      <c r="A10" s="5">
        <f t="shared" si="0"/>
        <v>1</v>
      </c>
      <c r="B10" s="5">
        <f t="shared" si="1"/>
        <v>2013</v>
      </c>
      <c r="C10" s="7">
        <v>41285</v>
      </c>
      <c r="D10" s="8">
        <v>5.53</v>
      </c>
      <c r="E10" s="8">
        <v>5.53</v>
      </c>
      <c r="G10" s="5">
        <f t="shared" si="2"/>
        <v>8</v>
      </c>
      <c r="H10" s="5">
        <f t="shared" si="3"/>
        <v>2013</v>
      </c>
      <c r="I10" s="10">
        <v>41487</v>
      </c>
      <c r="J10" s="11">
        <f t="shared" si="4"/>
        <v>5.9313636363636366</v>
      </c>
    </row>
    <row r="11" spans="1:10" x14ac:dyDescent="0.2">
      <c r="A11" s="5">
        <f t="shared" si="0"/>
        <v>1</v>
      </c>
      <c r="B11" s="5">
        <f t="shared" si="1"/>
        <v>2013</v>
      </c>
      <c r="C11" s="7">
        <v>41288</v>
      </c>
      <c r="D11" s="8">
        <v>5.58</v>
      </c>
      <c r="E11" s="8">
        <v>5.55</v>
      </c>
      <c r="G11" s="5">
        <f t="shared" si="2"/>
        <v>9</v>
      </c>
      <c r="H11" s="5">
        <f t="shared" si="3"/>
        <v>2013</v>
      </c>
      <c r="I11" s="10">
        <v>41518</v>
      </c>
      <c r="J11" s="11">
        <f t="shared" si="4"/>
        <v>6.1799999999999988</v>
      </c>
    </row>
    <row r="12" spans="1:10" x14ac:dyDescent="0.2">
      <c r="A12" s="5">
        <f t="shared" si="0"/>
        <v>1</v>
      </c>
      <c r="B12" s="5">
        <f t="shared" si="1"/>
        <v>2013</v>
      </c>
      <c r="C12" s="7">
        <v>41289</v>
      </c>
      <c r="D12" s="8">
        <v>5.58</v>
      </c>
      <c r="E12" s="8">
        <v>5.55</v>
      </c>
      <c r="G12" s="5">
        <f t="shared" si="2"/>
        <v>10</v>
      </c>
      <c r="H12" s="5">
        <f t="shared" si="3"/>
        <v>2013</v>
      </c>
      <c r="I12" s="10">
        <v>41548</v>
      </c>
      <c r="J12" s="11">
        <f t="shared" si="4"/>
        <v>6.2482608695652173</v>
      </c>
    </row>
    <row r="13" spans="1:10" x14ac:dyDescent="0.2">
      <c r="A13" s="5">
        <f t="shared" si="0"/>
        <v>1</v>
      </c>
      <c r="B13" s="5">
        <f t="shared" si="1"/>
        <v>2013</v>
      </c>
      <c r="C13" s="7">
        <v>41290</v>
      </c>
      <c r="D13" s="8">
        <v>5.59</v>
      </c>
      <c r="E13" s="8">
        <v>5.54</v>
      </c>
      <c r="G13" s="5">
        <f t="shared" si="2"/>
        <v>11</v>
      </c>
      <c r="H13" s="5">
        <f t="shared" si="3"/>
        <v>2013</v>
      </c>
      <c r="I13" s="10">
        <v>41579</v>
      </c>
      <c r="J13" s="11">
        <f t="shared" si="4"/>
        <v>6.1995000000000022</v>
      </c>
    </row>
    <row r="14" spans="1:10" x14ac:dyDescent="0.2">
      <c r="A14" s="5">
        <f t="shared" si="0"/>
        <v>1</v>
      </c>
      <c r="B14" s="5">
        <f t="shared" si="1"/>
        <v>2013</v>
      </c>
      <c r="C14" s="7">
        <v>41291</v>
      </c>
      <c r="D14" s="8">
        <v>5.61</v>
      </c>
      <c r="E14" s="8">
        <v>5.55</v>
      </c>
      <c r="G14" s="5">
        <f t="shared" si="2"/>
        <v>12</v>
      </c>
      <c r="H14" s="5">
        <f t="shared" si="3"/>
        <v>2013</v>
      </c>
      <c r="I14" s="10">
        <v>41609</v>
      </c>
      <c r="J14" s="11">
        <f t="shared" si="4"/>
        <v>6.1057142857142859</v>
      </c>
    </row>
    <row r="15" spans="1:10" x14ac:dyDescent="0.2">
      <c r="A15" s="5">
        <f t="shared" si="0"/>
        <v>1</v>
      </c>
      <c r="B15" s="5">
        <f t="shared" si="1"/>
        <v>2013</v>
      </c>
      <c r="C15" s="7">
        <v>41292</v>
      </c>
      <c r="D15" s="8">
        <v>5.65</v>
      </c>
      <c r="E15" s="8">
        <v>5.56</v>
      </c>
      <c r="G15" s="5">
        <f t="shared" si="2"/>
        <v>1</v>
      </c>
      <c r="H15" s="5">
        <f t="shared" si="3"/>
        <v>2014</v>
      </c>
      <c r="I15" s="10">
        <v>41640</v>
      </c>
      <c r="J15" s="11">
        <f t="shared" si="4"/>
        <v>6.0440909090909107</v>
      </c>
    </row>
    <row r="16" spans="1:10" x14ac:dyDescent="0.2">
      <c r="A16" s="5">
        <f t="shared" si="0"/>
        <v>1</v>
      </c>
      <c r="B16" s="5">
        <f t="shared" si="1"/>
        <v>2013</v>
      </c>
      <c r="C16" s="7">
        <v>41295</v>
      </c>
      <c r="D16" s="8">
        <v>5.67</v>
      </c>
      <c r="E16" s="8">
        <v>5.59</v>
      </c>
      <c r="G16" s="5">
        <f t="shared" si="2"/>
        <v>2</v>
      </c>
      <c r="H16" s="5">
        <f t="shared" si="3"/>
        <v>2014</v>
      </c>
      <c r="I16" s="10">
        <v>41671</v>
      </c>
      <c r="J16" s="11">
        <f t="shared" si="4"/>
        <v>6.0694999999999997</v>
      </c>
    </row>
    <row r="17" spans="1:10" x14ac:dyDescent="0.2">
      <c r="A17" s="5">
        <f t="shared" si="0"/>
        <v>1</v>
      </c>
      <c r="B17" s="5">
        <f t="shared" si="1"/>
        <v>2013</v>
      </c>
      <c r="C17" s="7">
        <v>41296</v>
      </c>
      <c r="D17" s="8">
        <v>5.66</v>
      </c>
      <c r="E17" s="8">
        <v>5.54</v>
      </c>
      <c r="G17" s="5">
        <f t="shared" si="2"/>
        <v>3</v>
      </c>
      <c r="H17" s="5">
        <f t="shared" si="3"/>
        <v>2014</v>
      </c>
      <c r="I17" s="10">
        <v>41699</v>
      </c>
      <c r="J17" s="11">
        <f t="shared" si="4"/>
        <v>6.2305263157894721</v>
      </c>
    </row>
    <row r="18" spans="1:10" x14ac:dyDescent="0.2">
      <c r="A18" s="5">
        <f t="shared" si="0"/>
        <v>1</v>
      </c>
      <c r="B18" s="5">
        <f t="shared" si="1"/>
        <v>2013</v>
      </c>
      <c r="C18" s="7">
        <v>41297</v>
      </c>
      <c r="D18" s="8">
        <v>5.67</v>
      </c>
      <c r="E18" s="8">
        <v>5.53</v>
      </c>
      <c r="G18" s="5">
        <f t="shared" si="2"/>
        <v>4</v>
      </c>
      <c r="H18" s="5">
        <f t="shared" si="3"/>
        <v>2014</v>
      </c>
      <c r="I18" s="10">
        <v>41730</v>
      </c>
      <c r="J18" s="11">
        <f t="shared" si="4"/>
        <v>6.2055000000000007</v>
      </c>
    </row>
    <row r="19" spans="1:10" x14ac:dyDescent="0.2">
      <c r="A19" s="5">
        <f t="shared" si="0"/>
        <v>1</v>
      </c>
      <c r="B19" s="5">
        <f t="shared" si="1"/>
        <v>2013</v>
      </c>
      <c r="C19" s="7">
        <v>41298</v>
      </c>
      <c r="D19" s="8">
        <v>5.67</v>
      </c>
      <c r="E19" s="8">
        <v>5.54</v>
      </c>
      <c r="G19" s="5">
        <f t="shared" si="2"/>
        <v>5</v>
      </c>
      <c r="H19" s="5">
        <f t="shared" si="3"/>
        <v>2014</v>
      </c>
      <c r="I19" s="10">
        <v>41760</v>
      </c>
      <c r="J19" s="11">
        <f t="shared" si="4"/>
        <v>6.0038095238095242</v>
      </c>
    </row>
    <row r="20" spans="1:10" x14ac:dyDescent="0.2">
      <c r="A20" s="5">
        <f t="shared" si="0"/>
        <v>1</v>
      </c>
      <c r="B20" s="5">
        <f t="shared" si="1"/>
        <v>2013</v>
      </c>
      <c r="C20" s="7">
        <v>41299</v>
      </c>
      <c r="D20" s="8">
        <v>5.67</v>
      </c>
      <c r="E20" s="8">
        <v>5.53</v>
      </c>
      <c r="G20" s="5">
        <f t="shared" si="2"/>
        <v>6</v>
      </c>
      <c r="H20" s="5">
        <f t="shared" si="3"/>
        <v>2014</v>
      </c>
      <c r="I20" s="10">
        <v>41791</v>
      </c>
      <c r="J20" s="11">
        <f t="shared" si="4"/>
        <v>5.9569999999999972</v>
      </c>
    </row>
    <row r="21" spans="1:10" x14ac:dyDescent="0.2">
      <c r="A21" s="5">
        <f t="shared" si="0"/>
        <v>1</v>
      </c>
      <c r="B21" s="5">
        <f t="shared" si="1"/>
        <v>2013</v>
      </c>
      <c r="C21" s="7">
        <v>41302</v>
      </c>
      <c r="D21" s="8">
        <v>5.67</v>
      </c>
      <c r="E21" s="8">
        <v>5.49</v>
      </c>
      <c r="G21" s="5">
        <f t="shared" si="2"/>
        <v>7</v>
      </c>
      <c r="H21" s="5">
        <f t="shared" si="3"/>
        <v>2014</v>
      </c>
      <c r="I21" s="10">
        <v>41821</v>
      </c>
      <c r="J21" s="11">
        <f t="shared" si="4"/>
        <v>5.8956521739130405</v>
      </c>
    </row>
    <row r="22" spans="1:10" x14ac:dyDescent="0.2">
      <c r="A22" s="5">
        <f t="shared" si="0"/>
        <v>1</v>
      </c>
      <c r="B22" s="5">
        <f t="shared" si="1"/>
        <v>2013</v>
      </c>
      <c r="C22" s="7">
        <v>41303</v>
      </c>
      <c r="D22" s="8">
        <v>5.67</v>
      </c>
      <c r="E22" s="8">
        <v>5.48</v>
      </c>
      <c r="G22" s="5">
        <f t="shared" si="2"/>
        <v>8</v>
      </c>
      <c r="H22" s="5">
        <f t="shared" si="3"/>
        <v>2014</v>
      </c>
      <c r="I22" s="10">
        <v>41852</v>
      </c>
      <c r="J22" s="11">
        <f t="shared" si="4"/>
        <v>6.093809523809524</v>
      </c>
    </row>
    <row r="23" spans="1:10" x14ac:dyDescent="0.2">
      <c r="A23" s="5">
        <f t="shared" si="0"/>
        <v>1</v>
      </c>
      <c r="B23" s="5">
        <f t="shared" si="1"/>
        <v>2013</v>
      </c>
      <c r="C23" s="7">
        <v>41304</v>
      </c>
      <c r="D23" s="8">
        <v>5.67</v>
      </c>
      <c r="E23" s="8">
        <v>5.47</v>
      </c>
      <c r="G23" s="5">
        <f t="shared" si="2"/>
        <v>9</v>
      </c>
      <c r="H23" s="5">
        <f t="shared" si="3"/>
        <v>2014</v>
      </c>
      <c r="I23" s="10">
        <v>41883</v>
      </c>
      <c r="J23" s="11">
        <f t="shared" si="4"/>
        <v>6.2822727272727263</v>
      </c>
    </row>
    <row r="24" spans="1:10" x14ac:dyDescent="0.2">
      <c r="A24" s="5">
        <f t="shared" si="0"/>
        <v>1</v>
      </c>
      <c r="B24" s="5">
        <f t="shared" si="1"/>
        <v>2013</v>
      </c>
      <c r="C24" s="7">
        <v>41305</v>
      </c>
      <c r="D24" s="8">
        <v>5.68</v>
      </c>
      <c r="E24" s="8">
        <v>5.47</v>
      </c>
      <c r="G24" s="5">
        <f t="shared" si="2"/>
        <v>10</v>
      </c>
      <c r="H24" s="5">
        <f t="shared" si="3"/>
        <v>2014</v>
      </c>
      <c r="I24" s="10">
        <v>41913</v>
      </c>
      <c r="J24" s="11">
        <f t="shared" si="4"/>
        <v>6.3795652173913027</v>
      </c>
    </row>
    <row r="25" spans="1:10" x14ac:dyDescent="0.2">
      <c r="A25" s="5">
        <f t="shared" si="0"/>
        <v>2</v>
      </c>
      <c r="B25" s="5">
        <f t="shared" si="1"/>
        <v>2013</v>
      </c>
      <c r="C25" s="7">
        <v>41306</v>
      </c>
      <c r="D25" s="8">
        <v>5.68</v>
      </c>
      <c r="E25" s="8">
        <v>5.47</v>
      </c>
      <c r="G25" s="5">
        <f t="shared" si="2"/>
        <v>11</v>
      </c>
      <c r="H25" s="5">
        <f t="shared" si="3"/>
        <v>2014</v>
      </c>
      <c r="I25" s="10">
        <v>41944</v>
      </c>
      <c r="J25" s="11">
        <f t="shared" si="4"/>
        <v>6.4804999999999993</v>
      </c>
    </row>
    <row r="26" spans="1:10" x14ac:dyDescent="0.2">
      <c r="A26" s="5">
        <f t="shared" si="0"/>
        <v>2</v>
      </c>
      <c r="B26" s="5">
        <f t="shared" si="1"/>
        <v>2013</v>
      </c>
      <c r="C26" s="7">
        <v>41309</v>
      </c>
      <c r="D26" s="8">
        <v>5.69</v>
      </c>
      <c r="E26" s="8">
        <v>5.46</v>
      </c>
      <c r="G26" s="5">
        <f t="shared" si="2"/>
        <v>12</v>
      </c>
      <c r="H26" s="5">
        <f t="shared" si="3"/>
        <v>2014</v>
      </c>
      <c r="I26" s="10">
        <v>41974</v>
      </c>
      <c r="J26" s="11">
        <f t="shared" si="4"/>
        <v>6.6468181818181797</v>
      </c>
    </row>
    <row r="27" spans="1:10" x14ac:dyDescent="0.2">
      <c r="A27" s="5">
        <f t="shared" si="0"/>
        <v>2</v>
      </c>
      <c r="B27" s="5">
        <f t="shared" si="1"/>
        <v>2013</v>
      </c>
      <c r="C27" s="7">
        <v>41310</v>
      </c>
      <c r="D27" s="8">
        <v>5.67</v>
      </c>
      <c r="E27" s="8">
        <v>5.45</v>
      </c>
      <c r="G27" s="5">
        <f t="shared" si="2"/>
        <v>1</v>
      </c>
      <c r="H27" s="5">
        <f t="shared" si="3"/>
        <v>2015</v>
      </c>
      <c r="I27" s="10">
        <v>42005</v>
      </c>
      <c r="J27" s="11">
        <f t="shared" si="4"/>
        <v>6.79142857142857</v>
      </c>
    </row>
    <row r="28" spans="1:10" x14ac:dyDescent="0.2">
      <c r="A28" s="5">
        <f t="shared" si="0"/>
        <v>2</v>
      </c>
      <c r="B28" s="5">
        <f t="shared" si="1"/>
        <v>2013</v>
      </c>
      <c r="C28" s="7">
        <v>41311</v>
      </c>
      <c r="D28" s="8">
        <v>5.67</v>
      </c>
      <c r="E28" s="8">
        <v>5.45</v>
      </c>
      <c r="G28" s="5">
        <f t="shared" si="2"/>
        <v>2</v>
      </c>
      <c r="H28" s="5">
        <f t="shared" si="3"/>
        <v>2015</v>
      </c>
      <c r="I28" s="10">
        <v>42036</v>
      </c>
      <c r="J28" s="11">
        <f t="shared" si="4"/>
        <v>6.8061111111111128</v>
      </c>
    </row>
    <row r="29" spans="1:10" x14ac:dyDescent="0.2">
      <c r="A29" s="5">
        <f t="shared" si="0"/>
        <v>2</v>
      </c>
      <c r="B29" s="5">
        <f t="shared" si="1"/>
        <v>2013</v>
      </c>
      <c r="C29" s="7">
        <v>41312</v>
      </c>
      <c r="D29" s="8">
        <v>5.46</v>
      </c>
      <c r="E29" s="8">
        <v>5.47</v>
      </c>
      <c r="G29" s="5">
        <f t="shared" si="2"/>
        <v>3</v>
      </c>
      <c r="H29" s="5">
        <f t="shared" si="3"/>
        <v>2015</v>
      </c>
      <c r="I29" s="10">
        <v>42064</v>
      </c>
      <c r="J29" s="11">
        <f t="shared" si="4"/>
        <v>6.8395454545454548</v>
      </c>
    </row>
    <row r="30" spans="1:10" x14ac:dyDescent="0.2">
      <c r="A30" s="5">
        <f t="shared" si="0"/>
        <v>2</v>
      </c>
      <c r="B30" s="5">
        <f t="shared" si="1"/>
        <v>2013</v>
      </c>
      <c r="C30" s="7">
        <v>41313</v>
      </c>
      <c r="D30" s="8">
        <v>5.46</v>
      </c>
      <c r="E30" s="8">
        <v>5.49</v>
      </c>
      <c r="G30" s="5">
        <f t="shared" si="2"/>
        <v>4</v>
      </c>
      <c r="H30" s="5">
        <f t="shared" si="3"/>
        <v>2015</v>
      </c>
      <c r="I30" s="10">
        <v>42095</v>
      </c>
      <c r="J30" s="11">
        <f t="shared" si="4"/>
        <v>6.2609999999999975</v>
      </c>
    </row>
    <row r="31" spans="1:10" x14ac:dyDescent="0.2">
      <c r="A31" s="5">
        <f t="shared" si="0"/>
        <v>2</v>
      </c>
      <c r="B31" s="5">
        <f t="shared" si="1"/>
        <v>2013</v>
      </c>
      <c r="C31" s="7">
        <v>41318</v>
      </c>
      <c r="D31" s="8">
        <v>5.46</v>
      </c>
      <c r="E31" s="8">
        <v>5.52</v>
      </c>
      <c r="G31" s="5">
        <f t="shared" si="2"/>
        <v>5</v>
      </c>
      <c r="H31" s="5">
        <f t="shared" si="3"/>
        <v>2015</v>
      </c>
      <c r="I31" s="10">
        <v>42125</v>
      </c>
      <c r="J31" s="11">
        <f t="shared" si="4"/>
        <v>6.0510000000000002</v>
      </c>
    </row>
    <row r="32" spans="1:10" x14ac:dyDescent="0.2">
      <c r="A32" s="5">
        <f t="shared" si="0"/>
        <v>2</v>
      </c>
      <c r="B32" s="5">
        <f t="shared" si="1"/>
        <v>2013</v>
      </c>
      <c r="C32" s="7">
        <v>41319</v>
      </c>
      <c r="D32" s="8">
        <v>5.46</v>
      </c>
      <c r="E32" s="8">
        <v>5.54</v>
      </c>
      <c r="G32" s="5">
        <f t="shared" si="2"/>
        <v>6</v>
      </c>
      <c r="H32" s="5">
        <f t="shared" si="3"/>
        <v>2015</v>
      </c>
      <c r="I32" s="10">
        <v>42156</v>
      </c>
      <c r="J32" s="11">
        <f t="shared" si="4"/>
        <v>6.2057142857142864</v>
      </c>
    </row>
    <row r="33" spans="1:10" x14ac:dyDescent="0.2">
      <c r="A33" s="5">
        <f t="shared" si="0"/>
        <v>2</v>
      </c>
      <c r="B33" s="5">
        <f t="shared" si="1"/>
        <v>2013</v>
      </c>
      <c r="C33" s="7">
        <v>41320</v>
      </c>
      <c r="D33" s="8">
        <v>5.46</v>
      </c>
      <c r="E33" s="8">
        <v>5.53</v>
      </c>
      <c r="G33" s="5">
        <f t="shared" si="2"/>
        <v>7</v>
      </c>
      <c r="H33" s="5">
        <f t="shared" si="3"/>
        <v>2015</v>
      </c>
      <c r="I33" s="10">
        <v>42186</v>
      </c>
      <c r="J33" s="11">
        <f t="shared" si="4"/>
        <v>6.0200000000000005</v>
      </c>
    </row>
    <row r="34" spans="1:10" x14ac:dyDescent="0.2">
      <c r="A34" s="5">
        <f t="shared" si="0"/>
        <v>2</v>
      </c>
      <c r="B34" s="5">
        <f t="shared" si="1"/>
        <v>2013</v>
      </c>
      <c r="C34" s="7">
        <v>41323</v>
      </c>
      <c r="D34" s="8">
        <v>5.47</v>
      </c>
      <c r="E34" s="8">
        <v>5.56</v>
      </c>
      <c r="G34" s="5">
        <f t="shared" si="2"/>
        <v>8</v>
      </c>
      <c r="H34" s="5">
        <f t="shared" si="3"/>
        <v>2015</v>
      </c>
      <c r="I34" s="10">
        <v>42217</v>
      </c>
      <c r="J34" s="11">
        <f t="shared" si="4"/>
        <v>5.6942857142857122</v>
      </c>
    </row>
    <row r="35" spans="1:10" x14ac:dyDescent="0.2">
      <c r="A35" s="5">
        <f t="shared" si="0"/>
        <v>2</v>
      </c>
      <c r="B35" s="5">
        <f t="shared" si="1"/>
        <v>2013</v>
      </c>
      <c r="C35" s="7">
        <v>41324</v>
      </c>
      <c r="D35" s="8">
        <v>5.47</v>
      </c>
      <c r="E35" s="8">
        <v>5.57</v>
      </c>
      <c r="G35" s="5">
        <f t="shared" si="2"/>
        <v>9</v>
      </c>
      <c r="H35" s="5">
        <f t="shared" si="3"/>
        <v>2015</v>
      </c>
      <c r="I35" s="10">
        <v>42248</v>
      </c>
      <c r="J35" s="11">
        <f t="shared" si="4"/>
        <v>5.8642857142857121</v>
      </c>
    </row>
    <row r="36" spans="1:10" x14ac:dyDescent="0.2">
      <c r="A36" s="5">
        <f t="shared" si="0"/>
        <v>2</v>
      </c>
      <c r="B36" s="5">
        <f t="shared" si="1"/>
        <v>2013</v>
      </c>
      <c r="C36" s="7">
        <v>41325</v>
      </c>
      <c r="D36" s="8">
        <v>5.46</v>
      </c>
      <c r="E36" s="8">
        <v>5.58</v>
      </c>
      <c r="G36" s="5">
        <f t="shared" si="2"/>
        <v>10</v>
      </c>
      <c r="H36" s="5">
        <f t="shared" si="3"/>
        <v>2015</v>
      </c>
      <c r="I36" s="10">
        <v>42278</v>
      </c>
      <c r="J36" s="11">
        <f t="shared" si="4"/>
        <v>6.43047619047619</v>
      </c>
    </row>
    <row r="37" spans="1:10" x14ac:dyDescent="0.2">
      <c r="A37" s="5">
        <f t="shared" si="0"/>
        <v>2</v>
      </c>
      <c r="B37" s="5">
        <f t="shared" si="1"/>
        <v>2013</v>
      </c>
      <c r="C37" s="7">
        <v>41326</v>
      </c>
      <c r="D37" s="8">
        <v>5.41</v>
      </c>
      <c r="E37" s="8">
        <v>5.49</v>
      </c>
      <c r="G37" s="5">
        <f t="shared" si="2"/>
        <v>11</v>
      </c>
      <c r="H37" s="5">
        <f t="shared" si="3"/>
        <v>2015</v>
      </c>
      <c r="I37" s="10">
        <v>42309</v>
      </c>
      <c r="J37" s="11">
        <f t="shared" si="4"/>
        <v>6.9839999999999991</v>
      </c>
    </row>
    <row r="38" spans="1:10" x14ac:dyDescent="0.2">
      <c r="A38" s="5">
        <f t="shared" si="0"/>
        <v>2</v>
      </c>
      <c r="B38" s="5">
        <f t="shared" si="1"/>
        <v>2013</v>
      </c>
      <c r="C38" s="7">
        <v>41327</v>
      </c>
      <c r="D38" s="8">
        <v>5.41</v>
      </c>
      <c r="E38" s="8">
        <v>5.49</v>
      </c>
      <c r="G38" s="5">
        <f t="shared" si="2"/>
        <v>12</v>
      </c>
      <c r="H38" s="5">
        <f t="shared" si="3"/>
        <v>2015</v>
      </c>
      <c r="I38" s="10">
        <v>42339</v>
      </c>
      <c r="J38" s="11">
        <f t="shared" si="4"/>
        <v>7.1409090909090915</v>
      </c>
    </row>
    <row r="39" spans="1:10" x14ac:dyDescent="0.2">
      <c r="A39" s="5">
        <f t="shared" si="0"/>
        <v>2</v>
      </c>
      <c r="B39" s="5">
        <f t="shared" si="1"/>
        <v>2013</v>
      </c>
      <c r="C39" s="7">
        <v>41330</v>
      </c>
      <c r="D39" s="8">
        <v>5.42</v>
      </c>
      <c r="E39" s="8">
        <v>5.56</v>
      </c>
      <c r="G39" s="5">
        <f t="shared" si="2"/>
        <v>1</v>
      </c>
      <c r="H39" s="5">
        <f t="shared" si="3"/>
        <v>2016</v>
      </c>
      <c r="I39" s="10">
        <v>42370</v>
      </c>
      <c r="J39" s="11">
        <f t="shared" si="4"/>
        <v>7.1380000000000008</v>
      </c>
    </row>
    <row r="40" spans="1:10" x14ac:dyDescent="0.2">
      <c r="A40" s="5">
        <f t="shared" si="0"/>
        <v>2</v>
      </c>
      <c r="B40" s="5">
        <f t="shared" si="1"/>
        <v>2013</v>
      </c>
      <c r="C40" s="7">
        <v>41331</v>
      </c>
      <c r="D40" s="8">
        <v>5.42</v>
      </c>
      <c r="E40" s="8">
        <v>5.56</v>
      </c>
      <c r="G40" s="5">
        <f t="shared" si="2"/>
        <v>2</v>
      </c>
      <c r="H40" s="5">
        <f t="shared" si="3"/>
        <v>2016</v>
      </c>
      <c r="I40" s="10">
        <v>42401</v>
      </c>
      <c r="J40" s="11">
        <f t="shared" si="4"/>
        <v>7.011052631578945</v>
      </c>
    </row>
    <row r="41" spans="1:10" x14ac:dyDescent="0.2">
      <c r="A41" s="5">
        <f t="shared" si="0"/>
        <v>2</v>
      </c>
      <c r="B41" s="5">
        <f t="shared" si="1"/>
        <v>2013</v>
      </c>
      <c r="C41" s="7">
        <v>41332</v>
      </c>
      <c r="D41" s="8">
        <v>5.44</v>
      </c>
      <c r="E41" s="8">
        <v>5.61</v>
      </c>
      <c r="G41" s="5">
        <f t="shared" si="2"/>
        <v>3</v>
      </c>
      <c r="H41" s="5">
        <f t="shared" si="3"/>
        <v>2016</v>
      </c>
      <c r="I41" s="10">
        <v>42430</v>
      </c>
      <c r="J41" s="11">
        <f t="shared" si="4"/>
        <v>6.7318181818181815</v>
      </c>
    </row>
    <row r="42" spans="1:10" x14ac:dyDescent="0.2">
      <c r="A42" s="5">
        <f t="shared" si="0"/>
        <v>2</v>
      </c>
      <c r="B42" s="5">
        <f t="shared" si="1"/>
        <v>2013</v>
      </c>
      <c r="C42" s="7">
        <v>41333</v>
      </c>
      <c r="D42" s="8">
        <v>5.44</v>
      </c>
      <c r="E42" s="8">
        <v>5.62</v>
      </c>
      <c r="G42" s="5">
        <f t="shared" si="2"/>
        <v>4</v>
      </c>
      <c r="H42" s="5">
        <f t="shared" si="3"/>
        <v>2016</v>
      </c>
      <c r="I42" s="10">
        <v>42461</v>
      </c>
      <c r="J42" s="11">
        <f t="shared" si="4"/>
        <v>6.3480000000000008</v>
      </c>
    </row>
    <row r="43" spans="1:10" x14ac:dyDescent="0.2">
      <c r="A43" s="5">
        <f t="shared" si="0"/>
        <v>3</v>
      </c>
      <c r="B43" s="5">
        <f t="shared" si="1"/>
        <v>2013</v>
      </c>
      <c r="C43" s="7">
        <v>41334</v>
      </c>
      <c r="D43" s="8">
        <v>5.44</v>
      </c>
      <c r="E43" s="8">
        <v>5.62</v>
      </c>
      <c r="G43" s="5">
        <f t="shared" si="2"/>
        <v>5</v>
      </c>
      <c r="H43" s="5">
        <f t="shared" si="3"/>
        <v>2016</v>
      </c>
      <c r="I43" s="10">
        <v>42491</v>
      </c>
      <c r="J43" s="11">
        <f t="shared" si="4"/>
        <v>6.1519047619047615</v>
      </c>
    </row>
    <row r="44" spans="1:10" x14ac:dyDescent="0.2">
      <c r="A44" s="5">
        <f t="shared" si="0"/>
        <v>3</v>
      </c>
      <c r="B44" s="5">
        <f t="shared" si="1"/>
        <v>2013</v>
      </c>
      <c r="C44" s="7">
        <v>41337</v>
      </c>
      <c r="D44" s="8">
        <v>5.43</v>
      </c>
      <c r="E44" s="8">
        <v>5.62</v>
      </c>
      <c r="G44" s="5">
        <f t="shared" si="2"/>
        <v>6</v>
      </c>
      <c r="H44" s="5">
        <f t="shared" si="3"/>
        <v>2016</v>
      </c>
      <c r="I44" s="10">
        <v>42522</v>
      </c>
      <c r="J44" s="11">
        <f t="shared" si="4"/>
        <v>6.0195454545454536</v>
      </c>
    </row>
    <row r="45" spans="1:10" x14ac:dyDescent="0.2">
      <c r="A45" s="5">
        <f t="shared" si="0"/>
        <v>3</v>
      </c>
      <c r="B45" s="5">
        <f t="shared" si="1"/>
        <v>2013</v>
      </c>
      <c r="C45" s="7">
        <v>41338</v>
      </c>
      <c r="D45" s="8">
        <v>5.43</v>
      </c>
      <c r="E45" s="8">
        <v>5.62</v>
      </c>
      <c r="G45" s="5">
        <f t="shared" si="2"/>
        <v>7</v>
      </c>
      <c r="H45" s="5">
        <f t="shared" si="3"/>
        <v>2016</v>
      </c>
      <c r="I45" s="10">
        <v>42552</v>
      </c>
      <c r="J45" s="11">
        <f t="shared" si="4"/>
        <v>5.8061904761904763</v>
      </c>
    </row>
    <row r="46" spans="1:10" x14ac:dyDescent="0.2">
      <c r="A46" s="5">
        <f t="shared" si="0"/>
        <v>3</v>
      </c>
      <c r="B46" s="5">
        <f t="shared" si="1"/>
        <v>2013</v>
      </c>
      <c r="C46" s="7">
        <v>41339</v>
      </c>
      <c r="D46" s="8">
        <v>5.46</v>
      </c>
      <c r="E46" s="8">
        <v>5.66</v>
      </c>
      <c r="G46" s="5">
        <f t="shared" si="2"/>
        <v>8</v>
      </c>
      <c r="H46" s="5">
        <f t="shared" si="3"/>
        <v>2016</v>
      </c>
      <c r="I46" s="10">
        <v>42583</v>
      </c>
      <c r="J46" s="11">
        <f t="shared" si="4"/>
        <v>5.4873913043478275</v>
      </c>
    </row>
    <row r="47" spans="1:10" x14ac:dyDescent="0.2">
      <c r="A47" s="5">
        <f t="shared" si="0"/>
        <v>3</v>
      </c>
      <c r="B47" s="5">
        <f t="shared" si="1"/>
        <v>2013</v>
      </c>
      <c r="C47" s="7">
        <v>41340</v>
      </c>
      <c r="D47" s="8">
        <v>5.4</v>
      </c>
      <c r="E47" s="8">
        <v>5.48</v>
      </c>
      <c r="G47" s="5">
        <f t="shared" si="2"/>
        <v>9</v>
      </c>
      <c r="H47" s="5">
        <f t="shared" si="3"/>
        <v>2016</v>
      </c>
      <c r="I47" s="10">
        <v>42614</v>
      </c>
      <c r="J47" s="11">
        <f t="shared" si="4"/>
        <v>5.2266666666666666</v>
      </c>
    </row>
    <row r="48" spans="1:10" x14ac:dyDescent="0.2">
      <c r="A48" s="5">
        <f t="shared" si="0"/>
        <v>3</v>
      </c>
      <c r="B48" s="5">
        <f t="shared" si="1"/>
        <v>2013</v>
      </c>
      <c r="C48" s="7">
        <v>41341</v>
      </c>
      <c r="D48" s="8">
        <v>5.5</v>
      </c>
      <c r="E48" s="8">
        <v>5.51</v>
      </c>
      <c r="G48" s="5">
        <f t="shared" si="2"/>
        <v>10</v>
      </c>
      <c r="H48" s="5">
        <f t="shared" si="3"/>
        <v>2016</v>
      </c>
      <c r="I48" s="10">
        <v>42644</v>
      </c>
      <c r="J48" s="11">
        <f t="shared" si="4"/>
        <v>4.966499999999999</v>
      </c>
    </row>
    <row r="49" spans="1:10" x14ac:dyDescent="0.2">
      <c r="A49" s="5">
        <f t="shared" si="0"/>
        <v>3</v>
      </c>
      <c r="B49" s="5">
        <f t="shared" si="1"/>
        <v>2013</v>
      </c>
      <c r="C49" s="7">
        <v>41344</v>
      </c>
      <c r="D49" s="8">
        <v>5.47</v>
      </c>
      <c r="E49" s="8">
        <v>5.48</v>
      </c>
      <c r="G49" s="5">
        <f t="shared" si="2"/>
        <v>11</v>
      </c>
      <c r="H49" s="5">
        <f t="shared" si="3"/>
        <v>2016</v>
      </c>
      <c r="I49" s="10">
        <v>42675</v>
      </c>
      <c r="J49" s="11">
        <f t="shared" si="4"/>
        <v>4.8695000000000004</v>
      </c>
    </row>
    <row r="50" spans="1:10" x14ac:dyDescent="0.2">
      <c r="A50" s="5">
        <f t="shared" si="0"/>
        <v>3</v>
      </c>
      <c r="B50" s="5">
        <f t="shared" si="1"/>
        <v>2013</v>
      </c>
      <c r="C50" s="7">
        <v>41345</v>
      </c>
      <c r="D50" s="8">
        <v>5.47</v>
      </c>
      <c r="E50" s="8">
        <v>5.45</v>
      </c>
      <c r="G50" s="5">
        <f t="shared" si="2"/>
        <v>12</v>
      </c>
      <c r="H50" s="5">
        <f t="shared" si="3"/>
        <v>2016</v>
      </c>
      <c r="I50" s="10">
        <v>42705</v>
      </c>
      <c r="J50" s="11">
        <f t="shared" si="4"/>
        <v>4.7768181818181823</v>
      </c>
    </row>
    <row r="51" spans="1:10" x14ac:dyDescent="0.2">
      <c r="A51" s="5">
        <f t="shared" si="0"/>
        <v>3</v>
      </c>
      <c r="B51" s="5">
        <f t="shared" si="1"/>
        <v>2013</v>
      </c>
      <c r="C51" s="7">
        <v>41346</v>
      </c>
      <c r="D51" s="8">
        <v>5.47</v>
      </c>
      <c r="E51" s="8">
        <v>5.45</v>
      </c>
      <c r="G51" s="5">
        <f t="shared" si="2"/>
        <v>1</v>
      </c>
      <c r="H51" s="5">
        <f t="shared" si="3"/>
        <v>2017</v>
      </c>
      <c r="I51" s="10">
        <v>42736</v>
      </c>
      <c r="J51" s="11">
        <f t="shared" si="4"/>
        <v>4.7227272727272727</v>
      </c>
    </row>
    <row r="52" spans="1:10" x14ac:dyDescent="0.2">
      <c r="A52" s="5">
        <f t="shared" si="0"/>
        <v>3</v>
      </c>
      <c r="B52" s="5">
        <f t="shared" si="1"/>
        <v>2013</v>
      </c>
      <c r="C52" s="7">
        <v>41347</v>
      </c>
      <c r="D52" s="8">
        <v>5.47</v>
      </c>
      <c r="E52" s="8">
        <v>5.45</v>
      </c>
      <c r="G52" s="5">
        <f t="shared" si="2"/>
        <v>2</v>
      </c>
      <c r="H52" s="5">
        <f t="shared" si="3"/>
        <v>2017</v>
      </c>
      <c r="I52" s="10">
        <v>42767</v>
      </c>
      <c r="J52" s="11">
        <f t="shared" si="4"/>
        <v>4.6294444444444443</v>
      </c>
    </row>
    <row r="53" spans="1:10" x14ac:dyDescent="0.2">
      <c r="A53" s="5">
        <f t="shared" si="0"/>
        <v>3</v>
      </c>
      <c r="B53" s="5">
        <f t="shared" si="1"/>
        <v>2013</v>
      </c>
      <c r="C53" s="7">
        <v>41348</v>
      </c>
      <c r="D53" s="8">
        <v>5.46</v>
      </c>
      <c r="E53" s="8">
        <v>5.45</v>
      </c>
      <c r="G53" s="5">
        <f t="shared" si="2"/>
        <v>3</v>
      </c>
      <c r="H53" s="5">
        <f t="shared" si="3"/>
        <v>2017</v>
      </c>
      <c r="I53" s="10">
        <v>42795</v>
      </c>
      <c r="J53" s="11">
        <f t="shared" si="4"/>
        <v>4.5065217391304344</v>
      </c>
    </row>
    <row r="54" spans="1:10" x14ac:dyDescent="0.2">
      <c r="A54" s="5">
        <f t="shared" si="0"/>
        <v>3</v>
      </c>
      <c r="B54" s="5">
        <f t="shared" si="1"/>
        <v>2013</v>
      </c>
      <c r="C54" s="7">
        <v>41351</v>
      </c>
      <c r="D54" s="8">
        <v>5.46</v>
      </c>
      <c r="E54" s="8">
        <v>5.45</v>
      </c>
      <c r="G54" s="5">
        <f t="shared" si="2"/>
        <v>4</v>
      </c>
      <c r="H54" s="5">
        <f t="shared" si="3"/>
        <v>2017</v>
      </c>
      <c r="I54" s="10">
        <v>42826</v>
      </c>
      <c r="J54" s="11">
        <f t="shared" si="4"/>
        <v>4.5344444444444445</v>
      </c>
    </row>
    <row r="55" spans="1:10" x14ac:dyDescent="0.2">
      <c r="A55" s="5">
        <f t="shared" si="0"/>
        <v>3</v>
      </c>
      <c r="B55" s="5">
        <f t="shared" si="1"/>
        <v>2013</v>
      </c>
      <c r="C55" s="7">
        <v>41352</v>
      </c>
      <c r="D55" s="8">
        <v>5.46</v>
      </c>
      <c r="E55" s="8">
        <v>5.45</v>
      </c>
      <c r="G55" s="5">
        <f t="shared" si="2"/>
        <v>5</v>
      </c>
      <c r="H55" s="5">
        <f t="shared" si="3"/>
        <v>2017</v>
      </c>
      <c r="I55" s="10">
        <v>42856</v>
      </c>
      <c r="J55" s="11">
        <f t="shared" si="4"/>
        <v>4.6554545454545453</v>
      </c>
    </row>
    <row r="56" spans="1:10" x14ac:dyDescent="0.2">
      <c r="A56" s="5">
        <f t="shared" si="0"/>
        <v>3</v>
      </c>
      <c r="B56" s="5">
        <f t="shared" si="1"/>
        <v>2013</v>
      </c>
      <c r="C56" s="7">
        <v>41353</v>
      </c>
      <c r="D56" s="8">
        <v>5.47</v>
      </c>
      <c r="E56" s="8">
        <v>5.44</v>
      </c>
      <c r="G56" s="5">
        <f t="shared" si="2"/>
        <v>6</v>
      </c>
      <c r="H56" s="5">
        <f t="shared" si="3"/>
        <v>2017</v>
      </c>
      <c r="I56" s="10">
        <v>42887</v>
      </c>
      <c r="J56" s="11">
        <f t="shared" si="4"/>
        <v>4.3952380952380947</v>
      </c>
    </row>
    <row r="57" spans="1:10" x14ac:dyDescent="0.2">
      <c r="A57" s="5">
        <f t="shared" si="0"/>
        <v>3</v>
      </c>
      <c r="B57" s="5">
        <f t="shared" si="1"/>
        <v>2013</v>
      </c>
      <c r="C57" s="7">
        <v>41354</v>
      </c>
      <c r="D57" s="8">
        <v>5.44</v>
      </c>
      <c r="E57" s="8">
        <v>5.43</v>
      </c>
      <c r="G57" s="5">
        <f t="shared" si="2"/>
        <v>7</v>
      </c>
      <c r="H57" s="5">
        <f t="shared" si="3"/>
        <v>2017</v>
      </c>
      <c r="I57" s="10">
        <v>42917</v>
      </c>
      <c r="J57" s="11">
        <f t="shared" si="4"/>
        <v>4.3604761904761906</v>
      </c>
    </row>
    <row r="58" spans="1:10" x14ac:dyDescent="0.2">
      <c r="A58" s="5">
        <f t="shared" si="0"/>
        <v>3</v>
      </c>
      <c r="B58" s="5">
        <f t="shared" si="1"/>
        <v>2013</v>
      </c>
      <c r="C58" s="7">
        <v>41355</v>
      </c>
      <c r="D58" s="8">
        <v>5.43</v>
      </c>
      <c r="E58" s="8">
        <v>5.42</v>
      </c>
      <c r="G58" s="5">
        <f t="shared" si="2"/>
        <v>8</v>
      </c>
      <c r="H58" s="5">
        <f t="shared" si="3"/>
        <v>2017</v>
      </c>
      <c r="I58" s="10">
        <v>42948</v>
      </c>
      <c r="J58" s="11">
        <f t="shared" si="4"/>
        <v>4.5082608695652171</v>
      </c>
    </row>
    <row r="59" spans="1:10" x14ac:dyDescent="0.2">
      <c r="A59" s="5">
        <f t="shared" si="0"/>
        <v>3</v>
      </c>
      <c r="B59" s="5">
        <f t="shared" si="1"/>
        <v>2013</v>
      </c>
      <c r="C59" s="7">
        <v>41358</v>
      </c>
      <c r="D59" s="8">
        <v>5.43</v>
      </c>
      <c r="E59" s="8">
        <v>5.43</v>
      </c>
      <c r="G59" s="5">
        <f t="shared" si="2"/>
        <v>9</v>
      </c>
      <c r="H59" s="5">
        <f t="shared" si="3"/>
        <v>2017</v>
      </c>
      <c r="I59" s="10">
        <v>42979</v>
      </c>
      <c r="J59" s="11">
        <f t="shared" si="4"/>
        <v>4.0264999999999995</v>
      </c>
    </row>
    <row r="60" spans="1:10" x14ac:dyDescent="0.2">
      <c r="A60" s="5">
        <f t="shared" si="0"/>
        <v>3</v>
      </c>
      <c r="B60" s="5">
        <f t="shared" si="1"/>
        <v>2013</v>
      </c>
      <c r="C60" s="7">
        <v>41359</v>
      </c>
      <c r="D60" s="8">
        <v>5.43</v>
      </c>
      <c r="E60" s="8">
        <v>5.43</v>
      </c>
      <c r="G60" s="5">
        <f t="shared" si="2"/>
        <v>10</v>
      </c>
      <c r="H60" s="5">
        <f t="shared" si="3"/>
        <v>2017</v>
      </c>
      <c r="I60" s="10">
        <v>43009</v>
      </c>
      <c r="J60" s="11">
        <f t="shared" si="4"/>
        <v>4.0247619047619043</v>
      </c>
    </row>
    <row r="61" spans="1:10" x14ac:dyDescent="0.2">
      <c r="A61" s="5">
        <f t="shared" si="0"/>
        <v>3</v>
      </c>
      <c r="B61" s="5">
        <f t="shared" si="1"/>
        <v>2013</v>
      </c>
      <c r="C61" s="7">
        <v>41360</v>
      </c>
      <c r="D61" s="8">
        <v>5.43</v>
      </c>
      <c r="E61" s="8">
        <v>5.43</v>
      </c>
      <c r="G61" s="5">
        <f t="shared" si="2"/>
        <v>11</v>
      </c>
      <c r="H61" s="5">
        <f t="shared" si="3"/>
        <v>2017</v>
      </c>
      <c r="I61" s="10">
        <v>43040</v>
      </c>
      <c r="J61" s="11">
        <f t="shared" si="4"/>
        <v>4.0639999999999983</v>
      </c>
    </row>
    <row r="62" spans="1:10" x14ac:dyDescent="0.2">
      <c r="A62" s="5">
        <f t="shared" si="0"/>
        <v>3</v>
      </c>
      <c r="B62" s="5">
        <f t="shared" si="1"/>
        <v>2013</v>
      </c>
      <c r="C62" s="7">
        <v>41361</v>
      </c>
      <c r="D62" s="8">
        <v>5.43</v>
      </c>
      <c r="E62" s="8">
        <v>5.43</v>
      </c>
      <c r="G62" s="5">
        <f t="shared" si="2"/>
        <v>12</v>
      </c>
      <c r="H62" s="5">
        <f t="shared" si="3"/>
        <v>2017</v>
      </c>
      <c r="I62" s="10">
        <v>43070</v>
      </c>
      <c r="J62" s="11">
        <f t="shared" si="4"/>
        <v>3.8629999999999995</v>
      </c>
    </row>
    <row r="63" spans="1:10" x14ac:dyDescent="0.2">
      <c r="A63" s="5">
        <f t="shared" si="0"/>
        <v>4</v>
      </c>
      <c r="B63" s="5">
        <f t="shared" si="1"/>
        <v>2013</v>
      </c>
      <c r="C63" s="7">
        <v>41365</v>
      </c>
      <c r="D63" s="8">
        <v>5.45</v>
      </c>
      <c r="E63" s="8">
        <v>5.44</v>
      </c>
      <c r="G63" s="5">
        <f t="shared" si="2"/>
        <v>1</v>
      </c>
      <c r="H63" s="5">
        <f t="shared" si="3"/>
        <v>2018</v>
      </c>
      <c r="I63" s="10">
        <v>43101</v>
      </c>
      <c r="J63" s="11">
        <f t="shared" si="4"/>
        <v>3.9000000000000017</v>
      </c>
    </row>
    <row r="64" spans="1:10" x14ac:dyDescent="0.2">
      <c r="A64" s="5">
        <f t="shared" si="0"/>
        <v>4</v>
      </c>
      <c r="B64" s="5">
        <f t="shared" si="1"/>
        <v>2013</v>
      </c>
      <c r="C64" s="7">
        <v>41366</v>
      </c>
      <c r="D64" s="8">
        <v>5.45</v>
      </c>
      <c r="E64" s="8">
        <v>5.44</v>
      </c>
      <c r="G64" s="5">
        <f t="shared" si="2"/>
        <v>2</v>
      </c>
      <c r="H64" s="5">
        <f t="shared" si="3"/>
        <v>2018</v>
      </c>
      <c r="I64" s="10">
        <v>43132</v>
      </c>
      <c r="J64" s="11">
        <f t="shared" si="4"/>
        <v>3.9761111111111114</v>
      </c>
    </row>
    <row r="65" spans="1:10" x14ac:dyDescent="0.2">
      <c r="A65" s="5">
        <f t="shared" si="0"/>
        <v>4</v>
      </c>
      <c r="B65" s="5">
        <f t="shared" si="1"/>
        <v>2013</v>
      </c>
      <c r="C65" s="7">
        <v>41367</v>
      </c>
      <c r="D65" s="8">
        <v>5.43</v>
      </c>
      <c r="E65" s="8">
        <v>5.44</v>
      </c>
      <c r="G65" s="5">
        <f t="shared" si="2"/>
        <v>3</v>
      </c>
      <c r="H65" s="5">
        <f t="shared" si="3"/>
        <v>2018</v>
      </c>
      <c r="I65" s="10">
        <v>43160</v>
      </c>
      <c r="J65" s="11">
        <f t="shared" si="4"/>
        <v>3.9128571428571428</v>
      </c>
    </row>
    <row r="66" spans="1:10" x14ac:dyDescent="0.2">
      <c r="A66" s="5">
        <f t="shared" si="0"/>
        <v>4</v>
      </c>
      <c r="B66" s="5">
        <f t="shared" si="1"/>
        <v>2013</v>
      </c>
      <c r="C66" s="7">
        <v>41368</v>
      </c>
      <c r="D66" s="8">
        <v>5.43</v>
      </c>
      <c r="E66" s="8">
        <v>5.43</v>
      </c>
      <c r="G66" s="5">
        <f t="shared" si="2"/>
        <v>4</v>
      </c>
      <c r="H66" s="5">
        <f t="shared" si="3"/>
        <v>2018</v>
      </c>
      <c r="I66" s="10">
        <v>43191</v>
      </c>
      <c r="J66" s="11">
        <f t="shared" si="4"/>
        <v>3.9780952380952392</v>
      </c>
    </row>
    <row r="67" spans="1:10" x14ac:dyDescent="0.2">
      <c r="A67" s="5">
        <f t="shared" si="0"/>
        <v>4</v>
      </c>
      <c r="B67" s="5">
        <f t="shared" si="1"/>
        <v>2013</v>
      </c>
      <c r="C67" s="7">
        <v>41369</v>
      </c>
      <c r="D67" s="8">
        <v>5.42</v>
      </c>
      <c r="E67" s="8">
        <v>5.43</v>
      </c>
      <c r="G67" s="5">
        <f t="shared" si="2"/>
        <v>5</v>
      </c>
      <c r="H67" s="5">
        <f t="shared" si="3"/>
        <v>2018</v>
      </c>
      <c r="I67" s="10">
        <v>43221</v>
      </c>
      <c r="J67" s="11">
        <f t="shared" si="4"/>
        <v>4.2190476190476192</v>
      </c>
    </row>
    <row r="68" spans="1:10" x14ac:dyDescent="0.2">
      <c r="A68" s="5">
        <f t="shared" ref="A68:A131" si="5">MONTH(C68)</f>
        <v>4</v>
      </c>
      <c r="B68" s="5">
        <f t="shared" ref="B68:B131" si="6">YEAR(C68)</f>
        <v>2013</v>
      </c>
      <c r="C68" s="7">
        <v>41372</v>
      </c>
      <c r="D68" s="8">
        <v>5.42</v>
      </c>
      <c r="E68" s="8">
        <v>5.41</v>
      </c>
      <c r="G68" s="5">
        <f t="shared" ref="G68:G131" si="7">MONTH(I68)</f>
        <v>6</v>
      </c>
      <c r="H68" s="5">
        <f t="shared" ref="H68:H131" si="8">YEAR(I68)</f>
        <v>2018</v>
      </c>
      <c r="I68" s="10">
        <v>43252</v>
      </c>
      <c r="J68" s="11">
        <f t="shared" ref="J68:J131" si="9">AVERAGEIFS(D:D,A:A,G68,B:B,H68)</f>
        <v>4.548571428571428</v>
      </c>
    </row>
    <row r="69" spans="1:10" x14ac:dyDescent="0.2">
      <c r="A69" s="5">
        <f t="shared" si="5"/>
        <v>4</v>
      </c>
      <c r="B69" s="5">
        <f t="shared" si="6"/>
        <v>2013</v>
      </c>
      <c r="C69" s="7">
        <v>41373</v>
      </c>
      <c r="D69" s="8">
        <v>5.44</v>
      </c>
      <c r="E69" s="8">
        <v>5.43</v>
      </c>
      <c r="G69" s="5">
        <f t="shared" si="7"/>
        <v>7</v>
      </c>
      <c r="H69" s="5">
        <f t="shared" si="8"/>
        <v>2018</v>
      </c>
      <c r="I69" s="10">
        <v>43282</v>
      </c>
      <c r="J69" s="11">
        <f t="shared" si="9"/>
        <v>3.936363636363637</v>
      </c>
    </row>
    <row r="70" spans="1:10" x14ac:dyDescent="0.2">
      <c r="A70" s="5">
        <f t="shared" si="5"/>
        <v>4</v>
      </c>
      <c r="B70" s="5">
        <f t="shared" si="6"/>
        <v>2013</v>
      </c>
      <c r="C70" s="7">
        <v>41374</v>
      </c>
      <c r="D70" s="8">
        <v>5.48</v>
      </c>
      <c r="E70" s="8">
        <v>5.48</v>
      </c>
      <c r="G70" s="5">
        <f t="shared" si="7"/>
        <v>8</v>
      </c>
      <c r="H70" s="5">
        <f t="shared" si="8"/>
        <v>2018</v>
      </c>
      <c r="I70" s="10">
        <v>43313</v>
      </c>
      <c r="J70" s="11">
        <f t="shared" si="9"/>
        <v>3.655652173913043</v>
      </c>
    </row>
    <row r="71" spans="1:10" x14ac:dyDescent="0.2">
      <c r="A71" s="5">
        <f t="shared" si="5"/>
        <v>4</v>
      </c>
      <c r="B71" s="5">
        <f t="shared" si="6"/>
        <v>2013</v>
      </c>
      <c r="C71" s="7">
        <v>41375</v>
      </c>
      <c r="D71" s="8">
        <v>5.45</v>
      </c>
      <c r="E71" s="8">
        <v>5.45</v>
      </c>
      <c r="G71" s="5">
        <f t="shared" si="7"/>
        <v>9</v>
      </c>
      <c r="H71" s="5">
        <f t="shared" si="8"/>
        <v>2018</v>
      </c>
      <c r="I71" s="10">
        <v>43344</v>
      </c>
      <c r="J71" s="11">
        <f t="shared" si="9"/>
        <v>3.9294736842105253</v>
      </c>
    </row>
    <row r="72" spans="1:10" x14ac:dyDescent="0.2">
      <c r="A72" s="5">
        <f t="shared" si="5"/>
        <v>4</v>
      </c>
      <c r="B72" s="5">
        <f t="shared" si="6"/>
        <v>2013</v>
      </c>
      <c r="C72" s="7">
        <v>41376</v>
      </c>
      <c r="D72" s="8">
        <v>5.42</v>
      </c>
      <c r="E72" s="8">
        <v>5.42</v>
      </c>
      <c r="G72" s="5">
        <f t="shared" si="7"/>
        <v>10</v>
      </c>
      <c r="H72" s="5">
        <f t="shared" si="8"/>
        <v>2018</v>
      </c>
      <c r="I72" s="10">
        <v>43374</v>
      </c>
      <c r="J72" s="11">
        <f t="shared" si="9"/>
        <v>4.0618181818181816</v>
      </c>
    </row>
    <row r="73" spans="1:10" x14ac:dyDescent="0.2">
      <c r="A73" s="5">
        <f t="shared" si="5"/>
        <v>4</v>
      </c>
      <c r="B73" s="5">
        <f t="shared" si="6"/>
        <v>2013</v>
      </c>
      <c r="C73" s="7">
        <v>41379</v>
      </c>
      <c r="D73" s="8">
        <v>5.43</v>
      </c>
      <c r="E73" s="8">
        <v>5.44</v>
      </c>
      <c r="G73" s="5">
        <f t="shared" si="7"/>
        <v>11</v>
      </c>
      <c r="H73" s="5">
        <f t="shared" si="8"/>
        <v>2018</v>
      </c>
      <c r="I73" s="10">
        <v>43405</v>
      </c>
      <c r="J73" s="11">
        <f t="shared" si="9"/>
        <v>3.6565000000000003</v>
      </c>
    </row>
    <row r="74" spans="1:10" x14ac:dyDescent="0.2">
      <c r="A74" s="5">
        <f t="shared" si="5"/>
        <v>4</v>
      </c>
      <c r="B74" s="5">
        <f t="shared" si="6"/>
        <v>2013</v>
      </c>
      <c r="C74" s="7">
        <v>41380</v>
      </c>
      <c r="D74" s="8">
        <v>5.44</v>
      </c>
      <c r="E74" s="8">
        <v>5.45</v>
      </c>
      <c r="G74" s="5">
        <f t="shared" si="7"/>
        <v>12</v>
      </c>
      <c r="H74" s="5">
        <f t="shared" si="8"/>
        <v>2018</v>
      </c>
      <c r="I74" s="10">
        <v>43435</v>
      </c>
      <c r="J74" s="11">
        <f t="shared" si="9"/>
        <v>3.6385000000000005</v>
      </c>
    </row>
    <row r="75" spans="1:10" x14ac:dyDescent="0.2">
      <c r="A75" s="5">
        <f t="shared" si="5"/>
        <v>4</v>
      </c>
      <c r="B75" s="5">
        <f t="shared" si="6"/>
        <v>2013</v>
      </c>
      <c r="C75" s="7">
        <v>41381</v>
      </c>
      <c r="D75" s="8">
        <v>5.51</v>
      </c>
      <c r="E75" s="8">
        <v>5.56</v>
      </c>
      <c r="G75" s="5">
        <f t="shared" si="7"/>
        <v>1</v>
      </c>
      <c r="H75" s="5">
        <f t="shared" si="8"/>
        <v>2019</v>
      </c>
      <c r="I75" s="10">
        <v>43466</v>
      </c>
      <c r="J75" s="11">
        <f t="shared" si="9"/>
        <v>3.8949999999999991</v>
      </c>
    </row>
    <row r="76" spans="1:10" x14ac:dyDescent="0.2">
      <c r="A76" s="5">
        <f t="shared" si="5"/>
        <v>4</v>
      </c>
      <c r="B76" s="5">
        <f t="shared" si="6"/>
        <v>2013</v>
      </c>
      <c r="C76" s="7">
        <v>41382</v>
      </c>
      <c r="D76" s="8">
        <v>5.47</v>
      </c>
      <c r="E76" s="8">
        <v>5.51</v>
      </c>
      <c r="G76" s="5">
        <f t="shared" si="7"/>
        <v>2</v>
      </c>
      <c r="H76" s="5">
        <f t="shared" si="8"/>
        <v>2019</v>
      </c>
      <c r="I76" s="10">
        <v>43497</v>
      </c>
      <c r="J76" s="11">
        <f t="shared" si="9"/>
        <v>3.9730000000000003</v>
      </c>
    </row>
    <row r="77" spans="1:10" x14ac:dyDescent="0.2">
      <c r="A77" s="5">
        <f t="shared" si="5"/>
        <v>4</v>
      </c>
      <c r="B77" s="5">
        <f t="shared" si="6"/>
        <v>2013</v>
      </c>
      <c r="C77" s="7">
        <v>41383</v>
      </c>
      <c r="D77" s="8">
        <v>5.5</v>
      </c>
      <c r="E77" s="8">
        <v>5.53</v>
      </c>
      <c r="G77" s="5">
        <f t="shared" si="7"/>
        <v>3</v>
      </c>
      <c r="H77" s="5">
        <f t="shared" si="8"/>
        <v>2019</v>
      </c>
      <c r="I77" s="10">
        <v>43525</v>
      </c>
      <c r="J77" s="11">
        <f t="shared" si="9"/>
        <v>4.007894736842105</v>
      </c>
    </row>
    <row r="78" spans="1:10" x14ac:dyDescent="0.2">
      <c r="A78" s="5">
        <f t="shared" si="5"/>
        <v>4</v>
      </c>
      <c r="B78" s="5">
        <f t="shared" si="6"/>
        <v>2013</v>
      </c>
      <c r="C78" s="7">
        <v>41386</v>
      </c>
      <c r="D78" s="8">
        <v>5.5</v>
      </c>
      <c r="E78" s="8">
        <v>5.55</v>
      </c>
      <c r="G78" s="5">
        <f t="shared" si="7"/>
        <v>4</v>
      </c>
      <c r="H78" s="5">
        <f t="shared" si="8"/>
        <v>2019</v>
      </c>
      <c r="I78" s="10">
        <v>43556</v>
      </c>
      <c r="J78" s="11">
        <f t="shared" si="9"/>
        <v>3.8223809523809522</v>
      </c>
    </row>
    <row r="79" spans="1:10" x14ac:dyDescent="0.2">
      <c r="A79" s="5">
        <f t="shared" si="5"/>
        <v>4</v>
      </c>
      <c r="B79" s="5">
        <f t="shared" si="6"/>
        <v>2013</v>
      </c>
      <c r="C79" s="7">
        <v>41387</v>
      </c>
      <c r="D79" s="8">
        <v>5.47</v>
      </c>
      <c r="E79" s="8">
        <v>5.54</v>
      </c>
      <c r="G79" s="5">
        <f t="shared" si="7"/>
        <v>5</v>
      </c>
      <c r="H79" s="5">
        <f t="shared" si="8"/>
        <v>2019</v>
      </c>
      <c r="I79" s="10">
        <v>43586</v>
      </c>
      <c r="J79" s="11">
        <f t="shared" si="9"/>
        <v>3.6145454545454543</v>
      </c>
    </row>
    <row r="80" spans="1:10" x14ac:dyDescent="0.2">
      <c r="A80" s="5">
        <f t="shared" si="5"/>
        <v>4</v>
      </c>
      <c r="B80" s="5">
        <f t="shared" si="6"/>
        <v>2013</v>
      </c>
      <c r="C80" s="7">
        <v>41388</v>
      </c>
      <c r="D80" s="8">
        <v>5.46</v>
      </c>
      <c r="E80" s="8">
        <v>5.54</v>
      </c>
      <c r="G80" s="5">
        <f t="shared" si="7"/>
        <v>6</v>
      </c>
      <c r="H80" s="5">
        <f t="shared" si="8"/>
        <v>2019</v>
      </c>
      <c r="I80" s="10">
        <v>43617</v>
      </c>
      <c r="J80" s="11">
        <f t="shared" si="9"/>
        <v>3.5263157894736841</v>
      </c>
    </row>
    <row r="81" spans="1:10" x14ac:dyDescent="0.2">
      <c r="A81" s="5">
        <f t="shared" si="5"/>
        <v>4</v>
      </c>
      <c r="B81" s="5">
        <f t="shared" si="6"/>
        <v>2013</v>
      </c>
      <c r="C81" s="7">
        <v>41389</v>
      </c>
      <c r="D81" s="8">
        <v>5.49</v>
      </c>
      <c r="E81" s="8">
        <v>5.54</v>
      </c>
      <c r="G81" s="5">
        <f t="shared" si="7"/>
        <v>7</v>
      </c>
      <c r="H81" s="5">
        <f t="shared" si="8"/>
        <v>2019</v>
      </c>
      <c r="I81" s="10">
        <v>43647</v>
      </c>
      <c r="J81" s="11">
        <f t="shared" si="9"/>
        <v>3.6295652173913044</v>
      </c>
    </row>
    <row r="82" spans="1:10" x14ac:dyDescent="0.2">
      <c r="A82" s="5">
        <f t="shared" si="5"/>
        <v>4</v>
      </c>
      <c r="B82" s="5">
        <f t="shared" si="6"/>
        <v>2013</v>
      </c>
      <c r="C82" s="7">
        <v>41390</v>
      </c>
      <c r="D82" s="8">
        <v>5.49</v>
      </c>
      <c r="E82" s="8">
        <v>5.55</v>
      </c>
      <c r="G82" s="5">
        <f t="shared" si="7"/>
        <v>8</v>
      </c>
      <c r="H82" s="5">
        <f t="shared" si="8"/>
        <v>2019</v>
      </c>
      <c r="I82" s="10">
        <v>43678</v>
      </c>
      <c r="J82" s="11">
        <f t="shared" si="9"/>
        <v>3.6118181818181814</v>
      </c>
    </row>
    <row r="83" spans="1:10" x14ac:dyDescent="0.2">
      <c r="A83" s="5">
        <f t="shared" si="5"/>
        <v>4</v>
      </c>
      <c r="B83" s="5">
        <f t="shared" si="6"/>
        <v>2013</v>
      </c>
      <c r="C83" s="7">
        <v>41393</v>
      </c>
      <c r="D83" s="8">
        <v>5.5</v>
      </c>
      <c r="E83" s="8">
        <v>5.58</v>
      </c>
      <c r="G83" s="5">
        <f t="shared" si="7"/>
        <v>9</v>
      </c>
      <c r="H83" s="5">
        <f t="shared" si="8"/>
        <v>2019</v>
      </c>
      <c r="I83" s="10">
        <v>43709</v>
      </c>
      <c r="J83" s="11">
        <f t="shared" si="9"/>
        <v>3.4176190476190476</v>
      </c>
    </row>
    <row r="84" spans="1:10" x14ac:dyDescent="0.2">
      <c r="A84" s="5">
        <f t="shared" si="5"/>
        <v>4</v>
      </c>
      <c r="B84" s="5">
        <f t="shared" si="6"/>
        <v>2013</v>
      </c>
      <c r="C84" s="7">
        <v>41394</v>
      </c>
      <c r="D84" s="8">
        <v>5.5</v>
      </c>
      <c r="E84" s="8">
        <v>5.58</v>
      </c>
      <c r="G84" s="5">
        <f t="shared" si="7"/>
        <v>10</v>
      </c>
      <c r="H84" s="5">
        <f t="shared" si="8"/>
        <v>2019</v>
      </c>
      <c r="I84" s="10">
        <v>43739</v>
      </c>
      <c r="J84" s="11">
        <f t="shared" si="9"/>
        <v>3.3808695652173921</v>
      </c>
    </row>
    <row r="85" spans="1:10" x14ac:dyDescent="0.2">
      <c r="A85" s="5">
        <f t="shared" si="5"/>
        <v>5</v>
      </c>
      <c r="B85" s="5">
        <f t="shared" si="6"/>
        <v>2013</v>
      </c>
      <c r="C85" s="7">
        <v>41396</v>
      </c>
      <c r="D85" s="8">
        <v>5.49</v>
      </c>
      <c r="E85" s="8">
        <v>5.56</v>
      </c>
      <c r="G85" s="5">
        <f t="shared" si="7"/>
        <v>11</v>
      </c>
      <c r="H85" s="5">
        <f t="shared" si="8"/>
        <v>2019</v>
      </c>
      <c r="I85" s="10">
        <v>43770</v>
      </c>
      <c r="J85" s="11">
        <f t="shared" si="9"/>
        <v>3.6325000000000003</v>
      </c>
    </row>
    <row r="86" spans="1:10" x14ac:dyDescent="0.2">
      <c r="A86" s="5">
        <f t="shared" si="5"/>
        <v>5</v>
      </c>
      <c r="B86" s="5">
        <f t="shared" si="6"/>
        <v>2013</v>
      </c>
      <c r="C86" s="7">
        <v>41397</v>
      </c>
      <c r="D86" s="8">
        <v>5.52</v>
      </c>
      <c r="E86" s="8">
        <v>5.59</v>
      </c>
      <c r="G86" s="5">
        <f t="shared" si="7"/>
        <v>12</v>
      </c>
      <c r="H86" s="5">
        <f t="shared" si="8"/>
        <v>2019</v>
      </c>
      <c r="I86" s="10">
        <v>43800</v>
      </c>
      <c r="J86" s="11">
        <f t="shared" si="9"/>
        <v>3.9857142857142853</v>
      </c>
    </row>
    <row r="87" spans="1:10" x14ac:dyDescent="0.2">
      <c r="A87" s="5">
        <f t="shared" si="5"/>
        <v>5</v>
      </c>
      <c r="B87" s="5">
        <f t="shared" si="6"/>
        <v>2013</v>
      </c>
      <c r="C87" s="7">
        <v>41400</v>
      </c>
      <c r="D87" s="8">
        <v>5.5</v>
      </c>
      <c r="E87" s="8">
        <v>5.61</v>
      </c>
      <c r="G87" s="5">
        <f t="shared" si="7"/>
        <v>1</v>
      </c>
      <c r="H87" s="5">
        <f t="shared" si="8"/>
        <v>2020</v>
      </c>
      <c r="I87" s="10">
        <v>43831</v>
      </c>
      <c r="J87" s="11">
        <f t="shared" si="9"/>
        <v>3.6986363636363646</v>
      </c>
    </row>
    <row r="88" spans="1:10" x14ac:dyDescent="0.2">
      <c r="A88" s="5">
        <f t="shared" si="5"/>
        <v>5</v>
      </c>
      <c r="B88" s="5">
        <f t="shared" si="6"/>
        <v>2013</v>
      </c>
      <c r="C88" s="7">
        <v>41401</v>
      </c>
      <c r="D88" s="8">
        <v>5.5</v>
      </c>
      <c r="E88" s="8">
        <v>5.59</v>
      </c>
      <c r="G88" s="5">
        <f t="shared" si="7"/>
        <v>2</v>
      </c>
      <c r="H88" s="5">
        <f t="shared" si="8"/>
        <v>2020</v>
      </c>
      <c r="I88" s="10">
        <v>43862</v>
      </c>
      <c r="J88" s="11">
        <f t="shared" si="9"/>
        <v>3.4099999999999993</v>
      </c>
    </row>
    <row r="89" spans="1:10" x14ac:dyDescent="0.2">
      <c r="A89" s="5">
        <f t="shared" si="5"/>
        <v>5</v>
      </c>
      <c r="B89" s="5">
        <f t="shared" si="6"/>
        <v>2013</v>
      </c>
      <c r="C89" s="7">
        <v>41402</v>
      </c>
      <c r="D89" s="8">
        <v>5.59</v>
      </c>
      <c r="E89" s="8">
        <v>5.59</v>
      </c>
      <c r="G89" s="5">
        <f t="shared" si="7"/>
        <v>3</v>
      </c>
      <c r="H89" s="5">
        <f t="shared" si="8"/>
        <v>2020</v>
      </c>
      <c r="I89" s="10">
        <v>43891</v>
      </c>
      <c r="J89" s="11">
        <f t="shared" si="9"/>
        <v>3.4140909090909091</v>
      </c>
    </row>
    <row r="90" spans="1:10" x14ac:dyDescent="0.2">
      <c r="A90" s="5">
        <f t="shared" si="5"/>
        <v>5</v>
      </c>
      <c r="B90" s="5">
        <f t="shared" si="6"/>
        <v>2013</v>
      </c>
      <c r="C90" s="7">
        <v>41403</v>
      </c>
      <c r="D90" s="8">
        <v>5.57</v>
      </c>
      <c r="E90" s="8">
        <v>5.58</v>
      </c>
      <c r="G90" s="5">
        <f t="shared" si="7"/>
        <v>4</v>
      </c>
      <c r="H90" s="5">
        <f t="shared" si="8"/>
        <v>2020</v>
      </c>
      <c r="I90" s="10">
        <v>43922</v>
      </c>
      <c r="J90" s="11">
        <f t="shared" si="9"/>
        <v>2.8360000000000003</v>
      </c>
    </row>
    <row r="91" spans="1:10" x14ac:dyDescent="0.2">
      <c r="A91" s="5">
        <f t="shared" si="5"/>
        <v>5</v>
      </c>
      <c r="B91" s="5">
        <f t="shared" si="6"/>
        <v>2013</v>
      </c>
      <c r="C91" s="7">
        <v>41404</v>
      </c>
      <c r="D91" s="8">
        <v>5.57</v>
      </c>
      <c r="E91" s="8">
        <v>5.57</v>
      </c>
      <c r="G91" s="5">
        <f t="shared" si="7"/>
        <v>5</v>
      </c>
      <c r="H91" s="5">
        <f t="shared" si="8"/>
        <v>2020</v>
      </c>
      <c r="I91" s="10">
        <v>43952</v>
      </c>
      <c r="J91" s="11">
        <f t="shared" si="9"/>
        <v>2.6789999999999998</v>
      </c>
    </row>
    <row r="92" spans="1:10" x14ac:dyDescent="0.2">
      <c r="A92" s="5">
        <f t="shared" si="5"/>
        <v>5</v>
      </c>
      <c r="B92" s="5">
        <f t="shared" si="6"/>
        <v>2013</v>
      </c>
      <c r="C92" s="7">
        <v>41407</v>
      </c>
      <c r="D92" s="8">
        <v>5.59</v>
      </c>
      <c r="E92" s="8">
        <v>5.6</v>
      </c>
      <c r="G92" s="5">
        <f t="shared" si="7"/>
        <v>6</v>
      </c>
      <c r="H92" s="5">
        <f t="shared" si="8"/>
        <v>2020</v>
      </c>
      <c r="I92" s="10">
        <v>43983</v>
      </c>
      <c r="J92" s="11">
        <f t="shared" si="9"/>
        <v>3.0038095238095233</v>
      </c>
    </row>
    <row r="93" spans="1:10" x14ac:dyDescent="0.2">
      <c r="A93" s="5">
        <f t="shared" si="5"/>
        <v>5</v>
      </c>
      <c r="B93" s="5">
        <f t="shared" si="6"/>
        <v>2013</v>
      </c>
      <c r="C93" s="7">
        <v>41408</v>
      </c>
      <c r="D93" s="8">
        <v>5.63</v>
      </c>
      <c r="E93" s="8">
        <v>5.63</v>
      </c>
      <c r="G93" s="5">
        <f t="shared" si="7"/>
        <v>7</v>
      </c>
      <c r="H93" s="5">
        <f t="shared" si="8"/>
        <v>2020</v>
      </c>
      <c r="I93" s="10">
        <v>44013</v>
      </c>
      <c r="J93" s="11">
        <f t="shared" si="9"/>
        <v>3.238695652173913</v>
      </c>
    </row>
    <row r="94" spans="1:10" x14ac:dyDescent="0.2">
      <c r="A94" s="5">
        <f t="shared" si="5"/>
        <v>5</v>
      </c>
      <c r="B94" s="5">
        <f t="shared" si="6"/>
        <v>2013</v>
      </c>
      <c r="C94" s="7">
        <v>41409</v>
      </c>
      <c r="D94" s="8">
        <v>5.59</v>
      </c>
      <c r="E94" s="8">
        <v>5.6</v>
      </c>
      <c r="G94" s="5">
        <f t="shared" si="7"/>
        <v>8</v>
      </c>
      <c r="H94" s="5">
        <f t="shared" si="8"/>
        <v>2020</v>
      </c>
      <c r="I94" s="10">
        <v>44044</v>
      </c>
      <c r="J94" s="11">
        <f t="shared" si="9"/>
        <v>3.0061904761904765</v>
      </c>
    </row>
    <row r="95" spans="1:10" x14ac:dyDescent="0.2">
      <c r="A95" s="5">
        <f t="shared" si="5"/>
        <v>5</v>
      </c>
      <c r="B95" s="5">
        <f t="shared" si="6"/>
        <v>2013</v>
      </c>
      <c r="C95" s="7">
        <v>41410</v>
      </c>
      <c r="D95" s="8">
        <v>5.59</v>
      </c>
      <c r="E95" s="8">
        <v>5.61</v>
      </c>
      <c r="G95" s="5">
        <f t="shared" si="7"/>
        <v>9</v>
      </c>
      <c r="H95" s="5">
        <f t="shared" si="8"/>
        <v>2020</v>
      </c>
      <c r="I95" s="10">
        <v>44075</v>
      </c>
      <c r="J95" s="11">
        <f t="shared" si="9"/>
        <v>3.1819047619047618</v>
      </c>
    </row>
    <row r="96" spans="1:10" x14ac:dyDescent="0.2">
      <c r="A96" s="5">
        <f t="shared" si="5"/>
        <v>5</v>
      </c>
      <c r="B96" s="5">
        <f t="shared" si="6"/>
        <v>2013</v>
      </c>
      <c r="C96" s="7">
        <v>41411</v>
      </c>
      <c r="D96" s="8">
        <v>5.63</v>
      </c>
      <c r="E96" s="8">
        <v>5.64</v>
      </c>
      <c r="G96" s="5">
        <f t="shared" si="7"/>
        <v>10</v>
      </c>
      <c r="H96" s="5">
        <f t="shared" si="8"/>
        <v>2020</v>
      </c>
      <c r="I96" s="10">
        <v>44105</v>
      </c>
      <c r="J96" s="11">
        <f t="shared" si="9"/>
        <v>3.5638095238095246</v>
      </c>
    </row>
    <row r="97" spans="1:10" x14ac:dyDescent="0.2">
      <c r="A97" s="5">
        <f t="shared" si="5"/>
        <v>5</v>
      </c>
      <c r="B97" s="5">
        <f t="shared" si="6"/>
        <v>2013</v>
      </c>
      <c r="C97" s="7">
        <v>41414</v>
      </c>
      <c r="D97" s="8">
        <v>5.61</v>
      </c>
      <c r="E97" s="8">
        <v>5.65</v>
      </c>
      <c r="G97" s="5">
        <f t="shared" si="7"/>
        <v>11</v>
      </c>
      <c r="H97" s="5">
        <f t="shared" si="8"/>
        <v>2020</v>
      </c>
      <c r="I97" s="10">
        <v>44136</v>
      </c>
      <c r="J97" s="11">
        <f t="shared" si="9"/>
        <v>3.8179999999999992</v>
      </c>
    </row>
    <row r="98" spans="1:10" x14ac:dyDescent="0.2">
      <c r="A98" s="5">
        <f t="shared" si="5"/>
        <v>5</v>
      </c>
      <c r="B98" s="5">
        <f t="shared" si="6"/>
        <v>2013</v>
      </c>
      <c r="C98" s="7">
        <v>41415</v>
      </c>
      <c r="D98" s="8">
        <v>5.66</v>
      </c>
      <c r="E98" s="8">
        <v>5.67</v>
      </c>
      <c r="G98" s="5">
        <f t="shared" si="7"/>
        <v>12</v>
      </c>
      <c r="H98" s="5">
        <f t="shared" si="8"/>
        <v>2020</v>
      </c>
      <c r="I98" s="10">
        <v>44166</v>
      </c>
      <c r="J98" s="11">
        <f t="shared" si="9"/>
        <v>4.1513636363636355</v>
      </c>
    </row>
    <row r="99" spans="1:10" x14ac:dyDescent="0.2">
      <c r="A99" s="5">
        <f t="shared" si="5"/>
        <v>5</v>
      </c>
      <c r="B99" s="5">
        <f t="shared" si="6"/>
        <v>2013</v>
      </c>
      <c r="C99" s="7">
        <v>41416</v>
      </c>
      <c r="D99" s="8">
        <v>5.66</v>
      </c>
      <c r="E99" s="8">
        <v>5.66</v>
      </c>
      <c r="G99" s="5">
        <f t="shared" si="7"/>
        <v>1</v>
      </c>
      <c r="H99" s="5">
        <f t="shared" si="8"/>
        <v>2021</v>
      </c>
      <c r="I99" s="10">
        <v>44197</v>
      </c>
      <c r="J99" s="11">
        <f t="shared" si="9"/>
        <v>3.6420000000000003</v>
      </c>
    </row>
    <row r="100" spans="1:10" x14ac:dyDescent="0.2">
      <c r="A100" s="5">
        <f t="shared" si="5"/>
        <v>5</v>
      </c>
      <c r="B100" s="5">
        <f t="shared" si="6"/>
        <v>2013</v>
      </c>
      <c r="C100" s="7">
        <v>41417</v>
      </c>
      <c r="D100" s="8">
        <v>5.65</v>
      </c>
      <c r="E100" s="8">
        <v>5.66</v>
      </c>
      <c r="G100" s="5">
        <f t="shared" si="7"/>
        <v>2</v>
      </c>
      <c r="H100" s="5">
        <f t="shared" si="8"/>
        <v>2021</v>
      </c>
      <c r="I100" s="10">
        <v>44228</v>
      </c>
      <c r="J100" s="11">
        <f t="shared" si="9"/>
        <v>3.775555555555556</v>
      </c>
    </row>
    <row r="101" spans="1:10" x14ac:dyDescent="0.2">
      <c r="A101" s="5">
        <f t="shared" si="5"/>
        <v>5</v>
      </c>
      <c r="B101" s="5">
        <f t="shared" si="6"/>
        <v>2013</v>
      </c>
      <c r="C101" s="7">
        <v>41418</v>
      </c>
      <c r="D101" s="8">
        <v>5.65</v>
      </c>
      <c r="E101" s="8">
        <v>5.66</v>
      </c>
      <c r="G101" s="5">
        <f t="shared" si="7"/>
        <v>3</v>
      </c>
      <c r="H101" s="5">
        <f t="shared" si="8"/>
        <v>2021</v>
      </c>
      <c r="I101" s="10">
        <v>44256</v>
      </c>
      <c r="J101" s="11">
        <f t="shared" si="9"/>
        <v>4.2554260869565219</v>
      </c>
    </row>
    <row r="102" spans="1:10" x14ac:dyDescent="0.2">
      <c r="A102" s="5">
        <f t="shared" si="5"/>
        <v>5</v>
      </c>
      <c r="B102" s="5">
        <f t="shared" si="6"/>
        <v>2013</v>
      </c>
      <c r="C102" s="7">
        <v>41421</v>
      </c>
      <c r="D102" s="8">
        <v>5.59</v>
      </c>
      <c r="E102" s="8">
        <v>5.66</v>
      </c>
      <c r="G102" s="5">
        <f t="shared" si="7"/>
        <v>4</v>
      </c>
      <c r="H102" s="5">
        <f t="shared" si="8"/>
        <v>2021</v>
      </c>
      <c r="I102" s="10">
        <v>44287</v>
      </c>
      <c r="J102" s="11">
        <f t="shared" si="9"/>
        <v>4.1066700000000012</v>
      </c>
    </row>
    <row r="103" spans="1:10" x14ac:dyDescent="0.2">
      <c r="A103" s="5">
        <f t="shared" si="5"/>
        <v>5</v>
      </c>
      <c r="B103" s="5">
        <f t="shared" si="6"/>
        <v>2013</v>
      </c>
      <c r="C103" s="7">
        <v>41422</v>
      </c>
      <c r="D103" s="8">
        <v>5.59</v>
      </c>
      <c r="E103" s="8">
        <v>5.67</v>
      </c>
      <c r="G103" s="5">
        <f t="shared" si="7"/>
        <v>5</v>
      </c>
      <c r="H103" s="5">
        <f t="shared" si="8"/>
        <v>2021</v>
      </c>
      <c r="I103" s="10">
        <v>44317</v>
      </c>
      <c r="J103" s="11">
        <f t="shared" si="9"/>
        <v>4.2223619047619056</v>
      </c>
    </row>
    <row r="104" spans="1:10" x14ac:dyDescent="0.2">
      <c r="A104" s="5">
        <f t="shared" si="5"/>
        <v>5</v>
      </c>
      <c r="B104" s="5">
        <f t="shared" si="6"/>
        <v>2013</v>
      </c>
      <c r="C104" s="7">
        <v>41423</v>
      </c>
      <c r="D104" s="8">
        <v>5.59</v>
      </c>
      <c r="E104" s="8">
        <v>5.67</v>
      </c>
      <c r="G104" s="5">
        <f t="shared" si="7"/>
        <v>6</v>
      </c>
      <c r="H104" s="5">
        <f t="shared" si="8"/>
        <v>2021</v>
      </c>
      <c r="I104" s="10">
        <v>44348</v>
      </c>
      <c r="J104" s="11">
        <f t="shared" si="9"/>
        <v>4.4135333333333344</v>
      </c>
    </row>
    <row r="105" spans="1:10" x14ac:dyDescent="0.2">
      <c r="A105" s="5">
        <f t="shared" si="5"/>
        <v>5</v>
      </c>
      <c r="B105" s="5">
        <f t="shared" si="6"/>
        <v>2013</v>
      </c>
      <c r="C105" s="7">
        <v>41425</v>
      </c>
      <c r="D105" s="8">
        <v>5.59</v>
      </c>
      <c r="E105" s="8">
        <v>5.67</v>
      </c>
      <c r="G105" s="5">
        <f t="shared" si="7"/>
        <v>7</v>
      </c>
      <c r="H105" s="5">
        <f t="shared" si="8"/>
        <v>2021</v>
      </c>
      <c r="I105" s="10">
        <v>44378</v>
      </c>
      <c r="J105" s="11">
        <f t="shared" si="9"/>
        <v>4.5285954545454548</v>
      </c>
    </row>
    <row r="106" spans="1:10" x14ac:dyDescent="0.2">
      <c r="A106" s="5">
        <f t="shared" si="5"/>
        <v>6</v>
      </c>
      <c r="B106" s="5">
        <f t="shared" si="6"/>
        <v>2013</v>
      </c>
      <c r="C106" s="7">
        <v>41428</v>
      </c>
      <c r="D106" s="8">
        <v>5.59</v>
      </c>
      <c r="E106" s="8">
        <v>5.65</v>
      </c>
      <c r="G106" s="5">
        <f t="shared" si="7"/>
        <v>8</v>
      </c>
      <c r="H106" s="5">
        <f t="shared" si="8"/>
        <v>2021</v>
      </c>
      <c r="I106" s="10">
        <v>44409</v>
      </c>
      <c r="J106" s="11">
        <f t="shared" si="9"/>
        <v>4.6515136363636351</v>
      </c>
    </row>
    <row r="107" spans="1:10" x14ac:dyDescent="0.2">
      <c r="A107" s="5">
        <f t="shared" si="5"/>
        <v>6</v>
      </c>
      <c r="B107" s="5">
        <f t="shared" si="6"/>
        <v>2013</v>
      </c>
      <c r="C107" s="7">
        <v>41429</v>
      </c>
      <c r="D107" s="8">
        <v>5.55</v>
      </c>
      <c r="E107" s="8">
        <v>5.63</v>
      </c>
      <c r="G107" s="5">
        <f t="shared" si="7"/>
        <v>9</v>
      </c>
      <c r="H107" s="5">
        <f t="shared" si="8"/>
        <v>2021</v>
      </c>
      <c r="I107" s="10">
        <v>44440</v>
      </c>
      <c r="J107" s="11">
        <f t="shared" si="9"/>
        <v>5.0790333333333324</v>
      </c>
    </row>
    <row r="108" spans="1:10" x14ac:dyDescent="0.2">
      <c r="A108" s="5">
        <f t="shared" si="5"/>
        <v>6</v>
      </c>
      <c r="B108" s="5">
        <f t="shared" si="6"/>
        <v>2013</v>
      </c>
      <c r="C108" s="7">
        <v>41430</v>
      </c>
      <c r="D108" s="8">
        <v>5.55</v>
      </c>
      <c r="E108" s="8">
        <v>5.63</v>
      </c>
      <c r="G108" s="5">
        <f t="shared" si="7"/>
        <v>10</v>
      </c>
      <c r="H108" s="5">
        <f t="shared" si="8"/>
        <v>2021</v>
      </c>
      <c r="I108" s="10">
        <v>44470</v>
      </c>
      <c r="J108" s="11">
        <f t="shared" si="9"/>
        <v>5.0323249999999993</v>
      </c>
    </row>
    <row r="109" spans="1:10" x14ac:dyDescent="0.2">
      <c r="A109" s="5">
        <f t="shared" si="5"/>
        <v>6</v>
      </c>
      <c r="B109" s="5">
        <f t="shared" si="6"/>
        <v>2013</v>
      </c>
      <c r="C109" s="7">
        <v>41431</v>
      </c>
      <c r="D109" s="8">
        <v>5.55</v>
      </c>
      <c r="E109" s="8">
        <v>5.63</v>
      </c>
      <c r="G109" s="5">
        <f t="shared" si="7"/>
        <v>11</v>
      </c>
      <c r="H109" s="5">
        <f t="shared" si="8"/>
        <v>2021</v>
      </c>
      <c r="I109" s="10">
        <v>44501</v>
      </c>
      <c r="J109" s="11">
        <f t="shared" si="9"/>
        <v>5.6197249999999999</v>
      </c>
    </row>
    <row r="110" spans="1:10" x14ac:dyDescent="0.2">
      <c r="A110" s="5">
        <f t="shared" si="5"/>
        <v>6</v>
      </c>
      <c r="B110" s="5">
        <f t="shared" si="6"/>
        <v>2013</v>
      </c>
      <c r="C110" s="7">
        <v>41432</v>
      </c>
      <c r="D110" s="8">
        <v>5.66</v>
      </c>
      <c r="E110" s="8">
        <v>5.65</v>
      </c>
      <c r="G110" s="5">
        <f t="shared" si="7"/>
        <v>12</v>
      </c>
      <c r="H110" s="5">
        <f t="shared" si="8"/>
        <v>2021</v>
      </c>
      <c r="I110" s="10">
        <v>44531</v>
      </c>
      <c r="J110" s="11">
        <f t="shared" si="9"/>
        <v>5.4153043478260869</v>
      </c>
    </row>
    <row r="111" spans="1:10" x14ac:dyDescent="0.2">
      <c r="A111" s="5">
        <f t="shared" si="5"/>
        <v>6</v>
      </c>
      <c r="B111" s="5">
        <f t="shared" si="6"/>
        <v>2013</v>
      </c>
      <c r="C111" s="7">
        <v>41435</v>
      </c>
      <c r="D111" s="8">
        <v>5.71</v>
      </c>
      <c r="E111" s="8">
        <v>5.68</v>
      </c>
      <c r="G111" s="5">
        <f t="shared" si="7"/>
        <v>1</v>
      </c>
      <c r="H111" s="5">
        <f t="shared" si="8"/>
        <v>2022</v>
      </c>
      <c r="I111" s="10">
        <v>44562</v>
      </c>
      <c r="J111" s="11">
        <f t="shared" si="9"/>
        <v>5.1536333333333335</v>
      </c>
    </row>
    <row r="112" spans="1:10" x14ac:dyDescent="0.2">
      <c r="A112" s="5">
        <f t="shared" si="5"/>
        <v>6</v>
      </c>
      <c r="B112" s="5">
        <f t="shared" si="6"/>
        <v>2013</v>
      </c>
      <c r="C112" s="7">
        <v>41436</v>
      </c>
      <c r="D112" s="8">
        <v>5.72</v>
      </c>
      <c r="E112" s="8">
        <v>5.69</v>
      </c>
      <c r="G112" s="5">
        <f t="shared" si="7"/>
        <v>2</v>
      </c>
      <c r="H112" s="5">
        <f t="shared" si="8"/>
        <v>2022</v>
      </c>
      <c r="I112" s="10">
        <v>44593</v>
      </c>
      <c r="J112" s="11">
        <f t="shared" si="9"/>
        <v>5.3749052631578955</v>
      </c>
    </row>
    <row r="113" spans="1:10" x14ac:dyDescent="0.2">
      <c r="A113" s="5">
        <f t="shared" si="5"/>
        <v>6</v>
      </c>
      <c r="B113" s="5">
        <f t="shared" si="6"/>
        <v>2013</v>
      </c>
      <c r="C113" s="7">
        <v>41437</v>
      </c>
      <c r="D113" s="8">
        <v>5.72</v>
      </c>
      <c r="E113" s="8">
        <v>5.68</v>
      </c>
      <c r="G113" s="5">
        <f t="shared" si="7"/>
        <v>3</v>
      </c>
      <c r="H113" s="5">
        <f t="shared" si="8"/>
        <v>2022</v>
      </c>
      <c r="I113" s="10">
        <v>44621</v>
      </c>
      <c r="J113" s="11">
        <f t="shared" si="9"/>
        <v>5.8422590909090903</v>
      </c>
    </row>
    <row r="114" spans="1:10" x14ac:dyDescent="0.2">
      <c r="A114" s="5">
        <f t="shared" si="5"/>
        <v>6</v>
      </c>
      <c r="B114" s="5">
        <f t="shared" si="6"/>
        <v>2013</v>
      </c>
      <c r="C114" s="7">
        <v>41438</v>
      </c>
      <c r="D114" s="8">
        <v>5.73</v>
      </c>
      <c r="E114" s="8">
        <v>5.69</v>
      </c>
      <c r="G114" s="5">
        <f t="shared" si="7"/>
        <v>4</v>
      </c>
      <c r="H114" s="5">
        <f t="shared" si="8"/>
        <v>2022</v>
      </c>
      <c r="I114" s="10">
        <v>44652</v>
      </c>
      <c r="J114" s="11">
        <f t="shared" si="9"/>
        <v>5.7883894736842114</v>
      </c>
    </row>
    <row r="115" spans="1:10" x14ac:dyDescent="0.2">
      <c r="A115" s="5">
        <f t="shared" si="5"/>
        <v>6</v>
      </c>
      <c r="B115" s="5">
        <f t="shared" si="6"/>
        <v>2013</v>
      </c>
      <c r="C115" s="7">
        <v>41439</v>
      </c>
      <c r="D115" s="8">
        <v>5.73</v>
      </c>
      <c r="E115" s="8">
        <v>5.69</v>
      </c>
      <c r="G115" s="5">
        <f t="shared" si="7"/>
        <v>5</v>
      </c>
      <c r="H115" s="5">
        <f t="shared" si="8"/>
        <v>2022</v>
      </c>
      <c r="I115" s="10">
        <v>44682</v>
      </c>
      <c r="J115" s="11">
        <f t="shared" si="9"/>
        <v>5.9261772727272728</v>
      </c>
    </row>
    <row r="116" spans="1:10" x14ac:dyDescent="0.2">
      <c r="A116" s="5">
        <f t="shared" si="5"/>
        <v>6</v>
      </c>
      <c r="B116" s="5">
        <f t="shared" si="6"/>
        <v>2013</v>
      </c>
      <c r="C116" s="7">
        <v>41442</v>
      </c>
      <c r="D116" s="8">
        <v>5.74</v>
      </c>
      <c r="E116" s="8">
        <v>5.68</v>
      </c>
      <c r="G116" s="5">
        <f t="shared" si="7"/>
        <v>6</v>
      </c>
      <c r="H116" s="5">
        <f t="shared" si="8"/>
        <v>2022</v>
      </c>
      <c r="I116" s="10">
        <v>44713</v>
      </c>
      <c r="J116" s="11">
        <f t="shared" si="9"/>
        <v>6.0052142857142856</v>
      </c>
    </row>
    <row r="117" spans="1:10" x14ac:dyDescent="0.2">
      <c r="A117" s="5">
        <f t="shared" si="5"/>
        <v>6</v>
      </c>
      <c r="B117" s="5">
        <f t="shared" si="6"/>
        <v>2013</v>
      </c>
      <c r="C117" s="7">
        <v>41443</v>
      </c>
      <c r="D117" s="8">
        <v>5.74</v>
      </c>
      <c r="E117" s="8">
        <v>5.67</v>
      </c>
      <c r="G117" s="5">
        <f t="shared" si="7"/>
        <v>7</v>
      </c>
      <c r="H117" s="5">
        <f t="shared" si="8"/>
        <v>2022</v>
      </c>
      <c r="I117" s="10">
        <v>44743</v>
      </c>
      <c r="J117" s="11">
        <f t="shared" si="9"/>
        <v>5.1659666666666677</v>
      </c>
    </row>
    <row r="118" spans="1:10" x14ac:dyDescent="0.2">
      <c r="A118" s="5">
        <f t="shared" si="5"/>
        <v>6</v>
      </c>
      <c r="B118" s="5">
        <f t="shared" si="6"/>
        <v>2013</v>
      </c>
      <c r="C118" s="7">
        <v>41444</v>
      </c>
      <c r="D118" s="8">
        <v>5.74</v>
      </c>
      <c r="E118" s="8">
        <v>5.67</v>
      </c>
      <c r="G118" s="5">
        <f t="shared" si="7"/>
        <v>8</v>
      </c>
      <c r="H118" s="5">
        <f t="shared" si="8"/>
        <v>2022</v>
      </c>
      <c r="I118" s="10">
        <v>44774</v>
      </c>
      <c r="J118" s="11">
        <f t="shared" si="9"/>
        <v>5.2781391304347833</v>
      </c>
    </row>
    <row r="119" spans="1:10" x14ac:dyDescent="0.2">
      <c r="A119" s="5">
        <f t="shared" si="5"/>
        <v>6</v>
      </c>
      <c r="B119" s="5">
        <f t="shared" si="6"/>
        <v>2013</v>
      </c>
      <c r="C119" s="7">
        <v>41445</v>
      </c>
      <c r="D119" s="8">
        <v>5.72</v>
      </c>
      <c r="E119" s="8">
        <v>5.66</v>
      </c>
      <c r="G119" s="5">
        <f t="shared" si="7"/>
        <v>9</v>
      </c>
      <c r="H119" s="5">
        <f t="shared" si="8"/>
        <v>2022</v>
      </c>
      <c r="I119" s="10">
        <v>44805</v>
      </c>
      <c r="J119" s="11">
        <f t="shared" si="9"/>
        <v>5.0410666666666675</v>
      </c>
    </row>
    <row r="120" spans="1:10" x14ac:dyDescent="0.2">
      <c r="A120" s="5">
        <f t="shared" si="5"/>
        <v>6</v>
      </c>
      <c r="B120" s="5">
        <f t="shared" si="6"/>
        <v>2013</v>
      </c>
      <c r="C120" s="7">
        <v>41446</v>
      </c>
      <c r="D120" s="8">
        <v>5.74</v>
      </c>
      <c r="E120" s="8">
        <v>5.66</v>
      </c>
      <c r="G120" s="5">
        <f t="shared" si="7"/>
        <v>10</v>
      </c>
      <c r="H120" s="5">
        <f t="shared" si="8"/>
        <v>2022</v>
      </c>
      <c r="I120" s="10">
        <v>44835</v>
      </c>
      <c r="J120" s="11">
        <f t="shared" si="9"/>
        <v>5.0084750000000016</v>
      </c>
    </row>
    <row r="121" spans="1:10" x14ac:dyDescent="0.2">
      <c r="A121" s="5">
        <f t="shared" si="5"/>
        <v>6</v>
      </c>
      <c r="B121" s="5">
        <f t="shared" si="6"/>
        <v>2013</v>
      </c>
      <c r="C121" s="7">
        <v>41449</v>
      </c>
      <c r="D121" s="8">
        <v>5.74</v>
      </c>
      <c r="E121" s="8">
        <v>5.65</v>
      </c>
      <c r="G121" s="5">
        <f t="shared" si="7"/>
        <v>11</v>
      </c>
      <c r="H121" s="5">
        <f t="shared" si="8"/>
        <v>2022</v>
      </c>
      <c r="I121" s="10">
        <v>44866</v>
      </c>
      <c r="J121" s="11">
        <f t="shared" si="9"/>
        <v>5.2319500000000012</v>
      </c>
    </row>
    <row r="122" spans="1:10" x14ac:dyDescent="0.2">
      <c r="A122" s="5">
        <f t="shared" si="5"/>
        <v>6</v>
      </c>
      <c r="B122" s="5">
        <f t="shared" si="6"/>
        <v>2013</v>
      </c>
      <c r="C122" s="7">
        <v>41450</v>
      </c>
      <c r="D122" s="8">
        <v>5.74</v>
      </c>
      <c r="E122" s="8">
        <v>5.65</v>
      </c>
      <c r="G122" s="5">
        <f t="shared" si="7"/>
        <v>12</v>
      </c>
      <c r="H122" s="5">
        <f t="shared" si="8"/>
        <v>2022</v>
      </c>
      <c r="I122" s="10">
        <v>44896</v>
      </c>
      <c r="J122" s="11">
        <f t="shared" si="9"/>
        <v>5.3034636363636372</v>
      </c>
    </row>
    <row r="123" spans="1:10" x14ac:dyDescent="0.2">
      <c r="A123" s="5">
        <f t="shared" si="5"/>
        <v>6</v>
      </c>
      <c r="B123" s="5">
        <f t="shared" si="6"/>
        <v>2013</v>
      </c>
      <c r="C123" s="7">
        <v>41451</v>
      </c>
      <c r="D123" s="8">
        <v>5.74</v>
      </c>
      <c r="E123" s="8">
        <v>5.65</v>
      </c>
      <c r="G123" s="5">
        <f t="shared" si="7"/>
        <v>1</v>
      </c>
      <c r="H123" s="5">
        <f t="shared" si="8"/>
        <v>2023</v>
      </c>
      <c r="I123" s="10">
        <v>44927</v>
      </c>
      <c r="J123" s="11">
        <f t="shared" si="9"/>
        <v>5.4388499999999995</v>
      </c>
    </row>
    <row r="124" spans="1:10" x14ac:dyDescent="0.2">
      <c r="A124" s="5">
        <f t="shared" si="5"/>
        <v>6</v>
      </c>
      <c r="B124" s="5">
        <f t="shared" si="6"/>
        <v>2013</v>
      </c>
      <c r="C124" s="7">
        <v>41452</v>
      </c>
      <c r="D124" s="8">
        <v>5.74</v>
      </c>
      <c r="E124" s="8">
        <v>5.65</v>
      </c>
      <c r="G124" s="5">
        <f t="shared" si="7"/>
        <v>2</v>
      </c>
      <c r="H124" s="5">
        <f t="shared" si="8"/>
        <v>2023</v>
      </c>
      <c r="I124" s="10">
        <v>44958</v>
      </c>
      <c r="J124" s="11">
        <f t="shared" si="9"/>
        <v>5.7636833333333337</v>
      </c>
    </row>
    <row r="125" spans="1:10" x14ac:dyDescent="0.2">
      <c r="A125" s="5">
        <f t="shared" si="5"/>
        <v>6</v>
      </c>
      <c r="B125" s="5">
        <f t="shared" si="6"/>
        <v>2013</v>
      </c>
      <c r="C125" s="7">
        <v>41453</v>
      </c>
      <c r="D125" s="8">
        <v>5.74</v>
      </c>
      <c r="E125" s="8">
        <v>5.65</v>
      </c>
      <c r="G125" s="5">
        <f t="shared" si="7"/>
        <v>3</v>
      </c>
      <c r="H125" s="5">
        <f t="shared" si="8"/>
        <v>2023</v>
      </c>
      <c r="I125" s="10">
        <v>44986</v>
      </c>
      <c r="J125" s="11">
        <f t="shared" si="9"/>
        <v>5.6175478260869562</v>
      </c>
    </row>
    <row r="126" spans="1:10" x14ac:dyDescent="0.2">
      <c r="A126" s="5">
        <f t="shared" si="5"/>
        <v>7</v>
      </c>
      <c r="B126" s="5">
        <f t="shared" si="6"/>
        <v>2013</v>
      </c>
      <c r="C126" s="7">
        <v>41456</v>
      </c>
      <c r="D126" s="8">
        <v>5.78</v>
      </c>
      <c r="E126" s="8">
        <v>5.7</v>
      </c>
      <c r="G126" s="5">
        <f t="shared" si="7"/>
        <v>4</v>
      </c>
      <c r="H126" s="5">
        <f t="shared" si="8"/>
        <v>2023</v>
      </c>
      <c r="I126" s="10">
        <v>45017</v>
      </c>
      <c r="J126" s="11">
        <f t="shared" si="9"/>
        <v>5.3426333333333345</v>
      </c>
    </row>
    <row r="127" spans="1:10" x14ac:dyDescent="0.2">
      <c r="A127" s="5">
        <f t="shared" si="5"/>
        <v>7</v>
      </c>
      <c r="B127" s="5">
        <f t="shared" si="6"/>
        <v>2013</v>
      </c>
      <c r="C127" s="7">
        <v>41457</v>
      </c>
      <c r="D127" s="8">
        <v>5.77</v>
      </c>
      <c r="E127" s="8">
        <v>5.67</v>
      </c>
      <c r="G127" s="5">
        <f t="shared" si="7"/>
        <v>5</v>
      </c>
      <c r="H127" s="5">
        <f t="shared" si="8"/>
        <v>2023</v>
      </c>
      <c r="I127" s="10">
        <v>45047</v>
      </c>
      <c r="J127" s="11">
        <f t="shared" si="9"/>
        <v>5.0159545454545453</v>
      </c>
    </row>
    <row r="128" spans="1:10" x14ac:dyDescent="0.2">
      <c r="A128" s="5">
        <f t="shared" si="5"/>
        <v>7</v>
      </c>
      <c r="B128" s="5">
        <f t="shared" si="6"/>
        <v>2013</v>
      </c>
      <c r="C128" s="7">
        <v>41458</v>
      </c>
      <c r="D128" s="8">
        <v>5.77</v>
      </c>
      <c r="E128" s="8">
        <v>5.67</v>
      </c>
      <c r="G128" s="5">
        <f t="shared" si="7"/>
        <v>6</v>
      </c>
      <c r="H128" s="5">
        <f t="shared" si="8"/>
        <v>2023</v>
      </c>
      <c r="I128" s="10">
        <v>45078</v>
      </c>
      <c r="J128" s="11">
        <f t="shared" si="9"/>
        <v>4.2629142857142854</v>
      </c>
    </row>
    <row r="129" spans="1:10" x14ac:dyDescent="0.2">
      <c r="A129" s="5">
        <f t="shared" si="5"/>
        <v>7</v>
      </c>
      <c r="B129" s="5">
        <f t="shared" si="6"/>
        <v>2013</v>
      </c>
      <c r="C129" s="7">
        <v>41459</v>
      </c>
      <c r="D129" s="8">
        <v>5.78</v>
      </c>
      <c r="E129" s="8">
        <v>5.7</v>
      </c>
      <c r="G129" s="5">
        <f t="shared" si="7"/>
        <v>7</v>
      </c>
      <c r="H129" s="5">
        <f t="shared" si="8"/>
        <v>2023</v>
      </c>
      <c r="I129" s="10">
        <v>45108</v>
      </c>
      <c r="J129" s="11">
        <f t="shared" si="9"/>
        <v>4.0913095238095236</v>
      </c>
    </row>
    <row r="130" spans="1:10" x14ac:dyDescent="0.2">
      <c r="A130" s="5">
        <f t="shared" si="5"/>
        <v>7</v>
      </c>
      <c r="B130" s="5">
        <f t="shared" si="6"/>
        <v>2013</v>
      </c>
      <c r="C130" s="7">
        <v>41460</v>
      </c>
      <c r="D130" s="8">
        <v>5.67</v>
      </c>
      <c r="E130" s="8">
        <v>5.67</v>
      </c>
      <c r="G130" s="5">
        <f t="shared" si="7"/>
        <v>8</v>
      </c>
      <c r="H130" s="5">
        <f t="shared" si="8"/>
        <v>2023</v>
      </c>
      <c r="I130" s="10">
        <v>45139</v>
      </c>
      <c r="J130" s="11">
        <f t="shared" si="9"/>
        <v>4.126734782608696</v>
      </c>
    </row>
    <row r="131" spans="1:10" x14ac:dyDescent="0.2">
      <c r="A131" s="5">
        <f t="shared" si="5"/>
        <v>7</v>
      </c>
      <c r="B131" s="5">
        <f t="shared" si="6"/>
        <v>2013</v>
      </c>
      <c r="C131" s="7">
        <v>41463</v>
      </c>
      <c r="D131" s="8">
        <v>5.64</v>
      </c>
      <c r="E131" s="8">
        <v>5.66</v>
      </c>
      <c r="G131" s="5">
        <f t="shared" si="7"/>
        <v>9</v>
      </c>
      <c r="H131" s="5">
        <f t="shared" si="8"/>
        <v>2023</v>
      </c>
      <c r="I131" s="10">
        <v>45170</v>
      </c>
      <c r="J131" s="11">
        <f t="shared" si="9"/>
        <v>4.1264249999999993</v>
      </c>
    </row>
    <row r="132" spans="1:10" x14ac:dyDescent="0.2">
      <c r="A132" s="5">
        <f t="shared" ref="A132:A195" si="10">MONTH(C132)</f>
        <v>7</v>
      </c>
      <c r="B132" s="5">
        <f t="shared" ref="B132:B195" si="11">YEAR(C132)</f>
        <v>2013</v>
      </c>
      <c r="C132" s="7">
        <v>41464</v>
      </c>
      <c r="D132" s="8">
        <v>5.64</v>
      </c>
      <c r="E132" s="8">
        <v>5.67</v>
      </c>
      <c r="G132" s="5">
        <f t="shared" ref="G132:G158" si="12">MONTH(I132)</f>
        <v>10</v>
      </c>
      <c r="H132" s="5">
        <f t="shared" ref="H132:H158" si="13">YEAR(I132)</f>
        <v>2023</v>
      </c>
      <c r="I132" s="10">
        <v>45200</v>
      </c>
      <c r="J132" s="11">
        <f t="shared" ref="J132:J158" si="14">AVERAGEIFS(D:D,A:A,G132,B:B,H132)</f>
        <v>3.9899952380952382</v>
      </c>
    </row>
    <row r="133" spans="1:10" x14ac:dyDescent="0.2">
      <c r="A133" s="5">
        <f t="shared" si="10"/>
        <v>7</v>
      </c>
      <c r="B133" s="5">
        <f t="shared" si="11"/>
        <v>2013</v>
      </c>
      <c r="C133" s="7">
        <v>41465</v>
      </c>
      <c r="D133" s="8">
        <v>5.66</v>
      </c>
      <c r="E133" s="8">
        <v>5.67</v>
      </c>
      <c r="G133" s="5">
        <f t="shared" si="12"/>
        <v>11</v>
      </c>
      <c r="H133" s="5">
        <f t="shared" si="13"/>
        <v>2023</v>
      </c>
      <c r="I133" s="10">
        <v>45231</v>
      </c>
      <c r="J133" s="11">
        <f t="shared" si="14"/>
        <v>3.9193649999999991</v>
      </c>
    </row>
    <row r="134" spans="1:10" x14ac:dyDescent="0.2">
      <c r="A134" s="5">
        <f t="shared" si="10"/>
        <v>7</v>
      </c>
      <c r="B134" s="5">
        <f t="shared" si="11"/>
        <v>2013</v>
      </c>
      <c r="C134" s="7">
        <v>41466</v>
      </c>
      <c r="D134" s="8">
        <v>5.63</v>
      </c>
      <c r="E134" s="8">
        <v>5.68</v>
      </c>
      <c r="G134" s="5">
        <f t="shared" si="12"/>
        <v>12</v>
      </c>
      <c r="H134" s="5">
        <f t="shared" si="13"/>
        <v>2023</v>
      </c>
      <c r="I134" s="10">
        <v>45261</v>
      </c>
      <c r="J134" s="11">
        <f t="shared" si="14"/>
        <v>3.8853099999999996</v>
      </c>
    </row>
    <row r="135" spans="1:10" x14ac:dyDescent="0.2">
      <c r="A135" s="5">
        <f t="shared" si="10"/>
        <v>7</v>
      </c>
      <c r="B135" s="5">
        <f t="shared" si="11"/>
        <v>2013</v>
      </c>
      <c r="C135" s="7">
        <v>41467</v>
      </c>
      <c r="D135" s="8">
        <v>5.61</v>
      </c>
      <c r="E135" s="8">
        <v>5.68</v>
      </c>
      <c r="G135" s="5">
        <f t="shared" si="12"/>
        <v>1</v>
      </c>
      <c r="H135" s="5">
        <f t="shared" si="13"/>
        <v>2024</v>
      </c>
      <c r="I135" s="10">
        <v>45292</v>
      </c>
      <c r="J135" s="11">
        <f t="shared" si="14"/>
        <v>3.8413818181818185</v>
      </c>
    </row>
    <row r="136" spans="1:10" x14ac:dyDescent="0.2">
      <c r="A136" s="5">
        <f t="shared" si="10"/>
        <v>7</v>
      </c>
      <c r="B136" s="5">
        <f t="shared" si="11"/>
        <v>2013</v>
      </c>
      <c r="C136" s="7">
        <v>41470</v>
      </c>
      <c r="D136" s="8">
        <v>5.61</v>
      </c>
      <c r="E136" s="8">
        <v>5.7</v>
      </c>
      <c r="G136" s="5">
        <f t="shared" si="12"/>
        <v>2</v>
      </c>
      <c r="H136" s="5">
        <f t="shared" si="13"/>
        <v>2024</v>
      </c>
      <c r="I136" s="10">
        <v>45323</v>
      </c>
      <c r="J136" s="11">
        <f t="shared" si="14"/>
        <v>3.7874842105263165</v>
      </c>
    </row>
    <row r="137" spans="1:10" x14ac:dyDescent="0.2">
      <c r="A137" s="5">
        <f t="shared" si="10"/>
        <v>7</v>
      </c>
      <c r="B137" s="5">
        <f t="shared" si="11"/>
        <v>2013</v>
      </c>
      <c r="C137" s="7">
        <v>41471</v>
      </c>
      <c r="D137" s="8">
        <v>5.61</v>
      </c>
      <c r="E137" s="8">
        <v>5.72</v>
      </c>
      <c r="G137" s="5">
        <f t="shared" si="12"/>
        <v>3</v>
      </c>
      <c r="H137" s="5">
        <f t="shared" si="13"/>
        <v>2024</v>
      </c>
      <c r="I137" s="10">
        <v>45352</v>
      </c>
      <c r="J137" s="11">
        <f t="shared" si="14"/>
        <v>3.5431599999999994</v>
      </c>
    </row>
    <row r="138" spans="1:10" x14ac:dyDescent="0.2">
      <c r="A138" s="5">
        <f t="shared" si="10"/>
        <v>7</v>
      </c>
      <c r="B138" s="5">
        <f t="shared" si="11"/>
        <v>2013</v>
      </c>
      <c r="C138" s="7">
        <v>41472</v>
      </c>
      <c r="D138" s="8">
        <v>5.6</v>
      </c>
      <c r="E138" s="8">
        <v>5.73</v>
      </c>
      <c r="G138" s="5">
        <f t="shared" si="12"/>
        <v>4</v>
      </c>
      <c r="H138" s="5">
        <f t="shared" si="13"/>
        <v>2024</v>
      </c>
      <c r="I138" s="10">
        <v>45383</v>
      </c>
      <c r="J138" s="11">
        <f t="shared" si="14"/>
        <v>3.5117318181818176</v>
      </c>
    </row>
    <row r="139" spans="1:10" x14ac:dyDescent="0.2">
      <c r="A139" s="5">
        <f t="shared" si="10"/>
        <v>7</v>
      </c>
      <c r="B139" s="5">
        <f t="shared" si="11"/>
        <v>2013</v>
      </c>
      <c r="C139" s="7">
        <v>41473</v>
      </c>
      <c r="D139" s="8">
        <v>5.61</v>
      </c>
      <c r="E139" s="8">
        <v>5.78</v>
      </c>
      <c r="G139" s="5">
        <f t="shared" si="12"/>
        <v>5</v>
      </c>
      <c r="H139" s="5">
        <f t="shared" si="13"/>
        <v>2024</v>
      </c>
      <c r="I139" s="10">
        <v>45413</v>
      </c>
      <c r="J139" s="11">
        <f t="shared" si="14"/>
        <v>3.650152380952381</v>
      </c>
    </row>
    <row r="140" spans="1:10" x14ac:dyDescent="0.2">
      <c r="A140" s="5">
        <f t="shared" si="10"/>
        <v>7</v>
      </c>
      <c r="B140" s="5">
        <f t="shared" si="11"/>
        <v>2013</v>
      </c>
      <c r="C140" s="7">
        <v>41474</v>
      </c>
      <c r="D140" s="8">
        <v>5.6</v>
      </c>
      <c r="E140" s="8">
        <v>5.78</v>
      </c>
      <c r="G140" s="5">
        <f t="shared" si="12"/>
        <v>6</v>
      </c>
      <c r="H140" s="5">
        <f t="shared" si="13"/>
        <v>2024</v>
      </c>
      <c r="I140" s="10">
        <v>45444</v>
      </c>
      <c r="J140" s="11">
        <f t="shared" si="14"/>
        <v>3.6485449999999999</v>
      </c>
    </row>
    <row r="141" spans="1:10" x14ac:dyDescent="0.2">
      <c r="A141" s="5">
        <f t="shared" si="10"/>
        <v>7</v>
      </c>
      <c r="B141" s="5">
        <f t="shared" si="11"/>
        <v>2013</v>
      </c>
      <c r="C141" s="7">
        <v>41477</v>
      </c>
      <c r="D141" s="8">
        <v>5.61</v>
      </c>
      <c r="E141" s="8">
        <v>5.8</v>
      </c>
      <c r="G141" s="5">
        <f t="shared" si="12"/>
        <v>7</v>
      </c>
      <c r="H141" s="5">
        <f t="shared" si="13"/>
        <v>2024</v>
      </c>
      <c r="I141" s="10">
        <v>45474</v>
      </c>
      <c r="J141" s="11">
        <f t="shared" si="14"/>
        <v>3.7192608695652183</v>
      </c>
    </row>
    <row r="142" spans="1:10" x14ac:dyDescent="0.2">
      <c r="A142" s="5">
        <f t="shared" si="10"/>
        <v>7</v>
      </c>
      <c r="B142" s="5">
        <f t="shared" si="11"/>
        <v>2013</v>
      </c>
      <c r="C142" s="7">
        <v>41478</v>
      </c>
      <c r="D142" s="8">
        <v>5.61</v>
      </c>
      <c r="E142" s="8">
        <v>5.81</v>
      </c>
      <c r="G142" s="5">
        <f t="shared" si="12"/>
        <v>8</v>
      </c>
      <c r="H142" s="5">
        <f t="shared" si="13"/>
        <v>2024</v>
      </c>
      <c r="I142" s="10">
        <v>45505</v>
      </c>
      <c r="J142" s="11">
        <f t="shared" si="14"/>
        <v>3.7712090909090894</v>
      </c>
    </row>
    <row r="143" spans="1:10" x14ac:dyDescent="0.2">
      <c r="A143" s="5">
        <f t="shared" si="10"/>
        <v>7</v>
      </c>
      <c r="B143" s="5">
        <f t="shared" si="11"/>
        <v>2013</v>
      </c>
      <c r="C143" s="7">
        <v>41479</v>
      </c>
      <c r="D143" s="8">
        <v>5.61</v>
      </c>
      <c r="E143" s="8">
        <v>5.82</v>
      </c>
      <c r="G143" s="5">
        <f t="shared" si="12"/>
        <v>9</v>
      </c>
      <c r="H143" s="5">
        <f t="shared" si="13"/>
        <v>2024</v>
      </c>
      <c r="I143" s="10">
        <v>45536</v>
      </c>
      <c r="J143" s="11">
        <f t="shared" si="14"/>
        <v>4.0134809523809523</v>
      </c>
    </row>
    <row r="144" spans="1:10" x14ac:dyDescent="0.2">
      <c r="A144" s="5">
        <f t="shared" si="10"/>
        <v>7</v>
      </c>
      <c r="B144" s="5">
        <f t="shared" si="11"/>
        <v>2013</v>
      </c>
      <c r="C144" s="7">
        <v>41480</v>
      </c>
      <c r="D144" s="8">
        <v>5.62</v>
      </c>
      <c r="E144" s="8">
        <v>5.83</v>
      </c>
      <c r="G144" s="5">
        <f t="shared" si="12"/>
        <v>10</v>
      </c>
      <c r="H144" s="5">
        <f t="shared" si="13"/>
        <v>2024</v>
      </c>
      <c r="I144" s="10">
        <v>45566</v>
      </c>
      <c r="J144" s="11">
        <f t="shared" si="14"/>
        <v>4.0766217391304362</v>
      </c>
    </row>
    <row r="145" spans="1:10" x14ac:dyDescent="0.2">
      <c r="A145" s="5">
        <f t="shared" si="10"/>
        <v>7</v>
      </c>
      <c r="B145" s="5">
        <f t="shared" si="11"/>
        <v>2013</v>
      </c>
      <c r="C145" s="7">
        <v>41481</v>
      </c>
      <c r="D145" s="8">
        <v>5.61</v>
      </c>
      <c r="E145" s="8">
        <v>5.83</v>
      </c>
      <c r="G145" s="5">
        <f t="shared" si="12"/>
        <v>11</v>
      </c>
      <c r="H145" s="5">
        <f t="shared" si="13"/>
        <v>2024</v>
      </c>
      <c r="I145" s="10">
        <v>45597</v>
      </c>
      <c r="J145" s="11">
        <f t="shared" si="14"/>
        <v>4.2304684210526302</v>
      </c>
    </row>
    <row r="146" spans="1:10" x14ac:dyDescent="0.2">
      <c r="A146" s="5">
        <f t="shared" si="10"/>
        <v>7</v>
      </c>
      <c r="B146" s="5">
        <f t="shared" si="11"/>
        <v>2013</v>
      </c>
      <c r="C146" s="7">
        <v>41484</v>
      </c>
      <c r="D146" s="8">
        <v>5.62</v>
      </c>
      <c r="E146" s="8">
        <v>5.86</v>
      </c>
      <c r="G146" s="5">
        <f t="shared" si="12"/>
        <v>12</v>
      </c>
      <c r="H146" s="5">
        <f t="shared" si="13"/>
        <v>2024</v>
      </c>
      <c r="I146" s="10">
        <v>45627</v>
      </c>
      <c r="J146" s="11">
        <f t="shared" si="14"/>
        <v>4.7350047619047624</v>
      </c>
    </row>
    <row r="147" spans="1:10" x14ac:dyDescent="0.2">
      <c r="A147" s="5">
        <f t="shared" si="10"/>
        <v>7</v>
      </c>
      <c r="B147" s="5">
        <f t="shared" si="11"/>
        <v>2013</v>
      </c>
      <c r="C147" s="7">
        <v>41485</v>
      </c>
      <c r="D147" s="8">
        <v>5.62</v>
      </c>
      <c r="E147" s="8">
        <v>5.88</v>
      </c>
      <c r="G147" s="5">
        <f t="shared" si="12"/>
        <v>1</v>
      </c>
      <c r="H147" s="5">
        <f t="shared" si="13"/>
        <v>2025</v>
      </c>
      <c r="I147" s="10">
        <v>45658</v>
      </c>
      <c r="J147" s="11">
        <f t="shared" si="14"/>
        <v>5.1725181818181829</v>
      </c>
    </row>
    <row r="148" spans="1:10" x14ac:dyDescent="0.2">
      <c r="A148" s="5">
        <f t="shared" si="10"/>
        <v>7</v>
      </c>
      <c r="B148" s="5">
        <f t="shared" si="11"/>
        <v>2013</v>
      </c>
      <c r="C148" s="7">
        <v>41486</v>
      </c>
      <c r="D148" s="8">
        <v>5.63</v>
      </c>
      <c r="E148" s="8">
        <v>5.89</v>
      </c>
      <c r="G148" s="5">
        <f t="shared" si="12"/>
        <v>2</v>
      </c>
      <c r="H148" s="5">
        <f t="shared" si="13"/>
        <v>2025</v>
      </c>
      <c r="I148" s="10">
        <v>45689</v>
      </c>
      <c r="J148" s="11">
        <f t="shared" si="14"/>
        <v>5.8119350000000001</v>
      </c>
    </row>
    <row r="149" spans="1:10" x14ac:dyDescent="0.2">
      <c r="A149" s="5">
        <f t="shared" si="10"/>
        <v>8</v>
      </c>
      <c r="B149" s="5">
        <f t="shared" si="11"/>
        <v>2013</v>
      </c>
      <c r="C149" s="7">
        <v>41487</v>
      </c>
      <c r="D149" s="8">
        <v>5.62</v>
      </c>
      <c r="E149" s="8">
        <v>5.9</v>
      </c>
      <c r="G149" s="5">
        <f t="shared" si="12"/>
        <v>3</v>
      </c>
      <c r="H149" s="5">
        <f t="shared" si="13"/>
        <v>2025</v>
      </c>
      <c r="I149" s="10">
        <v>45717</v>
      </c>
      <c r="J149" s="11">
        <f t="shared" si="14"/>
        <v>5.4310789473684222</v>
      </c>
    </row>
    <row r="150" spans="1:10" x14ac:dyDescent="0.2">
      <c r="A150" s="5">
        <f t="shared" si="10"/>
        <v>8</v>
      </c>
      <c r="B150" s="5">
        <f t="shared" si="11"/>
        <v>2013</v>
      </c>
      <c r="C150" s="7">
        <v>41488</v>
      </c>
      <c r="D150" s="8">
        <v>5.63</v>
      </c>
      <c r="E150" s="8">
        <v>5.93</v>
      </c>
      <c r="G150" s="5">
        <f t="shared" si="12"/>
        <v>4</v>
      </c>
      <c r="H150" s="5">
        <f t="shared" si="13"/>
        <v>2025</v>
      </c>
      <c r="I150" s="10">
        <v>45748</v>
      </c>
      <c r="J150" s="11">
        <f t="shared" si="14"/>
        <v>5.0863950000000013</v>
      </c>
    </row>
    <row r="151" spans="1:10" x14ac:dyDescent="0.2">
      <c r="A151" s="5">
        <f t="shared" si="10"/>
        <v>8</v>
      </c>
      <c r="B151" s="5">
        <f t="shared" si="11"/>
        <v>2013</v>
      </c>
      <c r="C151" s="7">
        <v>41491</v>
      </c>
      <c r="D151" s="8">
        <v>5.67</v>
      </c>
      <c r="E151" s="8">
        <v>5.97</v>
      </c>
      <c r="G151" s="5">
        <f t="shared" si="12"/>
        <v>5</v>
      </c>
      <c r="H151" s="5">
        <f t="shared" si="13"/>
        <v>2025</v>
      </c>
      <c r="I151" s="10">
        <v>45778</v>
      </c>
      <c r="J151" s="11">
        <f t="shared" si="14"/>
        <v>4.9267999999999992</v>
      </c>
    </row>
    <row r="152" spans="1:10" x14ac:dyDescent="0.2">
      <c r="A152" s="5">
        <f t="shared" si="10"/>
        <v>8</v>
      </c>
      <c r="B152" s="5">
        <f t="shared" si="11"/>
        <v>2013</v>
      </c>
      <c r="C152" s="7">
        <v>41492</v>
      </c>
      <c r="D152" s="8">
        <v>5.67</v>
      </c>
      <c r="E152" s="8">
        <v>5.95</v>
      </c>
      <c r="G152" s="5">
        <f t="shared" si="12"/>
        <v>6</v>
      </c>
      <c r="H152" s="5">
        <f t="shared" si="13"/>
        <v>2025</v>
      </c>
      <c r="I152" s="10">
        <v>45809</v>
      </c>
      <c r="J152" s="11">
        <f t="shared" si="14"/>
        <v>4.7472949999999994</v>
      </c>
    </row>
    <row r="153" spans="1:10" x14ac:dyDescent="0.2">
      <c r="A153" s="5">
        <f t="shared" si="10"/>
        <v>8</v>
      </c>
      <c r="B153" s="5">
        <f t="shared" si="11"/>
        <v>2013</v>
      </c>
      <c r="C153" s="7">
        <v>41493</v>
      </c>
      <c r="D153" s="8">
        <v>5.93</v>
      </c>
      <c r="E153" s="8">
        <v>5.93</v>
      </c>
      <c r="G153" s="5">
        <f t="shared" si="12"/>
        <v>7</v>
      </c>
      <c r="H153" s="5">
        <f t="shared" si="13"/>
        <v>2025</v>
      </c>
      <c r="I153" s="10">
        <v>45839</v>
      </c>
      <c r="J153" s="11">
        <f t="shared" si="14"/>
        <v>4.588095652173914</v>
      </c>
    </row>
    <row r="154" spans="1:10" x14ac:dyDescent="0.2">
      <c r="A154" s="5">
        <f t="shared" si="10"/>
        <v>8</v>
      </c>
      <c r="B154" s="5">
        <f t="shared" si="11"/>
        <v>2013</v>
      </c>
      <c r="C154" s="7">
        <v>41494</v>
      </c>
      <c r="D154" s="8">
        <v>5.95</v>
      </c>
      <c r="E154" s="8">
        <v>5.95</v>
      </c>
      <c r="G154" s="5">
        <f t="shared" si="12"/>
        <v>8</v>
      </c>
      <c r="H154" s="5">
        <f t="shared" si="13"/>
        <v>2025</v>
      </c>
      <c r="I154" s="10">
        <v>45870</v>
      </c>
      <c r="J154" s="11">
        <f t="shared" si="14"/>
        <v>4.340009523809524</v>
      </c>
    </row>
    <row r="155" spans="1:10" x14ac:dyDescent="0.2">
      <c r="A155" s="5">
        <f t="shared" si="10"/>
        <v>8</v>
      </c>
      <c r="B155" s="5">
        <f t="shared" si="11"/>
        <v>2013</v>
      </c>
      <c r="C155" s="7">
        <v>41495</v>
      </c>
      <c r="D155" s="8">
        <v>5.95</v>
      </c>
      <c r="E155" s="8">
        <v>5.95</v>
      </c>
      <c r="G155" s="5">
        <f t="shared" si="12"/>
        <v>9</v>
      </c>
      <c r="H155" s="5">
        <f t="shared" si="13"/>
        <v>2025</v>
      </c>
      <c r="I155" s="10">
        <v>45901</v>
      </c>
      <c r="J155" s="11">
        <f t="shared" si="14"/>
        <v>4.3600000000000012</v>
      </c>
    </row>
    <row r="156" spans="1:10" x14ac:dyDescent="0.2">
      <c r="A156" s="5">
        <f t="shared" si="10"/>
        <v>8</v>
      </c>
      <c r="B156" s="5">
        <f t="shared" si="11"/>
        <v>2013</v>
      </c>
      <c r="C156" s="7">
        <v>41498</v>
      </c>
      <c r="D156" s="8">
        <v>5.98</v>
      </c>
      <c r="E156" s="8">
        <v>5.97</v>
      </c>
      <c r="G156" s="5">
        <f t="shared" si="12"/>
        <v>10</v>
      </c>
      <c r="H156" s="5">
        <f t="shared" si="13"/>
        <v>2025</v>
      </c>
      <c r="I156" s="10">
        <v>45931</v>
      </c>
      <c r="J156" s="11">
        <f t="shared" si="14"/>
        <v>4.1523695652173913</v>
      </c>
    </row>
    <row r="157" spans="1:10" x14ac:dyDescent="0.2">
      <c r="A157" s="5">
        <f t="shared" si="10"/>
        <v>8</v>
      </c>
      <c r="B157" s="5">
        <f t="shared" si="11"/>
        <v>2013</v>
      </c>
      <c r="C157" s="7">
        <v>41499</v>
      </c>
      <c r="D157" s="8">
        <v>5.98</v>
      </c>
      <c r="E157" s="8">
        <v>5.97</v>
      </c>
      <c r="G157" s="5">
        <f t="shared" si="12"/>
        <v>11</v>
      </c>
      <c r="H157" s="5">
        <f t="shared" si="13"/>
        <v>2025</v>
      </c>
      <c r="I157" s="10">
        <v>45962</v>
      </c>
      <c r="J157" s="11">
        <f t="shared" si="14"/>
        <v>4.0359789473684211</v>
      </c>
    </row>
    <row r="158" spans="1:10" x14ac:dyDescent="0.2">
      <c r="A158" s="5">
        <f t="shared" si="10"/>
        <v>8</v>
      </c>
      <c r="B158" s="5">
        <f t="shared" si="11"/>
        <v>2013</v>
      </c>
      <c r="C158" s="7">
        <v>41500</v>
      </c>
      <c r="D158" s="8">
        <v>5.98</v>
      </c>
      <c r="E158" s="8">
        <v>5.97</v>
      </c>
      <c r="G158" s="5">
        <f t="shared" si="12"/>
        <v>12</v>
      </c>
      <c r="H158" s="5">
        <f t="shared" si="13"/>
        <v>2025</v>
      </c>
      <c r="I158" s="10">
        <v>45992</v>
      </c>
      <c r="J158" s="11">
        <f t="shared" si="14"/>
        <v>3.9991909090909088</v>
      </c>
    </row>
    <row r="159" spans="1:10" x14ac:dyDescent="0.2">
      <c r="A159" s="5">
        <f t="shared" si="10"/>
        <v>8</v>
      </c>
      <c r="B159" s="5">
        <f t="shared" si="11"/>
        <v>2013</v>
      </c>
      <c r="C159" s="7">
        <v>41501</v>
      </c>
      <c r="D159" s="8">
        <v>5.95</v>
      </c>
      <c r="E159" s="8">
        <v>5.96</v>
      </c>
    </row>
    <row r="160" spans="1:10" x14ac:dyDescent="0.2">
      <c r="A160" s="5">
        <f t="shared" si="10"/>
        <v>8</v>
      </c>
      <c r="B160" s="5">
        <f t="shared" si="11"/>
        <v>2013</v>
      </c>
      <c r="C160" s="7">
        <v>41502</v>
      </c>
      <c r="D160" s="8">
        <v>5.96</v>
      </c>
      <c r="E160" s="8">
        <v>5.97</v>
      </c>
    </row>
    <row r="161" spans="1:5" x14ac:dyDescent="0.2">
      <c r="A161" s="5">
        <f t="shared" si="10"/>
        <v>8</v>
      </c>
      <c r="B161" s="5">
        <f t="shared" si="11"/>
        <v>2013</v>
      </c>
      <c r="C161" s="7">
        <v>41505</v>
      </c>
      <c r="D161" s="8">
        <v>5.99</v>
      </c>
      <c r="E161" s="8">
        <v>5.98</v>
      </c>
    </row>
    <row r="162" spans="1:5" x14ac:dyDescent="0.2">
      <c r="A162" s="5">
        <f t="shared" si="10"/>
        <v>8</v>
      </c>
      <c r="B162" s="5">
        <f t="shared" si="11"/>
        <v>2013</v>
      </c>
      <c r="C162" s="7">
        <v>41506</v>
      </c>
      <c r="D162" s="8">
        <v>6.01</v>
      </c>
      <c r="E162" s="8">
        <v>6.01</v>
      </c>
    </row>
    <row r="163" spans="1:5" x14ac:dyDescent="0.2">
      <c r="A163" s="5">
        <f t="shared" si="10"/>
        <v>8</v>
      </c>
      <c r="B163" s="5">
        <f t="shared" si="11"/>
        <v>2013</v>
      </c>
      <c r="C163" s="7">
        <v>41507</v>
      </c>
      <c r="D163" s="8">
        <v>6.01</v>
      </c>
      <c r="E163" s="8">
        <v>6.01</v>
      </c>
    </row>
    <row r="164" spans="1:5" x14ac:dyDescent="0.2">
      <c r="A164" s="5">
        <f t="shared" si="10"/>
        <v>8</v>
      </c>
      <c r="B164" s="5">
        <f t="shared" si="11"/>
        <v>2013</v>
      </c>
      <c r="C164" s="7">
        <v>41508</v>
      </c>
      <c r="D164" s="8">
        <v>6.01</v>
      </c>
      <c r="E164" s="8">
        <v>6.06</v>
      </c>
    </row>
    <row r="165" spans="1:5" x14ac:dyDescent="0.2">
      <c r="A165" s="5">
        <f t="shared" si="10"/>
        <v>8</v>
      </c>
      <c r="B165" s="5">
        <f t="shared" si="11"/>
        <v>2013</v>
      </c>
      <c r="C165" s="7">
        <v>41509</v>
      </c>
      <c r="D165" s="8">
        <v>6.02</v>
      </c>
      <c r="E165" s="8">
        <v>6.08</v>
      </c>
    </row>
    <row r="166" spans="1:5" x14ac:dyDescent="0.2">
      <c r="A166" s="5">
        <f t="shared" si="10"/>
        <v>8</v>
      </c>
      <c r="B166" s="5">
        <f t="shared" si="11"/>
        <v>2013</v>
      </c>
      <c r="C166" s="7">
        <v>41512</v>
      </c>
      <c r="D166" s="8">
        <v>6.02</v>
      </c>
      <c r="E166" s="8">
        <v>6.09</v>
      </c>
    </row>
    <row r="167" spans="1:5" x14ac:dyDescent="0.2">
      <c r="A167" s="5">
        <f t="shared" si="10"/>
        <v>8</v>
      </c>
      <c r="B167" s="5">
        <f t="shared" si="11"/>
        <v>2013</v>
      </c>
      <c r="C167" s="7">
        <v>41513</v>
      </c>
      <c r="D167" s="8">
        <v>6.02</v>
      </c>
      <c r="E167" s="8">
        <v>6.1</v>
      </c>
    </row>
    <row r="168" spans="1:5" x14ac:dyDescent="0.2">
      <c r="A168" s="5">
        <f t="shared" si="10"/>
        <v>8</v>
      </c>
      <c r="B168" s="5">
        <f t="shared" si="11"/>
        <v>2013</v>
      </c>
      <c r="C168" s="7">
        <v>41514</v>
      </c>
      <c r="D168" s="8">
        <v>6.02</v>
      </c>
      <c r="E168" s="8">
        <v>6.1</v>
      </c>
    </row>
    <row r="169" spans="1:5" x14ac:dyDescent="0.2">
      <c r="A169" s="5">
        <f t="shared" si="10"/>
        <v>8</v>
      </c>
      <c r="B169" s="5">
        <f t="shared" si="11"/>
        <v>2013</v>
      </c>
      <c r="C169" s="7">
        <v>41515</v>
      </c>
      <c r="D169" s="8">
        <v>6.04</v>
      </c>
      <c r="E169" s="8">
        <v>6.11</v>
      </c>
    </row>
    <row r="170" spans="1:5" x14ac:dyDescent="0.2">
      <c r="A170" s="5">
        <f t="shared" si="10"/>
        <v>8</v>
      </c>
      <c r="B170" s="5">
        <f t="shared" si="11"/>
        <v>2013</v>
      </c>
      <c r="C170" s="7">
        <v>41516</v>
      </c>
      <c r="D170" s="8">
        <v>6.08</v>
      </c>
      <c r="E170" s="8">
        <v>6.12</v>
      </c>
    </row>
    <row r="171" spans="1:5" x14ac:dyDescent="0.2">
      <c r="A171" s="5">
        <f t="shared" si="10"/>
        <v>9</v>
      </c>
      <c r="B171" s="5">
        <f t="shared" si="11"/>
        <v>2013</v>
      </c>
      <c r="C171" s="7">
        <v>41519</v>
      </c>
      <c r="D171" s="8">
        <v>6.09</v>
      </c>
      <c r="E171" s="8">
        <v>6.13</v>
      </c>
    </row>
    <row r="172" spans="1:5" x14ac:dyDescent="0.2">
      <c r="A172" s="5">
        <f t="shared" si="10"/>
        <v>9</v>
      </c>
      <c r="B172" s="5">
        <f t="shared" si="11"/>
        <v>2013</v>
      </c>
      <c r="C172" s="7">
        <v>41520</v>
      </c>
      <c r="D172" s="8">
        <v>6.09</v>
      </c>
      <c r="E172" s="8">
        <v>6.13</v>
      </c>
    </row>
    <row r="173" spans="1:5" x14ac:dyDescent="0.2">
      <c r="A173" s="5">
        <f t="shared" si="10"/>
        <v>9</v>
      </c>
      <c r="B173" s="5">
        <f t="shared" si="11"/>
        <v>2013</v>
      </c>
      <c r="C173" s="7">
        <v>41521</v>
      </c>
      <c r="D173" s="8">
        <v>6.1</v>
      </c>
      <c r="E173" s="8">
        <v>6.14</v>
      </c>
    </row>
    <row r="174" spans="1:5" x14ac:dyDescent="0.2">
      <c r="A174" s="5">
        <f t="shared" si="10"/>
        <v>9</v>
      </c>
      <c r="B174" s="5">
        <f t="shared" si="11"/>
        <v>2013</v>
      </c>
      <c r="C174" s="7">
        <v>41522</v>
      </c>
      <c r="D174" s="8">
        <v>6.1</v>
      </c>
      <c r="E174" s="8">
        <v>6.14</v>
      </c>
    </row>
    <row r="175" spans="1:5" x14ac:dyDescent="0.2">
      <c r="A175" s="5">
        <f t="shared" si="10"/>
        <v>9</v>
      </c>
      <c r="B175" s="5">
        <f t="shared" si="11"/>
        <v>2013</v>
      </c>
      <c r="C175" s="7">
        <v>41523</v>
      </c>
      <c r="D175" s="8">
        <v>6.13</v>
      </c>
      <c r="E175" s="8">
        <v>6.13</v>
      </c>
    </row>
    <row r="176" spans="1:5" x14ac:dyDescent="0.2">
      <c r="A176" s="5">
        <f t="shared" si="10"/>
        <v>9</v>
      </c>
      <c r="B176" s="5">
        <f t="shared" si="11"/>
        <v>2013</v>
      </c>
      <c r="C176" s="7">
        <v>41526</v>
      </c>
      <c r="D176" s="8">
        <v>6.18</v>
      </c>
      <c r="E176" s="8">
        <v>6.2</v>
      </c>
    </row>
    <row r="177" spans="1:5" x14ac:dyDescent="0.2">
      <c r="A177" s="5">
        <f t="shared" si="10"/>
        <v>9</v>
      </c>
      <c r="B177" s="5">
        <f t="shared" si="11"/>
        <v>2013</v>
      </c>
      <c r="C177" s="7">
        <v>41527</v>
      </c>
      <c r="D177" s="8">
        <v>6.22</v>
      </c>
      <c r="E177" s="8">
        <v>6.21</v>
      </c>
    </row>
    <row r="178" spans="1:5" x14ac:dyDescent="0.2">
      <c r="A178" s="5">
        <f t="shared" si="10"/>
        <v>9</v>
      </c>
      <c r="B178" s="5">
        <f t="shared" si="11"/>
        <v>2013</v>
      </c>
      <c r="C178" s="7">
        <v>41528</v>
      </c>
      <c r="D178" s="8">
        <v>6.22</v>
      </c>
      <c r="E178" s="8">
        <v>6.21</v>
      </c>
    </row>
    <row r="179" spans="1:5" x14ac:dyDescent="0.2">
      <c r="A179" s="5">
        <f t="shared" si="10"/>
        <v>9</v>
      </c>
      <c r="B179" s="5">
        <f t="shared" si="11"/>
        <v>2013</v>
      </c>
      <c r="C179" s="7">
        <v>41529</v>
      </c>
      <c r="D179" s="8">
        <v>6.22</v>
      </c>
      <c r="E179" s="8">
        <v>6.21</v>
      </c>
    </row>
    <row r="180" spans="1:5" x14ac:dyDescent="0.2">
      <c r="A180" s="5">
        <f t="shared" si="10"/>
        <v>9</v>
      </c>
      <c r="B180" s="5">
        <f t="shared" si="11"/>
        <v>2013</v>
      </c>
      <c r="C180" s="7">
        <v>41530</v>
      </c>
      <c r="D180" s="8">
        <v>6.22</v>
      </c>
      <c r="E180" s="8">
        <v>6.21</v>
      </c>
    </row>
    <row r="181" spans="1:5" x14ac:dyDescent="0.2">
      <c r="A181" s="5">
        <f t="shared" si="10"/>
        <v>9</v>
      </c>
      <c r="B181" s="5">
        <f t="shared" si="11"/>
        <v>2013</v>
      </c>
      <c r="C181" s="7">
        <v>41533</v>
      </c>
      <c r="D181" s="8">
        <v>6.22</v>
      </c>
      <c r="E181" s="8">
        <v>6.2</v>
      </c>
    </row>
    <row r="182" spans="1:5" x14ac:dyDescent="0.2">
      <c r="A182" s="5">
        <f t="shared" si="10"/>
        <v>9</v>
      </c>
      <c r="B182" s="5">
        <f t="shared" si="11"/>
        <v>2013</v>
      </c>
      <c r="C182" s="7">
        <v>41534</v>
      </c>
      <c r="D182" s="8">
        <v>6.21</v>
      </c>
      <c r="E182" s="8">
        <v>6.19</v>
      </c>
    </row>
    <row r="183" spans="1:5" x14ac:dyDescent="0.2">
      <c r="A183" s="5">
        <f t="shared" si="10"/>
        <v>9</v>
      </c>
      <c r="B183" s="5">
        <f t="shared" si="11"/>
        <v>2013</v>
      </c>
      <c r="C183" s="7">
        <v>41535</v>
      </c>
      <c r="D183" s="8">
        <v>6.22</v>
      </c>
      <c r="E183" s="8">
        <v>6.21</v>
      </c>
    </row>
    <row r="184" spans="1:5" x14ac:dyDescent="0.2">
      <c r="A184" s="5">
        <f t="shared" si="10"/>
        <v>9</v>
      </c>
      <c r="B184" s="5">
        <f t="shared" si="11"/>
        <v>2013</v>
      </c>
      <c r="C184" s="7">
        <v>41536</v>
      </c>
      <c r="D184" s="8">
        <v>6.23</v>
      </c>
      <c r="E184" s="8">
        <v>6.22</v>
      </c>
    </row>
    <row r="185" spans="1:5" x14ac:dyDescent="0.2">
      <c r="A185" s="5">
        <f t="shared" si="10"/>
        <v>9</v>
      </c>
      <c r="B185" s="5">
        <f t="shared" si="11"/>
        <v>2013</v>
      </c>
      <c r="C185" s="7">
        <v>41537</v>
      </c>
      <c r="D185" s="8">
        <v>6.19</v>
      </c>
      <c r="E185" s="8">
        <v>6.2</v>
      </c>
    </row>
    <row r="186" spans="1:5" x14ac:dyDescent="0.2">
      <c r="A186" s="5">
        <f t="shared" si="10"/>
        <v>9</v>
      </c>
      <c r="B186" s="5">
        <f t="shared" si="11"/>
        <v>2013</v>
      </c>
      <c r="C186" s="7">
        <v>41540</v>
      </c>
      <c r="D186" s="8">
        <v>6.19</v>
      </c>
      <c r="E186" s="8">
        <v>6.21</v>
      </c>
    </row>
    <row r="187" spans="1:5" x14ac:dyDescent="0.2">
      <c r="A187" s="5">
        <f t="shared" si="10"/>
        <v>9</v>
      </c>
      <c r="B187" s="5">
        <f t="shared" si="11"/>
        <v>2013</v>
      </c>
      <c r="C187" s="7">
        <v>41541</v>
      </c>
      <c r="D187" s="8">
        <v>6.19</v>
      </c>
      <c r="E187" s="8">
        <v>6.21</v>
      </c>
    </row>
    <row r="188" spans="1:5" x14ac:dyDescent="0.2">
      <c r="A188" s="5">
        <f t="shared" si="10"/>
        <v>9</v>
      </c>
      <c r="B188" s="5">
        <f t="shared" si="11"/>
        <v>2013</v>
      </c>
      <c r="C188" s="7">
        <v>41542</v>
      </c>
      <c r="D188" s="8">
        <v>6.19</v>
      </c>
      <c r="E188" s="8">
        <v>6.21</v>
      </c>
    </row>
    <row r="189" spans="1:5" x14ac:dyDescent="0.2">
      <c r="A189" s="5">
        <f t="shared" si="10"/>
        <v>9</v>
      </c>
      <c r="B189" s="5">
        <f t="shared" si="11"/>
        <v>2013</v>
      </c>
      <c r="C189" s="7">
        <v>41543</v>
      </c>
      <c r="D189" s="8">
        <v>6.19</v>
      </c>
      <c r="E189" s="8">
        <v>6.21</v>
      </c>
    </row>
    <row r="190" spans="1:5" x14ac:dyDescent="0.2">
      <c r="A190" s="5">
        <f t="shared" si="10"/>
        <v>9</v>
      </c>
      <c r="B190" s="5">
        <f t="shared" si="11"/>
        <v>2013</v>
      </c>
      <c r="C190" s="7">
        <v>41544</v>
      </c>
      <c r="D190" s="8">
        <v>6.19</v>
      </c>
      <c r="E190" s="8">
        <v>6.21</v>
      </c>
    </row>
    <row r="191" spans="1:5" x14ac:dyDescent="0.2">
      <c r="A191" s="5">
        <f t="shared" si="10"/>
        <v>9</v>
      </c>
      <c r="B191" s="5">
        <f t="shared" si="11"/>
        <v>2013</v>
      </c>
      <c r="C191" s="7">
        <v>41547</v>
      </c>
      <c r="D191" s="8">
        <v>6.19</v>
      </c>
      <c r="E191" s="8">
        <v>6.22</v>
      </c>
    </row>
    <row r="192" spans="1:5" x14ac:dyDescent="0.2">
      <c r="A192" s="5">
        <f t="shared" si="10"/>
        <v>10</v>
      </c>
      <c r="B192" s="5">
        <f t="shared" si="11"/>
        <v>2013</v>
      </c>
      <c r="C192" s="7">
        <v>41548</v>
      </c>
      <c r="D192" s="8">
        <v>6.2</v>
      </c>
      <c r="E192" s="8">
        <v>6.25</v>
      </c>
    </row>
    <row r="193" spans="1:5" x14ac:dyDescent="0.2">
      <c r="A193" s="5">
        <f t="shared" si="10"/>
        <v>10</v>
      </c>
      <c r="B193" s="5">
        <f t="shared" si="11"/>
        <v>2013</v>
      </c>
      <c r="C193" s="7">
        <v>41549</v>
      </c>
      <c r="D193" s="8">
        <v>6.2</v>
      </c>
      <c r="E193" s="8">
        <v>6.23</v>
      </c>
    </row>
    <row r="194" spans="1:5" x14ac:dyDescent="0.2">
      <c r="A194" s="5">
        <f t="shared" si="10"/>
        <v>10</v>
      </c>
      <c r="B194" s="5">
        <f t="shared" si="11"/>
        <v>2013</v>
      </c>
      <c r="C194" s="7">
        <v>41550</v>
      </c>
      <c r="D194" s="8">
        <v>6.21</v>
      </c>
      <c r="E194" s="8">
        <v>6.24</v>
      </c>
    </row>
    <row r="195" spans="1:5" x14ac:dyDescent="0.2">
      <c r="A195" s="5">
        <f t="shared" si="10"/>
        <v>10</v>
      </c>
      <c r="B195" s="5">
        <f t="shared" si="11"/>
        <v>2013</v>
      </c>
      <c r="C195" s="7">
        <v>41551</v>
      </c>
      <c r="D195" s="8">
        <v>6.19</v>
      </c>
      <c r="E195" s="8">
        <v>6.23</v>
      </c>
    </row>
    <row r="196" spans="1:5" x14ac:dyDescent="0.2">
      <c r="A196" s="5">
        <f t="shared" ref="A196:A259" si="15">MONTH(C196)</f>
        <v>10</v>
      </c>
      <c r="B196" s="5">
        <f t="shared" ref="B196:B259" si="16">YEAR(C196)</f>
        <v>2013</v>
      </c>
      <c r="C196" s="7">
        <v>41554</v>
      </c>
      <c r="D196" s="8">
        <v>6.19</v>
      </c>
      <c r="E196" s="8">
        <v>6.24</v>
      </c>
    </row>
    <row r="197" spans="1:5" x14ac:dyDescent="0.2">
      <c r="A197" s="5">
        <f t="shared" si="15"/>
        <v>10</v>
      </c>
      <c r="B197" s="5">
        <f t="shared" si="16"/>
        <v>2013</v>
      </c>
      <c r="C197" s="7">
        <v>41555</v>
      </c>
      <c r="D197" s="8">
        <v>6.2</v>
      </c>
      <c r="E197" s="8">
        <v>6.25</v>
      </c>
    </row>
    <row r="198" spans="1:5" x14ac:dyDescent="0.2">
      <c r="A198" s="5">
        <f t="shared" si="15"/>
        <v>10</v>
      </c>
      <c r="B198" s="5">
        <f t="shared" si="16"/>
        <v>2013</v>
      </c>
      <c r="C198" s="7">
        <v>41556</v>
      </c>
      <c r="D198" s="8">
        <v>6.24</v>
      </c>
      <c r="E198" s="8">
        <v>6.24</v>
      </c>
    </row>
    <row r="199" spans="1:5" x14ac:dyDescent="0.2">
      <c r="A199" s="5">
        <f t="shared" si="15"/>
        <v>10</v>
      </c>
      <c r="B199" s="5">
        <f t="shared" si="16"/>
        <v>2013</v>
      </c>
      <c r="C199" s="7">
        <v>41557</v>
      </c>
      <c r="D199" s="8">
        <v>6.24</v>
      </c>
      <c r="E199" s="8">
        <v>6.24</v>
      </c>
    </row>
    <row r="200" spans="1:5" x14ac:dyDescent="0.2">
      <c r="A200" s="5">
        <f t="shared" si="15"/>
        <v>10</v>
      </c>
      <c r="B200" s="5">
        <f t="shared" si="16"/>
        <v>2013</v>
      </c>
      <c r="C200" s="7">
        <v>41558</v>
      </c>
      <c r="D200" s="8">
        <v>6.24</v>
      </c>
      <c r="E200" s="8">
        <v>6.24</v>
      </c>
    </row>
    <row r="201" spans="1:5" x14ac:dyDescent="0.2">
      <c r="A201" s="5">
        <f t="shared" si="15"/>
        <v>10</v>
      </c>
      <c r="B201" s="5">
        <f t="shared" si="16"/>
        <v>2013</v>
      </c>
      <c r="C201" s="7">
        <v>41561</v>
      </c>
      <c r="D201" s="8">
        <v>6.24</v>
      </c>
      <c r="E201" s="8">
        <v>6.23</v>
      </c>
    </row>
    <row r="202" spans="1:5" x14ac:dyDescent="0.2">
      <c r="A202" s="5">
        <f t="shared" si="15"/>
        <v>10</v>
      </c>
      <c r="B202" s="5">
        <f t="shared" si="16"/>
        <v>2013</v>
      </c>
      <c r="C202" s="7">
        <v>41562</v>
      </c>
      <c r="D202" s="8">
        <v>6.24</v>
      </c>
      <c r="E202" s="8">
        <v>6.23</v>
      </c>
    </row>
    <row r="203" spans="1:5" x14ac:dyDescent="0.2">
      <c r="A203" s="5">
        <f t="shared" si="15"/>
        <v>10</v>
      </c>
      <c r="B203" s="5">
        <f t="shared" si="16"/>
        <v>2013</v>
      </c>
      <c r="C203" s="7">
        <v>41563</v>
      </c>
      <c r="D203" s="8">
        <v>6.24</v>
      </c>
      <c r="E203" s="8">
        <v>6.22</v>
      </c>
    </row>
    <row r="204" spans="1:5" x14ac:dyDescent="0.2">
      <c r="A204" s="5">
        <f t="shared" si="15"/>
        <v>10</v>
      </c>
      <c r="B204" s="5">
        <f t="shared" si="16"/>
        <v>2013</v>
      </c>
      <c r="C204" s="7">
        <v>41564</v>
      </c>
      <c r="D204" s="8">
        <v>6.27</v>
      </c>
      <c r="E204" s="8">
        <v>6.26</v>
      </c>
    </row>
    <row r="205" spans="1:5" x14ac:dyDescent="0.2">
      <c r="A205" s="5">
        <f t="shared" si="15"/>
        <v>10</v>
      </c>
      <c r="B205" s="5">
        <f t="shared" si="16"/>
        <v>2013</v>
      </c>
      <c r="C205" s="7">
        <v>41565</v>
      </c>
      <c r="D205" s="8">
        <v>6.28</v>
      </c>
      <c r="E205" s="8">
        <v>6.25</v>
      </c>
    </row>
    <row r="206" spans="1:5" x14ac:dyDescent="0.2">
      <c r="A206" s="5">
        <f t="shared" si="15"/>
        <v>10</v>
      </c>
      <c r="B206" s="5">
        <f t="shared" si="16"/>
        <v>2013</v>
      </c>
      <c r="C206" s="7">
        <v>41568</v>
      </c>
      <c r="D206" s="8">
        <v>6.29</v>
      </c>
      <c r="E206" s="8">
        <v>6.24</v>
      </c>
    </row>
    <row r="207" spans="1:5" x14ac:dyDescent="0.2">
      <c r="A207" s="5">
        <f t="shared" si="15"/>
        <v>10</v>
      </c>
      <c r="B207" s="5">
        <f t="shared" si="16"/>
        <v>2013</v>
      </c>
      <c r="C207" s="7">
        <v>41569</v>
      </c>
      <c r="D207" s="8">
        <v>6.28</v>
      </c>
      <c r="E207" s="8">
        <v>6.23</v>
      </c>
    </row>
    <row r="208" spans="1:5" x14ac:dyDescent="0.2">
      <c r="A208" s="5">
        <f t="shared" si="15"/>
        <v>10</v>
      </c>
      <c r="B208" s="5">
        <f t="shared" si="16"/>
        <v>2013</v>
      </c>
      <c r="C208" s="7">
        <v>41570</v>
      </c>
      <c r="D208" s="8">
        <v>6.28</v>
      </c>
      <c r="E208" s="8">
        <v>6.23</v>
      </c>
    </row>
    <row r="209" spans="1:5" x14ac:dyDescent="0.2">
      <c r="A209" s="5">
        <f t="shared" si="15"/>
        <v>10</v>
      </c>
      <c r="B209" s="5">
        <f t="shared" si="16"/>
        <v>2013</v>
      </c>
      <c r="C209" s="7">
        <v>41571</v>
      </c>
      <c r="D209" s="8">
        <v>6.28</v>
      </c>
      <c r="E209" s="8">
        <v>6.23</v>
      </c>
    </row>
    <row r="210" spans="1:5" x14ac:dyDescent="0.2">
      <c r="A210" s="5">
        <f t="shared" si="15"/>
        <v>10</v>
      </c>
      <c r="B210" s="5">
        <f t="shared" si="16"/>
        <v>2013</v>
      </c>
      <c r="C210" s="7">
        <v>41572</v>
      </c>
      <c r="D210" s="8">
        <v>6.28</v>
      </c>
      <c r="E210" s="8">
        <v>6.22</v>
      </c>
    </row>
    <row r="211" spans="1:5" x14ac:dyDescent="0.2">
      <c r="A211" s="5">
        <f t="shared" si="15"/>
        <v>10</v>
      </c>
      <c r="B211" s="5">
        <f t="shared" si="16"/>
        <v>2013</v>
      </c>
      <c r="C211" s="7">
        <v>41575</v>
      </c>
      <c r="D211" s="8">
        <v>6.28</v>
      </c>
      <c r="E211" s="8">
        <v>6.2</v>
      </c>
    </row>
    <row r="212" spans="1:5" x14ac:dyDescent="0.2">
      <c r="A212" s="5">
        <f t="shared" si="15"/>
        <v>10</v>
      </c>
      <c r="B212" s="5">
        <f t="shared" si="16"/>
        <v>2013</v>
      </c>
      <c r="C212" s="7">
        <v>41576</v>
      </c>
      <c r="D212" s="8">
        <v>6.28</v>
      </c>
      <c r="E212" s="8">
        <v>6.2</v>
      </c>
    </row>
    <row r="213" spans="1:5" x14ac:dyDescent="0.2">
      <c r="A213" s="5">
        <f t="shared" si="15"/>
        <v>10</v>
      </c>
      <c r="B213" s="5">
        <f t="shared" si="16"/>
        <v>2013</v>
      </c>
      <c r="C213" s="7">
        <v>41577</v>
      </c>
      <c r="D213" s="8">
        <v>6.28</v>
      </c>
      <c r="E213" s="8">
        <v>6.19</v>
      </c>
    </row>
    <row r="214" spans="1:5" x14ac:dyDescent="0.2">
      <c r="A214" s="5">
        <f t="shared" si="15"/>
        <v>10</v>
      </c>
      <c r="B214" s="5">
        <f t="shared" si="16"/>
        <v>2013</v>
      </c>
      <c r="C214" s="7">
        <v>41578</v>
      </c>
      <c r="D214" s="8">
        <v>6.28</v>
      </c>
      <c r="E214" s="8">
        <v>6.19</v>
      </c>
    </row>
    <row r="215" spans="1:5" x14ac:dyDescent="0.2">
      <c r="A215" s="5">
        <f t="shared" si="15"/>
        <v>11</v>
      </c>
      <c r="B215" s="5">
        <f t="shared" si="16"/>
        <v>2013</v>
      </c>
      <c r="C215" s="7">
        <v>41579</v>
      </c>
      <c r="D215" s="8">
        <v>6.28</v>
      </c>
      <c r="E215" s="8">
        <v>6.21</v>
      </c>
    </row>
    <row r="216" spans="1:5" x14ac:dyDescent="0.2">
      <c r="A216" s="5">
        <f t="shared" si="15"/>
        <v>11</v>
      </c>
      <c r="B216" s="5">
        <f t="shared" si="16"/>
        <v>2013</v>
      </c>
      <c r="C216" s="7">
        <v>41582</v>
      </c>
      <c r="D216" s="8">
        <v>6.29</v>
      </c>
      <c r="E216" s="8">
        <v>6.21</v>
      </c>
    </row>
    <row r="217" spans="1:5" x14ac:dyDescent="0.2">
      <c r="A217" s="5">
        <f t="shared" si="15"/>
        <v>11</v>
      </c>
      <c r="B217" s="5">
        <f t="shared" si="16"/>
        <v>2013</v>
      </c>
      <c r="C217" s="7">
        <v>41583</v>
      </c>
      <c r="D217" s="8">
        <v>6.29</v>
      </c>
      <c r="E217" s="8">
        <v>6.19</v>
      </c>
    </row>
    <row r="218" spans="1:5" x14ac:dyDescent="0.2">
      <c r="A218" s="5">
        <f t="shared" si="15"/>
        <v>11</v>
      </c>
      <c r="B218" s="5">
        <f t="shared" si="16"/>
        <v>2013</v>
      </c>
      <c r="C218" s="7">
        <v>41584</v>
      </c>
      <c r="D218" s="8">
        <v>6.29</v>
      </c>
      <c r="E218" s="8">
        <v>6.2</v>
      </c>
    </row>
    <row r="219" spans="1:5" x14ac:dyDescent="0.2">
      <c r="A219" s="5">
        <f t="shared" si="15"/>
        <v>11</v>
      </c>
      <c r="B219" s="5">
        <f t="shared" si="16"/>
        <v>2013</v>
      </c>
      <c r="C219" s="7">
        <v>41585</v>
      </c>
      <c r="D219" s="8">
        <v>6.22</v>
      </c>
      <c r="E219" s="8">
        <v>6.23</v>
      </c>
    </row>
    <row r="220" spans="1:5" x14ac:dyDescent="0.2">
      <c r="A220" s="5">
        <f t="shared" si="15"/>
        <v>11</v>
      </c>
      <c r="B220" s="5">
        <f t="shared" si="16"/>
        <v>2013</v>
      </c>
      <c r="C220" s="7">
        <v>41586</v>
      </c>
      <c r="D220" s="8">
        <v>6.18</v>
      </c>
      <c r="E220" s="8">
        <v>6.18</v>
      </c>
    </row>
    <row r="221" spans="1:5" x14ac:dyDescent="0.2">
      <c r="A221" s="5">
        <f t="shared" si="15"/>
        <v>11</v>
      </c>
      <c r="B221" s="5">
        <f t="shared" si="16"/>
        <v>2013</v>
      </c>
      <c r="C221" s="7">
        <v>41589</v>
      </c>
      <c r="D221" s="8">
        <v>6.19</v>
      </c>
      <c r="E221" s="8">
        <v>6.18</v>
      </c>
    </row>
    <row r="222" spans="1:5" x14ac:dyDescent="0.2">
      <c r="A222" s="5">
        <f t="shared" si="15"/>
        <v>11</v>
      </c>
      <c r="B222" s="5">
        <f t="shared" si="16"/>
        <v>2013</v>
      </c>
      <c r="C222" s="7">
        <v>41590</v>
      </c>
      <c r="D222" s="8">
        <v>6.17</v>
      </c>
      <c r="E222" s="8">
        <v>6.14</v>
      </c>
    </row>
    <row r="223" spans="1:5" x14ac:dyDescent="0.2">
      <c r="A223" s="5">
        <f t="shared" si="15"/>
        <v>11</v>
      </c>
      <c r="B223" s="5">
        <f t="shared" si="16"/>
        <v>2013</v>
      </c>
      <c r="C223" s="7">
        <v>41591</v>
      </c>
      <c r="D223" s="8">
        <v>6.17</v>
      </c>
      <c r="E223" s="8">
        <v>6.14</v>
      </c>
    </row>
    <row r="224" spans="1:5" x14ac:dyDescent="0.2">
      <c r="A224" s="5">
        <f t="shared" si="15"/>
        <v>11</v>
      </c>
      <c r="B224" s="5">
        <f t="shared" si="16"/>
        <v>2013</v>
      </c>
      <c r="C224" s="7">
        <v>41592</v>
      </c>
      <c r="D224" s="8">
        <v>6.17</v>
      </c>
      <c r="E224" s="8">
        <v>6.14</v>
      </c>
    </row>
    <row r="225" spans="1:5" x14ac:dyDescent="0.2">
      <c r="A225" s="5">
        <f t="shared" si="15"/>
        <v>11</v>
      </c>
      <c r="B225" s="5">
        <f t="shared" si="16"/>
        <v>2013</v>
      </c>
      <c r="C225" s="7">
        <v>41596</v>
      </c>
      <c r="D225" s="8">
        <v>6.17</v>
      </c>
      <c r="E225" s="8">
        <v>6.14</v>
      </c>
    </row>
    <row r="226" spans="1:5" x14ac:dyDescent="0.2">
      <c r="A226" s="5">
        <f t="shared" si="15"/>
        <v>11</v>
      </c>
      <c r="B226" s="5">
        <f t="shared" si="16"/>
        <v>2013</v>
      </c>
      <c r="C226" s="7">
        <v>41597</v>
      </c>
      <c r="D226" s="8">
        <v>6.16</v>
      </c>
      <c r="E226" s="8">
        <v>6.14</v>
      </c>
    </row>
    <row r="227" spans="1:5" x14ac:dyDescent="0.2">
      <c r="A227" s="5">
        <f t="shared" si="15"/>
        <v>11</v>
      </c>
      <c r="B227" s="5">
        <f t="shared" si="16"/>
        <v>2013</v>
      </c>
      <c r="C227" s="7">
        <v>41598</v>
      </c>
      <c r="D227" s="8">
        <v>6.17</v>
      </c>
      <c r="E227" s="8">
        <v>6.14</v>
      </c>
    </row>
    <row r="228" spans="1:5" x14ac:dyDescent="0.2">
      <c r="A228" s="5">
        <f t="shared" si="15"/>
        <v>11</v>
      </c>
      <c r="B228" s="5">
        <f t="shared" si="16"/>
        <v>2013</v>
      </c>
      <c r="C228" s="7">
        <v>41599</v>
      </c>
      <c r="D228" s="8">
        <v>6.18</v>
      </c>
      <c r="E228" s="8">
        <v>6.14</v>
      </c>
    </row>
    <row r="229" spans="1:5" x14ac:dyDescent="0.2">
      <c r="A229" s="5">
        <f t="shared" si="15"/>
        <v>11</v>
      </c>
      <c r="B229" s="5">
        <f t="shared" si="16"/>
        <v>2013</v>
      </c>
      <c r="C229" s="7">
        <v>41600</v>
      </c>
      <c r="D229" s="8">
        <v>6.18</v>
      </c>
      <c r="E229" s="8">
        <v>6.14</v>
      </c>
    </row>
    <row r="230" spans="1:5" x14ac:dyDescent="0.2">
      <c r="A230" s="5">
        <f t="shared" si="15"/>
        <v>11</v>
      </c>
      <c r="B230" s="5">
        <f t="shared" si="16"/>
        <v>2013</v>
      </c>
      <c r="C230" s="7">
        <v>41603</v>
      </c>
      <c r="D230" s="8">
        <v>6.18</v>
      </c>
      <c r="E230" s="8">
        <v>6.11</v>
      </c>
    </row>
    <row r="231" spans="1:5" x14ac:dyDescent="0.2">
      <c r="A231" s="5">
        <f t="shared" si="15"/>
        <v>11</v>
      </c>
      <c r="B231" s="5">
        <f t="shared" si="16"/>
        <v>2013</v>
      </c>
      <c r="C231" s="7">
        <v>41604</v>
      </c>
      <c r="D231" s="8">
        <v>6.18</v>
      </c>
      <c r="E231" s="8">
        <v>6.11</v>
      </c>
    </row>
    <row r="232" spans="1:5" x14ac:dyDescent="0.2">
      <c r="A232" s="5">
        <f t="shared" si="15"/>
        <v>11</v>
      </c>
      <c r="B232" s="5">
        <f t="shared" si="16"/>
        <v>2013</v>
      </c>
      <c r="C232" s="7">
        <v>41605</v>
      </c>
      <c r="D232" s="8">
        <v>6.18</v>
      </c>
      <c r="E232" s="8">
        <v>6.1</v>
      </c>
    </row>
    <row r="233" spans="1:5" x14ac:dyDescent="0.2">
      <c r="A233" s="5">
        <f t="shared" si="15"/>
        <v>11</v>
      </c>
      <c r="B233" s="5">
        <f t="shared" si="16"/>
        <v>2013</v>
      </c>
      <c r="C233" s="7">
        <v>41606</v>
      </c>
      <c r="D233" s="8">
        <v>6.17</v>
      </c>
      <c r="E233" s="8">
        <v>6.09</v>
      </c>
    </row>
    <row r="234" spans="1:5" x14ac:dyDescent="0.2">
      <c r="A234" s="5">
        <f t="shared" si="15"/>
        <v>11</v>
      </c>
      <c r="B234" s="5">
        <f t="shared" si="16"/>
        <v>2013</v>
      </c>
      <c r="C234" s="7">
        <v>41607</v>
      </c>
      <c r="D234" s="8">
        <v>6.17</v>
      </c>
      <c r="E234" s="8">
        <v>6.09</v>
      </c>
    </row>
    <row r="235" spans="1:5" x14ac:dyDescent="0.2">
      <c r="A235" s="5">
        <f t="shared" si="15"/>
        <v>12</v>
      </c>
      <c r="B235" s="5">
        <f t="shared" si="16"/>
        <v>2013</v>
      </c>
      <c r="C235" s="7">
        <v>41610</v>
      </c>
      <c r="D235" s="8">
        <v>6.17</v>
      </c>
      <c r="E235" s="8">
        <v>6.07</v>
      </c>
    </row>
    <row r="236" spans="1:5" x14ac:dyDescent="0.2">
      <c r="A236" s="5">
        <f t="shared" si="15"/>
        <v>12</v>
      </c>
      <c r="B236" s="5">
        <f t="shared" si="16"/>
        <v>2013</v>
      </c>
      <c r="C236" s="7">
        <v>41611</v>
      </c>
      <c r="D236" s="8">
        <v>6.17</v>
      </c>
      <c r="E236" s="8">
        <v>6.06</v>
      </c>
    </row>
    <row r="237" spans="1:5" x14ac:dyDescent="0.2">
      <c r="A237" s="5">
        <f t="shared" si="15"/>
        <v>12</v>
      </c>
      <c r="B237" s="5">
        <f t="shared" si="16"/>
        <v>2013</v>
      </c>
      <c r="C237" s="7">
        <v>41612</v>
      </c>
      <c r="D237" s="8">
        <v>6.17</v>
      </c>
      <c r="E237" s="8">
        <v>6.06</v>
      </c>
    </row>
    <row r="238" spans="1:5" x14ac:dyDescent="0.2">
      <c r="A238" s="5">
        <f t="shared" si="15"/>
        <v>12</v>
      </c>
      <c r="B238" s="5">
        <f t="shared" si="16"/>
        <v>2013</v>
      </c>
      <c r="C238" s="7">
        <v>41613</v>
      </c>
      <c r="D238" s="8">
        <v>6.17</v>
      </c>
      <c r="E238" s="8">
        <v>6.06</v>
      </c>
    </row>
    <row r="239" spans="1:5" x14ac:dyDescent="0.2">
      <c r="A239" s="5">
        <f t="shared" si="15"/>
        <v>12</v>
      </c>
      <c r="B239" s="5">
        <f t="shared" si="16"/>
        <v>2013</v>
      </c>
      <c r="C239" s="7">
        <v>41614</v>
      </c>
      <c r="D239" s="8">
        <v>6.06</v>
      </c>
      <c r="E239" s="8">
        <v>6.04</v>
      </c>
    </row>
    <row r="240" spans="1:5" x14ac:dyDescent="0.2">
      <c r="A240" s="5">
        <f t="shared" si="15"/>
        <v>12</v>
      </c>
      <c r="B240" s="5">
        <f t="shared" si="16"/>
        <v>2013</v>
      </c>
      <c r="C240" s="7">
        <v>41617</v>
      </c>
      <c r="D240" s="8">
        <v>6.07</v>
      </c>
      <c r="E240" s="8">
        <v>6.05</v>
      </c>
    </row>
    <row r="241" spans="1:5" x14ac:dyDescent="0.2">
      <c r="A241" s="5">
        <f t="shared" si="15"/>
        <v>12</v>
      </c>
      <c r="B241" s="5">
        <f t="shared" si="16"/>
        <v>2013</v>
      </c>
      <c r="C241" s="7">
        <v>41618</v>
      </c>
      <c r="D241" s="8">
        <v>6.07</v>
      </c>
      <c r="E241" s="8">
        <v>6.05</v>
      </c>
    </row>
    <row r="242" spans="1:5" x14ac:dyDescent="0.2">
      <c r="A242" s="5">
        <f t="shared" si="15"/>
        <v>12</v>
      </c>
      <c r="B242" s="5">
        <f t="shared" si="16"/>
        <v>2013</v>
      </c>
      <c r="C242" s="7">
        <v>41619</v>
      </c>
      <c r="D242" s="8">
        <v>6.08</v>
      </c>
      <c r="E242" s="8">
        <v>6.05</v>
      </c>
    </row>
    <row r="243" spans="1:5" x14ac:dyDescent="0.2">
      <c r="A243" s="5">
        <f t="shared" si="15"/>
        <v>12</v>
      </c>
      <c r="B243" s="5">
        <f t="shared" si="16"/>
        <v>2013</v>
      </c>
      <c r="C243" s="7">
        <v>41620</v>
      </c>
      <c r="D243" s="8">
        <v>6.08</v>
      </c>
      <c r="E243" s="8">
        <v>6.05</v>
      </c>
    </row>
    <row r="244" spans="1:5" x14ac:dyDescent="0.2">
      <c r="A244" s="5">
        <f t="shared" si="15"/>
        <v>12</v>
      </c>
      <c r="B244" s="5">
        <f t="shared" si="16"/>
        <v>2013</v>
      </c>
      <c r="C244" s="7">
        <v>41621</v>
      </c>
      <c r="D244" s="8">
        <v>6.06</v>
      </c>
      <c r="E244" s="8">
        <v>6.03</v>
      </c>
    </row>
    <row r="245" spans="1:5" x14ac:dyDescent="0.2">
      <c r="A245" s="5">
        <f t="shared" si="15"/>
        <v>12</v>
      </c>
      <c r="B245" s="5">
        <f t="shared" si="16"/>
        <v>2013</v>
      </c>
      <c r="C245" s="7">
        <v>41624</v>
      </c>
      <c r="D245" s="8">
        <v>6.08</v>
      </c>
      <c r="E245" s="8">
        <v>6.05</v>
      </c>
    </row>
    <row r="246" spans="1:5" x14ac:dyDescent="0.2">
      <c r="A246" s="5">
        <f t="shared" si="15"/>
        <v>12</v>
      </c>
      <c r="B246" s="5">
        <f t="shared" si="16"/>
        <v>2013</v>
      </c>
      <c r="C246" s="7">
        <v>41625</v>
      </c>
      <c r="D246" s="8">
        <v>6.09</v>
      </c>
      <c r="E246" s="8">
        <v>6.05</v>
      </c>
    </row>
    <row r="247" spans="1:5" x14ac:dyDescent="0.2">
      <c r="A247" s="5">
        <f t="shared" si="15"/>
        <v>12</v>
      </c>
      <c r="B247" s="5">
        <f t="shared" si="16"/>
        <v>2013</v>
      </c>
      <c r="C247" s="7">
        <v>41626</v>
      </c>
      <c r="D247" s="8">
        <v>6.09</v>
      </c>
      <c r="E247" s="8">
        <v>6.05</v>
      </c>
    </row>
    <row r="248" spans="1:5" x14ac:dyDescent="0.2">
      <c r="A248" s="5">
        <f t="shared" si="15"/>
        <v>12</v>
      </c>
      <c r="B248" s="5">
        <f t="shared" si="16"/>
        <v>2013</v>
      </c>
      <c r="C248" s="7">
        <v>41627</v>
      </c>
      <c r="D248" s="8">
        <v>6.1</v>
      </c>
      <c r="E248" s="8">
        <v>6.05</v>
      </c>
    </row>
    <row r="249" spans="1:5" x14ac:dyDescent="0.2">
      <c r="A249" s="5">
        <f t="shared" si="15"/>
        <v>12</v>
      </c>
      <c r="B249" s="5">
        <f t="shared" si="16"/>
        <v>2013</v>
      </c>
      <c r="C249" s="7">
        <v>41628</v>
      </c>
      <c r="D249" s="8">
        <v>6.11</v>
      </c>
      <c r="E249" s="8">
        <v>6.05</v>
      </c>
    </row>
    <row r="250" spans="1:5" x14ac:dyDescent="0.2">
      <c r="A250" s="5">
        <f t="shared" si="15"/>
        <v>12</v>
      </c>
      <c r="B250" s="5">
        <f t="shared" si="16"/>
        <v>2013</v>
      </c>
      <c r="C250" s="7">
        <v>41631</v>
      </c>
      <c r="D250" s="8">
        <v>6.1</v>
      </c>
      <c r="E250" s="8">
        <v>6.04</v>
      </c>
    </row>
    <row r="251" spans="1:5" x14ac:dyDescent="0.2">
      <c r="A251" s="5">
        <f t="shared" si="15"/>
        <v>12</v>
      </c>
      <c r="B251" s="5">
        <f t="shared" si="16"/>
        <v>2013</v>
      </c>
      <c r="C251" s="7">
        <v>41632</v>
      </c>
      <c r="D251" s="8">
        <v>6.1</v>
      </c>
      <c r="E251" s="8">
        <v>6.04</v>
      </c>
    </row>
    <row r="252" spans="1:5" x14ac:dyDescent="0.2">
      <c r="A252" s="5">
        <f t="shared" si="15"/>
        <v>12</v>
      </c>
      <c r="B252" s="5">
        <f t="shared" si="16"/>
        <v>2013</v>
      </c>
      <c r="C252" s="7">
        <v>41634</v>
      </c>
      <c r="D252" s="8">
        <v>6.11</v>
      </c>
      <c r="E252" s="8">
        <v>6.03</v>
      </c>
    </row>
    <row r="253" spans="1:5" x14ac:dyDescent="0.2">
      <c r="A253" s="5">
        <f t="shared" si="15"/>
        <v>12</v>
      </c>
      <c r="B253" s="5">
        <f t="shared" si="16"/>
        <v>2013</v>
      </c>
      <c r="C253" s="7">
        <v>41635</v>
      </c>
      <c r="D253" s="8">
        <v>6.12</v>
      </c>
      <c r="E253" s="8">
        <v>6.03</v>
      </c>
    </row>
    <row r="254" spans="1:5" x14ac:dyDescent="0.2">
      <c r="A254" s="5">
        <f t="shared" si="15"/>
        <v>12</v>
      </c>
      <c r="B254" s="5">
        <f t="shared" si="16"/>
        <v>2013</v>
      </c>
      <c r="C254" s="7">
        <v>41638</v>
      </c>
      <c r="D254" s="8">
        <v>6.11</v>
      </c>
      <c r="E254" s="8">
        <v>6.01</v>
      </c>
    </row>
    <row r="255" spans="1:5" x14ac:dyDescent="0.2">
      <c r="A255" s="5">
        <f t="shared" si="15"/>
        <v>12</v>
      </c>
      <c r="B255" s="5">
        <f t="shared" si="16"/>
        <v>2013</v>
      </c>
      <c r="C255" s="7">
        <v>41639</v>
      </c>
      <c r="D255" s="8">
        <v>6.11</v>
      </c>
      <c r="E255" s="8">
        <v>6.01</v>
      </c>
    </row>
    <row r="256" spans="1:5" x14ac:dyDescent="0.2">
      <c r="A256" s="5">
        <f t="shared" si="15"/>
        <v>1</v>
      </c>
      <c r="B256" s="5">
        <f t="shared" si="16"/>
        <v>2014</v>
      </c>
      <c r="C256" s="7">
        <v>41641</v>
      </c>
      <c r="D256" s="8">
        <v>6.11</v>
      </c>
      <c r="E256" s="8">
        <v>6</v>
      </c>
    </row>
    <row r="257" spans="1:5" x14ac:dyDescent="0.2">
      <c r="A257" s="5">
        <f t="shared" si="15"/>
        <v>1</v>
      </c>
      <c r="B257" s="5">
        <f t="shared" si="16"/>
        <v>2014</v>
      </c>
      <c r="C257" s="7">
        <v>41642</v>
      </c>
      <c r="D257" s="8">
        <v>6.13</v>
      </c>
      <c r="E257" s="8">
        <v>6</v>
      </c>
    </row>
    <row r="258" spans="1:5" x14ac:dyDescent="0.2">
      <c r="A258" s="5">
        <f t="shared" si="15"/>
        <v>1</v>
      </c>
      <c r="B258" s="5">
        <f t="shared" si="16"/>
        <v>2014</v>
      </c>
      <c r="C258" s="7">
        <v>41645</v>
      </c>
      <c r="D258" s="8">
        <v>6.14</v>
      </c>
      <c r="E258" s="8">
        <v>5.99</v>
      </c>
    </row>
    <row r="259" spans="1:5" x14ac:dyDescent="0.2">
      <c r="A259" s="5">
        <f t="shared" si="15"/>
        <v>1</v>
      </c>
      <c r="B259" s="5">
        <f t="shared" si="16"/>
        <v>2014</v>
      </c>
      <c r="C259" s="7">
        <v>41646</v>
      </c>
      <c r="D259" s="8">
        <v>6.13</v>
      </c>
      <c r="E259" s="8">
        <v>6</v>
      </c>
    </row>
    <row r="260" spans="1:5" x14ac:dyDescent="0.2">
      <c r="A260" s="5">
        <f t="shared" ref="A260:A323" si="17">MONTH(C260)</f>
        <v>1</v>
      </c>
      <c r="B260" s="5">
        <f t="shared" ref="B260:B323" si="18">YEAR(C260)</f>
        <v>2014</v>
      </c>
      <c r="C260" s="7">
        <v>41647</v>
      </c>
      <c r="D260" s="8">
        <v>6.14</v>
      </c>
      <c r="E260" s="8">
        <v>6</v>
      </c>
    </row>
    <row r="261" spans="1:5" x14ac:dyDescent="0.2">
      <c r="A261" s="5">
        <f t="shared" si="17"/>
        <v>1</v>
      </c>
      <c r="B261" s="5">
        <f t="shared" si="18"/>
        <v>2014</v>
      </c>
      <c r="C261" s="7">
        <v>41648</v>
      </c>
      <c r="D261" s="8">
        <v>6.14</v>
      </c>
      <c r="E261" s="8">
        <v>6</v>
      </c>
    </row>
    <row r="262" spans="1:5" x14ac:dyDescent="0.2">
      <c r="A262" s="5">
        <f t="shared" si="17"/>
        <v>1</v>
      </c>
      <c r="B262" s="5">
        <f t="shared" si="18"/>
        <v>2014</v>
      </c>
      <c r="C262" s="7">
        <v>41649</v>
      </c>
      <c r="D262" s="8">
        <v>6</v>
      </c>
      <c r="E262" s="8">
        <v>5.99</v>
      </c>
    </row>
    <row r="263" spans="1:5" x14ac:dyDescent="0.2">
      <c r="A263" s="5">
        <f t="shared" si="17"/>
        <v>1</v>
      </c>
      <c r="B263" s="5">
        <f t="shared" si="18"/>
        <v>2014</v>
      </c>
      <c r="C263" s="7">
        <v>41652</v>
      </c>
      <c r="D263" s="8">
        <v>6.01</v>
      </c>
      <c r="E263" s="8">
        <v>6</v>
      </c>
    </row>
    <row r="264" spans="1:5" x14ac:dyDescent="0.2">
      <c r="A264" s="5">
        <f t="shared" si="17"/>
        <v>1</v>
      </c>
      <c r="B264" s="5">
        <f t="shared" si="18"/>
        <v>2014</v>
      </c>
      <c r="C264" s="7">
        <v>41653</v>
      </c>
      <c r="D264" s="8">
        <v>6.01</v>
      </c>
      <c r="E264" s="8">
        <v>5.99</v>
      </c>
    </row>
    <row r="265" spans="1:5" x14ac:dyDescent="0.2">
      <c r="A265" s="5">
        <f t="shared" si="17"/>
        <v>1</v>
      </c>
      <c r="B265" s="5">
        <f t="shared" si="18"/>
        <v>2014</v>
      </c>
      <c r="C265" s="7">
        <v>41654</v>
      </c>
      <c r="D265" s="8">
        <v>6.01</v>
      </c>
      <c r="E265" s="8">
        <v>5.98</v>
      </c>
    </row>
    <row r="266" spans="1:5" x14ac:dyDescent="0.2">
      <c r="A266" s="5">
        <f t="shared" si="17"/>
        <v>1</v>
      </c>
      <c r="B266" s="5">
        <f t="shared" si="18"/>
        <v>2014</v>
      </c>
      <c r="C266" s="7">
        <v>41655</v>
      </c>
      <c r="D266" s="8">
        <v>6.01</v>
      </c>
      <c r="E266" s="8">
        <v>5.98</v>
      </c>
    </row>
    <row r="267" spans="1:5" x14ac:dyDescent="0.2">
      <c r="A267" s="5">
        <f t="shared" si="17"/>
        <v>1</v>
      </c>
      <c r="B267" s="5">
        <f t="shared" si="18"/>
        <v>2014</v>
      </c>
      <c r="C267" s="7">
        <v>41656</v>
      </c>
      <c r="D267" s="8">
        <v>6.01</v>
      </c>
      <c r="E267" s="8">
        <v>5.98</v>
      </c>
    </row>
    <row r="268" spans="1:5" x14ac:dyDescent="0.2">
      <c r="A268" s="5">
        <f t="shared" si="17"/>
        <v>1</v>
      </c>
      <c r="B268" s="5">
        <f t="shared" si="18"/>
        <v>2014</v>
      </c>
      <c r="C268" s="7">
        <v>41659</v>
      </c>
      <c r="D268" s="8">
        <v>6.01</v>
      </c>
      <c r="E268" s="8">
        <v>5.98</v>
      </c>
    </row>
    <row r="269" spans="1:5" x14ac:dyDescent="0.2">
      <c r="A269" s="5">
        <f t="shared" si="17"/>
        <v>1</v>
      </c>
      <c r="B269" s="5">
        <f t="shared" si="18"/>
        <v>2014</v>
      </c>
      <c r="C269" s="7">
        <v>41660</v>
      </c>
      <c r="D269" s="8">
        <v>6.01</v>
      </c>
      <c r="E269" s="8">
        <v>5.98</v>
      </c>
    </row>
    <row r="270" spans="1:5" x14ac:dyDescent="0.2">
      <c r="A270" s="5">
        <f t="shared" si="17"/>
        <v>1</v>
      </c>
      <c r="B270" s="5">
        <f t="shared" si="18"/>
        <v>2014</v>
      </c>
      <c r="C270" s="7">
        <v>41661</v>
      </c>
      <c r="D270" s="8">
        <v>6.02</v>
      </c>
      <c r="E270" s="8">
        <v>5.99</v>
      </c>
    </row>
    <row r="271" spans="1:5" x14ac:dyDescent="0.2">
      <c r="A271" s="5">
        <f t="shared" si="17"/>
        <v>1</v>
      </c>
      <c r="B271" s="5">
        <f t="shared" si="18"/>
        <v>2014</v>
      </c>
      <c r="C271" s="7">
        <v>41662</v>
      </c>
      <c r="D271" s="8">
        <v>6.02</v>
      </c>
      <c r="E271" s="8">
        <v>5.99</v>
      </c>
    </row>
    <row r="272" spans="1:5" x14ac:dyDescent="0.2">
      <c r="A272" s="5">
        <f t="shared" si="17"/>
        <v>1</v>
      </c>
      <c r="B272" s="5">
        <f t="shared" si="18"/>
        <v>2014</v>
      </c>
      <c r="C272" s="7">
        <v>41663</v>
      </c>
      <c r="D272" s="8">
        <v>6.02</v>
      </c>
      <c r="E272" s="8">
        <v>5.99</v>
      </c>
    </row>
    <row r="273" spans="1:5" x14ac:dyDescent="0.2">
      <c r="A273" s="5">
        <f t="shared" si="17"/>
        <v>1</v>
      </c>
      <c r="B273" s="5">
        <f t="shared" si="18"/>
        <v>2014</v>
      </c>
      <c r="C273" s="7">
        <v>41666</v>
      </c>
      <c r="D273" s="8">
        <v>6.02</v>
      </c>
      <c r="E273" s="8">
        <v>5.99</v>
      </c>
    </row>
    <row r="274" spans="1:5" x14ac:dyDescent="0.2">
      <c r="A274" s="5">
        <f t="shared" si="17"/>
        <v>1</v>
      </c>
      <c r="B274" s="5">
        <f t="shared" si="18"/>
        <v>2014</v>
      </c>
      <c r="C274" s="7">
        <v>41667</v>
      </c>
      <c r="D274" s="8">
        <v>6.01</v>
      </c>
      <c r="E274" s="8">
        <v>5.99</v>
      </c>
    </row>
    <row r="275" spans="1:5" x14ac:dyDescent="0.2">
      <c r="A275" s="5">
        <f t="shared" si="17"/>
        <v>1</v>
      </c>
      <c r="B275" s="5">
        <f t="shared" si="18"/>
        <v>2014</v>
      </c>
      <c r="C275" s="7">
        <v>41668</v>
      </c>
      <c r="D275" s="8">
        <v>6.01</v>
      </c>
      <c r="E275" s="8">
        <v>5.99</v>
      </c>
    </row>
    <row r="276" spans="1:5" x14ac:dyDescent="0.2">
      <c r="A276" s="5">
        <f t="shared" si="17"/>
        <v>1</v>
      </c>
      <c r="B276" s="5">
        <f t="shared" si="18"/>
        <v>2014</v>
      </c>
      <c r="C276" s="7">
        <v>41669</v>
      </c>
      <c r="D276" s="8">
        <v>6.01</v>
      </c>
      <c r="E276" s="8">
        <v>6</v>
      </c>
    </row>
    <row r="277" spans="1:5" x14ac:dyDescent="0.2">
      <c r="A277" s="5">
        <f t="shared" si="17"/>
        <v>1</v>
      </c>
      <c r="B277" s="5">
        <f t="shared" si="18"/>
        <v>2014</v>
      </c>
      <c r="C277" s="7">
        <v>41670</v>
      </c>
      <c r="D277" s="8">
        <v>6</v>
      </c>
      <c r="E277" s="8">
        <v>6</v>
      </c>
    </row>
    <row r="278" spans="1:5" x14ac:dyDescent="0.2">
      <c r="A278" s="5">
        <f t="shared" si="17"/>
        <v>2</v>
      </c>
      <c r="B278" s="5">
        <f t="shared" si="18"/>
        <v>2014</v>
      </c>
      <c r="C278" s="7">
        <v>41673</v>
      </c>
      <c r="D278" s="8">
        <v>6</v>
      </c>
      <c r="E278" s="8">
        <v>5.99</v>
      </c>
    </row>
    <row r="279" spans="1:5" x14ac:dyDescent="0.2">
      <c r="A279" s="5">
        <f t="shared" si="17"/>
        <v>2</v>
      </c>
      <c r="B279" s="5">
        <f t="shared" si="18"/>
        <v>2014</v>
      </c>
      <c r="C279" s="7">
        <v>41674</v>
      </c>
      <c r="D279" s="8">
        <v>6</v>
      </c>
      <c r="E279" s="8">
        <v>6</v>
      </c>
    </row>
    <row r="280" spans="1:5" x14ac:dyDescent="0.2">
      <c r="A280" s="5">
        <f t="shared" si="17"/>
        <v>2</v>
      </c>
      <c r="B280" s="5">
        <f t="shared" si="18"/>
        <v>2014</v>
      </c>
      <c r="C280" s="7">
        <v>41675</v>
      </c>
      <c r="D280" s="8">
        <v>6</v>
      </c>
      <c r="E280" s="8">
        <v>6</v>
      </c>
    </row>
    <row r="281" spans="1:5" x14ac:dyDescent="0.2">
      <c r="A281" s="5">
        <f t="shared" si="17"/>
        <v>2</v>
      </c>
      <c r="B281" s="5">
        <f t="shared" si="18"/>
        <v>2014</v>
      </c>
      <c r="C281" s="7">
        <v>41676</v>
      </c>
      <c r="D281" s="8">
        <v>6</v>
      </c>
      <c r="E281" s="8">
        <v>6</v>
      </c>
    </row>
    <row r="282" spans="1:5" x14ac:dyDescent="0.2">
      <c r="A282" s="5">
        <f t="shared" si="17"/>
        <v>2</v>
      </c>
      <c r="B282" s="5">
        <f t="shared" si="18"/>
        <v>2014</v>
      </c>
      <c r="C282" s="7">
        <v>41677</v>
      </c>
      <c r="D282" s="8">
        <v>6.01</v>
      </c>
      <c r="E282" s="8">
        <v>6</v>
      </c>
    </row>
    <row r="283" spans="1:5" x14ac:dyDescent="0.2">
      <c r="A283" s="5">
        <f t="shared" si="17"/>
        <v>2</v>
      </c>
      <c r="B283" s="5">
        <f t="shared" si="18"/>
        <v>2014</v>
      </c>
      <c r="C283" s="7">
        <v>41680</v>
      </c>
      <c r="D283" s="8">
        <v>6.01</v>
      </c>
      <c r="E283" s="8">
        <v>6.01</v>
      </c>
    </row>
    <row r="284" spans="1:5" x14ac:dyDescent="0.2">
      <c r="A284" s="5">
        <f t="shared" si="17"/>
        <v>2</v>
      </c>
      <c r="B284" s="5">
        <f t="shared" si="18"/>
        <v>2014</v>
      </c>
      <c r="C284" s="7">
        <v>41681</v>
      </c>
      <c r="D284" s="8">
        <v>6.03</v>
      </c>
      <c r="E284" s="8">
        <v>6.04</v>
      </c>
    </row>
    <row r="285" spans="1:5" x14ac:dyDescent="0.2">
      <c r="A285" s="5">
        <f t="shared" si="17"/>
        <v>2</v>
      </c>
      <c r="B285" s="5">
        <f t="shared" si="18"/>
        <v>2014</v>
      </c>
      <c r="C285" s="7">
        <v>41682</v>
      </c>
      <c r="D285" s="8">
        <v>6.03</v>
      </c>
      <c r="E285" s="8">
        <v>6.02</v>
      </c>
    </row>
    <row r="286" spans="1:5" x14ac:dyDescent="0.2">
      <c r="A286" s="5">
        <f t="shared" si="17"/>
        <v>2</v>
      </c>
      <c r="B286" s="5">
        <f t="shared" si="18"/>
        <v>2014</v>
      </c>
      <c r="C286" s="7">
        <v>41683</v>
      </c>
      <c r="D286" s="8">
        <v>6.03</v>
      </c>
      <c r="E286" s="8">
        <v>6.02</v>
      </c>
    </row>
    <row r="287" spans="1:5" x14ac:dyDescent="0.2">
      <c r="A287" s="5">
        <f t="shared" si="17"/>
        <v>2</v>
      </c>
      <c r="B287" s="5">
        <f t="shared" si="18"/>
        <v>2014</v>
      </c>
      <c r="C287" s="7">
        <v>41684</v>
      </c>
      <c r="D287" s="8">
        <v>6.05</v>
      </c>
      <c r="E287" s="8">
        <v>6.05</v>
      </c>
    </row>
    <row r="288" spans="1:5" x14ac:dyDescent="0.2">
      <c r="A288" s="5">
        <f t="shared" si="17"/>
        <v>2</v>
      </c>
      <c r="B288" s="5">
        <f t="shared" si="18"/>
        <v>2014</v>
      </c>
      <c r="C288" s="7">
        <v>41687</v>
      </c>
      <c r="D288" s="8">
        <v>6.07</v>
      </c>
      <c r="E288" s="8">
        <v>6.07</v>
      </c>
    </row>
    <row r="289" spans="1:5" x14ac:dyDescent="0.2">
      <c r="A289" s="5">
        <f t="shared" si="17"/>
        <v>2</v>
      </c>
      <c r="B289" s="5">
        <f t="shared" si="18"/>
        <v>2014</v>
      </c>
      <c r="C289" s="7">
        <v>41688</v>
      </c>
      <c r="D289" s="8">
        <v>6.11</v>
      </c>
      <c r="E289" s="8">
        <v>6.09</v>
      </c>
    </row>
    <row r="290" spans="1:5" x14ac:dyDescent="0.2">
      <c r="A290" s="5">
        <f t="shared" si="17"/>
        <v>2</v>
      </c>
      <c r="B290" s="5">
        <f t="shared" si="18"/>
        <v>2014</v>
      </c>
      <c r="C290" s="7">
        <v>41689</v>
      </c>
      <c r="D290" s="8">
        <v>6.11</v>
      </c>
      <c r="E290" s="8">
        <v>6.11</v>
      </c>
    </row>
    <row r="291" spans="1:5" x14ac:dyDescent="0.2">
      <c r="A291" s="5">
        <f t="shared" si="17"/>
        <v>2</v>
      </c>
      <c r="B291" s="5">
        <f t="shared" si="18"/>
        <v>2014</v>
      </c>
      <c r="C291" s="7">
        <v>41690</v>
      </c>
      <c r="D291" s="8">
        <v>6.12</v>
      </c>
      <c r="E291" s="8">
        <v>6.11</v>
      </c>
    </row>
    <row r="292" spans="1:5" x14ac:dyDescent="0.2">
      <c r="A292" s="5">
        <f t="shared" si="17"/>
        <v>2</v>
      </c>
      <c r="B292" s="5">
        <f t="shared" si="18"/>
        <v>2014</v>
      </c>
      <c r="C292" s="7">
        <v>41691</v>
      </c>
      <c r="D292" s="8">
        <v>6.12</v>
      </c>
      <c r="E292" s="8">
        <v>6.11</v>
      </c>
    </row>
    <row r="293" spans="1:5" x14ac:dyDescent="0.2">
      <c r="A293" s="5">
        <f t="shared" si="17"/>
        <v>2</v>
      </c>
      <c r="B293" s="5">
        <f t="shared" si="18"/>
        <v>2014</v>
      </c>
      <c r="C293" s="7">
        <v>41694</v>
      </c>
      <c r="D293" s="8">
        <v>6.13</v>
      </c>
      <c r="E293" s="8">
        <v>6.12</v>
      </c>
    </row>
    <row r="294" spans="1:5" x14ac:dyDescent="0.2">
      <c r="A294" s="5">
        <f t="shared" si="17"/>
        <v>2</v>
      </c>
      <c r="B294" s="5">
        <f t="shared" si="18"/>
        <v>2014</v>
      </c>
      <c r="C294" s="7">
        <v>41695</v>
      </c>
      <c r="D294" s="8">
        <v>6.12</v>
      </c>
      <c r="E294" s="8">
        <v>6.12</v>
      </c>
    </row>
    <row r="295" spans="1:5" x14ac:dyDescent="0.2">
      <c r="A295" s="5">
        <f t="shared" si="17"/>
        <v>2</v>
      </c>
      <c r="B295" s="5">
        <f t="shared" si="18"/>
        <v>2014</v>
      </c>
      <c r="C295" s="7">
        <v>41696</v>
      </c>
      <c r="D295" s="8">
        <v>6.13</v>
      </c>
      <c r="E295" s="8">
        <v>6.12</v>
      </c>
    </row>
    <row r="296" spans="1:5" x14ac:dyDescent="0.2">
      <c r="A296" s="5">
        <f t="shared" si="17"/>
        <v>2</v>
      </c>
      <c r="B296" s="5">
        <f t="shared" si="18"/>
        <v>2014</v>
      </c>
      <c r="C296" s="7">
        <v>41697</v>
      </c>
      <c r="D296" s="8">
        <v>6.16</v>
      </c>
      <c r="E296" s="8">
        <v>6.13</v>
      </c>
    </row>
    <row r="297" spans="1:5" x14ac:dyDescent="0.2">
      <c r="A297" s="5">
        <f t="shared" si="17"/>
        <v>2</v>
      </c>
      <c r="B297" s="5">
        <f t="shared" si="18"/>
        <v>2014</v>
      </c>
      <c r="C297" s="7">
        <v>41698</v>
      </c>
      <c r="D297" s="8">
        <v>6.16</v>
      </c>
      <c r="E297" s="8">
        <v>6.12</v>
      </c>
    </row>
    <row r="298" spans="1:5" x14ac:dyDescent="0.2">
      <c r="A298" s="5">
        <f t="shared" si="17"/>
        <v>3</v>
      </c>
      <c r="B298" s="5">
        <f t="shared" si="18"/>
        <v>2014</v>
      </c>
      <c r="C298" s="7">
        <v>41703</v>
      </c>
      <c r="D298" s="8">
        <v>6.16</v>
      </c>
      <c r="E298" s="8">
        <v>6.12</v>
      </c>
    </row>
    <row r="299" spans="1:5" x14ac:dyDescent="0.2">
      <c r="A299" s="5">
        <f t="shared" si="17"/>
        <v>3</v>
      </c>
      <c r="B299" s="5">
        <f t="shared" si="18"/>
        <v>2014</v>
      </c>
      <c r="C299" s="7">
        <v>41704</v>
      </c>
      <c r="D299" s="8">
        <v>6.16</v>
      </c>
      <c r="E299" s="8">
        <v>6.12</v>
      </c>
    </row>
    <row r="300" spans="1:5" x14ac:dyDescent="0.2">
      <c r="A300" s="5">
        <f t="shared" si="17"/>
        <v>3</v>
      </c>
      <c r="B300" s="5">
        <f t="shared" si="18"/>
        <v>2014</v>
      </c>
      <c r="C300" s="7">
        <v>41705</v>
      </c>
      <c r="D300" s="8">
        <v>6.16</v>
      </c>
      <c r="E300" s="8">
        <v>6.12</v>
      </c>
    </row>
    <row r="301" spans="1:5" x14ac:dyDescent="0.2">
      <c r="A301" s="5">
        <f t="shared" si="17"/>
        <v>3</v>
      </c>
      <c r="B301" s="5">
        <f t="shared" si="18"/>
        <v>2014</v>
      </c>
      <c r="C301" s="7">
        <v>41708</v>
      </c>
      <c r="D301" s="8">
        <v>6.17</v>
      </c>
      <c r="E301" s="8">
        <v>6.12</v>
      </c>
    </row>
    <row r="302" spans="1:5" x14ac:dyDescent="0.2">
      <c r="A302" s="5">
        <f t="shared" si="17"/>
        <v>3</v>
      </c>
      <c r="B302" s="5">
        <f t="shared" si="18"/>
        <v>2014</v>
      </c>
      <c r="C302" s="7">
        <v>41709</v>
      </c>
      <c r="D302" s="8">
        <v>6.17</v>
      </c>
      <c r="E302" s="8">
        <v>6.13</v>
      </c>
    </row>
    <row r="303" spans="1:5" x14ac:dyDescent="0.2">
      <c r="A303" s="5">
        <f t="shared" si="17"/>
        <v>3</v>
      </c>
      <c r="B303" s="5">
        <f t="shared" si="18"/>
        <v>2014</v>
      </c>
      <c r="C303" s="7">
        <v>41710</v>
      </c>
      <c r="D303" s="8">
        <v>6.13</v>
      </c>
      <c r="E303" s="8">
        <v>6.12</v>
      </c>
    </row>
    <row r="304" spans="1:5" x14ac:dyDescent="0.2">
      <c r="A304" s="5">
        <f t="shared" si="17"/>
        <v>3</v>
      </c>
      <c r="B304" s="5">
        <f t="shared" si="18"/>
        <v>2014</v>
      </c>
      <c r="C304" s="7">
        <v>41711</v>
      </c>
      <c r="D304" s="8">
        <v>6.13</v>
      </c>
      <c r="E304" s="8">
        <v>6.12</v>
      </c>
    </row>
    <row r="305" spans="1:5" x14ac:dyDescent="0.2">
      <c r="A305" s="5">
        <f t="shared" si="17"/>
        <v>3</v>
      </c>
      <c r="B305" s="5">
        <f t="shared" si="18"/>
        <v>2014</v>
      </c>
      <c r="C305" s="7">
        <v>41712</v>
      </c>
      <c r="D305" s="8">
        <v>6.13</v>
      </c>
      <c r="E305" s="8">
        <v>6.12</v>
      </c>
    </row>
    <row r="306" spans="1:5" x14ac:dyDescent="0.2">
      <c r="A306" s="5">
        <f t="shared" si="17"/>
        <v>3</v>
      </c>
      <c r="B306" s="5">
        <f t="shared" si="18"/>
        <v>2014</v>
      </c>
      <c r="C306" s="7">
        <v>41715</v>
      </c>
      <c r="D306" s="8">
        <v>6.17</v>
      </c>
      <c r="E306" s="8">
        <v>6.13</v>
      </c>
    </row>
    <row r="307" spans="1:5" x14ac:dyDescent="0.2">
      <c r="A307" s="5">
        <f t="shared" si="17"/>
        <v>3</v>
      </c>
      <c r="B307" s="5">
        <f t="shared" si="18"/>
        <v>2014</v>
      </c>
      <c r="C307" s="7">
        <v>41716</v>
      </c>
      <c r="D307" s="8">
        <v>6.22</v>
      </c>
      <c r="E307" s="8">
        <v>6.14</v>
      </c>
    </row>
    <row r="308" spans="1:5" x14ac:dyDescent="0.2">
      <c r="A308" s="5">
        <f t="shared" si="17"/>
        <v>3</v>
      </c>
      <c r="B308" s="5">
        <f t="shared" si="18"/>
        <v>2014</v>
      </c>
      <c r="C308" s="7">
        <v>41717</v>
      </c>
      <c r="D308" s="8">
        <v>6.22</v>
      </c>
      <c r="E308" s="8">
        <v>6.13</v>
      </c>
    </row>
    <row r="309" spans="1:5" x14ac:dyDescent="0.2">
      <c r="A309" s="5">
        <f t="shared" si="17"/>
        <v>3</v>
      </c>
      <c r="B309" s="5">
        <f t="shared" si="18"/>
        <v>2014</v>
      </c>
      <c r="C309" s="7">
        <v>41718</v>
      </c>
      <c r="D309" s="8">
        <v>6.32</v>
      </c>
      <c r="E309" s="8">
        <v>6.21</v>
      </c>
    </row>
    <row r="310" spans="1:5" x14ac:dyDescent="0.2">
      <c r="A310" s="5">
        <f t="shared" si="17"/>
        <v>3</v>
      </c>
      <c r="B310" s="5">
        <f t="shared" si="18"/>
        <v>2014</v>
      </c>
      <c r="C310" s="7">
        <v>41719</v>
      </c>
      <c r="D310" s="8">
        <v>6.32</v>
      </c>
      <c r="E310" s="8">
        <v>6.2</v>
      </c>
    </row>
    <row r="311" spans="1:5" x14ac:dyDescent="0.2">
      <c r="A311" s="5">
        <f t="shared" si="17"/>
        <v>3</v>
      </c>
      <c r="B311" s="5">
        <f t="shared" si="18"/>
        <v>2014</v>
      </c>
      <c r="C311" s="7">
        <v>41722</v>
      </c>
      <c r="D311" s="8">
        <v>6.32</v>
      </c>
      <c r="E311" s="8">
        <v>6.17</v>
      </c>
    </row>
    <row r="312" spans="1:5" x14ac:dyDescent="0.2">
      <c r="A312" s="5">
        <f t="shared" si="17"/>
        <v>3</v>
      </c>
      <c r="B312" s="5">
        <f t="shared" si="18"/>
        <v>2014</v>
      </c>
      <c r="C312" s="7">
        <v>41723</v>
      </c>
      <c r="D312" s="8">
        <v>6.32</v>
      </c>
      <c r="E312" s="8">
        <v>6.16</v>
      </c>
    </row>
    <row r="313" spans="1:5" x14ac:dyDescent="0.2">
      <c r="A313" s="5">
        <f t="shared" si="17"/>
        <v>3</v>
      </c>
      <c r="B313" s="5">
        <f t="shared" si="18"/>
        <v>2014</v>
      </c>
      <c r="C313" s="7">
        <v>41724</v>
      </c>
      <c r="D313" s="8">
        <v>6.32</v>
      </c>
      <c r="E313" s="8">
        <v>6.15</v>
      </c>
    </row>
    <row r="314" spans="1:5" x14ac:dyDescent="0.2">
      <c r="A314" s="5">
        <f t="shared" si="17"/>
        <v>3</v>
      </c>
      <c r="B314" s="5">
        <f t="shared" si="18"/>
        <v>2014</v>
      </c>
      <c r="C314" s="7">
        <v>41725</v>
      </c>
      <c r="D314" s="8">
        <v>6.32</v>
      </c>
      <c r="E314" s="8">
        <v>6.15</v>
      </c>
    </row>
    <row r="315" spans="1:5" x14ac:dyDescent="0.2">
      <c r="A315" s="5">
        <f t="shared" si="17"/>
        <v>3</v>
      </c>
      <c r="B315" s="5">
        <f t="shared" si="18"/>
        <v>2014</v>
      </c>
      <c r="C315" s="7">
        <v>41726</v>
      </c>
      <c r="D315" s="8">
        <v>6.32</v>
      </c>
      <c r="E315" s="8">
        <v>6.14</v>
      </c>
    </row>
    <row r="316" spans="1:5" x14ac:dyDescent="0.2">
      <c r="A316" s="5">
        <f t="shared" si="17"/>
        <v>3</v>
      </c>
      <c r="B316" s="5">
        <f t="shared" si="18"/>
        <v>2014</v>
      </c>
      <c r="C316" s="7">
        <v>41729</v>
      </c>
      <c r="D316" s="8">
        <v>6.32</v>
      </c>
      <c r="E316" s="8">
        <v>6.1</v>
      </c>
    </row>
    <row r="317" spans="1:5" x14ac:dyDescent="0.2">
      <c r="A317" s="5">
        <f t="shared" si="17"/>
        <v>4</v>
      </c>
      <c r="B317" s="5">
        <f t="shared" si="18"/>
        <v>2014</v>
      </c>
      <c r="C317" s="7">
        <v>41730</v>
      </c>
      <c r="D317" s="8">
        <v>6.32</v>
      </c>
      <c r="E317" s="8">
        <v>6.09</v>
      </c>
    </row>
    <row r="318" spans="1:5" x14ac:dyDescent="0.2">
      <c r="A318" s="5">
        <f t="shared" si="17"/>
        <v>4</v>
      </c>
      <c r="B318" s="5">
        <f t="shared" si="18"/>
        <v>2014</v>
      </c>
      <c r="C318" s="7">
        <v>41731</v>
      </c>
      <c r="D318" s="8">
        <v>6.33</v>
      </c>
      <c r="E318" s="8">
        <v>6.08</v>
      </c>
    </row>
    <row r="319" spans="1:5" x14ac:dyDescent="0.2">
      <c r="A319" s="5">
        <f t="shared" si="17"/>
        <v>4</v>
      </c>
      <c r="B319" s="5">
        <f t="shared" si="18"/>
        <v>2014</v>
      </c>
      <c r="C319" s="7">
        <v>41732</v>
      </c>
      <c r="D319" s="8">
        <v>6.33</v>
      </c>
      <c r="E319" s="8">
        <v>6.08</v>
      </c>
    </row>
    <row r="320" spans="1:5" x14ac:dyDescent="0.2">
      <c r="A320" s="5">
        <f t="shared" si="17"/>
        <v>4</v>
      </c>
      <c r="B320" s="5">
        <f t="shared" si="18"/>
        <v>2014</v>
      </c>
      <c r="C320" s="7">
        <v>41733</v>
      </c>
      <c r="D320" s="8">
        <v>6.33</v>
      </c>
      <c r="E320" s="8">
        <v>6.07</v>
      </c>
    </row>
    <row r="321" spans="1:5" x14ac:dyDescent="0.2">
      <c r="A321" s="5">
        <f t="shared" si="17"/>
        <v>4</v>
      </c>
      <c r="B321" s="5">
        <f t="shared" si="18"/>
        <v>2014</v>
      </c>
      <c r="C321" s="7">
        <v>41736</v>
      </c>
      <c r="D321" s="8">
        <v>6.39</v>
      </c>
      <c r="E321" s="8">
        <v>6.03</v>
      </c>
    </row>
    <row r="322" spans="1:5" x14ac:dyDescent="0.2">
      <c r="A322" s="5">
        <f t="shared" si="17"/>
        <v>4</v>
      </c>
      <c r="B322" s="5">
        <f t="shared" si="18"/>
        <v>2014</v>
      </c>
      <c r="C322" s="7">
        <v>41737</v>
      </c>
      <c r="D322" s="8">
        <v>6.39</v>
      </c>
      <c r="E322" s="8">
        <v>6.02</v>
      </c>
    </row>
    <row r="323" spans="1:5" x14ac:dyDescent="0.2">
      <c r="A323" s="5">
        <f t="shared" si="17"/>
        <v>4</v>
      </c>
      <c r="B323" s="5">
        <f t="shared" si="18"/>
        <v>2014</v>
      </c>
      <c r="C323" s="7">
        <v>41738</v>
      </c>
      <c r="D323" s="8">
        <v>6.06</v>
      </c>
      <c r="E323" s="8">
        <v>6.05</v>
      </c>
    </row>
    <row r="324" spans="1:5" x14ac:dyDescent="0.2">
      <c r="A324" s="5">
        <f t="shared" ref="A324:A387" si="19">MONTH(C324)</f>
        <v>4</v>
      </c>
      <c r="B324" s="5">
        <f t="shared" ref="B324:B387" si="20">YEAR(C324)</f>
        <v>2014</v>
      </c>
      <c r="C324" s="7">
        <v>41739</v>
      </c>
      <c r="D324" s="8">
        <v>6.08</v>
      </c>
      <c r="E324" s="8">
        <v>6.06</v>
      </c>
    </row>
    <row r="325" spans="1:5" x14ac:dyDescent="0.2">
      <c r="A325" s="5">
        <f t="shared" si="19"/>
        <v>4</v>
      </c>
      <c r="B325" s="5">
        <f t="shared" si="20"/>
        <v>2014</v>
      </c>
      <c r="C325" s="7">
        <v>41740</v>
      </c>
      <c r="D325" s="8">
        <v>6.14</v>
      </c>
      <c r="E325" s="8">
        <v>6.12</v>
      </c>
    </row>
    <row r="326" spans="1:5" x14ac:dyDescent="0.2">
      <c r="A326" s="5">
        <f t="shared" si="19"/>
        <v>4</v>
      </c>
      <c r="B326" s="5">
        <f t="shared" si="20"/>
        <v>2014</v>
      </c>
      <c r="C326" s="7">
        <v>41743</v>
      </c>
      <c r="D326" s="8">
        <v>6.09</v>
      </c>
      <c r="E326" s="8">
        <v>6.05</v>
      </c>
    </row>
    <row r="327" spans="1:5" x14ac:dyDescent="0.2">
      <c r="A327" s="5">
        <f t="shared" si="19"/>
        <v>4</v>
      </c>
      <c r="B327" s="5">
        <f t="shared" si="20"/>
        <v>2014</v>
      </c>
      <c r="C327" s="7">
        <v>41744</v>
      </c>
      <c r="D327" s="8">
        <v>6.11</v>
      </c>
      <c r="E327" s="8">
        <v>6.06</v>
      </c>
    </row>
    <row r="328" spans="1:5" x14ac:dyDescent="0.2">
      <c r="A328" s="5">
        <f t="shared" si="19"/>
        <v>4</v>
      </c>
      <c r="B328" s="5">
        <f t="shared" si="20"/>
        <v>2014</v>
      </c>
      <c r="C328" s="7">
        <v>41745</v>
      </c>
      <c r="D328" s="8">
        <v>6.18</v>
      </c>
      <c r="E328" s="8">
        <v>6.08</v>
      </c>
    </row>
    <row r="329" spans="1:5" x14ac:dyDescent="0.2">
      <c r="A329" s="5">
        <f t="shared" si="19"/>
        <v>4</v>
      </c>
      <c r="B329" s="5">
        <f t="shared" si="20"/>
        <v>2014</v>
      </c>
      <c r="C329" s="7">
        <v>41746</v>
      </c>
      <c r="D329" s="8">
        <v>6.17</v>
      </c>
      <c r="E329" s="8">
        <v>6.07</v>
      </c>
    </row>
    <row r="330" spans="1:5" x14ac:dyDescent="0.2">
      <c r="A330" s="5">
        <f t="shared" si="19"/>
        <v>4</v>
      </c>
      <c r="B330" s="5">
        <f t="shared" si="20"/>
        <v>2014</v>
      </c>
      <c r="C330" s="7">
        <v>41751</v>
      </c>
      <c r="D330" s="8">
        <v>6.17</v>
      </c>
      <c r="E330" s="8">
        <v>6.02</v>
      </c>
    </row>
    <row r="331" spans="1:5" x14ac:dyDescent="0.2">
      <c r="A331" s="5">
        <f t="shared" si="19"/>
        <v>4</v>
      </c>
      <c r="B331" s="5">
        <f t="shared" si="20"/>
        <v>2014</v>
      </c>
      <c r="C331" s="7">
        <v>41752</v>
      </c>
      <c r="D331" s="8">
        <v>6.17</v>
      </c>
      <c r="E331" s="8">
        <v>6.01</v>
      </c>
    </row>
    <row r="332" spans="1:5" x14ac:dyDescent="0.2">
      <c r="A332" s="5">
        <f t="shared" si="19"/>
        <v>4</v>
      </c>
      <c r="B332" s="5">
        <f t="shared" si="20"/>
        <v>2014</v>
      </c>
      <c r="C332" s="7">
        <v>41753</v>
      </c>
      <c r="D332" s="8">
        <v>6.17</v>
      </c>
      <c r="E332" s="8">
        <v>6.01</v>
      </c>
    </row>
    <row r="333" spans="1:5" x14ac:dyDescent="0.2">
      <c r="A333" s="5">
        <f t="shared" si="19"/>
        <v>4</v>
      </c>
      <c r="B333" s="5">
        <f t="shared" si="20"/>
        <v>2014</v>
      </c>
      <c r="C333" s="7">
        <v>41754</v>
      </c>
      <c r="D333" s="8">
        <v>6.17</v>
      </c>
      <c r="E333" s="8">
        <v>6</v>
      </c>
    </row>
    <row r="334" spans="1:5" x14ac:dyDescent="0.2">
      <c r="A334" s="5">
        <f t="shared" si="19"/>
        <v>4</v>
      </c>
      <c r="B334" s="5">
        <f t="shared" si="20"/>
        <v>2014</v>
      </c>
      <c r="C334" s="7">
        <v>41757</v>
      </c>
      <c r="D334" s="8">
        <v>6.17</v>
      </c>
      <c r="E334" s="8">
        <v>5.97</v>
      </c>
    </row>
    <row r="335" spans="1:5" x14ac:dyDescent="0.2">
      <c r="A335" s="5">
        <f t="shared" si="19"/>
        <v>4</v>
      </c>
      <c r="B335" s="5">
        <f t="shared" si="20"/>
        <v>2014</v>
      </c>
      <c r="C335" s="7">
        <v>41758</v>
      </c>
      <c r="D335" s="8">
        <v>6.17</v>
      </c>
      <c r="E335" s="8">
        <v>5.97</v>
      </c>
    </row>
    <row r="336" spans="1:5" x14ac:dyDescent="0.2">
      <c r="A336" s="5">
        <f t="shared" si="19"/>
        <v>4</v>
      </c>
      <c r="B336" s="5">
        <f t="shared" si="20"/>
        <v>2014</v>
      </c>
      <c r="C336" s="7">
        <v>41759</v>
      </c>
      <c r="D336" s="8">
        <v>6.17</v>
      </c>
      <c r="E336" s="8">
        <v>5.95</v>
      </c>
    </row>
    <row r="337" spans="1:5" x14ac:dyDescent="0.2">
      <c r="A337" s="5">
        <f t="shared" si="19"/>
        <v>5</v>
      </c>
      <c r="B337" s="5">
        <f t="shared" si="20"/>
        <v>2014</v>
      </c>
      <c r="C337" s="7">
        <v>41761</v>
      </c>
      <c r="D337" s="8">
        <v>6.18</v>
      </c>
      <c r="E337" s="8">
        <v>5.93</v>
      </c>
    </row>
    <row r="338" spans="1:5" x14ac:dyDescent="0.2">
      <c r="A338" s="5">
        <f t="shared" si="19"/>
        <v>5</v>
      </c>
      <c r="B338" s="5">
        <f t="shared" si="20"/>
        <v>2014</v>
      </c>
      <c r="C338" s="7">
        <v>41764</v>
      </c>
      <c r="D338" s="8">
        <v>6.18</v>
      </c>
      <c r="E338" s="8">
        <v>5.91</v>
      </c>
    </row>
    <row r="339" spans="1:5" x14ac:dyDescent="0.2">
      <c r="A339" s="5">
        <f t="shared" si="19"/>
        <v>5</v>
      </c>
      <c r="B339" s="5">
        <f t="shared" si="20"/>
        <v>2014</v>
      </c>
      <c r="C339" s="7">
        <v>41765</v>
      </c>
      <c r="D339" s="8">
        <v>6.18</v>
      </c>
      <c r="E339" s="8">
        <v>5.9</v>
      </c>
    </row>
    <row r="340" spans="1:5" x14ac:dyDescent="0.2">
      <c r="A340" s="5">
        <f t="shared" si="19"/>
        <v>5</v>
      </c>
      <c r="B340" s="5">
        <f t="shared" si="20"/>
        <v>2014</v>
      </c>
      <c r="C340" s="7">
        <v>41766</v>
      </c>
      <c r="D340" s="8">
        <v>6.18</v>
      </c>
      <c r="E340" s="8">
        <v>5.89</v>
      </c>
    </row>
    <row r="341" spans="1:5" x14ac:dyDescent="0.2">
      <c r="A341" s="5">
        <f t="shared" si="19"/>
        <v>5</v>
      </c>
      <c r="B341" s="5">
        <f t="shared" si="20"/>
        <v>2014</v>
      </c>
      <c r="C341" s="7">
        <v>41767</v>
      </c>
      <c r="D341" s="8">
        <v>6.19</v>
      </c>
      <c r="E341" s="8">
        <v>5.88</v>
      </c>
    </row>
    <row r="342" spans="1:5" x14ac:dyDescent="0.2">
      <c r="A342" s="5">
        <f t="shared" si="19"/>
        <v>5</v>
      </c>
      <c r="B342" s="5">
        <f t="shared" si="20"/>
        <v>2014</v>
      </c>
      <c r="C342" s="7">
        <v>41768</v>
      </c>
      <c r="D342" s="8">
        <v>5.88</v>
      </c>
      <c r="E342" s="8">
        <v>5.88</v>
      </c>
    </row>
    <row r="343" spans="1:5" x14ac:dyDescent="0.2">
      <c r="A343" s="5">
        <f t="shared" si="19"/>
        <v>5</v>
      </c>
      <c r="B343" s="5">
        <f t="shared" si="20"/>
        <v>2014</v>
      </c>
      <c r="C343" s="7">
        <v>41771</v>
      </c>
      <c r="D343" s="8">
        <v>5.88</v>
      </c>
      <c r="E343" s="8">
        <v>5.87</v>
      </c>
    </row>
    <row r="344" spans="1:5" x14ac:dyDescent="0.2">
      <c r="A344" s="5">
        <f t="shared" si="19"/>
        <v>5</v>
      </c>
      <c r="B344" s="5">
        <f t="shared" si="20"/>
        <v>2014</v>
      </c>
      <c r="C344" s="7">
        <v>41772</v>
      </c>
      <c r="D344" s="8">
        <v>5.88</v>
      </c>
      <c r="E344" s="8">
        <v>5.87</v>
      </c>
    </row>
    <row r="345" spans="1:5" x14ac:dyDescent="0.2">
      <c r="A345" s="5">
        <f t="shared" si="19"/>
        <v>5</v>
      </c>
      <c r="B345" s="5">
        <f t="shared" si="20"/>
        <v>2014</v>
      </c>
      <c r="C345" s="7">
        <v>41773</v>
      </c>
      <c r="D345" s="8">
        <v>5.88</v>
      </c>
      <c r="E345" s="8">
        <v>5.87</v>
      </c>
    </row>
    <row r="346" spans="1:5" x14ac:dyDescent="0.2">
      <c r="A346" s="5">
        <f t="shared" si="19"/>
        <v>5</v>
      </c>
      <c r="B346" s="5">
        <f t="shared" si="20"/>
        <v>2014</v>
      </c>
      <c r="C346" s="7">
        <v>41774</v>
      </c>
      <c r="D346" s="8">
        <v>5.88</v>
      </c>
      <c r="E346" s="8">
        <v>5.87</v>
      </c>
    </row>
    <row r="347" spans="1:5" x14ac:dyDescent="0.2">
      <c r="A347" s="5">
        <f t="shared" si="19"/>
        <v>5</v>
      </c>
      <c r="B347" s="5">
        <f t="shared" si="20"/>
        <v>2014</v>
      </c>
      <c r="C347" s="7">
        <v>41775</v>
      </c>
      <c r="D347" s="8">
        <v>5.89</v>
      </c>
      <c r="E347" s="8">
        <v>5.88</v>
      </c>
    </row>
    <row r="348" spans="1:5" x14ac:dyDescent="0.2">
      <c r="A348" s="5">
        <f t="shared" si="19"/>
        <v>5</v>
      </c>
      <c r="B348" s="5">
        <f t="shared" si="20"/>
        <v>2014</v>
      </c>
      <c r="C348" s="7">
        <v>41778</v>
      </c>
      <c r="D348" s="8">
        <v>5.88</v>
      </c>
      <c r="E348" s="8">
        <v>5.87</v>
      </c>
    </row>
    <row r="349" spans="1:5" x14ac:dyDescent="0.2">
      <c r="A349" s="5">
        <f t="shared" si="19"/>
        <v>5</v>
      </c>
      <c r="B349" s="5">
        <f t="shared" si="20"/>
        <v>2014</v>
      </c>
      <c r="C349" s="7">
        <v>41779</v>
      </c>
      <c r="D349" s="8">
        <v>5.99</v>
      </c>
      <c r="E349" s="8">
        <v>5.96</v>
      </c>
    </row>
    <row r="350" spans="1:5" x14ac:dyDescent="0.2">
      <c r="A350" s="5">
        <f t="shared" si="19"/>
        <v>5</v>
      </c>
      <c r="B350" s="5">
        <f t="shared" si="20"/>
        <v>2014</v>
      </c>
      <c r="C350" s="7">
        <v>41780</v>
      </c>
      <c r="D350" s="8">
        <v>5.99</v>
      </c>
      <c r="E350" s="8">
        <v>5.96</v>
      </c>
    </row>
    <row r="351" spans="1:5" x14ac:dyDescent="0.2">
      <c r="A351" s="5">
        <f t="shared" si="19"/>
        <v>5</v>
      </c>
      <c r="B351" s="5">
        <f t="shared" si="20"/>
        <v>2014</v>
      </c>
      <c r="C351" s="7">
        <v>41781</v>
      </c>
      <c r="D351" s="8">
        <v>5.99</v>
      </c>
      <c r="E351" s="8">
        <v>5.96</v>
      </c>
    </row>
    <row r="352" spans="1:5" x14ac:dyDescent="0.2">
      <c r="A352" s="5">
        <f t="shared" si="19"/>
        <v>5</v>
      </c>
      <c r="B352" s="5">
        <f t="shared" si="20"/>
        <v>2014</v>
      </c>
      <c r="C352" s="7">
        <v>41782</v>
      </c>
      <c r="D352" s="8">
        <v>5.99</v>
      </c>
      <c r="E352" s="8">
        <v>5.96</v>
      </c>
    </row>
    <row r="353" spans="1:5" x14ac:dyDescent="0.2">
      <c r="A353" s="5">
        <f t="shared" si="19"/>
        <v>5</v>
      </c>
      <c r="B353" s="5">
        <f t="shared" si="20"/>
        <v>2014</v>
      </c>
      <c r="C353" s="7">
        <v>41785</v>
      </c>
      <c r="D353" s="8">
        <v>6.01</v>
      </c>
      <c r="E353" s="8">
        <v>6.01</v>
      </c>
    </row>
    <row r="354" spans="1:5" x14ac:dyDescent="0.2">
      <c r="A354" s="5">
        <f t="shared" si="19"/>
        <v>5</v>
      </c>
      <c r="B354" s="5">
        <f t="shared" si="20"/>
        <v>2014</v>
      </c>
      <c r="C354" s="7">
        <v>41786</v>
      </c>
      <c r="D354" s="8">
        <v>6.01</v>
      </c>
      <c r="E354" s="8">
        <v>6.01</v>
      </c>
    </row>
    <row r="355" spans="1:5" x14ac:dyDescent="0.2">
      <c r="A355" s="5">
        <f t="shared" si="19"/>
        <v>5</v>
      </c>
      <c r="B355" s="5">
        <f t="shared" si="20"/>
        <v>2014</v>
      </c>
      <c r="C355" s="7">
        <v>41787</v>
      </c>
      <c r="D355" s="8">
        <v>6.01</v>
      </c>
      <c r="E355" s="8">
        <v>6.01</v>
      </c>
    </row>
    <row r="356" spans="1:5" x14ac:dyDescent="0.2">
      <c r="A356" s="5">
        <f t="shared" si="19"/>
        <v>5</v>
      </c>
      <c r="B356" s="5">
        <f t="shared" si="20"/>
        <v>2014</v>
      </c>
      <c r="C356" s="7">
        <v>41788</v>
      </c>
      <c r="D356" s="8">
        <v>6.01</v>
      </c>
      <c r="E356" s="8">
        <v>6.01</v>
      </c>
    </row>
    <row r="357" spans="1:5" x14ac:dyDescent="0.2">
      <c r="A357" s="5">
        <f t="shared" si="19"/>
        <v>5</v>
      </c>
      <c r="B357" s="5">
        <f t="shared" si="20"/>
        <v>2014</v>
      </c>
      <c r="C357" s="7">
        <v>41789</v>
      </c>
      <c r="D357" s="8">
        <v>6</v>
      </c>
      <c r="E357" s="8">
        <v>6.01</v>
      </c>
    </row>
    <row r="358" spans="1:5" x14ac:dyDescent="0.2">
      <c r="A358" s="5">
        <f t="shared" si="19"/>
        <v>6</v>
      </c>
      <c r="B358" s="5">
        <f t="shared" si="20"/>
        <v>2014</v>
      </c>
      <c r="C358" s="7">
        <v>41792</v>
      </c>
      <c r="D358" s="8">
        <v>6</v>
      </c>
      <c r="E358" s="8">
        <v>5.96</v>
      </c>
    </row>
    <row r="359" spans="1:5" x14ac:dyDescent="0.2">
      <c r="A359" s="5">
        <f t="shared" si="19"/>
        <v>6</v>
      </c>
      <c r="B359" s="5">
        <f t="shared" si="20"/>
        <v>2014</v>
      </c>
      <c r="C359" s="7">
        <v>41793</v>
      </c>
      <c r="D359" s="8">
        <v>6</v>
      </c>
      <c r="E359" s="8">
        <v>5.96</v>
      </c>
    </row>
    <row r="360" spans="1:5" x14ac:dyDescent="0.2">
      <c r="A360" s="5">
        <f t="shared" si="19"/>
        <v>6</v>
      </c>
      <c r="B360" s="5">
        <f t="shared" si="20"/>
        <v>2014</v>
      </c>
      <c r="C360" s="7">
        <v>41794</v>
      </c>
      <c r="D360" s="8">
        <v>6</v>
      </c>
      <c r="E360" s="8">
        <v>5.96</v>
      </c>
    </row>
    <row r="361" spans="1:5" x14ac:dyDescent="0.2">
      <c r="A361" s="5">
        <f t="shared" si="19"/>
        <v>6</v>
      </c>
      <c r="B361" s="5">
        <f t="shared" si="20"/>
        <v>2014</v>
      </c>
      <c r="C361" s="7">
        <v>41795</v>
      </c>
      <c r="D361" s="8">
        <v>6</v>
      </c>
      <c r="E361" s="8">
        <v>5.97</v>
      </c>
    </row>
    <row r="362" spans="1:5" x14ac:dyDescent="0.2">
      <c r="A362" s="5">
        <f t="shared" si="19"/>
        <v>6</v>
      </c>
      <c r="B362" s="5">
        <f t="shared" si="20"/>
        <v>2014</v>
      </c>
      <c r="C362" s="7">
        <v>41796</v>
      </c>
      <c r="D362" s="8">
        <v>5.97</v>
      </c>
      <c r="E362" s="8">
        <v>6.01</v>
      </c>
    </row>
    <row r="363" spans="1:5" x14ac:dyDescent="0.2">
      <c r="A363" s="5">
        <f t="shared" si="19"/>
        <v>6</v>
      </c>
      <c r="B363" s="5">
        <f t="shared" si="20"/>
        <v>2014</v>
      </c>
      <c r="C363" s="7">
        <v>41799</v>
      </c>
      <c r="D363" s="8">
        <v>5.93</v>
      </c>
      <c r="E363" s="8">
        <v>5.95</v>
      </c>
    </row>
    <row r="364" spans="1:5" x14ac:dyDescent="0.2">
      <c r="A364" s="5">
        <f t="shared" si="19"/>
        <v>6</v>
      </c>
      <c r="B364" s="5">
        <f t="shared" si="20"/>
        <v>2014</v>
      </c>
      <c r="C364" s="7">
        <v>41800</v>
      </c>
      <c r="D364" s="8">
        <v>5.93</v>
      </c>
      <c r="E364" s="8">
        <v>5.94</v>
      </c>
    </row>
    <row r="365" spans="1:5" x14ac:dyDescent="0.2">
      <c r="A365" s="5">
        <f t="shared" si="19"/>
        <v>6</v>
      </c>
      <c r="B365" s="5">
        <f t="shared" si="20"/>
        <v>2014</v>
      </c>
      <c r="C365" s="7">
        <v>41801</v>
      </c>
      <c r="D365" s="8">
        <v>5.93</v>
      </c>
      <c r="E365" s="8">
        <v>5.94</v>
      </c>
    </row>
    <row r="366" spans="1:5" x14ac:dyDescent="0.2">
      <c r="A366" s="5">
        <f t="shared" si="19"/>
        <v>6</v>
      </c>
      <c r="B366" s="5">
        <f t="shared" si="20"/>
        <v>2014</v>
      </c>
      <c r="C366" s="7">
        <v>41802</v>
      </c>
      <c r="D366" s="8">
        <v>5.93</v>
      </c>
      <c r="E366" s="8">
        <v>5.94</v>
      </c>
    </row>
    <row r="367" spans="1:5" x14ac:dyDescent="0.2">
      <c r="A367" s="5">
        <f t="shared" si="19"/>
        <v>6</v>
      </c>
      <c r="B367" s="5">
        <f t="shared" si="20"/>
        <v>2014</v>
      </c>
      <c r="C367" s="7">
        <v>41803</v>
      </c>
      <c r="D367" s="8">
        <v>5.93</v>
      </c>
      <c r="E367" s="8">
        <v>5.91</v>
      </c>
    </row>
    <row r="368" spans="1:5" x14ac:dyDescent="0.2">
      <c r="A368" s="5">
        <f t="shared" si="19"/>
        <v>6</v>
      </c>
      <c r="B368" s="5">
        <f t="shared" si="20"/>
        <v>2014</v>
      </c>
      <c r="C368" s="7">
        <v>41806</v>
      </c>
      <c r="D368" s="8">
        <v>5.9</v>
      </c>
      <c r="E368" s="8">
        <v>5.85</v>
      </c>
    </row>
    <row r="369" spans="1:5" x14ac:dyDescent="0.2">
      <c r="A369" s="5">
        <f t="shared" si="19"/>
        <v>6</v>
      </c>
      <c r="B369" s="5">
        <f t="shared" si="20"/>
        <v>2014</v>
      </c>
      <c r="C369" s="7">
        <v>41807</v>
      </c>
      <c r="D369" s="8">
        <v>5.96</v>
      </c>
      <c r="E369" s="8">
        <v>5.93</v>
      </c>
    </row>
    <row r="370" spans="1:5" x14ac:dyDescent="0.2">
      <c r="A370" s="5">
        <f t="shared" si="19"/>
        <v>6</v>
      </c>
      <c r="B370" s="5">
        <f t="shared" si="20"/>
        <v>2014</v>
      </c>
      <c r="C370" s="7">
        <v>41808</v>
      </c>
      <c r="D370" s="8">
        <v>5.96</v>
      </c>
      <c r="E370" s="8">
        <v>5.93</v>
      </c>
    </row>
    <row r="371" spans="1:5" x14ac:dyDescent="0.2">
      <c r="A371" s="5">
        <f t="shared" si="19"/>
        <v>6</v>
      </c>
      <c r="B371" s="5">
        <f t="shared" si="20"/>
        <v>2014</v>
      </c>
      <c r="C371" s="7">
        <v>41810</v>
      </c>
      <c r="D371" s="8">
        <v>5.94</v>
      </c>
      <c r="E371" s="8">
        <v>5.91</v>
      </c>
    </row>
    <row r="372" spans="1:5" x14ac:dyDescent="0.2">
      <c r="A372" s="5">
        <f t="shared" si="19"/>
        <v>6</v>
      </c>
      <c r="B372" s="5">
        <f t="shared" si="20"/>
        <v>2014</v>
      </c>
      <c r="C372" s="7">
        <v>41813</v>
      </c>
      <c r="D372" s="8">
        <v>5.96</v>
      </c>
      <c r="E372" s="8">
        <v>5.91</v>
      </c>
    </row>
    <row r="373" spans="1:5" x14ac:dyDescent="0.2">
      <c r="A373" s="5">
        <f t="shared" si="19"/>
        <v>6</v>
      </c>
      <c r="B373" s="5">
        <f t="shared" si="20"/>
        <v>2014</v>
      </c>
      <c r="C373" s="7">
        <v>41814</v>
      </c>
      <c r="D373" s="8">
        <v>5.96</v>
      </c>
      <c r="E373" s="8">
        <v>5.91</v>
      </c>
    </row>
    <row r="374" spans="1:5" x14ac:dyDescent="0.2">
      <c r="A374" s="5">
        <f t="shared" si="19"/>
        <v>6</v>
      </c>
      <c r="B374" s="5">
        <f t="shared" si="20"/>
        <v>2014</v>
      </c>
      <c r="C374" s="7">
        <v>41815</v>
      </c>
      <c r="D374" s="8">
        <v>5.96</v>
      </c>
      <c r="E374" s="8">
        <v>5.91</v>
      </c>
    </row>
    <row r="375" spans="1:5" x14ac:dyDescent="0.2">
      <c r="A375" s="5">
        <f t="shared" si="19"/>
        <v>6</v>
      </c>
      <c r="B375" s="5">
        <f t="shared" si="20"/>
        <v>2014</v>
      </c>
      <c r="C375" s="7">
        <v>41816</v>
      </c>
      <c r="D375" s="8">
        <v>5.96</v>
      </c>
      <c r="E375" s="8">
        <v>5.91</v>
      </c>
    </row>
    <row r="376" spans="1:5" x14ac:dyDescent="0.2">
      <c r="A376" s="5">
        <f t="shared" si="19"/>
        <v>6</v>
      </c>
      <c r="B376" s="5">
        <f t="shared" si="20"/>
        <v>2014</v>
      </c>
      <c r="C376" s="7">
        <v>41817</v>
      </c>
      <c r="D376" s="8">
        <v>5.96</v>
      </c>
      <c r="E376" s="8">
        <v>5.91</v>
      </c>
    </row>
    <row r="377" spans="1:5" x14ac:dyDescent="0.2">
      <c r="A377" s="5">
        <f t="shared" si="19"/>
        <v>6</v>
      </c>
      <c r="B377" s="5">
        <f t="shared" si="20"/>
        <v>2014</v>
      </c>
      <c r="C377" s="7">
        <v>41820</v>
      </c>
      <c r="D377" s="8">
        <v>5.96</v>
      </c>
      <c r="E377" s="8">
        <v>5.9</v>
      </c>
    </row>
    <row r="378" spans="1:5" x14ac:dyDescent="0.2">
      <c r="A378" s="5">
        <f t="shared" si="19"/>
        <v>7</v>
      </c>
      <c r="B378" s="5">
        <f t="shared" si="20"/>
        <v>2014</v>
      </c>
      <c r="C378" s="7">
        <v>41821</v>
      </c>
      <c r="D378" s="8">
        <v>5.97</v>
      </c>
      <c r="E378" s="8">
        <v>5.89</v>
      </c>
    </row>
    <row r="379" spans="1:5" x14ac:dyDescent="0.2">
      <c r="A379" s="5">
        <f t="shared" si="19"/>
        <v>7</v>
      </c>
      <c r="B379" s="5">
        <f t="shared" si="20"/>
        <v>2014</v>
      </c>
      <c r="C379" s="7">
        <v>41822</v>
      </c>
      <c r="D379" s="8">
        <v>5.97</v>
      </c>
      <c r="E379" s="8">
        <v>5.89</v>
      </c>
    </row>
    <row r="380" spans="1:5" x14ac:dyDescent="0.2">
      <c r="A380" s="5">
        <f t="shared" si="19"/>
        <v>7</v>
      </c>
      <c r="B380" s="5">
        <f t="shared" si="20"/>
        <v>2014</v>
      </c>
      <c r="C380" s="7">
        <v>41823</v>
      </c>
      <c r="D380" s="8">
        <v>5.97</v>
      </c>
      <c r="E380" s="8">
        <v>5.89</v>
      </c>
    </row>
    <row r="381" spans="1:5" x14ac:dyDescent="0.2">
      <c r="A381" s="5">
        <f t="shared" si="19"/>
        <v>7</v>
      </c>
      <c r="B381" s="5">
        <f t="shared" si="20"/>
        <v>2014</v>
      </c>
      <c r="C381" s="7">
        <v>41824</v>
      </c>
      <c r="D381" s="8">
        <v>5.97</v>
      </c>
      <c r="E381" s="8">
        <v>5.89</v>
      </c>
    </row>
    <row r="382" spans="1:5" x14ac:dyDescent="0.2">
      <c r="A382" s="5">
        <f t="shared" si="19"/>
        <v>7</v>
      </c>
      <c r="B382" s="5">
        <f t="shared" si="20"/>
        <v>2014</v>
      </c>
      <c r="C382" s="7">
        <v>41827</v>
      </c>
      <c r="D382" s="8">
        <v>5.98</v>
      </c>
      <c r="E382" s="8">
        <v>5.9</v>
      </c>
    </row>
    <row r="383" spans="1:5" x14ac:dyDescent="0.2">
      <c r="A383" s="5">
        <f t="shared" si="19"/>
        <v>7</v>
      </c>
      <c r="B383" s="5">
        <f t="shared" si="20"/>
        <v>2014</v>
      </c>
      <c r="C383" s="7">
        <v>41828</v>
      </c>
      <c r="D383" s="8">
        <v>5.9</v>
      </c>
      <c r="E383" s="8">
        <v>5.91</v>
      </c>
    </row>
    <row r="384" spans="1:5" x14ac:dyDescent="0.2">
      <c r="A384" s="5">
        <f t="shared" si="19"/>
        <v>7</v>
      </c>
      <c r="B384" s="5">
        <f t="shared" si="20"/>
        <v>2014</v>
      </c>
      <c r="C384" s="7">
        <v>41829</v>
      </c>
      <c r="D384" s="8">
        <v>5.9</v>
      </c>
      <c r="E384" s="8">
        <v>5.92</v>
      </c>
    </row>
    <row r="385" spans="1:5" x14ac:dyDescent="0.2">
      <c r="A385" s="5">
        <f t="shared" si="19"/>
        <v>7</v>
      </c>
      <c r="B385" s="5">
        <f t="shared" si="20"/>
        <v>2014</v>
      </c>
      <c r="C385" s="7">
        <v>41830</v>
      </c>
      <c r="D385" s="8">
        <v>5.89</v>
      </c>
      <c r="E385" s="8">
        <v>5.92</v>
      </c>
    </row>
    <row r="386" spans="1:5" x14ac:dyDescent="0.2">
      <c r="A386" s="5">
        <f t="shared" si="19"/>
        <v>7</v>
      </c>
      <c r="B386" s="5">
        <f t="shared" si="20"/>
        <v>2014</v>
      </c>
      <c r="C386" s="7">
        <v>41831</v>
      </c>
      <c r="D386" s="8">
        <v>5.89</v>
      </c>
      <c r="E386" s="8">
        <v>5.92</v>
      </c>
    </row>
    <row r="387" spans="1:5" x14ac:dyDescent="0.2">
      <c r="A387" s="5">
        <f t="shared" si="19"/>
        <v>7</v>
      </c>
      <c r="B387" s="5">
        <f t="shared" si="20"/>
        <v>2014</v>
      </c>
      <c r="C387" s="7">
        <v>41834</v>
      </c>
      <c r="D387" s="8">
        <v>5.91</v>
      </c>
      <c r="E387" s="8">
        <v>5.95</v>
      </c>
    </row>
    <row r="388" spans="1:5" x14ac:dyDescent="0.2">
      <c r="A388" s="5">
        <f t="shared" ref="A388:A451" si="21">MONTH(C388)</f>
        <v>7</v>
      </c>
      <c r="B388" s="5">
        <f t="shared" ref="B388:B451" si="22">YEAR(C388)</f>
        <v>2014</v>
      </c>
      <c r="C388" s="7">
        <v>41835</v>
      </c>
      <c r="D388" s="8">
        <v>5.94</v>
      </c>
      <c r="E388" s="8">
        <v>5.96</v>
      </c>
    </row>
    <row r="389" spans="1:5" x14ac:dyDescent="0.2">
      <c r="A389" s="5">
        <f t="shared" si="21"/>
        <v>7</v>
      </c>
      <c r="B389" s="5">
        <f t="shared" si="22"/>
        <v>2014</v>
      </c>
      <c r="C389" s="7">
        <v>41836</v>
      </c>
      <c r="D389" s="8">
        <v>5.91</v>
      </c>
      <c r="E389" s="8">
        <v>5.97</v>
      </c>
    </row>
    <row r="390" spans="1:5" x14ac:dyDescent="0.2">
      <c r="A390" s="5">
        <f t="shared" si="21"/>
        <v>7</v>
      </c>
      <c r="B390" s="5">
        <f t="shared" si="22"/>
        <v>2014</v>
      </c>
      <c r="C390" s="7">
        <v>41837</v>
      </c>
      <c r="D390" s="8">
        <v>5.94</v>
      </c>
      <c r="E390" s="8">
        <v>5.97</v>
      </c>
    </row>
    <row r="391" spans="1:5" x14ac:dyDescent="0.2">
      <c r="A391" s="5">
        <f t="shared" si="21"/>
        <v>7</v>
      </c>
      <c r="B391" s="5">
        <f t="shared" si="22"/>
        <v>2014</v>
      </c>
      <c r="C391" s="7">
        <v>41838</v>
      </c>
      <c r="D391" s="8">
        <v>5.85</v>
      </c>
      <c r="E391" s="8">
        <v>5.95</v>
      </c>
    </row>
    <row r="392" spans="1:5" x14ac:dyDescent="0.2">
      <c r="A392" s="5">
        <f t="shared" si="21"/>
        <v>7</v>
      </c>
      <c r="B392" s="5">
        <f t="shared" si="22"/>
        <v>2014</v>
      </c>
      <c r="C392" s="7">
        <v>41841</v>
      </c>
      <c r="D392" s="8">
        <v>5.85</v>
      </c>
      <c r="E392" s="8">
        <v>5.91</v>
      </c>
    </row>
    <row r="393" spans="1:5" x14ac:dyDescent="0.2">
      <c r="A393" s="5">
        <f t="shared" si="21"/>
        <v>7</v>
      </c>
      <c r="B393" s="5">
        <f t="shared" si="22"/>
        <v>2014</v>
      </c>
      <c r="C393" s="7">
        <v>41842</v>
      </c>
      <c r="D393" s="8">
        <v>5.85</v>
      </c>
      <c r="E393" s="8">
        <v>5.95</v>
      </c>
    </row>
    <row r="394" spans="1:5" x14ac:dyDescent="0.2">
      <c r="A394" s="5">
        <f t="shared" si="21"/>
        <v>7</v>
      </c>
      <c r="B394" s="5">
        <f t="shared" si="22"/>
        <v>2014</v>
      </c>
      <c r="C394" s="7">
        <v>41843</v>
      </c>
      <c r="D394" s="8">
        <v>5.85</v>
      </c>
      <c r="E394" s="8">
        <v>5.93</v>
      </c>
    </row>
    <row r="395" spans="1:5" x14ac:dyDescent="0.2">
      <c r="A395" s="5">
        <f t="shared" si="21"/>
        <v>7</v>
      </c>
      <c r="B395" s="5">
        <f t="shared" si="22"/>
        <v>2014</v>
      </c>
      <c r="C395" s="7">
        <v>41844</v>
      </c>
      <c r="D395" s="8">
        <v>5.83</v>
      </c>
      <c r="E395" s="8">
        <v>5.94</v>
      </c>
    </row>
    <row r="396" spans="1:5" x14ac:dyDescent="0.2">
      <c r="A396" s="5">
        <f t="shared" si="21"/>
        <v>7</v>
      </c>
      <c r="B396" s="5">
        <f t="shared" si="22"/>
        <v>2014</v>
      </c>
      <c r="C396" s="7">
        <v>41845</v>
      </c>
      <c r="D396" s="8">
        <v>5.83</v>
      </c>
      <c r="E396" s="8">
        <v>5.94</v>
      </c>
    </row>
    <row r="397" spans="1:5" x14ac:dyDescent="0.2">
      <c r="A397" s="5">
        <f t="shared" si="21"/>
        <v>7</v>
      </c>
      <c r="B397" s="5">
        <f t="shared" si="22"/>
        <v>2014</v>
      </c>
      <c r="C397" s="7">
        <v>41848</v>
      </c>
      <c r="D397" s="8">
        <v>5.85</v>
      </c>
      <c r="E397" s="8">
        <v>5.99</v>
      </c>
    </row>
    <row r="398" spans="1:5" x14ac:dyDescent="0.2">
      <c r="A398" s="5">
        <f t="shared" si="21"/>
        <v>7</v>
      </c>
      <c r="B398" s="5">
        <f t="shared" si="22"/>
        <v>2014</v>
      </c>
      <c r="C398" s="7">
        <v>41849</v>
      </c>
      <c r="D398" s="8">
        <v>5.85</v>
      </c>
      <c r="E398" s="8">
        <v>6</v>
      </c>
    </row>
    <row r="399" spans="1:5" x14ac:dyDescent="0.2">
      <c r="A399" s="5">
        <f t="shared" si="21"/>
        <v>7</v>
      </c>
      <c r="B399" s="5">
        <f t="shared" si="22"/>
        <v>2014</v>
      </c>
      <c r="C399" s="7">
        <v>41850</v>
      </c>
      <c r="D399" s="8">
        <v>5.85</v>
      </c>
      <c r="E399" s="8">
        <v>6</v>
      </c>
    </row>
    <row r="400" spans="1:5" x14ac:dyDescent="0.2">
      <c r="A400" s="5">
        <f t="shared" si="21"/>
        <v>7</v>
      </c>
      <c r="B400" s="5">
        <f t="shared" si="22"/>
        <v>2014</v>
      </c>
      <c r="C400" s="7">
        <v>41851</v>
      </c>
      <c r="D400" s="8">
        <v>5.85</v>
      </c>
      <c r="E400" s="8">
        <v>6.03</v>
      </c>
    </row>
    <row r="401" spans="1:5" x14ac:dyDescent="0.2">
      <c r="A401" s="5">
        <f t="shared" si="21"/>
        <v>8</v>
      </c>
      <c r="B401" s="5">
        <f t="shared" si="22"/>
        <v>2014</v>
      </c>
      <c r="C401" s="7">
        <v>41852</v>
      </c>
      <c r="D401" s="8">
        <v>5.85</v>
      </c>
      <c r="E401" s="8">
        <v>6.03</v>
      </c>
    </row>
    <row r="402" spans="1:5" x14ac:dyDescent="0.2">
      <c r="A402" s="5">
        <f t="shared" si="21"/>
        <v>8</v>
      </c>
      <c r="B402" s="5">
        <f t="shared" si="22"/>
        <v>2014</v>
      </c>
      <c r="C402" s="7">
        <v>41855</v>
      </c>
      <c r="D402" s="8">
        <v>5.85</v>
      </c>
      <c r="E402" s="8">
        <v>6.06</v>
      </c>
    </row>
    <row r="403" spans="1:5" x14ac:dyDescent="0.2">
      <c r="A403" s="5">
        <f t="shared" si="21"/>
        <v>8</v>
      </c>
      <c r="B403" s="5">
        <f t="shared" si="22"/>
        <v>2014</v>
      </c>
      <c r="C403" s="7">
        <v>41856</v>
      </c>
      <c r="D403" s="8">
        <v>5.85</v>
      </c>
      <c r="E403" s="8">
        <v>6.08</v>
      </c>
    </row>
    <row r="404" spans="1:5" x14ac:dyDescent="0.2">
      <c r="A404" s="5">
        <f t="shared" si="21"/>
        <v>8</v>
      </c>
      <c r="B404" s="5">
        <f t="shared" si="22"/>
        <v>2014</v>
      </c>
      <c r="C404" s="7">
        <v>41857</v>
      </c>
      <c r="D404" s="8">
        <v>5.85</v>
      </c>
      <c r="E404" s="8">
        <v>6.09</v>
      </c>
    </row>
    <row r="405" spans="1:5" x14ac:dyDescent="0.2">
      <c r="A405" s="5">
        <f t="shared" si="21"/>
        <v>8</v>
      </c>
      <c r="B405" s="5">
        <f t="shared" si="22"/>
        <v>2014</v>
      </c>
      <c r="C405" s="7">
        <v>41858</v>
      </c>
      <c r="D405" s="8">
        <v>5.85</v>
      </c>
      <c r="E405" s="8">
        <v>6.13</v>
      </c>
    </row>
    <row r="406" spans="1:5" x14ac:dyDescent="0.2">
      <c r="A406" s="5">
        <f t="shared" si="21"/>
        <v>8</v>
      </c>
      <c r="B406" s="5">
        <f t="shared" si="22"/>
        <v>2014</v>
      </c>
      <c r="C406" s="7">
        <v>41859</v>
      </c>
      <c r="D406" s="8">
        <v>6.16</v>
      </c>
      <c r="E406" s="8">
        <v>6.19</v>
      </c>
    </row>
    <row r="407" spans="1:5" x14ac:dyDescent="0.2">
      <c r="A407" s="5">
        <f t="shared" si="21"/>
        <v>8</v>
      </c>
      <c r="B407" s="5">
        <f t="shared" si="22"/>
        <v>2014</v>
      </c>
      <c r="C407" s="7">
        <v>41862</v>
      </c>
      <c r="D407" s="8">
        <v>6.19</v>
      </c>
      <c r="E407" s="8">
        <v>6.21</v>
      </c>
    </row>
    <row r="408" spans="1:5" x14ac:dyDescent="0.2">
      <c r="A408" s="5">
        <f t="shared" si="21"/>
        <v>8</v>
      </c>
      <c r="B408" s="5">
        <f t="shared" si="22"/>
        <v>2014</v>
      </c>
      <c r="C408" s="7">
        <v>41863</v>
      </c>
      <c r="D408" s="8">
        <v>6.18</v>
      </c>
      <c r="E408" s="8">
        <v>6.21</v>
      </c>
    </row>
    <row r="409" spans="1:5" x14ac:dyDescent="0.2">
      <c r="A409" s="5">
        <f t="shared" si="21"/>
        <v>8</v>
      </c>
      <c r="B409" s="5">
        <f t="shared" si="22"/>
        <v>2014</v>
      </c>
      <c r="C409" s="7">
        <v>41864</v>
      </c>
      <c r="D409" s="8">
        <v>6.18</v>
      </c>
      <c r="E409" s="8">
        <v>6.22</v>
      </c>
    </row>
    <row r="410" spans="1:5" x14ac:dyDescent="0.2">
      <c r="A410" s="5">
        <f t="shared" si="21"/>
        <v>8</v>
      </c>
      <c r="B410" s="5">
        <f t="shared" si="22"/>
        <v>2014</v>
      </c>
      <c r="C410" s="7">
        <v>41865</v>
      </c>
      <c r="D410" s="8">
        <v>6.18</v>
      </c>
      <c r="E410" s="8">
        <v>6.21</v>
      </c>
    </row>
    <row r="411" spans="1:5" x14ac:dyDescent="0.2">
      <c r="A411" s="5">
        <f t="shared" si="21"/>
        <v>8</v>
      </c>
      <c r="B411" s="5">
        <f t="shared" si="22"/>
        <v>2014</v>
      </c>
      <c r="C411" s="7">
        <v>41866</v>
      </c>
      <c r="D411" s="8">
        <v>6.16</v>
      </c>
      <c r="E411" s="8">
        <v>6.21</v>
      </c>
    </row>
    <row r="412" spans="1:5" x14ac:dyDescent="0.2">
      <c r="A412" s="5">
        <f t="shared" si="21"/>
        <v>8</v>
      </c>
      <c r="B412" s="5">
        <f t="shared" si="22"/>
        <v>2014</v>
      </c>
      <c r="C412" s="7">
        <v>41869</v>
      </c>
      <c r="D412" s="8">
        <v>6.15</v>
      </c>
      <c r="E412" s="8">
        <v>6.21</v>
      </c>
    </row>
    <row r="413" spans="1:5" x14ac:dyDescent="0.2">
      <c r="A413" s="5">
        <f t="shared" si="21"/>
        <v>8</v>
      </c>
      <c r="B413" s="5">
        <f t="shared" si="22"/>
        <v>2014</v>
      </c>
      <c r="C413" s="7">
        <v>41870</v>
      </c>
      <c r="D413" s="8">
        <v>6.16</v>
      </c>
      <c r="E413" s="8">
        <v>6.21</v>
      </c>
    </row>
    <row r="414" spans="1:5" x14ac:dyDescent="0.2">
      <c r="A414" s="5">
        <f t="shared" si="21"/>
        <v>8</v>
      </c>
      <c r="B414" s="5">
        <f t="shared" si="22"/>
        <v>2014</v>
      </c>
      <c r="C414" s="7">
        <v>41871</v>
      </c>
      <c r="D414" s="8">
        <v>6.16</v>
      </c>
      <c r="E414" s="8">
        <v>6.21</v>
      </c>
    </row>
    <row r="415" spans="1:5" x14ac:dyDescent="0.2">
      <c r="A415" s="5">
        <f t="shared" si="21"/>
        <v>8</v>
      </c>
      <c r="B415" s="5">
        <f t="shared" si="22"/>
        <v>2014</v>
      </c>
      <c r="C415" s="7">
        <v>41872</v>
      </c>
      <c r="D415" s="8">
        <v>6.16</v>
      </c>
      <c r="E415" s="8">
        <v>6.21</v>
      </c>
    </row>
    <row r="416" spans="1:5" x14ac:dyDescent="0.2">
      <c r="A416" s="5">
        <f t="shared" si="21"/>
        <v>8</v>
      </c>
      <c r="B416" s="5">
        <f t="shared" si="22"/>
        <v>2014</v>
      </c>
      <c r="C416" s="7">
        <v>41873</v>
      </c>
      <c r="D416" s="8">
        <v>6.16</v>
      </c>
      <c r="E416" s="8">
        <v>6.24</v>
      </c>
    </row>
    <row r="417" spans="1:5" x14ac:dyDescent="0.2">
      <c r="A417" s="5">
        <f t="shared" si="21"/>
        <v>8</v>
      </c>
      <c r="B417" s="5">
        <f t="shared" si="22"/>
        <v>2014</v>
      </c>
      <c r="C417" s="7">
        <v>41876</v>
      </c>
      <c r="D417" s="8">
        <v>6.17</v>
      </c>
      <c r="E417" s="8">
        <v>6.27</v>
      </c>
    </row>
    <row r="418" spans="1:5" x14ac:dyDescent="0.2">
      <c r="A418" s="5">
        <f t="shared" si="21"/>
        <v>8</v>
      </c>
      <c r="B418" s="5">
        <f t="shared" si="22"/>
        <v>2014</v>
      </c>
      <c r="C418" s="7">
        <v>41877</v>
      </c>
      <c r="D418" s="8">
        <v>6.17</v>
      </c>
      <c r="E418" s="8">
        <v>6.25</v>
      </c>
    </row>
    <row r="419" spans="1:5" x14ac:dyDescent="0.2">
      <c r="A419" s="5">
        <f t="shared" si="21"/>
        <v>8</v>
      </c>
      <c r="B419" s="5">
        <f t="shared" si="22"/>
        <v>2014</v>
      </c>
      <c r="C419" s="7">
        <v>41878</v>
      </c>
      <c r="D419" s="8">
        <v>6.18</v>
      </c>
      <c r="E419" s="8">
        <v>6.23</v>
      </c>
    </row>
    <row r="420" spans="1:5" x14ac:dyDescent="0.2">
      <c r="A420" s="5">
        <f t="shared" si="21"/>
        <v>8</v>
      </c>
      <c r="B420" s="5">
        <f t="shared" si="22"/>
        <v>2014</v>
      </c>
      <c r="C420" s="7">
        <v>41879</v>
      </c>
      <c r="D420" s="8">
        <v>6.18</v>
      </c>
      <c r="E420" s="8">
        <v>6.24</v>
      </c>
    </row>
    <row r="421" spans="1:5" x14ac:dyDescent="0.2">
      <c r="A421" s="5">
        <f t="shared" si="21"/>
        <v>8</v>
      </c>
      <c r="B421" s="5">
        <f t="shared" si="22"/>
        <v>2014</v>
      </c>
      <c r="C421" s="7">
        <v>41880</v>
      </c>
      <c r="D421" s="8">
        <v>6.18</v>
      </c>
      <c r="E421" s="8">
        <v>6.24</v>
      </c>
    </row>
    <row r="422" spans="1:5" x14ac:dyDescent="0.2">
      <c r="A422" s="5">
        <f t="shared" si="21"/>
        <v>9</v>
      </c>
      <c r="B422" s="5">
        <f t="shared" si="22"/>
        <v>2014</v>
      </c>
      <c r="C422" s="7">
        <v>41883</v>
      </c>
      <c r="D422" s="8">
        <v>6.17</v>
      </c>
      <c r="E422" s="8">
        <v>6.24</v>
      </c>
    </row>
    <row r="423" spans="1:5" x14ac:dyDescent="0.2">
      <c r="A423" s="5">
        <f t="shared" si="21"/>
        <v>9</v>
      </c>
      <c r="B423" s="5">
        <f t="shared" si="22"/>
        <v>2014</v>
      </c>
      <c r="C423" s="7">
        <v>41884</v>
      </c>
      <c r="D423" s="8">
        <v>6.17</v>
      </c>
      <c r="E423" s="8">
        <v>6.23</v>
      </c>
    </row>
    <row r="424" spans="1:5" x14ac:dyDescent="0.2">
      <c r="A424" s="5">
        <f t="shared" si="21"/>
        <v>9</v>
      </c>
      <c r="B424" s="5">
        <f t="shared" si="22"/>
        <v>2014</v>
      </c>
      <c r="C424" s="7">
        <v>41885</v>
      </c>
      <c r="D424" s="8">
        <v>6.17</v>
      </c>
      <c r="E424" s="8">
        <v>6.24</v>
      </c>
    </row>
    <row r="425" spans="1:5" x14ac:dyDescent="0.2">
      <c r="A425" s="5">
        <f t="shared" si="21"/>
        <v>9</v>
      </c>
      <c r="B425" s="5">
        <f t="shared" si="22"/>
        <v>2014</v>
      </c>
      <c r="C425" s="7">
        <v>41886</v>
      </c>
      <c r="D425" s="8">
        <v>6.17</v>
      </c>
      <c r="E425" s="8">
        <v>6.24</v>
      </c>
    </row>
    <row r="426" spans="1:5" x14ac:dyDescent="0.2">
      <c r="A426" s="5">
        <f t="shared" si="21"/>
        <v>9</v>
      </c>
      <c r="B426" s="5">
        <f t="shared" si="22"/>
        <v>2014</v>
      </c>
      <c r="C426" s="7">
        <v>41887</v>
      </c>
      <c r="D426" s="8">
        <v>6.24</v>
      </c>
      <c r="E426" s="8">
        <v>6.24</v>
      </c>
    </row>
    <row r="427" spans="1:5" x14ac:dyDescent="0.2">
      <c r="A427" s="5">
        <f t="shared" si="21"/>
        <v>9</v>
      </c>
      <c r="B427" s="5">
        <f t="shared" si="22"/>
        <v>2014</v>
      </c>
      <c r="C427" s="7">
        <v>41890</v>
      </c>
      <c r="D427" s="8">
        <v>6.28</v>
      </c>
      <c r="E427" s="8">
        <v>6.29</v>
      </c>
    </row>
    <row r="428" spans="1:5" x14ac:dyDescent="0.2">
      <c r="A428" s="5">
        <f t="shared" si="21"/>
        <v>9</v>
      </c>
      <c r="B428" s="5">
        <f t="shared" si="22"/>
        <v>2014</v>
      </c>
      <c r="C428" s="7">
        <v>41891</v>
      </c>
      <c r="D428" s="8">
        <v>6.29</v>
      </c>
      <c r="E428" s="8">
        <v>6.29</v>
      </c>
    </row>
    <row r="429" spans="1:5" x14ac:dyDescent="0.2">
      <c r="A429" s="5">
        <f t="shared" si="21"/>
        <v>9</v>
      </c>
      <c r="B429" s="5">
        <f t="shared" si="22"/>
        <v>2014</v>
      </c>
      <c r="C429" s="7">
        <v>41892</v>
      </c>
      <c r="D429" s="8">
        <v>6.29</v>
      </c>
      <c r="E429" s="8">
        <v>6.29</v>
      </c>
    </row>
    <row r="430" spans="1:5" x14ac:dyDescent="0.2">
      <c r="A430" s="5">
        <f t="shared" si="21"/>
        <v>9</v>
      </c>
      <c r="B430" s="5">
        <f t="shared" si="22"/>
        <v>2014</v>
      </c>
      <c r="C430" s="7">
        <v>41893</v>
      </c>
      <c r="D430" s="8">
        <v>6.29</v>
      </c>
      <c r="E430" s="8">
        <v>6.28</v>
      </c>
    </row>
    <row r="431" spans="1:5" x14ac:dyDescent="0.2">
      <c r="A431" s="5">
        <f t="shared" si="21"/>
        <v>9</v>
      </c>
      <c r="B431" s="5">
        <f t="shared" si="22"/>
        <v>2014</v>
      </c>
      <c r="C431" s="7">
        <v>41894</v>
      </c>
      <c r="D431" s="8">
        <v>6.29</v>
      </c>
      <c r="E431" s="8">
        <v>6.28</v>
      </c>
    </row>
    <row r="432" spans="1:5" x14ac:dyDescent="0.2">
      <c r="A432" s="5">
        <f t="shared" si="21"/>
        <v>9</v>
      </c>
      <c r="B432" s="5">
        <f t="shared" si="22"/>
        <v>2014</v>
      </c>
      <c r="C432" s="7">
        <v>41897</v>
      </c>
      <c r="D432" s="8">
        <v>6.29</v>
      </c>
      <c r="E432" s="8">
        <v>6.28</v>
      </c>
    </row>
    <row r="433" spans="1:5" x14ac:dyDescent="0.2">
      <c r="A433" s="5">
        <f t="shared" si="21"/>
        <v>9</v>
      </c>
      <c r="B433" s="5">
        <f t="shared" si="22"/>
        <v>2014</v>
      </c>
      <c r="C433" s="7">
        <v>41898</v>
      </c>
      <c r="D433" s="8">
        <v>6.3</v>
      </c>
      <c r="E433" s="8">
        <v>6.3</v>
      </c>
    </row>
    <row r="434" spans="1:5" x14ac:dyDescent="0.2">
      <c r="A434" s="5">
        <f t="shared" si="21"/>
        <v>9</v>
      </c>
      <c r="B434" s="5">
        <f t="shared" si="22"/>
        <v>2014</v>
      </c>
      <c r="C434" s="7">
        <v>41899</v>
      </c>
      <c r="D434" s="8">
        <v>6.3</v>
      </c>
      <c r="E434" s="8">
        <v>6.3</v>
      </c>
    </row>
    <row r="435" spans="1:5" x14ac:dyDescent="0.2">
      <c r="A435" s="5">
        <f t="shared" si="21"/>
        <v>9</v>
      </c>
      <c r="B435" s="5">
        <f t="shared" si="22"/>
        <v>2014</v>
      </c>
      <c r="C435" s="7">
        <v>41900</v>
      </c>
      <c r="D435" s="8">
        <v>6.32</v>
      </c>
      <c r="E435" s="8">
        <v>6.32</v>
      </c>
    </row>
    <row r="436" spans="1:5" x14ac:dyDescent="0.2">
      <c r="A436" s="5">
        <f t="shared" si="21"/>
        <v>9</v>
      </c>
      <c r="B436" s="5">
        <f t="shared" si="22"/>
        <v>2014</v>
      </c>
      <c r="C436" s="7">
        <v>41901</v>
      </c>
      <c r="D436" s="8">
        <v>6.32</v>
      </c>
      <c r="E436" s="8">
        <v>6.32</v>
      </c>
    </row>
    <row r="437" spans="1:5" x14ac:dyDescent="0.2">
      <c r="A437" s="5">
        <f t="shared" si="21"/>
        <v>9</v>
      </c>
      <c r="B437" s="5">
        <f t="shared" si="22"/>
        <v>2014</v>
      </c>
      <c r="C437" s="7">
        <v>41904</v>
      </c>
      <c r="D437" s="8">
        <v>6.32</v>
      </c>
      <c r="E437" s="8">
        <v>6.32</v>
      </c>
    </row>
    <row r="438" spans="1:5" x14ac:dyDescent="0.2">
      <c r="A438" s="5">
        <f t="shared" si="21"/>
        <v>9</v>
      </c>
      <c r="B438" s="5">
        <f t="shared" si="22"/>
        <v>2014</v>
      </c>
      <c r="C438" s="7">
        <v>41905</v>
      </c>
      <c r="D438" s="8">
        <v>6.32</v>
      </c>
      <c r="E438" s="8">
        <v>6.32</v>
      </c>
    </row>
    <row r="439" spans="1:5" x14ac:dyDescent="0.2">
      <c r="A439" s="5">
        <f t="shared" si="21"/>
        <v>9</v>
      </c>
      <c r="B439" s="5">
        <f t="shared" si="22"/>
        <v>2014</v>
      </c>
      <c r="C439" s="7">
        <v>41906</v>
      </c>
      <c r="D439" s="8">
        <v>6.32</v>
      </c>
      <c r="E439" s="8">
        <v>6.32</v>
      </c>
    </row>
    <row r="440" spans="1:5" x14ac:dyDescent="0.2">
      <c r="A440" s="5">
        <f t="shared" si="21"/>
        <v>9</v>
      </c>
      <c r="B440" s="5">
        <f t="shared" si="22"/>
        <v>2014</v>
      </c>
      <c r="C440" s="7">
        <v>41907</v>
      </c>
      <c r="D440" s="8">
        <v>6.34</v>
      </c>
      <c r="E440" s="8">
        <v>6.33</v>
      </c>
    </row>
    <row r="441" spans="1:5" x14ac:dyDescent="0.2">
      <c r="A441" s="5">
        <f t="shared" si="21"/>
        <v>9</v>
      </c>
      <c r="B441" s="5">
        <f t="shared" si="22"/>
        <v>2014</v>
      </c>
      <c r="C441" s="7">
        <v>41908</v>
      </c>
      <c r="D441" s="8">
        <v>6.34</v>
      </c>
      <c r="E441" s="8">
        <v>6.33</v>
      </c>
    </row>
    <row r="442" spans="1:5" x14ac:dyDescent="0.2">
      <c r="A442" s="5">
        <f t="shared" si="21"/>
        <v>9</v>
      </c>
      <c r="B442" s="5">
        <f t="shared" si="22"/>
        <v>2014</v>
      </c>
      <c r="C442" s="7">
        <v>41911</v>
      </c>
      <c r="D442" s="8">
        <v>6.34</v>
      </c>
      <c r="E442" s="8">
        <v>6.33</v>
      </c>
    </row>
    <row r="443" spans="1:5" x14ac:dyDescent="0.2">
      <c r="A443" s="5">
        <f t="shared" si="21"/>
        <v>9</v>
      </c>
      <c r="B443" s="5">
        <f t="shared" si="22"/>
        <v>2014</v>
      </c>
      <c r="C443" s="7">
        <v>41912</v>
      </c>
      <c r="D443" s="8">
        <v>6.34</v>
      </c>
      <c r="E443" s="8">
        <v>6.33</v>
      </c>
    </row>
    <row r="444" spans="1:5" x14ac:dyDescent="0.2">
      <c r="A444" s="5">
        <f t="shared" si="21"/>
        <v>10</v>
      </c>
      <c r="B444" s="5">
        <f t="shared" si="22"/>
        <v>2014</v>
      </c>
      <c r="C444" s="7">
        <v>41913</v>
      </c>
      <c r="D444" s="8">
        <v>6.37</v>
      </c>
      <c r="E444" s="8">
        <v>6.38</v>
      </c>
    </row>
    <row r="445" spans="1:5" x14ac:dyDescent="0.2">
      <c r="A445" s="5">
        <f t="shared" si="21"/>
        <v>10</v>
      </c>
      <c r="B445" s="5">
        <f t="shared" si="22"/>
        <v>2014</v>
      </c>
      <c r="C445" s="7">
        <v>41914</v>
      </c>
      <c r="D445" s="8">
        <v>6.38</v>
      </c>
      <c r="E445" s="8">
        <v>6.38</v>
      </c>
    </row>
    <row r="446" spans="1:5" x14ac:dyDescent="0.2">
      <c r="A446" s="5">
        <f t="shared" si="21"/>
        <v>10</v>
      </c>
      <c r="B446" s="5">
        <f t="shared" si="22"/>
        <v>2014</v>
      </c>
      <c r="C446" s="7">
        <v>41915</v>
      </c>
      <c r="D446" s="8">
        <v>6.38</v>
      </c>
      <c r="E446" s="8">
        <v>6.38</v>
      </c>
    </row>
    <row r="447" spans="1:5" x14ac:dyDescent="0.2">
      <c r="A447" s="5">
        <f t="shared" si="21"/>
        <v>10</v>
      </c>
      <c r="B447" s="5">
        <f t="shared" si="22"/>
        <v>2014</v>
      </c>
      <c r="C447" s="7">
        <v>41918</v>
      </c>
      <c r="D447" s="8">
        <v>6.38</v>
      </c>
      <c r="E447" s="8">
        <v>6.37</v>
      </c>
    </row>
    <row r="448" spans="1:5" x14ac:dyDescent="0.2">
      <c r="A448" s="5">
        <f t="shared" si="21"/>
        <v>10</v>
      </c>
      <c r="B448" s="5">
        <f t="shared" si="22"/>
        <v>2014</v>
      </c>
      <c r="C448" s="7">
        <v>41919</v>
      </c>
      <c r="D448" s="8">
        <v>6.38</v>
      </c>
      <c r="E448" s="8">
        <v>6.38</v>
      </c>
    </row>
    <row r="449" spans="1:5" x14ac:dyDescent="0.2">
      <c r="A449" s="5">
        <f t="shared" si="21"/>
        <v>10</v>
      </c>
      <c r="B449" s="5">
        <f t="shared" si="22"/>
        <v>2014</v>
      </c>
      <c r="C449" s="7">
        <v>41920</v>
      </c>
      <c r="D449" s="8">
        <v>6.38</v>
      </c>
      <c r="E449" s="8">
        <v>6.38</v>
      </c>
    </row>
    <row r="450" spans="1:5" x14ac:dyDescent="0.2">
      <c r="A450" s="5">
        <f t="shared" si="21"/>
        <v>10</v>
      </c>
      <c r="B450" s="5">
        <f t="shared" si="22"/>
        <v>2014</v>
      </c>
      <c r="C450" s="7">
        <v>41921</v>
      </c>
      <c r="D450" s="8">
        <v>6.38</v>
      </c>
      <c r="E450" s="8">
        <v>6.38</v>
      </c>
    </row>
    <row r="451" spans="1:5" x14ac:dyDescent="0.2">
      <c r="A451" s="5">
        <f t="shared" si="21"/>
        <v>10</v>
      </c>
      <c r="B451" s="5">
        <f t="shared" si="22"/>
        <v>2014</v>
      </c>
      <c r="C451" s="7">
        <v>41922</v>
      </c>
      <c r="D451" s="8">
        <v>6.38</v>
      </c>
      <c r="E451" s="8">
        <v>6.38</v>
      </c>
    </row>
    <row r="452" spans="1:5" x14ac:dyDescent="0.2">
      <c r="A452" s="5">
        <f t="shared" ref="A452:A515" si="23">MONTH(C452)</f>
        <v>10</v>
      </c>
      <c r="B452" s="5">
        <f t="shared" ref="B452:B515" si="24">YEAR(C452)</f>
        <v>2014</v>
      </c>
      <c r="C452" s="7">
        <v>41925</v>
      </c>
      <c r="D452" s="8">
        <v>6.38</v>
      </c>
      <c r="E452" s="8">
        <v>6.37</v>
      </c>
    </row>
    <row r="453" spans="1:5" x14ac:dyDescent="0.2">
      <c r="A453" s="5">
        <f t="shared" si="23"/>
        <v>10</v>
      </c>
      <c r="B453" s="5">
        <f t="shared" si="24"/>
        <v>2014</v>
      </c>
      <c r="C453" s="7">
        <v>41926</v>
      </c>
      <c r="D453" s="8">
        <v>6.38</v>
      </c>
      <c r="E453" s="8">
        <v>6.38</v>
      </c>
    </row>
    <row r="454" spans="1:5" x14ac:dyDescent="0.2">
      <c r="A454" s="5">
        <f t="shared" si="23"/>
        <v>10</v>
      </c>
      <c r="B454" s="5">
        <f t="shared" si="24"/>
        <v>2014</v>
      </c>
      <c r="C454" s="7">
        <v>41927</v>
      </c>
      <c r="D454" s="8">
        <v>6.38</v>
      </c>
      <c r="E454" s="8">
        <v>6.38</v>
      </c>
    </row>
    <row r="455" spans="1:5" x14ac:dyDescent="0.2">
      <c r="A455" s="5">
        <f t="shared" si="23"/>
        <v>10</v>
      </c>
      <c r="B455" s="5">
        <f t="shared" si="24"/>
        <v>2014</v>
      </c>
      <c r="C455" s="7">
        <v>41928</v>
      </c>
      <c r="D455" s="8">
        <v>6.38</v>
      </c>
      <c r="E455" s="8">
        <v>6.37</v>
      </c>
    </row>
    <row r="456" spans="1:5" x14ac:dyDescent="0.2">
      <c r="A456" s="5">
        <f t="shared" si="23"/>
        <v>10</v>
      </c>
      <c r="B456" s="5">
        <f t="shared" si="24"/>
        <v>2014</v>
      </c>
      <c r="C456" s="7">
        <v>41929</v>
      </c>
      <c r="D456" s="8">
        <v>6.38</v>
      </c>
      <c r="E456" s="8">
        <v>6.37</v>
      </c>
    </row>
    <row r="457" spans="1:5" x14ac:dyDescent="0.2">
      <c r="A457" s="5">
        <f t="shared" si="23"/>
        <v>10</v>
      </c>
      <c r="B457" s="5">
        <f t="shared" si="24"/>
        <v>2014</v>
      </c>
      <c r="C457" s="7">
        <v>41932</v>
      </c>
      <c r="D457" s="8">
        <v>6.38</v>
      </c>
      <c r="E457" s="8">
        <v>6.36</v>
      </c>
    </row>
    <row r="458" spans="1:5" x14ac:dyDescent="0.2">
      <c r="A458" s="5">
        <f t="shared" si="23"/>
        <v>10</v>
      </c>
      <c r="B458" s="5">
        <f t="shared" si="24"/>
        <v>2014</v>
      </c>
      <c r="C458" s="7">
        <v>41933</v>
      </c>
      <c r="D458" s="8">
        <v>6.38</v>
      </c>
      <c r="E458" s="8">
        <v>6.38</v>
      </c>
    </row>
    <row r="459" spans="1:5" x14ac:dyDescent="0.2">
      <c r="A459" s="5">
        <f t="shared" si="23"/>
        <v>10</v>
      </c>
      <c r="B459" s="5">
        <f t="shared" si="24"/>
        <v>2014</v>
      </c>
      <c r="C459" s="7">
        <v>41934</v>
      </c>
      <c r="D459" s="8">
        <v>6.38</v>
      </c>
      <c r="E459" s="8">
        <v>6.37</v>
      </c>
    </row>
    <row r="460" spans="1:5" x14ac:dyDescent="0.2">
      <c r="A460" s="5">
        <f t="shared" si="23"/>
        <v>10</v>
      </c>
      <c r="B460" s="5">
        <f t="shared" si="24"/>
        <v>2014</v>
      </c>
      <c r="C460" s="7">
        <v>41935</v>
      </c>
      <c r="D460" s="8">
        <v>6.38</v>
      </c>
      <c r="E460" s="8">
        <v>6.37</v>
      </c>
    </row>
    <row r="461" spans="1:5" x14ac:dyDescent="0.2">
      <c r="A461" s="5">
        <f t="shared" si="23"/>
        <v>10</v>
      </c>
      <c r="B461" s="5">
        <f t="shared" si="24"/>
        <v>2014</v>
      </c>
      <c r="C461" s="7">
        <v>41936</v>
      </c>
      <c r="D461" s="8">
        <v>6.38</v>
      </c>
      <c r="E461" s="8">
        <v>6.37</v>
      </c>
    </row>
    <row r="462" spans="1:5" x14ac:dyDescent="0.2">
      <c r="A462" s="5">
        <f t="shared" si="23"/>
        <v>10</v>
      </c>
      <c r="B462" s="5">
        <f t="shared" si="24"/>
        <v>2014</v>
      </c>
      <c r="C462" s="7">
        <v>41939</v>
      </c>
      <c r="D462" s="8">
        <v>6.38</v>
      </c>
      <c r="E462" s="8">
        <v>6.38</v>
      </c>
    </row>
    <row r="463" spans="1:5" x14ac:dyDescent="0.2">
      <c r="A463" s="5">
        <f t="shared" si="23"/>
        <v>10</v>
      </c>
      <c r="B463" s="5">
        <f t="shared" si="24"/>
        <v>2014</v>
      </c>
      <c r="C463" s="7">
        <v>41940</v>
      </c>
      <c r="D463" s="8">
        <v>6.38</v>
      </c>
      <c r="E463" s="8">
        <v>6.37</v>
      </c>
    </row>
    <row r="464" spans="1:5" x14ac:dyDescent="0.2">
      <c r="A464" s="5">
        <f t="shared" si="23"/>
        <v>10</v>
      </c>
      <c r="B464" s="5">
        <f t="shared" si="24"/>
        <v>2014</v>
      </c>
      <c r="C464" s="7">
        <v>41941</v>
      </c>
      <c r="D464" s="8">
        <v>6.38</v>
      </c>
      <c r="E464" s="8">
        <v>6.35</v>
      </c>
    </row>
    <row r="465" spans="1:5" x14ac:dyDescent="0.2">
      <c r="A465" s="5">
        <f t="shared" si="23"/>
        <v>10</v>
      </c>
      <c r="B465" s="5">
        <f t="shared" si="24"/>
        <v>2014</v>
      </c>
      <c r="C465" s="7">
        <v>41942</v>
      </c>
      <c r="D465" s="8">
        <v>6.38</v>
      </c>
      <c r="E465" s="8">
        <v>6.37</v>
      </c>
    </row>
    <row r="466" spans="1:5" x14ac:dyDescent="0.2">
      <c r="A466" s="5">
        <f t="shared" si="23"/>
        <v>10</v>
      </c>
      <c r="B466" s="5">
        <f t="shared" si="24"/>
        <v>2014</v>
      </c>
      <c r="C466" s="7">
        <v>41943</v>
      </c>
      <c r="D466" s="8">
        <v>6.38</v>
      </c>
      <c r="E466" s="8">
        <v>6.38</v>
      </c>
    </row>
    <row r="467" spans="1:5" x14ac:dyDescent="0.2">
      <c r="A467" s="5">
        <f t="shared" si="23"/>
        <v>11</v>
      </c>
      <c r="B467" s="5">
        <f t="shared" si="24"/>
        <v>2014</v>
      </c>
      <c r="C467" s="7">
        <v>41946</v>
      </c>
      <c r="D467" s="8">
        <v>6.38</v>
      </c>
      <c r="E467" s="8">
        <v>6.37</v>
      </c>
    </row>
    <row r="468" spans="1:5" x14ac:dyDescent="0.2">
      <c r="A468" s="5">
        <f t="shared" si="23"/>
        <v>11</v>
      </c>
      <c r="B468" s="5">
        <f t="shared" si="24"/>
        <v>2014</v>
      </c>
      <c r="C468" s="7">
        <v>41947</v>
      </c>
      <c r="D468" s="8">
        <v>6.39</v>
      </c>
      <c r="E468" s="8">
        <v>6.38</v>
      </c>
    </row>
    <row r="469" spans="1:5" x14ac:dyDescent="0.2">
      <c r="A469" s="5">
        <f t="shared" si="23"/>
        <v>11</v>
      </c>
      <c r="B469" s="5">
        <f t="shared" si="24"/>
        <v>2014</v>
      </c>
      <c r="C469" s="7">
        <v>41948</v>
      </c>
      <c r="D469" s="8">
        <v>6.39</v>
      </c>
      <c r="E469" s="8">
        <v>6.38</v>
      </c>
    </row>
    <row r="470" spans="1:5" x14ac:dyDescent="0.2">
      <c r="A470" s="5">
        <f t="shared" si="23"/>
        <v>11</v>
      </c>
      <c r="B470" s="5">
        <f t="shared" si="24"/>
        <v>2014</v>
      </c>
      <c r="C470" s="7">
        <v>41949</v>
      </c>
      <c r="D470" s="8">
        <v>6.39</v>
      </c>
      <c r="E470" s="8">
        <v>6.38</v>
      </c>
    </row>
    <row r="471" spans="1:5" x14ac:dyDescent="0.2">
      <c r="A471" s="5">
        <f t="shared" si="23"/>
        <v>11</v>
      </c>
      <c r="B471" s="5">
        <f t="shared" si="24"/>
        <v>2014</v>
      </c>
      <c r="C471" s="7">
        <v>41950</v>
      </c>
      <c r="D471" s="8">
        <v>6.41</v>
      </c>
      <c r="E471" s="8">
        <v>6.42</v>
      </c>
    </row>
    <row r="472" spans="1:5" x14ac:dyDescent="0.2">
      <c r="A472" s="5">
        <f t="shared" si="23"/>
        <v>11</v>
      </c>
      <c r="B472" s="5">
        <f t="shared" si="24"/>
        <v>2014</v>
      </c>
      <c r="C472" s="7">
        <v>41953</v>
      </c>
      <c r="D472" s="8">
        <v>6.43</v>
      </c>
      <c r="E472" s="8">
        <v>6.43</v>
      </c>
    </row>
    <row r="473" spans="1:5" x14ac:dyDescent="0.2">
      <c r="A473" s="5">
        <f t="shared" si="23"/>
        <v>11</v>
      </c>
      <c r="B473" s="5">
        <f t="shared" si="24"/>
        <v>2014</v>
      </c>
      <c r="C473" s="7">
        <v>41954</v>
      </c>
      <c r="D473" s="8">
        <v>6.44</v>
      </c>
      <c r="E473" s="8">
        <v>6.43</v>
      </c>
    </row>
    <row r="474" spans="1:5" x14ac:dyDescent="0.2">
      <c r="A474" s="5">
        <f t="shared" si="23"/>
        <v>11</v>
      </c>
      <c r="B474" s="5">
        <f t="shared" si="24"/>
        <v>2014</v>
      </c>
      <c r="C474" s="7">
        <v>41955</v>
      </c>
      <c r="D474" s="8">
        <v>6.43</v>
      </c>
      <c r="E474" s="8">
        <v>6.43</v>
      </c>
    </row>
    <row r="475" spans="1:5" x14ac:dyDescent="0.2">
      <c r="A475" s="5">
        <f t="shared" si="23"/>
        <v>11</v>
      </c>
      <c r="B475" s="5">
        <f t="shared" si="24"/>
        <v>2014</v>
      </c>
      <c r="C475" s="7">
        <v>41956</v>
      </c>
      <c r="D475" s="8">
        <v>6.43</v>
      </c>
      <c r="E475" s="8">
        <v>6.43</v>
      </c>
    </row>
    <row r="476" spans="1:5" x14ac:dyDescent="0.2">
      <c r="A476" s="5">
        <f t="shared" si="23"/>
        <v>11</v>
      </c>
      <c r="B476" s="5">
        <f t="shared" si="24"/>
        <v>2014</v>
      </c>
      <c r="C476" s="7">
        <v>41957</v>
      </c>
      <c r="D476" s="8">
        <v>6.43</v>
      </c>
      <c r="E476" s="8">
        <v>6.44</v>
      </c>
    </row>
    <row r="477" spans="1:5" x14ac:dyDescent="0.2">
      <c r="A477" s="5">
        <f t="shared" si="23"/>
        <v>11</v>
      </c>
      <c r="B477" s="5">
        <f t="shared" si="24"/>
        <v>2014</v>
      </c>
      <c r="C477" s="7">
        <v>41960</v>
      </c>
      <c r="D477" s="8">
        <v>6.45</v>
      </c>
      <c r="E477" s="8">
        <v>6.46</v>
      </c>
    </row>
    <row r="478" spans="1:5" x14ac:dyDescent="0.2">
      <c r="A478" s="5">
        <f t="shared" si="23"/>
        <v>11</v>
      </c>
      <c r="B478" s="5">
        <f t="shared" si="24"/>
        <v>2014</v>
      </c>
      <c r="C478" s="7">
        <v>41961</v>
      </c>
      <c r="D478" s="8">
        <v>6.55</v>
      </c>
      <c r="E478" s="8">
        <v>6.53</v>
      </c>
    </row>
    <row r="479" spans="1:5" x14ac:dyDescent="0.2">
      <c r="A479" s="5">
        <f t="shared" si="23"/>
        <v>11</v>
      </c>
      <c r="B479" s="5">
        <f t="shared" si="24"/>
        <v>2014</v>
      </c>
      <c r="C479" s="7">
        <v>41962</v>
      </c>
      <c r="D479" s="8">
        <v>6.55</v>
      </c>
      <c r="E479" s="8">
        <v>6.53</v>
      </c>
    </row>
    <row r="480" spans="1:5" x14ac:dyDescent="0.2">
      <c r="A480" s="5">
        <f t="shared" si="23"/>
        <v>11</v>
      </c>
      <c r="B480" s="5">
        <f t="shared" si="24"/>
        <v>2014</v>
      </c>
      <c r="C480" s="7">
        <v>41963</v>
      </c>
      <c r="D480" s="8">
        <v>6.55</v>
      </c>
      <c r="E480" s="8">
        <v>6.53</v>
      </c>
    </row>
    <row r="481" spans="1:5" x14ac:dyDescent="0.2">
      <c r="A481" s="5">
        <f t="shared" si="23"/>
        <v>11</v>
      </c>
      <c r="B481" s="5">
        <f t="shared" si="24"/>
        <v>2014</v>
      </c>
      <c r="C481" s="7">
        <v>41964</v>
      </c>
      <c r="D481" s="8">
        <v>6.56</v>
      </c>
      <c r="E481" s="8">
        <v>6.55</v>
      </c>
    </row>
    <row r="482" spans="1:5" x14ac:dyDescent="0.2">
      <c r="A482" s="5">
        <f t="shared" si="23"/>
        <v>11</v>
      </c>
      <c r="B482" s="5">
        <f t="shared" si="24"/>
        <v>2014</v>
      </c>
      <c r="C482" s="7">
        <v>41967</v>
      </c>
      <c r="D482" s="8">
        <v>6.56</v>
      </c>
      <c r="E482" s="8">
        <v>6.55</v>
      </c>
    </row>
    <row r="483" spans="1:5" x14ac:dyDescent="0.2">
      <c r="A483" s="5">
        <f t="shared" si="23"/>
        <v>11</v>
      </c>
      <c r="B483" s="5">
        <f t="shared" si="24"/>
        <v>2014</v>
      </c>
      <c r="C483" s="7">
        <v>41968</v>
      </c>
      <c r="D483" s="8">
        <v>6.56</v>
      </c>
      <c r="E483" s="8">
        <v>6.55</v>
      </c>
    </row>
    <row r="484" spans="1:5" x14ac:dyDescent="0.2">
      <c r="A484" s="5">
        <f t="shared" si="23"/>
        <v>11</v>
      </c>
      <c r="B484" s="5">
        <f t="shared" si="24"/>
        <v>2014</v>
      </c>
      <c r="C484" s="7">
        <v>41969</v>
      </c>
      <c r="D484" s="8">
        <v>6.57</v>
      </c>
      <c r="E484" s="8">
        <v>6.58</v>
      </c>
    </row>
    <row r="485" spans="1:5" x14ac:dyDescent="0.2">
      <c r="A485" s="5">
        <f t="shared" si="23"/>
        <v>11</v>
      </c>
      <c r="B485" s="5">
        <f t="shared" si="24"/>
        <v>2014</v>
      </c>
      <c r="C485" s="7">
        <v>41970</v>
      </c>
      <c r="D485" s="8">
        <v>6.57</v>
      </c>
      <c r="E485" s="8">
        <v>6.58</v>
      </c>
    </row>
    <row r="486" spans="1:5" x14ac:dyDescent="0.2">
      <c r="A486" s="5">
        <f t="shared" si="23"/>
        <v>11</v>
      </c>
      <c r="B486" s="5">
        <f t="shared" si="24"/>
        <v>2014</v>
      </c>
      <c r="C486" s="7">
        <v>41971</v>
      </c>
      <c r="D486" s="8">
        <v>6.57</v>
      </c>
      <c r="E486" s="8">
        <v>6.57</v>
      </c>
    </row>
    <row r="487" spans="1:5" x14ac:dyDescent="0.2">
      <c r="A487" s="5">
        <f t="shared" si="23"/>
        <v>12</v>
      </c>
      <c r="B487" s="5">
        <f t="shared" si="24"/>
        <v>2014</v>
      </c>
      <c r="C487" s="7">
        <v>41974</v>
      </c>
      <c r="D487" s="8">
        <v>6.57</v>
      </c>
      <c r="E487" s="8">
        <v>6.58</v>
      </c>
    </row>
    <row r="488" spans="1:5" x14ac:dyDescent="0.2">
      <c r="A488" s="5">
        <f t="shared" si="23"/>
        <v>12</v>
      </c>
      <c r="B488" s="5">
        <f t="shared" si="24"/>
        <v>2014</v>
      </c>
      <c r="C488" s="7">
        <v>41975</v>
      </c>
      <c r="D488" s="8">
        <v>6.59</v>
      </c>
      <c r="E488" s="8">
        <v>6.59</v>
      </c>
    </row>
    <row r="489" spans="1:5" x14ac:dyDescent="0.2">
      <c r="A489" s="5">
        <f t="shared" si="23"/>
        <v>12</v>
      </c>
      <c r="B489" s="5">
        <f t="shared" si="24"/>
        <v>2014</v>
      </c>
      <c r="C489" s="7">
        <v>41976</v>
      </c>
      <c r="D489" s="8">
        <v>6.58</v>
      </c>
      <c r="E489" s="8">
        <v>6.59</v>
      </c>
    </row>
    <row r="490" spans="1:5" x14ac:dyDescent="0.2">
      <c r="A490" s="5">
        <f t="shared" si="23"/>
        <v>12</v>
      </c>
      <c r="B490" s="5">
        <f t="shared" si="24"/>
        <v>2014</v>
      </c>
      <c r="C490" s="7">
        <v>41977</v>
      </c>
      <c r="D490" s="8">
        <v>6.6</v>
      </c>
      <c r="E490" s="8">
        <v>6.6</v>
      </c>
    </row>
    <row r="491" spans="1:5" x14ac:dyDescent="0.2">
      <c r="A491" s="5">
        <f t="shared" si="23"/>
        <v>12</v>
      </c>
      <c r="B491" s="5">
        <f t="shared" si="24"/>
        <v>2014</v>
      </c>
      <c r="C491" s="7">
        <v>41978</v>
      </c>
      <c r="D491" s="8">
        <v>6.63</v>
      </c>
      <c r="E491" s="8">
        <v>6.63</v>
      </c>
    </row>
    <row r="492" spans="1:5" x14ac:dyDescent="0.2">
      <c r="A492" s="5">
        <f t="shared" si="23"/>
        <v>12</v>
      </c>
      <c r="B492" s="5">
        <f t="shared" si="24"/>
        <v>2014</v>
      </c>
      <c r="C492" s="7">
        <v>41981</v>
      </c>
      <c r="D492" s="8">
        <v>6.64</v>
      </c>
      <c r="E492" s="8">
        <v>6.64</v>
      </c>
    </row>
    <row r="493" spans="1:5" x14ac:dyDescent="0.2">
      <c r="A493" s="5">
        <f t="shared" si="23"/>
        <v>12</v>
      </c>
      <c r="B493" s="5">
        <f t="shared" si="24"/>
        <v>2014</v>
      </c>
      <c r="C493" s="7">
        <v>41982</v>
      </c>
      <c r="D493" s="8">
        <v>6.64</v>
      </c>
      <c r="E493" s="8">
        <v>6.63</v>
      </c>
    </row>
    <row r="494" spans="1:5" x14ac:dyDescent="0.2">
      <c r="A494" s="5">
        <f t="shared" si="23"/>
        <v>12</v>
      </c>
      <c r="B494" s="5">
        <f t="shared" si="24"/>
        <v>2014</v>
      </c>
      <c r="C494" s="7">
        <v>41983</v>
      </c>
      <c r="D494" s="8">
        <v>6.64</v>
      </c>
      <c r="E494" s="8">
        <v>6.63</v>
      </c>
    </row>
    <row r="495" spans="1:5" x14ac:dyDescent="0.2">
      <c r="A495" s="5">
        <f t="shared" si="23"/>
        <v>12</v>
      </c>
      <c r="B495" s="5">
        <f t="shared" si="24"/>
        <v>2014</v>
      </c>
      <c r="C495" s="7">
        <v>41984</v>
      </c>
      <c r="D495" s="8">
        <v>6.67</v>
      </c>
      <c r="E495" s="8">
        <v>6.65</v>
      </c>
    </row>
    <row r="496" spans="1:5" x14ac:dyDescent="0.2">
      <c r="A496" s="5">
        <f t="shared" si="23"/>
        <v>12</v>
      </c>
      <c r="B496" s="5">
        <f t="shared" si="24"/>
        <v>2014</v>
      </c>
      <c r="C496" s="7">
        <v>41985</v>
      </c>
      <c r="D496" s="8">
        <v>6.65</v>
      </c>
      <c r="E496" s="8">
        <v>6.62</v>
      </c>
    </row>
    <row r="497" spans="1:5" x14ac:dyDescent="0.2">
      <c r="A497" s="5">
        <f t="shared" si="23"/>
        <v>12</v>
      </c>
      <c r="B497" s="5">
        <f t="shared" si="24"/>
        <v>2014</v>
      </c>
      <c r="C497" s="7">
        <v>41988</v>
      </c>
      <c r="D497" s="8">
        <v>6.66</v>
      </c>
      <c r="E497" s="8">
        <v>6.62</v>
      </c>
    </row>
    <row r="498" spans="1:5" x14ac:dyDescent="0.2">
      <c r="A498" s="5">
        <f t="shared" si="23"/>
        <v>12</v>
      </c>
      <c r="B498" s="5">
        <f t="shared" si="24"/>
        <v>2014</v>
      </c>
      <c r="C498" s="7">
        <v>41989</v>
      </c>
      <c r="D498" s="8">
        <v>6.66</v>
      </c>
      <c r="E498" s="8">
        <v>6.62</v>
      </c>
    </row>
    <row r="499" spans="1:5" x14ac:dyDescent="0.2">
      <c r="A499" s="5">
        <f t="shared" si="23"/>
        <v>12</v>
      </c>
      <c r="B499" s="5">
        <f t="shared" si="24"/>
        <v>2014</v>
      </c>
      <c r="C499" s="7">
        <v>41990</v>
      </c>
      <c r="D499" s="8">
        <v>6.67</v>
      </c>
      <c r="E499" s="8">
        <v>6.62</v>
      </c>
    </row>
    <row r="500" spans="1:5" x14ac:dyDescent="0.2">
      <c r="A500" s="5">
        <f t="shared" si="23"/>
        <v>12</v>
      </c>
      <c r="B500" s="5">
        <f t="shared" si="24"/>
        <v>2014</v>
      </c>
      <c r="C500" s="7">
        <v>41991</v>
      </c>
      <c r="D500" s="8">
        <v>6.68</v>
      </c>
      <c r="E500" s="8">
        <v>6.62</v>
      </c>
    </row>
    <row r="501" spans="1:5" x14ac:dyDescent="0.2">
      <c r="A501" s="5">
        <f t="shared" si="23"/>
        <v>12</v>
      </c>
      <c r="B501" s="5">
        <f t="shared" si="24"/>
        <v>2014</v>
      </c>
      <c r="C501" s="7">
        <v>41992</v>
      </c>
      <c r="D501" s="8">
        <v>6.67</v>
      </c>
      <c r="E501" s="8">
        <v>6.62</v>
      </c>
    </row>
    <row r="502" spans="1:5" x14ac:dyDescent="0.2">
      <c r="A502" s="5">
        <f t="shared" si="23"/>
        <v>12</v>
      </c>
      <c r="B502" s="5">
        <f t="shared" si="24"/>
        <v>2014</v>
      </c>
      <c r="C502" s="7">
        <v>41995</v>
      </c>
      <c r="D502" s="8">
        <v>6.67</v>
      </c>
      <c r="E502" s="8">
        <v>6.61</v>
      </c>
    </row>
    <row r="503" spans="1:5" x14ac:dyDescent="0.2">
      <c r="A503" s="5">
        <f t="shared" si="23"/>
        <v>12</v>
      </c>
      <c r="B503" s="5">
        <f t="shared" si="24"/>
        <v>2014</v>
      </c>
      <c r="C503" s="7">
        <v>41996</v>
      </c>
      <c r="D503" s="8">
        <v>6.67</v>
      </c>
      <c r="E503" s="8">
        <v>6.61</v>
      </c>
    </row>
    <row r="504" spans="1:5" x14ac:dyDescent="0.2">
      <c r="A504" s="5">
        <f t="shared" si="23"/>
        <v>12</v>
      </c>
      <c r="B504" s="5">
        <f t="shared" si="24"/>
        <v>2014</v>
      </c>
      <c r="C504" s="7">
        <v>41997</v>
      </c>
      <c r="D504" s="8">
        <v>6.67</v>
      </c>
      <c r="E504" s="8">
        <v>6.6</v>
      </c>
    </row>
    <row r="505" spans="1:5" x14ac:dyDescent="0.2">
      <c r="A505" s="5">
        <f t="shared" si="23"/>
        <v>12</v>
      </c>
      <c r="B505" s="5">
        <f t="shared" si="24"/>
        <v>2014</v>
      </c>
      <c r="C505" s="7">
        <v>41999</v>
      </c>
      <c r="D505" s="8">
        <v>6.66</v>
      </c>
      <c r="E505" s="8">
        <v>6.59</v>
      </c>
    </row>
    <row r="506" spans="1:5" x14ac:dyDescent="0.2">
      <c r="A506" s="5">
        <f t="shared" si="23"/>
        <v>12</v>
      </c>
      <c r="B506" s="5">
        <f t="shared" si="24"/>
        <v>2014</v>
      </c>
      <c r="C506" s="7">
        <v>42002</v>
      </c>
      <c r="D506" s="8">
        <v>6.67</v>
      </c>
      <c r="E506" s="8">
        <v>6.6</v>
      </c>
    </row>
    <row r="507" spans="1:5" x14ac:dyDescent="0.2">
      <c r="A507" s="5">
        <f t="shared" si="23"/>
        <v>12</v>
      </c>
      <c r="B507" s="5">
        <f t="shared" si="24"/>
        <v>2014</v>
      </c>
      <c r="C507" s="7">
        <v>42003</v>
      </c>
      <c r="D507" s="8">
        <v>6.67</v>
      </c>
      <c r="E507" s="8">
        <v>6.61</v>
      </c>
    </row>
    <row r="508" spans="1:5" x14ac:dyDescent="0.2">
      <c r="A508" s="5">
        <f t="shared" si="23"/>
        <v>12</v>
      </c>
      <c r="B508" s="5">
        <f t="shared" si="24"/>
        <v>2014</v>
      </c>
      <c r="C508" s="7">
        <v>42004</v>
      </c>
      <c r="D508" s="8">
        <v>6.67</v>
      </c>
      <c r="E508" s="8">
        <v>6.61</v>
      </c>
    </row>
    <row r="509" spans="1:5" x14ac:dyDescent="0.2">
      <c r="A509" s="5">
        <f t="shared" si="23"/>
        <v>1</v>
      </c>
      <c r="B509" s="5">
        <f t="shared" si="24"/>
        <v>2015</v>
      </c>
      <c r="C509" s="7">
        <v>42006</v>
      </c>
      <c r="D509" s="8">
        <v>6.68</v>
      </c>
      <c r="E509" s="8">
        <v>6.6</v>
      </c>
    </row>
    <row r="510" spans="1:5" x14ac:dyDescent="0.2">
      <c r="A510" s="5">
        <f t="shared" si="23"/>
        <v>1</v>
      </c>
      <c r="B510" s="5">
        <f t="shared" si="24"/>
        <v>2015</v>
      </c>
      <c r="C510" s="7">
        <v>42009</v>
      </c>
      <c r="D510" s="8">
        <v>6.73</v>
      </c>
      <c r="E510" s="8">
        <v>6.59</v>
      </c>
    </row>
    <row r="511" spans="1:5" x14ac:dyDescent="0.2">
      <c r="A511" s="5">
        <f t="shared" si="23"/>
        <v>1</v>
      </c>
      <c r="B511" s="5">
        <f t="shared" si="24"/>
        <v>2015</v>
      </c>
      <c r="C511" s="7">
        <v>42010</v>
      </c>
      <c r="D511" s="8">
        <v>6.73</v>
      </c>
      <c r="E511" s="8">
        <v>6.59</v>
      </c>
    </row>
    <row r="512" spans="1:5" x14ac:dyDescent="0.2">
      <c r="A512" s="5">
        <f t="shared" si="23"/>
        <v>1</v>
      </c>
      <c r="B512" s="5">
        <f t="shared" si="24"/>
        <v>2015</v>
      </c>
      <c r="C512" s="7">
        <v>42011</v>
      </c>
      <c r="D512" s="8">
        <v>6.75</v>
      </c>
      <c r="E512" s="8">
        <v>6.6</v>
      </c>
    </row>
    <row r="513" spans="1:5" x14ac:dyDescent="0.2">
      <c r="A513" s="5">
        <f t="shared" si="23"/>
        <v>1</v>
      </c>
      <c r="B513" s="5">
        <f t="shared" si="24"/>
        <v>2015</v>
      </c>
      <c r="C513" s="7">
        <v>42012</v>
      </c>
      <c r="D513" s="8">
        <v>6.73</v>
      </c>
      <c r="E513" s="8">
        <v>6.61</v>
      </c>
    </row>
    <row r="514" spans="1:5" x14ac:dyDescent="0.2">
      <c r="A514" s="5">
        <f t="shared" si="23"/>
        <v>1</v>
      </c>
      <c r="B514" s="5">
        <f t="shared" si="24"/>
        <v>2015</v>
      </c>
      <c r="C514" s="7">
        <v>42013</v>
      </c>
      <c r="D514" s="8">
        <v>6.6</v>
      </c>
      <c r="E514" s="8">
        <v>6.66</v>
      </c>
    </row>
    <row r="515" spans="1:5" x14ac:dyDescent="0.2">
      <c r="A515" s="5">
        <f t="shared" si="23"/>
        <v>1</v>
      </c>
      <c r="B515" s="5">
        <f t="shared" si="24"/>
        <v>2015</v>
      </c>
      <c r="C515" s="7">
        <v>42016</v>
      </c>
      <c r="D515" s="8">
        <v>6.63</v>
      </c>
      <c r="E515" s="8">
        <v>6.62</v>
      </c>
    </row>
    <row r="516" spans="1:5" x14ac:dyDescent="0.2">
      <c r="A516" s="5">
        <f t="shared" ref="A516:A579" si="25">MONTH(C516)</f>
        <v>1</v>
      </c>
      <c r="B516" s="5">
        <f t="shared" ref="B516:B579" si="26">YEAR(C516)</f>
        <v>2015</v>
      </c>
      <c r="C516" s="7">
        <v>42017</v>
      </c>
      <c r="D516" s="8">
        <v>6.62</v>
      </c>
      <c r="E516" s="8">
        <v>6.65</v>
      </c>
    </row>
    <row r="517" spans="1:5" x14ac:dyDescent="0.2">
      <c r="A517" s="5">
        <f t="shared" si="25"/>
        <v>1</v>
      </c>
      <c r="B517" s="5">
        <f t="shared" si="26"/>
        <v>2015</v>
      </c>
      <c r="C517" s="7">
        <v>42018</v>
      </c>
      <c r="D517" s="8">
        <v>6.62</v>
      </c>
      <c r="E517" s="8">
        <v>6.58</v>
      </c>
    </row>
    <row r="518" spans="1:5" x14ac:dyDescent="0.2">
      <c r="A518" s="5">
        <f t="shared" si="25"/>
        <v>1</v>
      </c>
      <c r="B518" s="5">
        <f t="shared" si="26"/>
        <v>2015</v>
      </c>
      <c r="C518" s="7">
        <v>42019</v>
      </c>
      <c r="D518" s="8">
        <v>6.63</v>
      </c>
      <c r="E518" s="8">
        <v>6.62</v>
      </c>
    </row>
    <row r="519" spans="1:5" x14ac:dyDescent="0.2">
      <c r="A519" s="5">
        <f t="shared" si="25"/>
        <v>1</v>
      </c>
      <c r="B519" s="5">
        <f t="shared" si="26"/>
        <v>2015</v>
      </c>
      <c r="C519" s="7">
        <v>42020</v>
      </c>
      <c r="D519" s="8">
        <v>6.67</v>
      </c>
      <c r="E519" s="8">
        <v>6.66</v>
      </c>
    </row>
    <row r="520" spans="1:5" x14ac:dyDescent="0.2">
      <c r="A520" s="5">
        <f t="shared" si="25"/>
        <v>1</v>
      </c>
      <c r="B520" s="5">
        <f t="shared" si="26"/>
        <v>2015</v>
      </c>
      <c r="C520" s="7">
        <v>42023</v>
      </c>
      <c r="D520" s="8">
        <v>6.72</v>
      </c>
      <c r="E520" s="8">
        <v>6.59</v>
      </c>
    </row>
    <row r="521" spans="1:5" x14ac:dyDescent="0.2">
      <c r="A521" s="5">
        <f t="shared" si="25"/>
        <v>1</v>
      </c>
      <c r="B521" s="5">
        <f t="shared" si="26"/>
        <v>2015</v>
      </c>
      <c r="C521" s="7">
        <v>42024</v>
      </c>
      <c r="D521" s="8">
        <v>6.77</v>
      </c>
      <c r="E521" s="8">
        <v>6.61</v>
      </c>
    </row>
    <row r="522" spans="1:5" x14ac:dyDescent="0.2">
      <c r="A522" s="5">
        <f t="shared" si="25"/>
        <v>1</v>
      </c>
      <c r="B522" s="5">
        <f t="shared" si="26"/>
        <v>2015</v>
      </c>
      <c r="C522" s="7">
        <v>42025</v>
      </c>
      <c r="D522" s="8">
        <v>6.8</v>
      </c>
      <c r="E522" s="8">
        <v>6.65</v>
      </c>
    </row>
    <row r="523" spans="1:5" x14ac:dyDescent="0.2">
      <c r="A523" s="5">
        <f t="shared" si="25"/>
        <v>1</v>
      </c>
      <c r="B523" s="5">
        <f t="shared" si="26"/>
        <v>2015</v>
      </c>
      <c r="C523" s="7">
        <v>42026</v>
      </c>
      <c r="D523" s="8">
        <v>6.98</v>
      </c>
      <c r="E523" s="8">
        <v>6.7</v>
      </c>
    </row>
    <row r="524" spans="1:5" x14ac:dyDescent="0.2">
      <c r="A524" s="5">
        <f t="shared" si="25"/>
        <v>1</v>
      </c>
      <c r="B524" s="5">
        <f t="shared" si="26"/>
        <v>2015</v>
      </c>
      <c r="C524" s="7">
        <v>42027</v>
      </c>
      <c r="D524" s="8">
        <v>6.99</v>
      </c>
      <c r="E524" s="8">
        <v>6.69</v>
      </c>
    </row>
    <row r="525" spans="1:5" x14ac:dyDescent="0.2">
      <c r="A525" s="5">
        <f t="shared" si="25"/>
        <v>1</v>
      </c>
      <c r="B525" s="5">
        <f t="shared" si="26"/>
        <v>2015</v>
      </c>
      <c r="C525" s="7">
        <v>42030</v>
      </c>
      <c r="D525" s="8">
        <v>6.99</v>
      </c>
      <c r="E525" s="8">
        <v>6.64</v>
      </c>
    </row>
    <row r="526" spans="1:5" x14ac:dyDescent="0.2">
      <c r="A526" s="5">
        <f t="shared" si="25"/>
        <v>1</v>
      </c>
      <c r="B526" s="5">
        <f t="shared" si="26"/>
        <v>2015</v>
      </c>
      <c r="C526" s="7">
        <v>42031</v>
      </c>
      <c r="D526" s="8">
        <v>6.99</v>
      </c>
      <c r="E526" s="8">
        <v>6.65</v>
      </c>
    </row>
    <row r="527" spans="1:5" x14ac:dyDescent="0.2">
      <c r="A527" s="5">
        <f t="shared" si="25"/>
        <v>1</v>
      </c>
      <c r="B527" s="5">
        <f t="shared" si="26"/>
        <v>2015</v>
      </c>
      <c r="C527" s="7">
        <v>42032</v>
      </c>
      <c r="D527" s="8">
        <v>6.99</v>
      </c>
      <c r="E527" s="8">
        <v>6.64</v>
      </c>
    </row>
    <row r="528" spans="1:5" x14ac:dyDescent="0.2">
      <c r="A528" s="5">
        <f t="shared" si="25"/>
        <v>1</v>
      </c>
      <c r="B528" s="5">
        <f t="shared" si="26"/>
        <v>2015</v>
      </c>
      <c r="C528" s="7">
        <v>42033</v>
      </c>
      <c r="D528" s="8">
        <v>6.99</v>
      </c>
      <c r="E528" s="8">
        <v>6.63</v>
      </c>
    </row>
    <row r="529" spans="1:5" x14ac:dyDescent="0.2">
      <c r="A529" s="5">
        <f t="shared" si="25"/>
        <v>1</v>
      </c>
      <c r="B529" s="5">
        <f t="shared" si="26"/>
        <v>2015</v>
      </c>
      <c r="C529" s="7">
        <v>42034</v>
      </c>
      <c r="D529" s="8">
        <v>7.01</v>
      </c>
      <c r="E529" s="8">
        <v>6.61</v>
      </c>
    </row>
    <row r="530" spans="1:5" x14ac:dyDescent="0.2">
      <c r="A530" s="5">
        <f t="shared" si="25"/>
        <v>2</v>
      </c>
      <c r="B530" s="5">
        <f t="shared" si="26"/>
        <v>2015</v>
      </c>
      <c r="C530" s="7">
        <v>42037</v>
      </c>
      <c r="D530" s="8">
        <v>7.01</v>
      </c>
      <c r="E530" s="8">
        <v>6.55</v>
      </c>
    </row>
    <row r="531" spans="1:5" x14ac:dyDescent="0.2">
      <c r="A531" s="5">
        <f t="shared" si="25"/>
        <v>2</v>
      </c>
      <c r="B531" s="5">
        <f t="shared" si="26"/>
        <v>2015</v>
      </c>
      <c r="C531" s="7">
        <v>42038</v>
      </c>
      <c r="D531" s="8">
        <v>7.02</v>
      </c>
      <c r="E531" s="8">
        <v>6.54</v>
      </c>
    </row>
    <row r="532" spans="1:5" x14ac:dyDescent="0.2">
      <c r="A532" s="5">
        <f t="shared" si="25"/>
        <v>2</v>
      </c>
      <c r="B532" s="5">
        <f t="shared" si="26"/>
        <v>2015</v>
      </c>
      <c r="C532" s="7">
        <v>42039</v>
      </c>
      <c r="D532" s="8">
        <v>7.03</v>
      </c>
      <c r="E532" s="8">
        <v>6.52</v>
      </c>
    </row>
    <row r="533" spans="1:5" x14ac:dyDescent="0.2">
      <c r="A533" s="5">
        <f t="shared" si="25"/>
        <v>2</v>
      </c>
      <c r="B533" s="5">
        <f t="shared" si="26"/>
        <v>2015</v>
      </c>
      <c r="C533" s="7">
        <v>42040</v>
      </c>
      <c r="D533" s="8">
        <v>7.06</v>
      </c>
      <c r="E533" s="8">
        <v>6.56</v>
      </c>
    </row>
    <row r="534" spans="1:5" x14ac:dyDescent="0.2">
      <c r="A534" s="5">
        <f t="shared" si="25"/>
        <v>2</v>
      </c>
      <c r="B534" s="5">
        <f t="shared" si="26"/>
        <v>2015</v>
      </c>
      <c r="C534" s="7">
        <v>42041</v>
      </c>
      <c r="D534" s="8">
        <v>6.57</v>
      </c>
      <c r="E534" s="8">
        <v>6.56</v>
      </c>
    </row>
    <row r="535" spans="1:5" x14ac:dyDescent="0.2">
      <c r="A535" s="5">
        <f t="shared" si="25"/>
        <v>2</v>
      </c>
      <c r="B535" s="5">
        <f t="shared" si="26"/>
        <v>2015</v>
      </c>
      <c r="C535" s="7">
        <v>42044</v>
      </c>
      <c r="D535" s="8">
        <v>6.59</v>
      </c>
      <c r="E535" s="8">
        <v>6.54</v>
      </c>
    </row>
    <row r="536" spans="1:5" x14ac:dyDescent="0.2">
      <c r="A536" s="5">
        <f t="shared" si="25"/>
        <v>2</v>
      </c>
      <c r="B536" s="5">
        <f t="shared" si="26"/>
        <v>2015</v>
      </c>
      <c r="C536" s="7">
        <v>42045</v>
      </c>
      <c r="D536" s="8">
        <v>6.59</v>
      </c>
      <c r="E536" s="8">
        <v>6.56</v>
      </c>
    </row>
    <row r="537" spans="1:5" x14ac:dyDescent="0.2">
      <c r="A537" s="5">
        <f t="shared" si="25"/>
        <v>2</v>
      </c>
      <c r="B537" s="5">
        <f t="shared" si="26"/>
        <v>2015</v>
      </c>
      <c r="C537" s="7">
        <v>42046</v>
      </c>
      <c r="D537" s="8">
        <v>6.59</v>
      </c>
      <c r="E537" s="8">
        <v>6.55</v>
      </c>
    </row>
    <row r="538" spans="1:5" x14ac:dyDescent="0.2">
      <c r="A538" s="5">
        <f t="shared" si="25"/>
        <v>2</v>
      </c>
      <c r="B538" s="5">
        <f t="shared" si="26"/>
        <v>2015</v>
      </c>
      <c r="C538" s="7">
        <v>42047</v>
      </c>
      <c r="D538" s="8">
        <v>6.65</v>
      </c>
      <c r="E538" s="8">
        <v>6.57</v>
      </c>
    </row>
    <row r="539" spans="1:5" x14ac:dyDescent="0.2">
      <c r="A539" s="5">
        <f t="shared" si="25"/>
        <v>2</v>
      </c>
      <c r="B539" s="5">
        <f t="shared" si="26"/>
        <v>2015</v>
      </c>
      <c r="C539" s="7">
        <v>42048</v>
      </c>
      <c r="D539" s="8">
        <v>6.68</v>
      </c>
      <c r="E539" s="8">
        <v>6.56</v>
      </c>
    </row>
    <row r="540" spans="1:5" x14ac:dyDescent="0.2">
      <c r="A540" s="5">
        <f t="shared" si="25"/>
        <v>2</v>
      </c>
      <c r="B540" s="5">
        <f t="shared" si="26"/>
        <v>2015</v>
      </c>
      <c r="C540" s="7">
        <v>42053</v>
      </c>
      <c r="D540" s="8">
        <v>6.7</v>
      </c>
      <c r="E540" s="8">
        <v>6.5</v>
      </c>
    </row>
    <row r="541" spans="1:5" x14ac:dyDescent="0.2">
      <c r="A541" s="5">
        <f t="shared" si="25"/>
        <v>2</v>
      </c>
      <c r="B541" s="5">
        <f t="shared" si="26"/>
        <v>2015</v>
      </c>
      <c r="C541" s="7">
        <v>42054</v>
      </c>
      <c r="D541" s="8">
        <v>6.75</v>
      </c>
      <c r="E541" s="8">
        <v>6.57</v>
      </c>
    </row>
    <row r="542" spans="1:5" x14ac:dyDescent="0.2">
      <c r="A542" s="5">
        <f t="shared" si="25"/>
        <v>2</v>
      </c>
      <c r="B542" s="5">
        <f t="shared" si="26"/>
        <v>2015</v>
      </c>
      <c r="C542" s="7">
        <v>42055</v>
      </c>
      <c r="D542" s="8">
        <v>6.8</v>
      </c>
      <c r="E542" s="8">
        <v>6.55</v>
      </c>
    </row>
    <row r="543" spans="1:5" x14ac:dyDescent="0.2">
      <c r="A543" s="5">
        <f t="shared" si="25"/>
        <v>2</v>
      </c>
      <c r="B543" s="5">
        <f t="shared" si="26"/>
        <v>2015</v>
      </c>
      <c r="C543" s="7">
        <v>42058</v>
      </c>
      <c r="D543" s="8">
        <v>6.87</v>
      </c>
      <c r="E543" s="8">
        <v>6.61</v>
      </c>
    </row>
    <row r="544" spans="1:5" x14ac:dyDescent="0.2">
      <c r="A544" s="5">
        <f t="shared" si="25"/>
        <v>2</v>
      </c>
      <c r="B544" s="5">
        <f t="shared" si="26"/>
        <v>2015</v>
      </c>
      <c r="C544" s="7">
        <v>42059</v>
      </c>
      <c r="D544" s="8">
        <v>6.9</v>
      </c>
      <c r="E544" s="8">
        <v>6.59</v>
      </c>
    </row>
    <row r="545" spans="1:5" x14ac:dyDescent="0.2">
      <c r="A545" s="5">
        <f t="shared" si="25"/>
        <v>2</v>
      </c>
      <c r="B545" s="5">
        <f t="shared" si="26"/>
        <v>2015</v>
      </c>
      <c r="C545" s="7">
        <v>42060</v>
      </c>
      <c r="D545" s="8">
        <v>6.9</v>
      </c>
      <c r="E545" s="8">
        <v>6.57</v>
      </c>
    </row>
    <row r="546" spans="1:5" x14ac:dyDescent="0.2">
      <c r="A546" s="5">
        <f t="shared" si="25"/>
        <v>2</v>
      </c>
      <c r="B546" s="5">
        <f t="shared" si="26"/>
        <v>2015</v>
      </c>
      <c r="C546" s="7">
        <v>42061</v>
      </c>
      <c r="D546" s="8">
        <v>6.9</v>
      </c>
      <c r="E546" s="8">
        <v>6.56</v>
      </c>
    </row>
    <row r="547" spans="1:5" x14ac:dyDescent="0.2">
      <c r="A547" s="5">
        <f t="shared" si="25"/>
        <v>2</v>
      </c>
      <c r="B547" s="5">
        <f t="shared" si="26"/>
        <v>2015</v>
      </c>
      <c r="C547" s="7">
        <v>42062</v>
      </c>
      <c r="D547" s="8">
        <v>6.9</v>
      </c>
      <c r="E547" s="8">
        <v>6.54</v>
      </c>
    </row>
    <row r="548" spans="1:5" x14ac:dyDescent="0.2">
      <c r="A548" s="5">
        <f t="shared" si="25"/>
        <v>3</v>
      </c>
      <c r="B548" s="5">
        <f t="shared" si="26"/>
        <v>2015</v>
      </c>
      <c r="C548" s="7">
        <v>42065</v>
      </c>
      <c r="D548" s="8">
        <v>6.92</v>
      </c>
      <c r="E548" s="8">
        <v>6.48</v>
      </c>
    </row>
    <row r="549" spans="1:5" x14ac:dyDescent="0.2">
      <c r="A549" s="5">
        <f t="shared" si="25"/>
        <v>3</v>
      </c>
      <c r="B549" s="5">
        <f t="shared" si="26"/>
        <v>2015</v>
      </c>
      <c r="C549" s="7">
        <v>42066</v>
      </c>
      <c r="D549" s="8">
        <v>6.93</v>
      </c>
      <c r="E549" s="8">
        <v>6.47</v>
      </c>
    </row>
    <row r="550" spans="1:5" x14ac:dyDescent="0.2">
      <c r="A550" s="5">
        <f t="shared" si="25"/>
        <v>3</v>
      </c>
      <c r="B550" s="5">
        <f t="shared" si="26"/>
        <v>2015</v>
      </c>
      <c r="C550" s="7">
        <v>42067</v>
      </c>
      <c r="D550" s="8">
        <v>6.92</v>
      </c>
      <c r="E550" s="8">
        <v>6.45</v>
      </c>
    </row>
    <row r="551" spans="1:5" x14ac:dyDescent="0.2">
      <c r="A551" s="5">
        <f t="shared" si="25"/>
        <v>3</v>
      </c>
      <c r="B551" s="5">
        <f t="shared" si="26"/>
        <v>2015</v>
      </c>
      <c r="C551" s="7">
        <v>42068</v>
      </c>
      <c r="D551" s="8">
        <v>6.93</v>
      </c>
      <c r="E551" s="8">
        <v>6.43</v>
      </c>
    </row>
    <row r="552" spans="1:5" x14ac:dyDescent="0.2">
      <c r="A552" s="5">
        <f t="shared" si="25"/>
        <v>3</v>
      </c>
      <c r="B552" s="5">
        <f t="shared" si="26"/>
        <v>2015</v>
      </c>
      <c r="C552" s="7">
        <v>42069</v>
      </c>
      <c r="D552" s="8">
        <v>6.54</v>
      </c>
      <c r="E552" s="8">
        <v>6.53</v>
      </c>
    </row>
    <row r="553" spans="1:5" x14ac:dyDescent="0.2">
      <c r="A553" s="5">
        <f t="shared" si="25"/>
        <v>3</v>
      </c>
      <c r="B553" s="5">
        <f t="shared" si="26"/>
        <v>2015</v>
      </c>
      <c r="C553" s="7">
        <v>42072</v>
      </c>
      <c r="D553" s="8">
        <v>6.58</v>
      </c>
      <c r="E553" s="8">
        <v>6.52</v>
      </c>
    </row>
    <row r="554" spans="1:5" x14ac:dyDescent="0.2">
      <c r="A554" s="5">
        <f t="shared" si="25"/>
        <v>3</v>
      </c>
      <c r="B554" s="5">
        <f t="shared" si="26"/>
        <v>2015</v>
      </c>
      <c r="C554" s="7">
        <v>42073</v>
      </c>
      <c r="D554" s="8">
        <v>6.61</v>
      </c>
      <c r="E554" s="8">
        <v>6.52</v>
      </c>
    </row>
    <row r="555" spans="1:5" x14ac:dyDescent="0.2">
      <c r="A555" s="5">
        <f t="shared" si="25"/>
        <v>3</v>
      </c>
      <c r="B555" s="5">
        <f t="shared" si="26"/>
        <v>2015</v>
      </c>
      <c r="C555" s="7">
        <v>42074</v>
      </c>
      <c r="D555" s="8">
        <v>6.59</v>
      </c>
      <c r="E555" s="8">
        <v>6.5</v>
      </c>
    </row>
    <row r="556" spans="1:5" x14ac:dyDescent="0.2">
      <c r="A556" s="5">
        <f t="shared" si="25"/>
        <v>3</v>
      </c>
      <c r="B556" s="5">
        <f t="shared" si="26"/>
        <v>2015</v>
      </c>
      <c r="C556" s="7">
        <v>42075</v>
      </c>
      <c r="D556" s="8">
        <v>6.68</v>
      </c>
      <c r="E556" s="8">
        <v>6.55</v>
      </c>
    </row>
    <row r="557" spans="1:5" x14ac:dyDescent="0.2">
      <c r="A557" s="5">
        <f t="shared" si="25"/>
        <v>3</v>
      </c>
      <c r="B557" s="5">
        <f t="shared" si="26"/>
        <v>2015</v>
      </c>
      <c r="C557" s="7">
        <v>42076</v>
      </c>
      <c r="D557" s="8">
        <v>6.79</v>
      </c>
      <c r="E557" s="8">
        <v>6.58</v>
      </c>
    </row>
    <row r="558" spans="1:5" x14ac:dyDescent="0.2">
      <c r="A558" s="5">
        <f t="shared" si="25"/>
        <v>3</v>
      </c>
      <c r="B558" s="5">
        <f t="shared" si="26"/>
        <v>2015</v>
      </c>
      <c r="C558" s="7">
        <v>42079</v>
      </c>
      <c r="D558" s="8">
        <v>6.81</v>
      </c>
      <c r="E558" s="8">
        <v>6.51</v>
      </c>
    </row>
    <row r="559" spans="1:5" x14ac:dyDescent="0.2">
      <c r="A559" s="5">
        <f t="shared" si="25"/>
        <v>3</v>
      </c>
      <c r="B559" s="5">
        <f t="shared" si="26"/>
        <v>2015</v>
      </c>
      <c r="C559" s="7">
        <v>42080</v>
      </c>
      <c r="D559" s="8">
        <v>6.81</v>
      </c>
      <c r="E559" s="8">
        <v>6.48</v>
      </c>
    </row>
    <row r="560" spans="1:5" x14ac:dyDescent="0.2">
      <c r="A560" s="5">
        <f t="shared" si="25"/>
        <v>3</v>
      </c>
      <c r="B560" s="5">
        <f t="shared" si="26"/>
        <v>2015</v>
      </c>
      <c r="C560" s="7">
        <v>42081</v>
      </c>
      <c r="D560" s="8">
        <v>6.88</v>
      </c>
      <c r="E560" s="8">
        <v>6.51</v>
      </c>
    </row>
    <row r="561" spans="1:5" x14ac:dyDescent="0.2">
      <c r="A561" s="5">
        <f t="shared" si="25"/>
        <v>3</v>
      </c>
      <c r="B561" s="5">
        <f t="shared" si="26"/>
        <v>2015</v>
      </c>
      <c r="C561" s="7">
        <v>42082</v>
      </c>
      <c r="D561" s="8">
        <v>6.9</v>
      </c>
      <c r="E561" s="8">
        <v>6.52</v>
      </c>
    </row>
    <row r="562" spans="1:5" x14ac:dyDescent="0.2">
      <c r="A562" s="5">
        <f t="shared" si="25"/>
        <v>3</v>
      </c>
      <c r="B562" s="5">
        <f t="shared" si="26"/>
        <v>2015</v>
      </c>
      <c r="C562" s="7">
        <v>42083</v>
      </c>
      <c r="D562" s="8">
        <v>6.9</v>
      </c>
      <c r="E562" s="8">
        <v>6.49</v>
      </c>
    </row>
    <row r="563" spans="1:5" x14ac:dyDescent="0.2">
      <c r="A563" s="5">
        <f t="shared" si="25"/>
        <v>3</v>
      </c>
      <c r="B563" s="5">
        <f t="shared" si="26"/>
        <v>2015</v>
      </c>
      <c r="C563" s="7">
        <v>42086</v>
      </c>
      <c r="D563" s="8">
        <v>6.96</v>
      </c>
      <c r="E563" s="8">
        <v>6.43</v>
      </c>
    </row>
    <row r="564" spans="1:5" x14ac:dyDescent="0.2">
      <c r="A564" s="5">
        <f t="shared" si="25"/>
        <v>3</v>
      </c>
      <c r="B564" s="5">
        <f t="shared" si="26"/>
        <v>2015</v>
      </c>
      <c r="C564" s="7">
        <v>42087</v>
      </c>
      <c r="D564" s="8">
        <v>6.96</v>
      </c>
      <c r="E564" s="8">
        <v>6.4</v>
      </c>
    </row>
    <row r="565" spans="1:5" x14ac:dyDescent="0.2">
      <c r="A565" s="5">
        <f t="shared" si="25"/>
        <v>3</v>
      </c>
      <c r="B565" s="5">
        <f t="shared" si="26"/>
        <v>2015</v>
      </c>
      <c r="C565" s="7">
        <v>42088</v>
      </c>
      <c r="D565" s="8">
        <v>6.94</v>
      </c>
      <c r="E565" s="8">
        <v>6.37</v>
      </c>
    </row>
    <row r="566" spans="1:5" x14ac:dyDescent="0.2">
      <c r="A566" s="5">
        <f t="shared" si="25"/>
        <v>3</v>
      </c>
      <c r="B566" s="5">
        <f t="shared" si="26"/>
        <v>2015</v>
      </c>
      <c r="C566" s="7">
        <v>42089</v>
      </c>
      <c r="D566" s="8">
        <v>6.94</v>
      </c>
      <c r="E566" s="8">
        <v>6.34</v>
      </c>
    </row>
    <row r="567" spans="1:5" x14ac:dyDescent="0.2">
      <c r="A567" s="5">
        <f t="shared" si="25"/>
        <v>3</v>
      </c>
      <c r="B567" s="5">
        <f t="shared" si="26"/>
        <v>2015</v>
      </c>
      <c r="C567" s="7">
        <v>42090</v>
      </c>
      <c r="D567" s="8">
        <v>6.94</v>
      </c>
      <c r="E567" s="8">
        <v>6.3</v>
      </c>
    </row>
    <row r="568" spans="1:5" x14ac:dyDescent="0.2">
      <c r="A568" s="5">
        <f t="shared" si="25"/>
        <v>3</v>
      </c>
      <c r="B568" s="5">
        <f t="shared" si="26"/>
        <v>2015</v>
      </c>
      <c r="C568" s="7">
        <v>42093</v>
      </c>
      <c r="D568" s="8">
        <v>6.96</v>
      </c>
      <c r="E568" s="8">
        <v>6.21</v>
      </c>
    </row>
    <row r="569" spans="1:5" x14ac:dyDescent="0.2">
      <c r="A569" s="5">
        <f t="shared" si="25"/>
        <v>3</v>
      </c>
      <c r="B569" s="5">
        <f t="shared" si="26"/>
        <v>2015</v>
      </c>
      <c r="C569" s="7">
        <v>42094</v>
      </c>
      <c r="D569" s="8">
        <v>6.98</v>
      </c>
      <c r="E569" s="8">
        <v>6.17</v>
      </c>
    </row>
    <row r="570" spans="1:5" x14ac:dyDescent="0.2">
      <c r="A570" s="5">
        <f t="shared" si="25"/>
        <v>4</v>
      </c>
      <c r="B570" s="5">
        <f t="shared" si="26"/>
        <v>2015</v>
      </c>
      <c r="C570" s="7">
        <v>42095</v>
      </c>
      <c r="D570" s="8">
        <v>6.98</v>
      </c>
      <c r="E570" s="8">
        <v>6.15</v>
      </c>
    </row>
    <row r="571" spans="1:5" x14ac:dyDescent="0.2">
      <c r="A571" s="5">
        <f t="shared" si="25"/>
        <v>4</v>
      </c>
      <c r="B571" s="5">
        <f t="shared" si="26"/>
        <v>2015</v>
      </c>
      <c r="C571" s="7">
        <v>42096</v>
      </c>
      <c r="D571" s="8">
        <v>6.98</v>
      </c>
      <c r="E571" s="8">
        <v>6.11</v>
      </c>
    </row>
    <row r="572" spans="1:5" x14ac:dyDescent="0.2">
      <c r="A572" s="5">
        <f t="shared" si="25"/>
        <v>4</v>
      </c>
      <c r="B572" s="5">
        <f t="shared" si="26"/>
        <v>2015</v>
      </c>
      <c r="C572" s="7">
        <v>42100</v>
      </c>
      <c r="D572" s="8">
        <v>6.99</v>
      </c>
      <c r="E572" s="8">
        <v>6.03</v>
      </c>
    </row>
    <row r="573" spans="1:5" x14ac:dyDescent="0.2">
      <c r="A573" s="5">
        <f t="shared" si="25"/>
        <v>4</v>
      </c>
      <c r="B573" s="5">
        <f t="shared" si="26"/>
        <v>2015</v>
      </c>
      <c r="C573" s="7">
        <v>42101</v>
      </c>
      <c r="D573" s="8">
        <v>6.99</v>
      </c>
      <c r="E573" s="8">
        <v>6.01</v>
      </c>
    </row>
    <row r="574" spans="1:5" x14ac:dyDescent="0.2">
      <c r="A574" s="5">
        <f t="shared" si="25"/>
        <v>4</v>
      </c>
      <c r="B574" s="5">
        <f t="shared" si="26"/>
        <v>2015</v>
      </c>
      <c r="C574" s="7">
        <v>42102</v>
      </c>
      <c r="D574" s="8">
        <v>6.01</v>
      </c>
      <c r="E574" s="8">
        <v>6</v>
      </c>
    </row>
    <row r="575" spans="1:5" x14ac:dyDescent="0.2">
      <c r="A575" s="5">
        <f t="shared" si="25"/>
        <v>4</v>
      </c>
      <c r="B575" s="5">
        <f t="shared" si="26"/>
        <v>2015</v>
      </c>
      <c r="C575" s="7">
        <v>42103</v>
      </c>
      <c r="D575" s="8">
        <v>6.04</v>
      </c>
      <c r="E575" s="8">
        <v>6</v>
      </c>
    </row>
    <row r="576" spans="1:5" x14ac:dyDescent="0.2">
      <c r="A576" s="5">
        <f t="shared" si="25"/>
        <v>4</v>
      </c>
      <c r="B576" s="5">
        <f t="shared" si="26"/>
        <v>2015</v>
      </c>
      <c r="C576" s="7">
        <v>42104</v>
      </c>
      <c r="D576" s="8">
        <v>6.01</v>
      </c>
      <c r="E576" s="8">
        <v>5.99</v>
      </c>
    </row>
    <row r="577" spans="1:5" x14ac:dyDescent="0.2">
      <c r="A577" s="5">
        <f t="shared" si="25"/>
        <v>4</v>
      </c>
      <c r="B577" s="5">
        <f t="shared" si="26"/>
        <v>2015</v>
      </c>
      <c r="C577" s="7">
        <v>42107</v>
      </c>
      <c r="D577" s="8">
        <v>6.02</v>
      </c>
      <c r="E577" s="8">
        <v>5.97</v>
      </c>
    </row>
    <row r="578" spans="1:5" x14ac:dyDescent="0.2">
      <c r="A578" s="5">
        <f t="shared" si="25"/>
        <v>4</v>
      </c>
      <c r="B578" s="5">
        <f t="shared" si="26"/>
        <v>2015</v>
      </c>
      <c r="C578" s="7">
        <v>42108</v>
      </c>
      <c r="D578" s="8">
        <v>6.02</v>
      </c>
      <c r="E578" s="8">
        <v>5.97</v>
      </c>
    </row>
    <row r="579" spans="1:5" x14ac:dyDescent="0.2">
      <c r="A579" s="5">
        <f t="shared" si="25"/>
        <v>4</v>
      </c>
      <c r="B579" s="5">
        <f t="shared" si="26"/>
        <v>2015</v>
      </c>
      <c r="C579" s="7">
        <v>42109</v>
      </c>
      <c r="D579" s="8">
        <v>6.02</v>
      </c>
      <c r="E579" s="8">
        <v>5.96</v>
      </c>
    </row>
    <row r="580" spans="1:5" x14ac:dyDescent="0.2">
      <c r="A580" s="5">
        <f t="shared" ref="A580:A643" si="27">MONTH(C580)</f>
        <v>4</v>
      </c>
      <c r="B580" s="5">
        <f t="shared" ref="B580:B643" si="28">YEAR(C580)</f>
        <v>2015</v>
      </c>
      <c r="C580" s="7">
        <v>42110</v>
      </c>
      <c r="D580" s="8">
        <v>6.09</v>
      </c>
      <c r="E580" s="8">
        <v>6.04</v>
      </c>
    </row>
    <row r="581" spans="1:5" x14ac:dyDescent="0.2">
      <c r="A581" s="5">
        <f t="shared" si="27"/>
        <v>4</v>
      </c>
      <c r="B581" s="5">
        <f t="shared" si="28"/>
        <v>2015</v>
      </c>
      <c r="C581" s="7">
        <v>42111</v>
      </c>
      <c r="D581" s="8">
        <v>6.1</v>
      </c>
      <c r="E581" s="8">
        <v>6.04</v>
      </c>
    </row>
    <row r="582" spans="1:5" x14ac:dyDescent="0.2">
      <c r="A582" s="5">
        <f t="shared" si="27"/>
        <v>4</v>
      </c>
      <c r="B582" s="5">
        <f t="shared" si="28"/>
        <v>2015</v>
      </c>
      <c r="C582" s="7">
        <v>42114</v>
      </c>
      <c r="D582" s="8">
        <v>6.1</v>
      </c>
      <c r="E582" s="8">
        <v>6.03</v>
      </c>
    </row>
    <row r="583" spans="1:5" x14ac:dyDescent="0.2">
      <c r="A583" s="5">
        <f t="shared" si="27"/>
        <v>4</v>
      </c>
      <c r="B583" s="5">
        <f t="shared" si="28"/>
        <v>2015</v>
      </c>
      <c r="C583" s="7">
        <v>42116</v>
      </c>
      <c r="D583" s="8">
        <v>6.1</v>
      </c>
      <c r="E583" s="8">
        <v>6.01</v>
      </c>
    </row>
    <row r="584" spans="1:5" x14ac:dyDescent="0.2">
      <c r="A584" s="5">
        <f t="shared" si="27"/>
        <v>4</v>
      </c>
      <c r="B584" s="5">
        <f t="shared" si="28"/>
        <v>2015</v>
      </c>
      <c r="C584" s="7">
        <v>42117</v>
      </c>
      <c r="D584" s="8">
        <v>6.12</v>
      </c>
      <c r="E584" s="8">
        <v>6.01</v>
      </c>
    </row>
    <row r="585" spans="1:5" x14ac:dyDescent="0.2">
      <c r="A585" s="5">
        <f t="shared" si="27"/>
        <v>4</v>
      </c>
      <c r="B585" s="5">
        <f t="shared" si="28"/>
        <v>2015</v>
      </c>
      <c r="C585" s="7">
        <v>42118</v>
      </c>
      <c r="D585" s="8">
        <v>6.13</v>
      </c>
      <c r="E585" s="8">
        <v>6</v>
      </c>
    </row>
    <row r="586" spans="1:5" x14ac:dyDescent="0.2">
      <c r="A586" s="5">
        <f t="shared" si="27"/>
        <v>4</v>
      </c>
      <c r="B586" s="5">
        <f t="shared" si="28"/>
        <v>2015</v>
      </c>
      <c r="C586" s="7">
        <v>42121</v>
      </c>
      <c r="D586" s="8">
        <v>6.13</v>
      </c>
      <c r="E586" s="8">
        <v>5.98</v>
      </c>
    </row>
    <row r="587" spans="1:5" x14ac:dyDescent="0.2">
      <c r="A587" s="5">
        <f t="shared" si="27"/>
        <v>4</v>
      </c>
      <c r="B587" s="5">
        <f t="shared" si="28"/>
        <v>2015</v>
      </c>
      <c r="C587" s="7">
        <v>42122</v>
      </c>
      <c r="D587" s="8">
        <v>6.13</v>
      </c>
      <c r="E587" s="8">
        <v>5.97</v>
      </c>
    </row>
    <row r="588" spans="1:5" x14ac:dyDescent="0.2">
      <c r="A588" s="5">
        <f t="shared" si="27"/>
        <v>4</v>
      </c>
      <c r="B588" s="5">
        <f t="shared" si="28"/>
        <v>2015</v>
      </c>
      <c r="C588" s="7">
        <v>42123</v>
      </c>
      <c r="D588" s="8">
        <v>6.13</v>
      </c>
      <c r="E588" s="8">
        <v>5.96</v>
      </c>
    </row>
    <row r="589" spans="1:5" x14ac:dyDescent="0.2">
      <c r="A589" s="5">
        <f t="shared" si="27"/>
        <v>4</v>
      </c>
      <c r="B589" s="5">
        <f t="shared" si="28"/>
        <v>2015</v>
      </c>
      <c r="C589" s="7">
        <v>42124</v>
      </c>
      <c r="D589" s="8">
        <v>6.13</v>
      </c>
      <c r="E589" s="8">
        <v>5.96</v>
      </c>
    </row>
    <row r="590" spans="1:5" x14ac:dyDescent="0.2">
      <c r="A590" s="5">
        <f t="shared" si="27"/>
        <v>5</v>
      </c>
      <c r="B590" s="5">
        <f t="shared" si="28"/>
        <v>2015</v>
      </c>
      <c r="C590" s="7">
        <v>42128</v>
      </c>
      <c r="D590" s="8">
        <v>6.13</v>
      </c>
      <c r="E590" s="8">
        <v>5.92</v>
      </c>
    </row>
    <row r="591" spans="1:5" x14ac:dyDescent="0.2">
      <c r="A591" s="5">
        <f t="shared" si="27"/>
        <v>5</v>
      </c>
      <c r="B591" s="5">
        <f t="shared" si="28"/>
        <v>2015</v>
      </c>
      <c r="C591" s="7">
        <v>42129</v>
      </c>
      <c r="D591" s="8">
        <v>6.13</v>
      </c>
      <c r="E591" s="8">
        <v>5.92</v>
      </c>
    </row>
    <row r="592" spans="1:5" x14ac:dyDescent="0.2">
      <c r="A592" s="5">
        <f t="shared" si="27"/>
        <v>5</v>
      </c>
      <c r="B592" s="5">
        <f t="shared" si="28"/>
        <v>2015</v>
      </c>
      <c r="C592" s="7">
        <v>42130</v>
      </c>
      <c r="D592" s="8">
        <v>6.13</v>
      </c>
      <c r="E592" s="8">
        <v>5.9</v>
      </c>
    </row>
    <row r="593" spans="1:5" x14ac:dyDescent="0.2">
      <c r="A593" s="5">
        <f t="shared" si="27"/>
        <v>5</v>
      </c>
      <c r="B593" s="5">
        <f t="shared" si="28"/>
        <v>2015</v>
      </c>
      <c r="C593" s="7">
        <v>42131</v>
      </c>
      <c r="D593" s="8">
        <v>6.15</v>
      </c>
      <c r="E593" s="8">
        <v>5.92</v>
      </c>
    </row>
    <row r="594" spans="1:5" x14ac:dyDescent="0.2">
      <c r="A594" s="5">
        <f t="shared" si="27"/>
        <v>5</v>
      </c>
      <c r="B594" s="5">
        <f t="shared" si="28"/>
        <v>2015</v>
      </c>
      <c r="C594" s="7">
        <v>42132</v>
      </c>
      <c r="D594" s="8">
        <v>5.93</v>
      </c>
      <c r="E594" s="8">
        <v>5.94</v>
      </c>
    </row>
    <row r="595" spans="1:5" x14ac:dyDescent="0.2">
      <c r="A595" s="5">
        <f t="shared" si="27"/>
        <v>5</v>
      </c>
      <c r="B595" s="5">
        <f t="shared" si="28"/>
        <v>2015</v>
      </c>
      <c r="C595" s="7">
        <v>42135</v>
      </c>
      <c r="D595" s="8">
        <v>5.94</v>
      </c>
      <c r="E595" s="8">
        <v>5.93</v>
      </c>
    </row>
    <row r="596" spans="1:5" x14ac:dyDescent="0.2">
      <c r="A596" s="5">
        <f t="shared" si="27"/>
        <v>5</v>
      </c>
      <c r="B596" s="5">
        <f t="shared" si="28"/>
        <v>2015</v>
      </c>
      <c r="C596" s="7">
        <v>42136</v>
      </c>
      <c r="D596" s="8">
        <v>5.94</v>
      </c>
      <c r="E596" s="8">
        <v>5.92</v>
      </c>
    </row>
    <row r="597" spans="1:5" x14ac:dyDescent="0.2">
      <c r="A597" s="5">
        <f t="shared" si="27"/>
        <v>5</v>
      </c>
      <c r="B597" s="5">
        <f t="shared" si="28"/>
        <v>2015</v>
      </c>
      <c r="C597" s="7">
        <v>42137</v>
      </c>
      <c r="D597" s="8">
        <v>5.94</v>
      </c>
      <c r="E597" s="8">
        <v>5.92</v>
      </c>
    </row>
    <row r="598" spans="1:5" x14ac:dyDescent="0.2">
      <c r="A598" s="5">
        <f t="shared" si="27"/>
        <v>5</v>
      </c>
      <c r="B598" s="5">
        <f t="shared" si="28"/>
        <v>2015</v>
      </c>
      <c r="C598" s="7">
        <v>42138</v>
      </c>
      <c r="D598" s="8">
        <v>5.98</v>
      </c>
      <c r="E598" s="8">
        <v>5.94</v>
      </c>
    </row>
    <row r="599" spans="1:5" x14ac:dyDescent="0.2">
      <c r="A599" s="5">
        <f t="shared" si="27"/>
        <v>5</v>
      </c>
      <c r="B599" s="5">
        <f t="shared" si="28"/>
        <v>2015</v>
      </c>
      <c r="C599" s="7">
        <v>42139</v>
      </c>
      <c r="D599" s="8">
        <v>5.97</v>
      </c>
      <c r="E599" s="8">
        <v>5.93</v>
      </c>
    </row>
    <row r="600" spans="1:5" x14ac:dyDescent="0.2">
      <c r="A600" s="5">
        <f t="shared" si="27"/>
        <v>5</v>
      </c>
      <c r="B600" s="5">
        <f t="shared" si="28"/>
        <v>2015</v>
      </c>
      <c r="C600" s="7">
        <v>42142</v>
      </c>
      <c r="D600" s="8">
        <v>6</v>
      </c>
      <c r="E600" s="8">
        <v>5.95</v>
      </c>
    </row>
    <row r="601" spans="1:5" x14ac:dyDescent="0.2">
      <c r="A601" s="5">
        <f t="shared" si="27"/>
        <v>5</v>
      </c>
      <c r="B601" s="5">
        <f t="shared" si="28"/>
        <v>2015</v>
      </c>
      <c r="C601" s="7">
        <v>42143</v>
      </c>
      <c r="D601" s="8">
        <v>6.01</v>
      </c>
      <c r="E601" s="8">
        <v>5.95</v>
      </c>
    </row>
    <row r="602" spans="1:5" x14ac:dyDescent="0.2">
      <c r="A602" s="5">
        <f t="shared" si="27"/>
        <v>5</v>
      </c>
      <c r="B602" s="5">
        <f t="shared" si="28"/>
        <v>2015</v>
      </c>
      <c r="C602" s="7">
        <v>42144</v>
      </c>
      <c r="D602" s="8">
        <v>6.01</v>
      </c>
      <c r="E602" s="8">
        <v>5.96</v>
      </c>
    </row>
    <row r="603" spans="1:5" x14ac:dyDescent="0.2">
      <c r="A603" s="5">
        <f t="shared" si="27"/>
        <v>5</v>
      </c>
      <c r="B603" s="5">
        <f t="shared" si="28"/>
        <v>2015</v>
      </c>
      <c r="C603" s="7">
        <v>42145</v>
      </c>
      <c r="D603" s="8">
        <v>6.11</v>
      </c>
      <c r="E603" s="8">
        <v>6.03</v>
      </c>
    </row>
    <row r="604" spans="1:5" x14ac:dyDescent="0.2">
      <c r="A604" s="5">
        <f t="shared" si="27"/>
        <v>5</v>
      </c>
      <c r="B604" s="5">
        <f t="shared" si="28"/>
        <v>2015</v>
      </c>
      <c r="C604" s="7">
        <v>42146</v>
      </c>
      <c r="D604" s="8">
        <v>6.09</v>
      </c>
      <c r="E604" s="8">
        <v>6.02</v>
      </c>
    </row>
    <row r="605" spans="1:5" x14ac:dyDescent="0.2">
      <c r="A605" s="5">
        <f t="shared" si="27"/>
        <v>5</v>
      </c>
      <c r="B605" s="5">
        <f t="shared" si="28"/>
        <v>2015</v>
      </c>
      <c r="C605" s="7">
        <v>42149</v>
      </c>
      <c r="D605" s="8">
        <v>6.1</v>
      </c>
      <c r="E605" s="8">
        <v>6.01</v>
      </c>
    </row>
    <row r="606" spans="1:5" x14ac:dyDescent="0.2">
      <c r="A606" s="5">
        <f t="shared" si="27"/>
        <v>5</v>
      </c>
      <c r="B606" s="5">
        <f t="shared" si="28"/>
        <v>2015</v>
      </c>
      <c r="C606" s="7">
        <v>42150</v>
      </c>
      <c r="D606" s="8">
        <v>6.11</v>
      </c>
      <c r="E606" s="8">
        <v>6</v>
      </c>
    </row>
    <row r="607" spans="1:5" x14ac:dyDescent="0.2">
      <c r="A607" s="5">
        <f t="shared" si="27"/>
        <v>5</v>
      </c>
      <c r="B607" s="5">
        <f t="shared" si="28"/>
        <v>2015</v>
      </c>
      <c r="C607" s="7">
        <v>42151</v>
      </c>
      <c r="D607" s="8">
        <v>6.11</v>
      </c>
      <c r="E607" s="8">
        <v>6</v>
      </c>
    </row>
    <row r="608" spans="1:5" x14ac:dyDescent="0.2">
      <c r="A608" s="5">
        <f t="shared" si="27"/>
        <v>5</v>
      </c>
      <c r="B608" s="5">
        <f t="shared" si="28"/>
        <v>2015</v>
      </c>
      <c r="C608" s="7">
        <v>42152</v>
      </c>
      <c r="D608" s="8">
        <v>6.12</v>
      </c>
      <c r="E608" s="8">
        <v>5.99</v>
      </c>
    </row>
    <row r="609" spans="1:5" x14ac:dyDescent="0.2">
      <c r="A609" s="5">
        <f t="shared" si="27"/>
        <v>5</v>
      </c>
      <c r="B609" s="5">
        <f t="shared" si="28"/>
        <v>2015</v>
      </c>
      <c r="C609" s="7">
        <v>42153</v>
      </c>
      <c r="D609" s="8">
        <v>6.12</v>
      </c>
      <c r="E609" s="8">
        <v>5.99</v>
      </c>
    </row>
    <row r="610" spans="1:5" x14ac:dyDescent="0.2">
      <c r="A610" s="5">
        <f t="shared" si="27"/>
        <v>6</v>
      </c>
      <c r="B610" s="5">
        <f t="shared" si="28"/>
        <v>2015</v>
      </c>
      <c r="C610" s="7">
        <v>42156</v>
      </c>
      <c r="D610" s="8">
        <v>6.12</v>
      </c>
      <c r="E610" s="8">
        <v>5.97</v>
      </c>
    </row>
    <row r="611" spans="1:5" x14ac:dyDescent="0.2">
      <c r="A611" s="5">
        <f t="shared" si="27"/>
        <v>6</v>
      </c>
      <c r="B611" s="5">
        <f t="shared" si="28"/>
        <v>2015</v>
      </c>
      <c r="C611" s="7">
        <v>42157</v>
      </c>
      <c r="D611" s="8">
        <v>6.12</v>
      </c>
      <c r="E611" s="8">
        <v>5.97</v>
      </c>
    </row>
    <row r="612" spans="1:5" x14ac:dyDescent="0.2">
      <c r="A612" s="5">
        <f t="shared" si="27"/>
        <v>6</v>
      </c>
      <c r="B612" s="5">
        <f t="shared" si="28"/>
        <v>2015</v>
      </c>
      <c r="C612" s="7">
        <v>42158</v>
      </c>
      <c r="D612" s="8">
        <v>6.12</v>
      </c>
      <c r="E612" s="8">
        <v>5.97</v>
      </c>
    </row>
    <row r="613" spans="1:5" x14ac:dyDescent="0.2">
      <c r="A613" s="5">
        <f t="shared" si="27"/>
        <v>6</v>
      </c>
      <c r="B613" s="5">
        <f t="shared" si="28"/>
        <v>2015</v>
      </c>
      <c r="C613" s="7">
        <v>42160</v>
      </c>
      <c r="D613" s="8">
        <v>6.12</v>
      </c>
      <c r="E613" s="8">
        <v>5.95</v>
      </c>
    </row>
    <row r="614" spans="1:5" x14ac:dyDescent="0.2">
      <c r="A614" s="5">
        <f t="shared" si="27"/>
        <v>6</v>
      </c>
      <c r="B614" s="5">
        <f t="shared" si="28"/>
        <v>2015</v>
      </c>
      <c r="C614" s="7">
        <v>42163</v>
      </c>
      <c r="D614" s="8">
        <v>6.14</v>
      </c>
      <c r="E614" s="8">
        <v>5.97</v>
      </c>
    </row>
    <row r="615" spans="1:5" x14ac:dyDescent="0.2">
      <c r="A615" s="5">
        <f t="shared" si="27"/>
        <v>6</v>
      </c>
      <c r="B615" s="5">
        <f t="shared" si="28"/>
        <v>2015</v>
      </c>
      <c r="C615" s="7">
        <v>42164</v>
      </c>
      <c r="D615" s="8">
        <v>6.16</v>
      </c>
      <c r="E615" s="8">
        <v>5.97</v>
      </c>
    </row>
    <row r="616" spans="1:5" x14ac:dyDescent="0.2">
      <c r="A616" s="5">
        <f t="shared" si="27"/>
        <v>6</v>
      </c>
      <c r="B616" s="5">
        <f t="shared" si="28"/>
        <v>2015</v>
      </c>
      <c r="C616" s="7">
        <v>42165</v>
      </c>
      <c r="D616" s="8">
        <v>6.03</v>
      </c>
      <c r="E616" s="8">
        <v>6.02</v>
      </c>
    </row>
    <row r="617" spans="1:5" x14ac:dyDescent="0.2">
      <c r="A617" s="5">
        <f t="shared" si="27"/>
        <v>6</v>
      </c>
      <c r="B617" s="5">
        <f t="shared" si="28"/>
        <v>2015</v>
      </c>
      <c r="C617" s="7">
        <v>42166</v>
      </c>
      <c r="D617" s="8">
        <v>6.11</v>
      </c>
      <c r="E617" s="8">
        <v>6.09</v>
      </c>
    </row>
    <row r="618" spans="1:5" x14ac:dyDescent="0.2">
      <c r="A618" s="5">
        <f t="shared" si="27"/>
        <v>6</v>
      </c>
      <c r="B618" s="5">
        <f t="shared" si="28"/>
        <v>2015</v>
      </c>
      <c r="C618" s="7">
        <v>42167</v>
      </c>
      <c r="D618" s="8">
        <v>6.14</v>
      </c>
      <c r="E618" s="8">
        <v>6.1</v>
      </c>
    </row>
    <row r="619" spans="1:5" x14ac:dyDescent="0.2">
      <c r="A619" s="5">
        <f t="shared" si="27"/>
        <v>6</v>
      </c>
      <c r="B619" s="5">
        <f t="shared" si="28"/>
        <v>2015</v>
      </c>
      <c r="C619" s="7">
        <v>42170</v>
      </c>
      <c r="D619" s="8">
        <v>6.17</v>
      </c>
      <c r="E619" s="8">
        <v>6.09</v>
      </c>
    </row>
    <row r="620" spans="1:5" x14ac:dyDescent="0.2">
      <c r="A620" s="5">
        <f t="shared" si="27"/>
        <v>6</v>
      </c>
      <c r="B620" s="5">
        <f t="shared" si="28"/>
        <v>2015</v>
      </c>
      <c r="C620" s="7">
        <v>42171</v>
      </c>
      <c r="D620" s="8">
        <v>6.17</v>
      </c>
      <c r="E620" s="8">
        <v>6.09</v>
      </c>
    </row>
    <row r="621" spans="1:5" x14ac:dyDescent="0.2">
      <c r="A621" s="5">
        <f t="shared" si="27"/>
        <v>6</v>
      </c>
      <c r="B621" s="5">
        <f t="shared" si="28"/>
        <v>2015</v>
      </c>
      <c r="C621" s="7">
        <v>42172</v>
      </c>
      <c r="D621" s="8">
        <v>6.17</v>
      </c>
      <c r="E621" s="8">
        <v>6.09</v>
      </c>
    </row>
    <row r="622" spans="1:5" x14ac:dyDescent="0.2">
      <c r="A622" s="5">
        <f t="shared" si="27"/>
        <v>6</v>
      </c>
      <c r="B622" s="5">
        <f t="shared" si="28"/>
        <v>2015</v>
      </c>
      <c r="C622" s="7">
        <v>42173</v>
      </c>
      <c r="D622" s="8">
        <v>6.27</v>
      </c>
      <c r="E622" s="8">
        <v>6.13</v>
      </c>
    </row>
    <row r="623" spans="1:5" x14ac:dyDescent="0.2">
      <c r="A623" s="5">
        <f t="shared" si="27"/>
        <v>6</v>
      </c>
      <c r="B623" s="5">
        <f t="shared" si="28"/>
        <v>2015</v>
      </c>
      <c r="C623" s="7">
        <v>42174</v>
      </c>
      <c r="D623" s="8">
        <v>6.3</v>
      </c>
      <c r="E623" s="8">
        <v>6.13</v>
      </c>
    </row>
    <row r="624" spans="1:5" x14ac:dyDescent="0.2">
      <c r="A624" s="5">
        <f t="shared" si="27"/>
        <v>6</v>
      </c>
      <c r="B624" s="5">
        <f t="shared" si="28"/>
        <v>2015</v>
      </c>
      <c r="C624" s="7">
        <v>42177</v>
      </c>
      <c r="D624" s="8">
        <v>6.31</v>
      </c>
      <c r="E624" s="8">
        <v>6.07</v>
      </c>
    </row>
    <row r="625" spans="1:5" x14ac:dyDescent="0.2">
      <c r="A625" s="5">
        <f t="shared" si="27"/>
        <v>6</v>
      </c>
      <c r="B625" s="5">
        <f t="shared" si="28"/>
        <v>2015</v>
      </c>
      <c r="C625" s="7">
        <v>42178</v>
      </c>
      <c r="D625" s="8">
        <v>6.3</v>
      </c>
      <c r="E625" s="8">
        <v>6.04</v>
      </c>
    </row>
    <row r="626" spans="1:5" x14ac:dyDescent="0.2">
      <c r="A626" s="5">
        <f t="shared" si="27"/>
        <v>6</v>
      </c>
      <c r="B626" s="5">
        <f t="shared" si="28"/>
        <v>2015</v>
      </c>
      <c r="C626" s="7">
        <v>42179</v>
      </c>
      <c r="D626" s="8">
        <v>6.29</v>
      </c>
      <c r="E626" s="8">
        <v>6.01</v>
      </c>
    </row>
    <row r="627" spans="1:5" x14ac:dyDescent="0.2">
      <c r="A627" s="5">
        <f t="shared" si="27"/>
        <v>6</v>
      </c>
      <c r="B627" s="5">
        <f t="shared" si="28"/>
        <v>2015</v>
      </c>
      <c r="C627" s="7">
        <v>42180</v>
      </c>
      <c r="D627" s="8">
        <v>6.3</v>
      </c>
      <c r="E627" s="8">
        <v>6</v>
      </c>
    </row>
    <row r="628" spans="1:5" x14ac:dyDescent="0.2">
      <c r="A628" s="5">
        <f t="shared" si="27"/>
        <v>6</v>
      </c>
      <c r="B628" s="5">
        <f t="shared" si="28"/>
        <v>2015</v>
      </c>
      <c r="C628" s="7">
        <v>42181</v>
      </c>
      <c r="D628" s="8">
        <v>6.31</v>
      </c>
      <c r="E628" s="8">
        <v>5.99</v>
      </c>
    </row>
    <row r="629" spans="1:5" x14ac:dyDescent="0.2">
      <c r="A629" s="5">
        <f t="shared" si="27"/>
        <v>6</v>
      </c>
      <c r="B629" s="5">
        <f t="shared" si="28"/>
        <v>2015</v>
      </c>
      <c r="C629" s="7">
        <v>42184</v>
      </c>
      <c r="D629" s="8">
        <v>6.31</v>
      </c>
      <c r="E629" s="8">
        <v>5.94</v>
      </c>
    </row>
    <row r="630" spans="1:5" x14ac:dyDescent="0.2">
      <c r="A630" s="5">
        <f t="shared" si="27"/>
        <v>6</v>
      </c>
      <c r="B630" s="5">
        <f t="shared" si="28"/>
        <v>2015</v>
      </c>
      <c r="C630" s="7">
        <v>42185</v>
      </c>
      <c r="D630" s="8">
        <v>6.36</v>
      </c>
      <c r="E630" s="8">
        <v>5.92</v>
      </c>
    </row>
    <row r="631" spans="1:5" x14ac:dyDescent="0.2">
      <c r="A631" s="5">
        <f t="shared" si="27"/>
        <v>7</v>
      </c>
      <c r="B631" s="5">
        <f t="shared" si="28"/>
        <v>2015</v>
      </c>
      <c r="C631" s="7">
        <v>42186</v>
      </c>
      <c r="D631" s="8">
        <v>6.36</v>
      </c>
      <c r="E631" s="8">
        <v>5.91</v>
      </c>
    </row>
    <row r="632" spans="1:5" x14ac:dyDescent="0.2">
      <c r="A632" s="5">
        <f t="shared" si="27"/>
        <v>7</v>
      </c>
      <c r="B632" s="5">
        <f t="shared" si="28"/>
        <v>2015</v>
      </c>
      <c r="C632" s="7">
        <v>42187</v>
      </c>
      <c r="D632" s="8">
        <v>6.36</v>
      </c>
      <c r="E632" s="8">
        <v>5.9</v>
      </c>
    </row>
    <row r="633" spans="1:5" x14ac:dyDescent="0.2">
      <c r="A633" s="5">
        <f t="shared" si="27"/>
        <v>7</v>
      </c>
      <c r="B633" s="5">
        <f t="shared" si="28"/>
        <v>2015</v>
      </c>
      <c r="C633" s="7">
        <v>42188</v>
      </c>
      <c r="D633" s="8">
        <v>6.37</v>
      </c>
      <c r="E633" s="8">
        <v>5.92</v>
      </c>
    </row>
    <row r="634" spans="1:5" x14ac:dyDescent="0.2">
      <c r="A634" s="5">
        <f t="shared" si="27"/>
        <v>7</v>
      </c>
      <c r="B634" s="5">
        <f t="shared" si="28"/>
        <v>2015</v>
      </c>
      <c r="C634" s="7">
        <v>42191</v>
      </c>
      <c r="D634" s="8">
        <v>6.36</v>
      </c>
      <c r="E634" s="8">
        <v>5.87</v>
      </c>
    </row>
    <row r="635" spans="1:5" x14ac:dyDescent="0.2">
      <c r="A635" s="5">
        <f t="shared" si="27"/>
        <v>7</v>
      </c>
      <c r="B635" s="5">
        <f t="shared" si="28"/>
        <v>2015</v>
      </c>
      <c r="C635" s="7">
        <v>42192</v>
      </c>
      <c r="D635" s="8">
        <v>6.37</v>
      </c>
      <c r="E635" s="8">
        <v>5.82</v>
      </c>
    </row>
    <row r="636" spans="1:5" x14ac:dyDescent="0.2">
      <c r="A636" s="5">
        <f t="shared" si="27"/>
        <v>7</v>
      </c>
      <c r="B636" s="5">
        <f t="shared" si="28"/>
        <v>2015</v>
      </c>
      <c r="C636" s="7">
        <v>42193</v>
      </c>
      <c r="D636" s="8">
        <v>5.85</v>
      </c>
      <c r="E636" s="8">
        <v>5.85</v>
      </c>
    </row>
    <row r="637" spans="1:5" x14ac:dyDescent="0.2">
      <c r="A637" s="5">
        <f t="shared" si="27"/>
        <v>7</v>
      </c>
      <c r="B637" s="5">
        <f t="shared" si="28"/>
        <v>2015</v>
      </c>
      <c r="C637" s="7">
        <v>42194</v>
      </c>
      <c r="D637" s="8">
        <v>5.86</v>
      </c>
      <c r="E637" s="8">
        <v>5.85</v>
      </c>
    </row>
    <row r="638" spans="1:5" x14ac:dyDescent="0.2">
      <c r="A638" s="5">
        <f t="shared" si="27"/>
        <v>7</v>
      </c>
      <c r="B638" s="5">
        <f t="shared" si="28"/>
        <v>2015</v>
      </c>
      <c r="C638" s="7">
        <v>42195</v>
      </c>
      <c r="D638" s="8">
        <v>5.87</v>
      </c>
      <c r="E638" s="8">
        <v>5.85</v>
      </c>
    </row>
    <row r="639" spans="1:5" x14ac:dyDescent="0.2">
      <c r="A639" s="5">
        <f t="shared" si="27"/>
        <v>7</v>
      </c>
      <c r="B639" s="5">
        <f t="shared" si="28"/>
        <v>2015</v>
      </c>
      <c r="C639" s="7">
        <v>42198</v>
      </c>
      <c r="D639" s="8">
        <v>5.87</v>
      </c>
      <c r="E639" s="8">
        <v>5.82</v>
      </c>
    </row>
    <row r="640" spans="1:5" x14ac:dyDescent="0.2">
      <c r="A640" s="5">
        <f t="shared" si="27"/>
        <v>7</v>
      </c>
      <c r="B640" s="5">
        <f t="shared" si="28"/>
        <v>2015</v>
      </c>
      <c r="C640" s="7">
        <v>42199</v>
      </c>
      <c r="D640" s="8">
        <v>5.88</v>
      </c>
      <c r="E640" s="8">
        <v>5.83</v>
      </c>
    </row>
    <row r="641" spans="1:5" x14ac:dyDescent="0.2">
      <c r="A641" s="5">
        <f t="shared" si="27"/>
        <v>7</v>
      </c>
      <c r="B641" s="5">
        <f t="shared" si="28"/>
        <v>2015</v>
      </c>
      <c r="C641" s="7">
        <v>42200</v>
      </c>
      <c r="D641" s="8">
        <v>5.9</v>
      </c>
      <c r="E641" s="8">
        <v>5.84</v>
      </c>
    </row>
    <row r="642" spans="1:5" x14ac:dyDescent="0.2">
      <c r="A642" s="5">
        <f t="shared" si="27"/>
        <v>7</v>
      </c>
      <c r="B642" s="5">
        <f t="shared" si="28"/>
        <v>2015</v>
      </c>
      <c r="C642" s="7">
        <v>42201</v>
      </c>
      <c r="D642" s="8">
        <v>5.89</v>
      </c>
      <c r="E642" s="8">
        <v>5.82</v>
      </c>
    </row>
    <row r="643" spans="1:5" x14ac:dyDescent="0.2">
      <c r="A643" s="5">
        <f t="shared" si="27"/>
        <v>7</v>
      </c>
      <c r="B643" s="5">
        <f t="shared" si="28"/>
        <v>2015</v>
      </c>
      <c r="C643" s="7">
        <v>42202</v>
      </c>
      <c r="D643" s="8">
        <v>5.9</v>
      </c>
      <c r="E643" s="8">
        <v>5.8</v>
      </c>
    </row>
    <row r="644" spans="1:5" x14ac:dyDescent="0.2">
      <c r="A644" s="5">
        <f t="shared" ref="A644:A707" si="29">MONTH(C644)</f>
        <v>7</v>
      </c>
      <c r="B644" s="5">
        <f t="shared" ref="B644:B707" si="30">YEAR(C644)</f>
        <v>2015</v>
      </c>
      <c r="C644" s="7">
        <v>42205</v>
      </c>
      <c r="D644" s="8">
        <v>5.91</v>
      </c>
      <c r="E644" s="8">
        <v>5.76</v>
      </c>
    </row>
    <row r="645" spans="1:5" x14ac:dyDescent="0.2">
      <c r="A645" s="5">
        <f t="shared" si="29"/>
        <v>7</v>
      </c>
      <c r="B645" s="5">
        <f t="shared" si="30"/>
        <v>2015</v>
      </c>
      <c r="C645" s="7">
        <v>42206</v>
      </c>
      <c r="D645" s="8">
        <v>5.95</v>
      </c>
      <c r="E645" s="8">
        <v>5.8</v>
      </c>
    </row>
    <row r="646" spans="1:5" x14ac:dyDescent="0.2">
      <c r="A646" s="5">
        <f t="shared" si="29"/>
        <v>7</v>
      </c>
      <c r="B646" s="5">
        <f t="shared" si="30"/>
        <v>2015</v>
      </c>
      <c r="C646" s="7">
        <v>42207</v>
      </c>
      <c r="D646" s="8">
        <v>5.95</v>
      </c>
      <c r="E646" s="8">
        <v>5.79</v>
      </c>
    </row>
    <row r="647" spans="1:5" x14ac:dyDescent="0.2">
      <c r="A647" s="5">
        <f t="shared" si="29"/>
        <v>7</v>
      </c>
      <c r="B647" s="5">
        <f t="shared" si="30"/>
        <v>2015</v>
      </c>
      <c r="C647" s="7">
        <v>42208</v>
      </c>
      <c r="D647" s="8">
        <v>5.96</v>
      </c>
      <c r="E647" s="8">
        <v>5.77</v>
      </c>
    </row>
    <row r="648" spans="1:5" x14ac:dyDescent="0.2">
      <c r="A648" s="5">
        <f t="shared" si="29"/>
        <v>7</v>
      </c>
      <c r="B648" s="5">
        <f t="shared" si="30"/>
        <v>2015</v>
      </c>
      <c r="C648" s="7">
        <v>42209</v>
      </c>
      <c r="D648" s="8">
        <v>5.96</v>
      </c>
      <c r="E648" s="8">
        <v>5.76</v>
      </c>
    </row>
    <row r="649" spans="1:5" x14ac:dyDescent="0.2">
      <c r="A649" s="5">
        <f t="shared" si="29"/>
        <v>7</v>
      </c>
      <c r="B649" s="5">
        <f t="shared" si="30"/>
        <v>2015</v>
      </c>
      <c r="C649" s="7">
        <v>42212</v>
      </c>
      <c r="D649" s="8">
        <v>5.98</v>
      </c>
      <c r="E649" s="8">
        <v>5.72</v>
      </c>
    </row>
    <row r="650" spans="1:5" x14ac:dyDescent="0.2">
      <c r="A650" s="5">
        <f t="shared" si="29"/>
        <v>7</v>
      </c>
      <c r="B650" s="5">
        <f t="shared" si="30"/>
        <v>2015</v>
      </c>
      <c r="C650" s="7">
        <v>42213</v>
      </c>
      <c r="D650" s="8">
        <v>5.98</v>
      </c>
      <c r="E650" s="8">
        <v>5.71</v>
      </c>
    </row>
    <row r="651" spans="1:5" x14ac:dyDescent="0.2">
      <c r="A651" s="5">
        <f t="shared" si="29"/>
        <v>7</v>
      </c>
      <c r="B651" s="5">
        <f t="shared" si="30"/>
        <v>2015</v>
      </c>
      <c r="C651" s="7">
        <v>42214</v>
      </c>
      <c r="D651" s="8">
        <v>5.98</v>
      </c>
      <c r="E651" s="8">
        <v>5.7</v>
      </c>
    </row>
    <row r="652" spans="1:5" x14ac:dyDescent="0.2">
      <c r="A652" s="5">
        <f t="shared" si="29"/>
        <v>7</v>
      </c>
      <c r="B652" s="5">
        <f t="shared" si="30"/>
        <v>2015</v>
      </c>
      <c r="C652" s="7">
        <v>42215</v>
      </c>
      <c r="D652" s="8">
        <v>5.98</v>
      </c>
      <c r="E652" s="8">
        <v>5.68</v>
      </c>
    </row>
    <row r="653" spans="1:5" x14ac:dyDescent="0.2">
      <c r="A653" s="5">
        <f t="shared" si="29"/>
        <v>7</v>
      </c>
      <c r="B653" s="5">
        <f t="shared" si="30"/>
        <v>2015</v>
      </c>
      <c r="C653" s="7">
        <v>42216</v>
      </c>
      <c r="D653" s="8">
        <v>5.97</v>
      </c>
      <c r="E653" s="8">
        <v>5.67</v>
      </c>
    </row>
    <row r="654" spans="1:5" x14ac:dyDescent="0.2">
      <c r="A654" s="5">
        <f t="shared" si="29"/>
        <v>8</v>
      </c>
      <c r="B654" s="5">
        <f t="shared" si="30"/>
        <v>2015</v>
      </c>
      <c r="C654" s="7">
        <v>42219</v>
      </c>
      <c r="D654" s="8">
        <v>5.96</v>
      </c>
      <c r="E654" s="8">
        <v>5.63</v>
      </c>
    </row>
    <row r="655" spans="1:5" x14ac:dyDescent="0.2">
      <c r="A655" s="5">
        <f t="shared" si="29"/>
        <v>8</v>
      </c>
      <c r="B655" s="5">
        <f t="shared" si="30"/>
        <v>2015</v>
      </c>
      <c r="C655" s="7">
        <v>42220</v>
      </c>
      <c r="D655" s="8">
        <v>5.98</v>
      </c>
      <c r="E655" s="8">
        <v>5.62</v>
      </c>
    </row>
    <row r="656" spans="1:5" x14ac:dyDescent="0.2">
      <c r="A656" s="5">
        <f t="shared" si="29"/>
        <v>8</v>
      </c>
      <c r="B656" s="5">
        <f t="shared" si="30"/>
        <v>2015</v>
      </c>
      <c r="C656" s="7">
        <v>42221</v>
      </c>
      <c r="D656" s="8">
        <v>5.99</v>
      </c>
      <c r="E656" s="8">
        <v>5.6</v>
      </c>
    </row>
    <row r="657" spans="1:5" x14ac:dyDescent="0.2">
      <c r="A657" s="5">
        <f t="shared" si="29"/>
        <v>8</v>
      </c>
      <c r="B657" s="5">
        <f t="shared" si="30"/>
        <v>2015</v>
      </c>
      <c r="C657" s="7">
        <v>42222</v>
      </c>
      <c r="D657" s="8">
        <v>6</v>
      </c>
      <c r="E657" s="8">
        <v>5.6</v>
      </c>
    </row>
    <row r="658" spans="1:5" x14ac:dyDescent="0.2">
      <c r="A658" s="5">
        <f t="shared" si="29"/>
        <v>8</v>
      </c>
      <c r="B658" s="5">
        <f t="shared" si="30"/>
        <v>2015</v>
      </c>
      <c r="C658" s="7">
        <v>42223</v>
      </c>
      <c r="D658" s="8">
        <v>5.6</v>
      </c>
      <c r="E658" s="8">
        <v>5.59</v>
      </c>
    </row>
    <row r="659" spans="1:5" x14ac:dyDescent="0.2">
      <c r="A659" s="5">
        <f t="shared" si="29"/>
        <v>8</v>
      </c>
      <c r="B659" s="5">
        <f t="shared" si="30"/>
        <v>2015</v>
      </c>
      <c r="C659" s="7">
        <v>42226</v>
      </c>
      <c r="D659" s="8">
        <v>5.61</v>
      </c>
      <c r="E659" s="8">
        <v>5.6</v>
      </c>
    </row>
    <row r="660" spans="1:5" x14ac:dyDescent="0.2">
      <c r="A660" s="5">
        <f t="shared" si="29"/>
        <v>8</v>
      </c>
      <c r="B660" s="5">
        <f t="shared" si="30"/>
        <v>2015</v>
      </c>
      <c r="C660" s="7">
        <v>42227</v>
      </c>
      <c r="D660" s="8">
        <v>5.64</v>
      </c>
      <c r="E660" s="8">
        <v>5.64</v>
      </c>
    </row>
    <row r="661" spans="1:5" x14ac:dyDescent="0.2">
      <c r="A661" s="5">
        <f t="shared" si="29"/>
        <v>8</v>
      </c>
      <c r="B661" s="5">
        <f t="shared" si="30"/>
        <v>2015</v>
      </c>
      <c r="C661" s="7">
        <v>42228</v>
      </c>
      <c r="D661" s="8">
        <v>5.64</v>
      </c>
      <c r="E661" s="8">
        <v>5.64</v>
      </c>
    </row>
    <row r="662" spans="1:5" x14ac:dyDescent="0.2">
      <c r="A662" s="5">
        <f t="shared" si="29"/>
        <v>8</v>
      </c>
      <c r="B662" s="5">
        <f t="shared" si="30"/>
        <v>2015</v>
      </c>
      <c r="C662" s="7">
        <v>42229</v>
      </c>
      <c r="D662" s="8">
        <v>5.64</v>
      </c>
      <c r="E662" s="8">
        <v>5.64</v>
      </c>
    </row>
    <row r="663" spans="1:5" x14ac:dyDescent="0.2">
      <c r="A663" s="5">
        <f t="shared" si="29"/>
        <v>8</v>
      </c>
      <c r="B663" s="5">
        <f t="shared" si="30"/>
        <v>2015</v>
      </c>
      <c r="C663" s="7">
        <v>42230</v>
      </c>
      <c r="D663" s="8">
        <v>5.65</v>
      </c>
      <c r="E663" s="8">
        <v>5.65</v>
      </c>
    </row>
    <row r="664" spans="1:5" x14ac:dyDescent="0.2">
      <c r="A664" s="5">
        <f t="shared" si="29"/>
        <v>8</v>
      </c>
      <c r="B664" s="5">
        <f t="shared" si="30"/>
        <v>2015</v>
      </c>
      <c r="C664" s="7">
        <v>42233</v>
      </c>
      <c r="D664" s="8">
        <v>5.67</v>
      </c>
      <c r="E664" s="8">
        <v>5.67</v>
      </c>
    </row>
    <row r="665" spans="1:5" x14ac:dyDescent="0.2">
      <c r="A665" s="5">
        <f t="shared" si="29"/>
        <v>8</v>
      </c>
      <c r="B665" s="5">
        <f t="shared" si="30"/>
        <v>2015</v>
      </c>
      <c r="C665" s="7">
        <v>42234</v>
      </c>
      <c r="D665" s="8">
        <v>5.67</v>
      </c>
      <c r="E665" s="8">
        <v>5.67</v>
      </c>
    </row>
    <row r="666" spans="1:5" x14ac:dyDescent="0.2">
      <c r="A666" s="5">
        <f t="shared" si="29"/>
        <v>8</v>
      </c>
      <c r="B666" s="5">
        <f t="shared" si="30"/>
        <v>2015</v>
      </c>
      <c r="C666" s="7">
        <v>42235</v>
      </c>
      <c r="D666" s="8">
        <v>5.64</v>
      </c>
      <c r="E666" s="8">
        <v>5.63</v>
      </c>
    </row>
    <row r="667" spans="1:5" x14ac:dyDescent="0.2">
      <c r="A667" s="5">
        <f t="shared" si="29"/>
        <v>8</v>
      </c>
      <c r="B667" s="5">
        <f t="shared" si="30"/>
        <v>2015</v>
      </c>
      <c r="C667" s="7">
        <v>42236</v>
      </c>
      <c r="D667" s="8">
        <v>5.63</v>
      </c>
      <c r="E667" s="8">
        <v>5.63</v>
      </c>
    </row>
    <row r="668" spans="1:5" x14ac:dyDescent="0.2">
      <c r="A668" s="5">
        <f t="shared" si="29"/>
        <v>8</v>
      </c>
      <c r="B668" s="5">
        <f t="shared" si="30"/>
        <v>2015</v>
      </c>
      <c r="C668" s="7">
        <v>42237</v>
      </c>
      <c r="D668" s="8">
        <v>5.6</v>
      </c>
      <c r="E668" s="8">
        <v>5.63</v>
      </c>
    </row>
    <row r="669" spans="1:5" x14ac:dyDescent="0.2">
      <c r="A669" s="5">
        <f t="shared" si="29"/>
        <v>8</v>
      </c>
      <c r="B669" s="5">
        <f t="shared" si="30"/>
        <v>2015</v>
      </c>
      <c r="C669" s="7">
        <v>42240</v>
      </c>
      <c r="D669" s="8">
        <v>5.6</v>
      </c>
      <c r="E669" s="8">
        <v>5.62</v>
      </c>
    </row>
    <row r="670" spans="1:5" x14ac:dyDescent="0.2">
      <c r="A670" s="5">
        <f t="shared" si="29"/>
        <v>8</v>
      </c>
      <c r="B670" s="5">
        <f t="shared" si="30"/>
        <v>2015</v>
      </c>
      <c r="C670" s="7">
        <v>42241</v>
      </c>
      <c r="D670" s="8">
        <v>5.6</v>
      </c>
      <c r="E670" s="8">
        <v>5.62</v>
      </c>
    </row>
    <row r="671" spans="1:5" x14ac:dyDescent="0.2">
      <c r="A671" s="5">
        <f t="shared" si="29"/>
        <v>8</v>
      </c>
      <c r="B671" s="5">
        <f t="shared" si="30"/>
        <v>2015</v>
      </c>
      <c r="C671" s="7">
        <v>42242</v>
      </c>
      <c r="D671" s="8">
        <v>5.6</v>
      </c>
      <c r="E671" s="8">
        <v>5.64</v>
      </c>
    </row>
    <row r="672" spans="1:5" x14ac:dyDescent="0.2">
      <c r="A672" s="5">
        <f t="shared" si="29"/>
        <v>8</v>
      </c>
      <c r="B672" s="5">
        <f t="shared" si="30"/>
        <v>2015</v>
      </c>
      <c r="C672" s="7">
        <v>42243</v>
      </c>
      <c r="D672" s="8">
        <v>5.6</v>
      </c>
      <c r="E672" s="8">
        <v>5.64</v>
      </c>
    </row>
    <row r="673" spans="1:5" x14ac:dyDescent="0.2">
      <c r="A673" s="5">
        <f t="shared" si="29"/>
        <v>8</v>
      </c>
      <c r="B673" s="5">
        <f t="shared" si="30"/>
        <v>2015</v>
      </c>
      <c r="C673" s="7">
        <v>42244</v>
      </c>
      <c r="D673" s="8">
        <v>5.63</v>
      </c>
      <c r="E673" s="8">
        <v>5.65</v>
      </c>
    </row>
    <row r="674" spans="1:5" x14ac:dyDescent="0.2">
      <c r="A674" s="5">
        <f t="shared" si="29"/>
        <v>8</v>
      </c>
      <c r="B674" s="5">
        <f t="shared" si="30"/>
        <v>2015</v>
      </c>
      <c r="C674" s="7">
        <v>42247</v>
      </c>
      <c r="D674" s="8">
        <v>5.63</v>
      </c>
      <c r="E674" s="8">
        <v>5.65</v>
      </c>
    </row>
    <row r="675" spans="1:5" x14ac:dyDescent="0.2">
      <c r="A675" s="5">
        <f t="shared" si="29"/>
        <v>9</v>
      </c>
      <c r="B675" s="5">
        <f t="shared" si="30"/>
        <v>2015</v>
      </c>
      <c r="C675" s="7">
        <v>42248</v>
      </c>
      <c r="D675" s="8">
        <v>5.63</v>
      </c>
      <c r="E675" s="8">
        <v>5.65</v>
      </c>
    </row>
    <row r="676" spans="1:5" x14ac:dyDescent="0.2">
      <c r="A676" s="5">
        <f t="shared" si="29"/>
        <v>9</v>
      </c>
      <c r="B676" s="5">
        <f t="shared" si="30"/>
        <v>2015</v>
      </c>
      <c r="C676" s="7">
        <v>42249</v>
      </c>
      <c r="D676" s="8">
        <v>5.63</v>
      </c>
      <c r="E676" s="8">
        <v>5.64</v>
      </c>
    </row>
    <row r="677" spans="1:5" x14ac:dyDescent="0.2">
      <c r="A677" s="5">
        <f t="shared" si="29"/>
        <v>9</v>
      </c>
      <c r="B677" s="5">
        <f t="shared" si="30"/>
        <v>2015</v>
      </c>
      <c r="C677" s="7">
        <v>42250</v>
      </c>
      <c r="D677" s="8">
        <v>5.63</v>
      </c>
      <c r="E677" s="8">
        <v>5.64</v>
      </c>
    </row>
    <row r="678" spans="1:5" x14ac:dyDescent="0.2">
      <c r="A678" s="5">
        <f t="shared" si="29"/>
        <v>9</v>
      </c>
      <c r="B678" s="5">
        <f t="shared" si="30"/>
        <v>2015</v>
      </c>
      <c r="C678" s="7">
        <v>42251</v>
      </c>
      <c r="D678" s="8">
        <v>5.65</v>
      </c>
      <c r="E678" s="8">
        <v>5.65</v>
      </c>
    </row>
    <row r="679" spans="1:5" x14ac:dyDescent="0.2">
      <c r="A679" s="5">
        <f t="shared" si="29"/>
        <v>9</v>
      </c>
      <c r="B679" s="5">
        <f t="shared" si="30"/>
        <v>2015</v>
      </c>
      <c r="C679" s="7">
        <v>42255</v>
      </c>
      <c r="D679" s="8">
        <v>5.7</v>
      </c>
      <c r="E679" s="8">
        <v>5.7</v>
      </c>
    </row>
    <row r="680" spans="1:5" x14ac:dyDescent="0.2">
      <c r="A680" s="5">
        <f t="shared" si="29"/>
        <v>9</v>
      </c>
      <c r="B680" s="5">
        <f t="shared" si="30"/>
        <v>2015</v>
      </c>
      <c r="C680" s="7">
        <v>42256</v>
      </c>
      <c r="D680" s="8">
        <v>5.73</v>
      </c>
      <c r="E680" s="8">
        <v>5.7</v>
      </c>
    </row>
    <row r="681" spans="1:5" x14ac:dyDescent="0.2">
      <c r="A681" s="5">
        <f t="shared" si="29"/>
        <v>9</v>
      </c>
      <c r="B681" s="5">
        <f t="shared" si="30"/>
        <v>2015</v>
      </c>
      <c r="C681" s="7">
        <v>42257</v>
      </c>
      <c r="D681" s="8">
        <v>5.71</v>
      </c>
      <c r="E681" s="8">
        <v>5.71</v>
      </c>
    </row>
    <row r="682" spans="1:5" x14ac:dyDescent="0.2">
      <c r="A682" s="5">
        <f t="shared" si="29"/>
        <v>9</v>
      </c>
      <c r="B682" s="5">
        <f t="shared" si="30"/>
        <v>2015</v>
      </c>
      <c r="C682" s="7">
        <v>42258</v>
      </c>
      <c r="D682" s="8">
        <v>5.74</v>
      </c>
      <c r="E682" s="8">
        <v>5.72</v>
      </c>
    </row>
    <row r="683" spans="1:5" x14ac:dyDescent="0.2">
      <c r="A683" s="5">
        <f t="shared" si="29"/>
        <v>9</v>
      </c>
      <c r="B683" s="5">
        <f t="shared" si="30"/>
        <v>2015</v>
      </c>
      <c r="C683" s="7">
        <v>42261</v>
      </c>
      <c r="D683" s="8">
        <v>5.74</v>
      </c>
      <c r="E683" s="8">
        <v>5.72</v>
      </c>
    </row>
    <row r="684" spans="1:5" x14ac:dyDescent="0.2">
      <c r="A684" s="5">
        <f t="shared" si="29"/>
        <v>9</v>
      </c>
      <c r="B684" s="5">
        <f t="shared" si="30"/>
        <v>2015</v>
      </c>
      <c r="C684" s="7">
        <v>42262</v>
      </c>
      <c r="D684" s="8">
        <v>5.74</v>
      </c>
      <c r="E684" s="8">
        <v>5.74</v>
      </c>
    </row>
    <row r="685" spans="1:5" x14ac:dyDescent="0.2">
      <c r="A685" s="5">
        <f t="shared" si="29"/>
        <v>9</v>
      </c>
      <c r="B685" s="5">
        <f t="shared" si="30"/>
        <v>2015</v>
      </c>
      <c r="C685" s="7">
        <v>42263</v>
      </c>
      <c r="D685" s="8">
        <v>5.79</v>
      </c>
      <c r="E685" s="8">
        <v>5.76</v>
      </c>
    </row>
    <row r="686" spans="1:5" x14ac:dyDescent="0.2">
      <c r="A686" s="5">
        <f t="shared" si="29"/>
        <v>9</v>
      </c>
      <c r="B686" s="5">
        <f t="shared" si="30"/>
        <v>2015</v>
      </c>
      <c r="C686" s="7">
        <v>42264</v>
      </c>
      <c r="D686" s="8">
        <v>5.81</v>
      </c>
      <c r="E686" s="8">
        <v>5.8</v>
      </c>
    </row>
    <row r="687" spans="1:5" x14ac:dyDescent="0.2">
      <c r="A687" s="5">
        <f t="shared" si="29"/>
        <v>9</v>
      </c>
      <c r="B687" s="5">
        <f t="shared" si="30"/>
        <v>2015</v>
      </c>
      <c r="C687" s="7">
        <v>42265</v>
      </c>
      <c r="D687" s="8">
        <v>5.83</v>
      </c>
      <c r="E687" s="8">
        <v>5.82</v>
      </c>
    </row>
    <row r="688" spans="1:5" x14ac:dyDescent="0.2">
      <c r="A688" s="5">
        <f t="shared" si="29"/>
        <v>9</v>
      </c>
      <c r="B688" s="5">
        <f t="shared" si="30"/>
        <v>2015</v>
      </c>
      <c r="C688" s="7">
        <v>42268</v>
      </c>
      <c r="D688" s="8">
        <v>6.1</v>
      </c>
      <c r="E688" s="8">
        <v>6.07</v>
      </c>
    </row>
    <row r="689" spans="1:5" x14ac:dyDescent="0.2">
      <c r="A689" s="5">
        <f t="shared" si="29"/>
        <v>9</v>
      </c>
      <c r="B689" s="5">
        <f t="shared" si="30"/>
        <v>2015</v>
      </c>
      <c r="C689" s="7">
        <v>42269</v>
      </c>
      <c r="D689" s="8">
        <v>6.1</v>
      </c>
      <c r="E689" s="8">
        <v>6.07</v>
      </c>
    </row>
    <row r="690" spans="1:5" x14ac:dyDescent="0.2">
      <c r="A690" s="5">
        <f t="shared" si="29"/>
        <v>9</v>
      </c>
      <c r="B690" s="5">
        <f t="shared" si="30"/>
        <v>2015</v>
      </c>
      <c r="C690" s="7">
        <v>42270</v>
      </c>
      <c r="D690" s="8">
        <v>6.1</v>
      </c>
      <c r="E690" s="8">
        <v>6.06</v>
      </c>
    </row>
    <row r="691" spans="1:5" x14ac:dyDescent="0.2">
      <c r="A691" s="5">
        <f t="shared" si="29"/>
        <v>9</v>
      </c>
      <c r="B691" s="5">
        <f t="shared" si="30"/>
        <v>2015</v>
      </c>
      <c r="C691" s="7">
        <v>42271</v>
      </c>
      <c r="D691" s="8">
        <v>6.1</v>
      </c>
      <c r="E691" s="8">
        <v>6.06</v>
      </c>
    </row>
    <row r="692" spans="1:5" x14ac:dyDescent="0.2">
      <c r="A692" s="5">
        <f t="shared" si="29"/>
        <v>9</v>
      </c>
      <c r="B692" s="5">
        <f t="shared" si="30"/>
        <v>2015</v>
      </c>
      <c r="C692" s="7">
        <v>42272</v>
      </c>
      <c r="D692" s="8">
        <v>6.1</v>
      </c>
      <c r="E692" s="8">
        <v>6.05</v>
      </c>
    </row>
    <row r="693" spans="1:5" x14ac:dyDescent="0.2">
      <c r="A693" s="5">
        <f t="shared" si="29"/>
        <v>9</v>
      </c>
      <c r="B693" s="5">
        <f t="shared" si="30"/>
        <v>2015</v>
      </c>
      <c r="C693" s="7">
        <v>42275</v>
      </c>
      <c r="D693" s="8">
        <v>6.1</v>
      </c>
      <c r="E693" s="8">
        <v>6.05</v>
      </c>
    </row>
    <row r="694" spans="1:5" x14ac:dyDescent="0.2">
      <c r="A694" s="5">
        <f t="shared" si="29"/>
        <v>9</v>
      </c>
      <c r="B694" s="5">
        <f t="shared" si="30"/>
        <v>2015</v>
      </c>
      <c r="C694" s="7">
        <v>42276</v>
      </c>
      <c r="D694" s="8">
        <v>6.1</v>
      </c>
      <c r="E694" s="8">
        <v>6.05</v>
      </c>
    </row>
    <row r="695" spans="1:5" x14ac:dyDescent="0.2">
      <c r="A695" s="5">
        <f t="shared" si="29"/>
        <v>9</v>
      </c>
      <c r="B695" s="5">
        <f t="shared" si="30"/>
        <v>2015</v>
      </c>
      <c r="C695" s="7">
        <v>42277</v>
      </c>
      <c r="D695" s="8">
        <v>6.12</v>
      </c>
      <c r="E695" s="8">
        <v>6.05</v>
      </c>
    </row>
    <row r="696" spans="1:5" x14ac:dyDescent="0.2">
      <c r="A696" s="5">
        <f t="shared" si="29"/>
        <v>10</v>
      </c>
      <c r="B696" s="5">
        <f t="shared" si="30"/>
        <v>2015</v>
      </c>
      <c r="C696" s="7">
        <v>42278</v>
      </c>
      <c r="D696" s="8">
        <v>6.17</v>
      </c>
      <c r="E696" s="8">
        <v>6.06</v>
      </c>
    </row>
    <row r="697" spans="1:5" x14ac:dyDescent="0.2">
      <c r="A697" s="5">
        <f t="shared" si="29"/>
        <v>10</v>
      </c>
      <c r="B697" s="5">
        <f t="shared" si="30"/>
        <v>2015</v>
      </c>
      <c r="C697" s="7">
        <v>42279</v>
      </c>
      <c r="D697" s="8">
        <v>6.2</v>
      </c>
      <c r="E697" s="8">
        <v>6.11</v>
      </c>
    </row>
    <row r="698" spans="1:5" x14ac:dyDescent="0.2">
      <c r="A698" s="5">
        <f t="shared" si="29"/>
        <v>10</v>
      </c>
      <c r="B698" s="5">
        <f t="shared" si="30"/>
        <v>2015</v>
      </c>
      <c r="C698" s="7">
        <v>42282</v>
      </c>
      <c r="D698" s="8">
        <v>6.21</v>
      </c>
      <c r="E698" s="8">
        <v>6.12</v>
      </c>
    </row>
    <row r="699" spans="1:5" x14ac:dyDescent="0.2">
      <c r="A699" s="5">
        <f t="shared" si="29"/>
        <v>10</v>
      </c>
      <c r="B699" s="5">
        <f t="shared" si="30"/>
        <v>2015</v>
      </c>
      <c r="C699" s="7">
        <v>42283</v>
      </c>
      <c r="D699" s="8">
        <v>6.21</v>
      </c>
      <c r="E699" s="8">
        <v>6.11</v>
      </c>
    </row>
    <row r="700" spans="1:5" x14ac:dyDescent="0.2">
      <c r="A700" s="5">
        <f t="shared" si="29"/>
        <v>10</v>
      </c>
      <c r="B700" s="5">
        <f t="shared" si="30"/>
        <v>2015</v>
      </c>
      <c r="C700" s="7">
        <v>42284</v>
      </c>
      <c r="D700" s="8">
        <v>6.17</v>
      </c>
      <c r="E700" s="8">
        <v>6.15</v>
      </c>
    </row>
    <row r="701" spans="1:5" x14ac:dyDescent="0.2">
      <c r="A701" s="5">
        <f t="shared" si="29"/>
        <v>10</v>
      </c>
      <c r="B701" s="5">
        <f t="shared" si="30"/>
        <v>2015</v>
      </c>
      <c r="C701" s="7">
        <v>42285</v>
      </c>
      <c r="D701" s="8">
        <v>6.23</v>
      </c>
      <c r="E701" s="8">
        <v>6.23</v>
      </c>
    </row>
    <row r="702" spans="1:5" x14ac:dyDescent="0.2">
      <c r="A702" s="5">
        <f t="shared" si="29"/>
        <v>10</v>
      </c>
      <c r="B702" s="5">
        <f t="shared" si="30"/>
        <v>2015</v>
      </c>
      <c r="C702" s="7">
        <v>42286</v>
      </c>
      <c r="D702" s="8">
        <v>6.26</v>
      </c>
      <c r="E702" s="8">
        <v>6.24</v>
      </c>
    </row>
    <row r="703" spans="1:5" x14ac:dyDescent="0.2">
      <c r="A703" s="5">
        <f t="shared" si="29"/>
        <v>10</v>
      </c>
      <c r="B703" s="5">
        <f t="shared" si="30"/>
        <v>2015</v>
      </c>
      <c r="C703" s="7">
        <v>42290</v>
      </c>
      <c r="D703" s="8">
        <v>6.31</v>
      </c>
      <c r="E703" s="8">
        <v>6.26</v>
      </c>
    </row>
    <row r="704" spans="1:5" x14ac:dyDescent="0.2">
      <c r="A704" s="5">
        <f t="shared" si="29"/>
        <v>10</v>
      </c>
      <c r="B704" s="5">
        <f t="shared" si="30"/>
        <v>2015</v>
      </c>
      <c r="C704" s="7">
        <v>42291</v>
      </c>
      <c r="D704" s="8">
        <v>6.31</v>
      </c>
      <c r="E704" s="8">
        <v>6.25</v>
      </c>
    </row>
    <row r="705" spans="1:5" x14ac:dyDescent="0.2">
      <c r="A705" s="5">
        <f t="shared" si="29"/>
        <v>10</v>
      </c>
      <c r="B705" s="5">
        <f t="shared" si="30"/>
        <v>2015</v>
      </c>
      <c r="C705" s="7">
        <v>42292</v>
      </c>
      <c r="D705" s="8">
        <v>6.31</v>
      </c>
      <c r="E705" s="8">
        <v>6.24</v>
      </c>
    </row>
    <row r="706" spans="1:5" x14ac:dyDescent="0.2">
      <c r="A706" s="5">
        <f t="shared" si="29"/>
        <v>10</v>
      </c>
      <c r="B706" s="5">
        <f t="shared" si="30"/>
        <v>2015</v>
      </c>
      <c r="C706" s="7">
        <v>42293</v>
      </c>
      <c r="D706" s="8">
        <v>6.35</v>
      </c>
      <c r="E706" s="8">
        <v>6.27</v>
      </c>
    </row>
    <row r="707" spans="1:5" x14ac:dyDescent="0.2">
      <c r="A707" s="5">
        <f t="shared" si="29"/>
        <v>10</v>
      </c>
      <c r="B707" s="5">
        <f t="shared" si="30"/>
        <v>2015</v>
      </c>
      <c r="C707" s="7">
        <v>42296</v>
      </c>
      <c r="D707" s="8">
        <v>6.39</v>
      </c>
      <c r="E707" s="8">
        <v>6.31</v>
      </c>
    </row>
    <row r="708" spans="1:5" x14ac:dyDescent="0.2">
      <c r="A708" s="5">
        <f t="shared" ref="A708:A771" si="31">MONTH(C708)</f>
        <v>10</v>
      </c>
      <c r="B708" s="5">
        <f t="shared" ref="B708:B771" si="32">YEAR(C708)</f>
        <v>2015</v>
      </c>
      <c r="C708" s="7">
        <v>42297</v>
      </c>
      <c r="D708" s="8">
        <v>6.63</v>
      </c>
      <c r="E708" s="8">
        <v>6.53</v>
      </c>
    </row>
    <row r="709" spans="1:5" x14ac:dyDescent="0.2">
      <c r="A709" s="5">
        <f t="shared" si="31"/>
        <v>10</v>
      </c>
      <c r="B709" s="5">
        <f t="shared" si="32"/>
        <v>2015</v>
      </c>
      <c r="C709" s="7">
        <v>42298</v>
      </c>
      <c r="D709" s="8">
        <v>6.63</v>
      </c>
      <c r="E709" s="8">
        <v>6.52</v>
      </c>
    </row>
    <row r="710" spans="1:5" x14ac:dyDescent="0.2">
      <c r="A710" s="5">
        <f t="shared" si="31"/>
        <v>10</v>
      </c>
      <c r="B710" s="5">
        <f t="shared" si="32"/>
        <v>2015</v>
      </c>
      <c r="C710" s="7">
        <v>42299</v>
      </c>
      <c r="D710" s="8">
        <v>6.63</v>
      </c>
      <c r="E710" s="8">
        <v>6.51</v>
      </c>
    </row>
    <row r="711" spans="1:5" x14ac:dyDescent="0.2">
      <c r="A711" s="5">
        <f t="shared" si="31"/>
        <v>10</v>
      </c>
      <c r="B711" s="5">
        <f t="shared" si="32"/>
        <v>2015</v>
      </c>
      <c r="C711" s="7">
        <v>42300</v>
      </c>
      <c r="D711" s="8">
        <v>6.63</v>
      </c>
      <c r="E711" s="8">
        <v>6.5</v>
      </c>
    </row>
    <row r="712" spans="1:5" x14ac:dyDescent="0.2">
      <c r="A712" s="5">
        <f t="shared" si="31"/>
        <v>10</v>
      </c>
      <c r="B712" s="5">
        <f t="shared" si="32"/>
        <v>2015</v>
      </c>
      <c r="C712" s="7">
        <v>42303</v>
      </c>
      <c r="D712" s="8">
        <v>6.64</v>
      </c>
      <c r="E712" s="8">
        <v>6.48</v>
      </c>
    </row>
    <row r="713" spans="1:5" x14ac:dyDescent="0.2">
      <c r="A713" s="5">
        <f t="shared" si="31"/>
        <v>10</v>
      </c>
      <c r="B713" s="5">
        <f t="shared" si="32"/>
        <v>2015</v>
      </c>
      <c r="C713" s="7">
        <v>42304</v>
      </c>
      <c r="D713" s="8">
        <v>6.64</v>
      </c>
      <c r="E713" s="8">
        <v>6.47</v>
      </c>
    </row>
    <row r="714" spans="1:5" x14ac:dyDescent="0.2">
      <c r="A714" s="5">
        <f t="shared" si="31"/>
        <v>10</v>
      </c>
      <c r="B714" s="5">
        <f t="shared" si="32"/>
        <v>2015</v>
      </c>
      <c r="C714" s="7">
        <v>42305</v>
      </c>
      <c r="D714" s="8">
        <v>6.7</v>
      </c>
      <c r="E714" s="8">
        <v>6.48</v>
      </c>
    </row>
    <row r="715" spans="1:5" x14ac:dyDescent="0.2">
      <c r="A715" s="5">
        <f t="shared" si="31"/>
        <v>10</v>
      </c>
      <c r="B715" s="5">
        <f t="shared" si="32"/>
        <v>2015</v>
      </c>
      <c r="C715" s="7">
        <v>42306</v>
      </c>
      <c r="D715" s="8">
        <v>6.7</v>
      </c>
      <c r="E715" s="8">
        <v>6.47</v>
      </c>
    </row>
    <row r="716" spans="1:5" x14ac:dyDescent="0.2">
      <c r="A716" s="5">
        <f t="shared" si="31"/>
        <v>10</v>
      </c>
      <c r="B716" s="5">
        <f t="shared" si="32"/>
        <v>2015</v>
      </c>
      <c r="C716" s="7">
        <v>42307</v>
      </c>
      <c r="D716" s="8">
        <v>6.72</v>
      </c>
      <c r="E716" s="8">
        <v>6.47</v>
      </c>
    </row>
    <row r="717" spans="1:5" x14ac:dyDescent="0.2">
      <c r="A717" s="5">
        <f t="shared" si="31"/>
        <v>11</v>
      </c>
      <c r="B717" s="5">
        <f t="shared" si="32"/>
        <v>2015</v>
      </c>
      <c r="C717" s="7">
        <v>42311</v>
      </c>
      <c r="D717" s="8">
        <v>6.76</v>
      </c>
      <c r="E717" s="8">
        <v>6.5</v>
      </c>
    </row>
    <row r="718" spans="1:5" x14ac:dyDescent="0.2">
      <c r="A718" s="5">
        <f t="shared" si="31"/>
        <v>11</v>
      </c>
      <c r="B718" s="5">
        <f t="shared" si="32"/>
        <v>2015</v>
      </c>
      <c r="C718" s="7">
        <v>42312</v>
      </c>
      <c r="D718" s="8">
        <v>6.78</v>
      </c>
      <c r="E718" s="8">
        <v>6.49</v>
      </c>
    </row>
    <row r="719" spans="1:5" x14ac:dyDescent="0.2">
      <c r="A719" s="5">
        <f t="shared" si="31"/>
        <v>11</v>
      </c>
      <c r="B719" s="5">
        <f t="shared" si="32"/>
        <v>2015</v>
      </c>
      <c r="C719" s="7">
        <v>42313</v>
      </c>
      <c r="D719" s="8">
        <v>6.79</v>
      </c>
      <c r="E719" s="8">
        <v>6.61</v>
      </c>
    </row>
    <row r="720" spans="1:5" x14ac:dyDescent="0.2">
      <c r="A720" s="5">
        <f t="shared" si="31"/>
        <v>11</v>
      </c>
      <c r="B720" s="5">
        <f t="shared" si="32"/>
        <v>2015</v>
      </c>
      <c r="C720" s="7">
        <v>42314</v>
      </c>
      <c r="D720" s="8">
        <v>6.67</v>
      </c>
      <c r="E720" s="8">
        <v>6.7</v>
      </c>
    </row>
    <row r="721" spans="1:5" x14ac:dyDescent="0.2">
      <c r="A721" s="5">
        <f t="shared" si="31"/>
        <v>11</v>
      </c>
      <c r="B721" s="5">
        <f t="shared" si="32"/>
        <v>2015</v>
      </c>
      <c r="C721" s="7">
        <v>42317</v>
      </c>
      <c r="D721" s="8">
        <v>6.67</v>
      </c>
      <c r="E721" s="8">
        <v>6.72</v>
      </c>
    </row>
    <row r="722" spans="1:5" x14ac:dyDescent="0.2">
      <c r="A722" s="5">
        <f t="shared" si="31"/>
        <v>11</v>
      </c>
      <c r="B722" s="5">
        <f t="shared" si="32"/>
        <v>2015</v>
      </c>
      <c r="C722" s="7">
        <v>42318</v>
      </c>
      <c r="D722" s="8">
        <v>6.73</v>
      </c>
      <c r="E722" s="8">
        <v>6.74</v>
      </c>
    </row>
    <row r="723" spans="1:5" x14ac:dyDescent="0.2">
      <c r="A723" s="5">
        <f t="shared" si="31"/>
        <v>11</v>
      </c>
      <c r="B723" s="5">
        <f t="shared" si="32"/>
        <v>2015</v>
      </c>
      <c r="C723" s="7">
        <v>42319</v>
      </c>
      <c r="D723" s="8">
        <v>6.74</v>
      </c>
      <c r="E723" s="8">
        <v>6.72</v>
      </c>
    </row>
    <row r="724" spans="1:5" x14ac:dyDescent="0.2">
      <c r="A724" s="5">
        <f t="shared" si="31"/>
        <v>11</v>
      </c>
      <c r="B724" s="5">
        <f t="shared" si="32"/>
        <v>2015</v>
      </c>
      <c r="C724" s="7">
        <v>42320</v>
      </c>
      <c r="D724" s="8">
        <v>6.74</v>
      </c>
      <c r="E724" s="8">
        <v>6.72</v>
      </c>
    </row>
    <row r="725" spans="1:5" x14ac:dyDescent="0.2">
      <c r="A725" s="5">
        <f t="shared" si="31"/>
        <v>11</v>
      </c>
      <c r="B725" s="5">
        <f t="shared" si="32"/>
        <v>2015</v>
      </c>
      <c r="C725" s="7">
        <v>42321</v>
      </c>
      <c r="D725" s="8">
        <v>6.77</v>
      </c>
      <c r="E725" s="8">
        <v>6.76</v>
      </c>
    </row>
    <row r="726" spans="1:5" x14ac:dyDescent="0.2">
      <c r="A726" s="5">
        <f t="shared" si="31"/>
        <v>11</v>
      </c>
      <c r="B726" s="5">
        <f t="shared" si="32"/>
        <v>2015</v>
      </c>
      <c r="C726" s="7">
        <v>42324</v>
      </c>
      <c r="D726" s="8">
        <v>6.9</v>
      </c>
      <c r="E726" s="8">
        <v>6.84</v>
      </c>
    </row>
    <row r="727" spans="1:5" x14ac:dyDescent="0.2">
      <c r="A727" s="5">
        <f t="shared" si="31"/>
        <v>11</v>
      </c>
      <c r="B727" s="5">
        <f t="shared" si="32"/>
        <v>2015</v>
      </c>
      <c r="C727" s="7">
        <v>42325</v>
      </c>
      <c r="D727" s="8">
        <v>6.94</v>
      </c>
      <c r="E727" s="8">
        <v>6.87</v>
      </c>
    </row>
    <row r="728" spans="1:5" x14ac:dyDescent="0.2">
      <c r="A728" s="5">
        <f t="shared" si="31"/>
        <v>11</v>
      </c>
      <c r="B728" s="5">
        <f t="shared" si="32"/>
        <v>2015</v>
      </c>
      <c r="C728" s="7">
        <v>42326</v>
      </c>
      <c r="D728" s="8">
        <v>7.19</v>
      </c>
      <c r="E728" s="8">
        <v>7.11</v>
      </c>
    </row>
    <row r="729" spans="1:5" x14ac:dyDescent="0.2">
      <c r="A729" s="5">
        <f t="shared" si="31"/>
        <v>11</v>
      </c>
      <c r="B729" s="5">
        <f t="shared" si="32"/>
        <v>2015</v>
      </c>
      <c r="C729" s="7">
        <v>42327</v>
      </c>
      <c r="D729" s="8">
        <v>7.21</v>
      </c>
      <c r="E729" s="8">
        <v>7.11</v>
      </c>
    </row>
    <row r="730" spans="1:5" x14ac:dyDescent="0.2">
      <c r="A730" s="5">
        <f t="shared" si="31"/>
        <v>11</v>
      </c>
      <c r="B730" s="5">
        <f t="shared" si="32"/>
        <v>2015</v>
      </c>
      <c r="C730" s="7">
        <v>42328</v>
      </c>
      <c r="D730" s="8">
        <v>7.23</v>
      </c>
      <c r="E730" s="8">
        <v>7.13</v>
      </c>
    </row>
    <row r="731" spans="1:5" x14ac:dyDescent="0.2">
      <c r="A731" s="5">
        <f t="shared" si="31"/>
        <v>11</v>
      </c>
      <c r="B731" s="5">
        <f t="shared" si="32"/>
        <v>2015</v>
      </c>
      <c r="C731" s="7">
        <v>42331</v>
      </c>
      <c r="D731" s="8">
        <v>7.23</v>
      </c>
      <c r="E731" s="8">
        <v>7.13</v>
      </c>
    </row>
    <row r="732" spans="1:5" x14ac:dyDescent="0.2">
      <c r="A732" s="5">
        <f t="shared" si="31"/>
        <v>11</v>
      </c>
      <c r="B732" s="5">
        <f t="shared" si="32"/>
        <v>2015</v>
      </c>
      <c r="C732" s="7">
        <v>42332</v>
      </c>
      <c r="D732" s="8">
        <v>7.27</v>
      </c>
      <c r="E732" s="8">
        <v>7.12</v>
      </c>
    </row>
    <row r="733" spans="1:5" x14ac:dyDescent="0.2">
      <c r="A733" s="5">
        <f t="shared" si="31"/>
        <v>11</v>
      </c>
      <c r="B733" s="5">
        <f t="shared" si="32"/>
        <v>2015</v>
      </c>
      <c r="C733" s="7">
        <v>42333</v>
      </c>
      <c r="D733" s="8">
        <v>7.27</v>
      </c>
      <c r="E733" s="8">
        <v>7.12</v>
      </c>
    </row>
    <row r="734" spans="1:5" x14ac:dyDescent="0.2">
      <c r="A734" s="5">
        <f t="shared" si="31"/>
        <v>11</v>
      </c>
      <c r="B734" s="5">
        <f t="shared" si="32"/>
        <v>2015</v>
      </c>
      <c r="C734" s="7">
        <v>42334</v>
      </c>
      <c r="D734" s="8">
        <v>7.27</v>
      </c>
      <c r="E734" s="8">
        <v>7.11</v>
      </c>
    </row>
    <row r="735" spans="1:5" x14ac:dyDescent="0.2">
      <c r="A735" s="5">
        <f t="shared" si="31"/>
        <v>11</v>
      </c>
      <c r="B735" s="5">
        <f t="shared" si="32"/>
        <v>2015</v>
      </c>
      <c r="C735" s="7">
        <v>42335</v>
      </c>
      <c r="D735" s="8">
        <v>7.26</v>
      </c>
      <c r="E735" s="8">
        <v>7.08</v>
      </c>
    </row>
    <row r="736" spans="1:5" x14ac:dyDescent="0.2">
      <c r="A736" s="5">
        <f t="shared" si="31"/>
        <v>11</v>
      </c>
      <c r="B736" s="5">
        <f t="shared" si="32"/>
        <v>2015</v>
      </c>
      <c r="C736" s="7">
        <v>42338</v>
      </c>
      <c r="D736" s="8">
        <v>7.26</v>
      </c>
      <c r="E736" s="8">
        <v>7.03</v>
      </c>
    </row>
    <row r="737" spans="1:5" x14ac:dyDescent="0.2">
      <c r="A737" s="5">
        <f t="shared" si="31"/>
        <v>12</v>
      </c>
      <c r="B737" s="5">
        <f t="shared" si="32"/>
        <v>2015</v>
      </c>
      <c r="C737" s="7">
        <v>42339</v>
      </c>
      <c r="D737" s="8">
        <v>7.27</v>
      </c>
      <c r="E737" s="8">
        <v>7.03</v>
      </c>
    </row>
    <row r="738" spans="1:5" x14ac:dyDescent="0.2">
      <c r="A738" s="5">
        <f t="shared" si="31"/>
        <v>12</v>
      </c>
      <c r="B738" s="5">
        <f t="shared" si="32"/>
        <v>2015</v>
      </c>
      <c r="C738" s="7">
        <v>42340</v>
      </c>
      <c r="D738" s="8">
        <v>7.27</v>
      </c>
      <c r="E738" s="8">
        <v>7.02</v>
      </c>
    </row>
    <row r="739" spans="1:5" x14ac:dyDescent="0.2">
      <c r="A739" s="5">
        <f t="shared" si="31"/>
        <v>12</v>
      </c>
      <c r="B739" s="5">
        <f t="shared" si="32"/>
        <v>2015</v>
      </c>
      <c r="C739" s="7">
        <v>42341</v>
      </c>
      <c r="D739" s="8">
        <v>7.26</v>
      </c>
      <c r="E739" s="8">
        <v>7</v>
      </c>
    </row>
    <row r="740" spans="1:5" x14ac:dyDescent="0.2">
      <c r="A740" s="5">
        <f t="shared" si="31"/>
        <v>12</v>
      </c>
      <c r="B740" s="5">
        <f t="shared" si="32"/>
        <v>2015</v>
      </c>
      <c r="C740" s="7">
        <v>42342</v>
      </c>
      <c r="D740" s="8">
        <v>7.26</v>
      </c>
      <c r="E740" s="8">
        <v>6.99</v>
      </c>
    </row>
    <row r="741" spans="1:5" x14ac:dyDescent="0.2">
      <c r="A741" s="5">
        <f t="shared" si="31"/>
        <v>12</v>
      </c>
      <c r="B741" s="5">
        <f t="shared" si="32"/>
        <v>2015</v>
      </c>
      <c r="C741" s="7">
        <v>42345</v>
      </c>
      <c r="D741" s="8">
        <v>7.3</v>
      </c>
      <c r="E741" s="8">
        <v>7.03</v>
      </c>
    </row>
    <row r="742" spans="1:5" x14ac:dyDescent="0.2">
      <c r="A742" s="5">
        <f t="shared" si="31"/>
        <v>12</v>
      </c>
      <c r="B742" s="5">
        <f t="shared" si="32"/>
        <v>2015</v>
      </c>
      <c r="C742" s="7">
        <v>42346</v>
      </c>
      <c r="D742" s="8">
        <v>7.32</v>
      </c>
      <c r="E742" s="8">
        <v>6.96</v>
      </c>
    </row>
    <row r="743" spans="1:5" x14ac:dyDescent="0.2">
      <c r="A743" s="5">
        <f t="shared" si="31"/>
        <v>12</v>
      </c>
      <c r="B743" s="5">
        <f t="shared" si="32"/>
        <v>2015</v>
      </c>
      <c r="C743" s="7">
        <v>42347</v>
      </c>
      <c r="D743" s="8">
        <v>6.96</v>
      </c>
      <c r="E743" s="8">
        <v>6.99</v>
      </c>
    </row>
    <row r="744" spans="1:5" x14ac:dyDescent="0.2">
      <c r="A744" s="5">
        <f t="shared" si="31"/>
        <v>12</v>
      </c>
      <c r="B744" s="5">
        <f t="shared" si="32"/>
        <v>2015</v>
      </c>
      <c r="C744" s="7">
        <v>42348</v>
      </c>
      <c r="D744" s="8">
        <v>7.03</v>
      </c>
      <c r="E744" s="8">
        <v>7</v>
      </c>
    </row>
    <row r="745" spans="1:5" x14ac:dyDescent="0.2">
      <c r="A745" s="5">
        <f t="shared" si="31"/>
        <v>12</v>
      </c>
      <c r="B745" s="5">
        <f t="shared" si="32"/>
        <v>2015</v>
      </c>
      <c r="C745" s="7">
        <v>42349</v>
      </c>
      <c r="D745" s="8">
        <v>7.03</v>
      </c>
      <c r="E745" s="8">
        <v>7.01</v>
      </c>
    </row>
    <row r="746" spans="1:5" x14ac:dyDescent="0.2">
      <c r="A746" s="5">
        <f t="shared" si="31"/>
        <v>12</v>
      </c>
      <c r="B746" s="5">
        <f t="shared" si="32"/>
        <v>2015</v>
      </c>
      <c r="C746" s="7">
        <v>42352</v>
      </c>
      <c r="D746" s="8">
        <v>7.03</v>
      </c>
      <c r="E746" s="8">
        <v>6.97</v>
      </c>
    </row>
    <row r="747" spans="1:5" x14ac:dyDescent="0.2">
      <c r="A747" s="5">
        <f t="shared" si="31"/>
        <v>12</v>
      </c>
      <c r="B747" s="5">
        <f t="shared" si="32"/>
        <v>2015</v>
      </c>
      <c r="C747" s="7">
        <v>42353</v>
      </c>
      <c r="D747" s="8">
        <v>7.03</v>
      </c>
      <c r="E747" s="8">
        <v>6.96</v>
      </c>
    </row>
    <row r="748" spans="1:5" x14ac:dyDescent="0.2">
      <c r="A748" s="5">
        <f t="shared" si="31"/>
        <v>12</v>
      </c>
      <c r="B748" s="5">
        <f t="shared" si="32"/>
        <v>2015</v>
      </c>
      <c r="C748" s="7">
        <v>42354</v>
      </c>
      <c r="D748" s="8">
        <v>7.04</v>
      </c>
      <c r="E748" s="8">
        <v>6.97</v>
      </c>
    </row>
    <row r="749" spans="1:5" x14ac:dyDescent="0.2">
      <c r="A749" s="5">
        <f t="shared" si="31"/>
        <v>12</v>
      </c>
      <c r="B749" s="5">
        <f t="shared" si="32"/>
        <v>2015</v>
      </c>
      <c r="C749" s="7">
        <v>42355</v>
      </c>
      <c r="D749" s="8">
        <v>7.11</v>
      </c>
      <c r="E749" s="8">
        <v>7.05</v>
      </c>
    </row>
    <row r="750" spans="1:5" x14ac:dyDescent="0.2">
      <c r="A750" s="5">
        <f t="shared" si="31"/>
        <v>12</v>
      </c>
      <c r="B750" s="5">
        <f t="shared" si="32"/>
        <v>2015</v>
      </c>
      <c r="C750" s="7">
        <v>42356</v>
      </c>
      <c r="D750" s="8">
        <v>7.12</v>
      </c>
      <c r="E750" s="8">
        <v>7.04</v>
      </c>
    </row>
    <row r="751" spans="1:5" x14ac:dyDescent="0.2">
      <c r="A751" s="5">
        <f t="shared" si="31"/>
        <v>12</v>
      </c>
      <c r="B751" s="5">
        <f t="shared" si="32"/>
        <v>2015</v>
      </c>
      <c r="C751" s="7">
        <v>42359</v>
      </c>
      <c r="D751" s="8">
        <v>7.12</v>
      </c>
      <c r="E751" s="8">
        <v>6.99</v>
      </c>
    </row>
    <row r="752" spans="1:5" x14ac:dyDescent="0.2">
      <c r="A752" s="5">
        <f t="shared" si="31"/>
        <v>12</v>
      </c>
      <c r="B752" s="5">
        <f t="shared" si="32"/>
        <v>2015</v>
      </c>
      <c r="C752" s="7">
        <v>42360</v>
      </c>
      <c r="D752" s="8">
        <v>7.12</v>
      </c>
      <c r="E752" s="8">
        <v>6.98</v>
      </c>
    </row>
    <row r="753" spans="1:5" x14ac:dyDescent="0.2">
      <c r="A753" s="5">
        <f t="shared" si="31"/>
        <v>12</v>
      </c>
      <c r="B753" s="5">
        <f t="shared" si="32"/>
        <v>2015</v>
      </c>
      <c r="C753" s="7">
        <v>42361</v>
      </c>
      <c r="D753" s="8">
        <v>7.12</v>
      </c>
      <c r="E753" s="8">
        <v>6.98</v>
      </c>
    </row>
    <row r="754" spans="1:5" x14ac:dyDescent="0.2">
      <c r="A754" s="5">
        <f t="shared" si="31"/>
        <v>12</v>
      </c>
      <c r="B754" s="5">
        <f t="shared" si="32"/>
        <v>2015</v>
      </c>
      <c r="C754" s="7">
        <v>42362</v>
      </c>
      <c r="D754" s="8">
        <v>7.12</v>
      </c>
      <c r="E754" s="8">
        <v>6.98</v>
      </c>
    </row>
    <row r="755" spans="1:5" x14ac:dyDescent="0.2">
      <c r="A755" s="5">
        <f t="shared" si="31"/>
        <v>12</v>
      </c>
      <c r="B755" s="5">
        <f t="shared" si="32"/>
        <v>2015</v>
      </c>
      <c r="C755" s="7">
        <v>42366</v>
      </c>
      <c r="D755" s="8">
        <v>7.12</v>
      </c>
      <c r="E755" s="8">
        <v>6.94</v>
      </c>
    </row>
    <row r="756" spans="1:5" x14ac:dyDescent="0.2">
      <c r="A756" s="5">
        <f t="shared" si="31"/>
        <v>12</v>
      </c>
      <c r="B756" s="5">
        <f t="shared" si="32"/>
        <v>2015</v>
      </c>
      <c r="C756" s="7">
        <v>42367</v>
      </c>
      <c r="D756" s="8">
        <v>7.12</v>
      </c>
      <c r="E756" s="8">
        <v>6.94</v>
      </c>
    </row>
    <row r="757" spans="1:5" x14ac:dyDescent="0.2">
      <c r="A757" s="5">
        <f t="shared" si="31"/>
        <v>12</v>
      </c>
      <c r="B757" s="5">
        <f t="shared" si="32"/>
        <v>2015</v>
      </c>
      <c r="C757" s="7">
        <v>42368</v>
      </c>
      <c r="D757" s="8">
        <v>7.17</v>
      </c>
      <c r="E757" s="8">
        <v>6.95</v>
      </c>
    </row>
    <row r="758" spans="1:5" x14ac:dyDescent="0.2">
      <c r="A758" s="5">
        <f t="shared" si="31"/>
        <v>12</v>
      </c>
      <c r="B758" s="5">
        <f t="shared" si="32"/>
        <v>2015</v>
      </c>
      <c r="C758" s="7">
        <v>42369</v>
      </c>
      <c r="D758" s="8">
        <v>7.18</v>
      </c>
      <c r="E758" s="8">
        <v>6.94</v>
      </c>
    </row>
    <row r="759" spans="1:5" x14ac:dyDescent="0.2">
      <c r="A759" s="5">
        <f t="shared" si="31"/>
        <v>1</v>
      </c>
      <c r="B759" s="5">
        <f t="shared" si="32"/>
        <v>2016</v>
      </c>
      <c r="C759" s="7">
        <v>42373</v>
      </c>
      <c r="D759" s="8">
        <v>7.23</v>
      </c>
      <c r="E759" s="8">
        <v>6.91</v>
      </c>
    </row>
    <row r="760" spans="1:5" x14ac:dyDescent="0.2">
      <c r="A760" s="5">
        <f t="shared" si="31"/>
        <v>1</v>
      </c>
      <c r="B760" s="5">
        <f t="shared" si="32"/>
        <v>2016</v>
      </c>
      <c r="C760" s="7">
        <v>42374</v>
      </c>
      <c r="D760" s="8">
        <v>7.23</v>
      </c>
      <c r="E760" s="8">
        <v>6.9</v>
      </c>
    </row>
    <row r="761" spans="1:5" x14ac:dyDescent="0.2">
      <c r="A761" s="5">
        <f t="shared" si="31"/>
        <v>1</v>
      </c>
      <c r="B761" s="5">
        <f t="shared" si="32"/>
        <v>2016</v>
      </c>
      <c r="C761" s="7">
        <v>42375</v>
      </c>
      <c r="D761" s="8">
        <v>7.23</v>
      </c>
      <c r="E761" s="8">
        <v>6.89</v>
      </c>
    </row>
    <row r="762" spans="1:5" x14ac:dyDescent="0.2">
      <c r="A762" s="5">
        <f t="shared" si="31"/>
        <v>1</v>
      </c>
      <c r="B762" s="5">
        <f t="shared" si="32"/>
        <v>2016</v>
      </c>
      <c r="C762" s="7">
        <v>42376</v>
      </c>
      <c r="D762" s="8">
        <v>7.23</v>
      </c>
      <c r="E762" s="8">
        <v>6.88</v>
      </c>
    </row>
    <row r="763" spans="1:5" x14ac:dyDescent="0.2">
      <c r="A763" s="5">
        <f t="shared" si="31"/>
        <v>1</v>
      </c>
      <c r="B763" s="5">
        <f t="shared" si="32"/>
        <v>2016</v>
      </c>
      <c r="C763" s="7">
        <v>42377</v>
      </c>
      <c r="D763" s="8">
        <v>6.93</v>
      </c>
      <c r="E763" s="8">
        <v>6.79</v>
      </c>
    </row>
    <row r="764" spans="1:5" x14ac:dyDescent="0.2">
      <c r="A764" s="5">
        <f t="shared" si="31"/>
        <v>1</v>
      </c>
      <c r="B764" s="5">
        <f t="shared" si="32"/>
        <v>2016</v>
      </c>
      <c r="C764" s="7">
        <v>42380</v>
      </c>
      <c r="D764" s="8">
        <v>7</v>
      </c>
      <c r="E764" s="8">
        <v>6.79</v>
      </c>
    </row>
    <row r="765" spans="1:5" x14ac:dyDescent="0.2">
      <c r="A765" s="5">
        <f t="shared" si="31"/>
        <v>1</v>
      </c>
      <c r="B765" s="5">
        <f t="shared" si="32"/>
        <v>2016</v>
      </c>
      <c r="C765" s="7">
        <v>42381</v>
      </c>
      <c r="D765" s="8">
        <v>7</v>
      </c>
      <c r="E765" s="8">
        <v>6.81</v>
      </c>
    </row>
    <row r="766" spans="1:5" x14ac:dyDescent="0.2">
      <c r="A766" s="5">
        <f t="shared" si="31"/>
        <v>1</v>
      </c>
      <c r="B766" s="5">
        <f t="shared" si="32"/>
        <v>2016</v>
      </c>
      <c r="C766" s="7">
        <v>42382</v>
      </c>
      <c r="D766" s="8">
        <v>7</v>
      </c>
      <c r="E766" s="8">
        <v>6.81</v>
      </c>
    </row>
    <row r="767" spans="1:5" x14ac:dyDescent="0.2">
      <c r="A767" s="5">
        <f t="shared" si="31"/>
        <v>1</v>
      </c>
      <c r="B767" s="5">
        <f t="shared" si="32"/>
        <v>2016</v>
      </c>
      <c r="C767" s="7">
        <v>42383</v>
      </c>
      <c r="D767" s="8">
        <v>6.99</v>
      </c>
      <c r="E767" s="8">
        <v>6.8</v>
      </c>
    </row>
    <row r="768" spans="1:5" x14ac:dyDescent="0.2">
      <c r="A768" s="5">
        <f t="shared" si="31"/>
        <v>1</v>
      </c>
      <c r="B768" s="5">
        <f t="shared" si="32"/>
        <v>2016</v>
      </c>
      <c r="C768" s="7">
        <v>42384</v>
      </c>
      <c r="D768" s="8">
        <v>7</v>
      </c>
      <c r="E768" s="8">
        <v>6.83</v>
      </c>
    </row>
    <row r="769" spans="1:5" x14ac:dyDescent="0.2">
      <c r="A769" s="5">
        <f t="shared" si="31"/>
        <v>1</v>
      </c>
      <c r="B769" s="5">
        <f t="shared" si="32"/>
        <v>2016</v>
      </c>
      <c r="C769" s="7">
        <v>42387</v>
      </c>
      <c r="D769" s="8">
        <v>7.08</v>
      </c>
      <c r="E769" s="8">
        <v>6.91</v>
      </c>
    </row>
    <row r="770" spans="1:5" x14ac:dyDescent="0.2">
      <c r="A770" s="5">
        <f t="shared" si="31"/>
        <v>1</v>
      </c>
      <c r="B770" s="5">
        <f t="shared" si="32"/>
        <v>2016</v>
      </c>
      <c r="C770" s="7">
        <v>42388</v>
      </c>
      <c r="D770" s="8">
        <v>7.09</v>
      </c>
      <c r="E770" s="8">
        <v>6.91</v>
      </c>
    </row>
    <row r="771" spans="1:5" x14ac:dyDescent="0.2">
      <c r="A771" s="5">
        <f t="shared" si="31"/>
        <v>1</v>
      </c>
      <c r="B771" s="5">
        <f t="shared" si="32"/>
        <v>2016</v>
      </c>
      <c r="C771" s="7">
        <v>42389</v>
      </c>
      <c r="D771" s="8">
        <v>7.1</v>
      </c>
      <c r="E771" s="8">
        <v>6.92</v>
      </c>
    </row>
    <row r="772" spans="1:5" x14ac:dyDescent="0.2">
      <c r="A772" s="5">
        <f t="shared" ref="A772:A835" si="33">MONTH(C772)</f>
        <v>1</v>
      </c>
      <c r="B772" s="5">
        <f t="shared" ref="B772:B835" si="34">YEAR(C772)</f>
        <v>2016</v>
      </c>
      <c r="C772" s="7">
        <v>42390</v>
      </c>
      <c r="D772" s="8">
        <v>7.22</v>
      </c>
      <c r="E772" s="8">
        <v>6.93</v>
      </c>
    </row>
    <row r="773" spans="1:5" x14ac:dyDescent="0.2">
      <c r="A773" s="5">
        <f t="shared" si="33"/>
        <v>1</v>
      </c>
      <c r="B773" s="5">
        <f t="shared" si="34"/>
        <v>2016</v>
      </c>
      <c r="C773" s="7">
        <v>42391</v>
      </c>
      <c r="D773" s="8">
        <v>7.23</v>
      </c>
      <c r="E773" s="8">
        <v>6.91</v>
      </c>
    </row>
    <row r="774" spans="1:5" x14ac:dyDescent="0.2">
      <c r="A774" s="5">
        <f t="shared" si="33"/>
        <v>1</v>
      </c>
      <c r="B774" s="5">
        <f t="shared" si="34"/>
        <v>2016</v>
      </c>
      <c r="C774" s="7">
        <v>42394</v>
      </c>
      <c r="D774" s="8">
        <v>7.23</v>
      </c>
      <c r="E774" s="8">
        <v>6.87</v>
      </c>
    </row>
    <row r="775" spans="1:5" x14ac:dyDescent="0.2">
      <c r="A775" s="5">
        <f t="shared" si="33"/>
        <v>1</v>
      </c>
      <c r="B775" s="5">
        <f t="shared" si="34"/>
        <v>2016</v>
      </c>
      <c r="C775" s="7">
        <v>42395</v>
      </c>
      <c r="D775" s="8">
        <v>7.23</v>
      </c>
      <c r="E775" s="8">
        <v>6.86</v>
      </c>
    </row>
    <row r="776" spans="1:5" x14ac:dyDescent="0.2">
      <c r="A776" s="5">
        <f t="shared" si="33"/>
        <v>1</v>
      </c>
      <c r="B776" s="5">
        <f t="shared" si="34"/>
        <v>2016</v>
      </c>
      <c r="C776" s="7">
        <v>42396</v>
      </c>
      <c r="D776" s="8">
        <v>7.24</v>
      </c>
      <c r="E776" s="8">
        <v>6.84</v>
      </c>
    </row>
    <row r="777" spans="1:5" x14ac:dyDescent="0.2">
      <c r="A777" s="5">
        <f t="shared" si="33"/>
        <v>1</v>
      </c>
      <c r="B777" s="5">
        <f t="shared" si="34"/>
        <v>2016</v>
      </c>
      <c r="C777" s="7">
        <v>42397</v>
      </c>
      <c r="D777" s="8">
        <v>7.24</v>
      </c>
      <c r="E777" s="8">
        <v>6.83</v>
      </c>
    </row>
    <row r="778" spans="1:5" x14ac:dyDescent="0.2">
      <c r="A778" s="5">
        <f t="shared" si="33"/>
        <v>1</v>
      </c>
      <c r="B778" s="5">
        <f t="shared" si="34"/>
        <v>2016</v>
      </c>
      <c r="C778" s="7">
        <v>42398</v>
      </c>
      <c r="D778" s="8">
        <v>7.26</v>
      </c>
      <c r="E778" s="8">
        <v>6.82</v>
      </c>
    </row>
    <row r="779" spans="1:5" x14ac:dyDescent="0.2">
      <c r="A779" s="5">
        <f t="shared" si="33"/>
        <v>2</v>
      </c>
      <c r="B779" s="5">
        <f t="shared" si="34"/>
        <v>2016</v>
      </c>
      <c r="C779" s="7">
        <v>42401</v>
      </c>
      <c r="D779" s="8">
        <v>7.29</v>
      </c>
      <c r="E779" s="8">
        <v>6.83</v>
      </c>
    </row>
    <row r="780" spans="1:5" x14ac:dyDescent="0.2">
      <c r="A780" s="5">
        <f t="shared" si="33"/>
        <v>2</v>
      </c>
      <c r="B780" s="5">
        <f t="shared" si="34"/>
        <v>2016</v>
      </c>
      <c r="C780" s="7">
        <v>42402</v>
      </c>
      <c r="D780" s="8">
        <v>7.27</v>
      </c>
      <c r="E780" s="8">
        <v>6.79</v>
      </c>
    </row>
    <row r="781" spans="1:5" x14ac:dyDescent="0.2">
      <c r="A781" s="5">
        <f t="shared" si="33"/>
        <v>2</v>
      </c>
      <c r="B781" s="5">
        <f t="shared" si="34"/>
        <v>2016</v>
      </c>
      <c r="C781" s="7">
        <v>42403</v>
      </c>
      <c r="D781" s="8">
        <v>7.29</v>
      </c>
      <c r="E781" s="8">
        <v>6.79</v>
      </c>
    </row>
    <row r="782" spans="1:5" x14ac:dyDescent="0.2">
      <c r="A782" s="5">
        <f t="shared" si="33"/>
        <v>2</v>
      </c>
      <c r="B782" s="5">
        <f t="shared" si="34"/>
        <v>2016</v>
      </c>
      <c r="C782" s="7">
        <v>42404</v>
      </c>
      <c r="D782" s="8">
        <v>7.3</v>
      </c>
      <c r="E782" s="8">
        <v>6.78</v>
      </c>
    </row>
    <row r="783" spans="1:5" x14ac:dyDescent="0.2">
      <c r="A783" s="5">
        <f t="shared" si="33"/>
        <v>2</v>
      </c>
      <c r="B783" s="5">
        <f t="shared" si="34"/>
        <v>2016</v>
      </c>
      <c r="C783" s="7">
        <v>42405</v>
      </c>
      <c r="D783" s="8">
        <v>6.8</v>
      </c>
      <c r="E783" s="8">
        <v>6.78</v>
      </c>
    </row>
    <row r="784" spans="1:5" x14ac:dyDescent="0.2">
      <c r="A784" s="5">
        <f t="shared" si="33"/>
        <v>2</v>
      </c>
      <c r="B784" s="5">
        <f t="shared" si="34"/>
        <v>2016</v>
      </c>
      <c r="C784" s="7">
        <v>42410</v>
      </c>
      <c r="D784" s="8">
        <v>6.84</v>
      </c>
      <c r="E784" s="8">
        <v>6.74</v>
      </c>
    </row>
    <row r="785" spans="1:5" x14ac:dyDescent="0.2">
      <c r="A785" s="5">
        <f t="shared" si="33"/>
        <v>2</v>
      </c>
      <c r="B785" s="5">
        <f t="shared" si="34"/>
        <v>2016</v>
      </c>
      <c r="C785" s="7">
        <v>42411</v>
      </c>
      <c r="D785" s="8">
        <v>6.87</v>
      </c>
      <c r="E785" s="8">
        <v>6.82</v>
      </c>
    </row>
    <row r="786" spans="1:5" x14ac:dyDescent="0.2">
      <c r="A786" s="5">
        <f t="shared" si="33"/>
        <v>2</v>
      </c>
      <c r="B786" s="5">
        <f t="shared" si="34"/>
        <v>2016</v>
      </c>
      <c r="C786" s="7">
        <v>42412</v>
      </c>
      <c r="D786" s="8">
        <v>6.86</v>
      </c>
      <c r="E786" s="8">
        <v>6.81</v>
      </c>
    </row>
    <row r="787" spans="1:5" x14ac:dyDescent="0.2">
      <c r="A787" s="5">
        <f t="shared" si="33"/>
        <v>2</v>
      </c>
      <c r="B787" s="5">
        <f t="shared" si="34"/>
        <v>2016</v>
      </c>
      <c r="C787" s="7">
        <v>42415</v>
      </c>
      <c r="D787" s="8">
        <v>6.87</v>
      </c>
      <c r="E787" s="8">
        <v>6.79</v>
      </c>
    </row>
    <row r="788" spans="1:5" x14ac:dyDescent="0.2">
      <c r="A788" s="5">
        <f t="shared" si="33"/>
        <v>2</v>
      </c>
      <c r="B788" s="5">
        <f t="shared" si="34"/>
        <v>2016</v>
      </c>
      <c r="C788" s="7">
        <v>42416</v>
      </c>
      <c r="D788" s="8">
        <v>6.96</v>
      </c>
      <c r="E788" s="8">
        <v>6.82</v>
      </c>
    </row>
    <row r="789" spans="1:5" x14ac:dyDescent="0.2">
      <c r="A789" s="5">
        <f t="shared" si="33"/>
        <v>2</v>
      </c>
      <c r="B789" s="5">
        <f t="shared" si="34"/>
        <v>2016</v>
      </c>
      <c r="C789" s="7">
        <v>42417</v>
      </c>
      <c r="D789" s="8">
        <v>6.96</v>
      </c>
      <c r="E789" s="8">
        <v>6.81</v>
      </c>
    </row>
    <row r="790" spans="1:5" x14ac:dyDescent="0.2">
      <c r="A790" s="5">
        <f t="shared" si="33"/>
        <v>2</v>
      </c>
      <c r="B790" s="5">
        <f t="shared" si="34"/>
        <v>2016</v>
      </c>
      <c r="C790" s="7">
        <v>42418</v>
      </c>
      <c r="D790" s="8">
        <v>6.96</v>
      </c>
      <c r="E790" s="8">
        <v>6.78</v>
      </c>
    </row>
    <row r="791" spans="1:5" x14ac:dyDescent="0.2">
      <c r="A791" s="5">
        <f t="shared" si="33"/>
        <v>2</v>
      </c>
      <c r="B791" s="5">
        <f t="shared" si="34"/>
        <v>2016</v>
      </c>
      <c r="C791" s="7">
        <v>42419</v>
      </c>
      <c r="D791" s="8">
        <v>6.97</v>
      </c>
      <c r="E791" s="8">
        <v>6.83</v>
      </c>
    </row>
    <row r="792" spans="1:5" x14ac:dyDescent="0.2">
      <c r="A792" s="5">
        <f t="shared" si="33"/>
        <v>2</v>
      </c>
      <c r="B792" s="5">
        <f t="shared" si="34"/>
        <v>2016</v>
      </c>
      <c r="C792" s="7">
        <v>42422</v>
      </c>
      <c r="D792" s="8">
        <v>7</v>
      </c>
      <c r="E792" s="8">
        <v>6.74</v>
      </c>
    </row>
    <row r="793" spans="1:5" x14ac:dyDescent="0.2">
      <c r="A793" s="5">
        <f t="shared" si="33"/>
        <v>2</v>
      </c>
      <c r="B793" s="5">
        <f t="shared" si="34"/>
        <v>2016</v>
      </c>
      <c r="C793" s="7">
        <v>42423</v>
      </c>
      <c r="D793" s="8">
        <v>6.95</v>
      </c>
      <c r="E793" s="8">
        <v>6.72</v>
      </c>
    </row>
    <row r="794" spans="1:5" x14ac:dyDescent="0.2">
      <c r="A794" s="5">
        <f t="shared" si="33"/>
        <v>2</v>
      </c>
      <c r="B794" s="5">
        <f t="shared" si="34"/>
        <v>2016</v>
      </c>
      <c r="C794" s="7">
        <v>42424</v>
      </c>
      <c r="D794" s="8">
        <v>6.99</v>
      </c>
      <c r="E794" s="8">
        <v>6.7</v>
      </c>
    </row>
    <row r="795" spans="1:5" x14ac:dyDescent="0.2">
      <c r="A795" s="5">
        <f t="shared" si="33"/>
        <v>2</v>
      </c>
      <c r="B795" s="5">
        <f t="shared" si="34"/>
        <v>2016</v>
      </c>
      <c r="C795" s="7">
        <v>42425</v>
      </c>
      <c r="D795" s="8">
        <v>6.99</v>
      </c>
      <c r="E795" s="8">
        <v>6.68</v>
      </c>
    </row>
    <row r="796" spans="1:5" x14ac:dyDescent="0.2">
      <c r="A796" s="5">
        <f t="shared" si="33"/>
        <v>2</v>
      </c>
      <c r="B796" s="5">
        <f t="shared" si="34"/>
        <v>2016</v>
      </c>
      <c r="C796" s="7">
        <v>42426</v>
      </c>
      <c r="D796" s="8">
        <v>6.99</v>
      </c>
      <c r="E796" s="8">
        <v>6.67</v>
      </c>
    </row>
    <row r="797" spans="1:5" x14ac:dyDescent="0.2">
      <c r="A797" s="5">
        <f t="shared" si="33"/>
        <v>2</v>
      </c>
      <c r="B797" s="5">
        <f t="shared" si="34"/>
        <v>2016</v>
      </c>
      <c r="C797" s="7">
        <v>42429</v>
      </c>
      <c r="D797" s="8">
        <v>7.05</v>
      </c>
      <c r="E797" s="8">
        <v>6.77</v>
      </c>
    </row>
    <row r="798" spans="1:5" x14ac:dyDescent="0.2">
      <c r="A798" s="5">
        <f t="shared" si="33"/>
        <v>3</v>
      </c>
      <c r="B798" s="5">
        <f t="shared" si="34"/>
        <v>2016</v>
      </c>
      <c r="C798" s="7">
        <v>42430</v>
      </c>
      <c r="D798" s="8">
        <v>7.06</v>
      </c>
      <c r="E798" s="8">
        <v>6.7</v>
      </c>
    </row>
    <row r="799" spans="1:5" x14ac:dyDescent="0.2">
      <c r="A799" s="5">
        <f t="shared" si="33"/>
        <v>3</v>
      </c>
      <c r="B799" s="5">
        <f t="shared" si="34"/>
        <v>2016</v>
      </c>
      <c r="C799" s="7">
        <v>42431</v>
      </c>
      <c r="D799" s="8">
        <v>7.06</v>
      </c>
      <c r="E799" s="8">
        <v>6.7</v>
      </c>
    </row>
    <row r="800" spans="1:5" x14ac:dyDescent="0.2">
      <c r="A800" s="5">
        <f t="shared" si="33"/>
        <v>3</v>
      </c>
      <c r="B800" s="5">
        <f t="shared" si="34"/>
        <v>2016</v>
      </c>
      <c r="C800" s="7">
        <v>42432</v>
      </c>
      <c r="D800" s="8">
        <v>7.06</v>
      </c>
      <c r="E800" s="8">
        <v>6.71</v>
      </c>
    </row>
    <row r="801" spans="1:5" x14ac:dyDescent="0.2">
      <c r="A801" s="5">
        <f t="shared" si="33"/>
        <v>3</v>
      </c>
      <c r="B801" s="5">
        <f t="shared" si="34"/>
        <v>2016</v>
      </c>
      <c r="C801" s="7">
        <v>42433</v>
      </c>
      <c r="D801" s="8">
        <v>7.06</v>
      </c>
      <c r="E801" s="8">
        <v>6.7</v>
      </c>
    </row>
    <row r="802" spans="1:5" x14ac:dyDescent="0.2">
      <c r="A802" s="5">
        <f t="shared" si="33"/>
        <v>3</v>
      </c>
      <c r="B802" s="5">
        <f t="shared" si="34"/>
        <v>2016</v>
      </c>
      <c r="C802" s="7">
        <v>42436</v>
      </c>
      <c r="D802" s="8">
        <v>7.06</v>
      </c>
      <c r="E802" s="8">
        <v>6.69</v>
      </c>
    </row>
    <row r="803" spans="1:5" x14ac:dyDescent="0.2">
      <c r="A803" s="5">
        <f t="shared" si="33"/>
        <v>3</v>
      </c>
      <c r="B803" s="5">
        <f t="shared" si="34"/>
        <v>2016</v>
      </c>
      <c r="C803" s="7">
        <v>42437</v>
      </c>
      <c r="D803" s="8">
        <v>7.06</v>
      </c>
      <c r="E803" s="8">
        <v>6.67</v>
      </c>
    </row>
    <row r="804" spans="1:5" x14ac:dyDescent="0.2">
      <c r="A804" s="5">
        <f t="shared" si="33"/>
        <v>3</v>
      </c>
      <c r="B804" s="5">
        <f t="shared" si="34"/>
        <v>2016</v>
      </c>
      <c r="C804" s="7">
        <v>42438</v>
      </c>
      <c r="D804" s="8">
        <v>6.62</v>
      </c>
      <c r="E804" s="8">
        <v>6.59</v>
      </c>
    </row>
    <row r="805" spans="1:5" x14ac:dyDescent="0.2">
      <c r="A805" s="5">
        <f t="shared" si="33"/>
        <v>3</v>
      </c>
      <c r="B805" s="5">
        <f t="shared" si="34"/>
        <v>2016</v>
      </c>
      <c r="C805" s="7">
        <v>42439</v>
      </c>
      <c r="D805" s="8">
        <v>6.68</v>
      </c>
      <c r="E805" s="8">
        <v>6.67</v>
      </c>
    </row>
    <row r="806" spans="1:5" x14ac:dyDescent="0.2">
      <c r="A806" s="5">
        <f t="shared" si="33"/>
        <v>3</v>
      </c>
      <c r="B806" s="5">
        <f t="shared" si="34"/>
        <v>2016</v>
      </c>
      <c r="C806" s="7">
        <v>42440</v>
      </c>
      <c r="D806" s="8">
        <v>6.65</v>
      </c>
      <c r="E806" s="8">
        <v>6.61</v>
      </c>
    </row>
    <row r="807" spans="1:5" x14ac:dyDescent="0.2">
      <c r="A807" s="5">
        <f t="shared" si="33"/>
        <v>3</v>
      </c>
      <c r="B807" s="5">
        <f t="shared" si="34"/>
        <v>2016</v>
      </c>
      <c r="C807" s="7">
        <v>42443</v>
      </c>
      <c r="D807" s="8">
        <v>6.72</v>
      </c>
      <c r="E807" s="8">
        <v>6.71</v>
      </c>
    </row>
    <row r="808" spans="1:5" x14ac:dyDescent="0.2">
      <c r="A808" s="5">
        <f t="shared" si="33"/>
        <v>3</v>
      </c>
      <c r="B808" s="5">
        <f t="shared" si="34"/>
        <v>2016</v>
      </c>
      <c r="C808" s="7">
        <v>42444</v>
      </c>
      <c r="D808" s="8">
        <v>6.72</v>
      </c>
      <c r="E808" s="8">
        <v>6.72</v>
      </c>
    </row>
    <row r="809" spans="1:5" x14ac:dyDescent="0.2">
      <c r="A809" s="5">
        <f t="shared" si="33"/>
        <v>3</v>
      </c>
      <c r="B809" s="5">
        <f t="shared" si="34"/>
        <v>2016</v>
      </c>
      <c r="C809" s="7">
        <v>42445</v>
      </c>
      <c r="D809" s="8">
        <v>6.72</v>
      </c>
      <c r="E809" s="8">
        <v>6.7</v>
      </c>
    </row>
    <row r="810" spans="1:5" x14ac:dyDescent="0.2">
      <c r="A810" s="5">
        <f t="shared" si="33"/>
        <v>3</v>
      </c>
      <c r="B810" s="5">
        <f t="shared" si="34"/>
        <v>2016</v>
      </c>
      <c r="C810" s="7">
        <v>42446</v>
      </c>
      <c r="D810" s="8">
        <v>6.74</v>
      </c>
      <c r="E810" s="8">
        <v>6.65</v>
      </c>
    </row>
    <row r="811" spans="1:5" x14ac:dyDescent="0.2">
      <c r="A811" s="5">
        <f t="shared" si="33"/>
        <v>3</v>
      </c>
      <c r="B811" s="5">
        <f t="shared" si="34"/>
        <v>2016</v>
      </c>
      <c r="C811" s="7">
        <v>42447</v>
      </c>
      <c r="D811" s="8">
        <v>6.65</v>
      </c>
      <c r="E811" s="8">
        <v>6.6</v>
      </c>
    </row>
    <row r="812" spans="1:5" x14ac:dyDescent="0.2">
      <c r="A812" s="5">
        <f t="shared" si="33"/>
        <v>3</v>
      </c>
      <c r="B812" s="5">
        <f t="shared" si="34"/>
        <v>2016</v>
      </c>
      <c r="C812" s="7">
        <v>42450</v>
      </c>
      <c r="D812" s="8">
        <v>6.58</v>
      </c>
      <c r="E812" s="8">
        <v>6.6</v>
      </c>
    </row>
    <row r="813" spans="1:5" x14ac:dyDescent="0.2">
      <c r="A813" s="5">
        <f t="shared" si="33"/>
        <v>3</v>
      </c>
      <c r="B813" s="5">
        <f t="shared" si="34"/>
        <v>2016</v>
      </c>
      <c r="C813" s="7">
        <v>42451</v>
      </c>
      <c r="D813" s="8">
        <v>6.59</v>
      </c>
      <c r="E813" s="8">
        <v>6.53</v>
      </c>
    </row>
    <row r="814" spans="1:5" x14ac:dyDescent="0.2">
      <c r="A814" s="5">
        <f t="shared" si="33"/>
        <v>3</v>
      </c>
      <c r="B814" s="5">
        <f t="shared" si="34"/>
        <v>2016</v>
      </c>
      <c r="C814" s="7">
        <v>42452</v>
      </c>
      <c r="D814" s="8">
        <v>6.57</v>
      </c>
      <c r="E814" s="8">
        <v>6.53</v>
      </c>
    </row>
    <row r="815" spans="1:5" x14ac:dyDescent="0.2">
      <c r="A815" s="5">
        <f t="shared" si="33"/>
        <v>3</v>
      </c>
      <c r="B815" s="5">
        <f t="shared" si="34"/>
        <v>2016</v>
      </c>
      <c r="C815" s="7">
        <v>42453</v>
      </c>
      <c r="D815" s="8">
        <v>6.5</v>
      </c>
      <c r="E815" s="8">
        <v>6.48</v>
      </c>
    </row>
    <row r="816" spans="1:5" x14ac:dyDescent="0.2">
      <c r="A816" s="5">
        <f t="shared" si="33"/>
        <v>3</v>
      </c>
      <c r="B816" s="5">
        <f t="shared" si="34"/>
        <v>2016</v>
      </c>
      <c r="C816" s="7">
        <v>42457</v>
      </c>
      <c r="D816" s="8">
        <v>6.5</v>
      </c>
      <c r="E816" s="8">
        <v>6.47</v>
      </c>
    </row>
    <row r="817" spans="1:5" x14ac:dyDescent="0.2">
      <c r="A817" s="5">
        <f t="shared" si="33"/>
        <v>3</v>
      </c>
      <c r="B817" s="5">
        <f t="shared" si="34"/>
        <v>2016</v>
      </c>
      <c r="C817" s="7">
        <v>42458</v>
      </c>
      <c r="D817" s="8">
        <v>6.5</v>
      </c>
      <c r="E817" s="8">
        <v>6.47</v>
      </c>
    </row>
    <row r="818" spans="1:5" x14ac:dyDescent="0.2">
      <c r="A818" s="5">
        <f t="shared" si="33"/>
        <v>3</v>
      </c>
      <c r="B818" s="5">
        <f t="shared" si="34"/>
        <v>2016</v>
      </c>
      <c r="C818" s="7">
        <v>42459</v>
      </c>
      <c r="D818" s="8">
        <v>6.5</v>
      </c>
      <c r="E818" s="8">
        <v>6.47</v>
      </c>
    </row>
    <row r="819" spans="1:5" x14ac:dyDescent="0.2">
      <c r="A819" s="5">
        <f t="shared" si="33"/>
        <v>3</v>
      </c>
      <c r="B819" s="5">
        <f t="shared" si="34"/>
        <v>2016</v>
      </c>
      <c r="C819" s="7">
        <v>42460</v>
      </c>
      <c r="D819" s="8">
        <v>6.5</v>
      </c>
      <c r="E819" s="8">
        <v>6.47</v>
      </c>
    </row>
    <row r="820" spans="1:5" x14ac:dyDescent="0.2">
      <c r="A820" s="5">
        <f t="shared" si="33"/>
        <v>4</v>
      </c>
      <c r="B820" s="5">
        <f t="shared" si="34"/>
        <v>2016</v>
      </c>
      <c r="C820" s="7">
        <v>42461</v>
      </c>
      <c r="D820" s="8">
        <v>6.49</v>
      </c>
      <c r="E820" s="8">
        <v>6.48</v>
      </c>
    </row>
    <row r="821" spans="1:5" x14ac:dyDescent="0.2">
      <c r="A821" s="5">
        <f t="shared" si="33"/>
        <v>4</v>
      </c>
      <c r="B821" s="5">
        <f t="shared" si="34"/>
        <v>2016</v>
      </c>
      <c r="C821" s="7">
        <v>42464</v>
      </c>
      <c r="D821" s="8">
        <v>6.49</v>
      </c>
      <c r="E821" s="8">
        <v>6.47</v>
      </c>
    </row>
    <row r="822" spans="1:5" x14ac:dyDescent="0.2">
      <c r="A822" s="5">
        <f t="shared" si="33"/>
        <v>4</v>
      </c>
      <c r="B822" s="5">
        <f t="shared" si="34"/>
        <v>2016</v>
      </c>
      <c r="C822" s="7">
        <v>42465</v>
      </c>
      <c r="D822" s="8">
        <v>6.49</v>
      </c>
      <c r="E822" s="8">
        <v>6.47</v>
      </c>
    </row>
    <row r="823" spans="1:5" x14ac:dyDescent="0.2">
      <c r="A823" s="5">
        <f t="shared" si="33"/>
        <v>4</v>
      </c>
      <c r="B823" s="5">
        <f t="shared" si="34"/>
        <v>2016</v>
      </c>
      <c r="C823" s="7">
        <v>42466</v>
      </c>
      <c r="D823" s="8">
        <v>6.47</v>
      </c>
      <c r="E823" s="8">
        <v>6.46</v>
      </c>
    </row>
    <row r="824" spans="1:5" x14ac:dyDescent="0.2">
      <c r="A824" s="5">
        <f t="shared" si="33"/>
        <v>4</v>
      </c>
      <c r="B824" s="5">
        <f t="shared" si="34"/>
        <v>2016</v>
      </c>
      <c r="C824" s="7">
        <v>42467</v>
      </c>
      <c r="D824" s="8">
        <v>6.47</v>
      </c>
      <c r="E824" s="8">
        <v>6.46</v>
      </c>
    </row>
    <row r="825" spans="1:5" x14ac:dyDescent="0.2">
      <c r="A825" s="5">
        <f t="shared" si="33"/>
        <v>4</v>
      </c>
      <c r="B825" s="5">
        <f t="shared" si="34"/>
        <v>2016</v>
      </c>
      <c r="C825" s="7">
        <v>42468</v>
      </c>
      <c r="D825" s="8">
        <v>6.45</v>
      </c>
      <c r="E825" s="8">
        <v>6.43</v>
      </c>
    </row>
    <row r="826" spans="1:5" x14ac:dyDescent="0.2">
      <c r="A826" s="5">
        <f t="shared" si="33"/>
        <v>4</v>
      </c>
      <c r="B826" s="5">
        <f t="shared" si="34"/>
        <v>2016</v>
      </c>
      <c r="C826" s="7">
        <v>42471</v>
      </c>
      <c r="D826" s="8">
        <v>6.44</v>
      </c>
      <c r="E826" s="8">
        <v>6.41</v>
      </c>
    </row>
    <row r="827" spans="1:5" x14ac:dyDescent="0.2">
      <c r="A827" s="5">
        <f t="shared" si="33"/>
        <v>4</v>
      </c>
      <c r="B827" s="5">
        <f t="shared" si="34"/>
        <v>2016</v>
      </c>
      <c r="C827" s="7">
        <v>42472</v>
      </c>
      <c r="D827" s="8">
        <v>6.44</v>
      </c>
      <c r="E827" s="8">
        <v>6.42</v>
      </c>
    </row>
    <row r="828" spans="1:5" x14ac:dyDescent="0.2">
      <c r="A828" s="5">
        <f t="shared" si="33"/>
        <v>4</v>
      </c>
      <c r="B828" s="5">
        <f t="shared" si="34"/>
        <v>2016</v>
      </c>
      <c r="C828" s="7">
        <v>42473</v>
      </c>
      <c r="D828" s="8">
        <v>6.44</v>
      </c>
      <c r="E828" s="8">
        <v>6.42</v>
      </c>
    </row>
    <row r="829" spans="1:5" x14ac:dyDescent="0.2">
      <c r="A829" s="5">
        <f t="shared" si="33"/>
        <v>4</v>
      </c>
      <c r="B829" s="5">
        <f t="shared" si="34"/>
        <v>2016</v>
      </c>
      <c r="C829" s="7">
        <v>42474</v>
      </c>
      <c r="D829" s="8">
        <v>6.44</v>
      </c>
      <c r="E829" s="8">
        <v>6.39</v>
      </c>
    </row>
    <row r="830" spans="1:5" x14ac:dyDescent="0.2">
      <c r="A830" s="5">
        <f t="shared" si="33"/>
        <v>4</v>
      </c>
      <c r="B830" s="5">
        <f t="shared" si="34"/>
        <v>2016</v>
      </c>
      <c r="C830" s="7">
        <v>42475</v>
      </c>
      <c r="D830" s="8">
        <v>6.4</v>
      </c>
      <c r="E830" s="8">
        <v>6.38</v>
      </c>
    </row>
    <row r="831" spans="1:5" x14ac:dyDescent="0.2">
      <c r="A831" s="5">
        <f t="shared" si="33"/>
        <v>4</v>
      </c>
      <c r="B831" s="5">
        <f t="shared" si="34"/>
        <v>2016</v>
      </c>
      <c r="C831" s="7">
        <v>42478</v>
      </c>
      <c r="D831" s="8">
        <v>6.4</v>
      </c>
      <c r="E831" s="8">
        <v>6.39</v>
      </c>
    </row>
    <row r="832" spans="1:5" x14ac:dyDescent="0.2">
      <c r="A832" s="5">
        <f t="shared" si="33"/>
        <v>4</v>
      </c>
      <c r="B832" s="5">
        <f t="shared" si="34"/>
        <v>2016</v>
      </c>
      <c r="C832" s="7">
        <v>42479</v>
      </c>
      <c r="D832" s="8">
        <v>6.22</v>
      </c>
      <c r="E832" s="8">
        <v>6.21</v>
      </c>
    </row>
    <row r="833" spans="1:5" x14ac:dyDescent="0.2">
      <c r="A833" s="5">
        <f t="shared" si="33"/>
        <v>4</v>
      </c>
      <c r="B833" s="5">
        <f t="shared" si="34"/>
        <v>2016</v>
      </c>
      <c r="C833" s="7">
        <v>42480</v>
      </c>
      <c r="D833" s="8">
        <v>6.2</v>
      </c>
      <c r="E833" s="8">
        <v>6.18</v>
      </c>
    </row>
    <row r="834" spans="1:5" x14ac:dyDescent="0.2">
      <c r="A834" s="5">
        <f t="shared" si="33"/>
        <v>4</v>
      </c>
      <c r="B834" s="5">
        <f t="shared" si="34"/>
        <v>2016</v>
      </c>
      <c r="C834" s="7">
        <v>42482</v>
      </c>
      <c r="D834" s="8">
        <v>6.19</v>
      </c>
      <c r="E834" s="8">
        <v>6.2</v>
      </c>
    </row>
    <row r="835" spans="1:5" x14ac:dyDescent="0.2">
      <c r="A835" s="5">
        <f t="shared" si="33"/>
        <v>4</v>
      </c>
      <c r="B835" s="5">
        <f t="shared" si="34"/>
        <v>2016</v>
      </c>
      <c r="C835" s="7">
        <v>42485</v>
      </c>
      <c r="D835" s="8">
        <v>6.19</v>
      </c>
      <c r="E835" s="8">
        <v>6.21</v>
      </c>
    </row>
    <row r="836" spans="1:5" x14ac:dyDescent="0.2">
      <c r="A836" s="5">
        <f t="shared" ref="A836:A899" si="35">MONTH(C836)</f>
        <v>4</v>
      </c>
      <c r="B836" s="5">
        <f t="shared" ref="B836:B899" si="36">YEAR(C836)</f>
        <v>2016</v>
      </c>
      <c r="C836" s="7">
        <v>42486</v>
      </c>
      <c r="D836" s="8">
        <v>6.19</v>
      </c>
      <c r="E836" s="8">
        <v>6.21</v>
      </c>
    </row>
    <row r="837" spans="1:5" x14ac:dyDescent="0.2">
      <c r="A837" s="5">
        <f t="shared" si="35"/>
        <v>4</v>
      </c>
      <c r="B837" s="5">
        <f t="shared" si="36"/>
        <v>2016</v>
      </c>
      <c r="C837" s="7">
        <v>42487</v>
      </c>
      <c r="D837" s="8">
        <v>6.19</v>
      </c>
      <c r="E837" s="8">
        <v>6.22</v>
      </c>
    </row>
    <row r="838" spans="1:5" x14ac:dyDescent="0.2">
      <c r="A838" s="5">
        <f t="shared" si="35"/>
        <v>4</v>
      </c>
      <c r="B838" s="5">
        <f t="shared" si="36"/>
        <v>2016</v>
      </c>
      <c r="C838" s="7">
        <v>42488</v>
      </c>
      <c r="D838" s="8">
        <v>6.18</v>
      </c>
      <c r="E838" s="8">
        <v>6.2</v>
      </c>
    </row>
    <row r="839" spans="1:5" x14ac:dyDescent="0.2">
      <c r="A839" s="5">
        <f t="shared" si="35"/>
        <v>4</v>
      </c>
      <c r="B839" s="5">
        <f t="shared" si="36"/>
        <v>2016</v>
      </c>
      <c r="C839" s="7">
        <v>42489</v>
      </c>
      <c r="D839" s="8">
        <v>6.18</v>
      </c>
      <c r="E839" s="8">
        <v>6.19</v>
      </c>
    </row>
    <row r="840" spans="1:5" x14ac:dyDescent="0.2">
      <c r="A840" s="5">
        <f t="shared" si="35"/>
        <v>5</v>
      </c>
      <c r="B840" s="5">
        <f t="shared" si="36"/>
        <v>2016</v>
      </c>
      <c r="C840" s="7">
        <v>42492</v>
      </c>
      <c r="D840" s="8">
        <v>6.18</v>
      </c>
      <c r="E840" s="8">
        <v>6.17</v>
      </c>
    </row>
    <row r="841" spans="1:5" x14ac:dyDescent="0.2">
      <c r="A841" s="5">
        <f t="shared" si="35"/>
        <v>5</v>
      </c>
      <c r="B841" s="5">
        <f t="shared" si="36"/>
        <v>2016</v>
      </c>
      <c r="C841" s="7">
        <v>42493</v>
      </c>
      <c r="D841" s="8">
        <v>6.17</v>
      </c>
      <c r="E841" s="8">
        <v>6.16</v>
      </c>
    </row>
    <row r="842" spans="1:5" x14ac:dyDescent="0.2">
      <c r="A842" s="5">
        <f t="shared" si="35"/>
        <v>5</v>
      </c>
      <c r="B842" s="5">
        <f t="shared" si="36"/>
        <v>2016</v>
      </c>
      <c r="C842" s="7">
        <v>42494</v>
      </c>
      <c r="D842" s="8">
        <v>6.17</v>
      </c>
      <c r="E842" s="8">
        <v>6.16</v>
      </c>
    </row>
    <row r="843" spans="1:5" x14ac:dyDescent="0.2">
      <c r="A843" s="5">
        <f t="shared" si="35"/>
        <v>5</v>
      </c>
      <c r="B843" s="5">
        <f t="shared" si="36"/>
        <v>2016</v>
      </c>
      <c r="C843" s="7">
        <v>42495</v>
      </c>
      <c r="D843" s="8">
        <v>6.18</v>
      </c>
      <c r="E843" s="8">
        <v>6.18</v>
      </c>
    </row>
    <row r="844" spans="1:5" x14ac:dyDescent="0.2">
      <c r="A844" s="5">
        <f t="shared" si="35"/>
        <v>5</v>
      </c>
      <c r="B844" s="5">
        <f t="shared" si="36"/>
        <v>2016</v>
      </c>
      <c r="C844" s="7">
        <v>42496</v>
      </c>
      <c r="D844" s="8">
        <v>6.17</v>
      </c>
      <c r="E844" s="8">
        <v>6.15</v>
      </c>
    </row>
    <row r="845" spans="1:5" x14ac:dyDescent="0.2">
      <c r="A845" s="5">
        <f t="shared" si="35"/>
        <v>5</v>
      </c>
      <c r="B845" s="5">
        <f t="shared" si="36"/>
        <v>2016</v>
      </c>
      <c r="C845" s="7">
        <v>42499</v>
      </c>
      <c r="D845" s="8">
        <v>6.1</v>
      </c>
      <c r="E845" s="8">
        <v>6.08</v>
      </c>
    </row>
    <row r="846" spans="1:5" x14ac:dyDescent="0.2">
      <c r="A846" s="5">
        <f t="shared" si="35"/>
        <v>5</v>
      </c>
      <c r="B846" s="5">
        <f t="shared" si="36"/>
        <v>2016</v>
      </c>
      <c r="C846" s="7">
        <v>42500</v>
      </c>
      <c r="D846" s="8">
        <v>6.12</v>
      </c>
      <c r="E846" s="8">
        <v>6.11</v>
      </c>
    </row>
    <row r="847" spans="1:5" x14ac:dyDescent="0.2">
      <c r="A847" s="5">
        <f t="shared" si="35"/>
        <v>5</v>
      </c>
      <c r="B847" s="5">
        <f t="shared" si="36"/>
        <v>2016</v>
      </c>
      <c r="C847" s="7">
        <v>42501</v>
      </c>
      <c r="D847" s="8">
        <v>6.12</v>
      </c>
      <c r="E847" s="8">
        <v>6.11</v>
      </c>
    </row>
    <row r="848" spans="1:5" x14ac:dyDescent="0.2">
      <c r="A848" s="5">
        <f t="shared" si="35"/>
        <v>5</v>
      </c>
      <c r="B848" s="5">
        <f t="shared" si="36"/>
        <v>2016</v>
      </c>
      <c r="C848" s="7">
        <v>42502</v>
      </c>
      <c r="D848" s="8">
        <v>6.12</v>
      </c>
      <c r="E848" s="8">
        <v>6.08</v>
      </c>
    </row>
    <row r="849" spans="1:5" x14ac:dyDescent="0.2">
      <c r="A849" s="5">
        <f t="shared" si="35"/>
        <v>5</v>
      </c>
      <c r="B849" s="5">
        <f t="shared" si="36"/>
        <v>2016</v>
      </c>
      <c r="C849" s="7">
        <v>42503</v>
      </c>
      <c r="D849" s="8">
        <v>6.12</v>
      </c>
      <c r="E849" s="8">
        <v>6.09</v>
      </c>
    </row>
    <row r="850" spans="1:5" x14ac:dyDescent="0.2">
      <c r="A850" s="5">
        <f t="shared" si="35"/>
        <v>5</v>
      </c>
      <c r="B850" s="5">
        <f t="shared" si="36"/>
        <v>2016</v>
      </c>
      <c r="C850" s="7">
        <v>42506</v>
      </c>
      <c r="D850" s="8">
        <v>6.12</v>
      </c>
      <c r="E850" s="8">
        <v>6.09</v>
      </c>
    </row>
    <row r="851" spans="1:5" x14ac:dyDescent="0.2">
      <c r="A851" s="5">
        <f t="shared" si="35"/>
        <v>5</v>
      </c>
      <c r="B851" s="5">
        <f t="shared" si="36"/>
        <v>2016</v>
      </c>
      <c r="C851" s="7">
        <v>42507</v>
      </c>
      <c r="D851" s="8">
        <v>6.14</v>
      </c>
      <c r="E851" s="8">
        <v>6.08</v>
      </c>
    </row>
    <row r="852" spans="1:5" x14ac:dyDescent="0.2">
      <c r="A852" s="5">
        <f t="shared" si="35"/>
        <v>5</v>
      </c>
      <c r="B852" s="5">
        <f t="shared" si="36"/>
        <v>2016</v>
      </c>
      <c r="C852" s="7">
        <v>42508</v>
      </c>
      <c r="D852" s="8">
        <v>6.13</v>
      </c>
      <c r="E852" s="8">
        <v>6.04</v>
      </c>
    </row>
    <row r="853" spans="1:5" x14ac:dyDescent="0.2">
      <c r="A853" s="5">
        <f t="shared" si="35"/>
        <v>5</v>
      </c>
      <c r="B853" s="5">
        <f t="shared" si="36"/>
        <v>2016</v>
      </c>
      <c r="C853" s="7">
        <v>42509</v>
      </c>
      <c r="D853" s="8">
        <v>6.13</v>
      </c>
      <c r="E853" s="8">
        <v>6.02</v>
      </c>
    </row>
    <row r="854" spans="1:5" x14ac:dyDescent="0.2">
      <c r="A854" s="5">
        <f t="shared" si="35"/>
        <v>5</v>
      </c>
      <c r="B854" s="5">
        <f t="shared" si="36"/>
        <v>2016</v>
      </c>
      <c r="C854" s="7">
        <v>42510</v>
      </c>
      <c r="D854" s="8">
        <v>6.15</v>
      </c>
      <c r="E854" s="8">
        <v>6.01</v>
      </c>
    </row>
    <row r="855" spans="1:5" x14ac:dyDescent="0.2">
      <c r="A855" s="5">
        <f t="shared" si="35"/>
        <v>5</v>
      </c>
      <c r="B855" s="5">
        <f t="shared" si="36"/>
        <v>2016</v>
      </c>
      <c r="C855" s="7">
        <v>42513</v>
      </c>
      <c r="D855" s="8">
        <v>6.16</v>
      </c>
      <c r="E855" s="8">
        <v>5.98</v>
      </c>
    </row>
    <row r="856" spans="1:5" x14ac:dyDescent="0.2">
      <c r="A856" s="5">
        <f t="shared" si="35"/>
        <v>5</v>
      </c>
      <c r="B856" s="5">
        <f t="shared" si="36"/>
        <v>2016</v>
      </c>
      <c r="C856" s="7">
        <v>42514</v>
      </c>
      <c r="D856" s="8">
        <v>6.17</v>
      </c>
      <c r="E856" s="8">
        <v>5.97</v>
      </c>
    </row>
    <row r="857" spans="1:5" x14ac:dyDescent="0.2">
      <c r="A857" s="5">
        <f t="shared" si="35"/>
        <v>5</v>
      </c>
      <c r="B857" s="5">
        <f t="shared" si="36"/>
        <v>2016</v>
      </c>
      <c r="C857" s="7">
        <v>42515</v>
      </c>
      <c r="D857" s="8">
        <v>6.18</v>
      </c>
      <c r="E857" s="8">
        <v>5.97</v>
      </c>
    </row>
    <row r="858" spans="1:5" x14ac:dyDescent="0.2">
      <c r="A858" s="5">
        <f t="shared" si="35"/>
        <v>5</v>
      </c>
      <c r="B858" s="5">
        <f t="shared" si="36"/>
        <v>2016</v>
      </c>
      <c r="C858" s="7">
        <v>42517</v>
      </c>
      <c r="D858" s="8">
        <v>6.18</v>
      </c>
      <c r="E858" s="8">
        <v>5.96</v>
      </c>
    </row>
    <row r="859" spans="1:5" x14ac:dyDescent="0.2">
      <c r="A859" s="5">
        <f t="shared" si="35"/>
        <v>5</v>
      </c>
      <c r="B859" s="5">
        <f t="shared" si="36"/>
        <v>2016</v>
      </c>
      <c r="C859" s="7">
        <v>42520</v>
      </c>
      <c r="D859" s="8">
        <v>6.19</v>
      </c>
      <c r="E859" s="8">
        <v>5.93</v>
      </c>
    </row>
    <row r="860" spans="1:5" x14ac:dyDescent="0.2">
      <c r="A860" s="5">
        <f t="shared" si="35"/>
        <v>5</v>
      </c>
      <c r="B860" s="5">
        <f t="shared" si="36"/>
        <v>2016</v>
      </c>
      <c r="C860" s="7">
        <v>42521</v>
      </c>
      <c r="D860" s="8">
        <v>6.19</v>
      </c>
      <c r="E860" s="8">
        <v>5.94</v>
      </c>
    </row>
    <row r="861" spans="1:5" x14ac:dyDescent="0.2">
      <c r="A861" s="5">
        <f t="shared" si="35"/>
        <v>6</v>
      </c>
      <c r="B861" s="5">
        <f t="shared" si="36"/>
        <v>2016</v>
      </c>
      <c r="C861" s="7">
        <v>42522</v>
      </c>
      <c r="D861" s="8">
        <v>6.22</v>
      </c>
      <c r="E861" s="8">
        <v>5.95</v>
      </c>
    </row>
    <row r="862" spans="1:5" x14ac:dyDescent="0.2">
      <c r="A862" s="5">
        <f t="shared" si="35"/>
        <v>6</v>
      </c>
      <c r="B862" s="5">
        <f t="shared" si="36"/>
        <v>2016</v>
      </c>
      <c r="C862" s="7">
        <v>42523</v>
      </c>
      <c r="D862" s="8">
        <v>6.22</v>
      </c>
      <c r="E862" s="8">
        <v>5.95</v>
      </c>
    </row>
    <row r="863" spans="1:5" x14ac:dyDescent="0.2">
      <c r="A863" s="5">
        <f t="shared" si="35"/>
        <v>6</v>
      </c>
      <c r="B863" s="5">
        <f t="shared" si="36"/>
        <v>2016</v>
      </c>
      <c r="C863" s="7">
        <v>42524</v>
      </c>
      <c r="D863" s="8">
        <v>6.24</v>
      </c>
      <c r="E863" s="8">
        <v>5.94</v>
      </c>
    </row>
    <row r="864" spans="1:5" x14ac:dyDescent="0.2">
      <c r="A864" s="5">
        <f t="shared" si="35"/>
        <v>6</v>
      </c>
      <c r="B864" s="5">
        <f t="shared" si="36"/>
        <v>2016</v>
      </c>
      <c r="C864" s="7">
        <v>42527</v>
      </c>
      <c r="D864" s="8">
        <v>6.24</v>
      </c>
      <c r="E864" s="8">
        <v>5.91</v>
      </c>
    </row>
    <row r="865" spans="1:5" x14ac:dyDescent="0.2">
      <c r="A865" s="5">
        <f t="shared" si="35"/>
        <v>6</v>
      </c>
      <c r="B865" s="5">
        <f t="shared" si="36"/>
        <v>2016</v>
      </c>
      <c r="C865" s="7">
        <v>42528</v>
      </c>
      <c r="D865" s="8">
        <v>6.25</v>
      </c>
      <c r="E865" s="8">
        <v>5.89</v>
      </c>
    </row>
    <row r="866" spans="1:5" x14ac:dyDescent="0.2">
      <c r="A866" s="5">
        <f t="shared" si="35"/>
        <v>6</v>
      </c>
      <c r="B866" s="5">
        <f t="shared" si="36"/>
        <v>2016</v>
      </c>
      <c r="C866" s="7">
        <v>42529</v>
      </c>
      <c r="D866" s="8">
        <v>5.89</v>
      </c>
      <c r="E866" s="8">
        <v>5.89</v>
      </c>
    </row>
    <row r="867" spans="1:5" x14ac:dyDescent="0.2">
      <c r="A867" s="5">
        <f t="shared" si="35"/>
        <v>6</v>
      </c>
      <c r="B867" s="5">
        <f t="shared" si="36"/>
        <v>2016</v>
      </c>
      <c r="C867" s="7">
        <v>42530</v>
      </c>
      <c r="D867" s="8">
        <v>5.94</v>
      </c>
      <c r="E867" s="8">
        <v>5.93</v>
      </c>
    </row>
    <row r="868" spans="1:5" x14ac:dyDescent="0.2">
      <c r="A868" s="5">
        <f t="shared" si="35"/>
        <v>6</v>
      </c>
      <c r="B868" s="5">
        <f t="shared" si="36"/>
        <v>2016</v>
      </c>
      <c r="C868" s="7">
        <v>42531</v>
      </c>
      <c r="D868" s="8">
        <v>5.91</v>
      </c>
      <c r="E868" s="8">
        <v>5.91</v>
      </c>
    </row>
    <row r="869" spans="1:5" x14ac:dyDescent="0.2">
      <c r="A869" s="5">
        <f t="shared" si="35"/>
        <v>6</v>
      </c>
      <c r="B869" s="5">
        <f t="shared" si="36"/>
        <v>2016</v>
      </c>
      <c r="C869" s="7">
        <v>42534</v>
      </c>
      <c r="D869" s="8">
        <v>5.9</v>
      </c>
      <c r="E869" s="8">
        <v>5.9</v>
      </c>
    </row>
    <row r="870" spans="1:5" x14ac:dyDescent="0.2">
      <c r="A870" s="5">
        <f t="shared" si="35"/>
        <v>6</v>
      </c>
      <c r="B870" s="5">
        <f t="shared" si="36"/>
        <v>2016</v>
      </c>
      <c r="C870" s="7">
        <v>42535</v>
      </c>
      <c r="D870" s="8">
        <v>5.92</v>
      </c>
      <c r="E870" s="8">
        <v>5.92</v>
      </c>
    </row>
    <row r="871" spans="1:5" x14ac:dyDescent="0.2">
      <c r="A871" s="5">
        <f t="shared" si="35"/>
        <v>6</v>
      </c>
      <c r="B871" s="5">
        <f t="shared" si="36"/>
        <v>2016</v>
      </c>
      <c r="C871" s="7">
        <v>42536</v>
      </c>
      <c r="D871" s="8">
        <v>5.94</v>
      </c>
      <c r="E871" s="8">
        <v>5.94</v>
      </c>
    </row>
    <row r="872" spans="1:5" x14ac:dyDescent="0.2">
      <c r="A872" s="5">
        <f t="shared" si="35"/>
        <v>6</v>
      </c>
      <c r="B872" s="5">
        <f t="shared" si="36"/>
        <v>2016</v>
      </c>
      <c r="C872" s="7">
        <v>42537</v>
      </c>
      <c r="D872" s="8">
        <v>5.97</v>
      </c>
      <c r="E872" s="8">
        <v>5.93</v>
      </c>
    </row>
    <row r="873" spans="1:5" x14ac:dyDescent="0.2">
      <c r="A873" s="5">
        <f t="shared" si="35"/>
        <v>6</v>
      </c>
      <c r="B873" s="5">
        <f t="shared" si="36"/>
        <v>2016</v>
      </c>
      <c r="C873" s="7">
        <v>42538</v>
      </c>
      <c r="D873" s="8">
        <v>5.97</v>
      </c>
      <c r="E873" s="8">
        <v>5.93</v>
      </c>
    </row>
    <row r="874" spans="1:5" x14ac:dyDescent="0.2">
      <c r="A874" s="5">
        <f t="shared" si="35"/>
        <v>6</v>
      </c>
      <c r="B874" s="5">
        <f t="shared" si="36"/>
        <v>2016</v>
      </c>
      <c r="C874" s="7">
        <v>42541</v>
      </c>
      <c r="D874" s="8">
        <v>5.98</v>
      </c>
      <c r="E874" s="8">
        <v>5.92</v>
      </c>
    </row>
    <row r="875" spans="1:5" x14ac:dyDescent="0.2">
      <c r="A875" s="5">
        <f t="shared" si="35"/>
        <v>6</v>
      </c>
      <c r="B875" s="5">
        <f t="shared" si="36"/>
        <v>2016</v>
      </c>
      <c r="C875" s="7">
        <v>42542</v>
      </c>
      <c r="D875" s="8">
        <v>5.99</v>
      </c>
      <c r="E875" s="8">
        <v>5.98</v>
      </c>
    </row>
    <row r="876" spans="1:5" x14ac:dyDescent="0.2">
      <c r="A876" s="5">
        <f t="shared" si="35"/>
        <v>6</v>
      </c>
      <c r="B876" s="5">
        <f t="shared" si="36"/>
        <v>2016</v>
      </c>
      <c r="C876" s="7">
        <v>42543</v>
      </c>
      <c r="D876" s="8">
        <v>5.99</v>
      </c>
      <c r="E876" s="8">
        <v>5.98</v>
      </c>
    </row>
    <row r="877" spans="1:5" x14ac:dyDescent="0.2">
      <c r="A877" s="5">
        <f t="shared" si="35"/>
        <v>6</v>
      </c>
      <c r="B877" s="5">
        <f t="shared" si="36"/>
        <v>2016</v>
      </c>
      <c r="C877" s="7">
        <v>42544</v>
      </c>
      <c r="D877" s="8">
        <v>5.99</v>
      </c>
      <c r="E877" s="8">
        <v>5.98</v>
      </c>
    </row>
    <row r="878" spans="1:5" x14ac:dyDescent="0.2">
      <c r="A878" s="5">
        <f t="shared" si="35"/>
        <v>6</v>
      </c>
      <c r="B878" s="5">
        <f t="shared" si="36"/>
        <v>2016</v>
      </c>
      <c r="C878" s="7">
        <v>42545</v>
      </c>
      <c r="D878" s="8">
        <v>5.99</v>
      </c>
      <c r="E878" s="8">
        <v>5.98</v>
      </c>
    </row>
    <row r="879" spans="1:5" x14ac:dyDescent="0.2">
      <c r="A879" s="5">
        <f t="shared" si="35"/>
        <v>6</v>
      </c>
      <c r="B879" s="5">
        <f t="shared" si="36"/>
        <v>2016</v>
      </c>
      <c r="C879" s="7">
        <v>42548</v>
      </c>
      <c r="D879" s="8">
        <v>5.98</v>
      </c>
      <c r="E879" s="8">
        <v>5.95</v>
      </c>
    </row>
    <row r="880" spans="1:5" x14ac:dyDescent="0.2">
      <c r="A880" s="5">
        <f t="shared" si="35"/>
        <v>6</v>
      </c>
      <c r="B880" s="5">
        <f t="shared" si="36"/>
        <v>2016</v>
      </c>
      <c r="C880" s="7">
        <v>42549</v>
      </c>
      <c r="D880" s="8">
        <v>5.96</v>
      </c>
      <c r="E880" s="8">
        <v>5.92</v>
      </c>
    </row>
    <row r="881" spans="1:5" x14ac:dyDescent="0.2">
      <c r="A881" s="5">
        <f t="shared" si="35"/>
        <v>6</v>
      </c>
      <c r="B881" s="5">
        <f t="shared" si="36"/>
        <v>2016</v>
      </c>
      <c r="C881" s="7">
        <v>42550</v>
      </c>
      <c r="D881" s="8">
        <v>5.98</v>
      </c>
      <c r="E881" s="8">
        <v>5.91</v>
      </c>
    </row>
    <row r="882" spans="1:5" x14ac:dyDescent="0.2">
      <c r="A882" s="5">
        <f t="shared" si="35"/>
        <v>6</v>
      </c>
      <c r="B882" s="5">
        <f t="shared" si="36"/>
        <v>2016</v>
      </c>
      <c r="C882" s="7">
        <v>42551</v>
      </c>
      <c r="D882" s="8">
        <v>5.96</v>
      </c>
      <c r="E882" s="8">
        <v>5.89</v>
      </c>
    </row>
    <row r="883" spans="1:5" x14ac:dyDescent="0.2">
      <c r="A883" s="5">
        <f t="shared" si="35"/>
        <v>7</v>
      </c>
      <c r="B883" s="5">
        <f t="shared" si="36"/>
        <v>2016</v>
      </c>
      <c r="C883" s="7">
        <v>42552</v>
      </c>
      <c r="D883" s="8">
        <v>5.96</v>
      </c>
      <c r="E883" s="8">
        <v>5.9</v>
      </c>
    </row>
    <row r="884" spans="1:5" x14ac:dyDescent="0.2">
      <c r="A884" s="5">
        <f t="shared" si="35"/>
        <v>7</v>
      </c>
      <c r="B884" s="5">
        <f t="shared" si="36"/>
        <v>2016</v>
      </c>
      <c r="C884" s="7">
        <v>42555</v>
      </c>
      <c r="D884" s="8">
        <v>5.92</v>
      </c>
      <c r="E884" s="8">
        <v>5.87</v>
      </c>
    </row>
    <row r="885" spans="1:5" x14ac:dyDescent="0.2">
      <c r="A885" s="5">
        <f t="shared" si="35"/>
        <v>7</v>
      </c>
      <c r="B885" s="5">
        <f t="shared" si="36"/>
        <v>2016</v>
      </c>
      <c r="C885" s="7">
        <v>42556</v>
      </c>
      <c r="D885" s="8">
        <v>5.92</v>
      </c>
      <c r="E885" s="8">
        <v>5.86</v>
      </c>
    </row>
    <row r="886" spans="1:5" x14ac:dyDescent="0.2">
      <c r="A886" s="5">
        <f t="shared" si="35"/>
        <v>7</v>
      </c>
      <c r="B886" s="5">
        <f t="shared" si="36"/>
        <v>2016</v>
      </c>
      <c r="C886" s="7">
        <v>42557</v>
      </c>
      <c r="D886" s="8">
        <v>5.92</v>
      </c>
      <c r="E886" s="8">
        <v>5.85</v>
      </c>
    </row>
    <row r="887" spans="1:5" x14ac:dyDescent="0.2">
      <c r="A887" s="5">
        <f t="shared" si="35"/>
        <v>7</v>
      </c>
      <c r="B887" s="5">
        <f t="shared" si="36"/>
        <v>2016</v>
      </c>
      <c r="C887" s="7">
        <v>42558</v>
      </c>
      <c r="D887" s="8">
        <v>5.92</v>
      </c>
      <c r="E887" s="8">
        <v>5.85</v>
      </c>
    </row>
    <row r="888" spans="1:5" x14ac:dyDescent="0.2">
      <c r="A888" s="5">
        <f t="shared" si="35"/>
        <v>7</v>
      </c>
      <c r="B888" s="5">
        <f t="shared" si="36"/>
        <v>2016</v>
      </c>
      <c r="C888" s="7">
        <v>42559</v>
      </c>
      <c r="D888" s="8">
        <v>5.84</v>
      </c>
      <c r="E888" s="8">
        <v>5.83</v>
      </c>
    </row>
    <row r="889" spans="1:5" x14ac:dyDescent="0.2">
      <c r="A889" s="5">
        <f t="shared" si="35"/>
        <v>7</v>
      </c>
      <c r="B889" s="5">
        <f t="shared" si="36"/>
        <v>2016</v>
      </c>
      <c r="C889" s="7">
        <v>42562</v>
      </c>
      <c r="D889" s="8">
        <v>5.85</v>
      </c>
      <c r="E889" s="8">
        <v>5.81</v>
      </c>
    </row>
    <row r="890" spans="1:5" x14ac:dyDescent="0.2">
      <c r="A890" s="5">
        <f t="shared" si="35"/>
        <v>7</v>
      </c>
      <c r="B890" s="5">
        <f t="shared" si="36"/>
        <v>2016</v>
      </c>
      <c r="C890" s="7">
        <v>42563</v>
      </c>
      <c r="D890" s="8">
        <v>5.85</v>
      </c>
      <c r="E890" s="8">
        <v>5.8</v>
      </c>
    </row>
    <row r="891" spans="1:5" x14ac:dyDescent="0.2">
      <c r="A891" s="5">
        <f t="shared" si="35"/>
        <v>7</v>
      </c>
      <c r="B891" s="5">
        <f t="shared" si="36"/>
        <v>2016</v>
      </c>
      <c r="C891" s="7">
        <v>42564</v>
      </c>
      <c r="D891" s="8">
        <v>5.82</v>
      </c>
      <c r="E891" s="8">
        <v>5.74</v>
      </c>
    </row>
    <row r="892" spans="1:5" x14ac:dyDescent="0.2">
      <c r="A892" s="5">
        <f t="shared" si="35"/>
        <v>7</v>
      </c>
      <c r="B892" s="5">
        <f t="shared" si="36"/>
        <v>2016</v>
      </c>
      <c r="C892" s="7">
        <v>42565</v>
      </c>
      <c r="D892" s="8">
        <v>5.83</v>
      </c>
      <c r="E892" s="8">
        <v>5.77</v>
      </c>
    </row>
    <row r="893" spans="1:5" x14ac:dyDescent="0.2">
      <c r="A893" s="5">
        <f t="shared" si="35"/>
        <v>7</v>
      </c>
      <c r="B893" s="5">
        <f t="shared" si="36"/>
        <v>2016</v>
      </c>
      <c r="C893" s="7">
        <v>42566</v>
      </c>
      <c r="D893" s="8">
        <v>5.79</v>
      </c>
      <c r="E893" s="8">
        <v>5.7</v>
      </c>
    </row>
    <row r="894" spans="1:5" x14ac:dyDescent="0.2">
      <c r="A894" s="5">
        <f t="shared" si="35"/>
        <v>7</v>
      </c>
      <c r="B894" s="5">
        <f t="shared" si="36"/>
        <v>2016</v>
      </c>
      <c r="C894" s="7">
        <v>42569</v>
      </c>
      <c r="D894" s="8">
        <v>5.79</v>
      </c>
      <c r="E894" s="8">
        <v>5.7</v>
      </c>
    </row>
    <row r="895" spans="1:5" x14ac:dyDescent="0.2">
      <c r="A895" s="5">
        <f t="shared" si="35"/>
        <v>7</v>
      </c>
      <c r="B895" s="5">
        <f t="shared" si="36"/>
        <v>2016</v>
      </c>
      <c r="C895" s="7">
        <v>42570</v>
      </c>
      <c r="D895" s="8">
        <v>5.79</v>
      </c>
      <c r="E895" s="8">
        <v>5.71</v>
      </c>
    </row>
    <row r="896" spans="1:5" x14ac:dyDescent="0.2">
      <c r="A896" s="5">
        <f t="shared" si="35"/>
        <v>7</v>
      </c>
      <c r="B896" s="5">
        <f t="shared" si="36"/>
        <v>2016</v>
      </c>
      <c r="C896" s="7">
        <v>42571</v>
      </c>
      <c r="D896" s="8">
        <v>5.73</v>
      </c>
      <c r="E896" s="8">
        <v>5.66</v>
      </c>
    </row>
    <row r="897" spans="1:5" x14ac:dyDescent="0.2">
      <c r="A897" s="5">
        <f t="shared" si="35"/>
        <v>7</v>
      </c>
      <c r="B897" s="5">
        <f t="shared" si="36"/>
        <v>2016</v>
      </c>
      <c r="C897" s="7">
        <v>42572</v>
      </c>
      <c r="D897" s="8">
        <v>5.73</v>
      </c>
      <c r="E897" s="8">
        <v>5.66</v>
      </c>
    </row>
    <row r="898" spans="1:5" x14ac:dyDescent="0.2">
      <c r="A898" s="5">
        <f t="shared" si="35"/>
        <v>7</v>
      </c>
      <c r="B898" s="5">
        <f t="shared" si="36"/>
        <v>2016</v>
      </c>
      <c r="C898" s="7">
        <v>42573</v>
      </c>
      <c r="D898" s="8">
        <v>5.72</v>
      </c>
      <c r="E898" s="8">
        <v>5.63</v>
      </c>
    </row>
    <row r="899" spans="1:5" x14ac:dyDescent="0.2">
      <c r="A899" s="5">
        <f t="shared" si="35"/>
        <v>7</v>
      </c>
      <c r="B899" s="5">
        <f t="shared" si="36"/>
        <v>2016</v>
      </c>
      <c r="C899" s="7">
        <v>42576</v>
      </c>
      <c r="D899" s="8">
        <v>5.72</v>
      </c>
      <c r="E899" s="8">
        <v>5.6</v>
      </c>
    </row>
    <row r="900" spans="1:5" x14ac:dyDescent="0.2">
      <c r="A900" s="5">
        <f t="shared" ref="A900:A963" si="37">MONTH(C900)</f>
        <v>7</v>
      </c>
      <c r="B900" s="5">
        <f t="shared" ref="B900:B963" si="38">YEAR(C900)</f>
        <v>2016</v>
      </c>
      <c r="C900" s="7">
        <v>42577</v>
      </c>
      <c r="D900" s="8">
        <v>5.72</v>
      </c>
      <c r="E900" s="8">
        <v>5.59</v>
      </c>
    </row>
    <row r="901" spans="1:5" x14ac:dyDescent="0.2">
      <c r="A901" s="5">
        <f t="shared" si="37"/>
        <v>7</v>
      </c>
      <c r="B901" s="5">
        <f t="shared" si="38"/>
        <v>2016</v>
      </c>
      <c r="C901" s="7">
        <v>42578</v>
      </c>
      <c r="D901" s="8">
        <v>5.72</v>
      </c>
      <c r="E901" s="8">
        <v>5.59</v>
      </c>
    </row>
    <row r="902" spans="1:5" x14ac:dyDescent="0.2">
      <c r="A902" s="5">
        <f t="shared" si="37"/>
        <v>7</v>
      </c>
      <c r="B902" s="5">
        <f t="shared" si="38"/>
        <v>2016</v>
      </c>
      <c r="C902" s="7">
        <v>42579</v>
      </c>
      <c r="D902" s="8">
        <v>5.71</v>
      </c>
      <c r="E902" s="8">
        <v>5.57</v>
      </c>
    </row>
    <row r="903" spans="1:5" x14ac:dyDescent="0.2">
      <c r="A903" s="5">
        <f t="shared" si="37"/>
        <v>7</v>
      </c>
      <c r="B903" s="5">
        <f t="shared" si="38"/>
        <v>2016</v>
      </c>
      <c r="C903" s="7">
        <v>42580</v>
      </c>
      <c r="D903" s="8">
        <v>5.68</v>
      </c>
      <c r="E903" s="8">
        <v>5.55</v>
      </c>
    </row>
    <row r="904" spans="1:5" x14ac:dyDescent="0.2">
      <c r="A904" s="5">
        <f t="shared" si="37"/>
        <v>8</v>
      </c>
      <c r="B904" s="5">
        <f t="shared" si="38"/>
        <v>2016</v>
      </c>
      <c r="C904" s="7">
        <v>42583</v>
      </c>
      <c r="D904" s="8">
        <v>5.66</v>
      </c>
      <c r="E904" s="8">
        <v>5.5</v>
      </c>
    </row>
    <row r="905" spans="1:5" x14ac:dyDescent="0.2">
      <c r="A905" s="5">
        <f t="shared" si="37"/>
        <v>8</v>
      </c>
      <c r="B905" s="5">
        <f t="shared" si="38"/>
        <v>2016</v>
      </c>
      <c r="C905" s="7">
        <v>42584</v>
      </c>
      <c r="D905" s="8">
        <v>5.66</v>
      </c>
      <c r="E905" s="8">
        <v>5.5</v>
      </c>
    </row>
    <row r="906" spans="1:5" x14ac:dyDescent="0.2">
      <c r="A906" s="5">
        <f t="shared" si="37"/>
        <v>8</v>
      </c>
      <c r="B906" s="5">
        <f t="shared" si="38"/>
        <v>2016</v>
      </c>
      <c r="C906" s="7">
        <v>42585</v>
      </c>
      <c r="D906" s="8">
        <v>5.66</v>
      </c>
      <c r="E906" s="8">
        <v>5.49</v>
      </c>
    </row>
    <row r="907" spans="1:5" x14ac:dyDescent="0.2">
      <c r="A907" s="5">
        <f t="shared" si="37"/>
        <v>8</v>
      </c>
      <c r="B907" s="5">
        <f t="shared" si="38"/>
        <v>2016</v>
      </c>
      <c r="C907" s="7">
        <v>42586</v>
      </c>
      <c r="D907" s="8">
        <v>5.66</v>
      </c>
      <c r="E907" s="8">
        <v>5.48</v>
      </c>
    </row>
    <row r="908" spans="1:5" x14ac:dyDescent="0.2">
      <c r="A908" s="5">
        <f t="shared" si="37"/>
        <v>8</v>
      </c>
      <c r="B908" s="5">
        <f t="shared" si="38"/>
        <v>2016</v>
      </c>
      <c r="C908" s="7">
        <v>42587</v>
      </c>
      <c r="D908" s="8">
        <v>5.66</v>
      </c>
      <c r="E908" s="8">
        <v>5.48</v>
      </c>
    </row>
    <row r="909" spans="1:5" x14ac:dyDescent="0.2">
      <c r="A909" s="5">
        <f t="shared" si="37"/>
        <v>8</v>
      </c>
      <c r="B909" s="5">
        <f t="shared" si="38"/>
        <v>2016</v>
      </c>
      <c r="C909" s="7">
        <v>42590</v>
      </c>
      <c r="D909" s="8">
        <v>5.65</v>
      </c>
      <c r="E909" s="8">
        <v>5.45</v>
      </c>
    </row>
    <row r="910" spans="1:5" x14ac:dyDescent="0.2">
      <c r="A910" s="5">
        <f t="shared" si="37"/>
        <v>8</v>
      </c>
      <c r="B910" s="5">
        <f t="shared" si="38"/>
        <v>2016</v>
      </c>
      <c r="C910" s="7">
        <v>42591</v>
      </c>
      <c r="D910" s="8">
        <v>5.64</v>
      </c>
      <c r="E910" s="8">
        <v>5.39</v>
      </c>
    </row>
    <row r="911" spans="1:5" x14ac:dyDescent="0.2">
      <c r="A911" s="5">
        <f t="shared" si="37"/>
        <v>8</v>
      </c>
      <c r="B911" s="5">
        <f t="shared" si="38"/>
        <v>2016</v>
      </c>
      <c r="C911" s="7">
        <v>42592</v>
      </c>
      <c r="D911" s="8">
        <v>5.42</v>
      </c>
      <c r="E911" s="8">
        <v>5.42</v>
      </c>
    </row>
    <row r="912" spans="1:5" x14ac:dyDescent="0.2">
      <c r="A912" s="5">
        <f t="shared" si="37"/>
        <v>8</v>
      </c>
      <c r="B912" s="5">
        <f t="shared" si="38"/>
        <v>2016</v>
      </c>
      <c r="C912" s="7">
        <v>42593</v>
      </c>
      <c r="D912" s="8">
        <v>5.42</v>
      </c>
      <c r="E912" s="8">
        <v>5.42</v>
      </c>
    </row>
    <row r="913" spans="1:5" x14ac:dyDescent="0.2">
      <c r="A913" s="5">
        <f t="shared" si="37"/>
        <v>8</v>
      </c>
      <c r="B913" s="5">
        <f t="shared" si="38"/>
        <v>2016</v>
      </c>
      <c r="C913" s="7">
        <v>42594</v>
      </c>
      <c r="D913" s="8">
        <v>5.42</v>
      </c>
      <c r="E913" s="8">
        <v>5.42</v>
      </c>
    </row>
    <row r="914" spans="1:5" x14ac:dyDescent="0.2">
      <c r="A914" s="5">
        <f t="shared" si="37"/>
        <v>8</v>
      </c>
      <c r="B914" s="5">
        <f t="shared" si="38"/>
        <v>2016</v>
      </c>
      <c r="C914" s="7">
        <v>42597</v>
      </c>
      <c r="D914" s="8">
        <v>5.41</v>
      </c>
      <c r="E914" s="8">
        <v>5.38</v>
      </c>
    </row>
    <row r="915" spans="1:5" x14ac:dyDescent="0.2">
      <c r="A915" s="5">
        <f t="shared" si="37"/>
        <v>8</v>
      </c>
      <c r="B915" s="5">
        <f t="shared" si="38"/>
        <v>2016</v>
      </c>
      <c r="C915" s="7">
        <v>42598</v>
      </c>
      <c r="D915" s="8">
        <v>5.4</v>
      </c>
      <c r="E915" s="8">
        <v>5.38</v>
      </c>
    </row>
    <row r="916" spans="1:5" x14ac:dyDescent="0.2">
      <c r="A916" s="5">
        <f t="shared" si="37"/>
        <v>8</v>
      </c>
      <c r="B916" s="5">
        <f t="shared" si="38"/>
        <v>2016</v>
      </c>
      <c r="C916" s="7">
        <v>42599</v>
      </c>
      <c r="D916" s="8">
        <v>5.4</v>
      </c>
      <c r="E916" s="8">
        <v>5.38</v>
      </c>
    </row>
    <row r="917" spans="1:5" x14ac:dyDescent="0.2">
      <c r="A917" s="5">
        <f t="shared" si="37"/>
        <v>8</v>
      </c>
      <c r="B917" s="5">
        <f t="shared" si="38"/>
        <v>2016</v>
      </c>
      <c r="C917" s="7">
        <v>42600</v>
      </c>
      <c r="D917" s="8">
        <v>5.38</v>
      </c>
      <c r="E917" s="8">
        <v>5.36</v>
      </c>
    </row>
    <row r="918" spans="1:5" x14ac:dyDescent="0.2">
      <c r="A918" s="5">
        <f t="shared" si="37"/>
        <v>8</v>
      </c>
      <c r="B918" s="5">
        <f t="shared" si="38"/>
        <v>2016</v>
      </c>
      <c r="C918" s="7">
        <v>42601</v>
      </c>
      <c r="D918" s="8">
        <v>5.37</v>
      </c>
      <c r="E918" s="8">
        <v>5.34</v>
      </c>
    </row>
    <row r="919" spans="1:5" x14ac:dyDescent="0.2">
      <c r="A919" s="5">
        <f t="shared" si="37"/>
        <v>8</v>
      </c>
      <c r="B919" s="5">
        <f t="shared" si="38"/>
        <v>2016</v>
      </c>
      <c r="C919" s="7">
        <v>42604</v>
      </c>
      <c r="D919" s="8">
        <v>5.41</v>
      </c>
      <c r="E919" s="8">
        <v>5.34</v>
      </c>
    </row>
    <row r="920" spans="1:5" x14ac:dyDescent="0.2">
      <c r="A920" s="5">
        <f t="shared" si="37"/>
        <v>8</v>
      </c>
      <c r="B920" s="5">
        <f t="shared" si="38"/>
        <v>2016</v>
      </c>
      <c r="C920" s="7">
        <v>42605</v>
      </c>
      <c r="D920" s="8">
        <v>5.43</v>
      </c>
      <c r="E920" s="8">
        <v>5.34</v>
      </c>
    </row>
    <row r="921" spans="1:5" x14ac:dyDescent="0.2">
      <c r="A921" s="5">
        <f t="shared" si="37"/>
        <v>8</v>
      </c>
      <c r="B921" s="5">
        <f t="shared" si="38"/>
        <v>2016</v>
      </c>
      <c r="C921" s="7">
        <v>42606</v>
      </c>
      <c r="D921" s="8">
        <v>5.43</v>
      </c>
      <c r="E921" s="8">
        <v>5.33</v>
      </c>
    </row>
    <row r="922" spans="1:5" x14ac:dyDescent="0.2">
      <c r="A922" s="5">
        <f t="shared" si="37"/>
        <v>8</v>
      </c>
      <c r="B922" s="5">
        <f t="shared" si="38"/>
        <v>2016</v>
      </c>
      <c r="C922" s="7">
        <v>42607</v>
      </c>
      <c r="D922" s="8">
        <v>5.43</v>
      </c>
      <c r="E922" s="8">
        <v>5.33</v>
      </c>
    </row>
    <row r="923" spans="1:5" x14ac:dyDescent="0.2">
      <c r="A923" s="5">
        <f t="shared" si="37"/>
        <v>8</v>
      </c>
      <c r="B923" s="5">
        <f t="shared" si="38"/>
        <v>2016</v>
      </c>
      <c r="C923" s="7">
        <v>42608</v>
      </c>
      <c r="D923" s="8">
        <v>5.43</v>
      </c>
      <c r="E923" s="8">
        <v>5.32</v>
      </c>
    </row>
    <row r="924" spans="1:5" x14ac:dyDescent="0.2">
      <c r="A924" s="5">
        <f t="shared" si="37"/>
        <v>8</v>
      </c>
      <c r="B924" s="5">
        <f t="shared" si="38"/>
        <v>2016</v>
      </c>
      <c r="C924" s="7">
        <v>42611</v>
      </c>
      <c r="D924" s="8">
        <v>5.43</v>
      </c>
      <c r="E924" s="8">
        <v>5.29</v>
      </c>
    </row>
    <row r="925" spans="1:5" x14ac:dyDescent="0.2">
      <c r="A925" s="5">
        <f t="shared" si="37"/>
        <v>8</v>
      </c>
      <c r="B925" s="5">
        <f t="shared" si="38"/>
        <v>2016</v>
      </c>
      <c r="C925" s="7">
        <v>42612</v>
      </c>
      <c r="D925" s="8">
        <v>5.42</v>
      </c>
      <c r="E925" s="8">
        <v>5.28</v>
      </c>
    </row>
    <row r="926" spans="1:5" x14ac:dyDescent="0.2">
      <c r="A926" s="5">
        <f t="shared" si="37"/>
        <v>8</v>
      </c>
      <c r="B926" s="5">
        <f t="shared" si="38"/>
        <v>2016</v>
      </c>
      <c r="C926" s="7">
        <v>42613</v>
      </c>
      <c r="D926" s="8">
        <v>5.42</v>
      </c>
      <c r="E926" s="8">
        <v>5.28</v>
      </c>
    </row>
    <row r="927" spans="1:5" x14ac:dyDescent="0.2">
      <c r="A927" s="5">
        <f t="shared" si="37"/>
        <v>9</v>
      </c>
      <c r="B927" s="5">
        <f t="shared" si="38"/>
        <v>2016</v>
      </c>
      <c r="C927" s="7">
        <v>42614</v>
      </c>
      <c r="D927" s="8">
        <v>5.43</v>
      </c>
      <c r="E927" s="8">
        <v>5.28</v>
      </c>
    </row>
    <row r="928" spans="1:5" x14ac:dyDescent="0.2">
      <c r="A928" s="5">
        <f t="shared" si="37"/>
        <v>9</v>
      </c>
      <c r="B928" s="5">
        <f t="shared" si="38"/>
        <v>2016</v>
      </c>
      <c r="C928" s="7">
        <v>42615</v>
      </c>
      <c r="D928" s="8">
        <v>5.43</v>
      </c>
      <c r="E928" s="8">
        <v>5.28</v>
      </c>
    </row>
    <row r="929" spans="1:5" x14ac:dyDescent="0.2">
      <c r="A929" s="5">
        <f t="shared" si="37"/>
        <v>9</v>
      </c>
      <c r="B929" s="5">
        <f t="shared" si="38"/>
        <v>2016</v>
      </c>
      <c r="C929" s="7">
        <v>42618</v>
      </c>
      <c r="D929" s="8">
        <v>5.43</v>
      </c>
      <c r="E929" s="8">
        <v>5.26</v>
      </c>
    </row>
    <row r="930" spans="1:5" x14ac:dyDescent="0.2">
      <c r="A930" s="5">
        <f t="shared" si="37"/>
        <v>9</v>
      </c>
      <c r="B930" s="5">
        <f t="shared" si="38"/>
        <v>2016</v>
      </c>
      <c r="C930" s="7">
        <v>42619</v>
      </c>
      <c r="D930" s="8">
        <v>5.43</v>
      </c>
      <c r="E930" s="8">
        <v>5.25</v>
      </c>
    </row>
    <row r="931" spans="1:5" x14ac:dyDescent="0.2">
      <c r="A931" s="5">
        <f t="shared" si="37"/>
        <v>9</v>
      </c>
      <c r="B931" s="5">
        <f t="shared" si="38"/>
        <v>2016</v>
      </c>
      <c r="C931" s="7">
        <v>42621</v>
      </c>
      <c r="D931" s="8">
        <v>5.44</v>
      </c>
      <c r="E931" s="8">
        <v>5.24</v>
      </c>
    </row>
    <row r="932" spans="1:5" x14ac:dyDescent="0.2">
      <c r="A932" s="5">
        <f t="shared" si="37"/>
        <v>9</v>
      </c>
      <c r="B932" s="5">
        <f t="shared" si="38"/>
        <v>2016</v>
      </c>
      <c r="C932" s="7">
        <v>42622</v>
      </c>
      <c r="D932" s="8">
        <v>5.24</v>
      </c>
      <c r="E932" s="8">
        <v>5.24</v>
      </c>
    </row>
    <row r="933" spans="1:5" x14ac:dyDescent="0.2">
      <c r="A933" s="5">
        <f t="shared" si="37"/>
        <v>9</v>
      </c>
      <c r="B933" s="5">
        <f t="shared" si="38"/>
        <v>2016</v>
      </c>
      <c r="C933" s="7">
        <v>42625</v>
      </c>
      <c r="D933" s="8">
        <v>5.23</v>
      </c>
      <c r="E933" s="8">
        <v>5.23</v>
      </c>
    </row>
    <row r="934" spans="1:5" x14ac:dyDescent="0.2">
      <c r="A934" s="5">
        <f t="shared" si="37"/>
        <v>9</v>
      </c>
      <c r="B934" s="5">
        <f t="shared" si="38"/>
        <v>2016</v>
      </c>
      <c r="C934" s="7">
        <v>42626</v>
      </c>
      <c r="D934" s="8">
        <v>5.23</v>
      </c>
      <c r="E934" s="8">
        <v>5.22</v>
      </c>
    </row>
    <row r="935" spans="1:5" x14ac:dyDescent="0.2">
      <c r="A935" s="5">
        <f t="shared" si="37"/>
        <v>9</v>
      </c>
      <c r="B935" s="5">
        <f t="shared" si="38"/>
        <v>2016</v>
      </c>
      <c r="C935" s="7">
        <v>42627</v>
      </c>
      <c r="D935" s="8">
        <v>5.23</v>
      </c>
      <c r="E935" s="8">
        <v>5.22</v>
      </c>
    </row>
    <row r="936" spans="1:5" x14ac:dyDescent="0.2">
      <c r="A936" s="5">
        <f t="shared" si="37"/>
        <v>9</v>
      </c>
      <c r="B936" s="5">
        <f t="shared" si="38"/>
        <v>2016</v>
      </c>
      <c r="C936" s="7">
        <v>42628</v>
      </c>
      <c r="D936" s="8">
        <v>5.22</v>
      </c>
      <c r="E936" s="8">
        <v>5.21</v>
      </c>
    </row>
    <row r="937" spans="1:5" x14ac:dyDescent="0.2">
      <c r="A937" s="5">
        <f t="shared" si="37"/>
        <v>9</v>
      </c>
      <c r="B937" s="5">
        <f t="shared" si="38"/>
        <v>2016</v>
      </c>
      <c r="C937" s="7">
        <v>42629</v>
      </c>
      <c r="D937" s="8">
        <v>5.21</v>
      </c>
      <c r="E937" s="8">
        <v>5.2</v>
      </c>
    </row>
    <row r="938" spans="1:5" x14ac:dyDescent="0.2">
      <c r="A938" s="5">
        <f t="shared" si="37"/>
        <v>9</v>
      </c>
      <c r="B938" s="5">
        <f t="shared" si="38"/>
        <v>2016</v>
      </c>
      <c r="C938" s="7">
        <v>42632</v>
      </c>
      <c r="D938" s="8">
        <v>5.17</v>
      </c>
      <c r="E938" s="8">
        <v>5.18</v>
      </c>
    </row>
    <row r="939" spans="1:5" x14ac:dyDescent="0.2">
      <c r="A939" s="5">
        <f t="shared" si="37"/>
        <v>9</v>
      </c>
      <c r="B939" s="5">
        <f t="shared" si="38"/>
        <v>2016</v>
      </c>
      <c r="C939" s="7">
        <v>42633</v>
      </c>
      <c r="D939" s="8">
        <v>5.18</v>
      </c>
      <c r="E939" s="8">
        <v>5.18</v>
      </c>
    </row>
    <row r="940" spans="1:5" x14ac:dyDescent="0.2">
      <c r="A940" s="5">
        <f t="shared" si="37"/>
        <v>9</v>
      </c>
      <c r="B940" s="5">
        <f t="shared" si="38"/>
        <v>2016</v>
      </c>
      <c r="C940" s="7">
        <v>42634</v>
      </c>
      <c r="D940" s="8">
        <v>5.12</v>
      </c>
      <c r="E940" s="8">
        <v>5.15</v>
      </c>
    </row>
    <row r="941" spans="1:5" x14ac:dyDescent="0.2">
      <c r="A941" s="5">
        <f t="shared" si="37"/>
        <v>9</v>
      </c>
      <c r="B941" s="5">
        <f t="shared" si="38"/>
        <v>2016</v>
      </c>
      <c r="C941" s="7">
        <v>42635</v>
      </c>
      <c r="D941" s="8">
        <v>5.13</v>
      </c>
      <c r="E941" s="8">
        <v>5.13</v>
      </c>
    </row>
    <row r="942" spans="1:5" x14ac:dyDescent="0.2">
      <c r="A942" s="5">
        <f t="shared" si="37"/>
        <v>9</v>
      </c>
      <c r="B942" s="5">
        <f t="shared" si="38"/>
        <v>2016</v>
      </c>
      <c r="C942" s="7">
        <v>42636</v>
      </c>
      <c r="D942" s="8">
        <v>5.13</v>
      </c>
      <c r="E942" s="8">
        <v>5.16</v>
      </c>
    </row>
    <row r="943" spans="1:5" x14ac:dyDescent="0.2">
      <c r="A943" s="5">
        <f t="shared" si="37"/>
        <v>9</v>
      </c>
      <c r="B943" s="5">
        <f t="shared" si="38"/>
        <v>2016</v>
      </c>
      <c r="C943" s="7">
        <v>42639</v>
      </c>
      <c r="D943" s="8">
        <v>5.12</v>
      </c>
      <c r="E943" s="8">
        <v>5.17</v>
      </c>
    </row>
    <row r="944" spans="1:5" x14ac:dyDescent="0.2">
      <c r="A944" s="5">
        <f t="shared" si="37"/>
        <v>9</v>
      </c>
      <c r="B944" s="5">
        <f t="shared" si="38"/>
        <v>2016</v>
      </c>
      <c r="C944" s="7">
        <v>42640</v>
      </c>
      <c r="D944" s="8">
        <v>5.12</v>
      </c>
      <c r="E944" s="8">
        <v>5.17</v>
      </c>
    </row>
    <row r="945" spans="1:5" x14ac:dyDescent="0.2">
      <c r="A945" s="5">
        <f t="shared" si="37"/>
        <v>9</v>
      </c>
      <c r="B945" s="5">
        <f t="shared" si="38"/>
        <v>2016</v>
      </c>
      <c r="C945" s="7">
        <v>42641</v>
      </c>
      <c r="D945" s="8">
        <v>5.12</v>
      </c>
      <c r="E945" s="8">
        <v>5.17</v>
      </c>
    </row>
    <row r="946" spans="1:5" x14ac:dyDescent="0.2">
      <c r="A946" s="5">
        <f t="shared" si="37"/>
        <v>9</v>
      </c>
      <c r="B946" s="5">
        <f t="shared" si="38"/>
        <v>2016</v>
      </c>
      <c r="C946" s="7">
        <v>42642</v>
      </c>
      <c r="D946" s="8">
        <v>5.0999999999999996</v>
      </c>
      <c r="E946" s="8">
        <v>5.16</v>
      </c>
    </row>
    <row r="947" spans="1:5" x14ac:dyDescent="0.2">
      <c r="A947" s="5">
        <f t="shared" si="37"/>
        <v>9</v>
      </c>
      <c r="B947" s="5">
        <f t="shared" si="38"/>
        <v>2016</v>
      </c>
      <c r="C947" s="7">
        <v>42643</v>
      </c>
      <c r="D947" s="8">
        <v>5.05</v>
      </c>
      <c r="E947" s="8">
        <v>5.15</v>
      </c>
    </row>
    <row r="948" spans="1:5" x14ac:dyDescent="0.2">
      <c r="A948" s="5">
        <f t="shared" si="37"/>
        <v>10</v>
      </c>
      <c r="B948" s="5">
        <f t="shared" si="38"/>
        <v>2016</v>
      </c>
      <c r="C948" s="7">
        <v>42646</v>
      </c>
      <c r="D948" s="8">
        <v>5.0199999999999996</v>
      </c>
      <c r="E948" s="8">
        <v>5.14</v>
      </c>
    </row>
    <row r="949" spans="1:5" x14ac:dyDescent="0.2">
      <c r="A949" s="5">
        <f t="shared" si="37"/>
        <v>10</v>
      </c>
      <c r="B949" s="5">
        <f t="shared" si="38"/>
        <v>2016</v>
      </c>
      <c r="C949" s="7">
        <v>42647</v>
      </c>
      <c r="D949" s="8">
        <v>5</v>
      </c>
      <c r="E949" s="8">
        <v>5.13</v>
      </c>
    </row>
    <row r="950" spans="1:5" x14ac:dyDescent="0.2">
      <c r="A950" s="5">
        <f t="shared" si="37"/>
        <v>10</v>
      </c>
      <c r="B950" s="5">
        <f t="shared" si="38"/>
        <v>2016</v>
      </c>
      <c r="C950" s="7">
        <v>42648</v>
      </c>
      <c r="D950" s="8">
        <v>5</v>
      </c>
      <c r="E950" s="8">
        <v>5.13</v>
      </c>
    </row>
    <row r="951" spans="1:5" x14ac:dyDescent="0.2">
      <c r="A951" s="5">
        <f t="shared" si="37"/>
        <v>10</v>
      </c>
      <c r="B951" s="5">
        <f t="shared" si="38"/>
        <v>2016</v>
      </c>
      <c r="C951" s="7">
        <v>42649</v>
      </c>
      <c r="D951" s="8">
        <v>5</v>
      </c>
      <c r="E951" s="8">
        <v>5.13</v>
      </c>
    </row>
    <row r="952" spans="1:5" x14ac:dyDescent="0.2">
      <c r="A952" s="5">
        <f t="shared" si="37"/>
        <v>10</v>
      </c>
      <c r="B952" s="5">
        <f t="shared" si="38"/>
        <v>2016</v>
      </c>
      <c r="C952" s="7">
        <v>42650</v>
      </c>
      <c r="D952" s="8">
        <v>5.08</v>
      </c>
      <c r="E952" s="8">
        <v>5.07</v>
      </c>
    </row>
    <row r="953" spans="1:5" x14ac:dyDescent="0.2">
      <c r="A953" s="5">
        <f t="shared" si="37"/>
        <v>10</v>
      </c>
      <c r="B953" s="5">
        <f t="shared" si="38"/>
        <v>2016</v>
      </c>
      <c r="C953" s="7">
        <v>42653</v>
      </c>
      <c r="D953" s="8">
        <v>5.08</v>
      </c>
      <c r="E953" s="8">
        <v>5.08</v>
      </c>
    </row>
    <row r="954" spans="1:5" x14ac:dyDescent="0.2">
      <c r="A954" s="5">
        <f t="shared" si="37"/>
        <v>10</v>
      </c>
      <c r="B954" s="5">
        <f t="shared" si="38"/>
        <v>2016</v>
      </c>
      <c r="C954" s="7">
        <v>42654</v>
      </c>
      <c r="D954" s="8">
        <v>5.09</v>
      </c>
      <c r="E954" s="8">
        <v>5.08</v>
      </c>
    </row>
    <row r="955" spans="1:5" x14ac:dyDescent="0.2">
      <c r="A955" s="5">
        <f t="shared" si="37"/>
        <v>10</v>
      </c>
      <c r="B955" s="5">
        <f t="shared" si="38"/>
        <v>2016</v>
      </c>
      <c r="C955" s="7">
        <v>42656</v>
      </c>
      <c r="D955" s="8">
        <v>5.09</v>
      </c>
      <c r="E955" s="8">
        <v>5.09</v>
      </c>
    </row>
    <row r="956" spans="1:5" x14ac:dyDescent="0.2">
      <c r="A956" s="5">
        <f t="shared" si="37"/>
        <v>10</v>
      </c>
      <c r="B956" s="5">
        <f t="shared" si="38"/>
        <v>2016</v>
      </c>
      <c r="C956" s="7">
        <v>42657</v>
      </c>
      <c r="D956" s="8">
        <v>5.04</v>
      </c>
      <c r="E956" s="8">
        <v>5.05</v>
      </c>
    </row>
    <row r="957" spans="1:5" x14ac:dyDescent="0.2">
      <c r="A957" s="5">
        <f t="shared" si="37"/>
        <v>10</v>
      </c>
      <c r="B957" s="5">
        <f t="shared" si="38"/>
        <v>2016</v>
      </c>
      <c r="C957" s="7">
        <v>42660</v>
      </c>
      <c r="D957" s="8">
        <v>5.0199999999999996</v>
      </c>
      <c r="E957" s="8">
        <v>5.04</v>
      </c>
    </row>
    <row r="958" spans="1:5" x14ac:dyDescent="0.2">
      <c r="A958" s="5">
        <f t="shared" si="37"/>
        <v>10</v>
      </c>
      <c r="B958" s="5">
        <f t="shared" si="38"/>
        <v>2016</v>
      </c>
      <c r="C958" s="7">
        <v>42661</v>
      </c>
      <c r="D958" s="8">
        <v>5</v>
      </c>
      <c r="E958" s="8">
        <v>5.0199999999999996</v>
      </c>
    </row>
    <row r="959" spans="1:5" x14ac:dyDescent="0.2">
      <c r="A959" s="5">
        <f t="shared" si="37"/>
        <v>10</v>
      </c>
      <c r="B959" s="5">
        <f t="shared" si="38"/>
        <v>2016</v>
      </c>
      <c r="C959" s="7">
        <v>42662</v>
      </c>
      <c r="D959" s="8">
        <v>5</v>
      </c>
      <c r="E959" s="8">
        <v>5.0199999999999996</v>
      </c>
    </row>
    <row r="960" spans="1:5" x14ac:dyDescent="0.2">
      <c r="A960" s="5">
        <f t="shared" si="37"/>
        <v>10</v>
      </c>
      <c r="B960" s="5">
        <f t="shared" si="38"/>
        <v>2016</v>
      </c>
      <c r="C960" s="7">
        <v>42663</v>
      </c>
      <c r="D960" s="8">
        <v>4.91</v>
      </c>
      <c r="E960" s="8">
        <v>4.95</v>
      </c>
    </row>
    <row r="961" spans="1:5" x14ac:dyDescent="0.2">
      <c r="A961" s="5">
        <f t="shared" si="37"/>
        <v>10</v>
      </c>
      <c r="B961" s="5">
        <f t="shared" si="38"/>
        <v>2016</v>
      </c>
      <c r="C961" s="7">
        <v>42664</v>
      </c>
      <c r="D961" s="8">
        <v>4.9000000000000004</v>
      </c>
      <c r="E961" s="8">
        <v>4.95</v>
      </c>
    </row>
    <row r="962" spans="1:5" x14ac:dyDescent="0.2">
      <c r="A962" s="5">
        <f t="shared" si="37"/>
        <v>10</v>
      </c>
      <c r="B962" s="5">
        <f t="shared" si="38"/>
        <v>2016</v>
      </c>
      <c r="C962" s="7">
        <v>42667</v>
      </c>
      <c r="D962" s="8">
        <v>4.8600000000000003</v>
      </c>
      <c r="E962" s="8">
        <v>4.93</v>
      </c>
    </row>
    <row r="963" spans="1:5" x14ac:dyDescent="0.2">
      <c r="A963" s="5">
        <f t="shared" si="37"/>
        <v>10</v>
      </c>
      <c r="B963" s="5">
        <f t="shared" si="38"/>
        <v>2016</v>
      </c>
      <c r="C963" s="7">
        <v>42668</v>
      </c>
      <c r="D963" s="8">
        <v>4.8499999999999996</v>
      </c>
      <c r="E963" s="8">
        <v>4.9400000000000004</v>
      </c>
    </row>
    <row r="964" spans="1:5" x14ac:dyDescent="0.2">
      <c r="A964" s="5">
        <f t="shared" ref="A964:A1027" si="39">MONTH(C964)</f>
        <v>10</v>
      </c>
      <c r="B964" s="5">
        <f t="shared" ref="B964:B1027" si="40">YEAR(C964)</f>
        <v>2016</v>
      </c>
      <c r="C964" s="7">
        <v>42669</v>
      </c>
      <c r="D964" s="8">
        <v>4.8499999999999996</v>
      </c>
      <c r="E964" s="8">
        <v>4.9400000000000004</v>
      </c>
    </row>
    <row r="965" spans="1:5" x14ac:dyDescent="0.2">
      <c r="A965" s="5">
        <f t="shared" si="39"/>
        <v>10</v>
      </c>
      <c r="B965" s="5">
        <f t="shared" si="40"/>
        <v>2016</v>
      </c>
      <c r="C965" s="7">
        <v>42670</v>
      </c>
      <c r="D965" s="8">
        <v>4.8499999999999996</v>
      </c>
      <c r="E965" s="8">
        <v>4.9400000000000004</v>
      </c>
    </row>
    <row r="966" spans="1:5" x14ac:dyDescent="0.2">
      <c r="A966" s="5">
        <f t="shared" si="39"/>
        <v>10</v>
      </c>
      <c r="B966" s="5">
        <f t="shared" si="40"/>
        <v>2016</v>
      </c>
      <c r="C966" s="7">
        <v>42671</v>
      </c>
      <c r="D966" s="8">
        <v>4.8499999999999996</v>
      </c>
      <c r="E966" s="8">
        <v>4.95</v>
      </c>
    </row>
    <row r="967" spans="1:5" x14ac:dyDescent="0.2">
      <c r="A967" s="5">
        <f t="shared" si="39"/>
        <v>10</v>
      </c>
      <c r="B967" s="5">
        <f t="shared" si="40"/>
        <v>2016</v>
      </c>
      <c r="C967" s="7">
        <v>42674</v>
      </c>
      <c r="D967" s="8">
        <v>4.84</v>
      </c>
      <c r="E967" s="8">
        <v>4.95</v>
      </c>
    </row>
    <row r="968" spans="1:5" x14ac:dyDescent="0.2">
      <c r="A968" s="5">
        <f t="shared" si="39"/>
        <v>11</v>
      </c>
      <c r="B968" s="5">
        <f t="shared" si="40"/>
        <v>2016</v>
      </c>
      <c r="C968" s="7">
        <v>42675</v>
      </c>
      <c r="D968" s="8">
        <v>4.84</v>
      </c>
      <c r="E968" s="8">
        <v>4.9400000000000004</v>
      </c>
    </row>
    <row r="969" spans="1:5" x14ac:dyDescent="0.2">
      <c r="A969" s="5">
        <f t="shared" si="39"/>
        <v>11</v>
      </c>
      <c r="B969" s="5">
        <f t="shared" si="40"/>
        <v>2016</v>
      </c>
      <c r="C969" s="7">
        <v>42677</v>
      </c>
      <c r="D969" s="8">
        <v>4.84</v>
      </c>
      <c r="E969" s="8">
        <v>4.95</v>
      </c>
    </row>
    <row r="970" spans="1:5" x14ac:dyDescent="0.2">
      <c r="A970" s="5">
        <f t="shared" si="39"/>
        <v>11</v>
      </c>
      <c r="B970" s="5">
        <f t="shared" si="40"/>
        <v>2016</v>
      </c>
      <c r="C970" s="7">
        <v>42678</v>
      </c>
      <c r="D970" s="8">
        <v>4.84</v>
      </c>
      <c r="E970" s="8">
        <v>4.95</v>
      </c>
    </row>
    <row r="971" spans="1:5" x14ac:dyDescent="0.2">
      <c r="A971" s="5">
        <f t="shared" si="39"/>
        <v>11</v>
      </c>
      <c r="B971" s="5">
        <f t="shared" si="40"/>
        <v>2016</v>
      </c>
      <c r="C971" s="7">
        <v>42681</v>
      </c>
      <c r="D971" s="8">
        <v>4.83</v>
      </c>
      <c r="E971" s="8">
        <v>4.96</v>
      </c>
    </row>
    <row r="972" spans="1:5" x14ac:dyDescent="0.2">
      <c r="A972" s="5">
        <f t="shared" si="39"/>
        <v>11</v>
      </c>
      <c r="B972" s="5">
        <f t="shared" si="40"/>
        <v>2016</v>
      </c>
      <c r="C972" s="7">
        <v>42682</v>
      </c>
      <c r="D972" s="8">
        <v>4.83</v>
      </c>
      <c r="E972" s="8">
        <v>4.97</v>
      </c>
    </row>
    <row r="973" spans="1:5" x14ac:dyDescent="0.2">
      <c r="A973" s="5">
        <f t="shared" si="39"/>
        <v>11</v>
      </c>
      <c r="B973" s="5">
        <f t="shared" si="40"/>
        <v>2016</v>
      </c>
      <c r="C973" s="7">
        <v>42683</v>
      </c>
      <c r="D973" s="8">
        <v>4.96</v>
      </c>
      <c r="E973" s="8">
        <v>4.95</v>
      </c>
    </row>
    <row r="974" spans="1:5" x14ac:dyDescent="0.2">
      <c r="A974" s="5">
        <f t="shared" si="39"/>
        <v>11</v>
      </c>
      <c r="B974" s="5">
        <f t="shared" si="40"/>
        <v>2016</v>
      </c>
      <c r="C974" s="7">
        <v>42684</v>
      </c>
      <c r="D974" s="8">
        <v>4.97</v>
      </c>
      <c r="E974" s="8">
        <v>4.96</v>
      </c>
    </row>
    <row r="975" spans="1:5" x14ac:dyDescent="0.2">
      <c r="A975" s="5">
        <f t="shared" si="39"/>
        <v>11</v>
      </c>
      <c r="B975" s="5">
        <f t="shared" si="40"/>
        <v>2016</v>
      </c>
      <c r="C975" s="7">
        <v>42685</v>
      </c>
      <c r="D975" s="8">
        <v>4.9400000000000004</v>
      </c>
      <c r="E975" s="8">
        <v>4.93</v>
      </c>
    </row>
    <row r="976" spans="1:5" x14ac:dyDescent="0.2">
      <c r="A976" s="5">
        <f t="shared" si="39"/>
        <v>11</v>
      </c>
      <c r="B976" s="5">
        <f t="shared" si="40"/>
        <v>2016</v>
      </c>
      <c r="C976" s="7">
        <v>42688</v>
      </c>
      <c r="D976" s="8">
        <v>4.95</v>
      </c>
      <c r="E976" s="8">
        <v>4.95</v>
      </c>
    </row>
    <row r="977" spans="1:5" x14ac:dyDescent="0.2">
      <c r="A977" s="5">
        <f t="shared" si="39"/>
        <v>11</v>
      </c>
      <c r="B977" s="5">
        <f t="shared" si="40"/>
        <v>2016</v>
      </c>
      <c r="C977" s="7">
        <v>42690</v>
      </c>
      <c r="D977" s="8">
        <v>4.95</v>
      </c>
      <c r="E977" s="8">
        <v>4.95</v>
      </c>
    </row>
    <row r="978" spans="1:5" x14ac:dyDescent="0.2">
      <c r="A978" s="5">
        <f t="shared" si="39"/>
        <v>11</v>
      </c>
      <c r="B978" s="5">
        <f t="shared" si="40"/>
        <v>2016</v>
      </c>
      <c r="C978" s="7">
        <v>42691</v>
      </c>
      <c r="D978" s="8">
        <v>4.93</v>
      </c>
      <c r="E978" s="8">
        <v>4.9400000000000004</v>
      </c>
    </row>
    <row r="979" spans="1:5" x14ac:dyDescent="0.2">
      <c r="A979" s="5">
        <f t="shared" si="39"/>
        <v>11</v>
      </c>
      <c r="B979" s="5">
        <f t="shared" si="40"/>
        <v>2016</v>
      </c>
      <c r="C979" s="7">
        <v>42692</v>
      </c>
      <c r="D979" s="8">
        <v>4.93</v>
      </c>
      <c r="E979" s="8">
        <v>4.9400000000000004</v>
      </c>
    </row>
    <row r="980" spans="1:5" x14ac:dyDescent="0.2">
      <c r="A980" s="5">
        <f t="shared" si="39"/>
        <v>11</v>
      </c>
      <c r="B980" s="5">
        <f t="shared" si="40"/>
        <v>2016</v>
      </c>
      <c r="C980" s="7">
        <v>42695</v>
      </c>
      <c r="D980" s="8">
        <v>4.9000000000000004</v>
      </c>
      <c r="E980" s="8">
        <v>4.91</v>
      </c>
    </row>
    <row r="981" spans="1:5" x14ac:dyDescent="0.2">
      <c r="A981" s="5">
        <f t="shared" si="39"/>
        <v>11</v>
      </c>
      <c r="B981" s="5">
        <f t="shared" si="40"/>
        <v>2016</v>
      </c>
      <c r="C981" s="7">
        <v>42696</v>
      </c>
      <c r="D981" s="8">
        <v>4.83</v>
      </c>
      <c r="E981" s="8">
        <v>4.8899999999999997</v>
      </c>
    </row>
    <row r="982" spans="1:5" x14ac:dyDescent="0.2">
      <c r="A982" s="5">
        <f t="shared" si="39"/>
        <v>11</v>
      </c>
      <c r="B982" s="5">
        <f t="shared" si="40"/>
        <v>2016</v>
      </c>
      <c r="C982" s="7">
        <v>42697</v>
      </c>
      <c r="D982" s="8">
        <v>4.83</v>
      </c>
      <c r="E982" s="8">
        <v>4.8899999999999997</v>
      </c>
    </row>
    <row r="983" spans="1:5" x14ac:dyDescent="0.2">
      <c r="A983" s="5">
        <f t="shared" si="39"/>
        <v>11</v>
      </c>
      <c r="B983" s="5">
        <f t="shared" si="40"/>
        <v>2016</v>
      </c>
      <c r="C983" s="7">
        <v>42698</v>
      </c>
      <c r="D983" s="8">
        <v>4.82</v>
      </c>
      <c r="E983" s="8">
        <v>4.8899999999999997</v>
      </c>
    </row>
    <row r="984" spans="1:5" x14ac:dyDescent="0.2">
      <c r="A984" s="5">
        <f t="shared" si="39"/>
        <v>11</v>
      </c>
      <c r="B984" s="5">
        <f t="shared" si="40"/>
        <v>2016</v>
      </c>
      <c r="C984" s="7">
        <v>42699</v>
      </c>
      <c r="D984" s="8">
        <v>4.8099999999999996</v>
      </c>
      <c r="E984" s="8">
        <v>4.8899999999999997</v>
      </c>
    </row>
    <row r="985" spans="1:5" x14ac:dyDescent="0.2">
      <c r="A985" s="5">
        <f t="shared" si="39"/>
        <v>11</v>
      </c>
      <c r="B985" s="5">
        <f t="shared" si="40"/>
        <v>2016</v>
      </c>
      <c r="C985" s="7">
        <v>42702</v>
      </c>
      <c r="D985" s="8">
        <v>4.8</v>
      </c>
      <c r="E985" s="8">
        <v>4.9000000000000004</v>
      </c>
    </row>
    <row r="986" spans="1:5" x14ac:dyDescent="0.2">
      <c r="A986" s="5">
        <f t="shared" si="39"/>
        <v>11</v>
      </c>
      <c r="B986" s="5">
        <f t="shared" si="40"/>
        <v>2016</v>
      </c>
      <c r="C986" s="7">
        <v>42703</v>
      </c>
      <c r="D986" s="8">
        <v>4.8</v>
      </c>
      <c r="E986" s="8">
        <v>4.9000000000000004</v>
      </c>
    </row>
    <row r="987" spans="1:5" x14ac:dyDescent="0.2">
      <c r="A987" s="5">
        <f t="shared" si="39"/>
        <v>11</v>
      </c>
      <c r="B987" s="5">
        <f t="shared" si="40"/>
        <v>2016</v>
      </c>
      <c r="C987" s="7">
        <v>42704</v>
      </c>
      <c r="D987" s="8">
        <v>4.79</v>
      </c>
      <c r="E987" s="8">
        <v>4.8899999999999997</v>
      </c>
    </row>
    <row r="988" spans="1:5" x14ac:dyDescent="0.2">
      <c r="A988" s="5">
        <f t="shared" si="39"/>
        <v>12</v>
      </c>
      <c r="B988" s="5">
        <f t="shared" si="40"/>
        <v>2016</v>
      </c>
      <c r="C988" s="7">
        <v>42705</v>
      </c>
      <c r="D988" s="8">
        <v>4.79</v>
      </c>
      <c r="E988" s="8">
        <v>4.8899999999999997</v>
      </c>
    </row>
    <row r="989" spans="1:5" x14ac:dyDescent="0.2">
      <c r="A989" s="5">
        <f t="shared" si="39"/>
        <v>12</v>
      </c>
      <c r="B989" s="5">
        <f t="shared" si="40"/>
        <v>2016</v>
      </c>
      <c r="C989" s="7">
        <v>42706</v>
      </c>
      <c r="D989" s="8">
        <v>4.78</v>
      </c>
      <c r="E989" s="8">
        <v>4.8899999999999997</v>
      </c>
    </row>
    <row r="990" spans="1:5" x14ac:dyDescent="0.2">
      <c r="A990" s="5">
        <f t="shared" si="39"/>
        <v>12</v>
      </c>
      <c r="B990" s="5">
        <f t="shared" si="40"/>
        <v>2016</v>
      </c>
      <c r="C990" s="7">
        <v>42709</v>
      </c>
      <c r="D990" s="8">
        <v>4.7699999999999996</v>
      </c>
      <c r="E990" s="8">
        <v>4.8899999999999997</v>
      </c>
    </row>
    <row r="991" spans="1:5" x14ac:dyDescent="0.2">
      <c r="A991" s="5">
        <f t="shared" si="39"/>
        <v>12</v>
      </c>
      <c r="B991" s="5">
        <f t="shared" si="40"/>
        <v>2016</v>
      </c>
      <c r="C991" s="7">
        <v>42710</v>
      </c>
      <c r="D991" s="8">
        <v>4.78</v>
      </c>
      <c r="E991" s="8">
        <v>4.9000000000000004</v>
      </c>
    </row>
    <row r="992" spans="1:5" x14ac:dyDescent="0.2">
      <c r="A992" s="5">
        <f t="shared" si="39"/>
        <v>12</v>
      </c>
      <c r="B992" s="5">
        <f t="shared" si="40"/>
        <v>2016</v>
      </c>
      <c r="C992" s="7">
        <v>42711</v>
      </c>
      <c r="D992" s="8">
        <v>4.78</v>
      </c>
      <c r="E992" s="8">
        <v>4.9000000000000004</v>
      </c>
    </row>
    <row r="993" spans="1:5" x14ac:dyDescent="0.2">
      <c r="A993" s="5">
        <f t="shared" si="39"/>
        <v>12</v>
      </c>
      <c r="B993" s="5">
        <f t="shared" si="40"/>
        <v>2016</v>
      </c>
      <c r="C993" s="7">
        <v>42712</v>
      </c>
      <c r="D993" s="8">
        <v>4.78</v>
      </c>
      <c r="E993" s="8">
        <v>4.91</v>
      </c>
    </row>
    <row r="994" spans="1:5" x14ac:dyDescent="0.2">
      <c r="A994" s="5">
        <f t="shared" si="39"/>
        <v>12</v>
      </c>
      <c r="B994" s="5">
        <f t="shared" si="40"/>
        <v>2016</v>
      </c>
      <c r="C994" s="7">
        <v>42713</v>
      </c>
      <c r="D994" s="8">
        <v>4.88</v>
      </c>
      <c r="E994" s="8">
        <v>4.88</v>
      </c>
    </row>
    <row r="995" spans="1:5" x14ac:dyDescent="0.2">
      <c r="A995" s="5">
        <f t="shared" si="39"/>
        <v>12</v>
      </c>
      <c r="B995" s="5">
        <f t="shared" si="40"/>
        <v>2016</v>
      </c>
      <c r="C995" s="7">
        <v>42716</v>
      </c>
      <c r="D995" s="8">
        <v>4.87</v>
      </c>
      <c r="E995" s="8">
        <v>4.87</v>
      </c>
    </row>
    <row r="996" spans="1:5" x14ac:dyDescent="0.2">
      <c r="A996" s="5">
        <f t="shared" si="39"/>
        <v>12</v>
      </c>
      <c r="B996" s="5">
        <f t="shared" si="40"/>
        <v>2016</v>
      </c>
      <c r="C996" s="7">
        <v>42717</v>
      </c>
      <c r="D996" s="8">
        <v>4.87</v>
      </c>
      <c r="E996" s="8">
        <v>4.87</v>
      </c>
    </row>
    <row r="997" spans="1:5" x14ac:dyDescent="0.2">
      <c r="A997" s="5">
        <f t="shared" si="39"/>
        <v>12</v>
      </c>
      <c r="B997" s="5">
        <f t="shared" si="40"/>
        <v>2016</v>
      </c>
      <c r="C997" s="7">
        <v>42718</v>
      </c>
      <c r="D997" s="8">
        <v>4.87</v>
      </c>
      <c r="E997" s="8">
        <v>4.87</v>
      </c>
    </row>
    <row r="998" spans="1:5" x14ac:dyDescent="0.2">
      <c r="A998" s="5">
        <f t="shared" si="39"/>
        <v>12</v>
      </c>
      <c r="B998" s="5">
        <f t="shared" si="40"/>
        <v>2016</v>
      </c>
      <c r="C998" s="7">
        <v>42719</v>
      </c>
      <c r="D998" s="8">
        <v>4.8600000000000003</v>
      </c>
      <c r="E998" s="8">
        <v>4.87</v>
      </c>
    </row>
    <row r="999" spans="1:5" x14ac:dyDescent="0.2">
      <c r="A999" s="5">
        <f t="shared" si="39"/>
        <v>12</v>
      </c>
      <c r="B999" s="5">
        <f t="shared" si="40"/>
        <v>2016</v>
      </c>
      <c r="C999" s="7">
        <v>42720</v>
      </c>
      <c r="D999" s="8">
        <v>4.84</v>
      </c>
      <c r="E999" s="8">
        <v>4.87</v>
      </c>
    </row>
    <row r="1000" spans="1:5" x14ac:dyDescent="0.2">
      <c r="A1000" s="5">
        <f t="shared" si="39"/>
        <v>12</v>
      </c>
      <c r="B1000" s="5">
        <f t="shared" si="40"/>
        <v>2016</v>
      </c>
      <c r="C1000" s="7">
        <v>42723</v>
      </c>
      <c r="D1000" s="8">
        <v>4.84</v>
      </c>
      <c r="E1000" s="8">
        <v>4.87</v>
      </c>
    </row>
    <row r="1001" spans="1:5" x14ac:dyDescent="0.2">
      <c r="A1001" s="5">
        <f t="shared" si="39"/>
        <v>12</v>
      </c>
      <c r="B1001" s="5">
        <f t="shared" si="40"/>
        <v>2016</v>
      </c>
      <c r="C1001" s="7">
        <v>42724</v>
      </c>
      <c r="D1001" s="8">
        <v>4.74</v>
      </c>
      <c r="E1001" s="8">
        <v>4.79</v>
      </c>
    </row>
    <row r="1002" spans="1:5" x14ac:dyDescent="0.2">
      <c r="A1002" s="5">
        <f t="shared" si="39"/>
        <v>12</v>
      </c>
      <c r="B1002" s="5">
        <f t="shared" si="40"/>
        <v>2016</v>
      </c>
      <c r="C1002" s="7">
        <v>42725</v>
      </c>
      <c r="D1002" s="8">
        <v>4.7300000000000004</v>
      </c>
      <c r="E1002" s="8">
        <v>4.7699999999999996</v>
      </c>
    </row>
    <row r="1003" spans="1:5" x14ac:dyDescent="0.2">
      <c r="A1003" s="5">
        <f t="shared" si="39"/>
        <v>12</v>
      </c>
      <c r="B1003" s="5">
        <f t="shared" si="40"/>
        <v>2016</v>
      </c>
      <c r="C1003" s="7">
        <v>42726</v>
      </c>
      <c r="D1003" s="8">
        <v>4.71</v>
      </c>
      <c r="E1003" s="8">
        <v>4.76</v>
      </c>
    </row>
    <row r="1004" spans="1:5" x14ac:dyDescent="0.2">
      <c r="A1004" s="5">
        <f t="shared" si="39"/>
        <v>12</v>
      </c>
      <c r="B1004" s="5">
        <f t="shared" si="40"/>
        <v>2016</v>
      </c>
      <c r="C1004" s="7">
        <v>42727</v>
      </c>
      <c r="D1004" s="8">
        <v>4.7</v>
      </c>
      <c r="E1004" s="8">
        <v>4.7699999999999996</v>
      </c>
    </row>
    <row r="1005" spans="1:5" x14ac:dyDescent="0.2">
      <c r="A1005" s="5">
        <f t="shared" si="39"/>
        <v>12</v>
      </c>
      <c r="B1005" s="5">
        <f t="shared" si="40"/>
        <v>2016</v>
      </c>
      <c r="C1005" s="7">
        <v>42730</v>
      </c>
      <c r="D1005" s="8">
        <v>4.7</v>
      </c>
      <c r="E1005" s="8">
        <v>4.78</v>
      </c>
    </row>
    <row r="1006" spans="1:5" x14ac:dyDescent="0.2">
      <c r="A1006" s="5">
        <f t="shared" si="39"/>
        <v>12</v>
      </c>
      <c r="B1006" s="5">
        <f t="shared" si="40"/>
        <v>2016</v>
      </c>
      <c r="C1006" s="7">
        <v>42731</v>
      </c>
      <c r="D1006" s="8">
        <v>4.7</v>
      </c>
      <c r="E1006" s="8">
        <v>4.79</v>
      </c>
    </row>
    <row r="1007" spans="1:5" x14ac:dyDescent="0.2">
      <c r="A1007" s="5">
        <f t="shared" si="39"/>
        <v>12</v>
      </c>
      <c r="B1007" s="5">
        <f t="shared" si="40"/>
        <v>2016</v>
      </c>
      <c r="C1007" s="7">
        <v>42732</v>
      </c>
      <c r="D1007" s="8">
        <v>4.7</v>
      </c>
      <c r="E1007" s="8">
        <v>4.79</v>
      </c>
    </row>
    <row r="1008" spans="1:5" x14ac:dyDescent="0.2">
      <c r="A1008" s="5">
        <f t="shared" si="39"/>
        <v>12</v>
      </c>
      <c r="B1008" s="5">
        <f t="shared" si="40"/>
        <v>2016</v>
      </c>
      <c r="C1008" s="7">
        <v>42733</v>
      </c>
      <c r="D1008" s="8">
        <v>4.7</v>
      </c>
      <c r="E1008" s="8">
        <v>4.79</v>
      </c>
    </row>
    <row r="1009" spans="1:5" x14ac:dyDescent="0.2">
      <c r="A1009" s="5">
        <f t="shared" si="39"/>
        <v>12</v>
      </c>
      <c r="B1009" s="5">
        <f t="shared" si="40"/>
        <v>2016</v>
      </c>
      <c r="C1009" s="7">
        <v>42734</v>
      </c>
      <c r="D1009" s="8">
        <v>4.7</v>
      </c>
      <c r="E1009" s="8">
        <v>4.8</v>
      </c>
    </row>
    <row r="1010" spans="1:5" x14ac:dyDescent="0.2">
      <c r="A1010" s="5">
        <f t="shared" si="39"/>
        <v>1</v>
      </c>
      <c r="B1010" s="5">
        <f t="shared" si="40"/>
        <v>2017</v>
      </c>
      <c r="C1010" s="7">
        <v>42737</v>
      </c>
      <c r="D1010" s="8">
        <v>4.7</v>
      </c>
      <c r="E1010" s="8">
        <v>4.82</v>
      </c>
    </row>
    <row r="1011" spans="1:5" x14ac:dyDescent="0.2">
      <c r="A1011" s="5">
        <f t="shared" si="39"/>
        <v>1</v>
      </c>
      <c r="B1011" s="5">
        <f t="shared" si="40"/>
        <v>2017</v>
      </c>
      <c r="C1011" s="7">
        <v>42738</v>
      </c>
      <c r="D1011" s="8">
        <v>4.7</v>
      </c>
      <c r="E1011" s="8">
        <v>4.83</v>
      </c>
    </row>
    <row r="1012" spans="1:5" x14ac:dyDescent="0.2">
      <c r="A1012" s="5">
        <f t="shared" si="39"/>
        <v>1</v>
      </c>
      <c r="B1012" s="5">
        <f t="shared" si="40"/>
        <v>2017</v>
      </c>
      <c r="C1012" s="7">
        <v>42739</v>
      </c>
      <c r="D1012" s="8">
        <v>4.7</v>
      </c>
      <c r="E1012" s="8">
        <v>4.82</v>
      </c>
    </row>
    <row r="1013" spans="1:5" x14ac:dyDescent="0.2">
      <c r="A1013" s="5">
        <f t="shared" si="39"/>
        <v>1</v>
      </c>
      <c r="B1013" s="5">
        <f t="shared" si="40"/>
        <v>2017</v>
      </c>
      <c r="C1013" s="7">
        <v>42740</v>
      </c>
      <c r="D1013" s="8">
        <v>4.68</v>
      </c>
      <c r="E1013" s="8">
        <v>4.82</v>
      </c>
    </row>
    <row r="1014" spans="1:5" x14ac:dyDescent="0.2">
      <c r="A1014" s="5">
        <f t="shared" si="39"/>
        <v>1</v>
      </c>
      <c r="B1014" s="5">
        <f t="shared" si="40"/>
        <v>2017</v>
      </c>
      <c r="C1014" s="7">
        <v>42741</v>
      </c>
      <c r="D1014" s="8">
        <v>4.7</v>
      </c>
      <c r="E1014" s="8">
        <v>4.84</v>
      </c>
    </row>
    <row r="1015" spans="1:5" x14ac:dyDescent="0.2">
      <c r="A1015" s="5">
        <f t="shared" si="39"/>
        <v>1</v>
      </c>
      <c r="B1015" s="5">
        <f t="shared" si="40"/>
        <v>2017</v>
      </c>
      <c r="C1015" s="7">
        <v>42744</v>
      </c>
      <c r="D1015" s="8">
        <v>4.7</v>
      </c>
      <c r="E1015" s="8">
        <v>4.82</v>
      </c>
    </row>
    <row r="1016" spans="1:5" x14ac:dyDescent="0.2">
      <c r="A1016" s="5">
        <f t="shared" si="39"/>
        <v>1</v>
      </c>
      <c r="B1016" s="5">
        <f t="shared" si="40"/>
        <v>2017</v>
      </c>
      <c r="C1016" s="7">
        <v>42745</v>
      </c>
      <c r="D1016" s="8">
        <v>4.7</v>
      </c>
      <c r="E1016" s="8">
        <v>4.83</v>
      </c>
    </row>
    <row r="1017" spans="1:5" x14ac:dyDescent="0.2">
      <c r="A1017" s="5">
        <f t="shared" si="39"/>
        <v>1</v>
      </c>
      <c r="B1017" s="5">
        <f t="shared" si="40"/>
        <v>2017</v>
      </c>
      <c r="C1017" s="7">
        <v>42746</v>
      </c>
      <c r="D1017" s="8">
        <v>4.8</v>
      </c>
      <c r="E1017" s="8">
        <v>4.8600000000000003</v>
      </c>
    </row>
    <row r="1018" spans="1:5" x14ac:dyDescent="0.2">
      <c r="A1018" s="5">
        <f t="shared" si="39"/>
        <v>1</v>
      </c>
      <c r="B1018" s="5">
        <f t="shared" si="40"/>
        <v>2017</v>
      </c>
      <c r="C1018" s="7">
        <v>42747</v>
      </c>
      <c r="D1018" s="8">
        <v>4.8</v>
      </c>
      <c r="E1018" s="8">
        <v>4.82</v>
      </c>
    </row>
    <row r="1019" spans="1:5" x14ac:dyDescent="0.2">
      <c r="A1019" s="5">
        <f t="shared" si="39"/>
        <v>1</v>
      </c>
      <c r="B1019" s="5">
        <f t="shared" si="40"/>
        <v>2017</v>
      </c>
      <c r="C1019" s="7">
        <v>42748</v>
      </c>
      <c r="D1019" s="8">
        <v>4.8</v>
      </c>
      <c r="E1019" s="8">
        <v>4.8</v>
      </c>
    </row>
    <row r="1020" spans="1:5" x14ac:dyDescent="0.2">
      <c r="A1020" s="5">
        <f t="shared" si="39"/>
        <v>1</v>
      </c>
      <c r="B1020" s="5">
        <f t="shared" si="40"/>
        <v>2017</v>
      </c>
      <c r="C1020" s="7">
        <v>42751</v>
      </c>
      <c r="D1020" s="8">
        <v>4.8</v>
      </c>
      <c r="E1020" s="8">
        <v>4.8</v>
      </c>
    </row>
    <row r="1021" spans="1:5" x14ac:dyDescent="0.2">
      <c r="A1021" s="5">
        <f t="shared" si="39"/>
        <v>1</v>
      </c>
      <c r="B1021" s="5">
        <f t="shared" si="40"/>
        <v>2017</v>
      </c>
      <c r="C1021" s="7">
        <v>42752</v>
      </c>
      <c r="D1021" s="8">
        <v>4.79</v>
      </c>
      <c r="E1021" s="8">
        <v>4.79</v>
      </c>
    </row>
    <row r="1022" spans="1:5" x14ac:dyDescent="0.2">
      <c r="A1022" s="5">
        <f t="shared" si="39"/>
        <v>1</v>
      </c>
      <c r="B1022" s="5">
        <f t="shared" si="40"/>
        <v>2017</v>
      </c>
      <c r="C1022" s="7">
        <v>42753</v>
      </c>
      <c r="D1022" s="8">
        <v>4.72</v>
      </c>
      <c r="E1022" s="8">
        <v>4.75</v>
      </c>
    </row>
    <row r="1023" spans="1:5" x14ac:dyDescent="0.2">
      <c r="A1023" s="5">
        <f t="shared" si="39"/>
        <v>1</v>
      </c>
      <c r="B1023" s="5">
        <f t="shared" si="40"/>
        <v>2017</v>
      </c>
      <c r="C1023" s="7">
        <v>42754</v>
      </c>
      <c r="D1023" s="8">
        <v>4.71</v>
      </c>
      <c r="E1023" s="8">
        <v>4.74</v>
      </c>
    </row>
    <row r="1024" spans="1:5" x14ac:dyDescent="0.2">
      <c r="A1024" s="5">
        <f t="shared" si="39"/>
        <v>1</v>
      </c>
      <c r="B1024" s="5">
        <f t="shared" si="40"/>
        <v>2017</v>
      </c>
      <c r="C1024" s="7">
        <v>42755</v>
      </c>
      <c r="D1024" s="8">
        <v>4.71</v>
      </c>
      <c r="E1024" s="8">
        <v>4.74</v>
      </c>
    </row>
    <row r="1025" spans="1:5" x14ac:dyDescent="0.2">
      <c r="A1025" s="5">
        <f t="shared" si="39"/>
        <v>1</v>
      </c>
      <c r="B1025" s="5">
        <f t="shared" si="40"/>
        <v>2017</v>
      </c>
      <c r="C1025" s="7">
        <v>42758</v>
      </c>
      <c r="D1025" s="8">
        <v>4.7</v>
      </c>
      <c r="E1025" s="8">
        <v>4.75</v>
      </c>
    </row>
    <row r="1026" spans="1:5" x14ac:dyDescent="0.2">
      <c r="A1026" s="5">
        <f t="shared" si="39"/>
        <v>1</v>
      </c>
      <c r="B1026" s="5">
        <f t="shared" si="40"/>
        <v>2017</v>
      </c>
      <c r="C1026" s="7">
        <v>42759</v>
      </c>
      <c r="D1026" s="8">
        <v>4.7</v>
      </c>
      <c r="E1026" s="8">
        <v>4.75</v>
      </c>
    </row>
    <row r="1027" spans="1:5" x14ac:dyDescent="0.2">
      <c r="A1027" s="5">
        <f t="shared" si="39"/>
        <v>1</v>
      </c>
      <c r="B1027" s="5">
        <f t="shared" si="40"/>
        <v>2017</v>
      </c>
      <c r="C1027" s="7">
        <v>42760</v>
      </c>
      <c r="D1027" s="8">
        <v>4.7</v>
      </c>
      <c r="E1027" s="8">
        <v>4.75</v>
      </c>
    </row>
    <row r="1028" spans="1:5" x14ac:dyDescent="0.2">
      <c r="A1028" s="5">
        <f t="shared" ref="A1028:A1091" si="41">MONTH(C1028)</f>
        <v>1</v>
      </c>
      <c r="B1028" s="5">
        <f t="shared" ref="B1028:B1091" si="42">YEAR(C1028)</f>
        <v>2017</v>
      </c>
      <c r="C1028" s="7">
        <v>42761</v>
      </c>
      <c r="D1028" s="8">
        <v>4.7</v>
      </c>
      <c r="E1028" s="8">
        <v>4.76</v>
      </c>
    </row>
    <row r="1029" spans="1:5" x14ac:dyDescent="0.2">
      <c r="A1029" s="5">
        <f t="shared" si="41"/>
        <v>1</v>
      </c>
      <c r="B1029" s="5">
        <f t="shared" si="42"/>
        <v>2017</v>
      </c>
      <c r="C1029" s="7">
        <v>42762</v>
      </c>
      <c r="D1029" s="8">
        <v>4.7</v>
      </c>
      <c r="E1029" s="8">
        <v>4.76</v>
      </c>
    </row>
    <row r="1030" spans="1:5" x14ac:dyDescent="0.2">
      <c r="A1030" s="5">
        <f t="shared" si="41"/>
        <v>1</v>
      </c>
      <c r="B1030" s="5">
        <f t="shared" si="42"/>
        <v>2017</v>
      </c>
      <c r="C1030" s="7">
        <v>42765</v>
      </c>
      <c r="D1030" s="8">
        <v>4.7</v>
      </c>
      <c r="E1030" s="8">
        <v>4.76</v>
      </c>
    </row>
    <row r="1031" spans="1:5" x14ac:dyDescent="0.2">
      <c r="A1031" s="5">
        <f t="shared" si="41"/>
        <v>1</v>
      </c>
      <c r="B1031" s="5">
        <f t="shared" si="42"/>
        <v>2017</v>
      </c>
      <c r="C1031" s="7">
        <v>42766</v>
      </c>
      <c r="D1031" s="8">
        <v>4.6900000000000004</v>
      </c>
      <c r="E1031" s="8">
        <v>4.75</v>
      </c>
    </row>
    <row r="1032" spans="1:5" x14ac:dyDescent="0.2">
      <c r="A1032" s="5">
        <f t="shared" si="41"/>
        <v>2</v>
      </c>
      <c r="B1032" s="5">
        <f t="shared" si="42"/>
        <v>2017</v>
      </c>
      <c r="C1032" s="7">
        <v>42767</v>
      </c>
      <c r="D1032" s="8">
        <v>4.6900000000000004</v>
      </c>
      <c r="E1032" s="8">
        <v>4.74</v>
      </c>
    </row>
    <row r="1033" spans="1:5" x14ac:dyDescent="0.2">
      <c r="A1033" s="5">
        <f t="shared" si="41"/>
        <v>2</v>
      </c>
      <c r="B1033" s="5">
        <f t="shared" si="42"/>
        <v>2017</v>
      </c>
      <c r="C1033" s="7">
        <v>42768</v>
      </c>
      <c r="D1033" s="8">
        <v>4.67</v>
      </c>
      <c r="E1033" s="8">
        <v>4.71</v>
      </c>
    </row>
    <row r="1034" spans="1:5" x14ac:dyDescent="0.2">
      <c r="A1034" s="5">
        <f t="shared" si="41"/>
        <v>2</v>
      </c>
      <c r="B1034" s="5">
        <f t="shared" si="42"/>
        <v>2017</v>
      </c>
      <c r="C1034" s="7">
        <v>42769</v>
      </c>
      <c r="D1034" s="8">
        <v>4.6399999999999997</v>
      </c>
      <c r="E1034" s="8">
        <v>4.7</v>
      </c>
    </row>
    <row r="1035" spans="1:5" x14ac:dyDescent="0.2">
      <c r="A1035" s="5">
        <f t="shared" si="41"/>
        <v>2</v>
      </c>
      <c r="B1035" s="5">
        <f t="shared" si="42"/>
        <v>2017</v>
      </c>
      <c r="C1035" s="7">
        <v>42772</v>
      </c>
      <c r="D1035" s="8">
        <v>4.6500000000000004</v>
      </c>
      <c r="E1035" s="8">
        <v>4.71</v>
      </c>
    </row>
    <row r="1036" spans="1:5" x14ac:dyDescent="0.2">
      <c r="A1036" s="5">
        <f t="shared" si="41"/>
        <v>2</v>
      </c>
      <c r="B1036" s="5">
        <f t="shared" si="42"/>
        <v>2017</v>
      </c>
      <c r="C1036" s="7">
        <v>42773</v>
      </c>
      <c r="D1036" s="8">
        <v>4.6500000000000004</v>
      </c>
      <c r="E1036" s="8">
        <v>4.72</v>
      </c>
    </row>
    <row r="1037" spans="1:5" x14ac:dyDescent="0.2">
      <c r="A1037" s="5">
        <f t="shared" si="41"/>
        <v>2</v>
      </c>
      <c r="B1037" s="5">
        <f t="shared" si="42"/>
        <v>2017</v>
      </c>
      <c r="C1037" s="7">
        <v>42774</v>
      </c>
      <c r="D1037" s="8">
        <v>4.7</v>
      </c>
      <c r="E1037" s="8">
        <v>4.71</v>
      </c>
    </row>
    <row r="1038" spans="1:5" x14ac:dyDescent="0.2">
      <c r="A1038" s="5">
        <f t="shared" si="41"/>
        <v>2</v>
      </c>
      <c r="B1038" s="5">
        <f t="shared" si="42"/>
        <v>2017</v>
      </c>
      <c r="C1038" s="7">
        <v>42775</v>
      </c>
      <c r="D1038" s="8">
        <v>4.7</v>
      </c>
      <c r="E1038" s="8">
        <v>4.71</v>
      </c>
    </row>
    <row r="1039" spans="1:5" x14ac:dyDescent="0.2">
      <c r="A1039" s="5">
        <f t="shared" si="41"/>
        <v>2</v>
      </c>
      <c r="B1039" s="5">
        <f t="shared" si="42"/>
        <v>2017</v>
      </c>
      <c r="C1039" s="7">
        <v>42776</v>
      </c>
      <c r="D1039" s="8">
        <v>4.71</v>
      </c>
      <c r="E1039" s="8">
        <v>4.71</v>
      </c>
    </row>
    <row r="1040" spans="1:5" x14ac:dyDescent="0.2">
      <c r="A1040" s="5">
        <f t="shared" si="41"/>
        <v>2</v>
      </c>
      <c r="B1040" s="5">
        <f t="shared" si="42"/>
        <v>2017</v>
      </c>
      <c r="C1040" s="7">
        <v>42779</v>
      </c>
      <c r="D1040" s="8">
        <v>4.6900000000000004</v>
      </c>
      <c r="E1040" s="8">
        <v>4.6900000000000004</v>
      </c>
    </row>
    <row r="1041" spans="1:5" x14ac:dyDescent="0.2">
      <c r="A1041" s="5">
        <f t="shared" si="41"/>
        <v>2</v>
      </c>
      <c r="B1041" s="5">
        <f t="shared" si="42"/>
        <v>2017</v>
      </c>
      <c r="C1041" s="7">
        <v>42780</v>
      </c>
      <c r="D1041" s="8">
        <v>4.68</v>
      </c>
      <c r="E1041" s="8">
        <v>4.67</v>
      </c>
    </row>
    <row r="1042" spans="1:5" x14ac:dyDescent="0.2">
      <c r="A1042" s="5">
        <f t="shared" si="41"/>
        <v>2</v>
      </c>
      <c r="B1042" s="5">
        <f t="shared" si="42"/>
        <v>2017</v>
      </c>
      <c r="C1042" s="7">
        <v>42781</v>
      </c>
      <c r="D1042" s="8">
        <v>4.6399999999999997</v>
      </c>
      <c r="E1042" s="8">
        <v>4.6399999999999997</v>
      </c>
    </row>
    <row r="1043" spans="1:5" x14ac:dyDescent="0.2">
      <c r="A1043" s="5">
        <f t="shared" si="41"/>
        <v>2</v>
      </c>
      <c r="B1043" s="5">
        <f t="shared" si="42"/>
        <v>2017</v>
      </c>
      <c r="C1043" s="7">
        <v>42782</v>
      </c>
      <c r="D1043" s="8">
        <v>4.6399999999999997</v>
      </c>
      <c r="E1043" s="8">
        <v>4.6399999999999997</v>
      </c>
    </row>
    <row r="1044" spans="1:5" x14ac:dyDescent="0.2">
      <c r="A1044" s="5">
        <f t="shared" si="41"/>
        <v>2</v>
      </c>
      <c r="B1044" s="5">
        <f t="shared" si="42"/>
        <v>2017</v>
      </c>
      <c r="C1044" s="7">
        <v>42783</v>
      </c>
      <c r="D1044" s="8">
        <v>4.6100000000000003</v>
      </c>
      <c r="E1044" s="8">
        <v>4.62</v>
      </c>
    </row>
    <row r="1045" spans="1:5" x14ac:dyDescent="0.2">
      <c r="A1045" s="5">
        <f t="shared" si="41"/>
        <v>2</v>
      </c>
      <c r="B1045" s="5">
        <f t="shared" si="42"/>
        <v>2017</v>
      </c>
      <c r="C1045" s="7">
        <v>42786</v>
      </c>
      <c r="D1045" s="8">
        <v>4.55</v>
      </c>
      <c r="E1045" s="8">
        <v>4.59</v>
      </c>
    </row>
    <row r="1046" spans="1:5" x14ac:dyDescent="0.2">
      <c r="A1046" s="5">
        <f t="shared" si="41"/>
        <v>2</v>
      </c>
      <c r="B1046" s="5">
        <f t="shared" si="42"/>
        <v>2017</v>
      </c>
      <c r="C1046" s="7">
        <v>42787</v>
      </c>
      <c r="D1046" s="8">
        <v>4.5199999999999996</v>
      </c>
      <c r="E1046" s="8">
        <v>4.55</v>
      </c>
    </row>
    <row r="1047" spans="1:5" x14ac:dyDescent="0.2">
      <c r="A1047" s="5">
        <f t="shared" si="41"/>
        <v>2</v>
      </c>
      <c r="B1047" s="5">
        <f t="shared" si="42"/>
        <v>2017</v>
      </c>
      <c r="C1047" s="7">
        <v>42788</v>
      </c>
      <c r="D1047" s="8">
        <v>4.53</v>
      </c>
      <c r="E1047" s="8">
        <v>4.55</v>
      </c>
    </row>
    <row r="1048" spans="1:5" x14ac:dyDescent="0.2">
      <c r="A1048" s="5">
        <f t="shared" si="41"/>
        <v>2</v>
      </c>
      <c r="B1048" s="5">
        <f t="shared" si="42"/>
        <v>2017</v>
      </c>
      <c r="C1048" s="7">
        <v>42789</v>
      </c>
      <c r="D1048" s="8">
        <v>4.53</v>
      </c>
      <c r="E1048" s="8">
        <v>4.5599999999999996</v>
      </c>
    </row>
    <row r="1049" spans="1:5" x14ac:dyDescent="0.2">
      <c r="A1049" s="5">
        <f t="shared" si="41"/>
        <v>2</v>
      </c>
      <c r="B1049" s="5">
        <f t="shared" si="42"/>
        <v>2017</v>
      </c>
      <c r="C1049" s="7">
        <v>42790</v>
      </c>
      <c r="D1049" s="8">
        <v>4.53</v>
      </c>
      <c r="E1049" s="8">
        <v>4.55</v>
      </c>
    </row>
    <row r="1050" spans="1:5" x14ac:dyDescent="0.2">
      <c r="A1050" s="5">
        <f t="shared" si="41"/>
        <v>3</v>
      </c>
      <c r="B1050" s="5">
        <f t="shared" si="42"/>
        <v>2017</v>
      </c>
      <c r="C1050" s="7">
        <v>42795</v>
      </c>
      <c r="D1050" s="8">
        <v>4.53</v>
      </c>
      <c r="E1050" s="8">
        <v>4.55</v>
      </c>
    </row>
    <row r="1051" spans="1:5" x14ac:dyDescent="0.2">
      <c r="A1051" s="5">
        <f t="shared" si="41"/>
        <v>3</v>
      </c>
      <c r="B1051" s="5">
        <f t="shared" si="42"/>
        <v>2017</v>
      </c>
      <c r="C1051" s="7">
        <v>42796</v>
      </c>
      <c r="D1051" s="8">
        <v>4.5</v>
      </c>
      <c r="E1051" s="8">
        <v>4.55</v>
      </c>
    </row>
    <row r="1052" spans="1:5" x14ac:dyDescent="0.2">
      <c r="A1052" s="5">
        <f t="shared" si="41"/>
        <v>3</v>
      </c>
      <c r="B1052" s="5">
        <f t="shared" si="42"/>
        <v>2017</v>
      </c>
      <c r="C1052" s="7">
        <v>42797</v>
      </c>
      <c r="D1052" s="8">
        <v>4.5</v>
      </c>
      <c r="E1052" s="8">
        <v>4.5599999999999996</v>
      </c>
    </row>
    <row r="1053" spans="1:5" x14ac:dyDescent="0.2">
      <c r="A1053" s="5">
        <f t="shared" si="41"/>
        <v>3</v>
      </c>
      <c r="B1053" s="5">
        <f t="shared" si="42"/>
        <v>2017</v>
      </c>
      <c r="C1053" s="7">
        <v>42800</v>
      </c>
      <c r="D1053" s="8">
        <v>4.49</v>
      </c>
      <c r="E1053" s="8">
        <v>4.55</v>
      </c>
    </row>
    <row r="1054" spans="1:5" x14ac:dyDescent="0.2">
      <c r="A1054" s="5">
        <f t="shared" si="41"/>
        <v>3</v>
      </c>
      <c r="B1054" s="5">
        <f t="shared" si="42"/>
        <v>2017</v>
      </c>
      <c r="C1054" s="7">
        <v>42801</v>
      </c>
      <c r="D1054" s="8">
        <v>4.49</v>
      </c>
      <c r="E1054" s="8">
        <v>4.55</v>
      </c>
    </row>
    <row r="1055" spans="1:5" x14ac:dyDescent="0.2">
      <c r="A1055" s="5">
        <f t="shared" si="41"/>
        <v>3</v>
      </c>
      <c r="B1055" s="5">
        <f t="shared" si="42"/>
        <v>2017</v>
      </c>
      <c r="C1055" s="7">
        <v>42802</v>
      </c>
      <c r="D1055" s="8">
        <v>4.49</v>
      </c>
      <c r="E1055" s="8">
        <v>4.55</v>
      </c>
    </row>
    <row r="1056" spans="1:5" x14ac:dyDescent="0.2">
      <c r="A1056" s="5">
        <f t="shared" si="41"/>
        <v>3</v>
      </c>
      <c r="B1056" s="5">
        <f t="shared" si="42"/>
        <v>2017</v>
      </c>
      <c r="C1056" s="7">
        <v>42803</v>
      </c>
      <c r="D1056" s="8">
        <v>4.49</v>
      </c>
      <c r="E1056" s="8">
        <v>4.5599999999999996</v>
      </c>
    </row>
    <row r="1057" spans="1:5" x14ac:dyDescent="0.2">
      <c r="A1057" s="5">
        <f t="shared" si="41"/>
        <v>3</v>
      </c>
      <c r="B1057" s="5">
        <f t="shared" si="42"/>
        <v>2017</v>
      </c>
      <c r="C1057" s="7">
        <v>42804</v>
      </c>
      <c r="D1057" s="8">
        <v>4.54</v>
      </c>
      <c r="E1057" s="8">
        <v>4.54</v>
      </c>
    </row>
    <row r="1058" spans="1:5" x14ac:dyDescent="0.2">
      <c r="A1058" s="5">
        <f t="shared" si="41"/>
        <v>3</v>
      </c>
      <c r="B1058" s="5">
        <f t="shared" si="42"/>
        <v>2017</v>
      </c>
      <c r="C1058" s="7">
        <v>42807</v>
      </c>
      <c r="D1058" s="8">
        <v>4.54</v>
      </c>
      <c r="E1058" s="8">
        <v>4.55</v>
      </c>
    </row>
    <row r="1059" spans="1:5" x14ac:dyDescent="0.2">
      <c r="A1059" s="5">
        <f t="shared" si="41"/>
        <v>3</v>
      </c>
      <c r="B1059" s="5">
        <f t="shared" si="42"/>
        <v>2017</v>
      </c>
      <c r="C1059" s="7">
        <v>42808</v>
      </c>
      <c r="D1059" s="8">
        <v>4.54</v>
      </c>
      <c r="E1059" s="8">
        <v>4.55</v>
      </c>
    </row>
    <row r="1060" spans="1:5" x14ac:dyDescent="0.2">
      <c r="A1060" s="5">
        <f t="shared" si="41"/>
        <v>3</v>
      </c>
      <c r="B1060" s="5">
        <f t="shared" si="42"/>
        <v>2017</v>
      </c>
      <c r="C1060" s="7">
        <v>42809</v>
      </c>
      <c r="D1060" s="8">
        <v>4.54</v>
      </c>
      <c r="E1060" s="8">
        <v>4.55</v>
      </c>
    </row>
    <row r="1061" spans="1:5" x14ac:dyDescent="0.2">
      <c r="A1061" s="5">
        <f t="shared" si="41"/>
        <v>3</v>
      </c>
      <c r="B1061" s="5">
        <f t="shared" si="42"/>
        <v>2017</v>
      </c>
      <c r="C1061" s="7">
        <v>42810</v>
      </c>
      <c r="D1061" s="8">
        <v>4.54</v>
      </c>
      <c r="E1061" s="8">
        <v>4.5599999999999996</v>
      </c>
    </row>
    <row r="1062" spans="1:5" x14ac:dyDescent="0.2">
      <c r="A1062" s="5">
        <f t="shared" si="41"/>
        <v>3</v>
      </c>
      <c r="B1062" s="5">
        <f t="shared" si="42"/>
        <v>2017</v>
      </c>
      <c r="C1062" s="7">
        <v>42811</v>
      </c>
      <c r="D1062" s="8">
        <v>4.54</v>
      </c>
      <c r="E1062" s="8">
        <v>4.5599999999999996</v>
      </c>
    </row>
    <row r="1063" spans="1:5" x14ac:dyDescent="0.2">
      <c r="A1063" s="5">
        <f t="shared" si="41"/>
        <v>3</v>
      </c>
      <c r="B1063" s="5">
        <f t="shared" si="42"/>
        <v>2017</v>
      </c>
      <c r="C1063" s="7">
        <v>42814</v>
      </c>
      <c r="D1063" s="8">
        <v>4.51</v>
      </c>
      <c r="E1063" s="8">
        <v>4.55</v>
      </c>
    </row>
    <row r="1064" spans="1:5" x14ac:dyDescent="0.2">
      <c r="A1064" s="5">
        <f t="shared" si="41"/>
        <v>3</v>
      </c>
      <c r="B1064" s="5">
        <f t="shared" si="42"/>
        <v>2017</v>
      </c>
      <c r="C1064" s="7">
        <v>42815</v>
      </c>
      <c r="D1064" s="8">
        <v>4.5</v>
      </c>
      <c r="E1064" s="8">
        <v>4.55</v>
      </c>
    </row>
    <row r="1065" spans="1:5" x14ac:dyDescent="0.2">
      <c r="A1065" s="5">
        <f t="shared" si="41"/>
        <v>3</v>
      </c>
      <c r="B1065" s="5">
        <f t="shared" si="42"/>
        <v>2017</v>
      </c>
      <c r="C1065" s="7">
        <v>42816</v>
      </c>
      <c r="D1065" s="8">
        <v>4.5</v>
      </c>
      <c r="E1065" s="8">
        <v>4.5599999999999996</v>
      </c>
    </row>
    <row r="1066" spans="1:5" x14ac:dyDescent="0.2">
      <c r="A1066" s="5">
        <f t="shared" si="41"/>
        <v>3</v>
      </c>
      <c r="B1066" s="5">
        <f t="shared" si="42"/>
        <v>2017</v>
      </c>
      <c r="C1066" s="7">
        <v>42817</v>
      </c>
      <c r="D1066" s="8">
        <v>4.5</v>
      </c>
      <c r="E1066" s="8">
        <v>4.5599999999999996</v>
      </c>
    </row>
    <row r="1067" spans="1:5" x14ac:dyDescent="0.2">
      <c r="A1067" s="5">
        <f t="shared" si="41"/>
        <v>3</v>
      </c>
      <c r="B1067" s="5">
        <f t="shared" si="42"/>
        <v>2017</v>
      </c>
      <c r="C1067" s="7">
        <v>42818</v>
      </c>
      <c r="D1067" s="8">
        <v>4.49</v>
      </c>
      <c r="E1067" s="8">
        <v>4.55</v>
      </c>
    </row>
    <row r="1068" spans="1:5" x14ac:dyDescent="0.2">
      <c r="A1068" s="5">
        <f t="shared" si="41"/>
        <v>3</v>
      </c>
      <c r="B1068" s="5">
        <f t="shared" si="42"/>
        <v>2017</v>
      </c>
      <c r="C1068" s="7">
        <v>42821</v>
      </c>
      <c r="D1068" s="8">
        <v>4.49</v>
      </c>
      <c r="E1068" s="8">
        <v>4.59</v>
      </c>
    </row>
    <row r="1069" spans="1:5" x14ac:dyDescent="0.2">
      <c r="A1069" s="5">
        <f t="shared" si="41"/>
        <v>3</v>
      </c>
      <c r="B1069" s="5">
        <f t="shared" si="42"/>
        <v>2017</v>
      </c>
      <c r="C1069" s="7">
        <v>42822</v>
      </c>
      <c r="D1069" s="8">
        <v>4.49</v>
      </c>
      <c r="E1069" s="8">
        <v>4.5999999999999996</v>
      </c>
    </row>
    <row r="1070" spans="1:5" x14ac:dyDescent="0.2">
      <c r="A1070" s="5">
        <f t="shared" si="41"/>
        <v>3</v>
      </c>
      <c r="B1070" s="5">
        <f t="shared" si="42"/>
        <v>2017</v>
      </c>
      <c r="C1070" s="7">
        <v>42823</v>
      </c>
      <c r="D1070" s="8">
        <v>4.4800000000000004</v>
      </c>
      <c r="E1070" s="8">
        <v>4.58</v>
      </c>
    </row>
    <row r="1071" spans="1:5" x14ac:dyDescent="0.2">
      <c r="A1071" s="5">
        <f t="shared" si="41"/>
        <v>3</v>
      </c>
      <c r="B1071" s="5">
        <f t="shared" si="42"/>
        <v>2017</v>
      </c>
      <c r="C1071" s="7">
        <v>42824</v>
      </c>
      <c r="D1071" s="8">
        <v>4.49</v>
      </c>
      <c r="E1071" s="8">
        <v>4.59</v>
      </c>
    </row>
    <row r="1072" spans="1:5" x14ac:dyDescent="0.2">
      <c r="A1072" s="5">
        <f t="shared" si="41"/>
        <v>3</v>
      </c>
      <c r="B1072" s="5">
        <f t="shared" si="42"/>
        <v>2017</v>
      </c>
      <c r="C1072" s="7">
        <v>42825</v>
      </c>
      <c r="D1072" s="8">
        <v>4.47</v>
      </c>
      <c r="E1072" s="8">
        <v>4.57</v>
      </c>
    </row>
    <row r="1073" spans="1:5" x14ac:dyDescent="0.2">
      <c r="A1073" s="5">
        <f t="shared" si="41"/>
        <v>4</v>
      </c>
      <c r="B1073" s="5">
        <f t="shared" si="42"/>
        <v>2017</v>
      </c>
      <c r="C1073" s="7">
        <v>42828</v>
      </c>
      <c r="D1073" s="8">
        <v>4.47</v>
      </c>
      <c r="E1073" s="8">
        <v>4.59</v>
      </c>
    </row>
    <row r="1074" spans="1:5" x14ac:dyDescent="0.2">
      <c r="A1074" s="5">
        <f t="shared" si="41"/>
        <v>4</v>
      </c>
      <c r="B1074" s="5">
        <f t="shared" si="42"/>
        <v>2017</v>
      </c>
      <c r="C1074" s="7">
        <v>42829</v>
      </c>
      <c r="D1074" s="8">
        <v>4.47</v>
      </c>
      <c r="E1074" s="8">
        <v>4.59</v>
      </c>
    </row>
    <row r="1075" spans="1:5" x14ac:dyDescent="0.2">
      <c r="A1075" s="5">
        <f t="shared" si="41"/>
        <v>4</v>
      </c>
      <c r="B1075" s="5">
        <f t="shared" si="42"/>
        <v>2017</v>
      </c>
      <c r="C1075" s="7">
        <v>42830</v>
      </c>
      <c r="D1075" s="8">
        <v>4.46</v>
      </c>
      <c r="E1075" s="8">
        <v>4.5999999999999996</v>
      </c>
    </row>
    <row r="1076" spans="1:5" x14ac:dyDescent="0.2">
      <c r="A1076" s="5">
        <f t="shared" si="41"/>
        <v>4</v>
      </c>
      <c r="B1076" s="5">
        <f t="shared" si="42"/>
        <v>2017</v>
      </c>
      <c r="C1076" s="7">
        <v>42831</v>
      </c>
      <c r="D1076" s="8">
        <v>4.46</v>
      </c>
      <c r="E1076" s="8">
        <v>4.5999999999999996</v>
      </c>
    </row>
    <row r="1077" spans="1:5" x14ac:dyDescent="0.2">
      <c r="A1077" s="5">
        <f t="shared" si="41"/>
        <v>4</v>
      </c>
      <c r="B1077" s="5">
        <f t="shared" si="42"/>
        <v>2017</v>
      </c>
      <c r="C1077" s="7">
        <v>42832</v>
      </c>
      <c r="D1077" s="8">
        <v>4.5999999999999996</v>
      </c>
      <c r="E1077" s="8">
        <v>4.5999999999999996</v>
      </c>
    </row>
    <row r="1078" spans="1:5" x14ac:dyDescent="0.2">
      <c r="A1078" s="5">
        <f t="shared" si="41"/>
        <v>4</v>
      </c>
      <c r="B1078" s="5">
        <f t="shared" si="42"/>
        <v>2017</v>
      </c>
      <c r="C1078" s="7">
        <v>42835</v>
      </c>
      <c r="D1078" s="8">
        <v>4.5999999999999996</v>
      </c>
      <c r="E1078" s="8">
        <v>4.59</v>
      </c>
    </row>
    <row r="1079" spans="1:5" x14ac:dyDescent="0.2">
      <c r="A1079" s="5">
        <f t="shared" si="41"/>
        <v>4</v>
      </c>
      <c r="B1079" s="5">
        <f t="shared" si="42"/>
        <v>2017</v>
      </c>
      <c r="C1079" s="7">
        <v>42836</v>
      </c>
      <c r="D1079" s="8">
        <v>4.5999999999999996</v>
      </c>
      <c r="E1079" s="8">
        <v>4.59</v>
      </c>
    </row>
    <row r="1080" spans="1:5" x14ac:dyDescent="0.2">
      <c r="A1080" s="5">
        <f t="shared" si="41"/>
        <v>4</v>
      </c>
      <c r="B1080" s="5">
        <f t="shared" si="42"/>
        <v>2017</v>
      </c>
      <c r="C1080" s="7">
        <v>42837</v>
      </c>
      <c r="D1080" s="8">
        <v>4.5999999999999996</v>
      </c>
      <c r="E1080" s="8">
        <v>4.5999999999999996</v>
      </c>
    </row>
    <row r="1081" spans="1:5" x14ac:dyDescent="0.2">
      <c r="A1081" s="5">
        <f t="shared" si="41"/>
        <v>4</v>
      </c>
      <c r="B1081" s="5">
        <f t="shared" si="42"/>
        <v>2017</v>
      </c>
      <c r="C1081" s="7">
        <v>42838</v>
      </c>
      <c r="D1081" s="8">
        <v>4.59</v>
      </c>
      <c r="E1081" s="8">
        <v>4.59</v>
      </c>
    </row>
    <row r="1082" spans="1:5" x14ac:dyDescent="0.2">
      <c r="A1082" s="5">
        <f t="shared" si="41"/>
        <v>4</v>
      </c>
      <c r="B1082" s="5">
        <f t="shared" si="42"/>
        <v>2017</v>
      </c>
      <c r="C1082" s="7">
        <v>42842</v>
      </c>
      <c r="D1082" s="8">
        <v>4.58</v>
      </c>
      <c r="E1082" s="8">
        <v>4.5999999999999996</v>
      </c>
    </row>
    <row r="1083" spans="1:5" x14ac:dyDescent="0.2">
      <c r="A1083" s="5">
        <f t="shared" si="41"/>
        <v>4</v>
      </c>
      <c r="B1083" s="5">
        <f t="shared" si="42"/>
        <v>2017</v>
      </c>
      <c r="C1083" s="7">
        <v>42843</v>
      </c>
      <c r="D1083" s="8">
        <v>4.57</v>
      </c>
      <c r="E1083" s="8">
        <v>4.59</v>
      </c>
    </row>
    <row r="1084" spans="1:5" x14ac:dyDescent="0.2">
      <c r="A1084" s="5">
        <f t="shared" si="41"/>
        <v>4</v>
      </c>
      <c r="B1084" s="5">
        <f t="shared" si="42"/>
        <v>2017</v>
      </c>
      <c r="C1084" s="7">
        <v>42844</v>
      </c>
      <c r="D1084" s="8">
        <v>4.53</v>
      </c>
      <c r="E1084" s="8">
        <v>4.59</v>
      </c>
    </row>
    <row r="1085" spans="1:5" x14ac:dyDescent="0.2">
      <c r="A1085" s="5">
        <f t="shared" si="41"/>
        <v>4</v>
      </c>
      <c r="B1085" s="5">
        <f t="shared" si="42"/>
        <v>2017</v>
      </c>
      <c r="C1085" s="7">
        <v>42845</v>
      </c>
      <c r="D1085" s="8">
        <v>4.53</v>
      </c>
      <c r="E1085" s="8">
        <v>4.5999999999999996</v>
      </c>
    </row>
    <row r="1086" spans="1:5" x14ac:dyDescent="0.2">
      <c r="A1086" s="5">
        <f t="shared" si="41"/>
        <v>4</v>
      </c>
      <c r="B1086" s="5">
        <f t="shared" si="42"/>
        <v>2017</v>
      </c>
      <c r="C1086" s="7">
        <v>42849</v>
      </c>
      <c r="D1086" s="8">
        <v>4.53</v>
      </c>
      <c r="E1086" s="8">
        <v>4.6100000000000003</v>
      </c>
    </row>
    <row r="1087" spans="1:5" x14ac:dyDescent="0.2">
      <c r="A1087" s="5">
        <f t="shared" si="41"/>
        <v>4</v>
      </c>
      <c r="B1087" s="5">
        <f t="shared" si="42"/>
        <v>2017</v>
      </c>
      <c r="C1087" s="7">
        <v>42850</v>
      </c>
      <c r="D1087" s="8">
        <v>4.53</v>
      </c>
      <c r="E1087" s="8">
        <v>4.6100000000000003</v>
      </c>
    </row>
    <row r="1088" spans="1:5" x14ac:dyDescent="0.2">
      <c r="A1088" s="5">
        <f t="shared" si="41"/>
        <v>4</v>
      </c>
      <c r="B1088" s="5">
        <f t="shared" si="42"/>
        <v>2017</v>
      </c>
      <c r="C1088" s="7">
        <v>42851</v>
      </c>
      <c r="D1088" s="8">
        <v>4.5</v>
      </c>
      <c r="E1088" s="8">
        <v>4.62</v>
      </c>
    </row>
    <row r="1089" spans="1:5" x14ac:dyDescent="0.2">
      <c r="A1089" s="5">
        <f t="shared" si="41"/>
        <v>4</v>
      </c>
      <c r="B1089" s="5">
        <f t="shared" si="42"/>
        <v>2017</v>
      </c>
      <c r="C1089" s="7">
        <v>42852</v>
      </c>
      <c r="D1089" s="8">
        <v>4.5</v>
      </c>
      <c r="E1089" s="8">
        <v>4.63</v>
      </c>
    </row>
    <row r="1090" spans="1:5" x14ac:dyDescent="0.2">
      <c r="A1090" s="5">
        <f t="shared" si="41"/>
        <v>4</v>
      </c>
      <c r="B1090" s="5">
        <f t="shared" si="42"/>
        <v>2017</v>
      </c>
      <c r="C1090" s="7">
        <v>42853</v>
      </c>
      <c r="D1090" s="8">
        <v>4.5</v>
      </c>
      <c r="E1090" s="8">
        <v>4.6399999999999997</v>
      </c>
    </row>
    <row r="1091" spans="1:5" x14ac:dyDescent="0.2">
      <c r="A1091" s="5">
        <f t="shared" si="41"/>
        <v>5</v>
      </c>
      <c r="B1091" s="5">
        <f t="shared" si="42"/>
        <v>2017</v>
      </c>
      <c r="C1091" s="7">
        <v>42857</v>
      </c>
      <c r="D1091" s="8">
        <v>4.53</v>
      </c>
      <c r="E1091" s="8">
        <v>4.6900000000000004</v>
      </c>
    </row>
    <row r="1092" spans="1:5" x14ac:dyDescent="0.2">
      <c r="A1092" s="5">
        <f t="shared" ref="A1092:A1155" si="43">MONTH(C1092)</f>
        <v>5</v>
      </c>
      <c r="B1092" s="5">
        <f t="shared" ref="B1092:B1155" si="44">YEAR(C1092)</f>
        <v>2017</v>
      </c>
      <c r="C1092" s="7">
        <v>42858</v>
      </c>
      <c r="D1092" s="8">
        <v>4.54</v>
      </c>
      <c r="E1092" s="8">
        <v>4.7</v>
      </c>
    </row>
    <row r="1093" spans="1:5" x14ac:dyDescent="0.2">
      <c r="A1093" s="5">
        <f t="shared" si="43"/>
        <v>5</v>
      </c>
      <c r="B1093" s="5">
        <f t="shared" si="44"/>
        <v>2017</v>
      </c>
      <c r="C1093" s="7">
        <v>42859</v>
      </c>
      <c r="D1093" s="8">
        <v>4.53</v>
      </c>
      <c r="E1093" s="8">
        <v>4.7</v>
      </c>
    </row>
    <row r="1094" spans="1:5" x14ac:dyDescent="0.2">
      <c r="A1094" s="5">
        <f t="shared" si="43"/>
        <v>5</v>
      </c>
      <c r="B1094" s="5">
        <f t="shared" si="44"/>
        <v>2017</v>
      </c>
      <c r="C1094" s="7">
        <v>42860</v>
      </c>
      <c r="D1094" s="8">
        <v>4.53</v>
      </c>
      <c r="E1094" s="8">
        <v>4.72</v>
      </c>
    </row>
    <row r="1095" spans="1:5" x14ac:dyDescent="0.2">
      <c r="A1095" s="5">
        <f t="shared" si="43"/>
        <v>5</v>
      </c>
      <c r="B1095" s="5">
        <f t="shared" si="44"/>
        <v>2017</v>
      </c>
      <c r="C1095" s="7">
        <v>42863</v>
      </c>
      <c r="D1095" s="8">
        <v>4.5199999999999996</v>
      </c>
      <c r="E1095" s="8">
        <v>4.72</v>
      </c>
    </row>
    <row r="1096" spans="1:5" x14ac:dyDescent="0.2">
      <c r="A1096" s="5">
        <f t="shared" si="43"/>
        <v>5</v>
      </c>
      <c r="B1096" s="5">
        <f t="shared" si="44"/>
        <v>2017</v>
      </c>
      <c r="C1096" s="7">
        <v>42864</v>
      </c>
      <c r="D1096" s="8">
        <v>4.5</v>
      </c>
      <c r="E1096" s="8">
        <v>4.7300000000000004</v>
      </c>
    </row>
    <row r="1097" spans="1:5" x14ac:dyDescent="0.2">
      <c r="A1097" s="5">
        <f t="shared" si="43"/>
        <v>5</v>
      </c>
      <c r="B1097" s="5">
        <f t="shared" si="44"/>
        <v>2017</v>
      </c>
      <c r="C1097" s="7">
        <v>42865</v>
      </c>
      <c r="D1097" s="8">
        <v>4.72</v>
      </c>
      <c r="E1097" s="8">
        <v>4.71</v>
      </c>
    </row>
    <row r="1098" spans="1:5" x14ac:dyDescent="0.2">
      <c r="A1098" s="5">
        <f t="shared" si="43"/>
        <v>5</v>
      </c>
      <c r="B1098" s="5">
        <f t="shared" si="44"/>
        <v>2017</v>
      </c>
      <c r="C1098" s="7">
        <v>42866</v>
      </c>
      <c r="D1098" s="8">
        <v>4.72</v>
      </c>
      <c r="E1098" s="8">
        <v>4.7</v>
      </c>
    </row>
    <row r="1099" spans="1:5" x14ac:dyDescent="0.2">
      <c r="A1099" s="5">
        <f t="shared" si="43"/>
        <v>5</v>
      </c>
      <c r="B1099" s="5">
        <f t="shared" si="44"/>
        <v>2017</v>
      </c>
      <c r="C1099" s="7">
        <v>42867</v>
      </c>
      <c r="D1099" s="8">
        <v>4.72</v>
      </c>
      <c r="E1099" s="8">
        <v>4.7</v>
      </c>
    </row>
    <row r="1100" spans="1:5" x14ac:dyDescent="0.2">
      <c r="A1100" s="5">
        <f t="shared" si="43"/>
        <v>5</v>
      </c>
      <c r="B1100" s="5">
        <f t="shared" si="44"/>
        <v>2017</v>
      </c>
      <c r="C1100" s="7">
        <v>42870</v>
      </c>
      <c r="D1100" s="8">
        <v>4.6900000000000004</v>
      </c>
      <c r="E1100" s="8">
        <v>4.67</v>
      </c>
    </row>
    <row r="1101" spans="1:5" x14ac:dyDescent="0.2">
      <c r="A1101" s="5">
        <f t="shared" si="43"/>
        <v>5</v>
      </c>
      <c r="B1101" s="5">
        <f t="shared" si="44"/>
        <v>2017</v>
      </c>
      <c r="C1101" s="7">
        <v>42871</v>
      </c>
      <c r="D1101" s="8">
        <v>4.6900000000000004</v>
      </c>
      <c r="E1101" s="8">
        <v>4.67</v>
      </c>
    </row>
    <row r="1102" spans="1:5" x14ac:dyDescent="0.2">
      <c r="A1102" s="5">
        <f t="shared" si="43"/>
        <v>5</v>
      </c>
      <c r="B1102" s="5">
        <f t="shared" si="44"/>
        <v>2017</v>
      </c>
      <c r="C1102" s="7">
        <v>42872</v>
      </c>
      <c r="D1102" s="8">
        <v>4.6900000000000004</v>
      </c>
      <c r="E1102" s="8">
        <v>4.66</v>
      </c>
    </row>
    <row r="1103" spans="1:5" x14ac:dyDescent="0.2">
      <c r="A1103" s="5">
        <f t="shared" si="43"/>
        <v>5</v>
      </c>
      <c r="B1103" s="5">
        <f t="shared" si="44"/>
        <v>2017</v>
      </c>
      <c r="C1103" s="7">
        <v>42873</v>
      </c>
      <c r="D1103" s="8">
        <v>4.6900000000000004</v>
      </c>
      <c r="E1103" s="8">
        <v>4.6500000000000004</v>
      </c>
    </row>
    <row r="1104" spans="1:5" x14ac:dyDescent="0.2">
      <c r="A1104" s="5">
        <f t="shared" si="43"/>
        <v>5</v>
      </c>
      <c r="B1104" s="5">
        <f t="shared" si="44"/>
        <v>2017</v>
      </c>
      <c r="C1104" s="7">
        <v>42874</v>
      </c>
      <c r="D1104" s="8">
        <v>4.6900000000000004</v>
      </c>
      <c r="E1104" s="8">
        <v>4.6500000000000004</v>
      </c>
    </row>
    <row r="1105" spans="1:5" x14ac:dyDescent="0.2">
      <c r="A1105" s="5">
        <f t="shared" si="43"/>
        <v>5</v>
      </c>
      <c r="B1105" s="5">
        <f t="shared" si="44"/>
        <v>2017</v>
      </c>
      <c r="C1105" s="7">
        <v>42877</v>
      </c>
      <c r="D1105" s="8">
        <v>4.72</v>
      </c>
      <c r="E1105" s="8">
        <v>4.6500000000000004</v>
      </c>
    </row>
    <row r="1106" spans="1:5" x14ac:dyDescent="0.2">
      <c r="A1106" s="5">
        <f t="shared" si="43"/>
        <v>5</v>
      </c>
      <c r="B1106" s="5">
        <f t="shared" si="44"/>
        <v>2017</v>
      </c>
      <c r="C1106" s="7">
        <v>42878</v>
      </c>
      <c r="D1106" s="8">
        <v>4.72</v>
      </c>
      <c r="E1106" s="8">
        <v>4.6500000000000004</v>
      </c>
    </row>
    <row r="1107" spans="1:5" x14ac:dyDescent="0.2">
      <c r="A1107" s="5">
        <f t="shared" si="43"/>
        <v>5</v>
      </c>
      <c r="B1107" s="5">
        <f t="shared" si="44"/>
        <v>2017</v>
      </c>
      <c r="C1107" s="7">
        <v>42879</v>
      </c>
      <c r="D1107" s="8">
        <v>4.72</v>
      </c>
      <c r="E1107" s="8">
        <v>4.6399999999999997</v>
      </c>
    </row>
    <row r="1108" spans="1:5" x14ac:dyDescent="0.2">
      <c r="A1108" s="5">
        <f t="shared" si="43"/>
        <v>5</v>
      </c>
      <c r="B1108" s="5">
        <f t="shared" si="44"/>
        <v>2017</v>
      </c>
      <c r="C1108" s="7">
        <v>42880</v>
      </c>
      <c r="D1108" s="8">
        <v>4.72</v>
      </c>
      <c r="E1108" s="8">
        <v>4.6399999999999997</v>
      </c>
    </row>
    <row r="1109" spans="1:5" x14ac:dyDescent="0.2">
      <c r="A1109" s="5">
        <f t="shared" si="43"/>
        <v>5</v>
      </c>
      <c r="B1109" s="5">
        <f t="shared" si="44"/>
        <v>2017</v>
      </c>
      <c r="C1109" s="7">
        <v>42881</v>
      </c>
      <c r="D1109" s="8">
        <v>4.72</v>
      </c>
      <c r="E1109" s="8">
        <v>4.62</v>
      </c>
    </row>
    <row r="1110" spans="1:5" x14ac:dyDescent="0.2">
      <c r="A1110" s="5">
        <f t="shared" si="43"/>
        <v>5</v>
      </c>
      <c r="B1110" s="5">
        <f t="shared" si="44"/>
        <v>2017</v>
      </c>
      <c r="C1110" s="7">
        <v>42884</v>
      </c>
      <c r="D1110" s="8">
        <v>4.7</v>
      </c>
      <c r="E1110" s="8">
        <v>4.59</v>
      </c>
    </row>
    <row r="1111" spans="1:5" x14ac:dyDescent="0.2">
      <c r="A1111" s="5">
        <f t="shared" si="43"/>
        <v>5</v>
      </c>
      <c r="B1111" s="5">
        <f t="shared" si="44"/>
        <v>2017</v>
      </c>
      <c r="C1111" s="7">
        <v>42885</v>
      </c>
      <c r="D1111" s="8">
        <v>4.6900000000000004</v>
      </c>
      <c r="E1111" s="8">
        <v>4.58</v>
      </c>
    </row>
    <row r="1112" spans="1:5" x14ac:dyDescent="0.2">
      <c r="A1112" s="5">
        <f t="shared" si="43"/>
        <v>5</v>
      </c>
      <c r="B1112" s="5">
        <f t="shared" si="44"/>
        <v>2017</v>
      </c>
      <c r="C1112" s="7">
        <v>42886</v>
      </c>
      <c r="D1112" s="8">
        <v>4.67</v>
      </c>
      <c r="E1112" s="8">
        <v>4.5599999999999996</v>
      </c>
    </row>
    <row r="1113" spans="1:5" x14ac:dyDescent="0.2">
      <c r="A1113" s="5">
        <f t="shared" si="43"/>
        <v>6</v>
      </c>
      <c r="B1113" s="5">
        <f t="shared" si="44"/>
        <v>2017</v>
      </c>
      <c r="C1113" s="7">
        <v>42887</v>
      </c>
      <c r="D1113" s="8">
        <v>4.67</v>
      </c>
      <c r="E1113" s="8">
        <v>4.5599999999999996</v>
      </c>
    </row>
    <row r="1114" spans="1:5" x14ac:dyDescent="0.2">
      <c r="A1114" s="5">
        <f t="shared" si="43"/>
        <v>6</v>
      </c>
      <c r="B1114" s="5">
        <f t="shared" si="44"/>
        <v>2017</v>
      </c>
      <c r="C1114" s="7">
        <v>42888</v>
      </c>
      <c r="D1114" s="8">
        <v>4.6500000000000004</v>
      </c>
      <c r="E1114" s="8">
        <v>4.55</v>
      </c>
    </row>
    <row r="1115" spans="1:5" x14ac:dyDescent="0.2">
      <c r="A1115" s="5">
        <f t="shared" si="43"/>
        <v>6</v>
      </c>
      <c r="B1115" s="5">
        <f t="shared" si="44"/>
        <v>2017</v>
      </c>
      <c r="C1115" s="7">
        <v>42891</v>
      </c>
      <c r="D1115" s="8">
        <v>4.6399999999999997</v>
      </c>
      <c r="E1115" s="8">
        <v>4.5199999999999996</v>
      </c>
    </row>
    <row r="1116" spans="1:5" x14ac:dyDescent="0.2">
      <c r="A1116" s="5">
        <f t="shared" si="43"/>
        <v>6</v>
      </c>
      <c r="B1116" s="5">
        <f t="shared" si="44"/>
        <v>2017</v>
      </c>
      <c r="C1116" s="7">
        <v>42892</v>
      </c>
      <c r="D1116" s="8">
        <v>4.62</v>
      </c>
      <c r="E1116" s="8">
        <v>4.51</v>
      </c>
    </row>
    <row r="1117" spans="1:5" x14ac:dyDescent="0.2">
      <c r="A1117" s="5">
        <f t="shared" si="43"/>
        <v>6</v>
      </c>
      <c r="B1117" s="5">
        <f t="shared" si="44"/>
        <v>2017</v>
      </c>
      <c r="C1117" s="7">
        <v>42893</v>
      </c>
      <c r="D1117" s="8">
        <v>4.6399999999999997</v>
      </c>
      <c r="E1117" s="8">
        <v>4.51</v>
      </c>
    </row>
    <row r="1118" spans="1:5" x14ac:dyDescent="0.2">
      <c r="A1118" s="5">
        <f t="shared" si="43"/>
        <v>6</v>
      </c>
      <c r="B1118" s="5">
        <f t="shared" si="44"/>
        <v>2017</v>
      </c>
      <c r="C1118" s="7">
        <v>42894</v>
      </c>
      <c r="D1118" s="8">
        <v>4.63</v>
      </c>
      <c r="E1118" s="8">
        <v>4.5</v>
      </c>
    </row>
    <row r="1119" spans="1:5" x14ac:dyDescent="0.2">
      <c r="A1119" s="5">
        <f t="shared" si="43"/>
        <v>6</v>
      </c>
      <c r="B1119" s="5">
        <f t="shared" si="44"/>
        <v>2017</v>
      </c>
      <c r="C1119" s="7">
        <v>42895</v>
      </c>
      <c r="D1119" s="8">
        <v>4.4800000000000004</v>
      </c>
      <c r="E1119" s="8">
        <v>4.49</v>
      </c>
    </row>
    <row r="1120" spans="1:5" x14ac:dyDescent="0.2">
      <c r="A1120" s="5">
        <f t="shared" si="43"/>
        <v>6</v>
      </c>
      <c r="B1120" s="5">
        <f t="shared" si="44"/>
        <v>2017</v>
      </c>
      <c r="C1120" s="7">
        <v>42898</v>
      </c>
      <c r="D1120" s="8">
        <v>4.46</v>
      </c>
      <c r="E1120" s="8">
        <v>4.49</v>
      </c>
    </row>
    <row r="1121" spans="1:5" x14ac:dyDescent="0.2">
      <c r="A1121" s="5">
        <f t="shared" si="43"/>
        <v>6</v>
      </c>
      <c r="B1121" s="5">
        <f t="shared" si="44"/>
        <v>2017</v>
      </c>
      <c r="C1121" s="7">
        <v>42899</v>
      </c>
      <c r="D1121" s="8">
        <v>4.46</v>
      </c>
      <c r="E1121" s="8">
        <v>4.5</v>
      </c>
    </row>
    <row r="1122" spans="1:5" x14ac:dyDescent="0.2">
      <c r="A1122" s="5">
        <f t="shared" si="43"/>
        <v>6</v>
      </c>
      <c r="B1122" s="5">
        <f t="shared" si="44"/>
        <v>2017</v>
      </c>
      <c r="C1122" s="7">
        <v>42900</v>
      </c>
      <c r="D1122" s="8">
        <v>4.46</v>
      </c>
      <c r="E1122" s="8">
        <v>4.49</v>
      </c>
    </row>
    <row r="1123" spans="1:5" x14ac:dyDescent="0.2">
      <c r="A1123" s="5">
        <f t="shared" si="43"/>
        <v>6</v>
      </c>
      <c r="B1123" s="5">
        <f t="shared" si="44"/>
        <v>2017</v>
      </c>
      <c r="C1123" s="7">
        <v>42902</v>
      </c>
      <c r="D1123" s="8">
        <v>4.4400000000000004</v>
      </c>
      <c r="E1123" s="8">
        <v>4.4800000000000004</v>
      </c>
    </row>
    <row r="1124" spans="1:5" x14ac:dyDescent="0.2">
      <c r="A1124" s="5">
        <f t="shared" si="43"/>
        <v>6</v>
      </c>
      <c r="B1124" s="5">
        <f t="shared" si="44"/>
        <v>2017</v>
      </c>
      <c r="C1124" s="7">
        <v>42905</v>
      </c>
      <c r="D1124" s="8">
        <v>4.43</v>
      </c>
      <c r="E1124" s="8">
        <v>4.49</v>
      </c>
    </row>
    <row r="1125" spans="1:5" x14ac:dyDescent="0.2">
      <c r="A1125" s="5">
        <f t="shared" si="43"/>
        <v>6</v>
      </c>
      <c r="B1125" s="5">
        <f t="shared" si="44"/>
        <v>2017</v>
      </c>
      <c r="C1125" s="7">
        <v>42906</v>
      </c>
      <c r="D1125" s="8">
        <v>4.41</v>
      </c>
      <c r="E1125" s="8">
        <v>4.47</v>
      </c>
    </row>
    <row r="1126" spans="1:5" x14ac:dyDescent="0.2">
      <c r="A1126" s="5">
        <f t="shared" si="43"/>
        <v>6</v>
      </c>
      <c r="B1126" s="5">
        <f t="shared" si="44"/>
        <v>2017</v>
      </c>
      <c r="C1126" s="7">
        <v>42907</v>
      </c>
      <c r="D1126" s="8">
        <v>4.2699999999999996</v>
      </c>
      <c r="E1126" s="8">
        <v>4.4400000000000004</v>
      </c>
    </row>
    <row r="1127" spans="1:5" x14ac:dyDescent="0.2">
      <c r="A1127" s="5">
        <f t="shared" si="43"/>
        <v>6</v>
      </c>
      <c r="B1127" s="5">
        <f t="shared" si="44"/>
        <v>2017</v>
      </c>
      <c r="C1127" s="7">
        <v>42908</v>
      </c>
      <c r="D1127" s="8">
        <v>4.17</v>
      </c>
      <c r="E1127" s="8">
        <v>4.38</v>
      </c>
    </row>
    <row r="1128" spans="1:5" x14ac:dyDescent="0.2">
      <c r="A1128" s="5">
        <f t="shared" si="43"/>
        <v>6</v>
      </c>
      <c r="B1128" s="5">
        <f t="shared" si="44"/>
        <v>2017</v>
      </c>
      <c r="C1128" s="7">
        <v>42909</v>
      </c>
      <c r="D1128" s="8">
        <v>4.1500000000000004</v>
      </c>
      <c r="E1128" s="8">
        <v>4.37</v>
      </c>
    </row>
    <row r="1129" spans="1:5" x14ac:dyDescent="0.2">
      <c r="A1129" s="5">
        <f t="shared" si="43"/>
        <v>6</v>
      </c>
      <c r="B1129" s="5">
        <f t="shared" si="44"/>
        <v>2017</v>
      </c>
      <c r="C1129" s="7">
        <v>42912</v>
      </c>
      <c r="D1129" s="8">
        <v>4.1399999999999997</v>
      </c>
      <c r="E1129" s="8">
        <v>4.4000000000000004</v>
      </c>
    </row>
    <row r="1130" spans="1:5" x14ac:dyDescent="0.2">
      <c r="A1130" s="5">
        <f t="shared" si="43"/>
        <v>6</v>
      </c>
      <c r="B1130" s="5">
        <f t="shared" si="44"/>
        <v>2017</v>
      </c>
      <c r="C1130" s="7">
        <v>42913</v>
      </c>
      <c r="D1130" s="8">
        <v>4.1399999999999997</v>
      </c>
      <c r="E1130" s="8">
        <v>4.42</v>
      </c>
    </row>
    <row r="1131" spans="1:5" x14ac:dyDescent="0.2">
      <c r="A1131" s="5">
        <f t="shared" si="43"/>
        <v>6</v>
      </c>
      <c r="B1131" s="5">
        <f t="shared" si="44"/>
        <v>2017</v>
      </c>
      <c r="C1131" s="7">
        <v>42914</v>
      </c>
      <c r="D1131" s="8">
        <v>4.16</v>
      </c>
      <c r="E1131" s="8">
        <v>4.45</v>
      </c>
    </row>
    <row r="1132" spans="1:5" x14ac:dyDescent="0.2">
      <c r="A1132" s="5">
        <f t="shared" si="43"/>
        <v>6</v>
      </c>
      <c r="B1132" s="5">
        <f t="shared" si="44"/>
        <v>2017</v>
      </c>
      <c r="C1132" s="7">
        <v>42915</v>
      </c>
      <c r="D1132" s="8">
        <v>4.1399999999999997</v>
      </c>
      <c r="E1132" s="8">
        <v>4.45</v>
      </c>
    </row>
    <row r="1133" spans="1:5" x14ac:dyDescent="0.2">
      <c r="A1133" s="5">
        <f t="shared" si="43"/>
        <v>6</v>
      </c>
      <c r="B1133" s="5">
        <f t="shared" si="44"/>
        <v>2017</v>
      </c>
      <c r="C1133" s="7">
        <v>42916</v>
      </c>
      <c r="D1133" s="8">
        <v>4.1399999999999997</v>
      </c>
      <c r="E1133" s="8">
        <v>4.46</v>
      </c>
    </row>
    <row r="1134" spans="1:5" x14ac:dyDescent="0.2">
      <c r="A1134" s="5">
        <f t="shared" si="43"/>
        <v>7</v>
      </c>
      <c r="B1134" s="5">
        <f t="shared" si="44"/>
        <v>2017</v>
      </c>
      <c r="C1134" s="7">
        <v>42919</v>
      </c>
      <c r="D1134" s="8">
        <v>4.13</v>
      </c>
      <c r="E1134" s="8">
        <v>4.46</v>
      </c>
    </row>
    <row r="1135" spans="1:5" x14ac:dyDescent="0.2">
      <c r="A1135" s="5">
        <f t="shared" si="43"/>
        <v>7</v>
      </c>
      <c r="B1135" s="5">
        <f t="shared" si="44"/>
        <v>2017</v>
      </c>
      <c r="C1135" s="7">
        <v>42920</v>
      </c>
      <c r="D1135" s="8">
        <v>4.13</v>
      </c>
      <c r="E1135" s="8">
        <v>4.47</v>
      </c>
    </row>
    <row r="1136" spans="1:5" x14ac:dyDescent="0.2">
      <c r="A1136" s="5">
        <f t="shared" si="43"/>
        <v>7</v>
      </c>
      <c r="B1136" s="5">
        <f t="shared" si="44"/>
        <v>2017</v>
      </c>
      <c r="C1136" s="7">
        <v>42921</v>
      </c>
      <c r="D1136" s="8">
        <v>4.1399999999999997</v>
      </c>
      <c r="E1136" s="8">
        <v>4.47</v>
      </c>
    </row>
    <row r="1137" spans="1:5" x14ac:dyDescent="0.2">
      <c r="A1137" s="5">
        <f t="shared" si="43"/>
        <v>7</v>
      </c>
      <c r="B1137" s="5">
        <f t="shared" si="44"/>
        <v>2017</v>
      </c>
      <c r="C1137" s="7">
        <v>42922</v>
      </c>
      <c r="D1137" s="8">
        <v>4.13</v>
      </c>
      <c r="E1137" s="8">
        <v>4.47</v>
      </c>
    </row>
    <row r="1138" spans="1:5" x14ac:dyDescent="0.2">
      <c r="A1138" s="5">
        <f t="shared" si="43"/>
        <v>7</v>
      </c>
      <c r="B1138" s="5">
        <f t="shared" si="44"/>
        <v>2017</v>
      </c>
      <c r="C1138" s="7">
        <v>42923</v>
      </c>
      <c r="D1138" s="8">
        <v>4.4800000000000004</v>
      </c>
      <c r="E1138" s="8">
        <v>4.47</v>
      </c>
    </row>
    <row r="1139" spans="1:5" x14ac:dyDescent="0.2">
      <c r="A1139" s="5">
        <f t="shared" si="43"/>
        <v>7</v>
      </c>
      <c r="B1139" s="5">
        <f t="shared" si="44"/>
        <v>2017</v>
      </c>
      <c r="C1139" s="7">
        <v>42926</v>
      </c>
      <c r="D1139" s="8">
        <v>4.45</v>
      </c>
      <c r="E1139" s="8">
        <v>4.45</v>
      </c>
    </row>
    <row r="1140" spans="1:5" x14ac:dyDescent="0.2">
      <c r="A1140" s="5">
        <f t="shared" si="43"/>
        <v>7</v>
      </c>
      <c r="B1140" s="5">
        <f t="shared" si="44"/>
        <v>2017</v>
      </c>
      <c r="C1140" s="7">
        <v>42927</v>
      </c>
      <c r="D1140" s="8">
        <v>4.41</v>
      </c>
      <c r="E1140" s="8">
        <v>4.41</v>
      </c>
    </row>
    <row r="1141" spans="1:5" x14ac:dyDescent="0.2">
      <c r="A1141" s="5">
        <f t="shared" si="43"/>
        <v>7</v>
      </c>
      <c r="B1141" s="5">
        <f t="shared" si="44"/>
        <v>2017</v>
      </c>
      <c r="C1141" s="7">
        <v>42928</v>
      </c>
      <c r="D1141" s="8">
        <v>4.41</v>
      </c>
      <c r="E1141" s="8">
        <v>4.42</v>
      </c>
    </row>
    <row r="1142" spans="1:5" x14ac:dyDescent="0.2">
      <c r="A1142" s="5">
        <f t="shared" si="43"/>
        <v>7</v>
      </c>
      <c r="B1142" s="5">
        <f t="shared" si="44"/>
        <v>2017</v>
      </c>
      <c r="C1142" s="7">
        <v>42929</v>
      </c>
      <c r="D1142" s="8">
        <v>4.4000000000000004</v>
      </c>
      <c r="E1142" s="8">
        <v>4.3899999999999997</v>
      </c>
    </row>
    <row r="1143" spans="1:5" x14ac:dyDescent="0.2">
      <c r="A1143" s="5">
        <f t="shared" si="43"/>
        <v>7</v>
      </c>
      <c r="B1143" s="5">
        <f t="shared" si="44"/>
        <v>2017</v>
      </c>
      <c r="C1143" s="7">
        <v>42930</v>
      </c>
      <c r="D1143" s="8">
        <v>4.38</v>
      </c>
      <c r="E1143" s="8">
        <v>4.37</v>
      </c>
    </row>
    <row r="1144" spans="1:5" x14ac:dyDescent="0.2">
      <c r="A1144" s="5">
        <f t="shared" si="43"/>
        <v>7</v>
      </c>
      <c r="B1144" s="5">
        <f t="shared" si="44"/>
        <v>2017</v>
      </c>
      <c r="C1144" s="7">
        <v>42933</v>
      </c>
      <c r="D1144" s="8">
        <v>4.37</v>
      </c>
      <c r="E1144" s="8">
        <v>4.3600000000000003</v>
      </c>
    </row>
    <row r="1145" spans="1:5" x14ac:dyDescent="0.2">
      <c r="A1145" s="5">
        <f t="shared" si="43"/>
        <v>7</v>
      </c>
      <c r="B1145" s="5">
        <f t="shared" si="44"/>
        <v>2017</v>
      </c>
      <c r="C1145" s="7">
        <v>42934</v>
      </c>
      <c r="D1145" s="8">
        <v>4.38</v>
      </c>
      <c r="E1145" s="8">
        <v>4.3600000000000003</v>
      </c>
    </row>
    <row r="1146" spans="1:5" x14ac:dyDescent="0.2">
      <c r="A1146" s="5">
        <f t="shared" si="43"/>
        <v>7</v>
      </c>
      <c r="B1146" s="5">
        <f t="shared" si="44"/>
        <v>2017</v>
      </c>
      <c r="C1146" s="7">
        <v>42935</v>
      </c>
      <c r="D1146" s="8">
        <v>4.34</v>
      </c>
      <c r="E1146" s="8">
        <v>4.34</v>
      </c>
    </row>
    <row r="1147" spans="1:5" x14ac:dyDescent="0.2">
      <c r="A1147" s="5">
        <f t="shared" si="43"/>
        <v>7</v>
      </c>
      <c r="B1147" s="5">
        <f t="shared" si="44"/>
        <v>2017</v>
      </c>
      <c r="C1147" s="7">
        <v>42936</v>
      </c>
      <c r="D1147" s="8">
        <v>4.34</v>
      </c>
      <c r="E1147" s="8">
        <v>4.3499999999999996</v>
      </c>
    </row>
    <row r="1148" spans="1:5" x14ac:dyDescent="0.2">
      <c r="A1148" s="5">
        <f t="shared" si="43"/>
        <v>7</v>
      </c>
      <c r="B1148" s="5">
        <f t="shared" si="44"/>
        <v>2017</v>
      </c>
      <c r="C1148" s="7">
        <v>42937</v>
      </c>
      <c r="D1148" s="8">
        <v>4.38</v>
      </c>
      <c r="E1148" s="8">
        <v>4.4000000000000004</v>
      </c>
    </row>
    <row r="1149" spans="1:5" x14ac:dyDescent="0.2">
      <c r="A1149" s="5">
        <f t="shared" si="43"/>
        <v>7</v>
      </c>
      <c r="B1149" s="5">
        <f t="shared" si="44"/>
        <v>2017</v>
      </c>
      <c r="C1149" s="7">
        <v>42940</v>
      </c>
      <c r="D1149" s="8">
        <v>4.38</v>
      </c>
      <c r="E1149" s="8">
        <v>4.4000000000000004</v>
      </c>
    </row>
    <row r="1150" spans="1:5" x14ac:dyDescent="0.2">
      <c r="A1150" s="5">
        <f t="shared" si="43"/>
        <v>7</v>
      </c>
      <c r="B1150" s="5">
        <f t="shared" si="44"/>
        <v>2017</v>
      </c>
      <c r="C1150" s="7">
        <v>42941</v>
      </c>
      <c r="D1150" s="8">
        <v>4.43</v>
      </c>
      <c r="E1150" s="8">
        <v>4.4400000000000004</v>
      </c>
    </row>
    <row r="1151" spans="1:5" x14ac:dyDescent="0.2">
      <c r="A1151" s="5">
        <f t="shared" si="43"/>
        <v>7</v>
      </c>
      <c r="B1151" s="5">
        <f t="shared" si="44"/>
        <v>2017</v>
      </c>
      <c r="C1151" s="7">
        <v>42942</v>
      </c>
      <c r="D1151" s="8">
        <v>4.4400000000000004</v>
      </c>
      <c r="E1151" s="8">
        <v>4.4400000000000004</v>
      </c>
    </row>
    <row r="1152" spans="1:5" x14ac:dyDescent="0.2">
      <c r="A1152" s="5">
        <f t="shared" si="43"/>
        <v>7</v>
      </c>
      <c r="B1152" s="5">
        <f t="shared" si="44"/>
        <v>2017</v>
      </c>
      <c r="C1152" s="7">
        <v>42943</v>
      </c>
      <c r="D1152" s="8">
        <v>4.4400000000000004</v>
      </c>
      <c r="E1152" s="8">
        <v>4.46</v>
      </c>
    </row>
    <row r="1153" spans="1:5" x14ac:dyDescent="0.2">
      <c r="A1153" s="5">
        <f t="shared" si="43"/>
        <v>7</v>
      </c>
      <c r="B1153" s="5">
        <f t="shared" si="44"/>
        <v>2017</v>
      </c>
      <c r="C1153" s="7">
        <v>42944</v>
      </c>
      <c r="D1153" s="8">
        <v>4.4800000000000004</v>
      </c>
      <c r="E1153" s="8">
        <v>4.5199999999999996</v>
      </c>
    </row>
    <row r="1154" spans="1:5" x14ac:dyDescent="0.2">
      <c r="A1154" s="5">
        <f t="shared" si="43"/>
        <v>7</v>
      </c>
      <c r="B1154" s="5">
        <f t="shared" si="44"/>
        <v>2017</v>
      </c>
      <c r="C1154" s="7">
        <v>42947</v>
      </c>
      <c r="D1154" s="8">
        <v>4.53</v>
      </c>
      <c r="E1154" s="8">
        <v>4.53</v>
      </c>
    </row>
    <row r="1155" spans="1:5" x14ac:dyDescent="0.2">
      <c r="A1155" s="5">
        <f t="shared" si="43"/>
        <v>8</v>
      </c>
      <c r="B1155" s="5">
        <f t="shared" si="44"/>
        <v>2017</v>
      </c>
      <c r="C1155" s="7">
        <v>42948</v>
      </c>
      <c r="D1155" s="8">
        <v>4.54</v>
      </c>
      <c r="E1155" s="8">
        <v>4.53</v>
      </c>
    </row>
    <row r="1156" spans="1:5" x14ac:dyDescent="0.2">
      <c r="A1156" s="5">
        <f t="shared" ref="A1156:A1219" si="45">MONTH(C1156)</f>
        <v>8</v>
      </c>
      <c r="B1156" s="5">
        <f t="shared" ref="B1156:B1219" si="46">YEAR(C1156)</f>
        <v>2017</v>
      </c>
      <c r="C1156" s="7">
        <v>42949</v>
      </c>
      <c r="D1156" s="8">
        <v>4.54</v>
      </c>
      <c r="E1156" s="8">
        <v>4.53</v>
      </c>
    </row>
    <row r="1157" spans="1:5" x14ac:dyDescent="0.2">
      <c r="A1157" s="5">
        <f t="shared" si="45"/>
        <v>8</v>
      </c>
      <c r="B1157" s="5">
        <f t="shared" si="46"/>
        <v>2017</v>
      </c>
      <c r="C1157" s="7">
        <v>42950</v>
      </c>
      <c r="D1157" s="8">
        <v>4.55</v>
      </c>
      <c r="E1157" s="8">
        <v>4.54</v>
      </c>
    </row>
    <row r="1158" spans="1:5" x14ac:dyDescent="0.2">
      <c r="A1158" s="5">
        <f t="shared" si="45"/>
        <v>8</v>
      </c>
      <c r="B1158" s="5">
        <f t="shared" si="46"/>
        <v>2017</v>
      </c>
      <c r="C1158" s="7">
        <v>42951</v>
      </c>
      <c r="D1158" s="8">
        <v>4.55</v>
      </c>
      <c r="E1158" s="8">
        <v>4.53</v>
      </c>
    </row>
    <row r="1159" spans="1:5" x14ac:dyDescent="0.2">
      <c r="A1159" s="5">
        <f t="shared" si="45"/>
        <v>8</v>
      </c>
      <c r="B1159" s="5">
        <f t="shared" si="46"/>
        <v>2017</v>
      </c>
      <c r="C1159" s="7">
        <v>42954</v>
      </c>
      <c r="D1159" s="8">
        <v>4.54</v>
      </c>
      <c r="E1159" s="8">
        <v>4.5199999999999996</v>
      </c>
    </row>
    <row r="1160" spans="1:5" x14ac:dyDescent="0.2">
      <c r="A1160" s="5">
        <f t="shared" si="45"/>
        <v>8</v>
      </c>
      <c r="B1160" s="5">
        <f t="shared" si="46"/>
        <v>2017</v>
      </c>
      <c r="C1160" s="7">
        <v>42955</v>
      </c>
      <c r="D1160" s="8">
        <v>4.54</v>
      </c>
      <c r="E1160" s="8">
        <v>4.53</v>
      </c>
    </row>
    <row r="1161" spans="1:5" x14ac:dyDescent="0.2">
      <c r="A1161" s="5">
        <f t="shared" si="45"/>
        <v>8</v>
      </c>
      <c r="B1161" s="5">
        <f t="shared" si="46"/>
        <v>2017</v>
      </c>
      <c r="C1161" s="7">
        <v>42956</v>
      </c>
      <c r="D1161" s="8">
        <v>4.51</v>
      </c>
      <c r="E1161" s="8">
        <v>4.51</v>
      </c>
    </row>
    <row r="1162" spans="1:5" x14ac:dyDescent="0.2">
      <c r="A1162" s="5">
        <f t="shared" si="45"/>
        <v>8</v>
      </c>
      <c r="B1162" s="5">
        <f t="shared" si="46"/>
        <v>2017</v>
      </c>
      <c r="C1162" s="7">
        <v>42957</v>
      </c>
      <c r="D1162" s="8">
        <v>4.5199999999999996</v>
      </c>
      <c r="E1162" s="8">
        <v>4.5</v>
      </c>
    </row>
    <row r="1163" spans="1:5" x14ac:dyDescent="0.2">
      <c r="A1163" s="5">
        <f t="shared" si="45"/>
        <v>8</v>
      </c>
      <c r="B1163" s="5">
        <f t="shared" si="46"/>
        <v>2017</v>
      </c>
      <c r="C1163" s="7">
        <v>42958</v>
      </c>
      <c r="D1163" s="8">
        <v>4.53</v>
      </c>
      <c r="E1163" s="8">
        <v>4.5</v>
      </c>
    </row>
    <row r="1164" spans="1:5" x14ac:dyDescent="0.2">
      <c r="A1164" s="5">
        <f t="shared" si="45"/>
        <v>8</v>
      </c>
      <c r="B1164" s="5">
        <f t="shared" si="46"/>
        <v>2017</v>
      </c>
      <c r="C1164" s="7">
        <v>42961</v>
      </c>
      <c r="D1164" s="8">
        <v>4.5599999999999996</v>
      </c>
      <c r="E1164" s="8">
        <v>4.49</v>
      </c>
    </row>
    <row r="1165" spans="1:5" x14ac:dyDescent="0.2">
      <c r="A1165" s="5">
        <f t="shared" si="45"/>
        <v>8</v>
      </c>
      <c r="B1165" s="5">
        <f t="shared" si="46"/>
        <v>2017</v>
      </c>
      <c r="C1165" s="7">
        <v>42962</v>
      </c>
      <c r="D1165" s="8">
        <v>4.55</v>
      </c>
      <c r="E1165" s="8">
        <v>4.47</v>
      </c>
    </row>
    <row r="1166" spans="1:5" x14ac:dyDescent="0.2">
      <c r="A1166" s="5">
        <f t="shared" si="45"/>
        <v>8</v>
      </c>
      <c r="B1166" s="5">
        <f t="shared" si="46"/>
        <v>2017</v>
      </c>
      <c r="C1166" s="7">
        <v>42963</v>
      </c>
      <c r="D1166" s="8">
        <v>4.5599999999999996</v>
      </c>
      <c r="E1166" s="8">
        <v>4.47</v>
      </c>
    </row>
    <row r="1167" spans="1:5" x14ac:dyDescent="0.2">
      <c r="A1167" s="5">
        <f t="shared" si="45"/>
        <v>8</v>
      </c>
      <c r="B1167" s="5">
        <f t="shared" si="46"/>
        <v>2017</v>
      </c>
      <c r="C1167" s="7">
        <v>42964</v>
      </c>
      <c r="D1167" s="8">
        <v>4.53</v>
      </c>
      <c r="E1167" s="8">
        <v>4.4400000000000004</v>
      </c>
    </row>
    <row r="1168" spans="1:5" x14ac:dyDescent="0.2">
      <c r="A1168" s="5">
        <f t="shared" si="45"/>
        <v>8</v>
      </c>
      <c r="B1168" s="5">
        <f t="shared" si="46"/>
        <v>2017</v>
      </c>
      <c r="C1168" s="7">
        <v>42965</v>
      </c>
      <c r="D1168" s="8">
        <v>4.54</v>
      </c>
      <c r="E1168" s="8">
        <v>4.43</v>
      </c>
    </row>
    <row r="1169" spans="1:5" x14ac:dyDescent="0.2">
      <c r="A1169" s="5">
        <f t="shared" si="45"/>
        <v>8</v>
      </c>
      <c r="B1169" s="5">
        <f t="shared" si="46"/>
        <v>2017</v>
      </c>
      <c r="C1169" s="7">
        <v>42968</v>
      </c>
      <c r="D1169" s="8">
        <v>4.54</v>
      </c>
      <c r="E1169" s="8">
        <v>4.41</v>
      </c>
    </row>
    <row r="1170" spans="1:5" x14ac:dyDescent="0.2">
      <c r="A1170" s="5">
        <f t="shared" si="45"/>
        <v>8</v>
      </c>
      <c r="B1170" s="5">
        <f t="shared" si="46"/>
        <v>2017</v>
      </c>
      <c r="C1170" s="7">
        <v>42969</v>
      </c>
      <c r="D1170" s="8">
        <v>4.4800000000000004</v>
      </c>
      <c r="E1170" s="8">
        <v>4.34</v>
      </c>
    </row>
    <row r="1171" spans="1:5" x14ac:dyDescent="0.2">
      <c r="A1171" s="5">
        <f t="shared" si="45"/>
        <v>8</v>
      </c>
      <c r="B1171" s="5">
        <f t="shared" si="46"/>
        <v>2017</v>
      </c>
      <c r="C1171" s="7">
        <v>42970</v>
      </c>
      <c r="D1171" s="8">
        <v>4.4800000000000004</v>
      </c>
      <c r="E1171" s="8">
        <v>4.33</v>
      </c>
    </row>
    <row r="1172" spans="1:5" x14ac:dyDescent="0.2">
      <c r="A1172" s="5">
        <f t="shared" si="45"/>
        <v>8</v>
      </c>
      <c r="B1172" s="5">
        <f t="shared" si="46"/>
        <v>2017</v>
      </c>
      <c r="C1172" s="7">
        <v>42971</v>
      </c>
      <c r="D1172" s="8">
        <v>4.4800000000000004</v>
      </c>
      <c r="E1172" s="8">
        <v>4.33</v>
      </c>
    </row>
    <row r="1173" spans="1:5" x14ac:dyDescent="0.2">
      <c r="A1173" s="5">
        <f t="shared" si="45"/>
        <v>8</v>
      </c>
      <c r="B1173" s="5">
        <f t="shared" si="46"/>
        <v>2017</v>
      </c>
      <c r="C1173" s="7">
        <v>42972</v>
      </c>
      <c r="D1173" s="8">
        <v>4.4400000000000004</v>
      </c>
      <c r="E1173" s="8">
        <v>4.3</v>
      </c>
    </row>
    <row r="1174" spans="1:5" x14ac:dyDescent="0.2">
      <c r="A1174" s="5">
        <f t="shared" si="45"/>
        <v>8</v>
      </c>
      <c r="B1174" s="5">
        <f t="shared" si="46"/>
        <v>2017</v>
      </c>
      <c r="C1174" s="7">
        <v>42975</v>
      </c>
      <c r="D1174" s="8">
        <v>4.4400000000000004</v>
      </c>
      <c r="E1174" s="8">
        <v>4.2699999999999996</v>
      </c>
    </row>
    <row r="1175" spans="1:5" x14ac:dyDescent="0.2">
      <c r="A1175" s="5">
        <f t="shared" si="45"/>
        <v>8</v>
      </c>
      <c r="B1175" s="5">
        <f t="shared" si="46"/>
        <v>2017</v>
      </c>
      <c r="C1175" s="7">
        <v>42976</v>
      </c>
      <c r="D1175" s="8">
        <v>4.4400000000000004</v>
      </c>
      <c r="E1175" s="8">
        <v>4.24</v>
      </c>
    </row>
    <row r="1176" spans="1:5" x14ac:dyDescent="0.2">
      <c r="A1176" s="5">
        <f t="shared" si="45"/>
        <v>8</v>
      </c>
      <c r="B1176" s="5">
        <f t="shared" si="46"/>
        <v>2017</v>
      </c>
      <c r="C1176" s="7">
        <v>42977</v>
      </c>
      <c r="D1176" s="8">
        <v>4.42</v>
      </c>
      <c r="E1176" s="8">
        <v>4.22</v>
      </c>
    </row>
    <row r="1177" spans="1:5" x14ac:dyDescent="0.2">
      <c r="A1177" s="5">
        <f t="shared" si="45"/>
        <v>8</v>
      </c>
      <c r="B1177" s="5">
        <f t="shared" si="46"/>
        <v>2017</v>
      </c>
      <c r="C1177" s="7">
        <v>42978</v>
      </c>
      <c r="D1177" s="8">
        <v>4.41</v>
      </c>
      <c r="E1177" s="8">
        <v>4.2</v>
      </c>
    </row>
    <row r="1178" spans="1:5" x14ac:dyDescent="0.2">
      <c r="A1178" s="5">
        <f t="shared" si="45"/>
        <v>9</v>
      </c>
      <c r="B1178" s="5">
        <f t="shared" si="46"/>
        <v>2017</v>
      </c>
      <c r="C1178" s="7">
        <v>42979</v>
      </c>
      <c r="D1178" s="8">
        <v>4.41</v>
      </c>
      <c r="E1178" s="8">
        <v>4.1900000000000004</v>
      </c>
    </row>
    <row r="1179" spans="1:5" x14ac:dyDescent="0.2">
      <c r="A1179" s="5">
        <f t="shared" si="45"/>
        <v>9</v>
      </c>
      <c r="B1179" s="5">
        <f t="shared" si="46"/>
        <v>2017</v>
      </c>
      <c r="C1179" s="7">
        <v>42982</v>
      </c>
      <c r="D1179" s="8">
        <v>4.38</v>
      </c>
      <c r="E1179" s="8">
        <v>4.17</v>
      </c>
    </row>
    <row r="1180" spans="1:5" x14ac:dyDescent="0.2">
      <c r="A1180" s="5">
        <f t="shared" si="45"/>
        <v>9</v>
      </c>
      <c r="B1180" s="5">
        <f t="shared" si="46"/>
        <v>2017</v>
      </c>
      <c r="C1180" s="7">
        <v>42983</v>
      </c>
      <c r="D1180" s="8">
        <v>4.3899999999999997</v>
      </c>
      <c r="E1180" s="8">
        <v>4.17</v>
      </c>
    </row>
    <row r="1181" spans="1:5" x14ac:dyDescent="0.2">
      <c r="A1181" s="5">
        <f t="shared" si="45"/>
        <v>9</v>
      </c>
      <c r="B1181" s="5">
        <f t="shared" si="46"/>
        <v>2017</v>
      </c>
      <c r="C1181" s="7">
        <v>42984</v>
      </c>
      <c r="D1181" s="8">
        <v>4.1399999999999997</v>
      </c>
      <c r="E1181" s="8">
        <v>4.1500000000000004</v>
      </c>
    </row>
    <row r="1182" spans="1:5" x14ac:dyDescent="0.2">
      <c r="A1182" s="5">
        <f t="shared" si="45"/>
        <v>9</v>
      </c>
      <c r="B1182" s="5">
        <f t="shared" si="46"/>
        <v>2017</v>
      </c>
      <c r="C1182" s="7">
        <v>42986</v>
      </c>
      <c r="D1182" s="8">
        <v>4.1399999999999997</v>
      </c>
      <c r="E1182" s="8">
        <v>4.1399999999999997</v>
      </c>
    </row>
    <row r="1183" spans="1:5" x14ac:dyDescent="0.2">
      <c r="A1183" s="5">
        <f t="shared" si="45"/>
        <v>9</v>
      </c>
      <c r="B1183" s="5">
        <f t="shared" si="46"/>
        <v>2017</v>
      </c>
      <c r="C1183" s="7">
        <v>42989</v>
      </c>
      <c r="D1183" s="8">
        <v>4.12</v>
      </c>
      <c r="E1183" s="8">
        <v>4.13</v>
      </c>
    </row>
    <row r="1184" spans="1:5" x14ac:dyDescent="0.2">
      <c r="A1184" s="5">
        <f t="shared" si="45"/>
        <v>9</v>
      </c>
      <c r="B1184" s="5">
        <f t="shared" si="46"/>
        <v>2017</v>
      </c>
      <c r="C1184" s="7">
        <v>42990</v>
      </c>
      <c r="D1184" s="8">
        <v>4.0999999999999996</v>
      </c>
      <c r="E1184" s="8">
        <v>4.13</v>
      </c>
    </row>
    <row r="1185" spans="1:5" x14ac:dyDescent="0.2">
      <c r="A1185" s="5">
        <f t="shared" si="45"/>
        <v>9</v>
      </c>
      <c r="B1185" s="5">
        <f t="shared" si="46"/>
        <v>2017</v>
      </c>
      <c r="C1185" s="7">
        <v>42991</v>
      </c>
      <c r="D1185" s="8">
        <v>4.08</v>
      </c>
      <c r="E1185" s="8">
        <v>4.1100000000000003</v>
      </c>
    </row>
    <row r="1186" spans="1:5" x14ac:dyDescent="0.2">
      <c r="A1186" s="5">
        <f t="shared" si="45"/>
        <v>9</v>
      </c>
      <c r="B1186" s="5">
        <f t="shared" si="46"/>
        <v>2017</v>
      </c>
      <c r="C1186" s="7">
        <v>42992</v>
      </c>
      <c r="D1186" s="8">
        <v>4.08</v>
      </c>
      <c r="E1186" s="8">
        <v>4.08</v>
      </c>
    </row>
    <row r="1187" spans="1:5" x14ac:dyDescent="0.2">
      <c r="A1187" s="5">
        <f t="shared" si="45"/>
        <v>9</v>
      </c>
      <c r="B1187" s="5">
        <f t="shared" si="46"/>
        <v>2017</v>
      </c>
      <c r="C1187" s="7">
        <v>42993</v>
      </c>
      <c r="D1187" s="8">
        <v>4.03</v>
      </c>
      <c r="E1187" s="8">
        <v>4.07</v>
      </c>
    </row>
    <row r="1188" spans="1:5" x14ac:dyDescent="0.2">
      <c r="A1188" s="5">
        <f t="shared" si="45"/>
        <v>9</v>
      </c>
      <c r="B1188" s="5">
        <f t="shared" si="46"/>
        <v>2017</v>
      </c>
      <c r="C1188" s="7">
        <v>42996</v>
      </c>
      <c r="D1188" s="8">
        <v>4.01</v>
      </c>
      <c r="E1188" s="8">
        <v>4.05</v>
      </c>
    </row>
    <row r="1189" spans="1:5" x14ac:dyDescent="0.2">
      <c r="A1189" s="5">
        <f t="shared" si="45"/>
        <v>9</v>
      </c>
      <c r="B1189" s="5">
        <f t="shared" si="46"/>
        <v>2017</v>
      </c>
      <c r="C1189" s="7">
        <v>42997</v>
      </c>
      <c r="D1189" s="8">
        <v>3.96</v>
      </c>
      <c r="E1189" s="8">
        <v>4.05</v>
      </c>
    </row>
    <row r="1190" spans="1:5" x14ac:dyDescent="0.2">
      <c r="A1190" s="5">
        <f t="shared" si="45"/>
        <v>9</v>
      </c>
      <c r="B1190" s="5">
        <f t="shared" si="46"/>
        <v>2017</v>
      </c>
      <c r="C1190" s="7">
        <v>42998</v>
      </c>
      <c r="D1190" s="8">
        <v>3.86</v>
      </c>
      <c r="E1190" s="8">
        <v>3.92</v>
      </c>
    </row>
    <row r="1191" spans="1:5" x14ac:dyDescent="0.2">
      <c r="A1191" s="5">
        <f t="shared" si="45"/>
        <v>9</v>
      </c>
      <c r="B1191" s="5">
        <f t="shared" si="46"/>
        <v>2017</v>
      </c>
      <c r="C1191" s="7">
        <v>42999</v>
      </c>
      <c r="D1191" s="8">
        <v>3.85</v>
      </c>
      <c r="E1191" s="8">
        <v>3.93</v>
      </c>
    </row>
    <row r="1192" spans="1:5" x14ac:dyDescent="0.2">
      <c r="A1192" s="5">
        <f t="shared" si="45"/>
        <v>9</v>
      </c>
      <c r="B1192" s="5">
        <f t="shared" si="46"/>
        <v>2017</v>
      </c>
      <c r="C1192" s="7">
        <v>43000</v>
      </c>
      <c r="D1192" s="8">
        <v>3.84</v>
      </c>
      <c r="E1192" s="8">
        <v>3.94</v>
      </c>
    </row>
    <row r="1193" spans="1:5" x14ac:dyDescent="0.2">
      <c r="A1193" s="5">
        <f t="shared" si="45"/>
        <v>9</v>
      </c>
      <c r="B1193" s="5">
        <f t="shared" si="46"/>
        <v>2017</v>
      </c>
      <c r="C1193" s="7">
        <v>43003</v>
      </c>
      <c r="D1193" s="8">
        <v>3.83</v>
      </c>
      <c r="E1193" s="8">
        <v>3.95</v>
      </c>
    </row>
    <row r="1194" spans="1:5" x14ac:dyDescent="0.2">
      <c r="A1194" s="5">
        <f t="shared" si="45"/>
        <v>9</v>
      </c>
      <c r="B1194" s="5">
        <f t="shared" si="46"/>
        <v>2017</v>
      </c>
      <c r="C1194" s="7">
        <v>43004</v>
      </c>
      <c r="D1194" s="8">
        <v>3.83</v>
      </c>
      <c r="E1194" s="8">
        <v>3.95</v>
      </c>
    </row>
    <row r="1195" spans="1:5" x14ac:dyDescent="0.2">
      <c r="A1195" s="5">
        <f t="shared" si="45"/>
        <v>9</v>
      </c>
      <c r="B1195" s="5">
        <f t="shared" si="46"/>
        <v>2017</v>
      </c>
      <c r="C1195" s="7">
        <v>43005</v>
      </c>
      <c r="D1195" s="8">
        <v>3.83</v>
      </c>
      <c r="E1195" s="8">
        <v>3.96</v>
      </c>
    </row>
    <row r="1196" spans="1:5" x14ac:dyDescent="0.2">
      <c r="A1196" s="5">
        <f t="shared" si="45"/>
        <v>9</v>
      </c>
      <c r="B1196" s="5">
        <f t="shared" si="46"/>
        <v>2017</v>
      </c>
      <c r="C1196" s="7">
        <v>43006</v>
      </c>
      <c r="D1196" s="8">
        <v>3.83</v>
      </c>
      <c r="E1196" s="8">
        <v>3.97</v>
      </c>
    </row>
    <row r="1197" spans="1:5" x14ac:dyDescent="0.2">
      <c r="A1197" s="5">
        <f t="shared" si="45"/>
        <v>9</v>
      </c>
      <c r="B1197" s="5">
        <f t="shared" si="46"/>
        <v>2017</v>
      </c>
      <c r="C1197" s="7">
        <v>43007</v>
      </c>
      <c r="D1197" s="8">
        <v>3.82</v>
      </c>
      <c r="E1197" s="8">
        <v>3.97</v>
      </c>
    </row>
    <row r="1198" spans="1:5" x14ac:dyDescent="0.2">
      <c r="A1198" s="5">
        <f t="shared" si="45"/>
        <v>10</v>
      </c>
      <c r="B1198" s="5">
        <f t="shared" si="46"/>
        <v>2017</v>
      </c>
      <c r="C1198" s="7">
        <v>43010</v>
      </c>
      <c r="D1198" s="8">
        <v>3.83</v>
      </c>
      <c r="E1198" s="8">
        <v>4.01</v>
      </c>
    </row>
    <row r="1199" spans="1:5" x14ac:dyDescent="0.2">
      <c r="A1199" s="5">
        <f t="shared" si="45"/>
        <v>10</v>
      </c>
      <c r="B1199" s="5">
        <f t="shared" si="46"/>
        <v>2017</v>
      </c>
      <c r="C1199" s="7">
        <v>43011</v>
      </c>
      <c r="D1199" s="8">
        <v>3.83</v>
      </c>
      <c r="E1199" s="8">
        <v>4.01</v>
      </c>
    </row>
    <row r="1200" spans="1:5" x14ac:dyDescent="0.2">
      <c r="A1200" s="5">
        <f t="shared" si="45"/>
        <v>10</v>
      </c>
      <c r="B1200" s="5">
        <f t="shared" si="46"/>
        <v>2017</v>
      </c>
      <c r="C1200" s="7">
        <v>43012</v>
      </c>
      <c r="D1200" s="8">
        <v>3.83</v>
      </c>
      <c r="E1200" s="8">
        <v>4.0199999999999996</v>
      </c>
    </row>
    <row r="1201" spans="1:5" x14ac:dyDescent="0.2">
      <c r="A1201" s="5">
        <f t="shared" si="45"/>
        <v>10</v>
      </c>
      <c r="B1201" s="5">
        <f t="shared" si="46"/>
        <v>2017</v>
      </c>
      <c r="C1201" s="7">
        <v>43013</v>
      </c>
      <c r="D1201" s="8">
        <v>3.83</v>
      </c>
      <c r="E1201" s="8">
        <v>4.0199999999999996</v>
      </c>
    </row>
    <row r="1202" spans="1:5" x14ac:dyDescent="0.2">
      <c r="A1202" s="5">
        <f t="shared" si="45"/>
        <v>10</v>
      </c>
      <c r="B1202" s="5">
        <f t="shared" si="46"/>
        <v>2017</v>
      </c>
      <c r="C1202" s="7">
        <v>43014</v>
      </c>
      <c r="D1202" s="8">
        <v>4.01</v>
      </c>
      <c r="E1202" s="8">
        <v>4.01</v>
      </c>
    </row>
    <row r="1203" spans="1:5" x14ac:dyDescent="0.2">
      <c r="A1203" s="5">
        <f t="shared" si="45"/>
        <v>10</v>
      </c>
      <c r="B1203" s="5">
        <f t="shared" si="46"/>
        <v>2017</v>
      </c>
      <c r="C1203" s="7">
        <v>43017</v>
      </c>
      <c r="D1203" s="8">
        <v>4.01</v>
      </c>
      <c r="E1203" s="8">
        <v>3.99</v>
      </c>
    </row>
    <row r="1204" spans="1:5" x14ac:dyDescent="0.2">
      <c r="A1204" s="5">
        <f t="shared" si="45"/>
        <v>10</v>
      </c>
      <c r="B1204" s="5">
        <f t="shared" si="46"/>
        <v>2017</v>
      </c>
      <c r="C1204" s="7">
        <v>43018</v>
      </c>
      <c r="D1204" s="8">
        <v>4.0199999999999996</v>
      </c>
      <c r="E1204" s="8">
        <v>4.01</v>
      </c>
    </row>
    <row r="1205" spans="1:5" x14ac:dyDescent="0.2">
      <c r="A1205" s="5">
        <f t="shared" si="45"/>
        <v>10</v>
      </c>
      <c r="B1205" s="5">
        <f t="shared" si="46"/>
        <v>2017</v>
      </c>
      <c r="C1205" s="7">
        <v>43019</v>
      </c>
      <c r="D1205" s="8">
        <v>4.0199999999999996</v>
      </c>
      <c r="E1205" s="8">
        <v>4.01</v>
      </c>
    </row>
    <row r="1206" spans="1:5" x14ac:dyDescent="0.2">
      <c r="A1206" s="5">
        <f t="shared" si="45"/>
        <v>10</v>
      </c>
      <c r="B1206" s="5">
        <f t="shared" si="46"/>
        <v>2017</v>
      </c>
      <c r="C1206" s="7">
        <v>43021</v>
      </c>
      <c r="D1206" s="8">
        <v>4.0199999999999996</v>
      </c>
      <c r="E1206" s="8">
        <v>4</v>
      </c>
    </row>
    <row r="1207" spans="1:5" x14ac:dyDescent="0.2">
      <c r="A1207" s="5">
        <f t="shared" si="45"/>
        <v>10</v>
      </c>
      <c r="B1207" s="5">
        <f t="shared" si="46"/>
        <v>2017</v>
      </c>
      <c r="C1207" s="7">
        <v>43024</v>
      </c>
      <c r="D1207" s="8">
        <v>4.04</v>
      </c>
      <c r="E1207" s="8">
        <v>4.0199999999999996</v>
      </c>
    </row>
    <row r="1208" spans="1:5" x14ac:dyDescent="0.2">
      <c r="A1208" s="5">
        <f t="shared" si="45"/>
        <v>10</v>
      </c>
      <c r="B1208" s="5">
        <f t="shared" si="46"/>
        <v>2017</v>
      </c>
      <c r="C1208" s="7">
        <v>43025</v>
      </c>
      <c r="D1208" s="8">
        <v>4.09</v>
      </c>
      <c r="E1208" s="8">
        <v>4.03</v>
      </c>
    </row>
    <row r="1209" spans="1:5" x14ac:dyDescent="0.2">
      <c r="A1209" s="5">
        <f t="shared" si="45"/>
        <v>10</v>
      </c>
      <c r="B1209" s="5">
        <f t="shared" si="46"/>
        <v>2017</v>
      </c>
      <c r="C1209" s="7">
        <v>43026</v>
      </c>
      <c r="D1209" s="8">
        <v>4.09</v>
      </c>
      <c r="E1209" s="8">
        <v>4.03</v>
      </c>
    </row>
    <row r="1210" spans="1:5" x14ac:dyDescent="0.2">
      <c r="A1210" s="5">
        <f t="shared" si="45"/>
        <v>10</v>
      </c>
      <c r="B1210" s="5">
        <f t="shared" si="46"/>
        <v>2017</v>
      </c>
      <c r="C1210" s="7">
        <v>43027</v>
      </c>
      <c r="D1210" s="8">
        <v>4.1100000000000003</v>
      </c>
      <c r="E1210" s="8">
        <v>4.03</v>
      </c>
    </row>
    <row r="1211" spans="1:5" x14ac:dyDescent="0.2">
      <c r="A1211" s="5">
        <f t="shared" si="45"/>
        <v>10</v>
      </c>
      <c r="B1211" s="5">
        <f t="shared" si="46"/>
        <v>2017</v>
      </c>
      <c r="C1211" s="7">
        <v>43028</v>
      </c>
      <c r="D1211" s="8">
        <v>4.0999999999999996</v>
      </c>
      <c r="E1211" s="8">
        <v>4.01</v>
      </c>
    </row>
    <row r="1212" spans="1:5" x14ac:dyDescent="0.2">
      <c r="A1212" s="5">
        <f t="shared" si="45"/>
        <v>10</v>
      </c>
      <c r="B1212" s="5">
        <f t="shared" si="46"/>
        <v>2017</v>
      </c>
      <c r="C1212" s="7">
        <v>43031</v>
      </c>
      <c r="D1212" s="8">
        <v>4.08</v>
      </c>
      <c r="E1212" s="8">
        <v>4</v>
      </c>
    </row>
    <row r="1213" spans="1:5" x14ac:dyDescent="0.2">
      <c r="A1213" s="5">
        <f t="shared" si="45"/>
        <v>10</v>
      </c>
      <c r="B1213" s="5">
        <f t="shared" si="46"/>
        <v>2017</v>
      </c>
      <c r="C1213" s="7">
        <v>43032</v>
      </c>
      <c r="D1213" s="8">
        <v>4.09</v>
      </c>
      <c r="E1213" s="8">
        <v>4</v>
      </c>
    </row>
    <row r="1214" spans="1:5" x14ac:dyDescent="0.2">
      <c r="A1214" s="5">
        <f t="shared" si="45"/>
        <v>10</v>
      </c>
      <c r="B1214" s="5">
        <f t="shared" si="46"/>
        <v>2017</v>
      </c>
      <c r="C1214" s="7">
        <v>43033</v>
      </c>
      <c r="D1214" s="8">
        <v>4.09</v>
      </c>
      <c r="E1214" s="8">
        <v>4</v>
      </c>
    </row>
    <row r="1215" spans="1:5" x14ac:dyDescent="0.2">
      <c r="A1215" s="5">
        <f t="shared" si="45"/>
        <v>10</v>
      </c>
      <c r="B1215" s="5">
        <f t="shared" si="46"/>
        <v>2017</v>
      </c>
      <c r="C1215" s="7">
        <v>43034</v>
      </c>
      <c r="D1215" s="8">
        <v>4.09</v>
      </c>
      <c r="E1215" s="8">
        <v>4</v>
      </c>
    </row>
    <row r="1216" spans="1:5" x14ac:dyDescent="0.2">
      <c r="A1216" s="5">
        <f t="shared" si="45"/>
        <v>10</v>
      </c>
      <c r="B1216" s="5">
        <f t="shared" si="46"/>
        <v>2017</v>
      </c>
      <c r="C1216" s="7">
        <v>43035</v>
      </c>
      <c r="D1216" s="8">
        <v>4.0999999999999996</v>
      </c>
      <c r="E1216" s="8">
        <v>4</v>
      </c>
    </row>
    <row r="1217" spans="1:5" x14ac:dyDescent="0.2">
      <c r="A1217" s="5">
        <f t="shared" si="45"/>
        <v>10</v>
      </c>
      <c r="B1217" s="5">
        <f t="shared" si="46"/>
        <v>2017</v>
      </c>
      <c r="C1217" s="7">
        <v>43038</v>
      </c>
      <c r="D1217" s="8">
        <v>4.0999999999999996</v>
      </c>
      <c r="E1217" s="8">
        <v>3.99</v>
      </c>
    </row>
    <row r="1218" spans="1:5" x14ac:dyDescent="0.2">
      <c r="A1218" s="5">
        <f t="shared" si="45"/>
        <v>10</v>
      </c>
      <c r="B1218" s="5">
        <f t="shared" si="46"/>
        <v>2017</v>
      </c>
      <c r="C1218" s="7">
        <v>43039</v>
      </c>
      <c r="D1218" s="8">
        <v>4.1399999999999997</v>
      </c>
      <c r="E1218" s="8">
        <v>4.01</v>
      </c>
    </row>
    <row r="1219" spans="1:5" x14ac:dyDescent="0.2">
      <c r="A1219" s="5">
        <f t="shared" si="45"/>
        <v>11</v>
      </c>
      <c r="B1219" s="5">
        <f t="shared" si="46"/>
        <v>2017</v>
      </c>
      <c r="C1219" s="7">
        <v>43040</v>
      </c>
      <c r="D1219" s="8">
        <v>4.1399999999999997</v>
      </c>
      <c r="E1219" s="8">
        <v>4.01</v>
      </c>
    </row>
    <row r="1220" spans="1:5" x14ac:dyDescent="0.2">
      <c r="A1220" s="5">
        <f t="shared" ref="A1220:A1283" si="47">MONTH(C1220)</f>
        <v>11</v>
      </c>
      <c r="B1220" s="5">
        <f t="shared" ref="B1220:B1283" si="48">YEAR(C1220)</f>
        <v>2017</v>
      </c>
      <c r="C1220" s="7">
        <v>43042</v>
      </c>
      <c r="D1220" s="8">
        <v>4.1399999999999997</v>
      </c>
      <c r="E1220" s="8">
        <v>4.01</v>
      </c>
    </row>
    <row r="1221" spans="1:5" x14ac:dyDescent="0.2">
      <c r="A1221" s="5">
        <f t="shared" si="47"/>
        <v>11</v>
      </c>
      <c r="B1221" s="5">
        <f t="shared" si="48"/>
        <v>2017</v>
      </c>
      <c r="C1221" s="7">
        <v>43045</v>
      </c>
      <c r="D1221" s="8">
        <v>4.1500000000000004</v>
      </c>
      <c r="E1221" s="8">
        <v>4.03</v>
      </c>
    </row>
    <row r="1222" spans="1:5" x14ac:dyDescent="0.2">
      <c r="A1222" s="5">
        <f t="shared" si="47"/>
        <v>11</v>
      </c>
      <c r="B1222" s="5">
        <f t="shared" si="48"/>
        <v>2017</v>
      </c>
      <c r="C1222" s="7">
        <v>43046</v>
      </c>
      <c r="D1222" s="8">
        <v>4.1500000000000004</v>
      </c>
      <c r="E1222" s="8">
        <v>4.01</v>
      </c>
    </row>
    <row r="1223" spans="1:5" x14ac:dyDescent="0.2">
      <c r="A1223" s="5">
        <f t="shared" si="47"/>
        <v>11</v>
      </c>
      <c r="B1223" s="5">
        <f t="shared" si="48"/>
        <v>2017</v>
      </c>
      <c r="C1223" s="7">
        <v>43047</v>
      </c>
      <c r="D1223" s="8">
        <v>4.1500000000000004</v>
      </c>
      <c r="E1223" s="8">
        <v>4.0199999999999996</v>
      </c>
    </row>
    <row r="1224" spans="1:5" x14ac:dyDescent="0.2">
      <c r="A1224" s="5">
        <f t="shared" si="47"/>
        <v>11</v>
      </c>
      <c r="B1224" s="5">
        <f t="shared" si="48"/>
        <v>2017</v>
      </c>
      <c r="C1224" s="7">
        <v>43048</v>
      </c>
      <c r="D1224" s="8">
        <v>4.16</v>
      </c>
      <c r="E1224" s="8">
        <v>4.04</v>
      </c>
    </row>
    <row r="1225" spans="1:5" x14ac:dyDescent="0.2">
      <c r="A1225" s="5">
        <f t="shared" si="47"/>
        <v>11</v>
      </c>
      <c r="B1225" s="5">
        <f t="shared" si="48"/>
        <v>2017</v>
      </c>
      <c r="C1225" s="7">
        <v>43049</v>
      </c>
      <c r="D1225" s="8">
        <v>4.05</v>
      </c>
      <c r="E1225" s="8">
        <v>4.04</v>
      </c>
    </row>
    <row r="1226" spans="1:5" x14ac:dyDescent="0.2">
      <c r="A1226" s="5">
        <f t="shared" si="47"/>
        <v>11</v>
      </c>
      <c r="B1226" s="5">
        <f t="shared" si="48"/>
        <v>2017</v>
      </c>
      <c r="C1226" s="7">
        <v>43052</v>
      </c>
      <c r="D1226" s="8">
        <v>4.05</v>
      </c>
      <c r="E1226" s="8">
        <v>4.04</v>
      </c>
    </row>
    <row r="1227" spans="1:5" x14ac:dyDescent="0.2">
      <c r="A1227" s="5">
        <f t="shared" si="47"/>
        <v>11</v>
      </c>
      <c r="B1227" s="5">
        <f t="shared" si="48"/>
        <v>2017</v>
      </c>
      <c r="C1227" s="7">
        <v>43053</v>
      </c>
      <c r="D1227" s="8">
        <v>4.05</v>
      </c>
      <c r="E1227" s="8">
        <v>4.03</v>
      </c>
    </row>
    <row r="1228" spans="1:5" x14ac:dyDescent="0.2">
      <c r="A1228" s="5">
        <f t="shared" si="47"/>
        <v>11</v>
      </c>
      <c r="B1228" s="5">
        <f t="shared" si="48"/>
        <v>2017</v>
      </c>
      <c r="C1228" s="7">
        <v>43055</v>
      </c>
      <c r="D1228" s="8">
        <v>4.05</v>
      </c>
      <c r="E1228" s="8">
        <v>4.0199999999999996</v>
      </c>
    </row>
    <row r="1229" spans="1:5" x14ac:dyDescent="0.2">
      <c r="A1229" s="5">
        <f t="shared" si="47"/>
        <v>11</v>
      </c>
      <c r="B1229" s="5">
        <f t="shared" si="48"/>
        <v>2017</v>
      </c>
      <c r="C1229" s="7">
        <v>43056</v>
      </c>
      <c r="D1229" s="8">
        <v>4.05</v>
      </c>
      <c r="E1229" s="8">
        <v>4.0199999999999996</v>
      </c>
    </row>
    <row r="1230" spans="1:5" x14ac:dyDescent="0.2">
      <c r="A1230" s="5">
        <f t="shared" si="47"/>
        <v>11</v>
      </c>
      <c r="B1230" s="5">
        <f t="shared" si="48"/>
        <v>2017</v>
      </c>
      <c r="C1230" s="7">
        <v>43059</v>
      </c>
      <c r="D1230" s="8">
        <v>4.0599999999999996</v>
      </c>
      <c r="E1230" s="8">
        <v>4.0199999999999996</v>
      </c>
    </row>
    <row r="1231" spans="1:5" x14ac:dyDescent="0.2">
      <c r="A1231" s="5">
        <f t="shared" si="47"/>
        <v>11</v>
      </c>
      <c r="B1231" s="5">
        <f t="shared" si="48"/>
        <v>2017</v>
      </c>
      <c r="C1231" s="7">
        <v>43060</v>
      </c>
      <c r="D1231" s="8">
        <v>4.05</v>
      </c>
      <c r="E1231" s="8">
        <v>4.0199999999999996</v>
      </c>
    </row>
    <row r="1232" spans="1:5" x14ac:dyDescent="0.2">
      <c r="A1232" s="5">
        <f t="shared" si="47"/>
        <v>11</v>
      </c>
      <c r="B1232" s="5">
        <f t="shared" si="48"/>
        <v>2017</v>
      </c>
      <c r="C1232" s="7">
        <v>43061</v>
      </c>
      <c r="D1232" s="8">
        <v>4.0199999999999996</v>
      </c>
      <c r="E1232" s="8">
        <v>3.99</v>
      </c>
    </row>
    <row r="1233" spans="1:5" x14ac:dyDescent="0.2">
      <c r="A1233" s="5">
        <f t="shared" si="47"/>
        <v>11</v>
      </c>
      <c r="B1233" s="5">
        <f t="shared" si="48"/>
        <v>2017</v>
      </c>
      <c r="C1233" s="7">
        <v>43062</v>
      </c>
      <c r="D1233" s="8">
        <v>4.0199999999999996</v>
      </c>
      <c r="E1233" s="8">
        <v>3.99</v>
      </c>
    </row>
    <row r="1234" spans="1:5" x14ac:dyDescent="0.2">
      <c r="A1234" s="5">
        <f t="shared" si="47"/>
        <v>11</v>
      </c>
      <c r="B1234" s="5">
        <f t="shared" si="48"/>
        <v>2017</v>
      </c>
      <c r="C1234" s="7">
        <v>43063</v>
      </c>
      <c r="D1234" s="8">
        <v>4.0199999999999996</v>
      </c>
      <c r="E1234" s="8">
        <v>3.98</v>
      </c>
    </row>
    <row r="1235" spans="1:5" x14ac:dyDescent="0.2">
      <c r="A1235" s="5">
        <f t="shared" si="47"/>
        <v>11</v>
      </c>
      <c r="B1235" s="5">
        <f t="shared" si="48"/>
        <v>2017</v>
      </c>
      <c r="C1235" s="7">
        <v>43066</v>
      </c>
      <c r="D1235" s="8">
        <v>4.0199999999999996</v>
      </c>
      <c r="E1235" s="8">
        <v>3.98</v>
      </c>
    </row>
    <row r="1236" spans="1:5" x14ac:dyDescent="0.2">
      <c r="A1236" s="5">
        <f t="shared" si="47"/>
        <v>11</v>
      </c>
      <c r="B1236" s="5">
        <f t="shared" si="48"/>
        <v>2017</v>
      </c>
      <c r="C1236" s="7">
        <v>43067</v>
      </c>
      <c r="D1236" s="8">
        <v>3.99</v>
      </c>
      <c r="E1236" s="8">
        <v>3.97</v>
      </c>
    </row>
    <row r="1237" spans="1:5" x14ac:dyDescent="0.2">
      <c r="A1237" s="5">
        <f t="shared" si="47"/>
        <v>11</v>
      </c>
      <c r="B1237" s="5">
        <f t="shared" si="48"/>
        <v>2017</v>
      </c>
      <c r="C1237" s="7">
        <v>43068</v>
      </c>
      <c r="D1237" s="8">
        <v>3.98</v>
      </c>
      <c r="E1237" s="8">
        <v>3.96</v>
      </c>
    </row>
    <row r="1238" spans="1:5" x14ac:dyDescent="0.2">
      <c r="A1238" s="5">
        <f t="shared" si="47"/>
        <v>11</v>
      </c>
      <c r="B1238" s="5">
        <f t="shared" si="48"/>
        <v>2017</v>
      </c>
      <c r="C1238" s="7">
        <v>43069</v>
      </c>
      <c r="D1238" s="8">
        <v>3.98</v>
      </c>
      <c r="E1238" s="8">
        <v>3.96</v>
      </c>
    </row>
    <row r="1239" spans="1:5" x14ac:dyDescent="0.2">
      <c r="A1239" s="5">
        <f t="shared" si="47"/>
        <v>12</v>
      </c>
      <c r="B1239" s="5">
        <f t="shared" si="48"/>
        <v>2017</v>
      </c>
      <c r="C1239" s="7">
        <v>43070</v>
      </c>
      <c r="D1239" s="8">
        <v>3.97</v>
      </c>
      <c r="E1239" s="8">
        <v>3.96</v>
      </c>
    </row>
    <row r="1240" spans="1:5" x14ac:dyDescent="0.2">
      <c r="A1240" s="5">
        <f t="shared" si="47"/>
        <v>12</v>
      </c>
      <c r="B1240" s="5">
        <f t="shared" si="48"/>
        <v>2017</v>
      </c>
      <c r="C1240" s="7">
        <v>43073</v>
      </c>
      <c r="D1240" s="8">
        <v>3.97</v>
      </c>
      <c r="E1240" s="8">
        <v>3.95</v>
      </c>
    </row>
    <row r="1241" spans="1:5" x14ac:dyDescent="0.2">
      <c r="A1241" s="5">
        <f t="shared" si="47"/>
        <v>12</v>
      </c>
      <c r="B1241" s="5">
        <f t="shared" si="48"/>
        <v>2017</v>
      </c>
      <c r="C1241" s="7">
        <v>43074</v>
      </c>
      <c r="D1241" s="8">
        <v>3.97</v>
      </c>
      <c r="E1241" s="8">
        <v>3.95</v>
      </c>
    </row>
    <row r="1242" spans="1:5" x14ac:dyDescent="0.2">
      <c r="A1242" s="5">
        <f t="shared" si="47"/>
        <v>12</v>
      </c>
      <c r="B1242" s="5">
        <f t="shared" si="48"/>
        <v>2017</v>
      </c>
      <c r="C1242" s="7">
        <v>43075</v>
      </c>
      <c r="D1242" s="8">
        <v>3.95</v>
      </c>
      <c r="E1242" s="8">
        <v>3.95</v>
      </c>
    </row>
    <row r="1243" spans="1:5" x14ac:dyDescent="0.2">
      <c r="A1243" s="5">
        <f t="shared" si="47"/>
        <v>12</v>
      </c>
      <c r="B1243" s="5">
        <f t="shared" si="48"/>
        <v>2017</v>
      </c>
      <c r="C1243" s="7">
        <v>43076</v>
      </c>
      <c r="D1243" s="8">
        <v>3.94</v>
      </c>
      <c r="E1243" s="8">
        <v>3.95</v>
      </c>
    </row>
    <row r="1244" spans="1:5" x14ac:dyDescent="0.2">
      <c r="A1244" s="5">
        <f t="shared" si="47"/>
        <v>12</v>
      </c>
      <c r="B1244" s="5">
        <f t="shared" si="48"/>
        <v>2017</v>
      </c>
      <c r="C1244" s="7">
        <v>43077</v>
      </c>
      <c r="D1244" s="8">
        <v>3.91</v>
      </c>
      <c r="E1244" s="8">
        <v>3.91</v>
      </c>
    </row>
    <row r="1245" spans="1:5" x14ac:dyDescent="0.2">
      <c r="A1245" s="5">
        <f t="shared" si="47"/>
        <v>12</v>
      </c>
      <c r="B1245" s="5">
        <f t="shared" si="48"/>
        <v>2017</v>
      </c>
      <c r="C1245" s="7">
        <v>43080</v>
      </c>
      <c r="D1245" s="8">
        <v>3.89</v>
      </c>
      <c r="E1245" s="8">
        <v>3.9</v>
      </c>
    </row>
    <row r="1246" spans="1:5" x14ac:dyDescent="0.2">
      <c r="A1246" s="5">
        <f t="shared" si="47"/>
        <v>12</v>
      </c>
      <c r="B1246" s="5">
        <f t="shared" si="48"/>
        <v>2017</v>
      </c>
      <c r="C1246" s="7">
        <v>43081</v>
      </c>
      <c r="D1246" s="8">
        <v>3.88</v>
      </c>
      <c r="E1246" s="8">
        <v>3.9</v>
      </c>
    </row>
    <row r="1247" spans="1:5" x14ac:dyDescent="0.2">
      <c r="A1247" s="5">
        <f t="shared" si="47"/>
        <v>12</v>
      </c>
      <c r="B1247" s="5">
        <f t="shared" si="48"/>
        <v>2017</v>
      </c>
      <c r="C1247" s="7">
        <v>43082</v>
      </c>
      <c r="D1247" s="8">
        <v>3.88</v>
      </c>
      <c r="E1247" s="8">
        <v>3.9</v>
      </c>
    </row>
    <row r="1248" spans="1:5" x14ac:dyDescent="0.2">
      <c r="A1248" s="5">
        <f t="shared" si="47"/>
        <v>12</v>
      </c>
      <c r="B1248" s="5">
        <f t="shared" si="48"/>
        <v>2017</v>
      </c>
      <c r="C1248" s="7">
        <v>43083</v>
      </c>
      <c r="D1248" s="8">
        <v>3.88</v>
      </c>
      <c r="E1248" s="8">
        <v>3.91</v>
      </c>
    </row>
    <row r="1249" spans="1:5" x14ac:dyDescent="0.2">
      <c r="A1249" s="5">
        <f t="shared" si="47"/>
        <v>12</v>
      </c>
      <c r="B1249" s="5">
        <f t="shared" si="48"/>
        <v>2017</v>
      </c>
      <c r="C1249" s="7">
        <v>43084</v>
      </c>
      <c r="D1249" s="8">
        <v>3.88</v>
      </c>
      <c r="E1249" s="8">
        <v>3.91</v>
      </c>
    </row>
    <row r="1250" spans="1:5" x14ac:dyDescent="0.2">
      <c r="A1250" s="5">
        <f t="shared" si="47"/>
        <v>12</v>
      </c>
      <c r="B1250" s="5">
        <f t="shared" si="48"/>
        <v>2017</v>
      </c>
      <c r="C1250" s="7">
        <v>43087</v>
      </c>
      <c r="D1250" s="8">
        <v>3.87</v>
      </c>
      <c r="E1250" s="8">
        <v>3.9</v>
      </c>
    </row>
    <row r="1251" spans="1:5" x14ac:dyDescent="0.2">
      <c r="A1251" s="5">
        <f t="shared" si="47"/>
        <v>12</v>
      </c>
      <c r="B1251" s="5">
        <f t="shared" si="48"/>
        <v>2017</v>
      </c>
      <c r="C1251" s="7">
        <v>43088</v>
      </c>
      <c r="D1251" s="8">
        <v>3.85</v>
      </c>
      <c r="E1251" s="8">
        <v>3.89</v>
      </c>
    </row>
    <row r="1252" spans="1:5" x14ac:dyDescent="0.2">
      <c r="A1252" s="5">
        <f t="shared" si="47"/>
        <v>12</v>
      </c>
      <c r="B1252" s="5">
        <f t="shared" si="48"/>
        <v>2017</v>
      </c>
      <c r="C1252" s="7">
        <v>43089</v>
      </c>
      <c r="D1252" s="8">
        <v>3.78</v>
      </c>
      <c r="E1252" s="8">
        <v>3.86</v>
      </c>
    </row>
    <row r="1253" spans="1:5" x14ac:dyDescent="0.2">
      <c r="A1253" s="5">
        <f t="shared" si="47"/>
        <v>12</v>
      </c>
      <c r="B1253" s="5">
        <f t="shared" si="48"/>
        <v>2017</v>
      </c>
      <c r="C1253" s="7">
        <v>43090</v>
      </c>
      <c r="D1253" s="8">
        <v>3.78</v>
      </c>
      <c r="E1253" s="8">
        <v>3.86</v>
      </c>
    </row>
    <row r="1254" spans="1:5" x14ac:dyDescent="0.2">
      <c r="A1254" s="5">
        <f t="shared" si="47"/>
        <v>12</v>
      </c>
      <c r="B1254" s="5">
        <f t="shared" si="48"/>
        <v>2017</v>
      </c>
      <c r="C1254" s="7">
        <v>43091</v>
      </c>
      <c r="D1254" s="8">
        <v>3.78</v>
      </c>
      <c r="E1254" s="8">
        <v>3.86</v>
      </c>
    </row>
    <row r="1255" spans="1:5" x14ac:dyDescent="0.2">
      <c r="A1255" s="5">
        <f t="shared" si="47"/>
        <v>12</v>
      </c>
      <c r="B1255" s="5">
        <f t="shared" si="48"/>
        <v>2017</v>
      </c>
      <c r="C1255" s="7">
        <v>43095</v>
      </c>
      <c r="D1255" s="8">
        <v>3.77</v>
      </c>
      <c r="E1255" s="8">
        <v>3.89</v>
      </c>
    </row>
    <row r="1256" spans="1:5" x14ac:dyDescent="0.2">
      <c r="A1256" s="5">
        <f t="shared" si="47"/>
        <v>12</v>
      </c>
      <c r="B1256" s="5">
        <f t="shared" si="48"/>
        <v>2017</v>
      </c>
      <c r="C1256" s="7">
        <v>43096</v>
      </c>
      <c r="D1256" s="8">
        <v>3.77</v>
      </c>
      <c r="E1256" s="8">
        <v>3.9</v>
      </c>
    </row>
    <row r="1257" spans="1:5" x14ac:dyDescent="0.2">
      <c r="A1257" s="5">
        <f t="shared" si="47"/>
        <v>12</v>
      </c>
      <c r="B1257" s="5">
        <f t="shared" si="48"/>
        <v>2017</v>
      </c>
      <c r="C1257" s="7">
        <v>43097</v>
      </c>
      <c r="D1257" s="8">
        <v>3.77</v>
      </c>
      <c r="E1257" s="8">
        <v>3.9</v>
      </c>
    </row>
    <row r="1258" spans="1:5" x14ac:dyDescent="0.2">
      <c r="A1258" s="5">
        <f t="shared" si="47"/>
        <v>12</v>
      </c>
      <c r="B1258" s="5">
        <f t="shared" si="48"/>
        <v>2017</v>
      </c>
      <c r="C1258" s="7">
        <v>43098</v>
      </c>
      <c r="D1258" s="8">
        <v>3.77</v>
      </c>
      <c r="E1258" s="8">
        <v>3.9</v>
      </c>
    </row>
    <row r="1259" spans="1:5" x14ac:dyDescent="0.2">
      <c r="A1259" s="5">
        <f t="shared" si="47"/>
        <v>1</v>
      </c>
      <c r="B1259" s="5">
        <f t="shared" si="48"/>
        <v>2018</v>
      </c>
      <c r="C1259" s="7">
        <v>43102</v>
      </c>
      <c r="D1259" s="8">
        <v>3.78</v>
      </c>
      <c r="E1259" s="8">
        <v>3.94</v>
      </c>
    </row>
    <row r="1260" spans="1:5" x14ac:dyDescent="0.2">
      <c r="A1260" s="5">
        <f t="shared" si="47"/>
        <v>1</v>
      </c>
      <c r="B1260" s="5">
        <f t="shared" si="48"/>
        <v>2018</v>
      </c>
      <c r="C1260" s="7">
        <v>43103</v>
      </c>
      <c r="D1260" s="8">
        <v>3.78</v>
      </c>
      <c r="E1260" s="8">
        <v>3.93</v>
      </c>
    </row>
    <row r="1261" spans="1:5" x14ac:dyDescent="0.2">
      <c r="A1261" s="5">
        <f t="shared" si="47"/>
        <v>1</v>
      </c>
      <c r="B1261" s="5">
        <f t="shared" si="48"/>
        <v>2018</v>
      </c>
      <c r="C1261" s="7">
        <v>43104</v>
      </c>
      <c r="D1261" s="8">
        <v>3.78</v>
      </c>
      <c r="E1261" s="8">
        <v>3.94</v>
      </c>
    </row>
    <row r="1262" spans="1:5" x14ac:dyDescent="0.2">
      <c r="A1262" s="5">
        <f t="shared" si="47"/>
        <v>1</v>
      </c>
      <c r="B1262" s="5">
        <f t="shared" si="48"/>
        <v>2018</v>
      </c>
      <c r="C1262" s="7">
        <v>43105</v>
      </c>
      <c r="D1262" s="8">
        <v>3.77</v>
      </c>
      <c r="E1262" s="8">
        <v>3.93</v>
      </c>
    </row>
    <row r="1263" spans="1:5" x14ac:dyDescent="0.2">
      <c r="A1263" s="5">
        <f t="shared" si="47"/>
        <v>1</v>
      </c>
      <c r="B1263" s="5">
        <f t="shared" si="48"/>
        <v>2018</v>
      </c>
      <c r="C1263" s="7">
        <v>43108</v>
      </c>
      <c r="D1263" s="8">
        <v>3.76</v>
      </c>
      <c r="E1263" s="8">
        <v>3.94</v>
      </c>
    </row>
    <row r="1264" spans="1:5" x14ac:dyDescent="0.2">
      <c r="A1264" s="5">
        <f t="shared" si="47"/>
        <v>1</v>
      </c>
      <c r="B1264" s="5">
        <f t="shared" si="48"/>
        <v>2018</v>
      </c>
      <c r="C1264" s="7">
        <v>43109</v>
      </c>
      <c r="D1264" s="8">
        <v>3.75</v>
      </c>
      <c r="E1264" s="8">
        <v>3.95</v>
      </c>
    </row>
    <row r="1265" spans="1:5" x14ac:dyDescent="0.2">
      <c r="A1265" s="5">
        <f t="shared" si="47"/>
        <v>1</v>
      </c>
      <c r="B1265" s="5">
        <f t="shared" si="48"/>
        <v>2018</v>
      </c>
      <c r="C1265" s="7">
        <v>43110</v>
      </c>
      <c r="D1265" s="8">
        <v>3.94</v>
      </c>
      <c r="E1265" s="8">
        <v>3.97</v>
      </c>
    </row>
    <row r="1266" spans="1:5" x14ac:dyDescent="0.2">
      <c r="A1266" s="5">
        <f t="shared" si="47"/>
        <v>1</v>
      </c>
      <c r="B1266" s="5">
        <f t="shared" si="48"/>
        <v>2018</v>
      </c>
      <c r="C1266" s="7">
        <v>43111</v>
      </c>
      <c r="D1266" s="8">
        <v>3.94</v>
      </c>
      <c r="E1266" s="8">
        <v>3.96</v>
      </c>
    </row>
    <row r="1267" spans="1:5" x14ac:dyDescent="0.2">
      <c r="A1267" s="5">
        <f t="shared" si="47"/>
        <v>1</v>
      </c>
      <c r="B1267" s="5">
        <f t="shared" si="48"/>
        <v>2018</v>
      </c>
      <c r="C1267" s="7">
        <v>43112</v>
      </c>
      <c r="D1267" s="8">
        <v>3.95</v>
      </c>
      <c r="E1267" s="8">
        <v>3.98</v>
      </c>
    </row>
    <row r="1268" spans="1:5" x14ac:dyDescent="0.2">
      <c r="A1268" s="5">
        <f t="shared" si="47"/>
        <v>1</v>
      </c>
      <c r="B1268" s="5">
        <f t="shared" si="48"/>
        <v>2018</v>
      </c>
      <c r="C1268" s="7">
        <v>43115</v>
      </c>
      <c r="D1268" s="8">
        <v>3.95</v>
      </c>
      <c r="E1268" s="8">
        <v>3.98</v>
      </c>
    </row>
    <row r="1269" spans="1:5" x14ac:dyDescent="0.2">
      <c r="A1269" s="5">
        <f t="shared" si="47"/>
        <v>1</v>
      </c>
      <c r="B1269" s="5">
        <f t="shared" si="48"/>
        <v>2018</v>
      </c>
      <c r="C1269" s="7">
        <v>43116</v>
      </c>
      <c r="D1269" s="8">
        <v>3.95</v>
      </c>
      <c r="E1269" s="8">
        <v>3.98</v>
      </c>
    </row>
    <row r="1270" spans="1:5" x14ac:dyDescent="0.2">
      <c r="A1270" s="5">
        <f t="shared" si="47"/>
        <v>1</v>
      </c>
      <c r="B1270" s="5">
        <f t="shared" si="48"/>
        <v>2018</v>
      </c>
      <c r="C1270" s="7">
        <v>43117</v>
      </c>
      <c r="D1270" s="8">
        <v>3.95</v>
      </c>
      <c r="E1270" s="8">
        <v>3.98</v>
      </c>
    </row>
    <row r="1271" spans="1:5" x14ac:dyDescent="0.2">
      <c r="A1271" s="5">
        <f t="shared" si="47"/>
        <v>1</v>
      </c>
      <c r="B1271" s="5">
        <f t="shared" si="48"/>
        <v>2018</v>
      </c>
      <c r="C1271" s="7">
        <v>43118</v>
      </c>
      <c r="D1271" s="8">
        <v>3.95</v>
      </c>
      <c r="E1271" s="8">
        <v>3.99</v>
      </c>
    </row>
    <row r="1272" spans="1:5" x14ac:dyDescent="0.2">
      <c r="A1272" s="5">
        <f t="shared" si="47"/>
        <v>1</v>
      </c>
      <c r="B1272" s="5">
        <f t="shared" si="48"/>
        <v>2018</v>
      </c>
      <c r="C1272" s="7">
        <v>43119</v>
      </c>
      <c r="D1272" s="8">
        <v>3.95</v>
      </c>
      <c r="E1272" s="8">
        <v>4</v>
      </c>
    </row>
    <row r="1273" spans="1:5" x14ac:dyDescent="0.2">
      <c r="A1273" s="5">
        <f t="shared" si="47"/>
        <v>1</v>
      </c>
      <c r="B1273" s="5">
        <f t="shared" si="48"/>
        <v>2018</v>
      </c>
      <c r="C1273" s="7">
        <v>43122</v>
      </c>
      <c r="D1273" s="8">
        <v>3.95</v>
      </c>
      <c r="E1273" s="8">
        <v>4</v>
      </c>
    </row>
    <row r="1274" spans="1:5" x14ac:dyDescent="0.2">
      <c r="A1274" s="5">
        <f t="shared" si="47"/>
        <v>1</v>
      </c>
      <c r="B1274" s="5">
        <f t="shared" si="48"/>
        <v>2018</v>
      </c>
      <c r="C1274" s="7">
        <v>43123</v>
      </c>
      <c r="D1274" s="8">
        <v>3.95</v>
      </c>
      <c r="E1274" s="8">
        <v>4</v>
      </c>
    </row>
    <row r="1275" spans="1:5" x14ac:dyDescent="0.2">
      <c r="A1275" s="5">
        <f t="shared" si="47"/>
        <v>1</v>
      </c>
      <c r="B1275" s="5">
        <f t="shared" si="48"/>
        <v>2018</v>
      </c>
      <c r="C1275" s="7">
        <v>43124</v>
      </c>
      <c r="D1275" s="8">
        <v>3.95</v>
      </c>
      <c r="E1275" s="8">
        <v>4</v>
      </c>
    </row>
    <row r="1276" spans="1:5" x14ac:dyDescent="0.2">
      <c r="A1276" s="5">
        <f t="shared" si="47"/>
        <v>1</v>
      </c>
      <c r="B1276" s="5">
        <f t="shared" si="48"/>
        <v>2018</v>
      </c>
      <c r="C1276" s="7">
        <v>43125</v>
      </c>
      <c r="D1276" s="8">
        <v>3.95</v>
      </c>
      <c r="E1276" s="8">
        <v>4.01</v>
      </c>
    </row>
    <row r="1277" spans="1:5" x14ac:dyDescent="0.2">
      <c r="A1277" s="5">
        <f t="shared" si="47"/>
        <v>1</v>
      </c>
      <c r="B1277" s="5">
        <f t="shared" si="48"/>
        <v>2018</v>
      </c>
      <c r="C1277" s="7">
        <v>43126</v>
      </c>
      <c r="D1277" s="8">
        <v>3.95</v>
      </c>
      <c r="E1277" s="8">
        <v>4.01</v>
      </c>
    </row>
    <row r="1278" spans="1:5" x14ac:dyDescent="0.2">
      <c r="A1278" s="5">
        <f t="shared" si="47"/>
        <v>1</v>
      </c>
      <c r="B1278" s="5">
        <f t="shared" si="48"/>
        <v>2018</v>
      </c>
      <c r="C1278" s="7">
        <v>43129</v>
      </c>
      <c r="D1278" s="8">
        <v>3.95</v>
      </c>
      <c r="E1278" s="8">
        <v>4.03</v>
      </c>
    </row>
    <row r="1279" spans="1:5" x14ac:dyDescent="0.2">
      <c r="A1279" s="5">
        <f t="shared" si="47"/>
        <v>1</v>
      </c>
      <c r="B1279" s="5">
        <f t="shared" si="48"/>
        <v>2018</v>
      </c>
      <c r="C1279" s="7">
        <v>43130</v>
      </c>
      <c r="D1279" s="8">
        <v>3.95</v>
      </c>
      <c r="E1279" s="8">
        <v>4.04</v>
      </c>
    </row>
    <row r="1280" spans="1:5" x14ac:dyDescent="0.2">
      <c r="A1280" s="5">
        <f t="shared" si="47"/>
        <v>1</v>
      </c>
      <c r="B1280" s="5">
        <f t="shared" si="48"/>
        <v>2018</v>
      </c>
      <c r="C1280" s="7">
        <v>43131</v>
      </c>
      <c r="D1280" s="8">
        <v>3.95</v>
      </c>
      <c r="E1280" s="8">
        <v>4.04</v>
      </c>
    </row>
    <row r="1281" spans="1:5" x14ac:dyDescent="0.2">
      <c r="A1281" s="5">
        <f t="shared" si="47"/>
        <v>2</v>
      </c>
      <c r="B1281" s="5">
        <f t="shared" si="48"/>
        <v>2018</v>
      </c>
      <c r="C1281" s="7">
        <v>43132</v>
      </c>
      <c r="D1281" s="8">
        <v>3.95</v>
      </c>
      <c r="E1281" s="8">
        <v>4.04</v>
      </c>
    </row>
    <row r="1282" spans="1:5" x14ac:dyDescent="0.2">
      <c r="A1282" s="5">
        <f t="shared" si="47"/>
        <v>2</v>
      </c>
      <c r="B1282" s="5">
        <f t="shared" si="48"/>
        <v>2018</v>
      </c>
      <c r="C1282" s="7">
        <v>43133</v>
      </c>
      <c r="D1282" s="8">
        <v>3.94</v>
      </c>
      <c r="E1282" s="8">
        <v>4.04</v>
      </c>
    </row>
    <row r="1283" spans="1:5" x14ac:dyDescent="0.2">
      <c r="A1283" s="5">
        <f t="shared" si="47"/>
        <v>2</v>
      </c>
      <c r="B1283" s="5">
        <f t="shared" si="48"/>
        <v>2018</v>
      </c>
      <c r="C1283" s="7">
        <v>43136</v>
      </c>
      <c r="D1283" s="8">
        <v>3.94</v>
      </c>
      <c r="E1283" s="8">
        <v>4.04</v>
      </c>
    </row>
    <row r="1284" spans="1:5" x14ac:dyDescent="0.2">
      <c r="A1284" s="5">
        <f t="shared" ref="A1284:A1347" si="49">MONTH(C1284)</f>
        <v>2</v>
      </c>
      <c r="B1284" s="5">
        <f t="shared" ref="B1284:B1347" si="50">YEAR(C1284)</f>
        <v>2018</v>
      </c>
      <c r="C1284" s="7">
        <v>43137</v>
      </c>
      <c r="D1284" s="8">
        <v>3.94</v>
      </c>
      <c r="E1284" s="8">
        <v>4.04</v>
      </c>
    </row>
    <row r="1285" spans="1:5" x14ac:dyDescent="0.2">
      <c r="A1285" s="5">
        <f t="shared" si="49"/>
        <v>2</v>
      </c>
      <c r="B1285" s="5">
        <f t="shared" si="50"/>
        <v>2018</v>
      </c>
      <c r="C1285" s="7">
        <v>43138</v>
      </c>
      <c r="D1285" s="8">
        <v>3.94</v>
      </c>
      <c r="E1285" s="8">
        <v>4.04</v>
      </c>
    </row>
    <row r="1286" spans="1:5" x14ac:dyDescent="0.2">
      <c r="A1286" s="5">
        <f t="shared" si="49"/>
        <v>2</v>
      </c>
      <c r="B1286" s="5">
        <f t="shared" si="50"/>
        <v>2018</v>
      </c>
      <c r="C1286" s="7">
        <v>43139</v>
      </c>
      <c r="D1286" s="8">
        <v>4.03</v>
      </c>
      <c r="E1286" s="8">
        <v>4.03</v>
      </c>
    </row>
    <row r="1287" spans="1:5" x14ac:dyDescent="0.2">
      <c r="A1287" s="5">
        <f t="shared" si="49"/>
        <v>2</v>
      </c>
      <c r="B1287" s="5">
        <f t="shared" si="50"/>
        <v>2018</v>
      </c>
      <c r="C1287" s="7">
        <v>43140</v>
      </c>
      <c r="D1287" s="8">
        <v>4.03</v>
      </c>
      <c r="E1287" s="8">
        <v>4.03</v>
      </c>
    </row>
    <row r="1288" spans="1:5" x14ac:dyDescent="0.2">
      <c r="A1288" s="5">
        <f t="shared" si="49"/>
        <v>2</v>
      </c>
      <c r="B1288" s="5">
        <f t="shared" si="50"/>
        <v>2018</v>
      </c>
      <c r="C1288" s="7">
        <v>43145</v>
      </c>
      <c r="D1288" s="8">
        <v>4.03</v>
      </c>
      <c r="E1288" s="8">
        <v>4.04</v>
      </c>
    </row>
    <row r="1289" spans="1:5" x14ac:dyDescent="0.2">
      <c r="A1289" s="5">
        <f t="shared" si="49"/>
        <v>2</v>
      </c>
      <c r="B1289" s="5">
        <f t="shared" si="50"/>
        <v>2018</v>
      </c>
      <c r="C1289" s="7">
        <v>43146</v>
      </c>
      <c r="D1289" s="8">
        <v>4.03</v>
      </c>
      <c r="E1289" s="8">
        <v>4.04</v>
      </c>
    </row>
    <row r="1290" spans="1:5" x14ac:dyDescent="0.2">
      <c r="A1290" s="5">
        <f t="shared" si="49"/>
        <v>2</v>
      </c>
      <c r="B1290" s="5">
        <f t="shared" si="50"/>
        <v>2018</v>
      </c>
      <c r="C1290" s="7">
        <v>43147</v>
      </c>
      <c r="D1290" s="8">
        <v>4.03</v>
      </c>
      <c r="E1290" s="8">
        <v>4.04</v>
      </c>
    </row>
    <row r="1291" spans="1:5" x14ac:dyDescent="0.2">
      <c r="A1291" s="5">
        <f t="shared" si="49"/>
        <v>2</v>
      </c>
      <c r="B1291" s="5">
        <f t="shared" si="50"/>
        <v>2018</v>
      </c>
      <c r="C1291" s="7">
        <v>43150</v>
      </c>
      <c r="D1291" s="8">
        <v>4.01</v>
      </c>
      <c r="E1291" s="8">
        <v>4.04</v>
      </c>
    </row>
    <row r="1292" spans="1:5" x14ac:dyDescent="0.2">
      <c r="A1292" s="5">
        <f t="shared" si="49"/>
        <v>2</v>
      </c>
      <c r="B1292" s="5">
        <f t="shared" si="50"/>
        <v>2018</v>
      </c>
      <c r="C1292" s="7">
        <v>43151</v>
      </c>
      <c r="D1292" s="8">
        <v>4.01</v>
      </c>
      <c r="E1292" s="8">
        <v>4.04</v>
      </c>
    </row>
    <row r="1293" spans="1:5" x14ac:dyDescent="0.2">
      <c r="A1293" s="5">
        <f t="shared" si="49"/>
        <v>2</v>
      </c>
      <c r="B1293" s="5">
        <f t="shared" si="50"/>
        <v>2018</v>
      </c>
      <c r="C1293" s="7">
        <v>43152</v>
      </c>
      <c r="D1293" s="8">
        <v>4</v>
      </c>
      <c r="E1293" s="8">
        <v>4.04</v>
      </c>
    </row>
    <row r="1294" spans="1:5" x14ac:dyDescent="0.2">
      <c r="A1294" s="5">
        <f t="shared" si="49"/>
        <v>2</v>
      </c>
      <c r="B1294" s="5">
        <f t="shared" si="50"/>
        <v>2018</v>
      </c>
      <c r="C1294" s="7">
        <v>43153</v>
      </c>
      <c r="D1294" s="8">
        <v>3.94</v>
      </c>
      <c r="E1294" s="8">
        <v>4.01</v>
      </c>
    </row>
    <row r="1295" spans="1:5" x14ac:dyDescent="0.2">
      <c r="A1295" s="5">
        <f t="shared" si="49"/>
        <v>2</v>
      </c>
      <c r="B1295" s="5">
        <f t="shared" si="50"/>
        <v>2018</v>
      </c>
      <c r="C1295" s="7">
        <v>43154</v>
      </c>
      <c r="D1295" s="8">
        <v>3.94</v>
      </c>
      <c r="E1295" s="8">
        <v>4.01</v>
      </c>
    </row>
    <row r="1296" spans="1:5" x14ac:dyDescent="0.2">
      <c r="A1296" s="5">
        <f t="shared" si="49"/>
        <v>2</v>
      </c>
      <c r="B1296" s="5">
        <f t="shared" si="50"/>
        <v>2018</v>
      </c>
      <c r="C1296" s="7">
        <v>43157</v>
      </c>
      <c r="D1296" s="8">
        <v>3.94</v>
      </c>
      <c r="E1296" s="8">
        <v>4.0199999999999996</v>
      </c>
    </row>
    <row r="1297" spans="1:5" x14ac:dyDescent="0.2">
      <c r="A1297" s="5">
        <f t="shared" si="49"/>
        <v>2</v>
      </c>
      <c r="B1297" s="5">
        <f t="shared" si="50"/>
        <v>2018</v>
      </c>
      <c r="C1297" s="7">
        <v>43158</v>
      </c>
      <c r="D1297" s="8">
        <v>3.94</v>
      </c>
      <c r="E1297" s="8">
        <v>4.0199999999999996</v>
      </c>
    </row>
    <row r="1298" spans="1:5" x14ac:dyDescent="0.2">
      <c r="A1298" s="5">
        <f t="shared" si="49"/>
        <v>2</v>
      </c>
      <c r="B1298" s="5">
        <f t="shared" si="50"/>
        <v>2018</v>
      </c>
      <c r="C1298" s="7">
        <v>43159</v>
      </c>
      <c r="D1298" s="8">
        <v>3.93</v>
      </c>
      <c r="E1298" s="8">
        <v>4.0199999999999996</v>
      </c>
    </row>
    <row r="1299" spans="1:5" x14ac:dyDescent="0.2">
      <c r="A1299" s="5">
        <f t="shared" si="49"/>
        <v>3</v>
      </c>
      <c r="B1299" s="5">
        <f t="shared" si="50"/>
        <v>2018</v>
      </c>
      <c r="C1299" s="7">
        <v>43160</v>
      </c>
      <c r="D1299" s="8">
        <v>3.92</v>
      </c>
      <c r="E1299" s="8">
        <v>4.0199999999999996</v>
      </c>
    </row>
    <row r="1300" spans="1:5" x14ac:dyDescent="0.2">
      <c r="A1300" s="5">
        <f t="shared" si="49"/>
        <v>3</v>
      </c>
      <c r="B1300" s="5">
        <f t="shared" si="50"/>
        <v>2018</v>
      </c>
      <c r="C1300" s="7">
        <v>43161</v>
      </c>
      <c r="D1300" s="8">
        <v>3.91</v>
      </c>
      <c r="E1300" s="8">
        <v>4.0199999999999996</v>
      </c>
    </row>
    <row r="1301" spans="1:5" x14ac:dyDescent="0.2">
      <c r="A1301" s="5">
        <f t="shared" si="49"/>
        <v>3</v>
      </c>
      <c r="B1301" s="5">
        <f t="shared" si="50"/>
        <v>2018</v>
      </c>
      <c r="C1301" s="7">
        <v>43164</v>
      </c>
      <c r="D1301" s="8">
        <v>3.88</v>
      </c>
      <c r="E1301" s="8">
        <v>4.03</v>
      </c>
    </row>
    <row r="1302" spans="1:5" x14ac:dyDescent="0.2">
      <c r="A1302" s="5">
        <f t="shared" si="49"/>
        <v>3</v>
      </c>
      <c r="B1302" s="5">
        <f t="shared" si="50"/>
        <v>2018</v>
      </c>
      <c r="C1302" s="7">
        <v>43165</v>
      </c>
      <c r="D1302" s="8">
        <v>3.88</v>
      </c>
      <c r="E1302" s="8">
        <v>4.03</v>
      </c>
    </row>
    <row r="1303" spans="1:5" x14ac:dyDescent="0.2">
      <c r="A1303" s="5">
        <f t="shared" si="49"/>
        <v>3</v>
      </c>
      <c r="B1303" s="5">
        <f t="shared" si="50"/>
        <v>2018</v>
      </c>
      <c r="C1303" s="7">
        <v>43166</v>
      </c>
      <c r="D1303" s="8">
        <v>3.88</v>
      </c>
      <c r="E1303" s="8">
        <v>4.03</v>
      </c>
    </row>
    <row r="1304" spans="1:5" x14ac:dyDescent="0.2">
      <c r="A1304" s="5">
        <f t="shared" si="49"/>
        <v>3</v>
      </c>
      <c r="B1304" s="5">
        <f t="shared" si="50"/>
        <v>2018</v>
      </c>
      <c r="C1304" s="7">
        <v>43167</v>
      </c>
      <c r="D1304" s="8">
        <v>3.87</v>
      </c>
      <c r="E1304" s="8">
        <v>3.97</v>
      </c>
    </row>
    <row r="1305" spans="1:5" x14ac:dyDescent="0.2">
      <c r="A1305" s="5">
        <f t="shared" si="49"/>
        <v>3</v>
      </c>
      <c r="B1305" s="5">
        <f t="shared" si="50"/>
        <v>2018</v>
      </c>
      <c r="C1305" s="7">
        <v>43168</v>
      </c>
      <c r="D1305" s="8">
        <v>3.97</v>
      </c>
      <c r="E1305" s="8">
        <v>3.98</v>
      </c>
    </row>
    <row r="1306" spans="1:5" x14ac:dyDescent="0.2">
      <c r="A1306" s="5">
        <f t="shared" si="49"/>
        <v>3</v>
      </c>
      <c r="B1306" s="5">
        <f t="shared" si="50"/>
        <v>2018</v>
      </c>
      <c r="C1306" s="7">
        <v>43171</v>
      </c>
      <c r="D1306" s="8">
        <v>3.97</v>
      </c>
      <c r="E1306" s="8">
        <v>3.99</v>
      </c>
    </row>
    <row r="1307" spans="1:5" x14ac:dyDescent="0.2">
      <c r="A1307" s="5">
        <f t="shared" si="49"/>
        <v>3</v>
      </c>
      <c r="B1307" s="5">
        <f t="shared" si="50"/>
        <v>2018</v>
      </c>
      <c r="C1307" s="7">
        <v>43172</v>
      </c>
      <c r="D1307" s="8">
        <v>3.97</v>
      </c>
      <c r="E1307" s="8">
        <v>3.98</v>
      </c>
    </row>
    <row r="1308" spans="1:5" x14ac:dyDescent="0.2">
      <c r="A1308" s="5">
        <f t="shared" si="49"/>
        <v>3</v>
      </c>
      <c r="B1308" s="5">
        <f t="shared" si="50"/>
        <v>2018</v>
      </c>
      <c r="C1308" s="7">
        <v>43173</v>
      </c>
      <c r="D1308" s="8">
        <v>3.97</v>
      </c>
      <c r="E1308" s="8">
        <v>3.99</v>
      </c>
    </row>
    <row r="1309" spans="1:5" x14ac:dyDescent="0.2">
      <c r="A1309" s="5">
        <f t="shared" si="49"/>
        <v>3</v>
      </c>
      <c r="B1309" s="5">
        <f t="shared" si="50"/>
        <v>2018</v>
      </c>
      <c r="C1309" s="7">
        <v>43174</v>
      </c>
      <c r="D1309" s="8">
        <v>3.94</v>
      </c>
      <c r="E1309" s="8">
        <v>3.97</v>
      </c>
    </row>
    <row r="1310" spans="1:5" x14ac:dyDescent="0.2">
      <c r="A1310" s="5">
        <f t="shared" si="49"/>
        <v>3</v>
      </c>
      <c r="B1310" s="5">
        <f t="shared" si="50"/>
        <v>2018</v>
      </c>
      <c r="C1310" s="7">
        <v>43175</v>
      </c>
      <c r="D1310" s="8">
        <v>3.93</v>
      </c>
      <c r="E1310" s="8">
        <v>3.97</v>
      </c>
    </row>
    <row r="1311" spans="1:5" x14ac:dyDescent="0.2">
      <c r="A1311" s="5">
        <f t="shared" si="49"/>
        <v>3</v>
      </c>
      <c r="B1311" s="5">
        <f t="shared" si="50"/>
        <v>2018</v>
      </c>
      <c r="C1311" s="7">
        <v>43178</v>
      </c>
      <c r="D1311" s="8">
        <v>3.93</v>
      </c>
      <c r="E1311" s="8">
        <v>3.99</v>
      </c>
    </row>
    <row r="1312" spans="1:5" x14ac:dyDescent="0.2">
      <c r="A1312" s="5">
        <f t="shared" si="49"/>
        <v>3</v>
      </c>
      <c r="B1312" s="5">
        <f t="shared" si="50"/>
        <v>2018</v>
      </c>
      <c r="C1312" s="7">
        <v>43179</v>
      </c>
      <c r="D1312" s="8">
        <v>3.93</v>
      </c>
      <c r="E1312" s="8">
        <v>3.99</v>
      </c>
    </row>
    <row r="1313" spans="1:5" x14ac:dyDescent="0.2">
      <c r="A1313" s="5">
        <f t="shared" si="49"/>
        <v>3</v>
      </c>
      <c r="B1313" s="5">
        <f t="shared" si="50"/>
        <v>2018</v>
      </c>
      <c r="C1313" s="7">
        <v>43180</v>
      </c>
      <c r="D1313" s="8">
        <v>3.93</v>
      </c>
      <c r="E1313" s="8">
        <v>4</v>
      </c>
    </row>
    <row r="1314" spans="1:5" x14ac:dyDescent="0.2">
      <c r="A1314" s="5">
        <f t="shared" si="49"/>
        <v>3</v>
      </c>
      <c r="B1314" s="5">
        <f t="shared" si="50"/>
        <v>2018</v>
      </c>
      <c r="C1314" s="7">
        <v>43181</v>
      </c>
      <c r="D1314" s="8">
        <v>3.91</v>
      </c>
      <c r="E1314" s="8">
        <v>3.94</v>
      </c>
    </row>
    <row r="1315" spans="1:5" x14ac:dyDescent="0.2">
      <c r="A1315" s="5">
        <f t="shared" si="49"/>
        <v>3</v>
      </c>
      <c r="B1315" s="5">
        <f t="shared" si="50"/>
        <v>2018</v>
      </c>
      <c r="C1315" s="7">
        <v>43182</v>
      </c>
      <c r="D1315" s="8">
        <v>3.9</v>
      </c>
      <c r="E1315" s="8">
        <v>3.94</v>
      </c>
    </row>
    <row r="1316" spans="1:5" x14ac:dyDescent="0.2">
      <c r="A1316" s="5">
        <f t="shared" si="49"/>
        <v>3</v>
      </c>
      <c r="B1316" s="5">
        <f t="shared" si="50"/>
        <v>2018</v>
      </c>
      <c r="C1316" s="7">
        <v>43185</v>
      </c>
      <c r="D1316" s="8">
        <v>3.9</v>
      </c>
      <c r="E1316" s="8">
        <v>3.95</v>
      </c>
    </row>
    <row r="1317" spans="1:5" x14ac:dyDescent="0.2">
      <c r="A1317" s="5">
        <f t="shared" si="49"/>
        <v>3</v>
      </c>
      <c r="B1317" s="5">
        <f t="shared" si="50"/>
        <v>2018</v>
      </c>
      <c r="C1317" s="7">
        <v>43186</v>
      </c>
      <c r="D1317" s="8">
        <v>3.88</v>
      </c>
      <c r="E1317" s="8">
        <v>3.96</v>
      </c>
    </row>
    <row r="1318" spans="1:5" x14ac:dyDescent="0.2">
      <c r="A1318" s="5">
        <f t="shared" si="49"/>
        <v>3</v>
      </c>
      <c r="B1318" s="5">
        <f t="shared" si="50"/>
        <v>2018</v>
      </c>
      <c r="C1318" s="7">
        <v>43187</v>
      </c>
      <c r="D1318" s="8">
        <v>3.86</v>
      </c>
      <c r="E1318" s="8">
        <v>3.97</v>
      </c>
    </row>
    <row r="1319" spans="1:5" x14ac:dyDescent="0.2">
      <c r="A1319" s="5">
        <f t="shared" si="49"/>
        <v>3</v>
      </c>
      <c r="B1319" s="5">
        <f t="shared" si="50"/>
        <v>2018</v>
      </c>
      <c r="C1319" s="7">
        <v>43188</v>
      </c>
      <c r="D1319" s="8">
        <v>3.84</v>
      </c>
      <c r="E1319" s="8">
        <v>3.95</v>
      </c>
    </row>
    <row r="1320" spans="1:5" x14ac:dyDescent="0.2">
      <c r="A1320" s="5">
        <f t="shared" si="49"/>
        <v>4</v>
      </c>
      <c r="B1320" s="5">
        <f t="shared" si="50"/>
        <v>2018</v>
      </c>
      <c r="C1320" s="7">
        <v>43192</v>
      </c>
      <c r="D1320" s="8">
        <v>3.83</v>
      </c>
      <c r="E1320" s="8">
        <v>3.97</v>
      </c>
    </row>
    <row r="1321" spans="1:5" x14ac:dyDescent="0.2">
      <c r="A1321" s="5">
        <f t="shared" si="49"/>
        <v>4</v>
      </c>
      <c r="B1321" s="5">
        <f t="shared" si="50"/>
        <v>2018</v>
      </c>
      <c r="C1321" s="7">
        <v>43193</v>
      </c>
      <c r="D1321" s="8">
        <v>3.83</v>
      </c>
      <c r="E1321" s="8">
        <v>3.98</v>
      </c>
    </row>
    <row r="1322" spans="1:5" x14ac:dyDescent="0.2">
      <c r="A1322" s="5">
        <f t="shared" si="49"/>
        <v>4</v>
      </c>
      <c r="B1322" s="5">
        <f t="shared" si="50"/>
        <v>2018</v>
      </c>
      <c r="C1322" s="7">
        <v>43194</v>
      </c>
      <c r="D1322" s="8">
        <v>3.83</v>
      </c>
      <c r="E1322" s="8">
        <v>3.99</v>
      </c>
    </row>
    <row r="1323" spans="1:5" x14ac:dyDescent="0.2">
      <c r="A1323" s="5">
        <f t="shared" si="49"/>
        <v>4</v>
      </c>
      <c r="B1323" s="5">
        <f t="shared" si="50"/>
        <v>2018</v>
      </c>
      <c r="C1323" s="7">
        <v>43195</v>
      </c>
      <c r="D1323" s="8">
        <v>3.82</v>
      </c>
      <c r="E1323" s="8">
        <v>4</v>
      </c>
    </row>
    <row r="1324" spans="1:5" x14ac:dyDescent="0.2">
      <c r="A1324" s="5">
        <f t="shared" si="49"/>
        <v>4</v>
      </c>
      <c r="B1324" s="5">
        <f t="shared" si="50"/>
        <v>2018</v>
      </c>
      <c r="C1324" s="7">
        <v>43196</v>
      </c>
      <c r="D1324" s="8">
        <v>3.82</v>
      </c>
      <c r="E1324" s="8">
        <v>4</v>
      </c>
    </row>
    <row r="1325" spans="1:5" x14ac:dyDescent="0.2">
      <c r="A1325" s="5">
        <f t="shared" si="49"/>
        <v>4</v>
      </c>
      <c r="B1325" s="5">
        <f t="shared" si="50"/>
        <v>2018</v>
      </c>
      <c r="C1325" s="7">
        <v>43199</v>
      </c>
      <c r="D1325" s="8">
        <v>3.82</v>
      </c>
      <c r="E1325" s="8">
        <v>4.0199999999999996</v>
      </c>
    </row>
    <row r="1326" spans="1:5" x14ac:dyDescent="0.2">
      <c r="A1326" s="5">
        <f t="shared" si="49"/>
        <v>4</v>
      </c>
      <c r="B1326" s="5">
        <f t="shared" si="50"/>
        <v>2018</v>
      </c>
      <c r="C1326" s="7">
        <v>43200</v>
      </c>
      <c r="D1326" s="8">
        <v>4.03</v>
      </c>
      <c r="E1326" s="8">
        <v>4.0199999999999996</v>
      </c>
    </row>
    <row r="1327" spans="1:5" x14ac:dyDescent="0.2">
      <c r="A1327" s="5">
        <f t="shared" si="49"/>
        <v>4</v>
      </c>
      <c r="B1327" s="5">
        <f t="shared" si="50"/>
        <v>2018</v>
      </c>
      <c r="C1327" s="7">
        <v>43201</v>
      </c>
      <c r="D1327" s="8">
        <v>4.03</v>
      </c>
      <c r="E1327" s="8">
        <v>4.0199999999999996</v>
      </c>
    </row>
    <row r="1328" spans="1:5" x14ac:dyDescent="0.2">
      <c r="A1328" s="5">
        <f t="shared" si="49"/>
        <v>4</v>
      </c>
      <c r="B1328" s="5">
        <f t="shared" si="50"/>
        <v>2018</v>
      </c>
      <c r="C1328" s="7">
        <v>43202</v>
      </c>
      <c r="D1328" s="8">
        <v>4.03</v>
      </c>
      <c r="E1328" s="8">
        <v>4.0199999999999996</v>
      </c>
    </row>
    <row r="1329" spans="1:5" x14ac:dyDescent="0.2">
      <c r="A1329" s="5">
        <f t="shared" si="49"/>
        <v>4</v>
      </c>
      <c r="B1329" s="5">
        <f t="shared" si="50"/>
        <v>2018</v>
      </c>
      <c r="C1329" s="7">
        <v>43203</v>
      </c>
      <c r="D1329" s="8">
        <v>4.03</v>
      </c>
      <c r="E1329" s="8">
        <v>4.0199999999999996</v>
      </c>
    </row>
    <row r="1330" spans="1:5" x14ac:dyDescent="0.2">
      <c r="A1330" s="5">
        <f t="shared" si="49"/>
        <v>4</v>
      </c>
      <c r="B1330" s="5">
        <f t="shared" si="50"/>
        <v>2018</v>
      </c>
      <c r="C1330" s="7">
        <v>43206</v>
      </c>
      <c r="D1330" s="8">
        <v>4.03</v>
      </c>
      <c r="E1330" s="8">
        <v>4.03</v>
      </c>
    </row>
    <row r="1331" spans="1:5" x14ac:dyDescent="0.2">
      <c r="A1331" s="5">
        <f t="shared" si="49"/>
        <v>4</v>
      </c>
      <c r="B1331" s="5">
        <f t="shared" si="50"/>
        <v>2018</v>
      </c>
      <c r="C1331" s="7">
        <v>43207</v>
      </c>
      <c r="D1331" s="8">
        <v>4.03</v>
      </c>
      <c r="E1331" s="8">
        <v>4.03</v>
      </c>
    </row>
    <row r="1332" spans="1:5" x14ac:dyDescent="0.2">
      <c r="A1332" s="5">
        <f t="shared" si="49"/>
        <v>4</v>
      </c>
      <c r="B1332" s="5">
        <f t="shared" si="50"/>
        <v>2018</v>
      </c>
      <c r="C1332" s="7">
        <v>43208</v>
      </c>
      <c r="D1332" s="8">
        <v>4.04</v>
      </c>
      <c r="E1332" s="8">
        <v>4.05</v>
      </c>
    </row>
    <row r="1333" spans="1:5" x14ac:dyDescent="0.2">
      <c r="A1333" s="5">
        <f t="shared" si="49"/>
        <v>4</v>
      </c>
      <c r="B1333" s="5">
        <f t="shared" si="50"/>
        <v>2018</v>
      </c>
      <c r="C1333" s="7">
        <v>43209</v>
      </c>
      <c r="D1333" s="8">
        <v>4.04</v>
      </c>
      <c r="E1333" s="8">
        <v>4.0599999999999996</v>
      </c>
    </row>
    <row r="1334" spans="1:5" x14ac:dyDescent="0.2">
      <c r="A1334" s="5">
        <f t="shared" si="49"/>
        <v>4</v>
      </c>
      <c r="B1334" s="5">
        <f t="shared" si="50"/>
        <v>2018</v>
      </c>
      <c r="C1334" s="7">
        <v>43210</v>
      </c>
      <c r="D1334" s="8">
        <v>4.04</v>
      </c>
      <c r="E1334" s="8">
        <v>4.0599999999999996</v>
      </c>
    </row>
    <row r="1335" spans="1:5" x14ac:dyDescent="0.2">
      <c r="A1335" s="5">
        <f t="shared" si="49"/>
        <v>4</v>
      </c>
      <c r="B1335" s="5">
        <f t="shared" si="50"/>
        <v>2018</v>
      </c>
      <c r="C1335" s="7">
        <v>43213</v>
      </c>
      <c r="D1335" s="8">
        <v>4.04</v>
      </c>
      <c r="E1335" s="8">
        <v>4.07</v>
      </c>
    </row>
    <row r="1336" spans="1:5" x14ac:dyDescent="0.2">
      <c r="A1336" s="5">
        <f t="shared" si="49"/>
        <v>4</v>
      </c>
      <c r="B1336" s="5">
        <f t="shared" si="50"/>
        <v>2018</v>
      </c>
      <c r="C1336" s="7">
        <v>43214</v>
      </c>
      <c r="D1336" s="8">
        <v>4.04</v>
      </c>
      <c r="E1336" s="8">
        <v>4.07</v>
      </c>
    </row>
    <row r="1337" spans="1:5" x14ac:dyDescent="0.2">
      <c r="A1337" s="5">
        <f t="shared" si="49"/>
        <v>4</v>
      </c>
      <c r="B1337" s="5">
        <f t="shared" si="50"/>
        <v>2018</v>
      </c>
      <c r="C1337" s="7">
        <v>43215</v>
      </c>
      <c r="D1337" s="8">
        <v>4.04</v>
      </c>
      <c r="E1337" s="8">
        <v>4.07</v>
      </c>
    </row>
    <row r="1338" spans="1:5" x14ac:dyDescent="0.2">
      <c r="A1338" s="5">
        <f t="shared" si="49"/>
        <v>4</v>
      </c>
      <c r="B1338" s="5">
        <f t="shared" si="50"/>
        <v>2018</v>
      </c>
      <c r="C1338" s="7">
        <v>43216</v>
      </c>
      <c r="D1338" s="8">
        <v>4.04</v>
      </c>
      <c r="E1338" s="8">
        <v>4.08</v>
      </c>
    </row>
    <row r="1339" spans="1:5" x14ac:dyDescent="0.2">
      <c r="A1339" s="5">
        <f t="shared" si="49"/>
        <v>4</v>
      </c>
      <c r="B1339" s="5">
        <f t="shared" si="50"/>
        <v>2018</v>
      </c>
      <c r="C1339" s="7">
        <v>43217</v>
      </c>
      <c r="D1339" s="8">
        <v>4.0599999999999996</v>
      </c>
      <c r="E1339" s="8">
        <v>4.08</v>
      </c>
    </row>
    <row r="1340" spans="1:5" x14ac:dyDescent="0.2">
      <c r="A1340" s="5">
        <f t="shared" si="49"/>
        <v>4</v>
      </c>
      <c r="B1340" s="5">
        <f t="shared" si="50"/>
        <v>2018</v>
      </c>
      <c r="C1340" s="7">
        <v>43220</v>
      </c>
      <c r="D1340" s="8">
        <v>4.07</v>
      </c>
      <c r="E1340" s="8">
        <v>4.1100000000000003</v>
      </c>
    </row>
    <row r="1341" spans="1:5" x14ac:dyDescent="0.2">
      <c r="A1341" s="5">
        <f t="shared" si="49"/>
        <v>5</v>
      </c>
      <c r="B1341" s="5">
        <f t="shared" si="50"/>
        <v>2018</v>
      </c>
      <c r="C1341" s="7">
        <v>43222</v>
      </c>
      <c r="D1341" s="8">
        <v>4.0599999999999996</v>
      </c>
      <c r="E1341" s="8">
        <v>4.12</v>
      </c>
    </row>
    <row r="1342" spans="1:5" x14ac:dyDescent="0.2">
      <c r="A1342" s="5">
        <f t="shared" si="49"/>
        <v>5</v>
      </c>
      <c r="B1342" s="5">
        <f t="shared" si="50"/>
        <v>2018</v>
      </c>
      <c r="C1342" s="7">
        <v>43223</v>
      </c>
      <c r="D1342" s="8">
        <v>4.07</v>
      </c>
      <c r="E1342" s="8">
        <v>4.1100000000000003</v>
      </c>
    </row>
    <row r="1343" spans="1:5" x14ac:dyDescent="0.2">
      <c r="A1343" s="5">
        <f t="shared" si="49"/>
        <v>5</v>
      </c>
      <c r="B1343" s="5">
        <f t="shared" si="50"/>
        <v>2018</v>
      </c>
      <c r="C1343" s="7">
        <v>43224</v>
      </c>
      <c r="D1343" s="8">
        <v>4.0599999999999996</v>
      </c>
      <c r="E1343" s="8">
        <v>4.12</v>
      </c>
    </row>
    <row r="1344" spans="1:5" x14ac:dyDescent="0.2">
      <c r="A1344" s="5">
        <f t="shared" si="49"/>
        <v>5</v>
      </c>
      <c r="B1344" s="5">
        <f t="shared" si="50"/>
        <v>2018</v>
      </c>
      <c r="C1344" s="7">
        <v>43227</v>
      </c>
      <c r="D1344" s="8">
        <v>4.0599999999999996</v>
      </c>
      <c r="E1344" s="8">
        <v>4.13</v>
      </c>
    </row>
    <row r="1345" spans="1:5" x14ac:dyDescent="0.2">
      <c r="A1345" s="5">
        <f t="shared" si="49"/>
        <v>5</v>
      </c>
      <c r="B1345" s="5">
        <f t="shared" si="50"/>
        <v>2018</v>
      </c>
      <c r="C1345" s="7">
        <v>43228</v>
      </c>
      <c r="D1345" s="8">
        <v>4.07</v>
      </c>
      <c r="E1345" s="8">
        <v>4.1399999999999997</v>
      </c>
    </row>
    <row r="1346" spans="1:5" x14ac:dyDescent="0.2">
      <c r="A1346" s="5">
        <f t="shared" si="49"/>
        <v>5</v>
      </c>
      <c r="B1346" s="5">
        <f t="shared" si="50"/>
        <v>2018</v>
      </c>
      <c r="C1346" s="7">
        <v>43229</v>
      </c>
      <c r="D1346" s="8">
        <v>4.07</v>
      </c>
      <c r="E1346" s="8">
        <v>4.18</v>
      </c>
    </row>
    <row r="1347" spans="1:5" x14ac:dyDescent="0.2">
      <c r="A1347" s="5">
        <f t="shared" si="49"/>
        <v>5</v>
      </c>
      <c r="B1347" s="5">
        <f t="shared" si="50"/>
        <v>2018</v>
      </c>
      <c r="C1347" s="7">
        <v>43230</v>
      </c>
      <c r="D1347" s="8">
        <v>4.2</v>
      </c>
      <c r="E1347" s="8">
        <v>4.2</v>
      </c>
    </row>
    <row r="1348" spans="1:5" x14ac:dyDescent="0.2">
      <c r="A1348" s="5">
        <f t="shared" ref="A1348:A1411" si="51">MONTH(C1348)</f>
        <v>5</v>
      </c>
      <c r="B1348" s="5">
        <f t="shared" ref="B1348:B1411" si="52">YEAR(C1348)</f>
        <v>2018</v>
      </c>
      <c r="C1348" s="7">
        <v>43231</v>
      </c>
      <c r="D1348" s="8">
        <v>4.21</v>
      </c>
      <c r="E1348" s="8">
        <v>4.21</v>
      </c>
    </row>
    <row r="1349" spans="1:5" x14ac:dyDescent="0.2">
      <c r="A1349" s="5">
        <f t="shared" si="51"/>
        <v>5</v>
      </c>
      <c r="B1349" s="5">
        <f t="shared" si="52"/>
        <v>2018</v>
      </c>
      <c r="C1349" s="7">
        <v>43234</v>
      </c>
      <c r="D1349" s="8">
        <v>4.21</v>
      </c>
      <c r="E1349" s="8">
        <v>4.21</v>
      </c>
    </row>
    <row r="1350" spans="1:5" x14ac:dyDescent="0.2">
      <c r="A1350" s="5">
        <f t="shared" si="51"/>
        <v>5</v>
      </c>
      <c r="B1350" s="5">
        <f t="shared" si="52"/>
        <v>2018</v>
      </c>
      <c r="C1350" s="7">
        <v>43235</v>
      </c>
      <c r="D1350" s="8">
        <v>4.21</v>
      </c>
      <c r="E1350" s="8">
        <v>4.21</v>
      </c>
    </row>
    <row r="1351" spans="1:5" x14ac:dyDescent="0.2">
      <c r="A1351" s="5">
        <f t="shared" si="51"/>
        <v>5</v>
      </c>
      <c r="B1351" s="5">
        <f t="shared" si="52"/>
        <v>2018</v>
      </c>
      <c r="C1351" s="7">
        <v>43236</v>
      </c>
      <c r="D1351" s="8">
        <v>4.21</v>
      </c>
      <c r="E1351" s="8">
        <v>4.21</v>
      </c>
    </row>
    <row r="1352" spans="1:5" x14ac:dyDescent="0.2">
      <c r="A1352" s="5">
        <f t="shared" si="51"/>
        <v>5</v>
      </c>
      <c r="B1352" s="5">
        <f t="shared" si="52"/>
        <v>2018</v>
      </c>
      <c r="C1352" s="7">
        <v>43237</v>
      </c>
      <c r="D1352" s="8">
        <v>4.21</v>
      </c>
      <c r="E1352" s="8">
        <v>4.21</v>
      </c>
    </row>
    <row r="1353" spans="1:5" x14ac:dyDescent="0.2">
      <c r="A1353" s="5">
        <f t="shared" si="51"/>
        <v>5</v>
      </c>
      <c r="B1353" s="5">
        <f t="shared" si="52"/>
        <v>2018</v>
      </c>
      <c r="C1353" s="7">
        <v>43238</v>
      </c>
      <c r="D1353" s="8">
        <v>4.21</v>
      </c>
      <c r="E1353" s="8">
        <v>4.21</v>
      </c>
    </row>
    <row r="1354" spans="1:5" x14ac:dyDescent="0.2">
      <c r="A1354" s="5">
        <f t="shared" si="51"/>
        <v>5</v>
      </c>
      <c r="B1354" s="5">
        <f t="shared" si="52"/>
        <v>2018</v>
      </c>
      <c r="C1354" s="7">
        <v>43241</v>
      </c>
      <c r="D1354" s="8">
        <v>4.28</v>
      </c>
      <c r="E1354" s="8">
        <v>4.25</v>
      </c>
    </row>
    <row r="1355" spans="1:5" x14ac:dyDescent="0.2">
      <c r="A1355" s="5">
        <f t="shared" si="51"/>
        <v>5</v>
      </c>
      <c r="B1355" s="5">
        <f t="shared" si="52"/>
        <v>2018</v>
      </c>
      <c r="C1355" s="7">
        <v>43242</v>
      </c>
      <c r="D1355" s="8">
        <v>4.3499999999999996</v>
      </c>
      <c r="E1355" s="8">
        <v>4.32</v>
      </c>
    </row>
    <row r="1356" spans="1:5" x14ac:dyDescent="0.2">
      <c r="A1356" s="5">
        <f t="shared" si="51"/>
        <v>5</v>
      </c>
      <c r="B1356" s="5">
        <f t="shared" si="52"/>
        <v>2018</v>
      </c>
      <c r="C1356" s="7">
        <v>43243</v>
      </c>
      <c r="D1356" s="8">
        <v>4.34</v>
      </c>
      <c r="E1356" s="8">
        <v>4.32</v>
      </c>
    </row>
    <row r="1357" spans="1:5" x14ac:dyDescent="0.2">
      <c r="A1357" s="5">
        <f t="shared" si="51"/>
        <v>5</v>
      </c>
      <c r="B1357" s="5">
        <f t="shared" si="52"/>
        <v>2018</v>
      </c>
      <c r="C1357" s="7">
        <v>43244</v>
      </c>
      <c r="D1357" s="8">
        <v>4.34</v>
      </c>
      <c r="E1357" s="8">
        <v>4.32</v>
      </c>
    </row>
    <row r="1358" spans="1:5" x14ac:dyDescent="0.2">
      <c r="A1358" s="5">
        <f t="shared" si="51"/>
        <v>5</v>
      </c>
      <c r="B1358" s="5">
        <f t="shared" si="52"/>
        <v>2018</v>
      </c>
      <c r="C1358" s="7">
        <v>43245</v>
      </c>
      <c r="D1358" s="8">
        <v>4.3499999999999996</v>
      </c>
      <c r="E1358" s="8">
        <v>4.32</v>
      </c>
    </row>
    <row r="1359" spans="1:5" x14ac:dyDescent="0.2">
      <c r="A1359" s="5">
        <f t="shared" si="51"/>
        <v>5</v>
      </c>
      <c r="B1359" s="5">
        <f t="shared" si="52"/>
        <v>2018</v>
      </c>
      <c r="C1359" s="7">
        <v>43248</v>
      </c>
      <c r="D1359" s="8">
        <v>4.3600000000000003</v>
      </c>
      <c r="E1359" s="8">
        <v>4.33</v>
      </c>
    </row>
    <row r="1360" spans="1:5" x14ac:dyDescent="0.2">
      <c r="A1360" s="5">
        <f t="shared" si="51"/>
        <v>5</v>
      </c>
      <c r="B1360" s="5">
        <f t="shared" si="52"/>
        <v>2018</v>
      </c>
      <c r="C1360" s="7">
        <v>43249</v>
      </c>
      <c r="D1360" s="8">
        <v>4.3600000000000003</v>
      </c>
      <c r="E1360" s="8">
        <v>4.3499999999999996</v>
      </c>
    </row>
    <row r="1361" spans="1:5" x14ac:dyDescent="0.2">
      <c r="A1361" s="5">
        <f t="shared" si="51"/>
        <v>5</v>
      </c>
      <c r="B1361" s="5">
        <f t="shared" si="52"/>
        <v>2018</v>
      </c>
      <c r="C1361" s="7">
        <v>43250</v>
      </c>
      <c r="D1361" s="8">
        <v>4.37</v>
      </c>
      <c r="E1361" s="8">
        <v>4.37</v>
      </c>
    </row>
    <row r="1362" spans="1:5" x14ac:dyDescent="0.2">
      <c r="A1362" s="5">
        <f t="shared" si="51"/>
        <v>6</v>
      </c>
      <c r="B1362" s="5">
        <f t="shared" si="52"/>
        <v>2018</v>
      </c>
      <c r="C1362" s="7">
        <v>43252</v>
      </c>
      <c r="D1362" s="8">
        <v>4.38</v>
      </c>
      <c r="E1362" s="8">
        <v>4.38</v>
      </c>
    </row>
    <row r="1363" spans="1:5" x14ac:dyDescent="0.2">
      <c r="A1363" s="5">
        <f t="shared" si="51"/>
        <v>6</v>
      </c>
      <c r="B1363" s="5">
        <f t="shared" si="52"/>
        <v>2018</v>
      </c>
      <c r="C1363" s="7">
        <v>43255</v>
      </c>
      <c r="D1363" s="8">
        <v>4.3899999999999997</v>
      </c>
      <c r="E1363" s="8">
        <v>4.41</v>
      </c>
    </row>
    <row r="1364" spans="1:5" x14ac:dyDescent="0.2">
      <c r="A1364" s="5">
        <f t="shared" si="51"/>
        <v>6</v>
      </c>
      <c r="B1364" s="5">
        <f t="shared" si="52"/>
        <v>2018</v>
      </c>
      <c r="C1364" s="7">
        <v>43256</v>
      </c>
      <c r="D1364" s="8">
        <v>4.4000000000000004</v>
      </c>
      <c r="E1364" s="8">
        <v>4.42</v>
      </c>
    </row>
    <row r="1365" spans="1:5" x14ac:dyDescent="0.2">
      <c r="A1365" s="5">
        <f t="shared" si="51"/>
        <v>6</v>
      </c>
      <c r="B1365" s="5">
        <f t="shared" si="52"/>
        <v>2018</v>
      </c>
      <c r="C1365" s="7">
        <v>43257</v>
      </c>
      <c r="D1365" s="8">
        <v>4.4000000000000004</v>
      </c>
      <c r="E1365" s="8">
        <v>4.42</v>
      </c>
    </row>
    <row r="1366" spans="1:5" x14ac:dyDescent="0.2">
      <c r="A1366" s="5">
        <f t="shared" si="51"/>
        <v>6</v>
      </c>
      <c r="B1366" s="5">
        <f t="shared" si="52"/>
        <v>2018</v>
      </c>
      <c r="C1366" s="7">
        <v>43258</v>
      </c>
      <c r="D1366" s="8">
        <v>4.45</v>
      </c>
      <c r="E1366" s="8">
        <v>4.45</v>
      </c>
    </row>
    <row r="1367" spans="1:5" x14ac:dyDescent="0.2">
      <c r="A1367" s="5">
        <f t="shared" si="51"/>
        <v>6</v>
      </c>
      <c r="B1367" s="5">
        <f t="shared" si="52"/>
        <v>2018</v>
      </c>
      <c r="C1367" s="7">
        <v>43259</v>
      </c>
      <c r="D1367" s="8">
        <v>4.5</v>
      </c>
      <c r="E1367" s="8">
        <v>4.49</v>
      </c>
    </row>
    <row r="1368" spans="1:5" x14ac:dyDescent="0.2">
      <c r="A1368" s="5">
        <f t="shared" si="51"/>
        <v>6</v>
      </c>
      <c r="B1368" s="5">
        <f t="shared" si="52"/>
        <v>2018</v>
      </c>
      <c r="C1368" s="7">
        <v>43262</v>
      </c>
      <c r="D1368" s="8">
        <v>4.49</v>
      </c>
      <c r="E1368" s="8">
        <v>4.46</v>
      </c>
    </row>
    <row r="1369" spans="1:5" x14ac:dyDescent="0.2">
      <c r="A1369" s="5">
        <f t="shared" si="51"/>
        <v>6</v>
      </c>
      <c r="B1369" s="5">
        <f t="shared" si="52"/>
        <v>2018</v>
      </c>
      <c r="C1369" s="7">
        <v>43263</v>
      </c>
      <c r="D1369" s="8">
        <v>4.5</v>
      </c>
      <c r="E1369" s="8">
        <v>4.45</v>
      </c>
    </row>
    <row r="1370" spans="1:5" x14ac:dyDescent="0.2">
      <c r="A1370" s="5">
        <f t="shared" si="51"/>
        <v>6</v>
      </c>
      <c r="B1370" s="5">
        <f t="shared" si="52"/>
        <v>2018</v>
      </c>
      <c r="C1370" s="7">
        <v>43264</v>
      </c>
      <c r="D1370" s="8">
        <v>4.51</v>
      </c>
      <c r="E1370" s="8">
        <v>4.43</v>
      </c>
    </row>
    <row r="1371" spans="1:5" x14ac:dyDescent="0.2">
      <c r="A1371" s="5">
        <f t="shared" si="51"/>
        <v>6</v>
      </c>
      <c r="B1371" s="5">
        <f t="shared" si="52"/>
        <v>2018</v>
      </c>
      <c r="C1371" s="7">
        <v>43265</v>
      </c>
      <c r="D1371" s="8">
        <v>4.51</v>
      </c>
      <c r="E1371" s="8">
        <v>4.4000000000000004</v>
      </c>
    </row>
    <row r="1372" spans="1:5" x14ac:dyDescent="0.2">
      <c r="A1372" s="5">
        <f t="shared" si="51"/>
        <v>6</v>
      </c>
      <c r="B1372" s="5">
        <f t="shared" si="52"/>
        <v>2018</v>
      </c>
      <c r="C1372" s="7">
        <v>43266</v>
      </c>
      <c r="D1372" s="8">
        <v>4.51</v>
      </c>
      <c r="E1372" s="8">
        <v>4.3899999999999997</v>
      </c>
    </row>
    <row r="1373" spans="1:5" x14ac:dyDescent="0.2">
      <c r="A1373" s="5">
        <f t="shared" si="51"/>
        <v>6</v>
      </c>
      <c r="B1373" s="5">
        <f t="shared" si="52"/>
        <v>2018</v>
      </c>
      <c r="C1373" s="7">
        <v>43269</v>
      </c>
      <c r="D1373" s="8">
        <v>4.55</v>
      </c>
      <c r="E1373" s="8">
        <v>4.33</v>
      </c>
    </row>
    <row r="1374" spans="1:5" x14ac:dyDescent="0.2">
      <c r="A1374" s="5">
        <f t="shared" si="51"/>
        <v>6</v>
      </c>
      <c r="B1374" s="5">
        <f t="shared" si="52"/>
        <v>2018</v>
      </c>
      <c r="C1374" s="7">
        <v>43270</v>
      </c>
      <c r="D1374" s="8">
        <v>4.59</v>
      </c>
      <c r="E1374" s="8">
        <v>4.3</v>
      </c>
    </row>
    <row r="1375" spans="1:5" x14ac:dyDescent="0.2">
      <c r="A1375" s="5">
        <f t="shared" si="51"/>
        <v>6</v>
      </c>
      <c r="B1375" s="5">
        <f t="shared" si="52"/>
        <v>2018</v>
      </c>
      <c r="C1375" s="7">
        <v>43271</v>
      </c>
      <c r="D1375" s="8">
        <v>4.6500000000000004</v>
      </c>
      <c r="E1375" s="8">
        <v>4.2699999999999996</v>
      </c>
    </row>
    <row r="1376" spans="1:5" x14ac:dyDescent="0.2">
      <c r="A1376" s="5">
        <f t="shared" si="51"/>
        <v>6</v>
      </c>
      <c r="B1376" s="5">
        <f t="shared" si="52"/>
        <v>2018</v>
      </c>
      <c r="C1376" s="7">
        <v>43272</v>
      </c>
      <c r="D1376" s="8">
        <v>4.6500000000000004</v>
      </c>
      <c r="E1376" s="8">
        <v>4.25</v>
      </c>
    </row>
    <row r="1377" spans="1:5" x14ac:dyDescent="0.2">
      <c r="A1377" s="5">
        <f t="shared" si="51"/>
        <v>6</v>
      </c>
      <c r="B1377" s="5">
        <f t="shared" si="52"/>
        <v>2018</v>
      </c>
      <c r="C1377" s="7">
        <v>43273</v>
      </c>
      <c r="D1377" s="8">
        <v>4.66</v>
      </c>
      <c r="E1377" s="8">
        <v>4.22</v>
      </c>
    </row>
    <row r="1378" spans="1:5" x14ac:dyDescent="0.2">
      <c r="A1378" s="5">
        <f t="shared" si="51"/>
        <v>6</v>
      </c>
      <c r="B1378" s="5">
        <f t="shared" si="52"/>
        <v>2018</v>
      </c>
      <c r="C1378" s="7">
        <v>43276</v>
      </c>
      <c r="D1378" s="8">
        <v>4.67</v>
      </c>
      <c r="E1378" s="8">
        <v>4.13</v>
      </c>
    </row>
    <row r="1379" spans="1:5" x14ac:dyDescent="0.2">
      <c r="A1379" s="5">
        <f t="shared" si="51"/>
        <v>6</v>
      </c>
      <c r="B1379" s="5">
        <f t="shared" si="52"/>
        <v>2018</v>
      </c>
      <c r="C1379" s="7">
        <v>43277</v>
      </c>
      <c r="D1379" s="8">
        <v>4.67</v>
      </c>
      <c r="E1379" s="8">
        <v>4.12</v>
      </c>
    </row>
    <row r="1380" spans="1:5" x14ac:dyDescent="0.2">
      <c r="A1380" s="5">
        <f t="shared" si="51"/>
        <v>6</v>
      </c>
      <c r="B1380" s="5">
        <f t="shared" si="52"/>
        <v>2018</v>
      </c>
      <c r="C1380" s="7">
        <v>43278</v>
      </c>
      <c r="D1380" s="8">
        <v>4.67</v>
      </c>
      <c r="E1380" s="8">
        <v>4.09</v>
      </c>
    </row>
    <row r="1381" spans="1:5" x14ac:dyDescent="0.2">
      <c r="A1381" s="5">
        <f t="shared" si="51"/>
        <v>6</v>
      </c>
      <c r="B1381" s="5">
        <f t="shared" si="52"/>
        <v>2018</v>
      </c>
      <c r="C1381" s="7">
        <v>43279</v>
      </c>
      <c r="D1381" s="8">
        <v>4.67</v>
      </c>
      <c r="E1381" s="8">
        <v>4.0599999999999996</v>
      </c>
    </row>
    <row r="1382" spans="1:5" x14ac:dyDescent="0.2">
      <c r="A1382" s="5">
        <f t="shared" si="51"/>
        <v>6</v>
      </c>
      <c r="B1382" s="5">
        <f t="shared" si="52"/>
        <v>2018</v>
      </c>
      <c r="C1382" s="7">
        <v>43280</v>
      </c>
      <c r="D1382" s="8">
        <v>4.7</v>
      </c>
      <c r="E1382" s="8">
        <v>4.0199999999999996</v>
      </c>
    </row>
    <row r="1383" spans="1:5" x14ac:dyDescent="0.2">
      <c r="A1383" s="5">
        <f t="shared" si="51"/>
        <v>7</v>
      </c>
      <c r="B1383" s="5">
        <f t="shared" si="52"/>
        <v>2018</v>
      </c>
      <c r="C1383" s="7">
        <v>43283</v>
      </c>
      <c r="D1383" s="8">
        <v>4.7</v>
      </c>
      <c r="E1383" s="8">
        <v>3.91</v>
      </c>
    </row>
    <row r="1384" spans="1:5" x14ac:dyDescent="0.2">
      <c r="A1384" s="5">
        <f t="shared" si="51"/>
        <v>7</v>
      </c>
      <c r="B1384" s="5">
        <f t="shared" si="52"/>
        <v>2018</v>
      </c>
      <c r="C1384" s="7">
        <v>43284</v>
      </c>
      <c r="D1384" s="8">
        <v>4.72</v>
      </c>
      <c r="E1384" s="8">
        <v>3.87</v>
      </c>
    </row>
    <row r="1385" spans="1:5" x14ac:dyDescent="0.2">
      <c r="A1385" s="5">
        <f t="shared" si="51"/>
        <v>7</v>
      </c>
      <c r="B1385" s="5">
        <f t="shared" si="52"/>
        <v>2018</v>
      </c>
      <c r="C1385" s="7">
        <v>43285</v>
      </c>
      <c r="D1385" s="8">
        <v>4.72</v>
      </c>
      <c r="E1385" s="8">
        <v>3.83</v>
      </c>
    </row>
    <row r="1386" spans="1:5" x14ac:dyDescent="0.2">
      <c r="A1386" s="5">
        <f t="shared" si="51"/>
        <v>7</v>
      </c>
      <c r="B1386" s="5">
        <f t="shared" si="52"/>
        <v>2018</v>
      </c>
      <c r="C1386" s="7">
        <v>43286</v>
      </c>
      <c r="D1386" s="8">
        <v>4.72</v>
      </c>
      <c r="E1386" s="8">
        <v>3.8</v>
      </c>
    </row>
    <row r="1387" spans="1:5" x14ac:dyDescent="0.2">
      <c r="A1387" s="5">
        <f t="shared" si="51"/>
        <v>7</v>
      </c>
      <c r="B1387" s="5">
        <f t="shared" si="52"/>
        <v>2018</v>
      </c>
      <c r="C1387" s="7">
        <v>43287</v>
      </c>
      <c r="D1387" s="8">
        <v>3.8</v>
      </c>
      <c r="E1387" s="8">
        <v>3.8</v>
      </c>
    </row>
    <row r="1388" spans="1:5" x14ac:dyDescent="0.2">
      <c r="A1388" s="5">
        <f t="shared" si="51"/>
        <v>7</v>
      </c>
      <c r="B1388" s="5">
        <f t="shared" si="52"/>
        <v>2018</v>
      </c>
      <c r="C1388" s="7">
        <v>43290</v>
      </c>
      <c r="D1388" s="8">
        <v>3.8</v>
      </c>
      <c r="E1388" s="8">
        <v>3.79</v>
      </c>
    </row>
    <row r="1389" spans="1:5" x14ac:dyDescent="0.2">
      <c r="A1389" s="5">
        <f t="shared" si="51"/>
        <v>7</v>
      </c>
      <c r="B1389" s="5">
        <f t="shared" si="52"/>
        <v>2018</v>
      </c>
      <c r="C1389" s="7">
        <v>43291</v>
      </c>
      <c r="D1389" s="8">
        <v>3.8</v>
      </c>
      <c r="E1389" s="8">
        <v>3.78</v>
      </c>
    </row>
    <row r="1390" spans="1:5" x14ac:dyDescent="0.2">
      <c r="A1390" s="5">
        <f t="shared" si="51"/>
        <v>7</v>
      </c>
      <c r="B1390" s="5">
        <f t="shared" si="52"/>
        <v>2018</v>
      </c>
      <c r="C1390" s="7">
        <v>43292</v>
      </c>
      <c r="D1390" s="8">
        <v>3.81</v>
      </c>
      <c r="E1390" s="8">
        <v>3.79</v>
      </c>
    </row>
    <row r="1391" spans="1:5" x14ac:dyDescent="0.2">
      <c r="A1391" s="5">
        <f t="shared" si="51"/>
        <v>7</v>
      </c>
      <c r="B1391" s="5">
        <f t="shared" si="52"/>
        <v>2018</v>
      </c>
      <c r="C1391" s="7">
        <v>43293</v>
      </c>
      <c r="D1391" s="8">
        <v>3.8</v>
      </c>
      <c r="E1391" s="8">
        <v>3.78</v>
      </c>
    </row>
    <row r="1392" spans="1:5" x14ac:dyDescent="0.2">
      <c r="A1392" s="5">
        <f t="shared" si="51"/>
        <v>7</v>
      </c>
      <c r="B1392" s="5">
        <f t="shared" si="52"/>
        <v>2018</v>
      </c>
      <c r="C1392" s="7">
        <v>43294</v>
      </c>
      <c r="D1392" s="8">
        <v>3.8</v>
      </c>
      <c r="E1392" s="8">
        <v>3.77</v>
      </c>
    </row>
    <row r="1393" spans="1:5" x14ac:dyDescent="0.2">
      <c r="A1393" s="5">
        <f t="shared" si="51"/>
        <v>7</v>
      </c>
      <c r="B1393" s="5">
        <f t="shared" si="52"/>
        <v>2018</v>
      </c>
      <c r="C1393" s="7">
        <v>43297</v>
      </c>
      <c r="D1393" s="8">
        <v>3.79</v>
      </c>
      <c r="E1393" s="8">
        <v>3.76</v>
      </c>
    </row>
    <row r="1394" spans="1:5" x14ac:dyDescent="0.2">
      <c r="A1394" s="5">
        <f t="shared" si="51"/>
        <v>7</v>
      </c>
      <c r="B1394" s="5">
        <f t="shared" si="52"/>
        <v>2018</v>
      </c>
      <c r="C1394" s="7">
        <v>43298</v>
      </c>
      <c r="D1394" s="8">
        <v>3.79</v>
      </c>
      <c r="E1394" s="8">
        <v>3.75</v>
      </c>
    </row>
    <row r="1395" spans="1:5" x14ac:dyDescent="0.2">
      <c r="A1395" s="5">
        <f t="shared" si="51"/>
        <v>7</v>
      </c>
      <c r="B1395" s="5">
        <f t="shared" si="52"/>
        <v>2018</v>
      </c>
      <c r="C1395" s="7">
        <v>43299</v>
      </c>
      <c r="D1395" s="8">
        <v>3.79</v>
      </c>
      <c r="E1395" s="8">
        <v>3.74</v>
      </c>
    </row>
    <row r="1396" spans="1:5" x14ac:dyDescent="0.2">
      <c r="A1396" s="5">
        <f t="shared" si="51"/>
        <v>7</v>
      </c>
      <c r="B1396" s="5">
        <f t="shared" si="52"/>
        <v>2018</v>
      </c>
      <c r="C1396" s="7">
        <v>43300</v>
      </c>
      <c r="D1396" s="8">
        <v>3.73</v>
      </c>
      <c r="E1396" s="8">
        <v>3.73</v>
      </c>
    </row>
    <row r="1397" spans="1:5" x14ac:dyDescent="0.2">
      <c r="A1397" s="5">
        <f t="shared" si="51"/>
        <v>7</v>
      </c>
      <c r="B1397" s="5">
        <f t="shared" si="52"/>
        <v>2018</v>
      </c>
      <c r="C1397" s="7">
        <v>43301</v>
      </c>
      <c r="D1397" s="8">
        <v>3.73</v>
      </c>
      <c r="E1397" s="8">
        <v>3.7</v>
      </c>
    </row>
    <row r="1398" spans="1:5" x14ac:dyDescent="0.2">
      <c r="A1398" s="5">
        <f t="shared" si="51"/>
        <v>7</v>
      </c>
      <c r="B1398" s="5">
        <f t="shared" si="52"/>
        <v>2018</v>
      </c>
      <c r="C1398" s="7">
        <v>43304</v>
      </c>
      <c r="D1398" s="8">
        <v>3.73</v>
      </c>
      <c r="E1398" s="8">
        <v>3.69</v>
      </c>
    </row>
    <row r="1399" spans="1:5" x14ac:dyDescent="0.2">
      <c r="A1399" s="5">
        <f t="shared" si="51"/>
        <v>7</v>
      </c>
      <c r="B1399" s="5">
        <f t="shared" si="52"/>
        <v>2018</v>
      </c>
      <c r="C1399" s="7">
        <v>43305</v>
      </c>
      <c r="D1399" s="8">
        <v>3.73</v>
      </c>
      <c r="E1399" s="8">
        <v>3.69</v>
      </c>
    </row>
    <row r="1400" spans="1:5" x14ac:dyDescent="0.2">
      <c r="A1400" s="5">
        <f t="shared" si="51"/>
        <v>7</v>
      </c>
      <c r="B1400" s="5">
        <f t="shared" si="52"/>
        <v>2018</v>
      </c>
      <c r="C1400" s="7">
        <v>43306</v>
      </c>
      <c r="D1400" s="8">
        <v>3.73</v>
      </c>
      <c r="E1400" s="8">
        <v>3.69</v>
      </c>
    </row>
    <row r="1401" spans="1:5" x14ac:dyDescent="0.2">
      <c r="A1401" s="5">
        <f t="shared" si="51"/>
        <v>7</v>
      </c>
      <c r="B1401" s="5">
        <f t="shared" si="52"/>
        <v>2018</v>
      </c>
      <c r="C1401" s="7">
        <v>43307</v>
      </c>
      <c r="D1401" s="8">
        <v>3.73</v>
      </c>
      <c r="E1401" s="8">
        <v>3.68</v>
      </c>
    </row>
    <row r="1402" spans="1:5" x14ac:dyDescent="0.2">
      <c r="A1402" s="5">
        <f t="shared" si="51"/>
        <v>7</v>
      </c>
      <c r="B1402" s="5">
        <f t="shared" si="52"/>
        <v>2018</v>
      </c>
      <c r="C1402" s="7">
        <v>43308</v>
      </c>
      <c r="D1402" s="8">
        <v>3.73</v>
      </c>
      <c r="E1402" s="8">
        <v>3.67</v>
      </c>
    </row>
    <row r="1403" spans="1:5" x14ac:dyDescent="0.2">
      <c r="A1403" s="5">
        <f t="shared" si="51"/>
        <v>7</v>
      </c>
      <c r="B1403" s="5">
        <f t="shared" si="52"/>
        <v>2018</v>
      </c>
      <c r="C1403" s="7">
        <v>43311</v>
      </c>
      <c r="D1403" s="8">
        <v>3.73</v>
      </c>
      <c r="E1403" s="8">
        <v>3.67</v>
      </c>
    </row>
    <row r="1404" spans="1:5" x14ac:dyDescent="0.2">
      <c r="A1404" s="5">
        <f t="shared" si="51"/>
        <v>7</v>
      </c>
      <c r="B1404" s="5">
        <f t="shared" si="52"/>
        <v>2018</v>
      </c>
      <c r="C1404" s="7">
        <v>43312</v>
      </c>
      <c r="D1404" s="8">
        <v>3.72</v>
      </c>
      <c r="E1404" s="8">
        <v>3.67</v>
      </c>
    </row>
    <row r="1405" spans="1:5" x14ac:dyDescent="0.2">
      <c r="A1405" s="5">
        <f t="shared" si="51"/>
        <v>8</v>
      </c>
      <c r="B1405" s="5">
        <f t="shared" si="52"/>
        <v>2018</v>
      </c>
      <c r="C1405" s="7">
        <v>43313</v>
      </c>
      <c r="D1405" s="8">
        <v>3.72</v>
      </c>
      <c r="E1405" s="8">
        <v>3.67</v>
      </c>
    </row>
    <row r="1406" spans="1:5" x14ac:dyDescent="0.2">
      <c r="A1406" s="5">
        <f t="shared" si="51"/>
        <v>8</v>
      </c>
      <c r="B1406" s="5">
        <f t="shared" si="52"/>
        <v>2018</v>
      </c>
      <c r="C1406" s="7">
        <v>43314</v>
      </c>
      <c r="D1406" s="8">
        <v>3.72</v>
      </c>
      <c r="E1406" s="8">
        <v>3.66</v>
      </c>
    </row>
    <row r="1407" spans="1:5" x14ac:dyDescent="0.2">
      <c r="A1407" s="5">
        <f t="shared" si="51"/>
        <v>8</v>
      </c>
      <c r="B1407" s="5">
        <f t="shared" si="52"/>
        <v>2018</v>
      </c>
      <c r="C1407" s="7">
        <v>43315</v>
      </c>
      <c r="D1407" s="8">
        <v>3.71</v>
      </c>
      <c r="E1407" s="8">
        <v>3.66</v>
      </c>
    </row>
    <row r="1408" spans="1:5" x14ac:dyDescent="0.2">
      <c r="A1408" s="5">
        <f t="shared" si="51"/>
        <v>8</v>
      </c>
      <c r="B1408" s="5">
        <f t="shared" si="52"/>
        <v>2018</v>
      </c>
      <c r="C1408" s="7">
        <v>43318</v>
      </c>
      <c r="D1408" s="8">
        <v>3.71</v>
      </c>
      <c r="E1408" s="8">
        <v>3.64</v>
      </c>
    </row>
    <row r="1409" spans="1:5" x14ac:dyDescent="0.2">
      <c r="A1409" s="5">
        <f t="shared" si="51"/>
        <v>8</v>
      </c>
      <c r="B1409" s="5">
        <f t="shared" si="52"/>
        <v>2018</v>
      </c>
      <c r="C1409" s="7">
        <v>43319</v>
      </c>
      <c r="D1409" s="8">
        <v>3.71</v>
      </c>
      <c r="E1409" s="8">
        <v>3.65</v>
      </c>
    </row>
    <row r="1410" spans="1:5" x14ac:dyDescent="0.2">
      <c r="A1410" s="5">
        <f t="shared" si="51"/>
        <v>8</v>
      </c>
      <c r="B1410" s="5">
        <f t="shared" si="52"/>
        <v>2018</v>
      </c>
      <c r="C1410" s="7">
        <v>43320</v>
      </c>
      <c r="D1410" s="8">
        <v>3.65</v>
      </c>
      <c r="E1410" s="8">
        <v>3.65</v>
      </c>
    </row>
    <row r="1411" spans="1:5" x14ac:dyDescent="0.2">
      <c r="A1411" s="5">
        <f t="shared" si="51"/>
        <v>8</v>
      </c>
      <c r="B1411" s="5">
        <f t="shared" si="52"/>
        <v>2018</v>
      </c>
      <c r="C1411" s="7">
        <v>43321</v>
      </c>
      <c r="D1411" s="8">
        <v>3.65</v>
      </c>
      <c r="E1411" s="8">
        <v>3.66</v>
      </c>
    </row>
    <row r="1412" spans="1:5" x14ac:dyDescent="0.2">
      <c r="A1412" s="5">
        <f t="shared" ref="A1412:A1475" si="53">MONTH(C1412)</f>
        <v>8</v>
      </c>
      <c r="B1412" s="5">
        <f t="shared" ref="B1412:B1475" si="54">YEAR(C1412)</f>
        <v>2018</v>
      </c>
      <c r="C1412" s="7">
        <v>43322</v>
      </c>
      <c r="D1412" s="8">
        <v>3.65</v>
      </c>
      <c r="E1412" s="8">
        <v>3.66</v>
      </c>
    </row>
    <row r="1413" spans="1:5" x14ac:dyDescent="0.2">
      <c r="A1413" s="5">
        <f t="shared" si="53"/>
        <v>8</v>
      </c>
      <c r="B1413" s="5">
        <f t="shared" si="54"/>
        <v>2018</v>
      </c>
      <c r="C1413" s="7">
        <v>43325</v>
      </c>
      <c r="D1413" s="8">
        <v>3.66</v>
      </c>
      <c r="E1413" s="8">
        <v>3.67</v>
      </c>
    </row>
    <row r="1414" spans="1:5" x14ac:dyDescent="0.2">
      <c r="A1414" s="5">
        <f t="shared" si="53"/>
        <v>8</v>
      </c>
      <c r="B1414" s="5">
        <f t="shared" si="54"/>
        <v>2018</v>
      </c>
      <c r="C1414" s="7">
        <v>43326</v>
      </c>
      <c r="D1414" s="8">
        <v>3.66</v>
      </c>
      <c r="E1414" s="8">
        <v>3.67</v>
      </c>
    </row>
    <row r="1415" spans="1:5" x14ac:dyDescent="0.2">
      <c r="A1415" s="5">
        <f t="shared" si="53"/>
        <v>8</v>
      </c>
      <c r="B1415" s="5">
        <f t="shared" si="54"/>
        <v>2018</v>
      </c>
      <c r="C1415" s="7">
        <v>43327</v>
      </c>
      <c r="D1415" s="8">
        <v>3.66</v>
      </c>
      <c r="E1415" s="8">
        <v>3.67</v>
      </c>
    </row>
    <row r="1416" spans="1:5" x14ac:dyDescent="0.2">
      <c r="A1416" s="5">
        <f t="shared" si="53"/>
        <v>8</v>
      </c>
      <c r="B1416" s="5">
        <f t="shared" si="54"/>
        <v>2018</v>
      </c>
      <c r="C1416" s="7">
        <v>43328</v>
      </c>
      <c r="D1416" s="8">
        <v>3.64</v>
      </c>
      <c r="E1416" s="8">
        <v>3.67</v>
      </c>
    </row>
    <row r="1417" spans="1:5" x14ac:dyDescent="0.2">
      <c r="A1417" s="5">
        <f t="shared" si="53"/>
        <v>8</v>
      </c>
      <c r="B1417" s="5">
        <f t="shared" si="54"/>
        <v>2018</v>
      </c>
      <c r="C1417" s="7">
        <v>43329</v>
      </c>
      <c r="D1417" s="8">
        <v>3.64</v>
      </c>
      <c r="E1417" s="8">
        <v>3.67</v>
      </c>
    </row>
    <row r="1418" spans="1:5" x14ac:dyDescent="0.2">
      <c r="A1418" s="5">
        <f t="shared" si="53"/>
        <v>8</v>
      </c>
      <c r="B1418" s="5">
        <f t="shared" si="54"/>
        <v>2018</v>
      </c>
      <c r="C1418" s="7">
        <v>43332</v>
      </c>
      <c r="D1418" s="8">
        <v>3.61</v>
      </c>
      <c r="E1418" s="8">
        <v>3.67</v>
      </c>
    </row>
    <row r="1419" spans="1:5" x14ac:dyDescent="0.2">
      <c r="A1419" s="5">
        <f t="shared" si="53"/>
        <v>8</v>
      </c>
      <c r="B1419" s="5">
        <f t="shared" si="54"/>
        <v>2018</v>
      </c>
      <c r="C1419" s="7">
        <v>43333</v>
      </c>
      <c r="D1419" s="8">
        <v>3.57</v>
      </c>
      <c r="E1419" s="8">
        <v>3.66</v>
      </c>
    </row>
    <row r="1420" spans="1:5" x14ac:dyDescent="0.2">
      <c r="A1420" s="5">
        <f t="shared" si="53"/>
        <v>8</v>
      </c>
      <c r="B1420" s="5">
        <f t="shared" si="54"/>
        <v>2018</v>
      </c>
      <c r="C1420" s="7">
        <v>43334</v>
      </c>
      <c r="D1420" s="8">
        <v>3.65</v>
      </c>
      <c r="E1420" s="8">
        <v>3.73</v>
      </c>
    </row>
    <row r="1421" spans="1:5" x14ac:dyDescent="0.2">
      <c r="A1421" s="5">
        <f t="shared" si="53"/>
        <v>8</v>
      </c>
      <c r="B1421" s="5">
        <f t="shared" si="54"/>
        <v>2018</v>
      </c>
      <c r="C1421" s="7">
        <v>43335</v>
      </c>
      <c r="D1421" s="8">
        <v>3.64</v>
      </c>
      <c r="E1421" s="8">
        <v>3.7</v>
      </c>
    </row>
    <row r="1422" spans="1:5" x14ac:dyDescent="0.2">
      <c r="A1422" s="5">
        <f t="shared" si="53"/>
        <v>8</v>
      </c>
      <c r="B1422" s="5">
        <f t="shared" si="54"/>
        <v>2018</v>
      </c>
      <c r="C1422" s="7">
        <v>43336</v>
      </c>
      <c r="D1422" s="8">
        <v>3.64</v>
      </c>
      <c r="E1422" s="8">
        <v>3.7</v>
      </c>
    </row>
    <row r="1423" spans="1:5" x14ac:dyDescent="0.2">
      <c r="A1423" s="5">
        <f t="shared" si="53"/>
        <v>8</v>
      </c>
      <c r="B1423" s="5">
        <f t="shared" si="54"/>
        <v>2018</v>
      </c>
      <c r="C1423" s="7">
        <v>43339</v>
      </c>
      <c r="D1423" s="8">
        <v>3.64</v>
      </c>
      <c r="E1423" s="8">
        <v>3.72</v>
      </c>
    </row>
    <row r="1424" spans="1:5" x14ac:dyDescent="0.2">
      <c r="A1424" s="5">
        <f t="shared" si="53"/>
        <v>8</v>
      </c>
      <c r="B1424" s="5">
        <f t="shared" si="54"/>
        <v>2018</v>
      </c>
      <c r="C1424" s="7">
        <v>43340</v>
      </c>
      <c r="D1424" s="8">
        <v>3.64</v>
      </c>
      <c r="E1424" s="8">
        <v>3.72</v>
      </c>
    </row>
    <row r="1425" spans="1:5" x14ac:dyDescent="0.2">
      <c r="A1425" s="5">
        <f t="shared" si="53"/>
        <v>8</v>
      </c>
      <c r="B1425" s="5">
        <f t="shared" si="54"/>
        <v>2018</v>
      </c>
      <c r="C1425" s="7">
        <v>43341</v>
      </c>
      <c r="D1425" s="8">
        <v>3.64</v>
      </c>
      <c r="E1425" s="8">
        <v>3.72</v>
      </c>
    </row>
    <row r="1426" spans="1:5" x14ac:dyDescent="0.2">
      <c r="A1426" s="5">
        <f t="shared" si="53"/>
        <v>8</v>
      </c>
      <c r="B1426" s="5">
        <f t="shared" si="54"/>
        <v>2018</v>
      </c>
      <c r="C1426" s="7">
        <v>43342</v>
      </c>
      <c r="D1426" s="8">
        <v>3.64</v>
      </c>
      <c r="E1426" s="8">
        <v>3.72</v>
      </c>
    </row>
    <row r="1427" spans="1:5" x14ac:dyDescent="0.2">
      <c r="A1427" s="5">
        <f t="shared" si="53"/>
        <v>8</v>
      </c>
      <c r="B1427" s="5">
        <f t="shared" si="54"/>
        <v>2018</v>
      </c>
      <c r="C1427" s="7">
        <v>43343</v>
      </c>
      <c r="D1427" s="8">
        <v>3.63</v>
      </c>
      <c r="E1427" s="8">
        <v>3.75</v>
      </c>
    </row>
    <row r="1428" spans="1:5" x14ac:dyDescent="0.2">
      <c r="A1428" s="5">
        <f t="shared" si="53"/>
        <v>9</v>
      </c>
      <c r="B1428" s="5">
        <f t="shared" si="54"/>
        <v>2018</v>
      </c>
      <c r="C1428" s="7">
        <v>43346</v>
      </c>
      <c r="D1428" s="8">
        <v>3.64</v>
      </c>
      <c r="E1428" s="8">
        <v>3.79</v>
      </c>
    </row>
    <row r="1429" spans="1:5" x14ac:dyDescent="0.2">
      <c r="A1429" s="5">
        <f t="shared" si="53"/>
        <v>9</v>
      </c>
      <c r="B1429" s="5">
        <f t="shared" si="54"/>
        <v>2018</v>
      </c>
      <c r="C1429" s="7">
        <v>43347</v>
      </c>
      <c r="D1429" s="8">
        <v>3.66</v>
      </c>
      <c r="E1429" s="8">
        <v>3.82</v>
      </c>
    </row>
    <row r="1430" spans="1:5" x14ac:dyDescent="0.2">
      <c r="A1430" s="5">
        <f t="shared" si="53"/>
        <v>9</v>
      </c>
      <c r="B1430" s="5">
        <f t="shared" si="54"/>
        <v>2018</v>
      </c>
      <c r="C1430" s="7">
        <v>43348</v>
      </c>
      <c r="D1430" s="8">
        <v>3.66</v>
      </c>
      <c r="E1430" s="8">
        <v>3.83</v>
      </c>
    </row>
    <row r="1431" spans="1:5" x14ac:dyDescent="0.2">
      <c r="A1431" s="5">
        <f t="shared" si="53"/>
        <v>9</v>
      </c>
      <c r="B1431" s="5">
        <f t="shared" si="54"/>
        <v>2018</v>
      </c>
      <c r="C1431" s="7">
        <v>43349</v>
      </c>
      <c r="D1431" s="8">
        <v>3.88</v>
      </c>
      <c r="E1431" s="8">
        <v>3.89</v>
      </c>
    </row>
    <row r="1432" spans="1:5" x14ac:dyDescent="0.2">
      <c r="A1432" s="5">
        <f t="shared" si="53"/>
        <v>9</v>
      </c>
      <c r="B1432" s="5">
        <f t="shared" si="54"/>
        <v>2018</v>
      </c>
      <c r="C1432" s="7">
        <v>43353</v>
      </c>
      <c r="D1432" s="8">
        <v>3.89</v>
      </c>
      <c r="E1432" s="8">
        <v>3.89</v>
      </c>
    </row>
    <row r="1433" spans="1:5" x14ac:dyDescent="0.2">
      <c r="A1433" s="5">
        <f t="shared" si="53"/>
        <v>9</v>
      </c>
      <c r="B1433" s="5">
        <f t="shared" si="54"/>
        <v>2018</v>
      </c>
      <c r="C1433" s="7">
        <v>43354</v>
      </c>
      <c r="D1433" s="8">
        <v>3.89</v>
      </c>
      <c r="E1433" s="8">
        <v>3.89</v>
      </c>
    </row>
    <row r="1434" spans="1:5" x14ac:dyDescent="0.2">
      <c r="A1434" s="5">
        <f t="shared" si="53"/>
        <v>9</v>
      </c>
      <c r="B1434" s="5">
        <f t="shared" si="54"/>
        <v>2018</v>
      </c>
      <c r="C1434" s="7">
        <v>43355</v>
      </c>
      <c r="D1434" s="8">
        <v>3.89</v>
      </c>
      <c r="E1434" s="8">
        <v>3.9</v>
      </c>
    </row>
    <row r="1435" spans="1:5" x14ac:dyDescent="0.2">
      <c r="A1435" s="5">
        <f t="shared" si="53"/>
        <v>9</v>
      </c>
      <c r="B1435" s="5">
        <f t="shared" si="54"/>
        <v>2018</v>
      </c>
      <c r="C1435" s="7">
        <v>43356</v>
      </c>
      <c r="D1435" s="8">
        <v>3.89</v>
      </c>
      <c r="E1435" s="8">
        <v>3.9</v>
      </c>
    </row>
    <row r="1436" spans="1:5" x14ac:dyDescent="0.2">
      <c r="A1436" s="5">
        <f t="shared" si="53"/>
        <v>9</v>
      </c>
      <c r="B1436" s="5">
        <f t="shared" si="54"/>
        <v>2018</v>
      </c>
      <c r="C1436" s="7">
        <v>43357</v>
      </c>
      <c r="D1436" s="8">
        <v>3.89</v>
      </c>
      <c r="E1436" s="8">
        <v>3.9</v>
      </c>
    </row>
    <row r="1437" spans="1:5" x14ac:dyDescent="0.2">
      <c r="A1437" s="5">
        <f t="shared" si="53"/>
        <v>9</v>
      </c>
      <c r="B1437" s="5">
        <f t="shared" si="54"/>
        <v>2018</v>
      </c>
      <c r="C1437" s="7">
        <v>43360</v>
      </c>
      <c r="D1437" s="8">
        <v>3.9</v>
      </c>
      <c r="E1437" s="8">
        <v>3.9</v>
      </c>
    </row>
    <row r="1438" spans="1:5" x14ac:dyDescent="0.2">
      <c r="A1438" s="5">
        <f t="shared" si="53"/>
        <v>9</v>
      </c>
      <c r="B1438" s="5">
        <f t="shared" si="54"/>
        <v>2018</v>
      </c>
      <c r="C1438" s="7">
        <v>43361</v>
      </c>
      <c r="D1438" s="8">
        <v>3.93</v>
      </c>
      <c r="E1438" s="8">
        <v>3.94</v>
      </c>
    </row>
    <row r="1439" spans="1:5" x14ac:dyDescent="0.2">
      <c r="A1439" s="5">
        <f t="shared" si="53"/>
        <v>9</v>
      </c>
      <c r="B1439" s="5">
        <f t="shared" si="54"/>
        <v>2018</v>
      </c>
      <c r="C1439" s="7">
        <v>43362</v>
      </c>
      <c r="D1439" s="8">
        <v>3.95</v>
      </c>
      <c r="E1439" s="8">
        <v>3.95</v>
      </c>
    </row>
    <row r="1440" spans="1:5" x14ac:dyDescent="0.2">
      <c r="A1440" s="5">
        <f t="shared" si="53"/>
        <v>9</v>
      </c>
      <c r="B1440" s="5">
        <f t="shared" si="54"/>
        <v>2018</v>
      </c>
      <c r="C1440" s="7">
        <v>43363</v>
      </c>
      <c r="D1440" s="8">
        <v>4.0599999999999996</v>
      </c>
      <c r="E1440" s="8">
        <v>4.05</v>
      </c>
    </row>
    <row r="1441" spans="1:5" x14ac:dyDescent="0.2">
      <c r="A1441" s="5">
        <f t="shared" si="53"/>
        <v>9</v>
      </c>
      <c r="B1441" s="5">
        <f t="shared" si="54"/>
        <v>2018</v>
      </c>
      <c r="C1441" s="7">
        <v>43364</v>
      </c>
      <c r="D1441" s="8">
        <v>4.0599999999999996</v>
      </c>
      <c r="E1441" s="8">
        <v>4.04</v>
      </c>
    </row>
    <row r="1442" spans="1:5" x14ac:dyDescent="0.2">
      <c r="A1442" s="5">
        <f t="shared" si="53"/>
        <v>9</v>
      </c>
      <c r="B1442" s="5">
        <f t="shared" si="54"/>
        <v>2018</v>
      </c>
      <c r="C1442" s="7">
        <v>43367</v>
      </c>
      <c r="D1442" s="8">
        <v>4.08</v>
      </c>
      <c r="E1442" s="8">
        <v>4.03</v>
      </c>
    </row>
    <row r="1443" spans="1:5" x14ac:dyDescent="0.2">
      <c r="A1443" s="5">
        <f t="shared" si="53"/>
        <v>9</v>
      </c>
      <c r="B1443" s="5">
        <f t="shared" si="54"/>
        <v>2018</v>
      </c>
      <c r="C1443" s="7">
        <v>43368</v>
      </c>
      <c r="D1443" s="8">
        <v>4.09</v>
      </c>
      <c r="E1443" s="8">
        <v>4.03</v>
      </c>
    </row>
    <row r="1444" spans="1:5" x14ac:dyDescent="0.2">
      <c r="A1444" s="5">
        <f t="shared" si="53"/>
        <v>9</v>
      </c>
      <c r="B1444" s="5">
        <f t="shared" si="54"/>
        <v>2018</v>
      </c>
      <c r="C1444" s="7">
        <v>43369</v>
      </c>
      <c r="D1444" s="8">
        <v>4.0999999999999996</v>
      </c>
      <c r="E1444" s="8">
        <v>4.0199999999999996</v>
      </c>
    </row>
    <row r="1445" spans="1:5" x14ac:dyDescent="0.2">
      <c r="A1445" s="5">
        <f t="shared" si="53"/>
        <v>9</v>
      </c>
      <c r="B1445" s="5">
        <f t="shared" si="54"/>
        <v>2018</v>
      </c>
      <c r="C1445" s="7">
        <v>43370</v>
      </c>
      <c r="D1445" s="8">
        <v>4.0999999999999996</v>
      </c>
      <c r="E1445" s="8">
        <v>4.01</v>
      </c>
    </row>
    <row r="1446" spans="1:5" x14ac:dyDescent="0.2">
      <c r="A1446" s="5">
        <f t="shared" si="53"/>
        <v>9</v>
      </c>
      <c r="B1446" s="5">
        <f t="shared" si="54"/>
        <v>2018</v>
      </c>
      <c r="C1446" s="7">
        <v>43371</v>
      </c>
      <c r="D1446" s="8">
        <v>4.0999999999999996</v>
      </c>
      <c r="E1446" s="8">
        <v>4.01</v>
      </c>
    </row>
    <row r="1447" spans="1:5" x14ac:dyDescent="0.2">
      <c r="A1447" s="5">
        <f t="shared" si="53"/>
        <v>10</v>
      </c>
      <c r="B1447" s="5">
        <f t="shared" si="54"/>
        <v>2018</v>
      </c>
      <c r="C1447" s="7">
        <v>43374</v>
      </c>
      <c r="D1447" s="8">
        <v>4.09</v>
      </c>
      <c r="E1447" s="8">
        <v>4.01</v>
      </c>
    </row>
    <row r="1448" spans="1:5" x14ac:dyDescent="0.2">
      <c r="A1448" s="5">
        <f t="shared" si="53"/>
        <v>10</v>
      </c>
      <c r="B1448" s="5">
        <f t="shared" si="54"/>
        <v>2018</v>
      </c>
      <c r="C1448" s="7">
        <v>43375</v>
      </c>
      <c r="D1448" s="8">
        <v>4.09</v>
      </c>
      <c r="E1448" s="8">
        <v>4.01</v>
      </c>
    </row>
    <row r="1449" spans="1:5" x14ac:dyDescent="0.2">
      <c r="A1449" s="5">
        <f t="shared" si="53"/>
        <v>10</v>
      </c>
      <c r="B1449" s="5">
        <f t="shared" si="54"/>
        <v>2018</v>
      </c>
      <c r="C1449" s="7">
        <v>43376</v>
      </c>
      <c r="D1449" s="8">
        <v>4.16</v>
      </c>
      <c r="E1449" s="8">
        <v>4.01</v>
      </c>
    </row>
    <row r="1450" spans="1:5" x14ac:dyDescent="0.2">
      <c r="A1450" s="5">
        <f t="shared" si="53"/>
        <v>10</v>
      </c>
      <c r="B1450" s="5">
        <f t="shared" si="54"/>
        <v>2018</v>
      </c>
      <c r="C1450" s="7">
        <v>43377</v>
      </c>
      <c r="D1450" s="8">
        <v>4.16</v>
      </c>
      <c r="E1450" s="8">
        <v>4.01</v>
      </c>
    </row>
    <row r="1451" spans="1:5" x14ac:dyDescent="0.2">
      <c r="A1451" s="5">
        <f t="shared" si="53"/>
        <v>10</v>
      </c>
      <c r="B1451" s="5">
        <f t="shared" si="54"/>
        <v>2018</v>
      </c>
      <c r="C1451" s="7">
        <v>43378</v>
      </c>
      <c r="D1451" s="8">
        <v>4.03</v>
      </c>
      <c r="E1451" s="8">
        <v>4.04</v>
      </c>
    </row>
    <row r="1452" spans="1:5" x14ac:dyDescent="0.2">
      <c r="A1452" s="5">
        <f t="shared" si="53"/>
        <v>10</v>
      </c>
      <c r="B1452" s="5">
        <f t="shared" si="54"/>
        <v>2018</v>
      </c>
      <c r="C1452" s="7">
        <v>43381</v>
      </c>
      <c r="D1452" s="8">
        <v>4.03</v>
      </c>
      <c r="E1452" s="8">
        <v>4.03</v>
      </c>
    </row>
    <row r="1453" spans="1:5" x14ac:dyDescent="0.2">
      <c r="A1453" s="5">
        <f t="shared" si="53"/>
        <v>10</v>
      </c>
      <c r="B1453" s="5">
        <f t="shared" si="54"/>
        <v>2018</v>
      </c>
      <c r="C1453" s="7">
        <v>43382</v>
      </c>
      <c r="D1453" s="8">
        <v>4.03</v>
      </c>
      <c r="E1453" s="8">
        <v>4.03</v>
      </c>
    </row>
    <row r="1454" spans="1:5" x14ac:dyDescent="0.2">
      <c r="A1454" s="5">
        <f t="shared" si="53"/>
        <v>10</v>
      </c>
      <c r="B1454" s="5">
        <f t="shared" si="54"/>
        <v>2018</v>
      </c>
      <c r="C1454" s="7">
        <v>43383</v>
      </c>
      <c r="D1454" s="8">
        <v>4.03</v>
      </c>
      <c r="E1454" s="8">
        <v>4.0199999999999996</v>
      </c>
    </row>
    <row r="1455" spans="1:5" x14ac:dyDescent="0.2">
      <c r="A1455" s="5">
        <f t="shared" si="53"/>
        <v>10</v>
      </c>
      <c r="B1455" s="5">
        <f t="shared" si="54"/>
        <v>2018</v>
      </c>
      <c r="C1455" s="7">
        <v>43384</v>
      </c>
      <c r="D1455" s="8">
        <v>4.05</v>
      </c>
      <c r="E1455" s="8">
        <v>4.03</v>
      </c>
    </row>
    <row r="1456" spans="1:5" x14ac:dyDescent="0.2">
      <c r="A1456" s="5">
        <f t="shared" si="53"/>
        <v>10</v>
      </c>
      <c r="B1456" s="5">
        <f t="shared" si="54"/>
        <v>2018</v>
      </c>
      <c r="C1456" s="7">
        <v>43388</v>
      </c>
      <c r="D1456" s="8">
        <v>4.05</v>
      </c>
      <c r="E1456" s="8">
        <v>4.03</v>
      </c>
    </row>
    <row r="1457" spans="1:5" x14ac:dyDescent="0.2">
      <c r="A1457" s="5">
        <f t="shared" si="53"/>
        <v>10</v>
      </c>
      <c r="B1457" s="5">
        <f t="shared" si="54"/>
        <v>2018</v>
      </c>
      <c r="C1457" s="7">
        <v>43389</v>
      </c>
      <c r="D1457" s="8">
        <v>4.05</v>
      </c>
      <c r="E1457" s="8">
        <v>4.03</v>
      </c>
    </row>
    <row r="1458" spans="1:5" x14ac:dyDescent="0.2">
      <c r="A1458" s="5">
        <f t="shared" si="53"/>
        <v>10</v>
      </c>
      <c r="B1458" s="5">
        <f t="shared" si="54"/>
        <v>2018</v>
      </c>
      <c r="C1458" s="7">
        <v>43390</v>
      </c>
      <c r="D1458" s="8">
        <v>4.05</v>
      </c>
      <c r="E1458" s="8">
        <v>4.01</v>
      </c>
    </row>
    <row r="1459" spans="1:5" x14ac:dyDescent="0.2">
      <c r="A1459" s="5">
        <f t="shared" si="53"/>
        <v>10</v>
      </c>
      <c r="B1459" s="5">
        <f t="shared" si="54"/>
        <v>2018</v>
      </c>
      <c r="C1459" s="7">
        <v>43391</v>
      </c>
      <c r="D1459" s="8">
        <v>4.07</v>
      </c>
      <c r="E1459" s="8">
        <v>4.01</v>
      </c>
    </row>
    <row r="1460" spans="1:5" x14ac:dyDescent="0.2">
      <c r="A1460" s="5">
        <f t="shared" si="53"/>
        <v>10</v>
      </c>
      <c r="B1460" s="5">
        <f t="shared" si="54"/>
        <v>2018</v>
      </c>
      <c r="C1460" s="7">
        <v>43392</v>
      </c>
      <c r="D1460" s="8">
        <v>4.08</v>
      </c>
      <c r="E1460" s="8">
        <v>4.0199999999999996</v>
      </c>
    </row>
    <row r="1461" spans="1:5" x14ac:dyDescent="0.2">
      <c r="A1461" s="5">
        <f t="shared" si="53"/>
        <v>10</v>
      </c>
      <c r="B1461" s="5">
        <f t="shared" si="54"/>
        <v>2018</v>
      </c>
      <c r="C1461" s="7">
        <v>43395</v>
      </c>
      <c r="D1461" s="8">
        <v>4.07</v>
      </c>
      <c r="E1461" s="8">
        <v>3.98</v>
      </c>
    </row>
    <row r="1462" spans="1:5" x14ac:dyDescent="0.2">
      <c r="A1462" s="5">
        <f t="shared" si="53"/>
        <v>10</v>
      </c>
      <c r="B1462" s="5">
        <f t="shared" si="54"/>
        <v>2018</v>
      </c>
      <c r="C1462" s="7">
        <v>43396</v>
      </c>
      <c r="D1462" s="8">
        <v>4.05</v>
      </c>
      <c r="E1462" s="8">
        <v>3.96</v>
      </c>
    </row>
    <row r="1463" spans="1:5" x14ac:dyDescent="0.2">
      <c r="A1463" s="5">
        <f t="shared" si="53"/>
        <v>10</v>
      </c>
      <c r="B1463" s="5">
        <f t="shared" si="54"/>
        <v>2018</v>
      </c>
      <c r="C1463" s="7">
        <v>43397</v>
      </c>
      <c r="D1463" s="8">
        <v>4.0599999999999996</v>
      </c>
      <c r="E1463" s="8">
        <v>3.95</v>
      </c>
    </row>
    <row r="1464" spans="1:5" x14ac:dyDescent="0.2">
      <c r="A1464" s="5">
        <f t="shared" si="53"/>
        <v>10</v>
      </c>
      <c r="B1464" s="5">
        <f t="shared" si="54"/>
        <v>2018</v>
      </c>
      <c r="C1464" s="7">
        <v>43398</v>
      </c>
      <c r="D1464" s="8">
        <v>4.07</v>
      </c>
      <c r="E1464" s="8">
        <v>3.95</v>
      </c>
    </row>
    <row r="1465" spans="1:5" x14ac:dyDescent="0.2">
      <c r="A1465" s="5">
        <f t="shared" si="53"/>
        <v>10</v>
      </c>
      <c r="B1465" s="5">
        <f t="shared" si="54"/>
        <v>2018</v>
      </c>
      <c r="C1465" s="7">
        <v>43399</v>
      </c>
      <c r="D1465" s="8">
        <v>4.05</v>
      </c>
      <c r="E1465" s="8">
        <v>3.93</v>
      </c>
    </row>
    <row r="1466" spans="1:5" x14ac:dyDescent="0.2">
      <c r="A1466" s="5">
        <f t="shared" si="53"/>
        <v>10</v>
      </c>
      <c r="B1466" s="5">
        <f t="shared" si="54"/>
        <v>2018</v>
      </c>
      <c r="C1466" s="7">
        <v>43402</v>
      </c>
      <c r="D1466" s="8">
        <v>4.05</v>
      </c>
      <c r="E1466" s="8">
        <v>3.92</v>
      </c>
    </row>
    <row r="1467" spans="1:5" x14ac:dyDescent="0.2">
      <c r="A1467" s="5">
        <f t="shared" si="53"/>
        <v>10</v>
      </c>
      <c r="B1467" s="5">
        <f t="shared" si="54"/>
        <v>2018</v>
      </c>
      <c r="C1467" s="7">
        <v>43403</v>
      </c>
      <c r="D1467" s="8">
        <v>4.0199999999999996</v>
      </c>
      <c r="E1467" s="8">
        <v>3.9</v>
      </c>
    </row>
    <row r="1468" spans="1:5" x14ac:dyDescent="0.2">
      <c r="A1468" s="5">
        <f t="shared" si="53"/>
        <v>10</v>
      </c>
      <c r="B1468" s="5">
        <f t="shared" si="54"/>
        <v>2018</v>
      </c>
      <c r="C1468" s="7">
        <v>43404</v>
      </c>
      <c r="D1468" s="8">
        <v>4.0199999999999996</v>
      </c>
      <c r="E1468" s="8">
        <v>3.91</v>
      </c>
    </row>
    <row r="1469" spans="1:5" x14ac:dyDescent="0.2">
      <c r="A1469" s="5">
        <f t="shared" si="53"/>
        <v>11</v>
      </c>
      <c r="B1469" s="5">
        <f t="shared" si="54"/>
        <v>2018</v>
      </c>
      <c r="C1469" s="7">
        <v>43405</v>
      </c>
      <c r="D1469" s="8">
        <v>4.0199999999999996</v>
      </c>
      <c r="E1469" s="8">
        <v>3.91</v>
      </c>
    </row>
    <row r="1470" spans="1:5" x14ac:dyDescent="0.2">
      <c r="A1470" s="5">
        <f t="shared" si="53"/>
        <v>11</v>
      </c>
      <c r="B1470" s="5">
        <f t="shared" si="54"/>
        <v>2018</v>
      </c>
      <c r="C1470" s="7">
        <v>43409</v>
      </c>
      <c r="D1470" s="8">
        <v>4.0199999999999996</v>
      </c>
      <c r="E1470" s="8">
        <v>3.86</v>
      </c>
    </row>
    <row r="1471" spans="1:5" x14ac:dyDescent="0.2">
      <c r="A1471" s="5">
        <f t="shared" si="53"/>
        <v>11</v>
      </c>
      <c r="B1471" s="5">
        <f t="shared" si="54"/>
        <v>2018</v>
      </c>
      <c r="C1471" s="7">
        <v>43410</v>
      </c>
      <c r="D1471" s="8">
        <v>4.01</v>
      </c>
      <c r="E1471" s="8">
        <v>3.85</v>
      </c>
    </row>
    <row r="1472" spans="1:5" x14ac:dyDescent="0.2">
      <c r="A1472" s="5">
        <f t="shared" si="53"/>
        <v>11</v>
      </c>
      <c r="B1472" s="5">
        <f t="shared" si="54"/>
        <v>2018</v>
      </c>
      <c r="C1472" s="7">
        <v>43411</v>
      </c>
      <c r="D1472" s="8">
        <v>3.8</v>
      </c>
      <c r="E1472" s="8">
        <v>3.81</v>
      </c>
    </row>
    <row r="1473" spans="1:5" x14ac:dyDescent="0.2">
      <c r="A1473" s="5">
        <f t="shared" si="53"/>
        <v>11</v>
      </c>
      <c r="B1473" s="5">
        <f t="shared" si="54"/>
        <v>2018</v>
      </c>
      <c r="C1473" s="7">
        <v>43412</v>
      </c>
      <c r="D1473" s="8">
        <v>3.79</v>
      </c>
      <c r="E1473" s="8">
        <v>3.81</v>
      </c>
    </row>
    <row r="1474" spans="1:5" x14ac:dyDescent="0.2">
      <c r="A1474" s="5">
        <f t="shared" si="53"/>
        <v>11</v>
      </c>
      <c r="B1474" s="5">
        <f t="shared" si="54"/>
        <v>2018</v>
      </c>
      <c r="C1474" s="7">
        <v>43413</v>
      </c>
      <c r="D1474" s="8">
        <v>3.77</v>
      </c>
      <c r="E1474" s="8">
        <v>3.8</v>
      </c>
    </row>
    <row r="1475" spans="1:5" x14ac:dyDescent="0.2">
      <c r="A1475" s="5">
        <f t="shared" si="53"/>
        <v>11</v>
      </c>
      <c r="B1475" s="5">
        <f t="shared" si="54"/>
        <v>2018</v>
      </c>
      <c r="C1475" s="7">
        <v>43416</v>
      </c>
      <c r="D1475" s="8">
        <v>3.76</v>
      </c>
      <c r="E1475" s="8">
        <v>3.82</v>
      </c>
    </row>
    <row r="1476" spans="1:5" x14ac:dyDescent="0.2">
      <c r="A1476" s="5">
        <f t="shared" ref="A1476:A1539" si="55">MONTH(C1476)</f>
        <v>11</v>
      </c>
      <c r="B1476" s="5">
        <f t="shared" ref="B1476:B1539" si="56">YEAR(C1476)</f>
        <v>2018</v>
      </c>
      <c r="C1476" s="7">
        <v>43417</v>
      </c>
      <c r="D1476" s="8">
        <v>3.75</v>
      </c>
      <c r="E1476" s="8">
        <v>3.81</v>
      </c>
    </row>
    <row r="1477" spans="1:5" x14ac:dyDescent="0.2">
      <c r="A1477" s="5">
        <f t="shared" si="55"/>
        <v>11</v>
      </c>
      <c r="B1477" s="5">
        <f t="shared" si="56"/>
        <v>2018</v>
      </c>
      <c r="C1477" s="7">
        <v>43418</v>
      </c>
      <c r="D1477" s="8">
        <v>3.73</v>
      </c>
      <c r="E1477" s="8">
        <v>3.78</v>
      </c>
    </row>
    <row r="1478" spans="1:5" x14ac:dyDescent="0.2">
      <c r="A1478" s="5">
        <f t="shared" si="55"/>
        <v>11</v>
      </c>
      <c r="B1478" s="5">
        <f t="shared" si="56"/>
        <v>2018</v>
      </c>
      <c r="C1478" s="7">
        <v>43420</v>
      </c>
      <c r="D1478" s="8">
        <v>3.72</v>
      </c>
      <c r="E1478" s="8">
        <v>3.78</v>
      </c>
    </row>
    <row r="1479" spans="1:5" x14ac:dyDescent="0.2">
      <c r="A1479" s="5">
        <f t="shared" si="55"/>
        <v>11</v>
      </c>
      <c r="B1479" s="5">
        <f t="shared" si="56"/>
        <v>2018</v>
      </c>
      <c r="C1479" s="7">
        <v>43423</v>
      </c>
      <c r="D1479" s="8">
        <v>3.63</v>
      </c>
      <c r="E1479" s="8">
        <v>3.78</v>
      </c>
    </row>
    <row r="1480" spans="1:5" x14ac:dyDescent="0.2">
      <c r="A1480" s="5">
        <f t="shared" si="55"/>
        <v>11</v>
      </c>
      <c r="B1480" s="5">
        <f t="shared" si="56"/>
        <v>2018</v>
      </c>
      <c r="C1480" s="7">
        <v>43424</v>
      </c>
      <c r="D1480" s="8">
        <v>3.61</v>
      </c>
      <c r="E1480" s="8">
        <v>3.76</v>
      </c>
    </row>
    <row r="1481" spans="1:5" x14ac:dyDescent="0.2">
      <c r="A1481" s="5">
        <f t="shared" si="55"/>
        <v>11</v>
      </c>
      <c r="B1481" s="5">
        <f t="shared" si="56"/>
        <v>2018</v>
      </c>
      <c r="C1481" s="7">
        <v>43425</v>
      </c>
      <c r="D1481" s="8">
        <v>3.56</v>
      </c>
      <c r="E1481" s="8">
        <v>3.76</v>
      </c>
    </row>
    <row r="1482" spans="1:5" x14ac:dyDescent="0.2">
      <c r="A1482" s="5">
        <f t="shared" si="55"/>
        <v>11</v>
      </c>
      <c r="B1482" s="5">
        <f t="shared" si="56"/>
        <v>2018</v>
      </c>
      <c r="C1482" s="7">
        <v>43426</v>
      </c>
      <c r="D1482" s="8">
        <v>3.49</v>
      </c>
      <c r="E1482" s="8">
        <v>3.7</v>
      </c>
    </row>
    <row r="1483" spans="1:5" x14ac:dyDescent="0.2">
      <c r="A1483" s="5">
        <f t="shared" si="55"/>
        <v>11</v>
      </c>
      <c r="B1483" s="5">
        <f t="shared" si="56"/>
        <v>2018</v>
      </c>
      <c r="C1483" s="7">
        <v>43427</v>
      </c>
      <c r="D1483" s="8">
        <v>3.44</v>
      </c>
      <c r="E1483" s="8">
        <v>3.67</v>
      </c>
    </row>
    <row r="1484" spans="1:5" x14ac:dyDescent="0.2">
      <c r="A1484" s="5">
        <f t="shared" si="55"/>
        <v>11</v>
      </c>
      <c r="B1484" s="5">
        <f t="shared" si="56"/>
        <v>2018</v>
      </c>
      <c r="C1484" s="7">
        <v>43430</v>
      </c>
      <c r="D1484" s="8">
        <v>3.42</v>
      </c>
      <c r="E1484" s="8">
        <v>3.69</v>
      </c>
    </row>
    <row r="1485" spans="1:5" x14ac:dyDescent="0.2">
      <c r="A1485" s="5">
        <f t="shared" si="55"/>
        <v>11</v>
      </c>
      <c r="B1485" s="5">
        <f t="shared" si="56"/>
        <v>2018</v>
      </c>
      <c r="C1485" s="7">
        <v>43431</v>
      </c>
      <c r="D1485" s="8">
        <v>3.42</v>
      </c>
      <c r="E1485" s="8">
        <v>3.7</v>
      </c>
    </row>
    <row r="1486" spans="1:5" x14ac:dyDescent="0.2">
      <c r="A1486" s="5">
        <f t="shared" si="55"/>
        <v>11</v>
      </c>
      <c r="B1486" s="5">
        <f t="shared" si="56"/>
        <v>2018</v>
      </c>
      <c r="C1486" s="7">
        <v>43432</v>
      </c>
      <c r="D1486" s="8">
        <v>3.4</v>
      </c>
      <c r="E1486" s="8">
        <v>3.71</v>
      </c>
    </row>
    <row r="1487" spans="1:5" x14ac:dyDescent="0.2">
      <c r="A1487" s="5">
        <f t="shared" si="55"/>
        <v>11</v>
      </c>
      <c r="B1487" s="5">
        <f t="shared" si="56"/>
        <v>2018</v>
      </c>
      <c r="C1487" s="7">
        <v>43433</v>
      </c>
      <c r="D1487" s="8">
        <v>3.4</v>
      </c>
      <c r="E1487" s="8">
        <v>3.7</v>
      </c>
    </row>
    <row r="1488" spans="1:5" x14ac:dyDescent="0.2">
      <c r="A1488" s="5">
        <f t="shared" si="55"/>
        <v>11</v>
      </c>
      <c r="B1488" s="5">
        <f t="shared" si="56"/>
        <v>2018</v>
      </c>
      <c r="C1488" s="7">
        <v>43434</v>
      </c>
      <c r="D1488" s="8">
        <v>3.39</v>
      </c>
      <c r="E1488" s="8">
        <v>3.73</v>
      </c>
    </row>
    <row r="1489" spans="1:5" x14ac:dyDescent="0.2">
      <c r="A1489" s="5">
        <f t="shared" si="55"/>
        <v>12</v>
      </c>
      <c r="B1489" s="5">
        <f t="shared" si="56"/>
        <v>2018</v>
      </c>
      <c r="C1489" s="7">
        <v>43437</v>
      </c>
      <c r="D1489" s="8">
        <v>3.38</v>
      </c>
      <c r="E1489" s="8">
        <v>3.76</v>
      </c>
    </row>
    <row r="1490" spans="1:5" x14ac:dyDescent="0.2">
      <c r="A1490" s="5">
        <f t="shared" si="55"/>
        <v>12</v>
      </c>
      <c r="B1490" s="5">
        <f t="shared" si="56"/>
        <v>2018</v>
      </c>
      <c r="C1490" s="7">
        <v>43438</v>
      </c>
      <c r="D1490" s="8">
        <v>3.37</v>
      </c>
      <c r="E1490" s="8">
        <v>3.77</v>
      </c>
    </row>
    <row r="1491" spans="1:5" x14ac:dyDescent="0.2">
      <c r="A1491" s="5">
        <f t="shared" si="55"/>
        <v>12</v>
      </c>
      <c r="B1491" s="5">
        <f t="shared" si="56"/>
        <v>2018</v>
      </c>
      <c r="C1491" s="7">
        <v>43439</v>
      </c>
      <c r="D1491" s="8">
        <v>3.36</v>
      </c>
      <c r="E1491" s="8">
        <v>3.77</v>
      </c>
    </row>
    <row r="1492" spans="1:5" x14ac:dyDescent="0.2">
      <c r="A1492" s="5">
        <f t="shared" si="55"/>
        <v>12</v>
      </c>
      <c r="B1492" s="5">
        <f t="shared" si="56"/>
        <v>2018</v>
      </c>
      <c r="C1492" s="7">
        <v>43440</v>
      </c>
      <c r="D1492" s="8">
        <v>3.36</v>
      </c>
      <c r="E1492" s="8">
        <v>3.76</v>
      </c>
    </row>
    <row r="1493" spans="1:5" x14ac:dyDescent="0.2">
      <c r="A1493" s="5">
        <f t="shared" si="55"/>
        <v>12</v>
      </c>
      <c r="B1493" s="5">
        <f t="shared" si="56"/>
        <v>2018</v>
      </c>
      <c r="C1493" s="7">
        <v>43441</v>
      </c>
      <c r="D1493" s="8">
        <v>3.76</v>
      </c>
      <c r="E1493" s="8">
        <v>3.77</v>
      </c>
    </row>
    <row r="1494" spans="1:5" x14ac:dyDescent="0.2">
      <c r="A1494" s="5">
        <f t="shared" si="55"/>
        <v>12</v>
      </c>
      <c r="B1494" s="5">
        <f t="shared" si="56"/>
        <v>2018</v>
      </c>
      <c r="C1494" s="7">
        <v>43444</v>
      </c>
      <c r="D1494" s="8">
        <v>3.76</v>
      </c>
      <c r="E1494" s="8">
        <v>3.79</v>
      </c>
    </row>
    <row r="1495" spans="1:5" x14ac:dyDescent="0.2">
      <c r="A1495" s="5">
        <f t="shared" si="55"/>
        <v>12</v>
      </c>
      <c r="B1495" s="5">
        <f t="shared" si="56"/>
        <v>2018</v>
      </c>
      <c r="C1495" s="7">
        <v>43445</v>
      </c>
      <c r="D1495" s="8">
        <v>3.76</v>
      </c>
      <c r="E1495" s="8">
        <v>3.8</v>
      </c>
    </row>
    <row r="1496" spans="1:5" x14ac:dyDescent="0.2">
      <c r="A1496" s="5">
        <f t="shared" si="55"/>
        <v>12</v>
      </c>
      <c r="B1496" s="5">
        <f t="shared" si="56"/>
        <v>2018</v>
      </c>
      <c r="C1496" s="7">
        <v>43446</v>
      </c>
      <c r="D1496" s="8">
        <v>3.74</v>
      </c>
      <c r="E1496" s="8">
        <v>3.8</v>
      </c>
    </row>
    <row r="1497" spans="1:5" x14ac:dyDescent="0.2">
      <c r="A1497" s="5">
        <f t="shared" si="55"/>
        <v>12</v>
      </c>
      <c r="B1497" s="5">
        <f t="shared" si="56"/>
        <v>2018</v>
      </c>
      <c r="C1497" s="7">
        <v>43447</v>
      </c>
      <c r="D1497" s="8">
        <v>3.74</v>
      </c>
      <c r="E1497" s="8">
        <v>3.81</v>
      </c>
    </row>
    <row r="1498" spans="1:5" x14ac:dyDescent="0.2">
      <c r="A1498" s="5">
        <f t="shared" si="55"/>
        <v>12</v>
      </c>
      <c r="B1498" s="5">
        <f t="shared" si="56"/>
        <v>2018</v>
      </c>
      <c r="C1498" s="7">
        <v>43448</v>
      </c>
      <c r="D1498" s="8">
        <v>3.73</v>
      </c>
      <c r="E1498" s="8">
        <v>3.8</v>
      </c>
    </row>
    <row r="1499" spans="1:5" x14ac:dyDescent="0.2">
      <c r="A1499" s="5">
        <f t="shared" si="55"/>
        <v>12</v>
      </c>
      <c r="B1499" s="5">
        <f t="shared" si="56"/>
        <v>2018</v>
      </c>
      <c r="C1499" s="7">
        <v>43451</v>
      </c>
      <c r="D1499" s="8">
        <v>3.71</v>
      </c>
      <c r="E1499" s="8">
        <v>3.82</v>
      </c>
    </row>
    <row r="1500" spans="1:5" x14ac:dyDescent="0.2">
      <c r="A1500" s="5">
        <f t="shared" si="55"/>
        <v>12</v>
      </c>
      <c r="B1500" s="5">
        <f t="shared" si="56"/>
        <v>2018</v>
      </c>
      <c r="C1500" s="7">
        <v>43452</v>
      </c>
      <c r="D1500" s="8">
        <v>3.71</v>
      </c>
      <c r="E1500" s="8">
        <v>3.82</v>
      </c>
    </row>
    <row r="1501" spans="1:5" x14ac:dyDescent="0.2">
      <c r="A1501" s="5">
        <f t="shared" si="55"/>
        <v>12</v>
      </c>
      <c r="B1501" s="5">
        <f t="shared" si="56"/>
        <v>2018</v>
      </c>
      <c r="C1501" s="7">
        <v>43453</v>
      </c>
      <c r="D1501" s="8">
        <v>3.71</v>
      </c>
      <c r="E1501" s="8">
        <v>3.83</v>
      </c>
    </row>
    <row r="1502" spans="1:5" x14ac:dyDescent="0.2">
      <c r="A1502" s="5">
        <f t="shared" si="55"/>
        <v>12</v>
      </c>
      <c r="B1502" s="5">
        <f t="shared" si="56"/>
        <v>2018</v>
      </c>
      <c r="C1502" s="7">
        <v>43454</v>
      </c>
      <c r="D1502" s="8">
        <v>3.69</v>
      </c>
      <c r="E1502" s="8">
        <v>3.82</v>
      </c>
    </row>
    <row r="1503" spans="1:5" x14ac:dyDescent="0.2">
      <c r="A1503" s="5">
        <f t="shared" si="55"/>
        <v>12</v>
      </c>
      <c r="B1503" s="5">
        <f t="shared" si="56"/>
        <v>2018</v>
      </c>
      <c r="C1503" s="7">
        <v>43455</v>
      </c>
      <c r="D1503" s="8">
        <v>3.68</v>
      </c>
      <c r="E1503" s="8">
        <v>3.83</v>
      </c>
    </row>
    <row r="1504" spans="1:5" x14ac:dyDescent="0.2">
      <c r="A1504" s="5">
        <f t="shared" si="55"/>
        <v>12</v>
      </c>
      <c r="B1504" s="5">
        <f t="shared" si="56"/>
        <v>2018</v>
      </c>
      <c r="C1504" s="7">
        <v>43458</v>
      </c>
      <c r="D1504" s="8">
        <v>3.67</v>
      </c>
      <c r="E1504" s="8">
        <v>3.85</v>
      </c>
    </row>
    <row r="1505" spans="1:5" x14ac:dyDescent="0.2">
      <c r="A1505" s="5">
        <f t="shared" si="55"/>
        <v>12</v>
      </c>
      <c r="B1505" s="5">
        <f t="shared" si="56"/>
        <v>2018</v>
      </c>
      <c r="C1505" s="7">
        <v>43460</v>
      </c>
      <c r="D1505" s="8">
        <v>3.67</v>
      </c>
      <c r="E1505" s="8">
        <v>3.87</v>
      </c>
    </row>
    <row r="1506" spans="1:5" x14ac:dyDescent="0.2">
      <c r="A1506" s="5">
        <f t="shared" si="55"/>
        <v>12</v>
      </c>
      <c r="B1506" s="5">
        <f t="shared" si="56"/>
        <v>2018</v>
      </c>
      <c r="C1506" s="7">
        <v>43461</v>
      </c>
      <c r="D1506" s="8">
        <v>3.67</v>
      </c>
      <c r="E1506" s="8">
        <v>3.86</v>
      </c>
    </row>
    <row r="1507" spans="1:5" x14ac:dyDescent="0.2">
      <c r="A1507" s="5">
        <f t="shared" si="55"/>
        <v>12</v>
      </c>
      <c r="B1507" s="5">
        <f t="shared" si="56"/>
        <v>2018</v>
      </c>
      <c r="C1507" s="7">
        <v>43462</v>
      </c>
      <c r="D1507" s="8">
        <v>3.65</v>
      </c>
      <c r="E1507" s="8">
        <v>3.87</v>
      </c>
    </row>
    <row r="1508" spans="1:5" x14ac:dyDescent="0.2">
      <c r="A1508" s="5">
        <f t="shared" si="55"/>
        <v>12</v>
      </c>
      <c r="B1508" s="5">
        <f t="shared" si="56"/>
        <v>2018</v>
      </c>
      <c r="C1508" s="7">
        <v>43465</v>
      </c>
      <c r="D1508" s="8">
        <v>3.65</v>
      </c>
      <c r="E1508" s="8">
        <v>3.9</v>
      </c>
    </row>
    <row r="1509" spans="1:5" x14ac:dyDescent="0.2">
      <c r="A1509" s="5">
        <f t="shared" si="55"/>
        <v>1</v>
      </c>
      <c r="B1509" s="5">
        <f t="shared" si="56"/>
        <v>2019</v>
      </c>
      <c r="C1509" s="7">
        <v>43467</v>
      </c>
      <c r="D1509" s="8">
        <v>3.65</v>
      </c>
      <c r="E1509" s="8">
        <v>3.93</v>
      </c>
    </row>
    <row r="1510" spans="1:5" x14ac:dyDescent="0.2">
      <c r="A1510" s="5">
        <f t="shared" si="55"/>
        <v>1</v>
      </c>
      <c r="B1510" s="5">
        <f t="shared" si="56"/>
        <v>2019</v>
      </c>
      <c r="C1510" s="7">
        <v>43468</v>
      </c>
      <c r="D1510" s="8">
        <v>3.65</v>
      </c>
      <c r="E1510" s="8">
        <v>3.94</v>
      </c>
    </row>
    <row r="1511" spans="1:5" x14ac:dyDescent="0.2">
      <c r="A1511" s="5">
        <f t="shared" si="55"/>
        <v>1</v>
      </c>
      <c r="B1511" s="5">
        <f t="shared" si="56"/>
        <v>2019</v>
      </c>
      <c r="C1511" s="7">
        <v>43469</v>
      </c>
      <c r="D1511" s="8">
        <v>3.65</v>
      </c>
      <c r="E1511" s="8">
        <v>3.96</v>
      </c>
    </row>
    <row r="1512" spans="1:5" x14ac:dyDescent="0.2">
      <c r="A1512" s="5">
        <f t="shared" si="55"/>
        <v>1</v>
      </c>
      <c r="B1512" s="5">
        <f t="shared" si="56"/>
        <v>2019</v>
      </c>
      <c r="C1512" s="7">
        <v>43472</v>
      </c>
      <c r="D1512" s="8">
        <v>3.66</v>
      </c>
      <c r="E1512" s="8">
        <v>3.98</v>
      </c>
    </row>
    <row r="1513" spans="1:5" x14ac:dyDescent="0.2">
      <c r="A1513" s="5">
        <f t="shared" si="55"/>
        <v>1</v>
      </c>
      <c r="B1513" s="5">
        <f t="shared" si="56"/>
        <v>2019</v>
      </c>
      <c r="C1513" s="7">
        <v>43473</v>
      </c>
      <c r="D1513" s="8">
        <v>3.66</v>
      </c>
      <c r="E1513" s="8">
        <v>3.99</v>
      </c>
    </row>
    <row r="1514" spans="1:5" x14ac:dyDescent="0.2">
      <c r="A1514" s="5">
        <f t="shared" si="55"/>
        <v>1</v>
      </c>
      <c r="B1514" s="5">
        <f t="shared" si="56"/>
        <v>2019</v>
      </c>
      <c r="C1514" s="7">
        <v>43474</v>
      </c>
      <c r="D1514" s="8">
        <v>3.66</v>
      </c>
      <c r="E1514" s="8">
        <v>4</v>
      </c>
    </row>
    <row r="1515" spans="1:5" x14ac:dyDescent="0.2">
      <c r="A1515" s="5">
        <f t="shared" si="55"/>
        <v>1</v>
      </c>
      <c r="B1515" s="5">
        <f t="shared" si="56"/>
        <v>2019</v>
      </c>
      <c r="C1515" s="7">
        <v>43475</v>
      </c>
      <c r="D1515" s="8">
        <v>3.66</v>
      </c>
      <c r="E1515" s="8">
        <v>4.01</v>
      </c>
    </row>
    <row r="1516" spans="1:5" x14ac:dyDescent="0.2">
      <c r="A1516" s="5">
        <f t="shared" si="55"/>
        <v>1</v>
      </c>
      <c r="B1516" s="5">
        <f t="shared" si="56"/>
        <v>2019</v>
      </c>
      <c r="C1516" s="7">
        <v>43476</v>
      </c>
      <c r="D1516" s="8">
        <v>4.0199999999999996</v>
      </c>
      <c r="E1516" s="8">
        <v>4.05</v>
      </c>
    </row>
    <row r="1517" spans="1:5" x14ac:dyDescent="0.2">
      <c r="A1517" s="5">
        <f t="shared" si="55"/>
        <v>1</v>
      </c>
      <c r="B1517" s="5">
        <f t="shared" si="56"/>
        <v>2019</v>
      </c>
      <c r="C1517" s="7">
        <v>43479</v>
      </c>
      <c r="D1517" s="8">
        <v>4.01</v>
      </c>
      <c r="E1517" s="8">
        <v>4.04</v>
      </c>
    </row>
    <row r="1518" spans="1:5" x14ac:dyDescent="0.2">
      <c r="A1518" s="5">
        <f t="shared" si="55"/>
        <v>1</v>
      </c>
      <c r="B1518" s="5">
        <f t="shared" si="56"/>
        <v>2019</v>
      </c>
      <c r="C1518" s="7">
        <v>43480</v>
      </c>
      <c r="D1518" s="8">
        <v>4.01</v>
      </c>
      <c r="E1518" s="8">
        <v>4.03</v>
      </c>
    </row>
    <row r="1519" spans="1:5" x14ac:dyDescent="0.2">
      <c r="A1519" s="5">
        <f t="shared" si="55"/>
        <v>1</v>
      </c>
      <c r="B1519" s="5">
        <f t="shared" si="56"/>
        <v>2019</v>
      </c>
      <c r="C1519" s="7">
        <v>43481</v>
      </c>
      <c r="D1519" s="8">
        <v>4.0199999999999996</v>
      </c>
      <c r="E1519" s="8">
        <v>4.05</v>
      </c>
    </row>
    <row r="1520" spans="1:5" x14ac:dyDescent="0.2">
      <c r="A1520" s="5">
        <f t="shared" si="55"/>
        <v>1</v>
      </c>
      <c r="B1520" s="5">
        <f t="shared" si="56"/>
        <v>2019</v>
      </c>
      <c r="C1520" s="7">
        <v>43482</v>
      </c>
      <c r="D1520" s="8">
        <v>4.01</v>
      </c>
      <c r="E1520" s="8">
        <v>4.04</v>
      </c>
    </row>
    <row r="1521" spans="1:5" x14ac:dyDescent="0.2">
      <c r="A1521" s="5">
        <f t="shared" si="55"/>
        <v>1</v>
      </c>
      <c r="B1521" s="5">
        <f t="shared" si="56"/>
        <v>2019</v>
      </c>
      <c r="C1521" s="7">
        <v>43483</v>
      </c>
      <c r="D1521" s="8">
        <v>4.01</v>
      </c>
      <c r="E1521" s="8">
        <v>4.0199999999999996</v>
      </c>
    </row>
    <row r="1522" spans="1:5" x14ac:dyDescent="0.2">
      <c r="A1522" s="5">
        <f t="shared" si="55"/>
        <v>1</v>
      </c>
      <c r="B1522" s="5">
        <f t="shared" si="56"/>
        <v>2019</v>
      </c>
      <c r="C1522" s="7">
        <v>43486</v>
      </c>
      <c r="D1522" s="8">
        <v>4.01</v>
      </c>
      <c r="E1522" s="8">
        <v>4.03</v>
      </c>
    </row>
    <row r="1523" spans="1:5" x14ac:dyDescent="0.2">
      <c r="A1523" s="5">
        <f t="shared" si="55"/>
        <v>1</v>
      </c>
      <c r="B1523" s="5">
        <f t="shared" si="56"/>
        <v>2019</v>
      </c>
      <c r="C1523" s="7">
        <v>43487</v>
      </c>
      <c r="D1523" s="8">
        <v>4.01</v>
      </c>
      <c r="E1523" s="8">
        <v>4.03</v>
      </c>
    </row>
    <row r="1524" spans="1:5" x14ac:dyDescent="0.2">
      <c r="A1524" s="5">
        <f t="shared" si="55"/>
        <v>1</v>
      </c>
      <c r="B1524" s="5">
        <f t="shared" si="56"/>
        <v>2019</v>
      </c>
      <c r="C1524" s="7">
        <v>43488</v>
      </c>
      <c r="D1524" s="8">
        <v>4</v>
      </c>
      <c r="E1524" s="8">
        <v>4.03</v>
      </c>
    </row>
    <row r="1525" spans="1:5" x14ac:dyDescent="0.2">
      <c r="A1525" s="5">
        <f t="shared" si="55"/>
        <v>1</v>
      </c>
      <c r="B1525" s="5">
        <f t="shared" si="56"/>
        <v>2019</v>
      </c>
      <c r="C1525" s="7">
        <v>43489</v>
      </c>
      <c r="D1525" s="8">
        <v>4</v>
      </c>
      <c r="E1525" s="8">
        <v>4.03</v>
      </c>
    </row>
    <row r="1526" spans="1:5" x14ac:dyDescent="0.2">
      <c r="A1526" s="5">
        <f t="shared" si="55"/>
        <v>1</v>
      </c>
      <c r="B1526" s="5">
        <f t="shared" si="56"/>
        <v>2019</v>
      </c>
      <c r="C1526" s="7">
        <v>43490</v>
      </c>
      <c r="D1526" s="8">
        <v>4</v>
      </c>
      <c r="E1526" s="8">
        <v>4.03</v>
      </c>
    </row>
    <row r="1527" spans="1:5" x14ac:dyDescent="0.2">
      <c r="A1527" s="5">
        <f t="shared" si="55"/>
        <v>1</v>
      </c>
      <c r="B1527" s="5">
        <f t="shared" si="56"/>
        <v>2019</v>
      </c>
      <c r="C1527" s="7">
        <v>43493</v>
      </c>
      <c r="D1527" s="8">
        <v>4</v>
      </c>
      <c r="E1527" s="8">
        <v>4.03</v>
      </c>
    </row>
    <row r="1528" spans="1:5" x14ac:dyDescent="0.2">
      <c r="A1528" s="5">
        <f t="shared" si="55"/>
        <v>1</v>
      </c>
      <c r="B1528" s="5">
        <f t="shared" si="56"/>
        <v>2019</v>
      </c>
      <c r="C1528" s="7">
        <v>43494</v>
      </c>
      <c r="D1528" s="8">
        <v>4</v>
      </c>
      <c r="E1528" s="8">
        <v>4.03</v>
      </c>
    </row>
    <row r="1529" spans="1:5" x14ac:dyDescent="0.2">
      <c r="A1529" s="5">
        <f t="shared" si="55"/>
        <v>1</v>
      </c>
      <c r="B1529" s="5">
        <f t="shared" si="56"/>
        <v>2019</v>
      </c>
      <c r="C1529" s="7">
        <v>43495</v>
      </c>
      <c r="D1529" s="8">
        <v>4</v>
      </c>
      <c r="E1529" s="8">
        <v>4.03</v>
      </c>
    </row>
    <row r="1530" spans="1:5" x14ac:dyDescent="0.2">
      <c r="A1530" s="5">
        <f t="shared" si="55"/>
        <v>1</v>
      </c>
      <c r="B1530" s="5">
        <f t="shared" si="56"/>
        <v>2019</v>
      </c>
      <c r="C1530" s="7">
        <v>43496</v>
      </c>
      <c r="D1530" s="8">
        <v>4</v>
      </c>
      <c r="E1530" s="8">
        <v>4.03</v>
      </c>
    </row>
    <row r="1531" spans="1:5" x14ac:dyDescent="0.2">
      <c r="A1531" s="5">
        <f t="shared" si="55"/>
        <v>2</v>
      </c>
      <c r="B1531" s="5">
        <f t="shared" si="56"/>
        <v>2019</v>
      </c>
      <c r="C1531" s="7">
        <v>43497</v>
      </c>
      <c r="D1531" s="8">
        <v>3.94</v>
      </c>
      <c r="E1531" s="8">
        <v>3.99</v>
      </c>
    </row>
    <row r="1532" spans="1:5" x14ac:dyDescent="0.2">
      <c r="A1532" s="5">
        <f t="shared" si="55"/>
        <v>2</v>
      </c>
      <c r="B1532" s="5">
        <f t="shared" si="56"/>
        <v>2019</v>
      </c>
      <c r="C1532" s="7">
        <v>43500</v>
      </c>
      <c r="D1532" s="8">
        <v>3.93</v>
      </c>
      <c r="E1532" s="8">
        <v>4</v>
      </c>
    </row>
    <row r="1533" spans="1:5" x14ac:dyDescent="0.2">
      <c r="A1533" s="5">
        <f t="shared" si="55"/>
        <v>2</v>
      </c>
      <c r="B1533" s="5">
        <f t="shared" si="56"/>
        <v>2019</v>
      </c>
      <c r="C1533" s="7">
        <v>43501</v>
      </c>
      <c r="D1533" s="8">
        <v>3.93</v>
      </c>
      <c r="E1533" s="8">
        <v>4</v>
      </c>
    </row>
    <row r="1534" spans="1:5" x14ac:dyDescent="0.2">
      <c r="A1534" s="5">
        <f t="shared" si="55"/>
        <v>2</v>
      </c>
      <c r="B1534" s="5">
        <f t="shared" si="56"/>
        <v>2019</v>
      </c>
      <c r="C1534" s="7">
        <v>43502</v>
      </c>
      <c r="D1534" s="8">
        <v>3.93</v>
      </c>
      <c r="E1534" s="8">
        <v>4</v>
      </c>
    </row>
    <row r="1535" spans="1:5" x14ac:dyDescent="0.2">
      <c r="A1535" s="5">
        <f t="shared" si="55"/>
        <v>2</v>
      </c>
      <c r="B1535" s="5">
        <f t="shared" si="56"/>
        <v>2019</v>
      </c>
      <c r="C1535" s="7">
        <v>43503</v>
      </c>
      <c r="D1535" s="8">
        <v>3.93</v>
      </c>
      <c r="E1535" s="8">
        <v>3.99</v>
      </c>
    </row>
    <row r="1536" spans="1:5" x14ac:dyDescent="0.2">
      <c r="A1536" s="5">
        <f t="shared" si="55"/>
        <v>2</v>
      </c>
      <c r="B1536" s="5">
        <f t="shared" si="56"/>
        <v>2019</v>
      </c>
      <c r="C1536" s="7">
        <v>43504</v>
      </c>
      <c r="D1536" s="8">
        <v>3.99</v>
      </c>
      <c r="E1536" s="8">
        <v>4</v>
      </c>
    </row>
    <row r="1537" spans="1:5" x14ac:dyDescent="0.2">
      <c r="A1537" s="5">
        <f t="shared" si="55"/>
        <v>2</v>
      </c>
      <c r="B1537" s="5">
        <f t="shared" si="56"/>
        <v>2019</v>
      </c>
      <c r="C1537" s="7">
        <v>43507</v>
      </c>
      <c r="D1537" s="8">
        <v>4</v>
      </c>
      <c r="E1537" s="8">
        <v>4.01</v>
      </c>
    </row>
    <row r="1538" spans="1:5" x14ac:dyDescent="0.2">
      <c r="A1538" s="5">
        <f t="shared" si="55"/>
        <v>2</v>
      </c>
      <c r="B1538" s="5">
        <f t="shared" si="56"/>
        <v>2019</v>
      </c>
      <c r="C1538" s="7">
        <v>43508</v>
      </c>
      <c r="D1538" s="8">
        <v>4.01</v>
      </c>
      <c r="E1538" s="8">
        <v>4.0199999999999996</v>
      </c>
    </row>
    <row r="1539" spans="1:5" x14ac:dyDescent="0.2">
      <c r="A1539" s="5">
        <f t="shared" si="55"/>
        <v>2</v>
      </c>
      <c r="B1539" s="5">
        <f t="shared" si="56"/>
        <v>2019</v>
      </c>
      <c r="C1539" s="7">
        <v>43509</v>
      </c>
      <c r="D1539" s="8">
        <v>4.01</v>
      </c>
      <c r="E1539" s="8">
        <v>4.01</v>
      </c>
    </row>
    <row r="1540" spans="1:5" x14ac:dyDescent="0.2">
      <c r="A1540" s="5">
        <f t="shared" ref="A1540:A1603" si="57">MONTH(C1540)</f>
        <v>2</v>
      </c>
      <c r="B1540" s="5">
        <f t="shared" ref="B1540:B1603" si="58">YEAR(C1540)</f>
        <v>2019</v>
      </c>
      <c r="C1540" s="7">
        <v>43510</v>
      </c>
      <c r="D1540" s="8">
        <v>3.99</v>
      </c>
      <c r="E1540" s="8">
        <v>4.01</v>
      </c>
    </row>
    <row r="1541" spans="1:5" x14ac:dyDescent="0.2">
      <c r="A1541" s="5">
        <f t="shared" si="57"/>
        <v>2</v>
      </c>
      <c r="B1541" s="5">
        <f t="shared" si="58"/>
        <v>2019</v>
      </c>
      <c r="C1541" s="7">
        <v>43511</v>
      </c>
      <c r="D1541" s="8">
        <v>3.99</v>
      </c>
      <c r="E1541" s="8">
        <v>4.0199999999999996</v>
      </c>
    </row>
    <row r="1542" spans="1:5" x14ac:dyDescent="0.2">
      <c r="A1542" s="5">
        <f t="shared" si="57"/>
        <v>2</v>
      </c>
      <c r="B1542" s="5">
        <f t="shared" si="58"/>
        <v>2019</v>
      </c>
      <c r="C1542" s="7">
        <v>43514</v>
      </c>
      <c r="D1542" s="8">
        <v>3.99</v>
      </c>
      <c r="E1542" s="8">
        <v>4.03</v>
      </c>
    </row>
    <row r="1543" spans="1:5" x14ac:dyDescent="0.2">
      <c r="A1543" s="5">
        <f t="shared" si="57"/>
        <v>2</v>
      </c>
      <c r="B1543" s="5">
        <f t="shared" si="58"/>
        <v>2019</v>
      </c>
      <c r="C1543" s="7">
        <v>43515</v>
      </c>
      <c r="D1543" s="8">
        <v>3.99</v>
      </c>
      <c r="E1543" s="8">
        <v>4.03</v>
      </c>
    </row>
    <row r="1544" spans="1:5" x14ac:dyDescent="0.2">
      <c r="A1544" s="5">
        <f t="shared" si="57"/>
        <v>2</v>
      </c>
      <c r="B1544" s="5">
        <f t="shared" si="58"/>
        <v>2019</v>
      </c>
      <c r="C1544" s="7">
        <v>43516</v>
      </c>
      <c r="D1544" s="8">
        <v>3.99</v>
      </c>
      <c r="E1544" s="8">
        <v>4.03</v>
      </c>
    </row>
    <row r="1545" spans="1:5" x14ac:dyDescent="0.2">
      <c r="A1545" s="5">
        <f t="shared" si="57"/>
        <v>2</v>
      </c>
      <c r="B1545" s="5">
        <f t="shared" si="58"/>
        <v>2019</v>
      </c>
      <c r="C1545" s="7">
        <v>43517</v>
      </c>
      <c r="D1545" s="8">
        <v>3.98</v>
      </c>
      <c r="E1545" s="8">
        <v>4.03</v>
      </c>
    </row>
    <row r="1546" spans="1:5" x14ac:dyDescent="0.2">
      <c r="A1546" s="5">
        <f t="shared" si="57"/>
        <v>2</v>
      </c>
      <c r="B1546" s="5">
        <f t="shared" si="58"/>
        <v>2019</v>
      </c>
      <c r="C1546" s="7">
        <v>43518</v>
      </c>
      <c r="D1546" s="8">
        <v>3.97</v>
      </c>
      <c r="E1546" s="8">
        <v>4.01</v>
      </c>
    </row>
    <row r="1547" spans="1:5" x14ac:dyDescent="0.2">
      <c r="A1547" s="5">
        <f t="shared" si="57"/>
        <v>2</v>
      </c>
      <c r="B1547" s="5">
        <f t="shared" si="58"/>
        <v>2019</v>
      </c>
      <c r="C1547" s="7">
        <v>43521</v>
      </c>
      <c r="D1547" s="8">
        <v>3.97</v>
      </c>
      <c r="E1547" s="8">
        <v>4.0199999999999996</v>
      </c>
    </row>
    <row r="1548" spans="1:5" x14ac:dyDescent="0.2">
      <c r="A1548" s="5">
        <f t="shared" si="57"/>
        <v>2</v>
      </c>
      <c r="B1548" s="5">
        <f t="shared" si="58"/>
        <v>2019</v>
      </c>
      <c r="C1548" s="7">
        <v>43522</v>
      </c>
      <c r="D1548" s="8">
        <v>3.97</v>
      </c>
      <c r="E1548" s="8">
        <v>4.03</v>
      </c>
    </row>
    <row r="1549" spans="1:5" x14ac:dyDescent="0.2">
      <c r="A1549" s="5">
        <f t="shared" si="57"/>
        <v>2</v>
      </c>
      <c r="B1549" s="5">
        <f t="shared" si="58"/>
        <v>2019</v>
      </c>
      <c r="C1549" s="7">
        <v>43523</v>
      </c>
      <c r="D1549" s="8">
        <v>3.97</v>
      </c>
      <c r="E1549" s="8">
        <v>4.03</v>
      </c>
    </row>
    <row r="1550" spans="1:5" x14ac:dyDescent="0.2">
      <c r="A1550" s="5">
        <f t="shared" si="57"/>
        <v>2</v>
      </c>
      <c r="B1550" s="5">
        <f t="shared" si="58"/>
        <v>2019</v>
      </c>
      <c r="C1550" s="7">
        <v>43524</v>
      </c>
      <c r="D1550" s="8">
        <v>3.98</v>
      </c>
      <c r="E1550" s="8">
        <v>4.04</v>
      </c>
    </row>
    <row r="1551" spans="1:5" x14ac:dyDescent="0.2">
      <c r="A1551" s="5">
        <f t="shared" si="57"/>
        <v>3</v>
      </c>
      <c r="B1551" s="5">
        <f t="shared" si="58"/>
        <v>2019</v>
      </c>
      <c r="C1551" s="7">
        <v>43525</v>
      </c>
      <c r="D1551" s="8">
        <v>3.99</v>
      </c>
      <c r="E1551" s="8">
        <v>4.04</v>
      </c>
    </row>
    <row r="1552" spans="1:5" x14ac:dyDescent="0.2">
      <c r="A1552" s="5">
        <f t="shared" si="57"/>
        <v>3</v>
      </c>
      <c r="B1552" s="5">
        <f t="shared" si="58"/>
        <v>2019</v>
      </c>
      <c r="C1552" s="7">
        <v>43530</v>
      </c>
      <c r="D1552" s="8">
        <v>3.99</v>
      </c>
      <c r="E1552" s="8">
        <v>4.05</v>
      </c>
    </row>
    <row r="1553" spans="1:5" x14ac:dyDescent="0.2">
      <c r="A1553" s="5">
        <f t="shared" si="57"/>
        <v>3</v>
      </c>
      <c r="B1553" s="5">
        <f t="shared" si="58"/>
        <v>2019</v>
      </c>
      <c r="C1553" s="7">
        <v>43531</v>
      </c>
      <c r="D1553" s="8">
        <v>3.98</v>
      </c>
      <c r="E1553" s="8">
        <v>4.04</v>
      </c>
    </row>
    <row r="1554" spans="1:5" x14ac:dyDescent="0.2">
      <c r="A1554" s="5">
        <f t="shared" si="57"/>
        <v>3</v>
      </c>
      <c r="B1554" s="5">
        <f t="shared" si="58"/>
        <v>2019</v>
      </c>
      <c r="C1554" s="7">
        <v>43532</v>
      </c>
      <c r="D1554" s="8">
        <v>3.97</v>
      </c>
      <c r="E1554" s="8">
        <v>4.05</v>
      </c>
    </row>
    <row r="1555" spans="1:5" x14ac:dyDescent="0.2">
      <c r="A1555" s="5">
        <f t="shared" si="57"/>
        <v>3</v>
      </c>
      <c r="B1555" s="5">
        <f t="shared" si="58"/>
        <v>2019</v>
      </c>
      <c r="C1555" s="7">
        <v>43535</v>
      </c>
      <c r="D1555" s="8">
        <v>3.97</v>
      </c>
      <c r="E1555" s="8">
        <v>4.0599999999999996</v>
      </c>
    </row>
    <row r="1556" spans="1:5" x14ac:dyDescent="0.2">
      <c r="A1556" s="5">
        <f t="shared" si="57"/>
        <v>3</v>
      </c>
      <c r="B1556" s="5">
        <f t="shared" si="58"/>
        <v>2019</v>
      </c>
      <c r="C1556" s="7">
        <v>43536</v>
      </c>
      <c r="D1556" s="8">
        <v>4.0599999999999996</v>
      </c>
      <c r="E1556" s="8">
        <v>4.0599999999999996</v>
      </c>
    </row>
    <row r="1557" spans="1:5" x14ac:dyDescent="0.2">
      <c r="A1557" s="5">
        <f t="shared" si="57"/>
        <v>3</v>
      </c>
      <c r="B1557" s="5">
        <f t="shared" si="58"/>
        <v>2019</v>
      </c>
      <c r="C1557" s="7">
        <v>43537</v>
      </c>
      <c r="D1557" s="8">
        <v>4.0599999999999996</v>
      </c>
      <c r="E1557" s="8">
        <v>4.0599999999999996</v>
      </c>
    </row>
    <row r="1558" spans="1:5" x14ac:dyDescent="0.2">
      <c r="A1558" s="5">
        <f t="shared" si="57"/>
        <v>3</v>
      </c>
      <c r="B1558" s="5">
        <f t="shared" si="58"/>
        <v>2019</v>
      </c>
      <c r="C1558" s="7">
        <v>43538</v>
      </c>
      <c r="D1558" s="8">
        <v>4.03</v>
      </c>
      <c r="E1558" s="8">
        <v>4.03</v>
      </c>
    </row>
    <row r="1559" spans="1:5" x14ac:dyDescent="0.2">
      <c r="A1559" s="5">
        <f t="shared" si="57"/>
        <v>3</v>
      </c>
      <c r="B1559" s="5">
        <f t="shared" si="58"/>
        <v>2019</v>
      </c>
      <c r="C1559" s="7">
        <v>43539</v>
      </c>
      <c r="D1559" s="8">
        <v>4.01</v>
      </c>
      <c r="E1559" s="8">
        <v>3.99</v>
      </c>
    </row>
    <row r="1560" spans="1:5" x14ac:dyDescent="0.2">
      <c r="A1560" s="5">
        <f t="shared" si="57"/>
        <v>3</v>
      </c>
      <c r="B1560" s="5">
        <f t="shared" si="58"/>
        <v>2019</v>
      </c>
      <c r="C1560" s="7">
        <v>43542</v>
      </c>
      <c r="D1560" s="8">
        <v>4.01</v>
      </c>
      <c r="E1560" s="8">
        <v>3.98</v>
      </c>
    </row>
    <row r="1561" spans="1:5" x14ac:dyDescent="0.2">
      <c r="A1561" s="5">
        <f t="shared" si="57"/>
        <v>3</v>
      </c>
      <c r="B1561" s="5">
        <f t="shared" si="58"/>
        <v>2019</v>
      </c>
      <c r="C1561" s="7">
        <v>43543</v>
      </c>
      <c r="D1561" s="8">
        <v>4.01</v>
      </c>
      <c r="E1561" s="8">
        <v>3.97</v>
      </c>
    </row>
    <row r="1562" spans="1:5" x14ac:dyDescent="0.2">
      <c r="A1562" s="5">
        <f t="shared" si="57"/>
        <v>3</v>
      </c>
      <c r="B1562" s="5">
        <f t="shared" si="58"/>
        <v>2019</v>
      </c>
      <c r="C1562" s="7">
        <v>43544</v>
      </c>
      <c r="D1562" s="8">
        <v>4.01</v>
      </c>
      <c r="E1562" s="8">
        <v>3.96</v>
      </c>
    </row>
    <row r="1563" spans="1:5" x14ac:dyDescent="0.2">
      <c r="A1563" s="5">
        <f t="shared" si="57"/>
        <v>3</v>
      </c>
      <c r="B1563" s="5">
        <f t="shared" si="58"/>
        <v>2019</v>
      </c>
      <c r="C1563" s="7">
        <v>43545</v>
      </c>
      <c r="D1563" s="8">
        <v>4.01</v>
      </c>
      <c r="E1563" s="8">
        <v>3.96</v>
      </c>
    </row>
    <row r="1564" spans="1:5" x14ac:dyDescent="0.2">
      <c r="A1564" s="5">
        <f t="shared" si="57"/>
        <v>3</v>
      </c>
      <c r="B1564" s="5">
        <f t="shared" si="58"/>
        <v>2019</v>
      </c>
      <c r="C1564" s="7">
        <v>43546</v>
      </c>
      <c r="D1564" s="8">
        <v>4.01</v>
      </c>
      <c r="E1564" s="8">
        <v>3.96</v>
      </c>
    </row>
    <row r="1565" spans="1:5" x14ac:dyDescent="0.2">
      <c r="A1565" s="5">
        <f t="shared" si="57"/>
        <v>3</v>
      </c>
      <c r="B1565" s="5">
        <f t="shared" si="58"/>
        <v>2019</v>
      </c>
      <c r="C1565" s="7">
        <v>43549</v>
      </c>
      <c r="D1565" s="8">
        <v>4.01</v>
      </c>
      <c r="E1565" s="8">
        <v>3.93</v>
      </c>
    </row>
    <row r="1566" spans="1:5" x14ac:dyDescent="0.2">
      <c r="A1566" s="5">
        <f t="shared" si="57"/>
        <v>3</v>
      </c>
      <c r="B1566" s="5">
        <f t="shared" si="58"/>
        <v>2019</v>
      </c>
      <c r="C1566" s="7">
        <v>43550</v>
      </c>
      <c r="D1566" s="8">
        <v>4.01</v>
      </c>
      <c r="E1566" s="8">
        <v>3.92</v>
      </c>
    </row>
    <row r="1567" spans="1:5" x14ac:dyDescent="0.2">
      <c r="A1567" s="5">
        <f t="shared" si="57"/>
        <v>3</v>
      </c>
      <c r="B1567" s="5">
        <f t="shared" si="58"/>
        <v>2019</v>
      </c>
      <c r="C1567" s="7">
        <v>43551</v>
      </c>
      <c r="D1567" s="8">
        <v>4.01</v>
      </c>
      <c r="E1567" s="8">
        <v>3.91</v>
      </c>
    </row>
    <row r="1568" spans="1:5" x14ac:dyDescent="0.2">
      <c r="A1568" s="5">
        <f t="shared" si="57"/>
        <v>3</v>
      </c>
      <c r="B1568" s="5">
        <f t="shared" si="58"/>
        <v>2019</v>
      </c>
      <c r="C1568" s="7">
        <v>43552</v>
      </c>
      <c r="D1568" s="8">
        <v>4.01</v>
      </c>
      <c r="E1568" s="8">
        <v>3.91</v>
      </c>
    </row>
    <row r="1569" spans="1:5" x14ac:dyDescent="0.2">
      <c r="A1569" s="5">
        <f t="shared" si="57"/>
        <v>3</v>
      </c>
      <c r="B1569" s="5">
        <f t="shared" si="58"/>
        <v>2019</v>
      </c>
      <c r="C1569" s="7">
        <v>43553</v>
      </c>
      <c r="D1569" s="8">
        <v>4</v>
      </c>
      <c r="E1569" s="8">
        <v>3.89</v>
      </c>
    </row>
    <row r="1570" spans="1:5" x14ac:dyDescent="0.2">
      <c r="A1570" s="5">
        <f t="shared" si="57"/>
        <v>4</v>
      </c>
      <c r="B1570" s="5">
        <f t="shared" si="58"/>
        <v>2019</v>
      </c>
      <c r="C1570" s="7">
        <v>43556</v>
      </c>
      <c r="D1570" s="8">
        <v>4</v>
      </c>
      <c r="E1570" s="8">
        <v>3.86</v>
      </c>
    </row>
    <row r="1571" spans="1:5" x14ac:dyDescent="0.2">
      <c r="A1571" s="5">
        <f t="shared" si="57"/>
        <v>4</v>
      </c>
      <c r="B1571" s="5">
        <f t="shared" si="58"/>
        <v>2019</v>
      </c>
      <c r="C1571" s="7">
        <v>43557</v>
      </c>
      <c r="D1571" s="8">
        <v>4</v>
      </c>
      <c r="E1571" s="8">
        <v>3.85</v>
      </c>
    </row>
    <row r="1572" spans="1:5" x14ac:dyDescent="0.2">
      <c r="A1572" s="5">
        <f t="shared" si="57"/>
        <v>4</v>
      </c>
      <c r="B1572" s="5">
        <f t="shared" si="58"/>
        <v>2019</v>
      </c>
      <c r="C1572" s="7">
        <v>43558</v>
      </c>
      <c r="D1572" s="8">
        <v>3.98</v>
      </c>
      <c r="E1572" s="8">
        <v>3.84</v>
      </c>
    </row>
    <row r="1573" spans="1:5" x14ac:dyDescent="0.2">
      <c r="A1573" s="5">
        <f t="shared" si="57"/>
        <v>4</v>
      </c>
      <c r="B1573" s="5">
        <f t="shared" si="58"/>
        <v>2019</v>
      </c>
      <c r="C1573" s="7">
        <v>43559</v>
      </c>
      <c r="D1573" s="8">
        <v>3.99</v>
      </c>
      <c r="E1573" s="8">
        <v>3.84</v>
      </c>
    </row>
    <row r="1574" spans="1:5" x14ac:dyDescent="0.2">
      <c r="A1574" s="5">
        <f t="shared" si="57"/>
        <v>4</v>
      </c>
      <c r="B1574" s="5">
        <f t="shared" si="58"/>
        <v>2019</v>
      </c>
      <c r="C1574" s="7">
        <v>43560</v>
      </c>
      <c r="D1574" s="8">
        <v>4</v>
      </c>
      <c r="E1574" s="8">
        <v>3.83</v>
      </c>
    </row>
    <row r="1575" spans="1:5" x14ac:dyDescent="0.2">
      <c r="A1575" s="5">
        <f t="shared" si="57"/>
        <v>4</v>
      </c>
      <c r="B1575" s="5">
        <f t="shared" si="58"/>
        <v>2019</v>
      </c>
      <c r="C1575" s="7">
        <v>43563</v>
      </c>
      <c r="D1575" s="8">
        <v>4</v>
      </c>
      <c r="E1575" s="8">
        <v>3.79</v>
      </c>
    </row>
    <row r="1576" spans="1:5" x14ac:dyDescent="0.2">
      <c r="A1576" s="5">
        <f t="shared" si="57"/>
        <v>4</v>
      </c>
      <c r="B1576" s="5">
        <f t="shared" si="58"/>
        <v>2019</v>
      </c>
      <c r="C1576" s="7">
        <v>43564</v>
      </c>
      <c r="D1576" s="8">
        <v>4</v>
      </c>
      <c r="E1576" s="8">
        <v>3.78</v>
      </c>
    </row>
    <row r="1577" spans="1:5" x14ac:dyDescent="0.2">
      <c r="A1577" s="5">
        <f t="shared" si="57"/>
        <v>4</v>
      </c>
      <c r="B1577" s="5">
        <f t="shared" si="58"/>
        <v>2019</v>
      </c>
      <c r="C1577" s="7">
        <v>43565</v>
      </c>
      <c r="D1577" s="8">
        <v>3.78</v>
      </c>
      <c r="E1577" s="8">
        <v>3.77</v>
      </c>
    </row>
    <row r="1578" spans="1:5" x14ac:dyDescent="0.2">
      <c r="A1578" s="5">
        <f t="shared" si="57"/>
        <v>4</v>
      </c>
      <c r="B1578" s="5">
        <f t="shared" si="58"/>
        <v>2019</v>
      </c>
      <c r="C1578" s="7">
        <v>43566</v>
      </c>
      <c r="D1578" s="8">
        <v>3.78</v>
      </c>
      <c r="E1578" s="8">
        <v>3.76</v>
      </c>
    </row>
    <row r="1579" spans="1:5" x14ac:dyDescent="0.2">
      <c r="A1579" s="5">
        <f t="shared" si="57"/>
        <v>4</v>
      </c>
      <c r="B1579" s="5">
        <f t="shared" si="58"/>
        <v>2019</v>
      </c>
      <c r="C1579" s="7">
        <v>43567</v>
      </c>
      <c r="D1579" s="8">
        <v>3.76</v>
      </c>
      <c r="E1579" s="8">
        <v>3.74</v>
      </c>
    </row>
    <row r="1580" spans="1:5" x14ac:dyDescent="0.2">
      <c r="A1580" s="5">
        <f t="shared" si="57"/>
        <v>4</v>
      </c>
      <c r="B1580" s="5">
        <f t="shared" si="58"/>
        <v>2019</v>
      </c>
      <c r="C1580" s="7">
        <v>43570</v>
      </c>
      <c r="D1580" s="8">
        <v>3.74</v>
      </c>
      <c r="E1580" s="8">
        <v>3.72</v>
      </c>
    </row>
    <row r="1581" spans="1:5" x14ac:dyDescent="0.2">
      <c r="A1581" s="5">
        <f t="shared" si="57"/>
        <v>4</v>
      </c>
      <c r="B1581" s="5">
        <f t="shared" si="58"/>
        <v>2019</v>
      </c>
      <c r="C1581" s="7">
        <v>43571</v>
      </c>
      <c r="D1581" s="8">
        <v>3.74</v>
      </c>
      <c r="E1581" s="8">
        <v>3.72</v>
      </c>
    </row>
    <row r="1582" spans="1:5" x14ac:dyDescent="0.2">
      <c r="A1582" s="5">
        <f t="shared" si="57"/>
        <v>4</v>
      </c>
      <c r="B1582" s="5">
        <f t="shared" si="58"/>
        <v>2019</v>
      </c>
      <c r="C1582" s="7">
        <v>43572</v>
      </c>
      <c r="D1582" s="8">
        <v>3.74</v>
      </c>
      <c r="E1582" s="8">
        <v>3.72</v>
      </c>
    </row>
    <row r="1583" spans="1:5" x14ac:dyDescent="0.2">
      <c r="A1583" s="5">
        <f t="shared" si="57"/>
        <v>4</v>
      </c>
      <c r="B1583" s="5">
        <f t="shared" si="58"/>
        <v>2019</v>
      </c>
      <c r="C1583" s="7">
        <v>43573</v>
      </c>
      <c r="D1583" s="8">
        <v>3.72</v>
      </c>
      <c r="E1583" s="8">
        <v>3.67</v>
      </c>
    </row>
    <row r="1584" spans="1:5" x14ac:dyDescent="0.2">
      <c r="A1584" s="5">
        <f t="shared" si="57"/>
        <v>4</v>
      </c>
      <c r="B1584" s="5">
        <f t="shared" si="58"/>
        <v>2019</v>
      </c>
      <c r="C1584" s="7">
        <v>43577</v>
      </c>
      <c r="D1584" s="8">
        <v>3.72</v>
      </c>
      <c r="E1584" s="8">
        <v>3.64</v>
      </c>
    </row>
    <row r="1585" spans="1:5" x14ac:dyDescent="0.2">
      <c r="A1585" s="5">
        <f t="shared" si="57"/>
        <v>4</v>
      </c>
      <c r="B1585" s="5">
        <f t="shared" si="58"/>
        <v>2019</v>
      </c>
      <c r="C1585" s="7">
        <v>43578</v>
      </c>
      <c r="D1585" s="8">
        <v>3.72</v>
      </c>
      <c r="E1585" s="8">
        <v>3.62</v>
      </c>
    </row>
    <row r="1586" spans="1:5" x14ac:dyDescent="0.2">
      <c r="A1586" s="5">
        <f t="shared" si="57"/>
        <v>4</v>
      </c>
      <c r="B1586" s="5">
        <f t="shared" si="58"/>
        <v>2019</v>
      </c>
      <c r="C1586" s="7">
        <v>43579</v>
      </c>
      <c r="D1586" s="8">
        <v>3.72</v>
      </c>
      <c r="E1586" s="8">
        <v>3.61</v>
      </c>
    </row>
    <row r="1587" spans="1:5" x14ac:dyDescent="0.2">
      <c r="A1587" s="5">
        <f t="shared" si="57"/>
        <v>4</v>
      </c>
      <c r="B1587" s="5">
        <f t="shared" si="58"/>
        <v>2019</v>
      </c>
      <c r="C1587" s="7">
        <v>43580</v>
      </c>
      <c r="D1587" s="8">
        <v>3.72</v>
      </c>
      <c r="E1587" s="8">
        <v>3.61</v>
      </c>
    </row>
    <row r="1588" spans="1:5" x14ac:dyDescent="0.2">
      <c r="A1588" s="5">
        <f t="shared" si="57"/>
        <v>4</v>
      </c>
      <c r="B1588" s="5">
        <f t="shared" si="58"/>
        <v>2019</v>
      </c>
      <c r="C1588" s="7">
        <v>43581</v>
      </c>
      <c r="D1588" s="8">
        <v>3.72</v>
      </c>
      <c r="E1588" s="8">
        <v>3.6</v>
      </c>
    </row>
    <row r="1589" spans="1:5" x14ac:dyDescent="0.2">
      <c r="A1589" s="5">
        <f t="shared" si="57"/>
        <v>4</v>
      </c>
      <c r="B1589" s="5">
        <f t="shared" si="58"/>
        <v>2019</v>
      </c>
      <c r="C1589" s="7">
        <v>43584</v>
      </c>
      <c r="D1589" s="8">
        <v>3.72</v>
      </c>
      <c r="E1589" s="8">
        <v>3.6</v>
      </c>
    </row>
    <row r="1590" spans="1:5" x14ac:dyDescent="0.2">
      <c r="A1590" s="5">
        <f t="shared" si="57"/>
        <v>4</v>
      </c>
      <c r="B1590" s="5">
        <f t="shared" si="58"/>
        <v>2019</v>
      </c>
      <c r="C1590" s="7">
        <v>43585</v>
      </c>
      <c r="D1590" s="8">
        <v>3.72</v>
      </c>
      <c r="E1590" s="8">
        <v>3.6</v>
      </c>
    </row>
    <row r="1591" spans="1:5" x14ac:dyDescent="0.2">
      <c r="A1591" s="5">
        <f t="shared" si="57"/>
        <v>5</v>
      </c>
      <c r="B1591" s="5">
        <f t="shared" si="58"/>
        <v>2019</v>
      </c>
      <c r="C1591" s="7">
        <v>43587</v>
      </c>
      <c r="D1591" s="8">
        <v>3.74</v>
      </c>
      <c r="E1591" s="8">
        <v>3.58</v>
      </c>
    </row>
    <row r="1592" spans="1:5" x14ac:dyDescent="0.2">
      <c r="A1592" s="5">
        <f t="shared" si="57"/>
        <v>5</v>
      </c>
      <c r="B1592" s="5">
        <f t="shared" si="58"/>
        <v>2019</v>
      </c>
      <c r="C1592" s="7">
        <v>43588</v>
      </c>
      <c r="D1592" s="8">
        <v>3.76</v>
      </c>
      <c r="E1592" s="8">
        <v>3.59</v>
      </c>
    </row>
    <row r="1593" spans="1:5" x14ac:dyDescent="0.2">
      <c r="A1593" s="5">
        <f t="shared" si="57"/>
        <v>5</v>
      </c>
      <c r="B1593" s="5">
        <f t="shared" si="58"/>
        <v>2019</v>
      </c>
      <c r="C1593" s="7">
        <v>43591</v>
      </c>
      <c r="D1593" s="8">
        <v>3.77</v>
      </c>
      <c r="E1593" s="8">
        <v>3.56</v>
      </c>
    </row>
    <row r="1594" spans="1:5" x14ac:dyDescent="0.2">
      <c r="A1594" s="5">
        <f t="shared" si="57"/>
        <v>5</v>
      </c>
      <c r="B1594" s="5">
        <f t="shared" si="58"/>
        <v>2019</v>
      </c>
      <c r="C1594" s="7">
        <v>43592</v>
      </c>
      <c r="D1594" s="8">
        <v>3.78</v>
      </c>
      <c r="E1594" s="8">
        <v>3.56</v>
      </c>
    </row>
    <row r="1595" spans="1:5" x14ac:dyDescent="0.2">
      <c r="A1595" s="5">
        <f t="shared" si="57"/>
        <v>5</v>
      </c>
      <c r="B1595" s="5">
        <f t="shared" si="58"/>
        <v>2019</v>
      </c>
      <c r="C1595" s="7">
        <v>43593</v>
      </c>
      <c r="D1595" s="8">
        <v>3.78</v>
      </c>
      <c r="E1595" s="8">
        <v>3.55</v>
      </c>
    </row>
    <row r="1596" spans="1:5" x14ac:dyDescent="0.2">
      <c r="A1596" s="5">
        <f t="shared" si="57"/>
        <v>5</v>
      </c>
      <c r="B1596" s="5">
        <f t="shared" si="58"/>
        <v>2019</v>
      </c>
      <c r="C1596" s="7">
        <v>43594</v>
      </c>
      <c r="D1596" s="8">
        <v>3.78</v>
      </c>
      <c r="E1596" s="8">
        <v>3.54</v>
      </c>
    </row>
    <row r="1597" spans="1:5" x14ac:dyDescent="0.2">
      <c r="A1597" s="5">
        <f t="shared" si="57"/>
        <v>5</v>
      </c>
      <c r="B1597" s="5">
        <f t="shared" si="58"/>
        <v>2019</v>
      </c>
      <c r="C1597" s="7">
        <v>43595</v>
      </c>
      <c r="D1597" s="8">
        <v>3.55</v>
      </c>
      <c r="E1597" s="8">
        <v>3.55</v>
      </c>
    </row>
    <row r="1598" spans="1:5" x14ac:dyDescent="0.2">
      <c r="A1598" s="5">
        <f t="shared" si="57"/>
        <v>5</v>
      </c>
      <c r="B1598" s="5">
        <f t="shared" si="58"/>
        <v>2019</v>
      </c>
      <c r="C1598" s="7">
        <v>43598</v>
      </c>
      <c r="D1598" s="8">
        <v>3.56</v>
      </c>
      <c r="E1598" s="8">
        <v>3.57</v>
      </c>
    </row>
    <row r="1599" spans="1:5" x14ac:dyDescent="0.2">
      <c r="A1599" s="5">
        <f t="shared" si="57"/>
        <v>5</v>
      </c>
      <c r="B1599" s="5">
        <f t="shared" si="58"/>
        <v>2019</v>
      </c>
      <c r="C1599" s="7">
        <v>43599</v>
      </c>
      <c r="D1599" s="8">
        <v>3.56</v>
      </c>
      <c r="E1599" s="8">
        <v>3.57</v>
      </c>
    </row>
    <row r="1600" spans="1:5" x14ac:dyDescent="0.2">
      <c r="A1600" s="5">
        <f t="shared" si="57"/>
        <v>5</v>
      </c>
      <c r="B1600" s="5">
        <f t="shared" si="58"/>
        <v>2019</v>
      </c>
      <c r="C1600" s="7">
        <v>43600</v>
      </c>
      <c r="D1600" s="8">
        <v>3.58</v>
      </c>
      <c r="E1600" s="8">
        <v>3.58</v>
      </c>
    </row>
    <row r="1601" spans="1:5" x14ac:dyDescent="0.2">
      <c r="A1601" s="5">
        <f t="shared" si="57"/>
        <v>5</v>
      </c>
      <c r="B1601" s="5">
        <f t="shared" si="58"/>
        <v>2019</v>
      </c>
      <c r="C1601" s="7">
        <v>43601</v>
      </c>
      <c r="D1601" s="8">
        <v>3.56</v>
      </c>
      <c r="E1601" s="8">
        <v>3.58</v>
      </c>
    </row>
    <row r="1602" spans="1:5" x14ac:dyDescent="0.2">
      <c r="A1602" s="5">
        <f t="shared" si="57"/>
        <v>5</v>
      </c>
      <c r="B1602" s="5">
        <f t="shared" si="58"/>
        <v>2019</v>
      </c>
      <c r="C1602" s="7">
        <v>43602</v>
      </c>
      <c r="D1602" s="8">
        <v>3.57</v>
      </c>
      <c r="E1602" s="8">
        <v>3.58</v>
      </c>
    </row>
    <row r="1603" spans="1:5" x14ac:dyDescent="0.2">
      <c r="A1603" s="5">
        <f t="shared" si="57"/>
        <v>5</v>
      </c>
      <c r="B1603" s="5">
        <f t="shared" si="58"/>
        <v>2019</v>
      </c>
      <c r="C1603" s="7">
        <v>43605</v>
      </c>
      <c r="D1603" s="8">
        <v>3.56</v>
      </c>
      <c r="E1603" s="8">
        <v>3.57</v>
      </c>
    </row>
    <row r="1604" spans="1:5" x14ac:dyDescent="0.2">
      <c r="A1604" s="5">
        <f t="shared" ref="A1604:A1667" si="59">MONTH(C1604)</f>
        <v>5</v>
      </c>
      <c r="B1604" s="5">
        <f t="shared" ref="B1604:B1667" si="60">YEAR(C1604)</f>
        <v>2019</v>
      </c>
      <c r="C1604" s="7">
        <v>43606</v>
      </c>
      <c r="D1604" s="8">
        <v>3.56</v>
      </c>
      <c r="E1604" s="8">
        <v>3.56</v>
      </c>
    </row>
    <row r="1605" spans="1:5" x14ac:dyDescent="0.2">
      <c r="A1605" s="5">
        <f t="shared" si="59"/>
        <v>5</v>
      </c>
      <c r="B1605" s="5">
        <f t="shared" si="60"/>
        <v>2019</v>
      </c>
      <c r="C1605" s="7">
        <v>43607</v>
      </c>
      <c r="D1605" s="8">
        <v>3.56</v>
      </c>
      <c r="E1605" s="8">
        <v>3.56</v>
      </c>
    </row>
    <row r="1606" spans="1:5" x14ac:dyDescent="0.2">
      <c r="A1606" s="5">
        <f t="shared" si="59"/>
        <v>5</v>
      </c>
      <c r="B1606" s="5">
        <f t="shared" si="60"/>
        <v>2019</v>
      </c>
      <c r="C1606" s="7">
        <v>43608</v>
      </c>
      <c r="D1606" s="8">
        <v>3.55</v>
      </c>
      <c r="E1606" s="8">
        <v>3.56</v>
      </c>
    </row>
    <row r="1607" spans="1:5" x14ac:dyDescent="0.2">
      <c r="A1607" s="5">
        <f t="shared" si="59"/>
        <v>5</v>
      </c>
      <c r="B1607" s="5">
        <f t="shared" si="60"/>
        <v>2019</v>
      </c>
      <c r="C1607" s="7">
        <v>43609</v>
      </c>
      <c r="D1607" s="8">
        <v>3.55</v>
      </c>
      <c r="E1607" s="8">
        <v>3.56</v>
      </c>
    </row>
    <row r="1608" spans="1:5" x14ac:dyDescent="0.2">
      <c r="A1608" s="5">
        <f t="shared" si="59"/>
        <v>5</v>
      </c>
      <c r="B1608" s="5">
        <f t="shared" si="60"/>
        <v>2019</v>
      </c>
      <c r="C1608" s="7">
        <v>43612</v>
      </c>
      <c r="D1608" s="8">
        <v>3.55</v>
      </c>
      <c r="E1608" s="8">
        <v>3.57</v>
      </c>
    </row>
    <row r="1609" spans="1:5" x14ac:dyDescent="0.2">
      <c r="A1609" s="5">
        <f t="shared" si="59"/>
        <v>5</v>
      </c>
      <c r="B1609" s="5">
        <f t="shared" si="60"/>
        <v>2019</v>
      </c>
      <c r="C1609" s="7">
        <v>43613</v>
      </c>
      <c r="D1609" s="8">
        <v>3.55</v>
      </c>
      <c r="E1609" s="8">
        <v>3.58</v>
      </c>
    </row>
    <row r="1610" spans="1:5" x14ac:dyDescent="0.2">
      <c r="A1610" s="5">
        <f t="shared" si="59"/>
        <v>5</v>
      </c>
      <c r="B1610" s="5">
        <f t="shared" si="60"/>
        <v>2019</v>
      </c>
      <c r="C1610" s="7">
        <v>43614</v>
      </c>
      <c r="D1610" s="8">
        <v>3.55</v>
      </c>
      <c r="E1610" s="8">
        <v>3.58</v>
      </c>
    </row>
    <row r="1611" spans="1:5" x14ac:dyDescent="0.2">
      <c r="A1611" s="5">
        <f t="shared" si="59"/>
        <v>5</v>
      </c>
      <c r="B1611" s="5">
        <f t="shared" si="60"/>
        <v>2019</v>
      </c>
      <c r="C1611" s="7">
        <v>43615</v>
      </c>
      <c r="D1611" s="8">
        <v>3.55</v>
      </c>
      <c r="E1611" s="8">
        <v>3.58</v>
      </c>
    </row>
    <row r="1612" spans="1:5" x14ac:dyDescent="0.2">
      <c r="A1612" s="5">
        <f t="shared" si="59"/>
        <v>5</v>
      </c>
      <c r="B1612" s="5">
        <f t="shared" si="60"/>
        <v>2019</v>
      </c>
      <c r="C1612" s="7">
        <v>43616</v>
      </c>
      <c r="D1612" s="8">
        <v>3.55</v>
      </c>
      <c r="E1612" s="8">
        <v>3.58</v>
      </c>
    </row>
    <row r="1613" spans="1:5" x14ac:dyDescent="0.2">
      <c r="A1613" s="5">
        <f t="shared" si="59"/>
        <v>6</v>
      </c>
      <c r="B1613" s="5">
        <f t="shared" si="60"/>
        <v>2019</v>
      </c>
      <c r="C1613" s="7">
        <v>43619</v>
      </c>
      <c r="D1613" s="8">
        <v>3.55</v>
      </c>
      <c r="E1613" s="8">
        <v>3.59</v>
      </c>
    </row>
    <row r="1614" spans="1:5" x14ac:dyDescent="0.2">
      <c r="A1614" s="5">
        <f t="shared" si="59"/>
        <v>6</v>
      </c>
      <c r="B1614" s="5">
        <f t="shared" si="60"/>
        <v>2019</v>
      </c>
      <c r="C1614" s="7">
        <v>43620</v>
      </c>
      <c r="D1614" s="8">
        <v>3.55</v>
      </c>
      <c r="E1614" s="8">
        <v>3.59</v>
      </c>
    </row>
    <row r="1615" spans="1:5" x14ac:dyDescent="0.2">
      <c r="A1615" s="5">
        <f t="shared" si="59"/>
        <v>6</v>
      </c>
      <c r="B1615" s="5">
        <f t="shared" si="60"/>
        <v>2019</v>
      </c>
      <c r="C1615" s="7">
        <v>43621</v>
      </c>
      <c r="D1615" s="8">
        <v>3.55</v>
      </c>
      <c r="E1615" s="8">
        <v>3.58</v>
      </c>
    </row>
    <row r="1616" spans="1:5" x14ac:dyDescent="0.2">
      <c r="A1616" s="5">
        <f t="shared" si="59"/>
        <v>6</v>
      </c>
      <c r="B1616" s="5">
        <f t="shared" si="60"/>
        <v>2019</v>
      </c>
      <c r="C1616" s="7">
        <v>43622</v>
      </c>
      <c r="D1616" s="8">
        <v>3.55</v>
      </c>
      <c r="E1616" s="8">
        <v>3.6</v>
      </c>
    </row>
    <row r="1617" spans="1:5" x14ac:dyDescent="0.2">
      <c r="A1617" s="5">
        <f t="shared" si="59"/>
        <v>6</v>
      </c>
      <c r="B1617" s="5">
        <f t="shared" si="60"/>
        <v>2019</v>
      </c>
      <c r="C1617" s="7">
        <v>43623</v>
      </c>
      <c r="D1617" s="8">
        <v>3.59</v>
      </c>
      <c r="E1617" s="8">
        <v>3.59</v>
      </c>
    </row>
    <row r="1618" spans="1:5" x14ac:dyDescent="0.2">
      <c r="A1618" s="5">
        <f t="shared" si="59"/>
        <v>6</v>
      </c>
      <c r="B1618" s="5">
        <f t="shared" si="60"/>
        <v>2019</v>
      </c>
      <c r="C1618" s="7">
        <v>43626</v>
      </c>
      <c r="D1618" s="8">
        <v>3.54</v>
      </c>
      <c r="E1618" s="8">
        <v>3.57</v>
      </c>
    </row>
    <row r="1619" spans="1:5" x14ac:dyDescent="0.2">
      <c r="A1619" s="5">
        <f t="shared" si="59"/>
        <v>6</v>
      </c>
      <c r="B1619" s="5">
        <f t="shared" si="60"/>
        <v>2019</v>
      </c>
      <c r="C1619" s="7">
        <v>43627</v>
      </c>
      <c r="D1619" s="8">
        <v>3.53</v>
      </c>
      <c r="E1619" s="8">
        <v>3.56</v>
      </c>
    </row>
    <row r="1620" spans="1:5" x14ac:dyDescent="0.2">
      <c r="A1620" s="5">
        <f t="shared" si="59"/>
        <v>6</v>
      </c>
      <c r="B1620" s="5">
        <f t="shared" si="60"/>
        <v>2019</v>
      </c>
      <c r="C1620" s="7">
        <v>43628</v>
      </c>
      <c r="D1620" s="8">
        <v>3.56</v>
      </c>
      <c r="E1620" s="8">
        <v>3.59</v>
      </c>
    </row>
    <row r="1621" spans="1:5" x14ac:dyDescent="0.2">
      <c r="A1621" s="5">
        <f t="shared" si="59"/>
        <v>6</v>
      </c>
      <c r="B1621" s="5">
        <f t="shared" si="60"/>
        <v>2019</v>
      </c>
      <c r="C1621" s="7">
        <v>43629</v>
      </c>
      <c r="D1621" s="8">
        <v>3.56</v>
      </c>
      <c r="E1621" s="8">
        <v>3.6</v>
      </c>
    </row>
    <row r="1622" spans="1:5" x14ac:dyDescent="0.2">
      <c r="A1622" s="5">
        <f t="shared" si="59"/>
        <v>6</v>
      </c>
      <c r="B1622" s="5">
        <f t="shared" si="60"/>
        <v>2019</v>
      </c>
      <c r="C1622" s="7">
        <v>43630</v>
      </c>
      <c r="D1622" s="8">
        <v>3.53</v>
      </c>
      <c r="E1622" s="8">
        <v>3.57</v>
      </c>
    </row>
    <row r="1623" spans="1:5" x14ac:dyDescent="0.2">
      <c r="A1623" s="5">
        <f t="shared" si="59"/>
        <v>6</v>
      </c>
      <c r="B1623" s="5">
        <f t="shared" si="60"/>
        <v>2019</v>
      </c>
      <c r="C1623" s="7">
        <v>43633</v>
      </c>
      <c r="D1623" s="8">
        <v>3.52</v>
      </c>
      <c r="E1623" s="8">
        <v>3.57</v>
      </c>
    </row>
    <row r="1624" spans="1:5" x14ac:dyDescent="0.2">
      <c r="A1624" s="5">
        <f t="shared" si="59"/>
        <v>6</v>
      </c>
      <c r="B1624" s="5">
        <f t="shared" si="60"/>
        <v>2019</v>
      </c>
      <c r="C1624" s="7">
        <v>43634</v>
      </c>
      <c r="D1624" s="8">
        <v>3.51</v>
      </c>
      <c r="E1624" s="8">
        <v>3.56</v>
      </c>
    </row>
    <row r="1625" spans="1:5" x14ac:dyDescent="0.2">
      <c r="A1625" s="5">
        <f t="shared" si="59"/>
        <v>6</v>
      </c>
      <c r="B1625" s="5">
        <f t="shared" si="60"/>
        <v>2019</v>
      </c>
      <c r="C1625" s="7">
        <v>43635</v>
      </c>
      <c r="D1625" s="8">
        <v>3.52</v>
      </c>
      <c r="E1625" s="8">
        <v>3.6</v>
      </c>
    </row>
    <row r="1626" spans="1:5" x14ac:dyDescent="0.2">
      <c r="A1626" s="5">
        <f t="shared" si="59"/>
        <v>6</v>
      </c>
      <c r="B1626" s="5">
        <f t="shared" si="60"/>
        <v>2019</v>
      </c>
      <c r="C1626" s="7">
        <v>43637</v>
      </c>
      <c r="D1626" s="8">
        <v>3.47</v>
      </c>
      <c r="E1626" s="8">
        <v>3.56</v>
      </c>
    </row>
    <row r="1627" spans="1:5" x14ac:dyDescent="0.2">
      <c r="A1627" s="5">
        <f t="shared" si="59"/>
        <v>6</v>
      </c>
      <c r="B1627" s="5">
        <f t="shared" si="60"/>
        <v>2019</v>
      </c>
      <c r="C1627" s="7">
        <v>43640</v>
      </c>
      <c r="D1627" s="8">
        <v>3.47</v>
      </c>
      <c r="E1627" s="8">
        <v>3.63</v>
      </c>
    </row>
    <row r="1628" spans="1:5" x14ac:dyDescent="0.2">
      <c r="A1628" s="5">
        <f t="shared" si="59"/>
        <v>6</v>
      </c>
      <c r="B1628" s="5">
        <f t="shared" si="60"/>
        <v>2019</v>
      </c>
      <c r="C1628" s="7">
        <v>43641</v>
      </c>
      <c r="D1628" s="8">
        <v>3.5</v>
      </c>
      <c r="E1628" s="8">
        <v>3.65</v>
      </c>
    </row>
    <row r="1629" spans="1:5" x14ac:dyDescent="0.2">
      <c r="A1629" s="5">
        <f t="shared" si="59"/>
        <v>6</v>
      </c>
      <c r="B1629" s="5">
        <f t="shared" si="60"/>
        <v>2019</v>
      </c>
      <c r="C1629" s="7">
        <v>43642</v>
      </c>
      <c r="D1629" s="8">
        <v>3.5</v>
      </c>
      <c r="E1629" s="8">
        <v>3.66</v>
      </c>
    </row>
    <row r="1630" spans="1:5" x14ac:dyDescent="0.2">
      <c r="A1630" s="5">
        <f t="shared" si="59"/>
        <v>6</v>
      </c>
      <c r="B1630" s="5">
        <f t="shared" si="60"/>
        <v>2019</v>
      </c>
      <c r="C1630" s="7">
        <v>43643</v>
      </c>
      <c r="D1630" s="8">
        <v>3.5</v>
      </c>
      <c r="E1630" s="8">
        <v>3.67</v>
      </c>
    </row>
    <row r="1631" spans="1:5" x14ac:dyDescent="0.2">
      <c r="A1631" s="5">
        <f t="shared" si="59"/>
        <v>6</v>
      </c>
      <c r="B1631" s="5">
        <f t="shared" si="60"/>
        <v>2019</v>
      </c>
      <c r="C1631" s="7">
        <v>43644</v>
      </c>
      <c r="D1631" s="8">
        <v>3.5</v>
      </c>
      <c r="E1631" s="8">
        <v>3.68</v>
      </c>
    </row>
    <row r="1632" spans="1:5" x14ac:dyDescent="0.2">
      <c r="A1632" s="5">
        <f t="shared" si="59"/>
        <v>7</v>
      </c>
      <c r="B1632" s="5">
        <f t="shared" si="60"/>
        <v>2019</v>
      </c>
      <c r="C1632" s="7">
        <v>43647</v>
      </c>
      <c r="D1632" s="8">
        <v>3.48</v>
      </c>
      <c r="E1632" s="8">
        <v>3.67</v>
      </c>
    </row>
    <row r="1633" spans="1:5" x14ac:dyDescent="0.2">
      <c r="A1633" s="5">
        <f t="shared" si="59"/>
        <v>7</v>
      </c>
      <c r="B1633" s="5">
        <f t="shared" si="60"/>
        <v>2019</v>
      </c>
      <c r="C1633" s="7">
        <v>43648</v>
      </c>
      <c r="D1633" s="8">
        <v>3.48</v>
      </c>
      <c r="E1633" s="8">
        <v>3.67</v>
      </c>
    </row>
    <row r="1634" spans="1:5" x14ac:dyDescent="0.2">
      <c r="A1634" s="5">
        <f t="shared" si="59"/>
        <v>7</v>
      </c>
      <c r="B1634" s="5">
        <f t="shared" si="60"/>
        <v>2019</v>
      </c>
      <c r="C1634" s="7">
        <v>43649</v>
      </c>
      <c r="D1634" s="8">
        <v>3.48</v>
      </c>
      <c r="E1634" s="8">
        <v>3.67</v>
      </c>
    </row>
    <row r="1635" spans="1:5" x14ac:dyDescent="0.2">
      <c r="A1635" s="5">
        <f t="shared" si="59"/>
        <v>7</v>
      </c>
      <c r="B1635" s="5">
        <f t="shared" si="60"/>
        <v>2019</v>
      </c>
      <c r="C1635" s="7">
        <v>43650</v>
      </c>
      <c r="D1635" s="8">
        <v>3.48</v>
      </c>
      <c r="E1635" s="8">
        <v>3.68</v>
      </c>
    </row>
    <row r="1636" spans="1:5" x14ac:dyDescent="0.2">
      <c r="A1636" s="5">
        <f t="shared" si="59"/>
        <v>7</v>
      </c>
      <c r="B1636" s="5">
        <f t="shared" si="60"/>
        <v>2019</v>
      </c>
      <c r="C1636" s="7">
        <v>43651</v>
      </c>
      <c r="D1636" s="8">
        <v>3.48</v>
      </c>
      <c r="E1636" s="8">
        <v>3.68</v>
      </c>
    </row>
    <row r="1637" spans="1:5" x14ac:dyDescent="0.2">
      <c r="A1637" s="5">
        <f t="shared" si="59"/>
        <v>7</v>
      </c>
      <c r="B1637" s="5">
        <f t="shared" si="60"/>
        <v>2019</v>
      </c>
      <c r="C1637" s="7">
        <v>43654</v>
      </c>
      <c r="D1637" s="8">
        <v>3.48</v>
      </c>
      <c r="E1637" s="8">
        <v>3.71</v>
      </c>
    </row>
    <row r="1638" spans="1:5" x14ac:dyDescent="0.2">
      <c r="A1638" s="5">
        <f t="shared" si="59"/>
        <v>7</v>
      </c>
      <c r="B1638" s="5">
        <f t="shared" si="60"/>
        <v>2019</v>
      </c>
      <c r="C1638" s="7">
        <v>43655</v>
      </c>
      <c r="D1638" s="8">
        <v>3.48</v>
      </c>
      <c r="E1638" s="8">
        <v>3.72</v>
      </c>
    </row>
    <row r="1639" spans="1:5" x14ac:dyDescent="0.2">
      <c r="A1639" s="5">
        <f t="shared" si="59"/>
        <v>7</v>
      </c>
      <c r="B1639" s="5">
        <f t="shared" si="60"/>
        <v>2019</v>
      </c>
      <c r="C1639" s="7">
        <v>43656</v>
      </c>
      <c r="D1639" s="8">
        <v>3.71</v>
      </c>
      <c r="E1639" s="8">
        <v>3.71</v>
      </c>
    </row>
    <row r="1640" spans="1:5" x14ac:dyDescent="0.2">
      <c r="A1640" s="5">
        <f t="shared" si="59"/>
        <v>7</v>
      </c>
      <c r="B1640" s="5">
        <f t="shared" si="60"/>
        <v>2019</v>
      </c>
      <c r="C1640" s="7">
        <v>43657</v>
      </c>
      <c r="D1640" s="8">
        <v>3.72</v>
      </c>
      <c r="E1640" s="8">
        <v>3.71</v>
      </c>
    </row>
    <row r="1641" spans="1:5" x14ac:dyDescent="0.2">
      <c r="A1641" s="5">
        <f t="shared" si="59"/>
        <v>7</v>
      </c>
      <c r="B1641" s="5">
        <f t="shared" si="60"/>
        <v>2019</v>
      </c>
      <c r="C1641" s="7">
        <v>43658</v>
      </c>
      <c r="D1641" s="8">
        <v>3.71</v>
      </c>
      <c r="E1641" s="8">
        <v>3.71</v>
      </c>
    </row>
    <row r="1642" spans="1:5" x14ac:dyDescent="0.2">
      <c r="A1642" s="5">
        <f t="shared" si="59"/>
        <v>7</v>
      </c>
      <c r="B1642" s="5">
        <f t="shared" si="60"/>
        <v>2019</v>
      </c>
      <c r="C1642" s="7">
        <v>43661</v>
      </c>
      <c r="D1642" s="8">
        <v>3.7</v>
      </c>
      <c r="E1642" s="8">
        <v>3.69</v>
      </c>
    </row>
    <row r="1643" spans="1:5" x14ac:dyDescent="0.2">
      <c r="A1643" s="5">
        <f t="shared" si="59"/>
        <v>7</v>
      </c>
      <c r="B1643" s="5">
        <f t="shared" si="60"/>
        <v>2019</v>
      </c>
      <c r="C1643" s="7">
        <v>43662</v>
      </c>
      <c r="D1643" s="8">
        <v>3.69</v>
      </c>
      <c r="E1643" s="8">
        <v>3.68</v>
      </c>
    </row>
    <row r="1644" spans="1:5" x14ac:dyDescent="0.2">
      <c r="A1644" s="5">
        <f t="shared" si="59"/>
        <v>7</v>
      </c>
      <c r="B1644" s="5">
        <f t="shared" si="60"/>
        <v>2019</v>
      </c>
      <c r="C1644" s="7">
        <v>43663</v>
      </c>
      <c r="D1644" s="8">
        <v>3.68</v>
      </c>
      <c r="E1644" s="8">
        <v>3.68</v>
      </c>
    </row>
    <row r="1645" spans="1:5" x14ac:dyDescent="0.2">
      <c r="A1645" s="5">
        <f t="shared" si="59"/>
        <v>7</v>
      </c>
      <c r="B1645" s="5">
        <f t="shared" si="60"/>
        <v>2019</v>
      </c>
      <c r="C1645" s="7">
        <v>43664</v>
      </c>
      <c r="D1645" s="8">
        <v>3.71</v>
      </c>
      <c r="E1645" s="8">
        <v>3.71</v>
      </c>
    </row>
    <row r="1646" spans="1:5" x14ac:dyDescent="0.2">
      <c r="A1646" s="5">
        <f t="shared" si="59"/>
        <v>7</v>
      </c>
      <c r="B1646" s="5">
        <f t="shared" si="60"/>
        <v>2019</v>
      </c>
      <c r="C1646" s="7">
        <v>43665</v>
      </c>
      <c r="D1646" s="8">
        <v>3.68</v>
      </c>
      <c r="E1646" s="8">
        <v>3.68</v>
      </c>
    </row>
    <row r="1647" spans="1:5" x14ac:dyDescent="0.2">
      <c r="A1647" s="5">
        <f t="shared" si="59"/>
        <v>7</v>
      </c>
      <c r="B1647" s="5">
        <f t="shared" si="60"/>
        <v>2019</v>
      </c>
      <c r="C1647" s="7">
        <v>43668</v>
      </c>
      <c r="D1647" s="8">
        <v>3.71</v>
      </c>
      <c r="E1647" s="8">
        <v>3.7</v>
      </c>
    </row>
    <row r="1648" spans="1:5" x14ac:dyDescent="0.2">
      <c r="A1648" s="5">
        <f t="shared" si="59"/>
        <v>7</v>
      </c>
      <c r="B1648" s="5">
        <f t="shared" si="60"/>
        <v>2019</v>
      </c>
      <c r="C1648" s="7">
        <v>43669</v>
      </c>
      <c r="D1648" s="8">
        <v>3.69</v>
      </c>
      <c r="E1648" s="8">
        <v>3.69</v>
      </c>
    </row>
    <row r="1649" spans="1:5" x14ac:dyDescent="0.2">
      <c r="A1649" s="5">
        <f t="shared" si="59"/>
        <v>7</v>
      </c>
      <c r="B1649" s="5">
        <f t="shared" si="60"/>
        <v>2019</v>
      </c>
      <c r="C1649" s="7">
        <v>43670</v>
      </c>
      <c r="D1649" s="8">
        <v>3.69</v>
      </c>
      <c r="E1649" s="8">
        <v>3.65</v>
      </c>
    </row>
    <row r="1650" spans="1:5" x14ac:dyDescent="0.2">
      <c r="A1650" s="5">
        <f t="shared" si="59"/>
        <v>7</v>
      </c>
      <c r="B1650" s="5">
        <f t="shared" si="60"/>
        <v>2019</v>
      </c>
      <c r="C1650" s="7">
        <v>43671</v>
      </c>
      <c r="D1650" s="8">
        <v>3.69</v>
      </c>
      <c r="E1650" s="8">
        <v>3.69</v>
      </c>
    </row>
    <row r="1651" spans="1:5" x14ac:dyDescent="0.2">
      <c r="A1651" s="5">
        <f t="shared" si="59"/>
        <v>7</v>
      </c>
      <c r="B1651" s="5">
        <f t="shared" si="60"/>
        <v>2019</v>
      </c>
      <c r="C1651" s="7">
        <v>43672</v>
      </c>
      <c r="D1651" s="8">
        <v>3.68</v>
      </c>
      <c r="E1651" s="8">
        <v>3.68</v>
      </c>
    </row>
    <row r="1652" spans="1:5" x14ac:dyDescent="0.2">
      <c r="A1652" s="5">
        <f t="shared" si="59"/>
        <v>7</v>
      </c>
      <c r="B1652" s="5">
        <f t="shared" si="60"/>
        <v>2019</v>
      </c>
      <c r="C1652" s="7">
        <v>43675</v>
      </c>
      <c r="D1652" s="8">
        <v>3.68</v>
      </c>
      <c r="E1652" s="8">
        <v>3.67</v>
      </c>
    </row>
    <row r="1653" spans="1:5" x14ac:dyDescent="0.2">
      <c r="A1653" s="5">
        <f t="shared" si="59"/>
        <v>7</v>
      </c>
      <c r="B1653" s="5">
        <f t="shared" si="60"/>
        <v>2019</v>
      </c>
      <c r="C1653" s="7">
        <v>43676</v>
      </c>
      <c r="D1653" s="8">
        <v>3.69</v>
      </c>
      <c r="E1653" s="8">
        <v>3.67</v>
      </c>
    </row>
    <row r="1654" spans="1:5" x14ac:dyDescent="0.2">
      <c r="A1654" s="5">
        <f t="shared" si="59"/>
        <v>7</v>
      </c>
      <c r="B1654" s="5">
        <f t="shared" si="60"/>
        <v>2019</v>
      </c>
      <c r="C1654" s="7">
        <v>43677</v>
      </c>
      <c r="D1654" s="8">
        <v>3.69</v>
      </c>
      <c r="E1654" s="8">
        <v>3.67</v>
      </c>
    </row>
    <row r="1655" spans="1:5" x14ac:dyDescent="0.2">
      <c r="A1655" s="5">
        <f t="shared" si="59"/>
        <v>8</v>
      </c>
      <c r="B1655" s="5">
        <f t="shared" si="60"/>
        <v>2019</v>
      </c>
      <c r="C1655" s="7">
        <v>43678</v>
      </c>
      <c r="D1655" s="8">
        <v>3.68</v>
      </c>
      <c r="E1655" s="8">
        <v>3.67</v>
      </c>
    </row>
    <row r="1656" spans="1:5" x14ac:dyDescent="0.2">
      <c r="A1656" s="5">
        <f t="shared" si="59"/>
        <v>8</v>
      </c>
      <c r="B1656" s="5">
        <f t="shared" si="60"/>
        <v>2019</v>
      </c>
      <c r="C1656" s="7">
        <v>43679</v>
      </c>
      <c r="D1656" s="8">
        <v>3.68</v>
      </c>
      <c r="E1656" s="8">
        <v>3.66</v>
      </c>
    </row>
    <row r="1657" spans="1:5" x14ac:dyDescent="0.2">
      <c r="A1657" s="5">
        <f t="shared" si="59"/>
        <v>8</v>
      </c>
      <c r="B1657" s="5">
        <f t="shared" si="60"/>
        <v>2019</v>
      </c>
      <c r="C1657" s="7">
        <v>43682</v>
      </c>
      <c r="D1657" s="8">
        <v>3.69</v>
      </c>
      <c r="E1657" s="8">
        <v>3.66</v>
      </c>
    </row>
    <row r="1658" spans="1:5" x14ac:dyDescent="0.2">
      <c r="A1658" s="5">
        <f t="shared" si="59"/>
        <v>8</v>
      </c>
      <c r="B1658" s="5">
        <f t="shared" si="60"/>
        <v>2019</v>
      </c>
      <c r="C1658" s="7">
        <v>43683</v>
      </c>
      <c r="D1658" s="8">
        <v>3.69</v>
      </c>
      <c r="E1658" s="8">
        <v>3.66</v>
      </c>
    </row>
    <row r="1659" spans="1:5" x14ac:dyDescent="0.2">
      <c r="A1659" s="5">
        <f t="shared" si="59"/>
        <v>8</v>
      </c>
      <c r="B1659" s="5">
        <f t="shared" si="60"/>
        <v>2019</v>
      </c>
      <c r="C1659" s="7">
        <v>43684</v>
      </c>
      <c r="D1659" s="8">
        <v>3.69</v>
      </c>
      <c r="E1659" s="8">
        <v>3.69</v>
      </c>
    </row>
    <row r="1660" spans="1:5" x14ac:dyDescent="0.2">
      <c r="A1660" s="5">
        <f t="shared" si="59"/>
        <v>8</v>
      </c>
      <c r="B1660" s="5">
        <f t="shared" si="60"/>
        <v>2019</v>
      </c>
      <c r="C1660" s="7">
        <v>43685</v>
      </c>
      <c r="D1660" s="8">
        <v>3.69</v>
      </c>
      <c r="E1660" s="8">
        <v>3.68</v>
      </c>
    </row>
    <row r="1661" spans="1:5" x14ac:dyDescent="0.2">
      <c r="A1661" s="5">
        <f t="shared" si="59"/>
        <v>8</v>
      </c>
      <c r="B1661" s="5">
        <f t="shared" si="60"/>
        <v>2019</v>
      </c>
      <c r="C1661" s="7">
        <v>43686</v>
      </c>
      <c r="D1661" s="8">
        <v>3.68</v>
      </c>
      <c r="E1661" s="8">
        <v>3.68</v>
      </c>
    </row>
    <row r="1662" spans="1:5" x14ac:dyDescent="0.2">
      <c r="A1662" s="5">
        <f t="shared" si="59"/>
        <v>8</v>
      </c>
      <c r="B1662" s="5">
        <f t="shared" si="60"/>
        <v>2019</v>
      </c>
      <c r="C1662" s="7">
        <v>43689</v>
      </c>
      <c r="D1662" s="8">
        <v>3.67</v>
      </c>
      <c r="E1662" s="8">
        <v>3.67</v>
      </c>
    </row>
    <row r="1663" spans="1:5" x14ac:dyDescent="0.2">
      <c r="A1663" s="5">
        <f t="shared" si="59"/>
        <v>8</v>
      </c>
      <c r="B1663" s="5">
        <f t="shared" si="60"/>
        <v>2019</v>
      </c>
      <c r="C1663" s="7">
        <v>43690</v>
      </c>
      <c r="D1663" s="8">
        <v>3.67</v>
      </c>
      <c r="E1663" s="8">
        <v>3.67</v>
      </c>
    </row>
    <row r="1664" spans="1:5" x14ac:dyDescent="0.2">
      <c r="A1664" s="5">
        <f t="shared" si="59"/>
        <v>8</v>
      </c>
      <c r="B1664" s="5">
        <f t="shared" si="60"/>
        <v>2019</v>
      </c>
      <c r="C1664" s="7">
        <v>43691</v>
      </c>
      <c r="D1664" s="8">
        <v>3.65</v>
      </c>
      <c r="E1664" s="8">
        <v>3.65</v>
      </c>
    </row>
    <row r="1665" spans="1:5" x14ac:dyDescent="0.2">
      <c r="A1665" s="5">
        <f t="shared" si="59"/>
        <v>8</v>
      </c>
      <c r="B1665" s="5">
        <f t="shared" si="60"/>
        <v>2019</v>
      </c>
      <c r="C1665" s="7">
        <v>43692</v>
      </c>
      <c r="D1665" s="8">
        <v>3.64</v>
      </c>
      <c r="E1665" s="8">
        <v>3.64</v>
      </c>
    </row>
    <row r="1666" spans="1:5" x14ac:dyDescent="0.2">
      <c r="A1666" s="5">
        <f t="shared" si="59"/>
        <v>8</v>
      </c>
      <c r="B1666" s="5">
        <f t="shared" si="60"/>
        <v>2019</v>
      </c>
      <c r="C1666" s="7">
        <v>43693</v>
      </c>
      <c r="D1666" s="8">
        <v>3.63</v>
      </c>
      <c r="E1666" s="8">
        <v>3.63</v>
      </c>
    </row>
    <row r="1667" spans="1:5" x14ac:dyDescent="0.2">
      <c r="A1667" s="5">
        <f t="shared" si="59"/>
        <v>8</v>
      </c>
      <c r="B1667" s="5">
        <f t="shared" si="60"/>
        <v>2019</v>
      </c>
      <c r="C1667" s="7">
        <v>43696</v>
      </c>
      <c r="D1667" s="8">
        <v>3.62</v>
      </c>
      <c r="E1667" s="8">
        <v>3.63</v>
      </c>
    </row>
    <row r="1668" spans="1:5" x14ac:dyDescent="0.2">
      <c r="A1668" s="5">
        <f t="shared" ref="A1668:A1731" si="61">MONTH(C1668)</f>
        <v>8</v>
      </c>
      <c r="B1668" s="5">
        <f t="shared" ref="B1668:B1731" si="62">YEAR(C1668)</f>
        <v>2019</v>
      </c>
      <c r="C1668" s="7">
        <v>43697</v>
      </c>
      <c r="D1668" s="8">
        <v>3.62</v>
      </c>
      <c r="E1668" s="8">
        <v>3.63</v>
      </c>
    </row>
    <row r="1669" spans="1:5" x14ac:dyDescent="0.2">
      <c r="A1669" s="5">
        <f t="shared" si="61"/>
        <v>8</v>
      </c>
      <c r="B1669" s="5">
        <f t="shared" si="62"/>
        <v>2019</v>
      </c>
      <c r="C1669" s="7">
        <v>43698</v>
      </c>
      <c r="D1669" s="8">
        <v>3.62</v>
      </c>
      <c r="E1669" s="8">
        <v>3.62</v>
      </c>
    </row>
    <row r="1670" spans="1:5" x14ac:dyDescent="0.2">
      <c r="A1670" s="5">
        <f t="shared" si="61"/>
        <v>8</v>
      </c>
      <c r="B1670" s="5">
        <f t="shared" si="62"/>
        <v>2019</v>
      </c>
      <c r="C1670" s="7">
        <v>43699</v>
      </c>
      <c r="D1670" s="8">
        <v>3.55</v>
      </c>
      <c r="E1670" s="8">
        <v>3.58</v>
      </c>
    </row>
    <row r="1671" spans="1:5" x14ac:dyDescent="0.2">
      <c r="A1671" s="5">
        <f t="shared" si="61"/>
        <v>8</v>
      </c>
      <c r="B1671" s="5">
        <f t="shared" si="62"/>
        <v>2019</v>
      </c>
      <c r="C1671" s="7">
        <v>43700</v>
      </c>
      <c r="D1671" s="8">
        <v>3.54</v>
      </c>
      <c r="E1671" s="8">
        <v>3.56</v>
      </c>
    </row>
    <row r="1672" spans="1:5" x14ac:dyDescent="0.2">
      <c r="A1672" s="5">
        <f t="shared" si="61"/>
        <v>8</v>
      </c>
      <c r="B1672" s="5">
        <f t="shared" si="62"/>
        <v>2019</v>
      </c>
      <c r="C1672" s="7">
        <v>43703</v>
      </c>
      <c r="D1672" s="8">
        <v>3.51</v>
      </c>
      <c r="E1672" s="8">
        <v>3.54</v>
      </c>
    </row>
    <row r="1673" spans="1:5" x14ac:dyDescent="0.2">
      <c r="A1673" s="5">
        <f t="shared" si="61"/>
        <v>8</v>
      </c>
      <c r="B1673" s="5">
        <f t="shared" si="62"/>
        <v>2019</v>
      </c>
      <c r="C1673" s="7">
        <v>43704</v>
      </c>
      <c r="D1673" s="8">
        <v>3.48</v>
      </c>
      <c r="E1673" s="8">
        <v>3.51</v>
      </c>
    </row>
    <row r="1674" spans="1:5" x14ac:dyDescent="0.2">
      <c r="A1674" s="5">
        <f t="shared" si="61"/>
        <v>8</v>
      </c>
      <c r="B1674" s="5">
        <f t="shared" si="62"/>
        <v>2019</v>
      </c>
      <c r="C1674" s="7">
        <v>43705</v>
      </c>
      <c r="D1674" s="8">
        <v>3.48</v>
      </c>
      <c r="E1674" s="8">
        <v>3.51</v>
      </c>
    </row>
    <row r="1675" spans="1:5" x14ac:dyDescent="0.2">
      <c r="A1675" s="5">
        <f t="shared" si="61"/>
        <v>8</v>
      </c>
      <c r="B1675" s="5">
        <f t="shared" si="62"/>
        <v>2019</v>
      </c>
      <c r="C1675" s="7">
        <v>43706</v>
      </c>
      <c r="D1675" s="8">
        <v>3.49</v>
      </c>
      <c r="E1675" s="8">
        <v>3.53</v>
      </c>
    </row>
    <row r="1676" spans="1:5" x14ac:dyDescent="0.2">
      <c r="A1676" s="5">
        <f t="shared" si="61"/>
        <v>8</v>
      </c>
      <c r="B1676" s="5">
        <f t="shared" si="62"/>
        <v>2019</v>
      </c>
      <c r="C1676" s="7">
        <v>43707</v>
      </c>
      <c r="D1676" s="8">
        <v>3.49</v>
      </c>
      <c r="E1676" s="8">
        <v>3.53</v>
      </c>
    </row>
    <row r="1677" spans="1:5" x14ac:dyDescent="0.2">
      <c r="A1677" s="5">
        <f t="shared" si="61"/>
        <v>9</v>
      </c>
      <c r="B1677" s="5">
        <f t="shared" si="62"/>
        <v>2019</v>
      </c>
      <c r="C1677" s="7">
        <v>43710</v>
      </c>
      <c r="D1677" s="8">
        <v>3.46</v>
      </c>
      <c r="E1677" s="8">
        <v>3.53</v>
      </c>
    </row>
    <row r="1678" spans="1:5" x14ac:dyDescent="0.2">
      <c r="A1678" s="5">
        <f t="shared" si="61"/>
        <v>9</v>
      </c>
      <c r="B1678" s="5">
        <f t="shared" si="62"/>
        <v>2019</v>
      </c>
      <c r="C1678" s="7">
        <v>43711</v>
      </c>
      <c r="D1678" s="8">
        <v>3.46</v>
      </c>
      <c r="E1678" s="8">
        <v>3.53</v>
      </c>
    </row>
    <row r="1679" spans="1:5" x14ac:dyDescent="0.2">
      <c r="A1679" s="5">
        <f t="shared" si="61"/>
        <v>9</v>
      </c>
      <c r="B1679" s="5">
        <f t="shared" si="62"/>
        <v>2019</v>
      </c>
      <c r="C1679" s="7">
        <v>43712</v>
      </c>
      <c r="D1679" s="8">
        <v>3.46</v>
      </c>
      <c r="E1679" s="8">
        <v>3.53</v>
      </c>
    </row>
    <row r="1680" spans="1:5" x14ac:dyDescent="0.2">
      <c r="A1680" s="5">
        <f t="shared" si="61"/>
        <v>9</v>
      </c>
      <c r="B1680" s="5">
        <f t="shared" si="62"/>
        <v>2019</v>
      </c>
      <c r="C1680" s="7">
        <v>43713</v>
      </c>
      <c r="D1680" s="8">
        <v>3.46</v>
      </c>
      <c r="E1680" s="8">
        <v>3.54</v>
      </c>
    </row>
    <row r="1681" spans="1:5" x14ac:dyDescent="0.2">
      <c r="A1681" s="5">
        <f t="shared" si="61"/>
        <v>9</v>
      </c>
      <c r="B1681" s="5">
        <f t="shared" si="62"/>
        <v>2019</v>
      </c>
      <c r="C1681" s="7">
        <v>43714</v>
      </c>
      <c r="D1681" s="8">
        <v>3.53</v>
      </c>
      <c r="E1681" s="8">
        <v>3.53</v>
      </c>
    </row>
    <row r="1682" spans="1:5" x14ac:dyDescent="0.2">
      <c r="A1682" s="5">
        <f t="shared" si="61"/>
        <v>9</v>
      </c>
      <c r="B1682" s="5">
        <f t="shared" si="62"/>
        <v>2019</v>
      </c>
      <c r="C1682" s="7">
        <v>43717</v>
      </c>
      <c r="D1682" s="8">
        <v>3.5</v>
      </c>
      <c r="E1682" s="8">
        <v>3.53</v>
      </c>
    </row>
    <row r="1683" spans="1:5" x14ac:dyDescent="0.2">
      <c r="A1683" s="5">
        <f t="shared" si="61"/>
        <v>9</v>
      </c>
      <c r="B1683" s="5">
        <f t="shared" si="62"/>
        <v>2019</v>
      </c>
      <c r="C1683" s="7">
        <v>43718</v>
      </c>
      <c r="D1683" s="8">
        <v>3.48</v>
      </c>
      <c r="E1683" s="8">
        <v>3.5</v>
      </c>
    </row>
    <row r="1684" spans="1:5" x14ac:dyDescent="0.2">
      <c r="A1684" s="5">
        <f t="shared" si="61"/>
        <v>9</v>
      </c>
      <c r="B1684" s="5">
        <f t="shared" si="62"/>
        <v>2019</v>
      </c>
      <c r="C1684" s="7">
        <v>43719</v>
      </c>
      <c r="D1684" s="8">
        <v>3.48</v>
      </c>
      <c r="E1684" s="8">
        <v>3.5</v>
      </c>
    </row>
    <row r="1685" spans="1:5" x14ac:dyDescent="0.2">
      <c r="A1685" s="5">
        <f t="shared" si="61"/>
        <v>9</v>
      </c>
      <c r="B1685" s="5">
        <f t="shared" si="62"/>
        <v>2019</v>
      </c>
      <c r="C1685" s="7">
        <v>43720</v>
      </c>
      <c r="D1685" s="8">
        <v>3.47</v>
      </c>
      <c r="E1685" s="8">
        <v>3.51</v>
      </c>
    </row>
    <row r="1686" spans="1:5" x14ac:dyDescent="0.2">
      <c r="A1686" s="5">
        <f t="shared" si="61"/>
        <v>9</v>
      </c>
      <c r="B1686" s="5">
        <f t="shared" si="62"/>
        <v>2019</v>
      </c>
      <c r="C1686" s="7">
        <v>43721</v>
      </c>
      <c r="D1686" s="8">
        <v>3.38</v>
      </c>
      <c r="E1686" s="8">
        <v>3.41</v>
      </c>
    </row>
    <row r="1687" spans="1:5" x14ac:dyDescent="0.2">
      <c r="A1687" s="5">
        <f t="shared" si="61"/>
        <v>9</v>
      </c>
      <c r="B1687" s="5">
        <f t="shared" si="62"/>
        <v>2019</v>
      </c>
      <c r="C1687" s="7">
        <v>43724</v>
      </c>
      <c r="D1687" s="8">
        <v>3.38</v>
      </c>
      <c r="E1687" s="8">
        <v>3.43</v>
      </c>
    </row>
    <row r="1688" spans="1:5" x14ac:dyDescent="0.2">
      <c r="A1688" s="5">
        <f t="shared" si="61"/>
        <v>9</v>
      </c>
      <c r="B1688" s="5">
        <f t="shared" si="62"/>
        <v>2019</v>
      </c>
      <c r="C1688" s="7">
        <v>43725</v>
      </c>
      <c r="D1688" s="8">
        <v>3.37</v>
      </c>
      <c r="E1688" s="8">
        <v>3.44</v>
      </c>
    </row>
    <row r="1689" spans="1:5" x14ac:dyDescent="0.2">
      <c r="A1689" s="5">
        <f t="shared" si="61"/>
        <v>9</v>
      </c>
      <c r="B1689" s="5">
        <f t="shared" si="62"/>
        <v>2019</v>
      </c>
      <c r="C1689" s="7">
        <v>43726</v>
      </c>
      <c r="D1689" s="8">
        <v>3.37</v>
      </c>
      <c r="E1689" s="8">
        <v>3.44</v>
      </c>
    </row>
    <row r="1690" spans="1:5" x14ac:dyDescent="0.2">
      <c r="A1690" s="5">
        <f t="shared" si="61"/>
        <v>9</v>
      </c>
      <c r="B1690" s="5">
        <f t="shared" si="62"/>
        <v>2019</v>
      </c>
      <c r="C1690" s="7">
        <v>43727</v>
      </c>
      <c r="D1690" s="8">
        <v>3.39</v>
      </c>
      <c r="E1690" s="8">
        <v>3.45</v>
      </c>
    </row>
    <row r="1691" spans="1:5" x14ac:dyDescent="0.2">
      <c r="A1691" s="5">
        <f t="shared" si="61"/>
        <v>9</v>
      </c>
      <c r="B1691" s="5">
        <f t="shared" si="62"/>
        <v>2019</v>
      </c>
      <c r="C1691" s="7">
        <v>43728</v>
      </c>
      <c r="D1691" s="8">
        <v>3.38</v>
      </c>
      <c r="E1691" s="8">
        <v>3.45</v>
      </c>
    </row>
    <row r="1692" spans="1:5" x14ac:dyDescent="0.2">
      <c r="A1692" s="5">
        <f t="shared" si="61"/>
        <v>9</v>
      </c>
      <c r="B1692" s="5">
        <f t="shared" si="62"/>
        <v>2019</v>
      </c>
      <c r="C1692" s="7">
        <v>43731</v>
      </c>
      <c r="D1692" s="8">
        <v>3.38</v>
      </c>
      <c r="E1692" s="8">
        <v>3.47</v>
      </c>
    </row>
    <row r="1693" spans="1:5" x14ac:dyDescent="0.2">
      <c r="A1693" s="5">
        <f t="shared" si="61"/>
        <v>9</v>
      </c>
      <c r="B1693" s="5">
        <f t="shared" si="62"/>
        <v>2019</v>
      </c>
      <c r="C1693" s="7">
        <v>43732</v>
      </c>
      <c r="D1693" s="8">
        <v>3.38</v>
      </c>
      <c r="E1693" s="8">
        <v>3.49</v>
      </c>
    </row>
    <row r="1694" spans="1:5" x14ac:dyDescent="0.2">
      <c r="A1694" s="5">
        <f t="shared" si="61"/>
        <v>9</v>
      </c>
      <c r="B1694" s="5">
        <f t="shared" si="62"/>
        <v>2019</v>
      </c>
      <c r="C1694" s="7">
        <v>43733</v>
      </c>
      <c r="D1694" s="8">
        <v>3.38</v>
      </c>
      <c r="E1694" s="8">
        <v>3.49</v>
      </c>
    </row>
    <row r="1695" spans="1:5" x14ac:dyDescent="0.2">
      <c r="A1695" s="5">
        <f t="shared" si="61"/>
        <v>9</v>
      </c>
      <c r="B1695" s="5">
        <f t="shared" si="62"/>
        <v>2019</v>
      </c>
      <c r="C1695" s="7">
        <v>43734</v>
      </c>
      <c r="D1695" s="8">
        <v>3.38</v>
      </c>
      <c r="E1695" s="8">
        <v>3.5</v>
      </c>
    </row>
    <row r="1696" spans="1:5" x14ac:dyDescent="0.2">
      <c r="A1696" s="5">
        <f t="shared" si="61"/>
        <v>9</v>
      </c>
      <c r="B1696" s="5">
        <f t="shared" si="62"/>
        <v>2019</v>
      </c>
      <c r="C1696" s="7">
        <v>43735</v>
      </c>
      <c r="D1696" s="8">
        <v>3.35</v>
      </c>
      <c r="E1696" s="8">
        <v>3.49</v>
      </c>
    </row>
    <row r="1697" spans="1:5" x14ac:dyDescent="0.2">
      <c r="A1697" s="5">
        <f t="shared" si="61"/>
        <v>9</v>
      </c>
      <c r="B1697" s="5">
        <f t="shared" si="62"/>
        <v>2019</v>
      </c>
      <c r="C1697" s="7">
        <v>43738</v>
      </c>
      <c r="D1697" s="8">
        <v>3.33</v>
      </c>
      <c r="E1697" s="8">
        <v>3.48</v>
      </c>
    </row>
    <row r="1698" spans="1:5" x14ac:dyDescent="0.2">
      <c r="A1698" s="5">
        <f t="shared" si="61"/>
        <v>10</v>
      </c>
      <c r="B1698" s="5">
        <f t="shared" si="62"/>
        <v>2019</v>
      </c>
      <c r="C1698" s="7">
        <v>43739</v>
      </c>
      <c r="D1698" s="8">
        <v>3.33</v>
      </c>
      <c r="E1698" s="8">
        <v>3.49</v>
      </c>
    </row>
    <row r="1699" spans="1:5" x14ac:dyDescent="0.2">
      <c r="A1699" s="5">
        <f t="shared" si="61"/>
        <v>10</v>
      </c>
      <c r="B1699" s="5">
        <f t="shared" si="62"/>
        <v>2019</v>
      </c>
      <c r="C1699" s="7">
        <v>43740</v>
      </c>
      <c r="D1699" s="8">
        <v>3.33</v>
      </c>
      <c r="E1699" s="8">
        <v>3.49</v>
      </c>
    </row>
    <row r="1700" spans="1:5" x14ac:dyDescent="0.2">
      <c r="A1700" s="5">
        <f t="shared" si="61"/>
        <v>10</v>
      </c>
      <c r="B1700" s="5">
        <f t="shared" si="62"/>
        <v>2019</v>
      </c>
      <c r="C1700" s="7">
        <v>43741</v>
      </c>
      <c r="D1700" s="8">
        <v>3.32</v>
      </c>
      <c r="E1700" s="8">
        <v>3.5</v>
      </c>
    </row>
    <row r="1701" spans="1:5" x14ac:dyDescent="0.2">
      <c r="A1701" s="5">
        <f t="shared" si="61"/>
        <v>10</v>
      </c>
      <c r="B1701" s="5">
        <f t="shared" si="62"/>
        <v>2019</v>
      </c>
      <c r="C1701" s="7">
        <v>43742</v>
      </c>
      <c r="D1701" s="8">
        <v>3.31</v>
      </c>
      <c r="E1701" s="8">
        <v>3.51</v>
      </c>
    </row>
    <row r="1702" spans="1:5" x14ac:dyDescent="0.2">
      <c r="A1702" s="5">
        <f t="shared" si="61"/>
        <v>10</v>
      </c>
      <c r="B1702" s="5">
        <f t="shared" si="62"/>
        <v>2019</v>
      </c>
      <c r="C1702" s="7">
        <v>43745</v>
      </c>
      <c r="D1702" s="8">
        <v>3.3</v>
      </c>
      <c r="E1702" s="8">
        <v>3.52</v>
      </c>
    </row>
    <row r="1703" spans="1:5" x14ac:dyDescent="0.2">
      <c r="A1703" s="5">
        <f t="shared" si="61"/>
        <v>10</v>
      </c>
      <c r="B1703" s="5">
        <f t="shared" si="62"/>
        <v>2019</v>
      </c>
      <c r="C1703" s="7">
        <v>43746</v>
      </c>
      <c r="D1703" s="8">
        <v>3.31</v>
      </c>
      <c r="E1703" s="8">
        <v>3.53</v>
      </c>
    </row>
    <row r="1704" spans="1:5" x14ac:dyDescent="0.2">
      <c r="A1704" s="5">
        <f t="shared" si="61"/>
        <v>10</v>
      </c>
      <c r="B1704" s="5">
        <f t="shared" si="62"/>
        <v>2019</v>
      </c>
      <c r="C1704" s="7">
        <v>43747</v>
      </c>
      <c r="D1704" s="8">
        <v>3.46</v>
      </c>
      <c r="E1704" s="8">
        <v>3.47</v>
      </c>
    </row>
    <row r="1705" spans="1:5" x14ac:dyDescent="0.2">
      <c r="A1705" s="5">
        <f t="shared" si="61"/>
        <v>10</v>
      </c>
      <c r="B1705" s="5">
        <f t="shared" si="62"/>
        <v>2019</v>
      </c>
      <c r="C1705" s="7">
        <v>43748</v>
      </c>
      <c r="D1705" s="8">
        <v>3.45</v>
      </c>
      <c r="E1705" s="8">
        <v>3.46</v>
      </c>
    </row>
    <row r="1706" spans="1:5" x14ac:dyDescent="0.2">
      <c r="A1706" s="5">
        <f t="shared" si="61"/>
        <v>10</v>
      </c>
      <c r="B1706" s="5">
        <f t="shared" si="62"/>
        <v>2019</v>
      </c>
      <c r="C1706" s="7">
        <v>43749</v>
      </c>
      <c r="D1706" s="8">
        <v>3.42</v>
      </c>
      <c r="E1706" s="8">
        <v>3.44</v>
      </c>
    </row>
    <row r="1707" spans="1:5" x14ac:dyDescent="0.2">
      <c r="A1707" s="5">
        <f t="shared" si="61"/>
        <v>10</v>
      </c>
      <c r="B1707" s="5">
        <f t="shared" si="62"/>
        <v>2019</v>
      </c>
      <c r="C1707" s="7">
        <v>43752</v>
      </c>
      <c r="D1707" s="8">
        <v>3.39</v>
      </c>
      <c r="E1707" s="8">
        <v>3.43</v>
      </c>
    </row>
    <row r="1708" spans="1:5" x14ac:dyDescent="0.2">
      <c r="A1708" s="5">
        <f t="shared" si="61"/>
        <v>10</v>
      </c>
      <c r="B1708" s="5">
        <f t="shared" si="62"/>
        <v>2019</v>
      </c>
      <c r="C1708" s="7">
        <v>43753</v>
      </c>
      <c r="D1708" s="8">
        <v>3.38</v>
      </c>
      <c r="E1708" s="8">
        <v>3.43</v>
      </c>
    </row>
    <row r="1709" spans="1:5" x14ac:dyDescent="0.2">
      <c r="A1709" s="5">
        <f t="shared" si="61"/>
        <v>10</v>
      </c>
      <c r="B1709" s="5">
        <f t="shared" si="62"/>
        <v>2019</v>
      </c>
      <c r="C1709" s="7">
        <v>43754</v>
      </c>
      <c r="D1709" s="8">
        <v>3.38</v>
      </c>
      <c r="E1709" s="8">
        <v>3.43</v>
      </c>
    </row>
    <row r="1710" spans="1:5" x14ac:dyDescent="0.2">
      <c r="A1710" s="5">
        <f t="shared" si="61"/>
        <v>10</v>
      </c>
      <c r="B1710" s="5">
        <f t="shared" si="62"/>
        <v>2019</v>
      </c>
      <c r="C1710" s="7">
        <v>43755</v>
      </c>
      <c r="D1710" s="8">
        <v>3.38</v>
      </c>
      <c r="E1710" s="8">
        <v>3.45</v>
      </c>
    </row>
    <row r="1711" spans="1:5" x14ac:dyDescent="0.2">
      <c r="A1711" s="5">
        <f t="shared" si="61"/>
        <v>10</v>
      </c>
      <c r="B1711" s="5">
        <f t="shared" si="62"/>
        <v>2019</v>
      </c>
      <c r="C1711" s="7">
        <v>43756</v>
      </c>
      <c r="D1711" s="8">
        <v>3.4</v>
      </c>
      <c r="E1711" s="8">
        <v>3.49</v>
      </c>
    </row>
    <row r="1712" spans="1:5" x14ac:dyDescent="0.2">
      <c r="A1712" s="5">
        <f t="shared" si="61"/>
        <v>10</v>
      </c>
      <c r="B1712" s="5">
        <f t="shared" si="62"/>
        <v>2019</v>
      </c>
      <c r="C1712" s="7">
        <v>43759</v>
      </c>
      <c r="D1712" s="8">
        <v>3.4</v>
      </c>
      <c r="E1712" s="8">
        <v>3.51</v>
      </c>
    </row>
    <row r="1713" spans="1:5" x14ac:dyDescent="0.2">
      <c r="A1713" s="5">
        <f t="shared" si="61"/>
        <v>10</v>
      </c>
      <c r="B1713" s="5">
        <f t="shared" si="62"/>
        <v>2019</v>
      </c>
      <c r="C1713" s="7">
        <v>43760</v>
      </c>
      <c r="D1713" s="8">
        <v>3.4</v>
      </c>
      <c r="E1713" s="8">
        <v>3.52</v>
      </c>
    </row>
    <row r="1714" spans="1:5" x14ac:dyDescent="0.2">
      <c r="A1714" s="5">
        <f t="shared" si="61"/>
        <v>10</v>
      </c>
      <c r="B1714" s="5">
        <f t="shared" si="62"/>
        <v>2019</v>
      </c>
      <c r="C1714" s="7">
        <v>43761</v>
      </c>
      <c r="D1714" s="8">
        <v>3.4</v>
      </c>
      <c r="E1714" s="8">
        <v>3.52</v>
      </c>
    </row>
    <row r="1715" spans="1:5" x14ac:dyDescent="0.2">
      <c r="A1715" s="5">
        <f t="shared" si="61"/>
        <v>10</v>
      </c>
      <c r="B1715" s="5">
        <f t="shared" si="62"/>
        <v>2019</v>
      </c>
      <c r="C1715" s="7">
        <v>43762</v>
      </c>
      <c r="D1715" s="8">
        <v>3.4</v>
      </c>
      <c r="E1715" s="8">
        <v>3.53</v>
      </c>
    </row>
    <row r="1716" spans="1:5" x14ac:dyDescent="0.2">
      <c r="A1716" s="5">
        <f t="shared" si="61"/>
        <v>10</v>
      </c>
      <c r="B1716" s="5">
        <f t="shared" si="62"/>
        <v>2019</v>
      </c>
      <c r="C1716" s="7">
        <v>43763</v>
      </c>
      <c r="D1716" s="8">
        <v>3.4</v>
      </c>
      <c r="E1716" s="8">
        <v>3.55</v>
      </c>
    </row>
    <row r="1717" spans="1:5" x14ac:dyDescent="0.2">
      <c r="A1717" s="5">
        <f t="shared" si="61"/>
        <v>10</v>
      </c>
      <c r="B1717" s="5">
        <f t="shared" si="62"/>
        <v>2019</v>
      </c>
      <c r="C1717" s="7">
        <v>43766</v>
      </c>
      <c r="D1717" s="8">
        <v>3.4</v>
      </c>
      <c r="E1717" s="8">
        <v>3.58</v>
      </c>
    </row>
    <row r="1718" spans="1:5" x14ac:dyDescent="0.2">
      <c r="A1718" s="5">
        <f t="shared" si="61"/>
        <v>10</v>
      </c>
      <c r="B1718" s="5">
        <f t="shared" si="62"/>
        <v>2019</v>
      </c>
      <c r="C1718" s="7">
        <v>43767</v>
      </c>
      <c r="D1718" s="8">
        <v>3.4</v>
      </c>
      <c r="E1718" s="8">
        <v>3.59</v>
      </c>
    </row>
    <row r="1719" spans="1:5" x14ac:dyDescent="0.2">
      <c r="A1719" s="5">
        <f t="shared" si="61"/>
        <v>10</v>
      </c>
      <c r="B1719" s="5">
        <f t="shared" si="62"/>
        <v>2019</v>
      </c>
      <c r="C1719" s="7">
        <v>43768</v>
      </c>
      <c r="D1719" s="8">
        <v>3.4</v>
      </c>
      <c r="E1719" s="8">
        <v>3.59</v>
      </c>
    </row>
    <row r="1720" spans="1:5" x14ac:dyDescent="0.2">
      <c r="A1720" s="5">
        <f t="shared" si="61"/>
        <v>10</v>
      </c>
      <c r="B1720" s="5">
        <f t="shared" si="62"/>
        <v>2019</v>
      </c>
      <c r="C1720" s="7">
        <v>43769</v>
      </c>
      <c r="D1720" s="8">
        <v>3.4</v>
      </c>
      <c r="E1720" s="8">
        <v>3.6</v>
      </c>
    </row>
    <row r="1721" spans="1:5" x14ac:dyDescent="0.2">
      <c r="A1721" s="5">
        <f t="shared" si="61"/>
        <v>11</v>
      </c>
      <c r="B1721" s="5">
        <f t="shared" si="62"/>
        <v>2019</v>
      </c>
      <c r="C1721" s="7">
        <v>43770</v>
      </c>
      <c r="D1721" s="8">
        <v>3.39</v>
      </c>
      <c r="E1721" s="8">
        <v>3.58</v>
      </c>
    </row>
    <row r="1722" spans="1:5" x14ac:dyDescent="0.2">
      <c r="A1722" s="5">
        <f t="shared" si="61"/>
        <v>11</v>
      </c>
      <c r="B1722" s="5">
        <f t="shared" si="62"/>
        <v>2019</v>
      </c>
      <c r="C1722" s="7">
        <v>43773</v>
      </c>
      <c r="D1722" s="8">
        <v>3.39</v>
      </c>
      <c r="E1722" s="8">
        <v>3.6</v>
      </c>
    </row>
    <row r="1723" spans="1:5" x14ac:dyDescent="0.2">
      <c r="A1723" s="5">
        <f t="shared" si="61"/>
        <v>11</v>
      </c>
      <c r="B1723" s="5">
        <f t="shared" si="62"/>
        <v>2019</v>
      </c>
      <c r="C1723" s="7">
        <v>43774</v>
      </c>
      <c r="D1723" s="8">
        <v>3.39</v>
      </c>
      <c r="E1723" s="8">
        <v>3.61</v>
      </c>
    </row>
    <row r="1724" spans="1:5" x14ac:dyDescent="0.2">
      <c r="A1724" s="5">
        <f t="shared" si="61"/>
        <v>11</v>
      </c>
      <c r="B1724" s="5">
        <f t="shared" si="62"/>
        <v>2019</v>
      </c>
      <c r="C1724" s="7">
        <v>43775</v>
      </c>
      <c r="D1724" s="8">
        <v>3.4</v>
      </c>
      <c r="E1724" s="8">
        <v>3.62</v>
      </c>
    </row>
    <row r="1725" spans="1:5" x14ac:dyDescent="0.2">
      <c r="A1725" s="5">
        <f t="shared" si="61"/>
        <v>11</v>
      </c>
      <c r="B1725" s="5">
        <f t="shared" si="62"/>
        <v>2019</v>
      </c>
      <c r="C1725" s="7">
        <v>43776</v>
      </c>
      <c r="D1725" s="8">
        <v>3.61</v>
      </c>
      <c r="E1725" s="8">
        <v>3.61</v>
      </c>
    </row>
    <row r="1726" spans="1:5" x14ac:dyDescent="0.2">
      <c r="A1726" s="5">
        <f t="shared" si="61"/>
        <v>11</v>
      </c>
      <c r="B1726" s="5">
        <f t="shared" si="62"/>
        <v>2019</v>
      </c>
      <c r="C1726" s="7">
        <v>43777</v>
      </c>
      <c r="D1726" s="8">
        <v>3.62</v>
      </c>
      <c r="E1726" s="8">
        <v>3.61</v>
      </c>
    </row>
    <row r="1727" spans="1:5" x14ac:dyDescent="0.2">
      <c r="A1727" s="5">
        <f t="shared" si="61"/>
        <v>11</v>
      </c>
      <c r="B1727" s="5">
        <f t="shared" si="62"/>
        <v>2019</v>
      </c>
      <c r="C1727" s="7">
        <v>43780</v>
      </c>
      <c r="D1727" s="8">
        <v>3.63</v>
      </c>
      <c r="E1727" s="8">
        <v>3.6</v>
      </c>
    </row>
    <row r="1728" spans="1:5" x14ac:dyDescent="0.2">
      <c r="A1728" s="5">
        <f t="shared" si="61"/>
        <v>11</v>
      </c>
      <c r="B1728" s="5">
        <f t="shared" si="62"/>
        <v>2019</v>
      </c>
      <c r="C1728" s="7">
        <v>43781</v>
      </c>
      <c r="D1728" s="8">
        <v>3.63</v>
      </c>
      <c r="E1728" s="8">
        <v>3.6</v>
      </c>
    </row>
    <row r="1729" spans="1:5" x14ac:dyDescent="0.2">
      <c r="A1729" s="5">
        <f t="shared" si="61"/>
        <v>11</v>
      </c>
      <c r="B1729" s="5">
        <f t="shared" si="62"/>
        <v>2019</v>
      </c>
      <c r="C1729" s="7">
        <v>43782</v>
      </c>
      <c r="D1729" s="8">
        <v>3.63</v>
      </c>
      <c r="E1729" s="8">
        <v>3.6</v>
      </c>
    </row>
    <row r="1730" spans="1:5" x14ac:dyDescent="0.2">
      <c r="A1730" s="5">
        <f t="shared" si="61"/>
        <v>11</v>
      </c>
      <c r="B1730" s="5">
        <f t="shared" si="62"/>
        <v>2019</v>
      </c>
      <c r="C1730" s="7">
        <v>43783</v>
      </c>
      <c r="D1730" s="8">
        <v>3.63</v>
      </c>
      <c r="E1730" s="8">
        <v>3.6</v>
      </c>
    </row>
    <row r="1731" spans="1:5" x14ac:dyDescent="0.2">
      <c r="A1731" s="5">
        <f t="shared" si="61"/>
        <v>11</v>
      </c>
      <c r="B1731" s="5">
        <f t="shared" si="62"/>
        <v>2019</v>
      </c>
      <c r="C1731" s="7">
        <v>43787</v>
      </c>
      <c r="D1731" s="8">
        <v>3.65</v>
      </c>
      <c r="E1731" s="8">
        <v>3.6</v>
      </c>
    </row>
    <row r="1732" spans="1:5" x14ac:dyDescent="0.2">
      <c r="A1732" s="5">
        <f t="shared" ref="A1732:A1795" si="63">MONTH(C1732)</f>
        <v>11</v>
      </c>
      <c r="B1732" s="5">
        <f t="shared" ref="B1732:B1795" si="64">YEAR(C1732)</f>
        <v>2019</v>
      </c>
      <c r="C1732" s="7">
        <v>43788</v>
      </c>
      <c r="D1732" s="8">
        <v>3.65</v>
      </c>
      <c r="E1732" s="8">
        <v>3.6</v>
      </c>
    </row>
    <row r="1733" spans="1:5" x14ac:dyDescent="0.2">
      <c r="A1733" s="5">
        <f t="shared" si="63"/>
        <v>11</v>
      </c>
      <c r="B1733" s="5">
        <f t="shared" si="64"/>
        <v>2019</v>
      </c>
      <c r="C1733" s="7">
        <v>43789</v>
      </c>
      <c r="D1733" s="8">
        <v>3.65</v>
      </c>
      <c r="E1733" s="8">
        <v>3.6</v>
      </c>
    </row>
    <row r="1734" spans="1:5" x14ac:dyDescent="0.2">
      <c r="A1734" s="5">
        <f t="shared" si="63"/>
        <v>11</v>
      </c>
      <c r="B1734" s="5">
        <f t="shared" si="64"/>
        <v>2019</v>
      </c>
      <c r="C1734" s="7">
        <v>43790</v>
      </c>
      <c r="D1734" s="8">
        <v>3.67</v>
      </c>
      <c r="E1734" s="8">
        <v>3.62</v>
      </c>
    </row>
    <row r="1735" spans="1:5" x14ac:dyDescent="0.2">
      <c r="A1735" s="5">
        <f t="shared" si="63"/>
        <v>11</v>
      </c>
      <c r="B1735" s="5">
        <f t="shared" si="64"/>
        <v>2019</v>
      </c>
      <c r="C1735" s="7">
        <v>43791</v>
      </c>
      <c r="D1735" s="8">
        <v>3.77</v>
      </c>
      <c r="E1735" s="8">
        <v>3.68</v>
      </c>
    </row>
    <row r="1736" spans="1:5" x14ac:dyDescent="0.2">
      <c r="A1736" s="5">
        <f t="shared" si="63"/>
        <v>11</v>
      </c>
      <c r="B1736" s="5">
        <f t="shared" si="64"/>
        <v>2019</v>
      </c>
      <c r="C1736" s="7">
        <v>43794</v>
      </c>
      <c r="D1736" s="8">
        <v>3.78</v>
      </c>
      <c r="E1736" s="8">
        <v>3.67</v>
      </c>
    </row>
    <row r="1737" spans="1:5" x14ac:dyDescent="0.2">
      <c r="A1737" s="5">
        <f t="shared" si="63"/>
        <v>11</v>
      </c>
      <c r="B1737" s="5">
        <f t="shared" si="64"/>
        <v>2019</v>
      </c>
      <c r="C1737" s="7">
        <v>43795</v>
      </c>
      <c r="D1737" s="8">
        <v>3.78</v>
      </c>
      <c r="E1737" s="8">
        <v>3.67</v>
      </c>
    </row>
    <row r="1738" spans="1:5" x14ac:dyDescent="0.2">
      <c r="A1738" s="5">
        <f t="shared" si="63"/>
        <v>11</v>
      </c>
      <c r="B1738" s="5">
        <f t="shared" si="64"/>
        <v>2019</v>
      </c>
      <c r="C1738" s="7">
        <v>43796</v>
      </c>
      <c r="D1738" s="8">
        <v>3.78</v>
      </c>
      <c r="E1738" s="8">
        <v>3.66</v>
      </c>
    </row>
    <row r="1739" spans="1:5" x14ac:dyDescent="0.2">
      <c r="A1739" s="5">
        <f t="shared" si="63"/>
        <v>11</v>
      </c>
      <c r="B1739" s="5">
        <f t="shared" si="64"/>
        <v>2019</v>
      </c>
      <c r="C1739" s="7">
        <v>43797</v>
      </c>
      <c r="D1739" s="8">
        <v>3.79</v>
      </c>
      <c r="E1739" s="8">
        <v>3.67</v>
      </c>
    </row>
    <row r="1740" spans="1:5" x14ac:dyDescent="0.2">
      <c r="A1740" s="5">
        <f t="shared" si="63"/>
        <v>11</v>
      </c>
      <c r="B1740" s="5">
        <f t="shared" si="64"/>
        <v>2019</v>
      </c>
      <c r="C1740" s="7">
        <v>43798</v>
      </c>
      <c r="D1740" s="8">
        <v>3.81</v>
      </c>
      <c r="E1740" s="8">
        <v>3.67</v>
      </c>
    </row>
    <row r="1741" spans="1:5" x14ac:dyDescent="0.2">
      <c r="A1741" s="5">
        <f t="shared" si="63"/>
        <v>12</v>
      </c>
      <c r="B1741" s="5">
        <f t="shared" si="64"/>
        <v>2019</v>
      </c>
      <c r="C1741" s="7">
        <v>43801</v>
      </c>
      <c r="D1741" s="8">
        <v>3.85</v>
      </c>
      <c r="E1741" s="8">
        <v>3.69</v>
      </c>
    </row>
    <row r="1742" spans="1:5" x14ac:dyDescent="0.2">
      <c r="A1742" s="5">
        <f t="shared" si="63"/>
        <v>12</v>
      </c>
      <c r="B1742" s="5">
        <f t="shared" si="64"/>
        <v>2019</v>
      </c>
      <c r="C1742" s="7">
        <v>43802</v>
      </c>
      <c r="D1742" s="8">
        <v>3.85</v>
      </c>
      <c r="E1742" s="8">
        <v>3.7</v>
      </c>
    </row>
    <row r="1743" spans="1:5" x14ac:dyDescent="0.2">
      <c r="A1743" s="5">
        <f t="shared" si="63"/>
        <v>12</v>
      </c>
      <c r="B1743" s="5">
        <f t="shared" si="64"/>
        <v>2019</v>
      </c>
      <c r="C1743" s="7">
        <v>43803</v>
      </c>
      <c r="D1743" s="8">
        <v>3.88</v>
      </c>
      <c r="E1743" s="8">
        <v>3.7</v>
      </c>
    </row>
    <row r="1744" spans="1:5" x14ac:dyDescent="0.2">
      <c r="A1744" s="5">
        <f t="shared" si="63"/>
        <v>12</v>
      </c>
      <c r="B1744" s="5">
        <f t="shared" si="64"/>
        <v>2019</v>
      </c>
      <c r="C1744" s="7">
        <v>43804</v>
      </c>
      <c r="D1744" s="8">
        <v>3.94</v>
      </c>
      <c r="E1744" s="8">
        <v>3.76</v>
      </c>
    </row>
    <row r="1745" spans="1:5" x14ac:dyDescent="0.2">
      <c r="A1745" s="5">
        <f t="shared" si="63"/>
        <v>12</v>
      </c>
      <c r="B1745" s="5">
        <f t="shared" si="64"/>
        <v>2019</v>
      </c>
      <c r="C1745" s="7">
        <v>43805</v>
      </c>
      <c r="D1745" s="8">
        <v>3.92</v>
      </c>
      <c r="E1745" s="8">
        <v>3.9</v>
      </c>
    </row>
    <row r="1746" spans="1:5" x14ac:dyDescent="0.2">
      <c r="A1746" s="5">
        <f t="shared" si="63"/>
        <v>12</v>
      </c>
      <c r="B1746" s="5">
        <f t="shared" si="64"/>
        <v>2019</v>
      </c>
      <c r="C1746" s="7">
        <v>43808</v>
      </c>
      <c r="D1746" s="8">
        <v>3.92</v>
      </c>
      <c r="E1746" s="8">
        <v>3.88</v>
      </c>
    </row>
    <row r="1747" spans="1:5" x14ac:dyDescent="0.2">
      <c r="A1747" s="5">
        <f t="shared" si="63"/>
        <v>12</v>
      </c>
      <c r="B1747" s="5">
        <f t="shared" si="64"/>
        <v>2019</v>
      </c>
      <c r="C1747" s="7">
        <v>43809</v>
      </c>
      <c r="D1747" s="8">
        <v>3.92</v>
      </c>
      <c r="E1747" s="8">
        <v>3.87</v>
      </c>
    </row>
    <row r="1748" spans="1:5" x14ac:dyDescent="0.2">
      <c r="A1748" s="5">
        <f t="shared" si="63"/>
        <v>12</v>
      </c>
      <c r="B1748" s="5">
        <f t="shared" si="64"/>
        <v>2019</v>
      </c>
      <c r="C1748" s="7">
        <v>43810</v>
      </c>
      <c r="D1748" s="8">
        <v>3.92</v>
      </c>
      <c r="E1748" s="8">
        <v>3.88</v>
      </c>
    </row>
    <row r="1749" spans="1:5" x14ac:dyDescent="0.2">
      <c r="A1749" s="5">
        <f t="shared" si="63"/>
        <v>12</v>
      </c>
      <c r="B1749" s="5">
        <f t="shared" si="64"/>
        <v>2019</v>
      </c>
      <c r="C1749" s="7">
        <v>43811</v>
      </c>
      <c r="D1749" s="8">
        <v>3.93</v>
      </c>
      <c r="E1749" s="8">
        <v>3.87</v>
      </c>
    </row>
    <row r="1750" spans="1:5" x14ac:dyDescent="0.2">
      <c r="A1750" s="5">
        <f t="shared" si="63"/>
        <v>12</v>
      </c>
      <c r="B1750" s="5">
        <f t="shared" si="64"/>
        <v>2019</v>
      </c>
      <c r="C1750" s="7">
        <v>43812</v>
      </c>
      <c r="D1750" s="8">
        <v>3.94</v>
      </c>
      <c r="E1750" s="8">
        <v>3.89</v>
      </c>
    </row>
    <row r="1751" spans="1:5" x14ac:dyDescent="0.2">
      <c r="A1751" s="5">
        <f t="shared" si="63"/>
        <v>12</v>
      </c>
      <c r="B1751" s="5">
        <f t="shared" si="64"/>
        <v>2019</v>
      </c>
      <c r="C1751" s="7">
        <v>43815</v>
      </c>
      <c r="D1751" s="8">
        <v>3.98</v>
      </c>
      <c r="E1751" s="8">
        <v>3.85</v>
      </c>
    </row>
    <row r="1752" spans="1:5" x14ac:dyDescent="0.2">
      <c r="A1752" s="5">
        <f t="shared" si="63"/>
        <v>12</v>
      </c>
      <c r="B1752" s="5">
        <f t="shared" si="64"/>
        <v>2019</v>
      </c>
      <c r="C1752" s="7">
        <v>43816</v>
      </c>
      <c r="D1752" s="8">
        <v>3.99</v>
      </c>
      <c r="E1752" s="8">
        <v>3.84</v>
      </c>
    </row>
    <row r="1753" spans="1:5" x14ac:dyDescent="0.2">
      <c r="A1753" s="5">
        <f t="shared" si="63"/>
        <v>12</v>
      </c>
      <c r="B1753" s="5">
        <f t="shared" si="64"/>
        <v>2019</v>
      </c>
      <c r="C1753" s="7">
        <v>43817</v>
      </c>
      <c r="D1753" s="8">
        <v>4</v>
      </c>
      <c r="E1753" s="8">
        <v>3.86</v>
      </c>
    </row>
    <row r="1754" spans="1:5" x14ac:dyDescent="0.2">
      <c r="A1754" s="5">
        <f t="shared" si="63"/>
        <v>12</v>
      </c>
      <c r="B1754" s="5">
        <f t="shared" si="64"/>
        <v>2019</v>
      </c>
      <c r="C1754" s="7">
        <v>43818</v>
      </c>
      <c r="D1754" s="8">
        <v>4</v>
      </c>
      <c r="E1754" s="8">
        <v>3.84</v>
      </c>
    </row>
    <row r="1755" spans="1:5" x14ac:dyDescent="0.2">
      <c r="A1755" s="5">
        <f t="shared" si="63"/>
        <v>12</v>
      </c>
      <c r="B1755" s="5">
        <f t="shared" si="64"/>
        <v>2019</v>
      </c>
      <c r="C1755" s="7">
        <v>43819</v>
      </c>
      <c r="D1755" s="8">
        <v>4.0599999999999996</v>
      </c>
      <c r="E1755" s="8">
        <v>3.84</v>
      </c>
    </row>
    <row r="1756" spans="1:5" x14ac:dyDescent="0.2">
      <c r="A1756" s="5">
        <f t="shared" si="63"/>
        <v>12</v>
      </c>
      <c r="B1756" s="5">
        <f t="shared" si="64"/>
        <v>2019</v>
      </c>
      <c r="C1756" s="7">
        <v>43822</v>
      </c>
      <c r="D1756" s="8">
        <v>4.08</v>
      </c>
      <c r="E1756" s="8">
        <v>3.82</v>
      </c>
    </row>
    <row r="1757" spans="1:5" x14ac:dyDescent="0.2">
      <c r="A1757" s="5">
        <f t="shared" si="63"/>
        <v>12</v>
      </c>
      <c r="B1757" s="5">
        <f t="shared" si="64"/>
        <v>2019</v>
      </c>
      <c r="C1757" s="7">
        <v>43823</v>
      </c>
      <c r="D1757" s="8">
        <v>4.07</v>
      </c>
      <c r="E1757" s="8">
        <v>3.8</v>
      </c>
    </row>
    <row r="1758" spans="1:5" x14ac:dyDescent="0.2">
      <c r="A1758" s="5">
        <f t="shared" si="63"/>
        <v>12</v>
      </c>
      <c r="B1758" s="5">
        <f t="shared" si="64"/>
        <v>2019</v>
      </c>
      <c r="C1758" s="7">
        <v>43825</v>
      </c>
      <c r="D1758" s="8">
        <v>4.07</v>
      </c>
      <c r="E1758" s="8">
        <v>3.77</v>
      </c>
    </row>
    <row r="1759" spans="1:5" x14ac:dyDescent="0.2">
      <c r="A1759" s="5">
        <f t="shared" si="63"/>
        <v>12</v>
      </c>
      <c r="B1759" s="5">
        <f t="shared" si="64"/>
        <v>2019</v>
      </c>
      <c r="C1759" s="7">
        <v>43826</v>
      </c>
      <c r="D1759" s="8">
        <v>4.1100000000000003</v>
      </c>
      <c r="E1759" s="8">
        <v>3.77</v>
      </c>
    </row>
    <row r="1760" spans="1:5" x14ac:dyDescent="0.2">
      <c r="A1760" s="5">
        <f t="shared" si="63"/>
        <v>12</v>
      </c>
      <c r="B1760" s="5">
        <f t="shared" si="64"/>
        <v>2019</v>
      </c>
      <c r="C1760" s="7">
        <v>43829</v>
      </c>
      <c r="D1760" s="8">
        <v>4.13</v>
      </c>
      <c r="E1760" s="8">
        <v>3.75</v>
      </c>
    </row>
    <row r="1761" spans="1:5" x14ac:dyDescent="0.2">
      <c r="A1761" s="5">
        <f t="shared" si="63"/>
        <v>12</v>
      </c>
      <c r="B1761" s="5">
        <f t="shared" si="64"/>
        <v>2019</v>
      </c>
      <c r="C1761" s="7">
        <v>43830</v>
      </c>
      <c r="D1761" s="8">
        <v>4.1399999999999997</v>
      </c>
      <c r="E1761" s="8">
        <v>3.73</v>
      </c>
    </row>
    <row r="1762" spans="1:5" x14ac:dyDescent="0.2">
      <c r="A1762" s="5">
        <f t="shared" si="63"/>
        <v>1</v>
      </c>
      <c r="B1762" s="5">
        <f t="shared" si="64"/>
        <v>2020</v>
      </c>
      <c r="C1762" s="7">
        <v>43832</v>
      </c>
      <c r="D1762" s="8">
        <v>4.1399999999999997</v>
      </c>
      <c r="E1762" s="8">
        <v>3.7</v>
      </c>
    </row>
    <row r="1763" spans="1:5" x14ac:dyDescent="0.2">
      <c r="A1763" s="5">
        <f t="shared" si="63"/>
        <v>1</v>
      </c>
      <c r="B1763" s="5">
        <f t="shared" si="64"/>
        <v>2020</v>
      </c>
      <c r="C1763" s="7">
        <v>43833</v>
      </c>
      <c r="D1763" s="8">
        <v>4.1500000000000004</v>
      </c>
      <c r="E1763" s="8">
        <v>3.69</v>
      </c>
    </row>
    <row r="1764" spans="1:5" x14ac:dyDescent="0.2">
      <c r="A1764" s="5">
        <f t="shared" si="63"/>
        <v>1</v>
      </c>
      <c r="B1764" s="5">
        <f t="shared" si="64"/>
        <v>2020</v>
      </c>
      <c r="C1764" s="7">
        <v>43836</v>
      </c>
      <c r="D1764" s="8">
        <v>4.18</v>
      </c>
      <c r="E1764" s="8">
        <v>3.62</v>
      </c>
    </row>
    <row r="1765" spans="1:5" x14ac:dyDescent="0.2">
      <c r="A1765" s="5">
        <f t="shared" si="63"/>
        <v>1</v>
      </c>
      <c r="B1765" s="5">
        <f t="shared" si="64"/>
        <v>2020</v>
      </c>
      <c r="C1765" s="7">
        <v>43837</v>
      </c>
      <c r="D1765" s="8">
        <v>4.18</v>
      </c>
      <c r="E1765" s="8">
        <v>3.62</v>
      </c>
    </row>
    <row r="1766" spans="1:5" x14ac:dyDescent="0.2">
      <c r="A1766" s="5">
        <f t="shared" si="63"/>
        <v>1</v>
      </c>
      <c r="B1766" s="5">
        <f t="shared" si="64"/>
        <v>2020</v>
      </c>
      <c r="C1766" s="7">
        <v>43838</v>
      </c>
      <c r="D1766" s="8">
        <v>4.18</v>
      </c>
      <c r="E1766" s="8">
        <v>3.6</v>
      </c>
    </row>
    <row r="1767" spans="1:5" x14ac:dyDescent="0.2">
      <c r="A1767" s="5">
        <f t="shared" si="63"/>
        <v>1</v>
      </c>
      <c r="B1767" s="5">
        <f t="shared" si="64"/>
        <v>2020</v>
      </c>
      <c r="C1767" s="7">
        <v>43839</v>
      </c>
      <c r="D1767" s="8">
        <v>4.18</v>
      </c>
      <c r="E1767" s="8">
        <v>3.57</v>
      </c>
    </row>
    <row r="1768" spans="1:5" x14ac:dyDescent="0.2">
      <c r="A1768" s="5">
        <f t="shared" si="63"/>
        <v>1</v>
      </c>
      <c r="B1768" s="5">
        <f t="shared" si="64"/>
        <v>2020</v>
      </c>
      <c r="C1768" s="7">
        <v>43840</v>
      </c>
      <c r="D1768" s="8">
        <v>3.58</v>
      </c>
      <c r="E1768" s="8">
        <v>3.58</v>
      </c>
    </row>
    <row r="1769" spans="1:5" x14ac:dyDescent="0.2">
      <c r="A1769" s="5">
        <f t="shared" si="63"/>
        <v>1</v>
      </c>
      <c r="B1769" s="5">
        <f t="shared" si="64"/>
        <v>2020</v>
      </c>
      <c r="C1769" s="7">
        <v>43843</v>
      </c>
      <c r="D1769" s="8">
        <v>3.59</v>
      </c>
      <c r="E1769" s="8">
        <v>3.59</v>
      </c>
    </row>
    <row r="1770" spans="1:5" x14ac:dyDescent="0.2">
      <c r="A1770" s="5">
        <f t="shared" si="63"/>
        <v>1</v>
      </c>
      <c r="B1770" s="5">
        <f t="shared" si="64"/>
        <v>2020</v>
      </c>
      <c r="C1770" s="7">
        <v>43844</v>
      </c>
      <c r="D1770" s="8">
        <v>3.59</v>
      </c>
      <c r="E1770" s="8">
        <v>3.59</v>
      </c>
    </row>
    <row r="1771" spans="1:5" x14ac:dyDescent="0.2">
      <c r="A1771" s="5">
        <f t="shared" si="63"/>
        <v>1</v>
      </c>
      <c r="B1771" s="5">
        <f t="shared" si="64"/>
        <v>2020</v>
      </c>
      <c r="C1771" s="7">
        <v>43845</v>
      </c>
      <c r="D1771" s="8">
        <v>3.59</v>
      </c>
      <c r="E1771" s="8">
        <v>3.6</v>
      </c>
    </row>
    <row r="1772" spans="1:5" x14ac:dyDescent="0.2">
      <c r="A1772" s="5">
        <f t="shared" si="63"/>
        <v>1</v>
      </c>
      <c r="B1772" s="5">
        <f t="shared" si="64"/>
        <v>2020</v>
      </c>
      <c r="C1772" s="7">
        <v>43846</v>
      </c>
      <c r="D1772" s="8">
        <v>3.57</v>
      </c>
      <c r="E1772" s="8">
        <v>3.58</v>
      </c>
    </row>
    <row r="1773" spans="1:5" x14ac:dyDescent="0.2">
      <c r="A1773" s="5">
        <f t="shared" si="63"/>
        <v>1</v>
      </c>
      <c r="B1773" s="5">
        <f t="shared" si="64"/>
        <v>2020</v>
      </c>
      <c r="C1773" s="7">
        <v>43847</v>
      </c>
      <c r="D1773" s="8">
        <v>3.56</v>
      </c>
      <c r="E1773" s="8">
        <v>3.57</v>
      </c>
    </row>
    <row r="1774" spans="1:5" x14ac:dyDescent="0.2">
      <c r="A1774" s="5">
        <f t="shared" si="63"/>
        <v>1</v>
      </c>
      <c r="B1774" s="5">
        <f t="shared" si="64"/>
        <v>2020</v>
      </c>
      <c r="C1774" s="7">
        <v>43850</v>
      </c>
      <c r="D1774" s="8">
        <v>3.56</v>
      </c>
      <c r="E1774" s="8">
        <v>3.58</v>
      </c>
    </row>
    <row r="1775" spans="1:5" x14ac:dyDescent="0.2">
      <c r="A1775" s="5">
        <f t="shared" si="63"/>
        <v>1</v>
      </c>
      <c r="B1775" s="5">
        <f t="shared" si="64"/>
        <v>2020</v>
      </c>
      <c r="C1775" s="7">
        <v>43851</v>
      </c>
      <c r="D1775" s="8">
        <v>3.53</v>
      </c>
      <c r="E1775" s="8">
        <v>3.57</v>
      </c>
    </row>
    <row r="1776" spans="1:5" x14ac:dyDescent="0.2">
      <c r="A1776" s="5">
        <f t="shared" si="63"/>
        <v>1</v>
      </c>
      <c r="B1776" s="5">
        <f t="shared" si="64"/>
        <v>2020</v>
      </c>
      <c r="C1776" s="7">
        <v>43852</v>
      </c>
      <c r="D1776" s="8">
        <v>3.53</v>
      </c>
      <c r="E1776" s="8">
        <v>3.57</v>
      </c>
    </row>
    <row r="1777" spans="1:5" x14ac:dyDescent="0.2">
      <c r="A1777" s="5">
        <f t="shared" si="63"/>
        <v>1</v>
      </c>
      <c r="B1777" s="5">
        <f t="shared" si="64"/>
        <v>2020</v>
      </c>
      <c r="C1777" s="7">
        <v>43853</v>
      </c>
      <c r="D1777" s="8">
        <v>3.5</v>
      </c>
      <c r="E1777" s="8">
        <v>3.54</v>
      </c>
    </row>
    <row r="1778" spans="1:5" x14ac:dyDescent="0.2">
      <c r="A1778" s="5">
        <f t="shared" si="63"/>
        <v>1</v>
      </c>
      <c r="B1778" s="5">
        <f t="shared" si="64"/>
        <v>2020</v>
      </c>
      <c r="C1778" s="7">
        <v>43854</v>
      </c>
      <c r="D1778" s="8">
        <v>3.47</v>
      </c>
      <c r="E1778" s="8">
        <v>3.53</v>
      </c>
    </row>
    <row r="1779" spans="1:5" x14ac:dyDescent="0.2">
      <c r="A1779" s="5">
        <f t="shared" si="63"/>
        <v>1</v>
      </c>
      <c r="B1779" s="5">
        <f t="shared" si="64"/>
        <v>2020</v>
      </c>
      <c r="C1779" s="7">
        <v>43857</v>
      </c>
      <c r="D1779" s="8">
        <v>3.46</v>
      </c>
      <c r="E1779" s="8">
        <v>3.54</v>
      </c>
    </row>
    <row r="1780" spans="1:5" x14ac:dyDescent="0.2">
      <c r="A1780" s="5">
        <f t="shared" si="63"/>
        <v>1</v>
      </c>
      <c r="B1780" s="5">
        <f t="shared" si="64"/>
        <v>2020</v>
      </c>
      <c r="C1780" s="7">
        <v>43858</v>
      </c>
      <c r="D1780" s="8">
        <v>3.48</v>
      </c>
      <c r="E1780" s="8">
        <v>3.54</v>
      </c>
    </row>
    <row r="1781" spans="1:5" x14ac:dyDescent="0.2">
      <c r="A1781" s="5">
        <f t="shared" si="63"/>
        <v>1</v>
      </c>
      <c r="B1781" s="5">
        <f t="shared" si="64"/>
        <v>2020</v>
      </c>
      <c r="C1781" s="7">
        <v>43859</v>
      </c>
      <c r="D1781" s="8">
        <v>3.48</v>
      </c>
      <c r="E1781" s="8">
        <v>3.54</v>
      </c>
    </row>
    <row r="1782" spans="1:5" x14ac:dyDescent="0.2">
      <c r="A1782" s="5">
        <f t="shared" si="63"/>
        <v>1</v>
      </c>
      <c r="B1782" s="5">
        <f t="shared" si="64"/>
        <v>2020</v>
      </c>
      <c r="C1782" s="7">
        <v>43860</v>
      </c>
      <c r="D1782" s="8">
        <v>3.47</v>
      </c>
      <c r="E1782" s="8">
        <v>3.54</v>
      </c>
    </row>
    <row r="1783" spans="1:5" x14ac:dyDescent="0.2">
      <c r="A1783" s="5">
        <f t="shared" si="63"/>
        <v>1</v>
      </c>
      <c r="B1783" s="5">
        <f t="shared" si="64"/>
        <v>2020</v>
      </c>
      <c r="C1783" s="7">
        <v>43861</v>
      </c>
      <c r="D1783" s="8">
        <v>3.4</v>
      </c>
      <c r="E1783" s="8">
        <v>3.44</v>
      </c>
    </row>
    <row r="1784" spans="1:5" x14ac:dyDescent="0.2">
      <c r="A1784" s="5">
        <f t="shared" si="63"/>
        <v>2</v>
      </c>
      <c r="B1784" s="5">
        <f t="shared" si="64"/>
        <v>2020</v>
      </c>
      <c r="C1784" s="7">
        <v>43864</v>
      </c>
      <c r="D1784" s="8">
        <v>3.4</v>
      </c>
      <c r="E1784" s="8">
        <v>3.44</v>
      </c>
    </row>
    <row r="1785" spans="1:5" x14ac:dyDescent="0.2">
      <c r="A1785" s="5">
        <f t="shared" si="63"/>
        <v>2</v>
      </c>
      <c r="B1785" s="5">
        <f t="shared" si="64"/>
        <v>2020</v>
      </c>
      <c r="C1785" s="7">
        <v>43865</v>
      </c>
      <c r="D1785" s="8">
        <v>3.4</v>
      </c>
      <c r="E1785" s="8">
        <v>3.42</v>
      </c>
    </row>
    <row r="1786" spans="1:5" x14ac:dyDescent="0.2">
      <c r="A1786" s="5">
        <f t="shared" si="63"/>
        <v>2</v>
      </c>
      <c r="B1786" s="5">
        <f t="shared" si="64"/>
        <v>2020</v>
      </c>
      <c r="C1786" s="7">
        <v>43866</v>
      </c>
      <c r="D1786" s="8">
        <v>3.4</v>
      </c>
      <c r="E1786" s="8">
        <v>3.42</v>
      </c>
    </row>
    <row r="1787" spans="1:5" x14ac:dyDescent="0.2">
      <c r="A1787" s="5">
        <f t="shared" si="63"/>
        <v>2</v>
      </c>
      <c r="B1787" s="5">
        <f t="shared" si="64"/>
        <v>2020</v>
      </c>
      <c r="C1787" s="7">
        <v>43867</v>
      </c>
      <c r="D1787" s="8">
        <v>3.4</v>
      </c>
      <c r="E1787" s="8">
        <v>3.42</v>
      </c>
    </row>
    <row r="1788" spans="1:5" x14ac:dyDescent="0.2">
      <c r="A1788" s="5">
        <f t="shared" si="63"/>
        <v>2</v>
      </c>
      <c r="B1788" s="5">
        <f t="shared" si="64"/>
        <v>2020</v>
      </c>
      <c r="C1788" s="7">
        <v>43868</v>
      </c>
      <c r="D1788" s="8">
        <v>3.41</v>
      </c>
      <c r="E1788" s="8">
        <v>3.4</v>
      </c>
    </row>
    <row r="1789" spans="1:5" x14ac:dyDescent="0.2">
      <c r="A1789" s="5">
        <f t="shared" si="63"/>
        <v>2</v>
      </c>
      <c r="B1789" s="5">
        <f t="shared" si="64"/>
        <v>2020</v>
      </c>
      <c r="C1789" s="7">
        <v>43871</v>
      </c>
      <c r="D1789" s="8">
        <v>3.42</v>
      </c>
      <c r="E1789" s="8">
        <v>3.41</v>
      </c>
    </row>
    <row r="1790" spans="1:5" x14ac:dyDescent="0.2">
      <c r="A1790" s="5">
        <f t="shared" si="63"/>
        <v>2</v>
      </c>
      <c r="B1790" s="5">
        <f t="shared" si="64"/>
        <v>2020</v>
      </c>
      <c r="C1790" s="7">
        <v>43872</v>
      </c>
      <c r="D1790" s="8">
        <v>3.42</v>
      </c>
      <c r="E1790" s="8">
        <v>3.43</v>
      </c>
    </row>
    <row r="1791" spans="1:5" x14ac:dyDescent="0.2">
      <c r="A1791" s="5">
        <f t="shared" si="63"/>
        <v>2</v>
      </c>
      <c r="B1791" s="5">
        <f t="shared" si="64"/>
        <v>2020</v>
      </c>
      <c r="C1791" s="7">
        <v>43873</v>
      </c>
      <c r="D1791" s="8">
        <v>3.43</v>
      </c>
      <c r="E1791" s="8">
        <v>3.45</v>
      </c>
    </row>
    <row r="1792" spans="1:5" x14ac:dyDescent="0.2">
      <c r="A1792" s="5">
        <f t="shared" si="63"/>
        <v>2</v>
      </c>
      <c r="B1792" s="5">
        <f t="shared" si="64"/>
        <v>2020</v>
      </c>
      <c r="C1792" s="7">
        <v>43874</v>
      </c>
      <c r="D1792" s="8">
        <v>3.43</v>
      </c>
      <c r="E1792" s="8">
        <v>3.46</v>
      </c>
    </row>
    <row r="1793" spans="1:5" x14ac:dyDescent="0.2">
      <c r="A1793" s="5">
        <f t="shared" si="63"/>
        <v>2</v>
      </c>
      <c r="B1793" s="5">
        <f t="shared" si="64"/>
        <v>2020</v>
      </c>
      <c r="C1793" s="7">
        <v>43875</v>
      </c>
      <c r="D1793" s="8">
        <v>3.41</v>
      </c>
      <c r="E1793" s="8">
        <v>3.43</v>
      </c>
    </row>
    <row r="1794" spans="1:5" x14ac:dyDescent="0.2">
      <c r="A1794" s="5">
        <f t="shared" si="63"/>
        <v>2</v>
      </c>
      <c r="B1794" s="5">
        <f t="shared" si="64"/>
        <v>2020</v>
      </c>
      <c r="C1794" s="7">
        <v>43878</v>
      </c>
      <c r="D1794" s="8">
        <v>3.41</v>
      </c>
      <c r="E1794" s="8">
        <v>3.45</v>
      </c>
    </row>
    <row r="1795" spans="1:5" x14ac:dyDescent="0.2">
      <c r="A1795" s="5">
        <f t="shared" si="63"/>
        <v>2</v>
      </c>
      <c r="B1795" s="5">
        <f t="shared" si="64"/>
        <v>2020</v>
      </c>
      <c r="C1795" s="7">
        <v>43879</v>
      </c>
      <c r="D1795" s="8">
        <v>3.41</v>
      </c>
      <c r="E1795" s="8">
        <v>3.45</v>
      </c>
    </row>
    <row r="1796" spans="1:5" x14ac:dyDescent="0.2">
      <c r="A1796" s="5">
        <f t="shared" ref="A1796:A1859" si="65">MONTH(C1796)</f>
        <v>2</v>
      </c>
      <c r="B1796" s="5">
        <f t="shared" ref="B1796:B1859" si="66">YEAR(C1796)</f>
        <v>2020</v>
      </c>
      <c r="C1796" s="7">
        <v>43880</v>
      </c>
      <c r="D1796" s="8">
        <v>3.41</v>
      </c>
      <c r="E1796" s="8">
        <v>3.48</v>
      </c>
    </row>
    <row r="1797" spans="1:5" x14ac:dyDescent="0.2">
      <c r="A1797" s="5">
        <f t="shared" si="65"/>
        <v>2</v>
      </c>
      <c r="B1797" s="5">
        <f t="shared" si="66"/>
        <v>2020</v>
      </c>
      <c r="C1797" s="7">
        <v>43881</v>
      </c>
      <c r="D1797" s="8">
        <v>3.41</v>
      </c>
      <c r="E1797" s="8">
        <v>3.49</v>
      </c>
    </row>
    <row r="1798" spans="1:5" x14ac:dyDescent="0.2">
      <c r="A1798" s="5">
        <f t="shared" si="65"/>
        <v>2</v>
      </c>
      <c r="B1798" s="5">
        <f t="shared" si="66"/>
        <v>2020</v>
      </c>
      <c r="C1798" s="7">
        <v>43882</v>
      </c>
      <c r="D1798" s="8">
        <v>3.41</v>
      </c>
      <c r="E1798" s="8">
        <v>3.52</v>
      </c>
    </row>
    <row r="1799" spans="1:5" x14ac:dyDescent="0.2">
      <c r="A1799" s="5">
        <f t="shared" si="65"/>
        <v>2</v>
      </c>
      <c r="B1799" s="5">
        <f t="shared" si="66"/>
        <v>2020</v>
      </c>
      <c r="C1799" s="7">
        <v>43887</v>
      </c>
      <c r="D1799" s="8">
        <v>3.4</v>
      </c>
      <c r="E1799" s="8">
        <v>3.54</v>
      </c>
    </row>
    <row r="1800" spans="1:5" x14ac:dyDescent="0.2">
      <c r="A1800" s="5">
        <f t="shared" si="65"/>
        <v>2</v>
      </c>
      <c r="B1800" s="5">
        <f t="shared" si="66"/>
        <v>2020</v>
      </c>
      <c r="C1800" s="7">
        <v>43888</v>
      </c>
      <c r="D1800" s="8">
        <v>3.41</v>
      </c>
      <c r="E1800" s="8">
        <v>3.57</v>
      </c>
    </row>
    <row r="1801" spans="1:5" x14ac:dyDescent="0.2">
      <c r="A1801" s="5">
        <f t="shared" si="65"/>
        <v>2</v>
      </c>
      <c r="B1801" s="5">
        <f t="shared" si="66"/>
        <v>2020</v>
      </c>
      <c r="C1801" s="7">
        <v>43889</v>
      </c>
      <c r="D1801" s="8">
        <v>3.4</v>
      </c>
      <c r="E1801" s="8">
        <v>3.56</v>
      </c>
    </row>
    <row r="1802" spans="1:5" x14ac:dyDescent="0.2">
      <c r="A1802" s="5">
        <f t="shared" si="65"/>
        <v>3</v>
      </c>
      <c r="B1802" s="5">
        <f t="shared" si="66"/>
        <v>2020</v>
      </c>
      <c r="C1802" s="7">
        <v>43892</v>
      </c>
      <c r="D1802" s="8">
        <v>3.42</v>
      </c>
      <c r="E1802" s="8">
        <v>3.65</v>
      </c>
    </row>
    <row r="1803" spans="1:5" x14ac:dyDescent="0.2">
      <c r="A1803" s="5">
        <f t="shared" si="65"/>
        <v>3</v>
      </c>
      <c r="B1803" s="5">
        <f t="shared" si="66"/>
        <v>2020</v>
      </c>
      <c r="C1803" s="7">
        <v>43893</v>
      </c>
      <c r="D1803" s="8">
        <v>3.42</v>
      </c>
      <c r="E1803" s="8">
        <v>3.65</v>
      </c>
    </row>
    <row r="1804" spans="1:5" x14ac:dyDescent="0.2">
      <c r="A1804" s="5">
        <f t="shared" si="65"/>
        <v>3</v>
      </c>
      <c r="B1804" s="5">
        <f t="shared" si="66"/>
        <v>2020</v>
      </c>
      <c r="C1804" s="7">
        <v>43894</v>
      </c>
      <c r="D1804" s="8">
        <v>3.41</v>
      </c>
      <c r="E1804" s="8">
        <v>3.64</v>
      </c>
    </row>
    <row r="1805" spans="1:5" x14ac:dyDescent="0.2">
      <c r="A1805" s="5">
        <f t="shared" si="65"/>
        <v>3</v>
      </c>
      <c r="B1805" s="5">
        <f t="shared" si="66"/>
        <v>2020</v>
      </c>
      <c r="C1805" s="7">
        <v>43895</v>
      </c>
      <c r="D1805" s="8">
        <v>3.41</v>
      </c>
      <c r="E1805" s="8">
        <v>3.64</v>
      </c>
    </row>
    <row r="1806" spans="1:5" x14ac:dyDescent="0.2">
      <c r="A1806" s="5">
        <f t="shared" si="65"/>
        <v>3</v>
      </c>
      <c r="B1806" s="5">
        <f t="shared" si="66"/>
        <v>2020</v>
      </c>
      <c r="C1806" s="7">
        <v>43896</v>
      </c>
      <c r="D1806" s="8">
        <v>3.41</v>
      </c>
      <c r="E1806" s="8">
        <v>3.66</v>
      </c>
    </row>
    <row r="1807" spans="1:5" x14ac:dyDescent="0.2">
      <c r="A1807" s="5">
        <f t="shared" si="65"/>
        <v>3</v>
      </c>
      <c r="B1807" s="5">
        <f t="shared" si="66"/>
        <v>2020</v>
      </c>
      <c r="C1807" s="7">
        <v>43899</v>
      </c>
      <c r="D1807" s="8">
        <v>3.42</v>
      </c>
      <c r="E1807" s="8">
        <v>3.66</v>
      </c>
    </row>
    <row r="1808" spans="1:5" x14ac:dyDescent="0.2">
      <c r="A1808" s="5">
        <f t="shared" si="65"/>
        <v>3</v>
      </c>
      <c r="B1808" s="5">
        <f t="shared" si="66"/>
        <v>2020</v>
      </c>
      <c r="C1808" s="7">
        <v>43900</v>
      </c>
      <c r="D1808" s="8">
        <v>3.41</v>
      </c>
      <c r="E1808" s="8">
        <v>3.66</v>
      </c>
    </row>
    <row r="1809" spans="1:5" x14ac:dyDescent="0.2">
      <c r="A1809" s="5">
        <f t="shared" si="65"/>
        <v>3</v>
      </c>
      <c r="B1809" s="5">
        <f t="shared" si="66"/>
        <v>2020</v>
      </c>
      <c r="C1809" s="7">
        <v>43901</v>
      </c>
      <c r="D1809" s="8">
        <v>3.65</v>
      </c>
      <c r="E1809" s="8">
        <v>3.65</v>
      </c>
    </row>
    <row r="1810" spans="1:5" x14ac:dyDescent="0.2">
      <c r="A1810" s="5">
        <f t="shared" si="65"/>
        <v>3</v>
      </c>
      <c r="B1810" s="5">
        <f t="shared" si="66"/>
        <v>2020</v>
      </c>
      <c r="C1810" s="7">
        <v>43902</v>
      </c>
      <c r="D1810" s="8">
        <v>3.61</v>
      </c>
      <c r="E1810" s="8">
        <v>3.64</v>
      </c>
    </row>
    <row r="1811" spans="1:5" x14ac:dyDescent="0.2">
      <c r="A1811" s="5">
        <f t="shared" si="65"/>
        <v>3</v>
      </c>
      <c r="B1811" s="5">
        <f t="shared" si="66"/>
        <v>2020</v>
      </c>
      <c r="C1811" s="7">
        <v>43903</v>
      </c>
      <c r="D1811" s="8">
        <v>3.49</v>
      </c>
      <c r="E1811" s="8">
        <v>3.49</v>
      </c>
    </row>
    <row r="1812" spans="1:5" x14ac:dyDescent="0.2">
      <c r="A1812" s="5">
        <f t="shared" si="65"/>
        <v>3</v>
      </c>
      <c r="B1812" s="5">
        <f t="shared" si="66"/>
        <v>2020</v>
      </c>
      <c r="C1812" s="7">
        <v>43906</v>
      </c>
      <c r="D1812" s="8">
        <v>3.47</v>
      </c>
      <c r="E1812" s="8">
        <v>3.51</v>
      </c>
    </row>
    <row r="1813" spans="1:5" x14ac:dyDescent="0.2">
      <c r="A1813" s="5">
        <f t="shared" si="65"/>
        <v>3</v>
      </c>
      <c r="B1813" s="5">
        <f t="shared" si="66"/>
        <v>2020</v>
      </c>
      <c r="C1813" s="7">
        <v>43907</v>
      </c>
      <c r="D1813" s="8">
        <v>3.47</v>
      </c>
      <c r="E1813" s="8">
        <v>3.52</v>
      </c>
    </row>
    <row r="1814" spans="1:5" x14ac:dyDescent="0.2">
      <c r="A1814" s="5">
        <f t="shared" si="65"/>
        <v>3</v>
      </c>
      <c r="B1814" s="5">
        <f t="shared" si="66"/>
        <v>2020</v>
      </c>
      <c r="C1814" s="7">
        <v>43908</v>
      </c>
      <c r="D1814" s="8">
        <v>3.46</v>
      </c>
      <c r="E1814" s="8">
        <v>3.5</v>
      </c>
    </row>
    <row r="1815" spans="1:5" x14ac:dyDescent="0.2">
      <c r="A1815" s="5">
        <f t="shared" si="65"/>
        <v>3</v>
      </c>
      <c r="B1815" s="5">
        <f t="shared" si="66"/>
        <v>2020</v>
      </c>
      <c r="C1815" s="7">
        <v>43909</v>
      </c>
      <c r="D1815" s="8">
        <v>3.45</v>
      </c>
      <c r="E1815" s="8">
        <v>3.5</v>
      </c>
    </row>
    <row r="1816" spans="1:5" x14ac:dyDescent="0.2">
      <c r="A1816" s="5">
        <f t="shared" si="65"/>
        <v>3</v>
      </c>
      <c r="B1816" s="5">
        <f t="shared" si="66"/>
        <v>2020</v>
      </c>
      <c r="C1816" s="7">
        <v>43910</v>
      </c>
      <c r="D1816" s="8">
        <v>3.45</v>
      </c>
      <c r="E1816" s="8">
        <v>3.49</v>
      </c>
    </row>
    <row r="1817" spans="1:5" x14ac:dyDescent="0.2">
      <c r="A1817" s="5">
        <f t="shared" si="65"/>
        <v>3</v>
      </c>
      <c r="B1817" s="5">
        <f t="shared" si="66"/>
        <v>2020</v>
      </c>
      <c r="C1817" s="7">
        <v>43913</v>
      </c>
      <c r="D1817" s="8">
        <v>3.42</v>
      </c>
      <c r="E1817" s="8">
        <v>3.46</v>
      </c>
    </row>
    <row r="1818" spans="1:5" x14ac:dyDescent="0.2">
      <c r="A1818" s="5">
        <f t="shared" si="65"/>
        <v>3</v>
      </c>
      <c r="B1818" s="5">
        <f t="shared" si="66"/>
        <v>2020</v>
      </c>
      <c r="C1818" s="7">
        <v>43914</v>
      </c>
      <c r="D1818" s="8">
        <v>3.4</v>
      </c>
      <c r="E1818" s="8">
        <v>3.44</v>
      </c>
    </row>
    <row r="1819" spans="1:5" x14ac:dyDescent="0.2">
      <c r="A1819" s="5">
        <f t="shared" si="65"/>
        <v>3</v>
      </c>
      <c r="B1819" s="5">
        <f t="shared" si="66"/>
        <v>2020</v>
      </c>
      <c r="C1819" s="7">
        <v>43915</v>
      </c>
      <c r="D1819" s="8">
        <v>3.39</v>
      </c>
      <c r="E1819" s="8">
        <v>3.44</v>
      </c>
    </row>
    <row r="1820" spans="1:5" x14ac:dyDescent="0.2">
      <c r="A1820" s="5">
        <f t="shared" si="65"/>
        <v>3</v>
      </c>
      <c r="B1820" s="5">
        <f t="shared" si="66"/>
        <v>2020</v>
      </c>
      <c r="C1820" s="7">
        <v>43916</v>
      </c>
      <c r="D1820" s="8">
        <v>3.31</v>
      </c>
      <c r="E1820" s="8">
        <v>3.43</v>
      </c>
    </row>
    <row r="1821" spans="1:5" x14ac:dyDescent="0.2">
      <c r="A1821" s="5">
        <f t="shared" si="65"/>
        <v>3</v>
      </c>
      <c r="B1821" s="5">
        <f t="shared" si="66"/>
        <v>2020</v>
      </c>
      <c r="C1821" s="7">
        <v>43917</v>
      </c>
      <c r="D1821" s="8">
        <v>3.3</v>
      </c>
      <c r="E1821" s="8">
        <v>3.4</v>
      </c>
    </row>
    <row r="1822" spans="1:5" x14ac:dyDescent="0.2">
      <c r="A1822" s="5">
        <f t="shared" si="65"/>
        <v>3</v>
      </c>
      <c r="B1822" s="5">
        <f t="shared" si="66"/>
        <v>2020</v>
      </c>
      <c r="C1822" s="7">
        <v>43920</v>
      </c>
      <c r="D1822" s="8">
        <v>3.17</v>
      </c>
      <c r="E1822" s="8">
        <v>3.31</v>
      </c>
    </row>
    <row r="1823" spans="1:5" x14ac:dyDescent="0.2">
      <c r="A1823" s="5">
        <f t="shared" si="65"/>
        <v>3</v>
      </c>
      <c r="B1823" s="5">
        <f t="shared" si="66"/>
        <v>2020</v>
      </c>
      <c r="C1823" s="7">
        <v>43921</v>
      </c>
      <c r="D1823" s="8">
        <v>3.17</v>
      </c>
      <c r="E1823" s="8">
        <v>3.32</v>
      </c>
    </row>
    <row r="1824" spans="1:5" x14ac:dyDescent="0.2">
      <c r="A1824" s="5">
        <f t="shared" si="65"/>
        <v>4</v>
      </c>
      <c r="B1824" s="5">
        <f t="shared" si="66"/>
        <v>2020</v>
      </c>
      <c r="C1824" s="7">
        <v>43922</v>
      </c>
      <c r="D1824" s="8">
        <v>3.17</v>
      </c>
      <c r="E1824" s="8">
        <v>3.32</v>
      </c>
    </row>
    <row r="1825" spans="1:5" x14ac:dyDescent="0.2">
      <c r="A1825" s="5">
        <f t="shared" si="65"/>
        <v>4</v>
      </c>
      <c r="B1825" s="5">
        <f t="shared" si="66"/>
        <v>2020</v>
      </c>
      <c r="C1825" s="7">
        <v>43923</v>
      </c>
      <c r="D1825" s="8">
        <v>3.11</v>
      </c>
      <c r="E1825" s="8">
        <v>3.26</v>
      </c>
    </row>
    <row r="1826" spans="1:5" x14ac:dyDescent="0.2">
      <c r="A1826" s="5">
        <f t="shared" si="65"/>
        <v>4</v>
      </c>
      <c r="B1826" s="5">
        <f t="shared" si="66"/>
        <v>2020</v>
      </c>
      <c r="C1826" s="7">
        <v>43924</v>
      </c>
      <c r="D1826" s="8">
        <v>2.98</v>
      </c>
      <c r="E1826" s="8">
        <v>3.19</v>
      </c>
    </row>
    <row r="1827" spans="1:5" x14ac:dyDescent="0.2">
      <c r="A1827" s="5">
        <f t="shared" si="65"/>
        <v>4</v>
      </c>
      <c r="B1827" s="5">
        <f t="shared" si="66"/>
        <v>2020</v>
      </c>
      <c r="C1827" s="7">
        <v>43927</v>
      </c>
      <c r="D1827" s="8">
        <v>2.94</v>
      </c>
      <c r="E1827" s="8">
        <v>3.12</v>
      </c>
    </row>
    <row r="1828" spans="1:5" x14ac:dyDescent="0.2">
      <c r="A1828" s="5">
        <f t="shared" si="65"/>
        <v>4</v>
      </c>
      <c r="B1828" s="5">
        <f t="shared" si="66"/>
        <v>2020</v>
      </c>
      <c r="C1828" s="7">
        <v>43928</v>
      </c>
      <c r="D1828" s="8">
        <v>2.92</v>
      </c>
      <c r="E1828" s="8">
        <v>3.13</v>
      </c>
    </row>
    <row r="1829" spans="1:5" x14ac:dyDescent="0.2">
      <c r="A1829" s="5">
        <f t="shared" si="65"/>
        <v>4</v>
      </c>
      <c r="B1829" s="5">
        <f t="shared" si="66"/>
        <v>2020</v>
      </c>
      <c r="C1829" s="7">
        <v>43929</v>
      </c>
      <c r="D1829" s="8">
        <v>2.9</v>
      </c>
      <c r="E1829" s="8">
        <v>3.09</v>
      </c>
    </row>
    <row r="1830" spans="1:5" x14ac:dyDescent="0.2">
      <c r="A1830" s="5">
        <f t="shared" si="65"/>
        <v>4</v>
      </c>
      <c r="B1830" s="5">
        <f t="shared" si="66"/>
        <v>2020</v>
      </c>
      <c r="C1830" s="7">
        <v>43930</v>
      </c>
      <c r="D1830" s="8">
        <v>3.09</v>
      </c>
      <c r="E1830" s="8">
        <v>3.07</v>
      </c>
    </row>
    <row r="1831" spans="1:5" x14ac:dyDescent="0.2">
      <c r="A1831" s="5">
        <f t="shared" si="65"/>
        <v>4</v>
      </c>
      <c r="B1831" s="5">
        <f t="shared" si="66"/>
        <v>2020</v>
      </c>
      <c r="C1831" s="7">
        <v>43934</v>
      </c>
      <c r="D1831" s="8">
        <v>3.03</v>
      </c>
      <c r="E1831" s="8">
        <v>3.09</v>
      </c>
    </row>
    <row r="1832" spans="1:5" x14ac:dyDescent="0.2">
      <c r="A1832" s="5">
        <f t="shared" si="65"/>
        <v>4</v>
      </c>
      <c r="B1832" s="5">
        <f t="shared" si="66"/>
        <v>2020</v>
      </c>
      <c r="C1832" s="7">
        <v>43935</v>
      </c>
      <c r="D1832" s="8">
        <v>2.95</v>
      </c>
      <c r="E1832" s="8">
        <v>3.01</v>
      </c>
    </row>
    <row r="1833" spans="1:5" x14ac:dyDescent="0.2">
      <c r="A1833" s="5">
        <f t="shared" si="65"/>
        <v>4</v>
      </c>
      <c r="B1833" s="5">
        <f t="shared" si="66"/>
        <v>2020</v>
      </c>
      <c r="C1833" s="7">
        <v>43936</v>
      </c>
      <c r="D1833" s="8">
        <v>2.91</v>
      </c>
      <c r="E1833" s="8">
        <v>2.99</v>
      </c>
    </row>
    <row r="1834" spans="1:5" x14ac:dyDescent="0.2">
      <c r="A1834" s="5">
        <f t="shared" si="65"/>
        <v>4</v>
      </c>
      <c r="B1834" s="5">
        <f t="shared" si="66"/>
        <v>2020</v>
      </c>
      <c r="C1834" s="7">
        <v>43937</v>
      </c>
      <c r="D1834" s="8">
        <v>2.88</v>
      </c>
      <c r="E1834" s="8">
        <v>2.96</v>
      </c>
    </row>
    <row r="1835" spans="1:5" x14ac:dyDescent="0.2">
      <c r="A1835" s="5">
        <f t="shared" si="65"/>
        <v>4</v>
      </c>
      <c r="B1835" s="5">
        <f t="shared" si="66"/>
        <v>2020</v>
      </c>
      <c r="C1835" s="7">
        <v>43938</v>
      </c>
      <c r="D1835" s="8">
        <v>2.75</v>
      </c>
      <c r="E1835" s="8">
        <v>2.86</v>
      </c>
    </row>
    <row r="1836" spans="1:5" x14ac:dyDescent="0.2">
      <c r="A1836" s="5">
        <f t="shared" si="65"/>
        <v>4</v>
      </c>
      <c r="B1836" s="5">
        <f t="shared" si="66"/>
        <v>2020</v>
      </c>
      <c r="C1836" s="7">
        <v>43941</v>
      </c>
      <c r="D1836" s="8">
        <v>2.74</v>
      </c>
      <c r="E1836" s="8">
        <v>2.9</v>
      </c>
    </row>
    <row r="1837" spans="1:5" x14ac:dyDescent="0.2">
      <c r="A1837" s="5">
        <f t="shared" si="65"/>
        <v>4</v>
      </c>
      <c r="B1837" s="5">
        <f t="shared" si="66"/>
        <v>2020</v>
      </c>
      <c r="C1837" s="7">
        <v>43943</v>
      </c>
      <c r="D1837" s="8">
        <v>2.74</v>
      </c>
      <c r="E1837" s="8">
        <v>2.93</v>
      </c>
    </row>
    <row r="1838" spans="1:5" x14ac:dyDescent="0.2">
      <c r="A1838" s="5">
        <f t="shared" si="65"/>
        <v>4</v>
      </c>
      <c r="B1838" s="5">
        <f t="shared" si="66"/>
        <v>2020</v>
      </c>
      <c r="C1838" s="7">
        <v>43944</v>
      </c>
      <c r="D1838" s="8">
        <v>2.68</v>
      </c>
      <c r="E1838" s="8">
        <v>2.91</v>
      </c>
    </row>
    <row r="1839" spans="1:5" x14ac:dyDescent="0.2">
      <c r="A1839" s="5">
        <f t="shared" si="65"/>
        <v>4</v>
      </c>
      <c r="B1839" s="5">
        <f t="shared" si="66"/>
        <v>2020</v>
      </c>
      <c r="C1839" s="7">
        <v>43945</v>
      </c>
      <c r="D1839" s="8">
        <v>2.68</v>
      </c>
      <c r="E1839" s="8">
        <v>2.93</v>
      </c>
    </row>
    <row r="1840" spans="1:5" x14ac:dyDescent="0.2">
      <c r="A1840" s="5">
        <f t="shared" si="65"/>
        <v>4</v>
      </c>
      <c r="B1840" s="5">
        <f t="shared" si="66"/>
        <v>2020</v>
      </c>
      <c r="C1840" s="7">
        <v>43948</v>
      </c>
      <c r="D1840" s="8">
        <v>2.64</v>
      </c>
      <c r="E1840" s="8">
        <v>2.87</v>
      </c>
    </row>
    <row r="1841" spans="1:5" x14ac:dyDescent="0.2">
      <c r="A1841" s="5">
        <f t="shared" si="65"/>
        <v>4</v>
      </c>
      <c r="B1841" s="5">
        <f t="shared" si="66"/>
        <v>2020</v>
      </c>
      <c r="C1841" s="7">
        <v>43949</v>
      </c>
      <c r="D1841" s="8">
        <v>2.61</v>
      </c>
      <c r="E1841" s="8">
        <v>2.86</v>
      </c>
    </row>
    <row r="1842" spans="1:5" x14ac:dyDescent="0.2">
      <c r="A1842" s="5">
        <f t="shared" si="65"/>
        <v>4</v>
      </c>
      <c r="B1842" s="5">
        <f t="shared" si="66"/>
        <v>2020</v>
      </c>
      <c r="C1842" s="7">
        <v>43950</v>
      </c>
      <c r="D1842" s="8">
        <v>2.52</v>
      </c>
      <c r="E1842" s="8">
        <v>2.87</v>
      </c>
    </row>
    <row r="1843" spans="1:5" x14ac:dyDescent="0.2">
      <c r="A1843" s="5">
        <f t="shared" si="65"/>
        <v>4</v>
      </c>
      <c r="B1843" s="5">
        <f t="shared" si="66"/>
        <v>2020</v>
      </c>
      <c r="C1843" s="7">
        <v>43951</v>
      </c>
      <c r="D1843" s="8">
        <v>2.48</v>
      </c>
      <c r="E1843" s="8">
        <v>2.84</v>
      </c>
    </row>
    <row r="1844" spans="1:5" x14ac:dyDescent="0.2">
      <c r="A1844" s="5">
        <f t="shared" si="65"/>
        <v>5</v>
      </c>
      <c r="B1844" s="5">
        <f t="shared" si="66"/>
        <v>2020</v>
      </c>
      <c r="C1844" s="7">
        <v>43955</v>
      </c>
      <c r="D1844" s="8">
        <v>2.42</v>
      </c>
      <c r="E1844" s="8">
        <v>2.89</v>
      </c>
    </row>
    <row r="1845" spans="1:5" x14ac:dyDescent="0.2">
      <c r="A1845" s="5">
        <f t="shared" si="65"/>
        <v>5</v>
      </c>
      <c r="B1845" s="5">
        <f t="shared" si="66"/>
        <v>2020</v>
      </c>
      <c r="C1845" s="7">
        <v>43956</v>
      </c>
      <c r="D1845" s="8">
        <v>2.39</v>
      </c>
      <c r="E1845" s="8">
        <v>2.9</v>
      </c>
    </row>
    <row r="1846" spans="1:5" x14ac:dyDescent="0.2">
      <c r="A1846" s="5">
        <f t="shared" si="65"/>
        <v>5</v>
      </c>
      <c r="B1846" s="5">
        <f t="shared" si="66"/>
        <v>2020</v>
      </c>
      <c r="C1846" s="7">
        <v>43957</v>
      </c>
      <c r="D1846" s="8">
        <v>2.39</v>
      </c>
      <c r="E1846" s="8">
        <v>2.91</v>
      </c>
    </row>
    <row r="1847" spans="1:5" x14ac:dyDescent="0.2">
      <c r="A1847" s="5">
        <f t="shared" si="65"/>
        <v>5</v>
      </c>
      <c r="B1847" s="5">
        <f t="shared" si="66"/>
        <v>2020</v>
      </c>
      <c r="C1847" s="7">
        <v>43958</v>
      </c>
      <c r="D1847" s="8">
        <v>2.36</v>
      </c>
      <c r="E1847" s="8">
        <v>2.91</v>
      </c>
    </row>
    <row r="1848" spans="1:5" x14ac:dyDescent="0.2">
      <c r="A1848" s="5">
        <f t="shared" si="65"/>
        <v>5</v>
      </c>
      <c r="B1848" s="5">
        <f t="shared" si="66"/>
        <v>2020</v>
      </c>
      <c r="C1848" s="7">
        <v>43959</v>
      </c>
      <c r="D1848" s="8">
        <v>2.84</v>
      </c>
      <c r="E1848" s="8">
        <v>2.87</v>
      </c>
    </row>
    <row r="1849" spans="1:5" x14ac:dyDescent="0.2">
      <c r="A1849" s="5">
        <f t="shared" si="65"/>
        <v>5</v>
      </c>
      <c r="B1849" s="5">
        <f t="shared" si="66"/>
        <v>2020</v>
      </c>
      <c r="C1849" s="7">
        <v>43962</v>
      </c>
      <c r="D1849" s="8">
        <v>2.83</v>
      </c>
      <c r="E1849" s="8">
        <v>2.92</v>
      </c>
    </row>
    <row r="1850" spans="1:5" x14ac:dyDescent="0.2">
      <c r="A1850" s="5">
        <f t="shared" si="65"/>
        <v>5</v>
      </c>
      <c r="B1850" s="5">
        <f t="shared" si="66"/>
        <v>2020</v>
      </c>
      <c r="C1850" s="7">
        <v>43963</v>
      </c>
      <c r="D1850" s="8">
        <v>2.82</v>
      </c>
      <c r="E1850" s="8">
        <v>2.93</v>
      </c>
    </row>
    <row r="1851" spans="1:5" x14ac:dyDescent="0.2">
      <c r="A1851" s="5">
        <f t="shared" si="65"/>
        <v>5</v>
      </c>
      <c r="B1851" s="5">
        <f t="shared" si="66"/>
        <v>2020</v>
      </c>
      <c r="C1851" s="7">
        <v>43964</v>
      </c>
      <c r="D1851" s="8">
        <v>2.82</v>
      </c>
      <c r="E1851" s="8">
        <v>2.95</v>
      </c>
    </row>
    <row r="1852" spans="1:5" x14ac:dyDescent="0.2">
      <c r="A1852" s="5">
        <f t="shared" si="65"/>
        <v>5</v>
      </c>
      <c r="B1852" s="5">
        <f t="shared" si="66"/>
        <v>2020</v>
      </c>
      <c r="C1852" s="7">
        <v>43965</v>
      </c>
      <c r="D1852" s="8">
        <v>2.8</v>
      </c>
      <c r="E1852" s="8">
        <v>2.95</v>
      </c>
    </row>
    <row r="1853" spans="1:5" x14ac:dyDescent="0.2">
      <c r="A1853" s="5">
        <f t="shared" si="65"/>
        <v>5</v>
      </c>
      <c r="B1853" s="5">
        <f t="shared" si="66"/>
        <v>2020</v>
      </c>
      <c r="C1853" s="7">
        <v>43966</v>
      </c>
      <c r="D1853" s="8">
        <v>2.78</v>
      </c>
      <c r="E1853" s="8">
        <v>2.97</v>
      </c>
    </row>
    <row r="1854" spans="1:5" x14ac:dyDescent="0.2">
      <c r="A1854" s="5">
        <f t="shared" si="65"/>
        <v>5</v>
      </c>
      <c r="B1854" s="5">
        <f t="shared" si="66"/>
        <v>2020</v>
      </c>
      <c r="C1854" s="7">
        <v>43969</v>
      </c>
      <c r="D1854" s="8">
        <v>2.73</v>
      </c>
      <c r="E1854" s="8">
        <v>2.96</v>
      </c>
    </row>
    <row r="1855" spans="1:5" x14ac:dyDescent="0.2">
      <c r="A1855" s="5">
        <f t="shared" si="65"/>
        <v>5</v>
      </c>
      <c r="B1855" s="5">
        <f t="shared" si="66"/>
        <v>2020</v>
      </c>
      <c r="C1855" s="7">
        <v>43970</v>
      </c>
      <c r="D1855" s="8">
        <v>2.73</v>
      </c>
      <c r="E1855" s="8">
        <v>2.98</v>
      </c>
    </row>
    <row r="1856" spans="1:5" x14ac:dyDescent="0.2">
      <c r="A1856" s="5">
        <f t="shared" si="65"/>
        <v>5</v>
      </c>
      <c r="B1856" s="5">
        <f t="shared" si="66"/>
        <v>2020</v>
      </c>
      <c r="C1856" s="7">
        <v>43971</v>
      </c>
      <c r="D1856" s="8">
        <v>2.78</v>
      </c>
      <c r="E1856" s="8">
        <v>3.02</v>
      </c>
    </row>
    <row r="1857" spans="1:5" x14ac:dyDescent="0.2">
      <c r="A1857" s="5">
        <f t="shared" si="65"/>
        <v>5</v>
      </c>
      <c r="B1857" s="5">
        <f t="shared" si="66"/>
        <v>2020</v>
      </c>
      <c r="C1857" s="7">
        <v>43972</v>
      </c>
      <c r="D1857" s="8">
        <v>2.73</v>
      </c>
      <c r="E1857" s="8">
        <v>3.01</v>
      </c>
    </row>
    <row r="1858" spans="1:5" x14ac:dyDescent="0.2">
      <c r="A1858" s="5">
        <f t="shared" si="65"/>
        <v>5</v>
      </c>
      <c r="B1858" s="5">
        <f t="shared" si="66"/>
        <v>2020</v>
      </c>
      <c r="C1858" s="7">
        <v>43973</v>
      </c>
      <c r="D1858" s="8">
        <v>2.72</v>
      </c>
      <c r="E1858" s="8">
        <v>3</v>
      </c>
    </row>
    <row r="1859" spans="1:5" x14ac:dyDescent="0.2">
      <c r="A1859" s="5">
        <f t="shared" si="65"/>
        <v>5</v>
      </c>
      <c r="B1859" s="5">
        <f t="shared" si="66"/>
        <v>2020</v>
      </c>
      <c r="C1859" s="7">
        <v>43976</v>
      </c>
      <c r="D1859" s="8">
        <v>2.72</v>
      </c>
      <c r="E1859" s="8">
        <v>3.02</v>
      </c>
    </row>
    <row r="1860" spans="1:5" x14ac:dyDescent="0.2">
      <c r="A1860" s="5">
        <f t="shared" ref="A1860:A1923" si="67">MONTH(C1860)</f>
        <v>5</v>
      </c>
      <c r="B1860" s="5">
        <f t="shared" ref="B1860:B1923" si="68">YEAR(C1860)</f>
        <v>2020</v>
      </c>
      <c r="C1860" s="7">
        <v>43977</v>
      </c>
      <c r="D1860" s="8">
        <v>2.72</v>
      </c>
      <c r="E1860" s="8">
        <v>3.05</v>
      </c>
    </row>
    <row r="1861" spans="1:5" x14ac:dyDescent="0.2">
      <c r="A1861" s="5">
        <f t="shared" si="67"/>
        <v>5</v>
      </c>
      <c r="B1861" s="5">
        <f t="shared" si="68"/>
        <v>2020</v>
      </c>
      <c r="C1861" s="7">
        <v>43978</v>
      </c>
      <c r="D1861" s="8">
        <v>2.66</v>
      </c>
      <c r="E1861" s="8">
        <v>3.06</v>
      </c>
    </row>
    <row r="1862" spans="1:5" x14ac:dyDescent="0.2">
      <c r="A1862" s="5">
        <f t="shared" si="67"/>
        <v>5</v>
      </c>
      <c r="B1862" s="5">
        <f t="shared" si="68"/>
        <v>2020</v>
      </c>
      <c r="C1862" s="7">
        <v>43979</v>
      </c>
      <c r="D1862" s="8">
        <v>2.68</v>
      </c>
      <c r="E1862" s="8">
        <v>3.11</v>
      </c>
    </row>
    <row r="1863" spans="1:5" x14ac:dyDescent="0.2">
      <c r="A1863" s="5">
        <f t="shared" si="67"/>
        <v>5</v>
      </c>
      <c r="B1863" s="5">
        <f t="shared" si="68"/>
        <v>2020</v>
      </c>
      <c r="C1863" s="7">
        <v>43980</v>
      </c>
      <c r="D1863" s="8">
        <v>2.66</v>
      </c>
      <c r="E1863" s="8">
        <v>3.1</v>
      </c>
    </row>
    <row r="1864" spans="1:5" x14ac:dyDescent="0.2">
      <c r="A1864" s="5">
        <f t="shared" si="67"/>
        <v>6</v>
      </c>
      <c r="B1864" s="5">
        <f t="shared" si="68"/>
        <v>2020</v>
      </c>
      <c r="C1864" s="7">
        <v>43983</v>
      </c>
      <c r="D1864" s="8">
        <v>2.63</v>
      </c>
      <c r="E1864" s="8">
        <v>3.15</v>
      </c>
    </row>
    <row r="1865" spans="1:5" x14ac:dyDescent="0.2">
      <c r="A1865" s="5">
        <f t="shared" si="67"/>
        <v>6</v>
      </c>
      <c r="B1865" s="5">
        <f t="shared" si="68"/>
        <v>2020</v>
      </c>
      <c r="C1865" s="7">
        <v>43984</v>
      </c>
      <c r="D1865" s="8">
        <v>2.61</v>
      </c>
      <c r="E1865" s="8">
        <v>3.16</v>
      </c>
    </row>
    <row r="1866" spans="1:5" x14ac:dyDescent="0.2">
      <c r="A1866" s="5">
        <f t="shared" si="67"/>
        <v>6</v>
      </c>
      <c r="B1866" s="5">
        <f t="shared" si="68"/>
        <v>2020</v>
      </c>
      <c r="C1866" s="7">
        <v>43985</v>
      </c>
      <c r="D1866" s="8">
        <v>2.6</v>
      </c>
      <c r="E1866" s="8">
        <v>3.18</v>
      </c>
    </row>
    <row r="1867" spans="1:5" x14ac:dyDescent="0.2">
      <c r="A1867" s="5">
        <f t="shared" si="67"/>
        <v>6</v>
      </c>
      <c r="B1867" s="5">
        <f t="shared" si="68"/>
        <v>2020</v>
      </c>
      <c r="C1867" s="7">
        <v>43986</v>
      </c>
      <c r="D1867" s="8">
        <v>2.6</v>
      </c>
      <c r="E1867" s="8">
        <v>3.2</v>
      </c>
    </row>
    <row r="1868" spans="1:5" x14ac:dyDescent="0.2">
      <c r="A1868" s="5">
        <f t="shared" si="67"/>
        <v>6</v>
      </c>
      <c r="B1868" s="5">
        <f t="shared" si="68"/>
        <v>2020</v>
      </c>
      <c r="C1868" s="7">
        <v>43987</v>
      </c>
      <c r="D1868" s="8">
        <v>2.61</v>
      </c>
      <c r="E1868" s="8">
        <v>3.19</v>
      </c>
    </row>
    <row r="1869" spans="1:5" x14ac:dyDescent="0.2">
      <c r="A1869" s="5">
        <f t="shared" si="67"/>
        <v>6</v>
      </c>
      <c r="B1869" s="5">
        <f t="shared" si="68"/>
        <v>2020</v>
      </c>
      <c r="C1869" s="7">
        <v>43990</v>
      </c>
      <c r="D1869" s="8">
        <v>2.4900000000000002</v>
      </c>
      <c r="E1869" s="8">
        <v>3.18</v>
      </c>
    </row>
    <row r="1870" spans="1:5" x14ac:dyDescent="0.2">
      <c r="A1870" s="5">
        <f t="shared" si="67"/>
        <v>6</v>
      </c>
      <c r="B1870" s="5">
        <f t="shared" si="68"/>
        <v>2020</v>
      </c>
      <c r="C1870" s="7">
        <v>43991</v>
      </c>
      <c r="D1870" s="8">
        <v>2.4900000000000002</v>
      </c>
      <c r="E1870" s="8">
        <v>3.17</v>
      </c>
    </row>
    <row r="1871" spans="1:5" x14ac:dyDescent="0.2">
      <c r="A1871" s="5">
        <f t="shared" si="67"/>
        <v>6</v>
      </c>
      <c r="B1871" s="5">
        <f t="shared" si="68"/>
        <v>2020</v>
      </c>
      <c r="C1871" s="7">
        <v>43992</v>
      </c>
      <c r="D1871" s="8">
        <v>3.23</v>
      </c>
      <c r="E1871" s="8">
        <v>3.23</v>
      </c>
    </row>
    <row r="1872" spans="1:5" x14ac:dyDescent="0.2">
      <c r="A1872" s="5">
        <f t="shared" si="67"/>
        <v>6</v>
      </c>
      <c r="B1872" s="5">
        <f t="shared" si="68"/>
        <v>2020</v>
      </c>
      <c r="C1872" s="7">
        <v>43994</v>
      </c>
      <c r="D1872" s="8">
        <v>3.24</v>
      </c>
      <c r="E1872" s="8">
        <v>3.25</v>
      </c>
    </row>
    <row r="1873" spans="1:5" x14ac:dyDescent="0.2">
      <c r="A1873" s="5">
        <f t="shared" si="67"/>
        <v>6</v>
      </c>
      <c r="B1873" s="5">
        <f t="shared" si="68"/>
        <v>2020</v>
      </c>
      <c r="C1873" s="7">
        <v>43997</v>
      </c>
      <c r="D1873" s="8">
        <v>3.24</v>
      </c>
      <c r="E1873" s="8">
        <v>3.25</v>
      </c>
    </row>
    <row r="1874" spans="1:5" x14ac:dyDescent="0.2">
      <c r="A1874" s="5">
        <f t="shared" si="67"/>
        <v>6</v>
      </c>
      <c r="B1874" s="5">
        <f t="shared" si="68"/>
        <v>2020</v>
      </c>
      <c r="C1874" s="7">
        <v>43998</v>
      </c>
      <c r="D1874" s="8">
        <v>3.24</v>
      </c>
      <c r="E1874" s="8">
        <v>3.25</v>
      </c>
    </row>
    <row r="1875" spans="1:5" x14ac:dyDescent="0.2">
      <c r="A1875" s="5">
        <f t="shared" si="67"/>
        <v>6</v>
      </c>
      <c r="B1875" s="5">
        <f t="shared" si="68"/>
        <v>2020</v>
      </c>
      <c r="C1875" s="7">
        <v>43999</v>
      </c>
      <c r="D1875" s="8">
        <v>3.23</v>
      </c>
      <c r="E1875" s="8">
        <v>3.22</v>
      </c>
    </row>
    <row r="1876" spans="1:5" x14ac:dyDescent="0.2">
      <c r="A1876" s="5">
        <f t="shared" si="67"/>
        <v>6</v>
      </c>
      <c r="B1876" s="5">
        <f t="shared" si="68"/>
        <v>2020</v>
      </c>
      <c r="C1876" s="7">
        <v>44000</v>
      </c>
      <c r="D1876" s="8">
        <v>3.23</v>
      </c>
      <c r="E1876" s="8">
        <v>3.21</v>
      </c>
    </row>
    <row r="1877" spans="1:5" x14ac:dyDescent="0.2">
      <c r="A1877" s="5">
        <f t="shared" si="67"/>
        <v>6</v>
      </c>
      <c r="B1877" s="5">
        <f t="shared" si="68"/>
        <v>2020</v>
      </c>
      <c r="C1877" s="7">
        <v>44001</v>
      </c>
      <c r="D1877" s="8">
        <v>3.22</v>
      </c>
      <c r="E1877" s="8">
        <v>3.21</v>
      </c>
    </row>
    <row r="1878" spans="1:5" x14ac:dyDescent="0.2">
      <c r="A1878" s="5">
        <f t="shared" si="67"/>
        <v>6</v>
      </c>
      <c r="B1878" s="5">
        <f t="shared" si="68"/>
        <v>2020</v>
      </c>
      <c r="C1878" s="7">
        <v>44004</v>
      </c>
      <c r="D1878" s="8">
        <v>3.22</v>
      </c>
      <c r="E1878" s="8">
        <v>3.21</v>
      </c>
    </row>
    <row r="1879" spans="1:5" x14ac:dyDescent="0.2">
      <c r="A1879" s="5">
        <f t="shared" si="67"/>
        <v>6</v>
      </c>
      <c r="B1879" s="5">
        <f t="shared" si="68"/>
        <v>2020</v>
      </c>
      <c r="C1879" s="7">
        <v>44005</v>
      </c>
      <c r="D1879" s="8">
        <v>3.23</v>
      </c>
      <c r="E1879" s="8">
        <v>3.21</v>
      </c>
    </row>
    <row r="1880" spans="1:5" x14ac:dyDescent="0.2">
      <c r="A1880" s="5">
        <f t="shared" si="67"/>
        <v>6</v>
      </c>
      <c r="B1880" s="5">
        <f t="shared" si="68"/>
        <v>2020</v>
      </c>
      <c r="C1880" s="7">
        <v>44006</v>
      </c>
      <c r="D1880" s="8">
        <v>3.23</v>
      </c>
      <c r="E1880" s="8">
        <v>3.21</v>
      </c>
    </row>
    <row r="1881" spans="1:5" x14ac:dyDescent="0.2">
      <c r="A1881" s="5">
        <f t="shared" si="67"/>
        <v>6</v>
      </c>
      <c r="B1881" s="5">
        <f t="shared" si="68"/>
        <v>2020</v>
      </c>
      <c r="C1881" s="7">
        <v>44007</v>
      </c>
      <c r="D1881" s="8">
        <v>3.23</v>
      </c>
      <c r="E1881" s="8">
        <v>3.24</v>
      </c>
    </row>
    <row r="1882" spans="1:5" x14ac:dyDescent="0.2">
      <c r="A1882" s="5">
        <f t="shared" si="67"/>
        <v>6</v>
      </c>
      <c r="B1882" s="5">
        <f t="shared" si="68"/>
        <v>2020</v>
      </c>
      <c r="C1882" s="7">
        <v>44008</v>
      </c>
      <c r="D1882" s="8">
        <v>3.17</v>
      </c>
      <c r="E1882" s="8">
        <v>3.18</v>
      </c>
    </row>
    <row r="1883" spans="1:5" x14ac:dyDescent="0.2">
      <c r="A1883" s="5">
        <f t="shared" si="67"/>
        <v>6</v>
      </c>
      <c r="B1883" s="5">
        <f t="shared" si="68"/>
        <v>2020</v>
      </c>
      <c r="C1883" s="7">
        <v>44011</v>
      </c>
      <c r="D1883" s="8">
        <v>3.17</v>
      </c>
      <c r="E1883" s="8">
        <v>3.18</v>
      </c>
    </row>
    <row r="1884" spans="1:5" x14ac:dyDescent="0.2">
      <c r="A1884" s="5">
        <f t="shared" si="67"/>
        <v>6</v>
      </c>
      <c r="B1884" s="5">
        <f t="shared" si="68"/>
        <v>2020</v>
      </c>
      <c r="C1884" s="7">
        <v>44012</v>
      </c>
      <c r="D1884" s="8">
        <v>3.17</v>
      </c>
      <c r="E1884" s="8">
        <v>3.2</v>
      </c>
    </row>
    <row r="1885" spans="1:5" x14ac:dyDescent="0.2">
      <c r="A1885" s="5">
        <f t="shared" si="67"/>
        <v>7</v>
      </c>
      <c r="B1885" s="5">
        <f t="shared" si="68"/>
        <v>2020</v>
      </c>
      <c r="C1885" s="7">
        <v>44013</v>
      </c>
      <c r="D1885" s="8">
        <v>3.17</v>
      </c>
      <c r="E1885" s="8">
        <v>3.2</v>
      </c>
    </row>
    <row r="1886" spans="1:5" x14ac:dyDescent="0.2">
      <c r="A1886" s="5">
        <f t="shared" si="67"/>
        <v>7</v>
      </c>
      <c r="B1886" s="5">
        <f t="shared" si="68"/>
        <v>2020</v>
      </c>
      <c r="C1886" s="7">
        <v>44014</v>
      </c>
      <c r="D1886" s="8">
        <v>3.21</v>
      </c>
      <c r="E1886" s="8">
        <v>3.2</v>
      </c>
    </row>
    <row r="1887" spans="1:5" x14ac:dyDescent="0.2">
      <c r="A1887" s="5">
        <f t="shared" si="67"/>
        <v>7</v>
      </c>
      <c r="B1887" s="5">
        <f t="shared" si="68"/>
        <v>2020</v>
      </c>
      <c r="C1887" s="7">
        <v>44015</v>
      </c>
      <c r="D1887" s="8">
        <v>3.21</v>
      </c>
      <c r="E1887" s="8">
        <v>3.17</v>
      </c>
    </row>
    <row r="1888" spans="1:5" x14ac:dyDescent="0.2">
      <c r="A1888" s="5">
        <f t="shared" si="67"/>
        <v>7</v>
      </c>
      <c r="B1888" s="5">
        <f t="shared" si="68"/>
        <v>2020</v>
      </c>
      <c r="C1888" s="7">
        <v>44018</v>
      </c>
      <c r="D1888" s="8">
        <v>3.22</v>
      </c>
      <c r="E1888" s="8">
        <v>3.16</v>
      </c>
    </row>
    <row r="1889" spans="1:5" x14ac:dyDescent="0.2">
      <c r="A1889" s="5">
        <f t="shared" si="67"/>
        <v>7</v>
      </c>
      <c r="B1889" s="5">
        <f t="shared" si="68"/>
        <v>2020</v>
      </c>
      <c r="C1889" s="7">
        <v>44019</v>
      </c>
      <c r="D1889" s="8">
        <v>3.27</v>
      </c>
      <c r="E1889" s="8">
        <v>3.17</v>
      </c>
    </row>
    <row r="1890" spans="1:5" x14ac:dyDescent="0.2">
      <c r="A1890" s="5">
        <f t="shared" si="67"/>
        <v>7</v>
      </c>
      <c r="B1890" s="5">
        <f t="shared" si="68"/>
        <v>2020</v>
      </c>
      <c r="C1890" s="7">
        <v>44020</v>
      </c>
      <c r="D1890" s="8">
        <v>3.27</v>
      </c>
      <c r="E1890" s="8">
        <v>3.17</v>
      </c>
    </row>
    <row r="1891" spans="1:5" x14ac:dyDescent="0.2">
      <c r="A1891" s="5">
        <f t="shared" si="67"/>
        <v>7</v>
      </c>
      <c r="B1891" s="5">
        <f t="shared" si="68"/>
        <v>2020</v>
      </c>
      <c r="C1891" s="7">
        <v>44021</v>
      </c>
      <c r="D1891" s="8">
        <v>3.31</v>
      </c>
      <c r="E1891" s="8">
        <v>3.18</v>
      </c>
    </row>
    <row r="1892" spans="1:5" x14ac:dyDescent="0.2">
      <c r="A1892" s="5">
        <f t="shared" si="67"/>
        <v>7</v>
      </c>
      <c r="B1892" s="5">
        <f t="shared" si="68"/>
        <v>2020</v>
      </c>
      <c r="C1892" s="7">
        <v>44022</v>
      </c>
      <c r="D1892" s="8">
        <v>3.26</v>
      </c>
      <c r="E1892" s="8">
        <v>3.24</v>
      </c>
    </row>
    <row r="1893" spans="1:5" x14ac:dyDescent="0.2">
      <c r="A1893" s="5">
        <f t="shared" si="67"/>
        <v>7</v>
      </c>
      <c r="B1893" s="5">
        <f t="shared" si="68"/>
        <v>2020</v>
      </c>
      <c r="C1893" s="7">
        <v>44025</v>
      </c>
      <c r="D1893" s="8">
        <v>3.29</v>
      </c>
      <c r="E1893" s="8">
        <v>3.26</v>
      </c>
    </row>
    <row r="1894" spans="1:5" x14ac:dyDescent="0.2">
      <c r="A1894" s="5">
        <f t="shared" si="67"/>
        <v>7</v>
      </c>
      <c r="B1894" s="5">
        <f t="shared" si="68"/>
        <v>2020</v>
      </c>
      <c r="C1894" s="7">
        <v>44026</v>
      </c>
      <c r="D1894" s="8">
        <v>3.29</v>
      </c>
      <c r="E1894" s="8">
        <v>3.23</v>
      </c>
    </row>
    <row r="1895" spans="1:5" x14ac:dyDescent="0.2">
      <c r="A1895" s="5">
        <f t="shared" si="67"/>
        <v>7</v>
      </c>
      <c r="B1895" s="5">
        <f t="shared" si="68"/>
        <v>2020</v>
      </c>
      <c r="C1895" s="7">
        <v>44027</v>
      </c>
      <c r="D1895" s="8">
        <v>3.32</v>
      </c>
      <c r="E1895" s="8">
        <v>3.26</v>
      </c>
    </row>
    <row r="1896" spans="1:5" x14ac:dyDescent="0.2">
      <c r="A1896" s="5">
        <f t="shared" si="67"/>
        <v>7</v>
      </c>
      <c r="B1896" s="5">
        <f t="shared" si="68"/>
        <v>2020</v>
      </c>
      <c r="C1896" s="7">
        <v>44028</v>
      </c>
      <c r="D1896" s="8">
        <v>3.33</v>
      </c>
      <c r="E1896" s="8">
        <v>3.26</v>
      </c>
    </row>
    <row r="1897" spans="1:5" x14ac:dyDescent="0.2">
      <c r="A1897" s="5">
        <f t="shared" si="67"/>
        <v>7</v>
      </c>
      <c r="B1897" s="5">
        <f t="shared" si="68"/>
        <v>2020</v>
      </c>
      <c r="C1897" s="7">
        <v>44029</v>
      </c>
      <c r="D1897" s="8">
        <v>3.3</v>
      </c>
      <c r="E1897" s="8">
        <v>3.21</v>
      </c>
    </row>
    <row r="1898" spans="1:5" x14ac:dyDescent="0.2">
      <c r="A1898" s="5">
        <f t="shared" si="67"/>
        <v>7</v>
      </c>
      <c r="B1898" s="5">
        <f t="shared" si="68"/>
        <v>2020</v>
      </c>
      <c r="C1898" s="7">
        <v>44032</v>
      </c>
      <c r="D1898" s="8">
        <v>3.29</v>
      </c>
      <c r="E1898" s="8">
        <v>3.15</v>
      </c>
    </row>
    <row r="1899" spans="1:5" x14ac:dyDescent="0.2">
      <c r="A1899" s="5">
        <f t="shared" si="67"/>
        <v>7</v>
      </c>
      <c r="B1899" s="5">
        <f t="shared" si="68"/>
        <v>2020</v>
      </c>
      <c r="C1899" s="7">
        <v>44033</v>
      </c>
      <c r="D1899" s="8">
        <v>3.29</v>
      </c>
      <c r="E1899" s="8">
        <v>3.14</v>
      </c>
    </row>
    <row r="1900" spans="1:5" x14ac:dyDescent="0.2">
      <c r="A1900" s="5">
        <f t="shared" si="67"/>
        <v>7</v>
      </c>
      <c r="B1900" s="5">
        <f t="shared" si="68"/>
        <v>2020</v>
      </c>
      <c r="C1900" s="7">
        <v>44034</v>
      </c>
      <c r="D1900" s="8">
        <v>3.28</v>
      </c>
      <c r="E1900" s="8">
        <v>3.13</v>
      </c>
    </row>
    <row r="1901" spans="1:5" x14ac:dyDescent="0.2">
      <c r="A1901" s="5">
        <f t="shared" si="67"/>
        <v>7</v>
      </c>
      <c r="B1901" s="5">
        <f t="shared" si="68"/>
        <v>2020</v>
      </c>
      <c r="C1901" s="7">
        <v>44035</v>
      </c>
      <c r="D1901" s="8">
        <v>3.28</v>
      </c>
      <c r="E1901" s="8">
        <v>3.12</v>
      </c>
    </row>
    <row r="1902" spans="1:5" x14ac:dyDescent="0.2">
      <c r="A1902" s="5">
        <f t="shared" si="67"/>
        <v>7</v>
      </c>
      <c r="B1902" s="5">
        <f t="shared" si="68"/>
        <v>2020</v>
      </c>
      <c r="C1902" s="7">
        <v>44036</v>
      </c>
      <c r="D1902" s="8">
        <v>3.15</v>
      </c>
      <c r="E1902" s="8">
        <v>3.03</v>
      </c>
    </row>
    <row r="1903" spans="1:5" x14ac:dyDescent="0.2">
      <c r="A1903" s="5">
        <f t="shared" si="67"/>
        <v>7</v>
      </c>
      <c r="B1903" s="5">
        <f t="shared" si="68"/>
        <v>2020</v>
      </c>
      <c r="C1903" s="7">
        <v>44039</v>
      </c>
      <c r="D1903" s="8">
        <v>3.14</v>
      </c>
      <c r="E1903" s="8">
        <v>3.02</v>
      </c>
    </row>
    <row r="1904" spans="1:5" x14ac:dyDescent="0.2">
      <c r="A1904" s="5">
        <f t="shared" si="67"/>
        <v>7</v>
      </c>
      <c r="B1904" s="5">
        <f t="shared" si="68"/>
        <v>2020</v>
      </c>
      <c r="C1904" s="7">
        <v>44040</v>
      </c>
      <c r="D1904" s="8">
        <v>3.14</v>
      </c>
      <c r="E1904" s="8">
        <v>3.01</v>
      </c>
    </row>
    <row r="1905" spans="1:5" x14ac:dyDescent="0.2">
      <c r="A1905" s="5">
        <f t="shared" si="67"/>
        <v>7</v>
      </c>
      <c r="B1905" s="5">
        <f t="shared" si="68"/>
        <v>2020</v>
      </c>
      <c r="C1905" s="7">
        <v>44041</v>
      </c>
      <c r="D1905" s="8">
        <v>3.16</v>
      </c>
      <c r="E1905" s="8">
        <v>3.01</v>
      </c>
    </row>
    <row r="1906" spans="1:5" x14ac:dyDescent="0.2">
      <c r="A1906" s="5">
        <f t="shared" si="67"/>
        <v>7</v>
      </c>
      <c r="B1906" s="5">
        <f t="shared" si="68"/>
        <v>2020</v>
      </c>
      <c r="C1906" s="7">
        <v>44042</v>
      </c>
      <c r="D1906" s="8">
        <v>3.16</v>
      </c>
      <c r="E1906" s="8">
        <v>3</v>
      </c>
    </row>
    <row r="1907" spans="1:5" x14ac:dyDescent="0.2">
      <c r="A1907" s="5">
        <f t="shared" si="67"/>
        <v>7</v>
      </c>
      <c r="B1907" s="5">
        <f t="shared" si="68"/>
        <v>2020</v>
      </c>
      <c r="C1907" s="7">
        <v>44043</v>
      </c>
      <c r="D1907" s="8">
        <v>3.15</v>
      </c>
      <c r="E1907" s="8">
        <v>2.97</v>
      </c>
    </row>
    <row r="1908" spans="1:5" x14ac:dyDescent="0.2">
      <c r="A1908" s="5">
        <f t="shared" si="67"/>
        <v>8</v>
      </c>
      <c r="B1908" s="5">
        <f t="shared" si="68"/>
        <v>2020</v>
      </c>
      <c r="C1908" s="7">
        <v>44046</v>
      </c>
      <c r="D1908" s="8">
        <v>3.12</v>
      </c>
      <c r="E1908" s="8">
        <v>2.93</v>
      </c>
    </row>
    <row r="1909" spans="1:5" x14ac:dyDescent="0.2">
      <c r="A1909" s="5">
        <f t="shared" si="67"/>
        <v>8</v>
      </c>
      <c r="B1909" s="5">
        <f t="shared" si="68"/>
        <v>2020</v>
      </c>
      <c r="C1909" s="7">
        <v>44047</v>
      </c>
      <c r="D1909" s="8">
        <v>3.12</v>
      </c>
      <c r="E1909" s="8">
        <v>2.92</v>
      </c>
    </row>
    <row r="1910" spans="1:5" x14ac:dyDescent="0.2">
      <c r="A1910" s="5">
        <f t="shared" si="67"/>
        <v>8</v>
      </c>
      <c r="B1910" s="5">
        <f t="shared" si="68"/>
        <v>2020</v>
      </c>
      <c r="C1910" s="7">
        <v>44048</v>
      </c>
      <c r="D1910" s="8">
        <v>3.12</v>
      </c>
      <c r="E1910" s="8">
        <v>2.92</v>
      </c>
    </row>
    <row r="1911" spans="1:5" x14ac:dyDescent="0.2">
      <c r="A1911" s="5">
        <f t="shared" si="67"/>
        <v>8</v>
      </c>
      <c r="B1911" s="5">
        <f t="shared" si="68"/>
        <v>2020</v>
      </c>
      <c r="C1911" s="7">
        <v>44049</v>
      </c>
      <c r="D1911" s="8">
        <v>3.12</v>
      </c>
      <c r="E1911" s="8">
        <v>2.91</v>
      </c>
    </row>
    <row r="1912" spans="1:5" x14ac:dyDescent="0.2">
      <c r="A1912" s="5">
        <f t="shared" si="67"/>
        <v>8</v>
      </c>
      <c r="B1912" s="5">
        <f t="shared" si="68"/>
        <v>2020</v>
      </c>
      <c r="C1912" s="7">
        <v>44050</v>
      </c>
      <c r="D1912" s="8">
        <v>2.91</v>
      </c>
      <c r="E1912" s="8">
        <v>2.9</v>
      </c>
    </row>
    <row r="1913" spans="1:5" x14ac:dyDescent="0.2">
      <c r="A1913" s="5">
        <f t="shared" si="67"/>
        <v>8</v>
      </c>
      <c r="B1913" s="5">
        <f t="shared" si="68"/>
        <v>2020</v>
      </c>
      <c r="C1913" s="7">
        <v>44053</v>
      </c>
      <c r="D1913" s="8">
        <v>2.9</v>
      </c>
      <c r="E1913" s="8">
        <v>2.89</v>
      </c>
    </row>
    <row r="1914" spans="1:5" x14ac:dyDescent="0.2">
      <c r="A1914" s="5">
        <f t="shared" si="67"/>
        <v>8</v>
      </c>
      <c r="B1914" s="5">
        <f t="shared" si="68"/>
        <v>2020</v>
      </c>
      <c r="C1914" s="7">
        <v>44054</v>
      </c>
      <c r="D1914" s="8">
        <v>2.9</v>
      </c>
      <c r="E1914" s="8">
        <v>2.89</v>
      </c>
    </row>
    <row r="1915" spans="1:5" x14ac:dyDescent="0.2">
      <c r="A1915" s="5">
        <f t="shared" si="67"/>
        <v>8</v>
      </c>
      <c r="B1915" s="5">
        <f t="shared" si="68"/>
        <v>2020</v>
      </c>
      <c r="C1915" s="7">
        <v>44055</v>
      </c>
      <c r="D1915" s="8">
        <v>2.9</v>
      </c>
      <c r="E1915" s="8">
        <v>2.89</v>
      </c>
    </row>
    <row r="1916" spans="1:5" x14ac:dyDescent="0.2">
      <c r="A1916" s="5">
        <f t="shared" si="67"/>
        <v>8</v>
      </c>
      <c r="B1916" s="5">
        <f t="shared" si="68"/>
        <v>2020</v>
      </c>
      <c r="C1916" s="7">
        <v>44056</v>
      </c>
      <c r="D1916" s="8">
        <v>2.9</v>
      </c>
      <c r="E1916" s="8">
        <v>2.9</v>
      </c>
    </row>
    <row r="1917" spans="1:5" x14ac:dyDescent="0.2">
      <c r="A1917" s="5">
        <f t="shared" si="67"/>
        <v>8</v>
      </c>
      <c r="B1917" s="5">
        <f t="shared" si="68"/>
        <v>2020</v>
      </c>
      <c r="C1917" s="7">
        <v>44057</v>
      </c>
      <c r="D1917" s="8">
        <v>2.95</v>
      </c>
      <c r="E1917" s="8">
        <v>2.94</v>
      </c>
    </row>
    <row r="1918" spans="1:5" x14ac:dyDescent="0.2">
      <c r="A1918" s="5">
        <f t="shared" si="67"/>
        <v>8</v>
      </c>
      <c r="B1918" s="5">
        <f t="shared" si="68"/>
        <v>2020</v>
      </c>
      <c r="C1918" s="7">
        <v>44060</v>
      </c>
      <c r="D1918" s="8">
        <v>2.97</v>
      </c>
      <c r="E1918" s="8">
        <v>2.96</v>
      </c>
    </row>
    <row r="1919" spans="1:5" x14ac:dyDescent="0.2">
      <c r="A1919" s="5">
        <f t="shared" si="67"/>
        <v>8</v>
      </c>
      <c r="B1919" s="5">
        <f t="shared" si="68"/>
        <v>2020</v>
      </c>
      <c r="C1919" s="7">
        <v>44061</v>
      </c>
      <c r="D1919" s="8">
        <v>2.99</v>
      </c>
      <c r="E1919" s="8">
        <v>2.99</v>
      </c>
    </row>
    <row r="1920" spans="1:5" x14ac:dyDescent="0.2">
      <c r="A1920" s="5">
        <f t="shared" si="67"/>
        <v>8</v>
      </c>
      <c r="B1920" s="5">
        <f t="shared" si="68"/>
        <v>2020</v>
      </c>
      <c r="C1920" s="7">
        <v>44062</v>
      </c>
      <c r="D1920" s="8">
        <v>2.99</v>
      </c>
      <c r="E1920" s="8">
        <v>2.99</v>
      </c>
    </row>
    <row r="1921" spans="1:5" x14ac:dyDescent="0.2">
      <c r="A1921" s="5">
        <f t="shared" si="67"/>
        <v>8</v>
      </c>
      <c r="B1921" s="5">
        <f t="shared" si="68"/>
        <v>2020</v>
      </c>
      <c r="C1921" s="7">
        <v>44063</v>
      </c>
      <c r="D1921" s="8">
        <v>3.01</v>
      </c>
      <c r="E1921" s="8">
        <v>2.99</v>
      </c>
    </row>
    <row r="1922" spans="1:5" x14ac:dyDescent="0.2">
      <c r="A1922" s="5">
        <f t="shared" si="67"/>
        <v>8</v>
      </c>
      <c r="B1922" s="5">
        <f t="shared" si="68"/>
        <v>2020</v>
      </c>
      <c r="C1922" s="7">
        <v>44064</v>
      </c>
      <c r="D1922" s="8">
        <v>3.04</v>
      </c>
      <c r="E1922" s="8">
        <v>3.02</v>
      </c>
    </row>
    <row r="1923" spans="1:5" x14ac:dyDescent="0.2">
      <c r="A1923" s="5">
        <f t="shared" si="67"/>
        <v>8</v>
      </c>
      <c r="B1923" s="5">
        <f t="shared" si="68"/>
        <v>2020</v>
      </c>
      <c r="C1923" s="7">
        <v>44067</v>
      </c>
      <c r="D1923" s="8">
        <v>2.99</v>
      </c>
      <c r="E1923" s="8">
        <v>3</v>
      </c>
    </row>
    <row r="1924" spans="1:5" x14ac:dyDescent="0.2">
      <c r="A1924" s="5">
        <f t="shared" ref="A1924:A1987" si="69">MONTH(C1924)</f>
        <v>8</v>
      </c>
      <c r="B1924" s="5">
        <f t="shared" ref="B1924:B1987" si="70">YEAR(C1924)</f>
        <v>2020</v>
      </c>
      <c r="C1924" s="7">
        <v>44068</v>
      </c>
      <c r="D1924" s="8">
        <v>3.03</v>
      </c>
      <c r="E1924" s="8">
        <v>3.01</v>
      </c>
    </row>
    <row r="1925" spans="1:5" x14ac:dyDescent="0.2">
      <c r="A1925" s="5">
        <f t="shared" si="69"/>
        <v>8</v>
      </c>
      <c r="B1925" s="5">
        <f t="shared" si="70"/>
        <v>2020</v>
      </c>
      <c r="C1925" s="7">
        <v>44069</v>
      </c>
      <c r="D1925" s="8">
        <v>3.01</v>
      </c>
      <c r="E1925" s="8">
        <v>2.99</v>
      </c>
    </row>
    <row r="1926" spans="1:5" x14ac:dyDescent="0.2">
      <c r="A1926" s="5">
        <f t="shared" si="69"/>
        <v>8</v>
      </c>
      <c r="B1926" s="5">
        <f t="shared" si="70"/>
        <v>2020</v>
      </c>
      <c r="C1926" s="7">
        <v>44070</v>
      </c>
      <c r="D1926" s="8">
        <v>3.03</v>
      </c>
      <c r="E1926" s="8">
        <v>2.98</v>
      </c>
    </row>
    <row r="1927" spans="1:5" x14ac:dyDescent="0.2">
      <c r="A1927" s="5">
        <f t="shared" si="69"/>
        <v>8</v>
      </c>
      <c r="B1927" s="5">
        <f t="shared" si="70"/>
        <v>2020</v>
      </c>
      <c r="C1927" s="7">
        <v>44071</v>
      </c>
      <c r="D1927" s="8">
        <v>3.06</v>
      </c>
      <c r="E1927" s="8">
        <v>3</v>
      </c>
    </row>
    <row r="1928" spans="1:5" x14ac:dyDescent="0.2">
      <c r="A1928" s="5">
        <f t="shared" si="69"/>
        <v>8</v>
      </c>
      <c r="B1928" s="5">
        <f t="shared" si="70"/>
        <v>2020</v>
      </c>
      <c r="C1928" s="7">
        <v>44074</v>
      </c>
      <c r="D1928" s="8">
        <v>3.07</v>
      </c>
      <c r="E1928" s="8">
        <v>3.03</v>
      </c>
    </row>
    <row r="1929" spans="1:5" x14ac:dyDescent="0.2">
      <c r="A1929" s="5">
        <f t="shared" si="69"/>
        <v>9</v>
      </c>
      <c r="B1929" s="5">
        <f t="shared" si="70"/>
        <v>2020</v>
      </c>
      <c r="C1929" s="7">
        <v>44075</v>
      </c>
      <c r="D1929" s="8">
        <v>3.07</v>
      </c>
      <c r="E1929" s="8">
        <v>3.03</v>
      </c>
    </row>
    <row r="1930" spans="1:5" x14ac:dyDescent="0.2">
      <c r="A1930" s="5">
        <f t="shared" si="69"/>
        <v>9</v>
      </c>
      <c r="B1930" s="5">
        <f t="shared" si="70"/>
        <v>2020</v>
      </c>
      <c r="C1930" s="7">
        <v>44076</v>
      </c>
      <c r="D1930" s="8">
        <v>3.07</v>
      </c>
      <c r="E1930" s="8">
        <v>3.02</v>
      </c>
    </row>
    <row r="1931" spans="1:5" x14ac:dyDescent="0.2">
      <c r="A1931" s="5">
        <f t="shared" si="69"/>
        <v>9</v>
      </c>
      <c r="B1931" s="5">
        <f t="shared" si="70"/>
        <v>2020</v>
      </c>
      <c r="C1931" s="7">
        <v>44077</v>
      </c>
      <c r="D1931" s="8">
        <v>3.07</v>
      </c>
      <c r="E1931" s="8">
        <v>3.02</v>
      </c>
    </row>
    <row r="1932" spans="1:5" x14ac:dyDescent="0.2">
      <c r="A1932" s="5">
        <f t="shared" si="69"/>
        <v>9</v>
      </c>
      <c r="B1932" s="5">
        <f t="shared" si="70"/>
        <v>2020</v>
      </c>
      <c r="C1932" s="7">
        <v>44078</v>
      </c>
      <c r="D1932" s="8">
        <v>3.07</v>
      </c>
      <c r="E1932" s="8">
        <v>3</v>
      </c>
    </row>
    <row r="1933" spans="1:5" x14ac:dyDescent="0.2">
      <c r="A1933" s="5">
        <f t="shared" si="69"/>
        <v>9</v>
      </c>
      <c r="B1933" s="5">
        <f t="shared" si="70"/>
        <v>2020</v>
      </c>
      <c r="C1933" s="7">
        <v>44082</v>
      </c>
      <c r="D1933" s="8">
        <v>3.12</v>
      </c>
      <c r="E1933" s="8">
        <v>3.03</v>
      </c>
    </row>
    <row r="1934" spans="1:5" x14ac:dyDescent="0.2">
      <c r="A1934" s="5">
        <f t="shared" si="69"/>
        <v>9</v>
      </c>
      <c r="B1934" s="5">
        <f t="shared" si="70"/>
        <v>2020</v>
      </c>
      <c r="C1934" s="7">
        <v>44083</v>
      </c>
      <c r="D1934" s="8">
        <v>3.06</v>
      </c>
      <c r="E1934" s="8">
        <v>3.06</v>
      </c>
    </row>
    <row r="1935" spans="1:5" x14ac:dyDescent="0.2">
      <c r="A1935" s="5">
        <f t="shared" si="69"/>
        <v>9</v>
      </c>
      <c r="B1935" s="5">
        <f t="shared" si="70"/>
        <v>2020</v>
      </c>
      <c r="C1935" s="7">
        <v>44084</v>
      </c>
      <c r="D1935" s="8">
        <v>3.08</v>
      </c>
      <c r="E1935" s="8">
        <v>3.09</v>
      </c>
    </row>
    <row r="1936" spans="1:5" x14ac:dyDescent="0.2">
      <c r="A1936" s="5">
        <f t="shared" si="69"/>
        <v>9</v>
      </c>
      <c r="B1936" s="5">
        <f t="shared" si="70"/>
        <v>2020</v>
      </c>
      <c r="C1936" s="7">
        <v>44085</v>
      </c>
      <c r="D1936" s="8">
        <v>3.15</v>
      </c>
      <c r="E1936" s="8">
        <v>3.14</v>
      </c>
    </row>
    <row r="1937" spans="1:5" x14ac:dyDescent="0.2">
      <c r="A1937" s="5">
        <f t="shared" si="69"/>
        <v>9</v>
      </c>
      <c r="B1937" s="5">
        <f t="shared" si="70"/>
        <v>2020</v>
      </c>
      <c r="C1937" s="7">
        <v>44088</v>
      </c>
      <c r="D1937" s="8">
        <v>3.15</v>
      </c>
      <c r="E1937" s="8">
        <v>3.14</v>
      </c>
    </row>
    <row r="1938" spans="1:5" x14ac:dyDescent="0.2">
      <c r="A1938" s="5">
        <f t="shared" si="69"/>
        <v>9</v>
      </c>
      <c r="B1938" s="5">
        <f t="shared" si="70"/>
        <v>2020</v>
      </c>
      <c r="C1938" s="7">
        <v>44089</v>
      </c>
      <c r="D1938" s="8">
        <v>3.15</v>
      </c>
      <c r="E1938" s="8">
        <v>3.13</v>
      </c>
    </row>
    <row r="1939" spans="1:5" x14ac:dyDescent="0.2">
      <c r="A1939" s="5">
        <f t="shared" si="69"/>
        <v>9</v>
      </c>
      <c r="B1939" s="5">
        <f t="shared" si="70"/>
        <v>2020</v>
      </c>
      <c r="C1939" s="7">
        <v>44090</v>
      </c>
      <c r="D1939" s="8">
        <v>3.15</v>
      </c>
      <c r="E1939" s="8">
        <v>3.15</v>
      </c>
    </row>
    <row r="1940" spans="1:5" x14ac:dyDescent="0.2">
      <c r="A1940" s="5">
        <f t="shared" si="69"/>
        <v>9</v>
      </c>
      <c r="B1940" s="5">
        <f t="shared" si="70"/>
        <v>2020</v>
      </c>
      <c r="C1940" s="7">
        <v>44091</v>
      </c>
      <c r="D1940" s="8">
        <v>3.15</v>
      </c>
      <c r="E1940" s="8">
        <v>3.15</v>
      </c>
    </row>
    <row r="1941" spans="1:5" x14ac:dyDescent="0.2">
      <c r="A1941" s="5">
        <f t="shared" si="69"/>
        <v>9</v>
      </c>
      <c r="B1941" s="5">
        <f t="shared" si="70"/>
        <v>2020</v>
      </c>
      <c r="C1941" s="7">
        <v>44092</v>
      </c>
      <c r="D1941" s="8">
        <v>3.22</v>
      </c>
      <c r="E1941" s="8">
        <v>3.17</v>
      </c>
    </row>
    <row r="1942" spans="1:5" x14ac:dyDescent="0.2">
      <c r="A1942" s="5">
        <f t="shared" si="69"/>
        <v>9</v>
      </c>
      <c r="B1942" s="5">
        <f t="shared" si="70"/>
        <v>2020</v>
      </c>
      <c r="C1942" s="7">
        <v>44095</v>
      </c>
      <c r="D1942" s="8">
        <v>3.23</v>
      </c>
      <c r="E1942" s="8">
        <v>3.17</v>
      </c>
    </row>
    <row r="1943" spans="1:5" x14ac:dyDescent="0.2">
      <c r="A1943" s="5">
        <f t="shared" si="69"/>
        <v>9</v>
      </c>
      <c r="B1943" s="5">
        <f t="shared" si="70"/>
        <v>2020</v>
      </c>
      <c r="C1943" s="7">
        <v>44096</v>
      </c>
      <c r="D1943" s="8">
        <v>3.23</v>
      </c>
      <c r="E1943" s="8">
        <v>3.17</v>
      </c>
    </row>
    <row r="1944" spans="1:5" x14ac:dyDescent="0.2">
      <c r="A1944" s="5">
        <f t="shared" si="69"/>
        <v>9</v>
      </c>
      <c r="B1944" s="5">
        <f t="shared" si="70"/>
        <v>2020</v>
      </c>
      <c r="C1944" s="7">
        <v>44097</v>
      </c>
      <c r="D1944" s="8">
        <v>3.25</v>
      </c>
      <c r="E1944" s="8">
        <v>3.18</v>
      </c>
    </row>
    <row r="1945" spans="1:5" x14ac:dyDescent="0.2">
      <c r="A1945" s="5">
        <f t="shared" si="69"/>
        <v>9</v>
      </c>
      <c r="B1945" s="5">
        <f t="shared" si="70"/>
        <v>2020</v>
      </c>
      <c r="C1945" s="7">
        <v>44098</v>
      </c>
      <c r="D1945" s="8">
        <v>3.26</v>
      </c>
      <c r="E1945" s="8">
        <v>3.19</v>
      </c>
    </row>
    <row r="1946" spans="1:5" x14ac:dyDescent="0.2">
      <c r="A1946" s="5">
        <f t="shared" si="69"/>
        <v>9</v>
      </c>
      <c r="B1946" s="5">
        <f t="shared" si="70"/>
        <v>2020</v>
      </c>
      <c r="C1946" s="7">
        <v>44099</v>
      </c>
      <c r="D1946" s="8">
        <v>3.32</v>
      </c>
      <c r="E1946" s="8">
        <v>3.24</v>
      </c>
    </row>
    <row r="1947" spans="1:5" x14ac:dyDescent="0.2">
      <c r="A1947" s="5">
        <f t="shared" si="69"/>
        <v>9</v>
      </c>
      <c r="B1947" s="5">
        <f t="shared" si="70"/>
        <v>2020</v>
      </c>
      <c r="C1947" s="7">
        <v>44102</v>
      </c>
      <c r="D1947" s="8">
        <v>3.34</v>
      </c>
      <c r="E1947" s="8">
        <v>3.24</v>
      </c>
    </row>
    <row r="1948" spans="1:5" x14ac:dyDescent="0.2">
      <c r="A1948" s="5">
        <f t="shared" si="69"/>
        <v>9</v>
      </c>
      <c r="B1948" s="5">
        <f t="shared" si="70"/>
        <v>2020</v>
      </c>
      <c r="C1948" s="7">
        <v>44103</v>
      </c>
      <c r="D1948" s="8">
        <v>3.34</v>
      </c>
      <c r="E1948" s="8">
        <v>3.23</v>
      </c>
    </row>
    <row r="1949" spans="1:5" x14ac:dyDescent="0.2">
      <c r="A1949" s="5">
        <f t="shared" si="69"/>
        <v>9</v>
      </c>
      <c r="B1949" s="5">
        <f t="shared" si="70"/>
        <v>2020</v>
      </c>
      <c r="C1949" s="7">
        <v>44104</v>
      </c>
      <c r="D1949" s="8">
        <v>3.34</v>
      </c>
      <c r="E1949" s="8">
        <v>3.23</v>
      </c>
    </row>
    <row r="1950" spans="1:5" x14ac:dyDescent="0.2">
      <c r="A1950" s="5">
        <f t="shared" si="69"/>
        <v>10</v>
      </c>
      <c r="B1950" s="5">
        <f t="shared" si="70"/>
        <v>2020</v>
      </c>
      <c r="C1950" s="7">
        <v>44105</v>
      </c>
      <c r="D1950" s="8">
        <v>3.34</v>
      </c>
      <c r="E1950" s="8">
        <v>3.21</v>
      </c>
    </row>
    <row r="1951" spans="1:5" x14ac:dyDescent="0.2">
      <c r="A1951" s="5">
        <f t="shared" si="69"/>
        <v>10</v>
      </c>
      <c r="B1951" s="5">
        <f t="shared" si="70"/>
        <v>2020</v>
      </c>
      <c r="C1951" s="7">
        <v>44106</v>
      </c>
      <c r="D1951" s="8">
        <v>3.38</v>
      </c>
      <c r="E1951" s="8">
        <v>3.24</v>
      </c>
    </row>
    <row r="1952" spans="1:5" x14ac:dyDescent="0.2">
      <c r="A1952" s="5">
        <f t="shared" si="69"/>
        <v>10</v>
      </c>
      <c r="B1952" s="5">
        <f t="shared" si="70"/>
        <v>2020</v>
      </c>
      <c r="C1952" s="7">
        <v>44109</v>
      </c>
      <c r="D1952" s="8">
        <v>3.42</v>
      </c>
      <c r="E1952" s="8">
        <v>3.23</v>
      </c>
    </row>
    <row r="1953" spans="1:5" x14ac:dyDescent="0.2">
      <c r="A1953" s="5">
        <f t="shared" si="69"/>
        <v>10</v>
      </c>
      <c r="B1953" s="5">
        <f t="shared" si="70"/>
        <v>2020</v>
      </c>
      <c r="C1953" s="7">
        <v>44110</v>
      </c>
      <c r="D1953" s="8">
        <v>3.43</v>
      </c>
      <c r="E1953" s="8">
        <v>3.23</v>
      </c>
    </row>
    <row r="1954" spans="1:5" x14ac:dyDescent="0.2">
      <c r="A1954" s="5">
        <f t="shared" si="69"/>
        <v>10</v>
      </c>
      <c r="B1954" s="5">
        <f t="shared" si="70"/>
        <v>2020</v>
      </c>
      <c r="C1954" s="7">
        <v>44111</v>
      </c>
      <c r="D1954" s="8">
        <v>3.45</v>
      </c>
      <c r="E1954" s="8">
        <v>3.23</v>
      </c>
    </row>
    <row r="1955" spans="1:5" x14ac:dyDescent="0.2">
      <c r="A1955" s="5">
        <f t="shared" si="69"/>
        <v>10</v>
      </c>
      <c r="B1955" s="5">
        <f t="shared" si="70"/>
        <v>2020</v>
      </c>
      <c r="C1955" s="7">
        <v>44112</v>
      </c>
      <c r="D1955" s="8">
        <v>3.45</v>
      </c>
      <c r="E1955" s="8">
        <v>3.23</v>
      </c>
    </row>
    <row r="1956" spans="1:5" x14ac:dyDescent="0.2">
      <c r="A1956" s="5">
        <f t="shared" si="69"/>
        <v>10</v>
      </c>
      <c r="B1956" s="5">
        <f t="shared" si="70"/>
        <v>2020</v>
      </c>
      <c r="C1956" s="7">
        <v>44113</v>
      </c>
      <c r="D1956" s="8">
        <v>3.3</v>
      </c>
      <c r="E1956" s="8">
        <v>3.29</v>
      </c>
    </row>
    <row r="1957" spans="1:5" x14ac:dyDescent="0.2">
      <c r="A1957" s="5">
        <f t="shared" si="69"/>
        <v>10</v>
      </c>
      <c r="B1957" s="5">
        <f t="shared" si="70"/>
        <v>2020</v>
      </c>
      <c r="C1957" s="7">
        <v>44117</v>
      </c>
      <c r="D1957" s="8">
        <v>3.38</v>
      </c>
      <c r="E1957" s="8">
        <v>3.33</v>
      </c>
    </row>
    <row r="1958" spans="1:5" x14ac:dyDescent="0.2">
      <c r="A1958" s="5">
        <f t="shared" si="69"/>
        <v>10</v>
      </c>
      <c r="B1958" s="5">
        <f t="shared" si="70"/>
        <v>2020</v>
      </c>
      <c r="C1958" s="7">
        <v>44118</v>
      </c>
      <c r="D1958" s="8">
        <v>3.39</v>
      </c>
      <c r="E1958" s="8">
        <v>3.32</v>
      </c>
    </row>
    <row r="1959" spans="1:5" x14ac:dyDescent="0.2">
      <c r="A1959" s="5">
        <f t="shared" si="69"/>
        <v>10</v>
      </c>
      <c r="B1959" s="5">
        <f t="shared" si="70"/>
        <v>2020</v>
      </c>
      <c r="C1959" s="7">
        <v>44119</v>
      </c>
      <c r="D1959" s="8">
        <v>3.39</v>
      </c>
      <c r="E1959" s="8">
        <v>3.32</v>
      </c>
    </row>
    <row r="1960" spans="1:5" x14ac:dyDescent="0.2">
      <c r="A1960" s="5">
        <f t="shared" si="69"/>
        <v>10</v>
      </c>
      <c r="B1960" s="5">
        <f t="shared" si="70"/>
        <v>2020</v>
      </c>
      <c r="C1960" s="7">
        <v>44120</v>
      </c>
      <c r="D1960" s="8">
        <v>3.46</v>
      </c>
      <c r="E1960" s="8">
        <v>3.37</v>
      </c>
    </row>
    <row r="1961" spans="1:5" x14ac:dyDescent="0.2">
      <c r="A1961" s="5">
        <f t="shared" si="69"/>
        <v>10</v>
      </c>
      <c r="B1961" s="5">
        <f t="shared" si="70"/>
        <v>2020</v>
      </c>
      <c r="C1961" s="7">
        <v>44123</v>
      </c>
      <c r="D1961" s="8">
        <v>3.54</v>
      </c>
      <c r="E1961" s="8">
        <v>3.39</v>
      </c>
    </row>
    <row r="1962" spans="1:5" x14ac:dyDescent="0.2">
      <c r="A1962" s="5">
        <f t="shared" si="69"/>
        <v>10</v>
      </c>
      <c r="B1962" s="5">
        <f t="shared" si="70"/>
        <v>2020</v>
      </c>
      <c r="C1962" s="7">
        <v>44124</v>
      </c>
      <c r="D1962" s="8">
        <v>3.56</v>
      </c>
      <c r="E1962" s="8">
        <v>3.39</v>
      </c>
    </row>
    <row r="1963" spans="1:5" x14ac:dyDescent="0.2">
      <c r="A1963" s="5">
        <f t="shared" si="69"/>
        <v>10</v>
      </c>
      <c r="B1963" s="5">
        <f t="shared" si="70"/>
        <v>2020</v>
      </c>
      <c r="C1963" s="7">
        <v>44125</v>
      </c>
      <c r="D1963" s="8">
        <v>3.57</v>
      </c>
      <c r="E1963" s="8">
        <v>3.39</v>
      </c>
    </row>
    <row r="1964" spans="1:5" x14ac:dyDescent="0.2">
      <c r="A1964" s="5">
        <f t="shared" si="69"/>
        <v>10</v>
      </c>
      <c r="B1964" s="5">
        <f t="shared" si="70"/>
        <v>2020</v>
      </c>
      <c r="C1964" s="7">
        <v>44126</v>
      </c>
      <c r="D1964" s="8">
        <v>3.62</v>
      </c>
      <c r="E1964" s="8">
        <v>3.42</v>
      </c>
    </row>
    <row r="1965" spans="1:5" x14ac:dyDescent="0.2">
      <c r="A1965" s="5">
        <f t="shared" si="69"/>
        <v>10</v>
      </c>
      <c r="B1965" s="5">
        <f t="shared" si="70"/>
        <v>2020</v>
      </c>
      <c r="C1965" s="7">
        <v>44127</v>
      </c>
      <c r="D1965" s="8">
        <v>3.81</v>
      </c>
      <c r="E1965" s="8">
        <v>3.56</v>
      </c>
    </row>
    <row r="1966" spans="1:5" x14ac:dyDescent="0.2">
      <c r="A1966" s="5">
        <f t="shared" si="69"/>
        <v>10</v>
      </c>
      <c r="B1966" s="5">
        <f t="shared" si="70"/>
        <v>2020</v>
      </c>
      <c r="C1966" s="7">
        <v>44130</v>
      </c>
      <c r="D1966" s="8">
        <v>3.85</v>
      </c>
      <c r="E1966" s="8">
        <v>3.56</v>
      </c>
    </row>
    <row r="1967" spans="1:5" x14ac:dyDescent="0.2">
      <c r="A1967" s="5">
        <f t="shared" si="69"/>
        <v>10</v>
      </c>
      <c r="B1967" s="5">
        <f t="shared" si="70"/>
        <v>2020</v>
      </c>
      <c r="C1967" s="7">
        <v>44131</v>
      </c>
      <c r="D1967" s="8">
        <v>3.85</v>
      </c>
      <c r="E1967" s="8">
        <v>3.54</v>
      </c>
    </row>
    <row r="1968" spans="1:5" x14ac:dyDescent="0.2">
      <c r="A1968" s="5">
        <f t="shared" si="69"/>
        <v>10</v>
      </c>
      <c r="B1968" s="5">
        <f t="shared" si="70"/>
        <v>2020</v>
      </c>
      <c r="C1968" s="7">
        <v>44132</v>
      </c>
      <c r="D1968" s="8">
        <v>3.85</v>
      </c>
      <c r="E1968" s="8">
        <v>3.53</v>
      </c>
    </row>
    <row r="1969" spans="1:5" x14ac:dyDescent="0.2">
      <c r="A1969" s="5">
        <f t="shared" si="69"/>
        <v>10</v>
      </c>
      <c r="B1969" s="5">
        <f t="shared" si="70"/>
        <v>2020</v>
      </c>
      <c r="C1969" s="7">
        <v>44133</v>
      </c>
      <c r="D1969" s="8">
        <v>3.87</v>
      </c>
      <c r="E1969" s="8">
        <v>3.53</v>
      </c>
    </row>
    <row r="1970" spans="1:5" x14ac:dyDescent="0.2">
      <c r="A1970" s="5">
        <f t="shared" si="69"/>
        <v>10</v>
      </c>
      <c r="B1970" s="5">
        <f t="shared" si="70"/>
        <v>2020</v>
      </c>
      <c r="C1970" s="7">
        <v>44134</v>
      </c>
      <c r="D1970" s="8">
        <v>3.93</v>
      </c>
      <c r="E1970" s="8">
        <v>3.52</v>
      </c>
    </row>
    <row r="1971" spans="1:5" x14ac:dyDescent="0.2">
      <c r="A1971" s="5">
        <f t="shared" si="69"/>
        <v>11</v>
      </c>
      <c r="B1971" s="5">
        <f t="shared" si="70"/>
        <v>2020</v>
      </c>
      <c r="C1971" s="7">
        <v>44138</v>
      </c>
      <c r="D1971" s="8">
        <v>3.93</v>
      </c>
      <c r="E1971" s="8">
        <v>3.45</v>
      </c>
    </row>
    <row r="1972" spans="1:5" x14ac:dyDescent="0.2">
      <c r="A1972" s="5">
        <f t="shared" si="69"/>
        <v>11</v>
      </c>
      <c r="B1972" s="5">
        <f t="shared" si="70"/>
        <v>2020</v>
      </c>
      <c r="C1972" s="7">
        <v>44139</v>
      </c>
      <c r="D1972" s="8">
        <v>3.94</v>
      </c>
      <c r="E1972" s="8">
        <v>3.44</v>
      </c>
    </row>
    <row r="1973" spans="1:5" x14ac:dyDescent="0.2">
      <c r="A1973" s="5">
        <f t="shared" si="69"/>
        <v>11</v>
      </c>
      <c r="B1973" s="5">
        <f t="shared" si="70"/>
        <v>2020</v>
      </c>
      <c r="C1973" s="7">
        <v>44140</v>
      </c>
      <c r="D1973" s="8">
        <v>4</v>
      </c>
      <c r="E1973" s="8">
        <v>3.43</v>
      </c>
    </row>
    <row r="1974" spans="1:5" x14ac:dyDescent="0.2">
      <c r="A1974" s="5">
        <f t="shared" si="69"/>
        <v>11</v>
      </c>
      <c r="B1974" s="5">
        <f t="shared" si="70"/>
        <v>2020</v>
      </c>
      <c r="C1974" s="7">
        <v>44141</v>
      </c>
      <c r="D1974" s="8">
        <v>3.53</v>
      </c>
      <c r="E1974" s="8">
        <v>3.52</v>
      </c>
    </row>
    <row r="1975" spans="1:5" x14ac:dyDescent="0.2">
      <c r="A1975" s="5">
        <f t="shared" si="69"/>
        <v>11</v>
      </c>
      <c r="B1975" s="5">
        <f t="shared" si="70"/>
        <v>2020</v>
      </c>
      <c r="C1975" s="7">
        <v>44144</v>
      </c>
      <c r="D1975" s="8">
        <v>3.56</v>
      </c>
      <c r="E1975" s="8">
        <v>3.53</v>
      </c>
    </row>
    <row r="1976" spans="1:5" x14ac:dyDescent="0.2">
      <c r="A1976" s="5">
        <f t="shared" si="69"/>
        <v>11</v>
      </c>
      <c r="B1976" s="5">
        <f t="shared" si="70"/>
        <v>2020</v>
      </c>
      <c r="C1976" s="7">
        <v>44145</v>
      </c>
      <c r="D1976" s="8">
        <v>3.58</v>
      </c>
      <c r="E1976" s="8">
        <v>3.54</v>
      </c>
    </row>
    <row r="1977" spans="1:5" x14ac:dyDescent="0.2">
      <c r="A1977" s="5">
        <f t="shared" si="69"/>
        <v>11</v>
      </c>
      <c r="B1977" s="5">
        <f t="shared" si="70"/>
        <v>2020</v>
      </c>
      <c r="C1977" s="7">
        <v>44146</v>
      </c>
      <c r="D1977" s="8">
        <v>3.58</v>
      </c>
      <c r="E1977" s="8">
        <v>3.54</v>
      </c>
    </row>
    <row r="1978" spans="1:5" x14ac:dyDescent="0.2">
      <c r="A1978" s="5">
        <f t="shared" si="69"/>
        <v>11</v>
      </c>
      <c r="B1978" s="5">
        <f t="shared" si="70"/>
        <v>2020</v>
      </c>
      <c r="C1978" s="7">
        <v>44147</v>
      </c>
      <c r="D1978" s="8">
        <v>3.58</v>
      </c>
      <c r="E1978" s="8">
        <v>3.53</v>
      </c>
    </row>
    <row r="1979" spans="1:5" x14ac:dyDescent="0.2">
      <c r="A1979" s="5">
        <f t="shared" si="69"/>
        <v>11</v>
      </c>
      <c r="B1979" s="5">
        <f t="shared" si="70"/>
        <v>2020</v>
      </c>
      <c r="C1979" s="7">
        <v>44148</v>
      </c>
      <c r="D1979" s="8">
        <v>3.62</v>
      </c>
      <c r="E1979" s="8">
        <v>3.56</v>
      </c>
    </row>
    <row r="1980" spans="1:5" x14ac:dyDescent="0.2">
      <c r="A1980" s="5">
        <f t="shared" si="69"/>
        <v>11</v>
      </c>
      <c r="B1980" s="5">
        <f t="shared" si="70"/>
        <v>2020</v>
      </c>
      <c r="C1980" s="7">
        <v>44151</v>
      </c>
      <c r="D1980" s="8">
        <v>3.67</v>
      </c>
      <c r="E1980" s="8">
        <v>3.59</v>
      </c>
    </row>
    <row r="1981" spans="1:5" x14ac:dyDescent="0.2">
      <c r="A1981" s="5">
        <f t="shared" si="69"/>
        <v>11</v>
      </c>
      <c r="B1981" s="5">
        <f t="shared" si="70"/>
        <v>2020</v>
      </c>
      <c r="C1981" s="7">
        <v>44152</v>
      </c>
      <c r="D1981" s="8">
        <v>3.68</v>
      </c>
      <c r="E1981" s="8">
        <v>3.59</v>
      </c>
    </row>
    <row r="1982" spans="1:5" x14ac:dyDescent="0.2">
      <c r="A1982" s="5">
        <f t="shared" si="69"/>
        <v>11</v>
      </c>
      <c r="B1982" s="5">
        <f t="shared" si="70"/>
        <v>2020</v>
      </c>
      <c r="C1982" s="7">
        <v>44153</v>
      </c>
      <c r="D1982" s="8">
        <v>3.68</v>
      </c>
      <c r="E1982" s="8">
        <v>3.58</v>
      </c>
    </row>
    <row r="1983" spans="1:5" x14ac:dyDescent="0.2">
      <c r="A1983" s="5">
        <f t="shared" si="69"/>
        <v>11</v>
      </c>
      <c r="B1983" s="5">
        <f t="shared" si="70"/>
        <v>2020</v>
      </c>
      <c r="C1983" s="7">
        <v>44154</v>
      </c>
      <c r="D1983" s="8">
        <v>3.74</v>
      </c>
      <c r="E1983" s="8">
        <v>3.6</v>
      </c>
    </row>
    <row r="1984" spans="1:5" x14ac:dyDescent="0.2">
      <c r="A1984" s="5">
        <f t="shared" si="69"/>
        <v>11</v>
      </c>
      <c r="B1984" s="5">
        <f t="shared" si="70"/>
        <v>2020</v>
      </c>
      <c r="C1984" s="7">
        <v>44155</v>
      </c>
      <c r="D1984" s="8">
        <v>3.93</v>
      </c>
      <c r="E1984" s="8">
        <v>3.8</v>
      </c>
    </row>
    <row r="1985" spans="1:5" x14ac:dyDescent="0.2">
      <c r="A1985" s="5">
        <f t="shared" si="69"/>
        <v>11</v>
      </c>
      <c r="B1985" s="5">
        <f t="shared" si="70"/>
        <v>2020</v>
      </c>
      <c r="C1985" s="7">
        <v>44158</v>
      </c>
      <c r="D1985" s="8">
        <v>4</v>
      </c>
      <c r="E1985" s="8">
        <v>3.82</v>
      </c>
    </row>
    <row r="1986" spans="1:5" x14ac:dyDescent="0.2">
      <c r="A1986" s="5">
        <f t="shared" si="69"/>
        <v>11</v>
      </c>
      <c r="B1986" s="5">
        <f t="shared" si="70"/>
        <v>2020</v>
      </c>
      <c r="C1986" s="7">
        <v>44159</v>
      </c>
      <c r="D1986" s="8">
        <v>4.01</v>
      </c>
      <c r="E1986" s="8">
        <v>3.82</v>
      </c>
    </row>
    <row r="1987" spans="1:5" x14ac:dyDescent="0.2">
      <c r="A1987" s="5">
        <f t="shared" si="69"/>
        <v>11</v>
      </c>
      <c r="B1987" s="5">
        <f t="shared" si="70"/>
        <v>2020</v>
      </c>
      <c r="C1987" s="7">
        <v>44160</v>
      </c>
      <c r="D1987" s="8">
        <v>4.03</v>
      </c>
      <c r="E1987" s="8">
        <v>3.81</v>
      </c>
    </row>
    <row r="1988" spans="1:5" x14ac:dyDescent="0.2">
      <c r="A1988" s="5">
        <f t="shared" ref="A1988:A2051" si="71">MONTH(C1988)</f>
        <v>11</v>
      </c>
      <c r="B1988" s="5">
        <f t="shared" ref="B1988:B2051" si="72">YEAR(C1988)</f>
        <v>2020</v>
      </c>
      <c r="C1988" s="7">
        <v>44161</v>
      </c>
      <c r="D1988" s="8">
        <v>4.05</v>
      </c>
      <c r="E1988" s="8">
        <v>3.8</v>
      </c>
    </row>
    <row r="1989" spans="1:5" x14ac:dyDescent="0.2">
      <c r="A1989" s="5">
        <f t="shared" si="71"/>
        <v>11</v>
      </c>
      <c r="B1989" s="5">
        <f t="shared" si="72"/>
        <v>2020</v>
      </c>
      <c r="C1989" s="7">
        <v>44162</v>
      </c>
      <c r="D1989" s="8">
        <v>4.0999999999999996</v>
      </c>
      <c r="E1989" s="8">
        <v>3.86</v>
      </c>
    </row>
    <row r="1990" spans="1:5" x14ac:dyDescent="0.2">
      <c r="A1990" s="5">
        <f t="shared" si="71"/>
        <v>11</v>
      </c>
      <c r="B1990" s="5">
        <f t="shared" si="72"/>
        <v>2020</v>
      </c>
      <c r="C1990" s="7">
        <v>44165</v>
      </c>
      <c r="D1990" s="8">
        <v>4.1500000000000004</v>
      </c>
      <c r="E1990" s="8">
        <v>3.84</v>
      </c>
    </row>
    <row r="1991" spans="1:5" x14ac:dyDescent="0.2">
      <c r="A1991" s="5">
        <f t="shared" si="71"/>
        <v>12</v>
      </c>
      <c r="B1991" s="5">
        <f t="shared" si="72"/>
        <v>2020</v>
      </c>
      <c r="C1991" s="7">
        <v>44166</v>
      </c>
      <c r="D1991" s="8">
        <v>4.2300000000000004</v>
      </c>
      <c r="E1991" s="8">
        <v>3.88</v>
      </c>
    </row>
    <row r="1992" spans="1:5" x14ac:dyDescent="0.2">
      <c r="A1992" s="5">
        <f t="shared" si="71"/>
        <v>12</v>
      </c>
      <c r="B1992" s="5">
        <f t="shared" si="72"/>
        <v>2020</v>
      </c>
      <c r="C1992" s="7">
        <v>44167</v>
      </c>
      <c r="D1992" s="8">
        <v>4.29</v>
      </c>
      <c r="E1992" s="8">
        <v>3.92</v>
      </c>
    </row>
    <row r="1993" spans="1:5" x14ac:dyDescent="0.2">
      <c r="A1993" s="5">
        <f t="shared" si="71"/>
        <v>12</v>
      </c>
      <c r="B1993" s="5">
        <f t="shared" si="72"/>
        <v>2020</v>
      </c>
      <c r="C1993" s="7">
        <v>44168</v>
      </c>
      <c r="D1993" s="8">
        <v>4.33</v>
      </c>
      <c r="E1993" s="8">
        <v>3.92</v>
      </c>
    </row>
    <row r="1994" spans="1:5" x14ac:dyDescent="0.2">
      <c r="A1994" s="5">
        <f t="shared" si="71"/>
        <v>12</v>
      </c>
      <c r="B1994" s="5">
        <f t="shared" si="72"/>
        <v>2020</v>
      </c>
      <c r="C1994" s="7">
        <v>44169</v>
      </c>
      <c r="D1994" s="8">
        <v>4.58</v>
      </c>
      <c r="E1994" s="8">
        <v>4.09</v>
      </c>
    </row>
    <row r="1995" spans="1:5" x14ac:dyDescent="0.2">
      <c r="A1995" s="5">
        <f t="shared" si="71"/>
        <v>12</v>
      </c>
      <c r="B1995" s="5">
        <f t="shared" si="72"/>
        <v>2020</v>
      </c>
      <c r="C1995" s="7">
        <v>44172</v>
      </c>
      <c r="D1995" s="8">
        <v>4.6100000000000003</v>
      </c>
      <c r="E1995" s="8">
        <v>4.0599999999999996</v>
      </c>
    </row>
    <row r="1996" spans="1:5" x14ac:dyDescent="0.2">
      <c r="A1996" s="5">
        <f t="shared" si="71"/>
        <v>12</v>
      </c>
      <c r="B1996" s="5">
        <f t="shared" si="72"/>
        <v>2020</v>
      </c>
      <c r="C1996" s="7">
        <v>44173</v>
      </c>
      <c r="D1996" s="8">
        <v>4.0599999999999996</v>
      </c>
      <c r="E1996" s="8">
        <v>4.04</v>
      </c>
    </row>
    <row r="1997" spans="1:5" x14ac:dyDescent="0.2">
      <c r="A1997" s="5">
        <f t="shared" si="71"/>
        <v>12</v>
      </c>
      <c r="B1997" s="5">
        <f t="shared" si="72"/>
        <v>2020</v>
      </c>
      <c r="C1997" s="7">
        <v>44174</v>
      </c>
      <c r="D1997" s="8">
        <v>4.0599999999999996</v>
      </c>
      <c r="E1997" s="8">
        <v>4.0199999999999996</v>
      </c>
    </row>
    <row r="1998" spans="1:5" x14ac:dyDescent="0.2">
      <c r="A1998" s="5">
        <f t="shared" si="71"/>
        <v>12</v>
      </c>
      <c r="B1998" s="5">
        <f t="shared" si="72"/>
        <v>2020</v>
      </c>
      <c r="C1998" s="7">
        <v>44175</v>
      </c>
      <c r="D1998" s="8">
        <v>4.0599999999999996</v>
      </c>
      <c r="E1998" s="8">
        <v>4</v>
      </c>
    </row>
    <row r="1999" spans="1:5" x14ac:dyDescent="0.2">
      <c r="A1999" s="5">
        <f t="shared" si="71"/>
        <v>12</v>
      </c>
      <c r="B1999" s="5">
        <f t="shared" si="72"/>
        <v>2020</v>
      </c>
      <c r="C1999" s="7">
        <v>44176</v>
      </c>
      <c r="D1999" s="8">
        <v>4.07</v>
      </c>
      <c r="E1999" s="8">
        <v>3.99</v>
      </c>
    </row>
    <row r="2000" spans="1:5" x14ac:dyDescent="0.2">
      <c r="A2000" s="5">
        <f t="shared" si="71"/>
        <v>12</v>
      </c>
      <c r="B2000" s="5">
        <f t="shared" si="72"/>
        <v>2020</v>
      </c>
      <c r="C2000" s="7">
        <v>44179</v>
      </c>
      <c r="D2000" s="8">
        <v>4.08</v>
      </c>
      <c r="E2000" s="8">
        <v>3.93</v>
      </c>
    </row>
    <row r="2001" spans="1:5" x14ac:dyDescent="0.2">
      <c r="A2001" s="5">
        <f t="shared" si="71"/>
        <v>12</v>
      </c>
      <c r="B2001" s="5">
        <f t="shared" si="72"/>
        <v>2020</v>
      </c>
      <c r="C2001" s="7">
        <v>44180</v>
      </c>
      <c r="D2001" s="8">
        <v>4.08</v>
      </c>
      <c r="E2001" s="8">
        <v>3.91</v>
      </c>
    </row>
    <row r="2002" spans="1:5" x14ac:dyDescent="0.2">
      <c r="A2002" s="5">
        <f t="shared" si="71"/>
        <v>12</v>
      </c>
      <c r="B2002" s="5">
        <f t="shared" si="72"/>
        <v>2020</v>
      </c>
      <c r="C2002" s="7">
        <v>44181</v>
      </c>
      <c r="D2002" s="8">
        <v>4.07</v>
      </c>
      <c r="E2002" s="8">
        <v>3.89</v>
      </c>
    </row>
    <row r="2003" spans="1:5" x14ac:dyDescent="0.2">
      <c r="A2003" s="5">
        <f t="shared" si="71"/>
        <v>12</v>
      </c>
      <c r="B2003" s="5">
        <f t="shared" si="72"/>
        <v>2020</v>
      </c>
      <c r="C2003" s="7">
        <v>44182</v>
      </c>
      <c r="D2003" s="8">
        <v>4.08</v>
      </c>
      <c r="E2003" s="8">
        <v>3.87</v>
      </c>
    </row>
    <row r="2004" spans="1:5" x14ac:dyDescent="0.2">
      <c r="A2004" s="5">
        <f t="shared" si="71"/>
        <v>12</v>
      </c>
      <c r="B2004" s="5">
        <f t="shared" si="72"/>
        <v>2020</v>
      </c>
      <c r="C2004" s="7">
        <v>44183</v>
      </c>
      <c r="D2004" s="8">
        <v>4.09</v>
      </c>
      <c r="E2004" s="8">
        <v>3.87</v>
      </c>
    </row>
    <row r="2005" spans="1:5" x14ac:dyDescent="0.2">
      <c r="A2005" s="5">
        <f t="shared" si="71"/>
        <v>12</v>
      </c>
      <c r="B2005" s="5">
        <f t="shared" si="72"/>
        <v>2020</v>
      </c>
      <c r="C2005" s="7">
        <v>44186</v>
      </c>
      <c r="D2005" s="8">
        <v>4.08</v>
      </c>
      <c r="E2005" s="8">
        <v>3.79</v>
      </c>
    </row>
    <row r="2006" spans="1:5" x14ac:dyDescent="0.2">
      <c r="A2006" s="5">
        <f t="shared" si="71"/>
        <v>12</v>
      </c>
      <c r="B2006" s="5">
        <f t="shared" si="72"/>
        <v>2020</v>
      </c>
      <c r="C2006" s="7">
        <v>44187</v>
      </c>
      <c r="D2006" s="8">
        <v>4.08</v>
      </c>
      <c r="E2006" s="8">
        <v>3.77</v>
      </c>
    </row>
    <row r="2007" spans="1:5" x14ac:dyDescent="0.2">
      <c r="A2007" s="5">
        <f t="shared" si="71"/>
        <v>12</v>
      </c>
      <c r="B2007" s="5">
        <f t="shared" si="72"/>
        <v>2020</v>
      </c>
      <c r="C2007" s="7">
        <v>44188</v>
      </c>
      <c r="D2007" s="8">
        <v>4.08</v>
      </c>
      <c r="E2007" s="8">
        <v>3.74</v>
      </c>
    </row>
    <row r="2008" spans="1:5" x14ac:dyDescent="0.2">
      <c r="A2008" s="5">
        <f t="shared" si="71"/>
        <v>12</v>
      </c>
      <c r="B2008" s="5">
        <f t="shared" si="72"/>
        <v>2020</v>
      </c>
      <c r="C2008" s="7">
        <v>44189</v>
      </c>
      <c r="D2008" s="8">
        <v>4.08</v>
      </c>
      <c r="E2008" s="8">
        <v>3.72</v>
      </c>
    </row>
    <row r="2009" spans="1:5" x14ac:dyDescent="0.2">
      <c r="A2009" s="5">
        <f t="shared" si="71"/>
        <v>12</v>
      </c>
      <c r="B2009" s="5">
        <f t="shared" si="72"/>
        <v>2020</v>
      </c>
      <c r="C2009" s="7">
        <v>44193</v>
      </c>
      <c r="D2009" s="8">
        <v>4.08</v>
      </c>
      <c r="E2009" s="8">
        <v>3.64</v>
      </c>
    </row>
    <row r="2010" spans="1:5" x14ac:dyDescent="0.2">
      <c r="A2010" s="5">
        <f t="shared" si="71"/>
        <v>12</v>
      </c>
      <c r="B2010" s="5">
        <f t="shared" si="72"/>
        <v>2020</v>
      </c>
      <c r="C2010" s="7">
        <v>44194</v>
      </c>
      <c r="D2010" s="8">
        <v>4.08</v>
      </c>
      <c r="E2010" s="8">
        <v>3.6</v>
      </c>
    </row>
    <row r="2011" spans="1:5" x14ac:dyDescent="0.2">
      <c r="A2011" s="5">
        <f t="shared" si="71"/>
        <v>12</v>
      </c>
      <c r="B2011" s="5">
        <f t="shared" si="72"/>
        <v>2020</v>
      </c>
      <c r="C2011" s="7">
        <v>44195</v>
      </c>
      <c r="D2011" s="8">
        <v>4.08</v>
      </c>
      <c r="E2011" s="8">
        <v>3.58</v>
      </c>
    </row>
    <row r="2012" spans="1:5" x14ac:dyDescent="0.2">
      <c r="A2012" s="5">
        <f t="shared" si="71"/>
        <v>12</v>
      </c>
      <c r="B2012" s="5">
        <f t="shared" si="72"/>
        <v>2020</v>
      </c>
      <c r="C2012" s="7">
        <v>44196</v>
      </c>
      <c r="D2012" s="8">
        <v>4.08</v>
      </c>
      <c r="E2012" s="8">
        <v>3.56</v>
      </c>
    </row>
    <row r="2013" spans="1:5" x14ac:dyDescent="0.2">
      <c r="A2013" s="5">
        <f t="shared" si="71"/>
        <v>1</v>
      </c>
      <c r="B2013" s="5">
        <f t="shared" si="72"/>
        <v>2021</v>
      </c>
      <c r="C2013" s="7">
        <v>44200</v>
      </c>
      <c r="D2013" s="8">
        <v>4.07</v>
      </c>
      <c r="E2013" s="8">
        <v>3.45</v>
      </c>
    </row>
    <row r="2014" spans="1:5" x14ac:dyDescent="0.2">
      <c r="A2014" s="5">
        <f t="shared" si="71"/>
        <v>1</v>
      </c>
      <c r="B2014" s="5">
        <f t="shared" si="72"/>
        <v>2021</v>
      </c>
      <c r="C2014" s="7">
        <v>44201</v>
      </c>
      <c r="D2014" s="8">
        <v>4.07</v>
      </c>
      <c r="E2014" s="8">
        <v>3.43</v>
      </c>
    </row>
    <row r="2015" spans="1:5" x14ac:dyDescent="0.2">
      <c r="A2015" s="5">
        <f t="shared" si="71"/>
        <v>1</v>
      </c>
      <c r="B2015" s="5">
        <f t="shared" si="72"/>
        <v>2021</v>
      </c>
      <c r="C2015" s="7">
        <v>44202</v>
      </c>
      <c r="D2015" s="8">
        <v>4.07</v>
      </c>
      <c r="E2015" s="8">
        <v>3.41</v>
      </c>
    </row>
    <row r="2016" spans="1:5" x14ac:dyDescent="0.2">
      <c r="A2016" s="5">
        <f t="shared" si="71"/>
        <v>1</v>
      </c>
      <c r="B2016" s="5">
        <f t="shared" si="72"/>
        <v>2021</v>
      </c>
      <c r="C2016" s="7">
        <v>44203</v>
      </c>
      <c r="D2016" s="8">
        <v>4.07</v>
      </c>
      <c r="E2016" s="8">
        <v>3.39</v>
      </c>
    </row>
    <row r="2017" spans="1:5" x14ac:dyDescent="0.2">
      <c r="A2017" s="5">
        <f t="shared" si="71"/>
        <v>1</v>
      </c>
      <c r="B2017" s="5">
        <f t="shared" si="72"/>
        <v>2021</v>
      </c>
      <c r="C2017" s="7">
        <v>44204</v>
      </c>
      <c r="D2017" s="8">
        <v>4.08</v>
      </c>
      <c r="E2017" s="8">
        <v>3.39</v>
      </c>
    </row>
    <row r="2018" spans="1:5" x14ac:dyDescent="0.2">
      <c r="A2018" s="5">
        <f t="shared" si="71"/>
        <v>1</v>
      </c>
      <c r="B2018" s="5">
        <f t="shared" si="72"/>
        <v>2021</v>
      </c>
      <c r="C2018" s="7">
        <v>44207</v>
      </c>
      <c r="D2018" s="8">
        <v>4.08</v>
      </c>
      <c r="E2018" s="8">
        <v>3.32</v>
      </c>
    </row>
    <row r="2019" spans="1:5" x14ac:dyDescent="0.2">
      <c r="A2019" s="5">
        <f t="shared" si="71"/>
        <v>1</v>
      </c>
      <c r="B2019" s="5">
        <f t="shared" si="72"/>
        <v>2021</v>
      </c>
      <c r="C2019" s="7">
        <v>44208</v>
      </c>
      <c r="D2019" s="8">
        <v>3.34</v>
      </c>
      <c r="E2019" s="8">
        <v>3.34</v>
      </c>
    </row>
    <row r="2020" spans="1:5" x14ac:dyDescent="0.2">
      <c r="A2020" s="5">
        <f t="shared" si="71"/>
        <v>1</v>
      </c>
      <c r="B2020" s="5">
        <f t="shared" si="72"/>
        <v>2021</v>
      </c>
      <c r="C2020" s="7">
        <v>44209</v>
      </c>
      <c r="D2020" s="8">
        <v>3.4</v>
      </c>
      <c r="E2020" s="8">
        <v>3.38</v>
      </c>
    </row>
    <row r="2021" spans="1:5" x14ac:dyDescent="0.2">
      <c r="A2021" s="5">
        <f t="shared" si="71"/>
        <v>1</v>
      </c>
      <c r="B2021" s="5">
        <f t="shared" si="72"/>
        <v>2021</v>
      </c>
      <c r="C2021" s="7">
        <v>44210</v>
      </c>
      <c r="D2021" s="8">
        <v>3.4</v>
      </c>
      <c r="E2021" s="8">
        <v>3.4</v>
      </c>
    </row>
    <row r="2022" spans="1:5" x14ac:dyDescent="0.2">
      <c r="A2022" s="5">
        <f t="shared" si="71"/>
        <v>1</v>
      </c>
      <c r="B2022" s="5">
        <f t="shared" si="72"/>
        <v>2021</v>
      </c>
      <c r="C2022" s="7">
        <v>44211</v>
      </c>
      <c r="D2022" s="8">
        <v>3.43</v>
      </c>
      <c r="E2022" s="8">
        <v>3.43</v>
      </c>
    </row>
    <row r="2023" spans="1:5" x14ac:dyDescent="0.2">
      <c r="A2023" s="5">
        <f t="shared" si="71"/>
        <v>1</v>
      </c>
      <c r="B2023" s="5">
        <f t="shared" si="72"/>
        <v>2021</v>
      </c>
      <c r="C2023" s="7">
        <v>44214</v>
      </c>
      <c r="D2023" s="8">
        <v>3.45</v>
      </c>
      <c r="E2023" s="8">
        <v>3.45</v>
      </c>
    </row>
    <row r="2024" spans="1:5" x14ac:dyDescent="0.2">
      <c r="A2024" s="5">
        <f t="shared" si="71"/>
        <v>1</v>
      </c>
      <c r="B2024" s="5">
        <f t="shared" si="72"/>
        <v>2021</v>
      </c>
      <c r="C2024" s="7">
        <v>44215</v>
      </c>
      <c r="D2024" s="8">
        <v>3.45</v>
      </c>
      <c r="E2024" s="8">
        <v>3.45</v>
      </c>
    </row>
    <row r="2025" spans="1:5" x14ac:dyDescent="0.2">
      <c r="A2025" s="5">
        <f t="shared" si="71"/>
        <v>1</v>
      </c>
      <c r="B2025" s="5">
        <f t="shared" si="72"/>
        <v>2021</v>
      </c>
      <c r="C2025" s="7">
        <v>44216</v>
      </c>
      <c r="D2025" s="8">
        <v>3.45</v>
      </c>
      <c r="E2025" s="8">
        <v>3.46</v>
      </c>
    </row>
    <row r="2026" spans="1:5" x14ac:dyDescent="0.2">
      <c r="A2026" s="5">
        <f t="shared" si="71"/>
        <v>1</v>
      </c>
      <c r="B2026" s="5">
        <f t="shared" si="72"/>
        <v>2021</v>
      </c>
      <c r="C2026" s="7">
        <v>44217</v>
      </c>
      <c r="D2026" s="8">
        <v>3.45</v>
      </c>
      <c r="E2026" s="8">
        <v>3.48</v>
      </c>
    </row>
    <row r="2027" spans="1:5" x14ac:dyDescent="0.2">
      <c r="A2027" s="5">
        <f t="shared" si="71"/>
        <v>1</v>
      </c>
      <c r="B2027" s="5">
        <f t="shared" si="72"/>
        <v>2021</v>
      </c>
      <c r="C2027" s="7">
        <v>44218</v>
      </c>
      <c r="D2027" s="8">
        <v>3.5</v>
      </c>
      <c r="E2027" s="8">
        <v>3.49</v>
      </c>
    </row>
    <row r="2028" spans="1:5" x14ac:dyDescent="0.2">
      <c r="A2028" s="5">
        <f t="shared" si="71"/>
        <v>1</v>
      </c>
      <c r="B2028" s="5">
        <f t="shared" si="72"/>
        <v>2021</v>
      </c>
      <c r="C2028" s="7">
        <v>44221</v>
      </c>
      <c r="D2028" s="8">
        <v>3.5</v>
      </c>
      <c r="E2028" s="8">
        <v>3.51</v>
      </c>
    </row>
    <row r="2029" spans="1:5" x14ac:dyDescent="0.2">
      <c r="A2029" s="5">
        <f t="shared" si="71"/>
        <v>1</v>
      </c>
      <c r="B2029" s="5">
        <f t="shared" si="72"/>
        <v>2021</v>
      </c>
      <c r="C2029" s="7">
        <v>44222</v>
      </c>
      <c r="D2029" s="8">
        <v>3.5</v>
      </c>
      <c r="E2029" s="8">
        <v>3.52</v>
      </c>
    </row>
    <row r="2030" spans="1:5" x14ac:dyDescent="0.2">
      <c r="A2030" s="5">
        <f t="shared" si="71"/>
        <v>1</v>
      </c>
      <c r="B2030" s="5">
        <f t="shared" si="72"/>
        <v>2021</v>
      </c>
      <c r="C2030" s="7">
        <v>44223</v>
      </c>
      <c r="D2030" s="8">
        <v>3.5</v>
      </c>
      <c r="E2030" s="8">
        <v>3.53</v>
      </c>
    </row>
    <row r="2031" spans="1:5" x14ac:dyDescent="0.2">
      <c r="A2031" s="5">
        <f t="shared" si="71"/>
        <v>1</v>
      </c>
      <c r="B2031" s="5">
        <f t="shared" si="72"/>
        <v>2021</v>
      </c>
      <c r="C2031" s="7">
        <v>44224</v>
      </c>
      <c r="D2031" s="8">
        <v>3.5</v>
      </c>
      <c r="E2031" s="8">
        <v>3.53</v>
      </c>
    </row>
    <row r="2032" spans="1:5" x14ac:dyDescent="0.2">
      <c r="A2032" s="5">
        <f t="shared" si="71"/>
        <v>1</v>
      </c>
      <c r="B2032" s="5">
        <f t="shared" si="72"/>
        <v>2021</v>
      </c>
      <c r="C2032" s="7">
        <v>44225</v>
      </c>
      <c r="D2032" s="8">
        <v>3.53</v>
      </c>
      <c r="E2032" s="8">
        <v>3.6</v>
      </c>
    </row>
    <row r="2033" spans="1:5" x14ac:dyDescent="0.2">
      <c r="A2033" s="5">
        <f t="shared" si="71"/>
        <v>2</v>
      </c>
      <c r="B2033" s="5">
        <f t="shared" si="72"/>
        <v>2021</v>
      </c>
      <c r="C2033" s="7">
        <v>44228</v>
      </c>
      <c r="D2033" s="8">
        <v>3.54</v>
      </c>
      <c r="E2033" s="8">
        <v>3.62</v>
      </c>
    </row>
    <row r="2034" spans="1:5" x14ac:dyDescent="0.2">
      <c r="A2034" s="5">
        <f t="shared" si="71"/>
        <v>2</v>
      </c>
      <c r="B2034" s="5">
        <f t="shared" si="72"/>
        <v>2021</v>
      </c>
      <c r="C2034" s="7">
        <v>44229</v>
      </c>
      <c r="D2034" s="8">
        <v>3.57</v>
      </c>
      <c r="E2034" s="8">
        <v>3.62</v>
      </c>
    </row>
    <row r="2035" spans="1:5" x14ac:dyDescent="0.2">
      <c r="A2035" s="5">
        <f t="shared" si="71"/>
        <v>2</v>
      </c>
      <c r="B2035" s="5">
        <f t="shared" si="72"/>
        <v>2021</v>
      </c>
      <c r="C2035" s="7">
        <v>44230</v>
      </c>
      <c r="D2035" s="8">
        <v>3.6</v>
      </c>
      <c r="E2035" s="8">
        <v>3.63</v>
      </c>
    </row>
    <row r="2036" spans="1:5" x14ac:dyDescent="0.2">
      <c r="A2036" s="5">
        <f t="shared" si="71"/>
        <v>2</v>
      </c>
      <c r="B2036" s="5">
        <f t="shared" si="72"/>
        <v>2021</v>
      </c>
      <c r="C2036" s="7">
        <v>44231</v>
      </c>
      <c r="D2036" s="8">
        <v>3.6</v>
      </c>
      <c r="E2036" s="8">
        <v>3.63</v>
      </c>
    </row>
    <row r="2037" spans="1:5" x14ac:dyDescent="0.2">
      <c r="A2037" s="5">
        <f t="shared" si="71"/>
        <v>2</v>
      </c>
      <c r="B2037" s="5">
        <f t="shared" si="72"/>
        <v>2021</v>
      </c>
      <c r="C2037" s="7">
        <v>44232</v>
      </c>
      <c r="D2037" s="8">
        <v>3.6</v>
      </c>
      <c r="E2037" s="8">
        <v>3.64</v>
      </c>
    </row>
    <row r="2038" spans="1:5" x14ac:dyDescent="0.2">
      <c r="A2038" s="5">
        <f t="shared" si="71"/>
        <v>2</v>
      </c>
      <c r="B2038" s="5">
        <f t="shared" si="72"/>
        <v>2021</v>
      </c>
      <c r="C2038" s="7">
        <v>44235</v>
      </c>
      <c r="D2038" s="8">
        <v>3.6</v>
      </c>
      <c r="E2038" s="8">
        <v>3.66</v>
      </c>
    </row>
    <row r="2039" spans="1:5" x14ac:dyDescent="0.2">
      <c r="A2039" s="5">
        <f t="shared" si="71"/>
        <v>2</v>
      </c>
      <c r="B2039" s="5">
        <f t="shared" si="72"/>
        <v>2021</v>
      </c>
      <c r="C2039" s="7">
        <v>44236</v>
      </c>
      <c r="D2039" s="8">
        <v>3.68</v>
      </c>
      <c r="E2039" s="8">
        <v>3.68</v>
      </c>
    </row>
    <row r="2040" spans="1:5" x14ac:dyDescent="0.2">
      <c r="A2040" s="5">
        <f t="shared" si="71"/>
        <v>2</v>
      </c>
      <c r="B2040" s="5">
        <f t="shared" si="72"/>
        <v>2021</v>
      </c>
      <c r="C2040" s="7">
        <v>44237</v>
      </c>
      <c r="D2040" s="8">
        <v>3.69</v>
      </c>
      <c r="E2040" s="8">
        <v>3.68</v>
      </c>
    </row>
    <row r="2041" spans="1:5" x14ac:dyDescent="0.2">
      <c r="A2041" s="5">
        <f t="shared" si="71"/>
        <v>2</v>
      </c>
      <c r="B2041" s="5">
        <f t="shared" si="72"/>
        <v>2021</v>
      </c>
      <c r="C2041" s="7">
        <v>44238</v>
      </c>
      <c r="D2041" s="8">
        <v>3.7</v>
      </c>
      <c r="E2041" s="8">
        <v>3.68</v>
      </c>
    </row>
    <row r="2042" spans="1:5" x14ac:dyDescent="0.2">
      <c r="A2042" s="5">
        <f t="shared" si="71"/>
        <v>2</v>
      </c>
      <c r="B2042" s="5">
        <f t="shared" si="72"/>
        <v>2021</v>
      </c>
      <c r="C2042" s="7">
        <v>44239</v>
      </c>
      <c r="D2042" s="8">
        <v>3.74</v>
      </c>
      <c r="E2042" s="8">
        <v>3.71</v>
      </c>
    </row>
    <row r="2043" spans="1:5" x14ac:dyDescent="0.2">
      <c r="A2043" s="5">
        <f t="shared" si="71"/>
        <v>2</v>
      </c>
      <c r="B2043" s="5">
        <f t="shared" si="72"/>
        <v>2021</v>
      </c>
      <c r="C2043" s="7">
        <v>44244</v>
      </c>
      <c r="D2043" s="8">
        <v>3.82</v>
      </c>
      <c r="E2043" s="8">
        <v>3.75</v>
      </c>
    </row>
    <row r="2044" spans="1:5" x14ac:dyDescent="0.2">
      <c r="A2044" s="5">
        <f t="shared" si="71"/>
        <v>2</v>
      </c>
      <c r="B2044" s="5">
        <f t="shared" si="72"/>
        <v>2021</v>
      </c>
      <c r="C2044" s="7">
        <v>44245</v>
      </c>
      <c r="D2044" s="8">
        <v>3.84</v>
      </c>
      <c r="E2044" s="8">
        <v>3.73</v>
      </c>
    </row>
    <row r="2045" spans="1:5" x14ac:dyDescent="0.2">
      <c r="A2045" s="5">
        <f t="shared" si="71"/>
        <v>2</v>
      </c>
      <c r="B2045" s="5">
        <f t="shared" si="72"/>
        <v>2021</v>
      </c>
      <c r="C2045" s="7">
        <v>44246</v>
      </c>
      <c r="D2045" s="8">
        <v>3.95</v>
      </c>
      <c r="E2045" s="8">
        <v>3.84</v>
      </c>
    </row>
    <row r="2046" spans="1:5" x14ac:dyDescent="0.2">
      <c r="A2046" s="5">
        <f t="shared" si="71"/>
        <v>2</v>
      </c>
      <c r="B2046" s="5">
        <f t="shared" si="72"/>
        <v>2021</v>
      </c>
      <c r="C2046" s="7">
        <v>44249</v>
      </c>
      <c r="D2046" s="8">
        <v>4</v>
      </c>
      <c r="E2046" s="8">
        <v>3.86</v>
      </c>
    </row>
    <row r="2047" spans="1:5" x14ac:dyDescent="0.2">
      <c r="A2047" s="5">
        <f t="shared" si="71"/>
        <v>2</v>
      </c>
      <c r="B2047" s="5">
        <f t="shared" si="72"/>
        <v>2021</v>
      </c>
      <c r="C2047" s="7">
        <v>44250</v>
      </c>
      <c r="D2047" s="8">
        <v>4</v>
      </c>
      <c r="E2047" s="8">
        <v>3.85</v>
      </c>
    </row>
    <row r="2048" spans="1:5" x14ac:dyDescent="0.2">
      <c r="A2048" s="5">
        <f t="shared" si="71"/>
        <v>2</v>
      </c>
      <c r="B2048" s="5">
        <f t="shared" si="72"/>
        <v>2021</v>
      </c>
      <c r="C2048" s="7">
        <v>44251</v>
      </c>
      <c r="D2048" s="8">
        <v>4</v>
      </c>
      <c r="E2048" s="8">
        <v>3.84</v>
      </c>
    </row>
    <row r="2049" spans="1:5" x14ac:dyDescent="0.2">
      <c r="A2049" s="5">
        <f t="shared" si="71"/>
        <v>2</v>
      </c>
      <c r="B2049" s="5">
        <f t="shared" si="72"/>
        <v>2021</v>
      </c>
      <c r="C2049" s="7">
        <v>44252</v>
      </c>
      <c r="D2049" s="8">
        <v>4.01</v>
      </c>
      <c r="E2049" s="8">
        <v>3.84</v>
      </c>
    </row>
    <row r="2050" spans="1:5" x14ac:dyDescent="0.2">
      <c r="A2050" s="5">
        <f t="shared" si="71"/>
        <v>2</v>
      </c>
      <c r="B2050" s="5">
        <f t="shared" si="72"/>
        <v>2021</v>
      </c>
      <c r="C2050" s="7">
        <v>44253</v>
      </c>
      <c r="D2050" s="8">
        <v>4.0199999999999996</v>
      </c>
      <c r="E2050" s="8">
        <v>3.84</v>
      </c>
    </row>
    <row r="2051" spans="1:5" x14ac:dyDescent="0.2">
      <c r="A2051" s="5">
        <f t="shared" si="71"/>
        <v>3</v>
      </c>
      <c r="B2051" s="5">
        <f t="shared" si="72"/>
        <v>2021</v>
      </c>
      <c r="C2051" s="7">
        <v>44256</v>
      </c>
      <c r="D2051" s="8">
        <v>4.0199999999999996</v>
      </c>
      <c r="E2051" s="8">
        <v>3.83</v>
      </c>
    </row>
    <row r="2052" spans="1:5" x14ac:dyDescent="0.2">
      <c r="A2052" s="5">
        <f t="shared" ref="A2052:A2115" si="73">MONTH(C2052)</f>
        <v>3</v>
      </c>
      <c r="B2052" s="5">
        <f t="shared" ref="B2052:B2115" si="74">YEAR(C2052)</f>
        <v>2021</v>
      </c>
      <c r="C2052" s="7">
        <v>44257</v>
      </c>
      <c r="D2052" s="8">
        <v>4.03</v>
      </c>
      <c r="E2052" s="8">
        <v>3.82</v>
      </c>
    </row>
    <row r="2053" spans="1:5" x14ac:dyDescent="0.2">
      <c r="A2053" s="5">
        <f t="shared" si="73"/>
        <v>3</v>
      </c>
      <c r="B2053" s="5">
        <f t="shared" si="74"/>
        <v>2021</v>
      </c>
      <c r="C2053" s="7">
        <v>44258</v>
      </c>
      <c r="D2053" s="8">
        <v>4.05</v>
      </c>
      <c r="E2053" s="8">
        <v>3.83</v>
      </c>
    </row>
    <row r="2054" spans="1:5" x14ac:dyDescent="0.2">
      <c r="A2054" s="5">
        <f t="shared" si="73"/>
        <v>3</v>
      </c>
      <c r="B2054" s="5">
        <f t="shared" si="74"/>
        <v>2021</v>
      </c>
      <c r="C2054" s="7">
        <v>44259</v>
      </c>
      <c r="D2054" s="8">
        <v>4.0599999999999996</v>
      </c>
      <c r="E2054" s="8">
        <v>3.82</v>
      </c>
    </row>
    <row r="2055" spans="1:5" x14ac:dyDescent="0.2">
      <c r="A2055" s="5">
        <f t="shared" si="73"/>
        <v>3</v>
      </c>
      <c r="B2055" s="5">
        <f t="shared" si="74"/>
        <v>2021</v>
      </c>
      <c r="C2055" s="7">
        <v>44260</v>
      </c>
      <c r="D2055" s="8">
        <v>4.07</v>
      </c>
      <c r="E2055" s="8">
        <v>3.84</v>
      </c>
    </row>
    <row r="2056" spans="1:5" x14ac:dyDescent="0.2">
      <c r="A2056" s="5">
        <f t="shared" si="73"/>
        <v>3</v>
      </c>
      <c r="B2056" s="5">
        <f t="shared" si="74"/>
        <v>2021</v>
      </c>
      <c r="C2056" s="7">
        <v>44263</v>
      </c>
      <c r="D2056" s="8">
        <v>4.12</v>
      </c>
      <c r="E2056" s="8">
        <v>3.85</v>
      </c>
    </row>
    <row r="2057" spans="1:5" x14ac:dyDescent="0.2">
      <c r="A2057" s="5">
        <f t="shared" si="73"/>
        <v>3</v>
      </c>
      <c r="B2057" s="5">
        <f t="shared" si="74"/>
        <v>2021</v>
      </c>
      <c r="C2057" s="7">
        <v>44264</v>
      </c>
      <c r="D2057" s="8">
        <v>4.13</v>
      </c>
      <c r="E2057" s="8">
        <v>3.85</v>
      </c>
    </row>
    <row r="2058" spans="1:5" x14ac:dyDescent="0.2">
      <c r="A2058" s="5">
        <f t="shared" si="73"/>
        <v>3</v>
      </c>
      <c r="B2058" s="5">
        <f t="shared" si="74"/>
        <v>2021</v>
      </c>
      <c r="C2058" s="7">
        <v>44265</v>
      </c>
      <c r="D2058" s="8">
        <v>4.1500000000000004</v>
      </c>
      <c r="E2058" s="8">
        <v>3.86</v>
      </c>
    </row>
    <row r="2059" spans="1:5" x14ac:dyDescent="0.2">
      <c r="A2059" s="5">
        <f t="shared" si="73"/>
        <v>3</v>
      </c>
      <c r="B2059" s="5">
        <f t="shared" si="74"/>
        <v>2021</v>
      </c>
      <c r="C2059" s="7">
        <v>44266</v>
      </c>
      <c r="D2059" s="8">
        <v>3.9</v>
      </c>
      <c r="E2059" s="8">
        <v>3.89</v>
      </c>
    </row>
    <row r="2060" spans="1:5" x14ac:dyDescent="0.2">
      <c r="A2060" s="5">
        <f t="shared" si="73"/>
        <v>3</v>
      </c>
      <c r="B2060" s="5">
        <f t="shared" si="74"/>
        <v>2021</v>
      </c>
      <c r="C2060" s="7">
        <v>44267</v>
      </c>
      <c r="D2060" s="8">
        <v>4.3099999999999996</v>
      </c>
      <c r="E2060" s="8">
        <v>4.2699999999999996</v>
      </c>
    </row>
    <row r="2061" spans="1:5" x14ac:dyDescent="0.2">
      <c r="A2061" s="5">
        <f t="shared" si="73"/>
        <v>3</v>
      </c>
      <c r="B2061" s="5">
        <f t="shared" si="74"/>
        <v>2021</v>
      </c>
      <c r="C2061" s="7">
        <v>44270</v>
      </c>
      <c r="D2061" s="8">
        <v>4.33</v>
      </c>
      <c r="E2061" s="8">
        <v>4.22</v>
      </c>
    </row>
    <row r="2062" spans="1:5" x14ac:dyDescent="0.2">
      <c r="A2062" s="5">
        <f t="shared" si="73"/>
        <v>3</v>
      </c>
      <c r="B2062" s="5">
        <f t="shared" si="74"/>
        <v>2021</v>
      </c>
      <c r="C2062" s="7">
        <v>44271</v>
      </c>
      <c r="D2062" s="8">
        <v>4.33</v>
      </c>
      <c r="E2062" s="8">
        <v>4.21</v>
      </c>
    </row>
    <row r="2063" spans="1:5" x14ac:dyDescent="0.2">
      <c r="A2063" s="5">
        <f t="shared" si="73"/>
        <v>3</v>
      </c>
      <c r="B2063" s="5">
        <f t="shared" si="74"/>
        <v>2021</v>
      </c>
      <c r="C2063" s="7">
        <v>44272</v>
      </c>
      <c r="D2063" s="8">
        <v>4.33</v>
      </c>
      <c r="E2063" s="8">
        <v>4.18</v>
      </c>
    </row>
    <row r="2064" spans="1:5" x14ac:dyDescent="0.2">
      <c r="A2064" s="5">
        <f t="shared" si="73"/>
        <v>3</v>
      </c>
      <c r="B2064" s="5">
        <f t="shared" si="74"/>
        <v>2021</v>
      </c>
      <c r="C2064" s="7">
        <v>44273</v>
      </c>
      <c r="D2064" s="8">
        <v>4.34</v>
      </c>
      <c r="E2064" s="8">
        <v>4.18</v>
      </c>
    </row>
    <row r="2065" spans="1:5" x14ac:dyDescent="0.2">
      <c r="A2065" s="5">
        <f t="shared" si="73"/>
        <v>3</v>
      </c>
      <c r="B2065" s="5">
        <f t="shared" si="74"/>
        <v>2021</v>
      </c>
      <c r="C2065" s="7">
        <v>44274</v>
      </c>
      <c r="D2065" s="8">
        <v>4.3899999999999997</v>
      </c>
      <c r="E2065" s="8">
        <v>4.17</v>
      </c>
    </row>
    <row r="2066" spans="1:5" x14ac:dyDescent="0.2">
      <c r="A2066" s="5">
        <f t="shared" si="73"/>
        <v>3</v>
      </c>
      <c r="B2066" s="5">
        <f t="shared" si="74"/>
        <v>2021</v>
      </c>
      <c r="C2066" s="7">
        <v>44277</v>
      </c>
      <c r="D2066" s="8">
        <v>4.3899999999999997</v>
      </c>
      <c r="E2066" s="8">
        <v>4.1399999999999997</v>
      </c>
    </row>
    <row r="2067" spans="1:5" x14ac:dyDescent="0.2">
      <c r="A2067" s="5">
        <f t="shared" si="73"/>
        <v>3</v>
      </c>
      <c r="B2067" s="5">
        <f t="shared" si="74"/>
        <v>2021</v>
      </c>
      <c r="C2067" s="7">
        <v>44278</v>
      </c>
      <c r="D2067" s="8">
        <v>4.3899999999999997</v>
      </c>
      <c r="E2067" s="8">
        <v>4.12</v>
      </c>
    </row>
    <row r="2068" spans="1:5" x14ac:dyDescent="0.2">
      <c r="A2068" s="5">
        <f t="shared" si="73"/>
        <v>3</v>
      </c>
      <c r="B2068" s="5">
        <f t="shared" si="74"/>
        <v>2021</v>
      </c>
      <c r="C2068" s="7">
        <v>44279</v>
      </c>
      <c r="D2068" s="8">
        <v>4.3899999999999997</v>
      </c>
      <c r="E2068" s="8">
        <v>4.0999999999999996</v>
      </c>
    </row>
    <row r="2069" spans="1:5" x14ac:dyDescent="0.2">
      <c r="A2069" s="5">
        <f t="shared" si="73"/>
        <v>3</v>
      </c>
      <c r="B2069" s="5">
        <f t="shared" si="74"/>
        <v>2021</v>
      </c>
      <c r="C2069" s="7">
        <v>44280</v>
      </c>
      <c r="D2069" s="8">
        <v>4.3899999999999997</v>
      </c>
      <c r="E2069" s="8">
        <v>4.08</v>
      </c>
    </row>
    <row r="2070" spans="1:5" x14ac:dyDescent="0.2">
      <c r="A2070" s="5">
        <f t="shared" si="73"/>
        <v>3</v>
      </c>
      <c r="B2070" s="5">
        <f t="shared" si="74"/>
        <v>2021</v>
      </c>
      <c r="C2070" s="7">
        <v>44281</v>
      </c>
      <c r="D2070" s="8">
        <v>4.43</v>
      </c>
      <c r="E2070" s="8">
        <v>4.09</v>
      </c>
    </row>
    <row r="2071" spans="1:5" x14ac:dyDescent="0.2">
      <c r="A2071" s="5">
        <f t="shared" si="73"/>
        <v>3</v>
      </c>
      <c r="B2071" s="5">
        <f t="shared" si="74"/>
        <v>2021</v>
      </c>
      <c r="C2071" s="7">
        <v>44284</v>
      </c>
      <c r="D2071" s="8">
        <v>4.4400000000000004</v>
      </c>
      <c r="E2071" s="8">
        <v>4.04</v>
      </c>
    </row>
    <row r="2072" spans="1:5" x14ac:dyDescent="0.2">
      <c r="A2072" s="5">
        <f t="shared" si="73"/>
        <v>3</v>
      </c>
      <c r="B2072" s="5">
        <f t="shared" si="74"/>
        <v>2021</v>
      </c>
      <c r="C2072" s="7">
        <v>44285</v>
      </c>
      <c r="D2072" s="8">
        <v>4.4400000000000004</v>
      </c>
      <c r="E2072" s="8">
        <v>4.0199999999999996</v>
      </c>
    </row>
    <row r="2073" spans="1:5" x14ac:dyDescent="0.2">
      <c r="A2073" s="5">
        <f t="shared" si="73"/>
        <v>3</v>
      </c>
      <c r="B2073" s="5">
        <f t="shared" si="74"/>
        <v>2021</v>
      </c>
      <c r="C2073" s="7">
        <v>44286</v>
      </c>
      <c r="D2073" s="8">
        <v>4.4447999999999999</v>
      </c>
      <c r="E2073" s="8">
        <v>3.9906000000000001</v>
      </c>
    </row>
    <row r="2074" spans="1:5" x14ac:dyDescent="0.2">
      <c r="A2074" s="5">
        <f t="shared" si="73"/>
        <v>4</v>
      </c>
      <c r="B2074" s="5">
        <f t="shared" si="74"/>
        <v>2021</v>
      </c>
      <c r="C2074" s="7">
        <v>44287</v>
      </c>
      <c r="D2074" s="8">
        <v>4.4447999999999999</v>
      </c>
      <c r="E2074" s="8">
        <v>3.9658000000000002</v>
      </c>
    </row>
    <row r="2075" spans="1:5" x14ac:dyDescent="0.2">
      <c r="A2075" s="5">
        <f t="shared" si="73"/>
        <v>4</v>
      </c>
      <c r="B2075" s="5">
        <f t="shared" si="74"/>
        <v>2021</v>
      </c>
      <c r="C2075" s="7">
        <v>44291</v>
      </c>
      <c r="D2075" s="8">
        <v>4.4560000000000004</v>
      </c>
      <c r="E2075" s="8">
        <v>3.8965999999999998</v>
      </c>
    </row>
    <row r="2076" spans="1:5" x14ac:dyDescent="0.2">
      <c r="A2076" s="5">
        <f t="shared" si="73"/>
        <v>4</v>
      </c>
      <c r="B2076" s="5">
        <f t="shared" si="74"/>
        <v>2021</v>
      </c>
      <c r="C2076" s="7">
        <v>44292</v>
      </c>
      <c r="D2076" s="8">
        <v>4.4564000000000004</v>
      </c>
      <c r="E2076" s="8">
        <v>3.8734999999999999</v>
      </c>
    </row>
    <row r="2077" spans="1:5" x14ac:dyDescent="0.2">
      <c r="A2077" s="5">
        <f t="shared" si="73"/>
        <v>4</v>
      </c>
      <c r="B2077" s="5">
        <f t="shared" si="74"/>
        <v>2021</v>
      </c>
      <c r="C2077" s="7">
        <v>44293</v>
      </c>
      <c r="D2077" s="8">
        <v>4.4763999999999999</v>
      </c>
      <c r="E2077" s="8">
        <v>3.8666999999999998</v>
      </c>
    </row>
    <row r="2078" spans="1:5" x14ac:dyDescent="0.2">
      <c r="A2078" s="5">
        <f t="shared" si="73"/>
        <v>4</v>
      </c>
      <c r="B2078" s="5">
        <f t="shared" si="74"/>
        <v>2021</v>
      </c>
      <c r="C2078" s="7">
        <v>44294</v>
      </c>
      <c r="D2078" s="8">
        <v>4.4866999999999999</v>
      </c>
      <c r="E2078" s="8">
        <v>3.8506</v>
      </c>
    </row>
    <row r="2079" spans="1:5" x14ac:dyDescent="0.2">
      <c r="A2079" s="5">
        <f t="shared" si="73"/>
        <v>4</v>
      </c>
      <c r="B2079" s="5">
        <f t="shared" si="74"/>
        <v>2021</v>
      </c>
      <c r="C2079" s="7">
        <v>44295</v>
      </c>
      <c r="D2079" s="8">
        <v>3.8872</v>
      </c>
      <c r="E2079" s="8">
        <v>3.8868999999999998</v>
      </c>
    </row>
    <row r="2080" spans="1:5" x14ac:dyDescent="0.2">
      <c r="A2080" s="5">
        <f t="shared" si="73"/>
        <v>4</v>
      </c>
      <c r="B2080" s="5">
        <f t="shared" si="74"/>
        <v>2021</v>
      </c>
      <c r="C2080" s="7">
        <v>44298</v>
      </c>
      <c r="D2080" s="8">
        <v>3.9077000000000002</v>
      </c>
      <c r="E2080" s="8">
        <v>3.8868999999999998</v>
      </c>
    </row>
    <row r="2081" spans="1:5" x14ac:dyDescent="0.2">
      <c r="A2081" s="5">
        <f t="shared" si="73"/>
        <v>4</v>
      </c>
      <c r="B2081" s="5">
        <f t="shared" si="74"/>
        <v>2021</v>
      </c>
      <c r="C2081" s="7">
        <v>44299</v>
      </c>
      <c r="D2081" s="8">
        <v>3.9024999999999999</v>
      </c>
      <c r="E2081" s="8">
        <v>3.875</v>
      </c>
    </row>
    <row r="2082" spans="1:5" x14ac:dyDescent="0.2">
      <c r="A2082" s="5">
        <f t="shared" si="73"/>
        <v>4</v>
      </c>
      <c r="B2082" s="5">
        <f t="shared" si="74"/>
        <v>2021</v>
      </c>
      <c r="C2082" s="7">
        <v>44300</v>
      </c>
      <c r="D2082" s="8">
        <v>3.9074</v>
      </c>
      <c r="E2082" s="8">
        <v>3.8702999999999999</v>
      </c>
    </row>
    <row r="2083" spans="1:5" x14ac:dyDescent="0.2">
      <c r="A2083" s="5">
        <f t="shared" si="73"/>
        <v>4</v>
      </c>
      <c r="B2083" s="5">
        <f t="shared" si="74"/>
        <v>2021</v>
      </c>
      <c r="C2083" s="7">
        <v>44301</v>
      </c>
      <c r="D2083" s="8">
        <v>3.9079999999999999</v>
      </c>
      <c r="E2083" s="8">
        <v>3.8727999999999998</v>
      </c>
    </row>
    <row r="2084" spans="1:5" x14ac:dyDescent="0.2">
      <c r="A2084" s="5">
        <f t="shared" si="73"/>
        <v>4</v>
      </c>
      <c r="B2084" s="5">
        <f t="shared" si="74"/>
        <v>2021</v>
      </c>
      <c r="C2084" s="7">
        <v>44302</v>
      </c>
      <c r="D2084" s="8">
        <v>3.9283000000000001</v>
      </c>
      <c r="E2084" s="8">
        <v>3.8923000000000001</v>
      </c>
    </row>
    <row r="2085" spans="1:5" x14ac:dyDescent="0.2">
      <c r="A2085" s="5">
        <f t="shared" si="73"/>
        <v>4</v>
      </c>
      <c r="B2085" s="5">
        <f t="shared" si="74"/>
        <v>2021</v>
      </c>
      <c r="C2085" s="7">
        <v>44305</v>
      </c>
      <c r="D2085" s="8">
        <v>3.9908000000000001</v>
      </c>
      <c r="E2085" s="8">
        <v>3.9291999999999998</v>
      </c>
    </row>
    <row r="2086" spans="1:5" x14ac:dyDescent="0.2">
      <c r="A2086" s="5">
        <f t="shared" si="73"/>
        <v>4</v>
      </c>
      <c r="B2086" s="5">
        <f t="shared" si="74"/>
        <v>2021</v>
      </c>
      <c r="C2086" s="7">
        <v>44306</v>
      </c>
      <c r="D2086" s="8">
        <v>3.9908000000000001</v>
      </c>
      <c r="E2086" s="8">
        <v>3.9256000000000002</v>
      </c>
    </row>
    <row r="2087" spans="1:5" x14ac:dyDescent="0.2">
      <c r="A2087" s="5">
        <f t="shared" si="73"/>
        <v>4</v>
      </c>
      <c r="B2087" s="5">
        <f t="shared" si="74"/>
        <v>2021</v>
      </c>
      <c r="C2087" s="7">
        <v>44308</v>
      </c>
      <c r="D2087" s="8">
        <v>4.0114000000000001</v>
      </c>
      <c r="E2087" s="8">
        <v>3.9466000000000001</v>
      </c>
    </row>
    <row r="2088" spans="1:5" x14ac:dyDescent="0.2">
      <c r="A2088" s="5">
        <f t="shared" si="73"/>
        <v>4</v>
      </c>
      <c r="B2088" s="5">
        <f t="shared" si="74"/>
        <v>2021</v>
      </c>
      <c r="C2088" s="7">
        <v>44309</v>
      </c>
      <c r="D2088" s="8">
        <v>4.0632999999999999</v>
      </c>
      <c r="E2088" s="8">
        <v>4.0141999999999998</v>
      </c>
    </row>
    <row r="2089" spans="1:5" x14ac:dyDescent="0.2">
      <c r="A2089" s="5">
        <f t="shared" si="73"/>
        <v>4</v>
      </c>
      <c r="B2089" s="5">
        <f t="shared" si="74"/>
        <v>2021</v>
      </c>
      <c r="C2089" s="7">
        <v>44312</v>
      </c>
      <c r="D2089" s="8">
        <v>4.0632000000000001</v>
      </c>
      <c r="E2089" s="8">
        <v>4.0069999999999997</v>
      </c>
    </row>
    <row r="2090" spans="1:5" x14ac:dyDescent="0.2">
      <c r="A2090" s="5">
        <f t="shared" si="73"/>
        <v>4</v>
      </c>
      <c r="B2090" s="5">
        <f t="shared" si="74"/>
        <v>2021</v>
      </c>
      <c r="C2090" s="7">
        <v>44313</v>
      </c>
      <c r="D2090" s="8">
        <v>4.0529999999999999</v>
      </c>
      <c r="E2090" s="8">
        <v>4.0082000000000004</v>
      </c>
    </row>
    <row r="2091" spans="1:5" x14ac:dyDescent="0.2">
      <c r="A2091" s="5">
        <f t="shared" si="73"/>
        <v>4</v>
      </c>
      <c r="B2091" s="5">
        <f t="shared" si="74"/>
        <v>2021</v>
      </c>
      <c r="C2091" s="7">
        <v>44314</v>
      </c>
      <c r="D2091" s="8">
        <v>4.0631000000000004</v>
      </c>
      <c r="E2091" s="8">
        <v>4.0011999999999999</v>
      </c>
    </row>
    <row r="2092" spans="1:5" x14ac:dyDescent="0.2">
      <c r="A2092" s="5">
        <f t="shared" si="73"/>
        <v>4</v>
      </c>
      <c r="B2092" s="5">
        <f t="shared" si="74"/>
        <v>2021</v>
      </c>
      <c r="C2092" s="7">
        <v>44315</v>
      </c>
      <c r="D2092" s="8">
        <v>4.0631000000000004</v>
      </c>
      <c r="E2092" s="8">
        <v>4.0103999999999997</v>
      </c>
    </row>
    <row r="2093" spans="1:5" x14ac:dyDescent="0.2">
      <c r="A2093" s="5">
        <f t="shared" si="73"/>
        <v>4</v>
      </c>
      <c r="B2093" s="5">
        <f t="shared" si="74"/>
        <v>2021</v>
      </c>
      <c r="C2093" s="7">
        <v>44316</v>
      </c>
      <c r="D2093" s="8">
        <v>4.0732999999999997</v>
      </c>
      <c r="E2093" s="8">
        <v>4.0380000000000003</v>
      </c>
    </row>
    <row r="2094" spans="1:5" x14ac:dyDescent="0.2">
      <c r="A2094" s="5">
        <f t="shared" si="73"/>
        <v>5</v>
      </c>
      <c r="B2094" s="5">
        <f t="shared" si="74"/>
        <v>2021</v>
      </c>
      <c r="C2094" s="7">
        <v>44319</v>
      </c>
      <c r="D2094" s="8">
        <v>4.0735000000000001</v>
      </c>
      <c r="E2094" s="8">
        <v>4.0387000000000004</v>
      </c>
    </row>
    <row r="2095" spans="1:5" x14ac:dyDescent="0.2">
      <c r="A2095" s="5">
        <f t="shared" si="73"/>
        <v>5</v>
      </c>
      <c r="B2095" s="5">
        <f t="shared" si="74"/>
        <v>2021</v>
      </c>
      <c r="C2095" s="7">
        <v>44320</v>
      </c>
      <c r="D2095" s="8">
        <v>4.0735000000000001</v>
      </c>
      <c r="E2095" s="8">
        <v>4.0366</v>
      </c>
    </row>
    <row r="2096" spans="1:5" x14ac:dyDescent="0.2">
      <c r="A2096" s="5">
        <f t="shared" si="73"/>
        <v>5</v>
      </c>
      <c r="B2096" s="5">
        <f t="shared" si="74"/>
        <v>2021</v>
      </c>
      <c r="C2096" s="7">
        <v>44321</v>
      </c>
      <c r="D2096" s="8">
        <v>4.0734000000000004</v>
      </c>
      <c r="E2096" s="8">
        <v>4.0342000000000002</v>
      </c>
    </row>
    <row r="2097" spans="1:5" x14ac:dyDescent="0.2">
      <c r="A2097" s="5">
        <f t="shared" si="73"/>
        <v>5</v>
      </c>
      <c r="B2097" s="5">
        <f t="shared" si="74"/>
        <v>2021</v>
      </c>
      <c r="C2097" s="7">
        <v>44322</v>
      </c>
      <c r="D2097" s="8">
        <v>4.0732999999999997</v>
      </c>
      <c r="E2097" s="8">
        <v>4.0525000000000002</v>
      </c>
    </row>
    <row r="2098" spans="1:5" x14ac:dyDescent="0.2">
      <c r="A2098" s="5">
        <f t="shared" si="73"/>
        <v>5</v>
      </c>
      <c r="B2098" s="5">
        <f t="shared" si="74"/>
        <v>2021</v>
      </c>
      <c r="C2098" s="7">
        <v>44323</v>
      </c>
      <c r="D2098" s="8">
        <v>4.0735000000000001</v>
      </c>
      <c r="E2098" s="8">
        <v>4.0579000000000001</v>
      </c>
    </row>
    <row r="2099" spans="1:5" x14ac:dyDescent="0.2">
      <c r="A2099" s="5">
        <f t="shared" si="73"/>
        <v>5</v>
      </c>
      <c r="B2099" s="5">
        <f t="shared" si="74"/>
        <v>2021</v>
      </c>
      <c r="C2099" s="7">
        <v>44326</v>
      </c>
      <c r="D2099" s="8">
        <v>4.0735999999999999</v>
      </c>
      <c r="E2099" s="8">
        <v>4.0833000000000004</v>
      </c>
    </row>
    <row r="2100" spans="1:5" x14ac:dyDescent="0.2">
      <c r="A2100" s="5">
        <f t="shared" si="73"/>
        <v>5</v>
      </c>
      <c r="B2100" s="5">
        <f t="shared" si="74"/>
        <v>2021</v>
      </c>
      <c r="C2100" s="7">
        <v>44327</v>
      </c>
      <c r="D2100" s="8">
        <v>4.0937999999999999</v>
      </c>
      <c r="E2100" s="8">
        <v>4.0815999999999999</v>
      </c>
    </row>
    <row r="2101" spans="1:5" x14ac:dyDescent="0.2">
      <c r="A2101" s="5">
        <f t="shared" si="73"/>
        <v>5</v>
      </c>
      <c r="B2101" s="5">
        <f t="shared" si="74"/>
        <v>2021</v>
      </c>
      <c r="C2101" s="7">
        <v>44328</v>
      </c>
      <c r="D2101" s="8">
        <v>4.1772999999999998</v>
      </c>
      <c r="E2101" s="8">
        <v>4.1593999999999998</v>
      </c>
    </row>
    <row r="2102" spans="1:5" x14ac:dyDescent="0.2">
      <c r="A2102" s="5">
        <f t="shared" si="73"/>
        <v>5</v>
      </c>
      <c r="B2102" s="5">
        <f t="shared" si="74"/>
        <v>2021</v>
      </c>
      <c r="C2102" s="7">
        <v>44329</v>
      </c>
      <c r="D2102" s="8">
        <v>4.1668000000000003</v>
      </c>
      <c r="E2102" s="8">
        <v>4.1398999999999999</v>
      </c>
    </row>
    <row r="2103" spans="1:5" x14ac:dyDescent="0.2">
      <c r="A2103" s="5">
        <f t="shared" si="73"/>
        <v>5</v>
      </c>
      <c r="B2103" s="5">
        <f t="shared" si="74"/>
        <v>2021</v>
      </c>
      <c r="C2103" s="7">
        <v>44330</v>
      </c>
      <c r="D2103" s="8">
        <v>4.2221000000000002</v>
      </c>
      <c r="E2103" s="8">
        <v>4.1627999999999998</v>
      </c>
    </row>
    <row r="2104" spans="1:5" x14ac:dyDescent="0.2">
      <c r="A2104" s="5">
        <f t="shared" si="73"/>
        <v>5</v>
      </c>
      <c r="B2104" s="5">
        <f t="shared" si="74"/>
        <v>2021</v>
      </c>
      <c r="C2104" s="7">
        <v>44333</v>
      </c>
      <c r="D2104" s="8">
        <v>4.2221000000000002</v>
      </c>
      <c r="E2104" s="8">
        <v>4.1189999999999998</v>
      </c>
    </row>
    <row r="2105" spans="1:5" x14ac:dyDescent="0.2">
      <c r="A2105" s="5">
        <f t="shared" si="73"/>
        <v>5</v>
      </c>
      <c r="B2105" s="5">
        <f t="shared" si="74"/>
        <v>2021</v>
      </c>
      <c r="C2105" s="7">
        <v>44334</v>
      </c>
      <c r="D2105" s="8">
        <v>4.2229000000000001</v>
      </c>
      <c r="E2105" s="8">
        <v>4.1245000000000003</v>
      </c>
    </row>
    <row r="2106" spans="1:5" x14ac:dyDescent="0.2">
      <c r="A2106" s="5">
        <f t="shared" si="73"/>
        <v>5</v>
      </c>
      <c r="B2106" s="5">
        <f t="shared" si="74"/>
        <v>2021</v>
      </c>
      <c r="C2106" s="7">
        <v>44335</v>
      </c>
      <c r="D2106" s="8">
        <v>4.2229000000000001</v>
      </c>
      <c r="E2106" s="8">
        <v>4.117</v>
      </c>
    </row>
    <row r="2107" spans="1:5" x14ac:dyDescent="0.2">
      <c r="A2107" s="5">
        <f t="shared" si="73"/>
        <v>5</v>
      </c>
      <c r="B2107" s="5">
        <f t="shared" si="74"/>
        <v>2021</v>
      </c>
      <c r="C2107" s="7">
        <v>44336</v>
      </c>
      <c r="D2107" s="8">
        <v>4.2586000000000004</v>
      </c>
      <c r="E2107" s="8">
        <v>4.1353999999999997</v>
      </c>
    </row>
    <row r="2108" spans="1:5" x14ac:dyDescent="0.2">
      <c r="A2108" s="5">
        <f t="shared" si="73"/>
        <v>5</v>
      </c>
      <c r="B2108" s="5">
        <f t="shared" si="74"/>
        <v>2021</v>
      </c>
      <c r="C2108" s="7">
        <v>44337</v>
      </c>
      <c r="D2108" s="8">
        <v>4.2915999999999999</v>
      </c>
      <c r="E2108" s="8">
        <v>4.1718999999999999</v>
      </c>
    </row>
    <row r="2109" spans="1:5" x14ac:dyDescent="0.2">
      <c r="A2109" s="5">
        <f t="shared" si="73"/>
        <v>5</v>
      </c>
      <c r="B2109" s="5">
        <f t="shared" si="74"/>
        <v>2021</v>
      </c>
      <c r="C2109" s="7">
        <v>44340</v>
      </c>
      <c r="D2109" s="8">
        <v>4.3555999999999999</v>
      </c>
      <c r="E2109" s="8">
        <v>4.1708999999999996</v>
      </c>
    </row>
    <row r="2110" spans="1:5" x14ac:dyDescent="0.2">
      <c r="A2110" s="5">
        <f t="shared" si="73"/>
        <v>5</v>
      </c>
      <c r="B2110" s="5">
        <f t="shared" si="74"/>
        <v>2021</v>
      </c>
      <c r="C2110" s="7">
        <v>44341</v>
      </c>
      <c r="D2110" s="8">
        <v>4.3555999999999999</v>
      </c>
      <c r="E2110" s="8">
        <v>4.1566999999999998</v>
      </c>
    </row>
    <row r="2111" spans="1:5" x14ac:dyDescent="0.2">
      <c r="A2111" s="5">
        <f t="shared" si="73"/>
        <v>5</v>
      </c>
      <c r="B2111" s="5">
        <f t="shared" si="74"/>
        <v>2021</v>
      </c>
      <c r="C2111" s="7">
        <v>44342</v>
      </c>
      <c r="D2111" s="8">
        <v>4.3914</v>
      </c>
      <c r="E2111" s="8">
        <v>4.1706000000000003</v>
      </c>
    </row>
    <row r="2112" spans="1:5" x14ac:dyDescent="0.2">
      <c r="A2112" s="5">
        <f t="shared" si="73"/>
        <v>5</v>
      </c>
      <c r="B2112" s="5">
        <f t="shared" si="74"/>
        <v>2021</v>
      </c>
      <c r="C2112" s="7">
        <v>44343</v>
      </c>
      <c r="D2112" s="8">
        <v>4.3914</v>
      </c>
      <c r="E2112" s="8">
        <v>4.1576000000000004</v>
      </c>
    </row>
    <row r="2113" spans="1:5" x14ac:dyDescent="0.2">
      <c r="A2113" s="5">
        <f t="shared" si="73"/>
        <v>5</v>
      </c>
      <c r="B2113" s="5">
        <f t="shared" si="74"/>
        <v>2021</v>
      </c>
      <c r="C2113" s="7">
        <v>44344</v>
      </c>
      <c r="D2113" s="8">
        <v>4.4055</v>
      </c>
      <c r="E2113" s="8">
        <v>4.1609999999999996</v>
      </c>
    </row>
    <row r="2114" spans="1:5" x14ac:dyDescent="0.2">
      <c r="A2114" s="5">
        <f t="shared" si="73"/>
        <v>5</v>
      </c>
      <c r="B2114" s="5">
        <f t="shared" si="74"/>
        <v>2021</v>
      </c>
      <c r="C2114" s="7">
        <v>44347</v>
      </c>
      <c r="D2114" s="8">
        <v>4.4512</v>
      </c>
      <c r="E2114" s="8">
        <v>4.1315999999999997</v>
      </c>
    </row>
    <row r="2115" spans="1:5" x14ac:dyDescent="0.2">
      <c r="A2115" s="5">
        <f t="shared" si="73"/>
        <v>6</v>
      </c>
      <c r="B2115" s="5">
        <f t="shared" si="74"/>
        <v>2021</v>
      </c>
      <c r="C2115" s="7">
        <v>44348</v>
      </c>
      <c r="D2115" s="8">
        <v>4.4671000000000003</v>
      </c>
      <c r="E2115" s="8">
        <v>4.1235999999999997</v>
      </c>
    </row>
    <row r="2116" spans="1:5" x14ac:dyDescent="0.2">
      <c r="A2116" s="5">
        <f t="shared" ref="A2116:A2179" si="75">MONTH(C2116)</f>
        <v>6</v>
      </c>
      <c r="B2116" s="5">
        <f t="shared" ref="B2116:B2179" si="76">YEAR(C2116)</f>
        <v>2021</v>
      </c>
      <c r="C2116" s="7">
        <v>44349</v>
      </c>
      <c r="D2116" s="8">
        <v>4.4939999999999998</v>
      </c>
      <c r="E2116" s="8">
        <v>4.1271000000000004</v>
      </c>
    </row>
    <row r="2117" spans="1:5" x14ac:dyDescent="0.2">
      <c r="A2117" s="5">
        <f t="shared" si="75"/>
        <v>6</v>
      </c>
      <c r="B2117" s="5">
        <f t="shared" si="76"/>
        <v>2021</v>
      </c>
      <c r="C2117" s="7">
        <v>44351</v>
      </c>
      <c r="D2117" s="8">
        <v>4.5301999999999998</v>
      </c>
      <c r="E2117" s="8">
        <v>4.1558000000000002</v>
      </c>
    </row>
    <row r="2118" spans="1:5" x14ac:dyDescent="0.2">
      <c r="A2118" s="5">
        <f t="shared" si="75"/>
        <v>6</v>
      </c>
      <c r="B2118" s="5">
        <f t="shared" si="76"/>
        <v>2021</v>
      </c>
      <c r="C2118" s="7">
        <v>44354</v>
      </c>
      <c r="D2118" s="8">
        <v>4.5393999999999997</v>
      </c>
      <c r="E2118" s="8">
        <v>4.1490999999999998</v>
      </c>
    </row>
    <row r="2119" spans="1:5" x14ac:dyDescent="0.2">
      <c r="A2119" s="5">
        <f t="shared" si="75"/>
        <v>6</v>
      </c>
      <c r="B2119" s="5">
        <f t="shared" si="76"/>
        <v>2021</v>
      </c>
      <c r="C2119" s="7">
        <v>44355</v>
      </c>
      <c r="D2119" s="8">
        <v>4.5406000000000004</v>
      </c>
      <c r="E2119" s="8">
        <v>4.1356999999999999</v>
      </c>
    </row>
    <row r="2120" spans="1:5" x14ac:dyDescent="0.2">
      <c r="A2120" s="5">
        <f t="shared" si="75"/>
        <v>6</v>
      </c>
      <c r="B2120" s="5">
        <f t="shared" si="76"/>
        <v>2021</v>
      </c>
      <c r="C2120" s="7">
        <v>44356</v>
      </c>
      <c r="D2120" s="8">
        <v>4.1463000000000001</v>
      </c>
      <c r="E2120" s="8">
        <v>4.1363000000000003</v>
      </c>
    </row>
    <row r="2121" spans="1:5" x14ac:dyDescent="0.2">
      <c r="A2121" s="5">
        <f t="shared" si="75"/>
        <v>6</v>
      </c>
      <c r="B2121" s="5">
        <f t="shared" si="76"/>
        <v>2021</v>
      </c>
      <c r="C2121" s="7">
        <v>44357</v>
      </c>
      <c r="D2121" s="8">
        <v>4.2084999999999999</v>
      </c>
      <c r="E2121" s="8">
        <v>4.1787999999999998</v>
      </c>
    </row>
    <row r="2122" spans="1:5" x14ac:dyDescent="0.2">
      <c r="A2122" s="5">
        <f t="shared" si="75"/>
        <v>6</v>
      </c>
      <c r="B2122" s="5">
        <f t="shared" si="76"/>
        <v>2021</v>
      </c>
      <c r="C2122" s="7">
        <v>44358</v>
      </c>
      <c r="D2122" s="8">
        <v>4.3395999999999999</v>
      </c>
      <c r="E2122" s="8">
        <v>4.3059000000000003</v>
      </c>
    </row>
    <row r="2123" spans="1:5" x14ac:dyDescent="0.2">
      <c r="A2123" s="5">
        <f t="shared" si="75"/>
        <v>6</v>
      </c>
      <c r="B2123" s="5">
        <f t="shared" si="76"/>
        <v>2021</v>
      </c>
      <c r="C2123" s="7">
        <v>44361</v>
      </c>
      <c r="D2123" s="8">
        <v>4.3483999999999998</v>
      </c>
      <c r="E2123" s="8">
        <v>4.2845000000000004</v>
      </c>
    </row>
    <row r="2124" spans="1:5" x14ac:dyDescent="0.2">
      <c r="A2124" s="5">
        <f t="shared" si="75"/>
        <v>6</v>
      </c>
      <c r="B2124" s="5">
        <f t="shared" si="76"/>
        <v>2021</v>
      </c>
      <c r="C2124" s="7">
        <v>44362</v>
      </c>
      <c r="D2124" s="8">
        <v>4.3483999999999998</v>
      </c>
      <c r="E2124" s="8">
        <v>4.2720000000000002</v>
      </c>
    </row>
    <row r="2125" spans="1:5" x14ac:dyDescent="0.2">
      <c r="A2125" s="5">
        <f t="shared" si="75"/>
        <v>6</v>
      </c>
      <c r="B2125" s="5">
        <f t="shared" si="76"/>
        <v>2021</v>
      </c>
      <c r="C2125" s="7">
        <v>44363</v>
      </c>
      <c r="D2125" s="8">
        <v>4.3483999999999998</v>
      </c>
      <c r="E2125" s="8">
        <v>4.2645999999999997</v>
      </c>
    </row>
    <row r="2126" spans="1:5" x14ac:dyDescent="0.2">
      <c r="A2126" s="5">
        <f t="shared" si="75"/>
        <v>6</v>
      </c>
      <c r="B2126" s="5">
        <f t="shared" si="76"/>
        <v>2021</v>
      </c>
      <c r="C2126" s="7">
        <v>44364</v>
      </c>
      <c r="D2126" s="8">
        <v>4.3640999999999996</v>
      </c>
      <c r="E2126" s="8">
        <v>4.2770000000000001</v>
      </c>
    </row>
    <row r="2127" spans="1:5" x14ac:dyDescent="0.2">
      <c r="A2127" s="5">
        <f t="shared" si="75"/>
        <v>6</v>
      </c>
      <c r="B2127" s="5">
        <f t="shared" si="76"/>
        <v>2021</v>
      </c>
      <c r="C2127" s="7">
        <v>44365</v>
      </c>
      <c r="D2127" s="8">
        <v>4.3925999999999998</v>
      </c>
      <c r="E2127" s="8">
        <v>4.2766999999999999</v>
      </c>
    </row>
    <row r="2128" spans="1:5" x14ac:dyDescent="0.2">
      <c r="A2128" s="5">
        <f t="shared" si="75"/>
        <v>6</v>
      </c>
      <c r="B2128" s="5">
        <f t="shared" si="76"/>
        <v>2021</v>
      </c>
      <c r="C2128" s="7">
        <v>44368</v>
      </c>
      <c r="D2128" s="8">
        <v>4.4268999999999998</v>
      </c>
      <c r="E2128" s="8">
        <v>4.2689000000000004</v>
      </c>
    </row>
    <row r="2129" spans="1:5" x14ac:dyDescent="0.2">
      <c r="A2129" s="5">
        <f t="shared" si="75"/>
        <v>6</v>
      </c>
      <c r="B2129" s="5">
        <f t="shared" si="76"/>
        <v>2021</v>
      </c>
      <c r="C2129" s="7">
        <v>44369</v>
      </c>
      <c r="D2129" s="8">
        <v>4.4268999999999998</v>
      </c>
      <c r="E2129" s="8">
        <v>4.2527999999999997</v>
      </c>
    </row>
    <row r="2130" spans="1:5" x14ac:dyDescent="0.2">
      <c r="A2130" s="5">
        <f t="shared" si="75"/>
        <v>6</v>
      </c>
      <c r="B2130" s="5">
        <f t="shared" si="76"/>
        <v>2021</v>
      </c>
      <c r="C2130" s="7">
        <v>44370</v>
      </c>
      <c r="D2130" s="8">
        <v>4.4278000000000004</v>
      </c>
      <c r="E2130" s="8">
        <v>4.2495000000000003</v>
      </c>
    </row>
    <row r="2131" spans="1:5" x14ac:dyDescent="0.2">
      <c r="A2131" s="5">
        <f t="shared" si="75"/>
        <v>6</v>
      </c>
      <c r="B2131" s="5">
        <f t="shared" si="76"/>
        <v>2021</v>
      </c>
      <c r="C2131" s="7">
        <v>44371</v>
      </c>
      <c r="D2131" s="8">
        <v>4.4420000000000002</v>
      </c>
      <c r="E2131" s="8">
        <v>4.2557999999999998</v>
      </c>
    </row>
    <row r="2132" spans="1:5" x14ac:dyDescent="0.2">
      <c r="A2132" s="5">
        <f t="shared" si="75"/>
        <v>6</v>
      </c>
      <c r="B2132" s="5">
        <f t="shared" si="76"/>
        <v>2021</v>
      </c>
      <c r="C2132" s="7">
        <v>44372</v>
      </c>
      <c r="D2132" s="8">
        <v>4.4581</v>
      </c>
      <c r="E2132" s="8">
        <v>4.2563000000000004</v>
      </c>
    </row>
    <row r="2133" spans="1:5" x14ac:dyDescent="0.2">
      <c r="A2133" s="5">
        <f t="shared" si="75"/>
        <v>6</v>
      </c>
      <c r="B2133" s="5">
        <f t="shared" si="76"/>
        <v>2021</v>
      </c>
      <c r="C2133" s="7">
        <v>44375</v>
      </c>
      <c r="D2133" s="8">
        <v>4.4782999999999999</v>
      </c>
      <c r="E2133" s="8">
        <v>4.2300000000000004</v>
      </c>
    </row>
    <row r="2134" spans="1:5" x14ac:dyDescent="0.2">
      <c r="A2134" s="5">
        <f t="shared" si="75"/>
        <v>6</v>
      </c>
      <c r="B2134" s="5">
        <f t="shared" si="76"/>
        <v>2021</v>
      </c>
      <c r="C2134" s="7">
        <v>44376</v>
      </c>
      <c r="D2134" s="8">
        <v>4.4833999999999996</v>
      </c>
      <c r="E2134" s="8">
        <v>4.2163000000000004</v>
      </c>
    </row>
    <row r="2135" spans="1:5" x14ac:dyDescent="0.2">
      <c r="A2135" s="5">
        <f t="shared" si="75"/>
        <v>6</v>
      </c>
      <c r="B2135" s="5">
        <f t="shared" si="76"/>
        <v>2021</v>
      </c>
      <c r="C2135" s="7">
        <v>44377</v>
      </c>
      <c r="D2135" s="8">
        <v>4.4732000000000003</v>
      </c>
      <c r="E2135" s="8">
        <v>4.2031999999999998</v>
      </c>
    </row>
    <row r="2136" spans="1:5" x14ac:dyDescent="0.2">
      <c r="A2136" s="5">
        <f t="shared" si="75"/>
        <v>7</v>
      </c>
      <c r="B2136" s="5">
        <f t="shared" si="76"/>
        <v>2021</v>
      </c>
      <c r="C2136" s="7">
        <v>44378</v>
      </c>
      <c r="D2136" s="8">
        <v>4.4889000000000001</v>
      </c>
      <c r="E2136" s="8">
        <v>4.2011000000000003</v>
      </c>
    </row>
    <row r="2137" spans="1:5" x14ac:dyDescent="0.2">
      <c r="A2137" s="5">
        <f t="shared" si="75"/>
        <v>7</v>
      </c>
      <c r="B2137" s="5">
        <f t="shared" si="76"/>
        <v>2021</v>
      </c>
      <c r="C2137" s="7">
        <v>44379</v>
      </c>
      <c r="D2137" s="8">
        <v>4.5174000000000003</v>
      </c>
      <c r="E2137" s="8">
        <v>4.2380000000000004</v>
      </c>
    </row>
    <row r="2138" spans="1:5" x14ac:dyDescent="0.2">
      <c r="A2138" s="5">
        <f t="shared" si="75"/>
        <v>7</v>
      </c>
      <c r="B2138" s="5">
        <f t="shared" si="76"/>
        <v>2021</v>
      </c>
      <c r="C2138" s="7">
        <v>44382</v>
      </c>
      <c r="D2138" s="8">
        <v>4.5754999999999999</v>
      </c>
      <c r="E2138" s="8">
        <v>4.2195</v>
      </c>
    </row>
    <row r="2139" spans="1:5" x14ac:dyDescent="0.2">
      <c r="A2139" s="5">
        <f t="shared" si="75"/>
        <v>7</v>
      </c>
      <c r="B2139" s="5">
        <f t="shared" si="76"/>
        <v>2021</v>
      </c>
      <c r="C2139" s="7">
        <v>44383</v>
      </c>
      <c r="D2139" s="8">
        <v>4.5925000000000002</v>
      </c>
      <c r="E2139" s="8">
        <v>4.2152000000000003</v>
      </c>
    </row>
    <row r="2140" spans="1:5" x14ac:dyDescent="0.2">
      <c r="A2140" s="5">
        <f t="shared" si="75"/>
        <v>7</v>
      </c>
      <c r="B2140" s="5">
        <f t="shared" si="76"/>
        <v>2021</v>
      </c>
      <c r="C2140" s="7">
        <v>44384</v>
      </c>
      <c r="D2140" s="8">
        <v>4.6010999999999997</v>
      </c>
      <c r="E2140" s="8">
        <v>4.2080000000000002</v>
      </c>
    </row>
    <row r="2141" spans="1:5" x14ac:dyDescent="0.2">
      <c r="A2141" s="5">
        <f t="shared" si="75"/>
        <v>7</v>
      </c>
      <c r="B2141" s="5">
        <f t="shared" si="76"/>
        <v>2021</v>
      </c>
      <c r="C2141" s="7">
        <v>44385</v>
      </c>
      <c r="D2141" s="8">
        <v>4.3148</v>
      </c>
      <c r="E2141" s="8">
        <v>4.3033000000000001</v>
      </c>
    </row>
    <row r="2142" spans="1:5" x14ac:dyDescent="0.2">
      <c r="A2142" s="5">
        <f t="shared" si="75"/>
        <v>7</v>
      </c>
      <c r="B2142" s="5">
        <f t="shared" si="76"/>
        <v>2021</v>
      </c>
      <c r="C2142" s="7">
        <v>44386</v>
      </c>
      <c r="D2142" s="8">
        <v>4.3299000000000003</v>
      </c>
      <c r="E2142" s="8">
        <v>4.3075000000000001</v>
      </c>
    </row>
    <row r="2143" spans="1:5" x14ac:dyDescent="0.2">
      <c r="A2143" s="5">
        <f t="shared" si="75"/>
        <v>7</v>
      </c>
      <c r="B2143" s="5">
        <f t="shared" si="76"/>
        <v>2021</v>
      </c>
      <c r="C2143" s="7">
        <v>44389</v>
      </c>
      <c r="D2143" s="8">
        <v>4.3403999999999998</v>
      </c>
      <c r="E2143" s="8">
        <v>4.2877999999999998</v>
      </c>
    </row>
    <row r="2144" spans="1:5" x14ac:dyDescent="0.2">
      <c r="A2144" s="5">
        <f t="shared" si="75"/>
        <v>7</v>
      </c>
      <c r="B2144" s="5">
        <f t="shared" si="76"/>
        <v>2021</v>
      </c>
      <c r="C2144" s="7">
        <v>44390</v>
      </c>
      <c r="D2144" s="8">
        <v>4.3414999999999999</v>
      </c>
      <c r="E2144" s="8">
        <v>4.2778999999999998</v>
      </c>
    </row>
    <row r="2145" spans="1:5" x14ac:dyDescent="0.2">
      <c r="A2145" s="5">
        <f t="shared" si="75"/>
        <v>7</v>
      </c>
      <c r="B2145" s="5">
        <f t="shared" si="76"/>
        <v>2021</v>
      </c>
      <c r="C2145" s="7">
        <v>44391</v>
      </c>
      <c r="D2145" s="8">
        <v>4.3464</v>
      </c>
      <c r="E2145" s="8">
        <v>4.2714999999999996</v>
      </c>
    </row>
    <row r="2146" spans="1:5" x14ac:dyDescent="0.2">
      <c r="A2146" s="5">
        <f t="shared" si="75"/>
        <v>7</v>
      </c>
      <c r="B2146" s="5">
        <f t="shared" si="76"/>
        <v>2021</v>
      </c>
      <c r="C2146" s="7">
        <v>44392</v>
      </c>
      <c r="D2146" s="8">
        <v>4.3502000000000001</v>
      </c>
      <c r="E2146" s="8">
        <v>4.2598000000000003</v>
      </c>
    </row>
    <row r="2147" spans="1:5" x14ac:dyDescent="0.2">
      <c r="A2147" s="5">
        <f t="shared" si="75"/>
        <v>7</v>
      </c>
      <c r="B2147" s="5">
        <f t="shared" si="76"/>
        <v>2021</v>
      </c>
      <c r="C2147" s="7">
        <v>44393</v>
      </c>
      <c r="D2147" s="8">
        <v>4.3624999999999998</v>
      </c>
      <c r="E2147" s="8">
        <v>4.2702</v>
      </c>
    </row>
    <row r="2148" spans="1:5" x14ac:dyDescent="0.2">
      <c r="A2148" s="5">
        <f t="shared" si="75"/>
        <v>7</v>
      </c>
      <c r="B2148" s="5">
        <f t="shared" si="76"/>
        <v>2021</v>
      </c>
      <c r="C2148" s="7">
        <v>44396</v>
      </c>
      <c r="D2148" s="8">
        <v>4.4002999999999997</v>
      </c>
      <c r="E2148" s="8">
        <v>4.2629999999999999</v>
      </c>
    </row>
    <row r="2149" spans="1:5" x14ac:dyDescent="0.2">
      <c r="A2149" s="5">
        <f t="shared" si="75"/>
        <v>7</v>
      </c>
      <c r="B2149" s="5">
        <f t="shared" si="76"/>
        <v>2021</v>
      </c>
      <c r="C2149" s="7">
        <v>44397</v>
      </c>
      <c r="D2149" s="8">
        <v>4.4002999999999997</v>
      </c>
      <c r="E2149" s="8">
        <v>4.2465999999999999</v>
      </c>
    </row>
    <row r="2150" spans="1:5" x14ac:dyDescent="0.2">
      <c r="A2150" s="5">
        <f t="shared" si="75"/>
        <v>7</v>
      </c>
      <c r="B2150" s="5">
        <f t="shared" si="76"/>
        <v>2021</v>
      </c>
      <c r="C2150" s="7">
        <v>44398</v>
      </c>
      <c r="D2150" s="8">
        <v>4.4363999999999999</v>
      </c>
      <c r="E2150" s="8">
        <v>4.2351000000000001</v>
      </c>
    </row>
    <row r="2151" spans="1:5" x14ac:dyDescent="0.2">
      <c r="A2151" s="5">
        <f t="shared" si="75"/>
        <v>7</v>
      </c>
      <c r="B2151" s="5">
        <f t="shared" si="76"/>
        <v>2021</v>
      </c>
      <c r="C2151" s="7">
        <v>44399</v>
      </c>
      <c r="D2151" s="8">
        <v>4.4375</v>
      </c>
      <c r="E2151" s="8">
        <v>4.2203999999999997</v>
      </c>
    </row>
    <row r="2152" spans="1:5" x14ac:dyDescent="0.2">
      <c r="A2152" s="5">
        <f t="shared" si="75"/>
        <v>7</v>
      </c>
      <c r="B2152" s="5">
        <f t="shared" si="76"/>
        <v>2021</v>
      </c>
      <c r="C2152" s="7">
        <v>44400</v>
      </c>
      <c r="D2152" s="8">
        <v>4.7008000000000001</v>
      </c>
      <c r="E2152" s="8">
        <v>4.4352</v>
      </c>
    </row>
    <row r="2153" spans="1:5" x14ac:dyDescent="0.2">
      <c r="A2153" s="5">
        <f t="shared" si="75"/>
        <v>7</v>
      </c>
      <c r="B2153" s="5">
        <f t="shared" si="76"/>
        <v>2021</v>
      </c>
      <c r="C2153" s="7">
        <v>44403</v>
      </c>
      <c r="D2153" s="8">
        <v>4.7807000000000004</v>
      </c>
      <c r="E2153" s="8">
        <v>4.4147999999999996</v>
      </c>
    </row>
    <row r="2154" spans="1:5" x14ac:dyDescent="0.2">
      <c r="A2154" s="5">
        <f t="shared" si="75"/>
        <v>7</v>
      </c>
      <c r="B2154" s="5">
        <f t="shared" si="76"/>
        <v>2021</v>
      </c>
      <c r="C2154" s="7">
        <v>44404</v>
      </c>
      <c r="D2154" s="8">
        <v>4.7807000000000004</v>
      </c>
      <c r="E2154" s="8">
        <v>4.3897000000000004</v>
      </c>
    </row>
    <row r="2155" spans="1:5" x14ac:dyDescent="0.2">
      <c r="A2155" s="5">
        <f t="shared" si="75"/>
        <v>7</v>
      </c>
      <c r="B2155" s="5">
        <f t="shared" si="76"/>
        <v>2021</v>
      </c>
      <c r="C2155" s="7">
        <v>44405</v>
      </c>
      <c r="D2155" s="8">
        <v>4.806</v>
      </c>
      <c r="E2155" s="8">
        <v>4.4413</v>
      </c>
    </row>
    <row r="2156" spans="1:5" x14ac:dyDescent="0.2">
      <c r="A2156" s="5">
        <f t="shared" si="75"/>
        <v>7</v>
      </c>
      <c r="B2156" s="5">
        <f t="shared" si="76"/>
        <v>2021</v>
      </c>
      <c r="C2156" s="7">
        <v>44406</v>
      </c>
      <c r="D2156" s="8">
        <v>4.8414000000000001</v>
      </c>
      <c r="E2156" s="8">
        <v>4.4279000000000002</v>
      </c>
    </row>
    <row r="2157" spans="1:5" x14ac:dyDescent="0.2">
      <c r="A2157" s="5">
        <f t="shared" si="75"/>
        <v>7</v>
      </c>
      <c r="B2157" s="5">
        <f t="shared" si="76"/>
        <v>2021</v>
      </c>
      <c r="C2157" s="7">
        <v>44407</v>
      </c>
      <c r="D2157" s="8">
        <v>4.8838999999999997</v>
      </c>
      <c r="E2157" s="8">
        <v>4.4720000000000004</v>
      </c>
    </row>
    <row r="2158" spans="1:5" x14ac:dyDescent="0.2">
      <c r="A2158" s="5">
        <f t="shared" si="75"/>
        <v>8</v>
      </c>
      <c r="B2158" s="5">
        <f t="shared" si="76"/>
        <v>2021</v>
      </c>
      <c r="C2158" s="7">
        <v>44410</v>
      </c>
      <c r="D2158" s="8">
        <v>4.9028</v>
      </c>
      <c r="E2158" s="8">
        <v>4.4295</v>
      </c>
    </row>
    <row r="2159" spans="1:5" x14ac:dyDescent="0.2">
      <c r="A2159" s="5">
        <f t="shared" si="75"/>
        <v>8</v>
      </c>
      <c r="B2159" s="5">
        <f t="shared" si="76"/>
        <v>2021</v>
      </c>
      <c r="C2159" s="7">
        <v>44411</v>
      </c>
      <c r="D2159" s="8">
        <v>4.9028</v>
      </c>
      <c r="E2159" s="8">
        <v>4.4157000000000002</v>
      </c>
    </row>
    <row r="2160" spans="1:5" x14ac:dyDescent="0.2">
      <c r="A2160" s="5">
        <f t="shared" si="75"/>
        <v>8</v>
      </c>
      <c r="B2160" s="5">
        <f t="shared" si="76"/>
        <v>2021</v>
      </c>
      <c r="C2160" s="7">
        <v>44412</v>
      </c>
      <c r="D2160" s="8">
        <v>4.9255000000000004</v>
      </c>
      <c r="E2160" s="8">
        <v>4.4085999999999999</v>
      </c>
    </row>
    <row r="2161" spans="1:5" x14ac:dyDescent="0.2">
      <c r="A2161" s="5">
        <f t="shared" si="75"/>
        <v>8</v>
      </c>
      <c r="B2161" s="5">
        <f t="shared" si="76"/>
        <v>2021</v>
      </c>
      <c r="C2161" s="7">
        <v>44413</v>
      </c>
      <c r="D2161" s="8">
        <v>4.9255000000000004</v>
      </c>
      <c r="E2161" s="8">
        <v>4.3956999999999997</v>
      </c>
    </row>
    <row r="2162" spans="1:5" x14ac:dyDescent="0.2">
      <c r="A2162" s="5">
        <f t="shared" si="75"/>
        <v>8</v>
      </c>
      <c r="B2162" s="5">
        <f t="shared" si="76"/>
        <v>2021</v>
      </c>
      <c r="C2162" s="7">
        <v>44414</v>
      </c>
      <c r="D2162" s="8">
        <v>4.9358000000000004</v>
      </c>
      <c r="E2162" s="8">
        <v>4.3827999999999996</v>
      </c>
    </row>
    <row r="2163" spans="1:5" x14ac:dyDescent="0.2">
      <c r="A2163" s="5">
        <f t="shared" si="75"/>
        <v>8</v>
      </c>
      <c r="B2163" s="5">
        <f t="shared" si="76"/>
        <v>2021</v>
      </c>
      <c r="C2163" s="7">
        <v>44417</v>
      </c>
      <c r="D2163" s="8">
        <v>4.9615999999999998</v>
      </c>
      <c r="E2163" s="8">
        <v>4.3438999999999997</v>
      </c>
    </row>
    <row r="2164" spans="1:5" x14ac:dyDescent="0.2">
      <c r="A2164" s="5">
        <f t="shared" si="75"/>
        <v>8</v>
      </c>
      <c r="B2164" s="5">
        <f t="shared" si="76"/>
        <v>2021</v>
      </c>
      <c r="C2164" s="7">
        <v>44418</v>
      </c>
      <c r="D2164" s="8">
        <v>4.3438999999999997</v>
      </c>
      <c r="E2164" s="8">
        <v>4.3422000000000001</v>
      </c>
    </row>
    <row r="2165" spans="1:5" x14ac:dyDescent="0.2">
      <c r="A2165" s="5">
        <f t="shared" si="75"/>
        <v>8</v>
      </c>
      <c r="B2165" s="5">
        <f t="shared" si="76"/>
        <v>2021</v>
      </c>
      <c r="C2165" s="7">
        <v>44419</v>
      </c>
      <c r="D2165" s="8">
        <v>4.3787000000000003</v>
      </c>
      <c r="E2165" s="8">
        <v>4.3619000000000003</v>
      </c>
    </row>
    <row r="2166" spans="1:5" x14ac:dyDescent="0.2">
      <c r="A2166" s="5">
        <f t="shared" si="75"/>
        <v>8</v>
      </c>
      <c r="B2166" s="5">
        <f t="shared" si="76"/>
        <v>2021</v>
      </c>
      <c r="C2166" s="7">
        <v>44420</v>
      </c>
      <c r="D2166" s="8">
        <v>4.3840000000000003</v>
      </c>
      <c r="E2166" s="8">
        <v>4.3617999999999997</v>
      </c>
    </row>
    <row r="2167" spans="1:5" x14ac:dyDescent="0.2">
      <c r="A2167" s="5">
        <f t="shared" si="75"/>
        <v>8</v>
      </c>
      <c r="B2167" s="5">
        <f t="shared" si="76"/>
        <v>2021</v>
      </c>
      <c r="C2167" s="7">
        <v>44421</v>
      </c>
      <c r="D2167" s="8">
        <v>4.4467999999999996</v>
      </c>
      <c r="E2167" s="8">
        <v>4.4120999999999997</v>
      </c>
    </row>
    <row r="2168" spans="1:5" x14ac:dyDescent="0.2">
      <c r="A2168" s="5">
        <f t="shared" si="75"/>
        <v>8</v>
      </c>
      <c r="B2168" s="5">
        <f t="shared" si="76"/>
        <v>2021</v>
      </c>
      <c r="C2168" s="7">
        <v>44424</v>
      </c>
      <c r="D2168" s="8">
        <v>4.4684999999999997</v>
      </c>
      <c r="E2168" s="8">
        <v>4.3909000000000002</v>
      </c>
    </row>
    <row r="2169" spans="1:5" x14ac:dyDescent="0.2">
      <c r="A2169" s="5">
        <f t="shared" si="75"/>
        <v>8</v>
      </c>
      <c r="B2169" s="5">
        <f t="shared" si="76"/>
        <v>2021</v>
      </c>
      <c r="C2169" s="7">
        <v>44425</v>
      </c>
      <c r="D2169" s="8">
        <v>4.4684999999999997</v>
      </c>
      <c r="E2169" s="8">
        <v>4.3775000000000004</v>
      </c>
    </row>
    <row r="2170" spans="1:5" x14ac:dyDescent="0.2">
      <c r="A2170" s="5">
        <f t="shared" si="75"/>
        <v>8</v>
      </c>
      <c r="B2170" s="5">
        <f t="shared" si="76"/>
        <v>2021</v>
      </c>
      <c r="C2170" s="7">
        <v>44426</v>
      </c>
      <c r="D2170" s="8">
        <v>4.4790000000000001</v>
      </c>
      <c r="E2170" s="8">
        <v>4.3674999999999997</v>
      </c>
    </row>
    <row r="2171" spans="1:5" x14ac:dyDescent="0.2">
      <c r="A2171" s="5">
        <f t="shared" si="75"/>
        <v>8</v>
      </c>
      <c r="B2171" s="5">
        <f t="shared" si="76"/>
        <v>2021</v>
      </c>
      <c r="C2171" s="7">
        <v>44427</v>
      </c>
      <c r="D2171" s="8">
        <v>4.4989999999999997</v>
      </c>
      <c r="E2171" s="8">
        <v>4.3779000000000003</v>
      </c>
    </row>
    <row r="2172" spans="1:5" x14ac:dyDescent="0.2">
      <c r="A2172" s="5">
        <f t="shared" si="75"/>
        <v>8</v>
      </c>
      <c r="B2172" s="5">
        <f t="shared" si="76"/>
        <v>2021</v>
      </c>
      <c r="C2172" s="7">
        <v>44428</v>
      </c>
      <c r="D2172" s="8">
        <v>4.5465</v>
      </c>
      <c r="E2172" s="8">
        <v>4.3895999999999997</v>
      </c>
    </row>
    <row r="2173" spans="1:5" x14ac:dyDescent="0.2">
      <c r="A2173" s="5">
        <f t="shared" si="75"/>
        <v>8</v>
      </c>
      <c r="B2173" s="5">
        <f t="shared" si="76"/>
        <v>2021</v>
      </c>
      <c r="C2173" s="7">
        <v>44431</v>
      </c>
      <c r="D2173" s="8">
        <v>4.5513000000000003</v>
      </c>
      <c r="E2173" s="8">
        <v>4.3696000000000002</v>
      </c>
    </row>
    <row r="2174" spans="1:5" x14ac:dyDescent="0.2">
      <c r="A2174" s="5">
        <f t="shared" si="75"/>
        <v>8</v>
      </c>
      <c r="B2174" s="5">
        <f t="shared" si="76"/>
        <v>2021</v>
      </c>
      <c r="C2174" s="7">
        <v>44432</v>
      </c>
      <c r="D2174" s="8">
        <v>4.5667</v>
      </c>
      <c r="E2174" s="8">
        <v>4.3796999999999997</v>
      </c>
    </row>
    <row r="2175" spans="1:5" x14ac:dyDescent="0.2">
      <c r="A2175" s="5">
        <f t="shared" si="75"/>
        <v>8</v>
      </c>
      <c r="B2175" s="5">
        <f t="shared" si="76"/>
        <v>2021</v>
      </c>
      <c r="C2175" s="7">
        <v>44433</v>
      </c>
      <c r="D2175" s="8">
        <v>4.6071999999999997</v>
      </c>
      <c r="E2175" s="8">
        <v>4.4020000000000001</v>
      </c>
    </row>
    <row r="2176" spans="1:5" x14ac:dyDescent="0.2">
      <c r="A2176" s="5">
        <f t="shared" si="75"/>
        <v>8</v>
      </c>
      <c r="B2176" s="5">
        <f t="shared" si="76"/>
        <v>2021</v>
      </c>
      <c r="C2176" s="7">
        <v>44434</v>
      </c>
      <c r="D2176" s="8">
        <v>4.6605999999999996</v>
      </c>
      <c r="E2176" s="8">
        <v>4.4169999999999998</v>
      </c>
    </row>
    <row r="2177" spans="1:5" x14ac:dyDescent="0.2">
      <c r="A2177" s="5">
        <f t="shared" si="75"/>
        <v>8</v>
      </c>
      <c r="B2177" s="5">
        <f t="shared" si="76"/>
        <v>2021</v>
      </c>
      <c r="C2177" s="7">
        <v>44435</v>
      </c>
      <c r="D2177" s="8">
        <v>4.7487000000000004</v>
      </c>
      <c r="E2177" s="8">
        <v>4.5247000000000002</v>
      </c>
    </row>
    <row r="2178" spans="1:5" x14ac:dyDescent="0.2">
      <c r="A2178" s="5">
        <f t="shared" si="75"/>
        <v>8</v>
      </c>
      <c r="B2178" s="5">
        <f t="shared" si="76"/>
        <v>2021</v>
      </c>
      <c r="C2178" s="7">
        <v>44438</v>
      </c>
      <c r="D2178" s="8">
        <v>4.8174999999999999</v>
      </c>
      <c r="E2178" s="8">
        <v>4.5357000000000003</v>
      </c>
    </row>
    <row r="2179" spans="1:5" x14ac:dyDescent="0.2">
      <c r="A2179" s="5">
        <f t="shared" si="75"/>
        <v>8</v>
      </c>
      <c r="B2179" s="5">
        <f t="shared" si="76"/>
        <v>2021</v>
      </c>
      <c r="C2179" s="7">
        <v>44439</v>
      </c>
      <c r="D2179" s="8">
        <v>4.8124000000000002</v>
      </c>
      <c r="E2179" s="8">
        <v>4.5164</v>
      </c>
    </row>
    <row r="2180" spans="1:5" x14ac:dyDescent="0.2">
      <c r="A2180" s="5">
        <f t="shared" ref="A2180:A2243" si="77">MONTH(C2180)</f>
        <v>9</v>
      </c>
      <c r="B2180" s="5">
        <f t="shared" ref="B2180:B2243" si="78">YEAR(C2180)</f>
        <v>2021</v>
      </c>
      <c r="C2180" s="7">
        <v>44440</v>
      </c>
      <c r="D2180" s="8">
        <v>4.8333000000000004</v>
      </c>
      <c r="E2180" s="8">
        <v>4.5095000000000001</v>
      </c>
    </row>
    <row r="2181" spans="1:5" x14ac:dyDescent="0.2">
      <c r="A2181" s="5">
        <f t="shared" si="77"/>
        <v>9</v>
      </c>
      <c r="B2181" s="5">
        <f t="shared" si="78"/>
        <v>2021</v>
      </c>
      <c r="C2181" s="7">
        <v>44441</v>
      </c>
      <c r="D2181" s="8">
        <v>4.8951000000000002</v>
      </c>
      <c r="E2181" s="8">
        <v>4.5057999999999998</v>
      </c>
    </row>
    <row r="2182" spans="1:5" x14ac:dyDescent="0.2">
      <c r="A2182" s="5">
        <f t="shared" si="77"/>
        <v>9</v>
      </c>
      <c r="B2182" s="5">
        <f t="shared" si="78"/>
        <v>2021</v>
      </c>
      <c r="C2182" s="7">
        <v>44442</v>
      </c>
      <c r="D2182" s="8">
        <v>5.0034999999999998</v>
      </c>
      <c r="E2182" s="8">
        <v>4.5735000000000001</v>
      </c>
    </row>
    <row r="2183" spans="1:5" x14ac:dyDescent="0.2">
      <c r="A2183" s="5">
        <f t="shared" si="77"/>
        <v>9</v>
      </c>
      <c r="B2183" s="5">
        <f t="shared" si="78"/>
        <v>2021</v>
      </c>
      <c r="C2183" s="7">
        <v>44445</v>
      </c>
      <c r="D2183" s="8">
        <v>5.0297999999999998</v>
      </c>
      <c r="E2183" s="8">
        <v>4.5716000000000001</v>
      </c>
    </row>
    <row r="2184" spans="1:5" x14ac:dyDescent="0.2">
      <c r="A2184" s="5">
        <f t="shared" si="77"/>
        <v>9</v>
      </c>
      <c r="B2184" s="5">
        <f t="shared" si="78"/>
        <v>2021</v>
      </c>
      <c r="C2184" s="7">
        <v>44447</v>
      </c>
      <c r="D2184" s="8">
        <v>5.0297999999999998</v>
      </c>
      <c r="E2184" s="8">
        <v>4.5293000000000001</v>
      </c>
    </row>
    <row r="2185" spans="1:5" x14ac:dyDescent="0.2">
      <c r="A2185" s="5">
        <f t="shared" si="77"/>
        <v>9</v>
      </c>
      <c r="B2185" s="5">
        <f t="shared" si="78"/>
        <v>2021</v>
      </c>
      <c r="C2185" s="7">
        <v>44448</v>
      </c>
      <c r="D2185" s="8">
        <v>4.6860999999999997</v>
      </c>
      <c r="E2185" s="8">
        <v>4.6755000000000004</v>
      </c>
    </row>
    <row r="2186" spans="1:5" x14ac:dyDescent="0.2">
      <c r="A2186" s="5">
        <f t="shared" si="77"/>
        <v>9</v>
      </c>
      <c r="B2186" s="5">
        <f t="shared" si="78"/>
        <v>2021</v>
      </c>
      <c r="C2186" s="7">
        <v>44449</v>
      </c>
      <c r="D2186" s="8">
        <v>4.7853000000000003</v>
      </c>
      <c r="E2186" s="8">
        <v>4.7544000000000004</v>
      </c>
    </row>
    <row r="2187" spans="1:5" x14ac:dyDescent="0.2">
      <c r="A2187" s="5">
        <f t="shared" si="77"/>
        <v>9</v>
      </c>
      <c r="B2187" s="5">
        <f t="shared" si="78"/>
        <v>2021</v>
      </c>
      <c r="C2187" s="7">
        <v>44452</v>
      </c>
      <c r="D2187" s="8">
        <v>4.9253</v>
      </c>
      <c r="E2187" s="8">
        <v>4.8018000000000001</v>
      </c>
    </row>
    <row r="2188" spans="1:5" x14ac:dyDescent="0.2">
      <c r="A2188" s="5">
        <f t="shared" si="77"/>
        <v>9</v>
      </c>
      <c r="B2188" s="5">
        <f t="shared" si="78"/>
        <v>2021</v>
      </c>
      <c r="C2188" s="7">
        <v>44453</v>
      </c>
      <c r="D2188" s="8">
        <v>4.9257</v>
      </c>
      <c r="E2188" s="8">
        <v>4.8014000000000001</v>
      </c>
    </row>
    <row r="2189" spans="1:5" x14ac:dyDescent="0.2">
      <c r="A2189" s="5">
        <f t="shared" si="77"/>
        <v>9</v>
      </c>
      <c r="B2189" s="5">
        <f t="shared" si="78"/>
        <v>2021</v>
      </c>
      <c r="C2189" s="7">
        <v>44454</v>
      </c>
      <c r="D2189" s="8">
        <v>4.9573999999999998</v>
      </c>
      <c r="E2189" s="8">
        <v>4.8071999999999999</v>
      </c>
    </row>
    <row r="2190" spans="1:5" x14ac:dyDescent="0.2">
      <c r="A2190" s="5">
        <f t="shared" si="77"/>
        <v>9</v>
      </c>
      <c r="B2190" s="5">
        <f t="shared" si="78"/>
        <v>2021</v>
      </c>
      <c r="C2190" s="7">
        <v>44455</v>
      </c>
      <c r="D2190" s="8">
        <v>4.9951999999999996</v>
      </c>
      <c r="E2190" s="8">
        <v>4.8025000000000002</v>
      </c>
    </row>
    <row r="2191" spans="1:5" x14ac:dyDescent="0.2">
      <c r="A2191" s="5">
        <f t="shared" si="77"/>
        <v>9</v>
      </c>
      <c r="B2191" s="5">
        <f t="shared" si="78"/>
        <v>2021</v>
      </c>
      <c r="C2191" s="7">
        <v>44456</v>
      </c>
      <c r="D2191" s="8">
        <v>5.1242999999999999</v>
      </c>
      <c r="E2191" s="8">
        <v>4.9279999999999999</v>
      </c>
    </row>
    <row r="2192" spans="1:5" x14ac:dyDescent="0.2">
      <c r="A2192" s="5">
        <f t="shared" si="77"/>
        <v>9</v>
      </c>
      <c r="B2192" s="5">
        <f t="shared" si="78"/>
        <v>2021</v>
      </c>
      <c r="C2192" s="7">
        <v>44459</v>
      </c>
      <c r="D2192" s="8">
        <v>5.1840000000000002</v>
      </c>
      <c r="E2192" s="8">
        <v>4.8545999999999996</v>
      </c>
    </row>
    <row r="2193" spans="1:5" x14ac:dyDescent="0.2">
      <c r="A2193" s="5">
        <f t="shared" si="77"/>
        <v>9</v>
      </c>
      <c r="B2193" s="5">
        <f t="shared" si="78"/>
        <v>2021</v>
      </c>
      <c r="C2193" s="7">
        <v>44460</v>
      </c>
      <c r="D2193" s="8">
        <v>5.1851000000000003</v>
      </c>
      <c r="E2193" s="8">
        <v>4.8297999999999996</v>
      </c>
    </row>
    <row r="2194" spans="1:5" x14ac:dyDescent="0.2">
      <c r="A2194" s="5">
        <f t="shared" si="77"/>
        <v>9</v>
      </c>
      <c r="B2194" s="5">
        <f t="shared" si="78"/>
        <v>2021</v>
      </c>
      <c r="C2194" s="7">
        <v>44461</v>
      </c>
      <c r="D2194" s="8">
        <v>5.2072000000000003</v>
      </c>
      <c r="E2194" s="8">
        <v>4.8103999999999996</v>
      </c>
    </row>
    <row r="2195" spans="1:5" x14ac:dyDescent="0.2">
      <c r="A2195" s="5">
        <f t="shared" si="77"/>
        <v>9</v>
      </c>
      <c r="B2195" s="5">
        <f t="shared" si="78"/>
        <v>2021</v>
      </c>
      <c r="C2195" s="7">
        <v>44462</v>
      </c>
      <c r="D2195" s="8">
        <v>5.2127999999999997</v>
      </c>
      <c r="E2195" s="8">
        <v>4.7896999999999998</v>
      </c>
    </row>
    <row r="2196" spans="1:5" x14ac:dyDescent="0.2">
      <c r="A2196" s="5">
        <f t="shared" si="77"/>
        <v>9</v>
      </c>
      <c r="B2196" s="5">
        <f t="shared" si="78"/>
        <v>2021</v>
      </c>
      <c r="C2196" s="7">
        <v>44463</v>
      </c>
      <c r="D2196" s="8">
        <v>5.3121999999999998</v>
      </c>
      <c r="E2196" s="8">
        <v>4.8327</v>
      </c>
    </row>
    <row r="2197" spans="1:5" x14ac:dyDescent="0.2">
      <c r="A2197" s="5">
        <f t="shared" si="77"/>
        <v>9</v>
      </c>
      <c r="B2197" s="5">
        <f t="shared" si="78"/>
        <v>2021</v>
      </c>
      <c r="C2197" s="7">
        <v>44466</v>
      </c>
      <c r="D2197" s="8">
        <v>5.3261000000000003</v>
      </c>
      <c r="E2197" s="8">
        <v>4.7526999999999999</v>
      </c>
    </row>
    <row r="2198" spans="1:5" x14ac:dyDescent="0.2">
      <c r="A2198" s="5">
        <f t="shared" si="77"/>
        <v>9</v>
      </c>
      <c r="B2198" s="5">
        <f t="shared" si="78"/>
        <v>2021</v>
      </c>
      <c r="C2198" s="7">
        <v>44467</v>
      </c>
      <c r="D2198" s="8">
        <v>5.3319999999999999</v>
      </c>
      <c r="E2198" s="8">
        <v>4.7310999999999996</v>
      </c>
    </row>
    <row r="2199" spans="1:5" x14ac:dyDescent="0.2">
      <c r="A2199" s="5">
        <f t="shared" si="77"/>
        <v>9</v>
      </c>
      <c r="B2199" s="5">
        <f t="shared" si="78"/>
        <v>2021</v>
      </c>
      <c r="C2199" s="7">
        <v>44468</v>
      </c>
      <c r="D2199" s="8">
        <v>5.3533999999999997</v>
      </c>
      <c r="E2199" s="8">
        <v>4.7085999999999997</v>
      </c>
    </row>
    <row r="2200" spans="1:5" x14ac:dyDescent="0.2">
      <c r="A2200" s="5">
        <f t="shared" si="77"/>
        <v>9</v>
      </c>
      <c r="B2200" s="5">
        <f t="shared" si="78"/>
        <v>2021</v>
      </c>
      <c r="C2200" s="7">
        <v>44469</v>
      </c>
      <c r="D2200" s="8">
        <v>5.3560999999999996</v>
      </c>
      <c r="E2200" s="8">
        <v>4.6809000000000003</v>
      </c>
    </row>
    <row r="2201" spans="1:5" x14ac:dyDescent="0.2">
      <c r="A2201" s="5">
        <f t="shared" si="77"/>
        <v>10</v>
      </c>
      <c r="B2201" s="5">
        <f t="shared" si="78"/>
        <v>2021</v>
      </c>
      <c r="C2201" s="7">
        <v>44470</v>
      </c>
      <c r="D2201" s="8">
        <v>5.3825000000000003</v>
      </c>
      <c r="E2201" s="8">
        <v>4.7237999999999998</v>
      </c>
    </row>
    <row r="2202" spans="1:5" x14ac:dyDescent="0.2">
      <c r="A2202" s="5">
        <f t="shared" si="77"/>
        <v>10</v>
      </c>
      <c r="B2202" s="5">
        <f t="shared" si="78"/>
        <v>2021</v>
      </c>
      <c r="C2202" s="7">
        <v>44473</v>
      </c>
      <c r="D2202" s="8">
        <v>5.3910999999999998</v>
      </c>
      <c r="E2202" s="8">
        <v>4.6412000000000004</v>
      </c>
    </row>
    <row r="2203" spans="1:5" x14ac:dyDescent="0.2">
      <c r="A2203" s="5">
        <f t="shared" si="77"/>
        <v>10</v>
      </c>
      <c r="B2203" s="5">
        <f t="shared" si="78"/>
        <v>2021</v>
      </c>
      <c r="C2203" s="7">
        <v>44474</v>
      </c>
      <c r="D2203" s="8">
        <v>5.4051999999999998</v>
      </c>
      <c r="E2203" s="8">
        <v>4.6106999999999996</v>
      </c>
    </row>
    <row r="2204" spans="1:5" x14ac:dyDescent="0.2">
      <c r="A2204" s="5">
        <f t="shared" si="77"/>
        <v>10</v>
      </c>
      <c r="B2204" s="5">
        <f t="shared" si="78"/>
        <v>2021</v>
      </c>
      <c r="C2204" s="7">
        <v>44475</v>
      </c>
      <c r="D2204" s="8">
        <v>5.4051</v>
      </c>
      <c r="E2204" s="8">
        <v>4.5755999999999997</v>
      </c>
    </row>
    <row r="2205" spans="1:5" x14ac:dyDescent="0.2">
      <c r="A2205" s="5">
        <f t="shared" si="77"/>
        <v>10</v>
      </c>
      <c r="B2205" s="5">
        <f t="shared" si="78"/>
        <v>2021</v>
      </c>
      <c r="C2205" s="7">
        <v>44476</v>
      </c>
      <c r="D2205" s="8">
        <v>5.4625000000000004</v>
      </c>
      <c r="E2205" s="8">
        <v>4.5494000000000003</v>
      </c>
    </row>
    <row r="2206" spans="1:5" x14ac:dyDescent="0.2">
      <c r="A2206" s="5">
        <f t="shared" si="77"/>
        <v>10</v>
      </c>
      <c r="B2206" s="5">
        <f t="shared" si="78"/>
        <v>2021</v>
      </c>
      <c r="C2206" s="7">
        <v>44477</v>
      </c>
      <c r="D2206" s="8">
        <v>4.5663</v>
      </c>
      <c r="E2206" s="8">
        <v>4.5583999999999998</v>
      </c>
    </row>
    <row r="2207" spans="1:5" x14ac:dyDescent="0.2">
      <c r="A2207" s="5">
        <f t="shared" si="77"/>
        <v>10</v>
      </c>
      <c r="B2207" s="5">
        <f t="shared" si="78"/>
        <v>2021</v>
      </c>
      <c r="C2207" s="7">
        <v>44480</v>
      </c>
      <c r="D2207" s="8">
        <v>4.6025999999999998</v>
      </c>
      <c r="E2207" s="8">
        <v>4.5747999999999998</v>
      </c>
    </row>
    <row r="2208" spans="1:5" x14ac:dyDescent="0.2">
      <c r="A2208" s="5">
        <f t="shared" si="77"/>
        <v>10</v>
      </c>
      <c r="B2208" s="5">
        <f t="shared" si="78"/>
        <v>2021</v>
      </c>
      <c r="C2208" s="7">
        <v>44482</v>
      </c>
      <c r="D2208" s="8">
        <v>4.6033999999999997</v>
      </c>
      <c r="E2208" s="8">
        <v>4.5617000000000001</v>
      </c>
    </row>
    <row r="2209" spans="1:5" x14ac:dyDescent="0.2">
      <c r="A2209" s="5">
        <f t="shared" si="77"/>
        <v>10</v>
      </c>
      <c r="B2209" s="5">
        <f t="shared" si="78"/>
        <v>2021</v>
      </c>
      <c r="C2209" s="7">
        <v>44483</v>
      </c>
      <c r="D2209" s="8">
        <v>4.6033999999999997</v>
      </c>
      <c r="E2209" s="8">
        <v>4.5534999999999997</v>
      </c>
    </row>
    <row r="2210" spans="1:5" x14ac:dyDescent="0.2">
      <c r="A2210" s="5">
        <f t="shared" si="77"/>
        <v>10</v>
      </c>
      <c r="B2210" s="5">
        <f t="shared" si="78"/>
        <v>2021</v>
      </c>
      <c r="C2210" s="7">
        <v>44484</v>
      </c>
      <c r="D2210" s="8">
        <v>4.6071999999999997</v>
      </c>
      <c r="E2210" s="8">
        <v>4.5479000000000003</v>
      </c>
    </row>
    <row r="2211" spans="1:5" x14ac:dyDescent="0.2">
      <c r="A2211" s="5">
        <f t="shared" si="77"/>
        <v>10</v>
      </c>
      <c r="B2211" s="5">
        <f t="shared" si="78"/>
        <v>2021</v>
      </c>
      <c r="C2211" s="7">
        <v>44487</v>
      </c>
      <c r="D2211" s="8">
        <v>4.6954000000000002</v>
      </c>
      <c r="E2211" s="8">
        <v>4.6014999999999997</v>
      </c>
    </row>
    <row r="2212" spans="1:5" x14ac:dyDescent="0.2">
      <c r="A2212" s="5">
        <f t="shared" si="77"/>
        <v>10</v>
      </c>
      <c r="B2212" s="5">
        <f t="shared" si="78"/>
        <v>2021</v>
      </c>
      <c r="C2212" s="7">
        <v>44488</v>
      </c>
      <c r="D2212" s="8">
        <v>4.6967999999999996</v>
      </c>
      <c r="E2212" s="8">
        <v>4.6029999999999998</v>
      </c>
    </row>
    <row r="2213" spans="1:5" x14ac:dyDescent="0.2">
      <c r="A2213" s="5">
        <f t="shared" si="77"/>
        <v>10</v>
      </c>
      <c r="B2213" s="5">
        <f t="shared" si="78"/>
        <v>2021</v>
      </c>
      <c r="C2213" s="7">
        <v>44489</v>
      </c>
      <c r="D2213" s="8">
        <v>4.6965000000000003</v>
      </c>
      <c r="E2213" s="8">
        <v>4.5945999999999998</v>
      </c>
    </row>
    <row r="2214" spans="1:5" x14ac:dyDescent="0.2">
      <c r="A2214" s="5">
        <f t="shared" si="77"/>
        <v>10</v>
      </c>
      <c r="B2214" s="5">
        <f t="shared" si="78"/>
        <v>2021</v>
      </c>
      <c r="C2214" s="7">
        <v>44490</v>
      </c>
      <c r="D2214" s="8">
        <v>4.7484000000000002</v>
      </c>
      <c r="E2214" s="8">
        <v>4.6243999999999996</v>
      </c>
    </row>
    <row r="2215" spans="1:5" x14ac:dyDescent="0.2">
      <c r="A2215" s="5">
        <f t="shared" si="77"/>
        <v>10</v>
      </c>
      <c r="B2215" s="5">
        <f t="shared" si="78"/>
        <v>2021</v>
      </c>
      <c r="C2215" s="7">
        <v>44491</v>
      </c>
      <c r="D2215" s="8">
        <v>5.1341000000000001</v>
      </c>
      <c r="E2215" s="8">
        <v>4.9048999999999996</v>
      </c>
    </row>
    <row r="2216" spans="1:5" x14ac:dyDescent="0.2">
      <c r="A2216" s="5">
        <f t="shared" si="77"/>
        <v>10</v>
      </c>
      <c r="B2216" s="5">
        <f t="shared" si="78"/>
        <v>2021</v>
      </c>
      <c r="C2216" s="7">
        <v>44494</v>
      </c>
      <c r="D2216" s="8">
        <v>5.1913</v>
      </c>
      <c r="E2216" s="8">
        <v>4.9282000000000004</v>
      </c>
    </row>
    <row r="2217" spans="1:5" x14ac:dyDescent="0.2">
      <c r="A2217" s="5">
        <f t="shared" si="77"/>
        <v>10</v>
      </c>
      <c r="B2217" s="5">
        <f t="shared" si="78"/>
        <v>2021</v>
      </c>
      <c r="C2217" s="7">
        <v>44495</v>
      </c>
      <c r="D2217" s="8">
        <v>5.2293000000000003</v>
      </c>
      <c r="E2217" s="8">
        <v>4.9904000000000002</v>
      </c>
    </row>
    <row r="2218" spans="1:5" x14ac:dyDescent="0.2">
      <c r="A2218" s="5">
        <f t="shared" si="77"/>
        <v>10</v>
      </c>
      <c r="B2218" s="5">
        <f t="shared" si="78"/>
        <v>2021</v>
      </c>
      <c r="C2218" s="7">
        <v>44496</v>
      </c>
      <c r="D2218" s="8">
        <v>5.3179999999999996</v>
      </c>
      <c r="E2218" s="8">
        <v>5.0145</v>
      </c>
    </row>
    <row r="2219" spans="1:5" x14ac:dyDescent="0.2">
      <c r="A2219" s="5">
        <f t="shared" si="77"/>
        <v>10</v>
      </c>
      <c r="B2219" s="5">
        <f t="shared" si="78"/>
        <v>2021</v>
      </c>
      <c r="C2219" s="7">
        <v>44497</v>
      </c>
      <c r="D2219" s="8">
        <v>5.3651</v>
      </c>
      <c r="E2219" s="8">
        <v>5.0670000000000002</v>
      </c>
    </row>
    <row r="2220" spans="1:5" x14ac:dyDescent="0.2">
      <c r="A2220" s="5">
        <f t="shared" si="77"/>
        <v>10</v>
      </c>
      <c r="B2220" s="5">
        <f t="shared" si="78"/>
        <v>2021</v>
      </c>
      <c r="C2220" s="7">
        <v>44498</v>
      </c>
      <c r="D2220" s="8">
        <v>5.5423</v>
      </c>
      <c r="E2220" s="8">
        <v>5.1237000000000004</v>
      </c>
    </row>
    <row r="2221" spans="1:5" x14ac:dyDescent="0.2">
      <c r="A2221" s="5">
        <f t="shared" si="77"/>
        <v>11</v>
      </c>
      <c r="B2221" s="5">
        <f t="shared" si="78"/>
        <v>2021</v>
      </c>
      <c r="C2221" s="7">
        <v>44501</v>
      </c>
      <c r="D2221" s="8">
        <v>5.5702999999999996</v>
      </c>
      <c r="E2221" s="8">
        <v>5.0953999999999997</v>
      </c>
    </row>
    <row r="2222" spans="1:5" x14ac:dyDescent="0.2">
      <c r="A2222" s="5">
        <f t="shared" si="77"/>
        <v>11</v>
      </c>
      <c r="B2222" s="5">
        <f t="shared" si="78"/>
        <v>2021</v>
      </c>
      <c r="C2222" s="7">
        <v>44503</v>
      </c>
      <c r="D2222" s="8">
        <v>5.5833000000000004</v>
      </c>
      <c r="E2222" s="8">
        <v>5.0719000000000003</v>
      </c>
    </row>
    <row r="2223" spans="1:5" x14ac:dyDescent="0.2">
      <c r="A2223" s="5">
        <f t="shared" si="77"/>
        <v>11</v>
      </c>
      <c r="B2223" s="5">
        <f t="shared" si="78"/>
        <v>2021</v>
      </c>
      <c r="C2223" s="7">
        <v>44504</v>
      </c>
      <c r="D2223" s="8">
        <v>5.5833000000000004</v>
      </c>
      <c r="E2223" s="8">
        <v>5.0518000000000001</v>
      </c>
    </row>
    <row r="2224" spans="1:5" x14ac:dyDescent="0.2">
      <c r="A2224" s="5">
        <f t="shared" si="77"/>
        <v>11</v>
      </c>
      <c r="B2224" s="5">
        <f t="shared" si="78"/>
        <v>2021</v>
      </c>
      <c r="C2224" s="7">
        <v>44505</v>
      </c>
      <c r="D2224" s="8">
        <v>5.6528999999999998</v>
      </c>
      <c r="E2224" s="8">
        <v>5.1086999999999998</v>
      </c>
    </row>
    <row r="2225" spans="1:5" x14ac:dyDescent="0.2">
      <c r="A2225" s="5">
        <f t="shared" si="77"/>
        <v>11</v>
      </c>
      <c r="B2225" s="5">
        <f t="shared" si="78"/>
        <v>2021</v>
      </c>
      <c r="C2225" s="7">
        <v>44508</v>
      </c>
      <c r="D2225" s="8">
        <v>5.6619000000000002</v>
      </c>
      <c r="E2225" s="8">
        <v>5.0743999999999998</v>
      </c>
    </row>
    <row r="2226" spans="1:5" x14ac:dyDescent="0.2">
      <c r="A2226" s="5">
        <f t="shared" si="77"/>
        <v>11</v>
      </c>
      <c r="B2226" s="5">
        <f t="shared" si="78"/>
        <v>2021</v>
      </c>
      <c r="C2226" s="7">
        <v>44509</v>
      </c>
      <c r="D2226" s="8">
        <v>5.6619000000000002</v>
      </c>
      <c r="E2226" s="8">
        <v>5.0610999999999997</v>
      </c>
    </row>
    <row r="2227" spans="1:5" x14ac:dyDescent="0.2">
      <c r="A2227" s="5">
        <f t="shared" si="77"/>
        <v>11</v>
      </c>
      <c r="B2227" s="5">
        <f t="shared" si="78"/>
        <v>2021</v>
      </c>
      <c r="C2227" s="7">
        <v>44510</v>
      </c>
      <c r="D2227" s="8">
        <v>5.0998999999999999</v>
      </c>
      <c r="E2227" s="8">
        <v>5.0936000000000003</v>
      </c>
    </row>
    <row r="2228" spans="1:5" x14ac:dyDescent="0.2">
      <c r="A2228" s="5">
        <f t="shared" si="77"/>
        <v>11</v>
      </c>
      <c r="B2228" s="5">
        <f t="shared" si="78"/>
        <v>2021</v>
      </c>
      <c r="C2228" s="7">
        <v>44511</v>
      </c>
      <c r="D2228" s="8">
        <v>5.1196000000000002</v>
      </c>
      <c r="E2228" s="8">
        <v>5.0989000000000004</v>
      </c>
    </row>
    <row r="2229" spans="1:5" x14ac:dyDescent="0.2">
      <c r="A2229" s="5">
        <f t="shared" si="77"/>
        <v>11</v>
      </c>
      <c r="B2229" s="5">
        <f t="shared" si="78"/>
        <v>2021</v>
      </c>
      <c r="C2229" s="7">
        <v>44512</v>
      </c>
      <c r="D2229" s="8">
        <v>5.3598999999999997</v>
      </c>
      <c r="E2229" s="8">
        <v>5.3033999999999999</v>
      </c>
    </row>
    <row r="2230" spans="1:5" x14ac:dyDescent="0.2">
      <c r="A2230" s="5">
        <f t="shared" si="77"/>
        <v>11</v>
      </c>
      <c r="B2230" s="5">
        <f t="shared" si="78"/>
        <v>2021</v>
      </c>
      <c r="C2230" s="7">
        <v>44516</v>
      </c>
      <c r="D2230" s="8">
        <v>5.3834</v>
      </c>
      <c r="E2230" s="8">
        <v>5.2911999999999999</v>
      </c>
    </row>
    <row r="2231" spans="1:5" x14ac:dyDescent="0.2">
      <c r="A2231" s="5">
        <f t="shared" si="77"/>
        <v>11</v>
      </c>
      <c r="B2231" s="5">
        <f t="shared" si="78"/>
        <v>2021</v>
      </c>
      <c r="C2231" s="7">
        <v>44517</v>
      </c>
      <c r="D2231" s="8">
        <v>5.4184999999999999</v>
      </c>
      <c r="E2231" s="8">
        <v>5.2858000000000001</v>
      </c>
    </row>
    <row r="2232" spans="1:5" x14ac:dyDescent="0.2">
      <c r="A2232" s="5">
        <f t="shared" si="77"/>
        <v>11</v>
      </c>
      <c r="B2232" s="5">
        <f t="shared" si="78"/>
        <v>2021</v>
      </c>
      <c r="C2232" s="7">
        <v>44518</v>
      </c>
      <c r="D2232" s="8">
        <v>5.5206999999999997</v>
      </c>
      <c r="E2232" s="8">
        <v>5.3227000000000002</v>
      </c>
    </row>
    <row r="2233" spans="1:5" x14ac:dyDescent="0.2">
      <c r="A2233" s="5">
        <f t="shared" si="77"/>
        <v>11</v>
      </c>
      <c r="B2233" s="5">
        <f t="shared" si="78"/>
        <v>2021</v>
      </c>
      <c r="C2233" s="7">
        <v>44519</v>
      </c>
      <c r="D2233" s="8">
        <v>5.7542</v>
      </c>
      <c r="E2233" s="8">
        <v>5.5586000000000002</v>
      </c>
    </row>
    <row r="2234" spans="1:5" x14ac:dyDescent="0.2">
      <c r="A2234" s="5">
        <f t="shared" si="77"/>
        <v>11</v>
      </c>
      <c r="B2234" s="5">
        <f t="shared" si="78"/>
        <v>2021</v>
      </c>
      <c r="C2234" s="7">
        <v>44522</v>
      </c>
      <c r="D2234" s="8">
        <v>5.8056000000000001</v>
      </c>
      <c r="E2234" s="8">
        <v>5.5266999999999999</v>
      </c>
    </row>
    <row r="2235" spans="1:5" x14ac:dyDescent="0.2">
      <c r="A2235" s="5">
        <f t="shared" si="77"/>
        <v>11</v>
      </c>
      <c r="B2235" s="5">
        <f t="shared" si="78"/>
        <v>2021</v>
      </c>
      <c r="C2235" s="7">
        <v>44523</v>
      </c>
      <c r="D2235" s="8">
        <v>5.8464</v>
      </c>
      <c r="E2235" s="8">
        <v>5.5258000000000003</v>
      </c>
    </row>
    <row r="2236" spans="1:5" x14ac:dyDescent="0.2">
      <c r="A2236" s="5">
        <f t="shared" si="77"/>
        <v>11</v>
      </c>
      <c r="B2236" s="5">
        <f t="shared" si="78"/>
        <v>2021</v>
      </c>
      <c r="C2236" s="7">
        <v>44524</v>
      </c>
      <c r="D2236" s="8">
        <v>5.8578999999999999</v>
      </c>
      <c r="E2236" s="8">
        <v>5.5138999999999996</v>
      </c>
    </row>
    <row r="2237" spans="1:5" x14ac:dyDescent="0.2">
      <c r="A2237" s="5">
        <f t="shared" si="77"/>
        <v>11</v>
      </c>
      <c r="B2237" s="5">
        <f t="shared" si="78"/>
        <v>2021</v>
      </c>
      <c r="C2237" s="7">
        <v>44525</v>
      </c>
      <c r="D2237" s="8">
        <v>5.8575999999999997</v>
      </c>
      <c r="E2237" s="8">
        <v>5.4922000000000004</v>
      </c>
    </row>
    <row r="2238" spans="1:5" x14ac:dyDescent="0.2">
      <c r="A2238" s="5">
        <f t="shared" si="77"/>
        <v>11</v>
      </c>
      <c r="B2238" s="5">
        <f t="shared" si="78"/>
        <v>2021</v>
      </c>
      <c r="C2238" s="7">
        <v>44526</v>
      </c>
      <c r="D2238" s="8">
        <v>5.8776000000000002</v>
      </c>
      <c r="E2238" s="8">
        <v>5.4785000000000004</v>
      </c>
    </row>
    <row r="2239" spans="1:5" x14ac:dyDescent="0.2">
      <c r="A2239" s="5">
        <f t="shared" si="77"/>
        <v>11</v>
      </c>
      <c r="B2239" s="5">
        <f t="shared" si="78"/>
        <v>2021</v>
      </c>
      <c r="C2239" s="7">
        <v>44529</v>
      </c>
      <c r="D2239" s="8">
        <v>5.8898000000000001</v>
      </c>
      <c r="E2239" s="8">
        <v>5.4208999999999996</v>
      </c>
    </row>
    <row r="2240" spans="1:5" x14ac:dyDescent="0.2">
      <c r="A2240" s="5">
        <f t="shared" si="77"/>
        <v>11</v>
      </c>
      <c r="B2240" s="5">
        <f t="shared" si="78"/>
        <v>2021</v>
      </c>
      <c r="C2240" s="7">
        <v>44530</v>
      </c>
      <c r="D2240" s="8">
        <v>5.8898000000000001</v>
      </c>
      <c r="E2240" s="8">
        <v>5.4012000000000002</v>
      </c>
    </row>
    <row r="2241" spans="1:5" x14ac:dyDescent="0.2">
      <c r="A2241" s="5">
        <f t="shared" si="77"/>
        <v>12</v>
      </c>
      <c r="B2241" s="5">
        <f t="shared" si="78"/>
        <v>2021</v>
      </c>
      <c r="C2241" s="7">
        <v>44531</v>
      </c>
      <c r="D2241" s="8">
        <v>5.8898000000000001</v>
      </c>
      <c r="E2241" s="8">
        <v>5.3788</v>
      </c>
    </row>
    <row r="2242" spans="1:5" x14ac:dyDescent="0.2">
      <c r="A2242" s="5">
        <f t="shared" si="77"/>
        <v>12</v>
      </c>
      <c r="B2242" s="5">
        <f t="shared" si="78"/>
        <v>2021</v>
      </c>
      <c r="C2242" s="7">
        <v>44532</v>
      </c>
      <c r="D2242" s="8">
        <v>5.9127999999999998</v>
      </c>
      <c r="E2242" s="8">
        <v>5.3688000000000002</v>
      </c>
    </row>
    <row r="2243" spans="1:5" x14ac:dyDescent="0.2">
      <c r="A2243" s="5">
        <f t="shared" si="77"/>
        <v>12</v>
      </c>
      <c r="B2243" s="5">
        <f t="shared" si="78"/>
        <v>2021</v>
      </c>
      <c r="C2243" s="7">
        <v>44533</v>
      </c>
      <c r="D2243" s="8">
        <v>5.9267000000000003</v>
      </c>
      <c r="E2243" s="8">
        <v>5.3578000000000001</v>
      </c>
    </row>
    <row r="2244" spans="1:5" x14ac:dyDescent="0.2">
      <c r="A2244" s="5">
        <f t="shared" ref="A2244:A2307" si="79">MONTH(C2244)</f>
        <v>12</v>
      </c>
      <c r="B2244" s="5">
        <f t="shared" ref="B2244:B2307" si="80">YEAR(C2244)</f>
        <v>2021</v>
      </c>
      <c r="C2244" s="7">
        <v>44536</v>
      </c>
      <c r="D2244" s="8">
        <v>5.9082999999999997</v>
      </c>
      <c r="E2244" s="8">
        <v>5.2964000000000002</v>
      </c>
    </row>
    <row r="2245" spans="1:5" x14ac:dyDescent="0.2">
      <c r="A2245" s="5">
        <f t="shared" si="79"/>
        <v>12</v>
      </c>
      <c r="B2245" s="5">
        <f t="shared" si="80"/>
        <v>2021</v>
      </c>
      <c r="C2245" s="7">
        <v>44537</v>
      </c>
      <c r="D2245" s="8">
        <v>5.8992000000000004</v>
      </c>
      <c r="E2245" s="8">
        <v>5.2717000000000001</v>
      </c>
    </row>
    <row r="2246" spans="1:5" x14ac:dyDescent="0.2">
      <c r="A2246" s="5">
        <f t="shared" si="79"/>
        <v>12</v>
      </c>
      <c r="B2246" s="5">
        <f t="shared" si="80"/>
        <v>2021</v>
      </c>
      <c r="C2246" s="7">
        <v>44538</v>
      </c>
      <c r="D2246" s="8">
        <v>5.9082999999999997</v>
      </c>
      <c r="E2246" s="8">
        <v>5.2595000000000001</v>
      </c>
    </row>
    <row r="2247" spans="1:5" x14ac:dyDescent="0.2">
      <c r="A2247" s="5">
        <f t="shared" si="79"/>
        <v>12</v>
      </c>
      <c r="B2247" s="5">
        <f t="shared" si="80"/>
        <v>2021</v>
      </c>
      <c r="C2247" s="7">
        <v>44539</v>
      </c>
      <c r="D2247" s="8">
        <v>5.9108000000000001</v>
      </c>
      <c r="E2247" s="8">
        <v>5.2389999999999999</v>
      </c>
    </row>
    <row r="2248" spans="1:5" x14ac:dyDescent="0.2">
      <c r="A2248" s="5">
        <f t="shared" si="79"/>
        <v>12</v>
      </c>
      <c r="B2248" s="5">
        <f t="shared" si="80"/>
        <v>2021</v>
      </c>
      <c r="C2248" s="7">
        <v>44540</v>
      </c>
      <c r="D2248" s="8">
        <v>5.2187999999999999</v>
      </c>
      <c r="E2248" s="8">
        <v>5.2140000000000004</v>
      </c>
    </row>
    <row r="2249" spans="1:5" x14ac:dyDescent="0.2">
      <c r="A2249" s="5">
        <f t="shared" si="79"/>
        <v>12</v>
      </c>
      <c r="B2249" s="5">
        <f t="shared" si="80"/>
        <v>2021</v>
      </c>
      <c r="C2249" s="7">
        <v>44543</v>
      </c>
      <c r="D2249" s="8">
        <v>5.2187999999999999</v>
      </c>
      <c r="E2249" s="8">
        <v>5.1952999999999996</v>
      </c>
    </row>
    <row r="2250" spans="1:5" x14ac:dyDescent="0.2">
      <c r="A2250" s="5">
        <f t="shared" si="79"/>
        <v>12</v>
      </c>
      <c r="B2250" s="5">
        <f t="shared" si="80"/>
        <v>2021</v>
      </c>
      <c r="C2250" s="7">
        <v>44544</v>
      </c>
      <c r="D2250" s="8">
        <v>5.2187999999999999</v>
      </c>
      <c r="E2250" s="8">
        <v>5.1894</v>
      </c>
    </row>
    <row r="2251" spans="1:5" x14ac:dyDescent="0.2">
      <c r="A2251" s="5">
        <f t="shared" si="79"/>
        <v>12</v>
      </c>
      <c r="B2251" s="5">
        <f t="shared" si="80"/>
        <v>2021</v>
      </c>
      <c r="C2251" s="7">
        <v>44545</v>
      </c>
      <c r="D2251" s="8">
        <v>5.2187999999999999</v>
      </c>
      <c r="E2251" s="8">
        <v>5.1835000000000004</v>
      </c>
    </row>
    <row r="2252" spans="1:5" x14ac:dyDescent="0.2">
      <c r="A2252" s="5">
        <f t="shared" si="79"/>
        <v>12</v>
      </c>
      <c r="B2252" s="5">
        <f t="shared" si="80"/>
        <v>2021</v>
      </c>
      <c r="C2252" s="7">
        <v>44546</v>
      </c>
      <c r="D2252" s="8">
        <v>5.2187999999999999</v>
      </c>
      <c r="E2252" s="8">
        <v>5.1776999999999997</v>
      </c>
    </row>
    <row r="2253" spans="1:5" x14ac:dyDescent="0.2">
      <c r="A2253" s="5">
        <f t="shared" si="79"/>
        <v>12</v>
      </c>
      <c r="B2253" s="5">
        <f t="shared" si="80"/>
        <v>2021</v>
      </c>
      <c r="C2253" s="7">
        <v>44547</v>
      </c>
      <c r="D2253" s="8">
        <v>5.2263000000000002</v>
      </c>
      <c r="E2253" s="8">
        <v>5.1641000000000004</v>
      </c>
    </row>
    <row r="2254" spans="1:5" x14ac:dyDescent="0.2">
      <c r="A2254" s="5">
        <f t="shared" si="79"/>
        <v>12</v>
      </c>
      <c r="B2254" s="5">
        <f t="shared" si="80"/>
        <v>2021</v>
      </c>
      <c r="C2254" s="7">
        <v>44550</v>
      </c>
      <c r="D2254" s="8">
        <v>5.2187999999999999</v>
      </c>
      <c r="E2254" s="8">
        <v>5.1375000000000002</v>
      </c>
    </row>
    <row r="2255" spans="1:5" x14ac:dyDescent="0.2">
      <c r="A2255" s="5">
        <f t="shared" si="79"/>
        <v>12</v>
      </c>
      <c r="B2255" s="5">
        <f t="shared" si="80"/>
        <v>2021</v>
      </c>
      <c r="C2255" s="7">
        <v>44551</v>
      </c>
      <c r="D2255" s="8">
        <v>5.2088000000000001</v>
      </c>
      <c r="E2255" s="8">
        <v>5.1318000000000001</v>
      </c>
    </row>
    <row r="2256" spans="1:5" x14ac:dyDescent="0.2">
      <c r="A2256" s="5">
        <f t="shared" si="79"/>
        <v>12</v>
      </c>
      <c r="B2256" s="5">
        <f t="shared" si="80"/>
        <v>2021</v>
      </c>
      <c r="C2256" s="7">
        <v>44552</v>
      </c>
      <c r="D2256" s="8">
        <v>5.1879999999999997</v>
      </c>
      <c r="E2256" s="8">
        <v>5.1200999999999999</v>
      </c>
    </row>
    <row r="2257" spans="1:5" x14ac:dyDescent="0.2">
      <c r="A2257" s="5">
        <f t="shared" si="79"/>
        <v>12</v>
      </c>
      <c r="B2257" s="5">
        <f t="shared" si="80"/>
        <v>2021</v>
      </c>
      <c r="C2257" s="7">
        <v>44553</v>
      </c>
      <c r="D2257" s="8">
        <v>5.1986999999999997</v>
      </c>
      <c r="E2257" s="8">
        <v>5.1284000000000001</v>
      </c>
    </row>
    <row r="2258" spans="1:5" x14ac:dyDescent="0.2">
      <c r="A2258" s="5">
        <f t="shared" si="79"/>
        <v>12</v>
      </c>
      <c r="B2258" s="5">
        <f t="shared" si="80"/>
        <v>2021</v>
      </c>
      <c r="C2258" s="7">
        <v>44554</v>
      </c>
      <c r="D2258" s="8">
        <v>5.1879999999999997</v>
      </c>
      <c r="E2258" s="8">
        <v>5.1116000000000001</v>
      </c>
    </row>
    <row r="2259" spans="1:5" x14ac:dyDescent="0.2">
      <c r="A2259" s="5">
        <f t="shared" si="79"/>
        <v>12</v>
      </c>
      <c r="B2259" s="5">
        <f t="shared" si="80"/>
        <v>2021</v>
      </c>
      <c r="C2259" s="7">
        <v>44557</v>
      </c>
      <c r="D2259" s="8">
        <v>5.1717000000000004</v>
      </c>
      <c r="E2259" s="8">
        <v>5.0970000000000004</v>
      </c>
    </row>
    <row r="2260" spans="1:5" x14ac:dyDescent="0.2">
      <c r="A2260" s="5">
        <f t="shared" si="79"/>
        <v>12</v>
      </c>
      <c r="B2260" s="5">
        <f t="shared" si="80"/>
        <v>2021</v>
      </c>
      <c r="C2260" s="7">
        <v>44558</v>
      </c>
      <c r="D2260" s="8">
        <v>5.1717000000000004</v>
      </c>
      <c r="E2260" s="8">
        <v>5.0898000000000003</v>
      </c>
    </row>
    <row r="2261" spans="1:5" x14ac:dyDescent="0.2">
      <c r="A2261" s="5">
        <f t="shared" si="79"/>
        <v>12</v>
      </c>
      <c r="B2261" s="5">
        <f t="shared" si="80"/>
        <v>2021</v>
      </c>
      <c r="C2261" s="7">
        <v>44559</v>
      </c>
      <c r="D2261" s="8">
        <v>5.1767000000000003</v>
      </c>
      <c r="E2261" s="8">
        <v>5.0876000000000001</v>
      </c>
    </row>
    <row r="2262" spans="1:5" x14ac:dyDescent="0.2">
      <c r="A2262" s="5">
        <f t="shared" si="79"/>
        <v>12</v>
      </c>
      <c r="B2262" s="5">
        <f t="shared" si="80"/>
        <v>2021</v>
      </c>
      <c r="C2262" s="7">
        <v>44560</v>
      </c>
      <c r="D2262" s="8">
        <v>5.1767000000000003</v>
      </c>
      <c r="E2262" s="8">
        <v>5.0819999999999999</v>
      </c>
    </row>
    <row r="2263" spans="1:5" x14ac:dyDescent="0.2">
      <c r="A2263" s="5">
        <f t="shared" si="79"/>
        <v>12</v>
      </c>
      <c r="B2263" s="5">
        <f t="shared" si="80"/>
        <v>2021</v>
      </c>
      <c r="C2263" s="7">
        <v>44561</v>
      </c>
      <c r="D2263" s="8">
        <v>5.1767000000000003</v>
      </c>
      <c r="E2263" s="8">
        <v>5.0746000000000002</v>
      </c>
    </row>
    <row r="2264" spans="1:5" x14ac:dyDescent="0.2">
      <c r="A2264" s="5">
        <f t="shared" si="79"/>
        <v>1</v>
      </c>
      <c r="B2264" s="5">
        <f t="shared" si="80"/>
        <v>2022</v>
      </c>
      <c r="C2264" s="7">
        <v>44564</v>
      </c>
      <c r="D2264" s="8">
        <v>5.1771000000000003</v>
      </c>
      <c r="E2264" s="8">
        <v>5.0574000000000003</v>
      </c>
    </row>
    <row r="2265" spans="1:5" x14ac:dyDescent="0.2">
      <c r="A2265" s="5">
        <f t="shared" si="79"/>
        <v>1</v>
      </c>
      <c r="B2265" s="5">
        <f t="shared" si="80"/>
        <v>2022</v>
      </c>
      <c r="C2265" s="7">
        <v>44565</v>
      </c>
      <c r="D2265" s="8">
        <v>5.1776</v>
      </c>
      <c r="E2265" s="8">
        <v>5.0542999999999996</v>
      </c>
    </row>
    <row r="2266" spans="1:5" x14ac:dyDescent="0.2">
      <c r="A2266" s="5">
        <f t="shared" si="79"/>
        <v>1</v>
      </c>
      <c r="B2266" s="5">
        <f t="shared" si="80"/>
        <v>2022</v>
      </c>
      <c r="C2266" s="7">
        <v>44566</v>
      </c>
      <c r="D2266" s="8">
        <v>5.1776</v>
      </c>
      <c r="E2266" s="8">
        <v>5.0488</v>
      </c>
    </row>
    <row r="2267" spans="1:5" x14ac:dyDescent="0.2">
      <c r="A2267" s="5">
        <f t="shared" si="79"/>
        <v>1</v>
      </c>
      <c r="B2267" s="5">
        <f t="shared" si="80"/>
        <v>2022</v>
      </c>
      <c r="C2267" s="7">
        <v>44567</v>
      </c>
      <c r="D2267" s="8">
        <v>5.1772</v>
      </c>
      <c r="E2267" s="8">
        <v>5.0446</v>
      </c>
    </row>
    <row r="2268" spans="1:5" x14ac:dyDescent="0.2">
      <c r="A2268" s="5">
        <f t="shared" si="79"/>
        <v>1</v>
      </c>
      <c r="B2268" s="5">
        <f t="shared" si="80"/>
        <v>2022</v>
      </c>
      <c r="C2268" s="7">
        <v>44568</v>
      </c>
      <c r="D2268" s="8">
        <v>5.1714000000000002</v>
      </c>
      <c r="E2268" s="8">
        <v>5.0423999999999998</v>
      </c>
    </row>
    <row r="2269" spans="1:5" x14ac:dyDescent="0.2">
      <c r="A2269" s="5">
        <f t="shared" si="79"/>
        <v>1</v>
      </c>
      <c r="B2269" s="5">
        <f t="shared" si="80"/>
        <v>2022</v>
      </c>
      <c r="C2269" s="7">
        <v>44571</v>
      </c>
      <c r="D2269" s="8">
        <v>5.1760999999999999</v>
      </c>
      <c r="E2269" s="8">
        <v>5.0315000000000003</v>
      </c>
    </row>
    <row r="2270" spans="1:5" x14ac:dyDescent="0.2">
      <c r="A2270" s="5">
        <f t="shared" si="79"/>
        <v>1</v>
      </c>
      <c r="B2270" s="5">
        <f t="shared" si="80"/>
        <v>2022</v>
      </c>
      <c r="C2270" s="7">
        <v>44572</v>
      </c>
      <c r="D2270" s="8">
        <v>5.0499000000000001</v>
      </c>
      <c r="E2270" s="8">
        <v>5.0084</v>
      </c>
    </row>
    <row r="2271" spans="1:5" x14ac:dyDescent="0.2">
      <c r="A2271" s="5">
        <f t="shared" si="79"/>
        <v>1</v>
      </c>
      <c r="B2271" s="5">
        <f t="shared" si="80"/>
        <v>2022</v>
      </c>
      <c r="C2271" s="7">
        <v>44573</v>
      </c>
      <c r="D2271" s="8">
        <v>5.0616000000000003</v>
      </c>
      <c r="E2271" s="8">
        <v>5.0065999999999997</v>
      </c>
    </row>
    <row r="2272" spans="1:5" x14ac:dyDescent="0.2">
      <c r="A2272" s="5">
        <f t="shared" si="79"/>
        <v>1</v>
      </c>
      <c r="B2272" s="5">
        <f t="shared" si="80"/>
        <v>2022</v>
      </c>
      <c r="C2272" s="7">
        <v>44574</v>
      </c>
      <c r="D2272" s="8">
        <v>5.0608000000000004</v>
      </c>
      <c r="E2272" s="8">
        <v>5.0023999999999997</v>
      </c>
    </row>
    <row r="2273" spans="1:5" x14ac:dyDescent="0.2">
      <c r="A2273" s="5">
        <f t="shared" si="79"/>
        <v>1</v>
      </c>
      <c r="B2273" s="5">
        <f t="shared" si="80"/>
        <v>2022</v>
      </c>
      <c r="C2273" s="7">
        <v>44575</v>
      </c>
      <c r="D2273" s="8">
        <v>5.0831</v>
      </c>
      <c r="E2273" s="8">
        <v>5.008</v>
      </c>
    </row>
    <row r="2274" spans="1:5" x14ac:dyDescent="0.2">
      <c r="A2274" s="5">
        <f t="shared" si="79"/>
        <v>1</v>
      </c>
      <c r="B2274" s="5">
        <f t="shared" si="80"/>
        <v>2022</v>
      </c>
      <c r="C2274" s="7">
        <v>44578</v>
      </c>
      <c r="D2274" s="8">
        <v>5.0932000000000004</v>
      </c>
      <c r="E2274" s="8">
        <v>5.0236000000000001</v>
      </c>
    </row>
    <row r="2275" spans="1:5" x14ac:dyDescent="0.2">
      <c r="A2275" s="5">
        <f t="shared" si="79"/>
        <v>1</v>
      </c>
      <c r="B2275" s="5">
        <f t="shared" si="80"/>
        <v>2022</v>
      </c>
      <c r="C2275" s="7">
        <v>44579</v>
      </c>
      <c r="D2275" s="8">
        <v>5.0880999999999998</v>
      </c>
      <c r="E2275" s="8">
        <v>5.0235000000000003</v>
      </c>
    </row>
    <row r="2276" spans="1:5" x14ac:dyDescent="0.2">
      <c r="A2276" s="5">
        <f t="shared" si="79"/>
        <v>1</v>
      </c>
      <c r="B2276" s="5">
        <f t="shared" si="80"/>
        <v>2022</v>
      </c>
      <c r="C2276" s="7">
        <v>44580</v>
      </c>
      <c r="D2276" s="8">
        <v>5.0933000000000002</v>
      </c>
      <c r="E2276" s="8">
        <v>5.0441000000000003</v>
      </c>
    </row>
    <row r="2277" spans="1:5" x14ac:dyDescent="0.2">
      <c r="A2277" s="5">
        <f t="shared" si="79"/>
        <v>1</v>
      </c>
      <c r="B2277" s="5">
        <f t="shared" si="80"/>
        <v>2022</v>
      </c>
      <c r="C2277" s="7">
        <v>44581</v>
      </c>
      <c r="D2277" s="8">
        <v>5.1001000000000003</v>
      </c>
      <c r="E2277" s="8">
        <v>5.0418000000000003</v>
      </c>
    </row>
    <row r="2278" spans="1:5" x14ac:dyDescent="0.2">
      <c r="A2278" s="5">
        <f t="shared" si="79"/>
        <v>1</v>
      </c>
      <c r="B2278" s="5">
        <f t="shared" si="80"/>
        <v>2022</v>
      </c>
      <c r="C2278" s="7">
        <v>44582</v>
      </c>
      <c r="D2278" s="8">
        <v>5.1467000000000001</v>
      </c>
      <c r="E2278" s="8">
        <v>5.0698999999999996</v>
      </c>
    </row>
    <row r="2279" spans="1:5" x14ac:dyDescent="0.2">
      <c r="A2279" s="5">
        <f t="shared" si="79"/>
        <v>1</v>
      </c>
      <c r="B2279" s="5">
        <f t="shared" si="80"/>
        <v>2022</v>
      </c>
      <c r="C2279" s="7">
        <v>44585</v>
      </c>
      <c r="D2279" s="8">
        <v>5.1464999999999996</v>
      </c>
      <c r="E2279" s="8">
        <v>5.0736999999999997</v>
      </c>
    </row>
    <row r="2280" spans="1:5" x14ac:dyDescent="0.2">
      <c r="A2280" s="5">
        <f t="shared" si="79"/>
        <v>1</v>
      </c>
      <c r="B2280" s="5">
        <f t="shared" si="80"/>
        <v>2022</v>
      </c>
      <c r="C2280" s="7">
        <v>44586</v>
      </c>
      <c r="D2280" s="8">
        <v>5.1289999999999996</v>
      </c>
      <c r="E2280" s="8">
        <v>5.0564</v>
      </c>
    </row>
    <row r="2281" spans="1:5" x14ac:dyDescent="0.2">
      <c r="A2281" s="5">
        <f t="shared" si="79"/>
        <v>1</v>
      </c>
      <c r="B2281" s="5">
        <f t="shared" si="80"/>
        <v>2022</v>
      </c>
      <c r="C2281" s="7">
        <v>44587</v>
      </c>
      <c r="D2281" s="8">
        <v>5.1326999999999998</v>
      </c>
      <c r="E2281" s="8">
        <v>5.0578000000000003</v>
      </c>
    </row>
    <row r="2282" spans="1:5" x14ac:dyDescent="0.2">
      <c r="A2282" s="5">
        <f t="shared" si="79"/>
        <v>1</v>
      </c>
      <c r="B2282" s="5">
        <f t="shared" si="80"/>
        <v>2022</v>
      </c>
      <c r="C2282" s="7">
        <v>44588</v>
      </c>
      <c r="D2282" s="8">
        <v>5.1974</v>
      </c>
      <c r="E2282" s="8">
        <v>5.1292</v>
      </c>
    </row>
    <row r="2283" spans="1:5" x14ac:dyDescent="0.2">
      <c r="A2283" s="5">
        <f t="shared" si="79"/>
        <v>1</v>
      </c>
      <c r="B2283" s="5">
        <f t="shared" si="80"/>
        <v>2022</v>
      </c>
      <c r="C2283" s="7">
        <v>44589</v>
      </c>
      <c r="D2283" s="8">
        <v>5.3795999999999999</v>
      </c>
      <c r="E2283" s="8">
        <v>5.2919</v>
      </c>
    </row>
    <row r="2284" spans="1:5" x14ac:dyDescent="0.2">
      <c r="A2284" s="5">
        <f t="shared" si="79"/>
        <v>1</v>
      </c>
      <c r="B2284" s="5">
        <f t="shared" si="80"/>
        <v>2022</v>
      </c>
      <c r="C2284" s="7">
        <v>44592</v>
      </c>
      <c r="D2284" s="8">
        <v>5.4073000000000002</v>
      </c>
      <c r="E2284" s="8">
        <v>5.2815000000000003</v>
      </c>
    </row>
    <row r="2285" spans="1:5" x14ac:dyDescent="0.2">
      <c r="A2285" s="5">
        <f t="shared" si="79"/>
        <v>2</v>
      </c>
      <c r="B2285" s="5">
        <f t="shared" si="80"/>
        <v>2022</v>
      </c>
      <c r="C2285" s="7">
        <v>44593</v>
      </c>
      <c r="D2285" s="8">
        <v>5.4173999999999998</v>
      </c>
      <c r="E2285" s="8">
        <v>5.2805999999999997</v>
      </c>
    </row>
    <row r="2286" spans="1:5" x14ac:dyDescent="0.2">
      <c r="A2286" s="5">
        <f t="shared" si="79"/>
        <v>2</v>
      </c>
      <c r="B2286" s="5">
        <f t="shared" si="80"/>
        <v>2022</v>
      </c>
      <c r="C2286" s="7">
        <v>44594</v>
      </c>
      <c r="D2286" s="8">
        <v>5.4173999999999998</v>
      </c>
      <c r="E2286" s="8">
        <v>5.2797000000000001</v>
      </c>
    </row>
    <row r="2287" spans="1:5" x14ac:dyDescent="0.2">
      <c r="A2287" s="5">
        <f t="shared" si="79"/>
        <v>2</v>
      </c>
      <c r="B2287" s="5">
        <f t="shared" si="80"/>
        <v>2022</v>
      </c>
      <c r="C2287" s="7">
        <v>44595</v>
      </c>
      <c r="D2287" s="8">
        <v>5.4179000000000004</v>
      </c>
      <c r="E2287" s="8">
        <v>5.2771999999999997</v>
      </c>
    </row>
    <row r="2288" spans="1:5" x14ac:dyDescent="0.2">
      <c r="A2288" s="5">
        <f t="shared" si="79"/>
        <v>2</v>
      </c>
      <c r="B2288" s="5">
        <f t="shared" si="80"/>
        <v>2022</v>
      </c>
      <c r="C2288" s="7">
        <v>44596</v>
      </c>
      <c r="D2288" s="8">
        <v>5.4279999999999999</v>
      </c>
      <c r="E2288" s="8">
        <v>5.2737999999999996</v>
      </c>
    </row>
    <row r="2289" spans="1:5" x14ac:dyDescent="0.2">
      <c r="A2289" s="5">
        <f t="shared" si="79"/>
        <v>2</v>
      </c>
      <c r="B2289" s="5">
        <f t="shared" si="80"/>
        <v>2022</v>
      </c>
      <c r="C2289" s="7">
        <v>44599</v>
      </c>
      <c r="D2289" s="8">
        <v>5.4394</v>
      </c>
      <c r="E2289" s="8">
        <v>5.2744999999999997</v>
      </c>
    </row>
    <row r="2290" spans="1:5" x14ac:dyDescent="0.2">
      <c r="A2290" s="5">
        <f t="shared" si="79"/>
        <v>2</v>
      </c>
      <c r="B2290" s="5">
        <f t="shared" si="80"/>
        <v>2022</v>
      </c>
      <c r="C2290" s="7">
        <v>44600</v>
      </c>
      <c r="D2290" s="8">
        <v>5.4470999999999998</v>
      </c>
      <c r="E2290" s="8">
        <v>5.2664</v>
      </c>
    </row>
    <row r="2291" spans="1:5" x14ac:dyDescent="0.2">
      <c r="A2291" s="5">
        <f t="shared" si="79"/>
        <v>2</v>
      </c>
      <c r="B2291" s="5">
        <f t="shared" si="80"/>
        <v>2022</v>
      </c>
      <c r="C2291" s="7">
        <v>44601</v>
      </c>
      <c r="D2291" s="8">
        <v>5.2572999999999999</v>
      </c>
      <c r="E2291" s="8">
        <v>5.2343000000000002</v>
      </c>
    </row>
    <row r="2292" spans="1:5" x14ac:dyDescent="0.2">
      <c r="A2292" s="5">
        <f t="shared" si="79"/>
        <v>2</v>
      </c>
      <c r="B2292" s="5">
        <f t="shared" si="80"/>
        <v>2022</v>
      </c>
      <c r="C2292" s="7">
        <v>44602</v>
      </c>
      <c r="D2292" s="8">
        <v>5.2678000000000003</v>
      </c>
      <c r="E2292" s="8">
        <v>5.2229000000000001</v>
      </c>
    </row>
    <row r="2293" spans="1:5" x14ac:dyDescent="0.2">
      <c r="A2293" s="5">
        <f t="shared" si="79"/>
        <v>2</v>
      </c>
      <c r="B2293" s="5">
        <f t="shared" si="80"/>
        <v>2022</v>
      </c>
      <c r="C2293" s="7">
        <v>44603</v>
      </c>
      <c r="D2293" s="8">
        <v>5.3014999999999999</v>
      </c>
      <c r="E2293" s="8">
        <v>5.2488000000000001</v>
      </c>
    </row>
    <row r="2294" spans="1:5" x14ac:dyDescent="0.2">
      <c r="A2294" s="5">
        <f t="shared" si="79"/>
        <v>2</v>
      </c>
      <c r="B2294" s="5">
        <f t="shared" si="80"/>
        <v>2022</v>
      </c>
      <c r="C2294" s="7">
        <v>44606</v>
      </c>
      <c r="D2294" s="8">
        <v>5.3033000000000001</v>
      </c>
      <c r="E2294" s="8">
        <v>5.2133000000000003</v>
      </c>
    </row>
    <row r="2295" spans="1:5" x14ac:dyDescent="0.2">
      <c r="A2295" s="5">
        <f t="shared" si="79"/>
        <v>2</v>
      </c>
      <c r="B2295" s="5">
        <f t="shared" si="80"/>
        <v>2022</v>
      </c>
      <c r="C2295" s="7">
        <v>44607</v>
      </c>
      <c r="D2295" s="8">
        <v>5.3033000000000001</v>
      </c>
      <c r="E2295" s="8">
        <v>5.1882000000000001</v>
      </c>
    </row>
    <row r="2296" spans="1:5" x14ac:dyDescent="0.2">
      <c r="A2296" s="5">
        <f t="shared" si="79"/>
        <v>2</v>
      </c>
      <c r="B2296" s="5">
        <f t="shared" si="80"/>
        <v>2022</v>
      </c>
      <c r="C2296" s="7">
        <v>44608</v>
      </c>
      <c r="D2296" s="8">
        <v>5.3194999999999997</v>
      </c>
      <c r="E2296" s="8">
        <v>5.1843000000000004</v>
      </c>
    </row>
    <row r="2297" spans="1:5" x14ac:dyDescent="0.2">
      <c r="A2297" s="5">
        <f t="shared" si="79"/>
        <v>2</v>
      </c>
      <c r="B2297" s="5">
        <f t="shared" si="80"/>
        <v>2022</v>
      </c>
      <c r="C2297" s="7">
        <v>44609</v>
      </c>
      <c r="D2297" s="8">
        <v>5.3198999999999996</v>
      </c>
      <c r="E2297" s="8">
        <v>5.1970000000000001</v>
      </c>
    </row>
    <row r="2298" spans="1:5" x14ac:dyDescent="0.2">
      <c r="A2298" s="5">
        <f t="shared" si="79"/>
        <v>2</v>
      </c>
      <c r="B2298" s="5">
        <f t="shared" si="80"/>
        <v>2022</v>
      </c>
      <c r="C2298" s="7">
        <v>44610</v>
      </c>
      <c r="D2298" s="8">
        <v>5.3871000000000002</v>
      </c>
      <c r="E2298" s="8">
        <v>5.2728000000000002</v>
      </c>
    </row>
    <row r="2299" spans="1:5" x14ac:dyDescent="0.2">
      <c r="A2299" s="5">
        <f t="shared" si="79"/>
        <v>2</v>
      </c>
      <c r="B2299" s="5">
        <f t="shared" si="80"/>
        <v>2022</v>
      </c>
      <c r="C2299" s="7">
        <v>44613</v>
      </c>
      <c r="D2299" s="8">
        <v>5.3963000000000001</v>
      </c>
      <c r="E2299" s="8">
        <v>5.2332000000000001</v>
      </c>
    </row>
    <row r="2300" spans="1:5" x14ac:dyDescent="0.2">
      <c r="A2300" s="5">
        <f t="shared" si="79"/>
        <v>2</v>
      </c>
      <c r="B2300" s="5">
        <f t="shared" si="80"/>
        <v>2022</v>
      </c>
      <c r="C2300" s="7">
        <v>44614</v>
      </c>
      <c r="D2300" s="8">
        <v>5.4054000000000002</v>
      </c>
      <c r="E2300" s="8">
        <v>5.2221000000000002</v>
      </c>
    </row>
    <row r="2301" spans="1:5" x14ac:dyDescent="0.2">
      <c r="A2301" s="5">
        <f t="shared" si="79"/>
        <v>2</v>
      </c>
      <c r="B2301" s="5">
        <f t="shared" si="80"/>
        <v>2022</v>
      </c>
      <c r="C2301" s="7">
        <v>44615</v>
      </c>
      <c r="D2301" s="8">
        <v>5.4245999999999999</v>
      </c>
      <c r="E2301" s="8">
        <v>5.2305999999999999</v>
      </c>
    </row>
    <row r="2302" spans="1:5" x14ac:dyDescent="0.2">
      <c r="A2302" s="5">
        <f t="shared" si="79"/>
        <v>2</v>
      </c>
      <c r="B2302" s="5">
        <f t="shared" si="80"/>
        <v>2022</v>
      </c>
      <c r="C2302" s="7">
        <v>44616</v>
      </c>
      <c r="D2302" s="8">
        <v>5.4264000000000001</v>
      </c>
      <c r="E2302" s="8">
        <v>5.2209000000000003</v>
      </c>
    </row>
    <row r="2303" spans="1:5" x14ac:dyDescent="0.2">
      <c r="A2303" s="5">
        <f t="shared" si="79"/>
        <v>2</v>
      </c>
      <c r="B2303" s="5">
        <f t="shared" si="80"/>
        <v>2022</v>
      </c>
      <c r="C2303" s="7">
        <v>44617</v>
      </c>
      <c r="D2303" s="8">
        <v>5.4436</v>
      </c>
      <c r="E2303" s="8">
        <v>5.2190000000000003</v>
      </c>
    </row>
    <row r="2304" spans="1:5" x14ac:dyDescent="0.2">
      <c r="A2304" s="5">
        <f t="shared" si="79"/>
        <v>3</v>
      </c>
      <c r="B2304" s="5">
        <f t="shared" si="80"/>
        <v>2022</v>
      </c>
      <c r="C2304" s="7">
        <v>44622</v>
      </c>
      <c r="D2304" s="8">
        <v>5.4527000000000001</v>
      </c>
      <c r="E2304" s="8">
        <v>5.1726999999999999</v>
      </c>
    </row>
    <row r="2305" spans="1:5" x14ac:dyDescent="0.2">
      <c r="A2305" s="5">
        <f t="shared" si="79"/>
        <v>3</v>
      </c>
      <c r="B2305" s="5">
        <f t="shared" si="80"/>
        <v>2022</v>
      </c>
      <c r="C2305" s="7">
        <v>44623</v>
      </c>
      <c r="D2305" s="8">
        <v>5.4928999999999997</v>
      </c>
      <c r="E2305" s="8">
        <v>5.1653000000000002</v>
      </c>
    </row>
    <row r="2306" spans="1:5" x14ac:dyDescent="0.2">
      <c r="A2306" s="5">
        <f t="shared" si="79"/>
        <v>3</v>
      </c>
      <c r="B2306" s="5">
        <f t="shared" si="80"/>
        <v>2022</v>
      </c>
      <c r="C2306" s="7">
        <v>44624</v>
      </c>
      <c r="D2306" s="8">
        <v>5.5259999999999998</v>
      </c>
      <c r="E2306" s="8">
        <v>5.1654999999999998</v>
      </c>
    </row>
    <row r="2307" spans="1:5" x14ac:dyDescent="0.2">
      <c r="A2307" s="5">
        <f t="shared" si="79"/>
        <v>3</v>
      </c>
      <c r="B2307" s="5">
        <f t="shared" si="80"/>
        <v>2022</v>
      </c>
      <c r="C2307" s="7">
        <v>44627</v>
      </c>
      <c r="D2307" s="8">
        <v>5.5232999999999999</v>
      </c>
      <c r="E2307" s="8">
        <v>5.13</v>
      </c>
    </row>
    <row r="2308" spans="1:5" x14ac:dyDescent="0.2">
      <c r="A2308" s="5">
        <f t="shared" ref="A2308:A2371" si="81">MONTH(C2308)</f>
        <v>3</v>
      </c>
      <c r="B2308" s="5">
        <f t="shared" ref="B2308:B2371" si="82">YEAR(C2308)</f>
        <v>2022</v>
      </c>
      <c r="C2308" s="7">
        <v>44628</v>
      </c>
      <c r="D2308" s="8">
        <v>5.5777000000000001</v>
      </c>
      <c r="E2308" s="8">
        <v>5.1208999999999998</v>
      </c>
    </row>
    <row r="2309" spans="1:5" x14ac:dyDescent="0.2">
      <c r="A2309" s="5">
        <f t="shared" si="81"/>
        <v>3</v>
      </c>
      <c r="B2309" s="5">
        <f t="shared" si="82"/>
        <v>2022</v>
      </c>
      <c r="C2309" s="7">
        <v>44629</v>
      </c>
      <c r="D2309" s="8">
        <v>5.6509</v>
      </c>
      <c r="E2309" s="8">
        <v>5.1515000000000004</v>
      </c>
    </row>
    <row r="2310" spans="1:5" x14ac:dyDescent="0.2">
      <c r="A2310" s="5">
        <f t="shared" si="81"/>
        <v>3</v>
      </c>
      <c r="B2310" s="5">
        <f t="shared" si="82"/>
        <v>2022</v>
      </c>
      <c r="C2310" s="7">
        <v>44630</v>
      </c>
      <c r="D2310" s="8">
        <v>5.6670999999999996</v>
      </c>
      <c r="E2310" s="8">
        <v>5.2015000000000002</v>
      </c>
    </row>
    <row r="2311" spans="1:5" x14ac:dyDescent="0.2">
      <c r="A2311" s="5">
        <f t="shared" si="81"/>
        <v>3</v>
      </c>
      <c r="B2311" s="5">
        <f t="shared" si="82"/>
        <v>2022</v>
      </c>
      <c r="C2311" s="7">
        <v>44631</v>
      </c>
      <c r="D2311" s="8">
        <v>5.6896000000000004</v>
      </c>
      <c r="E2311" s="8">
        <v>5.6726999999999999</v>
      </c>
    </row>
    <row r="2312" spans="1:5" x14ac:dyDescent="0.2">
      <c r="A2312" s="5">
        <f t="shared" si="81"/>
        <v>3</v>
      </c>
      <c r="B2312" s="5">
        <f t="shared" si="82"/>
        <v>2022</v>
      </c>
      <c r="C2312" s="7">
        <v>44634</v>
      </c>
      <c r="D2312" s="8">
        <v>5.7849000000000004</v>
      </c>
      <c r="E2312" s="8">
        <v>5.7104999999999997</v>
      </c>
    </row>
    <row r="2313" spans="1:5" x14ac:dyDescent="0.2">
      <c r="A2313" s="5">
        <f t="shared" si="81"/>
        <v>3</v>
      </c>
      <c r="B2313" s="5">
        <f t="shared" si="82"/>
        <v>2022</v>
      </c>
      <c r="C2313" s="7">
        <v>44635</v>
      </c>
      <c r="D2313" s="8">
        <v>5.8052999999999999</v>
      </c>
      <c r="E2313" s="8">
        <v>5.7051999999999996</v>
      </c>
    </row>
    <row r="2314" spans="1:5" x14ac:dyDescent="0.2">
      <c r="A2314" s="5">
        <f t="shared" si="81"/>
        <v>3</v>
      </c>
      <c r="B2314" s="5">
        <f t="shared" si="82"/>
        <v>2022</v>
      </c>
      <c r="C2314" s="7">
        <v>44636</v>
      </c>
      <c r="D2314" s="8">
        <v>5.8182</v>
      </c>
      <c r="E2314" s="8">
        <v>5.6973000000000003</v>
      </c>
    </row>
    <row r="2315" spans="1:5" x14ac:dyDescent="0.2">
      <c r="A2315" s="5">
        <f t="shared" si="81"/>
        <v>3</v>
      </c>
      <c r="B2315" s="5">
        <f t="shared" si="82"/>
        <v>2022</v>
      </c>
      <c r="C2315" s="7">
        <v>44637</v>
      </c>
      <c r="D2315" s="8">
        <v>5.8182</v>
      </c>
      <c r="E2315" s="8">
        <v>5.6822999999999997</v>
      </c>
    </row>
    <row r="2316" spans="1:5" x14ac:dyDescent="0.2">
      <c r="A2316" s="5">
        <f t="shared" si="81"/>
        <v>3</v>
      </c>
      <c r="B2316" s="5">
        <f t="shared" si="82"/>
        <v>2022</v>
      </c>
      <c r="C2316" s="7">
        <v>44638</v>
      </c>
      <c r="D2316" s="8">
        <v>5.8916000000000004</v>
      </c>
      <c r="E2316" s="8">
        <v>5.7343999999999999</v>
      </c>
    </row>
    <row r="2317" spans="1:5" x14ac:dyDescent="0.2">
      <c r="A2317" s="5">
        <f t="shared" si="81"/>
        <v>3</v>
      </c>
      <c r="B2317" s="5">
        <f t="shared" si="82"/>
        <v>2022</v>
      </c>
      <c r="C2317" s="7">
        <v>44641</v>
      </c>
      <c r="D2317" s="8">
        <v>5.9539</v>
      </c>
      <c r="E2317" s="8">
        <v>5.6863000000000001</v>
      </c>
    </row>
    <row r="2318" spans="1:5" x14ac:dyDescent="0.2">
      <c r="A2318" s="5">
        <f t="shared" si="81"/>
        <v>3</v>
      </c>
      <c r="B2318" s="5">
        <f t="shared" si="82"/>
        <v>2022</v>
      </c>
      <c r="C2318" s="7">
        <v>44642</v>
      </c>
      <c r="D2318" s="8">
        <v>5.9917999999999996</v>
      </c>
      <c r="E2318" s="8">
        <v>5.6769999999999996</v>
      </c>
    </row>
    <row r="2319" spans="1:5" x14ac:dyDescent="0.2">
      <c r="A2319" s="5">
        <f t="shared" si="81"/>
        <v>3</v>
      </c>
      <c r="B2319" s="5">
        <f t="shared" si="82"/>
        <v>2022</v>
      </c>
      <c r="C2319" s="7">
        <v>44643</v>
      </c>
      <c r="D2319" s="8">
        <v>5.9917999999999996</v>
      </c>
      <c r="E2319" s="8">
        <v>5.6581999999999999</v>
      </c>
    </row>
    <row r="2320" spans="1:5" x14ac:dyDescent="0.2">
      <c r="A2320" s="5">
        <f t="shared" si="81"/>
        <v>3</v>
      </c>
      <c r="B2320" s="5">
        <f t="shared" si="82"/>
        <v>2022</v>
      </c>
      <c r="C2320" s="7">
        <v>44644</v>
      </c>
      <c r="D2320" s="8">
        <v>6.0232999999999999</v>
      </c>
      <c r="E2320" s="8">
        <v>5.6395</v>
      </c>
    </row>
    <row r="2321" spans="1:5" x14ac:dyDescent="0.2">
      <c r="A2321" s="5">
        <f t="shared" si="81"/>
        <v>3</v>
      </c>
      <c r="B2321" s="5">
        <f t="shared" si="82"/>
        <v>2022</v>
      </c>
      <c r="C2321" s="7">
        <v>44645</v>
      </c>
      <c r="D2321" s="8">
        <v>6.1346999999999996</v>
      </c>
      <c r="E2321" s="8">
        <v>5.7628000000000004</v>
      </c>
    </row>
    <row r="2322" spans="1:5" x14ac:dyDescent="0.2">
      <c r="A2322" s="5">
        <f t="shared" si="81"/>
        <v>3</v>
      </c>
      <c r="B2322" s="5">
        <f t="shared" si="82"/>
        <v>2022</v>
      </c>
      <c r="C2322" s="7">
        <v>44648</v>
      </c>
      <c r="D2322" s="8">
        <v>6.1597</v>
      </c>
      <c r="E2322" s="8">
        <v>5.6694000000000004</v>
      </c>
    </row>
    <row r="2323" spans="1:5" x14ac:dyDescent="0.2">
      <c r="A2323" s="5">
        <f t="shared" si="81"/>
        <v>3</v>
      </c>
      <c r="B2323" s="5">
        <f t="shared" si="82"/>
        <v>2022</v>
      </c>
      <c r="C2323" s="7">
        <v>44649</v>
      </c>
      <c r="D2323" s="8">
        <v>6.1597</v>
      </c>
      <c r="E2323" s="8">
        <v>5.6375999999999999</v>
      </c>
    </row>
    <row r="2324" spans="1:5" x14ac:dyDescent="0.2">
      <c r="A2324" s="5">
        <f t="shared" si="81"/>
        <v>3</v>
      </c>
      <c r="B2324" s="5">
        <f t="shared" si="82"/>
        <v>2022</v>
      </c>
      <c r="C2324" s="7">
        <v>44650</v>
      </c>
      <c r="D2324" s="8">
        <v>6.2046999999999999</v>
      </c>
      <c r="E2324" s="8">
        <v>5.6143000000000001</v>
      </c>
    </row>
    <row r="2325" spans="1:5" x14ac:dyDescent="0.2">
      <c r="A2325" s="5">
        <f t="shared" si="81"/>
        <v>3</v>
      </c>
      <c r="B2325" s="5">
        <f t="shared" si="82"/>
        <v>2022</v>
      </c>
      <c r="C2325" s="7">
        <v>44651</v>
      </c>
      <c r="D2325" s="8">
        <v>6.2117000000000004</v>
      </c>
      <c r="E2325" s="8">
        <v>5.585</v>
      </c>
    </row>
    <row r="2326" spans="1:5" x14ac:dyDescent="0.2">
      <c r="A2326" s="5">
        <f t="shared" si="81"/>
        <v>4</v>
      </c>
      <c r="B2326" s="5">
        <f t="shared" si="82"/>
        <v>2022</v>
      </c>
      <c r="C2326" s="7">
        <v>44652</v>
      </c>
      <c r="D2326" s="8">
        <v>6.2450999999999999</v>
      </c>
      <c r="E2326" s="8">
        <v>5.5869</v>
      </c>
    </row>
    <row r="2327" spans="1:5" x14ac:dyDescent="0.2">
      <c r="A2327" s="5">
        <f t="shared" si="81"/>
        <v>4</v>
      </c>
      <c r="B2327" s="5">
        <f t="shared" si="82"/>
        <v>2022</v>
      </c>
      <c r="C2327" s="7">
        <v>44655</v>
      </c>
      <c r="D2327" s="8">
        <v>6.2633000000000001</v>
      </c>
      <c r="E2327" s="8">
        <v>5.5225999999999997</v>
      </c>
    </row>
    <row r="2328" spans="1:5" x14ac:dyDescent="0.2">
      <c r="A2328" s="5">
        <f t="shared" si="81"/>
        <v>4</v>
      </c>
      <c r="B2328" s="5">
        <f t="shared" si="82"/>
        <v>2022</v>
      </c>
      <c r="C2328" s="7">
        <v>44656</v>
      </c>
      <c r="D2328" s="8">
        <v>6.2755000000000001</v>
      </c>
      <c r="E2328" s="8">
        <v>5.4833999999999996</v>
      </c>
    </row>
    <row r="2329" spans="1:5" x14ac:dyDescent="0.2">
      <c r="A2329" s="5">
        <f t="shared" si="81"/>
        <v>4</v>
      </c>
      <c r="B2329" s="5">
        <f t="shared" si="82"/>
        <v>2022</v>
      </c>
      <c r="C2329" s="7">
        <v>44657</v>
      </c>
      <c r="D2329" s="8">
        <v>6.3098000000000001</v>
      </c>
      <c r="E2329" s="8">
        <v>5.4691999999999998</v>
      </c>
    </row>
    <row r="2330" spans="1:5" x14ac:dyDescent="0.2">
      <c r="A2330" s="5">
        <f t="shared" si="81"/>
        <v>4</v>
      </c>
      <c r="B2330" s="5">
        <f t="shared" si="82"/>
        <v>2022</v>
      </c>
      <c r="C2330" s="7">
        <v>44658</v>
      </c>
      <c r="D2330" s="8">
        <v>6.3143000000000002</v>
      </c>
      <c r="E2330" s="8">
        <v>5.4451000000000001</v>
      </c>
    </row>
    <row r="2331" spans="1:5" x14ac:dyDescent="0.2">
      <c r="A2331" s="5">
        <f t="shared" si="81"/>
        <v>4</v>
      </c>
      <c r="B2331" s="5">
        <f t="shared" si="82"/>
        <v>2022</v>
      </c>
      <c r="C2331" s="7">
        <v>44659</v>
      </c>
      <c r="D2331" s="8">
        <v>5.4394</v>
      </c>
      <c r="E2331" s="8">
        <v>5.4256000000000002</v>
      </c>
    </row>
    <row r="2332" spans="1:5" x14ac:dyDescent="0.2">
      <c r="A2332" s="5">
        <f t="shared" si="81"/>
        <v>4</v>
      </c>
      <c r="B2332" s="5">
        <f t="shared" si="82"/>
        <v>2022</v>
      </c>
      <c r="C2332" s="7">
        <v>44662</v>
      </c>
      <c r="D2332" s="8">
        <v>5.4394</v>
      </c>
      <c r="E2332" s="8">
        <v>5.3624000000000001</v>
      </c>
    </row>
    <row r="2333" spans="1:5" x14ac:dyDescent="0.2">
      <c r="A2333" s="5">
        <f t="shared" si="81"/>
        <v>4</v>
      </c>
      <c r="B2333" s="5">
        <f t="shared" si="82"/>
        <v>2022</v>
      </c>
      <c r="C2333" s="7">
        <v>44663</v>
      </c>
      <c r="D2333" s="8">
        <v>5.4394</v>
      </c>
      <c r="E2333" s="8">
        <v>5.3418000000000001</v>
      </c>
    </row>
    <row r="2334" spans="1:5" x14ac:dyDescent="0.2">
      <c r="A2334" s="5">
        <f t="shared" si="81"/>
        <v>4</v>
      </c>
      <c r="B2334" s="5">
        <f t="shared" si="82"/>
        <v>2022</v>
      </c>
      <c r="C2334" s="7">
        <v>44664</v>
      </c>
      <c r="D2334" s="8">
        <v>5.4481000000000002</v>
      </c>
      <c r="E2334" s="8">
        <v>5.3525999999999998</v>
      </c>
    </row>
    <row r="2335" spans="1:5" x14ac:dyDescent="0.2">
      <c r="A2335" s="5">
        <f t="shared" si="81"/>
        <v>4</v>
      </c>
      <c r="B2335" s="5">
        <f t="shared" si="82"/>
        <v>2022</v>
      </c>
      <c r="C2335" s="7">
        <v>44665</v>
      </c>
      <c r="D2335" s="8">
        <v>5.4901</v>
      </c>
      <c r="E2335" s="8">
        <v>5.3704000000000001</v>
      </c>
    </row>
    <row r="2336" spans="1:5" x14ac:dyDescent="0.2">
      <c r="A2336" s="5">
        <f t="shared" si="81"/>
        <v>4</v>
      </c>
      <c r="B2336" s="5">
        <f t="shared" si="82"/>
        <v>2022</v>
      </c>
      <c r="C2336" s="7">
        <v>44669</v>
      </c>
      <c r="D2336" s="8">
        <v>5.5523999999999996</v>
      </c>
      <c r="E2336" s="8">
        <v>5.4031000000000002</v>
      </c>
    </row>
    <row r="2337" spans="1:5" x14ac:dyDescent="0.2">
      <c r="A2337" s="5">
        <f t="shared" si="81"/>
        <v>4</v>
      </c>
      <c r="B2337" s="5">
        <f t="shared" si="82"/>
        <v>2022</v>
      </c>
      <c r="C2337" s="7">
        <v>44670</v>
      </c>
      <c r="D2337" s="8">
        <v>5.5675999999999997</v>
      </c>
      <c r="E2337" s="8">
        <v>5.3808999999999996</v>
      </c>
    </row>
    <row r="2338" spans="1:5" x14ac:dyDescent="0.2">
      <c r="A2338" s="5">
        <f t="shared" si="81"/>
        <v>4</v>
      </c>
      <c r="B2338" s="5">
        <f t="shared" si="82"/>
        <v>2022</v>
      </c>
      <c r="C2338" s="7">
        <v>44671</v>
      </c>
      <c r="D2338" s="8">
        <v>5.6020000000000003</v>
      </c>
      <c r="E2338" s="8">
        <v>5.4596</v>
      </c>
    </row>
    <row r="2339" spans="1:5" x14ac:dyDescent="0.2">
      <c r="A2339" s="5">
        <f t="shared" si="81"/>
        <v>4</v>
      </c>
      <c r="B2339" s="5">
        <f t="shared" si="82"/>
        <v>2022</v>
      </c>
      <c r="C2339" s="7">
        <v>44673</v>
      </c>
      <c r="D2339" s="8">
        <v>5.7217000000000002</v>
      </c>
      <c r="E2339" s="8">
        <v>5.5223000000000004</v>
      </c>
    </row>
    <row r="2340" spans="1:5" x14ac:dyDescent="0.2">
      <c r="A2340" s="5">
        <f t="shared" si="81"/>
        <v>4</v>
      </c>
      <c r="B2340" s="5">
        <f t="shared" si="82"/>
        <v>2022</v>
      </c>
      <c r="C2340" s="7">
        <v>44676</v>
      </c>
      <c r="D2340" s="8">
        <v>5.7171000000000003</v>
      </c>
      <c r="E2340" s="8">
        <v>5.4440999999999997</v>
      </c>
    </row>
    <row r="2341" spans="1:5" x14ac:dyDescent="0.2">
      <c r="A2341" s="5">
        <f t="shared" si="81"/>
        <v>4</v>
      </c>
      <c r="B2341" s="5">
        <f t="shared" si="82"/>
        <v>2022</v>
      </c>
      <c r="C2341" s="7">
        <v>44677</v>
      </c>
      <c r="D2341" s="8">
        <v>5.7355999999999998</v>
      </c>
      <c r="E2341" s="8">
        <v>5.4410999999999996</v>
      </c>
    </row>
    <row r="2342" spans="1:5" x14ac:dyDescent="0.2">
      <c r="A2342" s="5">
        <f t="shared" si="81"/>
        <v>4</v>
      </c>
      <c r="B2342" s="5">
        <f t="shared" si="82"/>
        <v>2022</v>
      </c>
      <c r="C2342" s="7">
        <v>44678</v>
      </c>
      <c r="D2342" s="8">
        <v>5.7550999999999997</v>
      </c>
      <c r="E2342" s="8">
        <v>5.4653</v>
      </c>
    </row>
    <row r="2343" spans="1:5" x14ac:dyDescent="0.2">
      <c r="A2343" s="5">
        <f t="shared" si="81"/>
        <v>4</v>
      </c>
      <c r="B2343" s="5">
        <f t="shared" si="82"/>
        <v>2022</v>
      </c>
      <c r="C2343" s="7">
        <v>44679</v>
      </c>
      <c r="D2343" s="8">
        <v>5.7507999999999999</v>
      </c>
      <c r="E2343" s="8">
        <v>5.4321999999999999</v>
      </c>
    </row>
    <row r="2344" spans="1:5" x14ac:dyDescent="0.2">
      <c r="A2344" s="5">
        <f t="shared" si="81"/>
        <v>4</v>
      </c>
      <c r="B2344" s="5">
        <f t="shared" si="82"/>
        <v>2022</v>
      </c>
      <c r="C2344" s="7">
        <v>44680</v>
      </c>
      <c r="D2344" s="8">
        <v>5.9127000000000001</v>
      </c>
      <c r="E2344" s="8">
        <v>5.5064000000000002</v>
      </c>
    </row>
    <row r="2345" spans="1:5" x14ac:dyDescent="0.2">
      <c r="A2345" s="5">
        <f t="shared" si="81"/>
        <v>5</v>
      </c>
      <c r="B2345" s="5">
        <f t="shared" si="82"/>
        <v>2022</v>
      </c>
      <c r="C2345" s="7">
        <v>44683</v>
      </c>
      <c r="D2345" s="8">
        <v>5.9386000000000001</v>
      </c>
      <c r="E2345" s="8">
        <v>5.5002000000000004</v>
      </c>
    </row>
    <row r="2346" spans="1:5" x14ac:dyDescent="0.2">
      <c r="A2346" s="5">
        <f t="shared" si="81"/>
        <v>5</v>
      </c>
      <c r="B2346" s="5">
        <f t="shared" si="82"/>
        <v>2022</v>
      </c>
      <c r="C2346" s="7">
        <v>44684</v>
      </c>
      <c r="D2346" s="8">
        <v>5.9432</v>
      </c>
      <c r="E2346" s="8">
        <v>5.4908999999999999</v>
      </c>
    </row>
    <row r="2347" spans="1:5" x14ac:dyDescent="0.2">
      <c r="A2347" s="5">
        <f t="shared" si="81"/>
        <v>5</v>
      </c>
      <c r="B2347" s="5">
        <f t="shared" si="82"/>
        <v>2022</v>
      </c>
      <c r="C2347" s="7">
        <v>44685</v>
      </c>
      <c r="D2347" s="8">
        <v>6.0073999999999996</v>
      </c>
      <c r="E2347" s="8">
        <v>5.4790999999999999</v>
      </c>
    </row>
    <row r="2348" spans="1:5" x14ac:dyDescent="0.2">
      <c r="A2348" s="5">
        <f t="shared" si="81"/>
        <v>5</v>
      </c>
      <c r="B2348" s="5">
        <f t="shared" si="82"/>
        <v>2022</v>
      </c>
      <c r="C2348" s="7">
        <v>44686</v>
      </c>
      <c r="D2348" s="8">
        <v>6.0286999999999997</v>
      </c>
      <c r="E2348" s="8">
        <v>5.5293999999999999</v>
      </c>
    </row>
    <row r="2349" spans="1:5" x14ac:dyDescent="0.2">
      <c r="A2349" s="5">
        <f t="shared" si="81"/>
        <v>5</v>
      </c>
      <c r="B2349" s="5">
        <f t="shared" si="82"/>
        <v>2022</v>
      </c>
      <c r="C2349" s="7">
        <v>44687</v>
      </c>
      <c r="D2349" s="8">
        <v>6.0869999999999997</v>
      </c>
      <c r="E2349" s="8">
        <v>5.5396000000000001</v>
      </c>
    </row>
    <row r="2350" spans="1:5" x14ac:dyDescent="0.2">
      <c r="A2350" s="5">
        <f t="shared" si="81"/>
        <v>5</v>
      </c>
      <c r="B2350" s="5">
        <f t="shared" si="82"/>
        <v>2022</v>
      </c>
      <c r="C2350" s="7">
        <v>44690</v>
      </c>
      <c r="D2350" s="8">
        <v>6.1078999999999999</v>
      </c>
      <c r="E2350" s="8">
        <v>5.5011999999999999</v>
      </c>
    </row>
    <row r="2351" spans="1:5" x14ac:dyDescent="0.2">
      <c r="A2351" s="5">
        <f t="shared" si="81"/>
        <v>5</v>
      </c>
      <c r="B2351" s="5">
        <f t="shared" si="82"/>
        <v>2022</v>
      </c>
      <c r="C2351" s="7">
        <v>44691</v>
      </c>
      <c r="D2351" s="8">
        <v>6.1078999999999999</v>
      </c>
      <c r="E2351" s="8">
        <v>5.4720000000000004</v>
      </c>
    </row>
    <row r="2352" spans="1:5" x14ac:dyDescent="0.2">
      <c r="A2352" s="5">
        <f t="shared" si="81"/>
        <v>5</v>
      </c>
      <c r="B2352" s="5">
        <f t="shared" si="82"/>
        <v>2022</v>
      </c>
      <c r="C2352" s="7">
        <v>44692</v>
      </c>
      <c r="D2352" s="8">
        <v>5.5012999999999996</v>
      </c>
      <c r="E2352" s="8">
        <v>5.5019</v>
      </c>
    </row>
    <row r="2353" spans="1:5" x14ac:dyDescent="0.2">
      <c r="A2353" s="5">
        <f t="shared" si="81"/>
        <v>5</v>
      </c>
      <c r="B2353" s="5">
        <f t="shared" si="82"/>
        <v>2022</v>
      </c>
      <c r="C2353" s="7">
        <v>44693</v>
      </c>
      <c r="D2353" s="8">
        <v>5.5433000000000003</v>
      </c>
      <c r="E2353" s="8">
        <v>5.5376000000000003</v>
      </c>
    </row>
    <row r="2354" spans="1:5" x14ac:dyDescent="0.2">
      <c r="A2354" s="5">
        <f t="shared" si="81"/>
        <v>5</v>
      </c>
      <c r="B2354" s="5">
        <f t="shared" si="82"/>
        <v>2022</v>
      </c>
      <c r="C2354" s="7">
        <v>44694</v>
      </c>
      <c r="D2354" s="8">
        <v>5.6338999999999997</v>
      </c>
      <c r="E2354" s="8">
        <v>5.641</v>
      </c>
    </row>
    <row r="2355" spans="1:5" x14ac:dyDescent="0.2">
      <c r="A2355" s="5">
        <f t="shared" si="81"/>
        <v>5</v>
      </c>
      <c r="B2355" s="5">
        <f t="shared" si="82"/>
        <v>2022</v>
      </c>
      <c r="C2355" s="7">
        <v>44697</v>
      </c>
      <c r="D2355" s="8">
        <v>5.6608000000000001</v>
      </c>
      <c r="E2355" s="8">
        <v>5.6657000000000002</v>
      </c>
    </row>
    <row r="2356" spans="1:5" x14ac:dyDescent="0.2">
      <c r="A2356" s="5">
        <f t="shared" si="81"/>
        <v>5</v>
      </c>
      <c r="B2356" s="5">
        <f t="shared" si="82"/>
        <v>2022</v>
      </c>
      <c r="C2356" s="7">
        <v>44698</v>
      </c>
      <c r="D2356" s="8">
        <v>5.6608000000000001</v>
      </c>
      <c r="E2356" s="8">
        <v>5.6665999999999999</v>
      </c>
    </row>
    <row r="2357" spans="1:5" x14ac:dyDescent="0.2">
      <c r="A2357" s="5">
        <f t="shared" si="81"/>
        <v>5</v>
      </c>
      <c r="B2357" s="5">
        <f t="shared" si="82"/>
        <v>2022</v>
      </c>
      <c r="C2357" s="7">
        <v>44699</v>
      </c>
      <c r="D2357" s="8">
        <v>5.6338999999999997</v>
      </c>
      <c r="E2357" s="8">
        <v>5.6513999999999998</v>
      </c>
    </row>
    <row r="2358" spans="1:5" x14ac:dyDescent="0.2">
      <c r="A2358" s="5">
        <f t="shared" si="81"/>
        <v>5</v>
      </c>
      <c r="B2358" s="5">
        <f t="shared" si="82"/>
        <v>2022</v>
      </c>
      <c r="C2358" s="7">
        <v>44700</v>
      </c>
      <c r="D2358" s="8">
        <v>5.7032999999999996</v>
      </c>
      <c r="E2358" s="8">
        <v>5.6925999999999997</v>
      </c>
    </row>
    <row r="2359" spans="1:5" x14ac:dyDescent="0.2">
      <c r="A2359" s="5">
        <f t="shared" si="81"/>
        <v>5</v>
      </c>
      <c r="B2359" s="5">
        <f t="shared" si="82"/>
        <v>2022</v>
      </c>
      <c r="C2359" s="7">
        <v>44701</v>
      </c>
      <c r="D2359" s="8">
        <v>6.0713999999999997</v>
      </c>
      <c r="E2359" s="8">
        <v>5.9978999999999996</v>
      </c>
    </row>
    <row r="2360" spans="1:5" x14ac:dyDescent="0.2">
      <c r="A2360" s="5">
        <f t="shared" si="81"/>
        <v>5</v>
      </c>
      <c r="B2360" s="5">
        <f t="shared" si="82"/>
        <v>2022</v>
      </c>
      <c r="C2360" s="7">
        <v>44704</v>
      </c>
      <c r="D2360" s="8">
        <v>6.0772000000000004</v>
      </c>
      <c r="E2360" s="8">
        <v>5.9827000000000004</v>
      </c>
    </row>
    <row r="2361" spans="1:5" x14ac:dyDescent="0.2">
      <c r="A2361" s="5">
        <f t="shared" si="81"/>
        <v>5</v>
      </c>
      <c r="B2361" s="5">
        <f t="shared" si="82"/>
        <v>2022</v>
      </c>
      <c r="C2361" s="7">
        <v>44705</v>
      </c>
      <c r="D2361" s="8">
        <v>6.0929000000000002</v>
      </c>
      <c r="E2361" s="8">
        <v>5.976</v>
      </c>
    </row>
    <row r="2362" spans="1:5" x14ac:dyDescent="0.2">
      <c r="A2362" s="5">
        <f t="shared" si="81"/>
        <v>5</v>
      </c>
      <c r="B2362" s="5">
        <f t="shared" si="82"/>
        <v>2022</v>
      </c>
      <c r="C2362" s="7">
        <v>44706</v>
      </c>
      <c r="D2362" s="8">
        <v>6.0929000000000002</v>
      </c>
      <c r="E2362" s="8">
        <v>5.9762000000000004</v>
      </c>
    </row>
    <row r="2363" spans="1:5" x14ac:dyDescent="0.2">
      <c r="A2363" s="5">
        <f t="shared" si="81"/>
        <v>5</v>
      </c>
      <c r="B2363" s="5">
        <f t="shared" si="82"/>
        <v>2022</v>
      </c>
      <c r="C2363" s="7">
        <v>44707</v>
      </c>
      <c r="D2363" s="8">
        <v>6.0955000000000004</v>
      </c>
      <c r="E2363" s="8">
        <v>5.9898999999999996</v>
      </c>
    </row>
    <row r="2364" spans="1:5" x14ac:dyDescent="0.2">
      <c r="A2364" s="5">
        <f t="shared" si="81"/>
        <v>5</v>
      </c>
      <c r="B2364" s="5">
        <f t="shared" si="82"/>
        <v>2022</v>
      </c>
      <c r="C2364" s="7">
        <v>44708</v>
      </c>
      <c r="D2364" s="8">
        <v>6.1135000000000002</v>
      </c>
      <c r="E2364" s="8">
        <v>5.9901999999999997</v>
      </c>
    </row>
    <row r="2365" spans="1:5" x14ac:dyDescent="0.2">
      <c r="A2365" s="5">
        <f t="shared" si="81"/>
        <v>5</v>
      </c>
      <c r="B2365" s="5">
        <f t="shared" si="82"/>
        <v>2022</v>
      </c>
      <c r="C2365" s="7">
        <v>44711</v>
      </c>
      <c r="D2365" s="8">
        <v>6.1348000000000003</v>
      </c>
      <c r="E2365" s="8">
        <v>5.9776999999999996</v>
      </c>
    </row>
    <row r="2366" spans="1:5" x14ac:dyDescent="0.2">
      <c r="A2366" s="5">
        <f t="shared" si="81"/>
        <v>5</v>
      </c>
      <c r="B2366" s="5">
        <f t="shared" si="82"/>
        <v>2022</v>
      </c>
      <c r="C2366" s="7">
        <v>44712</v>
      </c>
      <c r="D2366" s="8">
        <v>6.1397000000000004</v>
      </c>
      <c r="E2366" s="8">
        <v>5.984</v>
      </c>
    </row>
    <row r="2367" spans="1:5" x14ac:dyDescent="0.2">
      <c r="A2367" s="5">
        <f t="shared" si="81"/>
        <v>6</v>
      </c>
      <c r="B2367" s="5">
        <f t="shared" si="82"/>
        <v>2022</v>
      </c>
      <c r="C2367" s="7">
        <v>44713</v>
      </c>
      <c r="D2367" s="8">
        <v>6.1397000000000004</v>
      </c>
      <c r="E2367" s="8">
        <v>5.9748000000000001</v>
      </c>
    </row>
    <row r="2368" spans="1:5" x14ac:dyDescent="0.2">
      <c r="A2368" s="5">
        <f t="shared" si="81"/>
        <v>6</v>
      </c>
      <c r="B2368" s="5">
        <f t="shared" si="82"/>
        <v>2022</v>
      </c>
      <c r="C2368" s="7">
        <v>44714</v>
      </c>
      <c r="D2368" s="8">
        <v>6.1397000000000004</v>
      </c>
      <c r="E2368" s="8">
        <v>5.9635999999999996</v>
      </c>
    </row>
    <row r="2369" spans="1:5" x14ac:dyDescent="0.2">
      <c r="A2369" s="5">
        <f t="shared" si="81"/>
        <v>6</v>
      </c>
      <c r="B2369" s="5">
        <f t="shared" si="82"/>
        <v>2022</v>
      </c>
      <c r="C2369" s="7">
        <v>44715</v>
      </c>
      <c r="D2369" s="8">
        <v>6.2229000000000001</v>
      </c>
      <c r="E2369" s="8">
        <v>6.0221999999999998</v>
      </c>
    </row>
    <row r="2370" spans="1:5" x14ac:dyDescent="0.2">
      <c r="A2370" s="5">
        <f t="shared" si="81"/>
        <v>6</v>
      </c>
      <c r="B2370" s="5">
        <f t="shared" si="82"/>
        <v>2022</v>
      </c>
      <c r="C2370" s="7">
        <v>44718</v>
      </c>
      <c r="D2370" s="8">
        <v>6.3304999999999998</v>
      </c>
      <c r="E2370" s="8">
        <v>6.1242999999999999</v>
      </c>
    </row>
    <row r="2371" spans="1:5" x14ac:dyDescent="0.2">
      <c r="A2371" s="5">
        <f t="shared" si="81"/>
        <v>6</v>
      </c>
      <c r="B2371" s="5">
        <f t="shared" si="82"/>
        <v>2022</v>
      </c>
      <c r="C2371" s="7">
        <v>44719</v>
      </c>
      <c r="D2371" s="8">
        <v>6.3255999999999997</v>
      </c>
      <c r="E2371" s="8">
        <v>6.1041999999999996</v>
      </c>
    </row>
    <row r="2372" spans="1:5" x14ac:dyDescent="0.2">
      <c r="A2372" s="5">
        <f t="shared" ref="A2372:A2435" si="83">MONTH(C2372)</f>
        <v>6</v>
      </c>
      <c r="B2372" s="5">
        <f t="shared" ref="B2372:B2435" si="84">YEAR(C2372)</f>
        <v>2022</v>
      </c>
      <c r="C2372" s="7">
        <v>44720</v>
      </c>
      <c r="D2372" s="8">
        <v>6.3255999999999997</v>
      </c>
      <c r="E2372" s="8">
        <v>6.1029999999999998</v>
      </c>
    </row>
    <row r="2373" spans="1:5" x14ac:dyDescent="0.2">
      <c r="A2373" s="5">
        <f t="shared" si="83"/>
        <v>6</v>
      </c>
      <c r="B2373" s="5">
        <f t="shared" si="84"/>
        <v>2022</v>
      </c>
      <c r="C2373" s="7">
        <v>44721</v>
      </c>
      <c r="D2373" s="8">
        <v>6.0928000000000004</v>
      </c>
      <c r="E2373" s="8">
        <v>6.0797999999999996</v>
      </c>
    </row>
    <row r="2374" spans="1:5" x14ac:dyDescent="0.2">
      <c r="A2374" s="5">
        <f t="shared" si="83"/>
        <v>6</v>
      </c>
      <c r="B2374" s="5">
        <f t="shared" si="84"/>
        <v>2022</v>
      </c>
      <c r="C2374" s="7">
        <v>44722</v>
      </c>
      <c r="D2374" s="8">
        <v>5.9202000000000004</v>
      </c>
      <c r="E2374" s="8">
        <v>5.9085999999999999</v>
      </c>
    </row>
    <row r="2375" spans="1:5" x14ac:dyDescent="0.2">
      <c r="A2375" s="5">
        <f t="shared" si="83"/>
        <v>6</v>
      </c>
      <c r="B2375" s="5">
        <f t="shared" si="84"/>
        <v>2022</v>
      </c>
      <c r="C2375" s="7">
        <v>44725</v>
      </c>
      <c r="D2375" s="8">
        <v>5.9314999999999998</v>
      </c>
      <c r="E2375" s="8">
        <v>5.8898000000000001</v>
      </c>
    </row>
    <row r="2376" spans="1:5" x14ac:dyDescent="0.2">
      <c r="A2376" s="5">
        <f t="shared" si="83"/>
        <v>6</v>
      </c>
      <c r="B2376" s="5">
        <f t="shared" si="84"/>
        <v>2022</v>
      </c>
      <c r="C2376" s="7">
        <v>44726</v>
      </c>
      <c r="D2376" s="8">
        <v>5.9314999999999998</v>
      </c>
      <c r="E2376" s="8">
        <v>5.883</v>
      </c>
    </row>
    <row r="2377" spans="1:5" x14ac:dyDescent="0.2">
      <c r="A2377" s="5">
        <f t="shared" si="83"/>
        <v>6</v>
      </c>
      <c r="B2377" s="5">
        <f t="shared" si="84"/>
        <v>2022</v>
      </c>
      <c r="C2377" s="7">
        <v>44727</v>
      </c>
      <c r="D2377" s="8">
        <v>5.9428000000000001</v>
      </c>
      <c r="E2377" s="8">
        <v>5.8677999999999999</v>
      </c>
    </row>
    <row r="2378" spans="1:5" x14ac:dyDescent="0.2">
      <c r="A2378" s="5">
        <f t="shared" si="83"/>
        <v>6</v>
      </c>
      <c r="B2378" s="5">
        <f t="shared" si="84"/>
        <v>2022</v>
      </c>
      <c r="C2378" s="7">
        <v>44729</v>
      </c>
      <c r="D2378" s="8">
        <v>5.9023000000000003</v>
      </c>
      <c r="E2378" s="8">
        <v>5.7927</v>
      </c>
    </row>
    <row r="2379" spans="1:5" x14ac:dyDescent="0.2">
      <c r="A2379" s="5">
        <f t="shared" si="83"/>
        <v>6</v>
      </c>
      <c r="B2379" s="5">
        <f t="shared" si="84"/>
        <v>2022</v>
      </c>
      <c r="C2379" s="7">
        <v>44732</v>
      </c>
      <c r="D2379" s="8">
        <v>5.8728999999999996</v>
      </c>
      <c r="E2379" s="8">
        <v>5.6821000000000002</v>
      </c>
    </row>
    <row r="2380" spans="1:5" x14ac:dyDescent="0.2">
      <c r="A2380" s="5">
        <f t="shared" si="83"/>
        <v>6</v>
      </c>
      <c r="B2380" s="5">
        <f t="shared" si="84"/>
        <v>2022</v>
      </c>
      <c r="C2380" s="7">
        <v>44733</v>
      </c>
      <c r="D2380" s="8">
        <v>5.8728999999999996</v>
      </c>
      <c r="E2380" s="8">
        <v>5.6699000000000002</v>
      </c>
    </row>
    <row r="2381" spans="1:5" x14ac:dyDescent="0.2">
      <c r="A2381" s="5">
        <f t="shared" si="83"/>
        <v>6</v>
      </c>
      <c r="B2381" s="5">
        <f t="shared" si="84"/>
        <v>2022</v>
      </c>
      <c r="C2381" s="7">
        <v>44734</v>
      </c>
      <c r="D2381" s="8">
        <v>5.8728999999999996</v>
      </c>
      <c r="E2381" s="8">
        <v>5.6670999999999996</v>
      </c>
    </row>
    <row r="2382" spans="1:5" x14ac:dyDescent="0.2">
      <c r="A2382" s="5">
        <f t="shared" si="83"/>
        <v>6</v>
      </c>
      <c r="B2382" s="5">
        <f t="shared" si="84"/>
        <v>2022</v>
      </c>
      <c r="C2382" s="7">
        <v>44735</v>
      </c>
      <c r="D2382" s="8">
        <v>5.8882000000000003</v>
      </c>
      <c r="E2382" s="8">
        <v>5.6653000000000002</v>
      </c>
    </row>
    <row r="2383" spans="1:5" x14ac:dyDescent="0.2">
      <c r="A2383" s="5">
        <f t="shared" si="83"/>
        <v>6</v>
      </c>
      <c r="B2383" s="5">
        <f t="shared" si="84"/>
        <v>2022</v>
      </c>
      <c r="C2383" s="7">
        <v>44736</v>
      </c>
      <c r="D2383" s="8">
        <v>5.8882000000000003</v>
      </c>
      <c r="E2383" s="8">
        <v>5.6726000000000001</v>
      </c>
    </row>
    <row r="2384" spans="1:5" x14ac:dyDescent="0.2">
      <c r="A2384" s="5">
        <f t="shared" si="83"/>
        <v>6</v>
      </c>
      <c r="B2384" s="5">
        <f t="shared" si="84"/>
        <v>2022</v>
      </c>
      <c r="C2384" s="7">
        <v>44739</v>
      </c>
      <c r="D2384" s="8">
        <v>5.8741000000000003</v>
      </c>
      <c r="E2384" s="8">
        <v>5.6139000000000001</v>
      </c>
    </row>
    <row r="2385" spans="1:5" x14ac:dyDescent="0.2">
      <c r="A2385" s="5">
        <f t="shared" si="83"/>
        <v>6</v>
      </c>
      <c r="B2385" s="5">
        <f t="shared" si="84"/>
        <v>2022</v>
      </c>
      <c r="C2385" s="7">
        <v>44740</v>
      </c>
      <c r="D2385" s="8">
        <v>5.8741000000000003</v>
      </c>
      <c r="E2385" s="8">
        <v>5.5946999999999996</v>
      </c>
    </row>
    <row r="2386" spans="1:5" x14ac:dyDescent="0.2">
      <c r="A2386" s="5">
        <f t="shared" si="83"/>
        <v>6</v>
      </c>
      <c r="B2386" s="5">
        <f t="shared" si="84"/>
        <v>2022</v>
      </c>
      <c r="C2386" s="7">
        <v>44741</v>
      </c>
      <c r="D2386" s="8">
        <v>5.8882000000000003</v>
      </c>
      <c r="E2386" s="8">
        <v>5.5835999999999997</v>
      </c>
    </row>
    <row r="2387" spans="1:5" x14ac:dyDescent="0.2">
      <c r="A2387" s="5">
        <f t="shared" si="83"/>
        <v>6</v>
      </c>
      <c r="B2387" s="5">
        <f t="shared" si="84"/>
        <v>2022</v>
      </c>
      <c r="C2387" s="7">
        <v>44742</v>
      </c>
      <c r="D2387" s="8">
        <v>5.8728999999999996</v>
      </c>
      <c r="E2387" s="8">
        <v>5.5571999999999999</v>
      </c>
    </row>
    <row r="2388" spans="1:5" x14ac:dyDescent="0.2">
      <c r="A2388" s="5">
        <f t="shared" si="83"/>
        <v>7</v>
      </c>
      <c r="B2388" s="5">
        <f t="shared" si="84"/>
        <v>2022</v>
      </c>
      <c r="C2388" s="7">
        <v>44743</v>
      </c>
      <c r="D2388" s="8">
        <v>5.7591999999999999</v>
      </c>
      <c r="E2388" s="8">
        <v>5.4532999999999996</v>
      </c>
    </row>
    <row r="2389" spans="1:5" x14ac:dyDescent="0.2">
      <c r="A2389" s="5">
        <f t="shared" si="83"/>
        <v>7</v>
      </c>
      <c r="B2389" s="5">
        <f t="shared" si="84"/>
        <v>2022</v>
      </c>
      <c r="C2389" s="7">
        <v>44746</v>
      </c>
      <c r="D2389" s="8">
        <v>5.7233999999999998</v>
      </c>
      <c r="E2389" s="8">
        <v>5.3436000000000003</v>
      </c>
    </row>
    <row r="2390" spans="1:5" x14ac:dyDescent="0.2">
      <c r="A2390" s="5">
        <f t="shared" si="83"/>
        <v>7</v>
      </c>
      <c r="B2390" s="5">
        <f t="shared" si="84"/>
        <v>2022</v>
      </c>
      <c r="C2390" s="7">
        <v>44747</v>
      </c>
      <c r="D2390" s="8">
        <v>5.7015000000000002</v>
      </c>
      <c r="E2390" s="8">
        <v>5.2979000000000003</v>
      </c>
    </row>
    <row r="2391" spans="1:5" x14ac:dyDescent="0.2">
      <c r="A2391" s="5">
        <f t="shared" si="83"/>
        <v>7</v>
      </c>
      <c r="B2391" s="5">
        <f t="shared" si="84"/>
        <v>2022</v>
      </c>
      <c r="C2391" s="7">
        <v>44748</v>
      </c>
      <c r="D2391" s="8">
        <v>5.6847000000000003</v>
      </c>
      <c r="E2391" s="8">
        <v>5.2689000000000004</v>
      </c>
    </row>
    <row r="2392" spans="1:5" x14ac:dyDescent="0.2">
      <c r="A2392" s="5">
        <f t="shared" si="83"/>
        <v>7</v>
      </c>
      <c r="B2392" s="5">
        <f t="shared" si="84"/>
        <v>2022</v>
      </c>
      <c r="C2392" s="7">
        <v>44749</v>
      </c>
      <c r="D2392" s="8">
        <v>5.6283000000000003</v>
      </c>
      <c r="E2392" s="8">
        <v>5.1566999999999998</v>
      </c>
    </row>
    <row r="2393" spans="1:5" x14ac:dyDescent="0.2">
      <c r="A2393" s="5">
        <f t="shared" si="83"/>
        <v>7</v>
      </c>
      <c r="B2393" s="5">
        <f t="shared" si="84"/>
        <v>2022</v>
      </c>
      <c r="C2393" s="7">
        <v>44750</v>
      </c>
      <c r="D2393" s="8">
        <v>5.1416000000000004</v>
      </c>
      <c r="E2393" s="8">
        <v>5.1585999999999999</v>
      </c>
    </row>
    <row r="2394" spans="1:5" x14ac:dyDescent="0.2">
      <c r="A2394" s="5">
        <f t="shared" si="83"/>
        <v>7</v>
      </c>
      <c r="B2394" s="5">
        <f t="shared" si="84"/>
        <v>2022</v>
      </c>
      <c r="C2394" s="7">
        <v>44753</v>
      </c>
      <c r="D2394" s="8">
        <v>5.0753000000000004</v>
      </c>
      <c r="E2394" s="8">
        <v>5.1798000000000002</v>
      </c>
    </row>
    <row r="2395" spans="1:5" x14ac:dyDescent="0.2">
      <c r="A2395" s="5">
        <f t="shared" si="83"/>
        <v>7</v>
      </c>
      <c r="B2395" s="5">
        <f t="shared" si="84"/>
        <v>2022</v>
      </c>
      <c r="C2395" s="7">
        <v>44754</v>
      </c>
      <c r="D2395" s="8">
        <v>5.0719000000000003</v>
      </c>
      <c r="E2395" s="8">
        <v>5.1822999999999997</v>
      </c>
    </row>
    <row r="2396" spans="1:5" x14ac:dyDescent="0.2">
      <c r="A2396" s="5">
        <f t="shared" si="83"/>
        <v>7</v>
      </c>
      <c r="B2396" s="5">
        <f t="shared" si="84"/>
        <v>2022</v>
      </c>
      <c r="C2396" s="7">
        <v>44755</v>
      </c>
      <c r="D2396" s="8">
        <v>5.0578000000000003</v>
      </c>
      <c r="E2396" s="8">
        <v>5.1860999999999997</v>
      </c>
    </row>
    <row r="2397" spans="1:5" x14ac:dyDescent="0.2">
      <c r="A2397" s="5">
        <f t="shared" si="83"/>
        <v>7</v>
      </c>
      <c r="B2397" s="5">
        <f t="shared" si="84"/>
        <v>2022</v>
      </c>
      <c r="C2397" s="7">
        <v>44756</v>
      </c>
      <c r="D2397" s="8">
        <v>5.0719000000000003</v>
      </c>
      <c r="E2397" s="8">
        <v>5.2336</v>
      </c>
    </row>
    <row r="2398" spans="1:5" x14ac:dyDescent="0.2">
      <c r="A2398" s="5">
        <f t="shared" si="83"/>
        <v>7</v>
      </c>
      <c r="B2398" s="5">
        <f t="shared" si="84"/>
        <v>2022</v>
      </c>
      <c r="C2398" s="7">
        <v>44757</v>
      </c>
      <c r="D2398" s="8">
        <v>5.0575999999999999</v>
      </c>
      <c r="E2398" s="8">
        <v>5.24</v>
      </c>
    </row>
    <row r="2399" spans="1:5" x14ac:dyDescent="0.2">
      <c r="A2399" s="5">
        <f t="shared" si="83"/>
        <v>7</v>
      </c>
      <c r="B2399" s="5">
        <f t="shared" si="84"/>
        <v>2022</v>
      </c>
      <c r="C2399" s="7">
        <v>44760</v>
      </c>
      <c r="D2399" s="8">
        <v>5.0365000000000002</v>
      </c>
      <c r="E2399" s="8">
        <v>5.2621000000000002</v>
      </c>
    </row>
    <row r="2400" spans="1:5" x14ac:dyDescent="0.2">
      <c r="A2400" s="5">
        <f t="shared" si="83"/>
        <v>7</v>
      </c>
      <c r="B2400" s="5">
        <f t="shared" si="84"/>
        <v>2022</v>
      </c>
      <c r="C2400" s="7">
        <v>44761</v>
      </c>
      <c r="D2400" s="8">
        <v>5.0349000000000004</v>
      </c>
      <c r="E2400" s="8">
        <v>5.2839</v>
      </c>
    </row>
    <row r="2401" spans="1:5" x14ac:dyDescent="0.2">
      <c r="A2401" s="5">
        <f t="shared" si="83"/>
        <v>7</v>
      </c>
      <c r="B2401" s="5">
        <f t="shared" si="84"/>
        <v>2022</v>
      </c>
      <c r="C2401" s="7">
        <v>44762</v>
      </c>
      <c r="D2401" s="8">
        <v>5.0129999999999999</v>
      </c>
      <c r="E2401" s="8">
        <v>5.2824</v>
      </c>
    </row>
    <row r="2402" spans="1:5" x14ac:dyDescent="0.2">
      <c r="A2402" s="5">
        <f t="shared" si="83"/>
        <v>7</v>
      </c>
      <c r="B2402" s="5">
        <f t="shared" si="84"/>
        <v>2022</v>
      </c>
      <c r="C2402" s="7">
        <v>44763</v>
      </c>
      <c r="D2402" s="8">
        <v>4.9691000000000001</v>
      </c>
      <c r="E2402" s="8">
        <v>5.31</v>
      </c>
    </row>
    <row r="2403" spans="1:5" x14ac:dyDescent="0.2">
      <c r="A2403" s="5">
        <f t="shared" si="83"/>
        <v>7</v>
      </c>
      <c r="B2403" s="5">
        <f t="shared" si="84"/>
        <v>2022</v>
      </c>
      <c r="C2403" s="7">
        <v>44764</v>
      </c>
      <c r="D2403" s="8">
        <v>4.9530000000000003</v>
      </c>
      <c r="E2403" s="8">
        <v>5.3776000000000002</v>
      </c>
    </row>
    <row r="2404" spans="1:5" x14ac:dyDescent="0.2">
      <c r="A2404" s="5">
        <f t="shared" si="83"/>
        <v>7</v>
      </c>
      <c r="B2404" s="5">
        <f t="shared" si="84"/>
        <v>2022</v>
      </c>
      <c r="C2404" s="7">
        <v>44767</v>
      </c>
      <c r="D2404" s="8">
        <v>4.9530000000000003</v>
      </c>
      <c r="E2404" s="8">
        <v>5.4679000000000002</v>
      </c>
    </row>
    <row r="2405" spans="1:5" x14ac:dyDescent="0.2">
      <c r="A2405" s="5">
        <f t="shared" si="83"/>
        <v>7</v>
      </c>
      <c r="B2405" s="5">
        <f t="shared" si="84"/>
        <v>2022</v>
      </c>
      <c r="C2405" s="7">
        <v>44768</v>
      </c>
      <c r="D2405" s="8">
        <v>4.9359000000000002</v>
      </c>
      <c r="E2405" s="8">
        <v>5.4813999999999998</v>
      </c>
    </row>
    <row r="2406" spans="1:5" x14ac:dyDescent="0.2">
      <c r="A2406" s="5">
        <f t="shared" si="83"/>
        <v>7</v>
      </c>
      <c r="B2406" s="5">
        <f t="shared" si="84"/>
        <v>2022</v>
      </c>
      <c r="C2406" s="7">
        <v>44769</v>
      </c>
      <c r="D2406" s="8">
        <v>4.9359000000000002</v>
      </c>
      <c r="E2406" s="8">
        <v>5.5080999999999998</v>
      </c>
    </row>
    <row r="2407" spans="1:5" x14ac:dyDescent="0.2">
      <c r="A2407" s="5">
        <f t="shared" si="83"/>
        <v>7</v>
      </c>
      <c r="B2407" s="5">
        <f t="shared" si="84"/>
        <v>2022</v>
      </c>
      <c r="C2407" s="7">
        <v>44770</v>
      </c>
      <c r="D2407" s="8">
        <v>4.8766999999999996</v>
      </c>
      <c r="E2407" s="8">
        <v>5.5110999999999999</v>
      </c>
    </row>
    <row r="2408" spans="1:5" x14ac:dyDescent="0.2">
      <c r="A2408" s="5">
        <f t="shared" si="83"/>
        <v>7</v>
      </c>
      <c r="B2408" s="5">
        <f t="shared" si="84"/>
        <v>2022</v>
      </c>
      <c r="C2408" s="7">
        <v>44771</v>
      </c>
      <c r="D2408" s="8">
        <v>4.8041</v>
      </c>
      <c r="E2408" s="8">
        <v>5.5240999999999998</v>
      </c>
    </row>
    <row r="2409" spans="1:5" x14ac:dyDescent="0.2">
      <c r="A2409" s="5">
        <f t="shared" si="83"/>
        <v>8</v>
      </c>
      <c r="B2409" s="5">
        <f t="shared" si="84"/>
        <v>2022</v>
      </c>
      <c r="C2409" s="7">
        <v>44774</v>
      </c>
      <c r="D2409" s="8">
        <v>4.8032000000000004</v>
      </c>
      <c r="E2409" s="8">
        <v>5.6044999999999998</v>
      </c>
    </row>
    <row r="2410" spans="1:5" x14ac:dyDescent="0.2">
      <c r="A2410" s="5">
        <f t="shared" si="83"/>
        <v>8</v>
      </c>
      <c r="B2410" s="5">
        <f t="shared" si="84"/>
        <v>2022</v>
      </c>
      <c r="C2410" s="7">
        <v>44775</v>
      </c>
      <c r="D2410" s="8">
        <v>4.8022</v>
      </c>
      <c r="E2410" s="8">
        <v>5.6147999999999998</v>
      </c>
    </row>
    <row r="2411" spans="1:5" x14ac:dyDescent="0.2">
      <c r="A2411" s="5">
        <f t="shared" si="83"/>
        <v>8</v>
      </c>
      <c r="B2411" s="5">
        <f t="shared" si="84"/>
        <v>2022</v>
      </c>
      <c r="C2411" s="7">
        <v>44776</v>
      </c>
      <c r="D2411" s="8">
        <v>4.8022</v>
      </c>
      <c r="E2411" s="8">
        <v>5.6456</v>
      </c>
    </row>
    <row r="2412" spans="1:5" x14ac:dyDescent="0.2">
      <c r="A2412" s="5">
        <f t="shared" si="83"/>
        <v>8</v>
      </c>
      <c r="B2412" s="5">
        <f t="shared" si="84"/>
        <v>2022</v>
      </c>
      <c r="C2412" s="7">
        <v>44777</v>
      </c>
      <c r="D2412" s="8">
        <v>4.8085000000000004</v>
      </c>
      <c r="E2412" s="8">
        <v>5.7081999999999997</v>
      </c>
    </row>
    <row r="2413" spans="1:5" x14ac:dyDescent="0.2">
      <c r="A2413" s="5">
        <f t="shared" si="83"/>
        <v>8</v>
      </c>
      <c r="B2413" s="5">
        <f t="shared" si="84"/>
        <v>2022</v>
      </c>
      <c r="C2413" s="7">
        <v>44778</v>
      </c>
      <c r="D2413" s="8">
        <v>4.7801999999999998</v>
      </c>
      <c r="E2413" s="8">
        <v>5.6946000000000003</v>
      </c>
    </row>
    <row r="2414" spans="1:5" x14ac:dyDescent="0.2">
      <c r="A2414" s="5">
        <f t="shared" si="83"/>
        <v>8</v>
      </c>
      <c r="B2414" s="5">
        <f t="shared" si="84"/>
        <v>2022</v>
      </c>
      <c r="C2414" s="7">
        <v>44781</v>
      </c>
      <c r="D2414" s="8">
        <v>4.7161</v>
      </c>
      <c r="E2414" s="8">
        <v>5.7438000000000002</v>
      </c>
    </row>
    <row r="2415" spans="1:5" x14ac:dyDescent="0.2">
      <c r="A2415" s="5">
        <f t="shared" si="83"/>
        <v>8</v>
      </c>
      <c r="B2415" s="5">
        <f t="shared" si="84"/>
        <v>2022</v>
      </c>
      <c r="C2415" s="7">
        <v>44782</v>
      </c>
      <c r="D2415" s="8">
        <v>5.7108999999999996</v>
      </c>
      <c r="E2415" s="8">
        <v>5.7107000000000001</v>
      </c>
    </row>
    <row r="2416" spans="1:5" x14ac:dyDescent="0.2">
      <c r="A2416" s="5">
        <f t="shared" si="83"/>
        <v>8</v>
      </c>
      <c r="B2416" s="5">
        <f t="shared" si="84"/>
        <v>2022</v>
      </c>
      <c r="C2416" s="7">
        <v>44783</v>
      </c>
      <c r="D2416" s="8">
        <v>5.7412000000000001</v>
      </c>
      <c r="E2416" s="8">
        <v>5.7591999999999999</v>
      </c>
    </row>
    <row r="2417" spans="1:5" x14ac:dyDescent="0.2">
      <c r="A2417" s="5">
        <f t="shared" si="83"/>
        <v>8</v>
      </c>
      <c r="B2417" s="5">
        <f t="shared" si="84"/>
        <v>2022</v>
      </c>
      <c r="C2417" s="7">
        <v>44784</v>
      </c>
      <c r="D2417" s="8">
        <v>5.7385000000000002</v>
      </c>
      <c r="E2417" s="8">
        <v>5.7774000000000001</v>
      </c>
    </row>
    <row r="2418" spans="1:5" x14ac:dyDescent="0.2">
      <c r="A2418" s="5">
        <f t="shared" si="83"/>
        <v>8</v>
      </c>
      <c r="B2418" s="5">
        <f t="shared" si="84"/>
        <v>2022</v>
      </c>
      <c r="C2418" s="7">
        <v>44785</v>
      </c>
      <c r="D2418" s="8">
        <v>5.6391999999999998</v>
      </c>
      <c r="E2418" s="8">
        <v>5.7051999999999996</v>
      </c>
    </row>
    <row r="2419" spans="1:5" x14ac:dyDescent="0.2">
      <c r="A2419" s="5">
        <f t="shared" si="83"/>
        <v>8</v>
      </c>
      <c r="B2419" s="5">
        <f t="shared" si="84"/>
        <v>2022</v>
      </c>
      <c r="C2419" s="7">
        <v>44788</v>
      </c>
      <c r="D2419" s="8">
        <v>5.6203000000000003</v>
      </c>
      <c r="E2419" s="8">
        <v>5.7313999999999998</v>
      </c>
    </row>
    <row r="2420" spans="1:5" x14ac:dyDescent="0.2">
      <c r="A2420" s="5">
        <f t="shared" si="83"/>
        <v>8</v>
      </c>
      <c r="B2420" s="5">
        <f t="shared" si="84"/>
        <v>2022</v>
      </c>
      <c r="C2420" s="7">
        <v>44789</v>
      </c>
      <c r="D2420" s="8">
        <v>5.6203000000000003</v>
      </c>
      <c r="E2420" s="8">
        <v>5.7522000000000002</v>
      </c>
    </row>
    <row r="2421" spans="1:5" x14ac:dyDescent="0.2">
      <c r="A2421" s="5">
        <f t="shared" si="83"/>
        <v>8</v>
      </c>
      <c r="B2421" s="5">
        <f t="shared" si="84"/>
        <v>2022</v>
      </c>
      <c r="C2421" s="7">
        <v>44790</v>
      </c>
      <c r="D2421" s="8">
        <v>5.6132999999999997</v>
      </c>
      <c r="E2421" s="8">
        <v>5.7618999999999998</v>
      </c>
    </row>
    <row r="2422" spans="1:5" x14ac:dyDescent="0.2">
      <c r="A2422" s="5">
        <f t="shared" si="83"/>
        <v>8</v>
      </c>
      <c r="B2422" s="5">
        <f t="shared" si="84"/>
        <v>2022</v>
      </c>
      <c r="C2422" s="7">
        <v>44791</v>
      </c>
      <c r="D2422" s="8">
        <v>5.6017000000000001</v>
      </c>
      <c r="E2422" s="8">
        <v>5.7679</v>
      </c>
    </row>
    <row r="2423" spans="1:5" x14ac:dyDescent="0.2">
      <c r="A2423" s="5">
        <f t="shared" si="83"/>
        <v>8</v>
      </c>
      <c r="B2423" s="5">
        <f t="shared" si="84"/>
        <v>2022</v>
      </c>
      <c r="C2423" s="7">
        <v>44792</v>
      </c>
      <c r="D2423" s="8">
        <v>5.3631000000000002</v>
      </c>
      <c r="E2423" s="8">
        <v>5.5339</v>
      </c>
    </row>
    <row r="2424" spans="1:5" x14ac:dyDescent="0.2">
      <c r="A2424" s="5">
        <f t="shared" si="83"/>
        <v>8</v>
      </c>
      <c r="B2424" s="5">
        <f t="shared" si="84"/>
        <v>2022</v>
      </c>
      <c r="C2424" s="7">
        <v>44795</v>
      </c>
      <c r="D2424" s="8">
        <v>5.3110999999999997</v>
      </c>
      <c r="E2424" s="8">
        <v>5.5651999999999999</v>
      </c>
    </row>
    <row r="2425" spans="1:5" x14ac:dyDescent="0.2">
      <c r="A2425" s="5">
        <f t="shared" si="83"/>
        <v>8</v>
      </c>
      <c r="B2425" s="5">
        <f t="shared" si="84"/>
        <v>2022</v>
      </c>
      <c r="C2425" s="7">
        <v>44796</v>
      </c>
      <c r="D2425" s="8">
        <v>5.327</v>
      </c>
      <c r="E2425" s="8">
        <v>5.5766</v>
      </c>
    </row>
    <row r="2426" spans="1:5" x14ac:dyDescent="0.2">
      <c r="A2426" s="5">
        <f t="shared" si="83"/>
        <v>8</v>
      </c>
      <c r="B2426" s="5">
        <f t="shared" si="84"/>
        <v>2022</v>
      </c>
      <c r="C2426" s="7">
        <v>44797</v>
      </c>
      <c r="D2426" s="8">
        <v>5.3094999999999999</v>
      </c>
      <c r="E2426" s="8">
        <v>5.5842000000000001</v>
      </c>
    </row>
    <row r="2427" spans="1:5" x14ac:dyDescent="0.2">
      <c r="A2427" s="5">
        <f t="shared" si="83"/>
        <v>8</v>
      </c>
      <c r="B2427" s="5">
        <f t="shared" si="84"/>
        <v>2022</v>
      </c>
      <c r="C2427" s="7">
        <v>44798</v>
      </c>
      <c r="D2427" s="8">
        <v>5.2779999999999996</v>
      </c>
      <c r="E2427" s="8">
        <v>5.5937000000000001</v>
      </c>
    </row>
    <row r="2428" spans="1:5" x14ac:dyDescent="0.2">
      <c r="A2428" s="5">
        <f t="shared" si="83"/>
        <v>8</v>
      </c>
      <c r="B2428" s="5">
        <f t="shared" si="84"/>
        <v>2022</v>
      </c>
      <c r="C2428" s="7">
        <v>44799</v>
      </c>
      <c r="D2428" s="8">
        <v>5.2724000000000002</v>
      </c>
      <c r="E2428" s="8">
        <v>5.5906000000000002</v>
      </c>
    </row>
    <row r="2429" spans="1:5" x14ac:dyDescent="0.2">
      <c r="A2429" s="5">
        <f t="shared" si="83"/>
        <v>8</v>
      </c>
      <c r="B2429" s="5">
        <f t="shared" si="84"/>
        <v>2022</v>
      </c>
      <c r="C2429" s="7">
        <v>44802</v>
      </c>
      <c r="D2429" s="8">
        <v>5.2000999999999999</v>
      </c>
      <c r="E2429" s="8">
        <v>5.6106999999999996</v>
      </c>
    </row>
    <row r="2430" spans="1:5" x14ac:dyDescent="0.2">
      <c r="A2430" s="5">
        <f t="shared" si="83"/>
        <v>8</v>
      </c>
      <c r="B2430" s="5">
        <f t="shared" si="84"/>
        <v>2022</v>
      </c>
      <c r="C2430" s="7">
        <v>44803</v>
      </c>
      <c r="D2430" s="8">
        <v>5.1745000000000001</v>
      </c>
      <c r="E2430" s="8">
        <v>5.6184000000000003</v>
      </c>
    </row>
    <row r="2431" spans="1:5" x14ac:dyDescent="0.2">
      <c r="A2431" s="5">
        <f t="shared" si="83"/>
        <v>8</v>
      </c>
      <c r="B2431" s="5">
        <f t="shared" si="84"/>
        <v>2022</v>
      </c>
      <c r="C2431" s="7">
        <v>44804</v>
      </c>
      <c r="D2431" s="8">
        <v>5.1637000000000004</v>
      </c>
      <c r="E2431" s="8">
        <v>5.6374000000000004</v>
      </c>
    </row>
    <row r="2432" spans="1:5" x14ac:dyDescent="0.2">
      <c r="A2432" s="5">
        <f t="shared" si="83"/>
        <v>9</v>
      </c>
      <c r="B2432" s="5">
        <f t="shared" si="84"/>
        <v>2022</v>
      </c>
      <c r="C2432" s="7">
        <v>44805</v>
      </c>
      <c r="D2432" s="8">
        <v>5.1637000000000004</v>
      </c>
      <c r="E2432" s="8">
        <v>5.6531000000000002</v>
      </c>
    </row>
    <row r="2433" spans="1:5" x14ac:dyDescent="0.2">
      <c r="A2433" s="5">
        <f t="shared" si="83"/>
        <v>9</v>
      </c>
      <c r="B2433" s="5">
        <f t="shared" si="84"/>
        <v>2022</v>
      </c>
      <c r="C2433" s="7">
        <v>44806</v>
      </c>
      <c r="D2433" s="8">
        <v>5.0884</v>
      </c>
      <c r="E2433" s="8">
        <v>5.6189</v>
      </c>
    </row>
    <row r="2434" spans="1:5" x14ac:dyDescent="0.2">
      <c r="A2434" s="5">
        <f t="shared" si="83"/>
        <v>9</v>
      </c>
      <c r="B2434" s="5">
        <f t="shared" si="84"/>
        <v>2022</v>
      </c>
      <c r="C2434" s="7">
        <v>44809</v>
      </c>
      <c r="D2434" s="8">
        <v>5.0179999999999998</v>
      </c>
      <c r="E2434" s="8">
        <v>5.6429</v>
      </c>
    </row>
    <row r="2435" spans="1:5" x14ac:dyDescent="0.2">
      <c r="A2435" s="5">
        <f t="shared" si="83"/>
        <v>9</v>
      </c>
      <c r="B2435" s="5">
        <f t="shared" si="84"/>
        <v>2022</v>
      </c>
      <c r="C2435" s="7">
        <v>44810</v>
      </c>
      <c r="D2435" s="8">
        <v>5.0163000000000002</v>
      </c>
      <c r="E2435" s="8">
        <v>5.6585999999999999</v>
      </c>
    </row>
    <row r="2436" spans="1:5" x14ac:dyDescent="0.2">
      <c r="A2436" s="5">
        <f t="shared" ref="A2436:A2499" si="85">MONTH(C2436)</f>
        <v>9</v>
      </c>
      <c r="B2436" s="5">
        <f t="shared" ref="B2436:B2499" si="86">YEAR(C2436)</f>
        <v>2022</v>
      </c>
      <c r="C2436" s="7">
        <v>44812</v>
      </c>
      <c r="D2436" s="8">
        <v>4.9734999999999996</v>
      </c>
      <c r="E2436" s="8">
        <v>5.6962000000000002</v>
      </c>
    </row>
    <row r="2437" spans="1:5" x14ac:dyDescent="0.2">
      <c r="A2437" s="5">
        <f t="shared" si="85"/>
        <v>9</v>
      </c>
      <c r="B2437" s="5">
        <f t="shared" si="86"/>
        <v>2022</v>
      </c>
      <c r="C2437" s="7">
        <v>44813</v>
      </c>
      <c r="D2437" s="8">
        <v>5.5171000000000001</v>
      </c>
      <c r="E2437" s="8">
        <v>5.5242000000000004</v>
      </c>
    </row>
    <row r="2438" spans="1:5" x14ac:dyDescent="0.2">
      <c r="A2438" s="5">
        <f t="shared" si="85"/>
        <v>9</v>
      </c>
      <c r="B2438" s="5">
        <f t="shared" si="86"/>
        <v>2022</v>
      </c>
      <c r="C2438" s="7">
        <v>44816</v>
      </c>
      <c r="D2438" s="8">
        <v>5.3986000000000001</v>
      </c>
      <c r="E2438" s="8">
        <v>5.4355000000000002</v>
      </c>
    </row>
    <row r="2439" spans="1:5" x14ac:dyDescent="0.2">
      <c r="A2439" s="5">
        <f t="shared" si="85"/>
        <v>9</v>
      </c>
      <c r="B2439" s="5">
        <f t="shared" si="86"/>
        <v>2022</v>
      </c>
      <c r="C2439" s="7">
        <v>44817</v>
      </c>
      <c r="D2439" s="8">
        <v>5.3648999999999996</v>
      </c>
      <c r="E2439" s="8">
        <v>5.4032</v>
      </c>
    </row>
    <row r="2440" spans="1:5" x14ac:dyDescent="0.2">
      <c r="A2440" s="5">
        <f t="shared" si="85"/>
        <v>9</v>
      </c>
      <c r="B2440" s="5">
        <f t="shared" si="86"/>
        <v>2022</v>
      </c>
      <c r="C2440" s="7">
        <v>44818</v>
      </c>
      <c r="D2440" s="8">
        <v>5.3491999999999997</v>
      </c>
      <c r="E2440" s="8">
        <v>5.3949999999999996</v>
      </c>
    </row>
    <row r="2441" spans="1:5" x14ac:dyDescent="0.2">
      <c r="A2441" s="5">
        <f t="shared" si="85"/>
        <v>9</v>
      </c>
      <c r="B2441" s="5">
        <f t="shared" si="86"/>
        <v>2022</v>
      </c>
      <c r="C2441" s="7">
        <v>44819</v>
      </c>
      <c r="D2441" s="8">
        <v>5.2910000000000004</v>
      </c>
      <c r="E2441" s="8">
        <v>5.3789999999999996</v>
      </c>
    </row>
    <row r="2442" spans="1:5" x14ac:dyDescent="0.2">
      <c r="A2442" s="5">
        <f t="shared" si="85"/>
        <v>9</v>
      </c>
      <c r="B2442" s="5">
        <f t="shared" si="86"/>
        <v>2022</v>
      </c>
      <c r="C2442" s="7">
        <v>44820</v>
      </c>
      <c r="D2442" s="8">
        <v>4.9866000000000001</v>
      </c>
      <c r="E2442" s="8">
        <v>5.1013000000000002</v>
      </c>
    </row>
    <row r="2443" spans="1:5" x14ac:dyDescent="0.2">
      <c r="A2443" s="5">
        <f t="shared" si="85"/>
        <v>9</v>
      </c>
      <c r="B2443" s="5">
        <f t="shared" si="86"/>
        <v>2022</v>
      </c>
      <c r="C2443" s="7">
        <v>44823</v>
      </c>
      <c r="D2443" s="8">
        <v>4.9866000000000001</v>
      </c>
      <c r="E2443" s="8">
        <v>5.1445999999999996</v>
      </c>
    </row>
    <row r="2444" spans="1:5" x14ac:dyDescent="0.2">
      <c r="A2444" s="5">
        <f t="shared" si="85"/>
        <v>9</v>
      </c>
      <c r="B2444" s="5">
        <f t="shared" si="86"/>
        <v>2022</v>
      </c>
      <c r="C2444" s="7">
        <v>44824</v>
      </c>
      <c r="D2444" s="8">
        <v>4.9862000000000002</v>
      </c>
      <c r="E2444" s="8">
        <v>5.1589999999999998</v>
      </c>
    </row>
    <row r="2445" spans="1:5" x14ac:dyDescent="0.2">
      <c r="A2445" s="5">
        <f t="shared" si="85"/>
        <v>9</v>
      </c>
      <c r="B2445" s="5">
        <f t="shared" si="86"/>
        <v>2022</v>
      </c>
      <c r="C2445" s="7">
        <v>44825</v>
      </c>
      <c r="D2445" s="8">
        <v>4.9862000000000002</v>
      </c>
      <c r="E2445" s="8">
        <v>5.1778000000000004</v>
      </c>
    </row>
    <row r="2446" spans="1:5" x14ac:dyDescent="0.2">
      <c r="A2446" s="5">
        <f t="shared" si="85"/>
        <v>9</v>
      </c>
      <c r="B2446" s="5">
        <f t="shared" si="86"/>
        <v>2022</v>
      </c>
      <c r="C2446" s="7">
        <v>44826</v>
      </c>
      <c r="D2446" s="8">
        <v>4.9572000000000003</v>
      </c>
      <c r="E2446" s="8">
        <v>5.1733000000000002</v>
      </c>
    </row>
    <row r="2447" spans="1:5" x14ac:dyDescent="0.2">
      <c r="A2447" s="5">
        <f t="shared" si="85"/>
        <v>9</v>
      </c>
      <c r="B2447" s="5">
        <f t="shared" si="86"/>
        <v>2022</v>
      </c>
      <c r="C2447" s="7">
        <v>44827</v>
      </c>
      <c r="D2447" s="8">
        <v>4.8242000000000003</v>
      </c>
      <c r="E2447" s="8">
        <v>5.0875000000000004</v>
      </c>
    </row>
    <row r="2448" spans="1:5" x14ac:dyDescent="0.2">
      <c r="A2448" s="5">
        <f t="shared" si="85"/>
        <v>9</v>
      </c>
      <c r="B2448" s="5">
        <f t="shared" si="86"/>
        <v>2022</v>
      </c>
      <c r="C2448" s="7">
        <v>44830</v>
      </c>
      <c r="D2448" s="8">
        <v>4.8198999999999996</v>
      </c>
      <c r="E2448" s="8">
        <v>5.1205999999999996</v>
      </c>
    </row>
    <row r="2449" spans="1:5" x14ac:dyDescent="0.2">
      <c r="A2449" s="5">
        <f t="shared" si="85"/>
        <v>9</v>
      </c>
      <c r="B2449" s="5">
        <f t="shared" si="86"/>
        <v>2022</v>
      </c>
      <c r="C2449" s="7">
        <v>44831</v>
      </c>
      <c r="D2449" s="8">
        <v>4.8075999999999999</v>
      </c>
      <c r="E2449" s="8">
        <v>5.1173000000000002</v>
      </c>
    </row>
    <row r="2450" spans="1:5" x14ac:dyDescent="0.2">
      <c r="A2450" s="5">
        <f t="shared" si="85"/>
        <v>9</v>
      </c>
      <c r="B2450" s="5">
        <f t="shared" si="86"/>
        <v>2022</v>
      </c>
      <c r="C2450" s="7">
        <v>44832</v>
      </c>
      <c r="D2450" s="8">
        <v>4.7991999999999999</v>
      </c>
      <c r="E2450" s="8">
        <v>5.1170999999999998</v>
      </c>
    </row>
    <row r="2451" spans="1:5" x14ac:dyDescent="0.2">
      <c r="A2451" s="5">
        <f t="shared" si="85"/>
        <v>9</v>
      </c>
      <c r="B2451" s="5">
        <f t="shared" si="86"/>
        <v>2022</v>
      </c>
      <c r="C2451" s="7">
        <v>44833</v>
      </c>
      <c r="D2451" s="8">
        <v>4.7812000000000001</v>
      </c>
      <c r="E2451" s="8">
        <v>5.1227999999999998</v>
      </c>
    </row>
    <row r="2452" spans="1:5" x14ac:dyDescent="0.2">
      <c r="A2452" s="5">
        <f t="shared" si="85"/>
        <v>9</v>
      </c>
      <c r="B2452" s="5">
        <f t="shared" si="86"/>
        <v>2022</v>
      </c>
      <c r="C2452" s="7">
        <v>44834</v>
      </c>
      <c r="D2452" s="8">
        <v>4.7468000000000004</v>
      </c>
      <c r="E2452" s="8">
        <v>5.0914000000000001</v>
      </c>
    </row>
    <row r="2453" spans="1:5" x14ac:dyDescent="0.2">
      <c r="A2453" s="5">
        <f t="shared" si="85"/>
        <v>10</v>
      </c>
      <c r="B2453" s="5">
        <f t="shared" si="86"/>
        <v>2022</v>
      </c>
      <c r="C2453" s="7">
        <v>44837</v>
      </c>
      <c r="D2453" s="8">
        <v>4.7324000000000002</v>
      </c>
      <c r="E2453" s="8">
        <v>5.1429999999999998</v>
      </c>
    </row>
    <row r="2454" spans="1:5" x14ac:dyDescent="0.2">
      <c r="A2454" s="5">
        <f t="shared" si="85"/>
        <v>10</v>
      </c>
      <c r="B2454" s="5">
        <f t="shared" si="86"/>
        <v>2022</v>
      </c>
      <c r="C2454" s="7">
        <v>44838</v>
      </c>
      <c r="D2454" s="8">
        <v>4.7024999999999997</v>
      </c>
      <c r="E2454" s="8">
        <v>5.1623000000000001</v>
      </c>
    </row>
    <row r="2455" spans="1:5" x14ac:dyDescent="0.2">
      <c r="A2455" s="5">
        <f t="shared" si="85"/>
        <v>10</v>
      </c>
      <c r="B2455" s="5">
        <f t="shared" si="86"/>
        <v>2022</v>
      </c>
      <c r="C2455" s="7">
        <v>44839</v>
      </c>
      <c r="D2455" s="8">
        <v>4.7024999999999997</v>
      </c>
      <c r="E2455" s="8">
        <v>5.1764999999999999</v>
      </c>
    </row>
    <row r="2456" spans="1:5" x14ac:dyDescent="0.2">
      <c r="A2456" s="5">
        <f t="shared" si="85"/>
        <v>10</v>
      </c>
      <c r="B2456" s="5">
        <f t="shared" si="86"/>
        <v>2022</v>
      </c>
      <c r="C2456" s="7">
        <v>44840</v>
      </c>
      <c r="D2456" s="8">
        <v>4.6858000000000004</v>
      </c>
      <c r="E2456" s="8">
        <v>5.1932</v>
      </c>
    </row>
    <row r="2457" spans="1:5" x14ac:dyDescent="0.2">
      <c r="A2457" s="5">
        <f t="shared" si="85"/>
        <v>10</v>
      </c>
      <c r="B2457" s="5">
        <f t="shared" si="86"/>
        <v>2022</v>
      </c>
      <c r="C2457" s="7">
        <v>44841</v>
      </c>
      <c r="D2457" s="8">
        <v>4.6573000000000002</v>
      </c>
      <c r="E2457" s="8">
        <v>5.2008000000000001</v>
      </c>
    </row>
    <row r="2458" spans="1:5" x14ac:dyDescent="0.2">
      <c r="A2458" s="5">
        <f t="shared" si="85"/>
        <v>10</v>
      </c>
      <c r="B2458" s="5">
        <f t="shared" si="86"/>
        <v>2022</v>
      </c>
      <c r="C2458" s="7">
        <v>44844</v>
      </c>
      <c r="D2458" s="8">
        <v>4.6502999999999997</v>
      </c>
      <c r="E2458" s="8">
        <v>5.2351000000000001</v>
      </c>
    </row>
    <row r="2459" spans="1:5" x14ac:dyDescent="0.2">
      <c r="A2459" s="5">
        <f t="shared" si="85"/>
        <v>10</v>
      </c>
      <c r="B2459" s="5">
        <f t="shared" si="86"/>
        <v>2022</v>
      </c>
      <c r="C2459" s="7">
        <v>44845</v>
      </c>
      <c r="D2459" s="8">
        <v>5.2294999999999998</v>
      </c>
      <c r="E2459" s="8">
        <v>5.2362000000000002</v>
      </c>
    </row>
    <row r="2460" spans="1:5" x14ac:dyDescent="0.2">
      <c r="A2460" s="5">
        <f t="shared" si="85"/>
        <v>10</v>
      </c>
      <c r="B2460" s="5">
        <f t="shared" si="86"/>
        <v>2022</v>
      </c>
      <c r="C2460" s="7">
        <v>44847</v>
      </c>
      <c r="D2460" s="8">
        <v>5.2194000000000003</v>
      </c>
      <c r="E2460" s="8">
        <v>5.2371999999999996</v>
      </c>
    </row>
    <row r="2461" spans="1:5" x14ac:dyDescent="0.2">
      <c r="A2461" s="5">
        <f t="shared" si="85"/>
        <v>10</v>
      </c>
      <c r="B2461" s="5">
        <f t="shared" si="86"/>
        <v>2022</v>
      </c>
      <c r="C2461" s="7">
        <v>44848</v>
      </c>
      <c r="D2461" s="8">
        <v>5.2096999999999998</v>
      </c>
      <c r="E2461" s="8">
        <v>5.2404999999999999</v>
      </c>
    </row>
    <row r="2462" spans="1:5" x14ac:dyDescent="0.2">
      <c r="A2462" s="5">
        <f t="shared" si="85"/>
        <v>10</v>
      </c>
      <c r="B2462" s="5">
        <f t="shared" si="86"/>
        <v>2022</v>
      </c>
      <c r="C2462" s="7">
        <v>44851</v>
      </c>
      <c r="D2462" s="8">
        <v>5.1345000000000001</v>
      </c>
      <c r="E2462" s="8">
        <v>5.1605999999999996</v>
      </c>
    </row>
    <row r="2463" spans="1:5" x14ac:dyDescent="0.2">
      <c r="A2463" s="5">
        <f t="shared" si="85"/>
        <v>10</v>
      </c>
      <c r="B2463" s="5">
        <f t="shared" si="86"/>
        <v>2022</v>
      </c>
      <c r="C2463" s="7">
        <v>44852</v>
      </c>
      <c r="D2463" s="8">
        <v>5.1345000000000001</v>
      </c>
      <c r="E2463" s="8">
        <v>5.1664000000000003</v>
      </c>
    </row>
    <row r="2464" spans="1:5" x14ac:dyDescent="0.2">
      <c r="A2464" s="5">
        <f t="shared" si="85"/>
        <v>10</v>
      </c>
      <c r="B2464" s="5">
        <f t="shared" si="86"/>
        <v>2022</v>
      </c>
      <c r="C2464" s="7">
        <v>44853</v>
      </c>
      <c r="D2464" s="8">
        <v>5.1449999999999996</v>
      </c>
      <c r="E2464" s="8">
        <v>5.1752000000000002</v>
      </c>
    </row>
    <row r="2465" spans="1:5" x14ac:dyDescent="0.2">
      <c r="A2465" s="5">
        <f t="shared" si="85"/>
        <v>10</v>
      </c>
      <c r="B2465" s="5">
        <f t="shared" si="86"/>
        <v>2022</v>
      </c>
      <c r="C2465" s="7">
        <v>44854</v>
      </c>
      <c r="D2465" s="8">
        <v>5.1148999999999996</v>
      </c>
      <c r="E2465" s="8">
        <v>5.1557000000000004</v>
      </c>
    </row>
    <row r="2466" spans="1:5" x14ac:dyDescent="0.2">
      <c r="A2466" s="5">
        <f t="shared" si="85"/>
        <v>10</v>
      </c>
      <c r="B2466" s="5">
        <f t="shared" si="86"/>
        <v>2022</v>
      </c>
      <c r="C2466" s="7">
        <v>44855</v>
      </c>
      <c r="D2466" s="8">
        <v>5.1148999999999996</v>
      </c>
      <c r="E2466" s="8">
        <v>5.1321000000000003</v>
      </c>
    </row>
    <row r="2467" spans="1:5" x14ac:dyDescent="0.2">
      <c r="A2467" s="5">
        <f t="shared" si="85"/>
        <v>10</v>
      </c>
      <c r="B2467" s="5">
        <f t="shared" si="86"/>
        <v>2022</v>
      </c>
      <c r="C2467" s="7">
        <v>44858</v>
      </c>
      <c r="D2467" s="8">
        <v>5.1181999999999999</v>
      </c>
      <c r="E2467" s="8">
        <v>5.13</v>
      </c>
    </row>
    <row r="2468" spans="1:5" x14ac:dyDescent="0.2">
      <c r="A2468" s="5">
        <f t="shared" si="85"/>
        <v>10</v>
      </c>
      <c r="B2468" s="5">
        <f t="shared" si="86"/>
        <v>2022</v>
      </c>
      <c r="C2468" s="7">
        <v>44859</v>
      </c>
      <c r="D2468" s="8">
        <v>5.1284000000000001</v>
      </c>
      <c r="E2468" s="8">
        <v>5.1413000000000002</v>
      </c>
    </row>
    <row r="2469" spans="1:5" x14ac:dyDescent="0.2">
      <c r="A2469" s="5">
        <f t="shared" si="85"/>
        <v>10</v>
      </c>
      <c r="B2469" s="5">
        <f t="shared" si="86"/>
        <v>2022</v>
      </c>
      <c r="C2469" s="7">
        <v>44860</v>
      </c>
      <c r="D2469" s="8">
        <v>5.1181999999999999</v>
      </c>
      <c r="E2469" s="8">
        <v>5.1428000000000003</v>
      </c>
    </row>
    <row r="2470" spans="1:5" x14ac:dyDescent="0.2">
      <c r="A2470" s="5">
        <f t="shared" si="85"/>
        <v>10</v>
      </c>
      <c r="B2470" s="5">
        <f t="shared" si="86"/>
        <v>2022</v>
      </c>
      <c r="C2470" s="7">
        <v>44861</v>
      </c>
      <c r="D2470" s="8">
        <v>5.1300999999999997</v>
      </c>
      <c r="E2470" s="8">
        <v>5.1561000000000003</v>
      </c>
    </row>
    <row r="2471" spans="1:5" x14ac:dyDescent="0.2">
      <c r="A2471" s="5">
        <f t="shared" si="85"/>
        <v>10</v>
      </c>
      <c r="B2471" s="5">
        <f t="shared" si="86"/>
        <v>2022</v>
      </c>
      <c r="C2471" s="7">
        <v>44862</v>
      </c>
      <c r="D2471" s="8">
        <v>5.1226000000000003</v>
      </c>
      <c r="E2471" s="8">
        <v>5.1266999999999996</v>
      </c>
    </row>
    <row r="2472" spans="1:5" x14ac:dyDescent="0.2">
      <c r="A2472" s="5">
        <f t="shared" si="85"/>
        <v>10</v>
      </c>
      <c r="B2472" s="5">
        <f t="shared" si="86"/>
        <v>2022</v>
      </c>
      <c r="C2472" s="7">
        <v>44865</v>
      </c>
      <c r="D2472" s="8">
        <v>5.1188000000000002</v>
      </c>
      <c r="E2472" s="8">
        <v>5.1078999999999999</v>
      </c>
    </row>
    <row r="2473" spans="1:5" x14ac:dyDescent="0.2">
      <c r="A2473" s="5">
        <f t="shared" si="85"/>
        <v>11</v>
      </c>
      <c r="B2473" s="5">
        <f t="shared" si="86"/>
        <v>2022</v>
      </c>
      <c r="C2473" s="7">
        <v>44866</v>
      </c>
      <c r="D2473" s="8">
        <v>5.1231</v>
      </c>
      <c r="E2473" s="8">
        <v>5.1098999999999997</v>
      </c>
    </row>
    <row r="2474" spans="1:5" x14ac:dyDescent="0.2">
      <c r="A2474" s="5">
        <f t="shared" si="85"/>
        <v>11</v>
      </c>
      <c r="B2474" s="5">
        <f t="shared" si="86"/>
        <v>2022</v>
      </c>
      <c r="C2474" s="7">
        <v>44868</v>
      </c>
      <c r="D2474" s="8">
        <v>5.1235999999999997</v>
      </c>
      <c r="E2474" s="8">
        <v>5.1106999999999996</v>
      </c>
    </row>
    <row r="2475" spans="1:5" x14ac:dyDescent="0.2">
      <c r="A2475" s="5">
        <f t="shared" si="85"/>
        <v>11</v>
      </c>
      <c r="B2475" s="5">
        <f t="shared" si="86"/>
        <v>2022</v>
      </c>
      <c r="C2475" s="7">
        <v>44869</v>
      </c>
      <c r="D2475" s="8">
        <v>5.1352000000000002</v>
      </c>
      <c r="E2475" s="8">
        <v>5.1272000000000002</v>
      </c>
    </row>
    <row r="2476" spans="1:5" x14ac:dyDescent="0.2">
      <c r="A2476" s="5">
        <f t="shared" si="85"/>
        <v>11</v>
      </c>
      <c r="B2476" s="5">
        <f t="shared" si="86"/>
        <v>2022</v>
      </c>
      <c r="C2476" s="7">
        <v>44872</v>
      </c>
      <c r="D2476" s="8">
        <v>5.1409000000000002</v>
      </c>
      <c r="E2476" s="8">
        <v>5.1227</v>
      </c>
    </row>
    <row r="2477" spans="1:5" x14ac:dyDescent="0.2">
      <c r="A2477" s="5">
        <f t="shared" si="85"/>
        <v>11</v>
      </c>
      <c r="B2477" s="5">
        <f t="shared" si="86"/>
        <v>2022</v>
      </c>
      <c r="C2477" s="7">
        <v>44873</v>
      </c>
      <c r="D2477" s="8">
        <v>5.1409000000000002</v>
      </c>
      <c r="E2477" s="8">
        <v>5.1227999999999998</v>
      </c>
    </row>
    <row r="2478" spans="1:5" x14ac:dyDescent="0.2">
      <c r="A2478" s="5">
        <f t="shared" si="85"/>
        <v>11</v>
      </c>
      <c r="B2478" s="5">
        <f t="shared" si="86"/>
        <v>2022</v>
      </c>
      <c r="C2478" s="7">
        <v>44874</v>
      </c>
      <c r="D2478" s="8">
        <v>5.1406000000000001</v>
      </c>
      <c r="E2478" s="8">
        <v>5.1222000000000003</v>
      </c>
    </row>
    <row r="2479" spans="1:5" x14ac:dyDescent="0.2">
      <c r="A2479" s="5">
        <f t="shared" si="85"/>
        <v>11</v>
      </c>
      <c r="B2479" s="5">
        <f t="shared" si="86"/>
        <v>2022</v>
      </c>
      <c r="C2479" s="7">
        <v>44875</v>
      </c>
      <c r="D2479" s="8">
        <v>5.1253000000000002</v>
      </c>
      <c r="E2479" s="8">
        <v>5.1203000000000003</v>
      </c>
    </row>
    <row r="2480" spans="1:5" x14ac:dyDescent="0.2">
      <c r="A2480" s="5">
        <f t="shared" si="85"/>
        <v>11</v>
      </c>
      <c r="B2480" s="5">
        <f t="shared" si="86"/>
        <v>2022</v>
      </c>
      <c r="C2480" s="7">
        <v>44876</v>
      </c>
      <c r="D2480" s="8">
        <v>5.1563999999999997</v>
      </c>
      <c r="E2480" s="8">
        <v>5.1459000000000001</v>
      </c>
    </row>
    <row r="2481" spans="1:5" x14ac:dyDescent="0.2">
      <c r="A2481" s="5">
        <f t="shared" si="85"/>
        <v>11</v>
      </c>
      <c r="B2481" s="5">
        <f t="shared" si="86"/>
        <v>2022</v>
      </c>
      <c r="C2481" s="7">
        <v>44879</v>
      </c>
      <c r="D2481" s="8">
        <v>5.1569000000000003</v>
      </c>
      <c r="E2481" s="8">
        <v>5.1669999999999998</v>
      </c>
    </row>
    <row r="2482" spans="1:5" x14ac:dyDescent="0.2">
      <c r="A2482" s="5">
        <f t="shared" si="85"/>
        <v>11</v>
      </c>
      <c r="B2482" s="5">
        <f t="shared" si="86"/>
        <v>2022</v>
      </c>
      <c r="C2482" s="7">
        <v>44881</v>
      </c>
      <c r="D2482" s="8">
        <v>5.1886000000000001</v>
      </c>
      <c r="E2482" s="8">
        <v>5.1745000000000001</v>
      </c>
    </row>
    <row r="2483" spans="1:5" x14ac:dyDescent="0.2">
      <c r="A2483" s="5">
        <f t="shared" si="85"/>
        <v>11</v>
      </c>
      <c r="B2483" s="5">
        <f t="shared" si="86"/>
        <v>2022</v>
      </c>
      <c r="C2483" s="7">
        <v>44882</v>
      </c>
      <c r="D2483" s="8">
        <v>5.1675000000000004</v>
      </c>
      <c r="E2483" s="8">
        <v>5.1675000000000004</v>
      </c>
    </row>
    <row r="2484" spans="1:5" x14ac:dyDescent="0.2">
      <c r="A2484" s="5">
        <f t="shared" si="85"/>
        <v>11</v>
      </c>
      <c r="B2484" s="5">
        <f t="shared" si="86"/>
        <v>2022</v>
      </c>
      <c r="C2484" s="7">
        <v>44883</v>
      </c>
      <c r="D2484" s="8">
        <v>5.3243999999999998</v>
      </c>
      <c r="E2484" s="8">
        <v>5.2637999999999998</v>
      </c>
    </row>
    <row r="2485" spans="1:5" x14ac:dyDescent="0.2">
      <c r="A2485" s="5">
        <f t="shared" si="85"/>
        <v>11</v>
      </c>
      <c r="B2485" s="5">
        <f t="shared" si="86"/>
        <v>2022</v>
      </c>
      <c r="C2485" s="7">
        <v>44886</v>
      </c>
      <c r="D2485" s="8">
        <v>5.3404999999999996</v>
      </c>
      <c r="E2485" s="8">
        <v>5.2832999999999997</v>
      </c>
    </row>
    <row r="2486" spans="1:5" x14ac:dyDescent="0.2">
      <c r="A2486" s="5">
        <f t="shared" si="85"/>
        <v>11</v>
      </c>
      <c r="B2486" s="5">
        <f t="shared" si="86"/>
        <v>2022</v>
      </c>
      <c r="C2486" s="7">
        <v>44887</v>
      </c>
      <c r="D2486" s="8">
        <v>5.3404999999999996</v>
      </c>
      <c r="E2486" s="8">
        <v>5.28</v>
      </c>
    </row>
    <row r="2487" spans="1:5" x14ac:dyDescent="0.2">
      <c r="A2487" s="5">
        <f t="shared" si="85"/>
        <v>11</v>
      </c>
      <c r="B2487" s="5">
        <f t="shared" si="86"/>
        <v>2022</v>
      </c>
      <c r="C2487" s="7">
        <v>44888</v>
      </c>
      <c r="D2487" s="8">
        <v>5.3463000000000003</v>
      </c>
      <c r="E2487" s="8">
        <v>5.2785000000000002</v>
      </c>
    </row>
    <row r="2488" spans="1:5" x14ac:dyDescent="0.2">
      <c r="A2488" s="5">
        <f t="shared" si="85"/>
        <v>11</v>
      </c>
      <c r="B2488" s="5">
        <f t="shared" si="86"/>
        <v>2022</v>
      </c>
      <c r="C2488" s="7">
        <v>44889</v>
      </c>
      <c r="D2488" s="8">
        <v>5.3506999999999998</v>
      </c>
      <c r="E2488" s="8">
        <v>5.2743000000000002</v>
      </c>
    </row>
    <row r="2489" spans="1:5" x14ac:dyDescent="0.2">
      <c r="A2489" s="5">
        <f t="shared" si="85"/>
        <v>11</v>
      </c>
      <c r="B2489" s="5">
        <f t="shared" si="86"/>
        <v>2022</v>
      </c>
      <c r="C2489" s="7">
        <v>44890</v>
      </c>
      <c r="D2489" s="8">
        <v>5.3343999999999996</v>
      </c>
      <c r="E2489" s="8">
        <v>5.2690000000000001</v>
      </c>
    </row>
    <row r="2490" spans="1:5" x14ac:dyDescent="0.2">
      <c r="A2490" s="5">
        <f t="shared" si="85"/>
        <v>11</v>
      </c>
      <c r="B2490" s="5">
        <f t="shared" si="86"/>
        <v>2022</v>
      </c>
      <c r="C2490" s="7">
        <v>44893</v>
      </c>
      <c r="D2490" s="8">
        <v>5.3343999999999996</v>
      </c>
      <c r="E2490" s="8">
        <v>5.2396000000000003</v>
      </c>
    </row>
    <row r="2491" spans="1:5" x14ac:dyDescent="0.2">
      <c r="A2491" s="5">
        <f t="shared" si="85"/>
        <v>11</v>
      </c>
      <c r="B2491" s="5">
        <f t="shared" si="86"/>
        <v>2022</v>
      </c>
      <c r="C2491" s="7">
        <v>44894</v>
      </c>
      <c r="D2491" s="8">
        <v>5.3343999999999996</v>
      </c>
      <c r="E2491" s="8">
        <v>5.2369000000000003</v>
      </c>
    </row>
    <row r="2492" spans="1:5" x14ac:dyDescent="0.2">
      <c r="A2492" s="5">
        <f t="shared" si="85"/>
        <v>11</v>
      </c>
      <c r="B2492" s="5">
        <f t="shared" si="86"/>
        <v>2022</v>
      </c>
      <c r="C2492" s="7">
        <v>44895</v>
      </c>
      <c r="D2492" s="8">
        <v>5.3343999999999996</v>
      </c>
      <c r="E2492" s="8">
        <v>5.2348999999999997</v>
      </c>
    </row>
    <row r="2493" spans="1:5" x14ac:dyDescent="0.2">
      <c r="A2493" s="5">
        <f t="shared" si="85"/>
        <v>12</v>
      </c>
      <c r="B2493" s="5">
        <f t="shared" si="86"/>
        <v>2022</v>
      </c>
      <c r="C2493" s="7">
        <v>44896</v>
      </c>
      <c r="D2493" s="8">
        <v>5.3342000000000001</v>
      </c>
      <c r="E2493" s="8">
        <v>5.2133000000000003</v>
      </c>
    </row>
    <row r="2494" spans="1:5" x14ac:dyDescent="0.2">
      <c r="A2494" s="5">
        <f t="shared" si="85"/>
        <v>12</v>
      </c>
      <c r="B2494" s="5">
        <f t="shared" si="86"/>
        <v>2022</v>
      </c>
      <c r="C2494" s="7">
        <v>44897</v>
      </c>
      <c r="D2494" s="8">
        <v>5.3970000000000002</v>
      </c>
      <c r="E2494" s="8">
        <v>5.282</v>
      </c>
    </row>
    <row r="2495" spans="1:5" x14ac:dyDescent="0.2">
      <c r="A2495" s="5">
        <f t="shared" si="85"/>
        <v>12</v>
      </c>
      <c r="B2495" s="5">
        <f t="shared" si="86"/>
        <v>2022</v>
      </c>
      <c r="C2495" s="7">
        <v>44900</v>
      </c>
      <c r="D2495" s="8">
        <v>5.4271000000000003</v>
      </c>
      <c r="E2495" s="8">
        <v>5.2709000000000001</v>
      </c>
    </row>
    <row r="2496" spans="1:5" x14ac:dyDescent="0.2">
      <c r="A2496" s="5">
        <f t="shared" si="85"/>
        <v>12</v>
      </c>
      <c r="B2496" s="5">
        <f t="shared" si="86"/>
        <v>2022</v>
      </c>
      <c r="C2496" s="7">
        <v>44901</v>
      </c>
      <c r="D2496" s="8">
        <v>5.4166999999999996</v>
      </c>
      <c r="E2496" s="8">
        <v>5.266</v>
      </c>
    </row>
    <row r="2497" spans="1:5" x14ac:dyDescent="0.2">
      <c r="A2497" s="5">
        <f t="shared" si="85"/>
        <v>12</v>
      </c>
      <c r="B2497" s="5">
        <f t="shared" si="86"/>
        <v>2022</v>
      </c>
      <c r="C2497" s="7">
        <v>44902</v>
      </c>
      <c r="D2497" s="8">
        <v>5.3867000000000003</v>
      </c>
      <c r="E2497" s="8">
        <v>5.2447999999999997</v>
      </c>
    </row>
    <row r="2498" spans="1:5" x14ac:dyDescent="0.2">
      <c r="A2498" s="5">
        <f t="shared" si="85"/>
        <v>12</v>
      </c>
      <c r="B2498" s="5">
        <f t="shared" si="86"/>
        <v>2022</v>
      </c>
      <c r="C2498" s="7">
        <v>44903</v>
      </c>
      <c r="D2498" s="8">
        <v>5.3810000000000002</v>
      </c>
      <c r="E2498" s="8">
        <v>5.2233000000000001</v>
      </c>
    </row>
    <row r="2499" spans="1:5" x14ac:dyDescent="0.2">
      <c r="A2499" s="5">
        <f t="shared" si="85"/>
        <v>12</v>
      </c>
      <c r="B2499" s="5">
        <f t="shared" si="86"/>
        <v>2022</v>
      </c>
      <c r="C2499" s="7">
        <v>44904</v>
      </c>
      <c r="D2499" s="8">
        <v>5.2404000000000002</v>
      </c>
      <c r="E2499" s="8">
        <v>5.2358000000000002</v>
      </c>
    </row>
    <row r="2500" spans="1:5" x14ac:dyDescent="0.2">
      <c r="A2500" s="5">
        <f t="shared" ref="A2500:A2563" si="87">MONTH(C2500)</f>
        <v>12</v>
      </c>
      <c r="B2500" s="5">
        <f t="shared" ref="B2500:B2563" si="88">YEAR(C2500)</f>
        <v>2022</v>
      </c>
      <c r="C2500" s="7">
        <v>44907</v>
      </c>
      <c r="D2500" s="8">
        <v>5.2507999999999999</v>
      </c>
      <c r="E2500" s="8">
        <v>5.2351999999999999</v>
      </c>
    </row>
    <row r="2501" spans="1:5" x14ac:dyDescent="0.2">
      <c r="A2501" s="5">
        <f t="shared" si="87"/>
        <v>12</v>
      </c>
      <c r="B2501" s="5">
        <f t="shared" si="88"/>
        <v>2022</v>
      </c>
      <c r="C2501" s="7">
        <v>44908</v>
      </c>
      <c r="D2501" s="8">
        <v>5.25</v>
      </c>
      <c r="E2501" s="8">
        <v>5.2286999999999999</v>
      </c>
    </row>
    <row r="2502" spans="1:5" x14ac:dyDescent="0.2">
      <c r="A2502" s="5">
        <f t="shared" si="87"/>
        <v>12</v>
      </c>
      <c r="B2502" s="5">
        <f t="shared" si="88"/>
        <v>2022</v>
      </c>
      <c r="C2502" s="7">
        <v>44909</v>
      </c>
      <c r="D2502" s="8">
        <v>5.25</v>
      </c>
      <c r="E2502" s="8">
        <v>5.2241</v>
      </c>
    </row>
    <row r="2503" spans="1:5" x14ac:dyDescent="0.2">
      <c r="A2503" s="5">
        <f t="shared" si="87"/>
        <v>12</v>
      </c>
      <c r="B2503" s="5">
        <f t="shared" si="88"/>
        <v>2022</v>
      </c>
      <c r="C2503" s="7">
        <v>44910</v>
      </c>
      <c r="D2503" s="8">
        <v>5.25</v>
      </c>
      <c r="E2503" s="8">
        <v>5.2195999999999998</v>
      </c>
    </row>
    <row r="2504" spans="1:5" x14ac:dyDescent="0.2">
      <c r="A2504" s="5">
        <f t="shared" si="87"/>
        <v>12</v>
      </c>
      <c r="B2504" s="5">
        <f t="shared" si="88"/>
        <v>2022</v>
      </c>
      <c r="C2504" s="7">
        <v>44911</v>
      </c>
      <c r="D2504" s="8">
        <v>5.2610999999999999</v>
      </c>
      <c r="E2504" s="8">
        <v>5.2455999999999996</v>
      </c>
    </row>
    <row r="2505" spans="1:5" x14ac:dyDescent="0.2">
      <c r="A2505" s="5">
        <f t="shared" si="87"/>
        <v>12</v>
      </c>
      <c r="B2505" s="5">
        <f t="shared" si="88"/>
        <v>2022</v>
      </c>
      <c r="C2505" s="7">
        <v>44914</v>
      </c>
      <c r="D2505" s="8">
        <v>5.2933000000000003</v>
      </c>
      <c r="E2505" s="8">
        <v>5.2831000000000001</v>
      </c>
    </row>
    <row r="2506" spans="1:5" x14ac:dyDescent="0.2">
      <c r="A2506" s="5">
        <f t="shared" si="87"/>
        <v>12</v>
      </c>
      <c r="B2506" s="5">
        <f t="shared" si="88"/>
        <v>2022</v>
      </c>
      <c r="C2506" s="7">
        <v>44915</v>
      </c>
      <c r="D2506" s="8">
        <v>5.3003999999999998</v>
      </c>
      <c r="E2506" s="8">
        <v>5.2906000000000004</v>
      </c>
    </row>
    <row r="2507" spans="1:5" x14ac:dyDescent="0.2">
      <c r="A2507" s="5">
        <f t="shared" si="87"/>
        <v>12</v>
      </c>
      <c r="B2507" s="5">
        <f t="shared" si="88"/>
        <v>2022</v>
      </c>
      <c r="C2507" s="7">
        <v>44916</v>
      </c>
      <c r="D2507" s="8">
        <v>5.3003999999999998</v>
      </c>
      <c r="E2507" s="8">
        <v>5.2874999999999996</v>
      </c>
    </row>
    <row r="2508" spans="1:5" x14ac:dyDescent="0.2">
      <c r="A2508" s="5">
        <f t="shared" si="87"/>
        <v>12</v>
      </c>
      <c r="B2508" s="5">
        <f t="shared" si="88"/>
        <v>2022</v>
      </c>
      <c r="C2508" s="7">
        <v>44917</v>
      </c>
      <c r="D2508" s="8">
        <v>5.3089000000000004</v>
      </c>
      <c r="E2508" s="8">
        <v>5.2880000000000003</v>
      </c>
    </row>
    <row r="2509" spans="1:5" x14ac:dyDescent="0.2">
      <c r="A2509" s="5">
        <f t="shared" si="87"/>
        <v>12</v>
      </c>
      <c r="B2509" s="5">
        <f t="shared" si="88"/>
        <v>2022</v>
      </c>
      <c r="C2509" s="7">
        <v>44918</v>
      </c>
      <c r="D2509" s="8">
        <v>5.2613000000000003</v>
      </c>
      <c r="E2509" s="8">
        <v>5.2672999999999996</v>
      </c>
    </row>
    <row r="2510" spans="1:5" x14ac:dyDescent="0.2">
      <c r="A2510" s="5">
        <f t="shared" si="87"/>
        <v>12</v>
      </c>
      <c r="B2510" s="5">
        <f t="shared" si="88"/>
        <v>2022</v>
      </c>
      <c r="C2510" s="7">
        <v>44921</v>
      </c>
      <c r="D2510" s="8">
        <v>5.2603</v>
      </c>
      <c r="E2510" s="8">
        <v>5.2596999999999996</v>
      </c>
    </row>
    <row r="2511" spans="1:5" x14ac:dyDescent="0.2">
      <c r="A2511" s="5">
        <f t="shared" si="87"/>
        <v>12</v>
      </c>
      <c r="B2511" s="5">
        <f t="shared" si="88"/>
        <v>2022</v>
      </c>
      <c r="C2511" s="7">
        <v>44922</v>
      </c>
      <c r="D2511" s="8">
        <v>5.2591999999999999</v>
      </c>
      <c r="E2511" s="8">
        <v>5.2531999999999996</v>
      </c>
    </row>
    <row r="2512" spans="1:5" x14ac:dyDescent="0.2">
      <c r="A2512" s="5">
        <f t="shared" si="87"/>
        <v>12</v>
      </c>
      <c r="B2512" s="5">
        <f t="shared" si="88"/>
        <v>2022</v>
      </c>
      <c r="C2512" s="7">
        <v>44923</v>
      </c>
      <c r="D2512" s="8">
        <v>5.2675999999999998</v>
      </c>
      <c r="E2512" s="8">
        <v>5.2748999999999997</v>
      </c>
    </row>
    <row r="2513" spans="1:5" x14ac:dyDescent="0.2">
      <c r="A2513" s="5">
        <f t="shared" si="87"/>
        <v>12</v>
      </c>
      <c r="B2513" s="5">
        <f t="shared" si="88"/>
        <v>2022</v>
      </c>
      <c r="C2513" s="7">
        <v>44924</v>
      </c>
      <c r="D2513" s="8">
        <v>5.2865000000000002</v>
      </c>
      <c r="E2513" s="8">
        <v>5.2882999999999996</v>
      </c>
    </row>
    <row r="2514" spans="1:5" x14ac:dyDescent="0.2">
      <c r="A2514" s="5">
        <f t="shared" si="87"/>
        <v>12</v>
      </c>
      <c r="B2514" s="5">
        <f t="shared" si="88"/>
        <v>2022</v>
      </c>
      <c r="C2514" s="7">
        <v>44925</v>
      </c>
      <c r="D2514" s="8">
        <v>5.2933000000000003</v>
      </c>
      <c r="E2514" s="8">
        <v>5.3003999999999998</v>
      </c>
    </row>
    <row r="2515" spans="1:5" x14ac:dyDescent="0.2">
      <c r="A2515" s="5">
        <f t="shared" si="87"/>
        <v>1</v>
      </c>
      <c r="B2515" s="5">
        <f t="shared" si="88"/>
        <v>2023</v>
      </c>
      <c r="C2515" s="7">
        <v>44928</v>
      </c>
      <c r="D2515" s="8">
        <v>5.2930999999999999</v>
      </c>
      <c r="E2515" s="8">
        <v>5.3052999999999999</v>
      </c>
    </row>
    <row r="2516" spans="1:5" x14ac:dyDescent="0.2">
      <c r="A2516" s="5">
        <f t="shared" si="87"/>
        <v>1</v>
      </c>
      <c r="B2516" s="5">
        <f t="shared" si="88"/>
        <v>2023</v>
      </c>
      <c r="C2516" s="7">
        <v>44929</v>
      </c>
      <c r="D2516" s="8">
        <v>5.2927999999999997</v>
      </c>
      <c r="E2516" s="8">
        <v>5.3009000000000004</v>
      </c>
    </row>
    <row r="2517" spans="1:5" x14ac:dyDescent="0.2">
      <c r="A2517" s="5">
        <f t="shared" si="87"/>
        <v>1</v>
      </c>
      <c r="B2517" s="5">
        <f t="shared" si="88"/>
        <v>2023</v>
      </c>
      <c r="C2517" s="7">
        <v>44930</v>
      </c>
      <c r="D2517" s="8">
        <v>5.2801999999999998</v>
      </c>
      <c r="E2517" s="8">
        <v>5.2984999999999998</v>
      </c>
    </row>
    <row r="2518" spans="1:5" x14ac:dyDescent="0.2">
      <c r="A2518" s="5">
        <f t="shared" si="87"/>
        <v>1</v>
      </c>
      <c r="B2518" s="5">
        <f t="shared" si="88"/>
        <v>2023</v>
      </c>
      <c r="C2518" s="7">
        <v>44931</v>
      </c>
      <c r="D2518" s="8">
        <v>5.2930999999999999</v>
      </c>
      <c r="E2518" s="8">
        <v>5.3186</v>
      </c>
    </row>
    <row r="2519" spans="1:5" x14ac:dyDescent="0.2">
      <c r="A2519" s="5">
        <f t="shared" si="87"/>
        <v>1</v>
      </c>
      <c r="B2519" s="5">
        <f t="shared" si="88"/>
        <v>2023</v>
      </c>
      <c r="C2519" s="7">
        <v>44932</v>
      </c>
      <c r="D2519" s="8">
        <v>5.3026999999999997</v>
      </c>
      <c r="E2519" s="8">
        <v>5.3592000000000004</v>
      </c>
    </row>
    <row r="2520" spans="1:5" x14ac:dyDescent="0.2">
      <c r="A2520" s="5">
        <f t="shared" si="87"/>
        <v>1</v>
      </c>
      <c r="B2520" s="5">
        <f t="shared" si="88"/>
        <v>2023</v>
      </c>
      <c r="C2520" s="7">
        <v>44935</v>
      </c>
      <c r="D2520" s="8">
        <v>5.2975000000000003</v>
      </c>
      <c r="E2520" s="8">
        <v>5.3441000000000001</v>
      </c>
    </row>
    <row r="2521" spans="1:5" x14ac:dyDescent="0.2">
      <c r="A2521" s="5">
        <f t="shared" si="87"/>
        <v>1</v>
      </c>
      <c r="B2521" s="5">
        <f t="shared" si="88"/>
        <v>2023</v>
      </c>
      <c r="C2521" s="7">
        <v>44936</v>
      </c>
      <c r="D2521" s="8">
        <v>5.3769999999999998</v>
      </c>
      <c r="E2521" s="8">
        <v>5.3578999999999999</v>
      </c>
    </row>
    <row r="2522" spans="1:5" x14ac:dyDescent="0.2">
      <c r="A2522" s="5">
        <f t="shared" si="87"/>
        <v>1</v>
      </c>
      <c r="B2522" s="5">
        <f t="shared" si="88"/>
        <v>2023</v>
      </c>
      <c r="C2522" s="7">
        <v>44937</v>
      </c>
      <c r="D2522" s="8">
        <v>5.3769999999999998</v>
      </c>
      <c r="E2522" s="8">
        <v>5.3558000000000003</v>
      </c>
    </row>
    <row r="2523" spans="1:5" x14ac:dyDescent="0.2">
      <c r="A2523" s="5">
        <f t="shared" si="87"/>
        <v>1</v>
      </c>
      <c r="B2523" s="5">
        <f t="shared" si="88"/>
        <v>2023</v>
      </c>
      <c r="C2523" s="7">
        <v>44938</v>
      </c>
      <c r="D2523" s="8">
        <v>5.3821000000000003</v>
      </c>
      <c r="E2523" s="8">
        <v>5.3757000000000001</v>
      </c>
    </row>
    <row r="2524" spans="1:5" x14ac:dyDescent="0.2">
      <c r="A2524" s="5">
        <f t="shared" si="87"/>
        <v>1</v>
      </c>
      <c r="B2524" s="5">
        <f t="shared" si="88"/>
        <v>2023</v>
      </c>
      <c r="C2524" s="7">
        <v>44939</v>
      </c>
      <c r="D2524" s="8">
        <v>5.3918999999999997</v>
      </c>
      <c r="E2524" s="8">
        <v>5.3605999999999998</v>
      </c>
    </row>
    <row r="2525" spans="1:5" x14ac:dyDescent="0.2">
      <c r="A2525" s="5">
        <f t="shared" si="87"/>
        <v>1</v>
      </c>
      <c r="B2525" s="5">
        <f t="shared" si="88"/>
        <v>2023</v>
      </c>
      <c r="C2525" s="7">
        <v>44942</v>
      </c>
      <c r="D2525" s="8">
        <v>5.4</v>
      </c>
      <c r="E2525" s="8">
        <v>5.3845000000000001</v>
      </c>
    </row>
    <row r="2526" spans="1:5" x14ac:dyDescent="0.2">
      <c r="A2526" s="5">
        <f t="shared" si="87"/>
        <v>1</v>
      </c>
      <c r="B2526" s="5">
        <f t="shared" si="88"/>
        <v>2023</v>
      </c>
      <c r="C2526" s="7">
        <v>44943</v>
      </c>
      <c r="D2526" s="8">
        <v>5.4</v>
      </c>
      <c r="E2526" s="8">
        <v>5.3731999999999998</v>
      </c>
    </row>
    <row r="2527" spans="1:5" x14ac:dyDescent="0.2">
      <c r="A2527" s="5">
        <f t="shared" si="87"/>
        <v>1</v>
      </c>
      <c r="B2527" s="5">
        <f t="shared" si="88"/>
        <v>2023</v>
      </c>
      <c r="C2527" s="7">
        <v>44944</v>
      </c>
      <c r="D2527" s="8">
        <v>5.4074999999999998</v>
      </c>
      <c r="E2527" s="8">
        <v>5.3715000000000002</v>
      </c>
    </row>
    <row r="2528" spans="1:5" x14ac:dyDescent="0.2">
      <c r="A2528" s="5">
        <f t="shared" si="87"/>
        <v>1</v>
      </c>
      <c r="B2528" s="5">
        <f t="shared" si="88"/>
        <v>2023</v>
      </c>
      <c r="C2528" s="7">
        <v>44945</v>
      </c>
      <c r="D2528" s="8">
        <v>5.4219999999999997</v>
      </c>
      <c r="E2528" s="8">
        <v>5.3992000000000004</v>
      </c>
    </row>
    <row r="2529" spans="1:5" x14ac:dyDescent="0.2">
      <c r="A2529" s="5">
        <f t="shared" si="87"/>
        <v>1</v>
      </c>
      <c r="B2529" s="5">
        <f t="shared" si="88"/>
        <v>2023</v>
      </c>
      <c r="C2529" s="7">
        <v>44946</v>
      </c>
      <c r="D2529" s="8">
        <v>5.4819000000000004</v>
      </c>
      <c r="E2529" s="8">
        <v>5.4153000000000002</v>
      </c>
    </row>
    <row r="2530" spans="1:5" x14ac:dyDescent="0.2">
      <c r="A2530" s="5">
        <f t="shared" si="87"/>
        <v>1</v>
      </c>
      <c r="B2530" s="5">
        <f t="shared" si="88"/>
        <v>2023</v>
      </c>
      <c r="C2530" s="7">
        <v>44949</v>
      </c>
      <c r="D2530" s="8">
        <v>5.4819000000000004</v>
      </c>
      <c r="E2530" s="8">
        <v>5.41</v>
      </c>
    </row>
    <row r="2531" spans="1:5" x14ac:dyDescent="0.2">
      <c r="A2531" s="5">
        <f t="shared" si="87"/>
        <v>1</v>
      </c>
      <c r="B2531" s="5">
        <f t="shared" si="88"/>
        <v>2023</v>
      </c>
      <c r="C2531" s="7">
        <v>44950</v>
      </c>
      <c r="D2531" s="8">
        <v>5.5</v>
      </c>
      <c r="E2531" s="8">
        <v>5.4104999999999999</v>
      </c>
    </row>
    <row r="2532" spans="1:5" x14ac:dyDescent="0.2">
      <c r="A2532" s="5">
        <f t="shared" si="87"/>
        <v>1</v>
      </c>
      <c r="B2532" s="5">
        <f t="shared" si="88"/>
        <v>2023</v>
      </c>
      <c r="C2532" s="7">
        <v>44951</v>
      </c>
      <c r="D2532" s="8">
        <v>5.5000999999999998</v>
      </c>
      <c r="E2532" s="8">
        <v>5.4279999999999999</v>
      </c>
    </row>
    <row r="2533" spans="1:5" x14ac:dyDescent="0.2">
      <c r="A2533" s="5">
        <f t="shared" si="87"/>
        <v>1</v>
      </c>
      <c r="B2533" s="5">
        <f t="shared" si="88"/>
        <v>2023</v>
      </c>
      <c r="C2533" s="7">
        <v>44952</v>
      </c>
      <c r="D2533" s="8">
        <v>5.5061999999999998</v>
      </c>
      <c r="E2533" s="8">
        <v>5.4168000000000003</v>
      </c>
    </row>
    <row r="2534" spans="1:5" x14ac:dyDescent="0.2">
      <c r="A2534" s="5">
        <f t="shared" si="87"/>
        <v>1</v>
      </c>
      <c r="B2534" s="5">
        <f t="shared" si="88"/>
        <v>2023</v>
      </c>
      <c r="C2534" s="7">
        <v>44953</v>
      </c>
      <c r="D2534" s="8">
        <v>5.7491000000000003</v>
      </c>
      <c r="E2534" s="8">
        <v>5.6276000000000002</v>
      </c>
    </row>
    <row r="2535" spans="1:5" x14ac:dyDescent="0.2">
      <c r="A2535" s="5">
        <f t="shared" si="87"/>
        <v>1</v>
      </c>
      <c r="B2535" s="5">
        <f t="shared" si="88"/>
        <v>2023</v>
      </c>
      <c r="C2535" s="7">
        <v>44956</v>
      </c>
      <c r="D2535" s="8">
        <v>5.7592999999999996</v>
      </c>
      <c r="E2535" s="8">
        <v>5.6710000000000003</v>
      </c>
    </row>
    <row r="2536" spans="1:5" x14ac:dyDescent="0.2">
      <c r="A2536" s="5">
        <f t="shared" si="87"/>
        <v>1</v>
      </c>
      <c r="B2536" s="5">
        <f t="shared" si="88"/>
        <v>2023</v>
      </c>
      <c r="C2536" s="7">
        <v>44957</v>
      </c>
      <c r="D2536" s="8">
        <v>5.7592999999999996</v>
      </c>
      <c r="E2536" s="8">
        <v>5.6638000000000002</v>
      </c>
    </row>
    <row r="2537" spans="1:5" x14ac:dyDescent="0.2">
      <c r="A2537" s="5">
        <f t="shared" si="87"/>
        <v>2</v>
      </c>
      <c r="B2537" s="5">
        <f t="shared" si="88"/>
        <v>2023</v>
      </c>
      <c r="C2537" s="7">
        <v>44958</v>
      </c>
      <c r="D2537" s="8">
        <v>5.7744</v>
      </c>
      <c r="E2537" s="8">
        <v>5.6588000000000003</v>
      </c>
    </row>
    <row r="2538" spans="1:5" x14ac:dyDescent="0.2">
      <c r="A2538" s="5">
        <f t="shared" si="87"/>
        <v>2</v>
      </c>
      <c r="B2538" s="5">
        <f t="shared" si="88"/>
        <v>2023</v>
      </c>
      <c r="C2538" s="7">
        <v>44959</v>
      </c>
      <c r="D2538" s="8">
        <v>5.7748999999999997</v>
      </c>
      <c r="E2538" s="8">
        <v>5.6604999999999999</v>
      </c>
    </row>
    <row r="2539" spans="1:5" x14ac:dyDescent="0.2">
      <c r="A2539" s="5">
        <f t="shared" si="87"/>
        <v>2</v>
      </c>
      <c r="B2539" s="5">
        <f t="shared" si="88"/>
        <v>2023</v>
      </c>
      <c r="C2539" s="7">
        <v>44960</v>
      </c>
      <c r="D2539" s="8">
        <v>5.7756999999999996</v>
      </c>
      <c r="E2539" s="8">
        <v>5.6867999999999999</v>
      </c>
    </row>
    <row r="2540" spans="1:5" x14ac:dyDescent="0.2">
      <c r="A2540" s="5">
        <f t="shared" si="87"/>
        <v>2</v>
      </c>
      <c r="B2540" s="5">
        <f t="shared" si="88"/>
        <v>2023</v>
      </c>
      <c r="C2540" s="7">
        <v>44963</v>
      </c>
      <c r="D2540" s="8">
        <v>5.7827999999999999</v>
      </c>
      <c r="E2540" s="8">
        <v>5.6783999999999999</v>
      </c>
    </row>
    <row r="2541" spans="1:5" x14ac:dyDescent="0.2">
      <c r="A2541" s="5">
        <f t="shared" si="87"/>
        <v>2</v>
      </c>
      <c r="B2541" s="5">
        <f t="shared" si="88"/>
        <v>2023</v>
      </c>
      <c r="C2541" s="7">
        <v>44964</v>
      </c>
      <c r="D2541" s="8">
        <v>5.7864000000000004</v>
      </c>
      <c r="E2541" s="8">
        <v>5.6790000000000003</v>
      </c>
    </row>
    <row r="2542" spans="1:5" x14ac:dyDescent="0.2">
      <c r="A2542" s="5">
        <f t="shared" si="87"/>
        <v>2</v>
      </c>
      <c r="B2542" s="5">
        <f t="shared" si="88"/>
        <v>2023</v>
      </c>
      <c r="C2542" s="7">
        <v>44965</v>
      </c>
      <c r="D2542" s="8">
        <v>5.7864000000000004</v>
      </c>
      <c r="E2542" s="8">
        <v>5.6752000000000002</v>
      </c>
    </row>
    <row r="2543" spans="1:5" x14ac:dyDescent="0.2">
      <c r="A2543" s="5">
        <f t="shared" si="87"/>
        <v>2</v>
      </c>
      <c r="B2543" s="5">
        <f t="shared" si="88"/>
        <v>2023</v>
      </c>
      <c r="C2543" s="7">
        <v>44966</v>
      </c>
      <c r="D2543" s="8">
        <v>5.6707000000000001</v>
      </c>
      <c r="E2543" s="8">
        <v>5.6632999999999996</v>
      </c>
    </row>
    <row r="2544" spans="1:5" x14ac:dyDescent="0.2">
      <c r="A2544" s="5">
        <f t="shared" si="87"/>
        <v>2</v>
      </c>
      <c r="B2544" s="5">
        <f t="shared" si="88"/>
        <v>2023</v>
      </c>
      <c r="C2544" s="7">
        <v>44967</v>
      </c>
      <c r="D2544" s="8">
        <v>5.7114000000000003</v>
      </c>
      <c r="E2544" s="8">
        <v>5.7013999999999996</v>
      </c>
    </row>
    <row r="2545" spans="1:5" x14ac:dyDescent="0.2">
      <c r="A2545" s="5">
        <f t="shared" si="87"/>
        <v>2</v>
      </c>
      <c r="B2545" s="5">
        <f t="shared" si="88"/>
        <v>2023</v>
      </c>
      <c r="C2545" s="7">
        <v>44970</v>
      </c>
      <c r="D2545" s="8">
        <v>5.7225000000000001</v>
      </c>
      <c r="E2545" s="8">
        <v>5.6660000000000004</v>
      </c>
    </row>
    <row r="2546" spans="1:5" x14ac:dyDescent="0.2">
      <c r="A2546" s="5">
        <f t="shared" si="87"/>
        <v>2</v>
      </c>
      <c r="B2546" s="5">
        <f t="shared" si="88"/>
        <v>2023</v>
      </c>
      <c r="C2546" s="7">
        <v>44971</v>
      </c>
      <c r="D2546" s="8">
        <v>5.7248999999999999</v>
      </c>
      <c r="E2546" s="8">
        <v>5.6578999999999997</v>
      </c>
    </row>
    <row r="2547" spans="1:5" x14ac:dyDescent="0.2">
      <c r="A2547" s="5">
        <f t="shared" si="87"/>
        <v>2</v>
      </c>
      <c r="B2547" s="5">
        <f t="shared" si="88"/>
        <v>2023</v>
      </c>
      <c r="C2547" s="7">
        <v>44972</v>
      </c>
      <c r="D2547" s="8">
        <v>5.7263999999999999</v>
      </c>
      <c r="E2547" s="8">
        <v>5.6675000000000004</v>
      </c>
    </row>
    <row r="2548" spans="1:5" x14ac:dyDescent="0.2">
      <c r="A2548" s="5">
        <f t="shared" si="87"/>
        <v>2</v>
      </c>
      <c r="B2548" s="5">
        <f t="shared" si="88"/>
        <v>2023</v>
      </c>
      <c r="C2548" s="7">
        <v>44973</v>
      </c>
      <c r="D2548" s="8">
        <v>5.7323000000000004</v>
      </c>
      <c r="E2548" s="8">
        <v>5.6712999999999996</v>
      </c>
    </row>
    <row r="2549" spans="1:5" x14ac:dyDescent="0.2">
      <c r="A2549" s="5">
        <f t="shared" si="87"/>
        <v>2</v>
      </c>
      <c r="B2549" s="5">
        <f t="shared" si="88"/>
        <v>2023</v>
      </c>
      <c r="C2549" s="7">
        <v>44974</v>
      </c>
      <c r="D2549" s="8">
        <v>5.7971000000000004</v>
      </c>
      <c r="E2549" s="8">
        <v>5.6978</v>
      </c>
    </row>
    <row r="2550" spans="1:5" x14ac:dyDescent="0.2">
      <c r="A2550" s="5">
        <f t="shared" si="87"/>
        <v>2</v>
      </c>
      <c r="B2550" s="5">
        <f t="shared" si="88"/>
        <v>2023</v>
      </c>
      <c r="C2550" s="7">
        <v>44979</v>
      </c>
      <c r="D2550" s="8">
        <v>5.7976999999999999</v>
      </c>
      <c r="E2550" s="8">
        <v>5.6467000000000001</v>
      </c>
    </row>
    <row r="2551" spans="1:5" x14ac:dyDescent="0.2">
      <c r="A2551" s="5">
        <f t="shared" si="87"/>
        <v>2</v>
      </c>
      <c r="B2551" s="5">
        <f t="shared" si="88"/>
        <v>2023</v>
      </c>
      <c r="C2551" s="7">
        <v>44980</v>
      </c>
      <c r="D2551" s="8">
        <v>5.7976999999999999</v>
      </c>
      <c r="E2551" s="8">
        <v>5.6409000000000002</v>
      </c>
    </row>
    <row r="2552" spans="1:5" x14ac:dyDescent="0.2">
      <c r="A2552" s="5">
        <f t="shared" si="87"/>
        <v>2</v>
      </c>
      <c r="B2552" s="5">
        <f t="shared" si="88"/>
        <v>2023</v>
      </c>
      <c r="C2552" s="7">
        <v>44981</v>
      </c>
      <c r="D2552" s="8">
        <v>5.7949999999999999</v>
      </c>
      <c r="E2552" s="8">
        <v>5.6486999999999998</v>
      </c>
    </row>
    <row r="2553" spans="1:5" x14ac:dyDescent="0.2">
      <c r="A2553" s="5">
        <f t="shared" si="87"/>
        <v>2</v>
      </c>
      <c r="B2553" s="5">
        <f t="shared" si="88"/>
        <v>2023</v>
      </c>
      <c r="C2553" s="7">
        <v>44984</v>
      </c>
      <c r="D2553" s="8">
        <v>5.7949999999999999</v>
      </c>
      <c r="E2553" s="8">
        <v>5.6158000000000001</v>
      </c>
    </row>
    <row r="2554" spans="1:5" x14ac:dyDescent="0.2">
      <c r="A2554" s="5">
        <f t="shared" si="87"/>
        <v>2</v>
      </c>
      <c r="B2554" s="5">
        <f t="shared" si="88"/>
        <v>2023</v>
      </c>
      <c r="C2554" s="7">
        <v>44985</v>
      </c>
      <c r="D2554" s="8">
        <v>5.7949999999999999</v>
      </c>
      <c r="E2554" s="8">
        <v>5.6036999999999999</v>
      </c>
    </row>
    <row r="2555" spans="1:5" x14ac:dyDescent="0.2">
      <c r="A2555" s="5">
        <f t="shared" si="87"/>
        <v>3</v>
      </c>
      <c r="B2555" s="5">
        <f t="shared" si="88"/>
        <v>2023</v>
      </c>
      <c r="C2555" s="7">
        <v>44986</v>
      </c>
      <c r="D2555" s="8">
        <v>5.7946999999999997</v>
      </c>
      <c r="E2555" s="8">
        <v>5.5867000000000004</v>
      </c>
    </row>
    <row r="2556" spans="1:5" x14ac:dyDescent="0.2">
      <c r="A2556" s="5">
        <f t="shared" si="87"/>
        <v>3</v>
      </c>
      <c r="B2556" s="5">
        <f t="shared" si="88"/>
        <v>2023</v>
      </c>
      <c r="C2556" s="7">
        <v>44987</v>
      </c>
      <c r="D2556" s="8">
        <v>5.7750000000000004</v>
      </c>
      <c r="E2556" s="8">
        <v>5.5796999999999999</v>
      </c>
    </row>
    <row r="2557" spans="1:5" x14ac:dyDescent="0.2">
      <c r="A2557" s="5">
        <f t="shared" si="87"/>
        <v>3</v>
      </c>
      <c r="B2557" s="5">
        <f t="shared" si="88"/>
        <v>2023</v>
      </c>
      <c r="C2557" s="7">
        <v>44988</v>
      </c>
      <c r="D2557" s="8">
        <v>5.7961999999999998</v>
      </c>
      <c r="E2557" s="8">
        <v>5.5975999999999999</v>
      </c>
    </row>
    <row r="2558" spans="1:5" x14ac:dyDescent="0.2">
      <c r="A2558" s="5">
        <f t="shared" si="87"/>
        <v>3</v>
      </c>
      <c r="B2558" s="5">
        <f t="shared" si="88"/>
        <v>2023</v>
      </c>
      <c r="C2558" s="7">
        <v>44991</v>
      </c>
      <c r="D2558" s="8">
        <v>5.7971000000000004</v>
      </c>
      <c r="E2558" s="8">
        <v>5.5659000000000001</v>
      </c>
    </row>
    <row r="2559" spans="1:5" x14ac:dyDescent="0.2">
      <c r="A2559" s="5">
        <f t="shared" si="87"/>
        <v>3</v>
      </c>
      <c r="B2559" s="5">
        <f t="shared" si="88"/>
        <v>2023</v>
      </c>
      <c r="C2559" s="7">
        <v>44992</v>
      </c>
      <c r="D2559" s="8">
        <v>5.7971000000000004</v>
      </c>
      <c r="E2559" s="8">
        <v>5.5547000000000004</v>
      </c>
    </row>
    <row r="2560" spans="1:5" x14ac:dyDescent="0.2">
      <c r="A2560" s="5">
        <f t="shared" si="87"/>
        <v>3</v>
      </c>
      <c r="B2560" s="5">
        <f t="shared" si="88"/>
        <v>2023</v>
      </c>
      <c r="C2560" s="7">
        <v>44993</v>
      </c>
      <c r="D2560" s="8">
        <v>5.7971000000000004</v>
      </c>
      <c r="E2560" s="8">
        <v>5.5416999999999996</v>
      </c>
    </row>
    <row r="2561" spans="1:5" x14ac:dyDescent="0.2">
      <c r="A2561" s="5">
        <f t="shared" si="87"/>
        <v>3</v>
      </c>
      <c r="B2561" s="5">
        <f t="shared" si="88"/>
        <v>2023</v>
      </c>
      <c r="C2561" s="7">
        <v>44994</v>
      </c>
      <c r="D2561" s="8">
        <v>5.7971000000000004</v>
      </c>
      <c r="E2561" s="8">
        <v>5.5286999999999997</v>
      </c>
    </row>
    <row r="2562" spans="1:5" x14ac:dyDescent="0.2">
      <c r="A2562" s="5">
        <f t="shared" si="87"/>
        <v>3</v>
      </c>
      <c r="B2562" s="5">
        <f t="shared" si="88"/>
        <v>2023</v>
      </c>
      <c r="C2562" s="7">
        <v>44995</v>
      </c>
      <c r="D2562" s="8">
        <v>5.5339</v>
      </c>
      <c r="E2562" s="8">
        <v>5.5279999999999996</v>
      </c>
    </row>
    <row r="2563" spans="1:5" x14ac:dyDescent="0.2">
      <c r="A2563" s="5">
        <f t="shared" si="87"/>
        <v>3</v>
      </c>
      <c r="B2563" s="5">
        <f t="shared" si="88"/>
        <v>2023</v>
      </c>
      <c r="C2563" s="7">
        <v>44998</v>
      </c>
      <c r="D2563" s="8">
        <v>5.5217999999999998</v>
      </c>
      <c r="E2563" s="8">
        <v>5.4823000000000004</v>
      </c>
    </row>
    <row r="2564" spans="1:5" x14ac:dyDescent="0.2">
      <c r="A2564" s="5">
        <f t="shared" ref="A2564:A2627" si="89">MONTH(C2564)</f>
        <v>3</v>
      </c>
      <c r="B2564" s="5">
        <f t="shared" ref="B2564:B2627" si="90">YEAR(C2564)</f>
        <v>2023</v>
      </c>
      <c r="C2564" s="7">
        <v>44999</v>
      </c>
      <c r="D2564" s="8">
        <v>5.5128000000000004</v>
      </c>
      <c r="E2564" s="8">
        <v>5.4621000000000004</v>
      </c>
    </row>
    <row r="2565" spans="1:5" x14ac:dyDescent="0.2">
      <c r="A2565" s="5">
        <f t="shared" si="89"/>
        <v>3</v>
      </c>
      <c r="B2565" s="5">
        <f t="shared" si="90"/>
        <v>2023</v>
      </c>
      <c r="C2565" s="7">
        <v>45000</v>
      </c>
      <c r="D2565" s="8">
        <v>5.5172999999999996</v>
      </c>
      <c r="E2565" s="8">
        <v>5.4538000000000002</v>
      </c>
    </row>
    <row r="2566" spans="1:5" x14ac:dyDescent="0.2">
      <c r="A2566" s="5">
        <f t="shared" si="89"/>
        <v>3</v>
      </c>
      <c r="B2566" s="5">
        <f t="shared" si="90"/>
        <v>2023</v>
      </c>
      <c r="C2566" s="7">
        <v>45001</v>
      </c>
      <c r="D2566" s="8">
        <v>5.5396999999999998</v>
      </c>
      <c r="E2566" s="8">
        <v>5.4535</v>
      </c>
    </row>
    <row r="2567" spans="1:5" x14ac:dyDescent="0.2">
      <c r="A2567" s="5">
        <f t="shared" si="89"/>
        <v>3</v>
      </c>
      <c r="B2567" s="5">
        <f t="shared" si="90"/>
        <v>2023</v>
      </c>
      <c r="C2567" s="7">
        <v>45002</v>
      </c>
      <c r="D2567" s="8">
        <v>5.5552000000000001</v>
      </c>
      <c r="E2567" s="8">
        <v>5.4353999999999996</v>
      </c>
    </row>
    <row r="2568" spans="1:5" x14ac:dyDescent="0.2">
      <c r="A2568" s="5">
        <f t="shared" si="89"/>
        <v>3</v>
      </c>
      <c r="B2568" s="5">
        <f t="shared" si="90"/>
        <v>2023</v>
      </c>
      <c r="C2568" s="7">
        <v>45005</v>
      </c>
      <c r="D2568" s="8">
        <v>5.5556000000000001</v>
      </c>
      <c r="E2568" s="8">
        <v>5.3936000000000002</v>
      </c>
    </row>
    <row r="2569" spans="1:5" x14ac:dyDescent="0.2">
      <c r="A2569" s="5">
        <f t="shared" si="89"/>
        <v>3</v>
      </c>
      <c r="B2569" s="5">
        <f t="shared" si="90"/>
        <v>2023</v>
      </c>
      <c r="C2569" s="7">
        <v>45006</v>
      </c>
      <c r="D2569" s="8">
        <v>5.5556999999999999</v>
      </c>
      <c r="E2569" s="8">
        <v>5.3806000000000003</v>
      </c>
    </row>
    <row r="2570" spans="1:5" x14ac:dyDescent="0.2">
      <c r="A2570" s="5">
        <f t="shared" si="89"/>
        <v>3</v>
      </c>
      <c r="B2570" s="5">
        <f t="shared" si="90"/>
        <v>2023</v>
      </c>
      <c r="C2570" s="7">
        <v>45007</v>
      </c>
      <c r="D2570" s="8">
        <v>5.5556999999999999</v>
      </c>
      <c r="E2570" s="8">
        <v>5.3688000000000002</v>
      </c>
    </row>
    <row r="2571" spans="1:5" x14ac:dyDescent="0.2">
      <c r="A2571" s="5">
        <f t="shared" si="89"/>
        <v>3</v>
      </c>
      <c r="B2571" s="5">
        <f t="shared" si="90"/>
        <v>2023</v>
      </c>
      <c r="C2571" s="7">
        <v>45008</v>
      </c>
      <c r="D2571" s="8">
        <v>5.5556999999999999</v>
      </c>
      <c r="E2571" s="8">
        <v>5.3577000000000004</v>
      </c>
    </row>
    <row r="2572" spans="1:5" x14ac:dyDescent="0.2">
      <c r="A2572" s="5">
        <f t="shared" si="89"/>
        <v>3</v>
      </c>
      <c r="B2572" s="5">
        <f t="shared" si="90"/>
        <v>2023</v>
      </c>
      <c r="C2572" s="7">
        <v>45009</v>
      </c>
      <c r="D2572" s="8">
        <v>5.5349000000000004</v>
      </c>
      <c r="E2572" s="8">
        <v>5.3573000000000004</v>
      </c>
    </row>
    <row r="2573" spans="1:5" x14ac:dyDescent="0.2">
      <c r="A2573" s="5">
        <f t="shared" si="89"/>
        <v>3</v>
      </c>
      <c r="B2573" s="5">
        <f t="shared" si="90"/>
        <v>2023</v>
      </c>
      <c r="C2573" s="7">
        <v>45012</v>
      </c>
      <c r="D2573" s="8">
        <v>5.5452000000000004</v>
      </c>
      <c r="E2573" s="8">
        <v>5.3215000000000003</v>
      </c>
    </row>
    <row r="2574" spans="1:5" x14ac:dyDescent="0.2">
      <c r="A2574" s="5">
        <f t="shared" si="89"/>
        <v>3</v>
      </c>
      <c r="B2574" s="5">
        <f t="shared" si="90"/>
        <v>2023</v>
      </c>
      <c r="C2574" s="7">
        <v>45013</v>
      </c>
      <c r="D2574" s="8">
        <v>5.5347</v>
      </c>
      <c r="E2574" s="8">
        <v>5.2962999999999996</v>
      </c>
    </row>
    <row r="2575" spans="1:5" x14ac:dyDescent="0.2">
      <c r="A2575" s="5">
        <f t="shared" si="89"/>
        <v>3</v>
      </c>
      <c r="B2575" s="5">
        <f t="shared" si="90"/>
        <v>2023</v>
      </c>
      <c r="C2575" s="7">
        <v>45014</v>
      </c>
      <c r="D2575" s="8">
        <v>5.5400999999999998</v>
      </c>
      <c r="E2575" s="8">
        <v>5.2892000000000001</v>
      </c>
    </row>
    <row r="2576" spans="1:5" x14ac:dyDescent="0.2">
      <c r="A2576" s="5">
        <f t="shared" si="89"/>
        <v>3</v>
      </c>
      <c r="B2576" s="5">
        <f t="shared" si="90"/>
        <v>2023</v>
      </c>
      <c r="C2576" s="7">
        <v>45015</v>
      </c>
      <c r="D2576" s="8">
        <v>5.5454999999999997</v>
      </c>
      <c r="E2576" s="8">
        <v>5.2803000000000004</v>
      </c>
    </row>
    <row r="2577" spans="1:5" x14ac:dyDescent="0.2">
      <c r="A2577" s="5">
        <f t="shared" si="89"/>
        <v>3</v>
      </c>
      <c r="B2577" s="5">
        <f t="shared" si="90"/>
        <v>2023</v>
      </c>
      <c r="C2577" s="7">
        <v>45016</v>
      </c>
      <c r="D2577" s="8">
        <v>5.5454999999999997</v>
      </c>
      <c r="E2577" s="8">
        <v>5.2610000000000001</v>
      </c>
    </row>
    <row r="2578" spans="1:5" x14ac:dyDescent="0.2">
      <c r="A2578" s="5">
        <f t="shared" si="89"/>
        <v>4</v>
      </c>
      <c r="B2578" s="5">
        <f t="shared" si="90"/>
        <v>2023</v>
      </c>
      <c r="C2578" s="7">
        <v>45019</v>
      </c>
      <c r="D2578" s="8">
        <v>5.5349000000000004</v>
      </c>
      <c r="E2578" s="8">
        <v>5.2263000000000002</v>
      </c>
    </row>
    <row r="2579" spans="1:5" x14ac:dyDescent="0.2">
      <c r="A2579" s="5">
        <f t="shared" si="89"/>
        <v>4</v>
      </c>
      <c r="B2579" s="5">
        <f t="shared" si="90"/>
        <v>2023</v>
      </c>
      <c r="C2579" s="7">
        <v>45020</v>
      </c>
      <c r="D2579" s="8">
        <v>5.5349000000000004</v>
      </c>
      <c r="E2579" s="8">
        <v>5.2164999999999999</v>
      </c>
    </row>
    <row r="2580" spans="1:5" x14ac:dyDescent="0.2">
      <c r="A2580" s="5">
        <f t="shared" si="89"/>
        <v>4</v>
      </c>
      <c r="B2580" s="5">
        <f t="shared" si="90"/>
        <v>2023</v>
      </c>
      <c r="C2580" s="7">
        <v>45021</v>
      </c>
      <c r="D2580" s="8">
        <v>5.5349000000000004</v>
      </c>
      <c r="E2580" s="8">
        <v>5.2066999999999997</v>
      </c>
    </row>
    <row r="2581" spans="1:5" x14ac:dyDescent="0.2">
      <c r="A2581" s="5">
        <f t="shared" si="89"/>
        <v>4</v>
      </c>
      <c r="B2581" s="5">
        <f t="shared" si="90"/>
        <v>2023</v>
      </c>
      <c r="C2581" s="7">
        <v>45022</v>
      </c>
      <c r="D2581" s="8">
        <v>5.5454999999999997</v>
      </c>
      <c r="E2581" s="8">
        <v>5.202</v>
      </c>
    </row>
    <row r="2582" spans="1:5" x14ac:dyDescent="0.2">
      <c r="A2582" s="5">
        <f t="shared" si="89"/>
        <v>4</v>
      </c>
      <c r="B2582" s="5">
        <f t="shared" si="90"/>
        <v>2023</v>
      </c>
      <c r="C2582" s="7">
        <v>45026</v>
      </c>
      <c r="D2582" s="8">
        <v>5.5454999999999997</v>
      </c>
      <c r="E2582" s="8">
        <v>5.1574</v>
      </c>
    </row>
    <row r="2583" spans="1:5" x14ac:dyDescent="0.2">
      <c r="A2583" s="5">
        <f t="shared" si="89"/>
        <v>4</v>
      </c>
      <c r="B2583" s="5">
        <f t="shared" si="90"/>
        <v>2023</v>
      </c>
      <c r="C2583" s="7">
        <v>45027</v>
      </c>
      <c r="D2583" s="8">
        <v>5.1680000000000001</v>
      </c>
      <c r="E2583" s="8">
        <v>5.1593</v>
      </c>
    </row>
    <row r="2584" spans="1:5" x14ac:dyDescent="0.2">
      <c r="A2584" s="5">
        <f t="shared" si="89"/>
        <v>4</v>
      </c>
      <c r="B2584" s="5">
        <f t="shared" si="90"/>
        <v>2023</v>
      </c>
      <c r="C2584" s="7">
        <v>45028</v>
      </c>
      <c r="D2584" s="8">
        <v>5.1871999999999998</v>
      </c>
      <c r="E2584" s="8">
        <v>5.1615000000000002</v>
      </c>
    </row>
    <row r="2585" spans="1:5" x14ac:dyDescent="0.2">
      <c r="A2585" s="5">
        <f t="shared" si="89"/>
        <v>4</v>
      </c>
      <c r="B2585" s="5">
        <f t="shared" si="90"/>
        <v>2023</v>
      </c>
      <c r="C2585" s="7">
        <v>45029</v>
      </c>
      <c r="D2585" s="8">
        <v>5.2049000000000003</v>
      </c>
      <c r="E2585" s="8">
        <v>5.1784999999999997</v>
      </c>
    </row>
    <row r="2586" spans="1:5" x14ac:dyDescent="0.2">
      <c r="A2586" s="5">
        <f t="shared" si="89"/>
        <v>4</v>
      </c>
      <c r="B2586" s="5">
        <f t="shared" si="90"/>
        <v>2023</v>
      </c>
      <c r="C2586" s="7">
        <v>45030</v>
      </c>
      <c r="D2586" s="8">
        <v>5.2301000000000002</v>
      </c>
      <c r="E2586" s="8">
        <v>5.2070999999999996</v>
      </c>
    </row>
    <row r="2587" spans="1:5" x14ac:dyDescent="0.2">
      <c r="A2587" s="5">
        <f t="shared" si="89"/>
        <v>4</v>
      </c>
      <c r="B2587" s="5">
        <f t="shared" si="90"/>
        <v>2023</v>
      </c>
      <c r="C2587" s="7">
        <v>45033</v>
      </c>
      <c r="D2587" s="8">
        <v>5.2718999999999996</v>
      </c>
      <c r="E2587" s="8">
        <v>5.2069000000000001</v>
      </c>
    </row>
    <row r="2588" spans="1:5" x14ac:dyDescent="0.2">
      <c r="A2588" s="5">
        <f t="shared" si="89"/>
        <v>4</v>
      </c>
      <c r="B2588" s="5">
        <f t="shared" si="90"/>
        <v>2023</v>
      </c>
      <c r="C2588" s="7">
        <v>45034</v>
      </c>
      <c r="D2588" s="8">
        <v>5.2830000000000004</v>
      </c>
      <c r="E2588" s="8">
        <v>5.2234999999999996</v>
      </c>
    </row>
    <row r="2589" spans="1:5" x14ac:dyDescent="0.2">
      <c r="A2589" s="5">
        <f t="shared" si="89"/>
        <v>4</v>
      </c>
      <c r="B2589" s="5">
        <f t="shared" si="90"/>
        <v>2023</v>
      </c>
      <c r="C2589" s="7">
        <v>45035</v>
      </c>
      <c r="D2589" s="8">
        <v>5.2830000000000004</v>
      </c>
      <c r="E2589" s="8">
        <v>5.2161</v>
      </c>
    </row>
    <row r="2590" spans="1:5" x14ac:dyDescent="0.2">
      <c r="A2590" s="5">
        <f t="shared" si="89"/>
        <v>4</v>
      </c>
      <c r="B2590" s="5">
        <f t="shared" si="90"/>
        <v>2023</v>
      </c>
      <c r="C2590" s="7">
        <v>45036</v>
      </c>
      <c r="D2590" s="8">
        <v>5.3040000000000003</v>
      </c>
      <c r="E2590" s="8">
        <v>5.2583000000000002</v>
      </c>
    </row>
    <row r="2591" spans="1:5" x14ac:dyDescent="0.2">
      <c r="A2591" s="5">
        <f t="shared" si="89"/>
        <v>4</v>
      </c>
      <c r="B2591" s="5">
        <f t="shared" si="90"/>
        <v>2023</v>
      </c>
      <c r="C2591" s="7">
        <v>45040</v>
      </c>
      <c r="D2591" s="8">
        <v>5.3040000000000003</v>
      </c>
      <c r="E2591" s="8">
        <v>5.234</v>
      </c>
    </row>
    <row r="2592" spans="1:5" x14ac:dyDescent="0.2">
      <c r="A2592" s="5">
        <f t="shared" si="89"/>
        <v>4</v>
      </c>
      <c r="B2592" s="5">
        <f t="shared" si="90"/>
        <v>2023</v>
      </c>
      <c r="C2592" s="7">
        <v>45041</v>
      </c>
      <c r="D2592" s="8">
        <v>5.3040000000000003</v>
      </c>
      <c r="E2592" s="8">
        <v>5.2244000000000002</v>
      </c>
    </row>
    <row r="2593" spans="1:5" x14ac:dyDescent="0.2">
      <c r="A2593" s="5">
        <f t="shared" si="89"/>
        <v>4</v>
      </c>
      <c r="B2593" s="5">
        <f t="shared" si="90"/>
        <v>2023</v>
      </c>
      <c r="C2593" s="7">
        <v>45042</v>
      </c>
      <c r="D2593" s="8">
        <v>5.3040000000000003</v>
      </c>
      <c r="E2593" s="8">
        <v>5.2149000000000001</v>
      </c>
    </row>
    <row r="2594" spans="1:5" x14ac:dyDescent="0.2">
      <c r="A2594" s="5">
        <f t="shared" si="89"/>
        <v>4</v>
      </c>
      <c r="B2594" s="5">
        <f t="shared" si="90"/>
        <v>2023</v>
      </c>
      <c r="C2594" s="7">
        <v>45043</v>
      </c>
      <c r="D2594" s="8">
        <v>5.3036000000000003</v>
      </c>
      <c r="E2594" s="8">
        <v>5.2222</v>
      </c>
    </row>
    <row r="2595" spans="1:5" x14ac:dyDescent="0.2">
      <c r="A2595" s="5">
        <f t="shared" si="89"/>
        <v>4</v>
      </c>
      <c r="B2595" s="5">
        <f t="shared" si="90"/>
        <v>2023</v>
      </c>
      <c r="C2595" s="7">
        <v>45044</v>
      </c>
      <c r="D2595" s="8">
        <v>5.3239999999999998</v>
      </c>
      <c r="E2595" s="8">
        <v>5.2324000000000002</v>
      </c>
    </row>
    <row r="2596" spans="1:5" x14ac:dyDescent="0.2">
      <c r="A2596" s="5">
        <f t="shared" si="89"/>
        <v>5</v>
      </c>
      <c r="B2596" s="5">
        <f t="shared" si="90"/>
        <v>2023</v>
      </c>
      <c r="C2596" s="7">
        <v>45048</v>
      </c>
      <c r="D2596" s="8">
        <v>5.3239999999999998</v>
      </c>
      <c r="E2596" s="8">
        <v>5.2276999999999996</v>
      </c>
    </row>
    <row r="2597" spans="1:5" x14ac:dyDescent="0.2">
      <c r="A2597" s="5">
        <f t="shared" si="89"/>
        <v>5</v>
      </c>
      <c r="B2597" s="5">
        <f t="shared" si="90"/>
        <v>2023</v>
      </c>
      <c r="C2597" s="7">
        <v>45049</v>
      </c>
      <c r="D2597" s="8">
        <v>5.2976999999999999</v>
      </c>
      <c r="E2597" s="8">
        <v>5.1833</v>
      </c>
    </row>
    <row r="2598" spans="1:5" x14ac:dyDescent="0.2">
      <c r="A2598" s="5">
        <f t="shared" si="89"/>
        <v>5</v>
      </c>
      <c r="B2598" s="5">
        <f t="shared" si="90"/>
        <v>2023</v>
      </c>
      <c r="C2598" s="7">
        <v>45050</v>
      </c>
      <c r="D2598" s="8">
        <v>5.2914000000000003</v>
      </c>
      <c r="E2598" s="8">
        <v>5.1608999999999998</v>
      </c>
    </row>
    <row r="2599" spans="1:5" x14ac:dyDescent="0.2">
      <c r="A2599" s="5">
        <f t="shared" si="89"/>
        <v>5</v>
      </c>
      <c r="B2599" s="5">
        <f t="shared" si="90"/>
        <v>2023</v>
      </c>
      <c r="C2599" s="7">
        <v>45051</v>
      </c>
      <c r="D2599" s="8">
        <v>5.2870999999999997</v>
      </c>
      <c r="E2599" s="8">
        <v>5.1421000000000001</v>
      </c>
    </row>
    <row r="2600" spans="1:5" x14ac:dyDescent="0.2">
      <c r="A2600" s="5">
        <f t="shared" si="89"/>
        <v>5</v>
      </c>
      <c r="B2600" s="5">
        <f t="shared" si="90"/>
        <v>2023</v>
      </c>
      <c r="C2600" s="7">
        <v>45054</v>
      </c>
      <c r="D2600" s="8">
        <v>5.2870999999999997</v>
      </c>
      <c r="E2600" s="8">
        <v>5.1253000000000002</v>
      </c>
    </row>
    <row r="2601" spans="1:5" x14ac:dyDescent="0.2">
      <c r="A2601" s="5">
        <f t="shared" si="89"/>
        <v>5</v>
      </c>
      <c r="B2601" s="5">
        <f t="shared" si="90"/>
        <v>2023</v>
      </c>
      <c r="C2601" s="7">
        <v>45055</v>
      </c>
      <c r="D2601" s="8">
        <v>5.2827000000000002</v>
      </c>
      <c r="E2601" s="8">
        <v>5.1115000000000004</v>
      </c>
    </row>
    <row r="2602" spans="1:5" x14ac:dyDescent="0.2">
      <c r="A2602" s="5">
        <f t="shared" si="89"/>
        <v>5</v>
      </c>
      <c r="B2602" s="5">
        <f t="shared" si="90"/>
        <v>2023</v>
      </c>
      <c r="C2602" s="7">
        <v>45056</v>
      </c>
      <c r="D2602" s="8">
        <v>5.2827000000000002</v>
      </c>
      <c r="E2602" s="8">
        <v>5.1085000000000003</v>
      </c>
    </row>
    <row r="2603" spans="1:5" x14ac:dyDescent="0.2">
      <c r="A2603" s="5">
        <f t="shared" si="89"/>
        <v>5</v>
      </c>
      <c r="B2603" s="5">
        <f t="shared" si="90"/>
        <v>2023</v>
      </c>
      <c r="C2603" s="7">
        <v>45057</v>
      </c>
      <c r="D2603" s="8">
        <v>5.2670000000000003</v>
      </c>
      <c r="E2603" s="8">
        <v>5.0663999999999998</v>
      </c>
    </row>
    <row r="2604" spans="1:5" x14ac:dyDescent="0.2">
      <c r="A2604" s="5">
        <f t="shared" si="89"/>
        <v>5</v>
      </c>
      <c r="B2604" s="5">
        <f t="shared" si="90"/>
        <v>2023</v>
      </c>
      <c r="C2604" s="7">
        <v>45058</v>
      </c>
      <c r="D2604" s="8">
        <v>4.9897</v>
      </c>
      <c r="E2604" s="8">
        <v>4.9869000000000003</v>
      </c>
    </row>
    <row r="2605" spans="1:5" x14ac:dyDescent="0.2">
      <c r="A2605" s="5">
        <f t="shared" si="89"/>
        <v>5</v>
      </c>
      <c r="B2605" s="5">
        <f t="shared" si="90"/>
        <v>2023</v>
      </c>
      <c r="C2605" s="7">
        <v>45061</v>
      </c>
      <c r="D2605" s="8">
        <v>4.9954999999999998</v>
      </c>
      <c r="E2605" s="8">
        <v>4.9725000000000001</v>
      </c>
    </row>
    <row r="2606" spans="1:5" x14ac:dyDescent="0.2">
      <c r="A2606" s="5">
        <f t="shared" si="89"/>
        <v>5</v>
      </c>
      <c r="B2606" s="5">
        <f t="shared" si="90"/>
        <v>2023</v>
      </c>
      <c r="C2606" s="7">
        <v>45062</v>
      </c>
      <c r="D2606" s="8">
        <v>5.0208000000000004</v>
      </c>
      <c r="E2606" s="8">
        <v>4.9812000000000003</v>
      </c>
    </row>
    <row r="2607" spans="1:5" x14ac:dyDescent="0.2">
      <c r="A2607" s="5">
        <f t="shared" si="89"/>
        <v>5</v>
      </c>
      <c r="B2607" s="5">
        <f t="shared" si="90"/>
        <v>2023</v>
      </c>
      <c r="C2607" s="7">
        <v>45063</v>
      </c>
      <c r="D2607" s="8">
        <v>5.0082000000000004</v>
      </c>
      <c r="E2607" s="8">
        <v>4.9682000000000004</v>
      </c>
    </row>
    <row r="2608" spans="1:5" x14ac:dyDescent="0.2">
      <c r="A2608" s="5">
        <f t="shared" si="89"/>
        <v>5</v>
      </c>
      <c r="B2608" s="5">
        <f t="shared" si="90"/>
        <v>2023</v>
      </c>
      <c r="C2608" s="7">
        <v>45064</v>
      </c>
      <c r="D2608" s="8">
        <v>4.9832000000000001</v>
      </c>
      <c r="E2608" s="8">
        <v>4.9268999999999998</v>
      </c>
    </row>
    <row r="2609" spans="1:5" x14ac:dyDescent="0.2">
      <c r="A2609" s="5">
        <f t="shared" si="89"/>
        <v>5</v>
      </c>
      <c r="B2609" s="5">
        <f t="shared" si="90"/>
        <v>2023</v>
      </c>
      <c r="C2609" s="7">
        <v>45065</v>
      </c>
      <c r="D2609" s="8">
        <v>4.8070000000000004</v>
      </c>
      <c r="E2609" s="8">
        <v>4.7705000000000002</v>
      </c>
    </row>
    <row r="2610" spans="1:5" x14ac:dyDescent="0.2">
      <c r="A2610" s="5">
        <f t="shared" si="89"/>
        <v>5</v>
      </c>
      <c r="B2610" s="5">
        <f t="shared" si="90"/>
        <v>2023</v>
      </c>
      <c r="C2610" s="7">
        <v>45068</v>
      </c>
      <c r="D2610" s="8">
        <v>4.8227000000000002</v>
      </c>
      <c r="E2610" s="8">
        <v>4.7610999999999999</v>
      </c>
    </row>
    <row r="2611" spans="1:5" x14ac:dyDescent="0.2">
      <c r="A2611" s="5">
        <f t="shared" si="89"/>
        <v>5</v>
      </c>
      <c r="B2611" s="5">
        <f t="shared" si="90"/>
        <v>2023</v>
      </c>
      <c r="C2611" s="7">
        <v>45069</v>
      </c>
      <c r="D2611" s="8">
        <v>4.8227000000000002</v>
      </c>
      <c r="E2611" s="8">
        <v>4.7644000000000002</v>
      </c>
    </row>
    <row r="2612" spans="1:5" x14ac:dyDescent="0.2">
      <c r="A2612" s="5">
        <f t="shared" si="89"/>
        <v>5</v>
      </c>
      <c r="B2612" s="5">
        <f t="shared" si="90"/>
        <v>2023</v>
      </c>
      <c r="C2612" s="7">
        <v>45070</v>
      </c>
      <c r="D2612" s="8">
        <v>4.8227000000000002</v>
      </c>
      <c r="E2612" s="8">
        <v>4.7622999999999998</v>
      </c>
    </row>
    <row r="2613" spans="1:5" x14ac:dyDescent="0.2">
      <c r="A2613" s="5">
        <f t="shared" si="89"/>
        <v>5</v>
      </c>
      <c r="B2613" s="5">
        <f t="shared" si="90"/>
        <v>2023</v>
      </c>
      <c r="C2613" s="7">
        <v>45071</v>
      </c>
      <c r="D2613" s="8">
        <v>4.8175999999999997</v>
      </c>
      <c r="E2613" s="8">
        <v>4.7320000000000002</v>
      </c>
    </row>
    <row r="2614" spans="1:5" x14ac:dyDescent="0.2">
      <c r="A2614" s="5">
        <f t="shared" si="89"/>
        <v>5</v>
      </c>
      <c r="B2614" s="5">
        <f t="shared" si="90"/>
        <v>2023</v>
      </c>
      <c r="C2614" s="7">
        <v>45072</v>
      </c>
      <c r="D2614" s="8">
        <v>4.7548000000000004</v>
      </c>
      <c r="E2614" s="8">
        <v>4.6944999999999997</v>
      </c>
    </row>
    <row r="2615" spans="1:5" x14ac:dyDescent="0.2">
      <c r="A2615" s="5">
        <f t="shared" si="89"/>
        <v>5</v>
      </c>
      <c r="B2615" s="5">
        <f t="shared" si="90"/>
        <v>2023</v>
      </c>
      <c r="C2615" s="7">
        <v>45075</v>
      </c>
      <c r="D2615" s="8">
        <v>4.7377000000000002</v>
      </c>
      <c r="E2615" s="8">
        <v>4.6630000000000003</v>
      </c>
    </row>
    <row r="2616" spans="1:5" x14ac:dyDescent="0.2">
      <c r="A2616" s="5">
        <f t="shared" si="89"/>
        <v>5</v>
      </c>
      <c r="B2616" s="5">
        <f t="shared" si="90"/>
        <v>2023</v>
      </c>
      <c r="C2616" s="7">
        <v>45076</v>
      </c>
      <c r="D2616" s="8">
        <v>4.7324999999999999</v>
      </c>
      <c r="E2616" s="8">
        <v>4.6634000000000002</v>
      </c>
    </row>
    <row r="2617" spans="1:5" x14ac:dyDescent="0.2">
      <c r="A2617" s="5">
        <f t="shared" si="89"/>
        <v>5</v>
      </c>
      <c r="B2617" s="5">
        <f t="shared" si="90"/>
        <v>2023</v>
      </c>
      <c r="C2617" s="7">
        <v>45077</v>
      </c>
      <c r="D2617" s="8">
        <v>4.7161999999999997</v>
      </c>
      <c r="E2617" s="8">
        <v>4.6635</v>
      </c>
    </row>
    <row r="2618" spans="1:5" x14ac:dyDescent="0.2">
      <c r="A2618" s="5">
        <f t="shared" si="89"/>
        <v>6</v>
      </c>
      <c r="B2618" s="5">
        <f t="shared" si="90"/>
        <v>2023</v>
      </c>
      <c r="C2618" s="7">
        <v>45078</v>
      </c>
      <c r="D2618" s="8">
        <v>4.7161999999999997</v>
      </c>
      <c r="E2618" s="8">
        <v>4.6449999999999996</v>
      </c>
    </row>
    <row r="2619" spans="1:5" x14ac:dyDescent="0.2">
      <c r="A2619" s="5">
        <f t="shared" si="89"/>
        <v>6</v>
      </c>
      <c r="B2619" s="5">
        <f t="shared" si="90"/>
        <v>2023</v>
      </c>
      <c r="C2619" s="7">
        <v>45079</v>
      </c>
      <c r="D2619" s="8">
        <v>4.6651999999999996</v>
      </c>
      <c r="E2619" s="8">
        <v>4.6018999999999997</v>
      </c>
    </row>
    <row r="2620" spans="1:5" x14ac:dyDescent="0.2">
      <c r="A2620" s="5">
        <f t="shared" si="89"/>
        <v>6</v>
      </c>
      <c r="B2620" s="5">
        <f t="shared" si="90"/>
        <v>2023</v>
      </c>
      <c r="C2620" s="7">
        <v>45082</v>
      </c>
      <c r="D2620" s="8">
        <v>4.6452</v>
      </c>
      <c r="E2620" s="8">
        <v>4.5876000000000001</v>
      </c>
    </row>
    <row r="2621" spans="1:5" x14ac:dyDescent="0.2">
      <c r="A2621" s="5">
        <f t="shared" si="89"/>
        <v>6</v>
      </c>
      <c r="B2621" s="5">
        <f t="shared" si="90"/>
        <v>2023</v>
      </c>
      <c r="C2621" s="7">
        <v>45083</v>
      </c>
      <c r="D2621" s="8">
        <v>4.6332000000000004</v>
      </c>
      <c r="E2621" s="8">
        <v>4.5101000000000004</v>
      </c>
    </row>
    <row r="2622" spans="1:5" x14ac:dyDescent="0.2">
      <c r="A2622" s="5">
        <f t="shared" si="89"/>
        <v>6</v>
      </c>
      <c r="B2622" s="5">
        <f t="shared" si="90"/>
        <v>2023</v>
      </c>
      <c r="C2622" s="7">
        <v>45084</v>
      </c>
      <c r="D2622" s="8">
        <v>4.4947999999999997</v>
      </c>
      <c r="E2622" s="8">
        <v>4.4984000000000002</v>
      </c>
    </row>
    <row r="2623" spans="1:5" x14ac:dyDescent="0.2">
      <c r="A2623" s="5">
        <f t="shared" si="89"/>
        <v>6</v>
      </c>
      <c r="B2623" s="5">
        <f t="shared" si="90"/>
        <v>2023</v>
      </c>
      <c r="C2623" s="7">
        <v>45086</v>
      </c>
      <c r="D2623" s="8">
        <v>4.4215999999999998</v>
      </c>
      <c r="E2623" s="8">
        <v>4.4177</v>
      </c>
    </row>
    <row r="2624" spans="1:5" x14ac:dyDescent="0.2">
      <c r="A2624" s="5">
        <f t="shared" si="89"/>
        <v>6</v>
      </c>
      <c r="B2624" s="5">
        <f t="shared" si="90"/>
        <v>2023</v>
      </c>
      <c r="C2624" s="7">
        <v>45089</v>
      </c>
      <c r="D2624" s="8">
        <v>4.4162999999999997</v>
      </c>
      <c r="E2624" s="8">
        <v>4.4147999999999996</v>
      </c>
    </row>
    <row r="2625" spans="1:5" x14ac:dyDescent="0.2">
      <c r="A2625" s="5">
        <f t="shared" si="89"/>
        <v>6</v>
      </c>
      <c r="B2625" s="5">
        <f t="shared" si="90"/>
        <v>2023</v>
      </c>
      <c r="C2625" s="7">
        <v>45090</v>
      </c>
      <c r="D2625" s="8">
        <v>4.4062000000000001</v>
      </c>
      <c r="E2625" s="8">
        <v>4.4044999999999996</v>
      </c>
    </row>
    <row r="2626" spans="1:5" x14ac:dyDescent="0.2">
      <c r="A2626" s="5">
        <f t="shared" si="89"/>
        <v>6</v>
      </c>
      <c r="B2626" s="5">
        <f t="shared" si="90"/>
        <v>2023</v>
      </c>
      <c r="C2626" s="7">
        <v>45091</v>
      </c>
      <c r="D2626" s="8">
        <v>4.3771000000000004</v>
      </c>
      <c r="E2626" s="8">
        <v>4.3906999999999998</v>
      </c>
    </row>
    <row r="2627" spans="1:5" x14ac:dyDescent="0.2">
      <c r="A2627" s="5">
        <f t="shared" si="89"/>
        <v>6</v>
      </c>
      <c r="B2627" s="5">
        <f t="shared" si="90"/>
        <v>2023</v>
      </c>
      <c r="C2627" s="7">
        <v>45092</v>
      </c>
      <c r="D2627" s="8">
        <v>4.3726000000000003</v>
      </c>
      <c r="E2627" s="8">
        <v>4.3860999999999999</v>
      </c>
    </row>
    <row r="2628" spans="1:5" x14ac:dyDescent="0.2">
      <c r="A2628" s="5">
        <f t="shared" ref="A2628:A2691" si="91">MONTH(C2628)</f>
        <v>6</v>
      </c>
      <c r="B2628" s="5">
        <f t="shared" ref="B2628:B2691" si="92">YEAR(C2628)</f>
        <v>2023</v>
      </c>
      <c r="C2628" s="7">
        <v>45093</v>
      </c>
      <c r="D2628" s="8">
        <v>4.0957999999999997</v>
      </c>
      <c r="E2628" s="8">
        <v>4.1757999999999997</v>
      </c>
    </row>
    <row r="2629" spans="1:5" x14ac:dyDescent="0.2">
      <c r="A2629" s="5">
        <f t="shared" si="91"/>
        <v>6</v>
      </c>
      <c r="B2629" s="5">
        <f t="shared" si="92"/>
        <v>2023</v>
      </c>
      <c r="C2629" s="7">
        <v>45096</v>
      </c>
      <c r="D2629" s="8">
        <v>4.0839999999999996</v>
      </c>
      <c r="E2629" s="8">
        <v>4.1646999999999998</v>
      </c>
    </row>
    <row r="2630" spans="1:5" x14ac:dyDescent="0.2">
      <c r="A2630" s="5">
        <f t="shared" si="91"/>
        <v>6</v>
      </c>
      <c r="B2630" s="5">
        <f t="shared" si="92"/>
        <v>2023</v>
      </c>
      <c r="C2630" s="7">
        <v>45097</v>
      </c>
      <c r="D2630" s="8">
        <v>4.0839999999999996</v>
      </c>
      <c r="E2630" s="8">
        <v>4.1885000000000003</v>
      </c>
    </row>
    <row r="2631" spans="1:5" x14ac:dyDescent="0.2">
      <c r="A2631" s="5">
        <f t="shared" si="91"/>
        <v>6</v>
      </c>
      <c r="B2631" s="5">
        <f t="shared" si="92"/>
        <v>2023</v>
      </c>
      <c r="C2631" s="7">
        <v>45098</v>
      </c>
      <c r="D2631" s="8">
        <v>4.0730000000000004</v>
      </c>
      <c r="E2631" s="8">
        <v>4.1844000000000001</v>
      </c>
    </row>
    <row r="2632" spans="1:5" x14ac:dyDescent="0.2">
      <c r="A2632" s="5">
        <f t="shared" si="91"/>
        <v>6</v>
      </c>
      <c r="B2632" s="5">
        <f t="shared" si="92"/>
        <v>2023</v>
      </c>
      <c r="C2632" s="7">
        <v>45099</v>
      </c>
      <c r="D2632" s="8">
        <v>4.0730000000000004</v>
      </c>
      <c r="E2632" s="8">
        <v>4.1957000000000004</v>
      </c>
    </row>
    <row r="2633" spans="1:5" x14ac:dyDescent="0.2">
      <c r="A2633" s="5">
        <f t="shared" si="91"/>
        <v>6</v>
      </c>
      <c r="B2633" s="5">
        <f t="shared" si="92"/>
        <v>2023</v>
      </c>
      <c r="C2633" s="7">
        <v>45100</v>
      </c>
      <c r="D2633" s="8">
        <v>4.0204000000000004</v>
      </c>
      <c r="E2633" s="8">
        <v>4.1563999999999997</v>
      </c>
    </row>
    <row r="2634" spans="1:5" x14ac:dyDescent="0.2">
      <c r="A2634" s="5">
        <f t="shared" si="91"/>
        <v>6</v>
      </c>
      <c r="B2634" s="5">
        <f t="shared" si="92"/>
        <v>2023</v>
      </c>
      <c r="C2634" s="7">
        <v>45103</v>
      </c>
      <c r="D2634" s="8">
        <v>4.0002000000000004</v>
      </c>
      <c r="E2634" s="8">
        <v>4.2084999999999999</v>
      </c>
    </row>
    <row r="2635" spans="1:5" x14ac:dyDescent="0.2">
      <c r="A2635" s="5">
        <f t="shared" si="91"/>
        <v>6</v>
      </c>
      <c r="B2635" s="5">
        <f t="shared" si="92"/>
        <v>2023</v>
      </c>
      <c r="C2635" s="7">
        <v>45104</v>
      </c>
      <c r="D2635" s="8">
        <v>4.0002000000000004</v>
      </c>
      <c r="E2635" s="8">
        <v>4.2084999999999999</v>
      </c>
    </row>
    <row r="2636" spans="1:5" x14ac:dyDescent="0.2">
      <c r="A2636" s="5">
        <f t="shared" si="91"/>
        <v>6</v>
      </c>
      <c r="B2636" s="5">
        <f t="shared" si="92"/>
        <v>2023</v>
      </c>
      <c r="C2636" s="7">
        <v>45105</v>
      </c>
      <c r="D2636" s="8">
        <v>4</v>
      </c>
      <c r="E2636" s="8">
        <v>4.1951999999999998</v>
      </c>
    </row>
    <row r="2637" spans="1:5" x14ac:dyDescent="0.2">
      <c r="A2637" s="5">
        <f t="shared" si="91"/>
        <v>6</v>
      </c>
      <c r="B2637" s="5">
        <f t="shared" si="92"/>
        <v>2023</v>
      </c>
      <c r="C2637" s="7">
        <v>45106</v>
      </c>
      <c r="D2637" s="8">
        <v>3.9998</v>
      </c>
      <c r="E2637" s="8">
        <v>4.1977000000000002</v>
      </c>
    </row>
    <row r="2638" spans="1:5" x14ac:dyDescent="0.2">
      <c r="A2638" s="5">
        <f t="shared" si="91"/>
        <v>6</v>
      </c>
      <c r="B2638" s="5">
        <f t="shared" si="92"/>
        <v>2023</v>
      </c>
      <c r="C2638" s="7">
        <v>45107</v>
      </c>
      <c r="D2638" s="8">
        <v>3.9424000000000001</v>
      </c>
      <c r="E2638" s="8">
        <v>4.1761999999999997</v>
      </c>
    </row>
    <row r="2639" spans="1:5" x14ac:dyDescent="0.2">
      <c r="A2639" s="5">
        <f t="shared" si="91"/>
        <v>7</v>
      </c>
      <c r="B2639" s="5">
        <f t="shared" si="92"/>
        <v>2023</v>
      </c>
      <c r="C2639" s="7">
        <v>45110</v>
      </c>
      <c r="D2639" s="8">
        <v>3.9272</v>
      </c>
      <c r="E2639" s="8">
        <v>4.2035</v>
      </c>
    </row>
    <row r="2640" spans="1:5" x14ac:dyDescent="0.2">
      <c r="A2640" s="5">
        <f t="shared" si="91"/>
        <v>7</v>
      </c>
      <c r="B2640" s="5">
        <f t="shared" si="92"/>
        <v>2023</v>
      </c>
      <c r="C2640" s="7">
        <v>45111</v>
      </c>
      <c r="D2640" s="8">
        <v>3.9169</v>
      </c>
      <c r="E2640" s="8">
        <v>4.2130000000000001</v>
      </c>
    </row>
    <row r="2641" spans="1:5" x14ac:dyDescent="0.2">
      <c r="A2641" s="5">
        <f t="shared" si="91"/>
        <v>7</v>
      </c>
      <c r="B2641" s="5">
        <f t="shared" si="92"/>
        <v>2023</v>
      </c>
      <c r="C2641" s="7">
        <v>45112</v>
      </c>
      <c r="D2641" s="8">
        <v>3.9125000000000001</v>
      </c>
      <c r="E2641" s="8">
        <v>4.2201000000000004</v>
      </c>
    </row>
    <row r="2642" spans="1:5" x14ac:dyDescent="0.2">
      <c r="A2642" s="5">
        <f t="shared" si="91"/>
        <v>7</v>
      </c>
      <c r="B2642" s="5">
        <f t="shared" si="92"/>
        <v>2023</v>
      </c>
      <c r="C2642" s="7">
        <v>45113</v>
      </c>
      <c r="D2642" s="8">
        <v>3.8959000000000001</v>
      </c>
      <c r="E2642" s="8">
        <v>4.2228000000000003</v>
      </c>
    </row>
    <row r="2643" spans="1:5" x14ac:dyDescent="0.2">
      <c r="A2643" s="5">
        <f t="shared" si="91"/>
        <v>7</v>
      </c>
      <c r="B2643" s="5">
        <f t="shared" si="92"/>
        <v>2023</v>
      </c>
      <c r="C2643" s="7">
        <v>45114</v>
      </c>
      <c r="D2643" s="8">
        <v>3.8858000000000001</v>
      </c>
      <c r="E2643" s="8">
        <v>4.2195</v>
      </c>
    </row>
    <row r="2644" spans="1:5" x14ac:dyDescent="0.2">
      <c r="A2644" s="5">
        <f t="shared" si="91"/>
        <v>7</v>
      </c>
      <c r="B2644" s="5">
        <f t="shared" si="92"/>
        <v>2023</v>
      </c>
      <c r="C2644" s="7">
        <v>45117</v>
      </c>
      <c r="D2644" s="8">
        <v>3.8856999999999999</v>
      </c>
      <c r="E2644" s="8">
        <v>4.2496999999999998</v>
      </c>
    </row>
    <row r="2645" spans="1:5" x14ac:dyDescent="0.2">
      <c r="A2645" s="5">
        <f t="shared" si="91"/>
        <v>7</v>
      </c>
      <c r="B2645" s="5">
        <f t="shared" si="92"/>
        <v>2023</v>
      </c>
      <c r="C2645" s="7">
        <v>45118</v>
      </c>
      <c r="D2645" s="8">
        <v>4.2374999999999998</v>
      </c>
      <c r="E2645" s="8">
        <v>4.2331000000000003</v>
      </c>
    </row>
    <row r="2646" spans="1:5" x14ac:dyDescent="0.2">
      <c r="A2646" s="5">
        <f t="shared" si="91"/>
        <v>7</v>
      </c>
      <c r="B2646" s="5">
        <f t="shared" si="92"/>
        <v>2023</v>
      </c>
      <c r="C2646" s="7">
        <v>45119</v>
      </c>
      <c r="D2646" s="8">
        <v>4.2282999999999999</v>
      </c>
      <c r="E2646" s="8">
        <v>4.2286999999999999</v>
      </c>
    </row>
    <row r="2647" spans="1:5" x14ac:dyDescent="0.2">
      <c r="A2647" s="5">
        <f t="shared" si="91"/>
        <v>7</v>
      </c>
      <c r="B2647" s="5">
        <f t="shared" si="92"/>
        <v>2023</v>
      </c>
      <c r="C2647" s="7">
        <v>45120</v>
      </c>
      <c r="D2647" s="8">
        <v>4.2241</v>
      </c>
      <c r="E2647" s="8">
        <v>4.2222999999999997</v>
      </c>
    </row>
    <row r="2648" spans="1:5" x14ac:dyDescent="0.2">
      <c r="A2648" s="5">
        <f t="shared" si="91"/>
        <v>7</v>
      </c>
      <c r="B2648" s="5">
        <f t="shared" si="92"/>
        <v>2023</v>
      </c>
      <c r="C2648" s="7">
        <v>45121</v>
      </c>
      <c r="D2648" s="8">
        <v>4.2081999999999997</v>
      </c>
      <c r="E2648" s="8">
        <v>4.2049000000000003</v>
      </c>
    </row>
    <row r="2649" spans="1:5" x14ac:dyDescent="0.2">
      <c r="A2649" s="5">
        <f t="shared" si="91"/>
        <v>7</v>
      </c>
      <c r="B2649" s="5">
        <f t="shared" si="92"/>
        <v>2023</v>
      </c>
      <c r="C2649" s="7">
        <v>45124</v>
      </c>
      <c r="D2649" s="8">
        <v>4.1978</v>
      </c>
      <c r="E2649" s="8">
        <v>4.1989000000000001</v>
      </c>
    </row>
    <row r="2650" spans="1:5" x14ac:dyDescent="0.2">
      <c r="A2650" s="5">
        <f t="shared" si="91"/>
        <v>7</v>
      </c>
      <c r="B2650" s="5">
        <f t="shared" si="92"/>
        <v>2023</v>
      </c>
      <c r="C2650" s="7">
        <v>45125</v>
      </c>
      <c r="D2650" s="8">
        <v>4.1978</v>
      </c>
      <c r="E2650" s="8">
        <v>4.1974999999999998</v>
      </c>
    </row>
    <row r="2651" spans="1:5" x14ac:dyDescent="0.2">
      <c r="A2651" s="5">
        <f t="shared" si="91"/>
        <v>7</v>
      </c>
      <c r="B2651" s="5">
        <f t="shared" si="92"/>
        <v>2023</v>
      </c>
      <c r="C2651" s="7">
        <v>45126</v>
      </c>
      <c r="D2651" s="8">
        <v>4.2080000000000002</v>
      </c>
      <c r="E2651" s="8">
        <v>4.2069000000000001</v>
      </c>
    </row>
    <row r="2652" spans="1:5" x14ac:dyDescent="0.2">
      <c r="A2652" s="5">
        <f t="shared" si="91"/>
        <v>7</v>
      </c>
      <c r="B2652" s="5">
        <f t="shared" si="92"/>
        <v>2023</v>
      </c>
      <c r="C2652" s="7">
        <v>45127</v>
      </c>
      <c r="D2652" s="8">
        <v>4.1978</v>
      </c>
      <c r="E2652" s="8">
        <v>4.2058999999999997</v>
      </c>
    </row>
    <row r="2653" spans="1:5" x14ac:dyDescent="0.2">
      <c r="A2653" s="5">
        <f t="shared" si="91"/>
        <v>7</v>
      </c>
      <c r="B2653" s="5">
        <f t="shared" si="92"/>
        <v>2023</v>
      </c>
      <c r="C2653" s="7">
        <v>45128</v>
      </c>
      <c r="D2653" s="8">
        <v>4.1352000000000002</v>
      </c>
      <c r="E2653" s="8">
        <v>4.1828000000000003</v>
      </c>
    </row>
    <row r="2654" spans="1:5" x14ac:dyDescent="0.2">
      <c r="A2654" s="5">
        <f t="shared" si="91"/>
        <v>7</v>
      </c>
      <c r="B2654" s="5">
        <f t="shared" si="92"/>
        <v>2023</v>
      </c>
      <c r="C2654" s="7">
        <v>45131</v>
      </c>
      <c r="D2654" s="8">
        <v>4.1352000000000002</v>
      </c>
      <c r="E2654" s="8">
        <v>4.1661999999999999</v>
      </c>
    </row>
    <row r="2655" spans="1:5" x14ac:dyDescent="0.2">
      <c r="A2655" s="5">
        <f t="shared" si="91"/>
        <v>7</v>
      </c>
      <c r="B2655" s="5">
        <f t="shared" si="92"/>
        <v>2023</v>
      </c>
      <c r="C2655" s="7">
        <v>45132</v>
      </c>
      <c r="D2655" s="8">
        <v>4.1348000000000003</v>
      </c>
      <c r="E2655" s="8">
        <v>4.1597</v>
      </c>
    </row>
    <row r="2656" spans="1:5" x14ac:dyDescent="0.2">
      <c r="A2656" s="5">
        <f t="shared" si="91"/>
        <v>7</v>
      </c>
      <c r="B2656" s="5">
        <f t="shared" si="92"/>
        <v>2023</v>
      </c>
      <c r="C2656" s="7">
        <v>45133</v>
      </c>
      <c r="D2656" s="8">
        <v>4.1279000000000003</v>
      </c>
      <c r="E2656" s="8">
        <v>4.1543999999999999</v>
      </c>
    </row>
    <row r="2657" spans="1:5" x14ac:dyDescent="0.2">
      <c r="A2657" s="5">
        <f t="shared" si="91"/>
        <v>7</v>
      </c>
      <c r="B2657" s="5">
        <f t="shared" si="92"/>
        <v>2023</v>
      </c>
      <c r="C2657" s="7">
        <v>45134</v>
      </c>
      <c r="D2657" s="8">
        <v>4.1253000000000002</v>
      </c>
      <c r="E2657" s="8">
        <v>4.1614000000000004</v>
      </c>
    </row>
    <row r="2658" spans="1:5" x14ac:dyDescent="0.2">
      <c r="A2658" s="5">
        <f t="shared" si="91"/>
        <v>7</v>
      </c>
      <c r="B2658" s="5">
        <f t="shared" si="92"/>
        <v>2023</v>
      </c>
      <c r="C2658" s="7">
        <v>45135</v>
      </c>
      <c r="D2658" s="8">
        <v>4.0678000000000001</v>
      </c>
      <c r="E2658" s="8">
        <v>4.1125999999999996</v>
      </c>
    </row>
    <row r="2659" spans="1:5" x14ac:dyDescent="0.2">
      <c r="A2659" s="5">
        <f t="shared" si="91"/>
        <v>7</v>
      </c>
      <c r="B2659" s="5">
        <f t="shared" si="92"/>
        <v>2023</v>
      </c>
      <c r="C2659" s="7">
        <v>45138</v>
      </c>
      <c r="D2659" s="8">
        <v>4.0678000000000001</v>
      </c>
      <c r="E2659" s="8">
        <v>4.1230000000000002</v>
      </c>
    </row>
    <row r="2660" spans="1:5" x14ac:dyDescent="0.2">
      <c r="A2660" s="5">
        <f t="shared" si="91"/>
        <v>8</v>
      </c>
      <c r="B2660" s="5">
        <f t="shared" si="92"/>
        <v>2023</v>
      </c>
      <c r="C2660" s="7">
        <v>45139</v>
      </c>
      <c r="D2660" s="8">
        <v>4.0728</v>
      </c>
      <c r="E2660" s="8">
        <v>4.1380999999999997</v>
      </c>
    </row>
    <row r="2661" spans="1:5" x14ac:dyDescent="0.2">
      <c r="A2661" s="5">
        <f t="shared" si="91"/>
        <v>8</v>
      </c>
      <c r="B2661" s="5">
        <f t="shared" si="92"/>
        <v>2023</v>
      </c>
      <c r="C2661" s="7">
        <v>45140</v>
      </c>
      <c r="D2661" s="8">
        <v>4.0702999999999996</v>
      </c>
      <c r="E2661" s="8">
        <v>4.1383000000000001</v>
      </c>
    </row>
    <row r="2662" spans="1:5" x14ac:dyDescent="0.2">
      <c r="A2662" s="5">
        <f t="shared" si="91"/>
        <v>8</v>
      </c>
      <c r="B2662" s="5">
        <f t="shared" si="92"/>
        <v>2023</v>
      </c>
      <c r="C2662" s="7">
        <v>45141</v>
      </c>
      <c r="D2662" s="8">
        <v>4.0702999999999996</v>
      </c>
      <c r="E2662" s="8">
        <v>4.1437999999999997</v>
      </c>
    </row>
    <row r="2663" spans="1:5" x14ac:dyDescent="0.2">
      <c r="A2663" s="5">
        <f t="shared" si="91"/>
        <v>8</v>
      </c>
      <c r="B2663" s="5">
        <f t="shared" si="92"/>
        <v>2023</v>
      </c>
      <c r="C2663" s="7">
        <v>45142</v>
      </c>
      <c r="D2663" s="8">
        <v>4.0519999999999996</v>
      </c>
      <c r="E2663" s="8">
        <v>4.1494</v>
      </c>
    </row>
    <row r="2664" spans="1:5" x14ac:dyDescent="0.2">
      <c r="A2664" s="5">
        <f t="shared" si="91"/>
        <v>8</v>
      </c>
      <c r="B2664" s="5">
        <f t="shared" si="92"/>
        <v>2023</v>
      </c>
      <c r="C2664" s="7">
        <v>45145</v>
      </c>
      <c r="D2664" s="8">
        <v>4.0414000000000003</v>
      </c>
      <c r="E2664" s="8">
        <v>4.1768999999999998</v>
      </c>
    </row>
    <row r="2665" spans="1:5" x14ac:dyDescent="0.2">
      <c r="A2665" s="5">
        <f t="shared" si="91"/>
        <v>8</v>
      </c>
      <c r="B2665" s="5">
        <f t="shared" si="92"/>
        <v>2023</v>
      </c>
      <c r="C2665" s="7">
        <v>45146</v>
      </c>
      <c r="D2665" s="8">
        <v>4.0327999999999999</v>
      </c>
      <c r="E2665" s="8">
        <v>4.1768999999999998</v>
      </c>
    </row>
    <row r="2666" spans="1:5" x14ac:dyDescent="0.2">
      <c r="A2666" s="5">
        <f t="shared" si="91"/>
        <v>8</v>
      </c>
      <c r="B2666" s="5">
        <f t="shared" si="92"/>
        <v>2023</v>
      </c>
      <c r="C2666" s="7">
        <v>45147</v>
      </c>
      <c r="D2666" s="8">
        <v>4.0327999999999999</v>
      </c>
      <c r="E2666" s="8">
        <v>4.1622000000000003</v>
      </c>
    </row>
    <row r="2667" spans="1:5" x14ac:dyDescent="0.2">
      <c r="A2667" s="5">
        <f t="shared" si="91"/>
        <v>8</v>
      </c>
      <c r="B2667" s="5">
        <f t="shared" si="92"/>
        <v>2023</v>
      </c>
      <c r="C2667" s="7">
        <v>45148</v>
      </c>
      <c r="D2667" s="8">
        <v>4.0315000000000003</v>
      </c>
      <c r="E2667" s="8">
        <v>4.1665999999999999</v>
      </c>
    </row>
    <row r="2668" spans="1:5" x14ac:dyDescent="0.2">
      <c r="A2668" s="5">
        <f t="shared" si="91"/>
        <v>8</v>
      </c>
      <c r="B2668" s="5">
        <f t="shared" si="92"/>
        <v>2023</v>
      </c>
      <c r="C2668" s="7">
        <v>45149</v>
      </c>
      <c r="D2668" s="8">
        <v>4.1292999999999997</v>
      </c>
      <c r="E2668" s="8">
        <v>4.1280000000000001</v>
      </c>
    </row>
    <row r="2669" spans="1:5" x14ac:dyDescent="0.2">
      <c r="A2669" s="5">
        <f t="shared" si="91"/>
        <v>8</v>
      </c>
      <c r="B2669" s="5">
        <f t="shared" si="92"/>
        <v>2023</v>
      </c>
      <c r="C2669" s="7">
        <v>45152</v>
      </c>
      <c r="D2669" s="8">
        <v>4.1300999999999997</v>
      </c>
      <c r="E2669" s="8">
        <v>4.1241000000000003</v>
      </c>
    </row>
    <row r="2670" spans="1:5" x14ac:dyDescent="0.2">
      <c r="A2670" s="5">
        <f t="shared" si="91"/>
        <v>8</v>
      </c>
      <c r="B2670" s="5">
        <f t="shared" si="92"/>
        <v>2023</v>
      </c>
      <c r="C2670" s="7">
        <v>45153</v>
      </c>
      <c r="D2670" s="8">
        <v>4.1357999999999997</v>
      </c>
      <c r="E2670" s="8">
        <v>4.1413000000000002</v>
      </c>
    </row>
    <row r="2671" spans="1:5" x14ac:dyDescent="0.2">
      <c r="A2671" s="5">
        <f t="shared" si="91"/>
        <v>8</v>
      </c>
      <c r="B2671" s="5">
        <f t="shared" si="92"/>
        <v>2023</v>
      </c>
      <c r="C2671" s="7">
        <v>45154</v>
      </c>
      <c r="D2671" s="8">
        <v>4.1456</v>
      </c>
      <c r="E2671" s="8">
        <v>4.1406000000000001</v>
      </c>
    </row>
    <row r="2672" spans="1:5" x14ac:dyDescent="0.2">
      <c r="A2672" s="5">
        <f t="shared" si="91"/>
        <v>8</v>
      </c>
      <c r="B2672" s="5">
        <f t="shared" si="92"/>
        <v>2023</v>
      </c>
      <c r="C2672" s="7">
        <v>45155</v>
      </c>
      <c r="D2672" s="8">
        <v>4.1456</v>
      </c>
      <c r="E2672" s="8">
        <v>4.1380999999999997</v>
      </c>
    </row>
    <row r="2673" spans="1:5" x14ac:dyDescent="0.2">
      <c r="A2673" s="5">
        <f t="shared" si="91"/>
        <v>8</v>
      </c>
      <c r="B2673" s="5">
        <f t="shared" si="92"/>
        <v>2023</v>
      </c>
      <c r="C2673" s="7">
        <v>45156</v>
      </c>
      <c r="D2673" s="8">
        <v>4.1776999999999997</v>
      </c>
      <c r="E2673" s="8">
        <v>4.1694000000000004</v>
      </c>
    </row>
    <row r="2674" spans="1:5" x14ac:dyDescent="0.2">
      <c r="A2674" s="5">
        <f t="shared" si="91"/>
        <v>8</v>
      </c>
      <c r="B2674" s="5">
        <f t="shared" si="92"/>
        <v>2023</v>
      </c>
      <c r="C2674" s="7">
        <v>45159</v>
      </c>
      <c r="D2674" s="8">
        <v>4.1776999999999997</v>
      </c>
      <c r="E2674" s="8">
        <v>4.1725000000000003</v>
      </c>
    </row>
    <row r="2675" spans="1:5" x14ac:dyDescent="0.2">
      <c r="A2675" s="5">
        <f t="shared" si="91"/>
        <v>8</v>
      </c>
      <c r="B2675" s="5">
        <f t="shared" si="92"/>
        <v>2023</v>
      </c>
      <c r="C2675" s="7">
        <v>45160</v>
      </c>
      <c r="D2675" s="8">
        <v>4.1976000000000004</v>
      </c>
      <c r="E2675" s="8">
        <v>4.1692</v>
      </c>
    </row>
    <row r="2676" spans="1:5" x14ac:dyDescent="0.2">
      <c r="A2676" s="5">
        <f t="shared" si="91"/>
        <v>8</v>
      </c>
      <c r="B2676" s="5">
        <f t="shared" si="92"/>
        <v>2023</v>
      </c>
      <c r="C2676" s="7">
        <v>45161</v>
      </c>
      <c r="D2676" s="8">
        <v>4.1976000000000004</v>
      </c>
      <c r="E2676" s="8">
        <v>4.1660000000000004</v>
      </c>
    </row>
    <row r="2677" spans="1:5" x14ac:dyDescent="0.2">
      <c r="A2677" s="5">
        <f t="shared" si="91"/>
        <v>8</v>
      </c>
      <c r="B2677" s="5">
        <f t="shared" si="92"/>
        <v>2023</v>
      </c>
      <c r="C2677" s="7">
        <v>45162</v>
      </c>
      <c r="D2677" s="8">
        <v>4.1877000000000004</v>
      </c>
      <c r="E2677" s="8">
        <v>4.1627000000000001</v>
      </c>
    </row>
    <row r="2678" spans="1:5" x14ac:dyDescent="0.2">
      <c r="A2678" s="5">
        <f t="shared" si="91"/>
        <v>8</v>
      </c>
      <c r="B2678" s="5">
        <f t="shared" si="92"/>
        <v>2023</v>
      </c>
      <c r="C2678" s="7">
        <v>45163</v>
      </c>
      <c r="D2678" s="8">
        <v>4.1768000000000001</v>
      </c>
      <c r="E2678" s="8">
        <v>4.1513</v>
      </c>
    </row>
    <row r="2679" spans="1:5" x14ac:dyDescent="0.2">
      <c r="A2679" s="5">
        <f t="shared" si="91"/>
        <v>8</v>
      </c>
      <c r="B2679" s="5">
        <f t="shared" si="92"/>
        <v>2023</v>
      </c>
      <c r="C2679" s="7">
        <v>45166</v>
      </c>
      <c r="D2679" s="8">
        <v>4.1776999999999997</v>
      </c>
      <c r="E2679" s="8">
        <v>4.1487999999999996</v>
      </c>
    </row>
    <row r="2680" spans="1:5" x14ac:dyDescent="0.2">
      <c r="A2680" s="5">
        <f t="shared" si="91"/>
        <v>8</v>
      </c>
      <c r="B2680" s="5">
        <f t="shared" si="92"/>
        <v>2023</v>
      </c>
      <c r="C2680" s="7">
        <v>45167</v>
      </c>
      <c r="D2680" s="8">
        <v>4.1768000000000001</v>
      </c>
      <c r="E2680" s="8">
        <v>4.1352000000000002</v>
      </c>
    </row>
    <row r="2681" spans="1:5" x14ac:dyDescent="0.2">
      <c r="A2681" s="5">
        <f t="shared" si="91"/>
        <v>8</v>
      </c>
      <c r="B2681" s="5">
        <f t="shared" si="92"/>
        <v>2023</v>
      </c>
      <c r="C2681" s="7">
        <v>45168</v>
      </c>
      <c r="D2681" s="8">
        <v>4.1772999999999998</v>
      </c>
      <c r="E2681" s="8">
        <v>4.1352000000000002</v>
      </c>
    </row>
    <row r="2682" spans="1:5" x14ac:dyDescent="0.2">
      <c r="A2682" s="5">
        <f t="shared" si="91"/>
        <v>8</v>
      </c>
      <c r="B2682" s="5">
        <f t="shared" si="92"/>
        <v>2023</v>
      </c>
      <c r="C2682" s="7">
        <v>45169</v>
      </c>
      <c r="D2682" s="8">
        <v>4.1776999999999997</v>
      </c>
      <c r="E2682" s="8">
        <v>4.1352000000000002</v>
      </c>
    </row>
    <row r="2683" spans="1:5" x14ac:dyDescent="0.2">
      <c r="A2683" s="5">
        <f t="shared" si="91"/>
        <v>9</v>
      </c>
      <c r="B2683" s="5">
        <f t="shared" si="92"/>
        <v>2023</v>
      </c>
      <c r="C2683" s="7">
        <v>45170</v>
      </c>
      <c r="D2683" s="8">
        <v>4.1768000000000001</v>
      </c>
      <c r="E2683" s="8">
        <v>4.1338999999999997</v>
      </c>
    </row>
    <row r="2684" spans="1:5" x14ac:dyDescent="0.2">
      <c r="A2684" s="5">
        <f t="shared" si="91"/>
        <v>9</v>
      </c>
      <c r="B2684" s="5">
        <f t="shared" si="92"/>
        <v>2023</v>
      </c>
      <c r="C2684" s="7">
        <v>45173</v>
      </c>
      <c r="D2684" s="8">
        <v>4.2148000000000003</v>
      </c>
      <c r="E2684" s="8">
        <v>4.1300999999999997</v>
      </c>
    </row>
    <row r="2685" spans="1:5" x14ac:dyDescent="0.2">
      <c r="A2685" s="5">
        <f t="shared" si="91"/>
        <v>9</v>
      </c>
      <c r="B2685" s="5">
        <f t="shared" si="92"/>
        <v>2023</v>
      </c>
      <c r="C2685" s="7">
        <v>45174</v>
      </c>
      <c r="D2685" s="8">
        <v>4.2148000000000003</v>
      </c>
      <c r="E2685" s="8">
        <v>4.1238000000000001</v>
      </c>
    </row>
    <row r="2686" spans="1:5" x14ac:dyDescent="0.2">
      <c r="A2686" s="5">
        <f t="shared" si="91"/>
        <v>9</v>
      </c>
      <c r="B2686" s="5">
        <f t="shared" si="92"/>
        <v>2023</v>
      </c>
      <c r="C2686" s="7">
        <v>45175</v>
      </c>
      <c r="D2686" s="8">
        <v>4.2096999999999998</v>
      </c>
      <c r="E2686" s="8">
        <v>4.1204999999999998</v>
      </c>
    </row>
    <row r="2687" spans="1:5" x14ac:dyDescent="0.2">
      <c r="A2687" s="5">
        <f t="shared" si="91"/>
        <v>9</v>
      </c>
      <c r="B2687" s="5">
        <f t="shared" si="92"/>
        <v>2023</v>
      </c>
      <c r="C2687" s="7">
        <v>45177</v>
      </c>
      <c r="D2687" s="8">
        <v>4.2081999999999997</v>
      </c>
      <c r="E2687" s="8">
        <v>4.1246999999999998</v>
      </c>
    </row>
    <row r="2688" spans="1:5" x14ac:dyDescent="0.2">
      <c r="A2688" s="5">
        <f t="shared" si="91"/>
        <v>9</v>
      </c>
      <c r="B2688" s="5">
        <f t="shared" si="92"/>
        <v>2023</v>
      </c>
      <c r="C2688" s="7">
        <v>45180</v>
      </c>
      <c r="D2688" s="8">
        <v>4.2081999999999997</v>
      </c>
      <c r="E2688" s="8">
        <v>4.1105</v>
      </c>
    </row>
    <row r="2689" spans="1:5" x14ac:dyDescent="0.2">
      <c r="A2689" s="5">
        <f t="shared" si="91"/>
        <v>9</v>
      </c>
      <c r="B2689" s="5">
        <f t="shared" si="92"/>
        <v>2023</v>
      </c>
      <c r="C2689" s="7">
        <v>45181</v>
      </c>
      <c r="D2689" s="8">
        <v>4.109</v>
      </c>
      <c r="E2689" s="8">
        <v>4.1029</v>
      </c>
    </row>
    <row r="2690" spans="1:5" x14ac:dyDescent="0.2">
      <c r="A2690" s="5">
        <f t="shared" si="91"/>
        <v>9</v>
      </c>
      <c r="B2690" s="5">
        <f t="shared" si="92"/>
        <v>2023</v>
      </c>
      <c r="C2690" s="7">
        <v>45182</v>
      </c>
      <c r="D2690" s="8">
        <v>4.109</v>
      </c>
      <c r="E2690" s="8">
        <v>4.0974000000000004</v>
      </c>
    </row>
    <row r="2691" spans="1:5" x14ac:dyDescent="0.2">
      <c r="A2691" s="5">
        <f t="shared" si="91"/>
        <v>9</v>
      </c>
      <c r="B2691" s="5">
        <f t="shared" si="92"/>
        <v>2023</v>
      </c>
      <c r="C2691" s="7">
        <v>45183</v>
      </c>
      <c r="D2691" s="8">
        <v>4.1043000000000003</v>
      </c>
      <c r="E2691" s="8">
        <v>4.0894000000000004</v>
      </c>
    </row>
    <row r="2692" spans="1:5" x14ac:dyDescent="0.2">
      <c r="A2692" s="5">
        <f t="shared" ref="A2692:A2755" si="93">MONTH(C2692)</f>
        <v>9</v>
      </c>
      <c r="B2692" s="5">
        <f t="shared" ref="B2692:B2755" si="94">YEAR(C2692)</f>
        <v>2023</v>
      </c>
      <c r="C2692" s="7">
        <v>45184</v>
      </c>
      <c r="D2692" s="8">
        <v>4.1021999999999998</v>
      </c>
      <c r="E2692" s="8">
        <v>4.0918000000000001</v>
      </c>
    </row>
    <row r="2693" spans="1:5" x14ac:dyDescent="0.2">
      <c r="A2693" s="5">
        <f t="shared" si="93"/>
        <v>9</v>
      </c>
      <c r="B2693" s="5">
        <f t="shared" si="94"/>
        <v>2023</v>
      </c>
      <c r="C2693" s="7">
        <v>45187</v>
      </c>
      <c r="D2693" s="8">
        <v>4.0971000000000002</v>
      </c>
      <c r="E2693" s="8">
        <v>4.0759999999999996</v>
      </c>
    </row>
    <row r="2694" spans="1:5" x14ac:dyDescent="0.2">
      <c r="A2694" s="5">
        <f t="shared" si="93"/>
        <v>9</v>
      </c>
      <c r="B2694" s="5">
        <f t="shared" si="94"/>
        <v>2023</v>
      </c>
      <c r="C2694" s="7">
        <v>45188</v>
      </c>
      <c r="D2694" s="8">
        <v>4.0941999999999998</v>
      </c>
      <c r="E2694" s="8">
        <v>4.0692000000000004</v>
      </c>
    </row>
    <row r="2695" spans="1:5" x14ac:dyDescent="0.2">
      <c r="A2695" s="5">
        <f t="shared" si="93"/>
        <v>9</v>
      </c>
      <c r="B2695" s="5">
        <f t="shared" si="94"/>
        <v>2023</v>
      </c>
      <c r="C2695" s="7">
        <v>45189</v>
      </c>
      <c r="D2695" s="8">
        <v>4.0941999999999998</v>
      </c>
      <c r="E2695" s="8">
        <v>4.0674000000000001</v>
      </c>
    </row>
    <row r="2696" spans="1:5" x14ac:dyDescent="0.2">
      <c r="A2696" s="5">
        <f t="shared" si="93"/>
        <v>9</v>
      </c>
      <c r="B2696" s="5">
        <f t="shared" si="94"/>
        <v>2023</v>
      </c>
      <c r="C2696" s="7">
        <v>45190</v>
      </c>
      <c r="D2696" s="8">
        <v>4.0888999999999998</v>
      </c>
      <c r="E2696" s="8">
        <v>4.0589000000000004</v>
      </c>
    </row>
    <row r="2697" spans="1:5" x14ac:dyDescent="0.2">
      <c r="A2697" s="5">
        <f t="shared" si="93"/>
        <v>9</v>
      </c>
      <c r="B2697" s="5">
        <f t="shared" si="94"/>
        <v>2023</v>
      </c>
      <c r="C2697" s="7">
        <v>45191</v>
      </c>
      <c r="D2697" s="8">
        <v>4.0827</v>
      </c>
      <c r="E2697" s="8">
        <v>4.0446</v>
      </c>
    </row>
    <row r="2698" spans="1:5" x14ac:dyDescent="0.2">
      <c r="A2698" s="5">
        <f t="shared" si="93"/>
        <v>9</v>
      </c>
      <c r="B2698" s="5">
        <f t="shared" si="94"/>
        <v>2023</v>
      </c>
      <c r="C2698" s="7">
        <v>45194</v>
      </c>
      <c r="D2698" s="8">
        <v>4.0827</v>
      </c>
      <c r="E2698" s="8">
        <v>4.0326000000000004</v>
      </c>
    </row>
    <row r="2699" spans="1:5" x14ac:dyDescent="0.2">
      <c r="A2699" s="5">
        <f t="shared" si="93"/>
        <v>9</v>
      </c>
      <c r="B2699" s="5">
        <f t="shared" si="94"/>
        <v>2023</v>
      </c>
      <c r="C2699" s="7">
        <v>45195</v>
      </c>
      <c r="D2699" s="8">
        <v>4.0827</v>
      </c>
      <c r="E2699" s="8">
        <v>4.0290999999999997</v>
      </c>
    </row>
    <row r="2700" spans="1:5" x14ac:dyDescent="0.2">
      <c r="A2700" s="5">
        <f t="shared" si="93"/>
        <v>9</v>
      </c>
      <c r="B2700" s="5">
        <f t="shared" si="94"/>
        <v>2023</v>
      </c>
      <c r="C2700" s="7">
        <v>45196</v>
      </c>
      <c r="D2700" s="8">
        <v>4.0830000000000002</v>
      </c>
      <c r="E2700" s="8">
        <v>4.0260999999999996</v>
      </c>
    </row>
    <row r="2701" spans="1:5" x14ac:dyDescent="0.2">
      <c r="A2701" s="5">
        <f t="shared" si="93"/>
        <v>9</v>
      </c>
      <c r="B2701" s="5">
        <f t="shared" si="94"/>
        <v>2023</v>
      </c>
      <c r="C2701" s="7">
        <v>45197</v>
      </c>
      <c r="D2701" s="8">
        <v>4.0830000000000002</v>
      </c>
      <c r="E2701" s="8">
        <v>4.0213999999999999</v>
      </c>
    </row>
    <row r="2702" spans="1:5" x14ac:dyDescent="0.2">
      <c r="A2702" s="5">
        <f t="shared" si="93"/>
        <v>9</v>
      </c>
      <c r="B2702" s="5">
        <f t="shared" si="94"/>
        <v>2023</v>
      </c>
      <c r="C2702" s="7">
        <v>45198</v>
      </c>
      <c r="D2702" s="8">
        <v>4.0830000000000002</v>
      </c>
      <c r="E2702" s="8">
        <v>4.0213999999999999</v>
      </c>
    </row>
    <row r="2703" spans="1:5" x14ac:dyDescent="0.2">
      <c r="A2703" s="5">
        <f t="shared" si="93"/>
        <v>10</v>
      </c>
      <c r="B2703" s="5">
        <f t="shared" si="94"/>
        <v>2023</v>
      </c>
      <c r="C2703" s="7">
        <v>45201</v>
      </c>
      <c r="D2703" s="8">
        <v>4.0830000000000002</v>
      </c>
      <c r="E2703" s="8">
        <v>4.0118</v>
      </c>
    </row>
    <row r="2704" spans="1:5" x14ac:dyDescent="0.2">
      <c r="A2704" s="5">
        <f t="shared" si="93"/>
        <v>10</v>
      </c>
      <c r="B2704" s="5">
        <f t="shared" si="94"/>
        <v>2023</v>
      </c>
      <c r="C2704" s="7">
        <v>45202</v>
      </c>
      <c r="D2704" s="8">
        <v>4.0938999999999997</v>
      </c>
      <c r="E2704" s="8">
        <v>4.0088999999999997</v>
      </c>
    </row>
    <row r="2705" spans="1:5" x14ac:dyDescent="0.2">
      <c r="A2705" s="5">
        <f t="shared" si="93"/>
        <v>10</v>
      </c>
      <c r="B2705" s="5">
        <f t="shared" si="94"/>
        <v>2023</v>
      </c>
      <c r="C2705" s="7">
        <v>45203</v>
      </c>
      <c r="D2705" s="8">
        <v>4.1047000000000002</v>
      </c>
      <c r="E2705" s="8">
        <v>4.0102000000000002</v>
      </c>
    </row>
    <row r="2706" spans="1:5" x14ac:dyDescent="0.2">
      <c r="A2706" s="5">
        <f t="shared" si="93"/>
        <v>10</v>
      </c>
      <c r="B2706" s="5">
        <f t="shared" si="94"/>
        <v>2023</v>
      </c>
      <c r="C2706" s="7">
        <v>45204</v>
      </c>
      <c r="D2706" s="8">
        <v>4.1045999999999996</v>
      </c>
      <c r="E2706" s="8">
        <v>4.0045000000000002</v>
      </c>
    </row>
    <row r="2707" spans="1:5" x14ac:dyDescent="0.2">
      <c r="A2707" s="5">
        <f t="shared" si="93"/>
        <v>10</v>
      </c>
      <c r="B2707" s="5">
        <f t="shared" si="94"/>
        <v>2023</v>
      </c>
      <c r="C2707" s="7">
        <v>45205</v>
      </c>
      <c r="D2707" s="8">
        <v>4.1047000000000002</v>
      </c>
      <c r="E2707" s="8">
        <v>4.0006000000000004</v>
      </c>
    </row>
    <row r="2708" spans="1:5" x14ac:dyDescent="0.2">
      <c r="A2708" s="5">
        <f t="shared" si="93"/>
        <v>10</v>
      </c>
      <c r="B2708" s="5">
        <f t="shared" si="94"/>
        <v>2023</v>
      </c>
      <c r="C2708" s="7">
        <v>45208</v>
      </c>
      <c r="D2708" s="8">
        <v>4.1047000000000002</v>
      </c>
      <c r="E2708" s="8">
        <v>3.9944999999999999</v>
      </c>
    </row>
    <row r="2709" spans="1:5" x14ac:dyDescent="0.2">
      <c r="A2709" s="5">
        <f t="shared" si="93"/>
        <v>10</v>
      </c>
      <c r="B2709" s="5">
        <f t="shared" si="94"/>
        <v>2023</v>
      </c>
      <c r="C2709" s="7">
        <v>45209</v>
      </c>
      <c r="D2709" s="8">
        <v>4.1150000000000002</v>
      </c>
      <c r="E2709" s="8">
        <v>3.9931000000000001</v>
      </c>
    </row>
    <row r="2710" spans="1:5" x14ac:dyDescent="0.2">
      <c r="A2710" s="5">
        <f t="shared" si="93"/>
        <v>10</v>
      </c>
      <c r="B2710" s="5">
        <f t="shared" si="94"/>
        <v>2023</v>
      </c>
      <c r="C2710" s="7">
        <v>45210</v>
      </c>
      <c r="D2710" s="8">
        <v>4.0208000000000004</v>
      </c>
      <c r="E2710" s="8">
        <v>4.0217999999999998</v>
      </c>
    </row>
    <row r="2711" spans="1:5" x14ac:dyDescent="0.2">
      <c r="A2711" s="5">
        <f t="shared" si="93"/>
        <v>10</v>
      </c>
      <c r="B2711" s="5">
        <f t="shared" si="94"/>
        <v>2023</v>
      </c>
      <c r="C2711" s="7">
        <v>45212</v>
      </c>
      <c r="D2711" s="8">
        <v>4.0004999999999997</v>
      </c>
      <c r="E2711" s="8">
        <v>3.9956999999999998</v>
      </c>
    </row>
    <row r="2712" spans="1:5" x14ac:dyDescent="0.2">
      <c r="A2712" s="5">
        <f t="shared" si="93"/>
        <v>10</v>
      </c>
      <c r="B2712" s="5">
        <f t="shared" si="94"/>
        <v>2023</v>
      </c>
      <c r="C2712" s="7">
        <v>45215</v>
      </c>
      <c r="D2712" s="8">
        <v>4.0133999999999999</v>
      </c>
      <c r="E2712" s="8">
        <v>4.0109000000000004</v>
      </c>
    </row>
    <row r="2713" spans="1:5" x14ac:dyDescent="0.2">
      <c r="A2713" s="5">
        <f t="shared" si="93"/>
        <v>10</v>
      </c>
      <c r="B2713" s="5">
        <f t="shared" si="94"/>
        <v>2023</v>
      </c>
      <c r="C2713" s="7">
        <v>45216</v>
      </c>
      <c r="D2713" s="8">
        <v>4.0067000000000004</v>
      </c>
      <c r="E2713" s="8">
        <v>3.9950999999999999</v>
      </c>
    </row>
    <row r="2714" spans="1:5" x14ac:dyDescent="0.2">
      <c r="A2714" s="5">
        <f t="shared" si="93"/>
        <v>10</v>
      </c>
      <c r="B2714" s="5">
        <f t="shared" si="94"/>
        <v>2023</v>
      </c>
      <c r="C2714" s="7">
        <v>45217</v>
      </c>
      <c r="D2714" s="8">
        <v>3.9931000000000001</v>
      </c>
      <c r="E2714" s="8">
        <v>3.9796999999999998</v>
      </c>
    </row>
    <row r="2715" spans="1:5" x14ac:dyDescent="0.2">
      <c r="A2715" s="5">
        <f t="shared" si="93"/>
        <v>10</v>
      </c>
      <c r="B2715" s="5">
        <f t="shared" si="94"/>
        <v>2023</v>
      </c>
      <c r="C2715" s="7">
        <v>45218</v>
      </c>
      <c r="D2715" s="8">
        <v>3.9765999999999999</v>
      </c>
      <c r="E2715" s="8">
        <v>3.9687999999999999</v>
      </c>
    </row>
    <row r="2716" spans="1:5" x14ac:dyDescent="0.2">
      <c r="A2716" s="5">
        <f t="shared" si="93"/>
        <v>10</v>
      </c>
      <c r="B2716" s="5">
        <f t="shared" si="94"/>
        <v>2023</v>
      </c>
      <c r="C2716" s="7">
        <v>45219</v>
      </c>
      <c r="D2716" s="8">
        <v>3.8864999999999998</v>
      </c>
      <c r="E2716" s="8">
        <v>3.9163000000000001</v>
      </c>
    </row>
    <row r="2717" spans="1:5" x14ac:dyDescent="0.2">
      <c r="A2717" s="5">
        <f t="shared" si="93"/>
        <v>10</v>
      </c>
      <c r="B2717" s="5">
        <f t="shared" si="94"/>
        <v>2023</v>
      </c>
      <c r="C2717" s="7">
        <v>45222</v>
      </c>
      <c r="D2717" s="8">
        <v>3.8864999999999998</v>
      </c>
      <c r="E2717" s="8">
        <v>3.9443999999999999</v>
      </c>
    </row>
    <row r="2718" spans="1:5" x14ac:dyDescent="0.2">
      <c r="A2718" s="5">
        <f t="shared" si="93"/>
        <v>10</v>
      </c>
      <c r="B2718" s="5">
        <f t="shared" si="94"/>
        <v>2023</v>
      </c>
      <c r="C2718" s="7">
        <v>45223</v>
      </c>
      <c r="D2718" s="8">
        <v>3.8807</v>
      </c>
      <c r="E2718" s="8">
        <v>3.9298999999999999</v>
      </c>
    </row>
    <row r="2719" spans="1:5" x14ac:dyDescent="0.2">
      <c r="A2719" s="5">
        <f t="shared" si="93"/>
        <v>10</v>
      </c>
      <c r="B2719" s="5">
        <f t="shared" si="94"/>
        <v>2023</v>
      </c>
      <c r="C2719" s="7">
        <v>45224</v>
      </c>
      <c r="D2719" s="8">
        <v>3.8866000000000001</v>
      </c>
      <c r="E2719" s="8">
        <v>3.9439000000000002</v>
      </c>
    </row>
    <row r="2720" spans="1:5" x14ac:dyDescent="0.2">
      <c r="A2720" s="5">
        <f t="shared" si="93"/>
        <v>10</v>
      </c>
      <c r="B2720" s="5">
        <f t="shared" si="94"/>
        <v>2023</v>
      </c>
      <c r="C2720" s="7">
        <v>45225</v>
      </c>
      <c r="D2720" s="8">
        <v>3.8704000000000001</v>
      </c>
      <c r="E2720" s="8">
        <v>3.9032</v>
      </c>
    </row>
    <row r="2721" spans="1:5" x14ac:dyDescent="0.2">
      <c r="A2721" s="5">
        <f t="shared" si="93"/>
        <v>10</v>
      </c>
      <c r="B2721" s="5">
        <f t="shared" si="94"/>
        <v>2023</v>
      </c>
      <c r="C2721" s="7">
        <v>45226</v>
      </c>
      <c r="D2721" s="8">
        <v>3.8860999999999999</v>
      </c>
      <c r="E2721" s="8">
        <v>3.9201000000000001</v>
      </c>
    </row>
    <row r="2722" spans="1:5" x14ac:dyDescent="0.2">
      <c r="A2722" s="5">
        <f t="shared" si="93"/>
        <v>10</v>
      </c>
      <c r="B2722" s="5">
        <f t="shared" si="94"/>
        <v>2023</v>
      </c>
      <c r="C2722" s="7">
        <v>45229</v>
      </c>
      <c r="D2722" s="8">
        <v>3.8849</v>
      </c>
      <c r="E2722" s="8">
        <v>3.9243000000000001</v>
      </c>
    </row>
    <row r="2723" spans="1:5" x14ac:dyDescent="0.2">
      <c r="A2723" s="5">
        <f t="shared" si="93"/>
        <v>10</v>
      </c>
      <c r="B2723" s="5">
        <f t="shared" si="94"/>
        <v>2023</v>
      </c>
      <c r="C2723" s="7">
        <v>45230</v>
      </c>
      <c r="D2723" s="8">
        <v>3.8864999999999998</v>
      </c>
      <c r="E2723" s="8">
        <v>3.9281999999999999</v>
      </c>
    </row>
    <row r="2724" spans="1:5" x14ac:dyDescent="0.2">
      <c r="A2724" s="5">
        <f t="shared" si="93"/>
        <v>11</v>
      </c>
      <c r="B2724" s="5">
        <f t="shared" si="94"/>
        <v>2023</v>
      </c>
      <c r="C2724" s="7">
        <v>45231</v>
      </c>
      <c r="D2724" s="8">
        <v>3.8860999999999999</v>
      </c>
      <c r="E2724" s="8">
        <v>3.9213</v>
      </c>
    </row>
    <row r="2725" spans="1:5" x14ac:dyDescent="0.2">
      <c r="A2725" s="5">
        <f t="shared" si="93"/>
        <v>11</v>
      </c>
      <c r="B2725" s="5">
        <f t="shared" si="94"/>
        <v>2023</v>
      </c>
      <c r="C2725" s="7">
        <v>45233</v>
      </c>
      <c r="D2725" s="8">
        <v>3.8866000000000001</v>
      </c>
      <c r="E2725" s="8">
        <v>3.9359999999999999</v>
      </c>
    </row>
    <row r="2726" spans="1:5" x14ac:dyDescent="0.2">
      <c r="A2726" s="5">
        <f t="shared" si="93"/>
        <v>11</v>
      </c>
      <c r="B2726" s="5">
        <f t="shared" si="94"/>
        <v>2023</v>
      </c>
      <c r="C2726" s="7">
        <v>45236</v>
      </c>
      <c r="D2726" s="8">
        <v>3.8864999999999998</v>
      </c>
      <c r="E2726" s="8">
        <v>3.9296000000000002</v>
      </c>
    </row>
    <row r="2727" spans="1:5" x14ac:dyDescent="0.2">
      <c r="A2727" s="5">
        <f t="shared" si="93"/>
        <v>11</v>
      </c>
      <c r="B2727" s="5">
        <f t="shared" si="94"/>
        <v>2023</v>
      </c>
      <c r="C2727" s="7">
        <v>45237</v>
      </c>
      <c r="D2727" s="8">
        <v>3.8864999999999998</v>
      </c>
      <c r="E2727" s="8">
        <v>3.9306000000000001</v>
      </c>
    </row>
    <row r="2728" spans="1:5" x14ac:dyDescent="0.2">
      <c r="A2728" s="5">
        <f t="shared" si="93"/>
        <v>11</v>
      </c>
      <c r="B2728" s="5">
        <f t="shared" si="94"/>
        <v>2023</v>
      </c>
      <c r="C2728" s="7">
        <v>45238</v>
      </c>
      <c r="D2728" s="8">
        <v>3.8866000000000001</v>
      </c>
      <c r="E2728" s="8">
        <v>3.9340000000000002</v>
      </c>
    </row>
    <row r="2729" spans="1:5" x14ac:dyDescent="0.2">
      <c r="A2729" s="5">
        <f t="shared" si="93"/>
        <v>11</v>
      </c>
      <c r="B2729" s="5">
        <f t="shared" si="94"/>
        <v>2023</v>
      </c>
      <c r="C2729" s="7">
        <v>45239</v>
      </c>
      <c r="D2729" s="8">
        <v>3.8866000000000001</v>
      </c>
      <c r="E2729" s="8">
        <v>3.9375</v>
      </c>
    </row>
    <row r="2730" spans="1:5" x14ac:dyDescent="0.2">
      <c r="A2730" s="5">
        <f t="shared" si="93"/>
        <v>11</v>
      </c>
      <c r="B2730" s="5">
        <f t="shared" si="94"/>
        <v>2023</v>
      </c>
      <c r="C2730" s="7">
        <v>45240</v>
      </c>
      <c r="D2730" s="8">
        <v>3.9377</v>
      </c>
      <c r="E2730" s="8">
        <v>3.9361000000000002</v>
      </c>
    </row>
    <row r="2731" spans="1:5" x14ac:dyDescent="0.2">
      <c r="A2731" s="5">
        <f t="shared" si="93"/>
        <v>11</v>
      </c>
      <c r="B2731" s="5">
        <f t="shared" si="94"/>
        <v>2023</v>
      </c>
      <c r="C2731" s="7">
        <v>45243</v>
      </c>
      <c r="D2731" s="8">
        <v>3.9379</v>
      </c>
      <c r="E2731" s="8">
        <v>3.9384999999999999</v>
      </c>
    </row>
    <row r="2732" spans="1:5" x14ac:dyDescent="0.2">
      <c r="A2732" s="5">
        <f t="shared" si="93"/>
        <v>11</v>
      </c>
      <c r="B2732" s="5">
        <f t="shared" si="94"/>
        <v>2023</v>
      </c>
      <c r="C2732" s="7">
        <v>45244</v>
      </c>
      <c r="D2732" s="8">
        <v>3.9379</v>
      </c>
      <c r="E2732" s="8">
        <v>3.9384999999999999</v>
      </c>
    </row>
    <row r="2733" spans="1:5" x14ac:dyDescent="0.2">
      <c r="A2733" s="5">
        <f t="shared" si="93"/>
        <v>11</v>
      </c>
      <c r="B2733" s="5">
        <f t="shared" si="94"/>
        <v>2023</v>
      </c>
      <c r="C2733" s="7">
        <v>45246</v>
      </c>
      <c r="D2733" s="8">
        <v>3.9384999999999999</v>
      </c>
      <c r="E2733" s="8">
        <v>3.9426000000000001</v>
      </c>
    </row>
    <row r="2734" spans="1:5" x14ac:dyDescent="0.2">
      <c r="A2734" s="5">
        <f t="shared" si="93"/>
        <v>11</v>
      </c>
      <c r="B2734" s="5">
        <f t="shared" si="94"/>
        <v>2023</v>
      </c>
      <c r="C2734" s="7">
        <v>45247</v>
      </c>
      <c r="D2734" s="8">
        <v>3.9312</v>
      </c>
      <c r="E2734" s="8">
        <v>3.9302999999999999</v>
      </c>
    </row>
    <row r="2735" spans="1:5" x14ac:dyDescent="0.2">
      <c r="A2735" s="5">
        <f t="shared" si="93"/>
        <v>11</v>
      </c>
      <c r="B2735" s="5">
        <f t="shared" si="94"/>
        <v>2023</v>
      </c>
      <c r="C2735" s="7">
        <v>45250</v>
      </c>
      <c r="D2735" s="8">
        <v>3.9283000000000001</v>
      </c>
      <c r="E2735" s="8">
        <v>3.9216000000000002</v>
      </c>
    </row>
    <row r="2736" spans="1:5" x14ac:dyDescent="0.2">
      <c r="A2736" s="5">
        <f t="shared" si="93"/>
        <v>11</v>
      </c>
      <c r="B2736" s="5">
        <f t="shared" si="94"/>
        <v>2023</v>
      </c>
      <c r="C2736" s="7">
        <v>45251</v>
      </c>
      <c r="D2736" s="8">
        <v>3.9283000000000001</v>
      </c>
      <c r="E2736" s="8">
        <v>3.9278</v>
      </c>
    </row>
    <row r="2737" spans="1:5" x14ac:dyDescent="0.2">
      <c r="A2737" s="5">
        <f t="shared" si="93"/>
        <v>11</v>
      </c>
      <c r="B2737" s="5">
        <f t="shared" si="94"/>
        <v>2023</v>
      </c>
      <c r="C2737" s="7">
        <v>45252</v>
      </c>
      <c r="D2737" s="8">
        <v>3.9283000000000001</v>
      </c>
      <c r="E2737" s="8">
        <v>3.9216000000000002</v>
      </c>
    </row>
    <row r="2738" spans="1:5" x14ac:dyDescent="0.2">
      <c r="A2738" s="5">
        <f t="shared" si="93"/>
        <v>11</v>
      </c>
      <c r="B2738" s="5">
        <f t="shared" si="94"/>
        <v>2023</v>
      </c>
      <c r="C2738" s="7">
        <v>45253</v>
      </c>
      <c r="D2738" s="8">
        <v>3.9230999999999998</v>
      </c>
      <c r="E2738" s="8">
        <v>3.9144000000000001</v>
      </c>
    </row>
    <row r="2739" spans="1:5" x14ac:dyDescent="0.2">
      <c r="A2739" s="5">
        <f t="shared" si="93"/>
        <v>11</v>
      </c>
      <c r="B2739" s="5">
        <f t="shared" si="94"/>
        <v>2023</v>
      </c>
      <c r="C2739" s="7">
        <v>45254</v>
      </c>
      <c r="D2739" s="8">
        <v>3.9283000000000001</v>
      </c>
      <c r="E2739" s="8">
        <v>3.9098000000000002</v>
      </c>
    </row>
    <row r="2740" spans="1:5" x14ac:dyDescent="0.2">
      <c r="A2740" s="5">
        <f t="shared" si="93"/>
        <v>11</v>
      </c>
      <c r="B2740" s="5">
        <f t="shared" si="94"/>
        <v>2023</v>
      </c>
      <c r="C2740" s="7">
        <v>45257</v>
      </c>
      <c r="D2740" s="8">
        <v>3.9358</v>
      </c>
      <c r="E2740" s="8">
        <v>3.9108000000000001</v>
      </c>
    </row>
    <row r="2741" spans="1:5" x14ac:dyDescent="0.2">
      <c r="A2741" s="5">
        <f t="shared" si="93"/>
        <v>11</v>
      </c>
      <c r="B2741" s="5">
        <f t="shared" si="94"/>
        <v>2023</v>
      </c>
      <c r="C2741" s="7">
        <v>45258</v>
      </c>
      <c r="D2741" s="8">
        <v>3.9375</v>
      </c>
      <c r="E2741" s="8">
        <v>3.9308999999999998</v>
      </c>
    </row>
    <row r="2742" spans="1:5" x14ac:dyDescent="0.2">
      <c r="A2742" s="5">
        <f t="shared" si="93"/>
        <v>11</v>
      </c>
      <c r="B2742" s="5">
        <f t="shared" si="94"/>
        <v>2023</v>
      </c>
      <c r="C2742" s="7">
        <v>45259</v>
      </c>
      <c r="D2742" s="8">
        <v>3.9378000000000002</v>
      </c>
      <c r="E2742" s="8">
        <v>3.9325999999999999</v>
      </c>
    </row>
    <row r="2743" spans="1:5" x14ac:dyDescent="0.2">
      <c r="A2743" s="5">
        <f t="shared" si="93"/>
        <v>11</v>
      </c>
      <c r="B2743" s="5">
        <f t="shared" si="94"/>
        <v>2023</v>
      </c>
      <c r="C2743" s="7">
        <v>45260</v>
      </c>
      <c r="D2743" s="8">
        <v>3.9378000000000002</v>
      </c>
      <c r="E2743" s="8">
        <v>3.9321999999999999</v>
      </c>
    </row>
    <row r="2744" spans="1:5" x14ac:dyDescent="0.2">
      <c r="A2744" s="5">
        <f t="shared" si="93"/>
        <v>12</v>
      </c>
      <c r="B2744" s="5">
        <f t="shared" si="94"/>
        <v>2023</v>
      </c>
      <c r="C2744" s="7">
        <v>45261</v>
      </c>
      <c r="D2744" s="8">
        <v>3.948</v>
      </c>
      <c r="E2744" s="8">
        <v>3.9235000000000002</v>
      </c>
    </row>
    <row r="2745" spans="1:5" x14ac:dyDescent="0.2">
      <c r="A2745" s="5">
        <f t="shared" si="93"/>
        <v>12</v>
      </c>
      <c r="B2745" s="5">
        <f t="shared" si="94"/>
        <v>2023</v>
      </c>
      <c r="C2745" s="7">
        <v>45264</v>
      </c>
      <c r="D2745" s="8">
        <v>3.9573999999999998</v>
      </c>
      <c r="E2745" s="8">
        <v>3.9321999999999999</v>
      </c>
    </row>
    <row r="2746" spans="1:5" x14ac:dyDescent="0.2">
      <c r="A2746" s="5">
        <f t="shared" si="93"/>
        <v>12</v>
      </c>
      <c r="B2746" s="5">
        <f t="shared" si="94"/>
        <v>2023</v>
      </c>
      <c r="C2746" s="7">
        <v>45265</v>
      </c>
      <c r="D2746" s="8">
        <v>3.948</v>
      </c>
      <c r="E2746" s="8">
        <v>3.9228999999999998</v>
      </c>
    </row>
    <row r="2747" spans="1:5" x14ac:dyDescent="0.2">
      <c r="A2747" s="5">
        <f t="shared" si="93"/>
        <v>12</v>
      </c>
      <c r="B2747" s="5">
        <f t="shared" si="94"/>
        <v>2023</v>
      </c>
      <c r="C2747" s="7">
        <v>45266</v>
      </c>
      <c r="D2747" s="8">
        <v>3.9382999999999999</v>
      </c>
      <c r="E2747" s="8">
        <v>3.9167000000000001</v>
      </c>
    </row>
    <row r="2748" spans="1:5" x14ac:dyDescent="0.2">
      <c r="A2748" s="5">
        <f t="shared" si="93"/>
        <v>12</v>
      </c>
      <c r="B2748" s="5">
        <f t="shared" si="94"/>
        <v>2023</v>
      </c>
      <c r="C2748" s="7">
        <v>45267</v>
      </c>
      <c r="D2748" s="8">
        <v>3.9382999999999999</v>
      </c>
      <c r="E2748" s="8">
        <v>3.9142000000000001</v>
      </c>
    </row>
    <row r="2749" spans="1:5" x14ac:dyDescent="0.2">
      <c r="A2749" s="5">
        <f t="shared" si="93"/>
        <v>12</v>
      </c>
      <c r="B2749" s="5">
        <f t="shared" si="94"/>
        <v>2023</v>
      </c>
      <c r="C2749" s="7">
        <v>45268</v>
      </c>
      <c r="D2749" s="8">
        <v>3.8971</v>
      </c>
      <c r="E2749" s="8">
        <v>3.9108999999999998</v>
      </c>
    </row>
    <row r="2750" spans="1:5" x14ac:dyDescent="0.2">
      <c r="A2750" s="5">
        <f t="shared" si="93"/>
        <v>12</v>
      </c>
      <c r="B2750" s="5">
        <f t="shared" si="94"/>
        <v>2023</v>
      </c>
      <c r="C2750" s="7">
        <v>45271</v>
      </c>
      <c r="D2750" s="8">
        <v>3.8971</v>
      </c>
      <c r="E2750" s="8">
        <v>3.9073000000000002</v>
      </c>
    </row>
    <row r="2751" spans="1:5" x14ac:dyDescent="0.2">
      <c r="A2751" s="5">
        <f t="shared" si="93"/>
        <v>12</v>
      </c>
      <c r="B2751" s="5">
        <f t="shared" si="94"/>
        <v>2023</v>
      </c>
      <c r="C2751" s="7">
        <v>45272</v>
      </c>
      <c r="D2751" s="8">
        <v>3.8997000000000002</v>
      </c>
      <c r="E2751" s="8">
        <v>3.903</v>
      </c>
    </row>
    <row r="2752" spans="1:5" x14ac:dyDescent="0.2">
      <c r="A2752" s="5">
        <f t="shared" si="93"/>
        <v>12</v>
      </c>
      <c r="B2752" s="5">
        <f t="shared" si="94"/>
        <v>2023</v>
      </c>
      <c r="C2752" s="7">
        <v>45273</v>
      </c>
      <c r="D2752" s="8">
        <v>3.8971</v>
      </c>
      <c r="E2752" s="8">
        <v>3.8973</v>
      </c>
    </row>
    <row r="2753" spans="1:5" x14ac:dyDescent="0.2">
      <c r="A2753" s="5">
        <f t="shared" si="93"/>
        <v>12</v>
      </c>
      <c r="B2753" s="5">
        <f t="shared" si="94"/>
        <v>2023</v>
      </c>
      <c r="C2753" s="7">
        <v>45274</v>
      </c>
      <c r="D2753" s="8">
        <v>3.8948999999999998</v>
      </c>
      <c r="E2753" s="8">
        <v>3.8938999999999999</v>
      </c>
    </row>
    <row r="2754" spans="1:5" x14ac:dyDescent="0.2">
      <c r="A2754" s="5">
        <f t="shared" si="93"/>
        <v>12</v>
      </c>
      <c r="B2754" s="5">
        <f t="shared" si="94"/>
        <v>2023</v>
      </c>
      <c r="C2754" s="7">
        <v>45275</v>
      </c>
      <c r="D2754" s="8">
        <v>3.8948999999999998</v>
      </c>
      <c r="E2754" s="8">
        <v>3.8975</v>
      </c>
    </row>
    <row r="2755" spans="1:5" x14ac:dyDescent="0.2">
      <c r="A2755" s="5">
        <f t="shared" si="93"/>
        <v>12</v>
      </c>
      <c r="B2755" s="5">
        <f t="shared" si="94"/>
        <v>2023</v>
      </c>
      <c r="C2755" s="7">
        <v>45278</v>
      </c>
      <c r="D2755" s="8">
        <v>3.8959999999999999</v>
      </c>
      <c r="E2755" s="8">
        <v>3.9045000000000001</v>
      </c>
    </row>
    <row r="2756" spans="1:5" x14ac:dyDescent="0.2">
      <c r="A2756" s="5">
        <f t="shared" ref="A2756:A2819" si="95">MONTH(C2756)</f>
        <v>12</v>
      </c>
      <c r="B2756" s="5">
        <f t="shared" ref="B2756:B2819" si="96">YEAR(C2756)</f>
        <v>2023</v>
      </c>
      <c r="C2756" s="7">
        <v>45279</v>
      </c>
      <c r="D2756" s="8">
        <v>3.8948999999999998</v>
      </c>
      <c r="E2756" s="8">
        <v>3.8978999999999999</v>
      </c>
    </row>
    <row r="2757" spans="1:5" x14ac:dyDescent="0.2">
      <c r="A2757" s="5">
        <f t="shared" si="95"/>
        <v>12</v>
      </c>
      <c r="B2757" s="5">
        <f t="shared" si="96"/>
        <v>2023</v>
      </c>
      <c r="C2757" s="7">
        <v>45280</v>
      </c>
      <c r="D2757" s="8">
        <v>3.8902000000000001</v>
      </c>
      <c r="E2757" s="8">
        <v>3.8942000000000001</v>
      </c>
    </row>
    <row r="2758" spans="1:5" x14ac:dyDescent="0.2">
      <c r="A2758" s="5">
        <f t="shared" si="95"/>
        <v>12</v>
      </c>
      <c r="B2758" s="5">
        <f t="shared" si="96"/>
        <v>2023</v>
      </c>
      <c r="C2758" s="7">
        <v>45281</v>
      </c>
      <c r="D2758" s="8">
        <v>3.8871000000000002</v>
      </c>
      <c r="E2758" s="8">
        <v>3.8936999999999999</v>
      </c>
    </row>
    <row r="2759" spans="1:5" x14ac:dyDescent="0.2">
      <c r="A2759" s="5">
        <f t="shared" si="95"/>
        <v>12</v>
      </c>
      <c r="B2759" s="5">
        <f t="shared" si="96"/>
        <v>2023</v>
      </c>
      <c r="C2759" s="7">
        <v>45282</v>
      </c>
      <c r="D2759" s="8">
        <v>3.8134999999999999</v>
      </c>
      <c r="E2759" s="8">
        <v>3.8525999999999998</v>
      </c>
    </row>
    <row r="2760" spans="1:5" x14ac:dyDescent="0.2">
      <c r="A2760" s="5">
        <f t="shared" si="95"/>
        <v>12</v>
      </c>
      <c r="B2760" s="5">
        <f t="shared" si="96"/>
        <v>2023</v>
      </c>
      <c r="C2760" s="7">
        <v>45286</v>
      </c>
      <c r="D2760" s="8">
        <v>3.8033999999999999</v>
      </c>
      <c r="E2760" s="8">
        <v>3.8603999999999998</v>
      </c>
    </row>
    <row r="2761" spans="1:5" x14ac:dyDescent="0.2">
      <c r="A2761" s="5">
        <f t="shared" si="95"/>
        <v>12</v>
      </c>
      <c r="B2761" s="5">
        <f t="shared" si="96"/>
        <v>2023</v>
      </c>
      <c r="C2761" s="7">
        <v>45287</v>
      </c>
      <c r="D2761" s="8">
        <v>3.8033999999999999</v>
      </c>
      <c r="E2761" s="8">
        <v>3.8635000000000002</v>
      </c>
    </row>
    <row r="2762" spans="1:5" x14ac:dyDescent="0.2">
      <c r="A2762" s="5">
        <f t="shared" si="95"/>
        <v>12</v>
      </c>
      <c r="B2762" s="5">
        <f t="shared" si="96"/>
        <v>2023</v>
      </c>
      <c r="C2762" s="7">
        <v>45288</v>
      </c>
      <c r="D2762" s="8">
        <v>3.8033999999999999</v>
      </c>
      <c r="E2762" s="8">
        <v>3.8708999999999998</v>
      </c>
    </row>
    <row r="2763" spans="1:5" x14ac:dyDescent="0.2">
      <c r="A2763" s="5">
        <f t="shared" si="95"/>
        <v>12</v>
      </c>
      <c r="B2763" s="5">
        <f t="shared" si="96"/>
        <v>2023</v>
      </c>
      <c r="C2763" s="7">
        <v>45289</v>
      </c>
      <c r="D2763" s="8">
        <v>3.8035000000000001</v>
      </c>
      <c r="E2763" s="8">
        <v>3.875</v>
      </c>
    </row>
    <row r="2764" spans="1:5" x14ac:dyDescent="0.2">
      <c r="A2764" s="5">
        <f t="shared" si="95"/>
        <v>1</v>
      </c>
      <c r="B2764" s="5">
        <f t="shared" si="96"/>
        <v>2024</v>
      </c>
      <c r="C2764" s="7">
        <v>45293</v>
      </c>
      <c r="D2764" s="8">
        <v>3.8035000000000001</v>
      </c>
      <c r="E2764" s="8">
        <v>3.8729</v>
      </c>
    </row>
    <row r="2765" spans="1:5" x14ac:dyDescent="0.2">
      <c r="A2765" s="5">
        <f t="shared" si="95"/>
        <v>1</v>
      </c>
      <c r="B2765" s="5">
        <f t="shared" si="96"/>
        <v>2024</v>
      </c>
      <c r="C2765" s="7">
        <v>45294</v>
      </c>
      <c r="D2765" s="8">
        <v>3.8134999999999999</v>
      </c>
      <c r="E2765" s="8">
        <v>3.8746999999999998</v>
      </c>
    </row>
    <row r="2766" spans="1:5" x14ac:dyDescent="0.2">
      <c r="A2766" s="5">
        <f t="shared" si="95"/>
        <v>1</v>
      </c>
      <c r="B2766" s="5">
        <f t="shared" si="96"/>
        <v>2024</v>
      </c>
      <c r="C2766" s="7">
        <v>45295</v>
      </c>
      <c r="D2766" s="8">
        <v>3.8033999999999999</v>
      </c>
      <c r="E2766" s="8">
        <v>3.8763999999999998</v>
      </c>
    </row>
    <row r="2767" spans="1:5" x14ac:dyDescent="0.2">
      <c r="A2767" s="5">
        <f t="shared" si="95"/>
        <v>1</v>
      </c>
      <c r="B2767" s="5">
        <f t="shared" si="96"/>
        <v>2024</v>
      </c>
      <c r="C2767" s="7">
        <v>45296</v>
      </c>
      <c r="D2767" s="8">
        <v>3.8247</v>
      </c>
      <c r="E2767" s="8">
        <v>3.8805000000000001</v>
      </c>
    </row>
    <row r="2768" spans="1:5" x14ac:dyDescent="0.2">
      <c r="A2768" s="5">
        <f t="shared" si="95"/>
        <v>1</v>
      </c>
      <c r="B2768" s="5">
        <f t="shared" si="96"/>
        <v>2024</v>
      </c>
      <c r="C2768" s="7">
        <v>45299</v>
      </c>
      <c r="D2768" s="8">
        <v>3.8197000000000001</v>
      </c>
      <c r="E2768" s="8">
        <v>3.8791000000000002</v>
      </c>
    </row>
    <row r="2769" spans="1:5" x14ac:dyDescent="0.2">
      <c r="A2769" s="5">
        <f t="shared" si="95"/>
        <v>1</v>
      </c>
      <c r="B2769" s="5">
        <f t="shared" si="96"/>
        <v>2024</v>
      </c>
      <c r="C2769" s="7">
        <v>45300</v>
      </c>
      <c r="D2769" s="8">
        <v>3.8197000000000001</v>
      </c>
      <c r="E2769" s="8">
        <v>3.887</v>
      </c>
    </row>
    <row r="2770" spans="1:5" x14ac:dyDescent="0.2">
      <c r="A2770" s="5">
        <f t="shared" si="95"/>
        <v>1</v>
      </c>
      <c r="B2770" s="5">
        <f t="shared" si="96"/>
        <v>2024</v>
      </c>
      <c r="C2770" s="7">
        <v>45301</v>
      </c>
      <c r="D2770" s="8">
        <v>3.8140999999999998</v>
      </c>
      <c r="E2770" s="8">
        <v>3.8910999999999998</v>
      </c>
    </row>
    <row r="2771" spans="1:5" x14ac:dyDescent="0.2">
      <c r="A2771" s="5">
        <f t="shared" si="95"/>
        <v>1</v>
      </c>
      <c r="B2771" s="5">
        <f t="shared" si="96"/>
        <v>2024</v>
      </c>
      <c r="C2771" s="7">
        <v>45302</v>
      </c>
      <c r="D2771" s="8">
        <v>3.8828999999999998</v>
      </c>
      <c r="E2771" s="8">
        <v>3.8847999999999998</v>
      </c>
    </row>
    <row r="2772" spans="1:5" x14ac:dyDescent="0.2">
      <c r="A2772" s="5">
        <f t="shared" si="95"/>
        <v>1</v>
      </c>
      <c r="B2772" s="5">
        <f t="shared" si="96"/>
        <v>2024</v>
      </c>
      <c r="C2772" s="7">
        <v>45303</v>
      </c>
      <c r="D2772" s="8">
        <v>3.8504999999999998</v>
      </c>
      <c r="E2772" s="8">
        <v>3.8690000000000002</v>
      </c>
    </row>
    <row r="2773" spans="1:5" x14ac:dyDescent="0.2">
      <c r="A2773" s="5">
        <f t="shared" si="95"/>
        <v>1</v>
      </c>
      <c r="B2773" s="5">
        <f t="shared" si="96"/>
        <v>2024</v>
      </c>
      <c r="C2773" s="7">
        <v>45306</v>
      </c>
      <c r="D2773" s="8">
        <v>3.85</v>
      </c>
      <c r="E2773" s="8">
        <v>3.8633999999999999</v>
      </c>
    </row>
    <row r="2774" spans="1:5" x14ac:dyDescent="0.2">
      <c r="A2774" s="5">
        <f t="shared" si="95"/>
        <v>1</v>
      </c>
      <c r="B2774" s="5">
        <f t="shared" si="96"/>
        <v>2024</v>
      </c>
      <c r="C2774" s="7">
        <v>45307</v>
      </c>
      <c r="D2774" s="8">
        <v>3.851</v>
      </c>
      <c r="E2774" s="8">
        <v>3.8754</v>
      </c>
    </row>
    <row r="2775" spans="1:5" x14ac:dyDescent="0.2">
      <c r="A2775" s="5">
        <f t="shared" si="95"/>
        <v>1</v>
      </c>
      <c r="B2775" s="5">
        <f t="shared" si="96"/>
        <v>2024</v>
      </c>
      <c r="C2775" s="7">
        <v>45308</v>
      </c>
      <c r="D2775" s="8">
        <v>3.8675000000000002</v>
      </c>
      <c r="E2775" s="8">
        <v>3.8828</v>
      </c>
    </row>
    <row r="2776" spans="1:5" x14ac:dyDescent="0.2">
      <c r="A2776" s="5">
        <f t="shared" si="95"/>
        <v>1</v>
      </c>
      <c r="B2776" s="5">
        <f t="shared" si="96"/>
        <v>2024</v>
      </c>
      <c r="C2776" s="7">
        <v>45309</v>
      </c>
      <c r="D2776" s="8">
        <v>3.88</v>
      </c>
      <c r="E2776" s="8">
        <v>3.8780000000000001</v>
      </c>
    </row>
    <row r="2777" spans="1:5" x14ac:dyDescent="0.2">
      <c r="A2777" s="5">
        <f t="shared" si="95"/>
        <v>1</v>
      </c>
      <c r="B2777" s="5">
        <f t="shared" si="96"/>
        <v>2024</v>
      </c>
      <c r="C2777" s="7">
        <v>45310</v>
      </c>
      <c r="D2777" s="8">
        <v>3.86</v>
      </c>
      <c r="E2777" s="8">
        <v>3.86</v>
      </c>
    </row>
    <row r="2778" spans="1:5" x14ac:dyDescent="0.2">
      <c r="A2778" s="5">
        <f t="shared" si="95"/>
        <v>1</v>
      </c>
      <c r="B2778" s="5">
        <f t="shared" si="96"/>
        <v>2024</v>
      </c>
      <c r="C2778" s="7">
        <v>45313</v>
      </c>
      <c r="D2778" s="8">
        <v>3.8755999999999999</v>
      </c>
      <c r="E2778" s="8">
        <v>3.86</v>
      </c>
    </row>
    <row r="2779" spans="1:5" x14ac:dyDescent="0.2">
      <c r="A2779" s="5">
        <f t="shared" si="95"/>
        <v>1</v>
      </c>
      <c r="B2779" s="5">
        <f t="shared" si="96"/>
        <v>2024</v>
      </c>
      <c r="C2779" s="7">
        <v>45314</v>
      </c>
      <c r="D2779" s="8">
        <v>3.8778000000000001</v>
      </c>
      <c r="E2779" s="8">
        <v>3.8597999999999999</v>
      </c>
    </row>
    <row r="2780" spans="1:5" x14ac:dyDescent="0.2">
      <c r="A2780" s="5">
        <f t="shared" si="95"/>
        <v>1</v>
      </c>
      <c r="B2780" s="5">
        <f t="shared" si="96"/>
        <v>2024</v>
      </c>
      <c r="C2780" s="7">
        <v>45315</v>
      </c>
      <c r="D2780" s="8">
        <v>3.88</v>
      </c>
      <c r="E2780" s="8">
        <v>3.8557999999999999</v>
      </c>
    </row>
    <row r="2781" spans="1:5" x14ac:dyDescent="0.2">
      <c r="A2781" s="5">
        <f t="shared" si="95"/>
        <v>1</v>
      </c>
      <c r="B2781" s="5">
        <f t="shared" si="96"/>
        <v>2024</v>
      </c>
      <c r="C2781" s="7">
        <v>45316</v>
      </c>
      <c r="D2781" s="8">
        <v>3.8828999999999998</v>
      </c>
      <c r="E2781" s="8">
        <v>3.8561000000000001</v>
      </c>
    </row>
    <row r="2782" spans="1:5" x14ac:dyDescent="0.2">
      <c r="A2782" s="5">
        <f t="shared" si="95"/>
        <v>1</v>
      </c>
      <c r="B2782" s="5">
        <f t="shared" si="96"/>
        <v>2024</v>
      </c>
      <c r="C2782" s="7">
        <v>45317</v>
      </c>
      <c r="D2782" s="8">
        <v>3.8083</v>
      </c>
      <c r="E2782" s="8">
        <v>3.8195000000000001</v>
      </c>
    </row>
    <row r="2783" spans="1:5" x14ac:dyDescent="0.2">
      <c r="A2783" s="5">
        <f t="shared" si="95"/>
        <v>1</v>
      </c>
      <c r="B2783" s="5">
        <f t="shared" si="96"/>
        <v>2024</v>
      </c>
      <c r="C2783" s="7">
        <v>45320</v>
      </c>
      <c r="D2783" s="8">
        <v>3.8188</v>
      </c>
      <c r="E2783" s="8">
        <v>3.8128000000000002</v>
      </c>
    </row>
    <row r="2784" spans="1:5" x14ac:dyDescent="0.2">
      <c r="A2784" s="5">
        <f t="shared" si="95"/>
        <v>1</v>
      </c>
      <c r="B2784" s="5">
        <f t="shared" si="96"/>
        <v>2024</v>
      </c>
      <c r="C2784" s="7">
        <v>45321</v>
      </c>
      <c r="D2784" s="8">
        <v>3.8128000000000002</v>
      </c>
      <c r="E2784" s="8">
        <v>3.8153999999999999</v>
      </c>
    </row>
    <row r="2785" spans="1:5" x14ac:dyDescent="0.2">
      <c r="A2785" s="5">
        <f t="shared" si="95"/>
        <v>1</v>
      </c>
      <c r="B2785" s="5">
        <f t="shared" si="96"/>
        <v>2024</v>
      </c>
      <c r="C2785" s="7">
        <v>45322</v>
      </c>
      <c r="D2785" s="8">
        <v>3.8136999999999999</v>
      </c>
      <c r="E2785" s="8">
        <v>3.8128000000000002</v>
      </c>
    </row>
    <row r="2786" spans="1:5" x14ac:dyDescent="0.2">
      <c r="A2786" s="5">
        <f t="shared" si="95"/>
        <v>2</v>
      </c>
      <c r="B2786" s="5">
        <f t="shared" si="96"/>
        <v>2024</v>
      </c>
      <c r="C2786" s="7">
        <v>45323</v>
      </c>
      <c r="D2786" s="8">
        <v>3.8144999999999998</v>
      </c>
      <c r="E2786" s="8">
        <v>3.8142</v>
      </c>
    </row>
    <row r="2787" spans="1:5" x14ac:dyDescent="0.2">
      <c r="A2787" s="5">
        <f t="shared" si="95"/>
        <v>2</v>
      </c>
      <c r="B2787" s="5">
        <f t="shared" si="96"/>
        <v>2024</v>
      </c>
      <c r="C2787" s="7">
        <v>45324</v>
      </c>
      <c r="D2787" s="8">
        <v>3.8088000000000002</v>
      </c>
      <c r="E2787" s="8">
        <v>3.8149999999999999</v>
      </c>
    </row>
    <row r="2788" spans="1:5" x14ac:dyDescent="0.2">
      <c r="A2788" s="5">
        <f t="shared" si="95"/>
        <v>2</v>
      </c>
      <c r="B2788" s="5">
        <f t="shared" si="96"/>
        <v>2024</v>
      </c>
      <c r="C2788" s="7">
        <v>45327</v>
      </c>
      <c r="D2788" s="8">
        <v>3.8035999999999999</v>
      </c>
      <c r="E2788" s="8">
        <v>3.7915999999999999</v>
      </c>
    </row>
    <row r="2789" spans="1:5" x14ac:dyDescent="0.2">
      <c r="A2789" s="5">
        <f t="shared" si="95"/>
        <v>2</v>
      </c>
      <c r="B2789" s="5">
        <f t="shared" si="96"/>
        <v>2024</v>
      </c>
      <c r="C2789" s="7">
        <v>45328</v>
      </c>
      <c r="D2789" s="8">
        <v>3.8035999999999999</v>
      </c>
      <c r="E2789" s="8">
        <v>3.7924000000000002</v>
      </c>
    </row>
    <row r="2790" spans="1:5" x14ac:dyDescent="0.2">
      <c r="A2790" s="5">
        <f t="shared" si="95"/>
        <v>2</v>
      </c>
      <c r="B2790" s="5">
        <f t="shared" si="96"/>
        <v>2024</v>
      </c>
      <c r="C2790" s="7">
        <v>45329</v>
      </c>
      <c r="D2790" s="8">
        <v>3.8035999999999999</v>
      </c>
      <c r="E2790" s="8">
        <v>3.7930000000000001</v>
      </c>
    </row>
    <row r="2791" spans="1:5" x14ac:dyDescent="0.2">
      <c r="A2791" s="5">
        <f t="shared" si="95"/>
        <v>2</v>
      </c>
      <c r="B2791" s="5">
        <f t="shared" si="96"/>
        <v>2024</v>
      </c>
      <c r="C2791" s="7">
        <v>45330</v>
      </c>
      <c r="D2791" s="8">
        <v>3.7793000000000001</v>
      </c>
      <c r="E2791" s="8">
        <v>3.7738999999999998</v>
      </c>
    </row>
    <row r="2792" spans="1:5" x14ac:dyDescent="0.2">
      <c r="A2792" s="5">
        <f t="shared" si="95"/>
        <v>2</v>
      </c>
      <c r="B2792" s="5">
        <f t="shared" si="96"/>
        <v>2024</v>
      </c>
      <c r="C2792" s="7">
        <v>45331</v>
      </c>
      <c r="D2792" s="8">
        <v>3.7793000000000001</v>
      </c>
      <c r="E2792" s="8">
        <v>3.7652000000000001</v>
      </c>
    </row>
    <row r="2793" spans="1:5" x14ac:dyDescent="0.2">
      <c r="A2793" s="5">
        <f t="shared" si="95"/>
        <v>2</v>
      </c>
      <c r="B2793" s="5">
        <f t="shared" si="96"/>
        <v>2024</v>
      </c>
      <c r="C2793" s="7">
        <v>45336</v>
      </c>
      <c r="D2793" s="8">
        <v>3.7774999999999999</v>
      </c>
      <c r="E2793" s="8">
        <v>3.7349000000000001</v>
      </c>
    </row>
    <row r="2794" spans="1:5" x14ac:dyDescent="0.2">
      <c r="A2794" s="5">
        <f t="shared" si="95"/>
        <v>2</v>
      </c>
      <c r="B2794" s="5">
        <f t="shared" si="96"/>
        <v>2024</v>
      </c>
      <c r="C2794" s="7">
        <v>45337</v>
      </c>
      <c r="D2794" s="8">
        <v>3.7774999999999999</v>
      </c>
      <c r="E2794" s="8">
        <v>3.7284000000000002</v>
      </c>
    </row>
    <row r="2795" spans="1:5" x14ac:dyDescent="0.2">
      <c r="A2795" s="5">
        <f t="shared" si="95"/>
        <v>2</v>
      </c>
      <c r="B2795" s="5">
        <f t="shared" si="96"/>
        <v>2024</v>
      </c>
      <c r="C2795" s="7">
        <v>45338</v>
      </c>
      <c r="D2795" s="8">
        <v>3.7829999999999999</v>
      </c>
      <c r="E2795" s="8">
        <v>3.7315</v>
      </c>
    </row>
    <row r="2796" spans="1:5" x14ac:dyDescent="0.2">
      <c r="A2796" s="5">
        <f t="shared" si="95"/>
        <v>2</v>
      </c>
      <c r="B2796" s="5">
        <f t="shared" si="96"/>
        <v>2024</v>
      </c>
      <c r="C2796" s="7">
        <v>45341</v>
      </c>
      <c r="D2796" s="8">
        <v>3.7829999999999999</v>
      </c>
      <c r="E2796" s="8">
        <v>3.7121</v>
      </c>
    </row>
    <row r="2797" spans="1:5" x14ac:dyDescent="0.2">
      <c r="A2797" s="5">
        <f t="shared" si="95"/>
        <v>2</v>
      </c>
      <c r="B2797" s="5">
        <f t="shared" si="96"/>
        <v>2024</v>
      </c>
      <c r="C2797" s="7">
        <v>45342</v>
      </c>
      <c r="D2797" s="8">
        <v>3.7829999999999999</v>
      </c>
      <c r="E2797" s="8">
        <v>3.6999</v>
      </c>
    </row>
    <row r="2798" spans="1:5" x14ac:dyDescent="0.2">
      <c r="A2798" s="5">
        <f t="shared" si="95"/>
        <v>2</v>
      </c>
      <c r="B2798" s="5">
        <f t="shared" si="96"/>
        <v>2024</v>
      </c>
      <c r="C2798" s="7">
        <v>45343</v>
      </c>
      <c r="D2798" s="8">
        <v>3.7829999999999999</v>
      </c>
      <c r="E2798" s="8">
        <v>3.6877</v>
      </c>
    </row>
    <row r="2799" spans="1:5" x14ac:dyDescent="0.2">
      <c r="A2799" s="5">
        <f t="shared" si="95"/>
        <v>2</v>
      </c>
      <c r="B2799" s="5">
        <f t="shared" si="96"/>
        <v>2024</v>
      </c>
      <c r="C2799" s="7">
        <v>45344</v>
      </c>
      <c r="D2799" s="8">
        <v>3.7757000000000001</v>
      </c>
      <c r="E2799" s="8">
        <v>3.6688000000000001</v>
      </c>
    </row>
    <row r="2800" spans="1:5" x14ac:dyDescent="0.2">
      <c r="A2800" s="5">
        <f t="shared" si="95"/>
        <v>2</v>
      </c>
      <c r="B2800" s="5">
        <f t="shared" si="96"/>
        <v>2024</v>
      </c>
      <c r="C2800" s="7">
        <v>45345</v>
      </c>
      <c r="D2800" s="8">
        <v>3.7793000000000001</v>
      </c>
      <c r="E2800" s="8">
        <v>3.6634000000000002</v>
      </c>
    </row>
    <row r="2801" spans="1:5" x14ac:dyDescent="0.2">
      <c r="A2801" s="5">
        <f t="shared" si="95"/>
        <v>2</v>
      </c>
      <c r="B2801" s="5">
        <f t="shared" si="96"/>
        <v>2024</v>
      </c>
      <c r="C2801" s="7">
        <v>45348</v>
      </c>
      <c r="D2801" s="8">
        <v>3.7877000000000001</v>
      </c>
      <c r="E2801" s="8">
        <v>3.6534</v>
      </c>
    </row>
    <row r="2802" spans="1:5" x14ac:dyDescent="0.2">
      <c r="A2802" s="5">
        <f t="shared" si="95"/>
        <v>2</v>
      </c>
      <c r="B2802" s="5">
        <f t="shared" si="96"/>
        <v>2024</v>
      </c>
      <c r="C2802" s="7">
        <v>45349</v>
      </c>
      <c r="D2802" s="8">
        <v>3.7829999999999999</v>
      </c>
      <c r="E2802" s="8">
        <v>3.6415000000000002</v>
      </c>
    </row>
    <row r="2803" spans="1:5" x14ac:dyDescent="0.2">
      <c r="A2803" s="5">
        <f t="shared" si="95"/>
        <v>2</v>
      </c>
      <c r="B2803" s="5">
        <f t="shared" si="96"/>
        <v>2024</v>
      </c>
      <c r="C2803" s="7">
        <v>45350</v>
      </c>
      <c r="D2803" s="8">
        <v>3.7793000000000001</v>
      </c>
      <c r="E2803" s="8">
        <v>3.6168</v>
      </c>
    </row>
    <row r="2804" spans="1:5" x14ac:dyDescent="0.2">
      <c r="A2804" s="5">
        <f t="shared" si="95"/>
        <v>2</v>
      </c>
      <c r="B2804" s="5">
        <f t="shared" si="96"/>
        <v>2024</v>
      </c>
      <c r="C2804" s="7">
        <v>45351</v>
      </c>
      <c r="D2804" s="8">
        <v>3.7774999999999999</v>
      </c>
      <c r="E2804" s="8">
        <v>3.6110000000000002</v>
      </c>
    </row>
    <row r="2805" spans="1:5" x14ac:dyDescent="0.2">
      <c r="A2805" s="5">
        <f t="shared" si="95"/>
        <v>3</v>
      </c>
      <c r="B2805" s="5">
        <f t="shared" si="96"/>
        <v>2024</v>
      </c>
      <c r="C2805" s="7">
        <v>45352</v>
      </c>
      <c r="D2805" s="8">
        <v>3.7642000000000002</v>
      </c>
      <c r="E2805" s="8">
        <v>3.5983999999999998</v>
      </c>
    </row>
    <row r="2806" spans="1:5" x14ac:dyDescent="0.2">
      <c r="A2806" s="5">
        <f t="shared" si="95"/>
        <v>3</v>
      </c>
      <c r="B2806" s="5">
        <f t="shared" si="96"/>
        <v>2024</v>
      </c>
      <c r="C2806" s="7">
        <v>45355</v>
      </c>
      <c r="D2806" s="8">
        <v>3.7654999999999998</v>
      </c>
      <c r="E2806" s="8">
        <v>3.5771000000000002</v>
      </c>
    </row>
    <row r="2807" spans="1:5" x14ac:dyDescent="0.2">
      <c r="A2807" s="5">
        <f t="shared" si="95"/>
        <v>3</v>
      </c>
      <c r="B2807" s="5">
        <f t="shared" si="96"/>
        <v>2024</v>
      </c>
      <c r="C2807" s="7">
        <v>45356</v>
      </c>
      <c r="D2807" s="8">
        <v>3.7642000000000002</v>
      </c>
      <c r="E2807" s="8">
        <v>3.5586000000000002</v>
      </c>
    </row>
    <row r="2808" spans="1:5" x14ac:dyDescent="0.2">
      <c r="A2808" s="5">
        <f t="shared" si="95"/>
        <v>3</v>
      </c>
      <c r="B2808" s="5">
        <f t="shared" si="96"/>
        <v>2024</v>
      </c>
      <c r="C2808" s="7">
        <v>45357</v>
      </c>
      <c r="D2808" s="8">
        <v>3.7683</v>
      </c>
      <c r="E2808" s="8">
        <v>3.5495999999999999</v>
      </c>
    </row>
    <row r="2809" spans="1:5" x14ac:dyDescent="0.2">
      <c r="A2809" s="5">
        <f t="shared" si="95"/>
        <v>3</v>
      </c>
      <c r="B2809" s="5">
        <f t="shared" si="96"/>
        <v>2024</v>
      </c>
      <c r="C2809" s="7">
        <v>45358</v>
      </c>
      <c r="D2809" s="8">
        <v>3.7517</v>
      </c>
      <c r="E2809" s="8">
        <v>3.5152000000000001</v>
      </c>
    </row>
    <row r="2810" spans="1:5" x14ac:dyDescent="0.2">
      <c r="A2810" s="5">
        <f t="shared" si="95"/>
        <v>3</v>
      </c>
      <c r="B2810" s="5">
        <f t="shared" si="96"/>
        <v>2024</v>
      </c>
      <c r="C2810" s="7">
        <v>45359</v>
      </c>
      <c r="D2810" s="8">
        <v>3.7616000000000001</v>
      </c>
      <c r="E2810" s="8">
        <v>3.5148999999999999</v>
      </c>
    </row>
    <row r="2811" spans="1:5" x14ac:dyDescent="0.2">
      <c r="A2811" s="5">
        <f t="shared" si="95"/>
        <v>3</v>
      </c>
      <c r="B2811" s="5">
        <f t="shared" si="96"/>
        <v>2024</v>
      </c>
      <c r="C2811" s="7">
        <v>45362</v>
      </c>
      <c r="D2811" s="8">
        <v>3.7593999999999999</v>
      </c>
      <c r="E2811" s="8">
        <v>3.5032999999999999</v>
      </c>
    </row>
    <row r="2812" spans="1:5" x14ac:dyDescent="0.2">
      <c r="A2812" s="5">
        <f t="shared" si="95"/>
        <v>3</v>
      </c>
      <c r="B2812" s="5">
        <f t="shared" si="96"/>
        <v>2024</v>
      </c>
      <c r="C2812" s="7">
        <v>45363</v>
      </c>
      <c r="D2812" s="8">
        <v>3.4771999999999998</v>
      </c>
      <c r="E2812" s="8">
        <v>3.4836999999999998</v>
      </c>
    </row>
    <row r="2813" spans="1:5" x14ac:dyDescent="0.2">
      <c r="A2813" s="5">
        <f t="shared" si="95"/>
        <v>3</v>
      </c>
      <c r="B2813" s="5">
        <f t="shared" si="96"/>
        <v>2024</v>
      </c>
      <c r="C2813" s="7">
        <v>45364</v>
      </c>
      <c r="D2813" s="8">
        <v>3.4771999999999998</v>
      </c>
      <c r="E2813" s="8">
        <v>3.4931000000000001</v>
      </c>
    </row>
    <row r="2814" spans="1:5" x14ac:dyDescent="0.2">
      <c r="A2814" s="5">
        <f t="shared" si="95"/>
        <v>3</v>
      </c>
      <c r="B2814" s="5">
        <f t="shared" si="96"/>
        <v>2024</v>
      </c>
      <c r="C2814" s="7">
        <v>45365</v>
      </c>
      <c r="D2814" s="8">
        <v>3.4735999999999998</v>
      </c>
      <c r="E2814" s="8">
        <v>3.4969999999999999</v>
      </c>
    </row>
    <row r="2815" spans="1:5" x14ac:dyDescent="0.2">
      <c r="A2815" s="5">
        <f t="shared" si="95"/>
        <v>3</v>
      </c>
      <c r="B2815" s="5">
        <f t="shared" si="96"/>
        <v>2024</v>
      </c>
      <c r="C2815" s="7">
        <v>45366</v>
      </c>
      <c r="D2815" s="8">
        <v>3.4361000000000002</v>
      </c>
      <c r="E2815" s="8">
        <v>3.4472</v>
      </c>
    </row>
    <row r="2816" spans="1:5" x14ac:dyDescent="0.2">
      <c r="A2816" s="5">
        <f t="shared" si="95"/>
        <v>3</v>
      </c>
      <c r="B2816" s="5">
        <f t="shared" si="96"/>
        <v>2024</v>
      </c>
      <c r="C2816" s="7">
        <v>45369</v>
      </c>
      <c r="D2816" s="8">
        <v>3.427</v>
      </c>
      <c r="E2816" s="8">
        <v>3.4432</v>
      </c>
    </row>
    <row r="2817" spans="1:5" x14ac:dyDescent="0.2">
      <c r="A2817" s="5">
        <f t="shared" si="95"/>
        <v>3</v>
      </c>
      <c r="B2817" s="5">
        <f t="shared" si="96"/>
        <v>2024</v>
      </c>
      <c r="C2817" s="7">
        <v>45370</v>
      </c>
      <c r="D2817" s="8">
        <v>3.427</v>
      </c>
      <c r="E2817" s="8">
        <v>3.4462999999999999</v>
      </c>
    </row>
    <row r="2818" spans="1:5" x14ac:dyDescent="0.2">
      <c r="A2818" s="5">
        <f t="shared" si="95"/>
        <v>3</v>
      </c>
      <c r="B2818" s="5">
        <f t="shared" si="96"/>
        <v>2024</v>
      </c>
      <c r="C2818" s="7">
        <v>45371</v>
      </c>
      <c r="D2818" s="8">
        <v>3.4045999999999998</v>
      </c>
      <c r="E2818" s="8">
        <v>3.4474999999999998</v>
      </c>
    </row>
    <row r="2819" spans="1:5" x14ac:dyDescent="0.2">
      <c r="A2819" s="5">
        <f t="shared" si="95"/>
        <v>3</v>
      </c>
      <c r="B2819" s="5">
        <f t="shared" si="96"/>
        <v>2024</v>
      </c>
      <c r="C2819" s="7">
        <v>45372</v>
      </c>
      <c r="D2819" s="8">
        <v>3.4014000000000002</v>
      </c>
      <c r="E2819" s="8">
        <v>3.4489000000000001</v>
      </c>
    </row>
    <row r="2820" spans="1:5" x14ac:dyDescent="0.2">
      <c r="A2820" s="5">
        <f t="shared" ref="A2820:A2883" si="97">MONTH(C2820)</f>
        <v>3</v>
      </c>
      <c r="B2820" s="5">
        <f t="shared" ref="B2820:B2883" si="98">YEAR(C2820)</f>
        <v>2024</v>
      </c>
      <c r="C2820" s="7">
        <v>45373</v>
      </c>
      <c r="D2820" s="8">
        <v>3.4013</v>
      </c>
      <c r="E2820" s="8">
        <v>3.452</v>
      </c>
    </row>
    <row r="2821" spans="1:5" x14ac:dyDescent="0.2">
      <c r="A2821" s="5">
        <f t="shared" si="97"/>
        <v>3</v>
      </c>
      <c r="B2821" s="5">
        <f t="shared" si="98"/>
        <v>2024</v>
      </c>
      <c r="C2821" s="7">
        <v>45376</v>
      </c>
      <c r="D2821" s="8">
        <v>3.4011</v>
      </c>
      <c r="E2821" s="8">
        <v>3.4499</v>
      </c>
    </row>
    <row r="2822" spans="1:5" x14ac:dyDescent="0.2">
      <c r="A2822" s="5">
        <f t="shared" si="97"/>
        <v>3</v>
      </c>
      <c r="B2822" s="5">
        <f t="shared" si="98"/>
        <v>2024</v>
      </c>
      <c r="C2822" s="7">
        <v>45377</v>
      </c>
      <c r="D2822" s="8">
        <v>3.4011</v>
      </c>
      <c r="E2822" s="8">
        <v>3.4533999999999998</v>
      </c>
    </row>
    <row r="2823" spans="1:5" x14ac:dyDescent="0.2">
      <c r="A2823" s="5">
        <f t="shared" si="97"/>
        <v>3</v>
      </c>
      <c r="B2823" s="5">
        <f t="shared" si="98"/>
        <v>2024</v>
      </c>
      <c r="C2823" s="7">
        <v>45378</v>
      </c>
      <c r="D2823" s="8">
        <v>3.4005999999999998</v>
      </c>
      <c r="E2823" s="8">
        <v>3.4504000000000001</v>
      </c>
    </row>
    <row r="2824" spans="1:5" x14ac:dyDescent="0.2">
      <c r="A2824" s="5">
        <f t="shared" si="97"/>
        <v>3</v>
      </c>
      <c r="B2824" s="5">
        <f t="shared" si="98"/>
        <v>2024</v>
      </c>
      <c r="C2824" s="7">
        <v>45379</v>
      </c>
      <c r="D2824" s="8">
        <v>3.4001000000000001</v>
      </c>
      <c r="E2824" s="8">
        <v>3.4605999999999999</v>
      </c>
    </row>
    <row r="2825" spans="1:5" x14ac:dyDescent="0.2">
      <c r="A2825" s="5">
        <f t="shared" si="97"/>
        <v>4</v>
      </c>
      <c r="B2825" s="5">
        <f t="shared" si="98"/>
        <v>2024</v>
      </c>
      <c r="C2825" s="7">
        <v>45383</v>
      </c>
      <c r="D2825" s="8">
        <v>3.4014000000000002</v>
      </c>
      <c r="E2825" s="8">
        <v>3.4746999999999999</v>
      </c>
    </row>
    <row r="2826" spans="1:5" x14ac:dyDescent="0.2">
      <c r="A2826" s="5">
        <f t="shared" si="97"/>
        <v>4</v>
      </c>
      <c r="B2826" s="5">
        <f t="shared" si="98"/>
        <v>2024</v>
      </c>
      <c r="C2826" s="7">
        <v>45384</v>
      </c>
      <c r="D2826" s="8">
        <v>3.4014000000000002</v>
      </c>
      <c r="E2826" s="8">
        <v>3.4746999999999999</v>
      </c>
    </row>
    <row r="2827" spans="1:5" x14ac:dyDescent="0.2">
      <c r="A2827" s="5">
        <f t="shared" si="97"/>
        <v>4</v>
      </c>
      <c r="B2827" s="5">
        <f t="shared" si="98"/>
        <v>2024</v>
      </c>
      <c r="C2827" s="7">
        <v>45385</v>
      </c>
      <c r="D2827" s="8">
        <v>3.411</v>
      </c>
      <c r="E2827" s="8">
        <v>3.4819</v>
      </c>
    </row>
    <row r="2828" spans="1:5" x14ac:dyDescent="0.2">
      <c r="A2828" s="5">
        <f t="shared" si="97"/>
        <v>4</v>
      </c>
      <c r="B2828" s="5">
        <f t="shared" si="98"/>
        <v>2024</v>
      </c>
      <c r="C2828" s="7">
        <v>45386</v>
      </c>
      <c r="D2828" s="8">
        <v>3.4159000000000002</v>
      </c>
      <c r="E2828" s="8">
        <v>3.4908000000000001</v>
      </c>
    </row>
    <row r="2829" spans="1:5" x14ac:dyDescent="0.2">
      <c r="A2829" s="5">
        <f t="shared" si="97"/>
        <v>4</v>
      </c>
      <c r="B2829" s="5">
        <f t="shared" si="98"/>
        <v>2024</v>
      </c>
      <c r="C2829" s="7">
        <v>45387</v>
      </c>
      <c r="D2829" s="8">
        <v>3.4113000000000002</v>
      </c>
      <c r="E2829" s="8">
        <v>3.4952999999999999</v>
      </c>
    </row>
    <row r="2830" spans="1:5" x14ac:dyDescent="0.2">
      <c r="A2830" s="5">
        <f t="shared" si="97"/>
        <v>4</v>
      </c>
      <c r="B2830" s="5">
        <f t="shared" si="98"/>
        <v>2024</v>
      </c>
      <c r="C2830" s="7">
        <v>45390</v>
      </c>
      <c r="D2830" s="8">
        <v>3.4112</v>
      </c>
      <c r="E2830" s="8">
        <v>3.5070000000000001</v>
      </c>
    </row>
    <row r="2831" spans="1:5" x14ac:dyDescent="0.2">
      <c r="A2831" s="5">
        <f t="shared" si="97"/>
        <v>4</v>
      </c>
      <c r="B2831" s="5">
        <f t="shared" si="98"/>
        <v>2024</v>
      </c>
      <c r="C2831" s="7">
        <v>45391</v>
      </c>
      <c r="D2831" s="8">
        <v>3.4112</v>
      </c>
      <c r="E2831" s="8">
        <v>3.5148000000000001</v>
      </c>
    </row>
    <row r="2832" spans="1:5" x14ac:dyDescent="0.2">
      <c r="A2832" s="5">
        <f t="shared" si="97"/>
        <v>4</v>
      </c>
      <c r="B2832" s="5">
        <f t="shared" si="98"/>
        <v>2024</v>
      </c>
      <c r="C2832" s="7">
        <v>45392</v>
      </c>
      <c r="D2832" s="8">
        <v>3.5350999999999999</v>
      </c>
      <c r="E2832" s="8">
        <v>3.5329000000000002</v>
      </c>
    </row>
    <row r="2833" spans="1:5" x14ac:dyDescent="0.2">
      <c r="A2833" s="5">
        <f t="shared" si="97"/>
        <v>4</v>
      </c>
      <c r="B2833" s="5">
        <f t="shared" si="98"/>
        <v>2024</v>
      </c>
      <c r="C2833" s="7">
        <v>45393</v>
      </c>
      <c r="D2833" s="8">
        <v>3.5251000000000001</v>
      </c>
      <c r="E2833" s="8">
        <v>3.5266999999999999</v>
      </c>
    </row>
    <row r="2834" spans="1:5" x14ac:dyDescent="0.2">
      <c r="A2834" s="5">
        <f t="shared" si="97"/>
        <v>4</v>
      </c>
      <c r="B2834" s="5">
        <f t="shared" si="98"/>
        <v>2024</v>
      </c>
      <c r="C2834" s="7">
        <v>45394</v>
      </c>
      <c r="D2834" s="8">
        <v>3.5272000000000001</v>
      </c>
      <c r="E2834" s="8">
        <v>3.5276999999999998</v>
      </c>
    </row>
    <row r="2835" spans="1:5" x14ac:dyDescent="0.2">
      <c r="A2835" s="5">
        <f t="shared" si="97"/>
        <v>4</v>
      </c>
      <c r="B2835" s="5">
        <f t="shared" si="98"/>
        <v>2024</v>
      </c>
      <c r="C2835" s="7">
        <v>45397</v>
      </c>
      <c r="D2835" s="8">
        <v>3.532</v>
      </c>
      <c r="E2835" s="8">
        <v>3.5283000000000002</v>
      </c>
    </row>
    <row r="2836" spans="1:5" x14ac:dyDescent="0.2">
      <c r="A2836" s="5">
        <f t="shared" si="97"/>
        <v>4</v>
      </c>
      <c r="B2836" s="5">
        <f t="shared" si="98"/>
        <v>2024</v>
      </c>
      <c r="C2836" s="7">
        <v>45398</v>
      </c>
      <c r="D2836" s="8">
        <v>3.5272000000000001</v>
      </c>
      <c r="E2836" s="8">
        <v>3.5272999999999999</v>
      </c>
    </row>
    <row r="2837" spans="1:5" x14ac:dyDescent="0.2">
      <c r="A2837" s="5">
        <f t="shared" si="97"/>
        <v>4</v>
      </c>
      <c r="B2837" s="5">
        <f t="shared" si="98"/>
        <v>2024</v>
      </c>
      <c r="C2837" s="7">
        <v>45399</v>
      </c>
      <c r="D2837" s="8">
        <v>3.5272000000000001</v>
      </c>
      <c r="E2837" s="8">
        <v>3.5284</v>
      </c>
    </row>
    <row r="2838" spans="1:5" x14ac:dyDescent="0.2">
      <c r="A2838" s="5">
        <f t="shared" si="97"/>
        <v>4</v>
      </c>
      <c r="B2838" s="5">
        <f t="shared" si="98"/>
        <v>2024</v>
      </c>
      <c r="C2838" s="7">
        <v>45400</v>
      </c>
      <c r="D2838" s="8">
        <v>3.5350999999999999</v>
      </c>
      <c r="E2838" s="8">
        <v>3.5350999999999999</v>
      </c>
    </row>
    <row r="2839" spans="1:5" x14ac:dyDescent="0.2">
      <c r="A2839" s="5">
        <f t="shared" si="97"/>
        <v>4</v>
      </c>
      <c r="B2839" s="5">
        <f t="shared" si="98"/>
        <v>2024</v>
      </c>
      <c r="C2839" s="7">
        <v>45401</v>
      </c>
      <c r="D2839" s="8">
        <v>3.556</v>
      </c>
      <c r="E2839" s="8">
        <v>3.5609999999999999</v>
      </c>
    </row>
    <row r="2840" spans="1:5" x14ac:dyDescent="0.2">
      <c r="A2840" s="5">
        <f t="shared" si="97"/>
        <v>4</v>
      </c>
      <c r="B2840" s="5">
        <f t="shared" si="98"/>
        <v>2024</v>
      </c>
      <c r="C2840" s="7">
        <v>45404</v>
      </c>
      <c r="D2840" s="8">
        <v>3.5966</v>
      </c>
      <c r="E2840" s="8">
        <v>3.5703</v>
      </c>
    </row>
    <row r="2841" spans="1:5" x14ac:dyDescent="0.2">
      <c r="A2841" s="5">
        <f t="shared" si="97"/>
        <v>4</v>
      </c>
      <c r="B2841" s="5">
        <f t="shared" si="98"/>
        <v>2024</v>
      </c>
      <c r="C2841" s="7">
        <v>45405</v>
      </c>
      <c r="D2841" s="8">
        <v>3.5966</v>
      </c>
      <c r="E2841" s="8">
        <v>3.5710000000000002</v>
      </c>
    </row>
    <row r="2842" spans="1:5" x14ac:dyDescent="0.2">
      <c r="A2842" s="5">
        <f t="shared" si="97"/>
        <v>4</v>
      </c>
      <c r="B2842" s="5">
        <f t="shared" si="98"/>
        <v>2024</v>
      </c>
      <c r="C2842" s="7">
        <v>45406</v>
      </c>
      <c r="D2842" s="8">
        <v>3.6048</v>
      </c>
      <c r="E2842" s="8">
        <v>3.5716999999999999</v>
      </c>
    </row>
    <row r="2843" spans="1:5" x14ac:dyDescent="0.2">
      <c r="A2843" s="5">
        <f t="shared" si="97"/>
        <v>4</v>
      </c>
      <c r="B2843" s="5">
        <f t="shared" si="98"/>
        <v>2024</v>
      </c>
      <c r="C2843" s="7">
        <v>45407</v>
      </c>
      <c r="D2843" s="8">
        <v>3.6057000000000001</v>
      </c>
      <c r="E2843" s="8">
        <v>3.5724</v>
      </c>
    </row>
    <row r="2844" spans="1:5" x14ac:dyDescent="0.2">
      <c r="A2844" s="5">
        <f t="shared" si="97"/>
        <v>4</v>
      </c>
      <c r="B2844" s="5">
        <f t="shared" si="98"/>
        <v>2024</v>
      </c>
      <c r="C2844" s="7">
        <v>45408</v>
      </c>
      <c r="D2844" s="8">
        <v>3.5863999999999998</v>
      </c>
      <c r="E2844" s="8">
        <v>3.5640000000000001</v>
      </c>
    </row>
    <row r="2845" spans="1:5" x14ac:dyDescent="0.2">
      <c r="A2845" s="5">
        <f t="shared" si="97"/>
        <v>4</v>
      </c>
      <c r="B2845" s="5">
        <f t="shared" si="98"/>
        <v>2024</v>
      </c>
      <c r="C2845" s="7">
        <v>45411</v>
      </c>
      <c r="D2845" s="8">
        <v>3.5636000000000001</v>
      </c>
      <c r="E2845" s="8">
        <v>3.5550999999999999</v>
      </c>
    </row>
    <row r="2846" spans="1:5" x14ac:dyDescent="0.2">
      <c r="A2846" s="5">
        <f t="shared" si="97"/>
        <v>4</v>
      </c>
      <c r="B2846" s="5">
        <f t="shared" si="98"/>
        <v>2024</v>
      </c>
      <c r="C2846" s="7">
        <v>45412</v>
      </c>
      <c r="D2846" s="8">
        <v>3.5760999999999998</v>
      </c>
      <c r="E2846" s="8">
        <v>3.5636999999999999</v>
      </c>
    </row>
    <row r="2847" spans="1:5" x14ac:dyDescent="0.2">
      <c r="A2847" s="5">
        <f t="shared" si="97"/>
        <v>5</v>
      </c>
      <c r="B2847" s="5">
        <f t="shared" si="98"/>
        <v>2024</v>
      </c>
      <c r="C2847" s="7">
        <v>45414</v>
      </c>
      <c r="D2847" s="8">
        <v>3.5760999999999998</v>
      </c>
      <c r="E2847" s="8">
        <v>3.5697999999999999</v>
      </c>
    </row>
    <row r="2848" spans="1:5" x14ac:dyDescent="0.2">
      <c r="A2848" s="5">
        <f t="shared" si="97"/>
        <v>5</v>
      </c>
      <c r="B2848" s="5">
        <f t="shared" si="98"/>
        <v>2024</v>
      </c>
      <c r="C2848" s="7">
        <v>45415</v>
      </c>
      <c r="D2848" s="8">
        <v>3.6143000000000001</v>
      </c>
      <c r="E2848" s="8">
        <v>3.6019000000000001</v>
      </c>
    </row>
    <row r="2849" spans="1:5" x14ac:dyDescent="0.2">
      <c r="A2849" s="5">
        <f t="shared" si="97"/>
        <v>5</v>
      </c>
      <c r="B2849" s="5">
        <f t="shared" si="98"/>
        <v>2024</v>
      </c>
      <c r="C2849" s="7">
        <v>45418</v>
      </c>
      <c r="D2849" s="8">
        <v>3.6158999999999999</v>
      </c>
      <c r="E2849" s="8">
        <v>3.5985999999999998</v>
      </c>
    </row>
    <row r="2850" spans="1:5" x14ac:dyDescent="0.2">
      <c r="A2850" s="5">
        <f t="shared" si="97"/>
        <v>5</v>
      </c>
      <c r="B2850" s="5">
        <f t="shared" si="98"/>
        <v>2024</v>
      </c>
      <c r="C2850" s="7">
        <v>45419</v>
      </c>
      <c r="D2850" s="8">
        <v>3.6160999999999999</v>
      </c>
      <c r="E2850" s="8">
        <v>3.5954000000000002</v>
      </c>
    </row>
    <row r="2851" spans="1:5" x14ac:dyDescent="0.2">
      <c r="A2851" s="5">
        <f t="shared" si="97"/>
        <v>5</v>
      </c>
      <c r="B2851" s="5">
        <f t="shared" si="98"/>
        <v>2024</v>
      </c>
      <c r="C2851" s="7">
        <v>45420</v>
      </c>
      <c r="D2851" s="8">
        <v>3.6160999999999999</v>
      </c>
      <c r="E2851" s="8">
        <v>3.5911</v>
      </c>
    </row>
    <row r="2852" spans="1:5" x14ac:dyDescent="0.2">
      <c r="A2852" s="5">
        <f t="shared" si="97"/>
        <v>5</v>
      </c>
      <c r="B2852" s="5">
        <f t="shared" si="98"/>
        <v>2024</v>
      </c>
      <c r="C2852" s="7">
        <v>45421</v>
      </c>
      <c r="D2852" s="8">
        <v>3.6175999999999999</v>
      </c>
      <c r="E2852" s="8">
        <v>3.5998000000000001</v>
      </c>
    </row>
    <row r="2853" spans="1:5" x14ac:dyDescent="0.2">
      <c r="A2853" s="5">
        <f t="shared" si="97"/>
        <v>5</v>
      </c>
      <c r="B2853" s="5">
        <f t="shared" si="98"/>
        <v>2024</v>
      </c>
      <c r="C2853" s="7">
        <v>45422</v>
      </c>
      <c r="D2853" s="8">
        <v>3.6063999999999998</v>
      </c>
      <c r="E2853" s="8">
        <v>3.6034000000000002</v>
      </c>
    </row>
    <row r="2854" spans="1:5" x14ac:dyDescent="0.2">
      <c r="A2854" s="5">
        <f t="shared" si="97"/>
        <v>5</v>
      </c>
      <c r="B2854" s="5">
        <f t="shared" si="98"/>
        <v>2024</v>
      </c>
      <c r="C2854" s="7">
        <v>45425</v>
      </c>
      <c r="D2854" s="8">
        <v>3.6067999999999998</v>
      </c>
      <c r="E2854" s="8">
        <v>3.5929000000000002</v>
      </c>
    </row>
    <row r="2855" spans="1:5" x14ac:dyDescent="0.2">
      <c r="A2855" s="5">
        <f t="shared" si="97"/>
        <v>5</v>
      </c>
      <c r="B2855" s="5">
        <f t="shared" si="98"/>
        <v>2024</v>
      </c>
      <c r="C2855" s="7">
        <v>45426</v>
      </c>
      <c r="D2855" s="8">
        <v>3.6067999999999998</v>
      </c>
      <c r="E2855" s="8">
        <v>3.5903999999999998</v>
      </c>
    </row>
    <row r="2856" spans="1:5" x14ac:dyDescent="0.2">
      <c r="A2856" s="5">
        <f t="shared" si="97"/>
        <v>5</v>
      </c>
      <c r="B2856" s="5">
        <f t="shared" si="98"/>
        <v>2024</v>
      </c>
      <c r="C2856" s="7">
        <v>45427</v>
      </c>
      <c r="D2856" s="8">
        <v>3.6067999999999998</v>
      </c>
      <c r="E2856" s="8">
        <v>3.5874000000000001</v>
      </c>
    </row>
    <row r="2857" spans="1:5" x14ac:dyDescent="0.2">
      <c r="A2857" s="5">
        <f t="shared" si="97"/>
        <v>5</v>
      </c>
      <c r="B2857" s="5">
        <f t="shared" si="98"/>
        <v>2024</v>
      </c>
      <c r="C2857" s="7">
        <v>45428</v>
      </c>
      <c r="D2857" s="8">
        <v>3.6069</v>
      </c>
      <c r="E2857" s="8">
        <v>3.5869</v>
      </c>
    </row>
    <row r="2858" spans="1:5" x14ac:dyDescent="0.2">
      <c r="A2858" s="5">
        <f t="shared" si="97"/>
        <v>5</v>
      </c>
      <c r="B2858" s="5">
        <f t="shared" si="98"/>
        <v>2024</v>
      </c>
      <c r="C2858" s="7">
        <v>45429</v>
      </c>
      <c r="D2858" s="8">
        <v>3.6793</v>
      </c>
      <c r="E2858" s="8">
        <v>3.6404999999999998</v>
      </c>
    </row>
    <row r="2859" spans="1:5" x14ac:dyDescent="0.2">
      <c r="A2859" s="5">
        <f t="shared" si="97"/>
        <v>5</v>
      </c>
      <c r="B2859" s="5">
        <f t="shared" si="98"/>
        <v>2024</v>
      </c>
      <c r="C2859" s="7">
        <v>45432</v>
      </c>
      <c r="D2859" s="8">
        <v>3.6793</v>
      </c>
      <c r="E2859" s="8">
        <v>3.6404999999999998</v>
      </c>
    </row>
    <row r="2860" spans="1:5" x14ac:dyDescent="0.2">
      <c r="A2860" s="5">
        <f t="shared" si="97"/>
        <v>5</v>
      </c>
      <c r="B2860" s="5">
        <f t="shared" si="98"/>
        <v>2024</v>
      </c>
      <c r="C2860" s="7">
        <v>45433</v>
      </c>
      <c r="D2860" s="8">
        <v>3.6793999999999998</v>
      </c>
      <c r="E2860" s="8">
        <v>3.6425999999999998</v>
      </c>
    </row>
    <row r="2861" spans="1:5" x14ac:dyDescent="0.2">
      <c r="A2861" s="5">
        <f t="shared" si="97"/>
        <v>5</v>
      </c>
      <c r="B2861" s="5">
        <f t="shared" si="98"/>
        <v>2024</v>
      </c>
      <c r="C2861" s="7">
        <v>45434</v>
      </c>
      <c r="D2861" s="8">
        <v>3.6795</v>
      </c>
      <c r="E2861" s="8">
        <v>3.6444000000000001</v>
      </c>
    </row>
    <row r="2862" spans="1:5" x14ac:dyDescent="0.2">
      <c r="A2862" s="5">
        <f t="shared" si="97"/>
        <v>5</v>
      </c>
      <c r="B2862" s="5">
        <f t="shared" si="98"/>
        <v>2024</v>
      </c>
      <c r="C2862" s="7">
        <v>45435</v>
      </c>
      <c r="D2862" s="8">
        <v>3.6793999999999998</v>
      </c>
      <c r="E2862" s="8">
        <v>3.6436000000000002</v>
      </c>
    </row>
    <row r="2863" spans="1:5" x14ac:dyDescent="0.2">
      <c r="A2863" s="5">
        <f t="shared" si="97"/>
        <v>5</v>
      </c>
      <c r="B2863" s="5">
        <f t="shared" si="98"/>
        <v>2024</v>
      </c>
      <c r="C2863" s="7">
        <v>45436</v>
      </c>
      <c r="D2863" s="8">
        <v>3.7103000000000002</v>
      </c>
      <c r="E2863" s="8">
        <v>3.6501000000000001</v>
      </c>
    </row>
    <row r="2864" spans="1:5" x14ac:dyDescent="0.2">
      <c r="A2864" s="5">
        <f t="shared" si="97"/>
        <v>5</v>
      </c>
      <c r="B2864" s="5">
        <f t="shared" si="98"/>
        <v>2024</v>
      </c>
      <c r="C2864" s="7">
        <v>45439</v>
      </c>
      <c r="D2864" s="8">
        <v>3.7103000000000002</v>
      </c>
      <c r="E2864" s="8">
        <v>3.6383000000000001</v>
      </c>
    </row>
    <row r="2865" spans="1:5" x14ac:dyDescent="0.2">
      <c r="A2865" s="5">
        <f t="shared" si="97"/>
        <v>5</v>
      </c>
      <c r="B2865" s="5">
        <f t="shared" si="98"/>
        <v>2024</v>
      </c>
      <c r="C2865" s="7">
        <v>45440</v>
      </c>
      <c r="D2865" s="8">
        <v>3.7103000000000002</v>
      </c>
      <c r="E2865" s="8">
        <v>3.6315</v>
      </c>
    </row>
    <row r="2866" spans="1:5" x14ac:dyDescent="0.2">
      <c r="A2866" s="5">
        <f t="shared" si="97"/>
        <v>5</v>
      </c>
      <c r="B2866" s="5">
        <f t="shared" si="98"/>
        <v>2024</v>
      </c>
      <c r="C2866" s="7">
        <v>45441</v>
      </c>
      <c r="D2866" s="8">
        <v>3.7109000000000001</v>
      </c>
      <c r="E2866" s="8">
        <v>3.6254</v>
      </c>
    </row>
    <row r="2867" spans="1:5" x14ac:dyDescent="0.2">
      <c r="A2867" s="5">
        <f t="shared" si="97"/>
        <v>5</v>
      </c>
      <c r="B2867" s="5">
        <f t="shared" si="98"/>
        <v>2024</v>
      </c>
      <c r="C2867" s="7">
        <v>45443</v>
      </c>
      <c r="D2867" s="8">
        <v>3.7246999999999999</v>
      </c>
      <c r="E2867" s="8">
        <v>3.6375999999999999</v>
      </c>
    </row>
    <row r="2868" spans="1:5" x14ac:dyDescent="0.2">
      <c r="A2868" s="5">
        <f t="shared" si="97"/>
        <v>6</v>
      </c>
      <c r="B2868" s="5">
        <f t="shared" si="98"/>
        <v>2024</v>
      </c>
      <c r="C2868" s="7">
        <v>45446</v>
      </c>
      <c r="D2868" s="8">
        <v>3.7250999999999999</v>
      </c>
      <c r="E2868" s="8">
        <v>3.6291000000000002</v>
      </c>
    </row>
    <row r="2869" spans="1:5" x14ac:dyDescent="0.2">
      <c r="A2869" s="5">
        <f t="shared" si="97"/>
        <v>6</v>
      </c>
      <c r="B2869" s="5">
        <f t="shared" si="98"/>
        <v>2024</v>
      </c>
      <c r="C2869" s="7">
        <v>45447</v>
      </c>
      <c r="D2869" s="8">
        <v>3.7250999999999999</v>
      </c>
      <c r="E2869" s="8">
        <v>3.6257999999999999</v>
      </c>
    </row>
    <row r="2870" spans="1:5" x14ac:dyDescent="0.2">
      <c r="A2870" s="5">
        <f t="shared" si="97"/>
        <v>6</v>
      </c>
      <c r="B2870" s="5">
        <f t="shared" si="98"/>
        <v>2024</v>
      </c>
      <c r="C2870" s="7">
        <v>45448</v>
      </c>
      <c r="D2870" s="8">
        <v>3.7357999999999998</v>
      </c>
      <c r="E2870" s="8">
        <v>3.6225999999999998</v>
      </c>
    </row>
    <row r="2871" spans="1:5" x14ac:dyDescent="0.2">
      <c r="A2871" s="5">
        <f t="shared" si="97"/>
        <v>6</v>
      </c>
      <c r="B2871" s="5">
        <f t="shared" si="98"/>
        <v>2024</v>
      </c>
      <c r="C2871" s="7">
        <v>45449</v>
      </c>
      <c r="D2871" s="8">
        <v>3.7357999999999998</v>
      </c>
      <c r="E2871" s="8">
        <v>3.6194000000000002</v>
      </c>
    </row>
    <row r="2872" spans="1:5" x14ac:dyDescent="0.2">
      <c r="A2872" s="5">
        <f t="shared" si="97"/>
        <v>6</v>
      </c>
      <c r="B2872" s="5">
        <f t="shared" si="98"/>
        <v>2024</v>
      </c>
      <c r="C2872" s="7">
        <v>45450</v>
      </c>
      <c r="D2872" s="8">
        <v>3.7250999999999999</v>
      </c>
      <c r="E2872" s="8">
        <v>3.6254</v>
      </c>
    </row>
    <row r="2873" spans="1:5" x14ac:dyDescent="0.2">
      <c r="A2873" s="5">
        <f t="shared" si="97"/>
        <v>6</v>
      </c>
      <c r="B2873" s="5">
        <f t="shared" si="98"/>
        <v>2024</v>
      </c>
      <c r="C2873" s="7">
        <v>45453</v>
      </c>
      <c r="D2873" s="8">
        <v>3.7250999999999999</v>
      </c>
      <c r="E2873" s="8">
        <v>3.6099000000000001</v>
      </c>
    </row>
    <row r="2874" spans="1:5" x14ac:dyDescent="0.2">
      <c r="A2874" s="5">
        <f t="shared" si="97"/>
        <v>6</v>
      </c>
      <c r="B2874" s="5">
        <f t="shared" si="98"/>
        <v>2024</v>
      </c>
      <c r="C2874" s="7">
        <v>45454</v>
      </c>
      <c r="D2874" s="8">
        <v>3.5760000000000001</v>
      </c>
      <c r="E2874" s="8">
        <v>3.5745</v>
      </c>
    </row>
    <row r="2875" spans="1:5" x14ac:dyDescent="0.2">
      <c r="A2875" s="5">
        <f t="shared" si="97"/>
        <v>6</v>
      </c>
      <c r="B2875" s="5">
        <f t="shared" si="98"/>
        <v>2024</v>
      </c>
      <c r="C2875" s="7">
        <v>45455</v>
      </c>
      <c r="D2875" s="8">
        <v>3.5760000000000001</v>
      </c>
      <c r="E2875" s="8">
        <v>3.5722999999999998</v>
      </c>
    </row>
    <row r="2876" spans="1:5" x14ac:dyDescent="0.2">
      <c r="A2876" s="5">
        <f t="shared" si="97"/>
        <v>6</v>
      </c>
      <c r="B2876" s="5">
        <f t="shared" si="98"/>
        <v>2024</v>
      </c>
      <c r="C2876" s="7">
        <v>45456</v>
      </c>
      <c r="D2876" s="8">
        <v>3.5659999999999998</v>
      </c>
      <c r="E2876" s="8">
        <v>3.5680000000000001</v>
      </c>
    </row>
    <row r="2877" spans="1:5" x14ac:dyDescent="0.2">
      <c r="A2877" s="5">
        <f t="shared" si="97"/>
        <v>6</v>
      </c>
      <c r="B2877" s="5">
        <f t="shared" si="98"/>
        <v>2024</v>
      </c>
      <c r="C2877" s="7">
        <v>45457</v>
      </c>
      <c r="D2877" s="8">
        <v>3.6177999999999999</v>
      </c>
      <c r="E2877" s="8">
        <v>3.6057999999999999</v>
      </c>
    </row>
    <row r="2878" spans="1:5" x14ac:dyDescent="0.2">
      <c r="A2878" s="5">
        <f t="shared" si="97"/>
        <v>6</v>
      </c>
      <c r="B2878" s="5">
        <f t="shared" si="98"/>
        <v>2024</v>
      </c>
      <c r="C2878" s="7">
        <v>45460</v>
      </c>
      <c r="D2878" s="8">
        <v>3.6208</v>
      </c>
      <c r="E2878" s="8">
        <v>3.6015000000000001</v>
      </c>
    </row>
    <row r="2879" spans="1:5" x14ac:dyDescent="0.2">
      <c r="A2879" s="5">
        <f t="shared" si="97"/>
        <v>6</v>
      </c>
      <c r="B2879" s="5">
        <f t="shared" si="98"/>
        <v>2024</v>
      </c>
      <c r="C2879" s="7">
        <v>45461</v>
      </c>
      <c r="D2879" s="8">
        <v>3.6208</v>
      </c>
      <c r="E2879" s="8">
        <v>3.5933000000000002</v>
      </c>
    </row>
    <row r="2880" spans="1:5" x14ac:dyDescent="0.2">
      <c r="A2880" s="5">
        <f t="shared" si="97"/>
        <v>6</v>
      </c>
      <c r="B2880" s="5">
        <f t="shared" si="98"/>
        <v>2024</v>
      </c>
      <c r="C2880" s="7">
        <v>45462</v>
      </c>
      <c r="D2880" s="8">
        <v>3.6177999999999999</v>
      </c>
      <c r="E2880" s="8">
        <v>3.5880000000000001</v>
      </c>
    </row>
    <row r="2881" spans="1:5" x14ac:dyDescent="0.2">
      <c r="A2881" s="5">
        <f t="shared" si="97"/>
        <v>6</v>
      </c>
      <c r="B2881" s="5">
        <f t="shared" si="98"/>
        <v>2024</v>
      </c>
      <c r="C2881" s="7">
        <v>45463</v>
      </c>
      <c r="D2881" s="8">
        <v>3.6172</v>
      </c>
      <c r="E2881" s="8">
        <v>3.5771999999999999</v>
      </c>
    </row>
    <row r="2882" spans="1:5" x14ac:dyDescent="0.2">
      <c r="A2882" s="5">
        <f t="shared" si="97"/>
        <v>6</v>
      </c>
      <c r="B2882" s="5">
        <f t="shared" si="98"/>
        <v>2024</v>
      </c>
      <c r="C2882" s="7">
        <v>45464</v>
      </c>
      <c r="D2882" s="8">
        <v>3.6196000000000002</v>
      </c>
      <c r="E2882" s="8">
        <v>3.5830000000000002</v>
      </c>
    </row>
    <row r="2883" spans="1:5" x14ac:dyDescent="0.2">
      <c r="A2883" s="5">
        <f t="shared" si="97"/>
        <v>6</v>
      </c>
      <c r="B2883" s="5">
        <f t="shared" si="98"/>
        <v>2024</v>
      </c>
      <c r="C2883" s="7">
        <v>45467</v>
      </c>
      <c r="D2883" s="8">
        <v>3.6225999999999998</v>
      </c>
      <c r="E2883" s="8">
        <v>3.5869</v>
      </c>
    </row>
    <row r="2884" spans="1:5" x14ac:dyDescent="0.2">
      <c r="A2884" s="5">
        <f t="shared" ref="A2884:A2947" si="99">MONTH(C2884)</f>
        <v>6</v>
      </c>
      <c r="B2884" s="5">
        <f t="shared" ref="B2884:B2947" si="100">YEAR(C2884)</f>
        <v>2024</v>
      </c>
      <c r="C2884" s="7">
        <v>45468</v>
      </c>
      <c r="D2884" s="8">
        <v>3.6225999999999998</v>
      </c>
      <c r="E2884" s="8">
        <v>3.5853999999999999</v>
      </c>
    </row>
    <row r="2885" spans="1:5" x14ac:dyDescent="0.2">
      <c r="A2885" s="5">
        <f t="shared" si="99"/>
        <v>6</v>
      </c>
      <c r="B2885" s="5">
        <f t="shared" si="100"/>
        <v>2024</v>
      </c>
      <c r="C2885" s="7">
        <v>45469</v>
      </c>
      <c r="D2885" s="8">
        <v>3.6238000000000001</v>
      </c>
      <c r="E2885" s="8">
        <v>3.5849000000000002</v>
      </c>
    </row>
    <row r="2886" spans="1:5" x14ac:dyDescent="0.2">
      <c r="A2886" s="5">
        <f t="shared" si="99"/>
        <v>6</v>
      </c>
      <c r="B2886" s="5">
        <f t="shared" si="100"/>
        <v>2024</v>
      </c>
      <c r="C2886" s="7">
        <v>45470</v>
      </c>
      <c r="D2886" s="8">
        <v>3.629</v>
      </c>
      <c r="E2886" s="8">
        <v>3.5831</v>
      </c>
    </row>
    <row r="2887" spans="1:5" x14ac:dyDescent="0.2">
      <c r="A2887" s="5">
        <f t="shared" si="99"/>
        <v>6</v>
      </c>
      <c r="B2887" s="5">
        <f t="shared" si="100"/>
        <v>2024</v>
      </c>
      <c r="C2887" s="7">
        <v>45471</v>
      </c>
      <c r="D2887" s="8">
        <v>3.6688999999999998</v>
      </c>
      <c r="E2887" s="8">
        <v>3.6097999999999999</v>
      </c>
    </row>
    <row r="2888" spans="1:5" x14ac:dyDescent="0.2">
      <c r="A2888" s="5">
        <f t="shared" si="99"/>
        <v>7</v>
      </c>
      <c r="B2888" s="5">
        <f t="shared" si="100"/>
        <v>2024</v>
      </c>
      <c r="C2888" s="7">
        <v>45474</v>
      </c>
      <c r="D2888" s="8">
        <v>3.6695000000000002</v>
      </c>
      <c r="E2888" s="8">
        <v>3.6002999999999998</v>
      </c>
    </row>
    <row r="2889" spans="1:5" x14ac:dyDescent="0.2">
      <c r="A2889" s="5">
        <f t="shared" si="99"/>
        <v>7</v>
      </c>
      <c r="B2889" s="5">
        <f t="shared" si="100"/>
        <v>2024</v>
      </c>
      <c r="C2889" s="7">
        <v>45475</v>
      </c>
      <c r="D2889" s="8">
        <v>3.6695000000000002</v>
      </c>
      <c r="E2889" s="8">
        <v>3.5945999999999998</v>
      </c>
    </row>
    <row r="2890" spans="1:5" x14ac:dyDescent="0.2">
      <c r="A2890" s="5">
        <f t="shared" si="99"/>
        <v>7</v>
      </c>
      <c r="B2890" s="5">
        <f t="shared" si="100"/>
        <v>2024</v>
      </c>
      <c r="C2890" s="7">
        <v>45476</v>
      </c>
      <c r="D2890" s="8">
        <v>3.6695000000000002</v>
      </c>
      <c r="E2890" s="8">
        <v>3.6012</v>
      </c>
    </row>
    <row r="2891" spans="1:5" x14ac:dyDescent="0.2">
      <c r="A2891" s="5">
        <f t="shared" si="99"/>
        <v>7</v>
      </c>
      <c r="B2891" s="5">
        <f t="shared" si="100"/>
        <v>2024</v>
      </c>
      <c r="C2891" s="7">
        <v>45477</v>
      </c>
      <c r="D2891" s="8">
        <v>3.6695000000000002</v>
      </c>
      <c r="E2891" s="8">
        <v>3.5832000000000002</v>
      </c>
    </row>
    <row r="2892" spans="1:5" x14ac:dyDescent="0.2">
      <c r="A2892" s="5">
        <f t="shared" si="99"/>
        <v>7</v>
      </c>
      <c r="B2892" s="5">
        <f t="shared" si="100"/>
        <v>2024</v>
      </c>
      <c r="C2892" s="7">
        <v>45478</v>
      </c>
      <c r="D2892" s="8">
        <v>3.6787000000000001</v>
      </c>
      <c r="E2892" s="8">
        <v>3.5911</v>
      </c>
    </row>
    <row r="2893" spans="1:5" x14ac:dyDescent="0.2">
      <c r="A2893" s="5">
        <f t="shared" si="99"/>
        <v>7</v>
      </c>
      <c r="B2893" s="5">
        <f t="shared" si="100"/>
        <v>2024</v>
      </c>
      <c r="C2893" s="7">
        <v>45481</v>
      </c>
      <c r="D2893" s="8">
        <v>3.6896</v>
      </c>
      <c r="E2893" s="8">
        <v>3.5802</v>
      </c>
    </row>
    <row r="2894" spans="1:5" x14ac:dyDescent="0.2">
      <c r="A2894" s="5">
        <f t="shared" si="99"/>
        <v>7</v>
      </c>
      <c r="B2894" s="5">
        <f t="shared" si="100"/>
        <v>2024</v>
      </c>
      <c r="C2894" s="7">
        <v>45482</v>
      </c>
      <c r="D2894" s="8">
        <v>3.6907999999999999</v>
      </c>
      <c r="E2894" s="8">
        <v>3.5863</v>
      </c>
    </row>
    <row r="2895" spans="1:5" x14ac:dyDescent="0.2">
      <c r="A2895" s="5">
        <f t="shared" si="99"/>
        <v>7</v>
      </c>
      <c r="B2895" s="5">
        <f t="shared" si="100"/>
        <v>2024</v>
      </c>
      <c r="C2895" s="7">
        <v>45483</v>
      </c>
      <c r="D2895" s="8">
        <v>3.6425000000000001</v>
      </c>
      <c r="E2895" s="8">
        <v>3.6381999999999999</v>
      </c>
    </row>
    <row r="2896" spans="1:5" x14ac:dyDescent="0.2">
      <c r="A2896" s="5">
        <f t="shared" si="99"/>
        <v>7</v>
      </c>
      <c r="B2896" s="5">
        <f t="shared" si="100"/>
        <v>2024</v>
      </c>
      <c r="C2896" s="7">
        <v>45484</v>
      </c>
      <c r="D2896" s="8">
        <v>3.6535000000000002</v>
      </c>
      <c r="E2896" s="8">
        <v>3.6474000000000002</v>
      </c>
    </row>
    <row r="2897" spans="1:5" x14ac:dyDescent="0.2">
      <c r="A2897" s="5">
        <f t="shared" si="99"/>
        <v>7</v>
      </c>
      <c r="B2897" s="5">
        <f t="shared" si="100"/>
        <v>2024</v>
      </c>
      <c r="C2897" s="7">
        <v>45485</v>
      </c>
      <c r="D2897" s="8">
        <v>3.6796000000000002</v>
      </c>
      <c r="E2897" s="8">
        <v>3.6835</v>
      </c>
    </row>
    <row r="2898" spans="1:5" x14ac:dyDescent="0.2">
      <c r="A2898" s="5">
        <f t="shared" si="99"/>
        <v>7</v>
      </c>
      <c r="B2898" s="5">
        <f t="shared" si="100"/>
        <v>2024</v>
      </c>
      <c r="C2898" s="7">
        <v>45488</v>
      </c>
      <c r="D2898" s="8">
        <v>3.6833</v>
      </c>
      <c r="E2898" s="8">
        <v>3.6977000000000002</v>
      </c>
    </row>
    <row r="2899" spans="1:5" x14ac:dyDescent="0.2">
      <c r="A2899" s="5">
        <f t="shared" si="99"/>
        <v>7</v>
      </c>
      <c r="B2899" s="5">
        <f t="shared" si="100"/>
        <v>2024</v>
      </c>
      <c r="C2899" s="7">
        <v>45489</v>
      </c>
      <c r="D2899" s="8">
        <v>3.6869000000000001</v>
      </c>
      <c r="E2899" s="8">
        <v>3.7000999999999999</v>
      </c>
    </row>
    <row r="2900" spans="1:5" x14ac:dyDescent="0.2">
      <c r="A2900" s="5">
        <f t="shared" si="99"/>
        <v>7</v>
      </c>
      <c r="B2900" s="5">
        <f t="shared" si="100"/>
        <v>2024</v>
      </c>
      <c r="C2900" s="7">
        <v>45490</v>
      </c>
      <c r="D2900" s="8">
        <v>3.6991000000000001</v>
      </c>
      <c r="E2900" s="8">
        <v>3.7065000000000001</v>
      </c>
    </row>
    <row r="2901" spans="1:5" x14ac:dyDescent="0.2">
      <c r="A2901" s="5">
        <f t="shared" si="99"/>
        <v>7</v>
      </c>
      <c r="B2901" s="5">
        <f t="shared" si="100"/>
        <v>2024</v>
      </c>
      <c r="C2901" s="7">
        <v>45491</v>
      </c>
      <c r="D2901" s="8">
        <v>3.7094999999999998</v>
      </c>
      <c r="E2901" s="8">
        <v>3.7097000000000002</v>
      </c>
    </row>
    <row r="2902" spans="1:5" x14ac:dyDescent="0.2">
      <c r="A2902" s="5">
        <f t="shared" si="99"/>
        <v>7</v>
      </c>
      <c r="B2902" s="5">
        <f t="shared" si="100"/>
        <v>2024</v>
      </c>
      <c r="C2902" s="7">
        <v>45492</v>
      </c>
      <c r="D2902" s="8">
        <v>3.7618</v>
      </c>
      <c r="E2902" s="8">
        <v>3.738</v>
      </c>
    </row>
    <row r="2903" spans="1:5" x14ac:dyDescent="0.2">
      <c r="A2903" s="5">
        <f t="shared" si="99"/>
        <v>7</v>
      </c>
      <c r="B2903" s="5">
        <f t="shared" si="100"/>
        <v>2024</v>
      </c>
      <c r="C2903" s="7">
        <v>45495</v>
      </c>
      <c r="D2903" s="8">
        <v>3.7605</v>
      </c>
      <c r="E2903" s="8">
        <v>3.7263000000000002</v>
      </c>
    </row>
    <row r="2904" spans="1:5" x14ac:dyDescent="0.2">
      <c r="A2904" s="5">
        <f t="shared" si="99"/>
        <v>7</v>
      </c>
      <c r="B2904" s="5">
        <f t="shared" si="100"/>
        <v>2024</v>
      </c>
      <c r="C2904" s="7">
        <v>45496</v>
      </c>
      <c r="D2904" s="8">
        <v>3.7519999999999998</v>
      </c>
      <c r="E2904" s="8">
        <v>3.7259000000000002</v>
      </c>
    </row>
    <row r="2905" spans="1:5" x14ac:dyDescent="0.2">
      <c r="A2905" s="5">
        <f t="shared" si="99"/>
        <v>7</v>
      </c>
      <c r="B2905" s="5">
        <f t="shared" si="100"/>
        <v>2024</v>
      </c>
      <c r="C2905" s="7">
        <v>45497</v>
      </c>
      <c r="D2905" s="8">
        <v>3.7605</v>
      </c>
      <c r="E2905" s="8">
        <v>3.7302</v>
      </c>
    </row>
    <row r="2906" spans="1:5" x14ac:dyDescent="0.2">
      <c r="A2906" s="5">
        <f t="shared" si="99"/>
        <v>7</v>
      </c>
      <c r="B2906" s="5">
        <f t="shared" si="100"/>
        <v>2024</v>
      </c>
      <c r="C2906" s="7">
        <v>45498</v>
      </c>
      <c r="D2906" s="8">
        <v>3.7726000000000002</v>
      </c>
      <c r="E2906" s="8">
        <v>3.7315999999999998</v>
      </c>
    </row>
    <row r="2907" spans="1:5" x14ac:dyDescent="0.2">
      <c r="A2907" s="5">
        <f t="shared" si="99"/>
        <v>7</v>
      </c>
      <c r="B2907" s="5">
        <f t="shared" si="100"/>
        <v>2024</v>
      </c>
      <c r="C2907" s="7">
        <v>45499</v>
      </c>
      <c r="D2907" s="8">
        <v>3.8035999999999999</v>
      </c>
      <c r="E2907" s="8">
        <v>3.7248000000000001</v>
      </c>
    </row>
    <row r="2908" spans="1:5" x14ac:dyDescent="0.2">
      <c r="A2908" s="5">
        <f t="shared" si="99"/>
        <v>7</v>
      </c>
      <c r="B2908" s="5">
        <f t="shared" si="100"/>
        <v>2024</v>
      </c>
      <c r="C2908" s="7">
        <v>45502</v>
      </c>
      <c r="D2908" s="8">
        <v>3.8134999999999999</v>
      </c>
      <c r="E2908" s="8">
        <v>3.7158000000000002</v>
      </c>
    </row>
    <row r="2909" spans="1:5" x14ac:dyDescent="0.2">
      <c r="A2909" s="5">
        <f t="shared" si="99"/>
        <v>7</v>
      </c>
      <c r="B2909" s="5">
        <f t="shared" si="100"/>
        <v>2024</v>
      </c>
      <c r="C2909" s="7">
        <v>45503</v>
      </c>
      <c r="D2909" s="8">
        <v>3.8134999999999999</v>
      </c>
      <c r="E2909" s="8">
        <v>3.7109999999999999</v>
      </c>
    </row>
    <row r="2910" spans="1:5" x14ac:dyDescent="0.2">
      <c r="A2910" s="5">
        <f t="shared" si="99"/>
        <v>7</v>
      </c>
      <c r="B2910" s="5">
        <f t="shared" si="100"/>
        <v>2024</v>
      </c>
      <c r="C2910" s="7">
        <v>45504</v>
      </c>
      <c r="D2910" s="8">
        <v>3.8134999999999999</v>
      </c>
      <c r="E2910" s="8">
        <v>3.7088999999999999</v>
      </c>
    </row>
    <row r="2911" spans="1:5" x14ac:dyDescent="0.2">
      <c r="A2911" s="5">
        <f t="shared" si="99"/>
        <v>8</v>
      </c>
      <c r="B2911" s="5">
        <f t="shared" si="100"/>
        <v>2024</v>
      </c>
      <c r="C2911" s="7">
        <v>45505</v>
      </c>
      <c r="D2911" s="8">
        <v>3.8134999999999999</v>
      </c>
      <c r="E2911" s="8">
        <v>3.7054999999999998</v>
      </c>
    </row>
    <row r="2912" spans="1:5" x14ac:dyDescent="0.2">
      <c r="A2912" s="5">
        <f t="shared" si="99"/>
        <v>8</v>
      </c>
      <c r="B2912" s="5">
        <f t="shared" si="100"/>
        <v>2024</v>
      </c>
      <c r="C2912" s="7">
        <v>45506</v>
      </c>
      <c r="D2912" s="8">
        <v>3.8239999999999998</v>
      </c>
      <c r="E2912" s="8">
        <v>3.7235999999999998</v>
      </c>
    </row>
    <row r="2913" spans="1:5" x14ac:dyDescent="0.2">
      <c r="A2913" s="5">
        <f t="shared" si="99"/>
        <v>8</v>
      </c>
      <c r="B2913" s="5">
        <f t="shared" si="100"/>
        <v>2024</v>
      </c>
      <c r="C2913" s="7">
        <v>45509</v>
      </c>
      <c r="D2913" s="8">
        <v>3.8245</v>
      </c>
      <c r="E2913" s="8">
        <v>3.7223999999999999</v>
      </c>
    </row>
    <row r="2914" spans="1:5" x14ac:dyDescent="0.2">
      <c r="A2914" s="5">
        <f t="shared" si="99"/>
        <v>8</v>
      </c>
      <c r="B2914" s="5">
        <f t="shared" si="100"/>
        <v>2024</v>
      </c>
      <c r="C2914" s="7">
        <v>45510</v>
      </c>
      <c r="D2914" s="8">
        <v>3.8243</v>
      </c>
      <c r="E2914" s="8">
        <v>3.7132000000000001</v>
      </c>
    </row>
    <row r="2915" spans="1:5" x14ac:dyDescent="0.2">
      <c r="A2915" s="5">
        <f t="shared" si="99"/>
        <v>8</v>
      </c>
      <c r="B2915" s="5">
        <f t="shared" si="100"/>
        <v>2024</v>
      </c>
      <c r="C2915" s="7">
        <v>45511</v>
      </c>
      <c r="D2915" s="8">
        <v>3.8247</v>
      </c>
      <c r="E2915" s="8">
        <v>3.7109999999999999</v>
      </c>
    </row>
    <row r="2916" spans="1:5" x14ac:dyDescent="0.2">
      <c r="A2916" s="5">
        <f t="shared" si="99"/>
        <v>8</v>
      </c>
      <c r="B2916" s="5">
        <f t="shared" si="100"/>
        <v>2024</v>
      </c>
      <c r="C2916" s="7">
        <v>45512</v>
      </c>
      <c r="D2916" s="8">
        <v>3.8247</v>
      </c>
      <c r="E2916" s="8">
        <v>3.7109000000000001</v>
      </c>
    </row>
    <row r="2917" spans="1:5" x14ac:dyDescent="0.2">
      <c r="A2917" s="5">
        <f t="shared" si="99"/>
        <v>8</v>
      </c>
      <c r="B2917" s="5">
        <f t="shared" si="100"/>
        <v>2024</v>
      </c>
      <c r="C2917" s="7">
        <v>45513</v>
      </c>
      <c r="D2917" s="8">
        <v>3.7294999999999998</v>
      </c>
      <c r="E2917" s="8">
        <v>3.7284999999999999</v>
      </c>
    </row>
    <row r="2918" spans="1:5" x14ac:dyDescent="0.2">
      <c r="A2918" s="5">
        <f t="shared" si="99"/>
        <v>8</v>
      </c>
      <c r="B2918" s="5">
        <f t="shared" si="100"/>
        <v>2024</v>
      </c>
      <c r="C2918" s="7">
        <v>45516</v>
      </c>
      <c r="D2918" s="8">
        <v>3.7298</v>
      </c>
      <c r="E2918" s="8">
        <v>3.7416</v>
      </c>
    </row>
    <row r="2919" spans="1:5" x14ac:dyDescent="0.2">
      <c r="A2919" s="5">
        <f t="shared" si="99"/>
        <v>8</v>
      </c>
      <c r="B2919" s="5">
        <f t="shared" si="100"/>
        <v>2024</v>
      </c>
      <c r="C2919" s="7">
        <v>45517</v>
      </c>
      <c r="D2919" s="8">
        <v>3.7298</v>
      </c>
      <c r="E2919" s="8">
        <v>3.7494000000000001</v>
      </c>
    </row>
    <row r="2920" spans="1:5" x14ac:dyDescent="0.2">
      <c r="A2920" s="5">
        <f t="shared" si="99"/>
        <v>8</v>
      </c>
      <c r="B2920" s="5">
        <f t="shared" si="100"/>
        <v>2024</v>
      </c>
      <c r="C2920" s="7">
        <v>45518</v>
      </c>
      <c r="D2920" s="8">
        <v>3.7298</v>
      </c>
      <c r="E2920" s="8">
        <v>3.7587000000000002</v>
      </c>
    </row>
    <row r="2921" spans="1:5" x14ac:dyDescent="0.2">
      <c r="A2921" s="5">
        <f t="shared" si="99"/>
        <v>8</v>
      </c>
      <c r="B2921" s="5">
        <f t="shared" si="100"/>
        <v>2024</v>
      </c>
      <c r="C2921" s="7">
        <v>45519</v>
      </c>
      <c r="D2921" s="8">
        <v>3.7298</v>
      </c>
      <c r="E2921" s="8">
        <v>3.7629999999999999</v>
      </c>
    </row>
    <row r="2922" spans="1:5" x14ac:dyDescent="0.2">
      <c r="A2922" s="5">
        <f t="shared" si="99"/>
        <v>8</v>
      </c>
      <c r="B2922" s="5">
        <f t="shared" si="100"/>
        <v>2024</v>
      </c>
      <c r="C2922" s="7">
        <v>45520</v>
      </c>
      <c r="D2922" s="8">
        <v>3.7294999999999998</v>
      </c>
      <c r="E2922" s="8">
        <v>3.7345999999999999</v>
      </c>
    </row>
    <row r="2923" spans="1:5" x14ac:dyDescent="0.2">
      <c r="A2923" s="5">
        <f t="shared" si="99"/>
        <v>8</v>
      </c>
      <c r="B2923" s="5">
        <f t="shared" si="100"/>
        <v>2024</v>
      </c>
      <c r="C2923" s="7">
        <v>45523</v>
      </c>
      <c r="D2923" s="8">
        <v>3.7296999999999998</v>
      </c>
      <c r="E2923" s="8">
        <v>3.7482000000000002</v>
      </c>
    </row>
    <row r="2924" spans="1:5" x14ac:dyDescent="0.2">
      <c r="A2924" s="5">
        <f t="shared" si="99"/>
        <v>8</v>
      </c>
      <c r="B2924" s="5">
        <f t="shared" si="100"/>
        <v>2024</v>
      </c>
      <c r="C2924" s="7">
        <v>45524</v>
      </c>
      <c r="D2924" s="8">
        <v>3.7298</v>
      </c>
      <c r="E2924" s="8">
        <v>3.7637</v>
      </c>
    </row>
    <row r="2925" spans="1:5" x14ac:dyDescent="0.2">
      <c r="A2925" s="5">
        <f t="shared" si="99"/>
        <v>8</v>
      </c>
      <c r="B2925" s="5">
        <f t="shared" si="100"/>
        <v>2024</v>
      </c>
      <c r="C2925" s="7">
        <v>45525</v>
      </c>
      <c r="D2925" s="8">
        <v>3.7444999999999999</v>
      </c>
      <c r="E2925" s="8">
        <v>3.7934000000000001</v>
      </c>
    </row>
    <row r="2926" spans="1:5" x14ac:dyDescent="0.2">
      <c r="A2926" s="5">
        <f t="shared" si="99"/>
        <v>8</v>
      </c>
      <c r="B2926" s="5">
        <f t="shared" si="100"/>
        <v>2024</v>
      </c>
      <c r="C2926" s="7">
        <v>45526</v>
      </c>
      <c r="D2926" s="8">
        <v>3.7614999999999998</v>
      </c>
      <c r="E2926" s="8">
        <v>3.8127</v>
      </c>
    </row>
    <row r="2927" spans="1:5" x14ac:dyDescent="0.2">
      <c r="A2927" s="5">
        <f t="shared" si="99"/>
        <v>8</v>
      </c>
      <c r="B2927" s="5">
        <f t="shared" si="100"/>
        <v>2024</v>
      </c>
      <c r="C2927" s="7">
        <v>45527</v>
      </c>
      <c r="D2927" s="8">
        <v>3.7831999999999999</v>
      </c>
      <c r="E2927" s="8">
        <v>3.8338000000000001</v>
      </c>
    </row>
    <row r="2928" spans="1:5" x14ac:dyDescent="0.2">
      <c r="A2928" s="5">
        <f t="shared" si="99"/>
        <v>8</v>
      </c>
      <c r="B2928" s="5">
        <f t="shared" si="100"/>
        <v>2024</v>
      </c>
      <c r="C2928" s="7">
        <v>45530</v>
      </c>
      <c r="D2928" s="8">
        <v>3.7831999999999999</v>
      </c>
      <c r="E2928" s="8">
        <v>3.8504</v>
      </c>
    </row>
    <row r="2929" spans="1:5" x14ac:dyDescent="0.2">
      <c r="A2929" s="5">
        <f t="shared" si="99"/>
        <v>8</v>
      </c>
      <c r="B2929" s="5">
        <f t="shared" si="100"/>
        <v>2024</v>
      </c>
      <c r="C2929" s="7">
        <v>45531</v>
      </c>
      <c r="D2929" s="8">
        <v>3.7831999999999999</v>
      </c>
      <c r="E2929" s="8">
        <v>3.8538000000000001</v>
      </c>
    </row>
    <row r="2930" spans="1:5" x14ac:dyDescent="0.2">
      <c r="A2930" s="5">
        <f t="shared" si="99"/>
        <v>8</v>
      </c>
      <c r="B2930" s="5">
        <f t="shared" si="100"/>
        <v>2024</v>
      </c>
      <c r="C2930" s="7">
        <v>45532</v>
      </c>
      <c r="D2930" s="8">
        <v>3.7824</v>
      </c>
      <c r="E2930" s="8">
        <v>3.8532000000000002</v>
      </c>
    </row>
    <row r="2931" spans="1:5" x14ac:dyDescent="0.2">
      <c r="A2931" s="5">
        <f t="shared" si="99"/>
        <v>8</v>
      </c>
      <c r="B2931" s="5">
        <f t="shared" si="100"/>
        <v>2024</v>
      </c>
      <c r="C2931" s="7">
        <v>45533</v>
      </c>
      <c r="D2931" s="8">
        <v>3.7831999999999999</v>
      </c>
      <c r="E2931" s="8">
        <v>3.859</v>
      </c>
    </row>
    <row r="2932" spans="1:5" x14ac:dyDescent="0.2">
      <c r="A2932" s="5">
        <f t="shared" si="99"/>
        <v>8</v>
      </c>
      <c r="B2932" s="5">
        <f t="shared" si="100"/>
        <v>2024</v>
      </c>
      <c r="C2932" s="7">
        <v>45534</v>
      </c>
      <c r="D2932" s="8">
        <v>3.7719999999999998</v>
      </c>
      <c r="E2932" s="8">
        <v>3.8673000000000002</v>
      </c>
    </row>
    <row r="2933" spans="1:5" x14ac:dyDescent="0.2">
      <c r="A2933" s="5">
        <f t="shared" si="99"/>
        <v>9</v>
      </c>
      <c r="B2933" s="5">
        <f t="shared" si="100"/>
        <v>2024</v>
      </c>
      <c r="C2933" s="7">
        <v>45537</v>
      </c>
      <c r="D2933" s="8">
        <v>3.7890999999999999</v>
      </c>
      <c r="E2933" s="8">
        <v>3.8868999999999998</v>
      </c>
    </row>
    <row r="2934" spans="1:5" x14ac:dyDescent="0.2">
      <c r="A2934" s="5">
        <f t="shared" si="99"/>
        <v>9</v>
      </c>
      <c r="B2934" s="5">
        <f t="shared" si="100"/>
        <v>2024</v>
      </c>
      <c r="C2934" s="7">
        <v>45538</v>
      </c>
      <c r="D2934" s="8">
        <v>3.7976999999999999</v>
      </c>
      <c r="E2934" s="8">
        <v>3.8982999999999999</v>
      </c>
    </row>
    <row r="2935" spans="1:5" x14ac:dyDescent="0.2">
      <c r="A2935" s="5">
        <f t="shared" si="99"/>
        <v>9</v>
      </c>
      <c r="B2935" s="5">
        <f t="shared" si="100"/>
        <v>2024</v>
      </c>
      <c r="C2935" s="7">
        <v>45539</v>
      </c>
      <c r="D2935" s="8">
        <v>3.8050000000000002</v>
      </c>
      <c r="E2935" s="8">
        <v>3.9104000000000001</v>
      </c>
    </row>
    <row r="2936" spans="1:5" x14ac:dyDescent="0.2">
      <c r="A2936" s="5">
        <f t="shared" si="99"/>
        <v>9</v>
      </c>
      <c r="B2936" s="5">
        <f t="shared" si="100"/>
        <v>2024</v>
      </c>
      <c r="C2936" s="7">
        <v>45540</v>
      </c>
      <c r="D2936" s="8">
        <v>3.8050000000000002</v>
      </c>
      <c r="E2936" s="8">
        <v>3.9243999999999999</v>
      </c>
    </row>
    <row r="2937" spans="1:5" x14ac:dyDescent="0.2">
      <c r="A2937" s="5">
        <f t="shared" si="99"/>
        <v>9</v>
      </c>
      <c r="B2937" s="5">
        <f t="shared" si="100"/>
        <v>2024</v>
      </c>
      <c r="C2937" s="7">
        <v>45541</v>
      </c>
      <c r="D2937" s="8">
        <v>3.8317000000000001</v>
      </c>
      <c r="E2937" s="8">
        <v>3.9331</v>
      </c>
    </row>
    <row r="2938" spans="1:5" x14ac:dyDescent="0.2">
      <c r="A2938" s="5">
        <f t="shared" si="99"/>
        <v>9</v>
      </c>
      <c r="B2938" s="5">
        <f t="shared" si="100"/>
        <v>2024</v>
      </c>
      <c r="C2938" s="7">
        <v>45544</v>
      </c>
      <c r="D2938" s="8">
        <v>3.8372999999999999</v>
      </c>
      <c r="E2938" s="8">
        <v>3.9607000000000001</v>
      </c>
    </row>
    <row r="2939" spans="1:5" x14ac:dyDescent="0.2">
      <c r="A2939" s="5">
        <f t="shared" si="99"/>
        <v>9</v>
      </c>
      <c r="B2939" s="5">
        <f t="shared" si="100"/>
        <v>2024</v>
      </c>
      <c r="C2939" s="7">
        <v>45545</v>
      </c>
      <c r="D2939" s="8">
        <v>3.9759000000000002</v>
      </c>
      <c r="E2939" s="8">
        <v>3.9754</v>
      </c>
    </row>
    <row r="2940" spans="1:5" x14ac:dyDescent="0.2">
      <c r="A2940" s="5">
        <f t="shared" si="99"/>
        <v>9</v>
      </c>
      <c r="B2940" s="5">
        <f t="shared" si="100"/>
        <v>2024</v>
      </c>
      <c r="C2940" s="7">
        <v>45546</v>
      </c>
      <c r="D2940" s="8">
        <v>3.9759000000000002</v>
      </c>
      <c r="E2940" s="8">
        <v>3.9731000000000001</v>
      </c>
    </row>
    <row r="2941" spans="1:5" x14ac:dyDescent="0.2">
      <c r="A2941" s="5">
        <f t="shared" si="99"/>
        <v>9</v>
      </c>
      <c r="B2941" s="5">
        <f t="shared" si="100"/>
        <v>2024</v>
      </c>
      <c r="C2941" s="7">
        <v>45547</v>
      </c>
      <c r="D2941" s="8">
        <v>4.0415999999999999</v>
      </c>
      <c r="E2941" s="8">
        <v>4.0218999999999996</v>
      </c>
    </row>
    <row r="2942" spans="1:5" x14ac:dyDescent="0.2">
      <c r="A2942" s="5">
        <f t="shared" si="99"/>
        <v>9</v>
      </c>
      <c r="B2942" s="5">
        <f t="shared" si="100"/>
        <v>2024</v>
      </c>
      <c r="C2942" s="7">
        <v>45548</v>
      </c>
      <c r="D2942" s="8">
        <v>4.0831</v>
      </c>
      <c r="E2942" s="8">
        <v>4.0458999999999996</v>
      </c>
    </row>
    <row r="2943" spans="1:5" x14ac:dyDescent="0.2">
      <c r="A2943" s="5">
        <f t="shared" si="99"/>
        <v>9</v>
      </c>
      <c r="B2943" s="5">
        <f t="shared" si="100"/>
        <v>2024</v>
      </c>
      <c r="C2943" s="7">
        <v>45551</v>
      </c>
      <c r="D2943" s="8">
        <v>4.0979000000000001</v>
      </c>
      <c r="E2943" s="8">
        <v>4.0376000000000003</v>
      </c>
    </row>
    <row r="2944" spans="1:5" x14ac:dyDescent="0.2">
      <c r="A2944" s="5">
        <f t="shared" si="99"/>
        <v>9</v>
      </c>
      <c r="B2944" s="5">
        <f t="shared" si="100"/>
        <v>2024</v>
      </c>
      <c r="C2944" s="7">
        <v>45552</v>
      </c>
      <c r="D2944" s="8">
        <v>4.1120999999999999</v>
      </c>
      <c r="E2944" s="8">
        <v>4.0373000000000001</v>
      </c>
    </row>
    <row r="2945" spans="1:5" x14ac:dyDescent="0.2">
      <c r="A2945" s="5">
        <f t="shared" si="99"/>
        <v>9</v>
      </c>
      <c r="B2945" s="5">
        <f t="shared" si="100"/>
        <v>2024</v>
      </c>
      <c r="C2945" s="7">
        <v>45553</v>
      </c>
      <c r="D2945" s="8">
        <v>4.1060999999999996</v>
      </c>
      <c r="E2945" s="8">
        <v>4.0376000000000003</v>
      </c>
    </row>
    <row r="2946" spans="1:5" x14ac:dyDescent="0.2">
      <c r="A2946" s="5">
        <f t="shared" si="99"/>
        <v>9</v>
      </c>
      <c r="B2946" s="5">
        <f t="shared" si="100"/>
        <v>2024</v>
      </c>
      <c r="C2946" s="7">
        <v>45554</v>
      </c>
      <c r="D2946" s="8">
        <v>4.0990000000000002</v>
      </c>
      <c r="E2946" s="8">
        <v>4.0425000000000004</v>
      </c>
    </row>
    <row r="2947" spans="1:5" x14ac:dyDescent="0.2">
      <c r="A2947" s="5">
        <f t="shared" si="99"/>
        <v>9</v>
      </c>
      <c r="B2947" s="5">
        <f t="shared" si="100"/>
        <v>2024</v>
      </c>
      <c r="C2947" s="7">
        <v>45555</v>
      </c>
      <c r="D2947" s="8">
        <v>4.1440999999999999</v>
      </c>
      <c r="E2947" s="8">
        <v>4.0388000000000002</v>
      </c>
    </row>
    <row r="2948" spans="1:5" x14ac:dyDescent="0.2">
      <c r="A2948" s="5">
        <f t="shared" ref="A2948:A3011" si="101">MONTH(C2948)</f>
        <v>9</v>
      </c>
      <c r="B2948" s="5">
        <f t="shared" ref="B2948:B3011" si="102">YEAR(C2948)</f>
        <v>2024</v>
      </c>
      <c r="C2948" s="7">
        <v>45558</v>
      </c>
      <c r="D2948" s="8">
        <v>4.1444000000000001</v>
      </c>
      <c r="E2948" s="8">
        <v>4.0068999999999999</v>
      </c>
    </row>
    <row r="2949" spans="1:5" x14ac:dyDescent="0.2">
      <c r="A2949" s="5">
        <f t="shared" si="101"/>
        <v>9</v>
      </c>
      <c r="B2949" s="5">
        <f t="shared" si="102"/>
        <v>2024</v>
      </c>
      <c r="C2949" s="7">
        <v>45559</v>
      </c>
      <c r="D2949" s="8">
        <v>4.1292</v>
      </c>
      <c r="E2949" s="8">
        <v>3.9904999999999999</v>
      </c>
    </row>
    <row r="2950" spans="1:5" x14ac:dyDescent="0.2">
      <c r="A2950" s="5">
        <f t="shared" si="101"/>
        <v>9</v>
      </c>
      <c r="B2950" s="5">
        <f t="shared" si="102"/>
        <v>2024</v>
      </c>
      <c r="C2950" s="7">
        <v>45560</v>
      </c>
      <c r="D2950" s="8">
        <v>4.1142000000000003</v>
      </c>
      <c r="E2950" s="8">
        <v>3.9805000000000001</v>
      </c>
    </row>
    <row r="2951" spans="1:5" x14ac:dyDescent="0.2">
      <c r="A2951" s="5">
        <f t="shared" si="101"/>
        <v>9</v>
      </c>
      <c r="B2951" s="5">
        <f t="shared" si="102"/>
        <v>2024</v>
      </c>
      <c r="C2951" s="7">
        <v>45561</v>
      </c>
      <c r="D2951" s="8">
        <v>4.1440999999999999</v>
      </c>
      <c r="E2951" s="8">
        <v>3.9794999999999998</v>
      </c>
    </row>
    <row r="2952" spans="1:5" x14ac:dyDescent="0.2">
      <c r="A2952" s="5">
        <f t="shared" si="101"/>
        <v>9</v>
      </c>
      <c r="B2952" s="5">
        <f t="shared" si="102"/>
        <v>2024</v>
      </c>
      <c r="C2952" s="7">
        <v>45562</v>
      </c>
      <c r="D2952" s="8">
        <v>4.1148999999999996</v>
      </c>
      <c r="E2952" s="8">
        <v>3.9676999999999998</v>
      </c>
    </row>
    <row r="2953" spans="1:5" x14ac:dyDescent="0.2">
      <c r="A2953" s="5">
        <f t="shared" si="101"/>
        <v>9</v>
      </c>
      <c r="B2953" s="5">
        <f t="shared" si="102"/>
        <v>2024</v>
      </c>
      <c r="C2953" s="7">
        <v>45565</v>
      </c>
      <c r="D2953" s="8">
        <v>4.1348000000000003</v>
      </c>
      <c r="E2953" s="8">
        <v>3.9481000000000002</v>
      </c>
    </row>
    <row r="2954" spans="1:5" x14ac:dyDescent="0.2">
      <c r="A2954" s="5">
        <f t="shared" si="101"/>
        <v>10</v>
      </c>
      <c r="B2954" s="5">
        <f t="shared" si="102"/>
        <v>2024</v>
      </c>
      <c r="C2954" s="7">
        <v>45566</v>
      </c>
      <c r="D2954" s="8">
        <v>4.1148999999999996</v>
      </c>
      <c r="E2954" s="8">
        <v>3.9401999999999999</v>
      </c>
    </row>
    <row r="2955" spans="1:5" x14ac:dyDescent="0.2">
      <c r="A2955" s="5">
        <f t="shared" si="101"/>
        <v>10</v>
      </c>
      <c r="B2955" s="5">
        <f t="shared" si="102"/>
        <v>2024</v>
      </c>
      <c r="C2955" s="7">
        <v>45567</v>
      </c>
      <c r="D2955" s="8">
        <v>4.1148999999999996</v>
      </c>
      <c r="E2955" s="8">
        <v>3.9323999999999999</v>
      </c>
    </row>
    <row r="2956" spans="1:5" x14ac:dyDescent="0.2">
      <c r="A2956" s="5">
        <f t="shared" si="101"/>
        <v>10</v>
      </c>
      <c r="B2956" s="5">
        <f t="shared" si="102"/>
        <v>2024</v>
      </c>
      <c r="C2956" s="7">
        <v>45568</v>
      </c>
      <c r="D2956" s="8">
        <v>4.1444000000000001</v>
      </c>
      <c r="E2956" s="8">
        <v>3.9243999999999999</v>
      </c>
    </row>
    <row r="2957" spans="1:5" x14ac:dyDescent="0.2">
      <c r="A2957" s="5">
        <f t="shared" si="101"/>
        <v>10</v>
      </c>
      <c r="B2957" s="5">
        <f t="shared" si="102"/>
        <v>2024</v>
      </c>
      <c r="C2957" s="7">
        <v>45569</v>
      </c>
      <c r="D2957" s="8">
        <v>4.1445999999999996</v>
      </c>
      <c r="E2957" s="8">
        <v>3.9226999999999999</v>
      </c>
    </row>
    <row r="2958" spans="1:5" x14ac:dyDescent="0.2">
      <c r="A2958" s="5">
        <f t="shared" si="101"/>
        <v>10</v>
      </c>
      <c r="B2958" s="5">
        <f t="shared" si="102"/>
        <v>2024</v>
      </c>
      <c r="C2958" s="7">
        <v>45572</v>
      </c>
      <c r="D2958" s="8">
        <v>4.1440999999999999</v>
      </c>
      <c r="E2958" s="8">
        <v>3.9049</v>
      </c>
    </row>
    <row r="2959" spans="1:5" x14ac:dyDescent="0.2">
      <c r="A2959" s="5">
        <f t="shared" si="101"/>
        <v>10</v>
      </c>
      <c r="B2959" s="5">
        <f t="shared" si="102"/>
        <v>2024</v>
      </c>
      <c r="C2959" s="7">
        <v>45573</v>
      </c>
      <c r="D2959" s="8">
        <v>4.1440999999999999</v>
      </c>
      <c r="E2959" s="8">
        <v>3.8969</v>
      </c>
    </row>
    <row r="2960" spans="1:5" x14ac:dyDescent="0.2">
      <c r="A2960" s="5">
        <f t="shared" si="101"/>
        <v>10</v>
      </c>
      <c r="B2960" s="5">
        <f t="shared" si="102"/>
        <v>2024</v>
      </c>
      <c r="C2960" s="7">
        <v>45574</v>
      </c>
      <c r="D2960" s="8">
        <v>3.9060999999999999</v>
      </c>
      <c r="E2960" s="8">
        <v>3.9066999999999998</v>
      </c>
    </row>
    <row r="2961" spans="1:5" x14ac:dyDescent="0.2">
      <c r="A2961" s="5">
        <f t="shared" si="101"/>
        <v>10</v>
      </c>
      <c r="B2961" s="5">
        <f t="shared" si="102"/>
        <v>2024</v>
      </c>
      <c r="C2961" s="7">
        <v>45575</v>
      </c>
      <c r="D2961" s="8">
        <v>3.9485999999999999</v>
      </c>
      <c r="E2961" s="8">
        <v>3.9451000000000001</v>
      </c>
    </row>
    <row r="2962" spans="1:5" x14ac:dyDescent="0.2">
      <c r="A2962" s="5">
        <f t="shared" si="101"/>
        <v>10</v>
      </c>
      <c r="B2962" s="5">
        <f t="shared" si="102"/>
        <v>2024</v>
      </c>
      <c r="C2962" s="7">
        <v>45576</v>
      </c>
      <c r="D2962" s="8">
        <v>3.9645000000000001</v>
      </c>
      <c r="E2962" s="8">
        <v>3.9569000000000001</v>
      </c>
    </row>
    <row r="2963" spans="1:5" x14ac:dyDescent="0.2">
      <c r="A2963" s="5">
        <f t="shared" si="101"/>
        <v>10</v>
      </c>
      <c r="B2963" s="5">
        <f t="shared" si="102"/>
        <v>2024</v>
      </c>
      <c r="C2963" s="7">
        <v>45579</v>
      </c>
      <c r="D2963" s="8">
        <v>3.9491999999999998</v>
      </c>
      <c r="E2963" s="8">
        <v>3.94</v>
      </c>
    </row>
    <row r="2964" spans="1:5" x14ac:dyDescent="0.2">
      <c r="A2964" s="5">
        <f t="shared" si="101"/>
        <v>10</v>
      </c>
      <c r="B2964" s="5">
        <f t="shared" si="102"/>
        <v>2024</v>
      </c>
      <c r="C2964" s="7">
        <v>45580</v>
      </c>
      <c r="D2964" s="8">
        <v>3.9691999999999998</v>
      </c>
      <c r="E2964" s="8">
        <v>3.9457</v>
      </c>
    </row>
    <row r="2965" spans="1:5" x14ac:dyDescent="0.2">
      <c r="A2965" s="5">
        <f t="shared" si="101"/>
        <v>10</v>
      </c>
      <c r="B2965" s="5">
        <f t="shared" si="102"/>
        <v>2024</v>
      </c>
      <c r="C2965" s="7">
        <v>45581</v>
      </c>
      <c r="D2965" s="8">
        <v>3.9790999999999999</v>
      </c>
      <c r="E2965" s="8">
        <v>3.9508999999999999</v>
      </c>
    </row>
    <row r="2966" spans="1:5" x14ac:dyDescent="0.2">
      <c r="A2966" s="5">
        <f t="shared" si="101"/>
        <v>10</v>
      </c>
      <c r="B2966" s="5">
        <f t="shared" si="102"/>
        <v>2024</v>
      </c>
      <c r="C2966" s="7">
        <v>45582</v>
      </c>
      <c r="D2966" s="8">
        <v>3.9885000000000002</v>
      </c>
      <c r="E2966" s="8">
        <v>3.9626999999999999</v>
      </c>
    </row>
    <row r="2967" spans="1:5" x14ac:dyDescent="0.2">
      <c r="A2967" s="5">
        <f t="shared" si="101"/>
        <v>10</v>
      </c>
      <c r="B2967" s="5">
        <f t="shared" si="102"/>
        <v>2024</v>
      </c>
      <c r="C2967" s="7">
        <v>45583</v>
      </c>
      <c r="D2967" s="8">
        <v>4.0559000000000003</v>
      </c>
      <c r="E2967" s="8">
        <v>4.0084</v>
      </c>
    </row>
    <row r="2968" spans="1:5" x14ac:dyDescent="0.2">
      <c r="A2968" s="5">
        <f t="shared" si="101"/>
        <v>10</v>
      </c>
      <c r="B2968" s="5">
        <f t="shared" si="102"/>
        <v>2024</v>
      </c>
      <c r="C2968" s="7">
        <v>45586</v>
      </c>
      <c r="D2968" s="8">
        <v>4.0933000000000002</v>
      </c>
      <c r="E2968" s="8">
        <v>4.0393999999999997</v>
      </c>
    </row>
    <row r="2969" spans="1:5" x14ac:dyDescent="0.2">
      <c r="A2969" s="5">
        <f t="shared" si="101"/>
        <v>10</v>
      </c>
      <c r="B2969" s="5">
        <f t="shared" si="102"/>
        <v>2024</v>
      </c>
      <c r="C2969" s="7">
        <v>45587</v>
      </c>
      <c r="D2969" s="8">
        <v>4.0987999999999998</v>
      </c>
      <c r="E2969" s="8">
        <v>4.0385</v>
      </c>
    </row>
    <row r="2970" spans="1:5" x14ac:dyDescent="0.2">
      <c r="A2970" s="5">
        <f t="shared" si="101"/>
        <v>10</v>
      </c>
      <c r="B2970" s="5">
        <f t="shared" si="102"/>
        <v>2024</v>
      </c>
      <c r="C2970" s="7">
        <v>45588</v>
      </c>
      <c r="D2970" s="8">
        <v>4.0999999999999996</v>
      </c>
      <c r="E2970" s="8">
        <v>4.0312000000000001</v>
      </c>
    </row>
    <row r="2971" spans="1:5" x14ac:dyDescent="0.2">
      <c r="A2971" s="5">
        <f t="shared" si="101"/>
        <v>10</v>
      </c>
      <c r="B2971" s="5">
        <f t="shared" si="102"/>
        <v>2024</v>
      </c>
      <c r="C2971" s="7">
        <v>45589</v>
      </c>
      <c r="D2971" s="8">
        <v>4.1353999999999997</v>
      </c>
      <c r="E2971" s="8">
        <v>4.0484999999999998</v>
      </c>
    </row>
    <row r="2972" spans="1:5" x14ac:dyDescent="0.2">
      <c r="A2972" s="5">
        <f t="shared" si="101"/>
        <v>10</v>
      </c>
      <c r="B2972" s="5">
        <f t="shared" si="102"/>
        <v>2024</v>
      </c>
      <c r="C2972" s="7">
        <v>45590</v>
      </c>
      <c r="D2972" s="8">
        <v>4.1406000000000001</v>
      </c>
      <c r="E2972" s="8">
        <v>4.0435999999999996</v>
      </c>
    </row>
    <row r="2973" spans="1:5" x14ac:dyDescent="0.2">
      <c r="A2973" s="5">
        <f t="shared" si="101"/>
        <v>10</v>
      </c>
      <c r="B2973" s="5">
        <f t="shared" si="102"/>
        <v>2024</v>
      </c>
      <c r="C2973" s="7">
        <v>45593</v>
      </c>
      <c r="D2973" s="8">
        <v>4.149</v>
      </c>
      <c r="E2973" s="8">
        <v>4.0263999999999998</v>
      </c>
    </row>
    <row r="2974" spans="1:5" x14ac:dyDescent="0.2">
      <c r="A2974" s="5">
        <f t="shared" si="101"/>
        <v>10</v>
      </c>
      <c r="B2974" s="5">
        <f t="shared" si="102"/>
        <v>2024</v>
      </c>
      <c r="C2974" s="7">
        <v>45594</v>
      </c>
      <c r="D2974" s="8">
        <v>4.149</v>
      </c>
      <c r="E2974" s="8">
        <v>4.0195999999999996</v>
      </c>
    </row>
    <row r="2975" spans="1:5" x14ac:dyDescent="0.2">
      <c r="A2975" s="5">
        <f t="shared" si="101"/>
        <v>10</v>
      </c>
      <c r="B2975" s="5">
        <f t="shared" si="102"/>
        <v>2024</v>
      </c>
      <c r="C2975" s="7">
        <v>45595</v>
      </c>
      <c r="D2975" s="8">
        <v>4.1614000000000004</v>
      </c>
      <c r="E2975" s="8">
        <v>4.0129000000000001</v>
      </c>
    </row>
    <row r="2976" spans="1:5" x14ac:dyDescent="0.2">
      <c r="A2976" s="5">
        <f t="shared" si="101"/>
        <v>10</v>
      </c>
      <c r="B2976" s="5">
        <f t="shared" si="102"/>
        <v>2024</v>
      </c>
      <c r="C2976" s="7">
        <v>45596</v>
      </c>
      <c r="D2976" s="8">
        <v>4.1666999999999996</v>
      </c>
      <c r="E2976" s="8">
        <v>4.0083000000000002</v>
      </c>
    </row>
    <row r="2977" spans="1:5" x14ac:dyDescent="0.2">
      <c r="A2977" s="5">
        <f t="shared" si="101"/>
        <v>11</v>
      </c>
      <c r="B2977" s="5">
        <f t="shared" si="102"/>
        <v>2024</v>
      </c>
      <c r="C2977" s="7">
        <v>45597</v>
      </c>
      <c r="D2977" s="8">
        <v>4.2691999999999997</v>
      </c>
      <c r="E2977" s="8">
        <v>4.0808999999999997</v>
      </c>
    </row>
    <row r="2978" spans="1:5" x14ac:dyDescent="0.2">
      <c r="A2978" s="5">
        <f t="shared" si="101"/>
        <v>11</v>
      </c>
      <c r="B2978" s="5">
        <f t="shared" si="102"/>
        <v>2024</v>
      </c>
      <c r="C2978" s="7">
        <v>45600</v>
      </c>
      <c r="D2978" s="8">
        <v>4.2691999999999997</v>
      </c>
      <c r="E2978" s="8">
        <v>4.0674000000000001</v>
      </c>
    </row>
    <row r="2979" spans="1:5" x14ac:dyDescent="0.2">
      <c r="A2979" s="5">
        <f t="shared" si="101"/>
        <v>11</v>
      </c>
      <c r="B2979" s="5">
        <f t="shared" si="102"/>
        <v>2024</v>
      </c>
      <c r="C2979" s="7">
        <v>45601</v>
      </c>
      <c r="D2979" s="8">
        <v>4.2691999999999997</v>
      </c>
      <c r="E2979" s="8">
        <v>4.0650000000000004</v>
      </c>
    </row>
    <row r="2980" spans="1:5" x14ac:dyDescent="0.2">
      <c r="A2980" s="5">
        <f t="shared" si="101"/>
        <v>11</v>
      </c>
      <c r="B2980" s="5">
        <f t="shared" si="102"/>
        <v>2024</v>
      </c>
      <c r="C2980" s="7">
        <v>45602</v>
      </c>
      <c r="D2980" s="8">
        <v>4.2691999999999997</v>
      </c>
      <c r="E2980" s="8">
        <v>4.0545999999999998</v>
      </c>
    </row>
    <row r="2981" spans="1:5" x14ac:dyDescent="0.2">
      <c r="A2981" s="5">
        <f t="shared" si="101"/>
        <v>11</v>
      </c>
      <c r="B2981" s="5">
        <f t="shared" si="102"/>
        <v>2024</v>
      </c>
      <c r="C2981" s="7">
        <v>45603</v>
      </c>
      <c r="D2981" s="8">
        <v>4.2690000000000001</v>
      </c>
      <c r="E2981" s="8">
        <v>4.0419999999999998</v>
      </c>
    </row>
    <row r="2982" spans="1:5" x14ac:dyDescent="0.2">
      <c r="A2982" s="5">
        <f t="shared" si="101"/>
        <v>11</v>
      </c>
      <c r="B2982" s="5">
        <f t="shared" si="102"/>
        <v>2024</v>
      </c>
      <c r="C2982" s="7">
        <v>45604</v>
      </c>
      <c r="D2982" s="8">
        <v>4.0926</v>
      </c>
      <c r="E2982" s="8">
        <v>4.0888</v>
      </c>
    </row>
    <row r="2983" spans="1:5" x14ac:dyDescent="0.2">
      <c r="A2983" s="5">
        <f t="shared" si="101"/>
        <v>11</v>
      </c>
      <c r="B2983" s="5">
        <f t="shared" si="102"/>
        <v>2024</v>
      </c>
      <c r="C2983" s="7">
        <v>45607</v>
      </c>
      <c r="D2983" s="8">
        <v>4.0928000000000004</v>
      </c>
      <c r="E2983" s="8">
        <v>4.0972999999999997</v>
      </c>
    </row>
    <row r="2984" spans="1:5" x14ac:dyDescent="0.2">
      <c r="A2984" s="5">
        <f t="shared" si="101"/>
        <v>11</v>
      </c>
      <c r="B2984" s="5">
        <f t="shared" si="102"/>
        <v>2024</v>
      </c>
      <c r="C2984" s="7">
        <v>45608</v>
      </c>
      <c r="D2984" s="8">
        <v>4.0978000000000003</v>
      </c>
      <c r="E2984" s="8">
        <v>4.1040000000000001</v>
      </c>
    </row>
    <row r="2985" spans="1:5" x14ac:dyDescent="0.2">
      <c r="A2985" s="5">
        <f t="shared" si="101"/>
        <v>11</v>
      </c>
      <c r="B2985" s="5">
        <f t="shared" si="102"/>
        <v>2024</v>
      </c>
      <c r="C2985" s="7">
        <v>45609</v>
      </c>
      <c r="D2985" s="8">
        <v>4.1037999999999997</v>
      </c>
      <c r="E2985" s="8">
        <v>4.1186999999999996</v>
      </c>
    </row>
    <row r="2986" spans="1:5" x14ac:dyDescent="0.2">
      <c r="A2986" s="5">
        <f t="shared" si="101"/>
        <v>11</v>
      </c>
      <c r="B2986" s="5">
        <f t="shared" si="102"/>
        <v>2024</v>
      </c>
      <c r="C2986" s="7">
        <v>45610</v>
      </c>
      <c r="D2986" s="8">
        <v>4.1134000000000004</v>
      </c>
      <c r="E2986" s="8">
        <v>4.1351000000000004</v>
      </c>
    </row>
    <row r="2987" spans="1:5" x14ac:dyDescent="0.2">
      <c r="A2987" s="5">
        <f t="shared" si="101"/>
        <v>11</v>
      </c>
      <c r="B2987" s="5">
        <f t="shared" si="102"/>
        <v>2024</v>
      </c>
      <c r="C2987" s="7">
        <v>45614</v>
      </c>
      <c r="D2987" s="8">
        <v>4.1208999999999998</v>
      </c>
      <c r="E2987" s="8">
        <v>4.1769999999999996</v>
      </c>
    </row>
    <row r="2988" spans="1:5" x14ac:dyDescent="0.2">
      <c r="A2988" s="5">
        <f t="shared" si="101"/>
        <v>11</v>
      </c>
      <c r="B2988" s="5">
        <f t="shared" si="102"/>
        <v>2024</v>
      </c>
      <c r="C2988" s="7">
        <v>45615</v>
      </c>
      <c r="D2988" s="8">
        <v>4.1448</v>
      </c>
      <c r="E2988" s="8">
        <v>4.1816000000000004</v>
      </c>
    </row>
    <row r="2989" spans="1:5" x14ac:dyDescent="0.2">
      <c r="A2989" s="5">
        <f t="shared" si="101"/>
        <v>11</v>
      </c>
      <c r="B2989" s="5">
        <f t="shared" si="102"/>
        <v>2024</v>
      </c>
      <c r="C2989" s="7">
        <v>45617</v>
      </c>
      <c r="D2989" s="8">
        <v>4.1660000000000004</v>
      </c>
      <c r="E2989" s="8">
        <v>4.2023999999999999</v>
      </c>
    </row>
    <row r="2990" spans="1:5" x14ac:dyDescent="0.2">
      <c r="A2990" s="5">
        <f t="shared" si="101"/>
        <v>11</v>
      </c>
      <c r="B2990" s="5">
        <f t="shared" si="102"/>
        <v>2024</v>
      </c>
      <c r="C2990" s="7">
        <v>45618</v>
      </c>
      <c r="D2990" s="8">
        <v>4.3334000000000001</v>
      </c>
      <c r="E2990" s="8">
        <v>4.3590999999999998</v>
      </c>
    </row>
    <row r="2991" spans="1:5" x14ac:dyDescent="0.2">
      <c r="A2991" s="5">
        <f t="shared" si="101"/>
        <v>11</v>
      </c>
      <c r="B2991" s="5">
        <f t="shared" si="102"/>
        <v>2024</v>
      </c>
      <c r="C2991" s="7">
        <v>45621</v>
      </c>
      <c r="D2991" s="8">
        <v>4.3224</v>
      </c>
      <c r="E2991" s="8">
        <v>4.3544</v>
      </c>
    </row>
    <row r="2992" spans="1:5" x14ac:dyDescent="0.2">
      <c r="A2992" s="5">
        <f t="shared" si="101"/>
        <v>11</v>
      </c>
      <c r="B2992" s="5">
        <f t="shared" si="102"/>
        <v>2024</v>
      </c>
      <c r="C2992" s="7">
        <v>45622</v>
      </c>
      <c r="D2992" s="8">
        <v>4.3384999999999998</v>
      </c>
      <c r="E2992" s="8">
        <v>4.3635999999999999</v>
      </c>
    </row>
    <row r="2993" spans="1:5" x14ac:dyDescent="0.2">
      <c r="A2993" s="5">
        <f t="shared" si="101"/>
        <v>11</v>
      </c>
      <c r="B2993" s="5">
        <f t="shared" si="102"/>
        <v>2024</v>
      </c>
      <c r="C2993" s="7">
        <v>45623</v>
      </c>
      <c r="D2993" s="8">
        <v>4.359</v>
      </c>
      <c r="E2993" s="8">
        <v>4.3780000000000001</v>
      </c>
    </row>
    <row r="2994" spans="1:5" x14ac:dyDescent="0.2">
      <c r="A2994" s="5">
        <f t="shared" si="101"/>
        <v>11</v>
      </c>
      <c r="B2994" s="5">
        <f t="shared" si="102"/>
        <v>2024</v>
      </c>
      <c r="C2994" s="7">
        <v>45624</v>
      </c>
      <c r="D2994" s="8">
        <v>4.3630000000000004</v>
      </c>
      <c r="E2994" s="8">
        <v>4.3971999999999998</v>
      </c>
    </row>
    <row r="2995" spans="1:5" x14ac:dyDescent="0.2">
      <c r="A2995" s="5">
        <f t="shared" si="101"/>
        <v>11</v>
      </c>
      <c r="B2995" s="5">
        <f t="shared" si="102"/>
        <v>2024</v>
      </c>
      <c r="C2995" s="7">
        <v>45625</v>
      </c>
      <c r="D2995" s="8">
        <v>4.3846999999999996</v>
      </c>
      <c r="E2995" s="8">
        <v>4.4081999999999999</v>
      </c>
    </row>
    <row r="2996" spans="1:5" x14ac:dyDescent="0.2">
      <c r="A2996" s="5">
        <f t="shared" si="101"/>
        <v>12</v>
      </c>
      <c r="B2996" s="5">
        <f t="shared" si="102"/>
        <v>2024</v>
      </c>
      <c r="C2996" s="7">
        <v>45628</v>
      </c>
      <c r="D2996" s="8">
        <v>4.4065000000000003</v>
      </c>
      <c r="E2996" s="8">
        <v>4.4271000000000003</v>
      </c>
    </row>
    <row r="2997" spans="1:5" x14ac:dyDescent="0.2">
      <c r="A2997" s="5">
        <f t="shared" si="101"/>
        <v>12</v>
      </c>
      <c r="B2997" s="5">
        <f t="shared" si="102"/>
        <v>2024</v>
      </c>
      <c r="C2997" s="7">
        <v>45629</v>
      </c>
      <c r="D2997" s="8">
        <v>4.4137000000000004</v>
      </c>
      <c r="E2997" s="8">
        <v>4.4401999999999999</v>
      </c>
    </row>
    <row r="2998" spans="1:5" x14ac:dyDescent="0.2">
      <c r="A2998" s="5">
        <f t="shared" si="101"/>
        <v>12</v>
      </c>
      <c r="B2998" s="5">
        <f t="shared" si="102"/>
        <v>2024</v>
      </c>
      <c r="C2998" s="7">
        <v>45630</v>
      </c>
      <c r="D2998" s="8">
        <v>4.4261999999999997</v>
      </c>
      <c r="E2998" s="8">
        <v>4.4505999999999997</v>
      </c>
    </row>
    <row r="2999" spans="1:5" x14ac:dyDescent="0.2">
      <c r="A2999" s="5">
        <f t="shared" si="101"/>
        <v>12</v>
      </c>
      <c r="B2999" s="5">
        <f t="shared" si="102"/>
        <v>2024</v>
      </c>
      <c r="C2999" s="7">
        <v>45631</v>
      </c>
      <c r="D2999" s="8">
        <v>4.4859999999999998</v>
      </c>
      <c r="E2999" s="8">
        <v>4.4821999999999997</v>
      </c>
    </row>
    <row r="3000" spans="1:5" x14ac:dyDescent="0.2">
      <c r="A3000" s="5">
        <f t="shared" si="101"/>
        <v>12</v>
      </c>
      <c r="B3000" s="5">
        <f t="shared" si="102"/>
        <v>2024</v>
      </c>
      <c r="C3000" s="7">
        <v>45632</v>
      </c>
      <c r="D3000" s="8">
        <v>4.6704999999999997</v>
      </c>
      <c r="E3000" s="8">
        <v>4.6429999999999998</v>
      </c>
    </row>
    <row r="3001" spans="1:5" x14ac:dyDescent="0.2">
      <c r="A3001" s="5">
        <f t="shared" si="101"/>
        <v>12</v>
      </c>
      <c r="B3001" s="5">
        <f t="shared" si="102"/>
        <v>2024</v>
      </c>
      <c r="C3001" s="7">
        <v>45635</v>
      </c>
      <c r="D3001" s="8">
        <v>4.7072000000000003</v>
      </c>
      <c r="E3001" s="8">
        <v>4.6593999999999998</v>
      </c>
    </row>
    <row r="3002" spans="1:5" x14ac:dyDescent="0.2">
      <c r="A3002" s="5">
        <f t="shared" si="101"/>
        <v>12</v>
      </c>
      <c r="B3002" s="5">
        <f t="shared" si="102"/>
        <v>2024</v>
      </c>
      <c r="C3002" s="7">
        <v>45636</v>
      </c>
      <c r="D3002" s="8">
        <v>4.6520000000000001</v>
      </c>
      <c r="E3002" s="8">
        <v>4.6555</v>
      </c>
    </row>
    <row r="3003" spans="1:5" x14ac:dyDescent="0.2">
      <c r="A3003" s="5">
        <f t="shared" si="101"/>
        <v>12</v>
      </c>
      <c r="B3003" s="5">
        <f t="shared" si="102"/>
        <v>2024</v>
      </c>
      <c r="C3003" s="7">
        <v>45637</v>
      </c>
      <c r="D3003" s="8">
        <v>4.6516999999999999</v>
      </c>
      <c r="E3003" s="8">
        <v>4.6567999999999996</v>
      </c>
    </row>
    <row r="3004" spans="1:5" x14ac:dyDescent="0.2">
      <c r="A3004" s="5">
        <f t="shared" si="101"/>
        <v>12</v>
      </c>
      <c r="B3004" s="5">
        <f t="shared" si="102"/>
        <v>2024</v>
      </c>
      <c r="C3004" s="7">
        <v>45638</v>
      </c>
      <c r="D3004" s="8">
        <v>4.6516999999999999</v>
      </c>
      <c r="E3004" s="8">
        <v>4.6593</v>
      </c>
    </row>
    <row r="3005" spans="1:5" x14ac:dyDescent="0.2">
      <c r="A3005" s="5">
        <f t="shared" si="101"/>
        <v>12</v>
      </c>
      <c r="B3005" s="5">
        <f t="shared" si="102"/>
        <v>2024</v>
      </c>
      <c r="C3005" s="7">
        <v>45639</v>
      </c>
      <c r="D3005" s="8">
        <v>4.6936999999999998</v>
      </c>
      <c r="E3005" s="8">
        <v>4.6772999999999998</v>
      </c>
    </row>
    <row r="3006" spans="1:5" x14ac:dyDescent="0.2">
      <c r="A3006" s="5">
        <f t="shared" si="101"/>
        <v>12</v>
      </c>
      <c r="B3006" s="5">
        <f t="shared" si="102"/>
        <v>2024</v>
      </c>
      <c r="C3006" s="7">
        <v>45642</v>
      </c>
      <c r="D3006" s="8">
        <v>4.6902999999999997</v>
      </c>
      <c r="E3006" s="8">
        <v>4.6684000000000001</v>
      </c>
    </row>
    <row r="3007" spans="1:5" x14ac:dyDescent="0.2">
      <c r="A3007" s="5">
        <f t="shared" si="101"/>
        <v>12</v>
      </c>
      <c r="B3007" s="5">
        <f t="shared" si="102"/>
        <v>2024</v>
      </c>
      <c r="C3007" s="7">
        <v>45643</v>
      </c>
      <c r="D3007" s="8">
        <v>4.7225999999999999</v>
      </c>
      <c r="E3007" s="8">
        <v>4.6798000000000002</v>
      </c>
    </row>
    <row r="3008" spans="1:5" x14ac:dyDescent="0.2">
      <c r="A3008" s="5">
        <f t="shared" si="101"/>
        <v>12</v>
      </c>
      <c r="B3008" s="5">
        <f t="shared" si="102"/>
        <v>2024</v>
      </c>
      <c r="C3008" s="7">
        <v>45644</v>
      </c>
      <c r="D3008" s="8">
        <v>4.7324000000000002</v>
      </c>
      <c r="E3008" s="8">
        <v>4.6891999999999996</v>
      </c>
    </row>
    <row r="3009" spans="1:5" x14ac:dyDescent="0.2">
      <c r="A3009" s="5">
        <f t="shared" si="101"/>
        <v>12</v>
      </c>
      <c r="B3009" s="5">
        <f t="shared" si="102"/>
        <v>2024</v>
      </c>
      <c r="C3009" s="7">
        <v>45645</v>
      </c>
      <c r="D3009" s="8">
        <v>4.7358000000000002</v>
      </c>
      <c r="E3009" s="8">
        <v>4.6917</v>
      </c>
    </row>
    <row r="3010" spans="1:5" x14ac:dyDescent="0.2">
      <c r="A3010" s="5">
        <f t="shared" si="101"/>
        <v>12</v>
      </c>
      <c r="B3010" s="5">
        <f t="shared" si="102"/>
        <v>2024</v>
      </c>
      <c r="C3010" s="7">
        <v>45646</v>
      </c>
      <c r="D3010" s="8">
        <v>4.9217000000000004</v>
      </c>
      <c r="E3010" s="8">
        <v>4.8883999999999999</v>
      </c>
    </row>
    <row r="3011" spans="1:5" x14ac:dyDescent="0.2">
      <c r="A3011" s="5">
        <f t="shared" si="101"/>
        <v>12</v>
      </c>
      <c r="B3011" s="5">
        <f t="shared" si="102"/>
        <v>2024</v>
      </c>
      <c r="C3011" s="7">
        <v>45649</v>
      </c>
      <c r="D3011" s="8">
        <v>4.9698000000000002</v>
      </c>
      <c r="E3011" s="8">
        <v>4.9000000000000004</v>
      </c>
    </row>
    <row r="3012" spans="1:5" x14ac:dyDescent="0.2">
      <c r="A3012" s="5">
        <f t="shared" ref="A3012:A3075" si="103">MONTH(C3012)</f>
        <v>12</v>
      </c>
      <c r="B3012" s="5">
        <f t="shared" ref="B3012:B3075" si="104">YEAR(C3012)</f>
        <v>2024</v>
      </c>
      <c r="C3012" s="7">
        <v>45650</v>
      </c>
      <c r="D3012" s="8">
        <v>4.9698000000000002</v>
      </c>
      <c r="E3012" s="8">
        <v>4.8982000000000001</v>
      </c>
    </row>
    <row r="3013" spans="1:5" x14ac:dyDescent="0.2">
      <c r="A3013" s="5">
        <f t="shared" si="103"/>
        <v>12</v>
      </c>
      <c r="B3013" s="5">
        <f t="shared" si="104"/>
        <v>2024</v>
      </c>
      <c r="C3013" s="7">
        <v>45652</v>
      </c>
      <c r="D3013" s="8">
        <v>4.9862000000000002</v>
      </c>
      <c r="E3013" s="8">
        <v>4.9458000000000002</v>
      </c>
    </row>
    <row r="3014" spans="1:5" x14ac:dyDescent="0.2">
      <c r="A3014" s="5">
        <f t="shared" si="103"/>
        <v>12</v>
      </c>
      <c r="B3014" s="5">
        <f t="shared" si="104"/>
        <v>2024</v>
      </c>
      <c r="C3014" s="7">
        <v>45653</v>
      </c>
      <c r="D3014" s="8">
        <v>4.9802999999999997</v>
      </c>
      <c r="E3014" s="8">
        <v>4.9446000000000003</v>
      </c>
    </row>
    <row r="3015" spans="1:5" x14ac:dyDescent="0.2">
      <c r="A3015" s="5">
        <f t="shared" si="103"/>
        <v>12</v>
      </c>
      <c r="B3015" s="5">
        <f t="shared" si="104"/>
        <v>2024</v>
      </c>
      <c r="C3015" s="7">
        <v>45656</v>
      </c>
      <c r="D3015" s="8">
        <v>4.9953000000000003</v>
      </c>
      <c r="E3015" s="8">
        <v>4.9690000000000003</v>
      </c>
    </row>
    <row r="3016" spans="1:5" x14ac:dyDescent="0.2">
      <c r="A3016" s="5">
        <f t="shared" si="103"/>
        <v>12</v>
      </c>
      <c r="B3016" s="5">
        <f t="shared" si="104"/>
        <v>2024</v>
      </c>
      <c r="C3016" s="7">
        <v>45657</v>
      </c>
      <c r="D3016" s="8">
        <v>4.9717000000000002</v>
      </c>
      <c r="E3016" s="8">
        <v>4.9503000000000004</v>
      </c>
    </row>
    <row r="3017" spans="1:5" x14ac:dyDescent="0.2">
      <c r="A3017" s="5">
        <f t="shared" si="103"/>
        <v>1</v>
      </c>
      <c r="B3017" s="5">
        <f t="shared" si="104"/>
        <v>2025</v>
      </c>
      <c r="C3017" s="7">
        <v>45659</v>
      </c>
      <c r="D3017" s="8">
        <v>4.9736000000000002</v>
      </c>
      <c r="E3017" s="8">
        <v>4.9589999999999996</v>
      </c>
    </row>
    <row r="3018" spans="1:5" x14ac:dyDescent="0.2">
      <c r="A3018" s="5">
        <f t="shared" si="103"/>
        <v>1</v>
      </c>
      <c r="B3018" s="5">
        <f t="shared" si="104"/>
        <v>2025</v>
      </c>
      <c r="C3018" s="7">
        <v>45660</v>
      </c>
      <c r="D3018" s="8">
        <v>4.9698000000000002</v>
      </c>
      <c r="E3018" s="8">
        <v>4.9558</v>
      </c>
    </row>
    <row r="3019" spans="1:5" x14ac:dyDescent="0.2">
      <c r="A3019" s="5">
        <f t="shared" si="103"/>
        <v>1</v>
      </c>
      <c r="B3019" s="5">
        <f t="shared" si="104"/>
        <v>2025</v>
      </c>
      <c r="C3019" s="7">
        <v>45663</v>
      </c>
      <c r="D3019" s="8">
        <v>5.0160999999999998</v>
      </c>
      <c r="E3019" s="8">
        <v>4.9736000000000002</v>
      </c>
    </row>
    <row r="3020" spans="1:5" x14ac:dyDescent="0.2">
      <c r="A3020" s="5">
        <f t="shared" si="103"/>
        <v>1</v>
      </c>
      <c r="B3020" s="5">
        <f t="shared" si="104"/>
        <v>2025</v>
      </c>
      <c r="C3020" s="7">
        <v>45664</v>
      </c>
      <c r="D3020" s="8">
        <v>4.9949000000000003</v>
      </c>
      <c r="E3020" s="8">
        <v>4.9767000000000001</v>
      </c>
    </row>
    <row r="3021" spans="1:5" x14ac:dyDescent="0.2">
      <c r="A3021" s="5">
        <f t="shared" si="103"/>
        <v>1</v>
      </c>
      <c r="B3021" s="5">
        <f t="shared" si="104"/>
        <v>2025</v>
      </c>
      <c r="C3021" s="7">
        <v>45665</v>
      </c>
      <c r="D3021" s="8">
        <v>5.0160999999999998</v>
      </c>
      <c r="E3021" s="8">
        <v>4.9855999999999998</v>
      </c>
    </row>
    <row r="3022" spans="1:5" x14ac:dyDescent="0.2">
      <c r="A3022" s="5">
        <f t="shared" si="103"/>
        <v>1</v>
      </c>
      <c r="B3022" s="5">
        <f t="shared" si="104"/>
        <v>2025</v>
      </c>
      <c r="C3022" s="7">
        <v>45666</v>
      </c>
      <c r="D3022" s="8">
        <v>5.0160999999999998</v>
      </c>
      <c r="E3022" s="8">
        <v>4.9916</v>
      </c>
    </row>
    <row r="3023" spans="1:5" x14ac:dyDescent="0.2">
      <c r="A3023" s="5">
        <f t="shared" si="103"/>
        <v>1</v>
      </c>
      <c r="B3023" s="5">
        <f t="shared" si="104"/>
        <v>2025</v>
      </c>
      <c r="C3023" s="7">
        <v>45667</v>
      </c>
      <c r="D3023" s="8">
        <v>5.0092999999999996</v>
      </c>
      <c r="E3023" s="8">
        <v>5.0107999999999997</v>
      </c>
    </row>
    <row r="3024" spans="1:5" x14ac:dyDescent="0.2">
      <c r="A3024" s="5">
        <f t="shared" si="103"/>
        <v>1</v>
      </c>
      <c r="B3024" s="5">
        <f t="shared" si="104"/>
        <v>2025</v>
      </c>
      <c r="C3024" s="7">
        <v>45670</v>
      </c>
      <c r="D3024" s="8">
        <v>5.03</v>
      </c>
      <c r="E3024" s="8">
        <v>5.0618999999999996</v>
      </c>
    </row>
    <row r="3025" spans="1:5" x14ac:dyDescent="0.2">
      <c r="A3025" s="5">
        <f t="shared" si="103"/>
        <v>1</v>
      </c>
      <c r="B3025" s="5">
        <f t="shared" si="104"/>
        <v>2025</v>
      </c>
      <c r="C3025" s="7">
        <v>45671</v>
      </c>
      <c r="D3025" s="8">
        <v>5.0551000000000004</v>
      </c>
      <c r="E3025" s="8">
        <v>5.0785999999999998</v>
      </c>
    </row>
    <row r="3026" spans="1:5" x14ac:dyDescent="0.2">
      <c r="A3026" s="5">
        <f t="shared" si="103"/>
        <v>1</v>
      </c>
      <c r="B3026" s="5">
        <f t="shared" si="104"/>
        <v>2025</v>
      </c>
      <c r="C3026" s="7">
        <v>45672</v>
      </c>
      <c r="D3026" s="8">
        <v>5.0551000000000004</v>
      </c>
      <c r="E3026" s="8">
        <v>5.0918000000000001</v>
      </c>
    </row>
    <row r="3027" spans="1:5" x14ac:dyDescent="0.2">
      <c r="A3027" s="5">
        <f t="shared" si="103"/>
        <v>1</v>
      </c>
      <c r="B3027" s="5">
        <f t="shared" si="104"/>
        <v>2025</v>
      </c>
      <c r="C3027" s="7">
        <v>45673</v>
      </c>
      <c r="D3027" s="8">
        <v>5.0632000000000001</v>
      </c>
      <c r="E3027" s="8">
        <v>5.1120000000000001</v>
      </c>
    </row>
    <row r="3028" spans="1:5" x14ac:dyDescent="0.2">
      <c r="A3028" s="5">
        <f t="shared" si="103"/>
        <v>1</v>
      </c>
      <c r="B3028" s="5">
        <f t="shared" si="104"/>
        <v>2025</v>
      </c>
      <c r="C3028" s="7">
        <v>45674</v>
      </c>
      <c r="D3028" s="8">
        <v>5.0697999999999999</v>
      </c>
      <c r="E3028" s="8">
        <v>5.1294000000000004</v>
      </c>
    </row>
    <row r="3029" spans="1:5" x14ac:dyDescent="0.2">
      <c r="A3029" s="5">
        <f t="shared" si="103"/>
        <v>1</v>
      </c>
      <c r="B3029" s="5">
        <f t="shared" si="104"/>
        <v>2025</v>
      </c>
      <c r="C3029" s="7">
        <v>45677</v>
      </c>
      <c r="D3029" s="8">
        <v>5.0632000000000001</v>
      </c>
      <c r="E3029" s="8">
        <v>5.1676000000000002</v>
      </c>
    </row>
    <row r="3030" spans="1:5" x14ac:dyDescent="0.2">
      <c r="A3030" s="5">
        <f t="shared" si="103"/>
        <v>1</v>
      </c>
      <c r="B3030" s="5">
        <f t="shared" si="104"/>
        <v>2025</v>
      </c>
      <c r="C3030" s="7">
        <v>45678</v>
      </c>
      <c r="D3030" s="8">
        <v>5.0766999999999998</v>
      </c>
      <c r="E3030" s="8">
        <v>5.2397</v>
      </c>
    </row>
    <row r="3031" spans="1:5" x14ac:dyDescent="0.2">
      <c r="A3031" s="5">
        <f t="shared" si="103"/>
        <v>1</v>
      </c>
      <c r="B3031" s="5">
        <f t="shared" si="104"/>
        <v>2025</v>
      </c>
      <c r="C3031" s="7">
        <v>45679</v>
      </c>
      <c r="D3031" s="8">
        <v>5.12</v>
      </c>
      <c r="E3031" s="8">
        <v>5.2601000000000004</v>
      </c>
    </row>
    <row r="3032" spans="1:5" x14ac:dyDescent="0.2">
      <c r="A3032" s="5">
        <f t="shared" si="103"/>
        <v>1</v>
      </c>
      <c r="B3032" s="5">
        <f t="shared" si="104"/>
        <v>2025</v>
      </c>
      <c r="C3032" s="7">
        <v>45680</v>
      </c>
      <c r="D3032" s="8">
        <v>5.14</v>
      </c>
      <c r="E3032" s="8">
        <v>5.2900999999999998</v>
      </c>
    </row>
    <row r="3033" spans="1:5" x14ac:dyDescent="0.2">
      <c r="A3033" s="5">
        <f t="shared" si="103"/>
        <v>1</v>
      </c>
      <c r="B3033" s="5">
        <f t="shared" si="104"/>
        <v>2025</v>
      </c>
      <c r="C3033" s="7">
        <v>45681</v>
      </c>
      <c r="D3033" s="8">
        <v>5.5000999999999998</v>
      </c>
      <c r="E3033" s="8">
        <v>5.6387</v>
      </c>
    </row>
    <row r="3034" spans="1:5" x14ac:dyDescent="0.2">
      <c r="A3034" s="5">
        <f t="shared" si="103"/>
        <v>1</v>
      </c>
      <c r="B3034" s="5">
        <f t="shared" si="104"/>
        <v>2025</v>
      </c>
      <c r="C3034" s="7">
        <v>45684</v>
      </c>
      <c r="D3034" s="8">
        <v>5.5075000000000003</v>
      </c>
      <c r="E3034" s="8">
        <v>5.7046999999999999</v>
      </c>
    </row>
    <row r="3035" spans="1:5" x14ac:dyDescent="0.2">
      <c r="A3035" s="5">
        <f t="shared" si="103"/>
        <v>1</v>
      </c>
      <c r="B3035" s="5">
        <f t="shared" si="104"/>
        <v>2025</v>
      </c>
      <c r="C3035" s="7">
        <v>45685</v>
      </c>
      <c r="D3035" s="8">
        <v>5.5094000000000003</v>
      </c>
      <c r="E3035" s="8">
        <v>5.7031000000000001</v>
      </c>
    </row>
    <row r="3036" spans="1:5" x14ac:dyDescent="0.2">
      <c r="A3036" s="5">
        <f t="shared" si="103"/>
        <v>1</v>
      </c>
      <c r="B3036" s="5">
        <f t="shared" si="104"/>
        <v>2025</v>
      </c>
      <c r="C3036" s="7">
        <v>45686</v>
      </c>
      <c r="D3036" s="8">
        <v>5.5094000000000003</v>
      </c>
      <c r="E3036" s="8">
        <v>5.7122999999999999</v>
      </c>
    </row>
    <row r="3037" spans="1:5" x14ac:dyDescent="0.2">
      <c r="A3037" s="5">
        <f t="shared" si="103"/>
        <v>1</v>
      </c>
      <c r="B3037" s="5">
        <f t="shared" si="104"/>
        <v>2025</v>
      </c>
      <c r="C3037" s="7">
        <v>45687</v>
      </c>
      <c r="D3037" s="8">
        <v>5.52</v>
      </c>
      <c r="E3037" s="8">
        <v>5.7276999999999996</v>
      </c>
    </row>
    <row r="3038" spans="1:5" x14ac:dyDescent="0.2">
      <c r="A3038" s="5">
        <f t="shared" si="103"/>
        <v>1</v>
      </c>
      <c r="B3038" s="5">
        <f t="shared" si="104"/>
        <v>2025</v>
      </c>
      <c r="C3038" s="7">
        <v>45688</v>
      </c>
      <c r="D3038" s="8">
        <v>5.58</v>
      </c>
      <c r="E3038" s="8">
        <v>5.7370000000000001</v>
      </c>
    </row>
    <row r="3039" spans="1:5" x14ac:dyDescent="0.2">
      <c r="A3039" s="5">
        <f t="shared" si="103"/>
        <v>2</v>
      </c>
      <c r="B3039" s="5">
        <f t="shared" si="104"/>
        <v>2025</v>
      </c>
      <c r="C3039" s="7">
        <v>45691</v>
      </c>
      <c r="D3039" s="8">
        <v>5.5766999999999998</v>
      </c>
      <c r="E3039" s="8">
        <v>5.7779999999999996</v>
      </c>
    </row>
    <row r="3040" spans="1:5" x14ac:dyDescent="0.2">
      <c r="A3040" s="5">
        <f t="shared" si="103"/>
        <v>2</v>
      </c>
      <c r="B3040" s="5">
        <f t="shared" si="104"/>
        <v>2025</v>
      </c>
      <c r="C3040" s="7">
        <v>45692</v>
      </c>
      <c r="D3040" s="8">
        <v>5.5732999999999997</v>
      </c>
      <c r="E3040" s="8">
        <v>5.7872000000000003</v>
      </c>
    </row>
    <row r="3041" spans="1:5" x14ac:dyDescent="0.2">
      <c r="A3041" s="5">
        <f t="shared" si="103"/>
        <v>2</v>
      </c>
      <c r="B3041" s="5">
        <f t="shared" si="104"/>
        <v>2025</v>
      </c>
      <c r="C3041" s="7">
        <v>45693</v>
      </c>
      <c r="D3041" s="8">
        <v>5.5732999999999997</v>
      </c>
      <c r="E3041" s="8">
        <v>5.8060999999999998</v>
      </c>
    </row>
    <row r="3042" spans="1:5" x14ac:dyDescent="0.2">
      <c r="A3042" s="5">
        <f t="shared" si="103"/>
        <v>2</v>
      </c>
      <c r="B3042" s="5">
        <f t="shared" si="104"/>
        <v>2025</v>
      </c>
      <c r="C3042" s="7">
        <v>45694</v>
      </c>
      <c r="D3042" s="8">
        <v>5.5766999999999998</v>
      </c>
      <c r="E3042" s="8">
        <v>5.8198999999999996</v>
      </c>
    </row>
    <row r="3043" spans="1:5" x14ac:dyDescent="0.2">
      <c r="A3043" s="5">
        <f t="shared" si="103"/>
        <v>2</v>
      </c>
      <c r="B3043" s="5">
        <f t="shared" si="104"/>
        <v>2025</v>
      </c>
      <c r="C3043" s="7">
        <v>45695</v>
      </c>
      <c r="D3043" s="8">
        <v>5.5928000000000004</v>
      </c>
      <c r="E3043" s="8">
        <v>5.8693999999999997</v>
      </c>
    </row>
    <row r="3044" spans="1:5" x14ac:dyDescent="0.2">
      <c r="A3044" s="5">
        <f t="shared" si="103"/>
        <v>2</v>
      </c>
      <c r="B3044" s="5">
        <f t="shared" si="104"/>
        <v>2025</v>
      </c>
      <c r="C3044" s="7">
        <v>45698</v>
      </c>
      <c r="D3044" s="8">
        <v>5.6077000000000004</v>
      </c>
      <c r="E3044" s="8">
        <v>5.8883000000000001</v>
      </c>
    </row>
    <row r="3045" spans="1:5" x14ac:dyDescent="0.2">
      <c r="A3045" s="5">
        <f t="shared" si="103"/>
        <v>2</v>
      </c>
      <c r="B3045" s="5">
        <f t="shared" si="104"/>
        <v>2025</v>
      </c>
      <c r="C3045" s="7">
        <v>45699</v>
      </c>
      <c r="D3045" s="8">
        <v>5.8780999999999999</v>
      </c>
      <c r="E3045" s="8">
        <v>5.8569000000000004</v>
      </c>
    </row>
    <row r="3046" spans="1:5" x14ac:dyDescent="0.2">
      <c r="A3046" s="5">
        <f t="shared" si="103"/>
        <v>2</v>
      </c>
      <c r="B3046" s="5">
        <f t="shared" si="104"/>
        <v>2025</v>
      </c>
      <c r="C3046" s="7">
        <v>45700</v>
      </c>
      <c r="D3046" s="8">
        <v>5.8677999999999999</v>
      </c>
      <c r="E3046" s="8">
        <v>5.8346</v>
      </c>
    </row>
    <row r="3047" spans="1:5" x14ac:dyDescent="0.2">
      <c r="A3047" s="5">
        <f t="shared" si="103"/>
        <v>2</v>
      </c>
      <c r="B3047" s="5">
        <f t="shared" si="104"/>
        <v>2025</v>
      </c>
      <c r="C3047" s="7">
        <v>45701</v>
      </c>
      <c r="D3047" s="8">
        <v>5.8780999999999999</v>
      </c>
      <c r="E3047" s="8">
        <v>5.8064</v>
      </c>
    </row>
    <row r="3048" spans="1:5" x14ac:dyDescent="0.2">
      <c r="A3048" s="5">
        <f t="shared" si="103"/>
        <v>2</v>
      </c>
      <c r="B3048" s="5">
        <f t="shared" si="104"/>
        <v>2025</v>
      </c>
      <c r="C3048" s="7">
        <v>45702</v>
      </c>
      <c r="D3048" s="8">
        <v>5.8856999999999999</v>
      </c>
      <c r="E3048" s="8">
        <v>5.7701000000000002</v>
      </c>
    </row>
    <row r="3049" spans="1:5" x14ac:dyDescent="0.2">
      <c r="A3049" s="5">
        <f t="shared" si="103"/>
        <v>2</v>
      </c>
      <c r="B3049" s="5">
        <f t="shared" si="104"/>
        <v>2025</v>
      </c>
      <c r="C3049" s="7">
        <v>45705</v>
      </c>
      <c r="D3049" s="8">
        <v>5.8967000000000001</v>
      </c>
      <c r="E3049" s="8">
        <v>5.6807999999999996</v>
      </c>
    </row>
    <row r="3050" spans="1:5" x14ac:dyDescent="0.2">
      <c r="A3050" s="5">
        <f t="shared" si="103"/>
        <v>2</v>
      </c>
      <c r="B3050" s="5">
        <f t="shared" si="104"/>
        <v>2025</v>
      </c>
      <c r="C3050" s="7">
        <v>45706</v>
      </c>
      <c r="D3050" s="8">
        <v>5.8977000000000004</v>
      </c>
      <c r="E3050" s="8">
        <v>5.6646999999999998</v>
      </c>
    </row>
    <row r="3051" spans="1:5" x14ac:dyDescent="0.2">
      <c r="A3051" s="5">
        <f t="shared" si="103"/>
        <v>2</v>
      </c>
      <c r="B3051" s="5">
        <f t="shared" si="104"/>
        <v>2025</v>
      </c>
      <c r="C3051" s="7">
        <v>45707</v>
      </c>
      <c r="D3051" s="8">
        <v>5.8994</v>
      </c>
      <c r="E3051" s="8">
        <v>5.6371000000000002</v>
      </c>
    </row>
    <row r="3052" spans="1:5" x14ac:dyDescent="0.2">
      <c r="A3052" s="5">
        <f t="shared" si="103"/>
        <v>2</v>
      </c>
      <c r="B3052" s="5">
        <f t="shared" si="104"/>
        <v>2025</v>
      </c>
      <c r="C3052" s="7">
        <v>45708</v>
      </c>
      <c r="D3052" s="8">
        <v>5.8986000000000001</v>
      </c>
      <c r="E3052" s="8">
        <v>5.5980999999999996</v>
      </c>
    </row>
    <row r="3053" spans="1:5" x14ac:dyDescent="0.2">
      <c r="A3053" s="5">
        <f t="shared" si="103"/>
        <v>2</v>
      </c>
      <c r="B3053" s="5">
        <f t="shared" si="104"/>
        <v>2025</v>
      </c>
      <c r="C3053" s="7">
        <v>45709</v>
      </c>
      <c r="D3053" s="8">
        <v>5.9067999999999996</v>
      </c>
      <c r="E3053" s="8">
        <v>5.6367000000000003</v>
      </c>
    </row>
    <row r="3054" spans="1:5" x14ac:dyDescent="0.2">
      <c r="A3054" s="5">
        <f t="shared" si="103"/>
        <v>2</v>
      </c>
      <c r="B3054" s="5">
        <f t="shared" si="104"/>
        <v>2025</v>
      </c>
      <c r="C3054" s="7">
        <v>45712</v>
      </c>
      <c r="D3054" s="8">
        <v>5.9509999999999996</v>
      </c>
      <c r="E3054" s="8">
        <v>5.5632000000000001</v>
      </c>
    </row>
    <row r="3055" spans="1:5" x14ac:dyDescent="0.2">
      <c r="A3055" s="5">
        <f t="shared" si="103"/>
        <v>2</v>
      </c>
      <c r="B3055" s="5">
        <f t="shared" si="104"/>
        <v>2025</v>
      </c>
      <c r="C3055" s="7">
        <v>45713</v>
      </c>
      <c r="D3055" s="8">
        <v>5.9421999999999997</v>
      </c>
      <c r="E3055" s="8">
        <v>5.5385999999999997</v>
      </c>
    </row>
    <row r="3056" spans="1:5" x14ac:dyDescent="0.2">
      <c r="A3056" s="5">
        <f t="shared" si="103"/>
        <v>2</v>
      </c>
      <c r="B3056" s="5">
        <f t="shared" si="104"/>
        <v>2025</v>
      </c>
      <c r="C3056" s="7">
        <v>45714</v>
      </c>
      <c r="D3056" s="8">
        <v>5.9421999999999997</v>
      </c>
      <c r="E3056" s="8">
        <v>5.5109000000000004</v>
      </c>
    </row>
    <row r="3057" spans="1:5" x14ac:dyDescent="0.2">
      <c r="A3057" s="5">
        <f t="shared" si="103"/>
        <v>2</v>
      </c>
      <c r="B3057" s="5">
        <f t="shared" si="104"/>
        <v>2025</v>
      </c>
      <c r="C3057" s="7">
        <v>45715</v>
      </c>
      <c r="D3057" s="8">
        <v>5.9421999999999997</v>
      </c>
      <c r="E3057" s="8">
        <v>5.4828000000000001</v>
      </c>
    </row>
    <row r="3058" spans="1:5" x14ac:dyDescent="0.2">
      <c r="A3058" s="5">
        <f t="shared" si="103"/>
        <v>2</v>
      </c>
      <c r="B3058" s="5">
        <f t="shared" si="104"/>
        <v>2025</v>
      </c>
      <c r="C3058" s="7">
        <v>45716</v>
      </c>
      <c r="D3058" s="8">
        <v>5.9516999999999998</v>
      </c>
      <c r="E3058" s="8">
        <v>5.4943</v>
      </c>
    </row>
    <row r="3059" spans="1:5" x14ac:dyDescent="0.2">
      <c r="A3059" s="5">
        <f t="shared" si="103"/>
        <v>3</v>
      </c>
      <c r="B3059" s="5">
        <f t="shared" si="104"/>
        <v>2025</v>
      </c>
      <c r="C3059" s="7">
        <v>45721</v>
      </c>
      <c r="D3059" s="8">
        <v>5.9516999999999998</v>
      </c>
      <c r="E3059" s="8">
        <v>5.3582000000000001</v>
      </c>
    </row>
    <row r="3060" spans="1:5" x14ac:dyDescent="0.2">
      <c r="A3060" s="5">
        <f t="shared" si="103"/>
        <v>3</v>
      </c>
      <c r="B3060" s="5">
        <f t="shared" si="104"/>
        <v>2025</v>
      </c>
      <c r="C3060" s="7">
        <v>45722</v>
      </c>
      <c r="D3060" s="8">
        <v>5.9516999999999998</v>
      </c>
      <c r="E3060" s="8">
        <v>5.3304</v>
      </c>
    </row>
    <row r="3061" spans="1:5" x14ac:dyDescent="0.2">
      <c r="A3061" s="5">
        <f t="shared" si="103"/>
        <v>3</v>
      </c>
      <c r="B3061" s="5">
        <f t="shared" si="104"/>
        <v>2025</v>
      </c>
      <c r="C3061" s="7">
        <v>45723</v>
      </c>
      <c r="D3061" s="8">
        <v>5.9516999999999998</v>
      </c>
      <c r="E3061" s="8">
        <v>5.3019999999999996</v>
      </c>
    </row>
    <row r="3062" spans="1:5" x14ac:dyDescent="0.2">
      <c r="A3062" s="5">
        <f t="shared" si="103"/>
        <v>3</v>
      </c>
      <c r="B3062" s="5">
        <f t="shared" si="104"/>
        <v>2025</v>
      </c>
      <c r="C3062" s="7">
        <v>45726</v>
      </c>
      <c r="D3062" s="8">
        <v>5.9519000000000002</v>
      </c>
      <c r="E3062" s="8">
        <v>5.2175000000000002</v>
      </c>
    </row>
    <row r="3063" spans="1:5" x14ac:dyDescent="0.2">
      <c r="A3063" s="5">
        <f t="shared" si="103"/>
        <v>3</v>
      </c>
      <c r="B3063" s="5">
        <f t="shared" si="104"/>
        <v>2025</v>
      </c>
      <c r="C3063" s="7">
        <v>45727</v>
      </c>
      <c r="D3063" s="8">
        <v>5.9519000000000002</v>
      </c>
      <c r="E3063" s="8">
        <v>5.1943000000000001</v>
      </c>
    </row>
    <row r="3064" spans="1:5" x14ac:dyDescent="0.2">
      <c r="A3064" s="5">
        <f t="shared" si="103"/>
        <v>3</v>
      </c>
      <c r="B3064" s="5">
        <f t="shared" si="104"/>
        <v>2025</v>
      </c>
      <c r="C3064" s="7">
        <v>45728</v>
      </c>
      <c r="D3064" s="8">
        <v>5.2039999999999997</v>
      </c>
      <c r="E3064" s="8">
        <v>5.1974999999999998</v>
      </c>
    </row>
    <row r="3065" spans="1:5" x14ac:dyDescent="0.2">
      <c r="A3065" s="5">
        <f t="shared" si="103"/>
        <v>3</v>
      </c>
      <c r="B3065" s="5">
        <f t="shared" si="104"/>
        <v>2025</v>
      </c>
      <c r="C3065" s="7">
        <v>45729</v>
      </c>
      <c r="D3065" s="8">
        <v>5.2149999999999999</v>
      </c>
      <c r="E3065" s="8">
        <v>5.2065999999999999</v>
      </c>
    </row>
    <row r="3066" spans="1:5" x14ac:dyDescent="0.2">
      <c r="A3066" s="5">
        <f t="shared" si="103"/>
        <v>3</v>
      </c>
      <c r="B3066" s="5">
        <f t="shared" si="104"/>
        <v>2025</v>
      </c>
      <c r="C3066" s="7">
        <v>45730</v>
      </c>
      <c r="D3066" s="8">
        <v>5.2533000000000003</v>
      </c>
      <c r="E3066" s="8">
        <v>5.2332000000000001</v>
      </c>
    </row>
    <row r="3067" spans="1:5" x14ac:dyDescent="0.2">
      <c r="A3067" s="5">
        <f t="shared" si="103"/>
        <v>3</v>
      </c>
      <c r="B3067" s="5">
        <f t="shared" si="104"/>
        <v>2025</v>
      </c>
      <c r="C3067" s="7">
        <v>45733</v>
      </c>
      <c r="D3067" s="8">
        <v>5.2533000000000003</v>
      </c>
      <c r="E3067" s="8">
        <v>5.2130999999999998</v>
      </c>
    </row>
    <row r="3068" spans="1:5" x14ac:dyDescent="0.2">
      <c r="A3068" s="5">
        <f t="shared" si="103"/>
        <v>3</v>
      </c>
      <c r="B3068" s="5">
        <f t="shared" si="104"/>
        <v>2025</v>
      </c>
      <c r="C3068" s="7">
        <v>45734</v>
      </c>
      <c r="D3068" s="8">
        <v>5.2416999999999998</v>
      </c>
      <c r="E3068" s="8">
        <v>5.1871999999999998</v>
      </c>
    </row>
    <row r="3069" spans="1:5" x14ac:dyDescent="0.2">
      <c r="A3069" s="5">
        <f t="shared" si="103"/>
        <v>3</v>
      </c>
      <c r="B3069" s="5">
        <f t="shared" si="104"/>
        <v>2025</v>
      </c>
      <c r="C3069" s="7">
        <v>45735</v>
      </c>
      <c r="D3069" s="8">
        <v>5.2416999999999998</v>
      </c>
      <c r="E3069" s="8">
        <v>5.1824000000000003</v>
      </c>
    </row>
    <row r="3070" spans="1:5" x14ac:dyDescent="0.2">
      <c r="A3070" s="5">
        <f t="shared" si="103"/>
        <v>3</v>
      </c>
      <c r="B3070" s="5">
        <f t="shared" si="104"/>
        <v>2025</v>
      </c>
      <c r="C3070" s="7">
        <v>45736</v>
      </c>
      <c r="D3070" s="8">
        <v>5.2416999999999998</v>
      </c>
      <c r="E3070" s="8">
        <v>5.1810999999999998</v>
      </c>
    </row>
    <row r="3071" spans="1:5" x14ac:dyDescent="0.2">
      <c r="A3071" s="5">
        <f t="shared" si="103"/>
        <v>3</v>
      </c>
      <c r="B3071" s="5">
        <f t="shared" si="104"/>
        <v>2025</v>
      </c>
      <c r="C3071" s="7">
        <v>45737</v>
      </c>
      <c r="D3071" s="8">
        <v>5.2465000000000002</v>
      </c>
      <c r="E3071" s="8">
        <v>5.1852</v>
      </c>
    </row>
    <row r="3072" spans="1:5" x14ac:dyDescent="0.2">
      <c r="A3072" s="5">
        <f t="shared" si="103"/>
        <v>3</v>
      </c>
      <c r="B3072" s="5">
        <f t="shared" si="104"/>
        <v>2025</v>
      </c>
      <c r="C3072" s="7">
        <v>45740</v>
      </c>
      <c r="D3072" s="8">
        <v>5.2411000000000003</v>
      </c>
      <c r="E3072" s="8">
        <v>5.1616</v>
      </c>
    </row>
    <row r="3073" spans="1:5" x14ac:dyDescent="0.2">
      <c r="A3073" s="5">
        <f t="shared" si="103"/>
        <v>3</v>
      </c>
      <c r="B3073" s="5">
        <f t="shared" si="104"/>
        <v>2025</v>
      </c>
      <c r="C3073" s="7">
        <v>45741</v>
      </c>
      <c r="D3073" s="8">
        <v>5.2615999999999996</v>
      </c>
      <c r="E3073" s="8">
        <v>5.17</v>
      </c>
    </row>
    <row r="3074" spans="1:5" x14ac:dyDescent="0.2">
      <c r="A3074" s="5">
        <f t="shared" si="103"/>
        <v>3</v>
      </c>
      <c r="B3074" s="5">
        <f t="shared" si="104"/>
        <v>2025</v>
      </c>
      <c r="C3074" s="7">
        <v>45742</v>
      </c>
      <c r="D3074" s="8">
        <v>5.2615999999999996</v>
      </c>
      <c r="E3074" s="8">
        <v>5.1626000000000003</v>
      </c>
    </row>
    <row r="3075" spans="1:5" x14ac:dyDescent="0.2">
      <c r="A3075" s="5">
        <f t="shared" si="103"/>
        <v>3</v>
      </c>
      <c r="B3075" s="5">
        <f t="shared" si="104"/>
        <v>2025</v>
      </c>
      <c r="C3075" s="7">
        <v>45743</v>
      </c>
      <c r="D3075" s="8">
        <v>5.2567000000000004</v>
      </c>
      <c r="E3075" s="8">
        <v>5.1524999999999999</v>
      </c>
    </row>
    <row r="3076" spans="1:5" x14ac:dyDescent="0.2">
      <c r="A3076" s="5">
        <f t="shared" ref="A3076:A3139" si="105">MONTH(C3076)</f>
        <v>3</v>
      </c>
      <c r="B3076" s="5">
        <f t="shared" ref="B3076:B3139" si="106">YEAR(C3076)</f>
        <v>2025</v>
      </c>
      <c r="C3076" s="7">
        <v>45744</v>
      </c>
      <c r="D3076" s="8">
        <v>5.2518000000000002</v>
      </c>
      <c r="E3076" s="8">
        <v>5.1462000000000003</v>
      </c>
    </row>
    <row r="3077" spans="1:5" x14ac:dyDescent="0.2">
      <c r="A3077" s="5">
        <f t="shared" si="105"/>
        <v>3</v>
      </c>
      <c r="B3077" s="5">
        <f t="shared" si="106"/>
        <v>2025</v>
      </c>
      <c r="C3077" s="7">
        <v>45747</v>
      </c>
      <c r="D3077" s="8">
        <v>5.2615999999999996</v>
      </c>
      <c r="E3077" s="8">
        <v>5.1184000000000003</v>
      </c>
    </row>
    <row r="3078" spans="1:5" x14ac:dyDescent="0.2">
      <c r="A3078" s="5">
        <f t="shared" si="105"/>
        <v>4</v>
      </c>
      <c r="B3078" s="5">
        <f t="shared" si="106"/>
        <v>2025</v>
      </c>
      <c r="C3078" s="7">
        <v>45748</v>
      </c>
      <c r="D3078" s="8">
        <v>5.2615999999999996</v>
      </c>
      <c r="E3078" s="8">
        <v>5.1135999999999999</v>
      </c>
    </row>
    <row r="3079" spans="1:5" x14ac:dyDescent="0.2">
      <c r="A3079" s="5">
        <f t="shared" si="105"/>
        <v>4</v>
      </c>
      <c r="B3079" s="5">
        <f t="shared" si="106"/>
        <v>2025</v>
      </c>
      <c r="C3079" s="7">
        <v>45749</v>
      </c>
      <c r="D3079" s="8">
        <v>5.2615999999999996</v>
      </c>
      <c r="E3079" s="8">
        <v>5.1097999999999999</v>
      </c>
    </row>
    <row r="3080" spans="1:5" x14ac:dyDescent="0.2">
      <c r="A3080" s="5">
        <f t="shared" si="105"/>
        <v>4</v>
      </c>
      <c r="B3080" s="5">
        <f t="shared" si="106"/>
        <v>2025</v>
      </c>
      <c r="C3080" s="7">
        <v>45750</v>
      </c>
      <c r="D3080" s="8">
        <v>5.2615999999999996</v>
      </c>
      <c r="E3080" s="8">
        <v>5.1040000000000001</v>
      </c>
    </row>
    <row r="3081" spans="1:5" x14ac:dyDescent="0.2">
      <c r="A3081" s="5">
        <f t="shared" si="105"/>
        <v>4</v>
      </c>
      <c r="B3081" s="5">
        <f t="shared" si="106"/>
        <v>2025</v>
      </c>
      <c r="C3081" s="7">
        <v>45751</v>
      </c>
      <c r="D3081" s="8">
        <v>5.2510000000000003</v>
      </c>
      <c r="E3081" s="8">
        <v>5.0720000000000001</v>
      </c>
    </row>
    <row r="3082" spans="1:5" x14ac:dyDescent="0.2">
      <c r="A3082" s="5">
        <f t="shared" si="105"/>
        <v>4</v>
      </c>
      <c r="B3082" s="5">
        <f t="shared" si="106"/>
        <v>2025</v>
      </c>
      <c r="C3082" s="7">
        <v>45754</v>
      </c>
      <c r="D3082" s="8">
        <v>5.2510000000000003</v>
      </c>
      <c r="E3082" s="8">
        <v>5.0564999999999998</v>
      </c>
    </row>
    <row r="3083" spans="1:5" x14ac:dyDescent="0.2">
      <c r="A3083" s="5">
        <f t="shared" si="105"/>
        <v>4</v>
      </c>
      <c r="B3083" s="5">
        <f t="shared" si="106"/>
        <v>2025</v>
      </c>
      <c r="C3083" s="7">
        <v>45755</v>
      </c>
      <c r="D3083" s="8">
        <v>5.2461000000000002</v>
      </c>
      <c r="E3083" s="8">
        <v>5.0442</v>
      </c>
    </row>
    <row r="3084" spans="1:5" x14ac:dyDescent="0.2">
      <c r="A3084" s="5">
        <f t="shared" si="105"/>
        <v>4</v>
      </c>
      <c r="B3084" s="5">
        <f t="shared" si="106"/>
        <v>2025</v>
      </c>
      <c r="C3084" s="7">
        <v>45756</v>
      </c>
      <c r="D3084" s="8">
        <v>5.2461000000000002</v>
      </c>
      <c r="E3084" s="8">
        <v>5.0404</v>
      </c>
    </row>
    <row r="3085" spans="1:5" x14ac:dyDescent="0.2">
      <c r="A3085" s="5">
        <f t="shared" si="105"/>
        <v>4</v>
      </c>
      <c r="B3085" s="5">
        <f t="shared" si="106"/>
        <v>2025</v>
      </c>
      <c r="C3085" s="7">
        <v>45757</v>
      </c>
      <c r="D3085" s="8">
        <v>5.2461000000000002</v>
      </c>
      <c r="E3085" s="8">
        <v>5.0365000000000002</v>
      </c>
    </row>
    <row r="3086" spans="1:5" x14ac:dyDescent="0.2">
      <c r="A3086" s="5">
        <f t="shared" si="105"/>
        <v>4</v>
      </c>
      <c r="B3086" s="5">
        <f t="shared" si="106"/>
        <v>2025</v>
      </c>
      <c r="C3086" s="7">
        <v>45758</v>
      </c>
      <c r="D3086" s="8">
        <v>5.0107999999999997</v>
      </c>
      <c r="E3086" s="8">
        <v>5.0079000000000002</v>
      </c>
    </row>
    <row r="3087" spans="1:5" x14ac:dyDescent="0.2">
      <c r="A3087" s="5">
        <f t="shared" si="105"/>
        <v>4</v>
      </c>
      <c r="B3087" s="5">
        <f t="shared" si="106"/>
        <v>2025</v>
      </c>
      <c r="C3087" s="7">
        <v>45761</v>
      </c>
      <c r="D3087" s="8">
        <v>4.9992000000000001</v>
      </c>
      <c r="E3087" s="8">
        <v>4.9831000000000003</v>
      </c>
    </row>
    <row r="3088" spans="1:5" x14ac:dyDescent="0.2">
      <c r="A3088" s="5">
        <f t="shared" si="105"/>
        <v>4</v>
      </c>
      <c r="B3088" s="5">
        <f t="shared" si="106"/>
        <v>2025</v>
      </c>
      <c r="C3088" s="7">
        <v>45762</v>
      </c>
      <c r="D3088" s="8">
        <v>4.9992000000000001</v>
      </c>
      <c r="E3088" s="8">
        <v>4.9816000000000003</v>
      </c>
    </row>
    <row r="3089" spans="1:5" x14ac:dyDescent="0.2">
      <c r="A3089" s="5">
        <f t="shared" si="105"/>
        <v>4</v>
      </c>
      <c r="B3089" s="5">
        <f t="shared" si="106"/>
        <v>2025</v>
      </c>
      <c r="C3089" s="7">
        <v>45763</v>
      </c>
      <c r="D3089" s="8">
        <v>5.0000999999999998</v>
      </c>
      <c r="E3089" s="8">
        <v>4.9903000000000004</v>
      </c>
    </row>
    <row r="3090" spans="1:5" x14ac:dyDescent="0.2">
      <c r="A3090" s="5">
        <f t="shared" si="105"/>
        <v>4</v>
      </c>
      <c r="B3090" s="5">
        <f t="shared" si="106"/>
        <v>2025</v>
      </c>
      <c r="C3090" s="7">
        <v>45764</v>
      </c>
      <c r="D3090" s="8">
        <v>4.9523000000000001</v>
      </c>
      <c r="E3090" s="8">
        <v>4.9497999999999998</v>
      </c>
    </row>
    <row r="3091" spans="1:5" x14ac:dyDescent="0.2">
      <c r="A3091" s="5">
        <f t="shared" si="105"/>
        <v>4</v>
      </c>
      <c r="B3091" s="5">
        <f t="shared" si="106"/>
        <v>2025</v>
      </c>
      <c r="C3091" s="7">
        <v>45769</v>
      </c>
      <c r="D3091" s="8">
        <v>4.9691999999999998</v>
      </c>
      <c r="E3091" s="8">
        <v>4.9577</v>
      </c>
    </row>
    <row r="3092" spans="1:5" x14ac:dyDescent="0.2">
      <c r="A3092" s="5">
        <f t="shared" si="105"/>
        <v>4</v>
      </c>
      <c r="B3092" s="5">
        <f t="shared" si="106"/>
        <v>2025</v>
      </c>
      <c r="C3092" s="7">
        <v>45770</v>
      </c>
      <c r="D3092" s="8">
        <v>4.9691999999999998</v>
      </c>
      <c r="E3092" s="8">
        <v>4.9612999999999996</v>
      </c>
    </row>
    <row r="3093" spans="1:5" x14ac:dyDescent="0.2">
      <c r="A3093" s="5">
        <f t="shared" si="105"/>
        <v>4</v>
      </c>
      <c r="B3093" s="5">
        <f t="shared" si="106"/>
        <v>2025</v>
      </c>
      <c r="C3093" s="7">
        <v>45771</v>
      </c>
      <c r="D3093" s="8">
        <v>4.9619</v>
      </c>
      <c r="E3093" s="8">
        <v>4.9573</v>
      </c>
    </row>
    <row r="3094" spans="1:5" x14ac:dyDescent="0.2">
      <c r="A3094" s="5">
        <f t="shared" si="105"/>
        <v>4</v>
      </c>
      <c r="B3094" s="5">
        <f t="shared" si="106"/>
        <v>2025</v>
      </c>
      <c r="C3094" s="7">
        <v>45772</v>
      </c>
      <c r="D3094" s="8">
        <v>4.9634</v>
      </c>
      <c r="E3094" s="8">
        <v>4.9451999999999998</v>
      </c>
    </row>
    <row r="3095" spans="1:5" x14ac:dyDescent="0.2">
      <c r="A3095" s="5">
        <f t="shared" si="105"/>
        <v>4</v>
      </c>
      <c r="B3095" s="5">
        <f t="shared" si="106"/>
        <v>2025</v>
      </c>
      <c r="C3095" s="7">
        <v>45775</v>
      </c>
      <c r="D3095" s="8">
        <v>4.9577</v>
      </c>
      <c r="E3095" s="8">
        <v>4.9374000000000002</v>
      </c>
    </row>
    <row r="3096" spans="1:5" x14ac:dyDescent="0.2">
      <c r="A3096" s="5">
        <f t="shared" si="105"/>
        <v>4</v>
      </c>
      <c r="B3096" s="5">
        <f t="shared" si="106"/>
        <v>2025</v>
      </c>
      <c r="C3096" s="7">
        <v>45776</v>
      </c>
      <c r="D3096" s="8">
        <v>4.9539</v>
      </c>
      <c r="E3096" s="8">
        <v>4.9356999999999998</v>
      </c>
    </row>
    <row r="3097" spans="1:5" x14ac:dyDescent="0.2">
      <c r="A3097" s="5">
        <f t="shared" si="105"/>
        <v>4</v>
      </c>
      <c r="B3097" s="5">
        <f t="shared" si="106"/>
        <v>2025</v>
      </c>
      <c r="C3097" s="7">
        <v>45777</v>
      </c>
      <c r="D3097" s="8">
        <v>4.9659000000000004</v>
      </c>
      <c r="E3097" s="8">
        <v>4.9805999999999999</v>
      </c>
    </row>
    <row r="3098" spans="1:5" x14ac:dyDescent="0.2">
      <c r="A3098" s="5">
        <f t="shared" si="105"/>
        <v>5</v>
      </c>
      <c r="B3098" s="5">
        <f t="shared" si="106"/>
        <v>2025</v>
      </c>
      <c r="C3098" s="7">
        <v>45779</v>
      </c>
      <c r="D3098" s="8">
        <v>4.9577</v>
      </c>
      <c r="E3098" s="8">
        <v>4.9673999999999996</v>
      </c>
    </row>
    <row r="3099" spans="1:5" x14ac:dyDescent="0.2">
      <c r="A3099" s="5">
        <f t="shared" si="105"/>
        <v>5</v>
      </c>
      <c r="B3099" s="5">
        <f t="shared" si="106"/>
        <v>2025</v>
      </c>
      <c r="C3099" s="7">
        <v>45782</v>
      </c>
      <c r="D3099" s="8">
        <v>4.9573</v>
      </c>
      <c r="E3099" s="8">
        <v>4.9543999999999997</v>
      </c>
    </row>
    <row r="3100" spans="1:5" x14ac:dyDescent="0.2">
      <c r="A3100" s="5">
        <f t="shared" si="105"/>
        <v>5</v>
      </c>
      <c r="B3100" s="5">
        <f t="shared" si="106"/>
        <v>2025</v>
      </c>
      <c r="C3100" s="7">
        <v>45783</v>
      </c>
      <c r="D3100" s="8">
        <v>4.9577</v>
      </c>
      <c r="E3100" s="8">
        <v>4.9558</v>
      </c>
    </row>
    <row r="3101" spans="1:5" x14ac:dyDescent="0.2">
      <c r="A3101" s="5">
        <f t="shared" si="105"/>
        <v>5</v>
      </c>
      <c r="B3101" s="5">
        <f t="shared" si="106"/>
        <v>2025</v>
      </c>
      <c r="C3101" s="7">
        <v>45784</v>
      </c>
      <c r="D3101" s="8">
        <v>4.9577</v>
      </c>
      <c r="E3101" s="8">
        <v>4.9523000000000001</v>
      </c>
    </row>
    <row r="3102" spans="1:5" x14ac:dyDescent="0.2">
      <c r="A3102" s="5">
        <f t="shared" si="105"/>
        <v>5</v>
      </c>
      <c r="B3102" s="5">
        <f t="shared" si="106"/>
        <v>2025</v>
      </c>
      <c r="C3102" s="7">
        <v>45785</v>
      </c>
      <c r="D3102" s="8">
        <v>4.9577</v>
      </c>
      <c r="E3102" s="8">
        <v>4.9482999999999997</v>
      </c>
    </row>
    <row r="3103" spans="1:5" x14ac:dyDescent="0.2">
      <c r="A3103" s="5">
        <f t="shared" si="105"/>
        <v>5</v>
      </c>
      <c r="B3103" s="5">
        <f t="shared" si="106"/>
        <v>2025</v>
      </c>
      <c r="C3103" s="7">
        <v>45786</v>
      </c>
      <c r="D3103" s="8">
        <v>4.9470999999999998</v>
      </c>
      <c r="E3103" s="8">
        <v>4.9451000000000001</v>
      </c>
    </row>
    <row r="3104" spans="1:5" x14ac:dyDescent="0.2">
      <c r="A3104" s="5">
        <f t="shared" si="105"/>
        <v>5</v>
      </c>
      <c r="B3104" s="5">
        <f t="shared" si="106"/>
        <v>2025</v>
      </c>
      <c r="C3104" s="7">
        <v>45789</v>
      </c>
      <c r="D3104" s="8">
        <v>4.9469000000000003</v>
      </c>
      <c r="E3104" s="8">
        <v>4.9362000000000004</v>
      </c>
    </row>
    <row r="3105" spans="1:5" x14ac:dyDescent="0.2">
      <c r="A3105" s="5">
        <f t="shared" si="105"/>
        <v>5</v>
      </c>
      <c r="B3105" s="5">
        <f t="shared" si="106"/>
        <v>2025</v>
      </c>
      <c r="C3105" s="7">
        <v>45790</v>
      </c>
      <c r="D3105" s="8">
        <v>4.9463999999999997</v>
      </c>
      <c r="E3105" s="8">
        <v>4.9272</v>
      </c>
    </row>
    <row r="3106" spans="1:5" x14ac:dyDescent="0.2">
      <c r="A3106" s="5">
        <f t="shared" si="105"/>
        <v>5</v>
      </c>
      <c r="B3106" s="5">
        <f t="shared" si="106"/>
        <v>2025</v>
      </c>
      <c r="C3106" s="7">
        <v>45791</v>
      </c>
      <c r="D3106" s="8">
        <v>4.9467999999999996</v>
      </c>
      <c r="E3106" s="8">
        <v>4.9242999999999997</v>
      </c>
    </row>
    <row r="3107" spans="1:5" x14ac:dyDescent="0.2">
      <c r="A3107" s="5">
        <f t="shared" si="105"/>
        <v>5</v>
      </c>
      <c r="B3107" s="5">
        <f t="shared" si="106"/>
        <v>2025</v>
      </c>
      <c r="C3107" s="7">
        <v>45792</v>
      </c>
      <c r="D3107" s="8">
        <v>4.9473000000000003</v>
      </c>
      <c r="E3107" s="8">
        <v>4.9180999999999999</v>
      </c>
    </row>
    <row r="3108" spans="1:5" x14ac:dyDescent="0.2">
      <c r="A3108" s="5">
        <f t="shared" si="105"/>
        <v>5</v>
      </c>
      <c r="B3108" s="5">
        <f t="shared" si="106"/>
        <v>2025</v>
      </c>
      <c r="C3108" s="7">
        <v>45793</v>
      </c>
      <c r="D3108" s="8">
        <v>4.9318999999999997</v>
      </c>
      <c r="E3108" s="8">
        <v>4.9114000000000004</v>
      </c>
    </row>
    <row r="3109" spans="1:5" x14ac:dyDescent="0.2">
      <c r="A3109" s="5">
        <f t="shared" si="105"/>
        <v>5</v>
      </c>
      <c r="B3109" s="5">
        <f t="shared" si="106"/>
        <v>2025</v>
      </c>
      <c r="C3109" s="7">
        <v>45796</v>
      </c>
      <c r="D3109" s="8">
        <v>4.9099000000000004</v>
      </c>
      <c r="E3109" s="8">
        <v>4.9012000000000002</v>
      </c>
    </row>
    <row r="3110" spans="1:5" x14ac:dyDescent="0.2">
      <c r="A3110" s="5">
        <f t="shared" si="105"/>
        <v>5</v>
      </c>
      <c r="B3110" s="5">
        <f t="shared" si="106"/>
        <v>2025</v>
      </c>
      <c r="C3110" s="7">
        <v>45797</v>
      </c>
      <c r="D3110" s="8">
        <v>4.9099000000000004</v>
      </c>
      <c r="E3110" s="8">
        <v>4.8968999999999996</v>
      </c>
    </row>
    <row r="3111" spans="1:5" x14ac:dyDescent="0.2">
      <c r="A3111" s="5">
        <f t="shared" si="105"/>
        <v>5</v>
      </c>
      <c r="B3111" s="5">
        <f t="shared" si="106"/>
        <v>2025</v>
      </c>
      <c r="C3111" s="7">
        <v>45798</v>
      </c>
      <c r="D3111" s="8">
        <v>4.9131999999999998</v>
      </c>
      <c r="E3111" s="8">
        <v>4.8978999999999999</v>
      </c>
    </row>
    <row r="3112" spans="1:5" x14ac:dyDescent="0.2">
      <c r="A3112" s="5">
        <f t="shared" si="105"/>
        <v>5</v>
      </c>
      <c r="B3112" s="5">
        <f t="shared" si="106"/>
        <v>2025</v>
      </c>
      <c r="C3112" s="7">
        <v>45799</v>
      </c>
      <c r="D3112" s="8">
        <v>4.9165000000000001</v>
      </c>
      <c r="E3112" s="8">
        <v>4.8936000000000002</v>
      </c>
    </row>
    <row r="3113" spans="1:5" x14ac:dyDescent="0.2">
      <c r="A3113" s="5">
        <f t="shared" si="105"/>
        <v>5</v>
      </c>
      <c r="B3113" s="5">
        <f t="shared" si="106"/>
        <v>2025</v>
      </c>
      <c r="C3113" s="7">
        <v>45800</v>
      </c>
      <c r="D3113" s="8">
        <v>4.8959000000000001</v>
      </c>
      <c r="E3113" s="8">
        <v>4.8589000000000002</v>
      </c>
    </row>
    <row r="3114" spans="1:5" x14ac:dyDescent="0.2">
      <c r="A3114" s="5">
        <f t="shared" si="105"/>
        <v>5</v>
      </c>
      <c r="B3114" s="5">
        <f t="shared" si="106"/>
        <v>2025</v>
      </c>
      <c r="C3114" s="7">
        <v>45803</v>
      </c>
      <c r="D3114" s="8">
        <v>4.8959000000000001</v>
      </c>
      <c r="E3114" s="8">
        <v>4.8499999999999996</v>
      </c>
    </row>
    <row r="3115" spans="1:5" x14ac:dyDescent="0.2">
      <c r="A3115" s="5">
        <f t="shared" si="105"/>
        <v>5</v>
      </c>
      <c r="B3115" s="5">
        <f t="shared" si="106"/>
        <v>2025</v>
      </c>
      <c r="C3115" s="7">
        <v>45804</v>
      </c>
      <c r="D3115" s="8">
        <v>4.8956</v>
      </c>
      <c r="E3115" s="8">
        <v>4.8468</v>
      </c>
    </row>
    <row r="3116" spans="1:5" x14ac:dyDescent="0.2">
      <c r="A3116" s="5">
        <f t="shared" si="105"/>
        <v>5</v>
      </c>
      <c r="B3116" s="5">
        <f t="shared" si="106"/>
        <v>2025</v>
      </c>
      <c r="C3116" s="7">
        <v>45805</v>
      </c>
      <c r="D3116" s="8">
        <v>4.8958000000000004</v>
      </c>
      <c r="E3116" s="8">
        <v>4.8441000000000001</v>
      </c>
    </row>
    <row r="3117" spans="1:5" x14ac:dyDescent="0.2">
      <c r="A3117" s="5">
        <f t="shared" si="105"/>
        <v>5</v>
      </c>
      <c r="B3117" s="5">
        <f t="shared" si="106"/>
        <v>2025</v>
      </c>
      <c r="C3117" s="7">
        <v>45806</v>
      </c>
      <c r="D3117" s="8">
        <v>4.8956</v>
      </c>
      <c r="E3117" s="8">
        <v>4.8407999999999998</v>
      </c>
    </row>
    <row r="3118" spans="1:5" x14ac:dyDescent="0.2">
      <c r="A3118" s="5">
        <f t="shared" si="105"/>
        <v>5</v>
      </c>
      <c r="B3118" s="5">
        <f t="shared" si="106"/>
        <v>2025</v>
      </c>
      <c r="C3118" s="7">
        <v>45807</v>
      </c>
      <c r="D3118" s="8">
        <v>4.88</v>
      </c>
      <c r="E3118" s="8">
        <v>4.8052999999999999</v>
      </c>
    </row>
    <row r="3119" spans="1:5" x14ac:dyDescent="0.2">
      <c r="A3119" s="5">
        <f t="shared" si="105"/>
        <v>6</v>
      </c>
      <c r="B3119" s="5">
        <f t="shared" si="106"/>
        <v>2025</v>
      </c>
      <c r="C3119" s="7">
        <v>45810</v>
      </c>
      <c r="D3119" s="8">
        <v>4.8697999999999997</v>
      </c>
      <c r="E3119" s="8">
        <v>4.7990000000000004</v>
      </c>
    </row>
    <row r="3120" spans="1:5" x14ac:dyDescent="0.2">
      <c r="A3120" s="5">
        <f t="shared" si="105"/>
        <v>6</v>
      </c>
      <c r="B3120" s="5">
        <f t="shared" si="106"/>
        <v>2025</v>
      </c>
      <c r="C3120" s="7">
        <v>45811</v>
      </c>
      <c r="D3120" s="8">
        <v>4.8625999999999996</v>
      </c>
      <c r="E3120" s="8">
        <v>4.7944000000000004</v>
      </c>
    </row>
    <row r="3121" spans="1:5" x14ac:dyDescent="0.2">
      <c r="A3121" s="5">
        <f t="shared" si="105"/>
        <v>6</v>
      </c>
      <c r="B3121" s="5">
        <f t="shared" si="106"/>
        <v>2025</v>
      </c>
      <c r="C3121" s="7">
        <v>45812</v>
      </c>
      <c r="D3121" s="8">
        <v>4.8605</v>
      </c>
      <c r="E3121" s="8">
        <v>4.7911000000000001</v>
      </c>
    </row>
    <row r="3122" spans="1:5" x14ac:dyDescent="0.2">
      <c r="A3122" s="5">
        <f t="shared" si="105"/>
        <v>6</v>
      </c>
      <c r="B3122" s="5">
        <f t="shared" si="106"/>
        <v>2025</v>
      </c>
      <c r="C3122" s="7">
        <v>45813</v>
      </c>
      <c r="D3122" s="8">
        <v>4.8605</v>
      </c>
      <c r="E3122" s="8">
        <v>4.7915999999999999</v>
      </c>
    </row>
    <row r="3123" spans="1:5" x14ac:dyDescent="0.2">
      <c r="A3123" s="5">
        <f t="shared" si="105"/>
        <v>6</v>
      </c>
      <c r="B3123" s="5">
        <f t="shared" si="106"/>
        <v>2025</v>
      </c>
      <c r="C3123" s="7">
        <v>45814</v>
      </c>
      <c r="D3123" s="8">
        <v>4.8228999999999997</v>
      </c>
      <c r="E3123" s="8">
        <v>4.7690000000000001</v>
      </c>
    </row>
    <row r="3124" spans="1:5" x14ac:dyDescent="0.2">
      <c r="A3124" s="5">
        <f t="shared" si="105"/>
        <v>6</v>
      </c>
      <c r="B3124" s="5">
        <f t="shared" si="106"/>
        <v>2025</v>
      </c>
      <c r="C3124" s="7">
        <v>45817</v>
      </c>
      <c r="D3124" s="8">
        <v>4.8177000000000003</v>
      </c>
      <c r="E3124" s="8">
        <v>4.7636000000000003</v>
      </c>
    </row>
    <row r="3125" spans="1:5" x14ac:dyDescent="0.2">
      <c r="A3125" s="5">
        <f t="shared" si="105"/>
        <v>6</v>
      </c>
      <c r="B3125" s="5">
        <f t="shared" si="106"/>
        <v>2025</v>
      </c>
      <c r="C3125" s="7">
        <v>45818</v>
      </c>
      <c r="D3125" s="8">
        <v>4.7706999999999997</v>
      </c>
      <c r="E3125" s="8">
        <v>4.7693000000000003</v>
      </c>
    </row>
    <row r="3126" spans="1:5" x14ac:dyDescent="0.2">
      <c r="A3126" s="5">
        <f t="shared" si="105"/>
        <v>6</v>
      </c>
      <c r="B3126" s="5">
        <f t="shared" si="106"/>
        <v>2025</v>
      </c>
      <c r="C3126" s="7">
        <v>45819</v>
      </c>
      <c r="D3126" s="8">
        <v>4.7706999999999997</v>
      </c>
      <c r="E3126" s="8">
        <v>4.7679</v>
      </c>
    </row>
    <row r="3127" spans="1:5" x14ac:dyDescent="0.2">
      <c r="A3127" s="5">
        <f t="shared" si="105"/>
        <v>6</v>
      </c>
      <c r="B3127" s="5">
        <f t="shared" si="106"/>
        <v>2025</v>
      </c>
      <c r="C3127" s="7">
        <v>45820</v>
      </c>
      <c r="D3127" s="8">
        <v>4.7602000000000002</v>
      </c>
      <c r="E3127" s="8">
        <v>4.7580999999999998</v>
      </c>
    </row>
    <row r="3128" spans="1:5" x14ac:dyDescent="0.2">
      <c r="A3128" s="5">
        <f t="shared" si="105"/>
        <v>6</v>
      </c>
      <c r="B3128" s="5">
        <f t="shared" si="106"/>
        <v>2025</v>
      </c>
      <c r="C3128" s="7">
        <v>45821</v>
      </c>
      <c r="D3128" s="8">
        <v>4.7225000000000001</v>
      </c>
      <c r="E3128" s="8">
        <v>4.7194000000000003</v>
      </c>
    </row>
    <row r="3129" spans="1:5" x14ac:dyDescent="0.2">
      <c r="A3129" s="5">
        <f t="shared" si="105"/>
        <v>6</v>
      </c>
      <c r="B3129" s="5">
        <f t="shared" si="106"/>
        <v>2025</v>
      </c>
      <c r="C3129" s="7">
        <v>45824</v>
      </c>
      <c r="D3129" s="8">
        <v>4.7130000000000001</v>
      </c>
      <c r="E3129" s="8">
        <v>4.7077</v>
      </c>
    </row>
    <row r="3130" spans="1:5" x14ac:dyDescent="0.2">
      <c r="A3130" s="5">
        <f t="shared" si="105"/>
        <v>6</v>
      </c>
      <c r="B3130" s="5">
        <f t="shared" si="106"/>
        <v>2025</v>
      </c>
      <c r="C3130" s="7">
        <v>45825</v>
      </c>
      <c r="D3130" s="8">
        <v>4.7179000000000002</v>
      </c>
      <c r="E3130" s="8">
        <v>4.7069999999999999</v>
      </c>
    </row>
    <row r="3131" spans="1:5" x14ac:dyDescent="0.2">
      <c r="A3131" s="5">
        <f t="shared" si="105"/>
        <v>6</v>
      </c>
      <c r="B3131" s="5">
        <f t="shared" si="106"/>
        <v>2025</v>
      </c>
      <c r="C3131" s="7">
        <v>45826</v>
      </c>
      <c r="D3131" s="8">
        <v>4.718</v>
      </c>
      <c r="E3131" s="8">
        <v>4.7074999999999996</v>
      </c>
    </row>
    <row r="3132" spans="1:5" x14ac:dyDescent="0.2">
      <c r="A3132" s="5">
        <f t="shared" si="105"/>
        <v>6</v>
      </c>
      <c r="B3132" s="5">
        <f t="shared" si="106"/>
        <v>2025</v>
      </c>
      <c r="C3132" s="7">
        <v>45828</v>
      </c>
      <c r="D3132" s="8">
        <v>4.6764000000000001</v>
      </c>
      <c r="E3132" s="8">
        <v>4.6919000000000004</v>
      </c>
    </row>
    <row r="3133" spans="1:5" x14ac:dyDescent="0.2">
      <c r="A3133" s="5">
        <f t="shared" si="105"/>
        <v>6</v>
      </c>
      <c r="B3133" s="5">
        <f t="shared" si="106"/>
        <v>2025</v>
      </c>
      <c r="C3133" s="7">
        <v>45831</v>
      </c>
      <c r="D3133" s="8">
        <v>4.6764000000000001</v>
      </c>
      <c r="E3133" s="8">
        <v>4.6886999999999999</v>
      </c>
    </row>
    <row r="3134" spans="1:5" x14ac:dyDescent="0.2">
      <c r="A3134" s="5">
        <f t="shared" si="105"/>
        <v>6</v>
      </c>
      <c r="B3134" s="5">
        <f t="shared" si="106"/>
        <v>2025</v>
      </c>
      <c r="C3134" s="7">
        <v>45832</v>
      </c>
      <c r="D3134" s="8">
        <v>4.6764000000000001</v>
      </c>
      <c r="E3134" s="8">
        <v>4.6896000000000004</v>
      </c>
    </row>
    <row r="3135" spans="1:5" x14ac:dyDescent="0.2">
      <c r="A3135" s="5">
        <f t="shared" si="105"/>
        <v>6</v>
      </c>
      <c r="B3135" s="5">
        <f t="shared" si="106"/>
        <v>2025</v>
      </c>
      <c r="C3135" s="7">
        <v>45833</v>
      </c>
      <c r="D3135" s="8">
        <v>4.6760000000000002</v>
      </c>
      <c r="E3135" s="8">
        <v>4.6848000000000001</v>
      </c>
    </row>
    <row r="3136" spans="1:5" x14ac:dyDescent="0.2">
      <c r="A3136" s="5">
        <f t="shared" si="105"/>
        <v>6</v>
      </c>
      <c r="B3136" s="5">
        <f t="shared" si="106"/>
        <v>2025</v>
      </c>
      <c r="C3136" s="7">
        <v>45834</v>
      </c>
      <c r="D3136" s="8">
        <v>4.6664000000000003</v>
      </c>
      <c r="E3136" s="8">
        <v>4.6806000000000001</v>
      </c>
    </row>
    <row r="3137" spans="1:5" x14ac:dyDescent="0.2">
      <c r="A3137" s="5">
        <f t="shared" si="105"/>
        <v>6</v>
      </c>
      <c r="B3137" s="5">
        <f t="shared" si="106"/>
        <v>2025</v>
      </c>
      <c r="C3137" s="7">
        <v>45835</v>
      </c>
      <c r="D3137" s="8">
        <v>4.6627000000000001</v>
      </c>
      <c r="E3137" s="8">
        <v>4.6773999999999996</v>
      </c>
    </row>
    <row r="3138" spans="1:5" x14ac:dyDescent="0.2">
      <c r="A3138" s="5">
        <f t="shared" si="105"/>
        <v>6</v>
      </c>
      <c r="B3138" s="5">
        <f t="shared" si="106"/>
        <v>2025</v>
      </c>
      <c r="C3138" s="7">
        <v>45838</v>
      </c>
      <c r="D3138" s="8">
        <v>4.6445999999999996</v>
      </c>
      <c r="E3138" s="8">
        <v>4.6734999999999998</v>
      </c>
    </row>
    <row r="3139" spans="1:5" x14ac:dyDescent="0.2">
      <c r="A3139" s="5">
        <f t="shared" si="105"/>
        <v>7</v>
      </c>
      <c r="B3139" s="5">
        <f t="shared" si="106"/>
        <v>2025</v>
      </c>
      <c r="C3139" s="7">
        <v>45839</v>
      </c>
      <c r="D3139" s="8">
        <v>4.6445999999999996</v>
      </c>
      <c r="E3139" s="8">
        <v>4.6731999999999996</v>
      </c>
    </row>
    <row r="3140" spans="1:5" x14ac:dyDescent="0.2">
      <c r="A3140" s="5">
        <f t="shared" ref="A3140:A3203" si="107">MONTH(C3140)</f>
        <v>7</v>
      </c>
      <c r="B3140" s="5">
        <f t="shared" ref="B3140:B3203" si="108">YEAR(C3140)</f>
        <v>2025</v>
      </c>
      <c r="C3140" s="7">
        <v>45840</v>
      </c>
      <c r="D3140" s="8">
        <v>4.6445999999999996</v>
      </c>
      <c r="E3140" s="8">
        <v>4.6744000000000003</v>
      </c>
    </row>
    <row r="3141" spans="1:5" x14ac:dyDescent="0.2">
      <c r="A3141" s="5">
        <f t="shared" si="107"/>
        <v>7</v>
      </c>
      <c r="B3141" s="5">
        <f t="shared" si="108"/>
        <v>2025</v>
      </c>
      <c r="C3141" s="7">
        <v>45841</v>
      </c>
      <c r="D3141" s="8">
        <v>4.6589</v>
      </c>
      <c r="E3141" s="8">
        <v>4.6757</v>
      </c>
    </row>
    <row r="3142" spans="1:5" x14ac:dyDescent="0.2">
      <c r="A3142" s="5">
        <f t="shared" si="107"/>
        <v>7</v>
      </c>
      <c r="B3142" s="5">
        <f t="shared" si="108"/>
        <v>2025</v>
      </c>
      <c r="C3142" s="7">
        <v>45842</v>
      </c>
      <c r="D3142" s="8">
        <v>4.6543999999999999</v>
      </c>
      <c r="E3142" s="8">
        <v>4.6836000000000002</v>
      </c>
    </row>
    <row r="3143" spans="1:5" x14ac:dyDescent="0.2">
      <c r="A3143" s="5">
        <f t="shared" si="107"/>
        <v>7</v>
      </c>
      <c r="B3143" s="5">
        <f t="shared" si="108"/>
        <v>2025</v>
      </c>
      <c r="C3143" s="7">
        <v>45845</v>
      </c>
      <c r="D3143" s="8">
        <v>4.6536</v>
      </c>
      <c r="E3143" s="8">
        <v>4.6890999999999998</v>
      </c>
    </row>
    <row r="3144" spans="1:5" x14ac:dyDescent="0.2">
      <c r="A3144" s="5">
        <f t="shared" si="107"/>
        <v>7</v>
      </c>
      <c r="B3144" s="5">
        <f t="shared" si="108"/>
        <v>2025</v>
      </c>
      <c r="C3144" s="7">
        <v>45846</v>
      </c>
      <c r="D3144" s="8">
        <v>4.6436999999999999</v>
      </c>
      <c r="E3144" s="8">
        <v>4.6868999999999996</v>
      </c>
    </row>
    <row r="3145" spans="1:5" x14ac:dyDescent="0.2">
      <c r="A3145" s="5">
        <f t="shared" si="107"/>
        <v>7</v>
      </c>
      <c r="B3145" s="5">
        <f t="shared" si="108"/>
        <v>2025</v>
      </c>
      <c r="C3145" s="7">
        <v>45847</v>
      </c>
      <c r="D3145" s="8">
        <v>4.6340000000000003</v>
      </c>
      <c r="E3145" s="8">
        <v>4.6792999999999996</v>
      </c>
    </row>
    <row r="3146" spans="1:5" x14ac:dyDescent="0.2">
      <c r="A3146" s="5">
        <f t="shared" si="107"/>
        <v>7</v>
      </c>
      <c r="B3146" s="5">
        <f t="shared" si="108"/>
        <v>2025</v>
      </c>
      <c r="C3146" s="7">
        <v>45848</v>
      </c>
      <c r="D3146" s="8">
        <v>4.6700999999999997</v>
      </c>
      <c r="E3146" s="8">
        <v>4.6749999999999998</v>
      </c>
    </row>
    <row r="3147" spans="1:5" x14ac:dyDescent="0.2">
      <c r="A3147" s="5">
        <f t="shared" si="107"/>
        <v>7</v>
      </c>
      <c r="B3147" s="5">
        <f t="shared" si="108"/>
        <v>2025</v>
      </c>
      <c r="C3147" s="7">
        <v>45849</v>
      </c>
      <c r="D3147" s="8">
        <v>4.6524000000000001</v>
      </c>
      <c r="E3147" s="8">
        <v>4.6543999999999999</v>
      </c>
    </row>
    <row r="3148" spans="1:5" x14ac:dyDescent="0.2">
      <c r="A3148" s="5">
        <f t="shared" si="107"/>
        <v>7</v>
      </c>
      <c r="B3148" s="5">
        <f t="shared" si="108"/>
        <v>2025</v>
      </c>
      <c r="C3148" s="7">
        <v>45852</v>
      </c>
      <c r="D3148" s="8">
        <v>4.6269999999999998</v>
      </c>
      <c r="E3148" s="8">
        <v>4.6207000000000003</v>
      </c>
    </row>
    <row r="3149" spans="1:5" x14ac:dyDescent="0.2">
      <c r="A3149" s="5">
        <f t="shared" si="107"/>
        <v>7</v>
      </c>
      <c r="B3149" s="5">
        <f t="shared" si="108"/>
        <v>2025</v>
      </c>
      <c r="C3149" s="7">
        <v>45853</v>
      </c>
      <c r="D3149" s="8">
        <v>4.6448</v>
      </c>
      <c r="E3149" s="8">
        <v>4.6298000000000004</v>
      </c>
    </row>
    <row r="3150" spans="1:5" x14ac:dyDescent="0.2">
      <c r="A3150" s="5">
        <f t="shared" si="107"/>
        <v>7</v>
      </c>
      <c r="B3150" s="5">
        <f t="shared" si="108"/>
        <v>2025</v>
      </c>
      <c r="C3150" s="7">
        <v>45854</v>
      </c>
      <c r="D3150" s="8">
        <v>4.6010999999999997</v>
      </c>
      <c r="E3150" s="8">
        <v>4.5892999999999997</v>
      </c>
    </row>
    <row r="3151" spans="1:5" x14ac:dyDescent="0.2">
      <c r="A3151" s="5">
        <f t="shared" si="107"/>
        <v>7</v>
      </c>
      <c r="B3151" s="5">
        <f t="shared" si="108"/>
        <v>2025</v>
      </c>
      <c r="C3151" s="7">
        <v>45855</v>
      </c>
      <c r="D3151" s="8">
        <v>4.5900999999999996</v>
      </c>
      <c r="E3151" s="8">
        <v>4.5936000000000003</v>
      </c>
    </row>
    <row r="3152" spans="1:5" x14ac:dyDescent="0.2">
      <c r="A3152" s="5">
        <f t="shared" si="107"/>
        <v>7</v>
      </c>
      <c r="B3152" s="5">
        <f t="shared" si="108"/>
        <v>2025</v>
      </c>
      <c r="C3152" s="7">
        <v>45856</v>
      </c>
      <c r="D3152" s="8">
        <v>4.5183</v>
      </c>
      <c r="E3152" s="8">
        <v>4.4882</v>
      </c>
    </row>
    <row r="3153" spans="1:5" x14ac:dyDescent="0.2">
      <c r="A3153" s="5">
        <f t="shared" si="107"/>
        <v>7</v>
      </c>
      <c r="B3153" s="5">
        <f t="shared" si="108"/>
        <v>2025</v>
      </c>
      <c r="C3153" s="7">
        <v>45859</v>
      </c>
      <c r="D3153" s="8">
        <v>4.5248999999999997</v>
      </c>
      <c r="E3153" s="8">
        <v>4.4806999999999997</v>
      </c>
    </row>
    <row r="3154" spans="1:5" x14ac:dyDescent="0.2">
      <c r="A3154" s="5">
        <f t="shared" si="107"/>
        <v>7</v>
      </c>
      <c r="B3154" s="5">
        <f t="shared" si="108"/>
        <v>2025</v>
      </c>
      <c r="C3154" s="7">
        <v>45860</v>
      </c>
      <c r="D3154" s="8">
        <v>4.5248999999999997</v>
      </c>
      <c r="E3154" s="8">
        <v>4.4771000000000001</v>
      </c>
    </row>
    <row r="3155" spans="1:5" x14ac:dyDescent="0.2">
      <c r="A3155" s="5">
        <f t="shared" si="107"/>
        <v>7</v>
      </c>
      <c r="B3155" s="5">
        <f t="shared" si="108"/>
        <v>2025</v>
      </c>
      <c r="C3155" s="7">
        <v>45861</v>
      </c>
      <c r="D3155" s="8">
        <v>4.5248999999999997</v>
      </c>
      <c r="E3155" s="8">
        <v>4.4734999999999996</v>
      </c>
    </row>
    <row r="3156" spans="1:5" x14ac:dyDescent="0.2">
      <c r="A3156" s="5">
        <f t="shared" si="107"/>
        <v>7</v>
      </c>
      <c r="B3156" s="5">
        <f t="shared" si="108"/>
        <v>2025</v>
      </c>
      <c r="C3156" s="7">
        <v>45862</v>
      </c>
      <c r="D3156" s="8">
        <v>4.5304000000000002</v>
      </c>
      <c r="E3156" s="8">
        <v>4.4870999999999999</v>
      </c>
    </row>
    <row r="3157" spans="1:5" x14ac:dyDescent="0.2">
      <c r="A3157" s="5">
        <f t="shared" si="107"/>
        <v>7</v>
      </c>
      <c r="B3157" s="5">
        <f t="shared" si="108"/>
        <v>2025</v>
      </c>
      <c r="C3157" s="7">
        <v>45863</v>
      </c>
      <c r="D3157" s="8">
        <v>4.5133999999999999</v>
      </c>
      <c r="E3157" s="8">
        <v>4.4442000000000004</v>
      </c>
    </row>
    <row r="3158" spans="1:5" x14ac:dyDescent="0.2">
      <c r="A3158" s="5">
        <f t="shared" si="107"/>
        <v>7</v>
      </c>
      <c r="B3158" s="5">
        <f t="shared" si="108"/>
        <v>2025</v>
      </c>
      <c r="C3158" s="7">
        <v>45866</v>
      </c>
      <c r="D3158" s="8">
        <v>4.5189000000000004</v>
      </c>
      <c r="E3158" s="8">
        <v>4.4436</v>
      </c>
    </row>
    <row r="3159" spans="1:5" x14ac:dyDescent="0.2">
      <c r="A3159" s="5">
        <f t="shared" si="107"/>
        <v>7</v>
      </c>
      <c r="B3159" s="5">
        <f t="shared" si="108"/>
        <v>2025</v>
      </c>
      <c r="C3159" s="7">
        <v>45867</v>
      </c>
      <c r="D3159" s="8">
        <v>4.5189000000000004</v>
      </c>
      <c r="E3159" s="8">
        <v>4.4372999999999996</v>
      </c>
    </row>
    <row r="3160" spans="1:5" x14ac:dyDescent="0.2">
      <c r="A3160" s="5">
        <f t="shared" si="107"/>
        <v>7</v>
      </c>
      <c r="B3160" s="5">
        <f t="shared" si="108"/>
        <v>2025</v>
      </c>
      <c r="C3160" s="7">
        <v>45868</v>
      </c>
      <c r="D3160" s="8">
        <v>4.5189000000000004</v>
      </c>
      <c r="E3160" s="8">
        <v>4.4335000000000004</v>
      </c>
    </row>
    <row r="3161" spans="1:5" x14ac:dyDescent="0.2">
      <c r="A3161" s="5">
        <f t="shared" si="107"/>
        <v>7</v>
      </c>
      <c r="B3161" s="5">
        <f t="shared" si="108"/>
        <v>2025</v>
      </c>
      <c r="C3161" s="7">
        <v>45869</v>
      </c>
      <c r="D3161" s="8">
        <v>4.5133999999999999</v>
      </c>
      <c r="E3161" s="8">
        <v>4.4207999999999998</v>
      </c>
    </row>
    <row r="3162" spans="1:5" x14ac:dyDescent="0.2">
      <c r="A3162" s="5">
        <f t="shared" si="107"/>
        <v>8</v>
      </c>
      <c r="B3162" s="5">
        <f t="shared" si="108"/>
        <v>2025</v>
      </c>
      <c r="C3162" s="7">
        <v>45870</v>
      </c>
      <c r="D3162" s="8">
        <v>4.4984000000000002</v>
      </c>
      <c r="E3162" s="8">
        <v>4.3913000000000002</v>
      </c>
    </row>
    <row r="3163" spans="1:5" x14ac:dyDescent="0.2">
      <c r="A3163" s="5">
        <f t="shared" si="107"/>
        <v>8</v>
      </c>
      <c r="B3163" s="5">
        <f t="shared" si="108"/>
        <v>2025</v>
      </c>
      <c r="C3163" s="7">
        <v>45873</v>
      </c>
      <c r="D3163" s="8">
        <v>4.4919000000000002</v>
      </c>
      <c r="E3163" s="8">
        <v>4.3710000000000004</v>
      </c>
    </row>
    <row r="3164" spans="1:5" x14ac:dyDescent="0.2">
      <c r="A3164" s="5">
        <f t="shared" si="107"/>
        <v>8</v>
      </c>
      <c r="B3164" s="5">
        <f t="shared" si="108"/>
        <v>2025</v>
      </c>
      <c r="C3164" s="7">
        <v>45874</v>
      </c>
      <c r="D3164" s="8">
        <v>4.4983000000000004</v>
      </c>
      <c r="E3164" s="8">
        <v>4.3785999999999996</v>
      </c>
    </row>
    <row r="3165" spans="1:5" x14ac:dyDescent="0.2">
      <c r="A3165" s="5">
        <f t="shared" si="107"/>
        <v>8</v>
      </c>
      <c r="B3165" s="5">
        <f t="shared" si="108"/>
        <v>2025</v>
      </c>
      <c r="C3165" s="7">
        <v>45875</v>
      </c>
      <c r="D3165" s="8">
        <v>4.4855</v>
      </c>
      <c r="E3165" s="8">
        <v>4.3567999999999998</v>
      </c>
    </row>
    <row r="3166" spans="1:5" x14ac:dyDescent="0.2">
      <c r="A3166" s="5">
        <f t="shared" si="107"/>
        <v>8</v>
      </c>
      <c r="B3166" s="5">
        <f t="shared" si="108"/>
        <v>2025</v>
      </c>
      <c r="C3166" s="7">
        <v>45876</v>
      </c>
      <c r="D3166" s="8">
        <v>4.4668999999999999</v>
      </c>
      <c r="E3166" s="8">
        <v>4.3525</v>
      </c>
    </row>
    <row r="3167" spans="1:5" x14ac:dyDescent="0.2">
      <c r="A3167" s="5">
        <f t="shared" si="107"/>
        <v>8</v>
      </c>
      <c r="B3167" s="5">
        <f t="shared" si="108"/>
        <v>2025</v>
      </c>
      <c r="C3167" s="7">
        <v>45877</v>
      </c>
      <c r="D3167" s="8">
        <v>4.4762000000000004</v>
      </c>
      <c r="E3167" s="8">
        <v>4.3502999999999998</v>
      </c>
    </row>
    <row r="3168" spans="1:5" x14ac:dyDescent="0.2">
      <c r="A3168" s="5">
        <f t="shared" si="107"/>
        <v>8</v>
      </c>
      <c r="B3168" s="5">
        <f t="shared" si="108"/>
        <v>2025</v>
      </c>
      <c r="C3168" s="7">
        <v>45880</v>
      </c>
      <c r="D3168" s="8">
        <v>4.4668999999999999</v>
      </c>
      <c r="E3168" s="8">
        <v>4.3417000000000003</v>
      </c>
    </row>
    <row r="3169" spans="1:5" x14ac:dyDescent="0.2">
      <c r="A3169" s="5">
        <f t="shared" si="107"/>
        <v>8</v>
      </c>
      <c r="B3169" s="5">
        <f t="shared" si="108"/>
        <v>2025</v>
      </c>
      <c r="C3169" s="7">
        <v>45881</v>
      </c>
      <c r="D3169" s="8">
        <v>4.3421000000000003</v>
      </c>
      <c r="E3169" s="8">
        <v>4.3537999999999997</v>
      </c>
    </row>
    <row r="3170" spans="1:5" x14ac:dyDescent="0.2">
      <c r="A3170" s="5">
        <f t="shared" si="107"/>
        <v>8</v>
      </c>
      <c r="B3170" s="5">
        <f t="shared" si="108"/>
        <v>2025</v>
      </c>
      <c r="C3170" s="7">
        <v>45882</v>
      </c>
      <c r="D3170" s="8">
        <v>4.3417000000000003</v>
      </c>
      <c r="E3170" s="8">
        <v>4.3615000000000004</v>
      </c>
    </row>
    <row r="3171" spans="1:5" x14ac:dyDescent="0.2">
      <c r="A3171" s="5">
        <f t="shared" si="107"/>
        <v>8</v>
      </c>
      <c r="B3171" s="5">
        <f t="shared" si="108"/>
        <v>2025</v>
      </c>
      <c r="C3171" s="7">
        <v>45883</v>
      </c>
      <c r="D3171" s="8">
        <v>4.3357000000000001</v>
      </c>
      <c r="E3171" s="8">
        <v>4.3642000000000003</v>
      </c>
    </row>
    <row r="3172" spans="1:5" x14ac:dyDescent="0.2">
      <c r="A3172" s="5">
        <f t="shared" si="107"/>
        <v>8</v>
      </c>
      <c r="B3172" s="5">
        <f t="shared" si="108"/>
        <v>2025</v>
      </c>
      <c r="C3172" s="7">
        <v>45884</v>
      </c>
      <c r="D3172" s="8">
        <v>4.3109000000000002</v>
      </c>
      <c r="E3172" s="8">
        <v>4.3594999999999997</v>
      </c>
    </row>
    <row r="3173" spans="1:5" x14ac:dyDescent="0.2">
      <c r="A3173" s="5">
        <f t="shared" si="107"/>
        <v>8</v>
      </c>
      <c r="B3173" s="5">
        <f t="shared" si="108"/>
        <v>2025</v>
      </c>
      <c r="C3173" s="7">
        <v>45887</v>
      </c>
      <c r="D3173" s="8">
        <v>4.3087999999999997</v>
      </c>
      <c r="E3173" s="8">
        <v>4.3906999999999998</v>
      </c>
    </row>
    <row r="3174" spans="1:5" x14ac:dyDescent="0.2">
      <c r="A3174" s="5">
        <f t="shared" si="107"/>
        <v>8</v>
      </c>
      <c r="B3174" s="5">
        <f t="shared" si="108"/>
        <v>2025</v>
      </c>
      <c r="C3174" s="7">
        <v>45888</v>
      </c>
      <c r="D3174" s="8">
        <v>4.3036000000000003</v>
      </c>
      <c r="E3174" s="8">
        <v>4.3982000000000001</v>
      </c>
    </row>
    <row r="3175" spans="1:5" x14ac:dyDescent="0.2">
      <c r="A3175" s="5">
        <f t="shared" si="107"/>
        <v>8</v>
      </c>
      <c r="B3175" s="5">
        <f t="shared" si="108"/>
        <v>2025</v>
      </c>
      <c r="C3175" s="7">
        <v>45889</v>
      </c>
      <c r="D3175" s="8">
        <v>4.3036000000000003</v>
      </c>
      <c r="E3175" s="8">
        <v>4.4059999999999997</v>
      </c>
    </row>
    <row r="3176" spans="1:5" x14ac:dyDescent="0.2">
      <c r="A3176" s="5">
        <f t="shared" si="107"/>
        <v>8</v>
      </c>
      <c r="B3176" s="5">
        <f t="shared" si="108"/>
        <v>2025</v>
      </c>
      <c r="C3176" s="7">
        <v>45890</v>
      </c>
      <c r="D3176" s="8">
        <v>4.2995000000000001</v>
      </c>
      <c r="E3176" s="8">
        <v>4.4043999999999999</v>
      </c>
    </row>
    <row r="3177" spans="1:5" x14ac:dyDescent="0.2">
      <c r="A3177" s="5">
        <f t="shared" si="107"/>
        <v>8</v>
      </c>
      <c r="B3177" s="5">
        <f t="shared" si="108"/>
        <v>2025</v>
      </c>
      <c r="C3177" s="7">
        <v>45891</v>
      </c>
      <c r="D3177" s="8">
        <v>4.2115</v>
      </c>
      <c r="E3177" s="8">
        <v>4.3380000000000001</v>
      </c>
    </row>
    <row r="3178" spans="1:5" x14ac:dyDescent="0.2">
      <c r="A3178" s="5">
        <f t="shared" si="107"/>
        <v>8</v>
      </c>
      <c r="B3178" s="5">
        <f t="shared" si="108"/>
        <v>2025</v>
      </c>
      <c r="C3178" s="7">
        <v>45894</v>
      </c>
      <c r="D3178" s="8">
        <v>4.2070999999999996</v>
      </c>
      <c r="E3178" s="8">
        <v>4.3661000000000003</v>
      </c>
    </row>
    <row r="3179" spans="1:5" x14ac:dyDescent="0.2">
      <c r="A3179" s="5">
        <f t="shared" si="107"/>
        <v>8</v>
      </c>
      <c r="B3179" s="5">
        <f t="shared" si="108"/>
        <v>2025</v>
      </c>
      <c r="C3179" s="7">
        <v>45895</v>
      </c>
      <c r="D3179" s="8">
        <v>4.2064000000000004</v>
      </c>
      <c r="E3179" s="8">
        <v>4.3776999999999999</v>
      </c>
    </row>
    <row r="3180" spans="1:5" x14ac:dyDescent="0.2">
      <c r="A3180" s="5">
        <f t="shared" si="107"/>
        <v>8</v>
      </c>
      <c r="B3180" s="5">
        <f t="shared" si="108"/>
        <v>2025</v>
      </c>
      <c r="C3180" s="7">
        <v>45896</v>
      </c>
      <c r="D3180" s="8">
        <v>4.2035</v>
      </c>
      <c r="E3180" s="8">
        <v>4.3650000000000002</v>
      </c>
    </row>
    <row r="3181" spans="1:5" x14ac:dyDescent="0.2">
      <c r="A3181" s="5">
        <f t="shared" si="107"/>
        <v>8</v>
      </c>
      <c r="B3181" s="5">
        <f t="shared" si="108"/>
        <v>2025</v>
      </c>
      <c r="C3181" s="7">
        <v>45897</v>
      </c>
      <c r="D3181" s="8">
        <v>4.1989000000000001</v>
      </c>
      <c r="E3181" s="8">
        <v>4.3710000000000004</v>
      </c>
    </row>
    <row r="3182" spans="1:5" x14ac:dyDescent="0.2">
      <c r="A3182" s="5">
        <f t="shared" si="107"/>
        <v>8</v>
      </c>
      <c r="B3182" s="5">
        <f t="shared" si="108"/>
        <v>2025</v>
      </c>
      <c r="C3182" s="7">
        <v>45898</v>
      </c>
      <c r="D3182" s="8">
        <v>4.1828000000000003</v>
      </c>
      <c r="E3182" s="8">
        <v>4.3773999999999997</v>
      </c>
    </row>
    <row r="3183" spans="1:5" x14ac:dyDescent="0.2">
      <c r="A3183" s="5">
        <f t="shared" si="107"/>
        <v>9</v>
      </c>
      <c r="B3183" s="5">
        <f t="shared" si="108"/>
        <v>2025</v>
      </c>
      <c r="C3183" s="7">
        <v>45901</v>
      </c>
      <c r="D3183" s="8">
        <v>4.1656000000000004</v>
      </c>
      <c r="E3183" s="8">
        <v>4.4059999999999997</v>
      </c>
    </row>
    <row r="3184" spans="1:5" x14ac:dyDescent="0.2">
      <c r="A3184" s="5">
        <f t="shared" si="107"/>
        <v>9</v>
      </c>
      <c r="B3184" s="5">
        <f t="shared" si="108"/>
        <v>2025</v>
      </c>
      <c r="C3184" s="7">
        <v>45902</v>
      </c>
      <c r="D3184" s="8">
        <v>4.1635999999999997</v>
      </c>
      <c r="E3184" s="8">
        <v>4.415</v>
      </c>
    </row>
    <row r="3185" spans="1:5" x14ac:dyDescent="0.2">
      <c r="A3185" s="5">
        <f t="shared" si="107"/>
        <v>9</v>
      </c>
      <c r="B3185" s="5">
        <f t="shared" si="108"/>
        <v>2025</v>
      </c>
      <c r="C3185" s="7">
        <v>45903</v>
      </c>
      <c r="D3185" s="8">
        <v>4.1635999999999997</v>
      </c>
      <c r="E3185" s="8">
        <v>4.4276999999999997</v>
      </c>
    </row>
    <row r="3186" spans="1:5" x14ac:dyDescent="0.2">
      <c r="A3186" s="5">
        <f t="shared" si="107"/>
        <v>9</v>
      </c>
      <c r="B3186" s="5">
        <f t="shared" si="108"/>
        <v>2025</v>
      </c>
      <c r="C3186" s="7">
        <v>45904</v>
      </c>
      <c r="D3186" s="8">
        <v>4.1635999999999997</v>
      </c>
      <c r="E3186" s="8">
        <v>4.4371</v>
      </c>
    </row>
    <row r="3187" spans="1:5" x14ac:dyDescent="0.2">
      <c r="A3187" s="5">
        <f t="shared" si="107"/>
        <v>9</v>
      </c>
      <c r="B3187" s="5">
        <f t="shared" si="108"/>
        <v>2025</v>
      </c>
      <c r="C3187" s="7">
        <v>45905</v>
      </c>
      <c r="D3187" s="8">
        <v>4.1580000000000004</v>
      </c>
      <c r="E3187" s="8">
        <v>4.4465000000000003</v>
      </c>
    </row>
    <row r="3188" spans="1:5" x14ac:dyDescent="0.2">
      <c r="A3188" s="5">
        <f t="shared" si="107"/>
        <v>9</v>
      </c>
      <c r="B3188" s="5">
        <f t="shared" si="108"/>
        <v>2025</v>
      </c>
      <c r="C3188" s="7">
        <v>45908</v>
      </c>
      <c r="D3188" s="8">
        <v>4.1456999999999997</v>
      </c>
      <c r="E3188" s="8">
        <v>4.4679000000000002</v>
      </c>
    </row>
    <row r="3189" spans="1:5" x14ac:dyDescent="0.2">
      <c r="A3189" s="5">
        <f t="shared" si="107"/>
        <v>9</v>
      </c>
      <c r="B3189" s="5">
        <f t="shared" si="108"/>
        <v>2025</v>
      </c>
      <c r="C3189" s="7">
        <v>45909</v>
      </c>
      <c r="D3189" s="8">
        <v>4.1456999999999997</v>
      </c>
      <c r="E3189" s="8">
        <v>4.4779999999999998</v>
      </c>
    </row>
    <row r="3190" spans="1:5" x14ac:dyDescent="0.2">
      <c r="A3190" s="5">
        <f t="shared" si="107"/>
        <v>9</v>
      </c>
      <c r="B3190" s="5">
        <f t="shared" si="108"/>
        <v>2025</v>
      </c>
      <c r="C3190" s="7">
        <v>45910</v>
      </c>
      <c r="D3190" s="8">
        <v>4.4779999999999998</v>
      </c>
      <c r="E3190" s="8">
        <v>4.4703999999999997</v>
      </c>
    </row>
    <row r="3191" spans="1:5" x14ac:dyDescent="0.2">
      <c r="A3191" s="5">
        <f t="shared" si="107"/>
        <v>9</v>
      </c>
      <c r="B3191" s="5">
        <f t="shared" si="108"/>
        <v>2025</v>
      </c>
      <c r="C3191" s="7">
        <v>45911</v>
      </c>
      <c r="D3191" s="8">
        <v>4.4675000000000002</v>
      </c>
      <c r="E3191" s="8">
        <v>4.4417</v>
      </c>
    </row>
    <row r="3192" spans="1:5" x14ac:dyDescent="0.2">
      <c r="A3192" s="5">
        <f t="shared" si="107"/>
        <v>9</v>
      </c>
      <c r="B3192" s="5">
        <f t="shared" si="108"/>
        <v>2025</v>
      </c>
      <c r="C3192" s="7">
        <v>45912</v>
      </c>
      <c r="D3192" s="8">
        <v>4.4572000000000003</v>
      </c>
      <c r="E3192" s="8">
        <v>4.4302000000000001</v>
      </c>
    </row>
    <row r="3193" spans="1:5" x14ac:dyDescent="0.2">
      <c r="A3193" s="5">
        <f t="shared" si="107"/>
        <v>9</v>
      </c>
      <c r="B3193" s="5">
        <f t="shared" si="108"/>
        <v>2025</v>
      </c>
      <c r="C3193" s="7">
        <v>45915</v>
      </c>
      <c r="D3193" s="8">
        <v>4.4526000000000003</v>
      </c>
      <c r="E3193" s="8">
        <v>4.4032</v>
      </c>
    </row>
    <row r="3194" spans="1:5" x14ac:dyDescent="0.2">
      <c r="A3194" s="5">
        <f t="shared" si="107"/>
        <v>9</v>
      </c>
      <c r="B3194" s="5">
        <f t="shared" si="108"/>
        <v>2025</v>
      </c>
      <c r="C3194" s="7">
        <v>45916</v>
      </c>
      <c r="D3194" s="8">
        <v>4.4526000000000003</v>
      </c>
      <c r="E3194" s="8">
        <v>4.3963999999999999</v>
      </c>
    </row>
    <row r="3195" spans="1:5" x14ac:dyDescent="0.2">
      <c r="A3195" s="5">
        <f t="shared" si="107"/>
        <v>9</v>
      </c>
      <c r="B3195" s="5">
        <f t="shared" si="108"/>
        <v>2025</v>
      </c>
      <c r="C3195" s="7">
        <v>45917</v>
      </c>
      <c r="D3195" s="8">
        <v>4.4526000000000003</v>
      </c>
      <c r="E3195" s="8">
        <v>4.3883000000000001</v>
      </c>
    </row>
    <row r="3196" spans="1:5" x14ac:dyDescent="0.2">
      <c r="A3196" s="5">
        <f t="shared" si="107"/>
        <v>9</v>
      </c>
      <c r="B3196" s="5">
        <f t="shared" si="108"/>
        <v>2025</v>
      </c>
      <c r="C3196" s="7">
        <v>45918</v>
      </c>
      <c r="D3196" s="8">
        <v>4.4572000000000003</v>
      </c>
      <c r="E3196" s="8">
        <v>4.3731</v>
      </c>
    </row>
    <row r="3197" spans="1:5" x14ac:dyDescent="0.2">
      <c r="A3197" s="5">
        <f t="shared" si="107"/>
        <v>9</v>
      </c>
      <c r="B3197" s="5">
        <f t="shared" si="108"/>
        <v>2025</v>
      </c>
      <c r="C3197" s="7">
        <v>45919</v>
      </c>
      <c r="D3197" s="8">
        <v>4.4573</v>
      </c>
      <c r="E3197" s="8">
        <v>4.3642000000000003</v>
      </c>
    </row>
    <row r="3198" spans="1:5" x14ac:dyDescent="0.2">
      <c r="A3198" s="5">
        <f t="shared" si="107"/>
        <v>9</v>
      </c>
      <c r="B3198" s="5">
        <f t="shared" si="108"/>
        <v>2025</v>
      </c>
      <c r="C3198" s="7">
        <v>45922</v>
      </c>
      <c r="D3198" s="8">
        <v>4.4573</v>
      </c>
      <c r="E3198" s="8">
        <v>4.3361000000000001</v>
      </c>
    </row>
    <row r="3199" spans="1:5" x14ac:dyDescent="0.2">
      <c r="A3199" s="5">
        <f t="shared" si="107"/>
        <v>9</v>
      </c>
      <c r="B3199" s="5">
        <f t="shared" si="108"/>
        <v>2025</v>
      </c>
      <c r="C3199" s="7">
        <v>45923</v>
      </c>
      <c r="D3199" s="8">
        <v>4.4573</v>
      </c>
      <c r="E3199" s="8">
        <v>4.3226000000000004</v>
      </c>
    </row>
    <row r="3200" spans="1:5" x14ac:dyDescent="0.2">
      <c r="A3200" s="5">
        <f t="shared" si="107"/>
        <v>9</v>
      </c>
      <c r="B3200" s="5">
        <f t="shared" si="108"/>
        <v>2025</v>
      </c>
      <c r="C3200" s="7">
        <v>45924</v>
      </c>
      <c r="D3200" s="8">
        <v>4.4573</v>
      </c>
      <c r="E3200" s="8">
        <v>4.3189000000000002</v>
      </c>
    </row>
    <row r="3201" spans="1:5" x14ac:dyDescent="0.2">
      <c r="A3201" s="5">
        <f t="shared" si="107"/>
        <v>9</v>
      </c>
      <c r="B3201" s="5">
        <f t="shared" si="108"/>
        <v>2025</v>
      </c>
      <c r="C3201" s="7">
        <v>45925</v>
      </c>
      <c r="D3201" s="8">
        <v>4.4478999999999997</v>
      </c>
      <c r="E3201" s="8">
        <v>4.2923</v>
      </c>
    </row>
    <row r="3202" spans="1:5" x14ac:dyDescent="0.2">
      <c r="A3202" s="5">
        <f t="shared" si="107"/>
        <v>9</v>
      </c>
      <c r="B3202" s="5">
        <f t="shared" si="108"/>
        <v>2025</v>
      </c>
      <c r="C3202" s="7">
        <v>45926</v>
      </c>
      <c r="D3202" s="8">
        <v>4.4363999999999999</v>
      </c>
      <c r="E3202" s="8">
        <v>4.2827000000000002</v>
      </c>
    </row>
    <row r="3203" spans="1:5" x14ac:dyDescent="0.2">
      <c r="A3203" s="5">
        <f t="shared" si="107"/>
        <v>9</v>
      </c>
      <c r="B3203" s="5">
        <f t="shared" si="108"/>
        <v>2025</v>
      </c>
      <c r="C3203" s="7">
        <v>45929</v>
      </c>
      <c r="D3203" s="8">
        <v>4.4416000000000002</v>
      </c>
      <c r="E3203" s="8">
        <v>4.2508999999999997</v>
      </c>
    </row>
    <row r="3204" spans="1:5" x14ac:dyDescent="0.2">
      <c r="A3204" s="5">
        <f t="shared" ref="A3204:A3267" si="109">MONTH(C3204)</f>
        <v>9</v>
      </c>
      <c r="B3204" s="5">
        <f t="shared" ref="B3204:B3267" si="110">YEAR(C3204)</f>
        <v>2025</v>
      </c>
      <c r="C3204" s="7">
        <v>45930</v>
      </c>
      <c r="D3204" s="8">
        <v>4.4413999999999998</v>
      </c>
      <c r="E3204" s="8">
        <v>4.2396000000000003</v>
      </c>
    </row>
    <row r="3205" spans="1:5" x14ac:dyDescent="0.2">
      <c r="A3205" s="5">
        <f t="shared" si="109"/>
        <v>10</v>
      </c>
      <c r="B3205" s="5">
        <f t="shared" si="110"/>
        <v>2025</v>
      </c>
      <c r="C3205" s="7">
        <v>45931</v>
      </c>
      <c r="D3205" s="8">
        <v>4.4413999999999998</v>
      </c>
      <c r="E3205" s="8">
        <v>4.2317999999999998</v>
      </c>
    </row>
    <row r="3206" spans="1:5" x14ac:dyDescent="0.2">
      <c r="A3206" s="5">
        <f t="shared" si="109"/>
        <v>10</v>
      </c>
      <c r="B3206" s="5">
        <f t="shared" si="110"/>
        <v>2025</v>
      </c>
      <c r="C3206" s="7">
        <v>45932</v>
      </c>
      <c r="D3206" s="8">
        <v>4.4363999999999999</v>
      </c>
      <c r="E3206" s="8">
        <v>4.2239000000000004</v>
      </c>
    </row>
    <row r="3207" spans="1:5" x14ac:dyDescent="0.2">
      <c r="A3207" s="5">
        <f t="shared" si="109"/>
        <v>10</v>
      </c>
      <c r="B3207" s="5">
        <f t="shared" si="110"/>
        <v>2025</v>
      </c>
      <c r="C3207" s="7">
        <v>45933</v>
      </c>
      <c r="D3207" s="8">
        <v>4.4314999999999998</v>
      </c>
      <c r="E3207" s="8">
        <v>4.2103999999999999</v>
      </c>
    </row>
    <row r="3208" spans="1:5" x14ac:dyDescent="0.2">
      <c r="A3208" s="5">
        <f t="shared" si="109"/>
        <v>10</v>
      </c>
      <c r="B3208" s="5">
        <f t="shared" si="110"/>
        <v>2025</v>
      </c>
      <c r="C3208" s="7">
        <v>45936</v>
      </c>
      <c r="D3208" s="8">
        <v>4.4363999999999999</v>
      </c>
      <c r="E3208" s="8">
        <v>4.1859999999999999</v>
      </c>
    </row>
    <row r="3209" spans="1:5" x14ac:dyDescent="0.2">
      <c r="A3209" s="5">
        <f t="shared" si="109"/>
        <v>10</v>
      </c>
      <c r="B3209" s="5">
        <f t="shared" si="110"/>
        <v>2025</v>
      </c>
      <c r="C3209" s="7">
        <v>45937</v>
      </c>
      <c r="D3209" s="8">
        <v>4.4363999999999999</v>
      </c>
      <c r="E3209" s="8">
        <v>4.1570999999999998</v>
      </c>
    </row>
    <row r="3210" spans="1:5" x14ac:dyDescent="0.2">
      <c r="A3210" s="5">
        <f t="shared" si="109"/>
        <v>10</v>
      </c>
      <c r="B3210" s="5">
        <f t="shared" si="110"/>
        <v>2025</v>
      </c>
      <c r="C3210" s="7">
        <v>45938</v>
      </c>
      <c r="D3210" s="8">
        <v>4.4317000000000002</v>
      </c>
      <c r="E3210" s="8">
        <v>4.1551</v>
      </c>
    </row>
    <row r="3211" spans="1:5" x14ac:dyDescent="0.2">
      <c r="A3211" s="5">
        <f t="shared" si="109"/>
        <v>10</v>
      </c>
      <c r="B3211" s="5">
        <f t="shared" si="110"/>
        <v>2025</v>
      </c>
      <c r="C3211" s="7">
        <v>45939</v>
      </c>
      <c r="D3211" s="8">
        <v>4.1581999999999999</v>
      </c>
      <c r="E3211" s="8">
        <v>4.16</v>
      </c>
    </row>
    <row r="3212" spans="1:5" x14ac:dyDescent="0.2">
      <c r="A3212" s="5">
        <f t="shared" si="109"/>
        <v>10</v>
      </c>
      <c r="B3212" s="5">
        <f t="shared" si="110"/>
        <v>2025</v>
      </c>
      <c r="C3212" s="7">
        <v>45940</v>
      </c>
      <c r="D3212" s="8">
        <v>4.1353</v>
      </c>
      <c r="E3212" s="8">
        <v>4.1334</v>
      </c>
    </row>
    <row r="3213" spans="1:5" x14ac:dyDescent="0.2">
      <c r="A3213" s="5">
        <f t="shared" si="109"/>
        <v>10</v>
      </c>
      <c r="B3213" s="5">
        <f t="shared" si="110"/>
        <v>2025</v>
      </c>
      <c r="C3213" s="7">
        <v>45943</v>
      </c>
      <c r="D3213" s="8">
        <v>4.0982000000000003</v>
      </c>
      <c r="E3213" s="8">
        <v>4.1059999999999999</v>
      </c>
    </row>
    <row r="3214" spans="1:5" x14ac:dyDescent="0.2">
      <c r="A3214" s="5">
        <f t="shared" si="109"/>
        <v>10</v>
      </c>
      <c r="B3214" s="5">
        <f t="shared" si="110"/>
        <v>2025</v>
      </c>
      <c r="C3214" s="7">
        <v>45944</v>
      </c>
      <c r="D3214" s="8">
        <v>4.0982000000000003</v>
      </c>
      <c r="E3214" s="8">
        <v>4.1096000000000004</v>
      </c>
    </row>
    <row r="3215" spans="1:5" x14ac:dyDescent="0.2">
      <c r="A3215" s="5">
        <f t="shared" si="109"/>
        <v>10</v>
      </c>
      <c r="B3215" s="5">
        <f t="shared" si="110"/>
        <v>2025</v>
      </c>
      <c r="C3215" s="7">
        <v>45945</v>
      </c>
      <c r="D3215" s="8">
        <v>4.1085000000000003</v>
      </c>
      <c r="E3215" s="8">
        <v>4.1150000000000002</v>
      </c>
    </row>
    <row r="3216" spans="1:5" x14ac:dyDescent="0.2">
      <c r="A3216" s="5">
        <f t="shared" si="109"/>
        <v>10</v>
      </c>
      <c r="B3216" s="5">
        <f t="shared" si="110"/>
        <v>2025</v>
      </c>
      <c r="C3216" s="7">
        <v>45946</v>
      </c>
      <c r="D3216" s="8">
        <v>4.1085000000000003</v>
      </c>
      <c r="E3216" s="8">
        <v>4.1182999999999996</v>
      </c>
    </row>
    <row r="3217" spans="1:5" x14ac:dyDescent="0.2">
      <c r="A3217" s="5">
        <f t="shared" si="109"/>
        <v>10</v>
      </c>
      <c r="B3217" s="5">
        <f t="shared" si="110"/>
        <v>2025</v>
      </c>
      <c r="C3217" s="7">
        <v>45947</v>
      </c>
      <c r="D3217" s="8">
        <v>4.0890000000000004</v>
      </c>
      <c r="E3217" s="8">
        <v>4.12</v>
      </c>
    </row>
    <row r="3218" spans="1:5" x14ac:dyDescent="0.2">
      <c r="A3218" s="5">
        <f t="shared" si="109"/>
        <v>10</v>
      </c>
      <c r="B3218" s="5">
        <f t="shared" si="110"/>
        <v>2025</v>
      </c>
      <c r="C3218" s="7">
        <v>45950</v>
      </c>
      <c r="D3218" s="8">
        <v>4.0937999999999999</v>
      </c>
      <c r="E3218" s="8">
        <v>4.1238999999999999</v>
      </c>
    </row>
    <row r="3219" spans="1:5" x14ac:dyDescent="0.2">
      <c r="A3219" s="5">
        <f t="shared" si="109"/>
        <v>10</v>
      </c>
      <c r="B3219" s="5">
        <f t="shared" si="110"/>
        <v>2025</v>
      </c>
      <c r="C3219" s="7">
        <v>45951</v>
      </c>
      <c r="D3219" s="8">
        <v>4.0842000000000001</v>
      </c>
      <c r="E3219" s="8">
        <v>4.1231999999999998</v>
      </c>
    </row>
    <row r="3220" spans="1:5" x14ac:dyDescent="0.2">
      <c r="A3220" s="5">
        <f t="shared" si="109"/>
        <v>10</v>
      </c>
      <c r="B3220" s="5">
        <f t="shared" si="110"/>
        <v>2025</v>
      </c>
      <c r="C3220" s="7">
        <v>45952</v>
      </c>
      <c r="D3220" s="8">
        <v>4.0842000000000001</v>
      </c>
      <c r="E3220" s="8">
        <v>4.1283000000000003</v>
      </c>
    </row>
    <row r="3221" spans="1:5" x14ac:dyDescent="0.2">
      <c r="A3221" s="5">
        <f t="shared" si="109"/>
        <v>10</v>
      </c>
      <c r="B3221" s="5">
        <f t="shared" si="110"/>
        <v>2025</v>
      </c>
      <c r="C3221" s="7">
        <v>45953</v>
      </c>
      <c r="D3221" s="8">
        <v>4.0713999999999997</v>
      </c>
      <c r="E3221" s="8">
        <v>4.1220999999999997</v>
      </c>
    </row>
    <row r="3222" spans="1:5" x14ac:dyDescent="0.2">
      <c r="A3222" s="5">
        <f t="shared" si="109"/>
        <v>10</v>
      </c>
      <c r="B3222" s="5">
        <f t="shared" si="110"/>
        <v>2025</v>
      </c>
      <c r="C3222" s="7">
        <v>45954</v>
      </c>
      <c r="D3222" s="8">
        <v>3.9754999999999998</v>
      </c>
      <c r="E3222" s="8">
        <v>4.0625999999999998</v>
      </c>
    </row>
    <row r="3223" spans="1:5" x14ac:dyDescent="0.2">
      <c r="A3223" s="5">
        <f t="shared" si="109"/>
        <v>10</v>
      </c>
      <c r="B3223" s="5">
        <f t="shared" si="110"/>
        <v>2025</v>
      </c>
      <c r="C3223" s="7">
        <v>45957</v>
      </c>
      <c r="D3223" s="8">
        <v>3.9691000000000001</v>
      </c>
      <c r="E3223" s="8">
        <v>4.0631000000000004</v>
      </c>
    </row>
    <row r="3224" spans="1:5" x14ac:dyDescent="0.2">
      <c r="A3224" s="5">
        <f t="shared" si="109"/>
        <v>10</v>
      </c>
      <c r="B3224" s="5">
        <f t="shared" si="110"/>
        <v>2025</v>
      </c>
      <c r="C3224" s="7">
        <v>45958</v>
      </c>
      <c r="D3224" s="8">
        <v>3.9599000000000002</v>
      </c>
      <c r="E3224" s="8">
        <v>4.0651999999999999</v>
      </c>
    </row>
    <row r="3225" spans="1:5" x14ac:dyDescent="0.2">
      <c r="A3225" s="5">
        <f t="shared" si="109"/>
        <v>10</v>
      </c>
      <c r="B3225" s="5">
        <f t="shared" si="110"/>
        <v>2025</v>
      </c>
      <c r="C3225" s="7">
        <v>45959</v>
      </c>
      <c r="D3225" s="8">
        <v>3.9599000000000002</v>
      </c>
      <c r="E3225" s="8">
        <v>4.0658000000000003</v>
      </c>
    </row>
    <row r="3226" spans="1:5" x14ac:dyDescent="0.2">
      <c r="A3226" s="5">
        <f t="shared" si="109"/>
        <v>10</v>
      </c>
      <c r="B3226" s="5">
        <f t="shared" si="110"/>
        <v>2025</v>
      </c>
      <c r="C3226" s="7">
        <v>45960</v>
      </c>
      <c r="D3226" s="8">
        <v>3.9590999999999998</v>
      </c>
      <c r="E3226" s="8">
        <v>4.0658000000000003</v>
      </c>
    </row>
    <row r="3227" spans="1:5" x14ac:dyDescent="0.2">
      <c r="A3227" s="5">
        <f t="shared" si="109"/>
        <v>10</v>
      </c>
      <c r="B3227" s="5">
        <f t="shared" si="110"/>
        <v>2025</v>
      </c>
      <c r="C3227" s="7">
        <v>45961</v>
      </c>
      <c r="D3227" s="8">
        <v>3.9377</v>
      </c>
      <c r="E3227" s="8">
        <v>4.0598000000000001</v>
      </c>
    </row>
    <row r="3228" spans="1:5" x14ac:dyDescent="0.2">
      <c r="A3228" s="5">
        <f t="shared" si="109"/>
        <v>11</v>
      </c>
      <c r="B3228" s="5">
        <f t="shared" si="110"/>
        <v>2025</v>
      </c>
      <c r="C3228" s="7">
        <v>45964</v>
      </c>
      <c r="D3228" s="8">
        <v>3.9377</v>
      </c>
      <c r="E3228" s="8">
        <v>4.0705999999999998</v>
      </c>
    </row>
    <row r="3229" spans="1:5" x14ac:dyDescent="0.2">
      <c r="A3229" s="5">
        <f t="shared" si="109"/>
        <v>11</v>
      </c>
      <c r="B3229" s="5">
        <f t="shared" si="110"/>
        <v>2025</v>
      </c>
      <c r="C3229" s="7">
        <v>45965</v>
      </c>
      <c r="D3229" s="8">
        <v>3.9377</v>
      </c>
      <c r="E3229" s="8">
        <v>4.0743999999999998</v>
      </c>
    </row>
    <row r="3230" spans="1:5" x14ac:dyDescent="0.2">
      <c r="A3230" s="5">
        <f t="shared" si="109"/>
        <v>11</v>
      </c>
      <c r="B3230" s="5">
        <f t="shared" si="110"/>
        <v>2025</v>
      </c>
      <c r="C3230" s="7">
        <v>45966</v>
      </c>
      <c r="D3230" s="8">
        <v>3.9403999999999999</v>
      </c>
      <c r="E3230" s="8">
        <v>4.0804999999999998</v>
      </c>
    </row>
    <row r="3231" spans="1:5" x14ac:dyDescent="0.2">
      <c r="A3231" s="5">
        <f t="shared" si="109"/>
        <v>11</v>
      </c>
      <c r="B3231" s="5">
        <f t="shared" si="110"/>
        <v>2025</v>
      </c>
      <c r="C3231" s="7">
        <v>45967</v>
      </c>
      <c r="D3231" s="8">
        <v>3.9333999999999998</v>
      </c>
      <c r="E3231" s="8">
        <v>4.0914000000000001</v>
      </c>
    </row>
    <row r="3232" spans="1:5" x14ac:dyDescent="0.2">
      <c r="A3232" s="5">
        <f t="shared" si="109"/>
        <v>11</v>
      </c>
      <c r="B3232" s="5">
        <f t="shared" si="110"/>
        <v>2025</v>
      </c>
      <c r="C3232" s="7">
        <v>45968</v>
      </c>
      <c r="D3232" s="8">
        <v>3.9308999999999998</v>
      </c>
      <c r="E3232" s="8">
        <v>4.0842999999999998</v>
      </c>
    </row>
    <row r="3233" spans="1:5" x14ac:dyDescent="0.2">
      <c r="A3233" s="5">
        <f t="shared" si="109"/>
        <v>11</v>
      </c>
      <c r="B3233" s="5">
        <f t="shared" si="110"/>
        <v>2025</v>
      </c>
      <c r="C3233" s="7">
        <v>45971</v>
      </c>
      <c r="D3233" s="8">
        <v>3.9321999999999999</v>
      </c>
      <c r="E3233" s="8">
        <v>4.1032000000000002</v>
      </c>
    </row>
    <row r="3234" spans="1:5" x14ac:dyDescent="0.2">
      <c r="A3234" s="5">
        <f t="shared" si="109"/>
        <v>11</v>
      </c>
      <c r="B3234" s="5">
        <f t="shared" si="110"/>
        <v>2025</v>
      </c>
      <c r="C3234" s="7">
        <v>45972</v>
      </c>
      <c r="D3234" s="8">
        <v>4.1051000000000002</v>
      </c>
      <c r="E3234" s="8">
        <v>4.1101000000000001</v>
      </c>
    </row>
    <row r="3235" spans="1:5" x14ac:dyDescent="0.2">
      <c r="A3235" s="5">
        <f t="shared" si="109"/>
        <v>11</v>
      </c>
      <c r="B3235" s="5">
        <f t="shared" si="110"/>
        <v>2025</v>
      </c>
      <c r="C3235" s="7">
        <v>45973</v>
      </c>
      <c r="D3235" s="8">
        <v>4.1051000000000002</v>
      </c>
      <c r="E3235" s="8">
        <v>4.1151</v>
      </c>
    </row>
    <row r="3236" spans="1:5" x14ac:dyDescent="0.2">
      <c r="A3236" s="5">
        <f t="shared" si="109"/>
        <v>11</v>
      </c>
      <c r="B3236" s="5">
        <f t="shared" si="110"/>
        <v>2025</v>
      </c>
      <c r="C3236" s="7">
        <v>45974</v>
      </c>
      <c r="D3236" s="8">
        <v>4.0979000000000001</v>
      </c>
      <c r="E3236" s="8">
        <v>4.1081000000000003</v>
      </c>
    </row>
    <row r="3237" spans="1:5" x14ac:dyDescent="0.2">
      <c r="A3237" s="5">
        <f t="shared" si="109"/>
        <v>11</v>
      </c>
      <c r="B3237" s="5">
        <f t="shared" si="110"/>
        <v>2025</v>
      </c>
      <c r="C3237" s="7">
        <v>45975</v>
      </c>
      <c r="D3237" s="8">
        <v>4.1013000000000002</v>
      </c>
      <c r="E3237" s="8">
        <v>4.1109</v>
      </c>
    </row>
    <row r="3238" spans="1:5" x14ac:dyDescent="0.2">
      <c r="A3238" s="5">
        <f t="shared" si="109"/>
        <v>11</v>
      </c>
      <c r="B3238" s="5">
        <f t="shared" si="110"/>
        <v>2025</v>
      </c>
      <c r="C3238" s="7">
        <v>45978</v>
      </c>
      <c r="D3238" s="8">
        <v>4.0941000000000001</v>
      </c>
      <c r="E3238" s="8">
        <v>4.1191000000000004</v>
      </c>
    </row>
    <row r="3239" spans="1:5" x14ac:dyDescent="0.2">
      <c r="A3239" s="5">
        <f t="shared" si="109"/>
        <v>11</v>
      </c>
      <c r="B3239" s="5">
        <f t="shared" si="110"/>
        <v>2025</v>
      </c>
      <c r="C3239" s="7">
        <v>45979</v>
      </c>
      <c r="D3239" s="8">
        <v>4.0944000000000003</v>
      </c>
      <c r="E3239" s="8">
        <v>4.1201999999999996</v>
      </c>
    </row>
    <row r="3240" spans="1:5" x14ac:dyDescent="0.2">
      <c r="A3240" s="5">
        <f t="shared" si="109"/>
        <v>11</v>
      </c>
      <c r="B3240" s="5">
        <f t="shared" si="110"/>
        <v>2025</v>
      </c>
      <c r="C3240" s="7">
        <v>45980</v>
      </c>
      <c r="D3240" s="8">
        <v>4.0937999999999999</v>
      </c>
      <c r="E3240" s="8">
        <v>4.1233000000000004</v>
      </c>
    </row>
    <row r="3241" spans="1:5" x14ac:dyDescent="0.2">
      <c r="A3241" s="5">
        <f t="shared" si="109"/>
        <v>11</v>
      </c>
      <c r="B3241" s="5">
        <f t="shared" si="110"/>
        <v>2025</v>
      </c>
      <c r="C3241" s="7">
        <v>45982</v>
      </c>
      <c r="D3241" s="8">
        <v>4.0711000000000004</v>
      </c>
      <c r="E3241" s="8">
        <v>4.0884999999999998</v>
      </c>
    </row>
    <row r="3242" spans="1:5" x14ac:dyDescent="0.2">
      <c r="A3242" s="5">
        <f t="shared" si="109"/>
        <v>11</v>
      </c>
      <c r="B3242" s="5">
        <f t="shared" si="110"/>
        <v>2025</v>
      </c>
      <c r="C3242" s="7">
        <v>45985</v>
      </c>
      <c r="D3242" s="8">
        <v>4.0732999999999997</v>
      </c>
      <c r="E3242" s="8">
        <v>4.1007999999999996</v>
      </c>
    </row>
    <row r="3243" spans="1:5" x14ac:dyDescent="0.2">
      <c r="A3243" s="5">
        <f t="shared" si="109"/>
        <v>11</v>
      </c>
      <c r="B3243" s="5">
        <f t="shared" si="110"/>
        <v>2025</v>
      </c>
      <c r="C3243" s="7">
        <v>45986</v>
      </c>
      <c r="D3243" s="8">
        <v>4.0732999999999997</v>
      </c>
      <c r="E3243" s="8">
        <v>4.1002999999999998</v>
      </c>
    </row>
    <row r="3244" spans="1:5" x14ac:dyDescent="0.2">
      <c r="A3244" s="5">
        <f t="shared" si="109"/>
        <v>11</v>
      </c>
      <c r="B3244" s="5">
        <f t="shared" si="110"/>
        <v>2025</v>
      </c>
      <c r="C3244" s="7">
        <v>45987</v>
      </c>
      <c r="D3244" s="8">
        <v>4.0678999999999998</v>
      </c>
      <c r="E3244" s="8">
        <v>4.0997000000000003</v>
      </c>
    </row>
    <row r="3245" spans="1:5" x14ac:dyDescent="0.2">
      <c r="A3245" s="5">
        <f t="shared" si="109"/>
        <v>11</v>
      </c>
      <c r="B3245" s="5">
        <f t="shared" si="110"/>
        <v>2025</v>
      </c>
      <c r="C3245" s="7">
        <v>45988</v>
      </c>
      <c r="D3245" s="8">
        <v>4.0624000000000002</v>
      </c>
      <c r="E3245" s="8">
        <v>4.0976999999999997</v>
      </c>
    </row>
    <row r="3246" spans="1:5" x14ac:dyDescent="0.2">
      <c r="A3246" s="5">
        <f t="shared" si="109"/>
        <v>11</v>
      </c>
      <c r="B3246" s="5">
        <f t="shared" si="110"/>
        <v>2025</v>
      </c>
      <c r="C3246" s="7">
        <v>45989</v>
      </c>
      <c r="D3246" s="8">
        <v>4.0316000000000001</v>
      </c>
      <c r="E3246" s="8">
        <v>4.0960000000000001</v>
      </c>
    </row>
    <row r="3247" spans="1:5" x14ac:dyDescent="0.2">
      <c r="A3247" s="5">
        <f t="shared" si="109"/>
        <v>12</v>
      </c>
      <c r="B3247" s="5">
        <f t="shared" si="110"/>
        <v>2025</v>
      </c>
      <c r="C3247" s="7">
        <v>45992</v>
      </c>
      <c r="D3247" s="8">
        <v>4.0316000000000001</v>
      </c>
      <c r="E3247" s="8">
        <v>4.0955000000000004</v>
      </c>
    </row>
    <row r="3248" spans="1:5" x14ac:dyDescent="0.2">
      <c r="A3248" s="5">
        <f t="shared" si="109"/>
        <v>12</v>
      </c>
      <c r="B3248" s="5">
        <f t="shared" si="110"/>
        <v>2025</v>
      </c>
      <c r="C3248" s="7">
        <v>45993</v>
      </c>
      <c r="D3248" s="8">
        <v>4.0214999999999996</v>
      </c>
      <c r="E3248" s="8">
        <v>4.0983000000000001</v>
      </c>
    </row>
    <row r="3249" spans="1:5" x14ac:dyDescent="0.2">
      <c r="A3249" s="5">
        <f t="shared" si="109"/>
        <v>12</v>
      </c>
      <c r="B3249" s="5">
        <f t="shared" si="110"/>
        <v>2025</v>
      </c>
      <c r="C3249" s="7">
        <v>45994</v>
      </c>
      <c r="D3249" s="8">
        <v>4.0214999999999996</v>
      </c>
      <c r="E3249" s="8">
        <v>4.0890000000000004</v>
      </c>
    </row>
    <row r="3250" spans="1:5" x14ac:dyDescent="0.2">
      <c r="A3250" s="5">
        <f t="shared" si="109"/>
        <v>12</v>
      </c>
      <c r="B3250" s="5">
        <f t="shared" si="110"/>
        <v>2025</v>
      </c>
      <c r="C3250" s="7">
        <v>45995</v>
      </c>
      <c r="D3250" s="8">
        <v>4.0111999999999997</v>
      </c>
      <c r="E3250" s="8">
        <v>4.0951000000000004</v>
      </c>
    </row>
    <row r="3251" spans="1:5" x14ac:dyDescent="0.2">
      <c r="A3251" s="5">
        <f t="shared" si="109"/>
        <v>12</v>
      </c>
      <c r="B3251" s="5">
        <f t="shared" si="110"/>
        <v>2025</v>
      </c>
      <c r="C3251" s="7">
        <v>45996</v>
      </c>
      <c r="D3251" s="8">
        <v>4.0021000000000004</v>
      </c>
      <c r="E3251" s="8">
        <v>4.0544000000000002</v>
      </c>
    </row>
    <row r="3252" spans="1:5" x14ac:dyDescent="0.2">
      <c r="A3252" s="5">
        <f t="shared" si="109"/>
        <v>12</v>
      </c>
      <c r="B3252" s="5">
        <f t="shared" si="110"/>
        <v>2025</v>
      </c>
      <c r="C3252" s="7">
        <v>45999</v>
      </c>
      <c r="D3252" s="8">
        <v>3.9963000000000002</v>
      </c>
      <c r="E3252" s="8">
        <v>4.0608000000000004</v>
      </c>
    </row>
    <row r="3253" spans="1:5" x14ac:dyDescent="0.2">
      <c r="A3253" s="5">
        <f t="shared" si="109"/>
        <v>12</v>
      </c>
      <c r="B3253" s="5">
        <f t="shared" si="110"/>
        <v>2025</v>
      </c>
      <c r="C3253" s="7">
        <v>46000</v>
      </c>
      <c r="D3253" s="8">
        <v>3.9963000000000002</v>
      </c>
      <c r="E3253" s="8">
        <v>4.0629</v>
      </c>
    </row>
    <row r="3254" spans="1:5" x14ac:dyDescent="0.2">
      <c r="A3254" s="5">
        <f t="shared" si="109"/>
        <v>12</v>
      </c>
      <c r="B3254" s="5">
        <f t="shared" si="110"/>
        <v>2025</v>
      </c>
      <c r="C3254" s="7">
        <v>46001</v>
      </c>
      <c r="D3254" s="8">
        <v>4.0503999999999998</v>
      </c>
      <c r="E3254" s="8">
        <v>4.0519999999999996</v>
      </c>
    </row>
    <row r="3255" spans="1:5" x14ac:dyDescent="0.2">
      <c r="A3255" s="5">
        <f t="shared" si="109"/>
        <v>12</v>
      </c>
      <c r="B3255" s="5">
        <f t="shared" si="110"/>
        <v>2025</v>
      </c>
      <c r="C3255" s="7">
        <v>46002</v>
      </c>
      <c r="D3255" s="8">
        <v>4.0315000000000003</v>
      </c>
      <c r="E3255" s="8">
        <v>4.0362999999999998</v>
      </c>
    </row>
    <row r="3256" spans="1:5" x14ac:dyDescent="0.2">
      <c r="A3256" s="5">
        <f t="shared" si="109"/>
        <v>12</v>
      </c>
      <c r="B3256" s="5">
        <f t="shared" si="110"/>
        <v>2025</v>
      </c>
      <c r="C3256" s="7">
        <v>46003</v>
      </c>
      <c r="D3256" s="8">
        <v>4.0311000000000003</v>
      </c>
      <c r="E3256" s="8">
        <v>4.0411999999999999</v>
      </c>
    </row>
    <row r="3257" spans="1:5" x14ac:dyDescent="0.2">
      <c r="A3257" s="5">
        <f t="shared" si="109"/>
        <v>12</v>
      </c>
      <c r="B3257" s="5">
        <f t="shared" si="110"/>
        <v>2025</v>
      </c>
      <c r="C3257" s="7">
        <v>46006</v>
      </c>
      <c r="D3257" s="8">
        <v>4.0210999999999997</v>
      </c>
      <c r="E3257" s="8">
        <v>4.0366999999999997</v>
      </c>
    </row>
    <row r="3258" spans="1:5" x14ac:dyDescent="0.2">
      <c r="A3258" s="5">
        <f t="shared" si="109"/>
        <v>12</v>
      </c>
      <c r="B3258" s="5">
        <f t="shared" si="110"/>
        <v>2025</v>
      </c>
      <c r="C3258" s="7">
        <v>46007</v>
      </c>
      <c r="D3258" s="8">
        <v>4.0205000000000002</v>
      </c>
      <c r="E3258" s="8">
        <v>4.0236999999999998</v>
      </c>
    </row>
    <row r="3259" spans="1:5" x14ac:dyDescent="0.2">
      <c r="A3259" s="5">
        <f t="shared" si="109"/>
        <v>12</v>
      </c>
      <c r="B3259" s="5">
        <f t="shared" si="110"/>
        <v>2025</v>
      </c>
      <c r="C3259" s="7">
        <v>46008</v>
      </c>
      <c r="D3259" s="8">
        <v>4.0206</v>
      </c>
      <c r="E3259" s="8">
        <v>4.0269000000000004</v>
      </c>
    </row>
    <row r="3260" spans="1:5" x14ac:dyDescent="0.2">
      <c r="A3260" s="5">
        <f t="shared" si="109"/>
        <v>12</v>
      </c>
      <c r="B3260" s="5">
        <f t="shared" si="110"/>
        <v>2025</v>
      </c>
      <c r="C3260" s="7">
        <v>46009</v>
      </c>
      <c r="D3260" s="8">
        <v>4.0030000000000001</v>
      </c>
      <c r="E3260" s="8">
        <v>4.0206999999999997</v>
      </c>
    </row>
    <row r="3261" spans="1:5" x14ac:dyDescent="0.2">
      <c r="A3261" s="5">
        <f t="shared" si="109"/>
        <v>12</v>
      </c>
      <c r="B3261" s="5">
        <f t="shared" si="110"/>
        <v>2025</v>
      </c>
      <c r="C3261" s="7">
        <v>46010</v>
      </c>
      <c r="D3261" s="8">
        <v>3.9597000000000002</v>
      </c>
      <c r="E3261" s="8">
        <v>3.9881000000000002</v>
      </c>
    </row>
    <row r="3262" spans="1:5" x14ac:dyDescent="0.2">
      <c r="A3262" s="5">
        <f t="shared" si="109"/>
        <v>12</v>
      </c>
      <c r="B3262" s="5">
        <f t="shared" si="110"/>
        <v>2025</v>
      </c>
      <c r="C3262" s="7">
        <v>46013</v>
      </c>
      <c r="D3262" s="8">
        <v>3.9759000000000002</v>
      </c>
      <c r="E3262" s="8">
        <v>4.0079000000000002</v>
      </c>
    </row>
    <row r="3263" spans="1:5" x14ac:dyDescent="0.2">
      <c r="A3263" s="5">
        <f t="shared" si="109"/>
        <v>12</v>
      </c>
      <c r="B3263" s="5">
        <f t="shared" si="110"/>
        <v>2025</v>
      </c>
      <c r="C3263" s="7">
        <v>46014</v>
      </c>
      <c r="D3263" s="8">
        <v>3.9759000000000002</v>
      </c>
      <c r="E3263" s="8">
        <v>4.0099</v>
      </c>
    </row>
    <row r="3264" spans="1:5" x14ac:dyDescent="0.2">
      <c r="A3264" s="5">
        <f t="shared" si="109"/>
        <v>12</v>
      </c>
      <c r="B3264" s="5">
        <f t="shared" si="110"/>
        <v>2025</v>
      </c>
      <c r="C3264" s="7">
        <v>46015</v>
      </c>
      <c r="D3264" s="8">
        <v>3.9759000000000002</v>
      </c>
      <c r="E3264" s="8">
        <v>4.0117000000000003</v>
      </c>
    </row>
    <row r="3265" spans="1:5" x14ac:dyDescent="0.2">
      <c r="A3265" s="5">
        <f t="shared" si="109"/>
        <v>12</v>
      </c>
      <c r="B3265" s="5">
        <f t="shared" si="110"/>
        <v>2025</v>
      </c>
      <c r="C3265" s="7">
        <v>46017</v>
      </c>
      <c r="D3265" s="8">
        <v>3.9594</v>
      </c>
      <c r="E3265" s="8">
        <v>4.0106000000000002</v>
      </c>
    </row>
    <row r="3266" spans="1:5" x14ac:dyDescent="0.2">
      <c r="A3266" s="5">
        <f t="shared" si="109"/>
        <v>12</v>
      </c>
      <c r="B3266" s="5">
        <f t="shared" si="110"/>
        <v>2025</v>
      </c>
      <c r="C3266" s="7">
        <v>46020</v>
      </c>
      <c r="D3266" s="8">
        <v>3.9588999999999999</v>
      </c>
      <c r="E3266" s="8">
        <v>4.0133000000000001</v>
      </c>
    </row>
    <row r="3267" spans="1:5" x14ac:dyDescent="0.2">
      <c r="A3267" s="5">
        <f t="shared" si="109"/>
        <v>12</v>
      </c>
      <c r="B3267" s="5">
        <f t="shared" si="110"/>
        <v>2025</v>
      </c>
      <c r="C3267" s="7">
        <v>46021</v>
      </c>
      <c r="D3267" s="8">
        <v>3.9588999999999999</v>
      </c>
      <c r="E3267" s="8">
        <v>4.0118</v>
      </c>
    </row>
    <row r="3268" spans="1:5" x14ac:dyDescent="0.2">
      <c r="A3268" s="5">
        <f t="shared" ref="A3268:A3331" si="111">MONTH(C3268)</f>
        <v>12</v>
      </c>
      <c r="B3268" s="5">
        <f t="shared" ref="B3268:B3331" si="112">YEAR(C3268)</f>
        <v>2025</v>
      </c>
      <c r="C3268" s="7">
        <v>46022</v>
      </c>
      <c r="D3268" s="8">
        <v>3.9588999999999999</v>
      </c>
      <c r="E3268" s="8">
        <v>4.0152000000000001</v>
      </c>
    </row>
    <row r="3269" spans="1:5" x14ac:dyDescent="0.2">
      <c r="A3269" s="5">
        <f t="shared" si="111"/>
        <v>1</v>
      </c>
      <c r="B3269" s="5">
        <f t="shared" si="112"/>
        <v>2026</v>
      </c>
      <c r="C3269" s="7">
        <v>46024</v>
      </c>
      <c r="D3269" s="8">
        <v>3.9584999999999999</v>
      </c>
      <c r="E3269" s="8">
        <v>4.024</v>
      </c>
    </row>
    <row r="3270" spans="1:5" x14ac:dyDescent="0.2">
      <c r="A3270" s="5">
        <f t="shared" si="111"/>
        <v>1</v>
      </c>
      <c r="B3270" s="5">
        <f t="shared" si="112"/>
        <v>2026</v>
      </c>
      <c r="C3270" s="7">
        <v>46027</v>
      </c>
      <c r="D3270" s="8">
        <v>3.9588999999999999</v>
      </c>
      <c r="E3270" s="8">
        <v>4.0468000000000002</v>
      </c>
    </row>
    <row r="3271" spans="1:5" x14ac:dyDescent="0.2">
      <c r="A3271" s="5">
        <f t="shared" si="111"/>
        <v>1</v>
      </c>
      <c r="B3271" s="5">
        <f t="shared" si="112"/>
        <v>2026</v>
      </c>
      <c r="C3271" s="7">
        <v>46028</v>
      </c>
      <c r="D3271" s="8">
        <v>3.9584999999999999</v>
      </c>
      <c r="E3271" s="8">
        <v>4.0461999999999998</v>
      </c>
    </row>
    <row r="3272" spans="1:5" x14ac:dyDescent="0.2">
      <c r="A3272" s="5">
        <f t="shared" si="111"/>
        <v>1</v>
      </c>
      <c r="B3272" s="5">
        <f t="shared" si="112"/>
        <v>2026</v>
      </c>
      <c r="C3272" s="7">
        <v>46029</v>
      </c>
      <c r="D3272" s="8">
        <v>3.9535999999999998</v>
      </c>
      <c r="E3272" s="8">
        <v>4.0444000000000004</v>
      </c>
    </row>
    <row r="3273" spans="1:5" x14ac:dyDescent="0.2">
      <c r="A3273" s="5">
        <f t="shared" si="111"/>
        <v>1</v>
      </c>
      <c r="B3273" s="5">
        <f t="shared" si="112"/>
        <v>2026</v>
      </c>
      <c r="C3273" s="7">
        <v>46030</v>
      </c>
      <c r="D3273" s="8">
        <v>3.9535999999999998</v>
      </c>
      <c r="E3273" s="8">
        <v>4.0475000000000003</v>
      </c>
    </row>
    <row r="3274" spans="1:5" x14ac:dyDescent="0.2">
      <c r="A3274" s="5">
        <f t="shared" si="111"/>
        <v>1</v>
      </c>
      <c r="B3274" s="5">
        <f t="shared" si="112"/>
        <v>2026</v>
      </c>
      <c r="C3274" s="7">
        <v>46031</v>
      </c>
      <c r="D3274" s="8">
        <v>4.0426000000000002</v>
      </c>
      <c r="E3274" s="8">
        <v>4.0438999999999998</v>
      </c>
    </row>
    <row r="3275" spans="1:5" x14ac:dyDescent="0.2">
      <c r="A3275" s="5">
        <f t="shared" si="111"/>
        <v>1</v>
      </c>
      <c r="B3275" s="5">
        <f t="shared" si="112"/>
        <v>2026</v>
      </c>
      <c r="C3275" s="7">
        <v>46034</v>
      </c>
      <c r="D3275" s="8">
        <v>4.0412999999999997</v>
      </c>
      <c r="E3275" s="8">
        <v>4.0434000000000001</v>
      </c>
    </row>
    <row r="3276" spans="1:5" x14ac:dyDescent="0.2">
      <c r="A3276" s="5">
        <f t="shared" si="111"/>
        <v>1</v>
      </c>
      <c r="B3276" s="5">
        <f t="shared" si="112"/>
        <v>2026</v>
      </c>
      <c r="C3276" s="7">
        <v>46035</v>
      </c>
      <c r="D3276" s="8">
        <v>4.0377000000000001</v>
      </c>
      <c r="E3276" s="8">
        <v>4.0374999999999996</v>
      </c>
    </row>
    <row r="3277" spans="1:5" x14ac:dyDescent="0.2">
      <c r="A3277" s="5">
        <f t="shared" si="111"/>
        <v>1</v>
      </c>
      <c r="B3277" s="5">
        <f t="shared" si="112"/>
        <v>2026</v>
      </c>
      <c r="C3277" s="7">
        <v>46036</v>
      </c>
      <c r="D3277" s="8">
        <v>4.0354000000000001</v>
      </c>
      <c r="E3277" s="8">
        <v>4.0378999999999996</v>
      </c>
    </row>
    <row r="3278" spans="1:5" x14ac:dyDescent="0.2">
      <c r="A3278" s="5">
        <f t="shared" si="111"/>
        <v>1</v>
      </c>
      <c r="B3278" s="5">
        <f t="shared" si="112"/>
        <v>2026</v>
      </c>
      <c r="C3278" s="7">
        <v>46037</v>
      </c>
      <c r="D3278" s="8">
        <v>4.0206999999999997</v>
      </c>
      <c r="E3278" s="8">
        <v>4.0382999999999996</v>
      </c>
    </row>
    <row r="3279" spans="1:5" x14ac:dyDescent="0.2">
      <c r="A3279" s="5">
        <f t="shared" si="111"/>
        <v>1</v>
      </c>
      <c r="B3279" s="5">
        <f t="shared" si="112"/>
        <v>2026</v>
      </c>
      <c r="C3279" s="7">
        <v>46038</v>
      </c>
      <c r="D3279" s="8">
        <v>4.0206999999999997</v>
      </c>
      <c r="E3279" s="8">
        <v>4.0419</v>
      </c>
    </row>
    <row r="3280" spans="1:5" x14ac:dyDescent="0.2">
      <c r="A3280" s="5">
        <f t="shared" si="111"/>
        <v>1</v>
      </c>
      <c r="B3280" s="5">
        <f t="shared" si="112"/>
        <v>2026</v>
      </c>
      <c r="C3280" s="7">
        <v>46041</v>
      </c>
      <c r="D3280" s="8">
        <v>4.0063000000000004</v>
      </c>
      <c r="E3280" s="8">
        <v>4.0406000000000004</v>
      </c>
    </row>
    <row r="3281" spans="1:5" x14ac:dyDescent="0.2">
      <c r="A3281" s="5">
        <f t="shared" si="111"/>
        <v>1</v>
      </c>
      <c r="B3281" s="5">
        <f t="shared" si="112"/>
        <v>2026</v>
      </c>
      <c r="C3281" s="7">
        <v>46042</v>
      </c>
      <c r="D3281" s="8">
        <v>4.0050999999999997</v>
      </c>
      <c r="E3281" s="8">
        <v>4.0446999999999997</v>
      </c>
    </row>
    <row r="3282" spans="1:5" x14ac:dyDescent="0.2">
      <c r="A3282" s="5">
        <f t="shared" si="111"/>
        <v>1</v>
      </c>
      <c r="B3282" s="5">
        <f t="shared" si="112"/>
        <v>2026</v>
      </c>
      <c r="C3282" s="7">
        <v>46043</v>
      </c>
      <c r="D3282" s="8">
        <v>4.0026000000000002</v>
      </c>
      <c r="E3282" s="8">
        <v>4.0407000000000002</v>
      </c>
    </row>
    <row r="3283" spans="1:5" x14ac:dyDescent="0.2">
      <c r="A3283" s="5">
        <f t="shared" si="111"/>
        <v>1</v>
      </c>
      <c r="B3283" s="5">
        <f t="shared" si="112"/>
        <v>2026</v>
      </c>
      <c r="C3283" s="7">
        <v>46044</v>
      </c>
      <c r="D3283" s="8">
        <v>4</v>
      </c>
      <c r="E3283" s="8">
        <v>4.0347</v>
      </c>
    </row>
    <row r="3284" spans="1:5" x14ac:dyDescent="0.2">
      <c r="A3284" s="5">
        <f t="shared" si="111"/>
        <v>1</v>
      </c>
      <c r="B3284" s="5">
        <f t="shared" si="112"/>
        <v>2026</v>
      </c>
      <c r="C3284" s="7">
        <v>46045</v>
      </c>
      <c r="D3284" s="8">
        <v>4</v>
      </c>
      <c r="E3284" s="8">
        <v>4.0088999999999997</v>
      </c>
    </row>
    <row r="3285" spans="1:5" x14ac:dyDescent="0.2">
      <c r="A3285" s="5">
        <f t="shared" si="111"/>
        <v>1</v>
      </c>
      <c r="B3285" s="5">
        <f t="shared" si="112"/>
        <v>2026</v>
      </c>
      <c r="C3285" s="7">
        <v>46048</v>
      </c>
      <c r="D3285" s="8">
        <v>4</v>
      </c>
      <c r="E3285" s="8">
        <v>4.0145999999999997</v>
      </c>
    </row>
    <row r="3286" spans="1:5" x14ac:dyDescent="0.2">
      <c r="A3286" s="5">
        <f t="shared" si="111"/>
        <v>1</v>
      </c>
      <c r="B3286" s="5">
        <f t="shared" si="112"/>
        <v>2026</v>
      </c>
      <c r="C3286" s="7">
        <v>46049</v>
      </c>
      <c r="D3286" s="8">
        <v>4</v>
      </c>
      <c r="E3286" s="8">
        <v>4.0137</v>
      </c>
    </row>
    <row r="3287" spans="1:5" x14ac:dyDescent="0.2">
      <c r="A3287" s="5">
        <f t="shared" si="111"/>
        <v>1</v>
      </c>
      <c r="B3287" s="5">
        <f t="shared" si="112"/>
        <v>2026</v>
      </c>
      <c r="C3287" s="7">
        <v>46050</v>
      </c>
      <c r="D3287" s="8">
        <v>4</v>
      </c>
      <c r="E3287" s="8">
        <v>4.0157999999999996</v>
      </c>
    </row>
    <row r="3288" spans="1:5" x14ac:dyDescent="0.2">
      <c r="A3288" s="5">
        <f t="shared" si="111"/>
        <v>1</v>
      </c>
      <c r="B3288" s="5">
        <f t="shared" si="112"/>
        <v>2026</v>
      </c>
      <c r="C3288" s="7">
        <v>46051</v>
      </c>
      <c r="D3288" s="8">
        <v>4</v>
      </c>
      <c r="E3288" s="8">
        <v>4.0084999999999997</v>
      </c>
    </row>
    <row r="3289" spans="1:5" x14ac:dyDescent="0.2">
      <c r="A3289" s="5">
        <f t="shared" si="111"/>
        <v>1</v>
      </c>
      <c r="B3289" s="5">
        <f t="shared" si="112"/>
        <v>2026</v>
      </c>
      <c r="C3289" s="7">
        <v>46052</v>
      </c>
      <c r="D3289" s="8">
        <v>3.9899</v>
      </c>
      <c r="E3289" s="8">
        <v>3.9899</v>
      </c>
    </row>
    <row r="3290" spans="1:5" x14ac:dyDescent="0.2">
      <c r="A3290" s="5">
        <f t="shared" si="111"/>
        <v>2</v>
      </c>
      <c r="B3290" s="5">
        <f t="shared" si="112"/>
        <v>2026</v>
      </c>
      <c r="C3290" s="7">
        <v>46055</v>
      </c>
      <c r="D3290" s="8">
        <v>3.9691999999999998</v>
      </c>
      <c r="E3290" s="8">
        <v>3.9750999999999999</v>
      </c>
    </row>
    <row r="3291" spans="1:5" x14ac:dyDescent="0.2">
      <c r="A3291" s="5">
        <f t="shared" si="111"/>
        <v>2</v>
      </c>
      <c r="B3291" s="5">
        <f t="shared" si="112"/>
        <v>2026</v>
      </c>
      <c r="C3291" s="7">
        <v>46056</v>
      </c>
      <c r="D3291" s="8">
        <v>3.9691999999999998</v>
      </c>
      <c r="E3291" s="8">
        <v>3.9815</v>
      </c>
    </row>
    <row r="3292" spans="1:5" x14ac:dyDescent="0.2">
      <c r="A3292" s="5">
        <f t="shared" si="111"/>
        <v>2</v>
      </c>
      <c r="B3292" s="5">
        <f t="shared" si="112"/>
        <v>2026</v>
      </c>
      <c r="C3292" s="7">
        <v>46057</v>
      </c>
      <c r="D3292" s="8">
        <v>3.9792000000000001</v>
      </c>
      <c r="E3292" s="8">
        <v>3.984</v>
      </c>
    </row>
    <row r="3293" spans="1:5" x14ac:dyDescent="0.2">
      <c r="A3293" s="5">
        <f t="shared" si="111"/>
        <v>2</v>
      </c>
      <c r="B3293" s="5">
        <f t="shared" si="112"/>
        <v>2026</v>
      </c>
      <c r="C3293" s="7">
        <v>46058</v>
      </c>
      <c r="D3293" s="8">
        <v>3.9792000000000001</v>
      </c>
      <c r="E3293" s="8">
        <v>3.9758</v>
      </c>
    </row>
    <row r="3294" spans="1:5" x14ac:dyDescent="0.2">
      <c r="A3294" s="5">
        <f t="shared" si="111"/>
        <v>2</v>
      </c>
      <c r="B3294" s="5">
        <f t="shared" si="112"/>
        <v>2026</v>
      </c>
      <c r="C3294" s="7">
        <v>46059</v>
      </c>
      <c r="D3294" s="8">
        <v>3.9594999999999998</v>
      </c>
      <c r="E3294" s="8">
        <v>3.9710999999999999</v>
      </c>
    </row>
    <row r="3295" spans="1:5" x14ac:dyDescent="0.2">
      <c r="A3295" s="5">
        <f t="shared" si="111"/>
        <v>2</v>
      </c>
      <c r="B3295" s="5">
        <f t="shared" si="112"/>
        <v>2026</v>
      </c>
      <c r="C3295" s="7">
        <v>46062</v>
      </c>
      <c r="D3295" s="8">
        <v>3.9594</v>
      </c>
      <c r="E3295" s="8">
        <v>3.9660000000000002</v>
      </c>
    </row>
    <row r="3296" spans="1:5" x14ac:dyDescent="0.2">
      <c r="A3296" s="5">
        <f t="shared" si="111"/>
        <v>2</v>
      </c>
      <c r="B3296" s="5">
        <f t="shared" si="112"/>
        <v>2026</v>
      </c>
      <c r="C3296" s="7">
        <v>46063</v>
      </c>
      <c r="D3296" s="8">
        <v>3.9645000000000001</v>
      </c>
      <c r="E3296" s="8">
        <v>3.9554</v>
      </c>
    </row>
    <row r="3297" spans="1:5" x14ac:dyDescent="0.2">
      <c r="A3297" s="5">
        <f t="shared" si="111"/>
        <v>2</v>
      </c>
      <c r="B3297" s="5">
        <f t="shared" si="112"/>
        <v>2026</v>
      </c>
      <c r="C3297" s="7">
        <v>46064</v>
      </c>
      <c r="D3297" s="8">
        <v>3.9590000000000001</v>
      </c>
      <c r="E3297" s="8">
        <v>3.9527999999999999</v>
      </c>
    </row>
    <row r="3298" spans="1:5" x14ac:dyDescent="0.2">
      <c r="A3298" s="5">
        <f t="shared" si="111"/>
        <v>2</v>
      </c>
      <c r="B3298" s="5">
        <f t="shared" si="112"/>
        <v>2026</v>
      </c>
      <c r="C3298" s="7">
        <v>46065</v>
      </c>
      <c r="D3298" s="8">
        <v>3.9590000000000001</v>
      </c>
      <c r="E3298" s="8">
        <v>3.9533999999999998</v>
      </c>
    </row>
    <row r="3299" spans="1:5" x14ac:dyDescent="0.2">
      <c r="A3299" s="5">
        <f t="shared" si="111"/>
        <v>2</v>
      </c>
      <c r="B3299" s="5">
        <f t="shared" si="112"/>
        <v>2026</v>
      </c>
      <c r="C3299" s="7">
        <v>46066</v>
      </c>
      <c r="D3299" s="8">
        <v>3.9588000000000001</v>
      </c>
      <c r="E3299" s="8">
        <v>3.9548999999999999</v>
      </c>
    </row>
    <row r="3300" spans="1:5" x14ac:dyDescent="0.2">
      <c r="A3300" s="5">
        <f t="shared" si="111"/>
        <v>2</v>
      </c>
      <c r="B3300" s="5">
        <f t="shared" si="112"/>
        <v>2026</v>
      </c>
      <c r="C3300" s="7">
        <v>46071</v>
      </c>
      <c r="D3300" s="8">
        <v>3.9590000000000001</v>
      </c>
      <c r="E3300" s="8">
        <v>3.9605000000000001</v>
      </c>
    </row>
    <row r="3301" spans="1:5" x14ac:dyDescent="0.2">
      <c r="A3301" s="5">
        <f t="shared" si="111"/>
        <v>2</v>
      </c>
      <c r="B3301" s="5">
        <f t="shared" si="112"/>
        <v>2026</v>
      </c>
      <c r="C3301" s="7">
        <v>46072</v>
      </c>
      <c r="D3301" s="8">
        <v>3.9588000000000001</v>
      </c>
      <c r="E3301" s="8">
        <v>3.9622000000000002</v>
      </c>
    </row>
    <row r="3302" spans="1:5" x14ac:dyDescent="0.2">
      <c r="A3302" s="5">
        <f t="shared" si="111"/>
        <v>2</v>
      </c>
      <c r="B3302" s="5">
        <f t="shared" si="112"/>
        <v>2026</v>
      </c>
      <c r="C3302" s="7">
        <v>46073</v>
      </c>
      <c r="D3302" s="8">
        <v>3.9298000000000002</v>
      </c>
      <c r="E3302" s="8">
        <v>3.9460999999999999</v>
      </c>
    </row>
    <row r="3303" spans="1:5" x14ac:dyDescent="0.2">
      <c r="A3303" s="5">
        <f t="shared" si="111"/>
        <v>2</v>
      </c>
      <c r="B3303" s="5">
        <f t="shared" si="112"/>
        <v>2026</v>
      </c>
      <c r="C3303" s="7">
        <v>46076</v>
      </c>
      <c r="D3303" s="8">
        <v>3.9283999999999999</v>
      </c>
      <c r="E3303" s="8">
        <v>3.9489000000000001</v>
      </c>
    </row>
    <row r="3304" spans="1:5" x14ac:dyDescent="0.2">
      <c r="A3304" s="5">
        <f t="shared" si="111"/>
        <v>2</v>
      </c>
      <c r="B3304" s="5">
        <f t="shared" si="112"/>
        <v>2026</v>
      </c>
      <c r="C3304" s="7">
        <v>46077</v>
      </c>
      <c r="D3304" s="8">
        <v>3.9283999999999999</v>
      </c>
      <c r="E3304" s="8">
        <v>3.9361999999999999</v>
      </c>
    </row>
    <row r="3305" spans="1:5" x14ac:dyDescent="0.2">
      <c r="A3305" s="5">
        <f t="shared" si="111"/>
        <v>2</v>
      </c>
      <c r="B3305" s="5">
        <f t="shared" si="112"/>
        <v>2026</v>
      </c>
      <c r="C3305" s="7">
        <v>46078</v>
      </c>
      <c r="D3305" s="8">
        <v>3.9283000000000001</v>
      </c>
      <c r="E3305" s="8">
        <v>3.9348000000000001</v>
      </c>
    </row>
    <row r="3306" spans="1:5" x14ac:dyDescent="0.2">
      <c r="A3306" s="5">
        <f t="shared" si="111"/>
        <v>2</v>
      </c>
      <c r="B3306" s="5">
        <f t="shared" si="112"/>
        <v>2026</v>
      </c>
      <c r="C3306" s="7">
        <v>46079</v>
      </c>
      <c r="D3306" s="8">
        <v>3.9075000000000002</v>
      </c>
      <c r="E3306" s="8">
        <v>3.9342000000000001</v>
      </c>
    </row>
    <row r="3307" spans="1:5" x14ac:dyDescent="0.2">
      <c r="A3307" s="5">
        <f t="shared" si="111"/>
        <v>2</v>
      </c>
      <c r="B3307" s="5">
        <f t="shared" si="112"/>
        <v>2026</v>
      </c>
      <c r="C3307" s="7">
        <v>46080</v>
      </c>
      <c r="D3307" s="8">
        <v>3.9491000000000001</v>
      </c>
      <c r="E3307" s="8">
        <v>3.9234</v>
      </c>
    </row>
    <row r="3308" spans="1:5" x14ac:dyDescent="0.2">
      <c r="A3308" s="5">
        <f t="shared" si="111"/>
        <v>3</v>
      </c>
      <c r="B3308" s="5">
        <f t="shared" si="112"/>
        <v>2026</v>
      </c>
      <c r="C3308" s="7">
        <v>46083</v>
      </c>
      <c r="D3308" s="8">
        <v>3.9491000000000001</v>
      </c>
      <c r="E3308" s="8">
        <v>3.9333999999999998</v>
      </c>
    </row>
    <row r="3309" spans="1:5" x14ac:dyDescent="0.2">
      <c r="A3309" s="5">
        <f t="shared" si="111"/>
        <v>3</v>
      </c>
      <c r="B3309" s="5">
        <f t="shared" si="112"/>
        <v>2026</v>
      </c>
      <c r="C3309" s="7">
        <v>46084</v>
      </c>
      <c r="D3309" s="8">
        <v>3.9489999999999998</v>
      </c>
      <c r="E3309" s="8">
        <v>3.9386000000000001</v>
      </c>
    </row>
    <row r="3310" spans="1:5" x14ac:dyDescent="0.2">
      <c r="A3310" s="5">
        <f t="shared" si="111"/>
        <v>3</v>
      </c>
      <c r="B3310" s="5">
        <f t="shared" si="112"/>
        <v>2026</v>
      </c>
      <c r="C3310" s="7">
        <v>46085</v>
      </c>
      <c r="D3310" s="8">
        <v>3.9489999999999998</v>
      </c>
      <c r="E3310" s="8">
        <v>3.9403999999999999</v>
      </c>
    </row>
    <row r="3311" spans="1:5" x14ac:dyDescent="0.2">
      <c r="A3311" s="5">
        <f t="shared" si="111"/>
        <v>3</v>
      </c>
      <c r="B3311" s="5">
        <f t="shared" si="112"/>
        <v>2026</v>
      </c>
      <c r="C3311" s="7">
        <v>46086</v>
      </c>
      <c r="D3311" s="8">
        <v>3.9489999999999998</v>
      </c>
      <c r="E3311" s="8">
        <v>3.9342999999999999</v>
      </c>
    </row>
    <row r="3312" spans="1:5" x14ac:dyDescent="0.2">
      <c r="A3312" s="5">
        <f t="shared" si="111"/>
        <v>3</v>
      </c>
      <c r="B3312" s="5">
        <f t="shared" si="112"/>
        <v>2026</v>
      </c>
      <c r="C3312" s="7">
        <v>46087</v>
      </c>
      <c r="D3312" s="8">
        <v>3.9567000000000001</v>
      </c>
      <c r="E3312" s="8">
        <v>3.9445000000000001</v>
      </c>
    </row>
    <row r="3313" spans="1:5" x14ac:dyDescent="0.2">
      <c r="A3313" s="5">
        <f t="shared" si="111"/>
        <v>3</v>
      </c>
      <c r="B3313" s="5">
        <f t="shared" si="112"/>
        <v>2026</v>
      </c>
      <c r="C3313" s="7">
        <v>46090</v>
      </c>
      <c r="D3313" s="8">
        <v>3.9588000000000001</v>
      </c>
      <c r="E3313" s="8">
        <v>3.9436</v>
      </c>
    </row>
    <row r="3314" spans="1:5" x14ac:dyDescent="0.2">
      <c r="A3314" s="5">
        <f t="shared" si="111"/>
        <v>3</v>
      </c>
      <c r="B3314" s="5">
        <f t="shared" si="112"/>
        <v>2026</v>
      </c>
      <c r="C3314" s="7">
        <v>46091</v>
      </c>
      <c r="D3314" s="8">
        <v>3.9592999999999998</v>
      </c>
      <c r="E3314" s="8">
        <v>3.9398</v>
      </c>
    </row>
    <row r="3315" spans="1:5" x14ac:dyDescent="0.2">
      <c r="A3315" s="5">
        <f t="shared" si="111"/>
        <v>3</v>
      </c>
      <c r="B3315" s="5">
        <f t="shared" si="112"/>
        <v>2026</v>
      </c>
      <c r="C3315" s="7">
        <v>46092</v>
      </c>
      <c r="D3315" s="8">
        <v>3.9592999999999998</v>
      </c>
      <c r="E3315" s="8">
        <v>3.9451000000000001</v>
      </c>
    </row>
    <row r="3316" spans="1:5" x14ac:dyDescent="0.2">
      <c r="A3316" s="5">
        <f t="shared" si="111"/>
        <v>3</v>
      </c>
      <c r="B3316" s="5">
        <f t="shared" si="112"/>
        <v>2026</v>
      </c>
      <c r="C3316" s="7">
        <v>46093</v>
      </c>
      <c r="D3316" s="8">
        <v>3.9321999999999999</v>
      </c>
      <c r="E3316" s="8">
        <v>3.9315000000000002</v>
      </c>
    </row>
    <row r="3317" spans="1:5" x14ac:dyDescent="0.2">
      <c r="A3317" s="5">
        <f t="shared" si="111"/>
        <v>3</v>
      </c>
      <c r="B3317" s="5">
        <f t="shared" si="112"/>
        <v>2026</v>
      </c>
      <c r="C3317" s="7">
        <v>46094</v>
      </c>
      <c r="D3317" s="8">
        <v>3.9899</v>
      </c>
      <c r="E3317" s="8">
        <v>3.9906999999999999</v>
      </c>
    </row>
    <row r="3318" spans="1:5" x14ac:dyDescent="0.2">
      <c r="A3318" s="5">
        <f t="shared" si="111"/>
        <v>3</v>
      </c>
      <c r="B3318" s="5">
        <f t="shared" si="112"/>
        <v>2026</v>
      </c>
      <c r="C3318" s="7">
        <v>46097</v>
      </c>
      <c r="D3318" s="8">
        <v>3.9897</v>
      </c>
      <c r="E3318" s="8">
        <v>3.9830999999999999</v>
      </c>
    </row>
    <row r="3319" spans="1:5" x14ac:dyDescent="0.2">
      <c r="A3319" s="5">
        <f t="shared" si="111"/>
        <v>3</v>
      </c>
      <c r="B3319" s="5">
        <f t="shared" si="112"/>
        <v>2026</v>
      </c>
      <c r="C3319" s="7">
        <v>46098</v>
      </c>
      <c r="D3319" s="8">
        <v>3.9897</v>
      </c>
      <c r="E3319" s="8">
        <v>3.9807999999999999</v>
      </c>
    </row>
    <row r="3320" spans="1:5" x14ac:dyDescent="0.2">
      <c r="A3320" s="5">
        <f t="shared" si="111"/>
        <v>3</v>
      </c>
      <c r="B3320" s="5">
        <f t="shared" si="112"/>
        <v>2026</v>
      </c>
      <c r="C3320" s="7">
        <v>46099</v>
      </c>
      <c r="D3320" s="8">
        <v>3.9906000000000001</v>
      </c>
      <c r="E3320" s="8">
        <v>3.9805000000000001</v>
      </c>
    </row>
    <row r="3321" spans="1:5" x14ac:dyDescent="0.2">
      <c r="A3321" s="5">
        <f t="shared" si="111"/>
        <v>3</v>
      </c>
      <c r="B3321" s="5">
        <f t="shared" si="112"/>
        <v>2026</v>
      </c>
      <c r="C3321" s="7">
        <v>46100</v>
      </c>
      <c r="D3321" s="8">
        <v>3.9906000000000001</v>
      </c>
      <c r="E3321" s="8">
        <v>3.9855</v>
      </c>
    </row>
    <row r="3322" spans="1:5" x14ac:dyDescent="0.2">
      <c r="A3322" s="5">
        <f t="shared" si="111"/>
        <v>3</v>
      </c>
      <c r="B3322" s="5">
        <f t="shared" si="112"/>
        <v>2026</v>
      </c>
      <c r="C3322" s="7">
        <v>46101</v>
      </c>
      <c r="D3322" s="8">
        <v>4.0941999999999998</v>
      </c>
      <c r="E3322" s="8">
        <v>4.0744999999999996</v>
      </c>
    </row>
    <row r="3323" spans="1:5" x14ac:dyDescent="0.2">
      <c r="A3323" s="5">
        <f t="shared" si="111"/>
        <v>3</v>
      </c>
      <c r="B3323" s="5">
        <f t="shared" si="112"/>
        <v>2026</v>
      </c>
      <c r="C3323" s="7">
        <v>46104</v>
      </c>
      <c r="D3323" s="8">
        <v>4.1033999999999997</v>
      </c>
      <c r="E3323" s="8">
        <v>4.0728</v>
      </c>
    </row>
    <row r="3324" spans="1:5" x14ac:dyDescent="0.2">
      <c r="A3324" s="5">
        <f t="shared" si="111"/>
        <v>3</v>
      </c>
      <c r="B3324" s="5">
        <f t="shared" si="112"/>
        <v>2026</v>
      </c>
      <c r="C3324" s="7">
        <v>46105</v>
      </c>
      <c r="D3324" s="8">
        <v>4.1033999999999997</v>
      </c>
      <c r="E3324" s="8">
        <v>4.0701999999999998</v>
      </c>
    </row>
    <row r="3325" spans="1:5" x14ac:dyDescent="0.2">
      <c r="A3325" s="5">
        <f t="shared" si="111"/>
        <v>3</v>
      </c>
      <c r="B3325" s="5">
        <f t="shared" si="112"/>
        <v>2026</v>
      </c>
      <c r="C3325" s="7">
        <v>46106</v>
      </c>
      <c r="D3325" s="8">
        <v>4.1113</v>
      </c>
      <c r="E3325" s="8">
        <v>4.0755999999999997</v>
      </c>
    </row>
    <row r="3326" spans="1:5" x14ac:dyDescent="0.2">
      <c r="A3326" s="5">
        <f t="shared" si="111"/>
        <v>3</v>
      </c>
      <c r="B3326" s="5">
        <f t="shared" si="112"/>
        <v>2026</v>
      </c>
      <c r="C3326" s="7">
        <v>46107</v>
      </c>
      <c r="D3326" s="8">
        <v>4.1257999999999999</v>
      </c>
      <c r="E3326" s="8">
        <v>4.0888</v>
      </c>
    </row>
    <row r="3327" spans="1:5" x14ac:dyDescent="0.2">
      <c r="A3327" s="5">
        <f t="shared" si="111"/>
        <v>3</v>
      </c>
      <c r="B3327" s="5">
        <f t="shared" si="112"/>
        <v>2026</v>
      </c>
      <c r="C3327" s="7">
        <v>46108</v>
      </c>
      <c r="D3327" s="8">
        <v>4.2263000000000002</v>
      </c>
      <c r="E3327" s="8">
        <v>4.1024000000000003</v>
      </c>
    </row>
    <row r="3328" spans="1:5" x14ac:dyDescent="0.2">
      <c r="A3328" s="5">
        <f t="shared" si="111"/>
        <v>3</v>
      </c>
      <c r="B3328" s="5">
        <f t="shared" si="112"/>
        <v>2026</v>
      </c>
      <c r="C3328" s="7">
        <v>46111</v>
      </c>
      <c r="D3328" s="8">
        <v>4.2355</v>
      </c>
      <c r="E3328" s="8">
        <v>4.1069000000000004</v>
      </c>
    </row>
    <row r="3329" spans="1:5" x14ac:dyDescent="0.2">
      <c r="A3329" s="5">
        <f t="shared" si="111"/>
        <v>3</v>
      </c>
      <c r="B3329" s="5">
        <f t="shared" si="112"/>
        <v>2026</v>
      </c>
      <c r="C3329" s="7">
        <v>46112</v>
      </c>
      <c r="D3329" s="8">
        <v>4.2355</v>
      </c>
      <c r="E3329" s="8">
        <v>4.0909000000000004</v>
      </c>
    </row>
    <row r="3330" spans="1:5" x14ac:dyDescent="0.2">
      <c r="A3330" s="5">
        <f t="shared" si="111"/>
        <v>4</v>
      </c>
      <c r="B3330" s="5">
        <f t="shared" si="112"/>
        <v>2026</v>
      </c>
      <c r="C3330" s="7">
        <v>46113</v>
      </c>
      <c r="D3330" s="8">
        <v>4.2355</v>
      </c>
      <c r="E3330" s="8">
        <v>4.0991</v>
      </c>
    </row>
    <row r="3331" spans="1:5" x14ac:dyDescent="0.2">
      <c r="A3331" s="5">
        <f t="shared" si="111"/>
        <v>4</v>
      </c>
      <c r="B3331" s="5">
        <f t="shared" si="112"/>
        <v>2026</v>
      </c>
      <c r="C3331" s="7">
        <v>46114</v>
      </c>
      <c r="D3331" s="8">
        <v>4.2634999999999996</v>
      </c>
      <c r="E3331" s="8">
        <v>4.0946999999999996</v>
      </c>
    </row>
    <row r="3332" spans="1:5" x14ac:dyDescent="0.2">
      <c r="A3332" s="5">
        <f t="shared" ref="A3332:A3395" si="113">MONTH(C3332)</f>
        <v>4</v>
      </c>
      <c r="B3332" s="5">
        <f t="shared" ref="B3332:B3395" si="114">YEAR(C3332)</f>
        <v>2026</v>
      </c>
      <c r="C3332" s="7">
        <v>46118</v>
      </c>
      <c r="D3332" s="8">
        <v>4.2892999999999999</v>
      </c>
      <c r="E3332" s="8">
        <v>4.0663</v>
      </c>
    </row>
    <row r="3333" spans="1:5" x14ac:dyDescent="0.2">
      <c r="A3333" s="5">
        <f t="shared" si="113"/>
        <v>4</v>
      </c>
      <c r="B3333" s="5">
        <f t="shared" si="114"/>
        <v>2026</v>
      </c>
      <c r="C3333" s="7">
        <v>46119</v>
      </c>
      <c r="D3333" s="8">
        <v>4.2914000000000003</v>
      </c>
      <c r="E3333" s="8">
        <v>4.0552000000000001</v>
      </c>
    </row>
    <row r="3334" spans="1:5" x14ac:dyDescent="0.2">
      <c r="A3334" s="5">
        <f t="shared" si="113"/>
        <v>4</v>
      </c>
      <c r="B3334" s="5">
        <f t="shared" si="114"/>
        <v>2026</v>
      </c>
      <c r="C3334" s="7">
        <v>46120</v>
      </c>
      <c r="D3334" s="8">
        <v>4.2998000000000003</v>
      </c>
      <c r="E3334" s="8">
        <v>4.0525000000000002</v>
      </c>
    </row>
    <row r="3335" spans="1:5" x14ac:dyDescent="0.2">
      <c r="A3335" s="5">
        <f t="shared" si="113"/>
        <v>4</v>
      </c>
      <c r="B3335" s="5">
        <f t="shared" si="114"/>
        <v>2026</v>
      </c>
      <c r="C3335" s="7">
        <v>46121</v>
      </c>
      <c r="D3335" s="8">
        <v>4.3006000000000002</v>
      </c>
      <c r="E3335" s="8">
        <v>4.0411999999999999</v>
      </c>
    </row>
    <row r="3336" spans="1:5" x14ac:dyDescent="0.2">
      <c r="A3336" s="5">
        <f t="shared" si="113"/>
        <v>4</v>
      </c>
      <c r="B3336" s="5">
        <f t="shared" si="114"/>
        <v>2026</v>
      </c>
      <c r="C3336" s="7">
        <v>46122</v>
      </c>
      <c r="D3336" s="8">
        <v>4.0583999999999998</v>
      </c>
      <c r="E3336" s="8">
        <v>4.0536000000000003</v>
      </c>
    </row>
    <row r="3337" spans="1:5" x14ac:dyDescent="0.2">
      <c r="A3337" s="5">
        <f t="shared" si="113"/>
        <v>4</v>
      </c>
      <c r="B3337" s="5">
        <f t="shared" si="114"/>
        <v>2026</v>
      </c>
      <c r="C3337" s="7">
        <v>46125</v>
      </c>
      <c r="D3337" s="8">
        <v>4.0674000000000001</v>
      </c>
      <c r="E3337" s="8">
        <v>4.0312000000000001</v>
      </c>
    </row>
    <row r="3338" spans="1:5" x14ac:dyDescent="0.2">
      <c r="A3338" s="5">
        <f t="shared" si="113"/>
        <v>4</v>
      </c>
      <c r="B3338" s="5">
        <f t="shared" si="114"/>
        <v>2026</v>
      </c>
      <c r="C3338" s="7">
        <v>46126</v>
      </c>
      <c r="D3338" s="8">
        <v>4.0777999999999999</v>
      </c>
      <c r="E3338" s="8">
        <v>4.0202</v>
      </c>
    </row>
    <row r="3339" spans="1:5" x14ac:dyDescent="0.2">
      <c r="A3339" s="5">
        <f t="shared" si="113"/>
        <v>4</v>
      </c>
      <c r="B3339" s="5">
        <f t="shared" si="114"/>
        <v>2026</v>
      </c>
      <c r="C3339" s="7">
        <v>46127</v>
      </c>
      <c r="D3339" s="8">
        <v>4.0816999999999997</v>
      </c>
      <c r="E3339" s="8">
        <v>4.0294999999999996</v>
      </c>
    </row>
    <row r="3340" spans="1:5" x14ac:dyDescent="0.2">
      <c r="A3340" s="5">
        <f t="shared" si="113"/>
        <v>4</v>
      </c>
      <c r="B3340" s="5">
        <f t="shared" si="114"/>
        <v>2026</v>
      </c>
      <c r="C3340" s="7">
        <v>46128</v>
      </c>
      <c r="D3340" s="8">
        <v>4.0812999999999997</v>
      </c>
      <c r="E3340" s="8">
        <v>4.0193000000000003</v>
      </c>
    </row>
    <row r="3341" spans="1:5" x14ac:dyDescent="0.2">
      <c r="A3341" s="5">
        <f t="shared" si="113"/>
        <v>4</v>
      </c>
      <c r="B3341" s="5">
        <f t="shared" si="114"/>
        <v>2026</v>
      </c>
      <c r="C3341" s="7">
        <v>46129</v>
      </c>
      <c r="D3341" s="8">
        <v>4.1749000000000001</v>
      </c>
      <c r="E3341" s="8">
        <v>4.1082000000000001</v>
      </c>
    </row>
    <row r="3342" spans="1:5" x14ac:dyDescent="0.2">
      <c r="A3342" s="5">
        <f t="shared" si="113"/>
        <v>4</v>
      </c>
      <c r="B3342" s="5">
        <f t="shared" si="114"/>
        <v>2026</v>
      </c>
      <c r="C3342" s="7">
        <v>46132</v>
      </c>
      <c r="D3342" s="8">
        <v>4.1749000000000001</v>
      </c>
      <c r="E3342" s="8">
        <v>4.0708000000000002</v>
      </c>
    </row>
    <row r="3343" spans="1:5" x14ac:dyDescent="0.2">
      <c r="A3343" s="5">
        <f t="shared" si="113"/>
        <v>4</v>
      </c>
      <c r="B3343" s="5">
        <f t="shared" si="114"/>
        <v>2026</v>
      </c>
      <c r="C3343" s="7">
        <v>46134</v>
      </c>
      <c r="D3343" s="8">
        <v>4.1750999999999996</v>
      </c>
      <c r="E3343" s="8">
        <v>4.0490000000000004</v>
      </c>
    </row>
    <row r="3344" spans="1:5" x14ac:dyDescent="0.2">
      <c r="A3344" s="5">
        <f t="shared" si="113"/>
        <v>4</v>
      </c>
      <c r="B3344" s="5">
        <f t="shared" si="114"/>
        <v>2026</v>
      </c>
      <c r="C3344" s="7">
        <v>46135</v>
      </c>
      <c r="D3344" s="8">
        <v>4.1763000000000003</v>
      </c>
      <c r="E3344" s="8">
        <v>4.0408999999999997</v>
      </c>
    </row>
    <row r="3345" spans="1:5" x14ac:dyDescent="0.2">
      <c r="A3345" s="5">
        <f t="shared" si="113"/>
        <v>4</v>
      </c>
      <c r="B3345" s="5">
        <f t="shared" si="114"/>
        <v>2026</v>
      </c>
      <c r="C3345" s="7">
        <v>46136</v>
      </c>
      <c r="D3345" s="8">
        <v>4.2434000000000003</v>
      </c>
      <c r="E3345" s="8">
        <v>4.0930999999999997</v>
      </c>
    </row>
    <row r="3346" spans="1:5" x14ac:dyDescent="0.2">
      <c r="A3346" s="5">
        <f t="shared" si="113"/>
        <v>4</v>
      </c>
      <c r="B3346" s="5">
        <f t="shared" si="114"/>
        <v>2026</v>
      </c>
      <c r="C3346" s="7">
        <v>46139</v>
      </c>
      <c r="D3346" s="8">
        <v>4.2587999999999999</v>
      </c>
      <c r="E3346" s="8">
        <v>4.0731000000000002</v>
      </c>
    </row>
    <row r="3347" spans="1:5" x14ac:dyDescent="0.2">
      <c r="A3347" s="5">
        <f t="shared" si="113"/>
        <v>4</v>
      </c>
      <c r="B3347" s="5">
        <f t="shared" si="114"/>
        <v>2026</v>
      </c>
      <c r="C3347" s="7">
        <v>46140</v>
      </c>
      <c r="D3347" s="8">
        <v>4.2595000000000001</v>
      </c>
      <c r="E3347" s="8">
        <v>4.0629999999999997</v>
      </c>
    </row>
    <row r="3348" spans="1:5" x14ac:dyDescent="0.2">
      <c r="A3348" s="5">
        <f t="shared" si="113"/>
        <v>4</v>
      </c>
      <c r="B3348" s="5">
        <f t="shared" si="114"/>
        <v>2026</v>
      </c>
      <c r="C3348" s="7">
        <v>46141</v>
      </c>
      <c r="D3348" s="8">
        <v>4.2637</v>
      </c>
      <c r="E3348" s="8">
        <v>4.0528000000000004</v>
      </c>
    </row>
    <row r="3349" spans="1:5" x14ac:dyDescent="0.2">
      <c r="A3349" s="5">
        <f t="shared" si="113"/>
        <v>4</v>
      </c>
      <c r="B3349" s="5">
        <f t="shared" si="114"/>
        <v>2026</v>
      </c>
      <c r="C3349" s="7">
        <v>46142</v>
      </c>
      <c r="D3349" s="8">
        <v>4.2702999999999998</v>
      </c>
      <c r="E3349" s="8">
        <v>4.0502000000000002</v>
      </c>
    </row>
    <row r="3350" spans="1:5" x14ac:dyDescent="0.2">
      <c r="A3350" s="5">
        <f t="shared" si="113"/>
        <v>5</v>
      </c>
      <c r="B3350" s="5">
        <f t="shared" si="114"/>
        <v>2026</v>
      </c>
      <c r="C3350" s="7">
        <v>46146</v>
      </c>
      <c r="D3350" s="8">
        <v>4.2702999999999998</v>
      </c>
      <c r="E3350" s="8">
        <v>4.0038</v>
      </c>
    </row>
    <row r="3351" spans="1:5" x14ac:dyDescent="0.2">
      <c r="A3351" s="5">
        <f t="shared" si="113"/>
        <v>5</v>
      </c>
      <c r="B3351" s="5">
        <f t="shared" si="114"/>
        <v>2026</v>
      </c>
      <c r="C3351" s="7">
        <v>46147</v>
      </c>
      <c r="D3351" s="8">
        <v>4.2702999999999998</v>
      </c>
      <c r="E3351" s="8">
        <v>3.9937</v>
      </c>
    </row>
    <row r="3352" spans="1:5" x14ac:dyDescent="0.2">
      <c r="A3352" s="5">
        <f t="shared" si="113"/>
        <v>5</v>
      </c>
      <c r="B3352" s="5">
        <f t="shared" si="114"/>
        <v>2026</v>
      </c>
      <c r="C3352" s="7">
        <v>46148</v>
      </c>
      <c r="D3352" s="8">
        <v>4.2725999999999997</v>
      </c>
      <c r="E3352" s="8">
        <v>3.9872999999999998</v>
      </c>
    </row>
    <row r="3353" spans="1:5" x14ac:dyDescent="0.2">
      <c r="A3353" s="5">
        <f t="shared" si="113"/>
        <v>5</v>
      </c>
      <c r="B3353" s="5">
        <f t="shared" si="114"/>
        <v>2026</v>
      </c>
      <c r="C3353" s="7">
        <v>46149</v>
      </c>
      <c r="D3353" s="8">
        <v>4.2725999999999997</v>
      </c>
      <c r="E3353" s="8">
        <v>3.9784000000000002</v>
      </c>
    </row>
    <row r="3354" spans="1:5" x14ac:dyDescent="0.2">
      <c r="A3354" s="5">
        <f t="shared" si="113"/>
        <v>5</v>
      </c>
      <c r="B3354" s="5">
        <f t="shared" si="114"/>
        <v>2026</v>
      </c>
      <c r="C3354" s="7">
        <v>46150</v>
      </c>
      <c r="D3354" s="8">
        <v>4.2786999999999997</v>
      </c>
      <c r="E3354" s="8">
        <v>3.9737</v>
      </c>
    </row>
    <row r="3355" spans="1:5" x14ac:dyDescent="0.2">
      <c r="A3355" s="5">
        <f t="shared" si="113"/>
        <v>5</v>
      </c>
      <c r="B3355" s="5">
        <f t="shared" si="114"/>
        <v>2026</v>
      </c>
      <c r="C3355" s="7">
        <v>46153</v>
      </c>
      <c r="D3355" s="8">
        <v>4.2725999999999997</v>
      </c>
      <c r="E3355" s="8">
        <v>3.9441000000000002</v>
      </c>
    </row>
    <row r="3356" spans="1:5" x14ac:dyDescent="0.2">
      <c r="A3356" s="5">
        <f t="shared" si="113"/>
        <v>5</v>
      </c>
      <c r="B3356" s="5">
        <f t="shared" si="114"/>
        <v>2026</v>
      </c>
      <c r="C3356" s="7">
        <v>46154</v>
      </c>
      <c r="D3356" s="8">
        <v>3.9647999999999999</v>
      </c>
      <c r="E3356" s="8">
        <v>3.9571000000000001</v>
      </c>
    </row>
    <row r="3357" spans="1:5" x14ac:dyDescent="0.2">
      <c r="A3357" s="5">
        <f t="shared" si="113"/>
        <v>5</v>
      </c>
      <c r="B3357" s="5">
        <f t="shared" si="114"/>
        <v>2026</v>
      </c>
      <c r="C3357" s="7">
        <v>46155</v>
      </c>
      <c r="D3357" s="8">
        <v>3.9659</v>
      </c>
      <c r="E3357" s="8">
        <v>3.9493999999999998</v>
      </c>
    </row>
    <row r="3358" spans="1:5" x14ac:dyDescent="0.2">
      <c r="A3358" s="5">
        <f t="shared" si="113"/>
        <v>5</v>
      </c>
      <c r="B3358" s="5">
        <f t="shared" si="114"/>
        <v>2026</v>
      </c>
      <c r="C3358" s="7">
        <v>46156</v>
      </c>
      <c r="D3358" s="8">
        <v>3.9672999999999998</v>
      </c>
      <c r="E3358" s="8">
        <v>3.9470999999999998</v>
      </c>
    </row>
    <row r="3359" spans="1:5" x14ac:dyDescent="0.2">
      <c r="A3359" s="5">
        <f t="shared" si="113"/>
        <v>5</v>
      </c>
      <c r="B3359" s="5">
        <f t="shared" si="114"/>
        <v>2026</v>
      </c>
      <c r="C3359" s="7">
        <v>46157</v>
      </c>
      <c r="D3359" s="8">
        <v>3.9796999999999998</v>
      </c>
      <c r="E3359" s="8">
        <v>3.9470999999999998</v>
      </c>
    </row>
    <row r="3360" spans="1:5" x14ac:dyDescent="0.2">
      <c r="A3360" s="5">
        <f t="shared" si="113"/>
        <v>5</v>
      </c>
      <c r="B3360" s="5">
        <f t="shared" si="114"/>
        <v>2026</v>
      </c>
      <c r="C3360" s="7">
        <v>46160</v>
      </c>
      <c r="D3360" s="8">
        <v>3.9799000000000002</v>
      </c>
      <c r="E3360" s="8">
        <v>3.9361999999999999</v>
      </c>
    </row>
    <row r="3361" spans="1:5" x14ac:dyDescent="0.2">
      <c r="A3361" s="5">
        <f t="shared" si="113"/>
        <v>5</v>
      </c>
      <c r="B3361" s="5">
        <f t="shared" si="114"/>
        <v>2026</v>
      </c>
      <c r="C3361" s="7">
        <v>46161</v>
      </c>
      <c r="D3361" s="8">
        <v>3.9946000000000002</v>
      </c>
      <c r="E3361" s="8">
        <v>3.9422000000000001</v>
      </c>
    </row>
    <row r="3362" spans="1:5" x14ac:dyDescent="0.2">
      <c r="A3362" s="5">
        <f t="shared" si="113"/>
        <v>5</v>
      </c>
      <c r="B3362" s="5">
        <f t="shared" si="114"/>
        <v>2026</v>
      </c>
      <c r="C3362" s="7">
        <v>46162</v>
      </c>
      <c r="D3362" s="8">
        <v>3.9946000000000002</v>
      </c>
      <c r="E3362" s="8">
        <v>3.9424000000000001</v>
      </c>
    </row>
    <row r="3363" spans="1:5" x14ac:dyDescent="0.2">
      <c r="A3363" s="5">
        <f t="shared" si="113"/>
        <v>5</v>
      </c>
      <c r="B3363" s="5">
        <f t="shared" si="114"/>
        <v>2026</v>
      </c>
      <c r="C3363" s="7">
        <v>46163</v>
      </c>
      <c r="D3363" s="8">
        <v>3.9980000000000002</v>
      </c>
      <c r="E3363" s="8">
        <v>3.9466000000000001</v>
      </c>
    </row>
    <row r="3364" spans="1:5" x14ac:dyDescent="0.2">
      <c r="A3364" s="5">
        <f t="shared" si="113"/>
        <v>5</v>
      </c>
      <c r="B3364" s="5">
        <f t="shared" si="114"/>
        <v>2026</v>
      </c>
      <c r="C3364" s="7">
        <v>46164</v>
      </c>
      <c r="D3364" s="8">
        <v>4.1496000000000004</v>
      </c>
      <c r="E3364" s="8">
        <v>4.0678000000000001</v>
      </c>
    </row>
    <row r="3365" spans="1:5" x14ac:dyDescent="0.2">
      <c r="A3365" s="5">
        <f t="shared" si="113"/>
        <v>5</v>
      </c>
      <c r="B3365" s="5">
        <f t="shared" si="114"/>
        <v>2026</v>
      </c>
      <c r="C3365" s="7">
        <v>46167</v>
      </c>
      <c r="D3365" s="8">
        <v>4.1710000000000003</v>
      </c>
      <c r="E3365" s="8">
        <v>4.0682</v>
      </c>
    </row>
    <row r="3366" spans="1:5" x14ac:dyDescent="0.2">
      <c r="A3366" s="5">
        <f t="shared" si="113"/>
        <v>5</v>
      </c>
      <c r="B3366" s="5">
        <f t="shared" si="114"/>
        <v>2026</v>
      </c>
      <c r="C3366" s="7">
        <v>46168</v>
      </c>
      <c r="D3366" s="8">
        <v>4.1684999999999999</v>
      </c>
      <c r="E3366" s="8">
        <v>4.0625</v>
      </c>
    </row>
    <row r="3367" spans="1:5" x14ac:dyDescent="0.2">
      <c r="A3367" s="5">
        <f t="shared" si="113"/>
        <v>5</v>
      </c>
      <c r="B3367" s="5">
        <f t="shared" si="114"/>
        <v>2026</v>
      </c>
      <c r="C3367" s="7">
        <v>46169</v>
      </c>
      <c r="D3367" s="8">
        <v>4.1727999999999996</v>
      </c>
      <c r="E3367" s="8">
        <v>4.0575999999999999</v>
      </c>
    </row>
    <row r="3368" spans="1:5" x14ac:dyDescent="0.2">
      <c r="A3368" s="5">
        <f t="shared" si="113"/>
        <v>5</v>
      </c>
      <c r="B3368" s="5">
        <f t="shared" si="114"/>
        <v>2026</v>
      </c>
      <c r="C3368" s="7">
        <v>46170</v>
      </c>
      <c r="D3368" s="8">
        <v>4.1745999999999999</v>
      </c>
      <c r="E3368" s="8">
        <v>4.0602999999999998</v>
      </c>
    </row>
    <row r="3369" spans="1:5" x14ac:dyDescent="0.2">
      <c r="A3369" s="5">
        <f t="shared" si="113"/>
        <v>5</v>
      </c>
      <c r="B3369" s="5">
        <f t="shared" si="114"/>
        <v>2026</v>
      </c>
      <c r="C3369" s="7">
        <v>46171</v>
      </c>
      <c r="D3369" s="8">
        <v>4.1748000000000003</v>
      </c>
      <c r="E3369" s="8">
        <v>4.0579999999999998</v>
      </c>
    </row>
    <row r="3370" spans="1:5" x14ac:dyDescent="0.2">
      <c r="A3370" s="5">
        <f t="shared" si="113"/>
        <v>6</v>
      </c>
      <c r="B3370" s="5">
        <f t="shared" si="114"/>
        <v>2026</v>
      </c>
      <c r="C3370" s="7">
        <v>46174</v>
      </c>
      <c r="D3370" s="8">
        <v>4.1748000000000003</v>
      </c>
      <c r="E3370" s="8">
        <v>4.0419999999999998</v>
      </c>
    </row>
    <row r="3371" spans="1:5" x14ac:dyDescent="0.2">
      <c r="A3371" s="5">
        <f t="shared" si="113"/>
        <v>6</v>
      </c>
      <c r="B3371" s="5">
        <f t="shared" si="114"/>
        <v>2026</v>
      </c>
      <c r="C3371" s="7">
        <v>46175</v>
      </c>
      <c r="D3371" s="8">
        <v>4.1748000000000003</v>
      </c>
      <c r="E3371" s="8">
        <v>4.0404</v>
      </c>
    </row>
    <row r="3372" spans="1:5" x14ac:dyDescent="0.2">
      <c r="A3372" s="5">
        <f t="shared" si="113"/>
        <v>6</v>
      </c>
      <c r="B3372" s="5">
        <f t="shared" si="114"/>
        <v>2026</v>
      </c>
      <c r="C3372" s="7">
        <v>46176</v>
      </c>
      <c r="D3372" s="8">
        <v>4.1761999999999997</v>
      </c>
      <c r="E3372" s="8">
        <v>4.0331000000000001</v>
      </c>
    </row>
    <row r="3373" spans="1:5" x14ac:dyDescent="0.2">
      <c r="A3373" s="5">
        <f t="shared" si="113"/>
        <v>6</v>
      </c>
      <c r="B3373" s="5">
        <f t="shared" si="114"/>
        <v>2026</v>
      </c>
      <c r="C3373" s="7">
        <v>46178</v>
      </c>
      <c r="D3373" s="8">
        <v>4.1864999999999997</v>
      </c>
      <c r="E3373" s="8">
        <v>4.0419</v>
      </c>
    </row>
    <row r="3374" spans="1:5" x14ac:dyDescent="0.2">
      <c r="A3374" s="5">
        <f t="shared" si="113"/>
        <v>6</v>
      </c>
      <c r="B3374" s="5">
        <f t="shared" si="114"/>
        <v>2026</v>
      </c>
      <c r="C3374" s="7">
        <v>46181</v>
      </c>
      <c r="D3374" s="8">
        <v>4.218</v>
      </c>
      <c r="E3374" s="8">
        <v>4.0242000000000004</v>
      </c>
    </row>
    <row r="3375" spans="1:5" x14ac:dyDescent="0.2">
      <c r="A3375" s="5">
        <f t="shared" si="113"/>
        <v>6</v>
      </c>
      <c r="B3375" s="5">
        <f t="shared" si="114"/>
        <v>2026</v>
      </c>
      <c r="C3375" s="7">
        <v>46182</v>
      </c>
      <c r="D3375" s="8">
        <v>4.2275999999999998</v>
      </c>
      <c r="E3375" s="8">
        <v>4.0242000000000004</v>
      </c>
    </row>
    <row r="3376" spans="1:5" x14ac:dyDescent="0.2">
      <c r="A3376" s="5">
        <f t="shared" si="113"/>
        <v>6</v>
      </c>
      <c r="B3376" s="5">
        <f t="shared" si="114"/>
        <v>2026</v>
      </c>
      <c r="C3376" s="7">
        <v>46183</v>
      </c>
      <c r="D3376" s="8">
        <v>4.2275999999999998</v>
      </c>
      <c r="E3376" s="8">
        <v>4.0148999999999999</v>
      </c>
    </row>
    <row r="3377" spans="1:5" x14ac:dyDescent="0.2">
      <c r="A3377" s="5">
        <f t="shared" si="113"/>
        <v>6</v>
      </c>
      <c r="B3377" s="5">
        <f t="shared" si="114"/>
        <v>2026</v>
      </c>
      <c r="C3377" s="7">
        <v>46184</v>
      </c>
      <c r="D3377" s="8">
        <v>4.2375999999999996</v>
      </c>
      <c r="E3377" s="8">
        <v>4.0157999999999996</v>
      </c>
    </row>
    <row r="3378" spans="1:5" x14ac:dyDescent="0.2">
      <c r="A3378" s="5">
        <f t="shared" si="113"/>
        <v>6</v>
      </c>
      <c r="B3378" s="5">
        <f t="shared" si="114"/>
        <v>2026</v>
      </c>
      <c r="C3378" s="7">
        <v>46185</v>
      </c>
      <c r="D3378" s="8">
        <v>4.1123000000000003</v>
      </c>
      <c r="E3378" s="8">
        <v>4.1063999999999998</v>
      </c>
    </row>
    <row r="3379" spans="1:5" x14ac:dyDescent="0.2">
      <c r="A3379" s="5">
        <f t="shared" si="113"/>
        <v>6</v>
      </c>
      <c r="B3379" s="5">
        <f t="shared" si="114"/>
        <v>2026</v>
      </c>
      <c r="C3379" s="7">
        <v>46188</v>
      </c>
      <c r="D3379" s="8">
        <v>4.1123000000000003</v>
      </c>
      <c r="E3379" s="8">
        <v>4.0978000000000003</v>
      </c>
    </row>
    <row r="3380" spans="1:5" x14ac:dyDescent="0.2">
      <c r="A3380" s="5">
        <f t="shared" si="113"/>
        <v>6</v>
      </c>
      <c r="B3380" s="5">
        <f t="shared" si="114"/>
        <v>2026</v>
      </c>
      <c r="C3380" s="7">
        <v>46189</v>
      </c>
      <c r="D3380" s="8">
        <v>4.1123000000000003</v>
      </c>
      <c r="E3380" s="8">
        <v>4.0963000000000003</v>
      </c>
    </row>
    <row r="3381" spans="1:5" x14ac:dyDescent="0.2">
      <c r="A3381" s="5">
        <f t="shared" si="113"/>
        <v>6</v>
      </c>
      <c r="B3381" s="5">
        <f t="shared" si="114"/>
        <v>2026</v>
      </c>
      <c r="C3381" s="7">
        <v>46190</v>
      </c>
      <c r="D3381" s="8">
        <v>4.1123000000000003</v>
      </c>
      <c r="E3381" s="8">
        <v>4.0948000000000002</v>
      </c>
    </row>
    <row r="3382" spans="1:5" x14ac:dyDescent="0.2">
      <c r="A3382" s="5">
        <f t="shared" si="113"/>
        <v>6</v>
      </c>
      <c r="B3382" s="5">
        <f t="shared" si="114"/>
        <v>2026</v>
      </c>
      <c r="C3382" s="7">
        <v>46191</v>
      </c>
      <c r="D3382" s="8">
        <v>4.1123000000000003</v>
      </c>
      <c r="E3382" s="8">
        <v>4.0898000000000003</v>
      </c>
    </row>
    <row r="3383" spans="1:5" x14ac:dyDescent="0.2">
      <c r="A3383" s="5">
        <f t="shared" si="113"/>
        <v>6</v>
      </c>
      <c r="B3383" s="5">
        <f t="shared" si="114"/>
        <v>2026</v>
      </c>
      <c r="C3383" s="7">
        <v>46192</v>
      </c>
      <c r="D3383" s="8">
        <v>4.1687000000000003</v>
      </c>
      <c r="E3383" s="8">
        <v>4.1379999999999999</v>
      </c>
    </row>
    <row r="3384" spans="1:5" x14ac:dyDescent="0.2">
      <c r="A3384" s="5">
        <f t="shared" si="113"/>
        <v>6</v>
      </c>
      <c r="B3384" s="5">
        <f t="shared" si="114"/>
        <v>2026</v>
      </c>
      <c r="C3384" s="7">
        <v>46195</v>
      </c>
      <c r="D3384" s="8">
        <v>4.1843000000000004</v>
      </c>
      <c r="E3384" s="8">
        <v>4.1448</v>
      </c>
    </row>
    <row r="3385" spans="1:5" x14ac:dyDescent="0.2">
      <c r="A3385" s="5">
        <f t="shared" si="113"/>
        <v>6</v>
      </c>
      <c r="B3385" s="5">
        <f t="shared" si="114"/>
        <v>2026</v>
      </c>
      <c r="C3385" s="7">
        <v>46196</v>
      </c>
      <c r="D3385" s="8">
        <v>4.1843000000000004</v>
      </c>
      <c r="E3385" s="8">
        <v>4.1394000000000002</v>
      </c>
    </row>
    <row r="3386" spans="1:5" x14ac:dyDescent="0.2">
      <c r="A3386" s="5">
        <f t="shared" si="113"/>
        <v>6</v>
      </c>
      <c r="B3386" s="5">
        <f t="shared" si="114"/>
        <v>2026</v>
      </c>
      <c r="C3386" s="7">
        <v>46197</v>
      </c>
      <c r="D3386" s="8">
        <v>4.1843000000000004</v>
      </c>
      <c r="E3386" s="8">
        <v>4.1340000000000003</v>
      </c>
    </row>
    <row r="3387" spans="1:5" x14ac:dyDescent="0.2">
      <c r="A3387" s="5">
        <f t="shared" si="113"/>
        <v>6</v>
      </c>
      <c r="B3387" s="5">
        <f t="shared" si="114"/>
        <v>2026</v>
      </c>
      <c r="C3387" s="7">
        <v>46198</v>
      </c>
      <c r="D3387" s="8">
        <v>4.1900000000000004</v>
      </c>
      <c r="E3387" s="8">
        <v>4.1379999999999999</v>
      </c>
    </row>
    <row r="3388" spans="1:5" x14ac:dyDescent="0.2">
      <c r="A3388" s="5">
        <f t="shared" si="113"/>
        <v>6</v>
      </c>
      <c r="B3388" s="5">
        <f t="shared" si="114"/>
        <v>2026</v>
      </c>
      <c r="C3388" s="7">
        <v>46199</v>
      </c>
      <c r="D3388" s="8">
        <v>4.1881000000000004</v>
      </c>
      <c r="E3388" s="8">
        <v>4.1353999999999997</v>
      </c>
    </row>
    <row r="3389" spans="1:5" x14ac:dyDescent="0.2">
      <c r="A3389" s="5">
        <f t="shared" si="113"/>
        <v>6</v>
      </c>
      <c r="B3389" s="5">
        <f t="shared" si="114"/>
        <v>2026</v>
      </c>
      <c r="C3389" s="7">
        <v>46202</v>
      </c>
      <c r="D3389" s="8">
        <v>4.1900000000000004</v>
      </c>
      <c r="E3389" s="8">
        <v>4.1275000000000004</v>
      </c>
    </row>
    <row r="3390" spans="1:5" x14ac:dyDescent="0.2">
      <c r="A3390" s="5">
        <f t="shared" si="113"/>
        <v>6</v>
      </c>
      <c r="B3390" s="5">
        <f t="shared" si="114"/>
        <v>2026</v>
      </c>
      <c r="C3390" s="7">
        <v>46203</v>
      </c>
      <c r="D3390" s="8">
        <v>4.1900000000000004</v>
      </c>
      <c r="E3390" s="8">
        <v>4.1245000000000003</v>
      </c>
    </row>
    <row r="3391" spans="1:5" x14ac:dyDescent="0.2">
      <c r="A3391" s="5">
        <f t="shared" si="113"/>
        <v>7</v>
      </c>
      <c r="B3391" s="5">
        <f t="shared" si="114"/>
        <v>2026</v>
      </c>
      <c r="C3391" s="7">
        <v>46204</v>
      </c>
      <c r="D3391" s="8">
        <v>4.2057000000000002</v>
      </c>
      <c r="E3391" s="8">
        <v>4.1467000000000001</v>
      </c>
    </row>
    <row r="3392" spans="1:5" x14ac:dyDescent="0.2">
      <c r="A3392" s="5">
        <f t="shared" si="113"/>
        <v>7</v>
      </c>
      <c r="B3392" s="5">
        <f t="shared" si="114"/>
        <v>2026</v>
      </c>
      <c r="C3392" s="7">
        <v>46205</v>
      </c>
      <c r="D3392" s="8">
        <v>4.1900000000000004</v>
      </c>
      <c r="E3392" s="8">
        <v>4.1185999999999998</v>
      </c>
    </row>
    <row r="3393" spans="1:5" x14ac:dyDescent="0.2">
      <c r="A3393" s="5">
        <f t="shared" si="113"/>
        <v>7</v>
      </c>
      <c r="B3393" s="5">
        <f t="shared" si="114"/>
        <v>2026</v>
      </c>
      <c r="C3393" s="7">
        <v>46206</v>
      </c>
      <c r="D3393" s="8">
        <v>4.1809000000000003</v>
      </c>
      <c r="E3393" s="8">
        <v>4.1001000000000003</v>
      </c>
    </row>
    <row r="3394" spans="1:5" x14ac:dyDescent="0.2">
      <c r="A3394" s="5">
        <f t="shared" si="113"/>
        <v>7</v>
      </c>
      <c r="B3394" s="5">
        <f t="shared" si="114"/>
        <v>2026</v>
      </c>
      <c r="C3394" s="7">
        <v>46209</v>
      </c>
      <c r="D3394" s="8">
        <v>4.1809000000000003</v>
      </c>
      <c r="E3394" s="8">
        <v>4.0928000000000004</v>
      </c>
    </row>
    <row r="3395" spans="1:5" x14ac:dyDescent="0.2">
      <c r="A3395" s="5">
        <f t="shared" si="113"/>
        <v>7</v>
      </c>
      <c r="B3395" s="5">
        <f t="shared" si="114"/>
        <v>2026</v>
      </c>
      <c r="C3395" s="7">
        <v>46210</v>
      </c>
      <c r="D3395" s="8">
        <v>4.1817000000000002</v>
      </c>
      <c r="E3395" s="8">
        <v>4.0983000000000001</v>
      </c>
    </row>
    <row r="3396" spans="1:5" x14ac:dyDescent="0.2">
      <c r="A3396" s="5">
        <f t="shared" ref="A3396:A3447" si="115">MONTH(C3396)</f>
        <v>7</v>
      </c>
      <c r="B3396" s="5">
        <f t="shared" ref="B3396:B3447" si="116">YEAR(C3396)</f>
        <v>2026</v>
      </c>
      <c r="C3396" s="7">
        <v>46211</v>
      </c>
      <c r="D3396" s="8">
        <v>4.1817000000000002</v>
      </c>
      <c r="E3396" s="8">
        <v>4.0968</v>
      </c>
    </row>
    <row r="3397" spans="1:5" x14ac:dyDescent="0.2">
      <c r="A3397" s="5">
        <f t="shared" si="115"/>
        <v>7</v>
      </c>
      <c r="B3397" s="5">
        <f t="shared" si="116"/>
        <v>2026</v>
      </c>
      <c r="C3397" s="7">
        <v>46212</v>
      </c>
      <c r="D3397" s="8">
        <v>4.1809000000000003</v>
      </c>
      <c r="E3397" s="8">
        <v>4.0928000000000004</v>
      </c>
    </row>
    <row r="3398" spans="1:5" x14ac:dyDescent="0.2">
      <c r="A3398" s="5">
        <f t="shared" si="115"/>
        <v>7</v>
      </c>
      <c r="B3398" s="5">
        <f t="shared" si="116"/>
        <v>2026</v>
      </c>
      <c r="C3398" s="7">
        <v>46213</v>
      </c>
      <c r="D3398" s="8">
        <v>4.1604000000000001</v>
      </c>
      <c r="E3398" s="8">
        <v>4.1642000000000001</v>
      </c>
    </row>
    <row r="3399" spans="1:5" x14ac:dyDescent="0.2">
      <c r="A3399" s="5">
        <f t="shared" si="115"/>
        <v>7</v>
      </c>
      <c r="B3399" s="5">
        <f t="shared" si="116"/>
        <v>2026</v>
      </c>
      <c r="C3399" s="7">
        <v>46216</v>
      </c>
      <c r="D3399" s="8">
        <v>4.1708999999999996</v>
      </c>
      <c r="E3399" s="8">
        <v>4.1772999999999998</v>
      </c>
    </row>
    <row r="3400" spans="1:5" x14ac:dyDescent="0.2">
      <c r="A3400" s="5">
        <f t="shared" si="115"/>
        <v>7</v>
      </c>
      <c r="B3400" s="5">
        <f t="shared" si="116"/>
        <v>2026</v>
      </c>
      <c r="C3400" s="7">
        <v>46217</v>
      </c>
      <c r="D3400" s="8">
        <v>4.1664000000000003</v>
      </c>
      <c r="E3400" s="8">
        <v>4.1768999999999998</v>
      </c>
    </row>
    <row r="3401" spans="1:5" x14ac:dyDescent="0.2">
      <c r="A3401" s="5">
        <f t="shared" si="115"/>
        <v>7</v>
      </c>
      <c r="B3401" s="5">
        <f t="shared" si="116"/>
        <v>2026</v>
      </c>
      <c r="C3401" s="7">
        <v>46218</v>
      </c>
      <c r="D3401" s="8">
        <v>4.1664000000000003</v>
      </c>
      <c r="E3401" s="8">
        <v>4.1783999999999999</v>
      </c>
    </row>
    <row r="3402" spans="1:5" x14ac:dyDescent="0.2">
      <c r="A3402" s="5">
        <f t="shared" si="115"/>
        <v>7</v>
      </c>
      <c r="B3402" s="5">
        <f t="shared" si="116"/>
        <v>2026</v>
      </c>
      <c r="C3402" s="7">
        <v>46219</v>
      </c>
      <c r="D3402" s="8">
        <v>4.1664000000000003</v>
      </c>
      <c r="E3402" s="8">
        <v>4.1803999999999997</v>
      </c>
    </row>
    <row r="3403" spans="1:5" x14ac:dyDescent="0.2">
      <c r="A3403" s="5">
        <f t="shared" si="115"/>
        <v>7</v>
      </c>
      <c r="B3403" s="5">
        <f t="shared" si="116"/>
        <v>2026</v>
      </c>
      <c r="C3403" s="7">
        <v>46220</v>
      </c>
      <c r="D3403" s="8">
        <v>4.1753</v>
      </c>
      <c r="E3403" s="8">
        <v>4.1840000000000002</v>
      </c>
    </row>
    <row r="3404" spans="1:5" x14ac:dyDescent="0.2">
      <c r="A3404" s="5">
        <f t="shared" si="115"/>
        <v>7</v>
      </c>
      <c r="B3404" s="5">
        <f t="shared" si="116"/>
        <v>2026</v>
      </c>
      <c r="C3404" s="7">
        <v>46223</v>
      </c>
      <c r="D3404" s="8">
        <v>4.1501000000000001</v>
      </c>
      <c r="E3404" s="8">
        <v>4.1710000000000003</v>
      </c>
    </row>
    <row r="3405" spans="1:5" x14ac:dyDescent="0.2">
      <c r="A3405" s="5">
        <f t="shared" si="115"/>
        <v>7</v>
      </c>
      <c r="B3405" s="5">
        <f t="shared" si="116"/>
        <v>2026</v>
      </c>
      <c r="C3405" s="7">
        <v>46224</v>
      </c>
      <c r="D3405" s="8">
        <v>4.1501000000000001</v>
      </c>
      <c r="E3405" s="8">
        <v>4.1702000000000004</v>
      </c>
    </row>
    <row r="3406" spans="1:5" x14ac:dyDescent="0.2">
      <c r="A3406" s="5">
        <f t="shared" si="115"/>
        <v>7</v>
      </c>
      <c r="B3406" s="5">
        <f t="shared" si="116"/>
        <v>2026</v>
      </c>
      <c r="C3406" s="7">
        <v>46225</v>
      </c>
      <c r="D3406" s="8">
        <v>4.1360999999999999</v>
      </c>
      <c r="E3406" s="8">
        <v>4.1623000000000001</v>
      </c>
    </row>
    <row r="3407" spans="1:5" x14ac:dyDescent="0.2">
      <c r="A3407" s="5">
        <f t="shared" si="115"/>
        <v>7</v>
      </c>
      <c r="B3407" s="5">
        <f t="shared" si="116"/>
        <v>2026</v>
      </c>
      <c r="C3407" s="7">
        <v>46226</v>
      </c>
      <c r="D3407" s="8">
        <v>4.1384999999999996</v>
      </c>
      <c r="E3407" s="8">
        <v>4.1832000000000003</v>
      </c>
    </row>
    <row r="3408" spans="1:5" x14ac:dyDescent="0.2">
      <c r="A3408" s="5">
        <f t="shared" si="115"/>
        <v>7</v>
      </c>
      <c r="B3408" s="5">
        <f t="shared" si="116"/>
        <v>2026</v>
      </c>
      <c r="C3408" s="7">
        <v>46227</v>
      </c>
      <c r="D3408" s="8">
        <v>4.1531000000000002</v>
      </c>
      <c r="E3408" s="8">
        <v>4.1878000000000002</v>
      </c>
    </row>
    <row r="3409" spans="1:5" x14ac:dyDescent="0.2">
      <c r="A3409" s="5">
        <f t="shared" si="115"/>
        <v>7</v>
      </c>
      <c r="B3409" s="5">
        <f t="shared" si="116"/>
        <v>2026</v>
      </c>
      <c r="C3409" s="7">
        <v>46230</v>
      </c>
      <c r="D3409" s="8">
        <v>4.1539999999999999</v>
      </c>
      <c r="E3409" s="8">
        <v>4.1931000000000003</v>
      </c>
    </row>
    <row r="3410" spans="1:5" x14ac:dyDescent="0.2">
      <c r="A3410" s="5">
        <f t="shared" si="115"/>
        <v>7</v>
      </c>
      <c r="B3410" s="5">
        <f t="shared" si="116"/>
        <v>2026</v>
      </c>
      <c r="C3410" s="7">
        <v>46231</v>
      </c>
      <c r="D3410" s="8">
        <v>4.1516000000000002</v>
      </c>
      <c r="E3410" s="8">
        <v>4.1927000000000003</v>
      </c>
    </row>
    <row r="3411" spans="1:5" x14ac:dyDescent="0.2">
      <c r="A3411" s="5">
        <f t="shared" si="115"/>
        <v>7</v>
      </c>
      <c r="B3411" s="5">
        <f t="shared" si="116"/>
        <v>2026</v>
      </c>
      <c r="C3411" s="7">
        <v>46232</v>
      </c>
      <c r="D3411" s="8">
        <v>4.1402999999999999</v>
      </c>
      <c r="E3411" s="8">
        <v>4.1889000000000003</v>
      </c>
    </row>
    <row r="3412" spans="1:5" x14ac:dyDescent="0.2">
      <c r="A3412" s="5">
        <f t="shared" si="115"/>
        <v>7</v>
      </c>
      <c r="B3412" s="5">
        <f t="shared" si="116"/>
        <v>2026</v>
      </c>
      <c r="C3412" s="7">
        <v>46233</v>
      </c>
      <c r="D3412" s="8">
        <v>4.1351000000000004</v>
      </c>
      <c r="E3412" s="8">
        <v>4.1878000000000002</v>
      </c>
    </row>
    <row r="3413" spans="1:5" x14ac:dyDescent="0.2">
      <c r="A3413" s="5">
        <f t="shared" si="115"/>
        <v>7</v>
      </c>
      <c r="B3413" s="5">
        <f t="shared" si="116"/>
        <v>2026</v>
      </c>
      <c r="C3413" s="7">
        <v>46234</v>
      </c>
      <c r="D3413" s="8">
        <v>4.1116000000000001</v>
      </c>
      <c r="E3413" s="8">
        <v>4.1882999999999999</v>
      </c>
    </row>
    <row r="3414" spans="1:5" x14ac:dyDescent="0.2">
      <c r="A3414" s="5">
        <f t="shared" si="115"/>
        <v>8</v>
      </c>
      <c r="B3414" s="5">
        <f t="shared" si="116"/>
        <v>2026</v>
      </c>
      <c r="C3414" s="7">
        <v>46237</v>
      </c>
      <c r="D3414" s="8">
        <v>4.1018999999999997</v>
      </c>
      <c r="E3414" s="8">
        <v>4.1871</v>
      </c>
    </row>
    <row r="3415" spans="1:5" x14ac:dyDescent="0.2">
      <c r="A3415" s="5">
        <f t="shared" si="115"/>
        <v>8</v>
      </c>
      <c r="B3415" s="5">
        <f t="shared" si="116"/>
        <v>2026</v>
      </c>
      <c r="C3415" s="7">
        <v>46238</v>
      </c>
      <c r="D3415" s="8">
        <v>4.1018999999999997</v>
      </c>
      <c r="E3415" s="8">
        <v>4.1917999999999997</v>
      </c>
    </row>
    <row r="3416" spans="1:5" x14ac:dyDescent="0.2">
      <c r="A3416" s="5">
        <f t="shared" si="115"/>
        <v>8</v>
      </c>
      <c r="B3416" s="5">
        <f t="shared" si="116"/>
        <v>2026</v>
      </c>
      <c r="C3416" s="7">
        <v>46239</v>
      </c>
      <c r="D3416" s="8">
        <v>4.1116000000000001</v>
      </c>
      <c r="E3416" s="8">
        <v>4.2183000000000002</v>
      </c>
    </row>
    <row r="3417" spans="1:5" x14ac:dyDescent="0.2">
      <c r="A3417" s="5">
        <f t="shared" si="115"/>
        <v>8</v>
      </c>
      <c r="B3417" s="5">
        <f t="shared" si="116"/>
        <v>2026</v>
      </c>
      <c r="C3417" s="7">
        <v>46240</v>
      </c>
      <c r="D3417" s="8">
        <v>4.1018999999999997</v>
      </c>
      <c r="E3417" s="8">
        <v>4.2195</v>
      </c>
    </row>
    <row r="3418" spans="1:5" x14ac:dyDescent="0.2">
      <c r="A3418" s="5">
        <f t="shared" si="115"/>
        <v>8</v>
      </c>
      <c r="B3418" s="5">
        <f t="shared" si="116"/>
        <v>2026</v>
      </c>
      <c r="C3418" s="7">
        <v>46241</v>
      </c>
      <c r="D3418" s="8">
        <v>4.0982000000000003</v>
      </c>
      <c r="E3418" s="8">
        <v>4.2362000000000002</v>
      </c>
    </row>
    <row r="3419" spans="1:5" x14ac:dyDescent="0.2">
      <c r="A3419" s="5">
        <f t="shared" si="115"/>
        <v>8</v>
      </c>
      <c r="B3419" s="5">
        <f t="shared" si="116"/>
        <v>2026</v>
      </c>
      <c r="C3419" s="7">
        <v>46244</v>
      </c>
      <c r="D3419" s="8">
        <v>4.0982000000000003</v>
      </c>
      <c r="E3419" s="8">
        <v>4.2409999999999997</v>
      </c>
    </row>
    <row r="3420" spans="1:5" x14ac:dyDescent="0.2">
      <c r="A3420" s="5">
        <f t="shared" si="115"/>
        <v>8</v>
      </c>
      <c r="B3420" s="5">
        <f t="shared" si="116"/>
        <v>2026</v>
      </c>
      <c r="C3420" s="7">
        <v>46245</v>
      </c>
      <c r="D3420" s="8">
        <v>4.2453000000000003</v>
      </c>
      <c r="E3420" s="8">
        <v>4.2610000000000001</v>
      </c>
    </row>
    <row r="3421" spans="1:5" x14ac:dyDescent="0.2">
      <c r="A3421" s="5">
        <f t="shared" si="115"/>
        <v>8</v>
      </c>
      <c r="B3421" s="5">
        <f t="shared" si="116"/>
        <v>2026</v>
      </c>
      <c r="C3421" s="7">
        <v>46246</v>
      </c>
      <c r="D3421" s="8">
        <v>4.2630999999999997</v>
      </c>
      <c r="E3421" s="8">
        <v>4.2862999999999998</v>
      </c>
    </row>
    <row r="3422" spans="1:5" x14ac:dyDescent="0.2">
      <c r="A3422" s="5">
        <f t="shared" si="115"/>
        <v>8</v>
      </c>
      <c r="B3422" s="5">
        <f t="shared" si="116"/>
        <v>2026</v>
      </c>
      <c r="C3422" s="7">
        <v>46247</v>
      </c>
      <c r="D3422" s="8">
        <v>4.2683999999999997</v>
      </c>
      <c r="E3422" s="8">
        <v>4.3067000000000002</v>
      </c>
    </row>
    <row r="3423" spans="1:5" x14ac:dyDescent="0.2">
      <c r="A3423" s="5">
        <f t="shared" si="115"/>
        <v>8</v>
      </c>
      <c r="B3423" s="5">
        <f t="shared" si="116"/>
        <v>2026</v>
      </c>
      <c r="C3423" s="7">
        <v>46248</v>
      </c>
      <c r="D3423" s="8">
        <v>4.2786999999999997</v>
      </c>
      <c r="E3423" s="8">
        <v>4.3204000000000002</v>
      </c>
    </row>
    <row r="3424" spans="1:5" x14ac:dyDescent="0.2">
      <c r="A3424" s="5">
        <f t="shared" si="115"/>
        <v>8</v>
      </c>
      <c r="B3424" s="5">
        <f t="shared" si="116"/>
        <v>2026</v>
      </c>
      <c r="C3424" s="7">
        <v>46251</v>
      </c>
      <c r="D3424" s="8">
        <v>4.2942999999999998</v>
      </c>
      <c r="E3424" s="8">
        <v>4.3501000000000003</v>
      </c>
    </row>
    <row r="3425" spans="1:5" x14ac:dyDescent="0.2">
      <c r="A3425" s="5">
        <f t="shared" si="115"/>
        <v>8</v>
      </c>
      <c r="B3425" s="5">
        <f t="shared" si="116"/>
        <v>2026</v>
      </c>
      <c r="C3425" s="7">
        <v>46252</v>
      </c>
      <c r="D3425" s="8">
        <v>4.2942999999999998</v>
      </c>
      <c r="E3425" s="8">
        <v>4.3543000000000003</v>
      </c>
    </row>
    <row r="3426" spans="1:5" x14ac:dyDescent="0.2">
      <c r="A3426" s="5">
        <f t="shared" si="115"/>
        <v>8</v>
      </c>
      <c r="B3426" s="5">
        <f t="shared" si="116"/>
        <v>2026</v>
      </c>
      <c r="C3426" s="7">
        <v>46253</v>
      </c>
      <c r="D3426" s="8">
        <v>4.3042999999999996</v>
      </c>
      <c r="E3426" s="8">
        <v>4.3894000000000002</v>
      </c>
    </row>
    <row r="3427" spans="1:5" x14ac:dyDescent="0.2">
      <c r="A3427" s="5">
        <f t="shared" si="115"/>
        <v>8</v>
      </c>
      <c r="B3427" s="5">
        <f t="shared" si="116"/>
        <v>2026</v>
      </c>
      <c r="C3427" s="7">
        <v>46254</v>
      </c>
      <c r="D3427" s="8">
        <v>4.3042999999999996</v>
      </c>
      <c r="E3427" s="8">
        <v>4.4059999999999997</v>
      </c>
    </row>
    <row r="3428" spans="1:5" x14ac:dyDescent="0.2">
      <c r="A3428" s="5">
        <f t="shared" si="115"/>
        <v>8</v>
      </c>
      <c r="B3428" s="5">
        <f t="shared" si="116"/>
        <v>2026</v>
      </c>
      <c r="C3428" s="7">
        <v>46255</v>
      </c>
      <c r="D3428" s="8">
        <v>4.3086000000000002</v>
      </c>
      <c r="E3428" s="8">
        <v>4.4150999999999998</v>
      </c>
    </row>
    <row r="3429" spans="1:5" x14ac:dyDescent="0.2">
      <c r="A3429" s="5">
        <f t="shared" si="115"/>
        <v>8</v>
      </c>
      <c r="B3429" s="5">
        <f t="shared" si="116"/>
        <v>2026</v>
      </c>
      <c r="C3429" s="7">
        <v>46258</v>
      </c>
      <c r="D3429" s="8">
        <v>4.3159999999999998</v>
      </c>
      <c r="E3429" s="8">
        <v>4.4730999999999996</v>
      </c>
    </row>
    <row r="3430" spans="1:5" x14ac:dyDescent="0.2">
      <c r="A3430" s="5">
        <f t="shared" si="115"/>
        <v>8</v>
      </c>
      <c r="B3430" s="5">
        <f t="shared" si="116"/>
        <v>2026</v>
      </c>
      <c r="C3430" s="7">
        <v>46259</v>
      </c>
      <c r="D3430" s="8">
        <v>4.3413000000000004</v>
      </c>
      <c r="E3430" s="8">
        <v>4.4824999999999999</v>
      </c>
    </row>
    <row r="3431" spans="1:5" x14ac:dyDescent="0.2">
      <c r="A3431" s="5">
        <f t="shared" si="115"/>
        <v>8</v>
      </c>
      <c r="B3431" s="5">
        <f t="shared" si="116"/>
        <v>2026</v>
      </c>
      <c r="C3431" s="7">
        <v>46260</v>
      </c>
      <c r="D3431" s="8">
        <v>4.3209</v>
      </c>
      <c r="E3431" s="8">
        <v>4.4917999999999996</v>
      </c>
    </row>
    <row r="3432" spans="1:5" x14ac:dyDescent="0.2">
      <c r="A3432" s="5">
        <f t="shared" si="115"/>
        <v>8</v>
      </c>
      <c r="B3432" s="5">
        <f t="shared" si="116"/>
        <v>2026</v>
      </c>
      <c r="C3432" s="7">
        <v>46261</v>
      </c>
      <c r="D3432" s="8">
        <v>4.3455000000000004</v>
      </c>
      <c r="E3432" s="8">
        <v>4.5094000000000003</v>
      </c>
    </row>
    <row r="3433" spans="1:5" x14ac:dyDescent="0.2">
      <c r="A3433" s="5">
        <f t="shared" si="115"/>
        <v>8</v>
      </c>
      <c r="B3433" s="5">
        <f t="shared" si="116"/>
        <v>2026</v>
      </c>
      <c r="C3433" s="7">
        <v>46262</v>
      </c>
      <c r="D3433" s="8">
        <v>4.3455000000000004</v>
      </c>
      <c r="E3433" s="8">
        <v>4.5347999999999997</v>
      </c>
    </row>
    <row r="3434" spans="1:5" x14ac:dyDescent="0.2">
      <c r="A3434" s="5">
        <f t="shared" si="115"/>
        <v>8</v>
      </c>
      <c r="B3434" s="5">
        <f t="shared" si="116"/>
        <v>2026</v>
      </c>
      <c r="C3434" s="7">
        <v>46265</v>
      </c>
      <c r="D3434" s="8">
        <v>4.3109999999999999</v>
      </c>
      <c r="E3434" s="8">
        <v>4.5529999999999999</v>
      </c>
    </row>
    <row r="3435" spans="1:5" x14ac:dyDescent="0.2">
      <c r="A3435" s="5">
        <f t="shared" si="115"/>
        <v>9</v>
      </c>
      <c r="B3435" s="5">
        <f t="shared" si="116"/>
        <v>2026</v>
      </c>
      <c r="C3435" s="7">
        <v>46266</v>
      </c>
      <c r="D3435" s="8">
        <v>4.3109999999999999</v>
      </c>
      <c r="E3435" s="8">
        <v>4.5545999999999998</v>
      </c>
    </row>
    <row r="3436" spans="1:5" x14ac:dyDescent="0.2">
      <c r="A3436" s="5">
        <f t="shared" si="115"/>
        <v>9</v>
      </c>
      <c r="B3436" s="5">
        <f t="shared" si="116"/>
        <v>2026</v>
      </c>
      <c r="C3436" s="7">
        <v>46267</v>
      </c>
      <c r="D3436" s="8">
        <v>4.3109999999999999</v>
      </c>
      <c r="E3436" s="8">
        <v>4.5560999999999998</v>
      </c>
    </row>
    <row r="3437" spans="1:5" x14ac:dyDescent="0.2">
      <c r="A3437" s="5">
        <f t="shared" si="115"/>
        <v>9</v>
      </c>
      <c r="B3437" s="5">
        <f t="shared" si="116"/>
        <v>2026</v>
      </c>
      <c r="C3437" s="7">
        <v>46268</v>
      </c>
      <c r="D3437" s="8">
        <v>4.3055000000000003</v>
      </c>
      <c r="E3437" s="8">
        <v>4.5698999999999996</v>
      </c>
    </row>
    <row r="3438" spans="1:5" x14ac:dyDescent="0.2">
      <c r="A3438" s="5">
        <f t="shared" si="115"/>
        <v>9</v>
      </c>
      <c r="B3438" s="5">
        <f t="shared" si="116"/>
        <v>2026</v>
      </c>
      <c r="C3438" s="7">
        <v>46269</v>
      </c>
      <c r="D3438" s="8">
        <v>4.3109999999999999</v>
      </c>
      <c r="E3438" s="8">
        <v>4.5975000000000001</v>
      </c>
    </row>
    <row r="3439" spans="1:5" x14ac:dyDescent="0.2">
      <c r="A3439" s="5">
        <f t="shared" si="115"/>
        <v>9</v>
      </c>
      <c r="B3439" s="5">
        <f t="shared" si="116"/>
        <v>2026</v>
      </c>
      <c r="C3439" s="7">
        <v>46273</v>
      </c>
      <c r="D3439" s="8">
        <v>4.3151000000000002</v>
      </c>
      <c r="E3439" s="8">
        <v>4.6271000000000004</v>
      </c>
    </row>
    <row r="3440" spans="1:5" x14ac:dyDescent="0.2">
      <c r="A3440" s="5">
        <f t="shared" si="115"/>
        <v>9</v>
      </c>
      <c r="B3440" s="5">
        <f t="shared" si="116"/>
        <v>2026</v>
      </c>
      <c r="C3440" s="7">
        <v>46274</v>
      </c>
      <c r="D3440" s="8">
        <v>4.3055000000000003</v>
      </c>
      <c r="E3440" s="8">
        <v>4.6231</v>
      </c>
    </row>
    <row r="3441" spans="1:5" x14ac:dyDescent="0.2">
      <c r="A3441" s="5">
        <f t="shared" si="115"/>
        <v>9</v>
      </c>
      <c r="B3441" s="5">
        <f t="shared" si="116"/>
        <v>2026</v>
      </c>
      <c r="C3441" s="7">
        <v>46275</v>
      </c>
      <c r="D3441" s="8">
        <v>4.3109999999999999</v>
      </c>
      <c r="E3441" s="8">
        <v>4.6269</v>
      </c>
    </row>
    <row r="3442" spans="1:5" x14ac:dyDescent="0.2">
      <c r="A3442" s="5">
        <f t="shared" si="115"/>
        <v>9</v>
      </c>
      <c r="B3442" s="5">
        <f t="shared" si="116"/>
        <v>2026</v>
      </c>
      <c r="C3442" s="7">
        <v>46276</v>
      </c>
      <c r="D3442" s="8">
        <v>4.6547999999999998</v>
      </c>
      <c r="E3442" s="8">
        <v>4.6478000000000002</v>
      </c>
    </row>
    <row r="3443" spans="1:5" x14ac:dyDescent="0.2">
      <c r="A3443" s="5">
        <f t="shared" si="115"/>
        <v>9</v>
      </c>
      <c r="B3443" s="5">
        <f t="shared" si="116"/>
        <v>2026</v>
      </c>
      <c r="C3443" s="7">
        <v>46279</v>
      </c>
      <c r="D3443" s="8">
        <v>4.6761999999999997</v>
      </c>
      <c r="E3443" s="8">
        <v>4.6352000000000002</v>
      </c>
    </row>
    <row r="3444" spans="1:5" x14ac:dyDescent="0.2">
      <c r="A3444" s="5">
        <f t="shared" si="115"/>
        <v>9</v>
      </c>
      <c r="B3444" s="5">
        <f t="shared" si="116"/>
        <v>2026</v>
      </c>
      <c r="C3444" s="7">
        <v>46280</v>
      </c>
      <c r="D3444" s="8">
        <v>4.6761999999999997</v>
      </c>
      <c r="E3444" s="8">
        <v>4.6303000000000001</v>
      </c>
    </row>
    <row r="3445" spans="1:5" x14ac:dyDescent="0.2">
      <c r="A3445" s="5">
        <f t="shared" si="115"/>
        <v>9</v>
      </c>
      <c r="B3445" s="5">
        <f t="shared" si="116"/>
        <v>2026</v>
      </c>
      <c r="C3445" s="7">
        <v>46281</v>
      </c>
      <c r="D3445" s="8">
        <v>4.6761999999999997</v>
      </c>
      <c r="E3445" s="8">
        <v>4.6208999999999998</v>
      </c>
    </row>
    <row r="3446" spans="1:5" x14ac:dyDescent="0.2">
      <c r="A3446" s="5">
        <f t="shared" si="115"/>
        <v>9</v>
      </c>
      <c r="B3446" s="5">
        <f t="shared" si="116"/>
        <v>2026</v>
      </c>
      <c r="C3446" s="7">
        <v>46282</v>
      </c>
      <c r="D3446" s="8">
        <v>4.6550000000000002</v>
      </c>
      <c r="E3446" s="8">
        <v>4.6120999999999999</v>
      </c>
    </row>
    <row r="3447" spans="1:5" x14ac:dyDescent="0.2">
      <c r="A3447" s="5">
        <f t="shared" si="115"/>
        <v>9</v>
      </c>
      <c r="B3447" s="5">
        <f t="shared" si="116"/>
        <v>2026</v>
      </c>
      <c r="C3447" s="7">
        <v>46283</v>
      </c>
      <c r="D3447" s="8">
        <v>4.6947999999999999</v>
      </c>
      <c r="E3447" s="8">
        <v>4.6231999999999998</v>
      </c>
    </row>
  </sheetData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503E-E3A3-429D-9675-057A5580A065}">
  <sheetPr>
    <tabColor theme="5" tint="0.79998168889431442"/>
  </sheetPr>
  <dimension ref="A1:B551"/>
  <sheetViews>
    <sheetView workbookViewId="0">
      <selection activeCell="B1" sqref="B1:B1048576"/>
    </sheetView>
  </sheetViews>
  <sheetFormatPr defaultRowHeight="15" x14ac:dyDescent="0.25"/>
  <cols>
    <col min="2" max="2" width="9.140625" style="13"/>
  </cols>
  <sheetData>
    <row r="1" spans="1:2" x14ac:dyDescent="0.25">
      <c r="A1" t="s">
        <v>0</v>
      </c>
      <c r="B1" s="13" t="s">
        <v>16</v>
      </c>
    </row>
    <row r="2" spans="1:2" x14ac:dyDescent="0.25">
      <c r="A2" s="2">
        <v>29556</v>
      </c>
      <c r="B2" s="13">
        <v>99.25</v>
      </c>
    </row>
    <row r="3" spans="1:2" x14ac:dyDescent="0.25">
      <c r="A3" s="2">
        <v>29587</v>
      </c>
      <c r="B3" s="13">
        <v>99.67</v>
      </c>
    </row>
    <row r="4" spans="1:2" x14ac:dyDescent="0.25">
      <c r="A4" s="2">
        <v>29618</v>
      </c>
      <c r="B4" s="13">
        <v>103.07</v>
      </c>
    </row>
    <row r="5" spans="1:2" x14ac:dyDescent="0.25">
      <c r="A5" s="2">
        <v>29646</v>
      </c>
      <c r="B5" s="13">
        <v>101.03</v>
      </c>
    </row>
    <row r="6" spans="1:2" x14ac:dyDescent="0.25">
      <c r="A6" s="2">
        <v>29677</v>
      </c>
      <c r="B6" s="13">
        <v>103.27</v>
      </c>
    </row>
    <row r="7" spans="1:2" x14ac:dyDescent="0.25">
      <c r="A7" s="2">
        <v>29707</v>
      </c>
      <c r="B7" s="13">
        <v>103</v>
      </c>
    </row>
    <row r="8" spans="1:2" x14ac:dyDescent="0.25">
      <c r="A8" s="2">
        <v>29738</v>
      </c>
      <c r="B8" s="13">
        <v>103.41</v>
      </c>
    </row>
    <row r="9" spans="1:2" x14ac:dyDescent="0.25">
      <c r="A9" s="2">
        <v>29768</v>
      </c>
      <c r="B9" s="13">
        <v>104.78</v>
      </c>
    </row>
    <row r="10" spans="1:2" x14ac:dyDescent="0.25">
      <c r="A10" s="2">
        <v>29799</v>
      </c>
      <c r="B10" s="13">
        <v>105.85</v>
      </c>
    </row>
    <row r="11" spans="1:2" x14ac:dyDescent="0.25">
      <c r="A11" s="2">
        <v>29830</v>
      </c>
      <c r="B11" s="13">
        <v>107.88</v>
      </c>
    </row>
    <row r="12" spans="1:2" x14ac:dyDescent="0.25">
      <c r="A12" s="2">
        <v>29860</v>
      </c>
      <c r="B12" s="13">
        <v>99.52</v>
      </c>
    </row>
    <row r="13" spans="1:2" x14ac:dyDescent="0.25">
      <c r="A13" s="2">
        <v>29891</v>
      </c>
      <c r="B13" s="13">
        <v>96.89</v>
      </c>
    </row>
    <row r="14" spans="1:2" x14ac:dyDescent="0.25">
      <c r="A14" s="2">
        <v>29921</v>
      </c>
      <c r="B14" s="13">
        <v>95.62</v>
      </c>
    </row>
    <row r="15" spans="1:2" x14ac:dyDescent="0.25">
      <c r="A15" s="2">
        <v>29952</v>
      </c>
      <c r="B15" s="13">
        <v>95.86</v>
      </c>
    </row>
    <row r="16" spans="1:2" x14ac:dyDescent="0.25">
      <c r="A16" s="2">
        <v>29983</v>
      </c>
      <c r="B16" s="13">
        <v>96.29</v>
      </c>
    </row>
    <row r="17" spans="1:2" x14ac:dyDescent="0.25">
      <c r="A17" s="2">
        <v>30011</v>
      </c>
      <c r="B17" s="13">
        <v>97.68</v>
      </c>
    </row>
    <row r="18" spans="1:2" x14ac:dyDescent="0.25">
      <c r="A18" s="2">
        <v>30042</v>
      </c>
      <c r="B18" s="13">
        <v>96.61</v>
      </c>
    </row>
    <row r="19" spans="1:2" x14ac:dyDescent="0.25">
      <c r="A19" s="2">
        <v>30072</v>
      </c>
      <c r="B19" s="13">
        <v>98.65</v>
      </c>
    </row>
    <row r="20" spans="1:2" x14ac:dyDescent="0.25">
      <c r="A20" s="2">
        <v>30103</v>
      </c>
      <c r="B20" s="13">
        <v>101.64</v>
      </c>
    </row>
    <row r="21" spans="1:2" x14ac:dyDescent="0.25">
      <c r="A21" s="2">
        <v>30133</v>
      </c>
      <c r="B21" s="13">
        <v>101.84</v>
      </c>
    </row>
    <row r="22" spans="1:2" x14ac:dyDescent="0.25">
      <c r="A22" s="2">
        <v>30164</v>
      </c>
      <c r="B22" s="13">
        <v>102.75</v>
      </c>
    </row>
    <row r="23" spans="1:2" x14ac:dyDescent="0.25">
      <c r="A23" s="2">
        <v>30195</v>
      </c>
      <c r="B23" s="13">
        <v>102.41</v>
      </c>
    </row>
    <row r="24" spans="1:2" x14ac:dyDescent="0.25">
      <c r="A24" s="2">
        <v>30225</v>
      </c>
      <c r="B24" s="13">
        <v>101.19</v>
      </c>
    </row>
    <row r="25" spans="1:2" x14ac:dyDescent="0.25">
      <c r="A25" s="2">
        <v>30256</v>
      </c>
      <c r="B25" s="13">
        <v>101.22</v>
      </c>
    </row>
    <row r="26" spans="1:2" x14ac:dyDescent="0.25">
      <c r="A26" s="2">
        <v>30286</v>
      </c>
      <c r="B26" s="13">
        <v>104.79</v>
      </c>
    </row>
    <row r="27" spans="1:2" x14ac:dyDescent="0.25">
      <c r="A27" s="2">
        <v>30317</v>
      </c>
      <c r="B27" s="13">
        <v>108</v>
      </c>
    </row>
    <row r="28" spans="1:2" x14ac:dyDescent="0.25">
      <c r="A28" s="2">
        <v>30348</v>
      </c>
      <c r="B28" s="13">
        <v>110.38</v>
      </c>
    </row>
    <row r="29" spans="1:2" x14ac:dyDescent="0.25">
      <c r="A29" s="2">
        <v>30376</v>
      </c>
      <c r="B29" s="13">
        <v>113.63</v>
      </c>
    </row>
    <row r="30" spans="1:2" x14ac:dyDescent="0.25">
      <c r="A30" s="2">
        <v>30407</v>
      </c>
      <c r="B30" s="13">
        <v>115.03</v>
      </c>
    </row>
    <row r="31" spans="1:2" x14ac:dyDescent="0.25">
      <c r="A31" s="2">
        <v>30437</v>
      </c>
      <c r="B31" s="13">
        <v>114.67</v>
      </c>
    </row>
    <row r="32" spans="1:2" x14ac:dyDescent="0.25">
      <c r="A32" s="2">
        <v>30468</v>
      </c>
      <c r="B32" s="13">
        <v>120.24</v>
      </c>
    </row>
    <row r="33" spans="1:2" x14ac:dyDescent="0.25">
      <c r="A33" s="2">
        <v>30498</v>
      </c>
      <c r="B33" s="13">
        <v>127.94</v>
      </c>
    </row>
    <row r="34" spans="1:2" x14ac:dyDescent="0.25">
      <c r="A34" s="2">
        <v>30529</v>
      </c>
      <c r="B34" s="13">
        <v>134.69</v>
      </c>
    </row>
    <row r="35" spans="1:2" x14ac:dyDescent="0.25">
      <c r="A35" s="2">
        <v>30560</v>
      </c>
      <c r="B35" s="13">
        <v>146.35</v>
      </c>
    </row>
    <row r="36" spans="1:2" x14ac:dyDescent="0.25">
      <c r="A36" s="2">
        <v>30590</v>
      </c>
      <c r="B36" s="13">
        <v>156.78</v>
      </c>
    </row>
    <row r="37" spans="1:2" x14ac:dyDescent="0.25">
      <c r="A37" s="2">
        <v>30621</v>
      </c>
      <c r="B37" s="13">
        <v>161.9</v>
      </c>
    </row>
    <row r="38" spans="1:2" x14ac:dyDescent="0.25">
      <c r="A38" s="2">
        <v>30651</v>
      </c>
      <c r="B38" s="13">
        <v>164.01</v>
      </c>
    </row>
    <row r="39" spans="1:2" x14ac:dyDescent="0.25">
      <c r="A39" s="2">
        <v>30682</v>
      </c>
      <c r="B39" s="13">
        <v>166.51</v>
      </c>
    </row>
    <row r="40" spans="1:2" x14ac:dyDescent="0.25">
      <c r="A40" s="2">
        <v>30713</v>
      </c>
      <c r="B40" s="13">
        <v>170.57</v>
      </c>
    </row>
    <row r="41" spans="1:2" x14ac:dyDescent="0.25">
      <c r="A41" s="2">
        <v>30742</v>
      </c>
      <c r="B41" s="13">
        <v>174.59</v>
      </c>
    </row>
    <row r="42" spans="1:2" x14ac:dyDescent="0.25">
      <c r="A42" s="2">
        <v>30773</v>
      </c>
      <c r="B42" s="13">
        <v>182.22</v>
      </c>
    </row>
    <row r="43" spans="1:2" x14ac:dyDescent="0.25">
      <c r="A43" s="2">
        <v>30803</v>
      </c>
      <c r="B43" s="13">
        <v>189.03</v>
      </c>
    </row>
    <row r="44" spans="1:2" x14ac:dyDescent="0.25">
      <c r="A44" s="2">
        <v>30834</v>
      </c>
      <c r="B44" s="13">
        <v>189.55</v>
      </c>
    </row>
    <row r="45" spans="1:2" x14ac:dyDescent="0.25">
      <c r="A45" s="2">
        <v>30864</v>
      </c>
      <c r="B45" s="13">
        <v>188.62</v>
      </c>
    </row>
    <row r="46" spans="1:2" x14ac:dyDescent="0.25">
      <c r="A46" s="2">
        <v>30895</v>
      </c>
      <c r="B46" s="13">
        <v>189.25</v>
      </c>
    </row>
    <row r="47" spans="1:2" x14ac:dyDescent="0.25">
      <c r="A47" s="2">
        <v>30926</v>
      </c>
      <c r="B47" s="13">
        <v>193.05</v>
      </c>
    </row>
    <row r="48" spans="1:2" x14ac:dyDescent="0.25">
      <c r="A48" s="2">
        <v>30956</v>
      </c>
      <c r="B48" s="13">
        <v>197.27</v>
      </c>
    </row>
    <row r="49" spans="1:2" x14ac:dyDescent="0.25">
      <c r="A49" s="2">
        <v>30987</v>
      </c>
      <c r="B49" s="13">
        <v>205.97</v>
      </c>
    </row>
    <row r="50" spans="1:2" x14ac:dyDescent="0.25">
      <c r="A50" s="2">
        <v>31017</v>
      </c>
      <c r="B50" s="13">
        <v>215.26</v>
      </c>
    </row>
    <row r="51" spans="1:2" x14ac:dyDescent="0.25">
      <c r="A51" s="2">
        <v>31048</v>
      </c>
      <c r="B51" s="13">
        <v>221.27</v>
      </c>
    </row>
    <row r="52" spans="1:2" x14ac:dyDescent="0.25">
      <c r="A52" s="2">
        <v>31079</v>
      </c>
      <c r="B52" s="13">
        <v>225.28</v>
      </c>
    </row>
    <row r="53" spans="1:2" x14ac:dyDescent="0.25">
      <c r="A53" s="2">
        <v>31107</v>
      </c>
      <c r="B53" s="13">
        <v>228.93</v>
      </c>
    </row>
    <row r="54" spans="1:2" x14ac:dyDescent="0.25">
      <c r="A54" s="2">
        <v>31138</v>
      </c>
      <c r="B54" s="13">
        <v>224.88</v>
      </c>
    </row>
    <row r="55" spans="1:2" x14ac:dyDescent="0.25">
      <c r="A55" s="2">
        <v>31168</v>
      </c>
      <c r="B55" s="13">
        <v>219.36</v>
      </c>
    </row>
    <row r="56" spans="1:2" x14ac:dyDescent="0.25">
      <c r="A56" s="2">
        <v>31199</v>
      </c>
      <c r="B56" s="13">
        <v>214.76</v>
      </c>
    </row>
    <row r="57" spans="1:2" x14ac:dyDescent="0.25">
      <c r="A57" s="2">
        <v>31229</v>
      </c>
      <c r="B57" s="13">
        <v>216.44</v>
      </c>
    </row>
    <row r="58" spans="1:2" x14ac:dyDescent="0.25">
      <c r="A58" s="2">
        <v>31260</v>
      </c>
      <c r="B58" s="13">
        <v>224.26</v>
      </c>
    </row>
    <row r="59" spans="1:2" x14ac:dyDescent="0.25">
      <c r="A59" s="2">
        <v>31291</v>
      </c>
      <c r="B59" s="13">
        <v>222.43</v>
      </c>
    </row>
    <row r="60" spans="1:2" x14ac:dyDescent="0.25">
      <c r="A60" s="2">
        <v>31321</v>
      </c>
      <c r="B60" s="13">
        <v>222.95</v>
      </c>
    </row>
    <row r="61" spans="1:2" x14ac:dyDescent="0.25">
      <c r="A61" s="2">
        <v>31352</v>
      </c>
      <c r="B61" s="13">
        <v>233.02</v>
      </c>
    </row>
    <row r="62" spans="1:2" x14ac:dyDescent="0.25">
      <c r="A62" s="2">
        <v>31382</v>
      </c>
      <c r="B62" s="13">
        <v>242.23</v>
      </c>
    </row>
    <row r="63" spans="1:2" x14ac:dyDescent="0.25">
      <c r="A63" s="2">
        <v>31413</v>
      </c>
      <c r="B63" s="13">
        <v>250.23</v>
      </c>
    </row>
    <row r="64" spans="1:2" x14ac:dyDescent="0.25">
      <c r="A64" s="2">
        <v>31444</v>
      </c>
      <c r="B64" s="13">
        <v>256.08</v>
      </c>
    </row>
    <row r="65" spans="1:2" x14ac:dyDescent="0.25">
      <c r="A65" s="2">
        <v>31472</v>
      </c>
      <c r="B65" s="13">
        <v>238.65</v>
      </c>
    </row>
    <row r="66" spans="1:2" x14ac:dyDescent="0.25">
      <c r="A66" s="2">
        <v>31503</v>
      </c>
      <c r="B66" s="13">
        <v>215.44</v>
      </c>
    </row>
    <row r="67" spans="1:2" x14ac:dyDescent="0.25">
      <c r="A67" s="2">
        <v>31533</v>
      </c>
      <c r="B67" s="13">
        <v>198.38</v>
      </c>
    </row>
    <row r="68" spans="1:2" x14ac:dyDescent="0.25">
      <c r="A68" s="2">
        <v>31564</v>
      </c>
      <c r="B68" s="13">
        <v>178.52</v>
      </c>
    </row>
    <row r="69" spans="1:2" x14ac:dyDescent="0.25">
      <c r="A69" s="2">
        <v>31594</v>
      </c>
      <c r="B69" s="13">
        <v>156.80000000000001</v>
      </c>
    </row>
    <row r="70" spans="1:2" x14ac:dyDescent="0.25">
      <c r="A70" s="2">
        <v>31625</v>
      </c>
      <c r="B70" s="13">
        <v>137.33000000000001</v>
      </c>
    </row>
    <row r="71" spans="1:2" x14ac:dyDescent="0.25">
      <c r="A71" s="2">
        <v>31656</v>
      </c>
      <c r="B71" s="13">
        <v>117.25</v>
      </c>
    </row>
    <row r="72" spans="1:2" x14ac:dyDescent="0.25">
      <c r="A72" s="2">
        <v>31686</v>
      </c>
      <c r="B72" s="13">
        <v>100.13</v>
      </c>
    </row>
    <row r="73" spans="1:2" x14ac:dyDescent="0.25">
      <c r="A73" s="2">
        <v>31717</v>
      </c>
      <c r="B73" s="13">
        <v>85.17</v>
      </c>
    </row>
    <row r="74" spans="1:2" x14ac:dyDescent="0.25">
      <c r="A74" s="2">
        <v>31747</v>
      </c>
      <c r="B74" s="13">
        <v>79.66</v>
      </c>
    </row>
    <row r="75" spans="1:2" x14ac:dyDescent="0.25">
      <c r="A75" s="2">
        <v>31778</v>
      </c>
      <c r="B75" s="13">
        <v>77.84</v>
      </c>
    </row>
    <row r="76" spans="1:2" x14ac:dyDescent="0.25">
      <c r="A76" s="2">
        <v>31809</v>
      </c>
      <c r="B76" s="13">
        <v>77.709999999999994</v>
      </c>
    </row>
    <row r="77" spans="1:2" x14ac:dyDescent="0.25">
      <c r="A77" s="2">
        <v>31837</v>
      </c>
      <c r="B77" s="13">
        <v>97.39</v>
      </c>
    </row>
    <row r="78" spans="1:2" x14ac:dyDescent="0.25">
      <c r="A78" s="2">
        <v>31868</v>
      </c>
      <c r="B78" s="13">
        <v>133.27000000000001</v>
      </c>
    </row>
    <row r="79" spans="1:2" x14ac:dyDescent="0.25">
      <c r="A79" s="2">
        <v>31898</v>
      </c>
      <c r="B79" s="13">
        <v>179.4</v>
      </c>
    </row>
    <row r="80" spans="1:2" x14ac:dyDescent="0.25">
      <c r="A80" s="2">
        <v>31929</v>
      </c>
      <c r="B80" s="13">
        <v>230.27</v>
      </c>
    </row>
    <row r="81" spans="1:2" x14ac:dyDescent="0.25">
      <c r="A81" s="2">
        <v>31959</v>
      </c>
      <c r="B81" s="13">
        <v>254.63</v>
      </c>
    </row>
    <row r="82" spans="1:2" x14ac:dyDescent="0.25">
      <c r="A82" s="2">
        <v>31990</v>
      </c>
      <c r="B82" s="13">
        <v>259.14</v>
      </c>
    </row>
    <row r="83" spans="1:2" x14ac:dyDescent="0.25">
      <c r="A83" s="2">
        <v>32021</v>
      </c>
      <c r="B83" s="13">
        <v>280.55</v>
      </c>
    </row>
    <row r="84" spans="1:2" x14ac:dyDescent="0.25">
      <c r="A84" s="2">
        <v>32051</v>
      </c>
      <c r="B84" s="13">
        <v>315.35000000000002</v>
      </c>
    </row>
    <row r="85" spans="1:2" x14ac:dyDescent="0.25">
      <c r="A85" s="2">
        <v>32082</v>
      </c>
      <c r="B85" s="13">
        <v>353.27</v>
      </c>
    </row>
    <row r="86" spans="1:2" x14ac:dyDescent="0.25">
      <c r="A86" s="2">
        <v>32112</v>
      </c>
      <c r="B86" s="13">
        <v>363.41</v>
      </c>
    </row>
    <row r="87" spans="1:2" x14ac:dyDescent="0.25">
      <c r="A87" s="2">
        <v>32143</v>
      </c>
      <c r="B87" s="13">
        <v>386.67</v>
      </c>
    </row>
    <row r="88" spans="1:2" x14ac:dyDescent="0.25">
      <c r="A88" s="2">
        <v>32174</v>
      </c>
      <c r="B88" s="13">
        <v>399.9</v>
      </c>
    </row>
    <row r="89" spans="1:2" x14ac:dyDescent="0.25">
      <c r="A89" s="2">
        <v>32203</v>
      </c>
      <c r="B89" s="13">
        <v>405.18</v>
      </c>
    </row>
    <row r="90" spans="1:2" x14ac:dyDescent="0.25">
      <c r="A90" s="2">
        <v>32234</v>
      </c>
      <c r="B90" s="13">
        <v>405.99</v>
      </c>
    </row>
    <row r="91" spans="1:2" x14ac:dyDescent="0.25">
      <c r="A91" s="2">
        <v>32264</v>
      </c>
      <c r="B91" s="13">
        <v>389.19</v>
      </c>
    </row>
    <row r="92" spans="1:2" x14ac:dyDescent="0.25">
      <c r="A92" s="2">
        <v>32295</v>
      </c>
      <c r="B92" s="13">
        <v>398.54</v>
      </c>
    </row>
    <row r="93" spans="1:2" x14ac:dyDescent="0.25">
      <c r="A93" s="2">
        <v>32325</v>
      </c>
      <c r="B93" s="13">
        <v>456.52</v>
      </c>
    </row>
    <row r="94" spans="1:2" x14ac:dyDescent="0.25">
      <c r="A94" s="2">
        <v>32356</v>
      </c>
      <c r="B94" s="13">
        <v>545.24</v>
      </c>
    </row>
    <row r="95" spans="1:2" x14ac:dyDescent="0.25">
      <c r="A95" s="2">
        <v>32387</v>
      </c>
      <c r="B95" s="13">
        <v>662.99</v>
      </c>
    </row>
    <row r="96" spans="1:2" x14ac:dyDescent="0.25">
      <c r="A96" s="2">
        <v>32417</v>
      </c>
      <c r="B96" s="13">
        <v>761.78</v>
      </c>
    </row>
    <row r="97" spans="1:2" x14ac:dyDescent="0.25">
      <c r="A97" s="2">
        <v>32448</v>
      </c>
      <c r="B97" s="13">
        <v>858.09</v>
      </c>
    </row>
    <row r="98" spans="1:2" x14ac:dyDescent="0.25">
      <c r="A98" s="2">
        <v>32478</v>
      </c>
      <c r="B98" s="13">
        <v>980.21</v>
      </c>
    </row>
    <row r="99" spans="1:2" x14ac:dyDescent="0.25">
      <c r="A99" s="2">
        <v>32509</v>
      </c>
      <c r="B99" s="14">
        <v>1149.22</v>
      </c>
    </row>
    <row r="100" spans="1:2" x14ac:dyDescent="0.25">
      <c r="A100" s="2">
        <v>32540</v>
      </c>
      <c r="B100" s="14">
        <v>1160.8800000000001</v>
      </c>
    </row>
    <row r="101" spans="1:2" x14ac:dyDescent="0.25">
      <c r="A101" s="2">
        <v>32568</v>
      </c>
      <c r="B101" s="14">
        <v>1045.29</v>
      </c>
    </row>
    <row r="102" spans="1:2" x14ac:dyDescent="0.25">
      <c r="A102" s="2">
        <v>32599</v>
      </c>
      <c r="B102" s="13">
        <v>940.07</v>
      </c>
    </row>
    <row r="103" spans="1:2" x14ac:dyDescent="0.25">
      <c r="A103" s="2">
        <v>32629</v>
      </c>
      <c r="B103" s="13">
        <v>944.5</v>
      </c>
    </row>
    <row r="104" spans="1:2" x14ac:dyDescent="0.25">
      <c r="A104" s="2">
        <v>32660</v>
      </c>
      <c r="B104" s="14">
        <v>1001.44</v>
      </c>
    </row>
    <row r="105" spans="1:2" x14ac:dyDescent="0.25">
      <c r="A105" s="2">
        <v>32690</v>
      </c>
      <c r="B105" s="14">
        <v>1054.1099999999999</v>
      </c>
    </row>
    <row r="106" spans="1:2" x14ac:dyDescent="0.25">
      <c r="A106" s="2">
        <v>32721</v>
      </c>
      <c r="B106" s="14">
        <v>1169.1500000000001</v>
      </c>
    </row>
    <row r="107" spans="1:2" x14ac:dyDescent="0.25">
      <c r="A107" s="2">
        <v>32752</v>
      </c>
      <c r="B107" s="14">
        <v>1269.82</v>
      </c>
    </row>
    <row r="108" spans="1:2" x14ac:dyDescent="0.25">
      <c r="A108" s="2">
        <v>32782</v>
      </c>
      <c r="B108" s="14">
        <v>1424.12</v>
      </c>
    </row>
    <row r="109" spans="1:2" x14ac:dyDescent="0.25">
      <c r="A109" s="2">
        <v>32813</v>
      </c>
      <c r="B109" s="14">
        <v>1660.95</v>
      </c>
    </row>
    <row r="110" spans="1:2" x14ac:dyDescent="0.25">
      <c r="A110" s="2">
        <v>32843</v>
      </c>
      <c r="B110" s="14">
        <v>1972.91</v>
      </c>
    </row>
    <row r="111" spans="1:2" x14ac:dyDescent="0.25">
      <c r="A111" s="2">
        <v>32874</v>
      </c>
      <c r="B111" s="14">
        <v>2426.12</v>
      </c>
    </row>
    <row r="112" spans="1:2" x14ac:dyDescent="0.25">
      <c r="A112" s="2">
        <v>32905</v>
      </c>
      <c r="B112" s="14">
        <v>3701.29</v>
      </c>
    </row>
    <row r="113" spans="1:2" x14ac:dyDescent="0.25">
      <c r="A113" s="2">
        <v>32933</v>
      </c>
      <c r="B113" s="14">
        <v>6390.53</v>
      </c>
    </row>
    <row r="114" spans="1:2" x14ac:dyDescent="0.25">
      <c r="A114" s="2">
        <v>32964</v>
      </c>
      <c r="B114" s="14">
        <v>6821.31</v>
      </c>
    </row>
    <row r="115" spans="1:2" x14ac:dyDescent="0.25">
      <c r="A115" s="2">
        <v>32994</v>
      </c>
      <c r="B115" s="14">
        <v>6214.99</v>
      </c>
    </row>
    <row r="116" spans="1:2" x14ac:dyDescent="0.25">
      <c r="A116" s="2">
        <v>33025</v>
      </c>
      <c r="B116" s="14">
        <v>5385.43</v>
      </c>
    </row>
    <row r="117" spans="1:2" x14ac:dyDescent="0.25">
      <c r="A117" s="2">
        <v>33055</v>
      </c>
      <c r="B117" s="14">
        <v>4749.03</v>
      </c>
    </row>
    <row r="118" spans="1:2" x14ac:dyDescent="0.25">
      <c r="A118" s="2">
        <v>33086</v>
      </c>
      <c r="B118" s="14">
        <v>3993.62</v>
      </c>
    </row>
    <row r="119" spans="1:2" x14ac:dyDescent="0.25">
      <c r="A119" s="2">
        <v>33117</v>
      </c>
      <c r="B119" s="14">
        <v>3304.71</v>
      </c>
    </row>
    <row r="120" spans="1:2" x14ac:dyDescent="0.25">
      <c r="A120" s="2">
        <v>33147</v>
      </c>
      <c r="B120" s="14">
        <v>2685.74</v>
      </c>
    </row>
    <row r="121" spans="1:2" x14ac:dyDescent="0.25">
      <c r="A121" s="2">
        <v>33178</v>
      </c>
      <c r="B121" s="14">
        <v>2101.34</v>
      </c>
    </row>
    <row r="122" spans="1:2" x14ac:dyDescent="0.25">
      <c r="A122" s="2">
        <v>33208</v>
      </c>
      <c r="B122" s="14">
        <v>1620.97</v>
      </c>
    </row>
    <row r="123" spans="1:2" x14ac:dyDescent="0.25">
      <c r="A123" s="2">
        <v>33239</v>
      </c>
      <c r="B123" s="14">
        <v>1140.27</v>
      </c>
    </row>
    <row r="124" spans="1:2" x14ac:dyDescent="0.25">
      <c r="A124" s="2">
        <v>33270</v>
      </c>
      <c r="B124" s="13">
        <v>752.02</v>
      </c>
    </row>
    <row r="125" spans="1:2" x14ac:dyDescent="0.25">
      <c r="A125" s="2">
        <v>33298</v>
      </c>
      <c r="B125" s="13">
        <v>422.84</v>
      </c>
    </row>
    <row r="126" spans="1:2" x14ac:dyDescent="0.25">
      <c r="A126" s="2">
        <v>33329</v>
      </c>
      <c r="B126" s="13">
        <v>375.18</v>
      </c>
    </row>
    <row r="127" spans="1:2" x14ac:dyDescent="0.25">
      <c r="A127" s="2">
        <v>33359</v>
      </c>
      <c r="B127" s="13">
        <v>374.48</v>
      </c>
    </row>
    <row r="128" spans="1:2" x14ac:dyDescent="0.25">
      <c r="A128" s="2">
        <v>33390</v>
      </c>
      <c r="B128" s="13">
        <v>372.1</v>
      </c>
    </row>
    <row r="129" spans="1:2" x14ac:dyDescent="0.25">
      <c r="A129" s="2">
        <v>33420</v>
      </c>
      <c r="B129" s="13">
        <v>369.96</v>
      </c>
    </row>
    <row r="130" spans="1:2" x14ac:dyDescent="0.25">
      <c r="A130" s="2">
        <v>33451</v>
      </c>
      <c r="B130" s="13">
        <v>381.41</v>
      </c>
    </row>
    <row r="131" spans="1:2" x14ac:dyDescent="0.25">
      <c r="A131" s="2">
        <v>33482</v>
      </c>
      <c r="B131" s="13">
        <v>386.55</v>
      </c>
    </row>
    <row r="132" spans="1:2" x14ac:dyDescent="0.25">
      <c r="A132" s="2">
        <v>33512</v>
      </c>
      <c r="B132" s="13">
        <v>411.52</v>
      </c>
    </row>
    <row r="133" spans="1:2" x14ac:dyDescent="0.25">
      <c r="A133" s="2">
        <v>33543</v>
      </c>
      <c r="B133" s="13">
        <v>448.31</v>
      </c>
    </row>
    <row r="134" spans="1:2" x14ac:dyDescent="0.25">
      <c r="A134" s="2">
        <v>33573</v>
      </c>
      <c r="B134" s="13">
        <v>472.7</v>
      </c>
    </row>
    <row r="135" spans="1:2" x14ac:dyDescent="0.25">
      <c r="A135" s="2">
        <v>33604</v>
      </c>
      <c r="B135" s="13">
        <v>497.32</v>
      </c>
    </row>
    <row r="136" spans="1:2" x14ac:dyDescent="0.25">
      <c r="A136" s="2">
        <v>33635</v>
      </c>
      <c r="B136" s="13">
        <v>515.13</v>
      </c>
    </row>
    <row r="137" spans="1:2" x14ac:dyDescent="0.25">
      <c r="A137" s="2">
        <v>33664</v>
      </c>
      <c r="B137" s="13">
        <v>567.21</v>
      </c>
    </row>
    <row r="138" spans="1:2" x14ac:dyDescent="0.25">
      <c r="A138" s="2">
        <v>33695</v>
      </c>
      <c r="B138" s="13">
        <v>662.16</v>
      </c>
    </row>
    <row r="139" spans="1:2" x14ac:dyDescent="0.25">
      <c r="A139" s="2">
        <v>33725</v>
      </c>
      <c r="B139" s="13">
        <v>785.81</v>
      </c>
    </row>
    <row r="140" spans="1:2" x14ac:dyDescent="0.25">
      <c r="A140" s="2">
        <v>33756</v>
      </c>
      <c r="B140" s="13">
        <v>857.68</v>
      </c>
    </row>
    <row r="141" spans="1:2" x14ac:dyDescent="0.25">
      <c r="A141" s="2">
        <v>33786</v>
      </c>
      <c r="B141" s="13">
        <v>937.94</v>
      </c>
    </row>
    <row r="142" spans="1:2" x14ac:dyDescent="0.25">
      <c r="A142" s="2">
        <v>33817</v>
      </c>
      <c r="B142" s="13">
        <v>996.37</v>
      </c>
    </row>
    <row r="143" spans="1:2" x14ac:dyDescent="0.25">
      <c r="A143" s="2">
        <v>33848</v>
      </c>
      <c r="B143" s="14">
        <v>1081.7</v>
      </c>
    </row>
    <row r="144" spans="1:2" x14ac:dyDescent="0.25">
      <c r="A144" s="2">
        <v>33878</v>
      </c>
      <c r="B144" s="14">
        <v>1130.94</v>
      </c>
    </row>
    <row r="145" spans="1:2" x14ac:dyDescent="0.25">
      <c r="A145" s="2">
        <v>33909</v>
      </c>
      <c r="B145" s="14">
        <v>1104.2</v>
      </c>
    </row>
    <row r="146" spans="1:2" x14ac:dyDescent="0.25">
      <c r="A146" s="2">
        <v>33939</v>
      </c>
      <c r="B146" s="14">
        <v>1119.0999999999999</v>
      </c>
    </row>
    <row r="147" spans="1:2" x14ac:dyDescent="0.25">
      <c r="A147" s="2">
        <v>33970</v>
      </c>
      <c r="B147" s="14">
        <v>1161.79</v>
      </c>
    </row>
    <row r="148" spans="1:2" x14ac:dyDescent="0.25">
      <c r="A148" s="2">
        <v>34001</v>
      </c>
      <c r="B148" s="14">
        <v>1168.49</v>
      </c>
    </row>
    <row r="149" spans="1:2" x14ac:dyDescent="0.25">
      <c r="A149" s="2">
        <v>34029</v>
      </c>
      <c r="B149" s="14">
        <v>1229.71</v>
      </c>
    </row>
    <row r="150" spans="1:2" x14ac:dyDescent="0.25">
      <c r="A150" s="2">
        <v>34060</v>
      </c>
      <c r="B150" s="14">
        <v>1316.42</v>
      </c>
    </row>
    <row r="151" spans="1:2" x14ac:dyDescent="0.25">
      <c r="A151" s="2">
        <v>34090</v>
      </c>
      <c r="B151" s="14">
        <v>1348.52</v>
      </c>
    </row>
    <row r="152" spans="1:2" x14ac:dyDescent="0.25">
      <c r="A152" s="2">
        <v>34121</v>
      </c>
      <c r="B152" s="14">
        <v>1467.33</v>
      </c>
    </row>
    <row r="153" spans="1:2" x14ac:dyDescent="0.25">
      <c r="A153" s="2">
        <v>34151</v>
      </c>
      <c r="B153" s="14">
        <v>1581.7</v>
      </c>
    </row>
    <row r="154" spans="1:2" x14ac:dyDescent="0.25">
      <c r="A154" s="2">
        <v>34182</v>
      </c>
      <c r="B154" s="14">
        <v>1730.67</v>
      </c>
    </row>
    <row r="155" spans="1:2" x14ac:dyDescent="0.25">
      <c r="A155" s="2">
        <v>34213</v>
      </c>
      <c r="B155" s="14">
        <v>1893.13</v>
      </c>
    </row>
    <row r="156" spans="1:2" x14ac:dyDescent="0.25">
      <c r="A156" s="2">
        <v>34243</v>
      </c>
      <c r="B156" s="14">
        <v>2031.27</v>
      </c>
    </row>
    <row r="157" spans="1:2" x14ac:dyDescent="0.25">
      <c r="A157" s="2">
        <v>34274</v>
      </c>
      <c r="B157" s="14">
        <v>2258.6799999999998</v>
      </c>
    </row>
    <row r="158" spans="1:2" x14ac:dyDescent="0.25">
      <c r="A158" s="2">
        <v>34304</v>
      </c>
      <c r="B158" s="14">
        <v>2477.15</v>
      </c>
    </row>
    <row r="159" spans="1:2" x14ac:dyDescent="0.25">
      <c r="A159" s="2">
        <v>34335</v>
      </c>
      <c r="B159" s="14">
        <v>2693.84</v>
      </c>
    </row>
    <row r="160" spans="1:2" x14ac:dyDescent="0.25">
      <c r="A160" s="2">
        <v>34366</v>
      </c>
      <c r="B160" s="14">
        <v>3035.71</v>
      </c>
    </row>
    <row r="161" spans="1:2" x14ac:dyDescent="0.25">
      <c r="A161" s="2">
        <v>34394</v>
      </c>
      <c r="B161" s="14">
        <v>3417.39</v>
      </c>
    </row>
    <row r="162" spans="1:2" x14ac:dyDescent="0.25">
      <c r="A162" s="2">
        <v>34425</v>
      </c>
      <c r="B162" s="14">
        <v>3828.49</v>
      </c>
    </row>
    <row r="163" spans="1:2" x14ac:dyDescent="0.25">
      <c r="A163" s="2">
        <v>34455</v>
      </c>
      <c r="B163" s="14">
        <v>4331.1899999999996</v>
      </c>
    </row>
    <row r="164" spans="1:2" x14ac:dyDescent="0.25">
      <c r="A164" s="2">
        <v>34486</v>
      </c>
      <c r="B164" s="14">
        <v>4922.6000000000004</v>
      </c>
    </row>
    <row r="165" spans="1:2" x14ac:dyDescent="0.25">
      <c r="A165" s="2">
        <v>34516</v>
      </c>
      <c r="B165" s="14">
        <v>4005.08</v>
      </c>
    </row>
    <row r="166" spans="1:2" x14ac:dyDescent="0.25">
      <c r="A166" s="2">
        <v>34547</v>
      </c>
      <c r="B166" s="14">
        <v>3044.89</v>
      </c>
    </row>
    <row r="167" spans="1:2" x14ac:dyDescent="0.25">
      <c r="A167" s="2">
        <v>34578</v>
      </c>
      <c r="B167" s="14">
        <v>2253.15</v>
      </c>
    </row>
    <row r="168" spans="1:2" x14ac:dyDescent="0.25">
      <c r="A168" s="2">
        <v>34608</v>
      </c>
      <c r="B168" s="14">
        <v>1703.17</v>
      </c>
    </row>
    <row r="169" spans="1:2" x14ac:dyDescent="0.25">
      <c r="A169" s="2">
        <v>34639</v>
      </c>
      <c r="B169" s="14">
        <v>1267.54</v>
      </c>
    </row>
    <row r="170" spans="1:2" x14ac:dyDescent="0.25">
      <c r="A170" s="2">
        <v>34669</v>
      </c>
      <c r="B170" s="13">
        <v>916.46</v>
      </c>
    </row>
    <row r="171" spans="1:2" x14ac:dyDescent="0.25">
      <c r="A171" s="2">
        <v>34700</v>
      </c>
      <c r="B171" s="13">
        <v>631.54</v>
      </c>
    </row>
    <row r="172" spans="1:2" x14ac:dyDescent="0.25">
      <c r="A172" s="2">
        <v>34731</v>
      </c>
      <c r="B172" s="13">
        <v>426.83</v>
      </c>
    </row>
    <row r="173" spans="1:2" x14ac:dyDescent="0.25">
      <c r="A173" s="2">
        <v>34759</v>
      </c>
      <c r="B173" s="13">
        <v>274.77999999999997</v>
      </c>
    </row>
    <row r="174" spans="1:2" x14ac:dyDescent="0.25">
      <c r="A174" s="2">
        <v>34790</v>
      </c>
      <c r="B174" s="13">
        <v>169.05</v>
      </c>
    </row>
    <row r="175" spans="1:2" x14ac:dyDescent="0.25">
      <c r="A175" s="2">
        <v>34820</v>
      </c>
      <c r="B175" s="13">
        <v>91.79</v>
      </c>
    </row>
    <row r="176" spans="1:2" x14ac:dyDescent="0.25">
      <c r="A176" s="2">
        <v>34851</v>
      </c>
      <c r="B176" s="13">
        <v>33.03</v>
      </c>
    </row>
    <row r="177" spans="1:2" x14ac:dyDescent="0.25">
      <c r="A177" s="2">
        <v>34881</v>
      </c>
      <c r="B177" s="13">
        <v>27.45</v>
      </c>
    </row>
    <row r="178" spans="1:2" x14ac:dyDescent="0.25">
      <c r="A178" s="2">
        <v>34912</v>
      </c>
      <c r="B178" s="13">
        <v>26.36</v>
      </c>
    </row>
    <row r="179" spans="1:2" x14ac:dyDescent="0.25">
      <c r="A179" s="2">
        <v>34943</v>
      </c>
      <c r="B179" s="13">
        <v>25.69</v>
      </c>
    </row>
    <row r="180" spans="1:2" x14ac:dyDescent="0.25">
      <c r="A180" s="2">
        <v>34973</v>
      </c>
      <c r="B180" s="13">
        <v>24.21</v>
      </c>
    </row>
    <row r="181" spans="1:2" x14ac:dyDescent="0.25">
      <c r="A181" s="2">
        <v>35004</v>
      </c>
      <c r="B181" s="13">
        <v>22.59</v>
      </c>
    </row>
    <row r="182" spans="1:2" x14ac:dyDescent="0.25">
      <c r="A182" s="2">
        <v>35034</v>
      </c>
      <c r="B182" s="13">
        <v>22.41</v>
      </c>
    </row>
    <row r="183" spans="1:2" x14ac:dyDescent="0.25">
      <c r="A183" s="2">
        <v>35065</v>
      </c>
      <c r="B183" s="13">
        <v>21.97</v>
      </c>
    </row>
    <row r="184" spans="1:2" x14ac:dyDescent="0.25">
      <c r="A184" s="2">
        <v>35096</v>
      </c>
      <c r="B184" s="13">
        <v>21.99</v>
      </c>
    </row>
    <row r="185" spans="1:2" x14ac:dyDescent="0.25">
      <c r="A185" s="2">
        <v>35125</v>
      </c>
      <c r="B185" s="13">
        <v>20.55</v>
      </c>
    </row>
    <row r="186" spans="1:2" x14ac:dyDescent="0.25">
      <c r="A186" s="2">
        <v>35156</v>
      </c>
      <c r="B186" s="13">
        <v>19.170000000000002</v>
      </c>
    </row>
    <row r="187" spans="1:2" x14ac:dyDescent="0.25">
      <c r="A187" s="2">
        <v>35186</v>
      </c>
      <c r="B187" s="13">
        <v>17.489999999999998</v>
      </c>
    </row>
    <row r="188" spans="1:2" x14ac:dyDescent="0.25">
      <c r="A188" s="2">
        <v>35217</v>
      </c>
      <c r="B188" s="13">
        <v>16.260000000000002</v>
      </c>
    </row>
    <row r="189" spans="1:2" x14ac:dyDescent="0.25">
      <c r="A189" s="2">
        <v>35247</v>
      </c>
      <c r="B189" s="13">
        <v>14.84</v>
      </c>
    </row>
    <row r="190" spans="1:2" x14ac:dyDescent="0.25">
      <c r="A190" s="2">
        <v>35278</v>
      </c>
      <c r="B190" s="13">
        <v>14.21</v>
      </c>
    </row>
    <row r="191" spans="1:2" x14ac:dyDescent="0.25">
      <c r="A191" s="2">
        <v>35309</v>
      </c>
      <c r="B191" s="13">
        <v>13.26</v>
      </c>
    </row>
    <row r="192" spans="1:2" x14ac:dyDescent="0.25">
      <c r="A192" s="2">
        <v>35339</v>
      </c>
      <c r="B192" s="13">
        <v>12.02</v>
      </c>
    </row>
    <row r="193" spans="1:2" x14ac:dyDescent="0.25">
      <c r="A193" s="2">
        <v>35370</v>
      </c>
      <c r="B193" s="13">
        <v>10.75</v>
      </c>
    </row>
    <row r="194" spans="1:2" x14ac:dyDescent="0.25">
      <c r="A194" s="2">
        <v>35400</v>
      </c>
      <c r="B194" s="13">
        <v>9.56</v>
      </c>
    </row>
    <row r="195" spans="1:2" x14ac:dyDescent="0.25">
      <c r="A195" s="2">
        <v>35431</v>
      </c>
      <c r="B195" s="13">
        <v>9.39</v>
      </c>
    </row>
    <row r="196" spans="1:2" x14ac:dyDescent="0.25">
      <c r="A196" s="2">
        <v>35462</v>
      </c>
      <c r="B196" s="13">
        <v>8.82</v>
      </c>
    </row>
    <row r="197" spans="1:2" x14ac:dyDescent="0.25">
      <c r="A197" s="2">
        <v>35490</v>
      </c>
      <c r="B197" s="13">
        <v>8.99</v>
      </c>
    </row>
    <row r="198" spans="1:2" x14ac:dyDescent="0.25">
      <c r="A198" s="2">
        <v>35521</v>
      </c>
      <c r="B198" s="13">
        <v>8.58</v>
      </c>
    </row>
    <row r="199" spans="1:2" x14ac:dyDescent="0.25">
      <c r="A199" s="2">
        <v>35551</v>
      </c>
      <c r="B199" s="13">
        <v>7.71</v>
      </c>
    </row>
    <row r="200" spans="1:2" x14ac:dyDescent="0.25">
      <c r="A200" s="2">
        <v>35582</v>
      </c>
      <c r="B200" s="13">
        <v>7.02</v>
      </c>
    </row>
    <row r="201" spans="1:2" x14ac:dyDescent="0.25">
      <c r="A201" s="2">
        <v>35612</v>
      </c>
      <c r="B201" s="13">
        <v>6.08</v>
      </c>
    </row>
    <row r="202" spans="1:2" x14ac:dyDescent="0.25">
      <c r="A202" s="2">
        <v>35643</v>
      </c>
      <c r="B202" s="13">
        <v>5.59</v>
      </c>
    </row>
    <row r="203" spans="1:2" x14ac:dyDescent="0.25">
      <c r="A203" s="2">
        <v>35674</v>
      </c>
      <c r="B203" s="13">
        <v>5.5</v>
      </c>
    </row>
    <row r="204" spans="1:2" x14ac:dyDescent="0.25">
      <c r="A204" s="2">
        <v>35704</v>
      </c>
      <c r="B204" s="13">
        <v>5.42</v>
      </c>
    </row>
    <row r="205" spans="1:2" x14ac:dyDescent="0.25">
      <c r="A205" s="2">
        <v>35735</v>
      </c>
      <c r="B205" s="13">
        <v>5.27</v>
      </c>
    </row>
    <row r="206" spans="1:2" x14ac:dyDescent="0.25">
      <c r="A206" s="2">
        <v>35765</v>
      </c>
      <c r="B206" s="13">
        <v>5.22</v>
      </c>
    </row>
    <row r="207" spans="1:2" x14ac:dyDescent="0.25">
      <c r="A207" s="2">
        <v>35796</v>
      </c>
      <c r="B207" s="13">
        <v>4.7300000000000004</v>
      </c>
    </row>
    <row r="208" spans="1:2" x14ac:dyDescent="0.25">
      <c r="A208" s="2">
        <v>35827</v>
      </c>
      <c r="B208" s="13">
        <v>4.6900000000000004</v>
      </c>
    </row>
    <row r="209" spans="1:2" x14ac:dyDescent="0.25">
      <c r="A209" s="2">
        <v>35855</v>
      </c>
      <c r="B209" s="13">
        <v>4.5199999999999996</v>
      </c>
    </row>
    <row r="210" spans="1:2" x14ac:dyDescent="0.25">
      <c r="A210" s="2">
        <v>35886</v>
      </c>
      <c r="B210" s="13">
        <v>3.85</v>
      </c>
    </row>
    <row r="211" spans="1:2" x14ac:dyDescent="0.25">
      <c r="A211" s="2">
        <v>35916</v>
      </c>
      <c r="B211" s="13">
        <v>3.95</v>
      </c>
    </row>
    <row r="212" spans="1:2" x14ac:dyDescent="0.25">
      <c r="A212" s="2">
        <v>35947</v>
      </c>
      <c r="B212" s="13">
        <v>3.41</v>
      </c>
    </row>
    <row r="213" spans="1:2" x14ac:dyDescent="0.25">
      <c r="A213" s="2">
        <v>35977</v>
      </c>
      <c r="B213" s="13">
        <v>3.06</v>
      </c>
    </row>
    <row r="214" spans="1:2" x14ac:dyDescent="0.25">
      <c r="A214" s="2">
        <v>36008</v>
      </c>
      <c r="B214" s="13">
        <v>2.5499999999999998</v>
      </c>
    </row>
    <row r="215" spans="1:2" x14ac:dyDescent="0.25">
      <c r="A215" s="2">
        <v>36039</v>
      </c>
      <c r="B215" s="13">
        <v>2.27</v>
      </c>
    </row>
    <row r="216" spans="1:2" x14ac:dyDescent="0.25">
      <c r="A216" s="2">
        <v>36069</v>
      </c>
      <c r="B216" s="13">
        <v>2.0499999999999998</v>
      </c>
    </row>
    <row r="217" spans="1:2" x14ac:dyDescent="0.25">
      <c r="A217" s="2">
        <v>36100</v>
      </c>
      <c r="B217" s="13">
        <v>1.76</v>
      </c>
    </row>
    <row r="218" spans="1:2" x14ac:dyDescent="0.25">
      <c r="A218" s="2">
        <v>36130</v>
      </c>
      <c r="B218" s="13">
        <v>1.65</v>
      </c>
    </row>
    <row r="219" spans="1:2" x14ac:dyDescent="0.25">
      <c r="A219" s="2">
        <v>36161</v>
      </c>
      <c r="B219" s="13">
        <v>1.65</v>
      </c>
    </row>
    <row r="220" spans="1:2" x14ac:dyDescent="0.25">
      <c r="A220" s="2">
        <v>36192</v>
      </c>
      <c r="B220" s="13">
        <v>2.2400000000000002</v>
      </c>
    </row>
    <row r="221" spans="1:2" x14ac:dyDescent="0.25">
      <c r="A221" s="2">
        <v>36220</v>
      </c>
      <c r="B221" s="13">
        <v>3.02</v>
      </c>
    </row>
    <row r="222" spans="1:2" x14ac:dyDescent="0.25">
      <c r="A222" s="2">
        <v>36251</v>
      </c>
      <c r="B222" s="13">
        <v>3.35</v>
      </c>
    </row>
    <row r="223" spans="1:2" x14ac:dyDescent="0.25">
      <c r="A223" s="2">
        <v>36281</v>
      </c>
      <c r="B223" s="13">
        <v>3.14</v>
      </c>
    </row>
    <row r="224" spans="1:2" x14ac:dyDescent="0.25">
      <c r="A224" s="2">
        <v>36312</v>
      </c>
      <c r="B224" s="13">
        <v>3.32</v>
      </c>
    </row>
    <row r="225" spans="1:2" x14ac:dyDescent="0.25">
      <c r="A225" s="2">
        <v>36342</v>
      </c>
      <c r="B225" s="13">
        <v>4.57</v>
      </c>
    </row>
    <row r="226" spans="1:2" x14ac:dyDescent="0.25">
      <c r="A226" s="2">
        <v>36373</v>
      </c>
      <c r="B226" s="13">
        <v>5.69</v>
      </c>
    </row>
    <row r="227" spans="1:2" x14ac:dyDescent="0.25">
      <c r="A227" s="2">
        <v>36404</v>
      </c>
      <c r="B227" s="13">
        <v>6.25</v>
      </c>
    </row>
    <row r="228" spans="1:2" x14ac:dyDescent="0.25">
      <c r="A228" s="2">
        <v>36434</v>
      </c>
      <c r="B228" s="13">
        <v>7.5</v>
      </c>
    </row>
    <row r="229" spans="1:2" x14ac:dyDescent="0.25">
      <c r="A229" s="2">
        <v>36465</v>
      </c>
      <c r="B229" s="13">
        <v>8.65</v>
      </c>
    </row>
    <row r="230" spans="1:2" x14ac:dyDescent="0.25">
      <c r="A230" s="2">
        <v>36495</v>
      </c>
      <c r="B230" s="13">
        <v>8.94</v>
      </c>
    </row>
    <row r="231" spans="1:2" x14ac:dyDescent="0.25">
      <c r="A231" s="2">
        <v>36526</v>
      </c>
      <c r="B231" s="13">
        <v>8.85</v>
      </c>
    </row>
    <row r="232" spans="1:2" x14ac:dyDescent="0.25">
      <c r="A232" s="2">
        <v>36557</v>
      </c>
      <c r="B232" s="13">
        <v>7.86</v>
      </c>
    </row>
    <row r="233" spans="1:2" x14ac:dyDescent="0.25">
      <c r="A233" s="2">
        <v>36586</v>
      </c>
      <c r="B233" s="13">
        <v>6.92</v>
      </c>
    </row>
    <row r="234" spans="1:2" x14ac:dyDescent="0.25">
      <c r="A234" s="2">
        <v>36617</v>
      </c>
      <c r="B234" s="13">
        <v>6.77</v>
      </c>
    </row>
    <row r="235" spans="1:2" x14ac:dyDescent="0.25">
      <c r="A235" s="2">
        <v>36647</v>
      </c>
      <c r="B235" s="13">
        <v>6.47</v>
      </c>
    </row>
    <row r="236" spans="1:2" x14ac:dyDescent="0.25">
      <c r="A236" s="2">
        <v>36678</v>
      </c>
      <c r="B236" s="13">
        <v>6.51</v>
      </c>
    </row>
    <row r="237" spans="1:2" x14ac:dyDescent="0.25">
      <c r="A237" s="2">
        <v>36708</v>
      </c>
      <c r="B237" s="13">
        <v>7.06</v>
      </c>
    </row>
    <row r="238" spans="1:2" x14ac:dyDescent="0.25">
      <c r="A238" s="2">
        <v>36739</v>
      </c>
      <c r="B238" s="13">
        <v>7.86</v>
      </c>
    </row>
    <row r="239" spans="1:2" x14ac:dyDescent="0.25">
      <c r="A239" s="2">
        <v>36770</v>
      </c>
      <c r="B239" s="13">
        <v>7.77</v>
      </c>
    </row>
    <row r="240" spans="1:2" x14ac:dyDescent="0.25">
      <c r="A240" s="2">
        <v>36800</v>
      </c>
      <c r="B240" s="13">
        <v>6.65</v>
      </c>
    </row>
    <row r="241" spans="1:2" x14ac:dyDescent="0.25">
      <c r="A241" s="2">
        <v>36831</v>
      </c>
      <c r="B241" s="13">
        <v>5.99</v>
      </c>
    </row>
    <row r="242" spans="1:2" x14ac:dyDescent="0.25">
      <c r="A242" s="2">
        <v>36861</v>
      </c>
      <c r="B242" s="13">
        <v>5.97</v>
      </c>
    </row>
    <row r="243" spans="1:2" x14ac:dyDescent="0.25">
      <c r="A243" s="2">
        <v>36892</v>
      </c>
      <c r="B243" s="13">
        <v>5.92</v>
      </c>
    </row>
    <row r="244" spans="1:2" x14ac:dyDescent="0.25">
      <c r="A244" s="2">
        <v>36923</v>
      </c>
      <c r="B244" s="13">
        <v>6.27</v>
      </c>
    </row>
    <row r="245" spans="1:2" x14ac:dyDescent="0.25">
      <c r="A245" s="2">
        <v>36951</v>
      </c>
      <c r="B245" s="13">
        <v>6.44</v>
      </c>
    </row>
    <row r="246" spans="1:2" x14ac:dyDescent="0.25">
      <c r="A246" s="2">
        <v>36982</v>
      </c>
      <c r="B246" s="13">
        <v>6.61</v>
      </c>
    </row>
    <row r="247" spans="1:2" x14ac:dyDescent="0.25">
      <c r="A247" s="2">
        <v>37012</v>
      </c>
      <c r="B247" s="13">
        <v>7.04</v>
      </c>
    </row>
    <row r="248" spans="1:2" x14ac:dyDescent="0.25">
      <c r="A248" s="2">
        <v>37043</v>
      </c>
      <c r="B248" s="13">
        <v>7.35</v>
      </c>
    </row>
    <row r="249" spans="1:2" x14ac:dyDescent="0.25">
      <c r="A249" s="2">
        <v>37073</v>
      </c>
      <c r="B249" s="13">
        <v>7.05</v>
      </c>
    </row>
    <row r="250" spans="1:2" x14ac:dyDescent="0.25">
      <c r="A250" s="2">
        <v>37104</v>
      </c>
      <c r="B250" s="13">
        <v>6.41</v>
      </c>
    </row>
    <row r="251" spans="1:2" x14ac:dyDescent="0.25">
      <c r="A251" s="2">
        <v>37135</v>
      </c>
      <c r="B251" s="13">
        <v>6.46</v>
      </c>
    </row>
    <row r="252" spans="1:2" x14ac:dyDescent="0.25">
      <c r="A252" s="2">
        <v>37165</v>
      </c>
      <c r="B252" s="13">
        <v>7.19</v>
      </c>
    </row>
    <row r="253" spans="1:2" x14ac:dyDescent="0.25">
      <c r="A253" s="2">
        <v>37196</v>
      </c>
      <c r="B253" s="13">
        <v>7.61</v>
      </c>
    </row>
    <row r="254" spans="1:2" x14ac:dyDescent="0.25">
      <c r="A254" s="2">
        <v>37226</v>
      </c>
      <c r="B254" s="13">
        <v>7.67</v>
      </c>
    </row>
    <row r="255" spans="1:2" x14ac:dyDescent="0.25">
      <c r="A255" s="2">
        <v>37257</v>
      </c>
      <c r="B255" s="13">
        <v>7.62</v>
      </c>
    </row>
    <row r="256" spans="1:2" x14ac:dyDescent="0.25">
      <c r="A256" s="2">
        <v>37288</v>
      </c>
      <c r="B256" s="13">
        <v>7.51</v>
      </c>
    </row>
    <row r="257" spans="1:2" x14ac:dyDescent="0.25">
      <c r="A257" s="2">
        <v>37316</v>
      </c>
      <c r="B257" s="13">
        <v>7.75</v>
      </c>
    </row>
    <row r="258" spans="1:2" x14ac:dyDescent="0.25">
      <c r="A258" s="2">
        <v>37347</v>
      </c>
      <c r="B258" s="13">
        <v>7.98</v>
      </c>
    </row>
    <row r="259" spans="1:2" x14ac:dyDescent="0.25">
      <c r="A259" s="2">
        <v>37377</v>
      </c>
      <c r="B259" s="13">
        <v>7.77</v>
      </c>
    </row>
    <row r="260" spans="1:2" x14ac:dyDescent="0.25">
      <c r="A260" s="2">
        <v>37408</v>
      </c>
      <c r="B260" s="13">
        <v>7.66</v>
      </c>
    </row>
    <row r="261" spans="1:2" x14ac:dyDescent="0.25">
      <c r="A261" s="2">
        <v>37438</v>
      </c>
      <c r="B261" s="13">
        <v>7.51</v>
      </c>
    </row>
    <row r="262" spans="1:2" x14ac:dyDescent="0.25">
      <c r="A262" s="2">
        <v>37469</v>
      </c>
      <c r="B262" s="13">
        <v>7.46</v>
      </c>
    </row>
    <row r="263" spans="1:2" x14ac:dyDescent="0.25">
      <c r="A263" s="2">
        <v>37500</v>
      </c>
      <c r="B263" s="13">
        <v>7.93</v>
      </c>
    </row>
    <row r="264" spans="1:2" x14ac:dyDescent="0.25">
      <c r="A264" s="2">
        <v>37530</v>
      </c>
      <c r="B264" s="13">
        <v>8.4499999999999993</v>
      </c>
    </row>
    <row r="265" spans="1:2" x14ac:dyDescent="0.25">
      <c r="A265" s="2">
        <v>37561</v>
      </c>
      <c r="B265" s="13">
        <v>10.93</v>
      </c>
    </row>
    <row r="266" spans="1:2" x14ac:dyDescent="0.25">
      <c r="A266" s="2">
        <v>37591</v>
      </c>
      <c r="B266" s="13">
        <v>12.53</v>
      </c>
    </row>
    <row r="267" spans="1:2" x14ac:dyDescent="0.25">
      <c r="A267" s="2">
        <v>37622</v>
      </c>
      <c r="B267" s="13">
        <v>14.47</v>
      </c>
    </row>
    <row r="268" spans="1:2" x14ac:dyDescent="0.25">
      <c r="A268" s="2">
        <v>37653</v>
      </c>
      <c r="B268" s="13">
        <v>15.85</v>
      </c>
    </row>
    <row r="269" spans="1:2" x14ac:dyDescent="0.25">
      <c r="A269" s="2">
        <v>37681</v>
      </c>
      <c r="B269" s="13">
        <v>16.57</v>
      </c>
    </row>
    <row r="270" spans="1:2" x14ac:dyDescent="0.25">
      <c r="A270" s="2">
        <v>37712</v>
      </c>
      <c r="B270" s="13">
        <v>16.77</v>
      </c>
    </row>
    <row r="271" spans="1:2" x14ac:dyDescent="0.25">
      <c r="A271" s="2">
        <v>37742</v>
      </c>
      <c r="B271" s="13">
        <v>17.239999999999998</v>
      </c>
    </row>
    <row r="272" spans="1:2" x14ac:dyDescent="0.25">
      <c r="A272" s="2">
        <v>37773</v>
      </c>
      <c r="B272" s="13">
        <v>16.57</v>
      </c>
    </row>
    <row r="273" spans="1:2" x14ac:dyDescent="0.25">
      <c r="A273" s="2">
        <v>37803</v>
      </c>
      <c r="B273" s="13">
        <v>15.43</v>
      </c>
    </row>
    <row r="274" spans="1:2" x14ac:dyDescent="0.25">
      <c r="A274" s="2">
        <v>37834</v>
      </c>
      <c r="B274" s="13">
        <v>15.07</v>
      </c>
    </row>
    <row r="275" spans="1:2" x14ac:dyDescent="0.25">
      <c r="A275" s="2">
        <v>37865</v>
      </c>
      <c r="B275" s="13">
        <v>15.14</v>
      </c>
    </row>
    <row r="276" spans="1:2" x14ac:dyDescent="0.25">
      <c r="A276" s="2">
        <v>37895</v>
      </c>
      <c r="B276" s="13">
        <v>13.98</v>
      </c>
    </row>
    <row r="277" spans="1:2" x14ac:dyDescent="0.25">
      <c r="A277" s="2">
        <v>37926</v>
      </c>
      <c r="B277" s="13">
        <v>11.02</v>
      </c>
    </row>
    <row r="278" spans="1:2" x14ac:dyDescent="0.25">
      <c r="A278" s="2">
        <v>37956</v>
      </c>
      <c r="B278" s="13">
        <v>9.3000000000000007</v>
      </c>
    </row>
    <row r="279" spans="1:2" x14ac:dyDescent="0.25">
      <c r="A279" s="2">
        <v>37987</v>
      </c>
      <c r="B279" s="13">
        <v>7.71</v>
      </c>
    </row>
    <row r="280" spans="1:2" x14ac:dyDescent="0.25">
      <c r="A280" s="2">
        <v>38018</v>
      </c>
      <c r="B280" s="13">
        <v>6.69</v>
      </c>
    </row>
    <row r="281" spans="1:2" x14ac:dyDescent="0.25">
      <c r="A281" s="2">
        <v>38047</v>
      </c>
      <c r="B281" s="13">
        <v>5.89</v>
      </c>
    </row>
    <row r="282" spans="1:2" x14ac:dyDescent="0.25">
      <c r="A282" s="2">
        <v>38078</v>
      </c>
      <c r="B282" s="13">
        <v>5.26</v>
      </c>
    </row>
    <row r="283" spans="1:2" x14ac:dyDescent="0.25">
      <c r="A283" s="2">
        <v>38108</v>
      </c>
      <c r="B283" s="13">
        <v>5.15</v>
      </c>
    </row>
    <row r="284" spans="1:2" x14ac:dyDescent="0.25">
      <c r="A284" s="2">
        <v>38139</v>
      </c>
      <c r="B284" s="13">
        <v>6.06</v>
      </c>
    </row>
    <row r="285" spans="1:2" x14ac:dyDescent="0.25">
      <c r="A285" s="2">
        <v>38169</v>
      </c>
      <c r="B285" s="13">
        <v>6.81</v>
      </c>
    </row>
    <row r="286" spans="1:2" x14ac:dyDescent="0.25">
      <c r="A286" s="2">
        <v>38200</v>
      </c>
      <c r="B286" s="13">
        <v>7.18</v>
      </c>
    </row>
    <row r="287" spans="1:2" x14ac:dyDescent="0.25">
      <c r="A287" s="2">
        <v>38231</v>
      </c>
      <c r="B287" s="13">
        <v>6.7</v>
      </c>
    </row>
    <row r="288" spans="1:2" x14ac:dyDescent="0.25">
      <c r="A288" s="2">
        <v>38261</v>
      </c>
      <c r="B288" s="13">
        <v>6.86</v>
      </c>
    </row>
    <row r="289" spans="1:2" x14ac:dyDescent="0.25">
      <c r="A289" s="2">
        <v>38292</v>
      </c>
      <c r="B289" s="13">
        <v>7.24</v>
      </c>
    </row>
    <row r="290" spans="1:2" x14ac:dyDescent="0.25">
      <c r="A290" s="2">
        <v>38322</v>
      </c>
      <c r="B290" s="13">
        <v>7.6</v>
      </c>
    </row>
    <row r="291" spans="1:2" x14ac:dyDescent="0.25">
      <c r="A291" s="2">
        <v>38353</v>
      </c>
      <c r="B291" s="13">
        <v>7.41</v>
      </c>
    </row>
    <row r="292" spans="1:2" x14ac:dyDescent="0.25">
      <c r="A292" s="2">
        <v>38384</v>
      </c>
      <c r="B292" s="13">
        <v>7.39</v>
      </c>
    </row>
    <row r="293" spans="1:2" x14ac:dyDescent="0.25">
      <c r="A293" s="2">
        <v>38412</v>
      </c>
      <c r="B293" s="13">
        <v>7.54</v>
      </c>
    </row>
    <row r="294" spans="1:2" x14ac:dyDescent="0.25">
      <c r="A294" s="2">
        <v>38443</v>
      </c>
      <c r="B294" s="13">
        <v>8.07</v>
      </c>
    </row>
    <row r="295" spans="1:2" x14ac:dyDescent="0.25">
      <c r="A295" s="2">
        <v>38473</v>
      </c>
      <c r="B295" s="13">
        <v>8.0500000000000007</v>
      </c>
    </row>
    <row r="296" spans="1:2" x14ac:dyDescent="0.25">
      <c r="A296" s="2">
        <v>38504</v>
      </c>
      <c r="B296" s="13">
        <v>7.27</v>
      </c>
    </row>
    <row r="297" spans="1:2" x14ac:dyDescent="0.25">
      <c r="A297" s="2">
        <v>38534</v>
      </c>
      <c r="B297" s="13">
        <v>6.57</v>
      </c>
    </row>
    <row r="298" spans="1:2" x14ac:dyDescent="0.25">
      <c r="A298" s="2">
        <v>38565</v>
      </c>
      <c r="B298" s="13">
        <v>6.02</v>
      </c>
    </row>
    <row r="299" spans="1:2" x14ac:dyDescent="0.25">
      <c r="A299" s="2">
        <v>38596</v>
      </c>
      <c r="B299" s="13">
        <v>6.04</v>
      </c>
    </row>
    <row r="300" spans="1:2" x14ac:dyDescent="0.25">
      <c r="A300" s="2">
        <v>38626</v>
      </c>
      <c r="B300" s="13">
        <v>6.36</v>
      </c>
    </row>
    <row r="301" spans="1:2" x14ac:dyDescent="0.25">
      <c r="A301" s="2">
        <v>38657</v>
      </c>
      <c r="B301" s="13">
        <v>6.22</v>
      </c>
    </row>
    <row r="302" spans="1:2" x14ac:dyDescent="0.25">
      <c r="A302" s="2">
        <v>38687</v>
      </c>
      <c r="B302" s="13">
        <v>5.69</v>
      </c>
    </row>
    <row r="303" spans="1:2" x14ac:dyDescent="0.25">
      <c r="A303" s="2">
        <v>38718</v>
      </c>
      <c r="B303" s="13">
        <v>5.7</v>
      </c>
    </row>
    <row r="304" spans="1:2" x14ac:dyDescent="0.25">
      <c r="A304" s="2">
        <v>38749</v>
      </c>
      <c r="B304" s="13">
        <v>5.51</v>
      </c>
    </row>
    <row r="305" spans="1:2" x14ac:dyDescent="0.25">
      <c r="A305" s="2">
        <v>38777</v>
      </c>
      <c r="B305" s="13">
        <v>5.32</v>
      </c>
    </row>
    <row r="306" spans="1:2" x14ac:dyDescent="0.25">
      <c r="A306" s="2">
        <v>38808</v>
      </c>
      <c r="B306" s="13">
        <v>4.63</v>
      </c>
    </row>
    <row r="307" spans="1:2" x14ac:dyDescent="0.25">
      <c r="A307" s="2">
        <v>38838</v>
      </c>
      <c r="B307" s="13">
        <v>4.2300000000000004</v>
      </c>
    </row>
    <row r="308" spans="1:2" x14ac:dyDescent="0.25">
      <c r="A308" s="2">
        <v>38869</v>
      </c>
      <c r="B308" s="13">
        <v>4.03</v>
      </c>
    </row>
    <row r="309" spans="1:2" x14ac:dyDescent="0.25">
      <c r="A309" s="2">
        <v>38899</v>
      </c>
      <c r="B309" s="13">
        <v>3.97</v>
      </c>
    </row>
    <row r="310" spans="1:2" x14ac:dyDescent="0.25">
      <c r="A310" s="2">
        <v>38930</v>
      </c>
      <c r="B310" s="13">
        <v>3.84</v>
      </c>
    </row>
    <row r="311" spans="1:2" x14ac:dyDescent="0.25">
      <c r="A311" s="2">
        <v>38961</v>
      </c>
      <c r="B311" s="13">
        <v>3.7</v>
      </c>
    </row>
    <row r="312" spans="1:2" x14ac:dyDescent="0.25">
      <c r="A312" s="2">
        <v>38991</v>
      </c>
      <c r="B312" s="13">
        <v>3.26</v>
      </c>
    </row>
    <row r="313" spans="1:2" x14ac:dyDescent="0.25">
      <c r="A313" s="2">
        <v>39022</v>
      </c>
      <c r="B313" s="13">
        <v>3.02</v>
      </c>
    </row>
    <row r="314" spans="1:2" x14ac:dyDescent="0.25">
      <c r="A314" s="2">
        <v>39052</v>
      </c>
      <c r="B314" s="13">
        <v>3.14</v>
      </c>
    </row>
    <row r="315" spans="1:2" x14ac:dyDescent="0.25">
      <c r="A315" s="2">
        <v>39083</v>
      </c>
      <c r="B315" s="13">
        <v>2.99</v>
      </c>
    </row>
    <row r="316" spans="1:2" x14ac:dyDescent="0.25">
      <c r="A316" s="2">
        <v>39114</v>
      </c>
      <c r="B316" s="13">
        <v>3.02</v>
      </c>
    </row>
    <row r="317" spans="1:2" x14ac:dyDescent="0.25">
      <c r="A317" s="2">
        <v>39142</v>
      </c>
      <c r="B317" s="13">
        <v>2.96</v>
      </c>
    </row>
    <row r="318" spans="1:2" x14ac:dyDescent="0.25">
      <c r="A318" s="2">
        <v>39173</v>
      </c>
      <c r="B318" s="13">
        <v>3</v>
      </c>
    </row>
    <row r="319" spans="1:2" x14ac:dyDescent="0.25">
      <c r="A319" s="2">
        <v>39203</v>
      </c>
      <c r="B319" s="13">
        <v>3.18</v>
      </c>
    </row>
    <row r="320" spans="1:2" x14ac:dyDescent="0.25">
      <c r="A320" s="2">
        <v>39234</v>
      </c>
      <c r="B320" s="13">
        <v>3.69</v>
      </c>
    </row>
    <row r="321" spans="1:2" x14ac:dyDescent="0.25">
      <c r="A321" s="2">
        <v>39264</v>
      </c>
      <c r="B321" s="13">
        <v>3.74</v>
      </c>
    </row>
    <row r="322" spans="1:2" x14ac:dyDescent="0.25">
      <c r="A322" s="2">
        <v>39295</v>
      </c>
      <c r="B322" s="13">
        <v>4.18</v>
      </c>
    </row>
    <row r="323" spans="1:2" x14ac:dyDescent="0.25">
      <c r="A323" s="2">
        <v>39326</v>
      </c>
      <c r="B323" s="13">
        <v>4.1500000000000004</v>
      </c>
    </row>
    <row r="324" spans="1:2" x14ac:dyDescent="0.25">
      <c r="A324" s="2">
        <v>39356</v>
      </c>
      <c r="B324" s="13">
        <v>4.12</v>
      </c>
    </row>
    <row r="325" spans="1:2" x14ac:dyDescent="0.25">
      <c r="A325" s="2">
        <v>39387</v>
      </c>
      <c r="B325" s="13">
        <v>4.1900000000000004</v>
      </c>
    </row>
    <row r="326" spans="1:2" x14ac:dyDescent="0.25">
      <c r="A326" s="2">
        <v>39417</v>
      </c>
      <c r="B326" s="13">
        <v>4.46</v>
      </c>
    </row>
    <row r="327" spans="1:2" x14ac:dyDescent="0.25">
      <c r="A327" s="2">
        <v>39448</v>
      </c>
      <c r="B327" s="13">
        <v>4.5599999999999996</v>
      </c>
    </row>
    <row r="328" spans="1:2" x14ac:dyDescent="0.25">
      <c r="A328" s="2">
        <v>39479</v>
      </c>
      <c r="B328" s="13">
        <v>4.6100000000000003</v>
      </c>
    </row>
    <row r="329" spans="1:2" x14ac:dyDescent="0.25">
      <c r="A329" s="2">
        <v>39508</v>
      </c>
      <c r="B329" s="13">
        <v>4.7300000000000004</v>
      </c>
    </row>
    <row r="330" spans="1:2" x14ac:dyDescent="0.25">
      <c r="A330" s="2">
        <v>39539</v>
      </c>
      <c r="B330" s="13">
        <v>5.04</v>
      </c>
    </row>
    <row r="331" spans="1:2" x14ac:dyDescent="0.25">
      <c r="A331" s="2">
        <v>39569</v>
      </c>
      <c r="B331" s="13">
        <v>5.58</v>
      </c>
    </row>
    <row r="332" spans="1:2" x14ac:dyDescent="0.25">
      <c r="A332" s="2">
        <v>39600</v>
      </c>
      <c r="B332" s="13">
        <v>6.06</v>
      </c>
    </row>
    <row r="333" spans="1:2" x14ac:dyDescent="0.25">
      <c r="A333" s="2">
        <v>39630</v>
      </c>
      <c r="B333" s="13">
        <v>6.37</v>
      </c>
    </row>
    <row r="334" spans="1:2" x14ac:dyDescent="0.25">
      <c r="A334" s="2">
        <v>39661</v>
      </c>
      <c r="B334" s="13">
        <v>6.17</v>
      </c>
    </row>
    <row r="335" spans="1:2" x14ac:dyDescent="0.25">
      <c r="A335" s="2">
        <v>39692</v>
      </c>
      <c r="B335" s="13">
        <v>6.25</v>
      </c>
    </row>
    <row r="336" spans="1:2" x14ac:dyDescent="0.25">
      <c r="A336" s="2">
        <v>39722</v>
      </c>
      <c r="B336" s="13">
        <v>6.41</v>
      </c>
    </row>
    <row r="337" spans="1:2" x14ac:dyDescent="0.25">
      <c r="A337" s="2">
        <v>39753</v>
      </c>
      <c r="B337" s="13">
        <v>6.39</v>
      </c>
    </row>
    <row r="338" spans="1:2" x14ac:dyDescent="0.25">
      <c r="A338" s="2">
        <v>39783</v>
      </c>
      <c r="B338" s="13">
        <v>5.9</v>
      </c>
    </row>
    <row r="339" spans="1:2" x14ac:dyDescent="0.25">
      <c r="A339" s="2">
        <v>39814</v>
      </c>
      <c r="B339" s="13">
        <v>5.84</v>
      </c>
    </row>
    <row r="340" spans="1:2" x14ac:dyDescent="0.25">
      <c r="A340" s="2">
        <v>39845</v>
      </c>
      <c r="B340" s="13">
        <v>5.9</v>
      </c>
    </row>
    <row r="341" spans="1:2" x14ac:dyDescent="0.25">
      <c r="A341" s="2">
        <v>39873</v>
      </c>
      <c r="B341" s="13">
        <v>5.61</v>
      </c>
    </row>
    <row r="342" spans="1:2" x14ac:dyDescent="0.25">
      <c r="A342" s="2">
        <v>39904</v>
      </c>
      <c r="B342" s="13">
        <v>5.53</v>
      </c>
    </row>
    <row r="343" spans="1:2" x14ac:dyDescent="0.25">
      <c r="A343" s="2">
        <v>39934</v>
      </c>
      <c r="B343" s="13">
        <v>5.2</v>
      </c>
    </row>
    <row r="344" spans="1:2" x14ac:dyDescent="0.25">
      <c r="A344" s="2">
        <v>39965</v>
      </c>
      <c r="B344" s="13">
        <v>4.8</v>
      </c>
    </row>
    <row r="345" spans="1:2" x14ac:dyDescent="0.25">
      <c r="A345" s="2">
        <v>39995</v>
      </c>
      <c r="B345" s="13">
        <v>4.5</v>
      </c>
    </row>
    <row r="346" spans="1:2" x14ac:dyDescent="0.25">
      <c r="A346" s="2">
        <v>40026</v>
      </c>
      <c r="B346" s="13">
        <v>4.3600000000000003</v>
      </c>
    </row>
    <row r="347" spans="1:2" x14ac:dyDescent="0.25">
      <c r="A347" s="2">
        <v>40057</v>
      </c>
      <c r="B347" s="13">
        <v>4.34</v>
      </c>
    </row>
    <row r="348" spans="1:2" x14ac:dyDescent="0.25">
      <c r="A348" s="2">
        <v>40087</v>
      </c>
      <c r="B348" s="13">
        <v>4.17</v>
      </c>
    </row>
    <row r="349" spans="1:2" x14ac:dyDescent="0.25">
      <c r="A349" s="2">
        <v>40118</v>
      </c>
      <c r="B349" s="13">
        <v>4.22</v>
      </c>
    </row>
    <row r="350" spans="1:2" x14ac:dyDescent="0.25">
      <c r="A350" s="2">
        <v>40148</v>
      </c>
      <c r="B350" s="13">
        <v>4.3099999999999996</v>
      </c>
    </row>
    <row r="351" spans="1:2" x14ac:dyDescent="0.25">
      <c r="A351" s="2">
        <v>40179</v>
      </c>
      <c r="B351" s="13">
        <v>4.59</v>
      </c>
    </row>
    <row r="352" spans="1:2" x14ac:dyDescent="0.25">
      <c r="A352" s="2">
        <v>40210</v>
      </c>
      <c r="B352" s="13">
        <v>4.83</v>
      </c>
    </row>
    <row r="353" spans="1:2" x14ac:dyDescent="0.25">
      <c r="A353" s="2">
        <v>40238</v>
      </c>
      <c r="B353" s="13">
        <v>5.17</v>
      </c>
    </row>
    <row r="354" spans="1:2" x14ac:dyDescent="0.25">
      <c r="A354" s="2">
        <v>40269</v>
      </c>
      <c r="B354" s="13">
        <v>5.26</v>
      </c>
    </row>
    <row r="355" spans="1:2" x14ac:dyDescent="0.25">
      <c r="A355" s="2">
        <v>40299</v>
      </c>
      <c r="B355" s="13">
        <v>5.22</v>
      </c>
    </row>
    <row r="356" spans="1:2" x14ac:dyDescent="0.25">
      <c r="A356" s="2">
        <v>40330</v>
      </c>
      <c r="B356" s="13">
        <v>4.84</v>
      </c>
    </row>
    <row r="357" spans="1:2" x14ac:dyDescent="0.25">
      <c r="A357" s="2">
        <v>40360</v>
      </c>
      <c r="B357" s="13">
        <v>4.5999999999999996</v>
      </c>
    </row>
    <row r="358" spans="1:2" x14ac:dyDescent="0.25">
      <c r="A358" s="2">
        <v>40391</v>
      </c>
      <c r="B358" s="13">
        <v>4.49</v>
      </c>
    </row>
    <row r="359" spans="1:2" x14ac:dyDescent="0.25">
      <c r="A359" s="2">
        <v>40422</v>
      </c>
      <c r="B359" s="13">
        <v>4.7</v>
      </c>
    </row>
    <row r="360" spans="1:2" x14ac:dyDescent="0.25">
      <c r="A360" s="2">
        <v>40452</v>
      </c>
      <c r="B360" s="13">
        <v>5.2</v>
      </c>
    </row>
    <row r="361" spans="1:2" x14ac:dyDescent="0.25">
      <c r="A361" s="2">
        <v>40483</v>
      </c>
      <c r="B361" s="13">
        <v>5.63</v>
      </c>
    </row>
    <row r="362" spans="1:2" x14ac:dyDescent="0.25">
      <c r="A362" s="2">
        <v>40513</v>
      </c>
      <c r="B362" s="13">
        <v>5.91</v>
      </c>
    </row>
    <row r="363" spans="1:2" x14ac:dyDescent="0.25">
      <c r="A363" s="2">
        <v>40544</v>
      </c>
      <c r="B363" s="13">
        <v>5.99</v>
      </c>
    </row>
    <row r="364" spans="1:2" x14ac:dyDescent="0.25">
      <c r="A364" s="2">
        <v>40575</v>
      </c>
      <c r="B364" s="13">
        <v>6.01</v>
      </c>
    </row>
    <row r="365" spans="1:2" x14ac:dyDescent="0.25">
      <c r="A365" s="2">
        <v>40603</v>
      </c>
      <c r="B365" s="13">
        <v>6.3</v>
      </c>
    </row>
    <row r="366" spans="1:2" x14ac:dyDescent="0.25">
      <c r="A366" s="2">
        <v>40634</v>
      </c>
      <c r="B366" s="13">
        <v>6.51</v>
      </c>
    </row>
    <row r="367" spans="1:2" x14ac:dyDescent="0.25">
      <c r="A367" s="2">
        <v>40664</v>
      </c>
      <c r="B367" s="13">
        <v>6.55</v>
      </c>
    </row>
    <row r="368" spans="1:2" x14ac:dyDescent="0.25">
      <c r="A368" s="2">
        <v>40695</v>
      </c>
      <c r="B368" s="13">
        <v>6.71</v>
      </c>
    </row>
    <row r="369" spans="1:2" x14ac:dyDescent="0.25">
      <c r="A369" s="2">
        <v>40725</v>
      </c>
      <c r="B369" s="13">
        <v>6.87</v>
      </c>
    </row>
    <row r="370" spans="1:2" x14ac:dyDescent="0.25">
      <c r="A370" s="2">
        <v>40756</v>
      </c>
      <c r="B370" s="13">
        <v>7.23</v>
      </c>
    </row>
    <row r="371" spans="1:2" x14ac:dyDescent="0.25">
      <c r="A371" s="2">
        <v>40787</v>
      </c>
      <c r="B371" s="13">
        <v>7.31</v>
      </c>
    </row>
    <row r="372" spans="1:2" x14ac:dyDescent="0.25">
      <c r="A372" s="2">
        <v>40817</v>
      </c>
      <c r="B372" s="13">
        <v>6.97</v>
      </c>
    </row>
    <row r="373" spans="1:2" x14ac:dyDescent="0.25">
      <c r="A373" s="2">
        <v>40848</v>
      </c>
      <c r="B373" s="13">
        <v>6.64</v>
      </c>
    </row>
    <row r="374" spans="1:2" x14ac:dyDescent="0.25">
      <c r="A374" s="2">
        <v>40878</v>
      </c>
      <c r="B374" s="13">
        <v>6.5</v>
      </c>
    </row>
    <row r="375" spans="1:2" x14ac:dyDescent="0.25">
      <c r="A375" s="2">
        <v>40909</v>
      </c>
      <c r="B375" s="13">
        <v>6.22</v>
      </c>
    </row>
    <row r="376" spans="1:2" x14ac:dyDescent="0.25">
      <c r="A376" s="2">
        <v>40940</v>
      </c>
      <c r="B376" s="13">
        <v>5.84</v>
      </c>
    </row>
    <row r="377" spans="1:2" x14ac:dyDescent="0.25">
      <c r="A377" s="2">
        <v>40969</v>
      </c>
      <c r="B377" s="13">
        <v>5.24</v>
      </c>
    </row>
    <row r="378" spans="1:2" x14ac:dyDescent="0.25">
      <c r="A378" s="2">
        <v>41000</v>
      </c>
      <c r="B378" s="13">
        <v>5.0999999999999996</v>
      </c>
    </row>
    <row r="379" spans="1:2" x14ac:dyDescent="0.25">
      <c r="A379" s="2">
        <v>41030</v>
      </c>
      <c r="B379" s="13">
        <v>4.99</v>
      </c>
    </row>
    <row r="380" spans="1:2" x14ac:dyDescent="0.25">
      <c r="A380" s="2">
        <v>41061</v>
      </c>
      <c r="B380" s="13">
        <v>4.92</v>
      </c>
    </row>
    <row r="381" spans="1:2" x14ac:dyDescent="0.25">
      <c r="A381" s="2">
        <v>41091</v>
      </c>
      <c r="B381" s="13">
        <v>5.2</v>
      </c>
    </row>
    <row r="382" spans="1:2" x14ac:dyDescent="0.25">
      <c r="A382" s="2">
        <v>41122</v>
      </c>
      <c r="B382" s="13">
        <v>5.24</v>
      </c>
    </row>
    <row r="383" spans="1:2" x14ac:dyDescent="0.25">
      <c r="A383" s="2">
        <v>41153</v>
      </c>
      <c r="B383" s="13">
        <v>5.28</v>
      </c>
    </row>
    <row r="384" spans="1:2" x14ac:dyDescent="0.25">
      <c r="A384" s="2">
        <v>41183</v>
      </c>
      <c r="B384" s="13">
        <v>5.45</v>
      </c>
    </row>
    <row r="385" spans="1:2" x14ac:dyDescent="0.25">
      <c r="A385" s="2">
        <v>41214</v>
      </c>
      <c r="B385" s="13">
        <v>5.53</v>
      </c>
    </row>
    <row r="386" spans="1:2" x14ac:dyDescent="0.25">
      <c r="A386" s="2">
        <v>41244</v>
      </c>
      <c r="B386" s="13">
        <v>5.84</v>
      </c>
    </row>
    <row r="387" spans="1:2" x14ac:dyDescent="0.25">
      <c r="A387" s="2">
        <v>41275</v>
      </c>
      <c r="B387" s="13">
        <v>6.15</v>
      </c>
    </row>
    <row r="388" spans="1:2" x14ac:dyDescent="0.25">
      <c r="A388" s="2">
        <v>41306</v>
      </c>
      <c r="B388" s="13">
        <v>6.31</v>
      </c>
    </row>
    <row r="389" spans="1:2" x14ac:dyDescent="0.25">
      <c r="A389" s="2">
        <v>41334</v>
      </c>
      <c r="B389" s="13">
        <v>6.59</v>
      </c>
    </row>
    <row r="390" spans="1:2" x14ac:dyDescent="0.25">
      <c r="A390" s="2">
        <v>41365</v>
      </c>
      <c r="B390" s="13">
        <v>6.49</v>
      </c>
    </row>
    <row r="391" spans="1:2" x14ac:dyDescent="0.25">
      <c r="A391" s="2">
        <v>41395</v>
      </c>
      <c r="B391" s="13">
        <v>6.5</v>
      </c>
    </row>
    <row r="392" spans="1:2" x14ac:dyDescent="0.25">
      <c r="A392" s="2">
        <v>41426</v>
      </c>
      <c r="B392" s="13">
        <v>6.7</v>
      </c>
    </row>
    <row r="393" spans="1:2" x14ac:dyDescent="0.25">
      <c r="A393" s="2">
        <v>41456</v>
      </c>
      <c r="B393" s="13">
        <v>6.27</v>
      </c>
    </row>
    <row r="394" spans="1:2" x14ac:dyDescent="0.25">
      <c r="A394" s="2">
        <v>41487</v>
      </c>
      <c r="B394" s="13">
        <v>6.09</v>
      </c>
    </row>
    <row r="395" spans="1:2" x14ac:dyDescent="0.25">
      <c r="A395" s="2">
        <v>41518</v>
      </c>
      <c r="B395" s="13">
        <v>5.86</v>
      </c>
    </row>
    <row r="396" spans="1:2" x14ac:dyDescent="0.25">
      <c r="A396" s="2">
        <v>41548</v>
      </c>
      <c r="B396" s="13">
        <v>5.84</v>
      </c>
    </row>
    <row r="397" spans="1:2" x14ac:dyDescent="0.25">
      <c r="A397" s="2">
        <v>41579</v>
      </c>
      <c r="B397" s="13">
        <v>5.77</v>
      </c>
    </row>
    <row r="398" spans="1:2" x14ac:dyDescent="0.25">
      <c r="A398" s="2">
        <v>41609</v>
      </c>
      <c r="B398" s="13">
        <v>5.91</v>
      </c>
    </row>
    <row r="399" spans="1:2" x14ac:dyDescent="0.25">
      <c r="A399" s="2">
        <v>41640</v>
      </c>
      <c r="B399" s="13">
        <v>5.59</v>
      </c>
    </row>
    <row r="400" spans="1:2" x14ac:dyDescent="0.25">
      <c r="A400" s="2">
        <v>41671</v>
      </c>
      <c r="B400" s="13">
        <v>5.68</v>
      </c>
    </row>
    <row r="401" spans="1:2" x14ac:dyDescent="0.25">
      <c r="A401" s="2">
        <v>41699</v>
      </c>
      <c r="B401" s="13">
        <v>6.15</v>
      </c>
    </row>
    <row r="402" spans="1:2" x14ac:dyDescent="0.25">
      <c r="A402" s="2">
        <v>41730</v>
      </c>
      <c r="B402" s="13">
        <v>6.28</v>
      </c>
    </row>
    <row r="403" spans="1:2" x14ac:dyDescent="0.25">
      <c r="A403" s="2">
        <v>41760</v>
      </c>
      <c r="B403" s="13">
        <v>6.37</v>
      </c>
    </row>
    <row r="404" spans="1:2" x14ac:dyDescent="0.25">
      <c r="A404" s="2">
        <v>41791</v>
      </c>
      <c r="B404" s="13">
        <v>6.52</v>
      </c>
    </row>
    <row r="405" spans="1:2" x14ac:dyDescent="0.25">
      <c r="A405" s="2">
        <v>41821</v>
      </c>
      <c r="B405" s="13">
        <v>6.5</v>
      </c>
    </row>
    <row r="406" spans="1:2" x14ac:dyDescent="0.25">
      <c r="A406" s="2">
        <v>41852</v>
      </c>
      <c r="B406" s="13">
        <v>6.51</v>
      </c>
    </row>
    <row r="407" spans="1:2" x14ac:dyDescent="0.25">
      <c r="A407" s="2">
        <v>41883</v>
      </c>
      <c r="B407" s="13">
        <v>6.75</v>
      </c>
    </row>
    <row r="408" spans="1:2" x14ac:dyDescent="0.25">
      <c r="A408" s="2">
        <v>41913</v>
      </c>
      <c r="B408" s="13">
        <v>6.59</v>
      </c>
    </row>
    <row r="409" spans="1:2" x14ac:dyDescent="0.25">
      <c r="A409" s="2">
        <v>41944</v>
      </c>
      <c r="B409" s="13">
        <v>6.56</v>
      </c>
    </row>
    <row r="410" spans="1:2" x14ac:dyDescent="0.25">
      <c r="A410" s="2">
        <v>41974</v>
      </c>
      <c r="B410" s="13">
        <v>6.41</v>
      </c>
    </row>
    <row r="411" spans="1:2" x14ac:dyDescent="0.25">
      <c r="A411" s="2">
        <v>42005</v>
      </c>
      <c r="B411" s="13">
        <v>7.14</v>
      </c>
    </row>
    <row r="412" spans="1:2" x14ac:dyDescent="0.25">
      <c r="A412" s="2">
        <v>42036</v>
      </c>
      <c r="B412" s="13">
        <v>7.7</v>
      </c>
    </row>
    <row r="413" spans="1:2" x14ac:dyDescent="0.25">
      <c r="A413" s="2">
        <v>42064</v>
      </c>
      <c r="B413" s="13">
        <v>8.1300000000000008</v>
      </c>
    </row>
    <row r="414" spans="1:2" x14ac:dyDescent="0.25">
      <c r="A414" s="2">
        <v>42095</v>
      </c>
      <c r="B414" s="13">
        <v>8.17</v>
      </c>
    </row>
    <row r="415" spans="1:2" x14ac:dyDescent="0.25">
      <c r="A415" s="2">
        <v>42125</v>
      </c>
      <c r="B415" s="13">
        <v>8.4700000000000006</v>
      </c>
    </row>
    <row r="416" spans="1:2" x14ac:dyDescent="0.25">
      <c r="A416" s="2">
        <v>42156</v>
      </c>
      <c r="B416" s="13">
        <v>8.89</v>
      </c>
    </row>
    <row r="417" spans="1:2" x14ac:dyDescent="0.25">
      <c r="A417" s="2">
        <v>42186</v>
      </c>
      <c r="B417" s="13">
        <v>9.56</v>
      </c>
    </row>
    <row r="418" spans="1:2" x14ac:dyDescent="0.25">
      <c r="A418" s="2">
        <v>42217</v>
      </c>
      <c r="B418" s="13">
        <v>9.5299999999999994</v>
      </c>
    </row>
    <row r="419" spans="1:2" x14ac:dyDescent="0.25">
      <c r="A419" s="2">
        <v>42248</v>
      </c>
      <c r="B419" s="13">
        <v>9.49</v>
      </c>
    </row>
    <row r="420" spans="1:2" x14ac:dyDescent="0.25">
      <c r="A420" s="2">
        <v>42278</v>
      </c>
      <c r="B420" s="13">
        <v>9.93</v>
      </c>
    </row>
    <row r="421" spans="1:2" x14ac:dyDescent="0.25">
      <c r="A421" s="2">
        <v>42309</v>
      </c>
      <c r="B421" s="13">
        <v>10.48</v>
      </c>
    </row>
    <row r="422" spans="1:2" x14ac:dyDescent="0.25">
      <c r="A422" s="2">
        <v>42339</v>
      </c>
      <c r="B422" s="13">
        <v>10.67</v>
      </c>
    </row>
    <row r="423" spans="1:2" x14ac:dyDescent="0.25">
      <c r="A423" s="2">
        <v>42370</v>
      </c>
      <c r="B423" s="13">
        <v>10.71</v>
      </c>
    </row>
    <row r="424" spans="1:2" x14ac:dyDescent="0.25">
      <c r="A424" s="2">
        <v>42401</v>
      </c>
      <c r="B424" s="13">
        <v>10.36</v>
      </c>
    </row>
    <row r="425" spans="1:2" x14ac:dyDescent="0.25">
      <c r="A425" s="2">
        <v>42430</v>
      </c>
      <c r="B425" s="13">
        <v>9.39</v>
      </c>
    </row>
    <row r="426" spans="1:2" x14ac:dyDescent="0.25">
      <c r="A426" s="2">
        <v>42461</v>
      </c>
      <c r="B426" s="13">
        <v>9.2799999999999994</v>
      </c>
    </row>
    <row r="427" spans="1:2" x14ac:dyDescent="0.25">
      <c r="A427" s="2">
        <v>42491</v>
      </c>
      <c r="B427" s="13">
        <v>9.32</v>
      </c>
    </row>
    <row r="428" spans="1:2" x14ac:dyDescent="0.25">
      <c r="A428" s="2">
        <v>42522</v>
      </c>
      <c r="B428" s="13">
        <v>8.84</v>
      </c>
    </row>
    <row r="429" spans="1:2" x14ac:dyDescent="0.25">
      <c r="A429" s="2">
        <v>42552</v>
      </c>
      <c r="B429" s="13">
        <v>8.74</v>
      </c>
    </row>
    <row r="430" spans="1:2" x14ac:dyDescent="0.25">
      <c r="A430" s="2">
        <v>42583</v>
      </c>
      <c r="B430" s="13">
        <v>8.9700000000000006</v>
      </c>
    </row>
    <row r="431" spans="1:2" x14ac:dyDescent="0.25">
      <c r="A431" s="2">
        <v>42614</v>
      </c>
      <c r="B431" s="13">
        <v>8.48</v>
      </c>
    </row>
    <row r="432" spans="1:2" x14ac:dyDescent="0.25">
      <c r="A432" s="2">
        <v>42644</v>
      </c>
      <c r="B432" s="13">
        <v>7.87</v>
      </c>
    </row>
    <row r="433" spans="1:2" x14ac:dyDescent="0.25">
      <c r="A433" s="2">
        <v>42675</v>
      </c>
      <c r="B433" s="13">
        <v>6.99</v>
      </c>
    </row>
    <row r="434" spans="1:2" x14ac:dyDescent="0.25">
      <c r="A434" s="2">
        <v>42705</v>
      </c>
      <c r="B434" s="13">
        <v>6.29</v>
      </c>
    </row>
    <row r="435" spans="1:2" x14ac:dyDescent="0.25">
      <c r="A435" s="2">
        <v>42736</v>
      </c>
      <c r="B435" s="13">
        <v>5.35</v>
      </c>
    </row>
    <row r="436" spans="1:2" x14ac:dyDescent="0.25">
      <c r="A436" s="2">
        <v>42767</v>
      </c>
      <c r="B436" s="13">
        <v>4.76</v>
      </c>
    </row>
    <row r="437" spans="1:2" x14ac:dyDescent="0.25">
      <c r="A437" s="2">
        <v>42795</v>
      </c>
      <c r="B437" s="13">
        <v>4.57</v>
      </c>
    </row>
    <row r="438" spans="1:2" x14ac:dyDescent="0.25">
      <c r="A438" s="2">
        <v>42826</v>
      </c>
      <c r="B438" s="13">
        <v>4.08</v>
      </c>
    </row>
    <row r="439" spans="1:2" x14ac:dyDescent="0.25">
      <c r="A439" s="2">
        <v>42856</v>
      </c>
      <c r="B439" s="13">
        <v>3.6</v>
      </c>
    </row>
    <row r="440" spans="1:2" x14ac:dyDescent="0.25">
      <c r="A440" s="2">
        <v>42887</v>
      </c>
      <c r="B440" s="13">
        <v>3</v>
      </c>
    </row>
    <row r="441" spans="1:2" x14ac:dyDescent="0.25">
      <c r="A441" s="2">
        <v>42917</v>
      </c>
      <c r="B441" s="13">
        <v>2.71</v>
      </c>
    </row>
    <row r="442" spans="1:2" x14ac:dyDescent="0.25">
      <c r="A442" s="2">
        <v>42948</v>
      </c>
      <c r="B442" s="13">
        <v>2.46</v>
      </c>
    </row>
    <row r="443" spans="1:2" x14ac:dyDescent="0.25">
      <c r="A443" s="2">
        <v>42979</v>
      </c>
      <c r="B443" s="13">
        <v>2.54</v>
      </c>
    </row>
    <row r="444" spans="1:2" x14ac:dyDescent="0.25">
      <c r="A444" s="2">
        <v>43009</v>
      </c>
      <c r="B444" s="13">
        <v>2.7</v>
      </c>
    </row>
    <row r="445" spans="1:2" x14ac:dyDescent="0.25">
      <c r="A445" s="2">
        <v>43040</v>
      </c>
      <c r="B445" s="13">
        <v>2.8</v>
      </c>
    </row>
    <row r="446" spans="1:2" x14ac:dyDescent="0.25">
      <c r="A446" s="2">
        <v>43070</v>
      </c>
      <c r="B446" s="13">
        <v>2.95</v>
      </c>
    </row>
    <row r="447" spans="1:2" x14ac:dyDescent="0.25">
      <c r="A447" s="2">
        <v>43101</v>
      </c>
      <c r="B447" s="13">
        <v>2.86</v>
      </c>
    </row>
    <row r="448" spans="1:2" x14ac:dyDescent="0.25">
      <c r="A448" s="2">
        <v>43132</v>
      </c>
      <c r="B448" s="13">
        <v>2.84</v>
      </c>
    </row>
    <row r="449" spans="1:2" x14ac:dyDescent="0.25">
      <c r="A449" s="2">
        <v>43160</v>
      </c>
      <c r="B449" s="13">
        <v>2.68</v>
      </c>
    </row>
    <row r="450" spans="1:2" x14ac:dyDescent="0.25">
      <c r="A450" s="2">
        <v>43191</v>
      </c>
      <c r="B450" s="13">
        <v>2.76</v>
      </c>
    </row>
    <row r="451" spans="1:2" x14ac:dyDescent="0.25">
      <c r="A451" s="2">
        <v>43221</v>
      </c>
      <c r="B451" s="13">
        <v>2.86</v>
      </c>
    </row>
    <row r="452" spans="1:2" x14ac:dyDescent="0.25">
      <c r="A452" s="2">
        <v>43252</v>
      </c>
      <c r="B452" s="13">
        <v>4.3899999999999997</v>
      </c>
    </row>
    <row r="453" spans="1:2" x14ac:dyDescent="0.25">
      <c r="A453" s="2">
        <v>43282</v>
      </c>
      <c r="B453" s="13">
        <v>4.4800000000000004</v>
      </c>
    </row>
    <row r="454" spans="1:2" x14ac:dyDescent="0.25">
      <c r="A454" s="2">
        <v>43313</v>
      </c>
      <c r="B454" s="13">
        <v>4.1900000000000004</v>
      </c>
    </row>
    <row r="455" spans="1:2" x14ac:dyDescent="0.25">
      <c r="A455" s="2">
        <v>43344</v>
      </c>
      <c r="B455" s="13">
        <v>4.53</v>
      </c>
    </row>
    <row r="456" spans="1:2" x14ac:dyDescent="0.25">
      <c r="A456" s="2">
        <v>43374</v>
      </c>
      <c r="B456" s="13">
        <v>4.5599999999999996</v>
      </c>
    </row>
    <row r="457" spans="1:2" x14ac:dyDescent="0.25">
      <c r="A457" s="2">
        <v>43405</v>
      </c>
      <c r="B457" s="13">
        <v>4.05</v>
      </c>
    </row>
    <row r="458" spans="1:2" x14ac:dyDescent="0.25">
      <c r="A458" s="2">
        <v>43435</v>
      </c>
      <c r="B458" s="13">
        <v>3.75</v>
      </c>
    </row>
    <row r="459" spans="1:2" x14ac:dyDescent="0.25">
      <c r="A459" s="2">
        <v>43466</v>
      </c>
      <c r="B459" s="13">
        <v>3.78</v>
      </c>
    </row>
    <row r="460" spans="1:2" x14ac:dyDescent="0.25">
      <c r="A460" s="2">
        <v>43497</v>
      </c>
      <c r="B460" s="13">
        <v>3.89</v>
      </c>
    </row>
    <row r="461" spans="1:2" x14ac:dyDescent="0.25">
      <c r="A461" s="2">
        <v>43525</v>
      </c>
      <c r="B461" s="13">
        <v>4.58</v>
      </c>
    </row>
    <row r="462" spans="1:2" x14ac:dyDescent="0.25">
      <c r="A462" s="2">
        <v>43556</v>
      </c>
      <c r="B462" s="13">
        <v>4.9400000000000004</v>
      </c>
    </row>
    <row r="463" spans="1:2" x14ac:dyDescent="0.25">
      <c r="A463" s="2">
        <v>43586</v>
      </c>
      <c r="B463" s="13">
        <v>4.66</v>
      </c>
    </row>
    <row r="464" spans="1:2" x14ac:dyDescent="0.25">
      <c r="A464" s="2">
        <v>43617</v>
      </c>
      <c r="B464" s="13">
        <v>3.37</v>
      </c>
    </row>
    <row r="465" spans="1:2" x14ac:dyDescent="0.25">
      <c r="A465" s="2">
        <v>43647</v>
      </c>
      <c r="B465" s="13">
        <v>3.22</v>
      </c>
    </row>
    <row r="466" spans="1:2" x14ac:dyDescent="0.25">
      <c r="A466" s="2">
        <v>43678</v>
      </c>
      <c r="B466" s="13">
        <v>3.43</v>
      </c>
    </row>
    <row r="467" spans="1:2" x14ac:dyDescent="0.25">
      <c r="A467" s="2">
        <v>43709</v>
      </c>
      <c r="B467" s="13">
        <v>2.89</v>
      </c>
    </row>
    <row r="468" spans="1:2" x14ac:dyDescent="0.25">
      <c r="A468" s="2">
        <v>43739</v>
      </c>
      <c r="B468" s="13">
        <v>2.54</v>
      </c>
    </row>
    <row r="469" spans="1:2" x14ac:dyDescent="0.25">
      <c r="A469" s="2">
        <v>43770</v>
      </c>
      <c r="B469" s="13">
        <v>3.27</v>
      </c>
    </row>
    <row r="470" spans="1:2" x14ac:dyDescent="0.25">
      <c r="A470" s="2">
        <v>43800</v>
      </c>
      <c r="B470" s="13">
        <v>4.3099999999999996</v>
      </c>
    </row>
    <row r="471" spans="1:2" x14ac:dyDescent="0.25">
      <c r="A471" s="2">
        <v>43831</v>
      </c>
      <c r="B471" s="13">
        <v>4.1900000000000004</v>
      </c>
    </row>
    <row r="472" spans="1:2" x14ac:dyDescent="0.25">
      <c r="A472" s="2">
        <v>43862</v>
      </c>
      <c r="B472" s="13">
        <v>4.01</v>
      </c>
    </row>
    <row r="473" spans="1:2" x14ac:dyDescent="0.25">
      <c r="A473" s="2">
        <v>43891</v>
      </c>
      <c r="B473" s="13">
        <v>3.3</v>
      </c>
    </row>
    <row r="474" spans="1:2" x14ac:dyDescent="0.25">
      <c r="A474" s="2">
        <v>43922</v>
      </c>
      <c r="B474" s="13">
        <v>2.4</v>
      </c>
    </row>
    <row r="475" spans="1:2" x14ac:dyDescent="0.25">
      <c r="A475" s="2">
        <v>43952</v>
      </c>
      <c r="B475" s="13">
        <v>1.88</v>
      </c>
    </row>
    <row r="476" spans="1:2" x14ac:dyDescent="0.25">
      <c r="A476" s="2">
        <v>43983</v>
      </c>
      <c r="B476" s="13">
        <v>2.13</v>
      </c>
    </row>
    <row r="477" spans="1:2" x14ac:dyDescent="0.25">
      <c r="A477" s="2">
        <v>44013</v>
      </c>
      <c r="B477" s="13">
        <v>2.31</v>
      </c>
    </row>
    <row r="478" spans="1:2" x14ac:dyDescent="0.25">
      <c r="A478" s="2">
        <v>44044</v>
      </c>
      <c r="B478" s="13">
        <v>2.44</v>
      </c>
    </row>
    <row r="479" spans="1:2" x14ac:dyDescent="0.25">
      <c r="A479" s="2">
        <v>44075</v>
      </c>
      <c r="B479" s="13">
        <v>3.14</v>
      </c>
    </row>
    <row r="480" spans="1:2" x14ac:dyDescent="0.25">
      <c r="A480" s="2">
        <v>44105</v>
      </c>
      <c r="B480" s="13">
        <v>3.92</v>
      </c>
    </row>
    <row r="481" spans="1:2" x14ac:dyDescent="0.25">
      <c r="A481" s="2">
        <v>44136</v>
      </c>
      <c r="B481" s="13">
        <v>4.3099999999999996</v>
      </c>
    </row>
    <row r="482" spans="1:2" x14ac:dyDescent="0.25">
      <c r="A482" s="2">
        <v>44166</v>
      </c>
      <c r="B482" s="13">
        <v>4.5199999999999996</v>
      </c>
    </row>
    <row r="483" spans="1:2" x14ac:dyDescent="0.25">
      <c r="A483" s="2">
        <v>44197</v>
      </c>
      <c r="B483" s="13">
        <v>4.5599999999999996</v>
      </c>
    </row>
    <row r="484" spans="1:2" x14ac:dyDescent="0.25">
      <c r="A484" s="2">
        <v>44228</v>
      </c>
      <c r="B484" s="13">
        <v>5.2</v>
      </c>
    </row>
    <row r="485" spans="1:2" x14ac:dyDescent="0.25">
      <c r="A485" s="2">
        <v>44256</v>
      </c>
      <c r="B485" s="13">
        <v>6.1</v>
      </c>
    </row>
    <row r="486" spans="1:2" x14ac:dyDescent="0.25">
      <c r="A486" s="2">
        <v>44287</v>
      </c>
      <c r="B486" s="13">
        <v>6.76</v>
      </c>
    </row>
    <row r="487" spans="1:2" x14ac:dyDescent="0.25">
      <c r="A487" s="2">
        <v>44317</v>
      </c>
      <c r="B487" s="13">
        <v>8.06</v>
      </c>
    </row>
    <row r="488" spans="1:2" x14ac:dyDescent="0.25">
      <c r="A488" s="2">
        <v>44348</v>
      </c>
      <c r="B488" s="13">
        <v>8.35</v>
      </c>
    </row>
    <row r="489" spans="1:2" x14ac:dyDescent="0.25">
      <c r="A489" s="2">
        <v>44378</v>
      </c>
      <c r="B489" s="13">
        <v>8.99</v>
      </c>
    </row>
    <row r="490" spans="1:2" x14ac:dyDescent="0.25">
      <c r="A490" s="2">
        <v>44409</v>
      </c>
      <c r="B490" s="13">
        <v>9.68</v>
      </c>
    </row>
    <row r="491" spans="1:2" x14ac:dyDescent="0.25">
      <c r="A491" s="2">
        <v>44440</v>
      </c>
      <c r="B491" s="13">
        <v>10.25</v>
      </c>
    </row>
    <row r="492" spans="1:2" x14ac:dyDescent="0.25">
      <c r="A492" s="2">
        <v>44470</v>
      </c>
      <c r="B492" s="13">
        <v>10.67</v>
      </c>
    </row>
    <row r="493" spans="1:2" x14ac:dyDescent="0.25">
      <c r="A493" s="2">
        <v>44501</v>
      </c>
      <c r="B493" s="13">
        <v>10.74</v>
      </c>
    </row>
    <row r="494" spans="1:2" x14ac:dyDescent="0.25">
      <c r="A494" s="2">
        <v>44531</v>
      </c>
      <c r="B494" s="13">
        <v>10.06</v>
      </c>
    </row>
    <row r="495" spans="1:2" x14ac:dyDescent="0.25">
      <c r="A495" s="2">
        <v>44562</v>
      </c>
      <c r="B495" s="13">
        <v>10.38</v>
      </c>
    </row>
    <row r="496" spans="1:2" x14ac:dyDescent="0.25">
      <c r="A496" s="2">
        <v>44593</v>
      </c>
      <c r="B496" s="13">
        <v>10.54</v>
      </c>
    </row>
    <row r="497" spans="1:2" x14ac:dyDescent="0.25">
      <c r="A497" s="2">
        <v>44621</v>
      </c>
      <c r="B497" s="13">
        <v>11.3</v>
      </c>
    </row>
    <row r="498" spans="1:2" x14ac:dyDescent="0.25">
      <c r="A498" s="2">
        <v>44652</v>
      </c>
      <c r="B498" s="13">
        <v>12.13</v>
      </c>
    </row>
    <row r="499" spans="1:2" x14ac:dyDescent="0.25">
      <c r="A499" s="2">
        <v>44682</v>
      </c>
      <c r="B499" s="13">
        <v>11.73</v>
      </c>
    </row>
    <row r="500" spans="1:2" x14ac:dyDescent="0.25">
      <c r="A500" s="2">
        <v>44713</v>
      </c>
      <c r="B500" s="13">
        <v>11.89</v>
      </c>
    </row>
    <row r="501" spans="1:2" x14ac:dyDescent="0.25">
      <c r="A501" s="2">
        <v>44743</v>
      </c>
      <c r="B501" s="13">
        <v>10.07</v>
      </c>
    </row>
    <row r="502" spans="1:2" x14ac:dyDescent="0.25">
      <c r="A502" s="2">
        <v>44774</v>
      </c>
      <c r="B502" s="13">
        <v>8.73</v>
      </c>
    </row>
    <row r="503" spans="1:2" x14ac:dyDescent="0.25">
      <c r="A503" s="2">
        <v>44805</v>
      </c>
      <c r="B503" s="13">
        <v>7.17</v>
      </c>
    </row>
    <row r="504" spans="1:2" x14ac:dyDescent="0.25">
      <c r="A504" s="2">
        <v>44835</v>
      </c>
      <c r="B504" s="13">
        <v>6.47</v>
      </c>
    </row>
    <row r="505" spans="1:2" x14ac:dyDescent="0.25">
      <c r="A505" s="2">
        <v>44866</v>
      </c>
      <c r="B505" s="13">
        <v>5.9</v>
      </c>
    </row>
    <row r="506" spans="1:2" x14ac:dyDescent="0.25">
      <c r="A506" s="2">
        <v>44896</v>
      </c>
      <c r="B506" s="13">
        <v>5.79</v>
      </c>
    </row>
    <row r="507" spans="1:2" x14ac:dyDescent="0.25">
      <c r="A507" s="2">
        <v>44927</v>
      </c>
      <c r="B507" s="13">
        <v>5.77</v>
      </c>
    </row>
    <row r="508" spans="1:2" x14ac:dyDescent="0.25">
      <c r="A508" s="2">
        <v>44958</v>
      </c>
      <c r="B508" s="13">
        <v>5.6</v>
      </c>
    </row>
    <row r="509" spans="1:2" x14ac:dyDescent="0.25">
      <c r="A509" s="2">
        <v>44986</v>
      </c>
      <c r="B509" s="13">
        <v>4.6500000000000004</v>
      </c>
    </row>
    <row r="510" spans="1:2" x14ac:dyDescent="0.25">
      <c r="A510" s="2">
        <v>45017</v>
      </c>
      <c r="B510" s="13">
        <v>4.18</v>
      </c>
    </row>
    <row r="511" spans="1:2" x14ac:dyDescent="0.25">
      <c r="A511" s="2">
        <v>45047</v>
      </c>
      <c r="B511" s="13">
        <v>3.94</v>
      </c>
    </row>
    <row r="512" spans="1:2" x14ac:dyDescent="0.25">
      <c r="A512" s="2">
        <v>45078</v>
      </c>
      <c r="B512" s="13">
        <v>3.16</v>
      </c>
    </row>
    <row r="513" spans="1:2" x14ac:dyDescent="0.25">
      <c r="A513" s="2">
        <v>45108</v>
      </c>
      <c r="B513" s="13">
        <v>3.99</v>
      </c>
    </row>
    <row r="514" spans="1:2" x14ac:dyDescent="0.25">
      <c r="A514" s="2">
        <v>45139</v>
      </c>
      <c r="B514" s="13">
        <v>4.6100000000000003</v>
      </c>
    </row>
    <row r="515" spans="1:2" x14ac:dyDescent="0.25">
      <c r="A515" s="2">
        <v>45170</v>
      </c>
      <c r="B515" s="13">
        <v>5.19</v>
      </c>
    </row>
    <row r="516" spans="1:2" x14ac:dyDescent="0.25">
      <c r="A516" s="2">
        <v>45200</v>
      </c>
      <c r="B516" s="13">
        <v>4.82</v>
      </c>
    </row>
    <row r="517" spans="1:2" x14ac:dyDescent="0.25">
      <c r="A517" s="2">
        <v>45231</v>
      </c>
      <c r="B517" s="13">
        <v>4.68</v>
      </c>
    </row>
    <row r="518" spans="1:2" x14ac:dyDescent="0.25">
      <c r="A518" s="2">
        <v>45261</v>
      </c>
      <c r="B518" s="13">
        <v>4.62</v>
      </c>
    </row>
    <row r="519" spans="1:2" x14ac:dyDescent="0.25">
      <c r="A519" s="2">
        <v>45292</v>
      </c>
      <c r="B519" s="13">
        <v>4.51</v>
      </c>
    </row>
    <row r="520" spans="1:2" x14ac:dyDescent="0.25">
      <c r="A520" s="2">
        <v>45323</v>
      </c>
      <c r="B520" s="13">
        <v>4.5</v>
      </c>
    </row>
    <row r="521" spans="1:2" x14ac:dyDescent="0.25">
      <c r="A521" s="2">
        <v>45352</v>
      </c>
      <c r="B521" s="13">
        <v>3.93</v>
      </c>
    </row>
    <row r="522" spans="1:2" x14ac:dyDescent="0.25">
      <c r="A522" s="2">
        <v>45383</v>
      </c>
      <c r="B522" s="13">
        <v>3.69</v>
      </c>
    </row>
    <row r="523" spans="1:2" x14ac:dyDescent="0.25">
      <c r="A523" s="2">
        <v>45413</v>
      </c>
      <c r="B523" s="13">
        <v>3.93</v>
      </c>
    </row>
    <row r="524" spans="1:2" x14ac:dyDescent="0.25">
      <c r="A524" s="2">
        <v>45444</v>
      </c>
      <c r="B524" s="13">
        <v>4.2300000000000004</v>
      </c>
    </row>
    <row r="525" spans="1:2" x14ac:dyDescent="0.25">
      <c r="A525" s="2">
        <v>45474</v>
      </c>
      <c r="B525" s="13">
        <v>4.5</v>
      </c>
    </row>
    <row r="526" spans="1:2" x14ac:dyDescent="0.25">
      <c r="A526" s="2">
        <v>45505</v>
      </c>
      <c r="B526" s="13">
        <v>4.24</v>
      </c>
    </row>
    <row r="527" spans="1:2" x14ac:dyDescent="0.25">
      <c r="A527" s="2">
        <v>45536</v>
      </c>
      <c r="B527" s="13">
        <v>4.42</v>
      </c>
    </row>
    <row r="528" spans="1:2" x14ac:dyDescent="0.25">
      <c r="A528" s="2">
        <v>45566</v>
      </c>
      <c r="B528" s="13">
        <v>4.76</v>
      </c>
    </row>
    <row r="529" spans="1:2" x14ac:dyDescent="0.25">
      <c r="A529" s="2">
        <v>45597</v>
      </c>
      <c r="B529" s="13">
        <v>4.87</v>
      </c>
    </row>
    <row r="530" spans="1:2" x14ac:dyDescent="0.25">
      <c r="A530" s="2">
        <v>45627</v>
      </c>
      <c r="B530" s="13">
        <v>4.83</v>
      </c>
    </row>
    <row r="531" spans="1:2" x14ac:dyDescent="0.25">
      <c r="A531" s="2">
        <v>45658</v>
      </c>
      <c r="B531" s="13">
        <v>4.5599999999999996</v>
      </c>
    </row>
    <row r="532" spans="1:2" x14ac:dyDescent="0.25">
      <c r="A532" s="2">
        <v>45689</v>
      </c>
      <c r="B532" s="13">
        <v>5.0599999999999996</v>
      </c>
    </row>
    <row r="533" spans="1:2" x14ac:dyDescent="0.25">
      <c r="A533" s="2">
        <v>45717</v>
      </c>
      <c r="B533" s="13">
        <v>5.48</v>
      </c>
    </row>
    <row r="534" spans="1:2" x14ac:dyDescent="0.25">
      <c r="A534" s="2">
        <v>45748</v>
      </c>
      <c r="B534" s="13">
        <v>5.53</v>
      </c>
    </row>
    <row r="535" spans="1:2" x14ac:dyDescent="0.25">
      <c r="A535" s="2">
        <v>45778</v>
      </c>
      <c r="B535" s="13">
        <v>5.32</v>
      </c>
    </row>
    <row r="536" spans="1:2" x14ac:dyDescent="0.25">
      <c r="A536" s="2">
        <v>45809</v>
      </c>
      <c r="B536" s="13">
        <v>5.35</v>
      </c>
    </row>
    <row r="537" spans="1:2" x14ac:dyDescent="0.25">
      <c r="A537" s="2">
        <v>45839</v>
      </c>
      <c r="B537" s="13">
        <v>5.23</v>
      </c>
    </row>
    <row r="538" spans="1:2" x14ac:dyDescent="0.25">
      <c r="A538" s="2">
        <v>45870</v>
      </c>
      <c r="B538" s="13">
        <v>5.13</v>
      </c>
    </row>
    <row r="539" spans="1:2" x14ac:dyDescent="0.25">
      <c r="A539" s="2">
        <v>45901</v>
      </c>
      <c r="B539" s="13">
        <v>5.17</v>
      </c>
    </row>
    <row r="540" spans="1:2" x14ac:dyDescent="0.25">
      <c r="A540" s="2">
        <v>45931</v>
      </c>
      <c r="B540" s="13">
        <v>4.68</v>
      </c>
    </row>
    <row r="541" spans="1:2" x14ac:dyDescent="0.25">
      <c r="A541" s="2">
        <v>45962</v>
      </c>
      <c r="B541" s="13">
        <v>4.46</v>
      </c>
    </row>
    <row r="542" spans="1:2" x14ac:dyDescent="0.25">
      <c r="A542" s="2">
        <v>45992</v>
      </c>
      <c r="B542" s="13">
        <v>4.26</v>
      </c>
    </row>
    <row r="543" spans="1:2" x14ac:dyDescent="0.25">
      <c r="A543" s="2">
        <v>46023</v>
      </c>
      <c r="B543" s="13">
        <v>4.4400000000000004</v>
      </c>
    </row>
    <row r="544" spans="1:2" x14ac:dyDescent="0.25">
      <c r="A544" s="2">
        <v>46054</v>
      </c>
      <c r="B544" s="13">
        <v>3.81</v>
      </c>
    </row>
    <row r="545" spans="1:2" x14ac:dyDescent="0.25">
      <c r="A545" s="2">
        <v>46082</v>
      </c>
      <c r="B545" s="13">
        <v>4.1399999999999997</v>
      </c>
    </row>
    <row r="546" spans="1:2" x14ac:dyDescent="0.25">
      <c r="A546" s="2">
        <v>46113</v>
      </c>
      <c r="B546" s="13">
        <v>4.3899999999999997</v>
      </c>
    </row>
    <row r="547" spans="1:2" x14ac:dyDescent="0.25">
      <c r="A547" s="2">
        <v>46143</v>
      </c>
      <c r="B547" s="13">
        <v>4.72</v>
      </c>
    </row>
    <row r="548" spans="1:2" x14ac:dyDescent="0.25">
      <c r="A548" s="2">
        <v>46174</v>
      </c>
      <c r="B548" s="13">
        <v>4.6399999999999997</v>
      </c>
    </row>
    <row r="549" spans="1:2" x14ac:dyDescent="0.25">
      <c r="A549" s="2">
        <v>46204</v>
      </c>
      <c r="B549" s="13">
        <v>4.4400000000000004</v>
      </c>
    </row>
    <row r="550" spans="1:2" x14ac:dyDescent="0.25">
      <c r="A550" s="2">
        <v>46235</v>
      </c>
      <c r="B550" s="13">
        <v>4.22</v>
      </c>
    </row>
    <row r="551" spans="1:2" x14ac:dyDescent="0.25">
      <c r="A551" t="s">
        <v>13</v>
      </c>
      <c r="B551" s="13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9A80-7845-44F0-A499-9A4852CF8055}">
  <sheetPr>
    <tabColor theme="5" tint="0.79998168889431442"/>
  </sheetPr>
  <dimension ref="A1:J5005"/>
  <sheetViews>
    <sheetView workbookViewId="0">
      <selection activeCell="J1" sqref="J1:J1048576"/>
    </sheetView>
  </sheetViews>
  <sheetFormatPr defaultRowHeight="15" x14ac:dyDescent="0.25"/>
  <cols>
    <col min="3" max="3" width="10.42578125" bestFit="1" customWidth="1"/>
    <col min="7" max="8" width="9.140625" style="5"/>
    <col min="9" max="9" width="10.28515625" style="5" bestFit="1" customWidth="1"/>
    <col min="10" max="10" width="21.42578125" style="13" bestFit="1" customWidth="1"/>
  </cols>
  <sheetData>
    <row r="1" spans="1:10" x14ac:dyDescent="0.25">
      <c r="A1" s="5" t="s">
        <v>17</v>
      </c>
      <c r="B1" s="5" t="s">
        <v>3</v>
      </c>
      <c r="C1" t="s">
        <v>0</v>
      </c>
      <c r="D1" t="s">
        <v>12</v>
      </c>
      <c r="G1" s="5" t="s">
        <v>17</v>
      </c>
      <c r="H1" s="5" t="s">
        <v>3</v>
      </c>
      <c r="I1" s="5" t="s">
        <v>18</v>
      </c>
      <c r="J1" s="11" t="s">
        <v>20</v>
      </c>
    </row>
    <row r="2" spans="1:10" x14ac:dyDescent="0.25">
      <c r="A2" s="5">
        <f>MONTH(C2)</f>
        <v>1</v>
      </c>
      <c r="B2" s="5">
        <f>YEAR(C2)</f>
        <v>2013</v>
      </c>
      <c r="C2" s="9">
        <v>41275</v>
      </c>
      <c r="D2">
        <v>7.25</v>
      </c>
      <c r="G2" s="5">
        <f>MONTH(I2)</f>
        <v>1</v>
      </c>
      <c r="H2" s="5">
        <f>YEAR(I2)</f>
        <v>2013</v>
      </c>
      <c r="I2" s="10">
        <v>41275</v>
      </c>
      <c r="J2" s="12">
        <f>AVERAGEIFS(D:D,A:A,G2,B:B,H2)</f>
        <v>7.25</v>
      </c>
    </row>
    <row r="3" spans="1:10" x14ac:dyDescent="0.25">
      <c r="A3" s="5">
        <f t="shared" ref="A3:A66" si="0">MONTH(C3)</f>
        <v>1</v>
      </c>
      <c r="B3" s="5">
        <f t="shared" ref="B3:B66" si="1">YEAR(C3)</f>
        <v>2013</v>
      </c>
      <c r="C3" s="9">
        <v>41276</v>
      </c>
      <c r="D3">
        <v>7.25</v>
      </c>
      <c r="G3" s="5">
        <f t="shared" ref="G3:G66" si="2">MONTH(I3)</f>
        <v>2</v>
      </c>
      <c r="H3" s="5">
        <f t="shared" ref="H3:H66" si="3">YEAR(I3)</f>
        <v>2013</v>
      </c>
      <c r="I3" s="10">
        <v>41306</v>
      </c>
      <c r="J3" s="12">
        <f t="shared" ref="J3:J66" si="4">AVERAGEIFS(D:D,A:A,G3,B:B,H3)</f>
        <v>7.25</v>
      </c>
    </row>
    <row r="4" spans="1:10" x14ac:dyDescent="0.25">
      <c r="A4" s="5">
        <f t="shared" si="0"/>
        <v>1</v>
      </c>
      <c r="B4" s="5">
        <f t="shared" si="1"/>
        <v>2013</v>
      </c>
      <c r="C4" s="9">
        <v>41277</v>
      </c>
      <c r="D4">
        <v>7.25</v>
      </c>
      <c r="G4" s="5">
        <f t="shared" si="2"/>
        <v>3</v>
      </c>
      <c r="H4" s="5">
        <f t="shared" si="3"/>
        <v>2013</v>
      </c>
      <c r="I4" s="10">
        <v>41334</v>
      </c>
      <c r="J4" s="12">
        <f t="shared" si="4"/>
        <v>7.25</v>
      </c>
    </row>
    <row r="5" spans="1:10" x14ac:dyDescent="0.25">
      <c r="A5" s="5">
        <f t="shared" si="0"/>
        <v>1</v>
      </c>
      <c r="B5" s="5">
        <f t="shared" si="1"/>
        <v>2013</v>
      </c>
      <c r="C5" s="9">
        <v>41278</v>
      </c>
      <c r="D5">
        <v>7.25</v>
      </c>
      <c r="G5" s="5">
        <f t="shared" si="2"/>
        <v>4</v>
      </c>
      <c r="H5" s="5">
        <f t="shared" si="3"/>
        <v>2013</v>
      </c>
      <c r="I5" s="10">
        <v>41365</v>
      </c>
      <c r="J5" s="12">
        <f t="shared" si="4"/>
        <v>7.3583333333333334</v>
      </c>
    </row>
    <row r="6" spans="1:10" x14ac:dyDescent="0.25">
      <c r="A6" s="5">
        <f t="shared" si="0"/>
        <v>1</v>
      </c>
      <c r="B6" s="5">
        <f t="shared" si="1"/>
        <v>2013</v>
      </c>
      <c r="C6" s="9">
        <v>41279</v>
      </c>
      <c r="D6">
        <v>7.25</v>
      </c>
      <c r="G6" s="5">
        <f t="shared" si="2"/>
        <v>5</v>
      </c>
      <c r="H6" s="5">
        <f t="shared" si="3"/>
        <v>2013</v>
      </c>
      <c r="I6" s="10">
        <v>41395</v>
      </c>
      <c r="J6" s="12">
        <f t="shared" si="4"/>
        <v>7.532258064516129</v>
      </c>
    </row>
    <row r="7" spans="1:10" x14ac:dyDescent="0.25">
      <c r="A7" s="5">
        <f t="shared" si="0"/>
        <v>1</v>
      </c>
      <c r="B7" s="5">
        <f t="shared" si="1"/>
        <v>2013</v>
      </c>
      <c r="C7" s="9">
        <v>41280</v>
      </c>
      <c r="D7">
        <v>7.25</v>
      </c>
      <c r="G7" s="5">
        <f t="shared" si="2"/>
        <v>6</v>
      </c>
      <c r="H7" s="5">
        <f t="shared" si="3"/>
        <v>2013</v>
      </c>
      <c r="I7" s="10">
        <v>41426</v>
      </c>
      <c r="J7" s="12">
        <f t="shared" si="4"/>
        <v>8</v>
      </c>
    </row>
    <row r="8" spans="1:10" x14ac:dyDescent="0.25">
      <c r="A8" s="5">
        <f t="shared" si="0"/>
        <v>1</v>
      </c>
      <c r="B8" s="5">
        <f t="shared" si="1"/>
        <v>2013</v>
      </c>
      <c r="C8" s="9">
        <v>41281</v>
      </c>
      <c r="D8">
        <v>7.25</v>
      </c>
      <c r="G8" s="5">
        <f t="shared" si="2"/>
        <v>7</v>
      </c>
      <c r="H8" s="5">
        <f t="shared" si="3"/>
        <v>2013</v>
      </c>
      <c r="I8" s="10">
        <v>41456</v>
      </c>
      <c r="J8" s="12">
        <f t="shared" si="4"/>
        <v>8.3387096774193541</v>
      </c>
    </row>
    <row r="9" spans="1:10" x14ac:dyDescent="0.25">
      <c r="A9" s="5">
        <f t="shared" si="0"/>
        <v>1</v>
      </c>
      <c r="B9" s="5">
        <f t="shared" si="1"/>
        <v>2013</v>
      </c>
      <c r="C9" s="9">
        <v>41282</v>
      </c>
      <c r="D9">
        <v>7.25</v>
      </c>
      <c r="G9" s="5">
        <f t="shared" si="2"/>
        <v>8</v>
      </c>
      <c r="H9" s="5">
        <f t="shared" si="3"/>
        <v>2013</v>
      </c>
      <c r="I9" s="10">
        <v>41487</v>
      </c>
      <c r="J9" s="12">
        <f t="shared" si="4"/>
        <v>8.5483870967741939</v>
      </c>
    </row>
    <row r="10" spans="1:10" x14ac:dyDescent="0.25">
      <c r="A10" s="5">
        <f t="shared" si="0"/>
        <v>1</v>
      </c>
      <c r="B10" s="5">
        <f t="shared" si="1"/>
        <v>2013</v>
      </c>
      <c r="C10" s="9">
        <v>41283</v>
      </c>
      <c r="D10">
        <v>7.25</v>
      </c>
      <c r="G10" s="5">
        <f t="shared" si="2"/>
        <v>9</v>
      </c>
      <c r="H10" s="5">
        <f t="shared" si="3"/>
        <v>2013</v>
      </c>
      <c r="I10" s="10">
        <v>41518</v>
      </c>
      <c r="J10" s="12">
        <f t="shared" si="4"/>
        <v>9</v>
      </c>
    </row>
    <row r="11" spans="1:10" x14ac:dyDescent="0.25">
      <c r="A11" s="5">
        <f t="shared" si="0"/>
        <v>1</v>
      </c>
      <c r="B11" s="5">
        <f t="shared" si="1"/>
        <v>2013</v>
      </c>
      <c r="C11" s="9">
        <v>41284</v>
      </c>
      <c r="D11">
        <v>7.25</v>
      </c>
      <c r="G11" s="5">
        <f t="shared" si="2"/>
        <v>10</v>
      </c>
      <c r="H11" s="5">
        <f t="shared" si="3"/>
        <v>2013</v>
      </c>
      <c r="I11" s="10">
        <v>41548</v>
      </c>
      <c r="J11" s="12">
        <f t="shared" si="4"/>
        <v>9.3548387096774199</v>
      </c>
    </row>
    <row r="12" spans="1:10" x14ac:dyDescent="0.25">
      <c r="A12" s="5">
        <f t="shared" si="0"/>
        <v>1</v>
      </c>
      <c r="B12" s="5">
        <f t="shared" si="1"/>
        <v>2013</v>
      </c>
      <c r="C12" s="9">
        <v>41285</v>
      </c>
      <c r="D12">
        <v>7.25</v>
      </c>
      <c r="G12" s="5">
        <f t="shared" si="2"/>
        <v>11</v>
      </c>
      <c r="H12" s="5">
        <f t="shared" si="3"/>
        <v>2013</v>
      </c>
      <c r="I12" s="10">
        <v>41579</v>
      </c>
      <c r="J12" s="12">
        <f t="shared" si="4"/>
        <v>9.5500000000000007</v>
      </c>
    </row>
    <row r="13" spans="1:10" x14ac:dyDescent="0.25">
      <c r="A13" s="5">
        <f t="shared" si="0"/>
        <v>1</v>
      </c>
      <c r="B13" s="5">
        <f t="shared" si="1"/>
        <v>2013</v>
      </c>
      <c r="C13" s="9">
        <v>41286</v>
      </c>
      <c r="D13">
        <v>7.25</v>
      </c>
      <c r="G13" s="5">
        <f t="shared" si="2"/>
        <v>12</v>
      </c>
      <c r="H13" s="5">
        <f t="shared" si="3"/>
        <v>2013</v>
      </c>
      <c r="I13" s="10">
        <v>41609</v>
      </c>
      <c r="J13" s="12">
        <f t="shared" si="4"/>
        <v>10</v>
      </c>
    </row>
    <row r="14" spans="1:10" x14ac:dyDescent="0.25">
      <c r="A14" s="5">
        <f t="shared" si="0"/>
        <v>1</v>
      </c>
      <c r="B14" s="5">
        <f t="shared" si="1"/>
        <v>2013</v>
      </c>
      <c r="C14" s="9">
        <v>41287</v>
      </c>
      <c r="D14">
        <v>7.25</v>
      </c>
      <c r="G14" s="5">
        <f t="shared" si="2"/>
        <v>1</v>
      </c>
      <c r="H14" s="5">
        <f t="shared" si="3"/>
        <v>2014</v>
      </c>
      <c r="I14" s="10">
        <v>41640</v>
      </c>
      <c r="J14" s="12">
        <f t="shared" si="4"/>
        <v>10.258064516129032</v>
      </c>
    </row>
    <row r="15" spans="1:10" x14ac:dyDescent="0.25">
      <c r="A15" s="5">
        <f t="shared" si="0"/>
        <v>1</v>
      </c>
      <c r="B15" s="5">
        <f t="shared" si="1"/>
        <v>2013</v>
      </c>
      <c r="C15" s="9">
        <v>41288</v>
      </c>
      <c r="D15">
        <v>7.25</v>
      </c>
      <c r="G15" s="5">
        <f t="shared" si="2"/>
        <v>2</v>
      </c>
      <c r="H15" s="5">
        <f t="shared" si="3"/>
        <v>2014</v>
      </c>
      <c r="I15" s="10">
        <v>41671</v>
      </c>
      <c r="J15" s="12">
        <f t="shared" si="4"/>
        <v>10.517857142857142</v>
      </c>
    </row>
    <row r="16" spans="1:10" x14ac:dyDescent="0.25">
      <c r="A16" s="5">
        <f t="shared" si="0"/>
        <v>1</v>
      </c>
      <c r="B16" s="5">
        <f t="shared" si="1"/>
        <v>2013</v>
      </c>
      <c r="C16" s="9">
        <v>41289</v>
      </c>
      <c r="D16">
        <v>7.25</v>
      </c>
      <c r="G16" s="5">
        <f t="shared" si="2"/>
        <v>3</v>
      </c>
      <c r="H16" s="5">
        <f t="shared" si="3"/>
        <v>2014</v>
      </c>
      <c r="I16" s="10">
        <v>41699</v>
      </c>
      <c r="J16" s="12">
        <f t="shared" si="4"/>
        <v>10.75</v>
      </c>
    </row>
    <row r="17" spans="1:10" x14ac:dyDescent="0.25">
      <c r="A17" s="5">
        <f t="shared" si="0"/>
        <v>1</v>
      </c>
      <c r="B17" s="5">
        <f t="shared" si="1"/>
        <v>2013</v>
      </c>
      <c r="C17" s="9">
        <v>41290</v>
      </c>
      <c r="D17">
        <v>7.25</v>
      </c>
      <c r="G17" s="5">
        <f t="shared" si="2"/>
        <v>4</v>
      </c>
      <c r="H17" s="5">
        <f t="shared" si="3"/>
        <v>2014</v>
      </c>
      <c r="I17" s="10">
        <v>41730</v>
      </c>
      <c r="J17" s="12">
        <f t="shared" si="4"/>
        <v>10.983333333333333</v>
      </c>
    </row>
    <row r="18" spans="1:10" x14ac:dyDescent="0.25">
      <c r="A18" s="5">
        <f t="shared" si="0"/>
        <v>1</v>
      </c>
      <c r="B18" s="5">
        <f t="shared" si="1"/>
        <v>2013</v>
      </c>
      <c r="C18" s="9">
        <v>41291</v>
      </c>
      <c r="D18">
        <v>7.25</v>
      </c>
      <c r="G18" s="5">
        <f t="shared" si="2"/>
        <v>5</v>
      </c>
      <c r="H18" s="5">
        <f t="shared" si="3"/>
        <v>2014</v>
      </c>
      <c r="I18" s="10">
        <v>41760</v>
      </c>
      <c r="J18" s="12">
        <f t="shared" si="4"/>
        <v>11</v>
      </c>
    </row>
    <row r="19" spans="1:10" x14ac:dyDescent="0.25">
      <c r="A19" s="5">
        <f t="shared" si="0"/>
        <v>1</v>
      </c>
      <c r="B19" s="5">
        <f t="shared" si="1"/>
        <v>2013</v>
      </c>
      <c r="C19" s="9">
        <v>41292</v>
      </c>
      <c r="D19">
        <v>7.25</v>
      </c>
      <c r="G19" s="5">
        <f t="shared" si="2"/>
        <v>6</v>
      </c>
      <c r="H19" s="5">
        <f t="shared" si="3"/>
        <v>2014</v>
      </c>
      <c r="I19" s="10">
        <v>41791</v>
      </c>
      <c r="J19" s="12">
        <f t="shared" si="4"/>
        <v>11</v>
      </c>
    </row>
    <row r="20" spans="1:10" x14ac:dyDescent="0.25">
      <c r="A20" s="5">
        <f t="shared" si="0"/>
        <v>1</v>
      </c>
      <c r="B20" s="5">
        <f t="shared" si="1"/>
        <v>2013</v>
      </c>
      <c r="C20" s="9">
        <v>41293</v>
      </c>
      <c r="D20">
        <v>7.25</v>
      </c>
      <c r="G20" s="5">
        <f t="shared" si="2"/>
        <v>7</v>
      </c>
      <c r="H20" s="5">
        <f t="shared" si="3"/>
        <v>2014</v>
      </c>
      <c r="I20" s="10">
        <v>41821</v>
      </c>
      <c r="J20" s="12">
        <f t="shared" si="4"/>
        <v>11</v>
      </c>
    </row>
    <row r="21" spans="1:10" x14ac:dyDescent="0.25">
      <c r="A21" s="5">
        <f t="shared" si="0"/>
        <v>1</v>
      </c>
      <c r="B21" s="5">
        <f t="shared" si="1"/>
        <v>2013</v>
      </c>
      <c r="C21" s="9">
        <v>41294</v>
      </c>
      <c r="D21">
        <v>7.25</v>
      </c>
      <c r="G21" s="5">
        <f t="shared" si="2"/>
        <v>8</v>
      </c>
      <c r="H21" s="5">
        <f t="shared" si="3"/>
        <v>2014</v>
      </c>
      <c r="I21" s="10">
        <v>41852</v>
      </c>
      <c r="J21" s="12">
        <f t="shared" si="4"/>
        <v>11</v>
      </c>
    </row>
    <row r="22" spans="1:10" x14ac:dyDescent="0.25">
      <c r="A22" s="5">
        <f t="shared" si="0"/>
        <v>1</v>
      </c>
      <c r="B22" s="5">
        <f t="shared" si="1"/>
        <v>2013</v>
      </c>
      <c r="C22" s="9">
        <v>41295</v>
      </c>
      <c r="D22">
        <v>7.25</v>
      </c>
      <c r="G22" s="5">
        <f t="shared" si="2"/>
        <v>9</v>
      </c>
      <c r="H22" s="5">
        <f t="shared" si="3"/>
        <v>2014</v>
      </c>
      <c r="I22" s="10">
        <v>41883</v>
      </c>
      <c r="J22" s="12">
        <f t="shared" si="4"/>
        <v>11</v>
      </c>
    </row>
    <row r="23" spans="1:10" x14ac:dyDescent="0.25">
      <c r="A23" s="5">
        <f t="shared" si="0"/>
        <v>1</v>
      </c>
      <c r="B23" s="5">
        <f t="shared" si="1"/>
        <v>2013</v>
      </c>
      <c r="C23" s="9">
        <v>41296</v>
      </c>
      <c r="D23">
        <v>7.25</v>
      </c>
      <c r="G23" s="5">
        <f t="shared" si="2"/>
        <v>10</v>
      </c>
      <c r="H23" s="5">
        <f t="shared" si="3"/>
        <v>2014</v>
      </c>
      <c r="I23" s="10">
        <v>41913</v>
      </c>
      <c r="J23" s="12">
        <f t="shared" si="4"/>
        <v>11.016129032258064</v>
      </c>
    </row>
    <row r="24" spans="1:10" x14ac:dyDescent="0.25">
      <c r="A24" s="5">
        <f t="shared" si="0"/>
        <v>1</v>
      </c>
      <c r="B24" s="5">
        <f t="shared" si="1"/>
        <v>2013</v>
      </c>
      <c r="C24" s="9">
        <v>41297</v>
      </c>
      <c r="D24">
        <v>7.25</v>
      </c>
      <c r="G24" s="5">
        <f t="shared" si="2"/>
        <v>11</v>
      </c>
      <c r="H24" s="5">
        <f t="shared" si="3"/>
        <v>2014</v>
      </c>
      <c r="I24" s="10">
        <v>41944</v>
      </c>
      <c r="J24" s="12">
        <f t="shared" si="4"/>
        <v>11.25</v>
      </c>
    </row>
    <row r="25" spans="1:10" x14ac:dyDescent="0.25">
      <c r="A25" s="5">
        <f t="shared" si="0"/>
        <v>1</v>
      </c>
      <c r="B25" s="5">
        <f t="shared" si="1"/>
        <v>2013</v>
      </c>
      <c r="C25" s="9">
        <v>41298</v>
      </c>
      <c r="D25">
        <v>7.25</v>
      </c>
      <c r="G25" s="5">
        <f t="shared" si="2"/>
        <v>12</v>
      </c>
      <c r="H25" s="5">
        <f t="shared" si="3"/>
        <v>2014</v>
      </c>
      <c r="I25" s="10">
        <v>41974</v>
      </c>
      <c r="J25" s="12">
        <f t="shared" si="4"/>
        <v>11.701612903225806</v>
      </c>
    </row>
    <row r="26" spans="1:10" x14ac:dyDescent="0.25">
      <c r="A26" s="5">
        <f t="shared" si="0"/>
        <v>1</v>
      </c>
      <c r="B26" s="5">
        <f t="shared" si="1"/>
        <v>2013</v>
      </c>
      <c r="C26" s="9">
        <v>41299</v>
      </c>
      <c r="D26">
        <v>7.25</v>
      </c>
      <c r="G26" s="5">
        <f t="shared" si="2"/>
        <v>1</v>
      </c>
      <c r="H26" s="5">
        <f t="shared" si="3"/>
        <v>2015</v>
      </c>
      <c r="I26" s="10">
        <v>42005</v>
      </c>
      <c r="J26" s="12">
        <f t="shared" si="4"/>
        <v>11.911290322580646</v>
      </c>
    </row>
    <row r="27" spans="1:10" x14ac:dyDescent="0.25">
      <c r="A27" s="5">
        <f t="shared" si="0"/>
        <v>1</v>
      </c>
      <c r="B27" s="5">
        <f t="shared" si="1"/>
        <v>2013</v>
      </c>
      <c r="C27" s="9">
        <v>41300</v>
      </c>
      <c r="D27">
        <v>7.25</v>
      </c>
      <c r="G27" s="5">
        <f t="shared" si="2"/>
        <v>2</v>
      </c>
      <c r="H27" s="5">
        <f t="shared" si="3"/>
        <v>2015</v>
      </c>
      <c r="I27" s="10">
        <v>42036</v>
      </c>
      <c r="J27" s="12">
        <f t="shared" si="4"/>
        <v>12.25</v>
      </c>
    </row>
    <row r="28" spans="1:10" x14ac:dyDescent="0.25">
      <c r="A28" s="5">
        <f t="shared" si="0"/>
        <v>1</v>
      </c>
      <c r="B28" s="5">
        <f t="shared" si="1"/>
        <v>2013</v>
      </c>
      <c r="C28" s="9">
        <v>41301</v>
      </c>
      <c r="D28">
        <v>7.25</v>
      </c>
      <c r="G28" s="5">
        <f t="shared" si="2"/>
        <v>3</v>
      </c>
      <c r="H28" s="5">
        <f t="shared" si="3"/>
        <v>2015</v>
      </c>
      <c r="I28" s="10">
        <v>42064</v>
      </c>
      <c r="J28" s="12">
        <f t="shared" si="4"/>
        <v>12.685483870967742</v>
      </c>
    </row>
    <row r="29" spans="1:10" x14ac:dyDescent="0.25">
      <c r="A29" s="5">
        <f t="shared" si="0"/>
        <v>1</v>
      </c>
      <c r="B29" s="5">
        <f t="shared" si="1"/>
        <v>2013</v>
      </c>
      <c r="C29" s="9">
        <v>41302</v>
      </c>
      <c r="D29">
        <v>7.25</v>
      </c>
      <c r="G29" s="5">
        <f t="shared" si="2"/>
        <v>4</v>
      </c>
      <c r="H29" s="5">
        <f t="shared" si="3"/>
        <v>2015</v>
      </c>
      <c r="I29" s="10">
        <v>42095</v>
      </c>
      <c r="J29" s="12">
        <f t="shared" si="4"/>
        <v>12.766666666666667</v>
      </c>
    </row>
    <row r="30" spans="1:10" x14ac:dyDescent="0.25">
      <c r="A30" s="5">
        <f t="shared" si="0"/>
        <v>1</v>
      </c>
      <c r="B30" s="5">
        <f t="shared" si="1"/>
        <v>2013</v>
      </c>
      <c r="C30" s="9">
        <v>41303</v>
      </c>
      <c r="D30">
        <v>7.25</v>
      </c>
      <c r="G30" s="5">
        <f t="shared" si="2"/>
        <v>5</v>
      </c>
      <c r="H30" s="5">
        <f t="shared" si="3"/>
        <v>2015</v>
      </c>
      <c r="I30" s="10">
        <v>42125</v>
      </c>
      <c r="J30" s="12">
        <f t="shared" si="4"/>
        <v>13.25</v>
      </c>
    </row>
    <row r="31" spans="1:10" x14ac:dyDescent="0.25">
      <c r="A31" s="5">
        <f t="shared" si="0"/>
        <v>1</v>
      </c>
      <c r="B31" s="5">
        <f t="shared" si="1"/>
        <v>2013</v>
      </c>
      <c r="C31" s="9">
        <v>41304</v>
      </c>
      <c r="D31">
        <v>7.25</v>
      </c>
      <c r="G31" s="5">
        <f t="shared" si="2"/>
        <v>6</v>
      </c>
      <c r="H31" s="5">
        <f t="shared" si="3"/>
        <v>2015</v>
      </c>
      <c r="I31" s="10">
        <v>42156</v>
      </c>
      <c r="J31" s="12">
        <f t="shared" si="4"/>
        <v>13.7</v>
      </c>
    </row>
    <row r="32" spans="1:10" x14ac:dyDescent="0.25">
      <c r="A32" s="5">
        <f t="shared" si="0"/>
        <v>1</v>
      </c>
      <c r="B32" s="5">
        <f t="shared" si="1"/>
        <v>2013</v>
      </c>
      <c r="C32" s="9">
        <v>41305</v>
      </c>
      <c r="D32">
        <v>7.25</v>
      </c>
      <c r="G32" s="5">
        <f t="shared" si="2"/>
        <v>7</v>
      </c>
      <c r="H32" s="5">
        <f t="shared" si="3"/>
        <v>2015</v>
      </c>
      <c r="I32" s="10">
        <v>42186</v>
      </c>
      <c r="J32" s="12">
        <f t="shared" si="4"/>
        <v>13.78225806451613</v>
      </c>
    </row>
    <row r="33" spans="1:10" x14ac:dyDescent="0.25">
      <c r="A33" s="5">
        <f t="shared" si="0"/>
        <v>2</v>
      </c>
      <c r="B33" s="5">
        <f t="shared" si="1"/>
        <v>2013</v>
      </c>
      <c r="C33" s="9">
        <v>41306</v>
      </c>
      <c r="D33">
        <v>7.25</v>
      </c>
      <c r="G33" s="5">
        <f t="shared" si="2"/>
        <v>8</v>
      </c>
      <c r="H33" s="5">
        <f t="shared" si="3"/>
        <v>2015</v>
      </c>
      <c r="I33" s="10">
        <v>42217</v>
      </c>
      <c r="J33" s="12">
        <f t="shared" si="4"/>
        <v>14.25</v>
      </c>
    </row>
    <row r="34" spans="1:10" x14ac:dyDescent="0.25">
      <c r="A34" s="5">
        <f t="shared" si="0"/>
        <v>2</v>
      </c>
      <c r="B34" s="5">
        <f t="shared" si="1"/>
        <v>2013</v>
      </c>
      <c r="C34" s="9">
        <v>41307</v>
      </c>
      <c r="D34">
        <v>7.25</v>
      </c>
      <c r="G34" s="5">
        <f t="shared" si="2"/>
        <v>9</v>
      </c>
      <c r="H34" s="5">
        <f t="shared" si="3"/>
        <v>2015</v>
      </c>
      <c r="I34" s="10">
        <v>42248</v>
      </c>
      <c r="J34" s="12">
        <f t="shared" si="4"/>
        <v>14.25</v>
      </c>
    </row>
    <row r="35" spans="1:10" x14ac:dyDescent="0.25">
      <c r="A35" s="5">
        <f t="shared" si="0"/>
        <v>2</v>
      </c>
      <c r="B35" s="5">
        <f t="shared" si="1"/>
        <v>2013</v>
      </c>
      <c r="C35" s="9">
        <v>41308</v>
      </c>
      <c r="D35">
        <v>7.25</v>
      </c>
      <c r="G35" s="5">
        <f t="shared" si="2"/>
        <v>10</v>
      </c>
      <c r="H35" s="5">
        <f t="shared" si="3"/>
        <v>2015</v>
      </c>
      <c r="I35" s="10">
        <v>42278</v>
      </c>
      <c r="J35" s="12">
        <f t="shared" si="4"/>
        <v>14.25</v>
      </c>
    </row>
    <row r="36" spans="1:10" x14ac:dyDescent="0.25">
      <c r="A36" s="5">
        <f t="shared" si="0"/>
        <v>2</v>
      </c>
      <c r="B36" s="5">
        <f t="shared" si="1"/>
        <v>2013</v>
      </c>
      <c r="C36" s="9">
        <v>41309</v>
      </c>
      <c r="D36">
        <v>7.25</v>
      </c>
      <c r="G36" s="5">
        <f t="shared" si="2"/>
        <v>11</v>
      </c>
      <c r="H36" s="5">
        <f t="shared" si="3"/>
        <v>2015</v>
      </c>
      <c r="I36" s="10">
        <v>42309</v>
      </c>
      <c r="J36" s="12">
        <f t="shared" si="4"/>
        <v>14.25</v>
      </c>
    </row>
    <row r="37" spans="1:10" x14ac:dyDescent="0.25">
      <c r="A37" s="5">
        <f t="shared" si="0"/>
        <v>2</v>
      </c>
      <c r="B37" s="5">
        <f t="shared" si="1"/>
        <v>2013</v>
      </c>
      <c r="C37" s="9">
        <v>41310</v>
      </c>
      <c r="D37">
        <v>7.25</v>
      </c>
      <c r="G37" s="5">
        <f t="shared" si="2"/>
        <v>12</v>
      </c>
      <c r="H37" s="5">
        <f t="shared" si="3"/>
        <v>2015</v>
      </c>
      <c r="I37" s="10">
        <v>42339</v>
      </c>
      <c r="J37" s="12">
        <f t="shared" si="4"/>
        <v>14.25</v>
      </c>
    </row>
    <row r="38" spans="1:10" x14ac:dyDescent="0.25">
      <c r="A38" s="5">
        <f t="shared" si="0"/>
        <v>2</v>
      </c>
      <c r="B38" s="5">
        <f t="shared" si="1"/>
        <v>2013</v>
      </c>
      <c r="C38" s="9">
        <v>41311</v>
      </c>
      <c r="D38">
        <v>7.25</v>
      </c>
      <c r="G38" s="5">
        <f t="shared" si="2"/>
        <v>1</v>
      </c>
      <c r="H38" s="5">
        <f t="shared" si="3"/>
        <v>2016</v>
      </c>
      <c r="I38" s="10">
        <v>42370</v>
      </c>
      <c r="J38" s="12">
        <f t="shared" si="4"/>
        <v>14.25</v>
      </c>
    </row>
    <row r="39" spans="1:10" x14ac:dyDescent="0.25">
      <c r="A39" s="5">
        <f t="shared" si="0"/>
        <v>2</v>
      </c>
      <c r="B39" s="5">
        <f t="shared" si="1"/>
        <v>2013</v>
      </c>
      <c r="C39" s="9">
        <v>41312</v>
      </c>
      <c r="D39">
        <v>7.25</v>
      </c>
      <c r="G39" s="5">
        <f t="shared" si="2"/>
        <v>2</v>
      </c>
      <c r="H39" s="5">
        <f t="shared" si="3"/>
        <v>2016</v>
      </c>
      <c r="I39" s="10">
        <v>42401</v>
      </c>
      <c r="J39" s="12">
        <f t="shared" si="4"/>
        <v>14.25</v>
      </c>
    </row>
    <row r="40" spans="1:10" x14ac:dyDescent="0.25">
      <c r="A40" s="5">
        <f t="shared" si="0"/>
        <v>2</v>
      </c>
      <c r="B40" s="5">
        <f t="shared" si="1"/>
        <v>2013</v>
      </c>
      <c r="C40" s="9">
        <v>41313</v>
      </c>
      <c r="D40">
        <v>7.25</v>
      </c>
      <c r="G40" s="5">
        <f t="shared" si="2"/>
        <v>3</v>
      </c>
      <c r="H40" s="5">
        <f t="shared" si="3"/>
        <v>2016</v>
      </c>
      <c r="I40" s="10">
        <v>42430</v>
      </c>
      <c r="J40" s="12">
        <f t="shared" si="4"/>
        <v>14.25</v>
      </c>
    </row>
    <row r="41" spans="1:10" x14ac:dyDescent="0.25">
      <c r="A41" s="5">
        <f t="shared" si="0"/>
        <v>2</v>
      </c>
      <c r="B41" s="5">
        <f t="shared" si="1"/>
        <v>2013</v>
      </c>
      <c r="C41" s="9">
        <v>41314</v>
      </c>
      <c r="D41">
        <v>7.25</v>
      </c>
      <c r="G41" s="5">
        <f t="shared" si="2"/>
        <v>4</v>
      </c>
      <c r="H41" s="5">
        <f t="shared" si="3"/>
        <v>2016</v>
      </c>
      <c r="I41" s="10">
        <v>42461</v>
      </c>
      <c r="J41" s="12">
        <f t="shared" si="4"/>
        <v>14.25</v>
      </c>
    </row>
    <row r="42" spans="1:10" x14ac:dyDescent="0.25">
      <c r="A42" s="5">
        <f t="shared" si="0"/>
        <v>2</v>
      </c>
      <c r="B42" s="5">
        <f t="shared" si="1"/>
        <v>2013</v>
      </c>
      <c r="C42" s="9">
        <v>41315</v>
      </c>
      <c r="D42">
        <v>7.25</v>
      </c>
      <c r="G42" s="5">
        <f t="shared" si="2"/>
        <v>5</v>
      </c>
      <c r="H42" s="5">
        <f t="shared" si="3"/>
        <v>2016</v>
      </c>
      <c r="I42" s="10">
        <v>42491</v>
      </c>
      <c r="J42" s="12">
        <f t="shared" si="4"/>
        <v>14.25</v>
      </c>
    </row>
    <row r="43" spans="1:10" x14ac:dyDescent="0.25">
      <c r="A43" s="5">
        <f t="shared" si="0"/>
        <v>2</v>
      </c>
      <c r="B43" s="5">
        <f t="shared" si="1"/>
        <v>2013</v>
      </c>
      <c r="C43" s="9">
        <v>41316</v>
      </c>
      <c r="D43">
        <v>7.25</v>
      </c>
      <c r="G43" s="5">
        <f t="shared" si="2"/>
        <v>6</v>
      </c>
      <c r="H43" s="5">
        <f t="shared" si="3"/>
        <v>2016</v>
      </c>
      <c r="I43" s="10">
        <v>42522</v>
      </c>
      <c r="J43" s="12">
        <f t="shared" si="4"/>
        <v>14.25</v>
      </c>
    </row>
    <row r="44" spans="1:10" x14ac:dyDescent="0.25">
      <c r="A44" s="5">
        <f t="shared" si="0"/>
        <v>2</v>
      </c>
      <c r="B44" s="5">
        <f t="shared" si="1"/>
        <v>2013</v>
      </c>
      <c r="C44" s="9">
        <v>41317</v>
      </c>
      <c r="D44">
        <v>7.25</v>
      </c>
      <c r="G44" s="5">
        <f t="shared" si="2"/>
        <v>7</v>
      </c>
      <c r="H44" s="5">
        <f t="shared" si="3"/>
        <v>2016</v>
      </c>
      <c r="I44" s="10">
        <v>42552</v>
      </c>
      <c r="J44" s="12">
        <f t="shared" si="4"/>
        <v>14.25</v>
      </c>
    </row>
    <row r="45" spans="1:10" x14ac:dyDescent="0.25">
      <c r="A45" s="5">
        <f t="shared" si="0"/>
        <v>2</v>
      </c>
      <c r="B45" s="5">
        <f t="shared" si="1"/>
        <v>2013</v>
      </c>
      <c r="C45" s="9">
        <v>41318</v>
      </c>
      <c r="D45">
        <v>7.25</v>
      </c>
      <c r="G45" s="5">
        <f t="shared" si="2"/>
        <v>8</v>
      </c>
      <c r="H45" s="5">
        <f t="shared" si="3"/>
        <v>2016</v>
      </c>
      <c r="I45" s="10">
        <v>42583</v>
      </c>
      <c r="J45" s="12">
        <f t="shared" si="4"/>
        <v>14.25</v>
      </c>
    </row>
    <row r="46" spans="1:10" x14ac:dyDescent="0.25">
      <c r="A46" s="5">
        <f t="shared" si="0"/>
        <v>2</v>
      </c>
      <c r="B46" s="5">
        <f t="shared" si="1"/>
        <v>2013</v>
      </c>
      <c r="C46" s="9">
        <v>41319</v>
      </c>
      <c r="D46">
        <v>7.25</v>
      </c>
      <c r="G46" s="5">
        <f t="shared" si="2"/>
        <v>9</v>
      </c>
      <c r="H46" s="5">
        <f t="shared" si="3"/>
        <v>2016</v>
      </c>
      <c r="I46" s="10">
        <v>42614</v>
      </c>
      <c r="J46" s="12">
        <f t="shared" si="4"/>
        <v>14.25</v>
      </c>
    </row>
    <row r="47" spans="1:10" x14ac:dyDescent="0.25">
      <c r="A47" s="5">
        <f t="shared" si="0"/>
        <v>2</v>
      </c>
      <c r="B47" s="5">
        <f t="shared" si="1"/>
        <v>2013</v>
      </c>
      <c r="C47" s="9">
        <v>41320</v>
      </c>
      <c r="D47">
        <v>7.25</v>
      </c>
      <c r="G47" s="5">
        <f t="shared" si="2"/>
        <v>10</v>
      </c>
      <c r="H47" s="5">
        <f t="shared" si="3"/>
        <v>2016</v>
      </c>
      <c r="I47" s="10">
        <v>42644</v>
      </c>
      <c r="J47" s="12">
        <f t="shared" si="4"/>
        <v>14.153225806451612</v>
      </c>
    </row>
    <row r="48" spans="1:10" x14ac:dyDescent="0.25">
      <c r="A48" s="5">
        <f t="shared" si="0"/>
        <v>2</v>
      </c>
      <c r="B48" s="5">
        <f t="shared" si="1"/>
        <v>2013</v>
      </c>
      <c r="C48" s="9">
        <v>41321</v>
      </c>
      <c r="D48">
        <v>7.25</v>
      </c>
      <c r="G48" s="5">
        <f t="shared" si="2"/>
        <v>11</v>
      </c>
      <c r="H48" s="5">
        <f t="shared" si="3"/>
        <v>2016</v>
      </c>
      <c r="I48" s="10">
        <v>42675</v>
      </c>
      <c r="J48" s="12">
        <f t="shared" si="4"/>
        <v>14</v>
      </c>
    </row>
    <row r="49" spans="1:10" x14ac:dyDescent="0.25">
      <c r="A49" s="5">
        <f t="shared" si="0"/>
        <v>2</v>
      </c>
      <c r="B49" s="5">
        <f t="shared" si="1"/>
        <v>2013</v>
      </c>
      <c r="C49" s="9">
        <v>41322</v>
      </c>
      <c r="D49">
        <v>7.25</v>
      </c>
      <c r="G49" s="5">
        <f t="shared" si="2"/>
        <v>12</v>
      </c>
      <c r="H49" s="5">
        <f t="shared" si="3"/>
        <v>2016</v>
      </c>
      <c r="I49" s="10">
        <v>42705</v>
      </c>
      <c r="J49" s="12">
        <f t="shared" si="4"/>
        <v>13.75</v>
      </c>
    </row>
    <row r="50" spans="1:10" x14ac:dyDescent="0.25">
      <c r="A50" s="5">
        <f t="shared" si="0"/>
        <v>2</v>
      </c>
      <c r="B50" s="5">
        <f t="shared" si="1"/>
        <v>2013</v>
      </c>
      <c r="C50" s="9">
        <v>41323</v>
      </c>
      <c r="D50">
        <v>7.25</v>
      </c>
      <c r="G50" s="5">
        <f t="shared" si="2"/>
        <v>1</v>
      </c>
      <c r="H50" s="5">
        <f t="shared" si="3"/>
        <v>2017</v>
      </c>
      <c r="I50" s="10">
        <v>42736</v>
      </c>
      <c r="J50" s="12">
        <f t="shared" si="4"/>
        <v>13.266129032258064</v>
      </c>
    </row>
    <row r="51" spans="1:10" x14ac:dyDescent="0.25">
      <c r="A51" s="5">
        <f t="shared" si="0"/>
        <v>2</v>
      </c>
      <c r="B51" s="5">
        <f t="shared" si="1"/>
        <v>2013</v>
      </c>
      <c r="C51" s="9">
        <v>41324</v>
      </c>
      <c r="D51">
        <v>7.25</v>
      </c>
      <c r="G51" s="5">
        <f t="shared" si="2"/>
        <v>2</v>
      </c>
      <c r="H51" s="5">
        <f t="shared" si="3"/>
        <v>2017</v>
      </c>
      <c r="I51" s="10">
        <v>42767</v>
      </c>
      <c r="J51" s="12">
        <f t="shared" si="4"/>
        <v>12.839285714285714</v>
      </c>
    </row>
    <row r="52" spans="1:10" x14ac:dyDescent="0.25">
      <c r="A52" s="5">
        <f t="shared" si="0"/>
        <v>2</v>
      </c>
      <c r="B52" s="5">
        <f t="shared" si="1"/>
        <v>2013</v>
      </c>
      <c r="C52" s="9">
        <v>41325</v>
      </c>
      <c r="D52">
        <v>7.25</v>
      </c>
      <c r="G52" s="5">
        <f t="shared" si="2"/>
        <v>3</v>
      </c>
      <c r="H52" s="5">
        <f t="shared" si="3"/>
        <v>2017</v>
      </c>
      <c r="I52" s="10">
        <v>42795</v>
      </c>
      <c r="J52" s="12">
        <f t="shared" si="4"/>
        <v>12.25</v>
      </c>
    </row>
    <row r="53" spans="1:10" x14ac:dyDescent="0.25">
      <c r="A53" s="5">
        <f t="shared" si="0"/>
        <v>2</v>
      </c>
      <c r="B53" s="5">
        <f t="shared" si="1"/>
        <v>2013</v>
      </c>
      <c r="C53" s="9">
        <v>41326</v>
      </c>
      <c r="D53">
        <v>7.25</v>
      </c>
      <c r="G53" s="5">
        <f t="shared" si="2"/>
        <v>4</v>
      </c>
      <c r="H53" s="5">
        <f t="shared" si="3"/>
        <v>2017</v>
      </c>
      <c r="I53" s="10">
        <v>42826</v>
      </c>
      <c r="J53" s="12">
        <f t="shared" si="4"/>
        <v>11.65</v>
      </c>
    </row>
    <row r="54" spans="1:10" x14ac:dyDescent="0.25">
      <c r="A54" s="5">
        <f t="shared" si="0"/>
        <v>2</v>
      </c>
      <c r="B54" s="5">
        <f t="shared" si="1"/>
        <v>2013</v>
      </c>
      <c r="C54" s="9">
        <v>41327</v>
      </c>
      <c r="D54">
        <v>7.25</v>
      </c>
      <c r="G54" s="5">
        <f t="shared" si="2"/>
        <v>5</v>
      </c>
      <c r="H54" s="5">
        <f t="shared" si="3"/>
        <v>2017</v>
      </c>
      <c r="I54" s="10">
        <v>42856</v>
      </c>
      <c r="J54" s="12">
        <f t="shared" si="4"/>
        <v>11.25</v>
      </c>
    </row>
    <row r="55" spans="1:10" x14ac:dyDescent="0.25">
      <c r="A55" s="5">
        <f t="shared" si="0"/>
        <v>2</v>
      </c>
      <c r="B55" s="5">
        <f t="shared" si="1"/>
        <v>2013</v>
      </c>
      <c r="C55" s="9">
        <v>41328</v>
      </c>
      <c r="D55">
        <v>7.25</v>
      </c>
      <c r="G55" s="5">
        <f t="shared" si="2"/>
        <v>6</v>
      </c>
      <c r="H55" s="5">
        <f t="shared" si="3"/>
        <v>2017</v>
      </c>
      <c r="I55" s="10">
        <v>42887</v>
      </c>
      <c r="J55" s="12">
        <f t="shared" si="4"/>
        <v>10.25</v>
      </c>
    </row>
    <row r="56" spans="1:10" x14ac:dyDescent="0.25">
      <c r="A56" s="5">
        <f t="shared" si="0"/>
        <v>2</v>
      </c>
      <c r="B56" s="5">
        <f t="shared" si="1"/>
        <v>2013</v>
      </c>
      <c r="C56" s="9">
        <v>41329</v>
      </c>
      <c r="D56">
        <v>7.25</v>
      </c>
      <c r="G56" s="5">
        <f t="shared" si="2"/>
        <v>7</v>
      </c>
      <c r="H56" s="5">
        <f t="shared" si="3"/>
        <v>2017</v>
      </c>
      <c r="I56" s="10">
        <v>42917</v>
      </c>
      <c r="J56" s="12">
        <f t="shared" si="4"/>
        <v>10.088709677419354</v>
      </c>
    </row>
    <row r="57" spans="1:10" x14ac:dyDescent="0.25">
      <c r="A57" s="5">
        <f t="shared" si="0"/>
        <v>2</v>
      </c>
      <c r="B57" s="5">
        <f t="shared" si="1"/>
        <v>2013</v>
      </c>
      <c r="C57" s="9">
        <v>41330</v>
      </c>
      <c r="D57">
        <v>7.25</v>
      </c>
      <c r="G57" s="5">
        <f t="shared" si="2"/>
        <v>8</v>
      </c>
      <c r="H57" s="5">
        <f t="shared" si="3"/>
        <v>2017</v>
      </c>
      <c r="I57" s="10">
        <v>42948</v>
      </c>
      <c r="J57" s="12">
        <f t="shared" si="4"/>
        <v>9.25</v>
      </c>
    </row>
    <row r="58" spans="1:10" x14ac:dyDescent="0.25">
      <c r="A58" s="5">
        <f t="shared" si="0"/>
        <v>2</v>
      </c>
      <c r="B58" s="5">
        <f t="shared" si="1"/>
        <v>2013</v>
      </c>
      <c r="C58" s="9">
        <v>41331</v>
      </c>
      <c r="D58">
        <v>7.25</v>
      </c>
      <c r="G58" s="5">
        <f t="shared" si="2"/>
        <v>9</v>
      </c>
      <c r="H58" s="5">
        <f t="shared" si="3"/>
        <v>2017</v>
      </c>
      <c r="I58" s="10">
        <v>42979</v>
      </c>
      <c r="J58" s="12">
        <f t="shared" si="4"/>
        <v>8.4833333333333325</v>
      </c>
    </row>
    <row r="59" spans="1:10" x14ac:dyDescent="0.25">
      <c r="A59" s="5">
        <f t="shared" si="0"/>
        <v>2</v>
      </c>
      <c r="B59" s="5">
        <f t="shared" si="1"/>
        <v>2013</v>
      </c>
      <c r="C59" s="9">
        <v>41332</v>
      </c>
      <c r="D59">
        <v>7.25</v>
      </c>
      <c r="G59" s="5">
        <f t="shared" si="2"/>
        <v>10</v>
      </c>
      <c r="H59" s="5">
        <f t="shared" si="3"/>
        <v>2017</v>
      </c>
      <c r="I59" s="10">
        <v>43009</v>
      </c>
      <c r="J59" s="12">
        <f t="shared" si="4"/>
        <v>8.1048387096774199</v>
      </c>
    </row>
    <row r="60" spans="1:10" x14ac:dyDescent="0.25">
      <c r="A60" s="5">
        <f t="shared" si="0"/>
        <v>2</v>
      </c>
      <c r="B60" s="5">
        <f t="shared" si="1"/>
        <v>2013</v>
      </c>
      <c r="C60" s="9">
        <v>41333</v>
      </c>
      <c r="D60">
        <v>7.25</v>
      </c>
      <c r="G60" s="5">
        <f t="shared" si="2"/>
        <v>11</v>
      </c>
      <c r="H60" s="5">
        <f t="shared" si="3"/>
        <v>2017</v>
      </c>
      <c r="I60" s="10">
        <v>43040</v>
      </c>
      <c r="J60" s="12">
        <f t="shared" si="4"/>
        <v>7.5</v>
      </c>
    </row>
    <row r="61" spans="1:10" x14ac:dyDescent="0.25">
      <c r="A61" s="5">
        <f t="shared" si="0"/>
        <v>3</v>
      </c>
      <c r="B61" s="5">
        <f t="shared" si="1"/>
        <v>2013</v>
      </c>
      <c r="C61" s="9">
        <v>41334</v>
      </c>
      <c r="D61">
        <v>7.25</v>
      </c>
      <c r="G61" s="5">
        <f t="shared" si="2"/>
        <v>12</v>
      </c>
      <c r="H61" s="5">
        <f t="shared" si="3"/>
        <v>2017</v>
      </c>
      <c r="I61" s="10">
        <v>43070</v>
      </c>
      <c r="J61" s="12">
        <f t="shared" si="4"/>
        <v>7.096774193548387</v>
      </c>
    </row>
    <row r="62" spans="1:10" x14ac:dyDescent="0.25">
      <c r="A62" s="5">
        <f t="shared" si="0"/>
        <v>3</v>
      </c>
      <c r="B62" s="5">
        <f t="shared" si="1"/>
        <v>2013</v>
      </c>
      <c r="C62" s="9">
        <v>41335</v>
      </c>
      <c r="D62">
        <v>7.25</v>
      </c>
      <c r="G62" s="5">
        <f t="shared" si="2"/>
        <v>1</v>
      </c>
      <c r="H62" s="5">
        <f t="shared" si="3"/>
        <v>2018</v>
      </c>
      <c r="I62" s="10">
        <v>43101</v>
      </c>
      <c r="J62" s="12">
        <f t="shared" si="4"/>
        <v>7</v>
      </c>
    </row>
    <row r="63" spans="1:10" x14ac:dyDescent="0.25">
      <c r="A63" s="5">
        <f t="shared" si="0"/>
        <v>3</v>
      </c>
      <c r="B63" s="5">
        <f t="shared" si="1"/>
        <v>2013</v>
      </c>
      <c r="C63" s="9">
        <v>41336</v>
      </c>
      <c r="D63">
        <v>7.25</v>
      </c>
      <c r="G63" s="5">
        <f t="shared" si="2"/>
        <v>2</v>
      </c>
      <c r="H63" s="5">
        <f t="shared" si="3"/>
        <v>2018</v>
      </c>
      <c r="I63" s="10">
        <v>43132</v>
      </c>
      <c r="J63" s="12">
        <f t="shared" si="4"/>
        <v>6.8125</v>
      </c>
    </row>
    <row r="64" spans="1:10" x14ac:dyDescent="0.25">
      <c r="A64" s="5">
        <f t="shared" si="0"/>
        <v>3</v>
      </c>
      <c r="B64" s="5">
        <f t="shared" si="1"/>
        <v>2013</v>
      </c>
      <c r="C64" s="9">
        <v>41337</v>
      </c>
      <c r="D64">
        <v>7.25</v>
      </c>
      <c r="G64" s="5">
        <f t="shared" si="2"/>
        <v>3</v>
      </c>
      <c r="H64" s="5">
        <f t="shared" si="3"/>
        <v>2018</v>
      </c>
      <c r="I64" s="10">
        <v>43160</v>
      </c>
      <c r="J64" s="12">
        <f t="shared" si="4"/>
        <v>6.669354838709677</v>
      </c>
    </row>
    <row r="65" spans="1:10" x14ac:dyDescent="0.25">
      <c r="A65" s="5">
        <f t="shared" si="0"/>
        <v>3</v>
      </c>
      <c r="B65" s="5">
        <f t="shared" si="1"/>
        <v>2013</v>
      </c>
      <c r="C65" s="9">
        <v>41338</v>
      </c>
      <c r="D65">
        <v>7.25</v>
      </c>
      <c r="G65" s="5">
        <f t="shared" si="2"/>
        <v>4</v>
      </c>
      <c r="H65" s="5">
        <f t="shared" si="3"/>
        <v>2018</v>
      </c>
      <c r="I65" s="10">
        <v>43191</v>
      </c>
      <c r="J65" s="12">
        <f t="shared" si="4"/>
        <v>6.5</v>
      </c>
    </row>
    <row r="66" spans="1:10" x14ac:dyDescent="0.25">
      <c r="A66" s="5">
        <f t="shared" si="0"/>
        <v>3</v>
      </c>
      <c r="B66" s="5">
        <f t="shared" si="1"/>
        <v>2013</v>
      </c>
      <c r="C66" s="9">
        <v>41339</v>
      </c>
      <c r="D66">
        <v>7.25</v>
      </c>
      <c r="G66" s="5">
        <f t="shared" si="2"/>
        <v>5</v>
      </c>
      <c r="H66" s="5">
        <f t="shared" si="3"/>
        <v>2018</v>
      </c>
      <c r="I66" s="10">
        <v>43221</v>
      </c>
      <c r="J66" s="12">
        <f t="shared" si="4"/>
        <v>6.5</v>
      </c>
    </row>
    <row r="67" spans="1:10" x14ac:dyDescent="0.25">
      <c r="A67" s="5">
        <f t="shared" ref="A67:A130" si="5">MONTH(C67)</f>
        <v>3</v>
      </c>
      <c r="B67" s="5">
        <f t="shared" ref="B67:B130" si="6">YEAR(C67)</f>
        <v>2013</v>
      </c>
      <c r="C67" s="9">
        <v>41340</v>
      </c>
      <c r="D67">
        <v>7.25</v>
      </c>
      <c r="G67" s="5">
        <f t="shared" ref="G67:G130" si="7">MONTH(I67)</f>
        <v>6</v>
      </c>
      <c r="H67" s="5">
        <f t="shared" ref="H67:H130" si="8">YEAR(I67)</f>
        <v>2018</v>
      </c>
      <c r="I67" s="10">
        <v>43252</v>
      </c>
      <c r="J67" s="12">
        <f t="shared" ref="J67:J130" si="9">AVERAGEIFS(D:D,A:A,G67,B:B,H67)</f>
        <v>6.5</v>
      </c>
    </row>
    <row r="68" spans="1:10" x14ac:dyDescent="0.25">
      <c r="A68" s="5">
        <f t="shared" si="5"/>
        <v>3</v>
      </c>
      <c r="B68" s="5">
        <f t="shared" si="6"/>
        <v>2013</v>
      </c>
      <c r="C68" s="9">
        <v>41341</v>
      </c>
      <c r="D68">
        <v>7.25</v>
      </c>
      <c r="G68" s="5">
        <f t="shared" si="7"/>
        <v>7</v>
      </c>
      <c r="H68" s="5">
        <f t="shared" si="8"/>
        <v>2018</v>
      </c>
      <c r="I68" s="10">
        <v>43282</v>
      </c>
      <c r="J68" s="12">
        <f t="shared" si="9"/>
        <v>6.5</v>
      </c>
    </row>
    <row r="69" spans="1:10" x14ac:dyDescent="0.25">
      <c r="A69" s="5">
        <f t="shared" si="5"/>
        <v>3</v>
      </c>
      <c r="B69" s="5">
        <f t="shared" si="6"/>
        <v>2013</v>
      </c>
      <c r="C69" s="9">
        <v>41342</v>
      </c>
      <c r="D69">
        <v>7.25</v>
      </c>
      <c r="G69" s="5">
        <f t="shared" si="7"/>
        <v>8</v>
      </c>
      <c r="H69" s="5">
        <f t="shared" si="8"/>
        <v>2018</v>
      </c>
      <c r="I69" s="10">
        <v>43313</v>
      </c>
      <c r="J69" s="12">
        <f t="shared" si="9"/>
        <v>6.5</v>
      </c>
    </row>
    <row r="70" spans="1:10" x14ac:dyDescent="0.25">
      <c r="A70" s="5">
        <f t="shared" si="5"/>
        <v>3</v>
      </c>
      <c r="B70" s="5">
        <f t="shared" si="6"/>
        <v>2013</v>
      </c>
      <c r="C70" s="9">
        <v>41343</v>
      </c>
      <c r="D70">
        <v>7.25</v>
      </c>
      <c r="G70" s="5">
        <f t="shared" si="7"/>
        <v>9</v>
      </c>
      <c r="H70" s="5">
        <f t="shared" si="8"/>
        <v>2018</v>
      </c>
      <c r="I70" s="10">
        <v>43344</v>
      </c>
      <c r="J70" s="12">
        <f t="shared" si="9"/>
        <v>6.5</v>
      </c>
    </row>
    <row r="71" spans="1:10" x14ac:dyDescent="0.25">
      <c r="A71" s="5">
        <f t="shared" si="5"/>
        <v>3</v>
      </c>
      <c r="B71" s="5">
        <f t="shared" si="6"/>
        <v>2013</v>
      </c>
      <c r="C71" s="9">
        <v>41344</v>
      </c>
      <c r="D71">
        <v>7.25</v>
      </c>
      <c r="G71" s="5">
        <f t="shared" si="7"/>
        <v>10</v>
      </c>
      <c r="H71" s="5">
        <f t="shared" si="8"/>
        <v>2018</v>
      </c>
      <c r="I71" s="10">
        <v>43374</v>
      </c>
      <c r="J71" s="12">
        <f t="shared" si="9"/>
        <v>6.5</v>
      </c>
    </row>
    <row r="72" spans="1:10" x14ac:dyDescent="0.25">
      <c r="A72" s="5">
        <f t="shared" si="5"/>
        <v>3</v>
      </c>
      <c r="B72" s="5">
        <f t="shared" si="6"/>
        <v>2013</v>
      </c>
      <c r="C72" s="9">
        <v>41345</v>
      </c>
      <c r="D72">
        <v>7.25</v>
      </c>
      <c r="G72" s="5">
        <f t="shared" si="7"/>
        <v>11</v>
      </c>
      <c r="H72" s="5">
        <f t="shared" si="8"/>
        <v>2018</v>
      </c>
      <c r="I72" s="10">
        <v>43405</v>
      </c>
      <c r="J72" s="12">
        <f t="shared" si="9"/>
        <v>6.5</v>
      </c>
    </row>
    <row r="73" spans="1:10" x14ac:dyDescent="0.25">
      <c r="A73" s="5">
        <f t="shared" si="5"/>
        <v>3</v>
      </c>
      <c r="B73" s="5">
        <f t="shared" si="6"/>
        <v>2013</v>
      </c>
      <c r="C73" s="9">
        <v>41346</v>
      </c>
      <c r="D73">
        <v>7.25</v>
      </c>
      <c r="G73" s="5">
        <f t="shared" si="7"/>
        <v>12</v>
      </c>
      <c r="H73" s="5">
        <f t="shared" si="8"/>
        <v>2018</v>
      </c>
      <c r="I73" s="10">
        <v>43435</v>
      </c>
      <c r="J73" s="12">
        <f t="shared" si="9"/>
        <v>6.5</v>
      </c>
    </row>
    <row r="74" spans="1:10" x14ac:dyDescent="0.25">
      <c r="A74" s="5">
        <f t="shared" si="5"/>
        <v>3</v>
      </c>
      <c r="B74" s="5">
        <f t="shared" si="6"/>
        <v>2013</v>
      </c>
      <c r="C74" s="9">
        <v>41347</v>
      </c>
      <c r="D74">
        <v>7.25</v>
      </c>
      <c r="G74" s="5">
        <f t="shared" si="7"/>
        <v>1</v>
      </c>
      <c r="H74" s="5">
        <f t="shared" si="8"/>
        <v>2019</v>
      </c>
      <c r="I74" s="10">
        <v>43466</v>
      </c>
      <c r="J74" s="12">
        <f t="shared" si="9"/>
        <v>6.5</v>
      </c>
    </row>
    <row r="75" spans="1:10" x14ac:dyDescent="0.25">
      <c r="A75" s="5">
        <f t="shared" si="5"/>
        <v>3</v>
      </c>
      <c r="B75" s="5">
        <f t="shared" si="6"/>
        <v>2013</v>
      </c>
      <c r="C75" s="9">
        <v>41348</v>
      </c>
      <c r="D75">
        <v>7.25</v>
      </c>
      <c r="G75" s="5">
        <f t="shared" si="7"/>
        <v>2</v>
      </c>
      <c r="H75" s="5">
        <f t="shared" si="8"/>
        <v>2019</v>
      </c>
      <c r="I75" s="10">
        <v>43497</v>
      </c>
      <c r="J75" s="12">
        <f t="shared" si="9"/>
        <v>6.5</v>
      </c>
    </row>
    <row r="76" spans="1:10" x14ac:dyDescent="0.25">
      <c r="A76" s="5">
        <f t="shared" si="5"/>
        <v>3</v>
      </c>
      <c r="B76" s="5">
        <f t="shared" si="6"/>
        <v>2013</v>
      </c>
      <c r="C76" s="9">
        <v>41349</v>
      </c>
      <c r="D76">
        <v>7.25</v>
      </c>
      <c r="G76" s="5">
        <f t="shared" si="7"/>
        <v>3</v>
      </c>
      <c r="H76" s="5">
        <f t="shared" si="8"/>
        <v>2019</v>
      </c>
      <c r="I76" s="10">
        <v>43525</v>
      </c>
      <c r="J76" s="12">
        <f t="shared" si="9"/>
        <v>6.5</v>
      </c>
    </row>
    <row r="77" spans="1:10" x14ac:dyDescent="0.25">
      <c r="A77" s="5">
        <f t="shared" si="5"/>
        <v>3</v>
      </c>
      <c r="B77" s="5">
        <f t="shared" si="6"/>
        <v>2013</v>
      </c>
      <c r="C77" s="9">
        <v>41350</v>
      </c>
      <c r="D77">
        <v>7.25</v>
      </c>
      <c r="G77" s="5">
        <f t="shared" si="7"/>
        <v>4</v>
      </c>
      <c r="H77" s="5">
        <f t="shared" si="8"/>
        <v>2019</v>
      </c>
      <c r="I77" s="10">
        <v>43556</v>
      </c>
      <c r="J77" s="12">
        <f t="shared" si="9"/>
        <v>6.5</v>
      </c>
    </row>
    <row r="78" spans="1:10" x14ac:dyDescent="0.25">
      <c r="A78" s="5">
        <f t="shared" si="5"/>
        <v>3</v>
      </c>
      <c r="B78" s="5">
        <f t="shared" si="6"/>
        <v>2013</v>
      </c>
      <c r="C78" s="9">
        <v>41351</v>
      </c>
      <c r="D78">
        <v>7.25</v>
      </c>
      <c r="G78" s="5">
        <f t="shared" si="7"/>
        <v>5</v>
      </c>
      <c r="H78" s="5">
        <f t="shared" si="8"/>
        <v>2019</v>
      </c>
      <c r="I78" s="10">
        <v>43586</v>
      </c>
      <c r="J78" s="12">
        <f t="shared" si="9"/>
        <v>6.5</v>
      </c>
    </row>
    <row r="79" spans="1:10" x14ac:dyDescent="0.25">
      <c r="A79" s="5">
        <f t="shared" si="5"/>
        <v>3</v>
      </c>
      <c r="B79" s="5">
        <f t="shared" si="6"/>
        <v>2013</v>
      </c>
      <c r="C79" s="9">
        <v>41352</v>
      </c>
      <c r="D79">
        <v>7.25</v>
      </c>
      <c r="G79" s="5">
        <f t="shared" si="7"/>
        <v>6</v>
      </c>
      <c r="H79" s="5">
        <f t="shared" si="8"/>
        <v>2019</v>
      </c>
      <c r="I79" s="10">
        <v>43617</v>
      </c>
      <c r="J79" s="12">
        <f t="shared" si="9"/>
        <v>6.5</v>
      </c>
    </row>
    <row r="80" spans="1:10" x14ac:dyDescent="0.25">
      <c r="A80" s="5">
        <f t="shared" si="5"/>
        <v>3</v>
      </c>
      <c r="B80" s="5">
        <f t="shared" si="6"/>
        <v>2013</v>
      </c>
      <c r="C80" s="9">
        <v>41353</v>
      </c>
      <c r="D80">
        <v>7.25</v>
      </c>
      <c r="G80" s="5">
        <f t="shared" si="7"/>
        <v>7</v>
      </c>
      <c r="H80" s="5">
        <f t="shared" si="8"/>
        <v>2019</v>
      </c>
      <c r="I80" s="10">
        <v>43647</v>
      </c>
      <c r="J80" s="12">
        <f t="shared" si="9"/>
        <v>6.5</v>
      </c>
    </row>
    <row r="81" spans="1:10" x14ac:dyDescent="0.25">
      <c r="A81" s="5">
        <f t="shared" si="5"/>
        <v>3</v>
      </c>
      <c r="B81" s="5">
        <f t="shared" si="6"/>
        <v>2013</v>
      </c>
      <c r="C81" s="9">
        <v>41354</v>
      </c>
      <c r="D81">
        <v>7.25</v>
      </c>
      <c r="G81" s="5">
        <f t="shared" si="7"/>
        <v>8</v>
      </c>
      <c r="H81" s="5">
        <f t="shared" si="8"/>
        <v>2019</v>
      </c>
      <c r="I81" s="10">
        <v>43678</v>
      </c>
      <c r="J81" s="12">
        <f t="shared" si="9"/>
        <v>6</v>
      </c>
    </row>
    <row r="82" spans="1:10" x14ac:dyDescent="0.25">
      <c r="A82" s="5">
        <f t="shared" si="5"/>
        <v>3</v>
      </c>
      <c r="B82" s="5">
        <f t="shared" si="6"/>
        <v>2013</v>
      </c>
      <c r="C82" s="9">
        <v>41355</v>
      </c>
      <c r="D82">
        <v>7.25</v>
      </c>
      <c r="G82" s="5">
        <f t="shared" si="7"/>
        <v>9</v>
      </c>
      <c r="H82" s="5">
        <f t="shared" si="8"/>
        <v>2019</v>
      </c>
      <c r="I82" s="10">
        <v>43709</v>
      </c>
      <c r="J82" s="12">
        <f t="shared" si="9"/>
        <v>5.8</v>
      </c>
    </row>
    <row r="83" spans="1:10" x14ac:dyDescent="0.25">
      <c r="A83" s="5">
        <f t="shared" si="5"/>
        <v>3</v>
      </c>
      <c r="B83" s="5">
        <f t="shared" si="6"/>
        <v>2013</v>
      </c>
      <c r="C83" s="9">
        <v>41356</v>
      </c>
      <c r="D83">
        <v>7.25</v>
      </c>
      <c r="G83" s="5">
        <f t="shared" si="7"/>
        <v>10</v>
      </c>
      <c r="H83" s="5">
        <f t="shared" si="8"/>
        <v>2019</v>
      </c>
      <c r="I83" s="10">
        <v>43739</v>
      </c>
      <c r="J83" s="12">
        <f t="shared" si="9"/>
        <v>5.4838709677419351</v>
      </c>
    </row>
    <row r="84" spans="1:10" x14ac:dyDescent="0.25">
      <c r="A84" s="5">
        <f t="shared" si="5"/>
        <v>3</v>
      </c>
      <c r="B84" s="5">
        <f t="shared" si="6"/>
        <v>2013</v>
      </c>
      <c r="C84" s="9">
        <v>41357</v>
      </c>
      <c r="D84">
        <v>7.25</v>
      </c>
      <c r="G84" s="5">
        <f t="shared" si="7"/>
        <v>11</v>
      </c>
      <c r="H84" s="5">
        <f t="shared" si="8"/>
        <v>2019</v>
      </c>
      <c r="I84" s="10">
        <v>43770</v>
      </c>
      <c r="J84" s="12">
        <f t="shared" si="9"/>
        <v>5</v>
      </c>
    </row>
    <row r="85" spans="1:10" x14ac:dyDescent="0.25">
      <c r="A85" s="5">
        <f t="shared" si="5"/>
        <v>3</v>
      </c>
      <c r="B85" s="5">
        <f t="shared" si="6"/>
        <v>2013</v>
      </c>
      <c r="C85" s="9">
        <v>41358</v>
      </c>
      <c r="D85">
        <v>7.25</v>
      </c>
      <c r="G85" s="5">
        <f t="shared" si="7"/>
        <v>12</v>
      </c>
      <c r="H85" s="5">
        <f t="shared" si="8"/>
        <v>2019</v>
      </c>
      <c r="I85" s="10">
        <v>43800</v>
      </c>
      <c r="J85" s="12">
        <f t="shared" si="9"/>
        <v>4.67741935483871</v>
      </c>
    </row>
    <row r="86" spans="1:10" x14ac:dyDescent="0.25">
      <c r="A86" s="5">
        <f t="shared" si="5"/>
        <v>3</v>
      </c>
      <c r="B86" s="5">
        <f t="shared" si="6"/>
        <v>2013</v>
      </c>
      <c r="C86" s="9">
        <v>41359</v>
      </c>
      <c r="D86">
        <v>7.25</v>
      </c>
      <c r="G86" s="5">
        <f t="shared" si="7"/>
        <v>1</v>
      </c>
      <c r="H86" s="5">
        <f t="shared" si="8"/>
        <v>2020</v>
      </c>
      <c r="I86" s="10">
        <v>43831</v>
      </c>
      <c r="J86" s="12">
        <f t="shared" si="9"/>
        <v>4.5</v>
      </c>
    </row>
    <row r="87" spans="1:10" x14ac:dyDescent="0.25">
      <c r="A87" s="5">
        <f t="shared" si="5"/>
        <v>3</v>
      </c>
      <c r="B87" s="5">
        <f t="shared" si="6"/>
        <v>2013</v>
      </c>
      <c r="C87" s="9">
        <v>41360</v>
      </c>
      <c r="D87">
        <v>7.25</v>
      </c>
      <c r="G87" s="5">
        <f t="shared" si="7"/>
        <v>2</v>
      </c>
      <c r="H87" s="5">
        <f t="shared" si="8"/>
        <v>2020</v>
      </c>
      <c r="I87" s="10">
        <v>43862</v>
      </c>
      <c r="J87" s="12">
        <f t="shared" si="9"/>
        <v>4.2931034482758621</v>
      </c>
    </row>
    <row r="88" spans="1:10" x14ac:dyDescent="0.25">
      <c r="A88" s="5">
        <f t="shared" si="5"/>
        <v>3</v>
      </c>
      <c r="B88" s="5">
        <f t="shared" si="6"/>
        <v>2013</v>
      </c>
      <c r="C88" s="9">
        <v>41361</v>
      </c>
      <c r="D88">
        <v>7.25</v>
      </c>
      <c r="G88" s="5">
        <f t="shared" si="7"/>
        <v>3</v>
      </c>
      <c r="H88" s="5">
        <f t="shared" si="8"/>
        <v>2020</v>
      </c>
      <c r="I88" s="10">
        <v>43891</v>
      </c>
      <c r="J88" s="12">
        <f t="shared" si="9"/>
        <v>4.040322580645161</v>
      </c>
    </row>
    <row r="89" spans="1:10" x14ac:dyDescent="0.25">
      <c r="A89" s="5">
        <f t="shared" si="5"/>
        <v>3</v>
      </c>
      <c r="B89" s="5">
        <f t="shared" si="6"/>
        <v>2013</v>
      </c>
      <c r="C89" s="9">
        <v>41362</v>
      </c>
      <c r="D89">
        <v>7.25</v>
      </c>
      <c r="G89" s="5">
        <f t="shared" si="7"/>
        <v>4</v>
      </c>
      <c r="H89" s="5">
        <f t="shared" si="8"/>
        <v>2020</v>
      </c>
      <c r="I89" s="10">
        <v>43922</v>
      </c>
      <c r="J89" s="12">
        <f t="shared" si="9"/>
        <v>3.75</v>
      </c>
    </row>
    <row r="90" spans="1:10" x14ac:dyDescent="0.25">
      <c r="A90" s="5">
        <f t="shared" si="5"/>
        <v>3</v>
      </c>
      <c r="B90" s="5">
        <f t="shared" si="6"/>
        <v>2013</v>
      </c>
      <c r="C90" s="9">
        <v>41363</v>
      </c>
      <c r="D90">
        <v>7.25</v>
      </c>
      <c r="G90" s="5">
        <f t="shared" si="7"/>
        <v>5</v>
      </c>
      <c r="H90" s="5">
        <f t="shared" si="8"/>
        <v>2020</v>
      </c>
      <c r="I90" s="10">
        <v>43952</v>
      </c>
      <c r="J90" s="12">
        <f t="shared" si="9"/>
        <v>3.1451612903225805</v>
      </c>
    </row>
    <row r="91" spans="1:10" x14ac:dyDescent="0.25">
      <c r="A91" s="5">
        <f t="shared" si="5"/>
        <v>3</v>
      </c>
      <c r="B91" s="5">
        <f t="shared" si="6"/>
        <v>2013</v>
      </c>
      <c r="C91" s="9">
        <v>41364</v>
      </c>
      <c r="D91">
        <v>7.25</v>
      </c>
      <c r="G91" s="5">
        <f t="shared" si="7"/>
        <v>6</v>
      </c>
      <c r="H91" s="5">
        <f t="shared" si="8"/>
        <v>2020</v>
      </c>
      <c r="I91" s="10">
        <v>43983</v>
      </c>
      <c r="J91" s="12">
        <f t="shared" si="9"/>
        <v>2.6749999999999998</v>
      </c>
    </row>
    <row r="92" spans="1:10" x14ac:dyDescent="0.25">
      <c r="A92" s="5">
        <f t="shared" si="5"/>
        <v>4</v>
      </c>
      <c r="B92" s="5">
        <f t="shared" si="6"/>
        <v>2013</v>
      </c>
      <c r="C92" s="9">
        <v>41365</v>
      </c>
      <c r="D92">
        <v>7.25</v>
      </c>
      <c r="G92" s="5">
        <f t="shared" si="7"/>
        <v>7</v>
      </c>
      <c r="H92" s="5">
        <f t="shared" si="8"/>
        <v>2020</v>
      </c>
      <c r="I92" s="10">
        <v>44013</v>
      </c>
      <c r="J92" s="12">
        <f t="shared" si="9"/>
        <v>2.25</v>
      </c>
    </row>
    <row r="93" spans="1:10" x14ac:dyDescent="0.25">
      <c r="A93" s="5">
        <f t="shared" si="5"/>
        <v>4</v>
      </c>
      <c r="B93" s="5">
        <f t="shared" si="6"/>
        <v>2013</v>
      </c>
      <c r="C93" s="9">
        <v>41366</v>
      </c>
      <c r="D93">
        <v>7.25</v>
      </c>
      <c r="G93" s="5">
        <f t="shared" si="7"/>
        <v>8</v>
      </c>
      <c r="H93" s="5">
        <f t="shared" si="8"/>
        <v>2020</v>
      </c>
      <c r="I93" s="10">
        <v>44044</v>
      </c>
      <c r="J93" s="12">
        <f t="shared" si="9"/>
        <v>2.0403225806451615</v>
      </c>
    </row>
    <row r="94" spans="1:10" x14ac:dyDescent="0.25">
      <c r="A94" s="5">
        <f t="shared" si="5"/>
        <v>4</v>
      </c>
      <c r="B94" s="5">
        <f t="shared" si="6"/>
        <v>2013</v>
      </c>
      <c r="C94" s="9">
        <v>41367</v>
      </c>
      <c r="D94">
        <v>7.25</v>
      </c>
      <c r="G94" s="5">
        <f t="shared" si="7"/>
        <v>9</v>
      </c>
      <c r="H94" s="5">
        <f t="shared" si="8"/>
        <v>2020</v>
      </c>
      <c r="I94" s="10">
        <v>44075</v>
      </c>
      <c r="J94" s="12">
        <f t="shared" si="9"/>
        <v>2</v>
      </c>
    </row>
    <row r="95" spans="1:10" x14ac:dyDescent="0.25">
      <c r="A95" s="5">
        <f t="shared" si="5"/>
        <v>4</v>
      </c>
      <c r="B95" s="5">
        <f t="shared" si="6"/>
        <v>2013</v>
      </c>
      <c r="C95" s="9">
        <v>41368</v>
      </c>
      <c r="D95">
        <v>7.25</v>
      </c>
      <c r="G95" s="5">
        <f t="shared" si="7"/>
        <v>10</v>
      </c>
      <c r="H95" s="5">
        <f t="shared" si="8"/>
        <v>2020</v>
      </c>
      <c r="I95" s="10">
        <v>44105</v>
      </c>
      <c r="J95" s="12">
        <f t="shared" si="9"/>
        <v>2</v>
      </c>
    </row>
    <row r="96" spans="1:10" x14ac:dyDescent="0.25">
      <c r="A96" s="5">
        <f t="shared" si="5"/>
        <v>4</v>
      </c>
      <c r="B96" s="5">
        <f t="shared" si="6"/>
        <v>2013</v>
      </c>
      <c r="C96" s="9">
        <v>41369</v>
      </c>
      <c r="D96">
        <v>7.25</v>
      </c>
      <c r="G96" s="5">
        <f t="shared" si="7"/>
        <v>11</v>
      </c>
      <c r="H96" s="5">
        <f t="shared" si="8"/>
        <v>2020</v>
      </c>
      <c r="I96" s="10">
        <v>44136</v>
      </c>
      <c r="J96" s="12">
        <f t="shared" si="9"/>
        <v>2</v>
      </c>
    </row>
    <row r="97" spans="1:10" x14ac:dyDescent="0.25">
      <c r="A97" s="5">
        <f t="shared" si="5"/>
        <v>4</v>
      </c>
      <c r="B97" s="5">
        <f t="shared" si="6"/>
        <v>2013</v>
      </c>
      <c r="C97" s="9">
        <v>41370</v>
      </c>
      <c r="D97">
        <v>7.25</v>
      </c>
      <c r="G97" s="5">
        <f t="shared" si="7"/>
        <v>12</v>
      </c>
      <c r="H97" s="5">
        <f t="shared" si="8"/>
        <v>2020</v>
      </c>
      <c r="I97" s="10">
        <v>44166</v>
      </c>
      <c r="J97" s="12">
        <f t="shared" si="9"/>
        <v>2</v>
      </c>
    </row>
    <row r="98" spans="1:10" x14ac:dyDescent="0.25">
      <c r="A98" s="5">
        <f t="shared" si="5"/>
        <v>4</v>
      </c>
      <c r="B98" s="5">
        <f t="shared" si="6"/>
        <v>2013</v>
      </c>
      <c r="C98" s="9">
        <v>41371</v>
      </c>
      <c r="D98">
        <v>7.25</v>
      </c>
      <c r="G98" s="5">
        <f t="shared" si="7"/>
        <v>1</v>
      </c>
      <c r="H98" s="5">
        <f t="shared" si="8"/>
        <v>2021</v>
      </c>
      <c r="I98" s="10">
        <v>44197</v>
      </c>
      <c r="J98" s="12">
        <f t="shared" si="9"/>
        <v>2</v>
      </c>
    </row>
    <row r="99" spans="1:10" x14ac:dyDescent="0.25">
      <c r="A99" s="5">
        <f t="shared" si="5"/>
        <v>4</v>
      </c>
      <c r="B99" s="5">
        <f t="shared" si="6"/>
        <v>2013</v>
      </c>
      <c r="C99" s="9">
        <v>41372</v>
      </c>
      <c r="D99">
        <v>7.25</v>
      </c>
      <c r="G99" s="5">
        <f t="shared" si="7"/>
        <v>2</v>
      </c>
      <c r="H99" s="5">
        <f t="shared" si="8"/>
        <v>2021</v>
      </c>
      <c r="I99" s="10">
        <v>44228</v>
      </c>
      <c r="J99" s="12">
        <f t="shared" si="9"/>
        <v>2</v>
      </c>
    </row>
    <row r="100" spans="1:10" x14ac:dyDescent="0.25">
      <c r="A100" s="5">
        <f t="shared" si="5"/>
        <v>4</v>
      </c>
      <c r="B100" s="5">
        <f t="shared" si="6"/>
        <v>2013</v>
      </c>
      <c r="C100" s="9">
        <v>41373</v>
      </c>
      <c r="D100">
        <v>7.25</v>
      </c>
      <c r="G100" s="5">
        <f t="shared" si="7"/>
        <v>3</v>
      </c>
      <c r="H100" s="5">
        <f t="shared" si="8"/>
        <v>2021</v>
      </c>
      <c r="I100" s="10">
        <v>44256</v>
      </c>
      <c r="J100" s="12">
        <f t="shared" si="9"/>
        <v>2.338709677419355</v>
      </c>
    </row>
    <row r="101" spans="1:10" x14ac:dyDescent="0.25">
      <c r="A101" s="5">
        <f t="shared" si="5"/>
        <v>4</v>
      </c>
      <c r="B101" s="5">
        <f t="shared" si="6"/>
        <v>2013</v>
      </c>
      <c r="C101" s="9">
        <v>41374</v>
      </c>
      <c r="D101">
        <v>7.25</v>
      </c>
      <c r="G101" s="5">
        <f t="shared" si="7"/>
        <v>4</v>
      </c>
      <c r="H101" s="5">
        <f t="shared" si="8"/>
        <v>2021</v>
      </c>
      <c r="I101" s="10">
        <v>44287</v>
      </c>
      <c r="J101" s="12">
        <f t="shared" si="9"/>
        <v>2.75</v>
      </c>
    </row>
    <row r="102" spans="1:10" x14ac:dyDescent="0.25">
      <c r="A102" s="5">
        <f t="shared" si="5"/>
        <v>4</v>
      </c>
      <c r="B102" s="5">
        <f t="shared" si="6"/>
        <v>2013</v>
      </c>
      <c r="C102" s="9">
        <v>41375</v>
      </c>
      <c r="D102">
        <v>7.25</v>
      </c>
      <c r="G102" s="5">
        <f t="shared" si="7"/>
        <v>5</v>
      </c>
      <c r="H102" s="5">
        <f t="shared" si="8"/>
        <v>2021</v>
      </c>
      <c r="I102" s="10">
        <v>44317</v>
      </c>
      <c r="J102" s="12">
        <f t="shared" si="9"/>
        <v>3.379032258064516</v>
      </c>
    </row>
    <row r="103" spans="1:10" x14ac:dyDescent="0.25">
      <c r="A103" s="5">
        <f t="shared" si="5"/>
        <v>4</v>
      </c>
      <c r="B103" s="5">
        <f t="shared" si="6"/>
        <v>2013</v>
      </c>
      <c r="C103" s="9">
        <v>41376</v>
      </c>
      <c r="D103">
        <v>7.25</v>
      </c>
      <c r="G103" s="5">
        <f t="shared" si="7"/>
        <v>6</v>
      </c>
      <c r="H103" s="5">
        <f t="shared" si="8"/>
        <v>2021</v>
      </c>
      <c r="I103" s="10">
        <v>44348</v>
      </c>
      <c r="J103" s="12">
        <f t="shared" si="9"/>
        <v>3.85</v>
      </c>
    </row>
    <row r="104" spans="1:10" x14ac:dyDescent="0.25">
      <c r="A104" s="5">
        <f t="shared" si="5"/>
        <v>4</v>
      </c>
      <c r="B104" s="5">
        <f t="shared" si="6"/>
        <v>2013</v>
      </c>
      <c r="C104" s="9">
        <v>41377</v>
      </c>
      <c r="D104">
        <v>7.25</v>
      </c>
      <c r="G104" s="5">
        <f t="shared" si="7"/>
        <v>7</v>
      </c>
      <c r="H104" s="5">
        <f t="shared" si="8"/>
        <v>2021</v>
      </c>
      <c r="I104" s="10">
        <v>44378</v>
      </c>
      <c r="J104" s="12">
        <f t="shared" si="9"/>
        <v>4.25</v>
      </c>
    </row>
    <row r="105" spans="1:10" x14ac:dyDescent="0.25">
      <c r="A105" s="5">
        <f t="shared" si="5"/>
        <v>4</v>
      </c>
      <c r="B105" s="5">
        <f t="shared" si="6"/>
        <v>2013</v>
      </c>
      <c r="C105" s="9">
        <v>41378</v>
      </c>
      <c r="D105">
        <v>7.25</v>
      </c>
      <c r="G105" s="5">
        <f t="shared" si="7"/>
        <v>8</v>
      </c>
      <c r="H105" s="5">
        <f t="shared" si="8"/>
        <v>2021</v>
      </c>
      <c r="I105" s="10">
        <v>44409</v>
      </c>
      <c r="J105" s="12">
        <f t="shared" si="9"/>
        <v>5.120967741935484</v>
      </c>
    </row>
    <row r="106" spans="1:10" x14ac:dyDescent="0.25">
      <c r="A106" s="5">
        <f t="shared" si="5"/>
        <v>4</v>
      </c>
      <c r="B106" s="5">
        <f t="shared" si="6"/>
        <v>2013</v>
      </c>
      <c r="C106" s="9">
        <v>41379</v>
      </c>
      <c r="D106">
        <v>7.25</v>
      </c>
      <c r="G106" s="5">
        <f t="shared" si="7"/>
        <v>9</v>
      </c>
      <c r="H106" s="5">
        <f t="shared" si="8"/>
        <v>2021</v>
      </c>
      <c r="I106" s="10">
        <v>44440</v>
      </c>
      <c r="J106" s="12">
        <f t="shared" si="9"/>
        <v>5.5166666666666666</v>
      </c>
    </row>
    <row r="107" spans="1:10" x14ac:dyDescent="0.25">
      <c r="A107" s="5">
        <f t="shared" si="5"/>
        <v>4</v>
      </c>
      <c r="B107" s="5">
        <f t="shared" si="6"/>
        <v>2013</v>
      </c>
      <c r="C107" s="9">
        <v>41380</v>
      </c>
      <c r="D107">
        <v>7.25</v>
      </c>
      <c r="G107" s="5">
        <f t="shared" si="7"/>
        <v>10</v>
      </c>
      <c r="H107" s="5">
        <f t="shared" si="8"/>
        <v>2021</v>
      </c>
      <c r="I107" s="10">
        <v>44470</v>
      </c>
      <c r="J107" s="12">
        <f t="shared" si="9"/>
        <v>6.443548387096774</v>
      </c>
    </row>
    <row r="108" spans="1:10" x14ac:dyDescent="0.25">
      <c r="A108" s="5">
        <f t="shared" si="5"/>
        <v>4</v>
      </c>
      <c r="B108" s="5">
        <f t="shared" si="6"/>
        <v>2013</v>
      </c>
      <c r="C108" s="9">
        <v>41381</v>
      </c>
      <c r="D108">
        <v>7.25</v>
      </c>
      <c r="G108" s="5">
        <f t="shared" si="7"/>
        <v>11</v>
      </c>
      <c r="H108" s="5">
        <f t="shared" si="8"/>
        <v>2021</v>
      </c>
      <c r="I108" s="10">
        <v>44501</v>
      </c>
      <c r="J108" s="12">
        <f t="shared" si="9"/>
        <v>7.75</v>
      </c>
    </row>
    <row r="109" spans="1:10" x14ac:dyDescent="0.25">
      <c r="A109" s="5">
        <f t="shared" si="5"/>
        <v>4</v>
      </c>
      <c r="B109" s="5">
        <f t="shared" si="6"/>
        <v>2013</v>
      </c>
      <c r="C109" s="9">
        <v>41382</v>
      </c>
      <c r="D109">
        <v>7.5</v>
      </c>
      <c r="G109" s="5">
        <f t="shared" si="7"/>
        <v>12</v>
      </c>
      <c r="H109" s="5">
        <f t="shared" si="8"/>
        <v>2021</v>
      </c>
      <c r="I109" s="10">
        <v>44531</v>
      </c>
      <c r="J109" s="12">
        <f t="shared" si="9"/>
        <v>8.862903225806452</v>
      </c>
    </row>
    <row r="110" spans="1:10" x14ac:dyDescent="0.25">
      <c r="A110" s="5">
        <f t="shared" si="5"/>
        <v>4</v>
      </c>
      <c r="B110" s="5">
        <f t="shared" si="6"/>
        <v>2013</v>
      </c>
      <c r="C110" s="9">
        <v>41383</v>
      </c>
      <c r="D110">
        <v>7.5</v>
      </c>
      <c r="G110" s="5">
        <f t="shared" si="7"/>
        <v>1</v>
      </c>
      <c r="H110" s="5">
        <f t="shared" si="8"/>
        <v>2022</v>
      </c>
      <c r="I110" s="10">
        <v>44562</v>
      </c>
      <c r="J110" s="12">
        <f t="shared" si="9"/>
        <v>9.25</v>
      </c>
    </row>
    <row r="111" spans="1:10" x14ac:dyDescent="0.25">
      <c r="A111" s="5">
        <f t="shared" si="5"/>
        <v>4</v>
      </c>
      <c r="B111" s="5">
        <f t="shared" si="6"/>
        <v>2013</v>
      </c>
      <c r="C111" s="9">
        <v>41384</v>
      </c>
      <c r="D111">
        <v>7.5</v>
      </c>
      <c r="G111" s="5">
        <f t="shared" si="7"/>
        <v>2</v>
      </c>
      <c r="H111" s="5">
        <f t="shared" si="8"/>
        <v>2022</v>
      </c>
      <c r="I111" s="10">
        <v>44593</v>
      </c>
      <c r="J111" s="12">
        <f t="shared" si="9"/>
        <v>10.642857142857142</v>
      </c>
    </row>
    <row r="112" spans="1:10" x14ac:dyDescent="0.25">
      <c r="A112" s="5">
        <f t="shared" si="5"/>
        <v>4</v>
      </c>
      <c r="B112" s="5">
        <f t="shared" si="6"/>
        <v>2013</v>
      </c>
      <c r="C112" s="9">
        <v>41385</v>
      </c>
      <c r="D112">
        <v>7.5</v>
      </c>
      <c r="G112" s="5">
        <f t="shared" si="7"/>
        <v>3</v>
      </c>
      <c r="H112" s="5">
        <f t="shared" si="8"/>
        <v>2022</v>
      </c>
      <c r="I112" s="10">
        <v>44621</v>
      </c>
      <c r="J112" s="12">
        <f t="shared" si="9"/>
        <v>11.233870967741936</v>
      </c>
    </row>
    <row r="113" spans="1:10" x14ac:dyDescent="0.25">
      <c r="A113" s="5">
        <f t="shared" si="5"/>
        <v>4</v>
      </c>
      <c r="B113" s="5">
        <f t="shared" si="6"/>
        <v>2013</v>
      </c>
      <c r="C113" s="9">
        <v>41386</v>
      </c>
      <c r="D113">
        <v>7.5</v>
      </c>
      <c r="G113" s="5">
        <f t="shared" si="7"/>
        <v>4</v>
      </c>
      <c r="H113" s="5">
        <f t="shared" si="8"/>
        <v>2022</v>
      </c>
      <c r="I113" s="10">
        <v>44652</v>
      </c>
      <c r="J113" s="12">
        <f t="shared" si="9"/>
        <v>11.75</v>
      </c>
    </row>
    <row r="114" spans="1:10" x14ac:dyDescent="0.25">
      <c r="A114" s="5">
        <f t="shared" si="5"/>
        <v>4</v>
      </c>
      <c r="B114" s="5">
        <f t="shared" si="6"/>
        <v>2013</v>
      </c>
      <c r="C114" s="9">
        <v>41387</v>
      </c>
      <c r="D114">
        <v>7.5</v>
      </c>
      <c r="G114" s="5">
        <f t="shared" si="7"/>
        <v>5</v>
      </c>
      <c r="H114" s="5">
        <f t="shared" si="8"/>
        <v>2022</v>
      </c>
      <c r="I114" s="10">
        <v>44682</v>
      </c>
      <c r="J114" s="12">
        <f t="shared" si="9"/>
        <v>12.620967741935484</v>
      </c>
    </row>
    <row r="115" spans="1:10" x14ac:dyDescent="0.25">
      <c r="A115" s="5">
        <f t="shared" si="5"/>
        <v>4</v>
      </c>
      <c r="B115" s="5">
        <f t="shared" si="6"/>
        <v>2013</v>
      </c>
      <c r="C115" s="9">
        <v>41388</v>
      </c>
      <c r="D115">
        <v>7.5</v>
      </c>
      <c r="G115" s="5">
        <f t="shared" si="7"/>
        <v>6</v>
      </c>
      <c r="H115" s="5">
        <f t="shared" si="8"/>
        <v>2022</v>
      </c>
      <c r="I115" s="10">
        <v>44713</v>
      </c>
      <c r="J115" s="12">
        <f t="shared" si="9"/>
        <v>13</v>
      </c>
    </row>
    <row r="116" spans="1:10" x14ac:dyDescent="0.25">
      <c r="A116" s="5">
        <f t="shared" si="5"/>
        <v>4</v>
      </c>
      <c r="B116" s="5">
        <f t="shared" si="6"/>
        <v>2013</v>
      </c>
      <c r="C116" s="9">
        <v>41389</v>
      </c>
      <c r="D116">
        <v>7.5</v>
      </c>
      <c r="G116" s="5">
        <f t="shared" si="7"/>
        <v>7</v>
      </c>
      <c r="H116" s="5">
        <f t="shared" si="8"/>
        <v>2022</v>
      </c>
      <c r="I116" s="10">
        <v>44743</v>
      </c>
      <c r="J116" s="12">
        <f t="shared" si="9"/>
        <v>13.25</v>
      </c>
    </row>
    <row r="117" spans="1:10" x14ac:dyDescent="0.25">
      <c r="A117" s="5">
        <f t="shared" si="5"/>
        <v>4</v>
      </c>
      <c r="B117" s="5">
        <f t="shared" si="6"/>
        <v>2013</v>
      </c>
      <c r="C117" s="9">
        <v>41390</v>
      </c>
      <c r="D117">
        <v>7.5</v>
      </c>
      <c r="G117" s="5">
        <f t="shared" si="7"/>
        <v>8</v>
      </c>
      <c r="H117" s="5">
        <f t="shared" si="8"/>
        <v>2022</v>
      </c>
      <c r="I117" s="10">
        <v>44774</v>
      </c>
      <c r="J117" s="12">
        <f t="shared" si="9"/>
        <v>13.701612903225806</v>
      </c>
    </row>
    <row r="118" spans="1:10" x14ac:dyDescent="0.25">
      <c r="A118" s="5">
        <f t="shared" si="5"/>
        <v>4</v>
      </c>
      <c r="B118" s="5">
        <f t="shared" si="6"/>
        <v>2013</v>
      </c>
      <c r="C118" s="9">
        <v>41391</v>
      </c>
      <c r="D118">
        <v>7.5</v>
      </c>
      <c r="G118" s="5">
        <f t="shared" si="7"/>
        <v>9</v>
      </c>
      <c r="H118" s="5">
        <f t="shared" si="8"/>
        <v>2022</v>
      </c>
      <c r="I118" s="10">
        <v>44805</v>
      </c>
      <c r="J118" s="12">
        <f t="shared" si="9"/>
        <v>13.75</v>
      </c>
    </row>
    <row r="119" spans="1:10" x14ac:dyDescent="0.25">
      <c r="A119" s="5">
        <f t="shared" si="5"/>
        <v>4</v>
      </c>
      <c r="B119" s="5">
        <f t="shared" si="6"/>
        <v>2013</v>
      </c>
      <c r="C119" s="9">
        <v>41392</v>
      </c>
      <c r="D119">
        <v>7.5</v>
      </c>
      <c r="G119" s="5">
        <f t="shared" si="7"/>
        <v>10</v>
      </c>
      <c r="H119" s="5">
        <f t="shared" si="8"/>
        <v>2022</v>
      </c>
      <c r="I119" s="10">
        <v>44835</v>
      </c>
      <c r="J119" s="12">
        <f t="shared" si="9"/>
        <v>13.75</v>
      </c>
    </row>
    <row r="120" spans="1:10" x14ac:dyDescent="0.25">
      <c r="A120" s="5">
        <f t="shared" si="5"/>
        <v>4</v>
      </c>
      <c r="B120" s="5">
        <f t="shared" si="6"/>
        <v>2013</v>
      </c>
      <c r="C120" s="9">
        <v>41393</v>
      </c>
      <c r="D120">
        <v>7.5</v>
      </c>
      <c r="G120" s="5">
        <f t="shared" si="7"/>
        <v>11</v>
      </c>
      <c r="H120" s="5">
        <f t="shared" si="8"/>
        <v>2022</v>
      </c>
      <c r="I120" s="10">
        <v>44866</v>
      </c>
      <c r="J120" s="12">
        <f t="shared" si="9"/>
        <v>13.75</v>
      </c>
    </row>
    <row r="121" spans="1:10" x14ac:dyDescent="0.25">
      <c r="A121" s="5">
        <f t="shared" si="5"/>
        <v>4</v>
      </c>
      <c r="B121" s="5">
        <f t="shared" si="6"/>
        <v>2013</v>
      </c>
      <c r="C121" s="9">
        <v>41394</v>
      </c>
      <c r="D121">
        <v>7.5</v>
      </c>
      <c r="G121" s="5">
        <f t="shared" si="7"/>
        <v>12</v>
      </c>
      <c r="H121" s="5">
        <f t="shared" si="8"/>
        <v>2022</v>
      </c>
      <c r="I121" s="10">
        <v>44896</v>
      </c>
      <c r="J121" s="12">
        <f t="shared" si="9"/>
        <v>13.75</v>
      </c>
    </row>
    <row r="122" spans="1:10" x14ac:dyDescent="0.25">
      <c r="A122" s="5">
        <f t="shared" si="5"/>
        <v>5</v>
      </c>
      <c r="B122" s="5">
        <f t="shared" si="6"/>
        <v>2013</v>
      </c>
      <c r="C122" s="9">
        <v>41395</v>
      </c>
      <c r="D122">
        <v>7.5</v>
      </c>
      <c r="G122" s="5">
        <f t="shared" si="7"/>
        <v>1</v>
      </c>
      <c r="H122" s="5">
        <f t="shared" si="8"/>
        <v>2023</v>
      </c>
      <c r="I122" s="10">
        <v>44927</v>
      </c>
      <c r="J122" s="12">
        <f t="shared" si="9"/>
        <v>13.75</v>
      </c>
    </row>
    <row r="123" spans="1:10" x14ac:dyDescent="0.25">
      <c r="A123" s="5">
        <f t="shared" si="5"/>
        <v>5</v>
      </c>
      <c r="B123" s="5">
        <f t="shared" si="6"/>
        <v>2013</v>
      </c>
      <c r="C123" s="9">
        <v>41396</v>
      </c>
      <c r="D123">
        <v>7.5</v>
      </c>
      <c r="G123" s="5">
        <f t="shared" si="7"/>
        <v>2</v>
      </c>
      <c r="H123" s="5">
        <f t="shared" si="8"/>
        <v>2023</v>
      </c>
      <c r="I123" s="10">
        <v>44958</v>
      </c>
      <c r="J123" s="12">
        <f t="shared" si="9"/>
        <v>13.75</v>
      </c>
    </row>
    <row r="124" spans="1:10" x14ac:dyDescent="0.25">
      <c r="A124" s="5">
        <f t="shared" si="5"/>
        <v>5</v>
      </c>
      <c r="B124" s="5">
        <f t="shared" si="6"/>
        <v>2013</v>
      </c>
      <c r="C124" s="9">
        <v>41397</v>
      </c>
      <c r="D124">
        <v>7.5</v>
      </c>
      <c r="G124" s="5">
        <f t="shared" si="7"/>
        <v>3</v>
      </c>
      <c r="H124" s="5">
        <f t="shared" si="8"/>
        <v>2023</v>
      </c>
      <c r="I124" s="10">
        <v>44986</v>
      </c>
      <c r="J124" s="12">
        <f t="shared" si="9"/>
        <v>13.75</v>
      </c>
    </row>
    <row r="125" spans="1:10" x14ac:dyDescent="0.25">
      <c r="A125" s="5">
        <f t="shared" si="5"/>
        <v>5</v>
      </c>
      <c r="B125" s="5">
        <f t="shared" si="6"/>
        <v>2013</v>
      </c>
      <c r="C125" s="9">
        <v>41398</v>
      </c>
      <c r="D125">
        <v>7.5</v>
      </c>
      <c r="G125" s="5">
        <f t="shared" si="7"/>
        <v>4</v>
      </c>
      <c r="H125" s="5">
        <f t="shared" si="8"/>
        <v>2023</v>
      </c>
      <c r="I125" s="10">
        <v>45017</v>
      </c>
      <c r="J125" s="12">
        <f t="shared" si="9"/>
        <v>13.75</v>
      </c>
    </row>
    <row r="126" spans="1:10" x14ac:dyDescent="0.25">
      <c r="A126" s="5">
        <f t="shared" si="5"/>
        <v>5</v>
      </c>
      <c r="B126" s="5">
        <f t="shared" si="6"/>
        <v>2013</v>
      </c>
      <c r="C126" s="9">
        <v>41399</v>
      </c>
      <c r="D126">
        <v>7.5</v>
      </c>
      <c r="G126" s="5">
        <f t="shared" si="7"/>
        <v>5</v>
      </c>
      <c r="H126" s="5">
        <f t="shared" si="8"/>
        <v>2023</v>
      </c>
      <c r="I126" s="10">
        <v>45047</v>
      </c>
      <c r="J126" s="12">
        <f t="shared" si="9"/>
        <v>13.75</v>
      </c>
    </row>
    <row r="127" spans="1:10" x14ac:dyDescent="0.25">
      <c r="A127" s="5">
        <f t="shared" si="5"/>
        <v>5</v>
      </c>
      <c r="B127" s="5">
        <f t="shared" si="6"/>
        <v>2013</v>
      </c>
      <c r="C127" s="9">
        <v>41400</v>
      </c>
      <c r="D127">
        <v>7.5</v>
      </c>
      <c r="G127" s="5">
        <f t="shared" si="7"/>
        <v>6</v>
      </c>
      <c r="H127" s="5">
        <f t="shared" si="8"/>
        <v>2023</v>
      </c>
      <c r="I127" s="10">
        <v>45078</v>
      </c>
      <c r="J127" s="12">
        <f t="shared" si="9"/>
        <v>13.75</v>
      </c>
    </row>
    <row r="128" spans="1:10" x14ac:dyDescent="0.25">
      <c r="A128" s="5">
        <f t="shared" si="5"/>
        <v>5</v>
      </c>
      <c r="B128" s="5">
        <f t="shared" si="6"/>
        <v>2013</v>
      </c>
      <c r="C128" s="9">
        <v>41401</v>
      </c>
      <c r="D128">
        <v>7.5</v>
      </c>
      <c r="G128" s="5">
        <f t="shared" si="7"/>
        <v>7</v>
      </c>
      <c r="H128" s="5">
        <f t="shared" si="8"/>
        <v>2023</v>
      </c>
      <c r="I128" s="10">
        <v>45108</v>
      </c>
      <c r="J128" s="12">
        <f t="shared" si="9"/>
        <v>13.75</v>
      </c>
    </row>
    <row r="129" spans="1:10" x14ac:dyDescent="0.25">
      <c r="A129" s="5">
        <f t="shared" si="5"/>
        <v>5</v>
      </c>
      <c r="B129" s="5">
        <f t="shared" si="6"/>
        <v>2013</v>
      </c>
      <c r="C129" s="9">
        <v>41402</v>
      </c>
      <c r="D129">
        <v>7.5</v>
      </c>
      <c r="G129" s="5">
        <f t="shared" si="7"/>
        <v>8</v>
      </c>
      <c r="H129" s="5">
        <f t="shared" si="8"/>
        <v>2023</v>
      </c>
      <c r="I129" s="10">
        <v>45139</v>
      </c>
      <c r="J129" s="12">
        <f t="shared" si="9"/>
        <v>13.28225806451613</v>
      </c>
    </row>
    <row r="130" spans="1:10" x14ac:dyDescent="0.25">
      <c r="A130" s="5">
        <f t="shared" si="5"/>
        <v>5</v>
      </c>
      <c r="B130" s="5">
        <f t="shared" si="6"/>
        <v>2013</v>
      </c>
      <c r="C130" s="9">
        <v>41403</v>
      </c>
      <c r="D130">
        <v>7.5</v>
      </c>
      <c r="G130" s="5">
        <f t="shared" si="7"/>
        <v>9</v>
      </c>
      <c r="H130" s="5">
        <f t="shared" si="8"/>
        <v>2023</v>
      </c>
      <c r="I130" s="10">
        <v>45170</v>
      </c>
      <c r="J130" s="12">
        <f t="shared" si="9"/>
        <v>13.083333333333334</v>
      </c>
    </row>
    <row r="131" spans="1:10" x14ac:dyDescent="0.25">
      <c r="A131" s="5">
        <f t="shared" ref="A131:A194" si="10">MONTH(C131)</f>
        <v>5</v>
      </c>
      <c r="B131" s="5">
        <f t="shared" ref="B131:B194" si="11">YEAR(C131)</f>
        <v>2013</v>
      </c>
      <c r="C131" s="9">
        <v>41404</v>
      </c>
      <c r="D131">
        <v>7.5</v>
      </c>
      <c r="G131" s="5">
        <f t="shared" ref="G131:G157" si="12">MONTH(I131)</f>
        <v>10</v>
      </c>
      <c r="H131" s="5">
        <f t="shared" ref="H131:H157" si="13">YEAR(I131)</f>
        <v>2023</v>
      </c>
      <c r="I131" s="10">
        <v>45200</v>
      </c>
      <c r="J131" s="12">
        <f t="shared" ref="J131:J157" si="14">AVERAGEIFS(D:D,A:A,G131,B:B,H131)</f>
        <v>12.75</v>
      </c>
    </row>
    <row r="132" spans="1:10" x14ac:dyDescent="0.25">
      <c r="A132" s="5">
        <f t="shared" si="10"/>
        <v>5</v>
      </c>
      <c r="B132" s="5">
        <f t="shared" si="11"/>
        <v>2013</v>
      </c>
      <c r="C132" s="9">
        <v>41405</v>
      </c>
      <c r="D132">
        <v>7.5</v>
      </c>
      <c r="G132" s="5">
        <f t="shared" si="12"/>
        <v>11</v>
      </c>
      <c r="H132" s="5">
        <f t="shared" si="13"/>
        <v>2023</v>
      </c>
      <c r="I132" s="10">
        <v>45231</v>
      </c>
      <c r="J132" s="12">
        <f t="shared" si="14"/>
        <v>12.266666666666667</v>
      </c>
    </row>
    <row r="133" spans="1:10" x14ac:dyDescent="0.25">
      <c r="A133" s="5">
        <f t="shared" si="10"/>
        <v>5</v>
      </c>
      <c r="B133" s="5">
        <f t="shared" si="11"/>
        <v>2013</v>
      </c>
      <c r="C133" s="9">
        <v>41406</v>
      </c>
      <c r="D133">
        <v>7.5</v>
      </c>
      <c r="G133" s="5">
        <f t="shared" si="12"/>
        <v>12</v>
      </c>
      <c r="H133" s="5">
        <f t="shared" si="13"/>
        <v>2023</v>
      </c>
      <c r="I133" s="10">
        <v>45261</v>
      </c>
      <c r="J133" s="12">
        <f t="shared" si="14"/>
        <v>11.959677419354838</v>
      </c>
    </row>
    <row r="134" spans="1:10" x14ac:dyDescent="0.25">
      <c r="A134" s="5">
        <f t="shared" si="10"/>
        <v>5</v>
      </c>
      <c r="B134" s="5">
        <f t="shared" si="11"/>
        <v>2013</v>
      </c>
      <c r="C134" s="9">
        <v>41407</v>
      </c>
      <c r="D134">
        <v>7.5</v>
      </c>
      <c r="G134" s="5">
        <f t="shared" si="12"/>
        <v>1</v>
      </c>
      <c r="H134" s="5">
        <f t="shared" si="13"/>
        <v>2024</v>
      </c>
      <c r="I134" s="10">
        <v>45292</v>
      </c>
      <c r="J134" s="12">
        <f t="shared" si="14"/>
        <v>11.75</v>
      </c>
    </row>
    <row r="135" spans="1:10" x14ac:dyDescent="0.25">
      <c r="A135" s="5">
        <f t="shared" si="10"/>
        <v>5</v>
      </c>
      <c r="B135" s="5">
        <f t="shared" si="11"/>
        <v>2013</v>
      </c>
      <c r="C135" s="9">
        <v>41408</v>
      </c>
      <c r="D135">
        <v>7.5</v>
      </c>
      <c r="G135" s="5">
        <f t="shared" si="12"/>
        <v>2</v>
      </c>
      <c r="H135" s="5">
        <f t="shared" si="13"/>
        <v>2024</v>
      </c>
      <c r="I135" s="10">
        <v>45323</v>
      </c>
      <c r="J135" s="12">
        <f t="shared" si="14"/>
        <v>11.25</v>
      </c>
    </row>
    <row r="136" spans="1:10" x14ac:dyDescent="0.25">
      <c r="A136" s="5">
        <f t="shared" si="10"/>
        <v>5</v>
      </c>
      <c r="B136" s="5">
        <f t="shared" si="11"/>
        <v>2013</v>
      </c>
      <c r="C136" s="9">
        <v>41409</v>
      </c>
      <c r="D136">
        <v>7.5</v>
      </c>
      <c r="G136" s="5">
        <f t="shared" si="12"/>
        <v>3</v>
      </c>
      <c r="H136" s="5">
        <f t="shared" si="13"/>
        <v>2024</v>
      </c>
      <c r="I136" s="10">
        <v>45352</v>
      </c>
      <c r="J136" s="12">
        <f t="shared" si="14"/>
        <v>11.07258064516129</v>
      </c>
    </row>
    <row r="137" spans="1:10" x14ac:dyDescent="0.25">
      <c r="A137" s="5">
        <f t="shared" si="10"/>
        <v>5</v>
      </c>
      <c r="B137" s="5">
        <f t="shared" si="11"/>
        <v>2013</v>
      </c>
      <c r="C137" s="9">
        <v>41410</v>
      </c>
      <c r="D137">
        <v>7.5</v>
      </c>
      <c r="G137" s="5">
        <f t="shared" si="12"/>
        <v>4</v>
      </c>
      <c r="H137" s="5">
        <f t="shared" si="13"/>
        <v>2024</v>
      </c>
      <c r="I137" s="10">
        <v>45383</v>
      </c>
      <c r="J137" s="12">
        <f t="shared" si="14"/>
        <v>10.75</v>
      </c>
    </row>
    <row r="138" spans="1:10" x14ac:dyDescent="0.25">
      <c r="A138" s="5">
        <f t="shared" si="10"/>
        <v>5</v>
      </c>
      <c r="B138" s="5">
        <f t="shared" si="11"/>
        <v>2013</v>
      </c>
      <c r="C138" s="9">
        <v>41411</v>
      </c>
      <c r="D138">
        <v>7.5</v>
      </c>
      <c r="G138" s="5">
        <f t="shared" si="12"/>
        <v>5</v>
      </c>
      <c r="H138" s="5">
        <f t="shared" si="13"/>
        <v>2024</v>
      </c>
      <c r="I138" s="10">
        <v>45413</v>
      </c>
      <c r="J138" s="12">
        <f t="shared" si="14"/>
        <v>10.564516129032258</v>
      </c>
    </row>
    <row r="139" spans="1:10" x14ac:dyDescent="0.25">
      <c r="A139" s="5">
        <f t="shared" si="10"/>
        <v>5</v>
      </c>
      <c r="B139" s="5">
        <f t="shared" si="11"/>
        <v>2013</v>
      </c>
      <c r="C139" s="9">
        <v>41412</v>
      </c>
      <c r="D139">
        <v>7.5</v>
      </c>
      <c r="G139" s="5">
        <f t="shared" si="12"/>
        <v>6</v>
      </c>
      <c r="H139" s="5">
        <f t="shared" si="13"/>
        <v>2024</v>
      </c>
      <c r="I139" s="10">
        <v>45444</v>
      </c>
      <c r="J139" s="12">
        <f t="shared" si="14"/>
        <v>10.5</v>
      </c>
    </row>
    <row r="140" spans="1:10" x14ac:dyDescent="0.25">
      <c r="A140" s="5">
        <f t="shared" si="10"/>
        <v>5</v>
      </c>
      <c r="B140" s="5">
        <f t="shared" si="11"/>
        <v>2013</v>
      </c>
      <c r="C140" s="9">
        <v>41413</v>
      </c>
      <c r="D140">
        <v>7.5</v>
      </c>
      <c r="G140" s="5">
        <f t="shared" si="12"/>
        <v>7</v>
      </c>
      <c r="H140" s="5">
        <f t="shared" si="13"/>
        <v>2024</v>
      </c>
      <c r="I140" s="10">
        <v>45474</v>
      </c>
      <c r="J140" s="12">
        <f t="shared" si="14"/>
        <v>10.5</v>
      </c>
    </row>
    <row r="141" spans="1:10" x14ac:dyDescent="0.25">
      <c r="A141" s="5">
        <f t="shared" si="10"/>
        <v>5</v>
      </c>
      <c r="B141" s="5">
        <f t="shared" si="11"/>
        <v>2013</v>
      </c>
      <c r="C141" s="9">
        <v>41414</v>
      </c>
      <c r="D141">
        <v>7.5</v>
      </c>
      <c r="G141" s="5">
        <f t="shared" si="12"/>
        <v>8</v>
      </c>
      <c r="H141" s="5">
        <f t="shared" si="13"/>
        <v>2024</v>
      </c>
      <c r="I141" s="10">
        <v>45505</v>
      </c>
      <c r="J141" s="12">
        <f t="shared" si="14"/>
        <v>10.5</v>
      </c>
    </row>
    <row r="142" spans="1:10" x14ac:dyDescent="0.25">
      <c r="A142" s="5">
        <f t="shared" si="10"/>
        <v>5</v>
      </c>
      <c r="B142" s="5">
        <f t="shared" si="11"/>
        <v>2013</v>
      </c>
      <c r="C142" s="9">
        <v>41415</v>
      </c>
      <c r="D142">
        <v>7.5</v>
      </c>
      <c r="G142" s="5">
        <f t="shared" si="12"/>
        <v>9</v>
      </c>
      <c r="H142" s="5">
        <f t="shared" si="13"/>
        <v>2024</v>
      </c>
      <c r="I142" s="10">
        <v>45536</v>
      </c>
      <c r="J142" s="12">
        <f t="shared" si="14"/>
        <v>10.6</v>
      </c>
    </row>
    <row r="143" spans="1:10" x14ac:dyDescent="0.25">
      <c r="A143" s="5">
        <f t="shared" si="10"/>
        <v>5</v>
      </c>
      <c r="B143" s="5">
        <f t="shared" si="11"/>
        <v>2013</v>
      </c>
      <c r="C143" s="9">
        <v>41416</v>
      </c>
      <c r="D143">
        <v>7.5</v>
      </c>
      <c r="G143" s="5">
        <f t="shared" si="12"/>
        <v>10</v>
      </c>
      <c r="H143" s="5">
        <f t="shared" si="13"/>
        <v>2024</v>
      </c>
      <c r="I143" s="10">
        <v>45566</v>
      </c>
      <c r="J143" s="12">
        <f t="shared" si="14"/>
        <v>10.75</v>
      </c>
    </row>
    <row r="144" spans="1:10" x14ac:dyDescent="0.25">
      <c r="A144" s="5">
        <f t="shared" si="10"/>
        <v>5</v>
      </c>
      <c r="B144" s="5">
        <f t="shared" si="11"/>
        <v>2013</v>
      </c>
      <c r="C144" s="9">
        <v>41417</v>
      </c>
      <c r="D144">
        <v>7.5</v>
      </c>
      <c r="G144" s="5">
        <f t="shared" si="12"/>
        <v>11</v>
      </c>
      <c r="H144" s="5">
        <f t="shared" si="13"/>
        <v>2024</v>
      </c>
      <c r="I144" s="10">
        <v>45597</v>
      </c>
      <c r="J144" s="12">
        <f t="shared" si="14"/>
        <v>11.15</v>
      </c>
    </row>
    <row r="145" spans="1:10" x14ac:dyDescent="0.25">
      <c r="A145" s="5">
        <f t="shared" si="10"/>
        <v>5</v>
      </c>
      <c r="B145" s="5">
        <f t="shared" si="11"/>
        <v>2013</v>
      </c>
      <c r="C145" s="9">
        <v>41418</v>
      </c>
      <c r="D145">
        <v>7.5</v>
      </c>
      <c r="G145" s="5">
        <f t="shared" si="12"/>
        <v>12</v>
      </c>
      <c r="H145" s="5">
        <f t="shared" si="13"/>
        <v>2024</v>
      </c>
      <c r="I145" s="10">
        <v>45627</v>
      </c>
      <c r="J145" s="12">
        <f t="shared" si="14"/>
        <v>11.89516129032258</v>
      </c>
    </row>
    <row r="146" spans="1:10" x14ac:dyDescent="0.25">
      <c r="A146" s="5">
        <f t="shared" si="10"/>
        <v>5</v>
      </c>
      <c r="B146" s="5">
        <f t="shared" si="11"/>
        <v>2013</v>
      </c>
      <c r="C146" s="9">
        <v>41419</v>
      </c>
      <c r="D146">
        <v>7.5</v>
      </c>
      <c r="G146" s="5">
        <f t="shared" si="12"/>
        <v>1</v>
      </c>
      <c r="H146" s="5">
        <f t="shared" si="13"/>
        <v>2025</v>
      </c>
      <c r="I146" s="10">
        <v>45658</v>
      </c>
      <c r="J146" s="12">
        <f t="shared" si="14"/>
        <v>12.314516129032258</v>
      </c>
    </row>
    <row r="147" spans="1:10" x14ac:dyDescent="0.25">
      <c r="A147" s="5">
        <f t="shared" si="10"/>
        <v>5</v>
      </c>
      <c r="B147" s="5">
        <f t="shared" si="11"/>
        <v>2013</v>
      </c>
      <c r="C147" s="9">
        <v>41420</v>
      </c>
      <c r="D147">
        <v>7.5</v>
      </c>
      <c r="G147" s="5">
        <f t="shared" si="12"/>
        <v>2</v>
      </c>
      <c r="H147" s="5">
        <f t="shared" si="13"/>
        <v>2025</v>
      </c>
      <c r="I147" s="10">
        <v>45689</v>
      </c>
      <c r="J147" s="12">
        <f t="shared" si="14"/>
        <v>13.25</v>
      </c>
    </row>
    <row r="148" spans="1:10" x14ac:dyDescent="0.25">
      <c r="A148" s="5">
        <f t="shared" si="10"/>
        <v>5</v>
      </c>
      <c r="B148" s="5">
        <f t="shared" si="11"/>
        <v>2013</v>
      </c>
      <c r="C148" s="9">
        <v>41421</v>
      </c>
      <c r="D148">
        <v>7.5</v>
      </c>
      <c r="G148" s="5">
        <f t="shared" si="12"/>
        <v>3</v>
      </c>
      <c r="H148" s="5">
        <f t="shared" si="13"/>
        <v>2025</v>
      </c>
      <c r="I148" s="10">
        <v>45717</v>
      </c>
      <c r="J148" s="12">
        <f t="shared" si="14"/>
        <v>13.637096774193548</v>
      </c>
    </row>
    <row r="149" spans="1:10" x14ac:dyDescent="0.25">
      <c r="A149" s="5">
        <f t="shared" si="10"/>
        <v>5</v>
      </c>
      <c r="B149" s="5">
        <f t="shared" si="11"/>
        <v>2013</v>
      </c>
      <c r="C149" s="9">
        <v>41422</v>
      </c>
      <c r="D149">
        <v>7.5</v>
      </c>
      <c r="G149" s="5">
        <f t="shared" si="12"/>
        <v>4</v>
      </c>
      <c r="H149" s="5">
        <f t="shared" si="13"/>
        <v>2025</v>
      </c>
      <c r="I149" s="10">
        <v>45748</v>
      </c>
      <c r="J149" s="12">
        <f t="shared" si="14"/>
        <v>14.25</v>
      </c>
    </row>
    <row r="150" spans="1:10" x14ac:dyDescent="0.25">
      <c r="A150" s="5">
        <f t="shared" si="10"/>
        <v>5</v>
      </c>
      <c r="B150" s="5">
        <f t="shared" si="11"/>
        <v>2013</v>
      </c>
      <c r="C150" s="9">
        <v>41423</v>
      </c>
      <c r="D150">
        <v>7.5</v>
      </c>
      <c r="G150" s="5">
        <f t="shared" si="12"/>
        <v>5</v>
      </c>
      <c r="H150" s="5">
        <f t="shared" si="13"/>
        <v>2025</v>
      </c>
      <c r="I150" s="10">
        <v>45778</v>
      </c>
      <c r="J150" s="12">
        <f t="shared" si="14"/>
        <v>14.637096774193548</v>
      </c>
    </row>
    <row r="151" spans="1:10" x14ac:dyDescent="0.25">
      <c r="A151" s="5">
        <f t="shared" si="10"/>
        <v>5</v>
      </c>
      <c r="B151" s="5">
        <f t="shared" si="11"/>
        <v>2013</v>
      </c>
      <c r="C151" s="9">
        <v>41424</v>
      </c>
      <c r="D151">
        <v>8</v>
      </c>
      <c r="G151" s="5">
        <f t="shared" si="12"/>
        <v>6</v>
      </c>
      <c r="H151" s="5">
        <f t="shared" si="13"/>
        <v>2025</v>
      </c>
      <c r="I151" s="10">
        <v>45809</v>
      </c>
      <c r="J151" s="12">
        <f t="shared" si="14"/>
        <v>14.85</v>
      </c>
    </row>
    <row r="152" spans="1:10" x14ac:dyDescent="0.25">
      <c r="A152" s="5">
        <f t="shared" si="10"/>
        <v>5</v>
      </c>
      <c r="B152" s="5">
        <f t="shared" si="11"/>
        <v>2013</v>
      </c>
      <c r="C152" s="9">
        <v>41425</v>
      </c>
      <c r="D152">
        <v>8</v>
      </c>
      <c r="G152" s="5">
        <f t="shared" si="12"/>
        <v>7</v>
      </c>
      <c r="H152" s="5">
        <f t="shared" si="13"/>
        <v>2025</v>
      </c>
      <c r="I152" s="10">
        <v>45839</v>
      </c>
      <c r="J152" s="12">
        <f t="shared" si="14"/>
        <v>15</v>
      </c>
    </row>
    <row r="153" spans="1:10" x14ac:dyDescent="0.25">
      <c r="A153" s="5">
        <f t="shared" si="10"/>
        <v>6</v>
      </c>
      <c r="B153" s="5">
        <f t="shared" si="11"/>
        <v>2013</v>
      </c>
      <c r="C153" s="9">
        <v>41426</v>
      </c>
      <c r="D153">
        <v>8</v>
      </c>
      <c r="G153" s="5">
        <f t="shared" si="12"/>
        <v>8</v>
      </c>
      <c r="H153" s="5">
        <f t="shared" si="13"/>
        <v>2025</v>
      </c>
      <c r="I153" s="10">
        <v>45870</v>
      </c>
      <c r="J153" s="12">
        <f t="shared" si="14"/>
        <v>15</v>
      </c>
    </row>
    <row r="154" spans="1:10" x14ac:dyDescent="0.25">
      <c r="A154" s="5">
        <f t="shared" si="10"/>
        <v>6</v>
      </c>
      <c r="B154" s="5">
        <f t="shared" si="11"/>
        <v>2013</v>
      </c>
      <c r="C154" s="9">
        <v>41427</v>
      </c>
      <c r="D154">
        <v>8</v>
      </c>
      <c r="G154" s="5">
        <f t="shared" si="12"/>
        <v>9</v>
      </c>
      <c r="H154" s="5">
        <f t="shared" si="13"/>
        <v>2025</v>
      </c>
      <c r="I154" s="10">
        <v>45901</v>
      </c>
      <c r="J154" s="12">
        <f t="shared" si="14"/>
        <v>15</v>
      </c>
    </row>
    <row r="155" spans="1:10" x14ac:dyDescent="0.25">
      <c r="A155" s="5">
        <f t="shared" si="10"/>
        <v>6</v>
      </c>
      <c r="B155" s="5">
        <f t="shared" si="11"/>
        <v>2013</v>
      </c>
      <c r="C155" s="9">
        <v>41428</v>
      </c>
      <c r="D155">
        <v>8</v>
      </c>
      <c r="G155" s="5">
        <f t="shared" si="12"/>
        <v>10</v>
      </c>
      <c r="H155" s="5">
        <f t="shared" si="13"/>
        <v>2025</v>
      </c>
      <c r="I155" s="10">
        <v>45931</v>
      </c>
      <c r="J155" s="12">
        <f t="shared" si="14"/>
        <v>15</v>
      </c>
    </row>
    <row r="156" spans="1:10" x14ac:dyDescent="0.25">
      <c r="A156" s="5">
        <f t="shared" si="10"/>
        <v>6</v>
      </c>
      <c r="B156" s="5">
        <f t="shared" si="11"/>
        <v>2013</v>
      </c>
      <c r="C156" s="9">
        <v>41429</v>
      </c>
      <c r="D156">
        <v>8</v>
      </c>
      <c r="G156" s="5">
        <f t="shared" si="12"/>
        <v>11</v>
      </c>
      <c r="H156" s="5">
        <f t="shared" si="13"/>
        <v>2025</v>
      </c>
      <c r="I156" s="10">
        <v>45962</v>
      </c>
      <c r="J156" s="12">
        <f t="shared" si="14"/>
        <v>15</v>
      </c>
    </row>
    <row r="157" spans="1:10" x14ac:dyDescent="0.25">
      <c r="A157" s="5">
        <f t="shared" si="10"/>
        <v>6</v>
      </c>
      <c r="B157" s="5">
        <f t="shared" si="11"/>
        <v>2013</v>
      </c>
      <c r="C157" s="9">
        <v>41430</v>
      </c>
      <c r="D157">
        <v>8</v>
      </c>
      <c r="G157" s="5">
        <f t="shared" si="12"/>
        <v>12</v>
      </c>
      <c r="H157" s="5">
        <f t="shared" si="13"/>
        <v>2025</v>
      </c>
      <c r="I157" s="10">
        <v>45992</v>
      </c>
      <c r="J157" s="12">
        <f t="shared" si="14"/>
        <v>15</v>
      </c>
    </row>
    <row r="158" spans="1:10" x14ac:dyDescent="0.25">
      <c r="A158" s="5">
        <f t="shared" si="10"/>
        <v>6</v>
      </c>
      <c r="B158" s="5">
        <f t="shared" si="11"/>
        <v>2013</v>
      </c>
      <c r="C158" s="9">
        <v>41431</v>
      </c>
      <c r="D158">
        <v>8</v>
      </c>
    </row>
    <row r="159" spans="1:10" x14ac:dyDescent="0.25">
      <c r="A159" s="5">
        <f t="shared" si="10"/>
        <v>6</v>
      </c>
      <c r="B159" s="5">
        <f t="shared" si="11"/>
        <v>2013</v>
      </c>
      <c r="C159" s="9">
        <v>41432</v>
      </c>
      <c r="D159">
        <v>8</v>
      </c>
    </row>
    <row r="160" spans="1:10" x14ac:dyDescent="0.25">
      <c r="A160" s="5">
        <f t="shared" si="10"/>
        <v>6</v>
      </c>
      <c r="B160" s="5">
        <f t="shared" si="11"/>
        <v>2013</v>
      </c>
      <c r="C160" s="9">
        <v>41433</v>
      </c>
      <c r="D160">
        <v>8</v>
      </c>
    </row>
    <row r="161" spans="1:4" x14ac:dyDescent="0.25">
      <c r="A161" s="5">
        <f t="shared" si="10"/>
        <v>6</v>
      </c>
      <c r="B161" s="5">
        <f t="shared" si="11"/>
        <v>2013</v>
      </c>
      <c r="C161" s="9">
        <v>41434</v>
      </c>
      <c r="D161">
        <v>8</v>
      </c>
    </row>
    <row r="162" spans="1:4" x14ac:dyDescent="0.25">
      <c r="A162" s="5">
        <f t="shared" si="10"/>
        <v>6</v>
      </c>
      <c r="B162" s="5">
        <f t="shared" si="11"/>
        <v>2013</v>
      </c>
      <c r="C162" s="9">
        <v>41435</v>
      </c>
      <c r="D162">
        <v>8</v>
      </c>
    </row>
    <row r="163" spans="1:4" x14ac:dyDescent="0.25">
      <c r="A163" s="5">
        <f t="shared" si="10"/>
        <v>6</v>
      </c>
      <c r="B163" s="5">
        <f t="shared" si="11"/>
        <v>2013</v>
      </c>
      <c r="C163" s="9">
        <v>41436</v>
      </c>
      <c r="D163">
        <v>8</v>
      </c>
    </row>
    <row r="164" spans="1:4" x14ac:dyDescent="0.25">
      <c r="A164" s="5">
        <f t="shared" si="10"/>
        <v>6</v>
      </c>
      <c r="B164" s="5">
        <f t="shared" si="11"/>
        <v>2013</v>
      </c>
      <c r="C164" s="9">
        <v>41437</v>
      </c>
      <c r="D164">
        <v>8</v>
      </c>
    </row>
    <row r="165" spans="1:4" x14ac:dyDescent="0.25">
      <c r="A165" s="5">
        <f t="shared" si="10"/>
        <v>6</v>
      </c>
      <c r="B165" s="5">
        <f t="shared" si="11"/>
        <v>2013</v>
      </c>
      <c r="C165" s="9">
        <v>41438</v>
      </c>
      <c r="D165">
        <v>8</v>
      </c>
    </row>
    <row r="166" spans="1:4" x14ac:dyDescent="0.25">
      <c r="A166" s="5">
        <f t="shared" si="10"/>
        <v>6</v>
      </c>
      <c r="B166" s="5">
        <f t="shared" si="11"/>
        <v>2013</v>
      </c>
      <c r="C166" s="9">
        <v>41439</v>
      </c>
      <c r="D166">
        <v>8</v>
      </c>
    </row>
    <row r="167" spans="1:4" x14ac:dyDescent="0.25">
      <c r="A167" s="5">
        <f t="shared" si="10"/>
        <v>6</v>
      </c>
      <c r="B167" s="5">
        <f t="shared" si="11"/>
        <v>2013</v>
      </c>
      <c r="C167" s="9">
        <v>41440</v>
      </c>
      <c r="D167">
        <v>8</v>
      </c>
    </row>
    <row r="168" spans="1:4" x14ac:dyDescent="0.25">
      <c r="A168" s="5">
        <f t="shared" si="10"/>
        <v>6</v>
      </c>
      <c r="B168" s="5">
        <f t="shared" si="11"/>
        <v>2013</v>
      </c>
      <c r="C168" s="9">
        <v>41441</v>
      </c>
      <c r="D168">
        <v>8</v>
      </c>
    </row>
    <row r="169" spans="1:4" x14ac:dyDescent="0.25">
      <c r="A169" s="5">
        <f t="shared" si="10"/>
        <v>6</v>
      </c>
      <c r="B169" s="5">
        <f t="shared" si="11"/>
        <v>2013</v>
      </c>
      <c r="C169" s="9">
        <v>41442</v>
      </c>
      <c r="D169">
        <v>8</v>
      </c>
    </row>
    <row r="170" spans="1:4" x14ac:dyDescent="0.25">
      <c r="A170" s="5">
        <f t="shared" si="10"/>
        <v>6</v>
      </c>
      <c r="B170" s="5">
        <f t="shared" si="11"/>
        <v>2013</v>
      </c>
      <c r="C170" s="9">
        <v>41443</v>
      </c>
      <c r="D170">
        <v>8</v>
      </c>
    </row>
    <row r="171" spans="1:4" x14ac:dyDescent="0.25">
      <c r="A171" s="5">
        <f t="shared" si="10"/>
        <v>6</v>
      </c>
      <c r="B171" s="5">
        <f t="shared" si="11"/>
        <v>2013</v>
      </c>
      <c r="C171" s="9">
        <v>41444</v>
      </c>
      <c r="D171">
        <v>8</v>
      </c>
    </row>
    <row r="172" spans="1:4" x14ac:dyDescent="0.25">
      <c r="A172" s="5">
        <f t="shared" si="10"/>
        <v>6</v>
      </c>
      <c r="B172" s="5">
        <f t="shared" si="11"/>
        <v>2013</v>
      </c>
      <c r="C172" s="9">
        <v>41445</v>
      </c>
      <c r="D172">
        <v>8</v>
      </c>
    </row>
    <row r="173" spans="1:4" x14ac:dyDescent="0.25">
      <c r="A173" s="5">
        <f t="shared" si="10"/>
        <v>6</v>
      </c>
      <c r="B173" s="5">
        <f t="shared" si="11"/>
        <v>2013</v>
      </c>
      <c r="C173" s="9">
        <v>41446</v>
      </c>
      <c r="D173">
        <v>8</v>
      </c>
    </row>
    <row r="174" spans="1:4" x14ac:dyDescent="0.25">
      <c r="A174" s="5">
        <f t="shared" si="10"/>
        <v>6</v>
      </c>
      <c r="B174" s="5">
        <f t="shared" si="11"/>
        <v>2013</v>
      </c>
      <c r="C174" s="9">
        <v>41447</v>
      </c>
      <c r="D174">
        <v>8</v>
      </c>
    </row>
    <row r="175" spans="1:4" x14ac:dyDescent="0.25">
      <c r="A175" s="5">
        <f t="shared" si="10"/>
        <v>6</v>
      </c>
      <c r="B175" s="5">
        <f t="shared" si="11"/>
        <v>2013</v>
      </c>
      <c r="C175" s="9">
        <v>41448</v>
      </c>
      <c r="D175">
        <v>8</v>
      </c>
    </row>
    <row r="176" spans="1:4" x14ac:dyDescent="0.25">
      <c r="A176" s="5">
        <f t="shared" si="10"/>
        <v>6</v>
      </c>
      <c r="B176" s="5">
        <f t="shared" si="11"/>
        <v>2013</v>
      </c>
      <c r="C176" s="9">
        <v>41449</v>
      </c>
      <c r="D176">
        <v>8</v>
      </c>
    </row>
    <row r="177" spans="1:4" x14ac:dyDescent="0.25">
      <c r="A177" s="5">
        <f t="shared" si="10"/>
        <v>6</v>
      </c>
      <c r="B177" s="5">
        <f t="shared" si="11"/>
        <v>2013</v>
      </c>
      <c r="C177" s="9">
        <v>41450</v>
      </c>
      <c r="D177">
        <v>8</v>
      </c>
    </row>
    <row r="178" spans="1:4" x14ac:dyDescent="0.25">
      <c r="A178" s="5">
        <f t="shared" si="10"/>
        <v>6</v>
      </c>
      <c r="B178" s="5">
        <f t="shared" si="11"/>
        <v>2013</v>
      </c>
      <c r="C178" s="9">
        <v>41451</v>
      </c>
      <c r="D178">
        <v>8</v>
      </c>
    </row>
    <row r="179" spans="1:4" x14ac:dyDescent="0.25">
      <c r="A179" s="5">
        <f t="shared" si="10"/>
        <v>6</v>
      </c>
      <c r="B179" s="5">
        <f t="shared" si="11"/>
        <v>2013</v>
      </c>
      <c r="C179" s="9">
        <v>41452</v>
      </c>
      <c r="D179">
        <v>8</v>
      </c>
    </row>
    <row r="180" spans="1:4" x14ac:dyDescent="0.25">
      <c r="A180" s="5">
        <f t="shared" si="10"/>
        <v>6</v>
      </c>
      <c r="B180" s="5">
        <f t="shared" si="11"/>
        <v>2013</v>
      </c>
      <c r="C180" s="9">
        <v>41453</v>
      </c>
      <c r="D180">
        <v>8</v>
      </c>
    </row>
    <row r="181" spans="1:4" x14ac:dyDescent="0.25">
      <c r="A181" s="5">
        <f t="shared" si="10"/>
        <v>6</v>
      </c>
      <c r="B181" s="5">
        <f t="shared" si="11"/>
        <v>2013</v>
      </c>
      <c r="C181" s="9">
        <v>41454</v>
      </c>
      <c r="D181">
        <v>8</v>
      </c>
    </row>
    <row r="182" spans="1:4" x14ac:dyDescent="0.25">
      <c r="A182" s="5">
        <f t="shared" si="10"/>
        <v>6</v>
      </c>
      <c r="B182" s="5">
        <f t="shared" si="11"/>
        <v>2013</v>
      </c>
      <c r="C182" s="9">
        <v>41455</v>
      </c>
      <c r="D182">
        <v>8</v>
      </c>
    </row>
    <row r="183" spans="1:4" x14ac:dyDescent="0.25">
      <c r="A183" s="5">
        <f t="shared" si="10"/>
        <v>7</v>
      </c>
      <c r="B183" s="5">
        <f t="shared" si="11"/>
        <v>2013</v>
      </c>
      <c r="C183" s="9">
        <v>41456</v>
      </c>
      <c r="D183">
        <v>8</v>
      </c>
    </row>
    <row r="184" spans="1:4" x14ac:dyDescent="0.25">
      <c r="A184" s="5">
        <f t="shared" si="10"/>
        <v>7</v>
      </c>
      <c r="B184" s="5">
        <f t="shared" si="11"/>
        <v>2013</v>
      </c>
      <c r="C184" s="9">
        <v>41457</v>
      </c>
      <c r="D184">
        <v>8</v>
      </c>
    </row>
    <row r="185" spans="1:4" x14ac:dyDescent="0.25">
      <c r="A185" s="5">
        <f t="shared" si="10"/>
        <v>7</v>
      </c>
      <c r="B185" s="5">
        <f t="shared" si="11"/>
        <v>2013</v>
      </c>
      <c r="C185" s="9">
        <v>41458</v>
      </c>
      <c r="D185">
        <v>8</v>
      </c>
    </row>
    <row r="186" spans="1:4" x14ac:dyDescent="0.25">
      <c r="A186" s="5">
        <f t="shared" si="10"/>
        <v>7</v>
      </c>
      <c r="B186" s="5">
        <f t="shared" si="11"/>
        <v>2013</v>
      </c>
      <c r="C186" s="9">
        <v>41459</v>
      </c>
      <c r="D186">
        <v>8</v>
      </c>
    </row>
    <row r="187" spans="1:4" x14ac:dyDescent="0.25">
      <c r="A187" s="5">
        <f t="shared" si="10"/>
        <v>7</v>
      </c>
      <c r="B187" s="5">
        <f t="shared" si="11"/>
        <v>2013</v>
      </c>
      <c r="C187" s="9">
        <v>41460</v>
      </c>
      <c r="D187">
        <v>8</v>
      </c>
    </row>
    <row r="188" spans="1:4" x14ac:dyDescent="0.25">
      <c r="A188" s="5">
        <f t="shared" si="10"/>
        <v>7</v>
      </c>
      <c r="B188" s="5">
        <f t="shared" si="11"/>
        <v>2013</v>
      </c>
      <c r="C188" s="9">
        <v>41461</v>
      </c>
      <c r="D188">
        <v>8</v>
      </c>
    </row>
    <row r="189" spans="1:4" x14ac:dyDescent="0.25">
      <c r="A189" s="5">
        <f t="shared" si="10"/>
        <v>7</v>
      </c>
      <c r="B189" s="5">
        <f t="shared" si="11"/>
        <v>2013</v>
      </c>
      <c r="C189" s="9">
        <v>41462</v>
      </c>
      <c r="D189">
        <v>8</v>
      </c>
    </row>
    <row r="190" spans="1:4" x14ac:dyDescent="0.25">
      <c r="A190" s="5">
        <f t="shared" si="10"/>
        <v>7</v>
      </c>
      <c r="B190" s="5">
        <f t="shared" si="11"/>
        <v>2013</v>
      </c>
      <c r="C190" s="9">
        <v>41463</v>
      </c>
      <c r="D190">
        <v>8</v>
      </c>
    </row>
    <row r="191" spans="1:4" x14ac:dyDescent="0.25">
      <c r="A191" s="5">
        <f t="shared" si="10"/>
        <v>7</v>
      </c>
      <c r="B191" s="5">
        <f t="shared" si="11"/>
        <v>2013</v>
      </c>
      <c r="C191" s="9">
        <v>41464</v>
      </c>
      <c r="D191">
        <v>8</v>
      </c>
    </row>
    <row r="192" spans="1:4" x14ac:dyDescent="0.25">
      <c r="A192" s="5">
        <f t="shared" si="10"/>
        <v>7</v>
      </c>
      <c r="B192" s="5">
        <f t="shared" si="11"/>
        <v>2013</v>
      </c>
      <c r="C192" s="9">
        <v>41465</v>
      </c>
      <c r="D192">
        <v>8</v>
      </c>
    </row>
    <row r="193" spans="1:4" x14ac:dyDescent="0.25">
      <c r="A193" s="5">
        <f t="shared" si="10"/>
        <v>7</v>
      </c>
      <c r="B193" s="5">
        <f t="shared" si="11"/>
        <v>2013</v>
      </c>
      <c r="C193" s="9">
        <v>41466</v>
      </c>
      <c r="D193">
        <v>8.5</v>
      </c>
    </row>
    <row r="194" spans="1:4" x14ac:dyDescent="0.25">
      <c r="A194" s="5">
        <f t="shared" si="10"/>
        <v>7</v>
      </c>
      <c r="B194" s="5">
        <f t="shared" si="11"/>
        <v>2013</v>
      </c>
      <c r="C194" s="9">
        <v>41467</v>
      </c>
      <c r="D194">
        <v>8.5</v>
      </c>
    </row>
    <row r="195" spans="1:4" x14ac:dyDescent="0.25">
      <c r="A195" s="5">
        <f t="shared" ref="A195:A258" si="15">MONTH(C195)</f>
        <v>7</v>
      </c>
      <c r="B195" s="5">
        <f t="shared" ref="B195:B258" si="16">YEAR(C195)</f>
        <v>2013</v>
      </c>
      <c r="C195" s="9">
        <v>41468</v>
      </c>
      <c r="D195">
        <v>8.5</v>
      </c>
    </row>
    <row r="196" spans="1:4" x14ac:dyDescent="0.25">
      <c r="A196" s="5">
        <f t="shared" si="15"/>
        <v>7</v>
      </c>
      <c r="B196" s="5">
        <f t="shared" si="16"/>
        <v>2013</v>
      </c>
      <c r="C196" s="9">
        <v>41469</v>
      </c>
      <c r="D196">
        <v>8.5</v>
      </c>
    </row>
    <row r="197" spans="1:4" x14ac:dyDescent="0.25">
      <c r="A197" s="5">
        <f t="shared" si="15"/>
        <v>7</v>
      </c>
      <c r="B197" s="5">
        <f t="shared" si="16"/>
        <v>2013</v>
      </c>
      <c r="C197" s="9">
        <v>41470</v>
      </c>
      <c r="D197">
        <v>8.5</v>
      </c>
    </row>
    <row r="198" spans="1:4" x14ac:dyDescent="0.25">
      <c r="A198" s="5">
        <f t="shared" si="15"/>
        <v>7</v>
      </c>
      <c r="B198" s="5">
        <f t="shared" si="16"/>
        <v>2013</v>
      </c>
      <c r="C198" s="9">
        <v>41471</v>
      </c>
      <c r="D198">
        <v>8.5</v>
      </c>
    </row>
    <row r="199" spans="1:4" x14ac:dyDescent="0.25">
      <c r="A199" s="5">
        <f t="shared" si="15"/>
        <v>7</v>
      </c>
      <c r="B199" s="5">
        <f t="shared" si="16"/>
        <v>2013</v>
      </c>
      <c r="C199" s="9">
        <v>41472</v>
      </c>
      <c r="D199">
        <v>8.5</v>
      </c>
    </row>
    <row r="200" spans="1:4" x14ac:dyDescent="0.25">
      <c r="A200" s="5">
        <f t="shared" si="15"/>
        <v>7</v>
      </c>
      <c r="B200" s="5">
        <f t="shared" si="16"/>
        <v>2013</v>
      </c>
      <c r="C200" s="9">
        <v>41473</v>
      </c>
      <c r="D200">
        <v>8.5</v>
      </c>
    </row>
    <row r="201" spans="1:4" x14ac:dyDescent="0.25">
      <c r="A201" s="5">
        <f t="shared" si="15"/>
        <v>7</v>
      </c>
      <c r="B201" s="5">
        <f t="shared" si="16"/>
        <v>2013</v>
      </c>
      <c r="C201" s="9">
        <v>41474</v>
      </c>
      <c r="D201">
        <v>8.5</v>
      </c>
    </row>
    <row r="202" spans="1:4" x14ac:dyDescent="0.25">
      <c r="A202" s="5">
        <f t="shared" si="15"/>
        <v>7</v>
      </c>
      <c r="B202" s="5">
        <f t="shared" si="16"/>
        <v>2013</v>
      </c>
      <c r="C202" s="9">
        <v>41475</v>
      </c>
      <c r="D202">
        <v>8.5</v>
      </c>
    </row>
    <row r="203" spans="1:4" x14ac:dyDescent="0.25">
      <c r="A203" s="5">
        <f t="shared" si="15"/>
        <v>7</v>
      </c>
      <c r="B203" s="5">
        <f t="shared" si="16"/>
        <v>2013</v>
      </c>
      <c r="C203" s="9">
        <v>41476</v>
      </c>
      <c r="D203">
        <v>8.5</v>
      </c>
    </row>
    <row r="204" spans="1:4" x14ac:dyDescent="0.25">
      <c r="A204" s="5">
        <f t="shared" si="15"/>
        <v>7</v>
      </c>
      <c r="B204" s="5">
        <f t="shared" si="16"/>
        <v>2013</v>
      </c>
      <c r="C204" s="9">
        <v>41477</v>
      </c>
      <c r="D204">
        <v>8.5</v>
      </c>
    </row>
    <row r="205" spans="1:4" x14ac:dyDescent="0.25">
      <c r="A205" s="5">
        <f t="shared" si="15"/>
        <v>7</v>
      </c>
      <c r="B205" s="5">
        <f t="shared" si="16"/>
        <v>2013</v>
      </c>
      <c r="C205" s="9">
        <v>41478</v>
      </c>
      <c r="D205">
        <v>8.5</v>
      </c>
    </row>
    <row r="206" spans="1:4" x14ac:dyDescent="0.25">
      <c r="A206" s="5">
        <f t="shared" si="15"/>
        <v>7</v>
      </c>
      <c r="B206" s="5">
        <f t="shared" si="16"/>
        <v>2013</v>
      </c>
      <c r="C206" s="9">
        <v>41479</v>
      </c>
      <c r="D206">
        <v>8.5</v>
      </c>
    </row>
    <row r="207" spans="1:4" x14ac:dyDescent="0.25">
      <c r="A207" s="5">
        <f t="shared" si="15"/>
        <v>7</v>
      </c>
      <c r="B207" s="5">
        <f t="shared" si="16"/>
        <v>2013</v>
      </c>
      <c r="C207" s="9">
        <v>41480</v>
      </c>
      <c r="D207">
        <v>8.5</v>
      </c>
    </row>
    <row r="208" spans="1:4" x14ac:dyDescent="0.25">
      <c r="A208" s="5">
        <f t="shared" si="15"/>
        <v>7</v>
      </c>
      <c r="B208" s="5">
        <f t="shared" si="16"/>
        <v>2013</v>
      </c>
      <c r="C208" s="9">
        <v>41481</v>
      </c>
      <c r="D208">
        <v>8.5</v>
      </c>
    </row>
    <row r="209" spans="1:4" x14ac:dyDescent="0.25">
      <c r="A209" s="5">
        <f t="shared" si="15"/>
        <v>7</v>
      </c>
      <c r="B209" s="5">
        <f t="shared" si="16"/>
        <v>2013</v>
      </c>
      <c r="C209" s="9">
        <v>41482</v>
      </c>
      <c r="D209">
        <v>8.5</v>
      </c>
    </row>
    <row r="210" spans="1:4" x14ac:dyDescent="0.25">
      <c r="A210" s="5">
        <f t="shared" si="15"/>
        <v>7</v>
      </c>
      <c r="B210" s="5">
        <f t="shared" si="16"/>
        <v>2013</v>
      </c>
      <c r="C210" s="9">
        <v>41483</v>
      </c>
      <c r="D210">
        <v>8.5</v>
      </c>
    </row>
    <row r="211" spans="1:4" x14ac:dyDescent="0.25">
      <c r="A211" s="5">
        <f t="shared" si="15"/>
        <v>7</v>
      </c>
      <c r="B211" s="5">
        <f t="shared" si="16"/>
        <v>2013</v>
      </c>
      <c r="C211" s="9">
        <v>41484</v>
      </c>
      <c r="D211">
        <v>8.5</v>
      </c>
    </row>
    <row r="212" spans="1:4" x14ac:dyDescent="0.25">
      <c r="A212" s="5">
        <f t="shared" si="15"/>
        <v>7</v>
      </c>
      <c r="B212" s="5">
        <f t="shared" si="16"/>
        <v>2013</v>
      </c>
      <c r="C212" s="9">
        <v>41485</v>
      </c>
      <c r="D212">
        <v>8.5</v>
      </c>
    </row>
    <row r="213" spans="1:4" x14ac:dyDescent="0.25">
      <c r="A213" s="5">
        <f t="shared" si="15"/>
        <v>7</v>
      </c>
      <c r="B213" s="5">
        <f t="shared" si="16"/>
        <v>2013</v>
      </c>
      <c r="C213" s="9">
        <v>41486</v>
      </c>
      <c r="D213">
        <v>8.5</v>
      </c>
    </row>
    <row r="214" spans="1:4" x14ac:dyDescent="0.25">
      <c r="A214" s="5">
        <f t="shared" si="15"/>
        <v>8</v>
      </c>
      <c r="B214" s="5">
        <f t="shared" si="16"/>
        <v>2013</v>
      </c>
      <c r="C214" s="9">
        <v>41487</v>
      </c>
      <c r="D214">
        <v>8.5</v>
      </c>
    </row>
    <row r="215" spans="1:4" x14ac:dyDescent="0.25">
      <c r="A215" s="5">
        <f t="shared" si="15"/>
        <v>8</v>
      </c>
      <c r="B215" s="5">
        <f t="shared" si="16"/>
        <v>2013</v>
      </c>
      <c r="C215" s="9">
        <v>41488</v>
      </c>
      <c r="D215">
        <v>8.5</v>
      </c>
    </row>
    <row r="216" spans="1:4" x14ac:dyDescent="0.25">
      <c r="A216" s="5">
        <f t="shared" si="15"/>
        <v>8</v>
      </c>
      <c r="B216" s="5">
        <f t="shared" si="16"/>
        <v>2013</v>
      </c>
      <c r="C216" s="9">
        <v>41489</v>
      </c>
      <c r="D216">
        <v>8.5</v>
      </c>
    </row>
    <row r="217" spans="1:4" x14ac:dyDescent="0.25">
      <c r="A217" s="5">
        <f t="shared" si="15"/>
        <v>8</v>
      </c>
      <c r="B217" s="5">
        <f t="shared" si="16"/>
        <v>2013</v>
      </c>
      <c r="C217" s="9">
        <v>41490</v>
      </c>
      <c r="D217">
        <v>8.5</v>
      </c>
    </row>
    <row r="218" spans="1:4" x14ac:dyDescent="0.25">
      <c r="A218" s="5">
        <f t="shared" si="15"/>
        <v>8</v>
      </c>
      <c r="B218" s="5">
        <f t="shared" si="16"/>
        <v>2013</v>
      </c>
      <c r="C218" s="9">
        <v>41491</v>
      </c>
      <c r="D218">
        <v>8.5</v>
      </c>
    </row>
    <row r="219" spans="1:4" x14ac:dyDescent="0.25">
      <c r="A219" s="5">
        <f t="shared" si="15"/>
        <v>8</v>
      </c>
      <c r="B219" s="5">
        <f t="shared" si="16"/>
        <v>2013</v>
      </c>
      <c r="C219" s="9">
        <v>41492</v>
      </c>
      <c r="D219">
        <v>8.5</v>
      </c>
    </row>
    <row r="220" spans="1:4" x14ac:dyDescent="0.25">
      <c r="A220" s="5">
        <f t="shared" si="15"/>
        <v>8</v>
      </c>
      <c r="B220" s="5">
        <f t="shared" si="16"/>
        <v>2013</v>
      </c>
      <c r="C220" s="9">
        <v>41493</v>
      </c>
      <c r="D220">
        <v>8.5</v>
      </c>
    </row>
    <row r="221" spans="1:4" x14ac:dyDescent="0.25">
      <c r="A221" s="5">
        <f t="shared" si="15"/>
        <v>8</v>
      </c>
      <c r="B221" s="5">
        <f t="shared" si="16"/>
        <v>2013</v>
      </c>
      <c r="C221" s="9">
        <v>41494</v>
      </c>
      <c r="D221">
        <v>8.5</v>
      </c>
    </row>
    <row r="222" spans="1:4" x14ac:dyDescent="0.25">
      <c r="A222" s="5">
        <f t="shared" si="15"/>
        <v>8</v>
      </c>
      <c r="B222" s="5">
        <f t="shared" si="16"/>
        <v>2013</v>
      </c>
      <c r="C222" s="9">
        <v>41495</v>
      </c>
      <c r="D222">
        <v>8.5</v>
      </c>
    </row>
    <row r="223" spans="1:4" x14ac:dyDescent="0.25">
      <c r="A223" s="5">
        <f t="shared" si="15"/>
        <v>8</v>
      </c>
      <c r="B223" s="5">
        <f t="shared" si="16"/>
        <v>2013</v>
      </c>
      <c r="C223" s="9">
        <v>41496</v>
      </c>
      <c r="D223">
        <v>8.5</v>
      </c>
    </row>
    <row r="224" spans="1:4" x14ac:dyDescent="0.25">
      <c r="A224" s="5">
        <f t="shared" si="15"/>
        <v>8</v>
      </c>
      <c r="B224" s="5">
        <f t="shared" si="16"/>
        <v>2013</v>
      </c>
      <c r="C224" s="9">
        <v>41497</v>
      </c>
      <c r="D224">
        <v>8.5</v>
      </c>
    </row>
    <row r="225" spans="1:4" x14ac:dyDescent="0.25">
      <c r="A225" s="5">
        <f t="shared" si="15"/>
        <v>8</v>
      </c>
      <c r="B225" s="5">
        <f t="shared" si="16"/>
        <v>2013</v>
      </c>
      <c r="C225" s="9">
        <v>41498</v>
      </c>
      <c r="D225">
        <v>8.5</v>
      </c>
    </row>
    <row r="226" spans="1:4" x14ac:dyDescent="0.25">
      <c r="A226" s="5">
        <f t="shared" si="15"/>
        <v>8</v>
      </c>
      <c r="B226" s="5">
        <f t="shared" si="16"/>
        <v>2013</v>
      </c>
      <c r="C226" s="9">
        <v>41499</v>
      </c>
      <c r="D226">
        <v>8.5</v>
      </c>
    </row>
    <row r="227" spans="1:4" x14ac:dyDescent="0.25">
      <c r="A227" s="5">
        <f t="shared" si="15"/>
        <v>8</v>
      </c>
      <c r="B227" s="5">
        <f t="shared" si="16"/>
        <v>2013</v>
      </c>
      <c r="C227" s="9">
        <v>41500</v>
      </c>
      <c r="D227">
        <v>8.5</v>
      </c>
    </row>
    <row r="228" spans="1:4" x14ac:dyDescent="0.25">
      <c r="A228" s="5">
        <f t="shared" si="15"/>
        <v>8</v>
      </c>
      <c r="B228" s="5">
        <f t="shared" si="16"/>
        <v>2013</v>
      </c>
      <c r="C228" s="9">
        <v>41501</v>
      </c>
      <c r="D228">
        <v>8.5</v>
      </c>
    </row>
    <row r="229" spans="1:4" x14ac:dyDescent="0.25">
      <c r="A229" s="5">
        <f t="shared" si="15"/>
        <v>8</v>
      </c>
      <c r="B229" s="5">
        <f t="shared" si="16"/>
        <v>2013</v>
      </c>
      <c r="C229" s="9">
        <v>41502</v>
      </c>
      <c r="D229">
        <v>8.5</v>
      </c>
    </row>
    <row r="230" spans="1:4" x14ac:dyDescent="0.25">
      <c r="A230" s="5">
        <f t="shared" si="15"/>
        <v>8</v>
      </c>
      <c r="B230" s="5">
        <f t="shared" si="16"/>
        <v>2013</v>
      </c>
      <c r="C230" s="9">
        <v>41503</v>
      </c>
      <c r="D230">
        <v>8.5</v>
      </c>
    </row>
    <row r="231" spans="1:4" x14ac:dyDescent="0.25">
      <c r="A231" s="5">
        <f t="shared" si="15"/>
        <v>8</v>
      </c>
      <c r="B231" s="5">
        <f t="shared" si="16"/>
        <v>2013</v>
      </c>
      <c r="C231" s="9">
        <v>41504</v>
      </c>
      <c r="D231">
        <v>8.5</v>
      </c>
    </row>
    <row r="232" spans="1:4" x14ac:dyDescent="0.25">
      <c r="A232" s="5">
        <f t="shared" si="15"/>
        <v>8</v>
      </c>
      <c r="B232" s="5">
        <f t="shared" si="16"/>
        <v>2013</v>
      </c>
      <c r="C232" s="9">
        <v>41505</v>
      </c>
      <c r="D232">
        <v>8.5</v>
      </c>
    </row>
    <row r="233" spans="1:4" x14ac:dyDescent="0.25">
      <c r="A233" s="5">
        <f t="shared" si="15"/>
        <v>8</v>
      </c>
      <c r="B233" s="5">
        <f t="shared" si="16"/>
        <v>2013</v>
      </c>
      <c r="C233" s="9">
        <v>41506</v>
      </c>
      <c r="D233">
        <v>8.5</v>
      </c>
    </row>
    <row r="234" spans="1:4" x14ac:dyDescent="0.25">
      <c r="A234" s="5">
        <f t="shared" si="15"/>
        <v>8</v>
      </c>
      <c r="B234" s="5">
        <f t="shared" si="16"/>
        <v>2013</v>
      </c>
      <c r="C234" s="9">
        <v>41507</v>
      </c>
      <c r="D234">
        <v>8.5</v>
      </c>
    </row>
    <row r="235" spans="1:4" x14ac:dyDescent="0.25">
      <c r="A235" s="5">
        <f t="shared" si="15"/>
        <v>8</v>
      </c>
      <c r="B235" s="5">
        <f t="shared" si="16"/>
        <v>2013</v>
      </c>
      <c r="C235" s="9">
        <v>41508</v>
      </c>
      <c r="D235">
        <v>8.5</v>
      </c>
    </row>
    <row r="236" spans="1:4" x14ac:dyDescent="0.25">
      <c r="A236" s="5">
        <f t="shared" si="15"/>
        <v>8</v>
      </c>
      <c r="B236" s="5">
        <f t="shared" si="16"/>
        <v>2013</v>
      </c>
      <c r="C236" s="9">
        <v>41509</v>
      </c>
      <c r="D236">
        <v>8.5</v>
      </c>
    </row>
    <row r="237" spans="1:4" x14ac:dyDescent="0.25">
      <c r="A237" s="5">
        <f t="shared" si="15"/>
        <v>8</v>
      </c>
      <c r="B237" s="5">
        <f t="shared" si="16"/>
        <v>2013</v>
      </c>
      <c r="C237" s="9">
        <v>41510</v>
      </c>
      <c r="D237">
        <v>8.5</v>
      </c>
    </row>
    <row r="238" spans="1:4" x14ac:dyDescent="0.25">
      <c r="A238" s="5">
        <f t="shared" si="15"/>
        <v>8</v>
      </c>
      <c r="B238" s="5">
        <f t="shared" si="16"/>
        <v>2013</v>
      </c>
      <c r="C238" s="9">
        <v>41511</v>
      </c>
      <c r="D238">
        <v>8.5</v>
      </c>
    </row>
    <row r="239" spans="1:4" x14ac:dyDescent="0.25">
      <c r="A239" s="5">
        <f t="shared" si="15"/>
        <v>8</v>
      </c>
      <c r="B239" s="5">
        <f t="shared" si="16"/>
        <v>2013</v>
      </c>
      <c r="C239" s="9">
        <v>41512</v>
      </c>
      <c r="D239">
        <v>8.5</v>
      </c>
    </row>
    <row r="240" spans="1:4" x14ac:dyDescent="0.25">
      <c r="A240" s="5">
        <f t="shared" si="15"/>
        <v>8</v>
      </c>
      <c r="B240" s="5">
        <f t="shared" si="16"/>
        <v>2013</v>
      </c>
      <c r="C240" s="9">
        <v>41513</v>
      </c>
      <c r="D240">
        <v>8.5</v>
      </c>
    </row>
    <row r="241" spans="1:4" x14ac:dyDescent="0.25">
      <c r="A241" s="5">
        <f t="shared" si="15"/>
        <v>8</v>
      </c>
      <c r="B241" s="5">
        <f t="shared" si="16"/>
        <v>2013</v>
      </c>
      <c r="C241" s="9">
        <v>41514</v>
      </c>
      <c r="D241">
        <v>8.5</v>
      </c>
    </row>
    <row r="242" spans="1:4" x14ac:dyDescent="0.25">
      <c r="A242" s="5">
        <f t="shared" si="15"/>
        <v>8</v>
      </c>
      <c r="B242" s="5">
        <f t="shared" si="16"/>
        <v>2013</v>
      </c>
      <c r="C242" s="9">
        <v>41515</v>
      </c>
      <c r="D242">
        <v>9</v>
      </c>
    </row>
    <row r="243" spans="1:4" x14ac:dyDescent="0.25">
      <c r="A243" s="5">
        <f t="shared" si="15"/>
        <v>8</v>
      </c>
      <c r="B243" s="5">
        <f t="shared" si="16"/>
        <v>2013</v>
      </c>
      <c r="C243" s="9">
        <v>41516</v>
      </c>
      <c r="D243">
        <v>9</v>
      </c>
    </row>
    <row r="244" spans="1:4" x14ac:dyDescent="0.25">
      <c r="A244" s="5">
        <f t="shared" si="15"/>
        <v>8</v>
      </c>
      <c r="B244" s="5">
        <f t="shared" si="16"/>
        <v>2013</v>
      </c>
      <c r="C244" s="9">
        <v>41517</v>
      </c>
      <c r="D244">
        <v>9</v>
      </c>
    </row>
    <row r="245" spans="1:4" x14ac:dyDescent="0.25">
      <c r="A245" s="5">
        <f t="shared" si="15"/>
        <v>9</v>
      </c>
      <c r="B245" s="5">
        <f t="shared" si="16"/>
        <v>2013</v>
      </c>
      <c r="C245" s="9">
        <v>41518</v>
      </c>
      <c r="D245">
        <v>9</v>
      </c>
    </row>
    <row r="246" spans="1:4" x14ac:dyDescent="0.25">
      <c r="A246" s="5">
        <f t="shared" si="15"/>
        <v>9</v>
      </c>
      <c r="B246" s="5">
        <f t="shared" si="16"/>
        <v>2013</v>
      </c>
      <c r="C246" s="9">
        <v>41519</v>
      </c>
      <c r="D246">
        <v>9</v>
      </c>
    </row>
    <row r="247" spans="1:4" x14ac:dyDescent="0.25">
      <c r="A247" s="5">
        <f t="shared" si="15"/>
        <v>9</v>
      </c>
      <c r="B247" s="5">
        <f t="shared" si="16"/>
        <v>2013</v>
      </c>
      <c r="C247" s="9">
        <v>41520</v>
      </c>
      <c r="D247">
        <v>9</v>
      </c>
    </row>
    <row r="248" spans="1:4" x14ac:dyDescent="0.25">
      <c r="A248" s="5">
        <f t="shared" si="15"/>
        <v>9</v>
      </c>
      <c r="B248" s="5">
        <f t="shared" si="16"/>
        <v>2013</v>
      </c>
      <c r="C248" s="9">
        <v>41521</v>
      </c>
      <c r="D248">
        <v>9</v>
      </c>
    </row>
    <row r="249" spans="1:4" x14ac:dyDescent="0.25">
      <c r="A249" s="5">
        <f t="shared" si="15"/>
        <v>9</v>
      </c>
      <c r="B249" s="5">
        <f t="shared" si="16"/>
        <v>2013</v>
      </c>
      <c r="C249" s="9">
        <v>41522</v>
      </c>
      <c r="D249">
        <v>9</v>
      </c>
    </row>
    <row r="250" spans="1:4" x14ac:dyDescent="0.25">
      <c r="A250" s="5">
        <f t="shared" si="15"/>
        <v>9</v>
      </c>
      <c r="B250" s="5">
        <f t="shared" si="16"/>
        <v>2013</v>
      </c>
      <c r="C250" s="9">
        <v>41523</v>
      </c>
      <c r="D250">
        <v>9</v>
      </c>
    </row>
    <row r="251" spans="1:4" x14ac:dyDescent="0.25">
      <c r="A251" s="5">
        <f t="shared" si="15"/>
        <v>9</v>
      </c>
      <c r="B251" s="5">
        <f t="shared" si="16"/>
        <v>2013</v>
      </c>
      <c r="C251" s="9">
        <v>41524</v>
      </c>
      <c r="D251">
        <v>9</v>
      </c>
    </row>
    <row r="252" spans="1:4" x14ac:dyDescent="0.25">
      <c r="A252" s="5">
        <f t="shared" si="15"/>
        <v>9</v>
      </c>
      <c r="B252" s="5">
        <f t="shared" si="16"/>
        <v>2013</v>
      </c>
      <c r="C252" s="9">
        <v>41525</v>
      </c>
      <c r="D252">
        <v>9</v>
      </c>
    </row>
    <row r="253" spans="1:4" x14ac:dyDescent="0.25">
      <c r="A253" s="5">
        <f t="shared" si="15"/>
        <v>9</v>
      </c>
      <c r="B253" s="5">
        <f t="shared" si="16"/>
        <v>2013</v>
      </c>
      <c r="C253" s="9">
        <v>41526</v>
      </c>
      <c r="D253">
        <v>9</v>
      </c>
    </row>
    <row r="254" spans="1:4" x14ac:dyDescent="0.25">
      <c r="A254" s="5">
        <f t="shared" si="15"/>
        <v>9</v>
      </c>
      <c r="B254" s="5">
        <f t="shared" si="16"/>
        <v>2013</v>
      </c>
      <c r="C254" s="9">
        <v>41527</v>
      </c>
      <c r="D254">
        <v>9</v>
      </c>
    </row>
    <row r="255" spans="1:4" x14ac:dyDescent="0.25">
      <c r="A255" s="5">
        <f t="shared" si="15"/>
        <v>9</v>
      </c>
      <c r="B255" s="5">
        <f t="shared" si="16"/>
        <v>2013</v>
      </c>
      <c r="C255" s="9">
        <v>41528</v>
      </c>
      <c r="D255">
        <v>9</v>
      </c>
    </row>
    <row r="256" spans="1:4" x14ac:dyDescent="0.25">
      <c r="A256" s="5">
        <f t="shared" si="15"/>
        <v>9</v>
      </c>
      <c r="B256" s="5">
        <f t="shared" si="16"/>
        <v>2013</v>
      </c>
      <c r="C256" s="9">
        <v>41529</v>
      </c>
      <c r="D256">
        <v>9</v>
      </c>
    </row>
    <row r="257" spans="1:4" x14ac:dyDescent="0.25">
      <c r="A257" s="5">
        <f t="shared" si="15"/>
        <v>9</v>
      </c>
      <c r="B257" s="5">
        <f t="shared" si="16"/>
        <v>2013</v>
      </c>
      <c r="C257" s="9">
        <v>41530</v>
      </c>
      <c r="D257">
        <v>9</v>
      </c>
    </row>
    <row r="258" spans="1:4" x14ac:dyDescent="0.25">
      <c r="A258" s="5">
        <f t="shared" si="15"/>
        <v>9</v>
      </c>
      <c r="B258" s="5">
        <f t="shared" si="16"/>
        <v>2013</v>
      </c>
      <c r="C258" s="9">
        <v>41531</v>
      </c>
      <c r="D258">
        <v>9</v>
      </c>
    </row>
    <row r="259" spans="1:4" x14ac:dyDescent="0.25">
      <c r="A259" s="5">
        <f t="shared" ref="A259:A322" si="17">MONTH(C259)</f>
        <v>9</v>
      </c>
      <c r="B259" s="5">
        <f t="shared" ref="B259:B322" si="18">YEAR(C259)</f>
        <v>2013</v>
      </c>
      <c r="C259" s="9">
        <v>41532</v>
      </c>
      <c r="D259">
        <v>9</v>
      </c>
    </row>
    <row r="260" spans="1:4" x14ac:dyDescent="0.25">
      <c r="A260" s="5">
        <f t="shared" si="17"/>
        <v>9</v>
      </c>
      <c r="B260" s="5">
        <f t="shared" si="18"/>
        <v>2013</v>
      </c>
      <c r="C260" s="9">
        <v>41533</v>
      </c>
      <c r="D260">
        <v>9</v>
      </c>
    </row>
    <row r="261" spans="1:4" x14ac:dyDescent="0.25">
      <c r="A261" s="5">
        <f t="shared" si="17"/>
        <v>9</v>
      </c>
      <c r="B261" s="5">
        <f t="shared" si="18"/>
        <v>2013</v>
      </c>
      <c r="C261" s="9">
        <v>41534</v>
      </c>
      <c r="D261">
        <v>9</v>
      </c>
    </row>
    <row r="262" spans="1:4" x14ac:dyDescent="0.25">
      <c r="A262" s="5">
        <f t="shared" si="17"/>
        <v>9</v>
      </c>
      <c r="B262" s="5">
        <f t="shared" si="18"/>
        <v>2013</v>
      </c>
      <c r="C262" s="9">
        <v>41535</v>
      </c>
      <c r="D262">
        <v>9</v>
      </c>
    </row>
    <row r="263" spans="1:4" x14ac:dyDescent="0.25">
      <c r="A263" s="5">
        <f t="shared" si="17"/>
        <v>9</v>
      </c>
      <c r="B263" s="5">
        <f t="shared" si="18"/>
        <v>2013</v>
      </c>
      <c r="C263" s="9">
        <v>41536</v>
      </c>
      <c r="D263">
        <v>9</v>
      </c>
    </row>
    <row r="264" spans="1:4" x14ac:dyDescent="0.25">
      <c r="A264" s="5">
        <f t="shared" si="17"/>
        <v>9</v>
      </c>
      <c r="B264" s="5">
        <f t="shared" si="18"/>
        <v>2013</v>
      </c>
      <c r="C264" s="9">
        <v>41537</v>
      </c>
      <c r="D264">
        <v>9</v>
      </c>
    </row>
    <row r="265" spans="1:4" x14ac:dyDescent="0.25">
      <c r="A265" s="5">
        <f t="shared" si="17"/>
        <v>9</v>
      </c>
      <c r="B265" s="5">
        <f t="shared" si="18"/>
        <v>2013</v>
      </c>
      <c r="C265" s="9">
        <v>41538</v>
      </c>
      <c r="D265">
        <v>9</v>
      </c>
    </row>
    <row r="266" spans="1:4" x14ac:dyDescent="0.25">
      <c r="A266" s="5">
        <f t="shared" si="17"/>
        <v>9</v>
      </c>
      <c r="B266" s="5">
        <f t="shared" si="18"/>
        <v>2013</v>
      </c>
      <c r="C266" s="9">
        <v>41539</v>
      </c>
      <c r="D266">
        <v>9</v>
      </c>
    </row>
    <row r="267" spans="1:4" x14ac:dyDescent="0.25">
      <c r="A267" s="5">
        <f t="shared" si="17"/>
        <v>9</v>
      </c>
      <c r="B267" s="5">
        <f t="shared" si="18"/>
        <v>2013</v>
      </c>
      <c r="C267" s="9">
        <v>41540</v>
      </c>
      <c r="D267">
        <v>9</v>
      </c>
    </row>
    <row r="268" spans="1:4" x14ac:dyDescent="0.25">
      <c r="A268" s="5">
        <f t="shared" si="17"/>
        <v>9</v>
      </c>
      <c r="B268" s="5">
        <f t="shared" si="18"/>
        <v>2013</v>
      </c>
      <c r="C268" s="9">
        <v>41541</v>
      </c>
      <c r="D268">
        <v>9</v>
      </c>
    </row>
    <row r="269" spans="1:4" x14ac:dyDescent="0.25">
      <c r="A269" s="5">
        <f t="shared" si="17"/>
        <v>9</v>
      </c>
      <c r="B269" s="5">
        <f t="shared" si="18"/>
        <v>2013</v>
      </c>
      <c r="C269" s="9">
        <v>41542</v>
      </c>
      <c r="D269">
        <v>9</v>
      </c>
    </row>
    <row r="270" spans="1:4" x14ac:dyDescent="0.25">
      <c r="A270" s="5">
        <f t="shared" si="17"/>
        <v>9</v>
      </c>
      <c r="B270" s="5">
        <f t="shared" si="18"/>
        <v>2013</v>
      </c>
      <c r="C270" s="9">
        <v>41543</v>
      </c>
      <c r="D270">
        <v>9</v>
      </c>
    </row>
    <row r="271" spans="1:4" x14ac:dyDescent="0.25">
      <c r="A271" s="5">
        <f t="shared" si="17"/>
        <v>9</v>
      </c>
      <c r="B271" s="5">
        <f t="shared" si="18"/>
        <v>2013</v>
      </c>
      <c r="C271" s="9">
        <v>41544</v>
      </c>
      <c r="D271">
        <v>9</v>
      </c>
    </row>
    <row r="272" spans="1:4" x14ac:dyDescent="0.25">
      <c r="A272" s="5">
        <f t="shared" si="17"/>
        <v>9</v>
      </c>
      <c r="B272" s="5">
        <f t="shared" si="18"/>
        <v>2013</v>
      </c>
      <c r="C272" s="9">
        <v>41545</v>
      </c>
      <c r="D272">
        <v>9</v>
      </c>
    </row>
    <row r="273" spans="1:4" x14ac:dyDescent="0.25">
      <c r="A273" s="5">
        <f t="shared" si="17"/>
        <v>9</v>
      </c>
      <c r="B273" s="5">
        <f t="shared" si="18"/>
        <v>2013</v>
      </c>
      <c r="C273" s="9">
        <v>41546</v>
      </c>
      <c r="D273">
        <v>9</v>
      </c>
    </row>
    <row r="274" spans="1:4" x14ac:dyDescent="0.25">
      <c r="A274" s="5">
        <f t="shared" si="17"/>
        <v>9</v>
      </c>
      <c r="B274" s="5">
        <f t="shared" si="18"/>
        <v>2013</v>
      </c>
      <c r="C274" s="9">
        <v>41547</v>
      </c>
      <c r="D274">
        <v>9</v>
      </c>
    </row>
    <row r="275" spans="1:4" x14ac:dyDescent="0.25">
      <c r="A275" s="5">
        <f t="shared" si="17"/>
        <v>10</v>
      </c>
      <c r="B275" s="5">
        <f t="shared" si="18"/>
        <v>2013</v>
      </c>
      <c r="C275" s="9">
        <v>41548</v>
      </c>
      <c r="D275">
        <v>9</v>
      </c>
    </row>
    <row r="276" spans="1:4" x14ac:dyDescent="0.25">
      <c r="A276" s="5">
        <f t="shared" si="17"/>
        <v>10</v>
      </c>
      <c r="B276" s="5">
        <f t="shared" si="18"/>
        <v>2013</v>
      </c>
      <c r="C276" s="9">
        <v>41549</v>
      </c>
      <c r="D276">
        <v>9</v>
      </c>
    </row>
    <row r="277" spans="1:4" x14ac:dyDescent="0.25">
      <c r="A277" s="5">
        <f t="shared" si="17"/>
        <v>10</v>
      </c>
      <c r="B277" s="5">
        <f t="shared" si="18"/>
        <v>2013</v>
      </c>
      <c r="C277" s="9">
        <v>41550</v>
      </c>
      <c r="D277">
        <v>9</v>
      </c>
    </row>
    <row r="278" spans="1:4" x14ac:dyDescent="0.25">
      <c r="A278" s="5">
        <f t="shared" si="17"/>
        <v>10</v>
      </c>
      <c r="B278" s="5">
        <f t="shared" si="18"/>
        <v>2013</v>
      </c>
      <c r="C278" s="9">
        <v>41551</v>
      </c>
      <c r="D278">
        <v>9</v>
      </c>
    </row>
    <row r="279" spans="1:4" x14ac:dyDescent="0.25">
      <c r="A279" s="5">
        <f t="shared" si="17"/>
        <v>10</v>
      </c>
      <c r="B279" s="5">
        <f t="shared" si="18"/>
        <v>2013</v>
      </c>
      <c r="C279" s="9">
        <v>41552</v>
      </c>
      <c r="D279">
        <v>9</v>
      </c>
    </row>
    <row r="280" spans="1:4" x14ac:dyDescent="0.25">
      <c r="A280" s="5">
        <f t="shared" si="17"/>
        <v>10</v>
      </c>
      <c r="B280" s="5">
        <f t="shared" si="18"/>
        <v>2013</v>
      </c>
      <c r="C280" s="9">
        <v>41553</v>
      </c>
      <c r="D280">
        <v>9</v>
      </c>
    </row>
    <row r="281" spans="1:4" x14ac:dyDescent="0.25">
      <c r="A281" s="5">
        <f t="shared" si="17"/>
        <v>10</v>
      </c>
      <c r="B281" s="5">
        <f t="shared" si="18"/>
        <v>2013</v>
      </c>
      <c r="C281" s="9">
        <v>41554</v>
      </c>
      <c r="D281">
        <v>9</v>
      </c>
    </row>
    <row r="282" spans="1:4" x14ac:dyDescent="0.25">
      <c r="A282" s="5">
        <f t="shared" si="17"/>
        <v>10</v>
      </c>
      <c r="B282" s="5">
        <f t="shared" si="18"/>
        <v>2013</v>
      </c>
      <c r="C282" s="9">
        <v>41555</v>
      </c>
      <c r="D282">
        <v>9</v>
      </c>
    </row>
    <row r="283" spans="1:4" x14ac:dyDescent="0.25">
      <c r="A283" s="5">
        <f t="shared" si="17"/>
        <v>10</v>
      </c>
      <c r="B283" s="5">
        <f t="shared" si="18"/>
        <v>2013</v>
      </c>
      <c r="C283" s="9">
        <v>41556</v>
      </c>
      <c r="D283">
        <v>9</v>
      </c>
    </row>
    <row r="284" spans="1:4" x14ac:dyDescent="0.25">
      <c r="A284" s="5">
        <f t="shared" si="17"/>
        <v>10</v>
      </c>
      <c r="B284" s="5">
        <f t="shared" si="18"/>
        <v>2013</v>
      </c>
      <c r="C284" s="9">
        <v>41557</v>
      </c>
      <c r="D284">
        <v>9.5</v>
      </c>
    </row>
    <row r="285" spans="1:4" x14ac:dyDescent="0.25">
      <c r="A285" s="5">
        <f t="shared" si="17"/>
        <v>10</v>
      </c>
      <c r="B285" s="5">
        <f t="shared" si="18"/>
        <v>2013</v>
      </c>
      <c r="C285" s="9">
        <v>41558</v>
      </c>
      <c r="D285">
        <v>9.5</v>
      </c>
    </row>
    <row r="286" spans="1:4" x14ac:dyDescent="0.25">
      <c r="A286" s="5">
        <f t="shared" si="17"/>
        <v>10</v>
      </c>
      <c r="B286" s="5">
        <f t="shared" si="18"/>
        <v>2013</v>
      </c>
      <c r="C286" s="9">
        <v>41559</v>
      </c>
      <c r="D286">
        <v>9.5</v>
      </c>
    </row>
    <row r="287" spans="1:4" x14ac:dyDescent="0.25">
      <c r="A287" s="5">
        <f t="shared" si="17"/>
        <v>10</v>
      </c>
      <c r="B287" s="5">
        <f t="shared" si="18"/>
        <v>2013</v>
      </c>
      <c r="C287" s="9">
        <v>41560</v>
      </c>
      <c r="D287">
        <v>9.5</v>
      </c>
    </row>
    <row r="288" spans="1:4" x14ac:dyDescent="0.25">
      <c r="A288" s="5">
        <f t="shared" si="17"/>
        <v>10</v>
      </c>
      <c r="B288" s="5">
        <f t="shared" si="18"/>
        <v>2013</v>
      </c>
      <c r="C288" s="9">
        <v>41561</v>
      </c>
      <c r="D288">
        <v>9.5</v>
      </c>
    </row>
    <row r="289" spans="1:4" x14ac:dyDescent="0.25">
      <c r="A289" s="5">
        <f t="shared" si="17"/>
        <v>10</v>
      </c>
      <c r="B289" s="5">
        <f t="shared" si="18"/>
        <v>2013</v>
      </c>
      <c r="C289" s="9">
        <v>41562</v>
      </c>
      <c r="D289">
        <v>9.5</v>
      </c>
    </row>
    <row r="290" spans="1:4" x14ac:dyDescent="0.25">
      <c r="A290" s="5">
        <f t="shared" si="17"/>
        <v>10</v>
      </c>
      <c r="B290" s="5">
        <f t="shared" si="18"/>
        <v>2013</v>
      </c>
      <c r="C290" s="9">
        <v>41563</v>
      </c>
      <c r="D290">
        <v>9.5</v>
      </c>
    </row>
    <row r="291" spans="1:4" x14ac:dyDescent="0.25">
      <c r="A291" s="5">
        <f t="shared" si="17"/>
        <v>10</v>
      </c>
      <c r="B291" s="5">
        <f t="shared" si="18"/>
        <v>2013</v>
      </c>
      <c r="C291" s="9">
        <v>41564</v>
      </c>
      <c r="D291">
        <v>9.5</v>
      </c>
    </row>
    <row r="292" spans="1:4" x14ac:dyDescent="0.25">
      <c r="A292" s="5">
        <f t="shared" si="17"/>
        <v>10</v>
      </c>
      <c r="B292" s="5">
        <f t="shared" si="18"/>
        <v>2013</v>
      </c>
      <c r="C292" s="9">
        <v>41565</v>
      </c>
      <c r="D292">
        <v>9.5</v>
      </c>
    </row>
    <row r="293" spans="1:4" x14ac:dyDescent="0.25">
      <c r="A293" s="5">
        <f t="shared" si="17"/>
        <v>10</v>
      </c>
      <c r="B293" s="5">
        <f t="shared" si="18"/>
        <v>2013</v>
      </c>
      <c r="C293" s="9">
        <v>41566</v>
      </c>
      <c r="D293">
        <v>9.5</v>
      </c>
    </row>
    <row r="294" spans="1:4" x14ac:dyDescent="0.25">
      <c r="A294" s="5">
        <f t="shared" si="17"/>
        <v>10</v>
      </c>
      <c r="B294" s="5">
        <f t="shared" si="18"/>
        <v>2013</v>
      </c>
      <c r="C294" s="9">
        <v>41567</v>
      </c>
      <c r="D294">
        <v>9.5</v>
      </c>
    </row>
    <row r="295" spans="1:4" x14ac:dyDescent="0.25">
      <c r="A295" s="5">
        <f t="shared" si="17"/>
        <v>10</v>
      </c>
      <c r="B295" s="5">
        <f t="shared" si="18"/>
        <v>2013</v>
      </c>
      <c r="C295" s="9">
        <v>41568</v>
      </c>
      <c r="D295">
        <v>9.5</v>
      </c>
    </row>
    <row r="296" spans="1:4" x14ac:dyDescent="0.25">
      <c r="A296" s="5">
        <f t="shared" si="17"/>
        <v>10</v>
      </c>
      <c r="B296" s="5">
        <f t="shared" si="18"/>
        <v>2013</v>
      </c>
      <c r="C296" s="9">
        <v>41569</v>
      </c>
      <c r="D296">
        <v>9.5</v>
      </c>
    </row>
    <row r="297" spans="1:4" x14ac:dyDescent="0.25">
      <c r="A297" s="5">
        <f t="shared" si="17"/>
        <v>10</v>
      </c>
      <c r="B297" s="5">
        <f t="shared" si="18"/>
        <v>2013</v>
      </c>
      <c r="C297" s="9">
        <v>41570</v>
      </c>
      <c r="D297">
        <v>9.5</v>
      </c>
    </row>
    <row r="298" spans="1:4" x14ac:dyDescent="0.25">
      <c r="A298" s="5">
        <f t="shared" si="17"/>
        <v>10</v>
      </c>
      <c r="B298" s="5">
        <f t="shared" si="18"/>
        <v>2013</v>
      </c>
      <c r="C298" s="9">
        <v>41571</v>
      </c>
      <c r="D298">
        <v>9.5</v>
      </c>
    </row>
    <row r="299" spans="1:4" x14ac:dyDescent="0.25">
      <c r="A299" s="5">
        <f t="shared" si="17"/>
        <v>10</v>
      </c>
      <c r="B299" s="5">
        <f t="shared" si="18"/>
        <v>2013</v>
      </c>
      <c r="C299" s="9">
        <v>41572</v>
      </c>
      <c r="D299">
        <v>9.5</v>
      </c>
    </row>
    <row r="300" spans="1:4" x14ac:dyDescent="0.25">
      <c r="A300" s="5">
        <f t="shared" si="17"/>
        <v>10</v>
      </c>
      <c r="B300" s="5">
        <f t="shared" si="18"/>
        <v>2013</v>
      </c>
      <c r="C300" s="9">
        <v>41573</v>
      </c>
      <c r="D300">
        <v>9.5</v>
      </c>
    </row>
    <row r="301" spans="1:4" x14ac:dyDescent="0.25">
      <c r="A301" s="5">
        <f t="shared" si="17"/>
        <v>10</v>
      </c>
      <c r="B301" s="5">
        <f t="shared" si="18"/>
        <v>2013</v>
      </c>
      <c r="C301" s="9">
        <v>41574</v>
      </c>
      <c r="D301">
        <v>9.5</v>
      </c>
    </row>
    <row r="302" spans="1:4" x14ac:dyDescent="0.25">
      <c r="A302" s="5">
        <f t="shared" si="17"/>
        <v>10</v>
      </c>
      <c r="B302" s="5">
        <f t="shared" si="18"/>
        <v>2013</v>
      </c>
      <c r="C302" s="9">
        <v>41575</v>
      </c>
      <c r="D302">
        <v>9.5</v>
      </c>
    </row>
    <row r="303" spans="1:4" x14ac:dyDescent="0.25">
      <c r="A303" s="5">
        <f t="shared" si="17"/>
        <v>10</v>
      </c>
      <c r="B303" s="5">
        <f t="shared" si="18"/>
        <v>2013</v>
      </c>
      <c r="C303" s="9">
        <v>41576</v>
      </c>
      <c r="D303">
        <v>9.5</v>
      </c>
    </row>
    <row r="304" spans="1:4" x14ac:dyDescent="0.25">
      <c r="A304" s="5">
        <f t="shared" si="17"/>
        <v>10</v>
      </c>
      <c r="B304" s="5">
        <f t="shared" si="18"/>
        <v>2013</v>
      </c>
      <c r="C304" s="9">
        <v>41577</v>
      </c>
      <c r="D304">
        <v>9.5</v>
      </c>
    </row>
    <row r="305" spans="1:4" x14ac:dyDescent="0.25">
      <c r="A305" s="5">
        <f t="shared" si="17"/>
        <v>10</v>
      </c>
      <c r="B305" s="5">
        <f t="shared" si="18"/>
        <v>2013</v>
      </c>
      <c r="C305" s="9">
        <v>41578</v>
      </c>
      <c r="D305">
        <v>9.5</v>
      </c>
    </row>
    <row r="306" spans="1:4" x14ac:dyDescent="0.25">
      <c r="A306" s="5">
        <f t="shared" si="17"/>
        <v>11</v>
      </c>
      <c r="B306" s="5">
        <f t="shared" si="18"/>
        <v>2013</v>
      </c>
      <c r="C306" s="9">
        <v>41579</v>
      </c>
      <c r="D306">
        <v>9.5</v>
      </c>
    </row>
    <row r="307" spans="1:4" x14ac:dyDescent="0.25">
      <c r="A307" s="5">
        <f t="shared" si="17"/>
        <v>11</v>
      </c>
      <c r="B307" s="5">
        <f t="shared" si="18"/>
        <v>2013</v>
      </c>
      <c r="C307" s="9">
        <v>41580</v>
      </c>
      <c r="D307">
        <v>9.5</v>
      </c>
    </row>
    <row r="308" spans="1:4" x14ac:dyDescent="0.25">
      <c r="A308" s="5">
        <f t="shared" si="17"/>
        <v>11</v>
      </c>
      <c r="B308" s="5">
        <f t="shared" si="18"/>
        <v>2013</v>
      </c>
      <c r="C308" s="9">
        <v>41581</v>
      </c>
      <c r="D308">
        <v>9.5</v>
      </c>
    </row>
    <row r="309" spans="1:4" x14ac:dyDescent="0.25">
      <c r="A309" s="5">
        <f t="shared" si="17"/>
        <v>11</v>
      </c>
      <c r="B309" s="5">
        <f t="shared" si="18"/>
        <v>2013</v>
      </c>
      <c r="C309" s="9">
        <v>41582</v>
      </c>
      <c r="D309">
        <v>9.5</v>
      </c>
    </row>
    <row r="310" spans="1:4" x14ac:dyDescent="0.25">
      <c r="A310" s="5">
        <f t="shared" si="17"/>
        <v>11</v>
      </c>
      <c r="B310" s="5">
        <f t="shared" si="18"/>
        <v>2013</v>
      </c>
      <c r="C310" s="9">
        <v>41583</v>
      </c>
      <c r="D310">
        <v>9.5</v>
      </c>
    </row>
    <row r="311" spans="1:4" x14ac:dyDescent="0.25">
      <c r="A311" s="5">
        <f t="shared" si="17"/>
        <v>11</v>
      </c>
      <c r="B311" s="5">
        <f t="shared" si="18"/>
        <v>2013</v>
      </c>
      <c r="C311" s="9">
        <v>41584</v>
      </c>
      <c r="D311">
        <v>9.5</v>
      </c>
    </row>
    <row r="312" spans="1:4" x14ac:dyDescent="0.25">
      <c r="A312" s="5">
        <f t="shared" si="17"/>
        <v>11</v>
      </c>
      <c r="B312" s="5">
        <f t="shared" si="18"/>
        <v>2013</v>
      </c>
      <c r="C312" s="9">
        <v>41585</v>
      </c>
      <c r="D312">
        <v>9.5</v>
      </c>
    </row>
    <row r="313" spans="1:4" x14ac:dyDescent="0.25">
      <c r="A313" s="5">
        <f t="shared" si="17"/>
        <v>11</v>
      </c>
      <c r="B313" s="5">
        <f t="shared" si="18"/>
        <v>2013</v>
      </c>
      <c r="C313" s="9">
        <v>41586</v>
      </c>
      <c r="D313">
        <v>9.5</v>
      </c>
    </row>
    <row r="314" spans="1:4" x14ac:dyDescent="0.25">
      <c r="A314" s="5">
        <f t="shared" si="17"/>
        <v>11</v>
      </c>
      <c r="B314" s="5">
        <f t="shared" si="18"/>
        <v>2013</v>
      </c>
      <c r="C314" s="9">
        <v>41587</v>
      </c>
      <c r="D314">
        <v>9.5</v>
      </c>
    </row>
    <row r="315" spans="1:4" x14ac:dyDescent="0.25">
      <c r="A315" s="5">
        <f t="shared" si="17"/>
        <v>11</v>
      </c>
      <c r="B315" s="5">
        <f t="shared" si="18"/>
        <v>2013</v>
      </c>
      <c r="C315" s="9">
        <v>41588</v>
      </c>
      <c r="D315">
        <v>9.5</v>
      </c>
    </row>
    <row r="316" spans="1:4" x14ac:dyDescent="0.25">
      <c r="A316" s="5">
        <f t="shared" si="17"/>
        <v>11</v>
      </c>
      <c r="B316" s="5">
        <f t="shared" si="18"/>
        <v>2013</v>
      </c>
      <c r="C316" s="9">
        <v>41589</v>
      </c>
      <c r="D316">
        <v>9.5</v>
      </c>
    </row>
    <row r="317" spans="1:4" x14ac:dyDescent="0.25">
      <c r="A317" s="5">
        <f t="shared" si="17"/>
        <v>11</v>
      </c>
      <c r="B317" s="5">
        <f t="shared" si="18"/>
        <v>2013</v>
      </c>
      <c r="C317" s="9">
        <v>41590</v>
      </c>
      <c r="D317">
        <v>9.5</v>
      </c>
    </row>
    <row r="318" spans="1:4" x14ac:dyDescent="0.25">
      <c r="A318" s="5">
        <f t="shared" si="17"/>
        <v>11</v>
      </c>
      <c r="B318" s="5">
        <f t="shared" si="18"/>
        <v>2013</v>
      </c>
      <c r="C318" s="9">
        <v>41591</v>
      </c>
      <c r="D318">
        <v>9.5</v>
      </c>
    </row>
    <row r="319" spans="1:4" x14ac:dyDescent="0.25">
      <c r="A319" s="5">
        <f t="shared" si="17"/>
        <v>11</v>
      </c>
      <c r="B319" s="5">
        <f t="shared" si="18"/>
        <v>2013</v>
      </c>
      <c r="C319" s="9">
        <v>41592</v>
      </c>
      <c r="D319">
        <v>9.5</v>
      </c>
    </row>
    <row r="320" spans="1:4" x14ac:dyDescent="0.25">
      <c r="A320" s="5">
        <f t="shared" si="17"/>
        <v>11</v>
      </c>
      <c r="B320" s="5">
        <f t="shared" si="18"/>
        <v>2013</v>
      </c>
      <c r="C320" s="9">
        <v>41593</v>
      </c>
      <c r="D320">
        <v>9.5</v>
      </c>
    </row>
    <row r="321" spans="1:4" x14ac:dyDescent="0.25">
      <c r="A321" s="5">
        <f t="shared" si="17"/>
        <v>11</v>
      </c>
      <c r="B321" s="5">
        <f t="shared" si="18"/>
        <v>2013</v>
      </c>
      <c r="C321" s="9">
        <v>41594</v>
      </c>
      <c r="D321">
        <v>9.5</v>
      </c>
    </row>
    <row r="322" spans="1:4" x14ac:dyDescent="0.25">
      <c r="A322" s="5">
        <f t="shared" si="17"/>
        <v>11</v>
      </c>
      <c r="B322" s="5">
        <f t="shared" si="18"/>
        <v>2013</v>
      </c>
      <c r="C322" s="9">
        <v>41595</v>
      </c>
      <c r="D322">
        <v>9.5</v>
      </c>
    </row>
    <row r="323" spans="1:4" x14ac:dyDescent="0.25">
      <c r="A323" s="5">
        <f t="shared" ref="A323:A386" si="19">MONTH(C323)</f>
        <v>11</v>
      </c>
      <c r="B323" s="5">
        <f t="shared" ref="B323:B386" si="20">YEAR(C323)</f>
        <v>2013</v>
      </c>
      <c r="C323" s="9">
        <v>41596</v>
      </c>
      <c r="D323">
        <v>9.5</v>
      </c>
    </row>
    <row r="324" spans="1:4" x14ac:dyDescent="0.25">
      <c r="A324" s="5">
        <f t="shared" si="19"/>
        <v>11</v>
      </c>
      <c r="B324" s="5">
        <f t="shared" si="20"/>
        <v>2013</v>
      </c>
      <c r="C324" s="9">
        <v>41597</v>
      </c>
      <c r="D324">
        <v>9.5</v>
      </c>
    </row>
    <row r="325" spans="1:4" x14ac:dyDescent="0.25">
      <c r="A325" s="5">
        <f t="shared" si="19"/>
        <v>11</v>
      </c>
      <c r="B325" s="5">
        <f t="shared" si="20"/>
        <v>2013</v>
      </c>
      <c r="C325" s="9">
        <v>41598</v>
      </c>
      <c r="D325">
        <v>9.5</v>
      </c>
    </row>
    <row r="326" spans="1:4" x14ac:dyDescent="0.25">
      <c r="A326" s="5">
        <f t="shared" si="19"/>
        <v>11</v>
      </c>
      <c r="B326" s="5">
        <f t="shared" si="20"/>
        <v>2013</v>
      </c>
      <c r="C326" s="9">
        <v>41599</v>
      </c>
      <c r="D326">
        <v>9.5</v>
      </c>
    </row>
    <row r="327" spans="1:4" x14ac:dyDescent="0.25">
      <c r="A327" s="5">
        <f t="shared" si="19"/>
        <v>11</v>
      </c>
      <c r="B327" s="5">
        <f t="shared" si="20"/>
        <v>2013</v>
      </c>
      <c r="C327" s="9">
        <v>41600</v>
      </c>
      <c r="D327">
        <v>9.5</v>
      </c>
    </row>
    <row r="328" spans="1:4" x14ac:dyDescent="0.25">
      <c r="A328" s="5">
        <f t="shared" si="19"/>
        <v>11</v>
      </c>
      <c r="B328" s="5">
        <f t="shared" si="20"/>
        <v>2013</v>
      </c>
      <c r="C328" s="9">
        <v>41601</v>
      </c>
      <c r="D328">
        <v>9.5</v>
      </c>
    </row>
    <row r="329" spans="1:4" x14ac:dyDescent="0.25">
      <c r="A329" s="5">
        <f t="shared" si="19"/>
        <v>11</v>
      </c>
      <c r="B329" s="5">
        <f t="shared" si="20"/>
        <v>2013</v>
      </c>
      <c r="C329" s="9">
        <v>41602</v>
      </c>
      <c r="D329">
        <v>9.5</v>
      </c>
    </row>
    <row r="330" spans="1:4" x14ac:dyDescent="0.25">
      <c r="A330" s="5">
        <f t="shared" si="19"/>
        <v>11</v>
      </c>
      <c r="B330" s="5">
        <f t="shared" si="20"/>
        <v>2013</v>
      </c>
      <c r="C330" s="9">
        <v>41603</v>
      </c>
      <c r="D330">
        <v>9.5</v>
      </c>
    </row>
    <row r="331" spans="1:4" x14ac:dyDescent="0.25">
      <c r="A331" s="5">
        <f t="shared" si="19"/>
        <v>11</v>
      </c>
      <c r="B331" s="5">
        <f t="shared" si="20"/>
        <v>2013</v>
      </c>
      <c r="C331" s="9">
        <v>41604</v>
      </c>
      <c r="D331">
        <v>9.5</v>
      </c>
    </row>
    <row r="332" spans="1:4" x14ac:dyDescent="0.25">
      <c r="A332" s="5">
        <f t="shared" si="19"/>
        <v>11</v>
      </c>
      <c r="B332" s="5">
        <f t="shared" si="20"/>
        <v>2013</v>
      </c>
      <c r="C332" s="9">
        <v>41605</v>
      </c>
      <c r="D332">
        <v>9.5</v>
      </c>
    </row>
    <row r="333" spans="1:4" x14ac:dyDescent="0.25">
      <c r="A333" s="5">
        <f t="shared" si="19"/>
        <v>11</v>
      </c>
      <c r="B333" s="5">
        <f t="shared" si="20"/>
        <v>2013</v>
      </c>
      <c r="C333" s="9">
        <v>41606</v>
      </c>
      <c r="D333">
        <v>10</v>
      </c>
    </row>
    <row r="334" spans="1:4" x14ac:dyDescent="0.25">
      <c r="A334" s="5">
        <f t="shared" si="19"/>
        <v>11</v>
      </c>
      <c r="B334" s="5">
        <f t="shared" si="20"/>
        <v>2013</v>
      </c>
      <c r="C334" s="9">
        <v>41607</v>
      </c>
      <c r="D334">
        <v>10</v>
      </c>
    </row>
    <row r="335" spans="1:4" x14ac:dyDescent="0.25">
      <c r="A335" s="5">
        <f t="shared" si="19"/>
        <v>11</v>
      </c>
      <c r="B335" s="5">
        <f t="shared" si="20"/>
        <v>2013</v>
      </c>
      <c r="C335" s="9">
        <v>41608</v>
      </c>
      <c r="D335">
        <v>10</v>
      </c>
    </row>
    <row r="336" spans="1:4" x14ac:dyDescent="0.25">
      <c r="A336" s="5">
        <f t="shared" si="19"/>
        <v>12</v>
      </c>
      <c r="B336" s="5">
        <f t="shared" si="20"/>
        <v>2013</v>
      </c>
      <c r="C336" s="9">
        <v>41609</v>
      </c>
      <c r="D336">
        <v>10</v>
      </c>
    </row>
    <row r="337" spans="1:4" x14ac:dyDescent="0.25">
      <c r="A337" s="5">
        <f t="shared" si="19"/>
        <v>12</v>
      </c>
      <c r="B337" s="5">
        <f t="shared" si="20"/>
        <v>2013</v>
      </c>
      <c r="C337" s="9">
        <v>41610</v>
      </c>
      <c r="D337">
        <v>10</v>
      </c>
    </row>
    <row r="338" spans="1:4" x14ac:dyDescent="0.25">
      <c r="A338" s="5">
        <f t="shared" si="19"/>
        <v>12</v>
      </c>
      <c r="B338" s="5">
        <f t="shared" si="20"/>
        <v>2013</v>
      </c>
      <c r="C338" s="9">
        <v>41611</v>
      </c>
      <c r="D338">
        <v>10</v>
      </c>
    </row>
    <row r="339" spans="1:4" x14ac:dyDescent="0.25">
      <c r="A339" s="5">
        <f t="shared" si="19"/>
        <v>12</v>
      </c>
      <c r="B339" s="5">
        <f t="shared" si="20"/>
        <v>2013</v>
      </c>
      <c r="C339" s="9">
        <v>41612</v>
      </c>
      <c r="D339">
        <v>10</v>
      </c>
    </row>
    <row r="340" spans="1:4" x14ac:dyDescent="0.25">
      <c r="A340" s="5">
        <f t="shared" si="19"/>
        <v>12</v>
      </c>
      <c r="B340" s="5">
        <f t="shared" si="20"/>
        <v>2013</v>
      </c>
      <c r="C340" s="9">
        <v>41613</v>
      </c>
      <c r="D340">
        <v>10</v>
      </c>
    </row>
    <row r="341" spans="1:4" x14ac:dyDescent="0.25">
      <c r="A341" s="5">
        <f t="shared" si="19"/>
        <v>12</v>
      </c>
      <c r="B341" s="5">
        <f t="shared" si="20"/>
        <v>2013</v>
      </c>
      <c r="C341" s="9">
        <v>41614</v>
      </c>
      <c r="D341">
        <v>10</v>
      </c>
    </row>
    <row r="342" spans="1:4" x14ac:dyDescent="0.25">
      <c r="A342" s="5">
        <f t="shared" si="19"/>
        <v>12</v>
      </c>
      <c r="B342" s="5">
        <f t="shared" si="20"/>
        <v>2013</v>
      </c>
      <c r="C342" s="9">
        <v>41615</v>
      </c>
      <c r="D342">
        <v>10</v>
      </c>
    </row>
    <row r="343" spans="1:4" x14ac:dyDescent="0.25">
      <c r="A343" s="5">
        <f t="shared" si="19"/>
        <v>12</v>
      </c>
      <c r="B343" s="5">
        <f t="shared" si="20"/>
        <v>2013</v>
      </c>
      <c r="C343" s="9">
        <v>41616</v>
      </c>
      <c r="D343">
        <v>10</v>
      </c>
    </row>
    <row r="344" spans="1:4" x14ac:dyDescent="0.25">
      <c r="A344" s="5">
        <f t="shared" si="19"/>
        <v>12</v>
      </c>
      <c r="B344" s="5">
        <f t="shared" si="20"/>
        <v>2013</v>
      </c>
      <c r="C344" s="9">
        <v>41617</v>
      </c>
      <c r="D344">
        <v>10</v>
      </c>
    </row>
    <row r="345" spans="1:4" x14ac:dyDescent="0.25">
      <c r="A345" s="5">
        <f t="shared" si="19"/>
        <v>12</v>
      </c>
      <c r="B345" s="5">
        <f t="shared" si="20"/>
        <v>2013</v>
      </c>
      <c r="C345" s="9">
        <v>41618</v>
      </c>
      <c r="D345">
        <v>10</v>
      </c>
    </row>
    <row r="346" spans="1:4" x14ac:dyDescent="0.25">
      <c r="A346" s="5">
        <f t="shared" si="19"/>
        <v>12</v>
      </c>
      <c r="B346" s="5">
        <f t="shared" si="20"/>
        <v>2013</v>
      </c>
      <c r="C346" s="9">
        <v>41619</v>
      </c>
      <c r="D346">
        <v>10</v>
      </c>
    </row>
    <row r="347" spans="1:4" x14ac:dyDescent="0.25">
      <c r="A347" s="5">
        <f t="shared" si="19"/>
        <v>12</v>
      </c>
      <c r="B347" s="5">
        <f t="shared" si="20"/>
        <v>2013</v>
      </c>
      <c r="C347" s="9">
        <v>41620</v>
      </c>
      <c r="D347">
        <v>10</v>
      </c>
    </row>
    <row r="348" spans="1:4" x14ac:dyDescent="0.25">
      <c r="A348" s="5">
        <f t="shared" si="19"/>
        <v>12</v>
      </c>
      <c r="B348" s="5">
        <f t="shared" si="20"/>
        <v>2013</v>
      </c>
      <c r="C348" s="9">
        <v>41621</v>
      </c>
      <c r="D348">
        <v>10</v>
      </c>
    </row>
    <row r="349" spans="1:4" x14ac:dyDescent="0.25">
      <c r="A349" s="5">
        <f t="shared" si="19"/>
        <v>12</v>
      </c>
      <c r="B349" s="5">
        <f t="shared" si="20"/>
        <v>2013</v>
      </c>
      <c r="C349" s="9">
        <v>41622</v>
      </c>
      <c r="D349">
        <v>10</v>
      </c>
    </row>
    <row r="350" spans="1:4" x14ac:dyDescent="0.25">
      <c r="A350" s="5">
        <f t="shared" si="19"/>
        <v>12</v>
      </c>
      <c r="B350" s="5">
        <f t="shared" si="20"/>
        <v>2013</v>
      </c>
      <c r="C350" s="9">
        <v>41623</v>
      </c>
      <c r="D350">
        <v>10</v>
      </c>
    </row>
    <row r="351" spans="1:4" x14ac:dyDescent="0.25">
      <c r="A351" s="5">
        <f t="shared" si="19"/>
        <v>12</v>
      </c>
      <c r="B351" s="5">
        <f t="shared" si="20"/>
        <v>2013</v>
      </c>
      <c r="C351" s="9">
        <v>41624</v>
      </c>
      <c r="D351">
        <v>10</v>
      </c>
    </row>
    <row r="352" spans="1:4" x14ac:dyDescent="0.25">
      <c r="A352" s="5">
        <f t="shared" si="19"/>
        <v>12</v>
      </c>
      <c r="B352" s="5">
        <f t="shared" si="20"/>
        <v>2013</v>
      </c>
      <c r="C352" s="9">
        <v>41625</v>
      </c>
      <c r="D352">
        <v>10</v>
      </c>
    </row>
    <row r="353" spans="1:4" x14ac:dyDescent="0.25">
      <c r="A353" s="5">
        <f t="shared" si="19"/>
        <v>12</v>
      </c>
      <c r="B353" s="5">
        <f t="shared" si="20"/>
        <v>2013</v>
      </c>
      <c r="C353" s="9">
        <v>41626</v>
      </c>
      <c r="D353">
        <v>10</v>
      </c>
    </row>
    <row r="354" spans="1:4" x14ac:dyDescent="0.25">
      <c r="A354" s="5">
        <f t="shared" si="19"/>
        <v>12</v>
      </c>
      <c r="B354" s="5">
        <f t="shared" si="20"/>
        <v>2013</v>
      </c>
      <c r="C354" s="9">
        <v>41627</v>
      </c>
      <c r="D354">
        <v>10</v>
      </c>
    </row>
    <row r="355" spans="1:4" x14ac:dyDescent="0.25">
      <c r="A355" s="5">
        <f t="shared" si="19"/>
        <v>12</v>
      </c>
      <c r="B355" s="5">
        <f t="shared" si="20"/>
        <v>2013</v>
      </c>
      <c r="C355" s="9">
        <v>41628</v>
      </c>
      <c r="D355">
        <v>10</v>
      </c>
    </row>
    <row r="356" spans="1:4" x14ac:dyDescent="0.25">
      <c r="A356" s="5">
        <f t="shared" si="19"/>
        <v>12</v>
      </c>
      <c r="B356" s="5">
        <f t="shared" si="20"/>
        <v>2013</v>
      </c>
      <c r="C356" s="9">
        <v>41629</v>
      </c>
      <c r="D356">
        <v>10</v>
      </c>
    </row>
    <row r="357" spans="1:4" x14ac:dyDescent="0.25">
      <c r="A357" s="5">
        <f t="shared" si="19"/>
        <v>12</v>
      </c>
      <c r="B357" s="5">
        <f t="shared" si="20"/>
        <v>2013</v>
      </c>
      <c r="C357" s="9">
        <v>41630</v>
      </c>
      <c r="D357">
        <v>10</v>
      </c>
    </row>
    <row r="358" spans="1:4" x14ac:dyDescent="0.25">
      <c r="A358" s="5">
        <f t="shared" si="19"/>
        <v>12</v>
      </c>
      <c r="B358" s="5">
        <f t="shared" si="20"/>
        <v>2013</v>
      </c>
      <c r="C358" s="9">
        <v>41631</v>
      </c>
      <c r="D358">
        <v>10</v>
      </c>
    </row>
    <row r="359" spans="1:4" x14ac:dyDescent="0.25">
      <c r="A359" s="5">
        <f t="shared" si="19"/>
        <v>12</v>
      </c>
      <c r="B359" s="5">
        <f t="shared" si="20"/>
        <v>2013</v>
      </c>
      <c r="C359" s="9">
        <v>41632</v>
      </c>
      <c r="D359">
        <v>10</v>
      </c>
    </row>
    <row r="360" spans="1:4" x14ac:dyDescent="0.25">
      <c r="A360" s="5">
        <f t="shared" si="19"/>
        <v>12</v>
      </c>
      <c r="B360" s="5">
        <f t="shared" si="20"/>
        <v>2013</v>
      </c>
      <c r="C360" s="9">
        <v>41633</v>
      </c>
      <c r="D360">
        <v>10</v>
      </c>
    </row>
    <row r="361" spans="1:4" x14ac:dyDescent="0.25">
      <c r="A361" s="5">
        <f t="shared" si="19"/>
        <v>12</v>
      </c>
      <c r="B361" s="5">
        <f t="shared" si="20"/>
        <v>2013</v>
      </c>
      <c r="C361" s="9">
        <v>41634</v>
      </c>
      <c r="D361">
        <v>10</v>
      </c>
    </row>
    <row r="362" spans="1:4" x14ac:dyDescent="0.25">
      <c r="A362" s="5">
        <f t="shared" si="19"/>
        <v>12</v>
      </c>
      <c r="B362" s="5">
        <f t="shared" si="20"/>
        <v>2013</v>
      </c>
      <c r="C362" s="9">
        <v>41635</v>
      </c>
      <c r="D362">
        <v>10</v>
      </c>
    </row>
    <row r="363" spans="1:4" x14ac:dyDescent="0.25">
      <c r="A363" s="5">
        <f t="shared" si="19"/>
        <v>12</v>
      </c>
      <c r="B363" s="5">
        <f t="shared" si="20"/>
        <v>2013</v>
      </c>
      <c r="C363" s="9">
        <v>41636</v>
      </c>
      <c r="D363">
        <v>10</v>
      </c>
    </row>
    <row r="364" spans="1:4" x14ac:dyDescent="0.25">
      <c r="A364" s="5">
        <f t="shared" si="19"/>
        <v>12</v>
      </c>
      <c r="B364" s="5">
        <f t="shared" si="20"/>
        <v>2013</v>
      </c>
      <c r="C364" s="9">
        <v>41637</v>
      </c>
      <c r="D364">
        <v>10</v>
      </c>
    </row>
    <row r="365" spans="1:4" x14ac:dyDescent="0.25">
      <c r="A365" s="5">
        <f t="shared" si="19"/>
        <v>12</v>
      </c>
      <c r="B365" s="5">
        <f t="shared" si="20"/>
        <v>2013</v>
      </c>
      <c r="C365" s="9">
        <v>41638</v>
      </c>
      <c r="D365">
        <v>10</v>
      </c>
    </row>
    <row r="366" spans="1:4" x14ac:dyDescent="0.25">
      <c r="A366" s="5">
        <f t="shared" si="19"/>
        <v>12</v>
      </c>
      <c r="B366" s="5">
        <f t="shared" si="20"/>
        <v>2013</v>
      </c>
      <c r="C366" s="9">
        <v>41639</v>
      </c>
      <c r="D366">
        <v>10</v>
      </c>
    </row>
    <row r="367" spans="1:4" x14ac:dyDescent="0.25">
      <c r="A367" s="5">
        <f t="shared" si="19"/>
        <v>1</v>
      </c>
      <c r="B367" s="5">
        <f t="shared" si="20"/>
        <v>2014</v>
      </c>
      <c r="C367" s="9">
        <v>41640</v>
      </c>
      <c r="D367">
        <v>10</v>
      </c>
    </row>
    <row r="368" spans="1:4" x14ac:dyDescent="0.25">
      <c r="A368" s="5">
        <f t="shared" si="19"/>
        <v>1</v>
      </c>
      <c r="B368" s="5">
        <f t="shared" si="20"/>
        <v>2014</v>
      </c>
      <c r="C368" s="9">
        <v>41641</v>
      </c>
      <c r="D368">
        <v>10</v>
      </c>
    </row>
    <row r="369" spans="1:4" x14ac:dyDescent="0.25">
      <c r="A369" s="5">
        <f t="shared" si="19"/>
        <v>1</v>
      </c>
      <c r="B369" s="5">
        <f t="shared" si="20"/>
        <v>2014</v>
      </c>
      <c r="C369" s="9">
        <v>41642</v>
      </c>
      <c r="D369">
        <v>10</v>
      </c>
    </row>
    <row r="370" spans="1:4" x14ac:dyDescent="0.25">
      <c r="A370" s="5">
        <f t="shared" si="19"/>
        <v>1</v>
      </c>
      <c r="B370" s="5">
        <f t="shared" si="20"/>
        <v>2014</v>
      </c>
      <c r="C370" s="9">
        <v>41643</v>
      </c>
      <c r="D370">
        <v>10</v>
      </c>
    </row>
    <row r="371" spans="1:4" x14ac:dyDescent="0.25">
      <c r="A371" s="5">
        <f t="shared" si="19"/>
        <v>1</v>
      </c>
      <c r="B371" s="5">
        <f t="shared" si="20"/>
        <v>2014</v>
      </c>
      <c r="C371" s="9">
        <v>41644</v>
      </c>
      <c r="D371">
        <v>10</v>
      </c>
    </row>
    <row r="372" spans="1:4" x14ac:dyDescent="0.25">
      <c r="A372" s="5">
        <f t="shared" si="19"/>
        <v>1</v>
      </c>
      <c r="B372" s="5">
        <f t="shared" si="20"/>
        <v>2014</v>
      </c>
      <c r="C372" s="9">
        <v>41645</v>
      </c>
      <c r="D372">
        <v>10</v>
      </c>
    </row>
    <row r="373" spans="1:4" x14ac:dyDescent="0.25">
      <c r="A373" s="5">
        <f t="shared" si="19"/>
        <v>1</v>
      </c>
      <c r="B373" s="5">
        <f t="shared" si="20"/>
        <v>2014</v>
      </c>
      <c r="C373" s="9">
        <v>41646</v>
      </c>
      <c r="D373">
        <v>10</v>
      </c>
    </row>
    <row r="374" spans="1:4" x14ac:dyDescent="0.25">
      <c r="A374" s="5">
        <f t="shared" si="19"/>
        <v>1</v>
      </c>
      <c r="B374" s="5">
        <f t="shared" si="20"/>
        <v>2014</v>
      </c>
      <c r="C374" s="9">
        <v>41647</v>
      </c>
      <c r="D374">
        <v>10</v>
      </c>
    </row>
    <row r="375" spans="1:4" x14ac:dyDescent="0.25">
      <c r="A375" s="5">
        <f t="shared" si="19"/>
        <v>1</v>
      </c>
      <c r="B375" s="5">
        <f t="shared" si="20"/>
        <v>2014</v>
      </c>
      <c r="C375" s="9">
        <v>41648</v>
      </c>
      <c r="D375">
        <v>10</v>
      </c>
    </row>
    <row r="376" spans="1:4" x14ac:dyDescent="0.25">
      <c r="A376" s="5">
        <f t="shared" si="19"/>
        <v>1</v>
      </c>
      <c r="B376" s="5">
        <f t="shared" si="20"/>
        <v>2014</v>
      </c>
      <c r="C376" s="9">
        <v>41649</v>
      </c>
      <c r="D376">
        <v>10</v>
      </c>
    </row>
    <row r="377" spans="1:4" x14ac:dyDescent="0.25">
      <c r="A377" s="5">
        <f t="shared" si="19"/>
        <v>1</v>
      </c>
      <c r="B377" s="5">
        <f t="shared" si="20"/>
        <v>2014</v>
      </c>
      <c r="C377" s="9">
        <v>41650</v>
      </c>
      <c r="D377">
        <v>10</v>
      </c>
    </row>
    <row r="378" spans="1:4" x14ac:dyDescent="0.25">
      <c r="A378" s="5">
        <f t="shared" si="19"/>
        <v>1</v>
      </c>
      <c r="B378" s="5">
        <f t="shared" si="20"/>
        <v>2014</v>
      </c>
      <c r="C378" s="9">
        <v>41651</v>
      </c>
      <c r="D378">
        <v>10</v>
      </c>
    </row>
    <row r="379" spans="1:4" x14ac:dyDescent="0.25">
      <c r="A379" s="5">
        <f t="shared" si="19"/>
        <v>1</v>
      </c>
      <c r="B379" s="5">
        <f t="shared" si="20"/>
        <v>2014</v>
      </c>
      <c r="C379" s="9">
        <v>41652</v>
      </c>
      <c r="D379">
        <v>10</v>
      </c>
    </row>
    <row r="380" spans="1:4" x14ac:dyDescent="0.25">
      <c r="A380" s="5">
        <f t="shared" si="19"/>
        <v>1</v>
      </c>
      <c r="B380" s="5">
        <f t="shared" si="20"/>
        <v>2014</v>
      </c>
      <c r="C380" s="9">
        <v>41653</v>
      </c>
      <c r="D380">
        <v>10</v>
      </c>
    </row>
    <row r="381" spans="1:4" x14ac:dyDescent="0.25">
      <c r="A381" s="5">
        <f t="shared" si="19"/>
        <v>1</v>
      </c>
      <c r="B381" s="5">
        <f t="shared" si="20"/>
        <v>2014</v>
      </c>
      <c r="C381" s="9">
        <v>41654</v>
      </c>
      <c r="D381">
        <v>10</v>
      </c>
    </row>
    <row r="382" spans="1:4" x14ac:dyDescent="0.25">
      <c r="A382" s="5">
        <f t="shared" si="19"/>
        <v>1</v>
      </c>
      <c r="B382" s="5">
        <f t="shared" si="20"/>
        <v>2014</v>
      </c>
      <c r="C382" s="9">
        <v>41655</v>
      </c>
      <c r="D382">
        <v>10.5</v>
      </c>
    </row>
    <row r="383" spans="1:4" x14ac:dyDescent="0.25">
      <c r="A383" s="5">
        <f t="shared" si="19"/>
        <v>1</v>
      </c>
      <c r="B383" s="5">
        <f t="shared" si="20"/>
        <v>2014</v>
      </c>
      <c r="C383" s="9">
        <v>41656</v>
      </c>
      <c r="D383">
        <v>10.5</v>
      </c>
    </row>
    <row r="384" spans="1:4" x14ac:dyDescent="0.25">
      <c r="A384" s="5">
        <f t="shared" si="19"/>
        <v>1</v>
      </c>
      <c r="B384" s="5">
        <f t="shared" si="20"/>
        <v>2014</v>
      </c>
      <c r="C384" s="9">
        <v>41657</v>
      </c>
      <c r="D384">
        <v>10.5</v>
      </c>
    </row>
    <row r="385" spans="1:4" x14ac:dyDescent="0.25">
      <c r="A385" s="5">
        <f t="shared" si="19"/>
        <v>1</v>
      </c>
      <c r="B385" s="5">
        <f t="shared" si="20"/>
        <v>2014</v>
      </c>
      <c r="C385" s="9">
        <v>41658</v>
      </c>
      <c r="D385">
        <v>10.5</v>
      </c>
    </row>
    <row r="386" spans="1:4" x14ac:dyDescent="0.25">
      <c r="A386" s="5">
        <f t="shared" si="19"/>
        <v>1</v>
      </c>
      <c r="B386" s="5">
        <f t="shared" si="20"/>
        <v>2014</v>
      </c>
      <c r="C386" s="9">
        <v>41659</v>
      </c>
      <c r="D386">
        <v>10.5</v>
      </c>
    </row>
    <row r="387" spans="1:4" x14ac:dyDescent="0.25">
      <c r="A387" s="5">
        <f t="shared" ref="A387:A450" si="21">MONTH(C387)</f>
        <v>1</v>
      </c>
      <c r="B387" s="5">
        <f t="shared" ref="B387:B450" si="22">YEAR(C387)</f>
        <v>2014</v>
      </c>
      <c r="C387" s="9">
        <v>41660</v>
      </c>
      <c r="D387">
        <v>10.5</v>
      </c>
    </row>
    <row r="388" spans="1:4" x14ac:dyDescent="0.25">
      <c r="A388" s="5">
        <f t="shared" si="21"/>
        <v>1</v>
      </c>
      <c r="B388" s="5">
        <f t="shared" si="22"/>
        <v>2014</v>
      </c>
      <c r="C388" s="9">
        <v>41661</v>
      </c>
      <c r="D388">
        <v>10.5</v>
      </c>
    </row>
    <row r="389" spans="1:4" x14ac:dyDescent="0.25">
      <c r="A389" s="5">
        <f t="shared" si="21"/>
        <v>1</v>
      </c>
      <c r="B389" s="5">
        <f t="shared" si="22"/>
        <v>2014</v>
      </c>
      <c r="C389" s="9">
        <v>41662</v>
      </c>
      <c r="D389">
        <v>10.5</v>
      </c>
    </row>
    <row r="390" spans="1:4" x14ac:dyDescent="0.25">
      <c r="A390" s="5">
        <f t="shared" si="21"/>
        <v>1</v>
      </c>
      <c r="B390" s="5">
        <f t="shared" si="22"/>
        <v>2014</v>
      </c>
      <c r="C390" s="9">
        <v>41663</v>
      </c>
      <c r="D390">
        <v>10.5</v>
      </c>
    </row>
    <row r="391" spans="1:4" x14ac:dyDescent="0.25">
      <c r="A391" s="5">
        <f t="shared" si="21"/>
        <v>1</v>
      </c>
      <c r="B391" s="5">
        <f t="shared" si="22"/>
        <v>2014</v>
      </c>
      <c r="C391" s="9">
        <v>41664</v>
      </c>
      <c r="D391">
        <v>10.5</v>
      </c>
    </row>
    <row r="392" spans="1:4" x14ac:dyDescent="0.25">
      <c r="A392" s="5">
        <f t="shared" si="21"/>
        <v>1</v>
      </c>
      <c r="B392" s="5">
        <f t="shared" si="22"/>
        <v>2014</v>
      </c>
      <c r="C392" s="9">
        <v>41665</v>
      </c>
      <c r="D392">
        <v>10.5</v>
      </c>
    </row>
    <row r="393" spans="1:4" x14ac:dyDescent="0.25">
      <c r="A393" s="5">
        <f t="shared" si="21"/>
        <v>1</v>
      </c>
      <c r="B393" s="5">
        <f t="shared" si="22"/>
        <v>2014</v>
      </c>
      <c r="C393" s="9">
        <v>41666</v>
      </c>
      <c r="D393">
        <v>10.5</v>
      </c>
    </row>
    <row r="394" spans="1:4" x14ac:dyDescent="0.25">
      <c r="A394" s="5">
        <f t="shared" si="21"/>
        <v>1</v>
      </c>
      <c r="B394" s="5">
        <f t="shared" si="22"/>
        <v>2014</v>
      </c>
      <c r="C394" s="9">
        <v>41667</v>
      </c>
      <c r="D394">
        <v>10.5</v>
      </c>
    </row>
    <row r="395" spans="1:4" x14ac:dyDescent="0.25">
      <c r="A395" s="5">
        <f t="shared" si="21"/>
        <v>1</v>
      </c>
      <c r="B395" s="5">
        <f t="shared" si="22"/>
        <v>2014</v>
      </c>
      <c r="C395" s="9">
        <v>41668</v>
      </c>
      <c r="D395">
        <v>10.5</v>
      </c>
    </row>
    <row r="396" spans="1:4" x14ac:dyDescent="0.25">
      <c r="A396" s="5">
        <f t="shared" si="21"/>
        <v>1</v>
      </c>
      <c r="B396" s="5">
        <f t="shared" si="22"/>
        <v>2014</v>
      </c>
      <c r="C396" s="9">
        <v>41669</v>
      </c>
      <c r="D396">
        <v>10.5</v>
      </c>
    </row>
    <row r="397" spans="1:4" x14ac:dyDescent="0.25">
      <c r="A397" s="5">
        <f t="shared" si="21"/>
        <v>1</v>
      </c>
      <c r="B397" s="5">
        <f t="shared" si="22"/>
        <v>2014</v>
      </c>
      <c r="C397" s="9">
        <v>41670</v>
      </c>
      <c r="D397">
        <v>10.5</v>
      </c>
    </row>
    <row r="398" spans="1:4" x14ac:dyDescent="0.25">
      <c r="A398" s="5">
        <f t="shared" si="21"/>
        <v>2</v>
      </c>
      <c r="B398" s="5">
        <f t="shared" si="22"/>
        <v>2014</v>
      </c>
      <c r="C398" s="9">
        <v>41671</v>
      </c>
      <c r="D398">
        <v>10.5</v>
      </c>
    </row>
    <row r="399" spans="1:4" x14ac:dyDescent="0.25">
      <c r="A399" s="5">
        <f t="shared" si="21"/>
        <v>2</v>
      </c>
      <c r="B399" s="5">
        <f t="shared" si="22"/>
        <v>2014</v>
      </c>
      <c r="C399" s="9">
        <v>41672</v>
      </c>
      <c r="D399">
        <v>10.5</v>
      </c>
    </row>
    <row r="400" spans="1:4" x14ac:dyDescent="0.25">
      <c r="A400" s="5">
        <f t="shared" si="21"/>
        <v>2</v>
      </c>
      <c r="B400" s="5">
        <f t="shared" si="22"/>
        <v>2014</v>
      </c>
      <c r="C400" s="9">
        <v>41673</v>
      </c>
      <c r="D400">
        <v>10.5</v>
      </c>
    </row>
    <row r="401" spans="1:4" x14ac:dyDescent="0.25">
      <c r="A401" s="5">
        <f t="shared" si="21"/>
        <v>2</v>
      </c>
      <c r="B401" s="5">
        <f t="shared" si="22"/>
        <v>2014</v>
      </c>
      <c r="C401" s="9">
        <v>41674</v>
      </c>
      <c r="D401">
        <v>10.5</v>
      </c>
    </row>
    <row r="402" spans="1:4" x14ac:dyDescent="0.25">
      <c r="A402" s="5">
        <f t="shared" si="21"/>
        <v>2</v>
      </c>
      <c r="B402" s="5">
        <f t="shared" si="22"/>
        <v>2014</v>
      </c>
      <c r="C402" s="9">
        <v>41675</v>
      </c>
      <c r="D402">
        <v>10.5</v>
      </c>
    </row>
    <row r="403" spans="1:4" x14ac:dyDescent="0.25">
      <c r="A403" s="5">
        <f t="shared" si="21"/>
        <v>2</v>
      </c>
      <c r="B403" s="5">
        <f t="shared" si="22"/>
        <v>2014</v>
      </c>
      <c r="C403" s="9">
        <v>41676</v>
      </c>
      <c r="D403">
        <v>10.5</v>
      </c>
    </row>
    <row r="404" spans="1:4" x14ac:dyDescent="0.25">
      <c r="A404" s="5">
        <f t="shared" si="21"/>
        <v>2</v>
      </c>
      <c r="B404" s="5">
        <f t="shared" si="22"/>
        <v>2014</v>
      </c>
      <c r="C404" s="9">
        <v>41677</v>
      </c>
      <c r="D404">
        <v>10.5</v>
      </c>
    </row>
    <row r="405" spans="1:4" x14ac:dyDescent="0.25">
      <c r="A405" s="5">
        <f t="shared" si="21"/>
        <v>2</v>
      </c>
      <c r="B405" s="5">
        <f t="shared" si="22"/>
        <v>2014</v>
      </c>
      <c r="C405" s="9">
        <v>41678</v>
      </c>
      <c r="D405">
        <v>10.5</v>
      </c>
    </row>
    <row r="406" spans="1:4" x14ac:dyDescent="0.25">
      <c r="A406" s="5">
        <f t="shared" si="21"/>
        <v>2</v>
      </c>
      <c r="B406" s="5">
        <f t="shared" si="22"/>
        <v>2014</v>
      </c>
      <c r="C406" s="9">
        <v>41679</v>
      </c>
      <c r="D406">
        <v>10.5</v>
      </c>
    </row>
    <row r="407" spans="1:4" x14ac:dyDescent="0.25">
      <c r="A407" s="5">
        <f t="shared" si="21"/>
        <v>2</v>
      </c>
      <c r="B407" s="5">
        <f t="shared" si="22"/>
        <v>2014</v>
      </c>
      <c r="C407" s="9">
        <v>41680</v>
      </c>
      <c r="D407">
        <v>10.5</v>
      </c>
    </row>
    <row r="408" spans="1:4" x14ac:dyDescent="0.25">
      <c r="A408" s="5">
        <f t="shared" si="21"/>
        <v>2</v>
      </c>
      <c r="B408" s="5">
        <f t="shared" si="22"/>
        <v>2014</v>
      </c>
      <c r="C408" s="9">
        <v>41681</v>
      </c>
      <c r="D408">
        <v>10.5</v>
      </c>
    </row>
    <row r="409" spans="1:4" x14ac:dyDescent="0.25">
      <c r="A409" s="5">
        <f t="shared" si="21"/>
        <v>2</v>
      </c>
      <c r="B409" s="5">
        <f t="shared" si="22"/>
        <v>2014</v>
      </c>
      <c r="C409" s="9">
        <v>41682</v>
      </c>
      <c r="D409">
        <v>10.5</v>
      </c>
    </row>
    <row r="410" spans="1:4" x14ac:dyDescent="0.25">
      <c r="A410" s="5">
        <f t="shared" si="21"/>
        <v>2</v>
      </c>
      <c r="B410" s="5">
        <f t="shared" si="22"/>
        <v>2014</v>
      </c>
      <c r="C410" s="9">
        <v>41683</v>
      </c>
      <c r="D410">
        <v>10.5</v>
      </c>
    </row>
    <row r="411" spans="1:4" x14ac:dyDescent="0.25">
      <c r="A411" s="5">
        <f t="shared" si="21"/>
        <v>2</v>
      </c>
      <c r="B411" s="5">
        <f t="shared" si="22"/>
        <v>2014</v>
      </c>
      <c r="C411" s="9">
        <v>41684</v>
      </c>
      <c r="D411">
        <v>10.5</v>
      </c>
    </row>
    <row r="412" spans="1:4" x14ac:dyDescent="0.25">
      <c r="A412" s="5">
        <f t="shared" si="21"/>
        <v>2</v>
      </c>
      <c r="B412" s="5">
        <f t="shared" si="22"/>
        <v>2014</v>
      </c>
      <c r="C412" s="9">
        <v>41685</v>
      </c>
      <c r="D412">
        <v>10.5</v>
      </c>
    </row>
    <row r="413" spans="1:4" x14ac:dyDescent="0.25">
      <c r="A413" s="5">
        <f t="shared" si="21"/>
        <v>2</v>
      </c>
      <c r="B413" s="5">
        <f t="shared" si="22"/>
        <v>2014</v>
      </c>
      <c r="C413" s="9">
        <v>41686</v>
      </c>
      <c r="D413">
        <v>10.5</v>
      </c>
    </row>
    <row r="414" spans="1:4" x14ac:dyDescent="0.25">
      <c r="A414" s="5">
        <f t="shared" si="21"/>
        <v>2</v>
      </c>
      <c r="B414" s="5">
        <f t="shared" si="22"/>
        <v>2014</v>
      </c>
      <c r="C414" s="9">
        <v>41687</v>
      </c>
      <c r="D414">
        <v>10.5</v>
      </c>
    </row>
    <row r="415" spans="1:4" x14ac:dyDescent="0.25">
      <c r="A415" s="5">
        <f t="shared" si="21"/>
        <v>2</v>
      </c>
      <c r="B415" s="5">
        <f t="shared" si="22"/>
        <v>2014</v>
      </c>
      <c r="C415" s="9">
        <v>41688</v>
      </c>
      <c r="D415">
        <v>10.5</v>
      </c>
    </row>
    <row r="416" spans="1:4" x14ac:dyDescent="0.25">
      <c r="A416" s="5">
        <f t="shared" si="21"/>
        <v>2</v>
      </c>
      <c r="B416" s="5">
        <f t="shared" si="22"/>
        <v>2014</v>
      </c>
      <c r="C416" s="9">
        <v>41689</v>
      </c>
      <c r="D416">
        <v>10.5</v>
      </c>
    </row>
    <row r="417" spans="1:4" x14ac:dyDescent="0.25">
      <c r="A417" s="5">
        <f t="shared" si="21"/>
        <v>2</v>
      </c>
      <c r="B417" s="5">
        <f t="shared" si="22"/>
        <v>2014</v>
      </c>
      <c r="C417" s="9">
        <v>41690</v>
      </c>
      <c r="D417">
        <v>10.5</v>
      </c>
    </row>
    <row r="418" spans="1:4" x14ac:dyDescent="0.25">
      <c r="A418" s="5">
        <f t="shared" si="21"/>
        <v>2</v>
      </c>
      <c r="B418" s="5">
        <f t="shared" si="22"/>
        <v>2014</v>
      </c>
      <c r="C418" s="9">
        <v>41691</v>
      </c>
      <c r="D418">
        <v>10.5</v>
      </c>
    </row>
    <row r="419" spans="1:4" x14ac:dyDescent="0.25">
      <c r="A419" s="5">
        <f t="shared" si="21"/>
        <v>2</v>
      </c>
      <c r="B419" s="5">
        <f t="shared" si="22"/>
        <v>2014</v>
      </c>
      <c r="C419" s="9">
        <v>41692</v>
      </c>
      <c r="D419">
        <v>10.5</v>
      </c>
    </row>
    <row r="420" spans="1:4" x14ac:dyDescent="0.25">
      <c r="A420" s="5">
        <f t="shared" si="21"/>
        <v>2</v>
      </c>
      <c r="B420" s="5">
        <f t="shared" si="22"/>
        <v>2014</v>
      </c>
      <c r="C420" s="9">
        <v>41693</v>
      </c>
      <c r="D420">
        <v>10.5</v>
      </c>
    </row>
    <row r="421" spans="1:4" x14ac:dyDescent="0.25">
      <c r="A421" s="5">
        <f t="shared" si="21"/>
        <v>2</v>
      </c>
      <c r="B421" s="5">
        <f t="shared" si="22"/>
        <v>2014</v>
      </c>
      <c r="C421" s="9">
        <v>41694</v>
      </c>
      <c r="D421">
        <v>10.5</v>
      </c>
    </row>
    <row r="422" spans="1:4" x14ac:dyDescent="0.25">
      <c r="A422" s="5">
        <f t="shared" si="21"/>
        <v>2</v>
      </c>
      <c r="B422" s="5">
        <f t="shared" si="22"/>
        <v>2014</v>
      </c>
      <c r="C422" s="9">
        <v>41695</v>
      </c>
      <c r="D422">
        <v>10.5</v>
      </c>
    </row>
    <row r="423" spans="1:4" x14ac:dyDescent="0.25">
      <c r="A423" s="5">
        <f t="shared" si="21"/>
        <v>2</v>
      </c>
      <c r="B423" s="5">
        <f t="shared" si="22"/>
        <v>2014</v>
      </c>
      <c r="C423" s="9">
        <v>41696</v>
      </c>
      <c r="D423">
        <v>10.5</v>
      </c>
    </row>
    <row r="424" spans="1:4" x14ac:dyDescent="0.25">
      <c r="A424" s="5">
        <f t="shared" si="21"/>
        <v>2</v>
      </c>
      <c r="B424" s="5">
        <f t="shared" si="22"/>
        <v>2014</v>
      </c>
      <c r="C424" s="9">
        <v>41697</v>
      </c>
      <c r="D424">
        <v>10.75</v>
      </c>
    </row>
    <row r="425" spans="1:4" x14ac:dyDescent="0.25">
      <c r="A425" s="5">
        <f t="shared" si="21"/>
        <v>2</v>
      </c>
      <c r="B425" s="5">
        <f t="shared" si="22"/>
        <v>2014</v>
      </c>
      <c r="C425" s="9">
        <v>41698</v>
      </c>
      <c r="D425">
        <v>10.75</v>
      </c>
    </row>
    <row r="426" spans="1:4" x14ac:dyDescent="0.25">
      <c r="A426" s="5">
        <f t="shared" si="21"/>
        <v>3</v>
      </c>
      <c r="B426" s="5">
        <f t="shared" si="22"/>
        <v>2014</v>
      </c>
      <c r="C426" s="9">
        <v>41699</v>
      </c>
      <c r="D426">
        <v>10.75</v>
      </c>
    </row>
    <row r="427" spans="1:4" x14ac:dyDescent="0.25">
      <c r="A427" s="5">
        <f t="shared" si="21"/>
        <v>3</v>
      </c>
      <c r="B427" s="5">
        <f t="shared" si="22"/>
        <v>2014</v>
      </c>
      <c r="C427" s="9">
        <v>41700</v>
      </c>
      <c r="D427">
        <v>10.75</v>
      </c>
    </row>
    <row r="428" spans="1:4" x14ac:dyDescent="0.25">
      <c r="A428" s="5">
        <f t="shared" si="21"/>
        <v>3</v>
      </c>
      <c r="B428" s="5">
        <f t="shared" si="22"/>
        <v>2014</v>
      </c>
      <c r="C428" s="9">
        <v>41701</v>
      </c>
      <c r="D428">
        <v>10.75</v>
      </c>
    </row>
    <row r="429" spans="1:4" x14ac:dyDescent="0.25">
      <c r="A429" s="5">
        <f t="shared" si="21"/>
        <v>3</v>
      </c>
      <c r="B429" s="5">
        <f t="shared" si="22"/>
        <v>2014</v>
      </c>
      <c r="C429" s="9">
        <v>41702</v>
      </c>
      <c r="D429">
        <v>10.75</v>
      </c>
    </row>
    <row r="430" spans="1:4" x14ac:dyDescent="0.25">
      <c r="A430" s="5">
        <f t="shared" si="21"/>
        <v>3</v>
      </c>
      <c r="B430" s="5">
        <f t="shared" si="22"/>
        <v>2014</v>
      </c>
      <c r="C430" s="9">
        <v>41703</v>
      </c>
      <c r="D430">
        <v>10.75</v>
      </c>
    </row>
    <row r="431" spans="1:4" x14ac:dyDescent="0.25">
      <c r="A431" s="5">
        <f t="shared" si="21"/>
        <v>3</v>
      </c>
      <c r="B431" s="5">
        <f t="shared" si="22"/>
        <v>2014</v>
      </c>
      <c r="C431" s="9">
        <v>41704</v>
      </c>
      <c r="D431">
        <v>10.75</v>
      </c>
    </row>
    <row r="432" spans="1:4" x14ac:dyDescent="0.25">
      <c r="A432" s="5">
        <f t="shared" si="21"/>
        <v>3</v>
      </c>
      <c r="B432" s="5">
        <f t="shared" si="22"/>
        <v>2014</v>
      </c>
      <c r="C432" s="9">
        <v>41705</v>
      </c>
      <c r="D432">
        <v>10.75</v>
      </c>
    </row>
    <row r="433" spans="1:4" x14ac:dyDescent="0.25">
      <c r="A433" s="5">
        <f t="shared" si="21"/>
        <v>3</v>
      </c>
      <c r="B433" s="5">
        <f t="shared" si="22"/>
        <v>2014</v>
      </c>
      <c r="C433" s="9">
        <v>41706</v>
      </c>
      <c r="D433">
        <v>10.75</v>
      </c>
    </row>
    <row r="434" spans="1:4" x14ac:dyDescent="0.25">
      <c r="A434" s="5">
        <f t="shared" si="21"/>
        <v>3</v>
      </c>
      <c r="B434" s="5">
        <f t="shared" si="22"/>
        <v>2014</v>
      </c>
      <c r="C434" s="9">
        <v>41707</v>
      </c>
      <c r="D434">
        <v>10.75</v>
      </c>
    </row>
    <row r="435" spans="1:4" x14ac:dyDescent="0.25">
      <c r="A435" s="5">
        <f t="shared" si="21"/>
        <v>3</v>
      </c>
      <c r="B435" s="5">
        <f t="shared" si="22"/>
        <v>2014</v>
      </c>
      <c r="C435" s="9">
        <v>41708</v>
      </c>
      <c r="D435">
        <v>10.75</v>
      </c>
    </row>
    <row r="436" spans="1:4" x14ac:dyDescent="0.25">
      <c r="A436" s="5">
        <f t="shared" si="21"/>
        <v>3</v>
      </c>
      <c r="B436" s="5">
        <f t="shared" si="22"/>
        <v>2014</v>
      </c>
      <c r="C436" s="9">
        <v>41709</v>
      </c>
      <c r="D436">
        <v>10.75</v>
      </c>
    </row>
    <row r="437" spans="1:4" x14ac:dyDescent="0.25">
      <c r="A437" s="5">
        <f t="shared" si="21"/>
        <v>3</v>
      </c>
      <c r="B437" s="5">
        <f t="shared" si="22"/>
        <v>2014</v>
      </c>
      <c r="C437" s="9">
        <v>41710</v>
      </c>
      <c r="D437">
        <v>10.75</v>
      </c>
    </row>
    <row r="438" spans="1:4" x14ac:dyDescent="0.25">
      <c r="A438" s="5">
        <f t="shared" si="21"/>
        <v>3</v>
      </c>
      <c r="B438" s="5">
        <f t="shared" si="22"/>
        <v>2014</v>
      </c>
      <c r="C438" s="9">
        <v>41711</v>
      </c>
      <c r="D438">
        <v>10.75</v>
      </c>
    </row>
    <row r="439" spans="1:4" x14ac:dyDescent="0.25">
      <c r="A439" s="5">
        <f t="shared" si="21"/>
        <v>3</v>
      </c>
      <c r="B439" s="5">
        <f t="shared" si="22"/>
        <v>2014</v>
      </c>
      <c r="C439" s="9">
        <v>41712</v>
      </c>
      <c r="D439">
        <v>10.75</v>
      </c>
    </row>
    <row r="440" spans="1:4" x14ac:dyDescent="0.25">
      <c r="A440" s="5">
        <f t="shared" si="21"/>
        <v>3</v>
      </c>
      <c r="B440" s="5">
        <f t="shared" si="22"/>
        <v>2014</v>
      </c>
      <c r="C440" s="9">
        <v>41713</v>
      </c>
      <c r="D440">
        <v>10.75</v>
      </c>
    </row>
    <row r="441" spans="1:4" x14ac:dyDescent="0.25">
      <c r="A441" s="5">
        <f t="shared" si="21"/>
        <v>3</v>
      </c>
      <c r="B441" s="5">
        <f t="shared" si="22"/>
        <v>2014</v>
      </c>
      <c r="C441" s="9">
        <v>41714</v>
      </c>
      <c r="D441">
        <v>10.75</v>
      </c>
    </row>
    <row r="442" spans="1:4" x14ac:dyDescent="0.25">
      <c r="A442" s="5">
        <f t="shared" si="21"/>
        <v>3</v>
      </c>
      <c r="B442" s="5">
        <f t="shared" si="22"/>
        <v>2014</v>
      </c>
      <c r="C442" s="9">
        <v>41715</v>
      </c>
      <c r="D442">
        <v>10.75</v>
      </c>
    </row>
    <row r="443" spans="1:4" x14ac:dyDescent="0.25">
      <c r="A443" s="5">
        <f t="shared" si="21"/>
        <v>3</v>
      </c>
      <c r="B443" s="5">
        <f t="shared" si="22"/>
        <v>2014</v>
      </c>
      <c r="C443" s="9">
        <v>41716</v>
      </c>
      <c r="D443">
        <v>10.75</v>
      </c>
    </row>
    <row r="444" spans="1:4" x14ac:dyDescent="0.25">
      <c r="A444" s="5">
        <f t="shared" si="21"/>
        <v>3</v>
      </c>
      <c r="B444" s="5">
        <f t="shared" si="22"/>
        <v>2014</v>
      </c>
      <c r="C444" s="9">
        <v>41717</v>
      </c>
      <c r="D444">
        <v>10.75</v>
      </c>
    </row>
    <row r="445" spans="1:4" x14ac:dyDescent="0.25">
      <c r="A445" s="5">
        <f t="shared" si="21"/>
        <v>3</v>
      </c>
      <c r="B445" s="5">
        <f t="shared" si="22"/>
        <v>2014</v>
      </c>
      <c r="C445" s="9">
        <v>41718</v>
      </c>
      <c r="D445">
        <v>10.75</v>
      </c>
    </row>
    <row r="446" spans="1:4" x14ac:dyDescent="0.25">
      <c r="A446" s="5">
        <f t="shared" si="21"/>
        <v>3</v>
      </c>
      <c r="B446" s="5">
        <f t="shared" si="22"/>
        <v>2014</v>
      </c>
      <c r="C446" s="9">
        <v>41719</v>
      </c>
      <c r="D446">
        <v>10.75</v>
      </c>
    </row>
    <row r="447" spans="1:4" x14ac:dyDescent="0.25">
      <c r="A447" s="5">
        <f t="shared" si="21"/>
        <v>3</v>
      </c>
      <c r="B447" s="5">
        <f t="shared" si="22"/>
        <v>2014</v>
      </c>
      <c r="C447" s="9">
        <v>41720</v>
      </c>
      <c r="D447">
        <v>10.75</v>
      </c>
    </row>
    <row r="448" spans="1:4" x14ac:dyDescent="0.25">
      <c r="A448" s="5">
        <f t="shared" si="21"/>
        <v>3</v>
      </c>
      <c r="B448" s="5">
        <f t="shared" si="22"/>
        <v>2014</v>
      </c>
      <c r="C448" s="9">
        <v>41721</v>
      </c>
      <c r="D448">
        <v>10.75</v>
      </c>
    </row>
    <row r="449" spans="1:4" x14ac:dyDescent="0.25">
      <c r="A449" s="5">
        <f t="shared" si="21"/>
        <v>3</v>
      </c>
      <c r="B449" s="5">
        <f t="shared" si="22"/>
        <v>2014</v>
      </c>
      <c r="C449" s="9">
        <v>41722</v>
      </c>
      <c r="D449">
        <v>10.75</v>
      </c>
    </row>
    <row r="450" spans="1:4" x14ac:dyDescent="0.25">
      <c r="A450" s="5">
        <f t="shared" si="21"/>
        <v>3</v>
      </c>
      <c r="B450" s="5">
        <f t="shared" si="22"/>
        <v>2014</v>
      </c>
      <c r="C450" s="9">
        <v>41723</v>
      </c>
      <c r="D450">
        <v>10.75</v>
      </c>
    </row>
    <row r="451" spans="1:4" x14ac:dyDescent="0.25">
      <c r="A451" s="5">
        <f t="shared" ref="A451:A514" si="23">MONTH(C451)</f>
        <v>3</v>
      </c>
      <c r="B451" s="5">
        <f t="shared" ref="B451:B514" si="24">YEAR(C451)</f>
        <v>2014</v>
      </c>
      <c r="C451" s="9">
        <v>41724</v>
      </c>
      <c r="D451">
        <v>10.75</v>
      </c>
    </row>
    <row r="452" spans="1:4" x14ac:dyDescent="0.25">
      <c r="A452" s="5">
        <f t="shared" si="23"/>
        <v>3</v>
      </c>
      <c r="B452" s="5">
        <f t="shared" si="24"/>
        <v>2014</v>
      </c>
      <c r="C452" s="9">
        <v>41725</v>
      </c>
      <c r="D452">
        <v>10.75</v>
      </c>
    </row>
    <row r="453" spans="1:4" x14ac:dyDescent="0.25">
      <c r="A453" s="5">
        <f t="shared" si="23"/>
        <v>3</v>
      </c>
      <c r="B453" s="5">
        <f t="shared" si="24"/>
        <v>2014</v>
      </c>
      <c r="C453" s="9">
        <v>41726</v>
      </c>
      <c r="D453">
        <v>10.75</v>
      </c>
    </row>
    <row r="454" spans="1:4" x14ac:dyDescent="0.25">
      <c r="A454" s="5">
        <f t="shared" si="23"/>
        <v>3</v>
      </c>
      <c r="B454" s="5">
        <f t="shared" si="24"/>
        <v>2014</v>
      </c>
      <c r="C454" s="9">
        <v>41727</v>
      </c>
      <c r="D454">
        <v>10.75</v>
      </c>
    </row>
    <row r="455" spans="1:4" x14ac:dyDescent="0.25">
      <c r="A455" s="5">
        <f t="shared" si="23"/>
        <v>3</v>
      </c>
      <c r="B455" s="5">
        <f t="shared" si="24"/>
        <v>2014</v>
      </c>
      <c r="C455" s="9">
        <v>41728</v>
      </c>
      <c r="D455">
        <v>10.75</v>
      </c>
    </row>
    <row r="456" spans="1:4" x14ac:dyDescent="0.25">
      <c r="A456" s="5">
        <f t="shared" si="23"/>
        <v>3</v>
      </c>
      <c r="B456" s="5">
        <f t="shared" si="24"/>
        <v>2014</v>
      </c>
      <c r="C456" s="9">
        <v>41729</v>
      </c>
      <c r="D456">
        <v>10.75</v>
      </c>
    </row>
    <row r="457" spans="1:4" x14ac:dyDescent="0.25">
      <c r="A457" s="5">
        <f t="shared" si="23"/>
        <v>4</v>
      </c>
      <c r="B457" s="5">
        <f t="shared" si="24"/>
        <v>2014</v>
      </c>
      <c r="C457" s="9">
        <v>41730</v>
      </c>
      <c r="D457">
        <v>10.75</v>
      </c>
    </row>
    <row r="458" spans="1:4" x14ac:dyDescent="0.25">
      <c r="A458" s="5">
        <f t="shared" si="23"/>
        <v>4</v>
      </c>
      <c r="B458" s="5">
        <f t="shared" si="24"/>
        <v>2014</v>
      </c>
      <c r="C458" s="9">
        <v>41731</v>
      </c>
      <c r="D458">
        <v>10.75</v>
      </c>
    </row>
    <row r="459" spans="1:4" x14ac:dyDescent="0.25">
      <c r="A459" s="5">
        <f t="shared" si="23"/>
        <v>4</v>
      </c>
      <c r="B459" s="5">
        <f t="shared" si="24"/>
        <v>2014</v>
      </c>
      <c r="C459" s="9">
        <v>41732</v>
      </c>
      <c r="D459">
        <v>11</v>
      </c>
    </row>
    <row r="460" spans="1:4" x14ac:dyDescent="0.25">
      <c r="A460" s="5">
        <f t="shared" si="23"/>
        <v>4</v>
      </c>
      <c r="B460" s="5">
        <f t="shared" si="24"/>
        <v>2014</v>
      </c>
      <c r="C460" s="9">
        <v>41733</v>
      </c>
      <c r="D460">
        <v>11</v>
      </c>
    </row>
    <row r="461" spans="1:4" x14ac:dyDescent="0.25">
      <c r="A461" s="5">
        <f t="shared" si="23"/>
        <v>4</v>
      </c>
      <c r="B461" s="5">
        <f t="shared" si="24"/>
        <v>2014</v>
      </c>
      <c r="C461" s="9">
        <v>41734</v>
      </c>
      <c r="D461">
        <v>11</v>
      </c>
    </row>
    <row r="462" spans="1:4" x14ac:dyDescent="0.25">
      <c r="A462" s="5">
        <f t="shared" si="23"/>
        <v>4</v>
      </c>
      <c r="B462" s="5">
        <f t="shared" si="24"/>
        <v>2014</v>
      </c>
      <c r="C462" s="9">
        <v>41735</v>
      </c>
      <c r="D462">
        <v>11</v>
      </c>
    </row>
    <row r="463" spans="1:4" x14ac:dyDescent="0.25">
      <c r="A463" s="5">
        <f t="shared" si="23"/>
        <v>4</v>
      </c>
      <c r="B463" s="5">
        <f t="shared" si="24"/>
        <v>2014</v>
      </c>
      <c r="C463" s="9">
        <v>41736</v>
      </c>
      <c r="D463">
        <v>11</v>
      </c>
    </row>
    <row r="464" spans="1:4" x14ac:dyDescent="0.25">
      <c r="A464" s="5">
        <f t="shared" si="23"/>
        <v>4</v>
      </c>
      <c r="B464" s="5">
        <f t="shared" si="24"/>
        <v>2014</v>
      </c>
      <c r="C464" s="9">
        <v>41737</v>
      </c>
      <c r="D464">
        <v>11</v>
      </c>
    </row>
    <row r="465" spans="1:4" x14ac:dyDescent="0.25">
      <c r="A465" s="5">
        <f t="shared" si="23"/>
        <v>4</v>
      </c>
      <c r="B465" s="5">
        <f t="shared" si="24"/>
        <v>2014</v>
      </c>
      <c r="C465" s="9">
        <v>41738</v>
      </c>
      <c r="D465">
        <v>11</v>
      </c>
    </row>
    <row r="466" spans="1:4" x14ac:dyDescent="0.25">
      <c r="A466" s="5">
        <f t="shared" si="23"/>
        <v>4</v>
      </c>
      <c r="B466" s="5">
        <f t="shared" si="24"/>
        <v>2014</v>
      </c>
      <c r="C466" s="9">
        <v>41739</v>
      </c>
      <c r="D466">
        <v>11</v>
      </c>
    </row>
    <row r="467" spans="1:4" x14ac:dyDescent="0.25">
      <c r="A467" s="5">
        <f t="shared" si="23"/>
        <v>4</v>
      </c>
      <c r="B467" s="5">
        <f t="shared" si="24"/>
        <v>2014</v>
      </c>
      <c r="C467" s="9">
        <v>41740</v>
      </c>
      <c r="D467">
        <v>11</v>
      </c>
    </row>
    <row r="468" spans="1:4" x14ac:dyDescent="0.25">
      <c r="A468" s="5">
        <f t="shared" si="23"/>
        <v>4</v>
      </c>
      <c r="B468" s="5">
        <f t="shared" si="24"/>
        <v>2014</v>
      </c>
      <c r="C468" s="9">
        <v>41741</v>
      </c>
      <c r="D468">
        <v>11</v>
      </c>
    </row>
    <row r="469" spans="1:4" x14ac:dyDescent="0.25">
      <c r="A469" s="5">
        <f t="shared" si="23"/>
        <v>4</v>
      </c>
      <c r="B469" s="5">
        <f t="shared" si="24"/>
        <v>2014</v>
      </c>
      <c r="C469" s="9">
        <v>41742</v>
      </c>
      <c r="D469">
        <v>11</v>
      </c>
    </row>
    <row r="470" spans="1:4" x14ac:dyDescent="0.25">
      <c r="A470" s="5">
        <f t="shared" si="23"/>
        <v>4</v>
      </c>
      <c r="B470" s="5">
        <f t="shared" si="24"/>
        <v>2014</v>
      </c>
      <c r="C470" s="9">
        <v>41743</v>
      </c>
      <c r="D470">
        <v>11</v>
      </c>
    </row>
    <row r="471" spans="1:4" x14ac:dyDescent="0.25">
      <c r="A471" s="5">
        <f t="shared" si="23"/>
        <v>4</v>
      </c>
      <c r="B471" s="5">
        <f t="shared" si="24"/>
        <v>2014</v>
      </c>
      <c r="C471" s="9">
        <v>41744</v>
      </c>
      <c r="D471">
        <v>11</v>
      </c>
    </row>
    <row r="472" spans="1:4" x14ac:dyDescent="0.25">
      <c r="A472" s="5">
        <f t="shared" si="23"/>
        <v>4</v>
      </c>
      <c r="B472" s="5">
        <f t="shared" si="24"/>
        <v>2014</v>
      </c>
      <c r="C472" s="9">
        <v>41745</v>
      </c>
      <c r="D472">
        <v>11</v>
      </c>
    </row>
    <row r="473" spans="1:4" x14ac:dyDescent="0.25">
      <c r="A473" s="5">
        <f t="shared" si="23"/>
        <v>4</v>
      </c>
      <c r="B473" s="5">
        <f t="shared" si="24"/>
        <v>2014</v>
      </c>
      <c r="C473" s="9">
        <v>41746</v>
      </c>
      <c r="D473">
        <v>11</v>
      </c>
    </row>
    <row r="474" spans="1:4" x14ac:dyDescent="0.25">
      <c r="A474" s="5">
        <f t="shared" si="23"/>
        <v>4</v>
      </c>
      <c r="B474" s="5">
        <f t="shared" si="24"/>
        <v>2014</v>
      </c>
      <c r="C474" s="9">
        <v>41747</v>
      </c>
      <c r="D474">
        <v>11</v>
      </c>
    </row>
    <row r="475" spans="1:4" x14ac:dyDescent="0.25">
      <c r="A475" s="5">
        <f t="shared" si="23"/>
        <v>4</v>
      </c>
      <c r="B475" s="5">
        <f t="shared" si="24"/>
        <v>2014</v>
      </c>
      <c r="C475" s="9">
        <v>41748</v>
      </c>
      <c r="D475">
        <v>11</v>
      </c>
    </row>
    <row r="476" spans="1:4" x14ac:dyDescent="0.25">
      <c r="A476" s="5">
        <f t="shared" si="23"/>
        <v>4</v>
      </c>
      <c r="B476" s="5">
        <f t="shared" si="24"/>
        <v>2014</v>
      </c>
      <c r="C476" s="9">
        <v>41749</v>
      </c>
      <c r="D476">
        <v>11</v>
      </c>
    </row>
    <row r="477" spans="1:4" x14ac:dyDescent="0.25">
      <c r="A477" s="5">
        <f t="shared" si="23"/>
        <v>4</v>
      </c>
      <c r="B477" s="5">
        <f t="shared" si="24"/>
        <v>2014</v>
      </c>
      <c r="C477" s="9">
        <v>41750</v>
      </c>
      <c r="D477">
        <v>11</v>
      </c>
    </row>
    <row r="478" spans="1:4" x14ac:dyDescent="0.25">
      <c r="A478" s="5">
        <f t="shared" si="23"/>
        <v>4</v>
      </c>
      <c r="B478" s="5">
        <f t="shared" si="24"/>
        <v>2014</v>
      </c>
      <c r="C478" s="9">
        <v>41751</v>
      </c>
      <c r="D478">
        <v>11</v>
      </c>
    </row>
    <row r="479" spans="1:4" x14ac:dyDescent="0.25">
      <c r="A479" s="5">
        <f t="shared" si="23"/>
        <v>4</v>
      </c>
      <c r="B479" s="5">
        <f t="shared" si="24"/>
        <v>2014</v>
      </c>
      <c r="C479" s="9">
        <v>41752</v>
      </c>
      <c r="D479">
        <v>11</v>
      </c>
    </row>
    <row r="480" spans="1:4" x14ac:dyDescent="0.25">
      <c r="A480" s="5">
        <f t="shared" si="23"/>
        <v>4</v>
      </c>
      <c r="B480" s="5">
        <f t="shared" si="24"/>
        <v>2014</v>
      </c>
      <c r="C480" s="9">
        <v>41753</v>
      </c>
      <c r="D480">
        <v>11</v>
      </c>
    </row>
    <row r="481" spans="1:4" x14ac:dyDescent="0.25">
      <c r="A481" s="5">
        <f t="shared" si="23"/>
        <v>4</v>
      </c>
      <c r="B481" s="5">
        <f t="shared" si="24"/>
        <v>2014</v>
      </c>
      <c r="C481" s="9">
        <v>41754</v>
      </c>
      <c r="D481">
        <v>11</v>
      </c>
    </row>
    <row r="482" spans="1:4" x14ac:dyDescent="0.25">
      <c r="A482" s="5">
        <f t="shared" si="23"/>
        <v>4</v>
      </c>
      <c r="B482" s="5">
        <f t="shared" si="24"/>
        <v>2014</v>
      </c>
      <c r="C482" s="9">
        <v>41755</v>
      </c>
      <c r="D482">
        <v>11</v>
      </c>
    </row>
    <row r="483" spans="1:4" x14ac:dyDescent="0.25">
      <c r="A483" s="5">
        <f t="shared" si="23"/>
        <v>4</v>
      </c>
      <c r="B483" s="5">
        <f t="shared" si="24"/>
        <v>2014</v>
      </c>
      <c r="C483" s="9">
        <v>41756</v>
      </c>
      <c r="D483">
        <v>11</v>
      </c>
    </row>
    <row r="484" spans="1:4" x14ac:dyDescent="0.25">
      <c r="A484" s="5">
        <f t="shared" si="23"/>
        <v>4</v>
      </c>
      <c r="B484" s="5">
        <f t="shared" si="24"/>
        <v>2014</v>
      </c>
      <c r="C484" s="9">
        <v>41757</v>
      </c>
      <c r="D484">
        <v>11</v>
      </c>
    </row>
    <row r="485" spans="1:4" x14ac:dyDescent="0.25">
      <c r="A485" s="5">
        <f t="shared" si="23"/>
        <v>4</v>
      </c>
      <c r="B485" s="5">
        <f t="shared" si="24"/>
        <v>2014</v>
      </c>
      <c r="C485" s="9">
        <v>41758</v>
      </c>
      <c r="D485">
        <v>11</v>
      </c>
    </row>
    <row r="486" spans="1:4" x14ac:dyDescent="0.25">
      <c r="A486" s="5">
        <f t="shared" si="23"/>
        <v>4</v>
      </c>
      <c r="B486" s="5">
        <f t="shared" si="24"/>
        <v>2014</v>
      </c>
      <c r="C486" s="9">
        <v>41759</v>
      </c>
      <c r="D486">
        <v>11</v>
      </c>
    </row>
    <row r="487" spans="1:4" x14ac:dyDescent="0.25">
      <c r="A487" s="5">
        <f t="shared" si="23"/>
        <v>5</v>
      </c>
      <c r="B487" s="5">
        <f t="shared" si="24"/>
        <v>2014</v>
      </c>
      <c r="C487" s="9">
        <v>41760</v>
      </c>
      <c r="D487">
        <v>11</v>
      </c>
    </row>
    <row r="488" spans="1:4" x14ac:dyDescent="0.25">
      <c r="A488" s="5">
        <f t="shared" si="23"/>
        <v>5</v>
      </c>
      <c r="B488" s="5">
        <f t="shared" si="24"/>
        <v>2014</v>
      </c>
      <c r="C488" s="9">
        <v>41761</v>
      </c>
      <c r="D488">
        <v>11</v>
      </c>
    </row>
    <row r="489" spans="1:4" x14ac:dyDescent="0.25">
      <c r="A489" s="5">
        <f t="shared" si="23"/>
        <v>5</v>
      </c>
      <c r="B489" s="5">
        <f t="shared" si="24"/>
        <v>2014</v>
      </c>
      <c r="C489" s="9">
        <v>41762</v>
      </c>
      <c r="D489">
        <v>11</v>
      </c>
    </row>
    <row r="490" spans="1:4" x14ac:dyDescent="0.25">
      <c r="A490" s="5">
        <f t="shared" si="23"/>
        <v>5</v>
      </c>
      <c r="B490" s="5">
        <f t="shared" si="24"/>
        <v>2014</v>
      </c>
      <c r="C490" s="9">
        <v>41763</v>
      </c>
      <c r="D490">
        <v>11</v>
      </c>
    </row>
    <row r="491" spans="1:4" x14ac:dyDescent="0.25">
      <c r="A491" s="5">
        <f t="shared" si="23"/>
        <v>5</v>
      </c>
      <c r="B491" s="5">
        <f t="shared" si="24"/>
        <v>2014</v>
      </c>
      <c r="C491" s="9">
        <v>41764</v>
      </c>
      <c r="D491">
        <v>11</v>
      </c>
    </row>
    <row r="492" spans="1:4" x14ac:dyDescent="0.25">
      <c r="A492" s="5">
        <f t="shared" si="23"/>
        <v>5</v>
      </c>
      <c r="B492" s="5">
        <f t="shared" si="24"/>
        <v>2014</v>
      </c>
      <c r="C492" s="9">
        <v>41765</v>
      </c>
      <c r="D492">
        <v>11</v>
      </c>
    </row>
    <row r="493" spans="1:4" x14ac:dyDescent="0.25">
      <c r="A493" s="5">
        <f t="shared" si="23"/>
        <v>5</v>
      </c>
      <c r="B493" s="5">
        <f t="shared" si="24"/>
        <v>2014</v>
      </c>
      <c r="C493" s="9">
        <v>41766</v>
      </c>
      <c r="D493">
        <v>11</v>
      </c>
    </row>
    <row r="494" spans="1:4" x14ac:dyDescent="0.25">
      <c r="A494" s="5">
        <f t="shared" si="23"/>
        <v>5</v>
      </c>
      <c r="B494" s="5">
        <f t="shared" si="24"/>
        <v>2014</v>
      </c>
      <c r="C494" s="9">
        <v>41767</v>
      </c>
      <c r="D494">
        <v>11</v>
      </c>
    </row>
    <row r="495" spans="1:4" x14ac:dyDescent="0.25">
      <c r="A495" s="5">
        <f t="shared" si="23"/>
        <v>5</v>
      </c>
      <c r="B495" s="5">
        <f t="shared" si="24"/>
        <v>2014</v>
      </c>
      <c r="C495" s="9">
        <v>41768</v>
      </c>
      <c r="D495">
        <v>11</v>
      </c>
    </row>
    <row r="496" spans="1:4" x14ac:dyDescent="0.25">
      <c r="A496" s="5">
        <f t="shared" si="23"/>
        <v>5</v>
      </c>
      <c r="B496" s="5">
        <f t="shared" si="24"/>
        <v>2014</v>
      </c>
      <c r="C496" s="9">
        <v>41769</v>
      </c>
      <c r="D496">
        <v>11</v>
      </c>
    </row>
    <row r="497" spans="1:4" x14ac:dyDescent="0.25">
      <c r="A497" s="5">
        <f t="shared" si="23"/>
        <v>5</v>
      </c>
      <c r="B497" s="5">
        <f t="shared" si="24"/>
        <v>2014</v>
      </c>
      <c r="C497" s="9">
        <v>41770</v>
      </c>
      <c r="D497">
        <v>11</v>
      </c>
    </row>
    <row r="498" spans="1:4" x14ac:dyDescent="0.25">
      <c r="A498" s="5">
        <f t="shared" si="23"/>
        <v>5</v>
      </c>
      <c r="B498" s="5">
        <f t="shared" si="24"/>
        <v>2014</v>
      </c>
      <c r="C498" s="9">
        <v>41771</v>
      </c>
      <c r="D498">
        <v>11</v>
      </c>
    </row>
    <row r="499" spans="1:4" x14ac:dyDescent="0.25">
      <c r="A499" s="5">
        <f t="shared" si="23"/>
        <v>5</v>
      </c>
      <c r="B499" s="5">
        <f t="shared" si="24"/>
        <v>2014</v>
      </c>
      <c r="C499" s="9">
        <v>41772</v>
      </c>
      <c r="D499">
        <v>11</v>
      </c>
    </row>
    <row r="500" spans="1:4" x14ac:dyDescent="0.25">
      <c r="A500" s="5">
        <f t="shared" si="23"/>
        <v>5</v>
      </c>
      <c r="B500" s="5">
        <f t="shared" si="24"/>
        <v>2014</v>
      </c>
      <c r="C500" s="9">
        <v>41773</v>
      </c>
      <c r="D500">
        <v>11</v>
      </c>
    </row>
    <row r="501" spans="1:4" x14ac:dyDescent="0.25">
      <c r="A501" s="5">
        <f t="shared" si="23"/>
        <v>5</v>
      </c>
      <c r="B501" s="5">
        <f t="shared" si="24"/>
        <v>2014</v>
      </c>
      <c r="C501" s="9">
        <v>41774</v>
      </c>
      <c r="D501">
        <v>11</v>
      </c>
    </row>
    <row r="502" spans="1:4" x14ac:dyDescent="0.25">
      <c r="A502" s="5">
        <f t="shared" si="23"/>
        <v>5</v>
      </c>
      <c r="B502" s="5">
        <f t="shared" si="24"/>
        <v>2014</v>
      </c>
      <c r="C502" s="9">
        <v>41775</v>
      </c>
      <c r="D502">
        <v>11</v>
      </c>
    </row>
    <row r="503" spans="1:4" x14ac:dyDescent="0.25">
      <c r="A503" s="5">
        <f t="shared" si="23"/>
        <v>5</v>
      </c>
      <c r="B503" s="5">
        <f t="shared" si="24"/>
        <v>2014</v>
      </c>
      <c r="C503" s="9">
        <v>41776</v>
      </c>
      <c r="D503">
        <v>11</v>
      </c>
    </row>
    <row r="504" spans="1:4" x14ac:dyDescent="0.25">
      <c r="A504" s="5">
        <f t="shared" si="23"/>
        <v>5</v>
      </c>
      <c r="B504" s="5">
        <f t="shared" si="24"/>
        <v>2014</v>
      </c>
      <c r="C504" s="9">
        <v>41777</v>
      </c>
      <c r="D504">
        <v>11</v>
      </c>
    </row>
    <row r="505" spans="1:4" x14ac:dyDescent="0.25">
      <c r="A505" s="5">
        <f t="shared" si="23"/>
        <v>5</v>
      </c>
      <c r="B505" s="5">
        <f t="shared" si="24"/>
        <v>2014</v>
      </c>
      <c r="C505" s="9">
        <v>41778</v>
      </c>
      <c r="D505">
        <v>11</v>
      </c>
    </row>
    <row r="506" spans="1:4" x14ac:dyDescent="0.25">
      <c r="A506" s="5">
        <f t="shared" si="23"/>
        <v>5</v>
      </c>
      <c r="B506" s="5">
        <f t="shared" si="24"/>
        <v>2014</v>
      </c>
      <c r="C506" s="9">
        <v>41779</v>
      </c>
      <c r="D506">
        <v>11</v>
      </c>
    </row>
    <row r="507" spans="1:4" x14ac:dyDescent="0.25">
      <c r="A507" s="5">
        <f t="shared" si="23"/>
        <v>5</v>
      </c>
      <c r="B507" s="5">
        <f t="shared" si="24"/>
        <v>2014</v>
      </c>
      <c r="C507" s="9">
        <v>41780</v>
      </c>
      <c r="D507">
        <v>11</v>
      </c>
    </row>
    <row r="508" spans="1:4" x14ac:dyDescent="0.25">
      <c r="A508" s="5">
        <f t="shared" si="23"/>
        <v>5</v>
      </c>
      <c r="B508" s="5">
        <f t="shared" si="24"/>
        <v>2014</v>
      </c>
      <c r="C508" s="9">
        <v>41781</v>
      </c>
      <c r="D508">
        <v>11</v>
      </c>
    </row>
    <row r="509" spans="1:4" x14ac:dyDescent="0.25">
      <c r="A509" s="5">
        <f t="shared" si="23"/>
        <v>5</v>
      </c>
      <c r="B509" s="5">
        <f t="shared" si="24"/>
        <v>2014</v>
      </c>
      <c r="C509" s="9">
        <v>41782</v>
      </c>
      <c r="D509">
        <v>11</v>
      </c>
    </row>
    <row r="510" spans="1:4" x14ac:dyDescent="0.25">
      <c r="A510" s="5">
        <f t="shared" si="23"/>
        <v>5</v>
      </c>
      <c r="B510" s="5">
        <f t="shared" si="24"/>
        <v>2014</v>
      </c>
      <c r="C510" s="9">
        <v>41783</v>
      </c>
      <c r="D510">
        <v>11</v>
      </c>
    </row>
    <row r="511" spans="1:4" x14ac:dyDescent="0.25">
      <c r="A511" s="5">
        <f t="shared" si="23"/>
        <v>5</v>
      </c>
      <c r="B511" s="5">
        <f t="shared" si="24"/>
        <v>2014</v>
      </c>
      <c r="C511" s="9">
        <v>41784</v>
      </c>
      <c r="D511">
        <v>11</v>
      </c>
    </row>
    <row r="512" spans="1:4" x14ac:dyDescent="0.25">
      <c r="A512" s="5">
        <f t="shared" si="23"/>
        <v>5</v>
      </c>
      <c r="B512" s="5">
        <f t="shared" si="24"/>
        <v>2014</v>
      </c>
      <c r="C512" s="9">
        <v>41785</v>
      </c>
      <c r="D512">
        <v>11</v>
      </c>
    </row>
    <row r="513" spans="1:4" x14ac:dyDescent="0.25">
      <c r="A513" s="5">
        <f t="shared" si="23"/>
        <v>5</v>
      </c>
      <c r="B513" s="5">
        <f t="shared" si="24"/>
        <v>2014</v>
      </c>
      <c r="C513" s="9">
        <v>41786</v>
      </c>
      <c r="D513">
        <v>11</v>
      </c>
    </row>
    <row r="514" spans="1:4" x14ac:dyDescent="0.25">
      <c r="A514" s="5">
        <f t="shared" si="23"/>
        <v>5</v>
      </c>
      <c r="B514" s="5">
        <f t="shared" si="24"/>
        <v>2014</v>
      </c>
      <c r="C514" s="9">
        <v>41787</v>
      </c>
      <c r="D514">
        <v>11</v>
      </c>
    </row>
    <row r="515" spans="1:4" x14ac:dyDescent="0.25">
      <c r="A515" s="5">
        <f t="shared" ref="A515:A578" si="25">MONTH(C515)</f>
        <v>5</v>
      </c>
      <c r="B515" s="5">
        <f t="shared" ref="B515:B578" si="26">YEAR(C515)</f>
        <v>2014</v>
      </c>
      <c r="C515" s="9">
        <v>41788</v>
      </c>
      <c r="D515">
        <v>11</v>
      </c>
    </row>
    <row r="516" spans="1:4" x14ac:dyDescent="0.25">
      <c r="A516" s="5">
        <f t="shared" si="25"/>
        <v>5</v>
      </c>
      <c r="B516" s="5">
        <f t="shared" si="26"/>
        <v>2014</v>
      </c>
      <c r="C516" s="9">
        <v>41789</v>
      </c>
      <c r="D516">
        <v>11</v>
      </c>
    </row>
    <row r="517" spans="1:4" x14ac:dyDescent="0.25">
      <c r="A517" s="5">
        <f t="shared" si="25"/>
        <v>5</v>
      </c>
      <c r="B517" s="5">
        <f t="shared" si="26"/>
        <v>2014</v>
      </c>
      <c r="C517" s="9">
        <v>41790</v>
      </c>
      <c r="D517">
        <v>11</v>
      </c>
    </row>
    <row r="518" spans="1:4" x14ac:dyDescent="0.25">
      <c r="A518" s="5">
        <f t="shared" si="25"/>
        <v>6</v>
      </c>
      <c r="B518" s="5">
        <f t="shared" si="26"/>
        <v>2014</v>
      </c>
      <c r="C518" s="9">
        <v>41791</v>
      </c>
      <c r="D518">
        <v>11</v>
      </c>
    </row>
    <row r="519" spans="1:4" x14ac:dyDescent="0.25">
      <c r="A519" s="5">
        <f t="shared" si="25"/>
        <v>6</v>
      </c>
      <c r="B519" s="5">
        <f t="shared" si="26"/>
        <v>2014</v>
      </c>
      <c r="C519" s="9">
        <v>41792</v>
      </c>
      <c r="D519">
        <v>11</v>
      </c>
    </row>
    <row r="520" spans="1:4" x14ac:dyDescent="0.25">
      <c r="A520" s="5">
        <f t="shared" si="25"/>
        <v>6</v>
      </c>
      <c r="B520" s="5">
        <f t="shared" si="26"/>
        <v>2014</v>
      </c>
      <c r="C520" s="9">
        <v>41793</v>
      </c>
      <c r="D520">
        <v>11</v>
      </c>
    </row>
    <row r="521" spans="1:4" x14ac:dyDescent="0.25">
      <c r="A521" s="5">
        <f t="shared" si="25"/>
        <v>6</v>
      </c>
      <c r="B521" s="5">
        <f t="shared" si="26"/>
        <v>2014</v>
      </c>
      <c r="C521" s="9">
        <v>41794</v>
      </c>
      <c r="D521">
        <v>11</v>
      </c>
    </row>
    <row r="522" spans="1:4" x14ac:dyDescent="0.25">
      <c r="A522" s="5">
        <f t="shared" si="25"/>
        <v>6</v>
      </c>
      <c r="B522" s="5">
        <f t="shared" si="26"/>
        <v>2014</v>
      </c>
      <c r="C522" s="9">
        <v>41795</v>
      </c>
      <c r="D522">
        <v>11</v>
      </c>
    </row>
    <row r="523" spans="1:4" x14ac:dyDescent="0.25">
      <c r="A523" s="5">
        <f t="shared" si="25"/>
        <v>6</v>
      </c>
      <c r="B523" s="5">
        <f t="shared" si="26"/>
        <v>2014</v>
      </c>
      <c r="C523" s="9">
        <v>41796</v>
      </c>
      <c r="D523">
        <v>11</v>
      </c>
    </row>
    <row r="524" spans="1:4" x14ac:dyDescent="0.25">
      <c r="A524" s="5">
        <f t="shared" si="25"/>
        <v>6</v>
      </c>
      <c r="B524" s="5">
        <f t="shared" si="26"/>
        <v>2014</v>
      </c>
      <c r="C524" s="9">
        <v>41797</v>
      </c>
      <c r="D524">
        <v>11</v>
      </c>
    </row>
    <row r="525" spans="1:4" x14ac:dyDescent="0.25">
      <c r="A525" s="5">
        <f t="shared" si="25"/>
        <v>6</v>
      </c>
      <c r="B525" s="5">
        <f t="shared" si="26"/>
        <v>2014</v>
      </c>
      <c r="C525" s="9">
        <v>41798</v>
      </c>
      <c r="D525">
        <v>11</v>
      </c>
    </row>
    <row r="526" spans="1:4" x14ac:dyDescent="0.25">
      <c r="A526" s="5">
        <f t="shared" si="25"/>
        <v>6</v>
      </c>
      <c r="B526" s="5">
        <f t="shared" si="26"/>
        <v>2014</v>
      </c>
      <c r="C526" s="9">
        <v>41799</v>
      </c>
      <c r="D526">
        <v>11</v>
      </c>
    </row>
    <row r="527" spans="1:4" x14ac:dyDescent="0.25">
      <c r="A527" s="5">
        <f t="shared" si="25"/>
        <v>6</v>
      </c>
      <c r="B527" s="5">
        <f t="shared" si="26"/>
        <v>2014</v>
      </c>
      <c r="C527" s="9">
        <v>41800</v>
      </c>
      <c r="D527">
        <v>11</v>
      </c>
    </row>
    <row r="528" spans="1:4" x14ac:dyDescent="0.25">
      <c r="A528" s="5">
        <f t="shared" si="25"/>
        <v>6</v>
      </c>
      <c r="B528" s="5">
        <f t="shared" si="26"/>
        <v>2014</v>
      </c>
      <c r="C528" s="9">
        <v>41801</v>
      </c>
      <c r="D528">
        <v>11</v>
      </c>
    </row>
    <row r="529" spans="1:4" x14ac:dyDescent="0.25">
      <c r="A529" s="5">
        <f t="shared" si="25"/>
        <v>6</v>
      </c>
      <c r="B529" s="5">
        <f t="shared" si="26"/>
        <v>2014</v>
      </c>
      <c r="C529" s="9">
        <v>41802</v>
      </c>
      <c r="D529">
        <v>11</v>
      </c>
    </row>
    <row r="530" spans="1:4" x14ac:dyDescent="0.25">
      <c r="A530" s="5">
        <f t="shared" si="25"/>
        <v>6</v>
      </c>
      <c r="B530" s="5">
        <f t="shared" si="26"/>
        <v>2014</v>
      </c>
      <c r="C530" s="9">
        <v>41803</v>
      </c>
      <c r="D530">
        <v>11</v>
      </c>
    </row>
    <row r="531" spans="1:4" x14ac:dyDescent="0.25">
      <c r="A531" s="5">
        <f t="shared" si="25"/>
        <v>6</v>
      </c>
      <c r="B531" s="5">
        <f t="shared" si="26"/>
        <v>2014</v>
      </c>
      <c r="C531" s="9">
        <v>41804</v>
      </c>
      <c r="D531">
        <v>11</v>
      </c>
    </row>
    <row r="532" spans="1:4" x14ac:dyDescent="0.25">
      <c r="A532" s="5">
        <f t="shared" si="25"/>
        <v>6</v>
      </c>
      <c r="B532" s="5">
        <f t="shared" si="26"/>
        <v>2014</v>
      </c>
      <c r="C532" s="9">
        <v>41805</v>
      </c>
      <c r="D532">
        <v>11</v>
      </c>
    </row>
    <row r="533" spans="1:4" x14ac:dyDescent="0.25">
      <c r="A533" s="5">
        <f t="shared" si="25"/>
        <v>6</v>
      </c>
      <c r="B533" s="5">
        <f t="shared" si="26"/>
        <v>2014</v>
      </c>
      <c r="C533" s="9">
        <v>41806</v>
      </c>
      <c r="D533">
        <v>11</v>
      </c>
    </row>
    <row r="534" spans="1:4" x14ac:dyDescent="0.25">
      <c r="A534" s="5">
        <f t="shared" si="25"/>
        <v>6</v>
      </c>
      <c r="B534" s="5">
        <f t="shared" si="26"/>
        <v>2014</v>
      </c>
      <c r="C534" s="9">
        <v>41807</v>
      </c>
      <c r="D534">
        <v>11</v>
      </c>
    </row>
    <row r="535" spans="1:4" x14ac:dyDescent="0.25">
      <c r="A535" s="5">
        <f t="shared" si="25"/>
        <v>6</v>
      </c>
      <c r="B535" s="5">
        <f t="shared" si="26"/>
        <v>2014</v>
      </c>
      <c r="C535" s="9">
        <v>41808</v>
      </c>
      <c r="D535">
        <v>11</v>
      </c>
    </row>
    <row r="536" spans="1:4" x14ac:dyDescent="0.25">
      <c r="A536" s="5">
        <f t="shared" si="25"/>
        <v>6</v>
      </c>
      <c r="B536" s="5">
        <f t="shared" si="26"/>
        <v>2014</v>
      </c>
      <c r="C536" s="9">
        <v>41809</v>
      </c>
      <c r="D536">
        <v>11</v>
      </c>
    </row>
    <row r="537" spans="1:4" x14ac:dyDescent="0.25">
      <c r="A537" s="5">
        <f t="shared" si="25"/>
        <v>6</v>
      </c>
      <c r="B537" s="5">
        <f t="shared" si="26"/>
        <v>2014</v>
      </c>
      <c r="C537" s="9">
        <v>41810</v>
      </c>
      <c r="D537">
        <v>11</v>
      </c>
    </row>
    <row r="538" spans="1:4" x14ac:dyDescent="0.25">
      <c r="A538" s="5">
        <f t="shared" si="25"/>
        <v>6</v>
      </c>
      <c r="B538" s="5">
        <f t="shared" si="26"/>
        <v>2014</v>
      </c>
      <c r="C538" s="9">
        <v>41811</v>
      </c>
      <c r="D538">
        <v>11</v>
      </c>
    </row>
    <row r="539" spans="1:4" x14ac:dyDescent="0.25">
      <c r="A539" s="5">
        <f t="shared" si="25"/>
        <v>6</v>
      </c>
      <c r="B539" s="5">
        <f t="shared" si="26"/>
        <v>2014</v>
      </c>
      <c r="C539" s="9">
        <v>41812</v>
      </c>
      <c r="D539">
        <v>11</v>
      </c>
    </row>
    <row r="540" spans="1:4" x14ac:dyDescent="0.25">
      <c r="A540" s="5">
        <f t="shared" si="25"/>
        <v>6</v>
      </c>
      <c r="B540" s="5">
        <f t="shared" si="26"/>
        <v>2014</v>
      </c>
      <c r="C540" s="9">
        <v>41813</v>
      </c>
      <c r="D540">
        <v>11</v>
      </c>
    </row>
    <row r="541" spans="1:4" x14ac:dyDescent="0.25">
      <c r="A541" s="5">
        <f t="shared" si="25"/>
        <v>6</v>
      </c>
      <c r="B541" s="5">
        <f t="shared" si="26"/>
        <v>2014</v>
      </c>
      <c r="C541" s="9">
        <v>41814</v>
      </c>
      <c r="D541">
        <v>11</v>
      </c>
    </row>
    <row r="542" spans="1:4" x14ac:dyDescent="0.25">
      <c r="A542" s="5">
        <f t="shared" si="25"/>
        <v>6</v>
      </c>
      <c r="B542" s="5">
        <f t="shared" si="26"/>
        <v>2014</v>
      </c>
      <c r="C542" s="9">
        <v>41815</v>
      </c>
      <c r="D542">
        <v>11</v>
      </c>
    </row>
    <row r="543" spans="1:4" x14ac:dyDescent="0.25">
      <c r="A543" s="5">
        <f t="shared" si="25"/>
        <v>6</v>
      </c>
      <c r="B543" s="5">
        <f t="shared" si="26"/>
        <v>2014</v>
      </c>
      <c r="C543" s="9">
        <v>41816</v>
      </c>
      <c r="D543">
        <v>11</v>
      </c>
    </row>
    <row r="544" spans="1:4" x14ac:dyDescent="0.25">
      <c r="A544" s="5">
        <f t="shared" si="25"/>
        <v>6</v>
      </c>
      <c r="B544" s="5">
        <f t="shared" si="26"/>
        <v>2014</v>
      </c>
      <c r="C544" s="9">
        <v>41817</v>
      </c>
      <c r="D544">
        <v>11</v>
      </c>
    </row>
    <row r="545" spans="1:4" x14ac:dyDescent="0.25">
      <c r="A545" s="5">
        <f t="shared" si="25"/>
        <v>6</v>
      </c>
      <c r="B545" s="5">
        <f t="shared" si="26"/>
        <v>2014</v>
      </c>
      <c r="C545" s="9">
        <v>41818</v>
      </c>
      <c r="D545">
        <v>11</v>
      </c>
    </row>
    <row r="546" spans="1:4" x14ac:dyDescent="0.25">
      <c r="A546" s="5">
        <f t="shared" si="25"/>
        <v>6</v>
      </c>
      <c r="B546" s="5">
        <f t="shared" si="26"/>
        <v>2014</v>
      </c>
      <c r="C546" s="9">
        <v>41819</v>
      </c>
      <c r="D546">
        <v>11</v>
      </c>
    </row>
    <row r="547" spans="1:4" x14ac:dyDescent="0.25">
      <c r="A547" s="5">
        <f t="shared" si="25"/>
        <v>6</v>
      </c>
      <c r="B547" s="5">
        <f t="shared" si="26"/>
        <v>2014</v>
      </c>
      <c r="C547" s="9">
        <v>41820</v>
      </c>
      <c r="D547">
        <v>11</v>
      </c>
    </row>
    <row r="548" spans="1:4" x14ac:dyDescent="0.25">
      <c r="A548" s="5">
        <f t="shared" si="25"/>
        <v>7</v>
      </c>
      <c r="B548" s="5">
        <f t="shared" si="26"/>
        <v>2014</v>
      </c>
      <c r="C548" s="9">
        <v>41821</v>
      </c>
      <c r="D548">
        <v>11</v>
      </c>
    </row>
    <row r="549" spans="1:4" x14ac:dyDescent="0.25">
      <c r="A549" s="5">
        <f t="shared" si="25"/>
        <v>7</v>
      </c>
      <c r="B549" s="5">
        <f t="shared" si="26"/>
        <v>2014</v>
      </c>
      <c r="C549" s="9">
        <v>41822</v>
      </c>
      <c r="D549">
        <v>11</v>
      </c>
    </row>
    <row r="550" spans="1:4" x14ac:dyDescent="0.25">
      <c r="A550" s="5">
        <f t="shared" si="25"/>
        <v>7</v>
      </c>
      <c r="B550" s="5">
        <f t="shared" si="26"/>
        <v>2014</v>
      </c>
      <c r="C550" s="9">
        <v>41823</v>
      </c>
      <c r="D550">
        <v>11</v>
      </c>
    </row>
    <row r="551" spans="1:4" x14ac:dyDescent="0.25">
      <c r="A551" s="5">
        <f t="shared" si="25"/>
        <v>7</v>
      </c>
      <c r="B551" s="5">
        <f t="shared" si="26"/>
        <v>2014</v>
      </c>
      <c r="C551" s="9">
        <v>41824</v>
      </c>
      <c r="D551">
        <v>11</v>
      </c>
    </row>
    <row r="552" spans="1:4" x14ac:dyDescent="0.25">
      <c r="A552" s="5">
        <f t="shared" si="25"/>
        <v>7</v>
      </c>
      <c r="B552" s="5">
        <f t="shared" si="26"/>
        <v>2014</v>
      </c>
      <c r="C552" s="9">
        <v>41825</v>
      </c>
      <c r="D552">
        <v>11</v>
      </c>
    </row>
    <row r="553" spans="1:4" x14ac:dyDescent="0.25">
      <c r="A553" s="5">
        <f t="shared" si="25"/>
        <v>7</v>
      </c>
      <c r="B553" s="5">
        <f t="shared" si="26"/>
        <v>2014</v>
      </c>
      <c r="C553" s="9">
        <v>41826</v>
      </c>
      <c r="D553">
        <v>11</v>
      </c>
    </row>
    <row r="554" spans="1:4" x14ac:dyDescent="0.25">
      <c r="A554" s="5">
        <f t="shared" si="25"/>
        <v>7</v>
      </c>
      <c r="B554" s="5">
        <f t="shared" si="26"/>
        <v>2014</v>
      </c>
      <c r="C554" s="9">
        <v>41827</v>
      </c>
      <c r="D554">
        <v>11</v>
      </c>
    </row>
    <row r="555" spans="1:4" x14ac:dyDescent="0.25">
      <c r="A555" s="5">
        <f t="shared" si="25"/>
        <v>7</v>
      </c>
      <c r="B555" s="5">
        <f t="shared" si="26"/>
        <v>2014</v>
      </c>
      <c r="C555" s="9">
        <v>41828</v>
      </c>
      <c r="D555">
        <v>11</v>
      </c>
    </row>
    <row r="556" spans="1:4" x14ac:dyDescent="0.25">
      <c r="A556" s="5">
        <f t="shared" si="25"/>
        <v>7</v>
      </c>
      <c r="B556" s="5">
        <f t="shared" si="26"/>
        <v>2014</v>
      </c>
      <c r="C556" s="9">
        <v>41829</v>
      </c>
      <c r="D556">
        <v>11</v>
      </c>
    </row>
    <row r="557" spans="1:4" x14ac:dyDescent="0.25">
      <c r="A557" s="5">
        <f t="shared" si="25"/>
        <v>7</v>
      </c>
      <c r="B557" s="5">
        <f t="shared" si="26"/>
        <v>2014</v>
      </c>
      <c r="C557" s="9">
        <v>41830</v>
      </c>
      <c r="D557">
        <v>11</v>
      </c>
    </row>
    <row r="558" spans="1:4" x14ac:dyDescent="0.25">
      <c r="A558" s="5">
        <f t="shared" si="25"/>
        <v>7</v>
      </c>
      <c r="B558" s="5">
        <f t="shared" si="26"/>
        <v>2014</v>
      </c>
      <c r="C558" s="9">
        <v>41831</v>
      </c>
      <c r="D558">
        <v>11</v>
      </c>
    </row>
    <row r="559" spans="1:4" x14ac:dyDescent="0.25">
      <c r="A559" s="5">
        <f t="shared" si="25"/>
        <v>7</v>
      </c>
      <c r="B559" s="5">
        <f t="shared" si="26"/>
        <v>2014</v>
      </c>
      <c r="C559" s="9">
        <v>41832</v>
      </c>
      <c r="D559">
        <v>11</v>
      </c>
    </row>
    <row r="560" spans="1:4" x14ac:dyDescent="0.25">
      <c r="A560" s="5">
        <f t="shared" si="25"/>
        <v>7</v>
      </c>
      <c r="B560" s="5">
        <f t="shared" si="26"/>
        <v>2014</v>
      </c>
      <c r="C560" s="9">
        <v>41833</v>
      </c>
      <c r="D560">
        <v>11</v>
      </c>
    </row>
    <row r="561" spans="1:4" x14ac:dyDescent="0.25">
      <c r="A561" s="5">
        <f t="shared" si="25"/>
        <v>7</v>
      </c>
      <c r="B561" s="5">
        <f t="shared" si="26"/>
        <v>2014</v>
      </c>
      <c r="C561" s="9">
        <v>41834</v>
      </c>
      <c r="D561">
        <v>11</v>
      </c>
    </row>
    <row r="562" spans="1:4" x14ac:dyDescent="0.25">
      <c r="A562" s="5">
        <f t="shared" si="25"/>
        <v>7</v>
      </c>
      <c r="B562" s="5">
        <f t="shared" si="26"/>
        <v>2014</v>
      </c>
      <c r="C562" s="9">
        <v>41835</v>
      </c>
      <c r="D562">
        <v>11</v>
      </c>
    </row>
    <row r="563" spans="1:4" x14ac:dyDescent="0.25">
      <c r="A563" s="5">
        <f t="shared" si="25"/>
        <v>7</v>
      </c>
      <c r="B563" s="5">
        <f t="shared" si="26"/>
        <v>2014</v>
      </c>
      <c r="C563" s="9">
        <v>41836</v>
      </c>
      <c r="D563">
        <v>11</v>
      </c>
    </row>
    <row r="564" spans="1:4" x14ac:dyDescent="0.25">
      <c r="A564" s="5">
        <f t="shared" si="25"/>
        <v>7</v>
      </c>
      <c r="B564" s="5">
        <f t="shared" si="26"/>
        <v>2014</v>
      </c>
      <c r="C564" s="9">
        <v>41837</v>
      </c>
      <c r="D564">
        <v>11</v>
      </c>
    </row>
    <row r="565" spans="1:4" x14ac:dyDescent="0.25">
      <c r="A565" s="5">
        <f t="shared" si="25"/>
        <v>7</v>
      </c>
      <c r="B565" s="5">
        <f t="shared" si="26"/>
        <v>2014</v>
      </c>
      <c r="C565" s="9">
        <v>41838</v>
      </c>
      <c r="D565">
        <v>11</v>
      </c>
    </row>
    <row r="566" spans="1:4" x14ac:dyDescent="0.25">
      <c r="A566" s="5">
        <f t="shared" si="25"/>
        <v>7</v>
      </c>
      <c r="B566" s="5">
        <f t="shared" si="26"/>
        <v>2014</v>
      </c>
      <c r="C566" s="9">
        <v>41839</v>
      </c>
      <c r="D566">
        <v>11</v>
      </c>
    </row>
    <row r="567" spans="1:4" x14ac:dyDescent="0.25">
      <c r="A567" s="5">
        <f t="shared" si="25"/>
        <v>7</v>
      </c>
      <c r="B567" s="5">
        <f t="shared" si="26"/>
        <v>2014</v>
      </c>
      <c r="C567" s="9">
        <v>41840</v>
      </c>
      <c r="D567">
        <v>11</v>
      </c>
    </row>
    <row r="568" spans="1:4" x14ac:dyDescent="0.25">
      <c r="A568" s="5">
        <f t="shared" si="25"/>
        <v>7</v>
      </c>
      <c r="B568" s="5">
        <f t="shared" si="26"/>
        <v>2014</v>
      </c>
      <c r="C568" s="9">
        <v>41841</v>
      </c>
      <c r="D568">
        <v>11</v>
      </c>
    </row>
    <row r="569" spans="1:4" x14ac:dyDescent="0.25">
      <c r="A569" s="5">
        <f t="shared" si="25"/>
        <v>7</v>
      </c>
      <c r="B569" s="5">
        <f t="shared" si="26"/>
        <v>2014</v>
      </c>
      <c r="C569" s="9">
        <v>41842</v>
      </c>
      <c r="D569">
        <v>11</v>
      </c>
    </row>
    <row r="570" spans="1:4" x14ac:dyDescent="0.25">
      <c r="A570" s="5">
        <f t="shared" si="25"/>
        <v>7</v>
      </c>
      <c r="B570" s="5">
        <f t="shared" si="26"/>
        <v>2014</v>
      </c>
      <c r="C570" s="9">
        <v>41843</v>
      </c>
      <c r="D570">
        <v>11</v>
      </c>
    </row>
    <row r="571" spans="1:4" x14ac:dyDescent="0.25">
      <c r="A571" s="5">
        <f t="shared" si="25"/>
        <v>7</v>
      </c>
      <c r="B571" s="5">
        <f t="shared" si="26"/>
        <v>2014</v>
      </c>
      <c r="C571" s="9">
        <v>41844</v>
      </c>
      <c r="D571">
        <v>11</v>
      </c>
    </row>
    <row r="572" spans="1:4" x14ac:dyDescent="0.25">
      <c r="A572" s="5">
        <f t="shared" si="25"/>
        <v>7</v>
      </c>
      <c r="B572" s="5">
        <f t="shared" si="26"/>
        <v>2014</v>
      </c>
      <c r="C572" s="9">
        <v>41845</v>
      </c>
      <c r="D572">
        <v>11</v>
      </c>
    </row>
    <row r="573" spans="1:4" x14ac:dyDescent="0.25">
      <c r="A573" s="5">
        <f t="shared" si="25"/>
        <v>7</v>
      </c>
      <c r="B573" s="5">
        <f t="shared" si="26"/>
        <v>2014</v>
      </c>
      <c r="C573" s="9">
        <v>41846</v>
      </c>
      <c r="D573">
        <v>11</v>
      </c>
    </row>
    <row r="574" spans="1:4" x14ac:dyDescent="0.25">
      <c r="A574" s="5">
        <f t="shared" si="25"/>
        <v>7</v>
      </c>
      <c r="B574" s="5">
        <f t="shared" si="26"/>
        <v>2014</v>
      </c>
      <c r="C574" s="9">
        <v>41847</v>
      </c>
      <c r="D574">
        <v>11</v>
      </c>
    </row>
    <row r="575" spans="1:4" x14ac:dyDescent="0.25">
      <c r="A575" s="5">
        <f t="shared" si="25"/>
        <v>7</v>
      </c>
      <c r="B575" s="5">
        <f t="shared" si="26"/>
        <v>2014</v>
      </c>
      <c r="C575" s="9">
        <v>41848</v>
      </c>
      <c r="D575">
        <v>11</v>
      </c>
    </row>
    <row r="576" spans="1:4" x14ac:dyDescent="0.25">
      <c r="A576" s="5">
        <f t="shared" si="25"/>
        <v>7</v>
      </c>
      <c r="B576" s="5">
        <f t="shared" si="26"/>
        <v>2014</v>
      </c>
      <c r="C576" s="9">
        <v>41849</v>
      </c>
      <c r="D576">
        <v>11</v>
      </c>
    </row>
    <row r="577" spans="1:4" x14ac:dyDescent="0.25">
      <c r="A577" s="5">
        <f t="shared" si="25"/>
        <v>7</v>
      </c>
      <c r="B577" s="5">
        <f t="shared" si="26"/>
        <v>2014</v>
      </c>
      <c r="C577" s="9">
        <v>41850</v>
      </c>
      <c r="D577">
        <v>11</v>
      </c>
    </row>
    <row r="578" spans="1:4" x14ac:dyDescent="0.25">
      <c r="A578" s="5">
        <f t="shared" si="25"/>
        <v>7</v>
      </c>
      <c r="B578" s="5">
        <f t="shared" si="26"/>
        <v>2014</v>
      </c>
      <c r="C578" s="9">
        <v>41851</v>
      </c>
      <c r="D578">
        <v>11</v>
      </c>
    </row>
    <row r="579" spans="1:4" x14ac:dyDescent="0.25">
      <c r="A579" s="5">
        <f t="shared" ref="A579:A642" si="27">MONTH(C579)</f>
        <v>8</v>
      </c>
      <c r="B579" s="5">
        <f t="shared" ref="B579:B642" si="28">YEAR(C579)</f>
        <v>2014</v>
      </c>
      <c r="C579" s="9">
        <v>41852</v>
      </c>
      <c r="D579">
        <v>11</v>
      </c>
    </row>
    <row r="580" spans="1:4" x14ac:dyDescent="0.25">
      <c r="A580" s="5">
        <f t="shared" si="27"/>
        <v>8</v>
      </c>
      <c r="B580" s="5">
        <f t="shared" si="28"/>
        <v>2014</v>
      </c>
      <c r="C580" s="9">
        <v>41853</v>
      </c>
      <c r="D580">
        <v>11</v>
      </c>
    </row>
    <row r="581" spans="1:4" x14ac:dyDescent="0.25">
      <c r="A581" s="5">
        <f t="shared" si="27"/>
        <v>8</v>
      </c>
      <c r="B581" s="5">
        <f t="shared" si="28"/>
        <v>2014</v>
      </c>
      <c r="C581" s="9">
        <v>41854</v>
      </c>
      <c r="D581">
        <v>11</v>
      </c>
    </row>
    <row r="582" spans="1:4" x14ac:dyDescent="0.25">
      <c r="A582" s="5">
        <f t="shared" si="27"/>
        <v>8</v>
      </c>
      <c r="B582" s="5">
        <f t="shared" si="28"/>
        <v>2014</v>
      </c>
      <c r="C582" s="9">
        <v>41855</v>
      </c>
      <c r="D582">
        <v>11</v>
      </c>
    </row>
    <row r="583" spans="1:4" x14ac:dyDescent="0.25">
      <c r="A583" s="5">
        <f t="shared" si="27"/>
        <v>8</v>
      </c>
      <c r="B583" s="5">
        <f t="shared" si="28"/>
        <v>2014</v>
      </c>
      <c r="C583" s="9">
        <v>41856</v>
      </c>
      <c r="D583">
        <v>11</v>
      </c>
    </row>
    <row r="584" spans="1:4" x14ac:dyDescent="0.25">
      <c r="A584" s="5">
        <f t="shared" si="27"/>
        <v>8</v>
      </c>
      <c r="B584" s="5">
        <f t="shared" si="28"/>
        <v>2014</v>
      </c>
      <c r="C584" s="9">
        <v>41857</v>
      </c>
      <c r="D584">
        <v>11</v>
      </c>
    </row>
    <row r="585" spans="1:4" x14ac:dyDescent="0.25">
      <c r="A585" s="5">
        <f t="shared" si="27"/>
        <v>8</v>
      </c>
      <c r="B585" s="5">
        <f t="shared" si="28"/>
        <v>2014</v>
      </c>
      <c r="C585" s="9">
        <v>41858</v>
      </c>
      <c r="D585">
        <v>11</v>
      </c>
    </row>
    <row r="586" spans="1:4" x14ac:dyDescent="0.25">
      <c r="A586" s="5">
        <f t="shared" si="27"/>
        <v>8</v>
      </c>
      <c r="B586" s="5">
        <f t="shared" si="28"/>
        <v>2014</v>
      </c>
      <c r="C586" s="9">
        <v>41859</v>
      </c>
      <c r="D586">
        <v>11</v>
      </c>
    </row>
    <row r="587" spans="1:4" x14ac:dyDescent="0.25">
      <c r="A587" s="5">
        <f t="shared" si="27"/>
        <v>8</v>
      </c>
      <c r="B587" s="5">
        <f t="shared" si="28"/>
        <v>2014</v>
      </c>
      <c r="C587" s="9">
        <v>41860</v>
      </c>
      <c r="D587">
        <v>11</v>
      </c>
    </row>
    <row r="588" spans="1:4" x14ac:dyDescent="0.25">
      <c r="A588" s="5">
        <f t="shared" si="27"/>
        <v>8</v>
      </c>
      <c r="B588" s="5">
        <f t="shared" si="28"/>
        <v>2014</v>
      </c>
      <c r="C588" s="9">
        <v>41861</v>
      </c>
      <c r="D588">
        <v>11</v>
      </c>
    </row>
    <row r="589" spans="1:4" x14ac:dyDescent="0.25">
      <c r="A589" s="5">
        <f t="shared" si="27"/>
        <v>8</v>
      </c>
      <c r="B589" s="5">
        <f t="shared" si="28"/>
        <v>2014</v>
      </c>
      <c r="C589" s="9">
        <v>41862</v>
      </c>
      <c r="D589">
        <v>11</v>
      </c>
    </row>
    <row r="590" spans="1:4" x14ac:dyDescent="0.25">
      <c r="A590" s="5">
        <f t="shared" si="27"/>
        <v>8</v>
      </c>
      <c r="B590" s="5">
        <f t="shared" si="28"/>
        <v>2014</v>
      </c>
      <c r="C590" s="9">
        <v>41863</v>
      </c>
      <c r="D590">
        <v>11</v>
      </c>
    </row>
    <row r="591" spans="1:4" x14ac:dyDescent="0.25">
      <c r="A591" s="5">
        <f t="shared" si="27"/>
        <v>8</v>
      </c>
      <c r="B591" s="5">
        <f t="shared" si="28"/>
        <v>2014</v>
      </c>
      <c r="C591" s="9">
        <v>41864</v>
      </c>
      <c r="D591">
        <v>11</v>
      </c>
    </row>
    <row r="592" spans="1:4" x14ac:dyDescent="0.25">
      <c r="A592" s="5">
        <f t="shared" si="27"/>
        <v>8</v>
      </c>
      <c r="B592" s="5">
        <f t="shared" si="28"/>
        <v>2014</v>
      </c>
      <c r="C592" s="9">
        <v>41865</v>
      </c>
      <c r="D592">
        <v>11</v>
      </c>
    </row>
    <row r="593" spans="1:4" x14ac:dyDescent="0.25">
      <c r="A593" s="5">
        <f t="shared" si="27"/>
        <v>8</v>
      </c>
      <c r="B593" s="5">
        <f t="shared" si="28"/>
        <v>2014</v>
      </c>
      <c r="C593" s="9">
        <v>41866</v>
      </c>
      <c r="D593">
        <v>11</v>
      </c>
    </row>
    <row r="594" spans="1:4" x14ac:dyDescent="0.25">
      <c r="A594" s="5">
        <f t="shared" si="27"/>
        <v>8</v>
      </c>
      <c r="B594" s="5">
        <f t="shared" si="28"/>
        <v>2014</v>
      </c>
      <c r="C594" s="9">
        <v>41867</v>
      </c>
      <c r="D594">
        <v>11</v>
      </c>
    </row>
    <row r="595" spans="1:4" x14ac:dyDescent="0.25">
      <c r="A595" s="5">
        <f t="shared" si="27"/>
        <v>8</v>
      </c>
      <c r="B595" s="5">
        <f t="shared" si="28"/>
        <v>2014</v>
      </c>
      <c r="C595" s="9">
        <v>41868</v>
      </c>
      <c r="D595">
        <v>11</v>
      </c>
    </row>
    <row r="596" spans="1:4" x14ac:dyDescent="0.25">
      <c r="A596" s="5">
        <f t="shared" si="27"/>
        <v>8</v>
      </c>
      <c r="B596" s="5">
        <f t="shared" si="28"/>
        <v>2014</v>
      </c>
      <c r="C596" s="9">
        <v>41869</v>
      </c>
      <c r="D596">
        <v>11</v>
      </c>
    </row>
    <row r="597" spans="1:4" x14ac:dyDescent="0.25">
      <c r="A597" s="5">
        <f t="shared" si="27"/>
        <v>8</v>
      </c>
      <c r="B597" s="5">
        <f t="shared" si="28"/>
        <v>2014</v>
      </c>
      <c r="C597" s="9">
        <v>41870</v>
      </c>
      <c r="D597">
        <v>11</v>
      </c>
    </row>
    <row r="598" spans="1:4" x14ac:dyDescent="0.25">
      <c r="A598" s="5">
        <f t="shared" si="27"/>
        <v>8</v>
      </c>
      <c r="B598" s="5">
        <f t="shared" si="28"/>
        <v>2014</v>
      </c>
      <c r="C598" s="9">
        <v>41871</v>
      </c>
      <c r="D598">
        <v>11</v>
      </c>
    </row>
    <row r="599" spans="1:4" x14ac:dyDescent="0.25">
      <c r="A599" s="5">
        <f t="shared" si="27"/>
        <v>8</v>
      </c>
      <c r="B599" s="5">
        <f t="shared" si="28"/>
        <v>2014</v>
      </c>
      <c r="C599" s="9">
        <v>41872</v>
      </c>
      <c r="D599">
        <v>11</v>
      </c>
    </row>
    <row r="600" spans="1:4" x14ac:dyDescent="0.25">
      <c r="A600" s="5">
        <f t="shared" si="27"/>
        <v>8</v>
      </c>
      <c r="B600" s="5">
        <f t="shared" si="28"/>
        <v>2014</v>
      </c>
      <c r="C600" s="9">
        <v>41873</v>
      </c>
      <c r="D600">
        <v>11</v>
      </c>
    </row>
    <row r="601" spans="1:4" x14ac:dyDescent="0.25">
      <c r="A601" s="5">
        <f t="shared" si="27"/>
        <v>8</v>
      </c>
      <c r="B601" s="5">
        <f t="shared" si="28"/>
        <v>2014</v>
      </c>
      <c r="C601" s="9">
        <v>41874</v>
      </c>
      <c r="D601">
        <v>11</v>
      </c>
    </row>
    <row r="602" spans="1:4" x14ac:dyDescent="0.25">
      <c r="A602" s="5">
        <f t="shared" si="27"/>
        <v>8</v>
      </c>
      <c r="B602" s="5">
        <f t="shared" si="28"/>
        <v>2014</v>
      </c>
      <c r="C602" s="9">
        <v>41875</v>
      </c>
      <c r="D602">
        <v>11</v>
      </c>
    </row>
    <row r="603" spans="1:4" x14ac:dyDescent="0.25">
      <c r="A603" s="5">
        <f t="shared" si="27"/>
        <v>8</v>
      </c>
      <c r="B603" s="5">
        <f t="shared" si="28"/>
        <v>2014</v>
      </c>
      <c r="C603" s="9">
        <v>41876</v>
      </c>
      <c r="D603">
        <v>11</v>
      </c>
    </row>
    <row r="604" spans="1:4" x14ac:dyDescent="0.25">
      <c r="A604" s="5">
        <f t="shared" si="27"/>
        <v>8</v>
      </c>
      <c r="B604" s="5">
        <f t="shared" si="28"/>
        <v>2014</v>
      </c>
      <c r="C604" s="9">
        <v>41877</v>
      </c>
      <c r="D604">
        <v>11</v>
      </c>
    </row>
    <row r="605" spans="1:4" x14ac:dyDescent="0.25">
      <c r="A605" s="5">
        <f t="shared" si="27"/>
        <v>8</v>
      </c>
      <c r="B605" s="5">
        <f t="shared" si="28"/>
        <v>2014</v>
      </c>
      <c r="C605" s="9">
        <v>41878</v>
      </c>
      <c r="D605">
        <v>11</v>
      </c>
    </row>
    <row r="606" spans="1:4" x14ac:dyDescent="0.25">
      <c r="A606" s="5">
        <f t="shared" si="27"/>
        <v>8</v>
      </c>
      <c r="B606" s="5">
        <f t="shared" si="28"/>
        <v>2014</v>
      </c>
      <c r="C606" s="9">
        <v>41879</v>
      </c>
      <c r="D606">
        <v>11</v>
      </c>
    </row>
    <row r="607" spans="1:4" x14ac:dyDescent="0.25">
      <c r="A607" s="5">
        <f t="shared" si="27"/>
        <v>8</v>
      </c>
      <c r="B607" s="5">
        <f t="shared" si="28"/>
        <v>2014</v>
      </c>
      <c r="C607" s="9">
        <v>41880</v>
      </c>
      <c r="D607">
        <v>11</v>
      </c>
    </row>
    <row r="608" spans="1:4" x14ac:dyDescent="0.25">
      <c r="A608" s="5">
        <f t="shared" si="27"/>
        <v>8</v>
      </c>
      <c r="B608" s="5">
        <f t="shared" si="28"/>
        <v>2014</v>
      </c>
      <c r="C608" s="9">
        <v>41881</v>
      </c>
      <c r="D608">
        <v>11</v>
      </c>
    </row>
    <row r="609" spans="1:4" x14ac:dyDescent="0.25">
      <c r="A609" s="5">
        <f t="shared" si="27"/>
        <v>8</v>
      </c>
      <c r="B609" s="5">
        <f t="shared" si="28"/>
        <v>2014</v>
      </c>
      <c r="C609" s="9">
        <v>41882</v>
      </c>
      <c r="D609">
        <v>11</v>
      </c>
    </row>
    <row r="610" spans="1:4" x14ac:dyDescent="0.25">
      <c r="A610" s="5">
        <f t="shared" si="27"/>
        <v>9</v>
      </c>
      <c r="B610" s="5">
        <f t="shared" si="28"/>
        <v>2014</v>
      </c>
      <c r="C610" s="9">
        <v>41883</v>
      </c>
      <c r="D610">
        <v>11</v>
      </c>
    </row>
    <row r="611" spans="1:4" x14ac:dyDescent="0.25">
      <c r="A611" s="5">
        <f t="shared" si="27"/>
        <v>9</v>
      </c>
      <c r="B611" s="5">
        <f t="shared" si="28"/>
        <v>2014</v>
      </c>
      <c r="C611" s="9">
        <v>41884</v>
      </c>
      <c r="D611">
        <v>11</v>
      </c>
    </row>
    <row r="612" spans="1:4" x14ac:dyDescent="0.25">
      <c r="A612" s="5">
        <f t="shared" si="27"/>
        <v>9</v>
      </c>
      <c r="B612" s="5">
        <f t="shared" si="28"/>
        <v>2014</v>
      </c>
      <c r="C612" s="9">
        <v>41885</v>
      </c>
      <c r="D612">
        <v>11</v>
      </c>
    </row>
    <row r="613" spans="1:4" x14ac:dyDescent="0.25">
      <c r="A613" s="5">
        <f t="shared" si="27"/>
        <v>9</v>
      </c>
      <c r="B613" s="5">
        <f t="shared" si="28"/>
        <v>2014</v>
      </c>
      <c r="C613" s="9">
        <v>41886</v>
      </c>
      <c r="D613">
        <v>11</v>
      </c>
    </row>
    <row r="614" spans="1:4" x14ac:dyDescent="0.25">
      <c r="A614" s="5">
        <f t="shared" si="27"/>
        <v>9</v>
      </c>
      <c r="B614" s="5">
        <f t="shared" si="28"/>
        <v>2014</v>
      </c>
      <c r="C614" s="9">
        <v>41887</v>
      </c>
      <c r="D614">
        <v>11</v>
      </c>
    </row>
    <row r="615" spans="1:4" x14ac:dyDescent="0.25">
      <c r="A615" s="5">
        <f t="shared" si="27"/>
        <v>9</v>
      </c>
      <c r="B615" s="5">
        <f t="shared" si="28"/>
        <v>2014</v>
      </c>
      <c r="C615" s="9">
        <v>41888</v>
      </c>
      <c r="D615">
        <v>11</v>
      </c>
    </row>
    <row r="616" spans="1:4" x14ac:dyDescent="0.25">
      <c r="A616" s="5">
        <f t="shared" si="27"/>
        <v>9</v>
      </c>
      <c r="B616" s="5">
        <f t="shared" si="28"/>
        <v>2014</v>
      </c>
      <c r="C616" s="9">
        <v>41889</v>
      </c>
      <c r="D616">
        <v>11</v>
      </c>
    </row>
    <row r="617" spans="1:4" x14ac:dyDescent="0.25">
      <c r="A617" s="5">
        <f t="shared" si="27"/>
        <v>9</v>
      </c>
      <c r="B617" s="5">
        <f t="shared" si="28"/>
        <v>2014</v>
      </c>
      <c r="C617" s="9">
        <v>41890</v>
      </c>
      <c r="D617">
        <v>11</v>
      </c>
    </row>
    <row r="618" spans="1:4" x14ac:dyDescent="0.25">
      <c r="A618" s="5">
        <f t="shared" si="27"/>
        <v>9</v>
      </c>
      <c r="B618" s="5">
        <f t="shared" si="28"/>
        <v>2014</v>
      </c>
      <c r="C618" s="9">
        <v>41891</v>
      </c>
      <c r="D618">
        <v>11</v>
      </c>
    </row>
    <row r="619" spans="1:4" x14ac:dyDescent="0.25">
      <c r="A619" s="5">
        <f t="shared" si="27"/>
        <v>9</v>
      </c>
      <c r="B619" s="5">
        <f t="shared" si="28"/>
        <v>2014</v>
      </c>
      <c r="C619" s="9">
        <v>41892</v>
      </c>
      <c r="D619">
        <v>11</v>
      </c>
    </row>
    <row r="620" spans="1:4" x14ac:dyDescent="0.25">
      <c r="A620" s="5">
        <f t="shared" si="27"/>
        <v>9</v>
      </c>
      <c r="B620" s="5">
        <f t="shared" si="28"/>
        <v>2014</v>
      </c>
      <c r="C620" s="9">
        <v>41893</v>
      </c>
      <c r="D620">
        <v>11</v>
      </c>
    </row>
    <row r="621" spans="1:4" x14ac:dyDescent="0.25">
      <c r="A621" s="5">
        <f t="shared" si="27"/>
        <v>9</v>
      </c>
      <c r="B621" s="5">
        <f t="shared" si="28"/>
        <v>2014</v>
      </c>
      <c r="C621" s="9">
        <v>41894</v>
      </c>
      <c r="D621">
        <v>11</v>
      </c>
    </row>
    <row r="622" spans="1:4" x14ac:dyDescent="0.25">
      <c r="A622" s="5">
        <f t="shared" si="27"/>
        <v>9</v>
      </c>
      <c r="B622" s="5">
        <f t="shared" si="28"/>
        <v>2014</v>
      </c>
      <c r="C622" s="9">
        <v>41895</v>
      </c>
      <c r="D622">
        <v>11</v>
      </c>
    </row>
    <row r="623" spans="1:4" x14ac:dyDescent="0.25">
      <c r="A623" s="5">
        <f t="shared" si="27"/>
        <v>9</v>
      </c>
      <c r="B623" s="5">
        <f t="shared" si="28"/>
        <v>2014</v>
      </c>
      <c r="C623" s="9">
        <v>41896</v>
      </c>
      <c r="D623">
        <v>11</v>
      </c>
    </row>
    <row r="624" spans="1:4" x14ac:dyDescent="0.25">
      <c r="A624" s="5">
        <f t="shared" si="27"/>
        <v>9</v>
      </c>
      <c r="B624" s="5">
        <f t="shared" si="28"/>
        <v>2014</v>
      </c>
      <c r="C624" s="9">
        <v>41897</v>
      </c>
      <c r="D624">
        <v>11</v>
      </c>
    </row>
    <row r="625" spans="1:4" x14ac:dyDescent="0.25">
      <c r="A625" s="5">
        <f t="shared" si="27"/>
        <v>9</v>
      </c>
      <c r="B625" s="5">
        <f t="shared" si="28"/>
        <v>2014</v>
      </c>
      <c r="C625" s="9">
        <v>41898</v>
      </c>
      <c r="D625">
        <v>11</v>
      </c>
    </row>
    <row r="626" spans="1:4" x14ac:dyDescent="0.25">
      <c r="A626" s="5">
        <f t="shared" si="27"/>
        <v>9</v>
      </c>
      <c r="B626" s="5">
        <f t="shared" si="28"/>
        <v>2014</v>
      </c>
      <c r="C626" s="9">
        <v>41899</v>
      </c>
      <c r="D626">
        <v>11</v>
      </c>
    </row>
    <row r="627" spans="1:4" x14ac:dyDescent="0.25">
      <c r="A627" s="5">
        <f t="shared" si="27"/>
        <v>9</v>
      </c>
      <c r="B627" s="5">
        <f t="shared" si="28"/>
        <v>2014</v>
      </c>
      <c r="C627" s="9">
        <v>41900</v>
      </c>
      <c r="D627">
        <v>11</v>
      </c>
    </row>
    <row r="628" spans="1:4" x14ac:dyDescent="0.25">
      <c r="A628" s="5">
        <f t="shared" si="27"/>
        <v>9</v>
      </c>
      <c r="B628" s="5">
        <f t="shared" si="28"/>
        <v>2014</v>
      </c>
      <c r="C628" s="9">
        <v>41901</v>
      </c>
      <c r="D628">
        <v>11</v>
      </c>
    </row>
    <row r="629" spans="1:4" x14ac:dyDescent="0.25">
      <c r="A629" s="5">
        <f t="shared" si="27"/>
        <v>9</v>
      </c>
      <c r="B629" s="5">
        <f t="shared" si="28"/>
        <v>2014</v>
      </c>
      <c r="C629" s="9">
        <v>41902</v>
      </c>
      <c r="D629">
        <v>11</v>
      </c>
    </row>
    <row r="630" spans="1:4" x14ac:dyDescent="0.25">
      <c r="A630" s="5">
        <f t="shared" si="27"/>
        <v>9</v>
      </c>
      <c r="B630" s="5">
        <f t="shared" si="28"/>
        <v>2014</v>
      </c>
      <c r="C630" s="9">
        <v>41903</v>
      </c>
      <c r="D630">
        <v>11</v>
      </c>
    </row>
    <row r="631" spans="1:4" x14ac:dyDescent="0.25">
      <c r="A631" s="5">
        <f t="shared" si="27"/>
        <v>9</v>
      </c>
      <c r="B631" s="5">
        <f t="shared" si="28"/>
        <v>2014</v>
      </c>
      <c r="C631" s="9">
        <v>41904</v>
      </c>
      <c r="D631">
        <v>11</v>
      </c>
    </row>
    <row r="632" spans="1:4" x14ac:dyDescent="0.25">
      <c r="A632" s="5">
        <f t="shared" si="27"/>
        <v>9</v>
      </c>
      <c r="B632" s="5">
        <f t="shared" si="28"/>
        <v>2014</v>
      </c>
      <c r="C632" s="9">
        <v>41905</v>
      </c>
      <c r="D632">
        <v>11</v>
      </c>
    </row>
    <row r="633" spans="1:4" x14ac:dyDescent="0.25">
      <c r="A633" s="5">
        <f t="shared" si="27"/>
        <v>9</v>
      </c>
      <c r="B633" s="5">
        <f t="shared" si="28"/>
        <v>2014</v>
      </c>
      <c r="C633" s="9">
        <v>41906</v>
      </c>
      <c r="D633">
        <v>11</v>
      </c>
    </row>
    <row r="634" spans="1:4" x14ac:dyDescent="0.25">
      <c r="A634" s="5">
        <f t="shared" si="27"/>
        <v>9</v>
      </c>
      <c r="B634" s="5">
        <f t="shared" si="28"/>
        <v>2014</v>
      </c>
      <c r="C634" s="9">
        <v>41907</v>
      </c>
      <c r="D634">
        <v>11</v>
      </c>
    </row>
    <row r="635" spans="1:4" x14ac:dyDescent="0.25">
      <c r="A635" s="5">
        <f t="shared" si="27"/>
        <v>9</v>
      </c>
      <c r="B635" s="5">
        <f t="shared" si="28"/>
        <v>2014</v>
      </c>
      <c r="C635" s="9">
        <v>41908</v>
      </c>
      <c r="D635">
        <v>11</v>
      </c>
    </row>
    <row r="636" spans="1:4" x14ac:dyDescent="0.25">
      <c r="A636" s="5">
        <f t="shared" si="27"/>
        <v>9</v>
      </c>
      <c r="B636" s="5">
        <f t="shared" si="28"/>
        <v>2014</v>
      </c>
      <c r="C636" s="9">
        <v>41909</v>
      </c>
      <c r="D636">
        <v>11</v>
      </c>
    </row>
    <row r="637" spans="1:4" x14ac:dyDescent="0.25">
      <c r="A637" s="5">
        <f t="shared" si="27"/>
        <v>9</v>
      </c>
      <c r="B637" s="5">
        <f t="shared" si="28"/>
        <v>2014</v>
      </c>
      <c r="C637" s="9">
        <v>41910</v>
      </c>
      <c r="D637">
        <v>11</v>
      </c>
    </row>
    <row r="638" spans="1:4" x14ac:dyDescent="0.25">
      <c r="A638" s="5">
        <f t="shared" si="27"/>
        <v>9</v>
      </c>
      <c r="B638" s="5">
        <f t="shared" si="28"/>
        <v>2014</v>
      </c>
      <c r="C638" s="9">
        <v>41911</v>
      </c>
      <c r="D638">
        <v>11</v>
      </c>
    </row>
    <row r="639" spans="1:4" x14ac:dyDescent="0.25">
      <c r="A639" s="5">
        <f t="shared" si="27"/>
        <v>9</v>
      </c>
      <c r="B639" s="5">
        <f t="shared" si="28"/>
        <v>2014</v>
      </c>
      <c r="C639" s="9">
        <v>41912</v>
      </c>
      <c r="D639">
        <v>11</v>
      </c>
    </row>
    <row r="640" spans="1:4" x14ac:dyDescent="0.25">
      <c r="A640" s="5">
        <f t="shared" si="27"/>
        <v>10</v>
      </c>
      <c r="B640" s="5">
        <f t="shared" si="28"/>
        <v>2014</v>
      </c>
      <c r="C640" s="9">
        <v>41913</v>
      </c>
      <c r="D640">
        <v>11</v>
      </c>
    </row>
    <row r="641" spans="1:4" x14ac:dyDescent="0.25">
      <c r="A641" s="5">
        <f t="shared" si="27"/>
        <v>10</v>
      </c>
      <c r="B641" s="5">
        <f t="shared" si="28"/>
        <v>2014</v>
      </c>
      <c r="C641" s="9">
        <v>41914</v>
      </c>
      <c r="D641">
        <v>11</v>
      </c>
    </row>
    <row r="642" spans="1:4" x14ac:dyDescent="0.25">
      <c r="A642" s="5">
        <f t="shared" si="27"/>
        <v>10</v>
      </c>
      <c r="B642" s="5">
        <f t="shared" si="28"/>
        <v>2014</v>
      </c>
      <c r="C642" s="9">
        <v>41915</v>
      </c>
      <c r="D642">
        <v>11</v>
      </c>
    </row>
    <row r="643" spans="1:4" x14ac:dyDescent="0.25">
      <c r="A643" s="5">
        <f t="shared" ref="A643:A706" si="29">MONTH(C643)</f>
        <v>10</v>
      </c>
      <c r="B643" s="5">
        <f t="shared" ref="B643:B706" si="30">YEAR(C643)</f>
        <v>2014</v>
      </c>
      <c r="C643" s="9">
        <v>41916</v>
      </c>
      <c r="D643">
        <v>11</v>
      </c>
    </row>
    <row r="644" spans="1:4" x14ac:dyDescent="0.25">
      <c r="A644" s="5">
        <f t="shared" si="29"/>
        <v>10</v>
      </c>
      <c r="B644" s="5">
        <f t="shared" si="30"/>
        <v>2014</v>
      </c>
      <c r="C644" s="9">
        <v>41917</v>
      </c>
      <c r="D644">
        <v>11</v>
      </c>
    </row>
    <row r="645" spans="1:4" x14ac:dyDescent="0.25">
      <c r="A645" s="5">
        <f t="shared" si="29"/>
        <v>10</v>
      </c>
      <c r="B645" s="5">
        <f t="shared" si="30"/>
        <v>2014</v>
      </c>
      <c r="C645" s="9">
        <v>41918</v>
      </c>
      <c r="D645">
        <v>11</v>
      </c>
    </row>
    <row r="646" spans="1:4" x14ac:dyDescent="0.25">
      <c r="A646" s="5">
        <f t="shared" si="29"/>
        <v>10</v>
      </c>
      <c r="B646" s="5">
        <f t="shared" si="30"/>
        <v>2014</v>
      </c>
      <c r="C646" s="9">
        <v>41919</v>
      </c>
      <c r="D646">
        <v>11</v>
      </c>
    </row>
    <row r="647" spans="1:4" x14ac:dyDescent="0.25">
      <c r="A647" s="5">
        <f t="shared" si="29"/>
        <v>10</v>
      </c>
      <c r="B647" s="5">
        <f t="shared" si="30"/>
        <v>2014</v>
      </c>
      <c r="C647" s="9">
        <v>41920</v>
      </c>
      <c r="D647">
        <v>11</v>
      </c>
    </row>
    <row r="648" spans="1:4" x14ac:dyDescent="0.25">
      <c r="A648" s="5">
        <f t="shared" si="29"/>
        <v>10</v>
      </c>
      <c r="B648" s="5">
        <f t="shared" si="30"/>
        <v>2014</v>
      </c>
      <c r="C648" s="9">
        <v>41921</v>
      </c>
      <c r="D648">
        <v>11</v>
      </c>
    </row>
    <row r="649" spans="1:4" x14ac:dyDescent="0.25">
      <c r="A649" s="5">
        <f t="shared" si="29"/>
        <v>10</v>
      </c>
      <c r="B649" s="5">
        <f t="shared" si="30"/>
        <v>2014</v>
      </c>
      <c r="C649" s="9">
        <v>41922</v>
      </c>
      <c r="D649">
        <v>11</v>
      </c>
    </row>
    <row r="650" spans="1:4" x14ac:dyDescent="0.25">
      <c r="A650" s="5">
        <f t="shared" si="29"/>
        <v>10</v>
      </c>
      <c r="B650" s="5">
        <f t="shared" si="30"/>
        <v>2014</v>
      </c>
      <c r="C650" s="9">
        <v>41923</v>
      </c>
      <c r="D650">
        <v>11</v>
      </c>
    </row>
    <row r="651" spans="1:4" x14ac:dyDescent="0.25">
      <c r="A651" s="5">
        <f t="shared" si="29"/>
        <v>10</v>
      </c>
      <c r="B651" s="5">
        <f t="shared" si="30"/>
        <v>2014</v>
      </c>
      <c r="C651" s="9">
        <v>41924</v>
      </c>
      <c r="D651">
        <v>11</v>
      </c>
    </row>
    <row r="652" spans="1:4" x14ac:dyDescent="0.25">
      <c r="A652" s="5">
        <f t="shared" si="29"/>
        <v>10</v>
      </c>
      <c r="B652" s="5">
        <f t="shared" si="30"/>
        <v>2014</v>
      </c>
      <c r="C652" s="9">
        <v>41925</v>
      </c>
      <c r="D652">
        <v>11</v>
      </c>
    </row>
    <row r="653" spans="1:4" x14ac:dyDescent="0.25">
      <c r="A653" s="5">
        <f t="shared" si="29"/>
        <v>10</v>
      </c>
      <c r="B653" s="5">
        <f t="shared" si="30"/>
        <v>2014</v>
      </c>
      <c r="C653" s="9">
        <v>41926</v>
      </c>
      <c r="D653">
        <v>11</v>
      </c>
    </row>
    <row r="654" spans="1:4" x14ac:dyDescent="0.25">
      <c r="A654" s="5">
        <f t="shared" si="29"/>
        <v>10</v>
      </c>
      <c r="B654" s="5">
        <f t="shared" si="30"/>
        <v>2014</v>
      </c>
      <c r="C654" s="9">
        <v>41927</v>
      </c>
      <c r="D654">
        <v>11</v>
      </c>
    </row>
    <row r="655" spans="1:4" x14ac:dyDescent="0.25">
      <c r="A655" s="5">
        <f t="shared" si="29"/>
        <v>10</v>
      </c>
      <c r="B655" s="5">
        <f t="shared" si="30"/>
        <v>2014</v>
      </c>
      <c r="C655" s="9">
        <v>41928</v>
      </c>
      <c r="D655">
        <v>11</v>
      </c>
    </row>
    <row r="656" spans="1:4" x14ac:dyDescent="0.25">
      <c r="A656" s="5">
        <f t="shared" si="29"/>
        <v>10</v>
      </c>
      <c r="B656" s="5">
        <f t="shared" si="30"/>
        <v>2014</v>
      </c>
      <c r="C656" s="9">
        <v>41929</v>
      </c>
      <c r="D656">
        <v>11</v>
      </c>
    </row>
    <row r="657" spans="1:4" x14ac:dyDescent="0.25">
      <c r="A657" s="5">
        <f t="shared" si="29"/>
        <v>10</v>
      </c>
      <c r="B657" s="5">
        <f t="shared" si="30"/>
        <v>2014</v>
      </c>
      <c r="C657" s="9">
        <v>41930</v>
      </c>
      <c r="D657">
        <v>11</v>
      </c>
    </row>
    <row r="658" spans="1:4" x14ac:dyDescent="0.25">
      <c r="A658" s="5">
        <f t="shared" si="29"/>
        <v>10</v>
      </c>
      <c r="B658" s="5">
        <f t="shared" si="30"/>
        <v>2014</v>
      </c>
      <c r="C658" s="9">
        <v>41931</v>
      </c>
      <c r="D658">
        <v>11</v>
      </c>
    </row>
    <row r="659" spans="1:4" x14ac:dyDescent="0.25">
      <c r="A659" s="5">
        <f t="shared" si="29"/>
        <v>10</v>
      </c>
      <c r="B659" s="5">
        <f t="shared" si="30"/>
        <v>2014</v>
      </c>
      <c r="C659" s="9">
        <v>41932</v>
      </c>
      <c r="D659">
        <v>11</v>
      </c>
    </row>
    <row r="660" spans="1:4" x14ac:dyDescent="0.25">
      <c r="A660" s="5">
        <f t="shared" si="29"/>
        <v>10</v>
      </c>
      <c r="B660" s="5">
        <f t="shared" si="30"/>
        <v>2014</v>
      </c>
      <c r="C660" s="9">
        <v>41933</v>
      </c>
      <c r="D660">
        <v>11</v>
      </c>
    </row>
    <row r="661" spans="1:4" x14ac:dyDescent="0.25">
      <c r="A661" s="5">
        <f t="shared" si="29"/>
        <v>10</v>
      </c>
      <c r="B661" s="5">
        <f t="shared" si="30"/>
        <v>2014</v>
      </c>
      <c r="C661" s="9">
        <v>41934</v>
      </c>
      <c r="D661">
        <v>11</v>
      </c>
    </row>
    <row r="662" spans="1:4" x14ac:dyDescent="0.25">
      <c r="A662" s="5">
        <f t="shared" si="29"/>
        <v>10</v>
      </c>
      <c r="B662" s="5">
        <f t="shared" si="30"/>
        <v>2014</v>
      </c>
      <c r="C662" s="9">
        <v>41935</v>
      </c>
      <c r="D662">
        <v>11</v>
      </c>
    </row>
    <row r="663" spans="1:4" x14ac:dyDescent="0.25">
      <c r="A663" s="5">
        <f t="shared" si="29"/>
        <v>10</v>
      </c>
      <c r="B663" s="5">
        <f t="shared" si="30"/>
        <v>2014</v>
      </c>
      <c r="C663" s="9">
        <v>41936</v>
      </c>
      <c r="D663">
        <v>11</v>
      </c>
    </row>
    <row r="664" spans="1:4" x14ac:dyDescent="0.25">
      <c r="A664" s="5">
        <f t="shared" si="29"/>
        <v>10</v>
      </c>
      <c r="B664" s="5">
        <f t="shared" si="30"/>
        <v>2014</v>
      </c>
      <c r="C664" s="9">
        <v>41937</v>
      </c>
      <c r="D664">
        <v>11</v>
      </c>
    </row>
    <row r="665" spans="1:4" x14ac:dyDescent="0.25">
      <c r="A665" s="5">
        <f t="shared" si="29"/>
        <v>10</v>
      </c>
      <c r="B665" s="5">
        <f t="shared" si="30"/>
        <v>2014</v>
      </c>
      <c r="C665" s="9">
        <v>41938</v>
      </c>
      <c r="D665">
        <v>11</v>
      </c>
    </row>
    <row r="666" spans="1:4" x14ac:dyDescent="0.25">
      <c r="A666" s="5">
        <f t="shared" si="29"/>
        <v>10</v>
      </c>
      <c r="B666" s="5">
        <f t="shared" si="30"/>
        <v>2014</v>
      </c>
      <c r="C666" s="9">
        <v>41939</v>
      </c>
      <c r="D666">
        <v>11</v>
      </c>
    </row>
    <row r="667" spans="1:4" x14ac:dyDescent="0.25">
      <c r="A667" s="5">
        <f t="shared" si="29"/>
        <v>10</v>
      </c>
      <c r="B667" s="5">
        <f t="shared" si="30"/>
        <v>2014</v>
      </c>
      <c r="C667" s="9">
        <v>41940</v>
      </c>
      <c r="D667">
        <v>11</v>
      </c>
    </row>
    <row r="668" spans="1:4" x14ac:dyDescent="0.25">
      <c r="A668" s="5">
        <f t="shared" si="29"/>
        <v>10</v>
      </c>
      <c r="B668" s="5">
        <f t="shared" si="30"/>
        <v>2014</v>
      </c>
      <c r="C668" s="9">
        <v>41941</v>
      </c>
      <c r="D668">
        <v>11</v>
      </c>
    </row>
    <row r="669" spans="1:4" x14ac:dyDescent="0.25">
      <c r="A669" s="5">
        <f t="shared" si="29"/>
        <v>10</v>
      </c>
      <c r="B669" s="5">
        <f t="shared" si="30"/>
        <v>2014</v>
      </c>
      <c r="C669" s="9">
        <v>41942</v>
      </c>
      <c r="D669">
        <v>11.25</v>
      </c>
    </row>
    <row r="670" spans="1:4" x14ac:dyDescent="0.25">
      <c r="A670" s="5">
        <f t="shared" si="29"/>
        <v>10</v>
      </c>
      <c r="B670" s="5">
        <f t="shared" si="30"/>
        <v>2014</v>
      </c>
      <c r="C670" s="9">
        <v>41943</v>
      </c>
      <c r="D670">
        <v>11.25</v>
      </c>
    </row>
    <row r="671" spans="1:4" x14ac:dyDescent="0.25">
      <c r="A671" s="5">
        <f t="shared" si="29"/>
        <v>11</v>
      </c>
      <c r="B671" s="5">
        <f t="shared" si="30"/>
        <v>2014</v>
      </c>
      <c r="C671" s="9">
        <v>41944</v>
      </c>
      <c r="D671">
        <v>11.25</v>
      </c>
    </row>
    <row r="672" spans="1:4" x14ac:dyDescent="0.25">
      <c r="A672" s="5">
        <f t="shared" si="29"/>
        <v>11</v>
      </c>
      <c r="B672" s="5">
        <f t="shared" si="30"/>
        <v>2014</v>
      </c>
      <c r="C672" s="9">
        <v>41945</v>
      </c>
      <c r="D672">
        <v>11.25</v>
      </c>
    </row>
    <row r="673" spans="1:4" x14ac:dyDescent="0.25">
      <c r="A673" s="5">
        <f t="shared" si="29"/>
        <v>11</v>
      </c>
      <c r="B673" s="5">
        <f t="shared" si="30"/>
        <v>2014</v>
      </c>
      <c r="C673" s="9">
        <v>41946</v>
      </c>
      <c r="D673">
        <v>11.25</v>
      </c>
    </row>
    <row r="674" spans="1:4" x14ac:dyDescent="0.25">
      <c r="A674" s="5">
        <f t="shared" si="29"/>
        <v>11</v>
      </c>
      <c r="B674" s="5">
        <f t="shared" si="30"/>
        <v>2014</v>
      </c>
      <c r="C674" s="9">
        <v>41947</v>
      </c>
      <c r="D674">
        <v>11.25</v>
      </c>
    </row>
    <row r="675" spans="1:4" x14ac:dyDescent="0.25">
      <c r="A675" s="5">
        <f t="shared" si="29"/>
        <v>11</v>
      </c>
      <c r="B675" s="5">
        <f t="shared" si="30"/>
        <v>2014</v>
      </c>
      <c r="C675" s="9">
        <v>41948</v>
      </c>
      <c r="D675">
        <v>11.25</v>
      </c>
    </row>
    <row r="676" spans="1:4" x14ac:dyDescent="0.25">
      <c r="A676" s="5">
        <f t="shared" si="29"/>
        <v>11</v>
      </c>
      <c r="B676" s="5">
        <f t="shared" si="30"/>
        <v>2014</v>
      </c>
      <c r="C676" s="9">
        <v>41949</v>
      </c>
      <c r="D676">
        <v>11.25</v>
      </c>
    </row>
    <row r="677" spans="1:4" x14ac:dyDescent="0.25">
      <c r="A677" s="5">
        <f t="shared" si="29"/>
        <v>11</v>
      </c>
      <c r="B677" s="5">
        <f t="shared" si="30"/>
        <v>2014</v>
      </c>
      <c r="C677" s="9">
        <v>41950</v>
      </c>
      <c r="D677">
        <v>11.25</v>
      </c>
    </row>
    <row r="678" spans="1:4" x14ac:dyDescent="0.25">
      <c r="A678" s="5">
        <f t="shared" si="29"/>
        <v>11</v>
      </c>
      <c r="B678" s="5">
        <f t="shared" si="30"/>
        <v>2014</v>
      </c>
      <c r="C678" s="9">
        <v>41951</v>
      </c>
      <c r="D678">
        <v>11.25</v>
      </c>
    </row>
    <row r="679" spans="1:4" x14ac:dyDescent="0.25">
      <c r="A679" s="5">
        <f t="shared" si="29"/>
        <v>11</v>
      </c>
      <c r="B679" s="5">
        <f t="shared" si="30"/>
        <v>2014</v>
      </c>
      <c r="C679" s="9">
        <v>41952</v>
      </c>
      <c r="D679">
        <v>11.25</v>
      </c>
    </row>
    <row r="680" spans="1:4" x14ac:dyDescent="0.25">
      <c r="A680" s="5">
        <f t="shared" si="29"/>
        <v>11</v>
      </c>
      <c r="B680" s="5">
        <f t="shared" si="30"/>
        <v>2014</v>
      </c>
      <c r="C680" s="9">
        <v>41953</v>
      </c>
      <c r="D680">
        <v>11.25</v>
      </c>
    </row>
    <row r="681" spans="1:4" x14ac:dyDescent="0.25">
      <c r="A681" s="5">
        <f t="shared" si="29"/>
        <v>11</v>
      </c>
      <c r="B681" s="5">
        <f t="shared" si="30"/>
        <v>2014</v>
      </c>
      <c r="C681" s="9">
        <v>41954</v>
      </c>
      <c r="D681">
        <v>11.25</v>
      </c>
    </row>
    <row r="682" spans="1:4" x14ac:dyDescent="0.25">
      <c r="A682" s="5">
        <f t="shared" si="29"/>
        <v>11</v>
      </c>
      <c r="B682" s="5">
        <f t="shared" si="30"/>
        <v>2014</v>
      </c>
      <c r="C682" s="9">
        <v>41955</v>
      </c>
      <c r="D682">
        <v>11.25</v>
      </c>
    </row>
    <row r="683" spans="1:4" x14ac:dyDescent="0.25">
      <c r="A683" s="5">
        <f t="shared" si="29"/>
        <v>11</v>
      </c>
      <c r="B683" s="5">
        <f t="shared" si="30"/>
        <v>2014</v>
      </c>
      <c r="C683" s="9">
        <v>41956</v>
      </c>
      <c r="D683">
        <v>11.25</v>
      </c>
    </row>
    <row r="684" spans="1:4" x14ac:dyDescent="0.25">
      <c r="A684" s="5">
        <f t="shared" si="29"/>
        <v>11</v>
      </c>
      <c r="B684" s="5">
        <f t="shared" si="30"/>
        <v>2014</v>
      </c>
      <c r="C684" s="9">
        <v>41957</v>
      </c>
      <c r="D684">
        <v>11.25</v>
      </c>
    </row>
    <row r="685" spans="1:4" x14ac:dyDescent="0.25">
      <c r="A685" s="5">
        <f t="shared" si="29"/>
        <v>11</v>
      </c>
      <c r="B685" s="5">
        <f t="shared" si="30"/>
        <v>2014</v>
      </c>
      <c r="C685" s="9">
        <v>41958</v>
      </c>
      <c r="D685">
        <v>11.25</v>
      </c>
    </row>
    <row r="686" spans="1:4" x14ac:dyDescent="0.25">
      <c r="A686" s="5">
        <f t="shared" si="29"/>
        <v>11</v>
      </c>
      <c r="B686" s="5">
        <f t="shared" si="30"/>
        <v>2014</v>
      </c>
      <c r="C686" s="9">
        <v>41959</v>
      </c>
      <c r="D686">
        <v>11.25</v>
      </c>
    </row>
    <row r="687" spans="1:4" x14ac:dyDescent="0.25">
      <c r="A687" s="5">
        <f t="shared" si="29"/>
        <v>11</v>
      </c>
      <c r="B687" s="5">
        <f t="shared" si="30"/>
        <v>2014</v>
      </c>
      <c r="C687" s="9">
        <v>41960</v>
      </c>
      <c r="D687">
        <v>11.25</v>
      </c>
    </row>
    <row r="688" spans="1:4" x14ac:dyDescent="0.25">
      <c r="A688" s="5">
        <f t="shared" si="29"/>
        <v>11</v>
      </c>
      <c r="B688" s="5">
        <f t="shared" si="30"/>
        <v>2014</v>
      </c>
      <c r="C688" s="9">
        <v>41961</v>
      </c>
      <c r="D688">
        <v>11.25</v>
      </c>
    </row>
    <row r="689" spans="1:4" x14ac:dyDescent="0.25">
      <c r="A689" s="5">
        <f t="shared" si="29"/>
        <v>11</v>
      </c>
      <c r="B689" s="5">
        <f t="shared" si="30"/>
        <v>2014</v>
      </c>
      <c r="C689" s="9">
        <v>41962</v>
      </c>
      <c r="D689">
        <v>11.25</v>
      </c>
    </row>
    <row r="690" spans="1:4" x14ac:dyDescent="0.25">
      <c r="A690" s="5">
        <f t="shared" si="29"/>
        <v>11</v>
      </c>
      <c r="B690" s="5">
        <f t="shared" si="30"/>
        <v>2014</v>
      </c>
      <c r="C690" s="9">
        <v>41963</v>
      </c>
      <c r="D690">
        <v>11.25</v>
      </c>
    </row>
    <row r="691" spans="1:4" x14ac:dyDescent="0.25">
      <c r="A691" s="5">
        <f t="shared" si="29"/>
        <v>11</v>
      </c>
      <c r="B691" s="5">
        <f t="shared" si="30"/>
        <v>2014</v>
      </c>
      <c r="C691" s="9">
        <v>41964</v>
      </c>
      <c r="D691">
        <v>11.25</v>
      </c>
    </row>
    <row r="692" spans="1:4" x14ac:dyDescent="0.25">
      <c r="A692" s="5">
        <f t="shared" si="29"/>
        <v>11</v>
      </c>
      <c r="B692" s="5">
        <f t="shared" si="30"/>
        <v>2014</v>
      </c>
      <c r="C692" s="9">
        <v>41965</v>
      </c>
      <c r="D692">
        <v>11.25</v>
      </c>
    </row>
    <row r="693" spans="1:4" x14ac:dyDescent="0.25">
      <c r="A693" s="5">
        <f t="shared" si="29"/>
        <v>11</v>
      </c>
      <c r="B693" s="5">
        <f t="shared" si="30"/>
        <v>2014</v>
      </c>
      <c r="C693" s="9">
        <v>41966</v>
      </c>
      <c r="D693">
        <v>11.25</v>
      </c>
    </row>
    <row r="694" spans="1:4" x14ac:dyDescent="0.25">
      <c r="A694" s="5">
        <f t="shared" si="29"/>
        <v>11</v>
      </c>
      <c r="B694" s="5">
        <f t="shared" si="30"/>
        <v>2014</v>
      </c>
      <c r="C694" s="9">
        <v>41967</v>
      </c>
      <c r="D694">
        <v>11.25</v>
      </c>
    </row>
    <row r="695" spans="1:4" x14ac:dyDescent="0.25">
      <c r="A695" s="5">
        <f t="shared" si="29"/>
        <v>11</v>
      </c>
      <c r="B695" s="5">
        <f t="shared" si="30"/>
        <v>2014</v>
      </c>
      <c r="C695" s="9">
        <v>41968</v>
      </c>
      <c r="D695">
        <v>11.25</v>
      </c>
    </row>
    <row r="696" spans="1:4" x14ac:dyDescent="0.25">
      <c r="A696" s="5">
        <f t="shared" si="29"/>
        <v>11</v>
      </c>
      <c r="B696" s="5">
        <f t="shared" si="30"/>
        <v>2014</v>
      </c>
      <c r="C696" s="9">
        <v>41969</v>
      </c>
      <c r="D696">
        <v>11.25</v>
      </c>
    </row>
    <row r="697" spans="1:4" x14ac:dyDescent="0.25">
      <c r="A697" s="5">
        <f t="shared" si="29"/>
        <v>11</v>
      </c>
      <c r="B697" s="5">
        <f t="shared" si="30"/>
        <v>2014</v>
      </c>
      <c r="C697" s="9">
        <v>41970</v>
      </c>
      <c r="D697">
        <v>11.25</v>
      </c>
    </row>
    <row r="698" spans="1:4" x14ac:dyDescent="0.25">
      <c r="A698" s="5">
        <f t="shared" si="29"/>
        <v>11</v>
      </c>
      <c r="B698" s="5">
        <f t="shared" si="30"/>
        <v>2014</v>
      </c>
      <c r="C698" s="9">
        <v>41971</v>
      </c>
      <c r="D698">
        <v>11.25</v>
      </c>
    </row>
    <row r="699" spans="1:4" x14ac:dyDescent="0.25">
      <c r="A699" s="5">
        <f t="shared" si="29"/>
        <v>11</v>
      </c>
      <c r="B699" s="5">
        <f t="shared" si="30"/>
        <v>2014</v>
      </c>
      <c r="C699" s="9">
        <v>41972</v>
      </c>
      <c r="D699">
        <v>11.25</v>
      </c>
    </row>
    <row r="700" spans="1:4" x14ac:dyDescent="0.25">
      <c r="A700" s="5">
        <f t="shared" si="29"/>
        <v>11</v>
      </c>
      <c r="B700" s="5">
        <f t="shared" si="30"/>
        <v>2014</v>
      </c>
      <c r="C700" s="9">
        <v>41973</v>
      </c>
      <c r="D700">
        <v>11.25</v>
      </c>
    </row>
    <row r="701" spans="1:4" x14ac:dyDescent="0.25">
      <c r="A701" s="5">
        <f t="shared" si="29"/>
        <v>12</v>
      </c>
      <c r="B701" s="5">
        <f t="shared" si="30"/>
        <v>2014</v>
      </c>
      <c r="C701" s="9">
        <v>41974</v>
      </c>
      <c r="D701">
        <v>11.25</v>
      </c>
    </row>
    <row r="702" spans="1:4" x14ac:dyDescent="0.25">
      <c r="A702" s="5">
        <f t="shared" si="29"/>
        <v>12</v>
      </c>
      <c r="B702" s="5">
        <f t="shared" si="30"/>
        <v>2014</v>
      </c>
      <c r="C702" s="9">
        <v>41975</v>
      </c>
      <c r="D702">
        <v>11.25</v>
      </c>
    </row>
    <row r="703" spans="1:4" x14ac:dyDescent="0.25">
      <c r="A703" s="5">
        <f t="shared" si="29"/>
        <v>12</v>
      </c>
      <c r="B703" s="5">
        <f t="shared" si="30"/>
        <v>2014</v>
      </c>
      <c r="C703" s="9">
        <v>41976</v>
      </c>
      <c r="D703">
        <v>11.25</v>
      </c>
    </row>
    <row r="704" spans="1:4" x14ac:dyDescent="0.25">
      <c r="A704" s="5">
        <f t="shared" si="29"/>
        <v>12</v>
      </c>
      <c r="B704" s="5">
        <f t="shared" si="30"/>
        <v>2014</v>
      </c>
      <c r="C704" s="9">
        <v>41977</v>
      </c>
      <c r="D704">
        <v>11.75</v>
      </c>
    </row>
    <row r="705" spans="1:4" x14ac:dyDescent="0.25">
      <c r="A705" s="5">
        <f t="shared" si="29"/>
        <v>12</v>
      </c>
      <c r="B705" s="5">
        <f t="shared" si="30"/>
        <v>2014</v>
      </c>
      <c r="C705" s="9">
        <v>41978</v>
      </c>
      <c r="D705">
        <v>11.75</v>
      </c>
    </row>
    <row r="706" spans="1:4" x14ac:dyDescent="0.25">
      <c r="A706" s="5">
        <f t="shared" si="29"/>
        <v>12</v>
      </c>
      <c r="B706" s="5">
        <f t="shared" si="30"/>
        <v>2014</v>
      </c>
      <c r="C706" s="9">
        <v>41979</v>
      </c>
      <c r="D706">
        <v>11.75</v>
      </c>
    </row>
    <row r="707" spans="1:4" x14ac:dyDescent="0.25">
      <c r="A707" s="5">
        <f t="shared" ref="A707:A770" si="31">MONTH(C707)</f>
        <v>12</v>
      </c>
      <c r="B707" s="5">
        <f t="shared" ref="B707:B770" si="32">YEAR(C707)</f>
        <v>2014</v>
      </c>
      <c r="C707" s="9">
        <v>41980</v>
      </c>
      <c r="D707">
        <v>11.75</v>
      </c>
    </row>
    <row r="708" spans="1:4" x14ac:dyDescent="0.25">
      <c r="A708" s="5">
        <f t="shared" si="31"/>
        <v>12</v>
      </c>
      <c r="B708" s="5">
        <f t="shared" si="32"/>
        <v>2014</v>
      </c>
      <c r="C708" s="9">
        <v>41981</v>
      </c>
      <c r="D708">
        <v>11.75</v>
      </c>
    </row>
    <row r="709" spans="1:4" x14ac:dyDescent="0.25">
      <c r="A709" s="5">
        <f t="shared" si="31"/>
        <v>12</v>
      </c>
      <c r="B709" s="5">
        <f t="shared" si="32"/>
        <v>2014</v>
      </c>
      <c r="C709" s="9">
        <v>41982</v>
      </c>
      <c r="D709">
        <v>11.75</v>
      </c>
    </row>
    <row r="710" spans="1:4" x14ac:dyDescent="0.25">
      <c r="A710" s="5">
        <f t="shared" si="31"/>
        <v>12</v>
      </c>
      <c r="B710" s="5">
        <f t="shared" si="32"/>
        <v>2014</v>
      </c>
      <c r="C710" s="9">
        <v>41983</v>
      </c>
      <c r="D710">
        <v>11.75</v>
      </c>
    </row>
    <row r="711" spans="1:4" x14ac:dyDescent="0.25">
      <c r="A711" s="5">
        <f t="shared" si="31"/>
        <v>12</v>
      </c>
      <c r="B711" s="5">
        <f t="shared" si="32"/>
        <v>2014</v>
      </c>
      <c r="C711" s="9">
        <v>41984</v>
      </c>
      <c r="D711">
        <v>11.75</v>
      </c>
    </row>
    <row r="712" spans="1:4" x14ac:dyDescent="0.25">
      <c r="A712" s="5">
        <f t="shared" si="31"/>
        <v>12</v>
      </c>
      <c r="B712" s="5">
        <f t="shared" si="32"/>
        <v>2014</v>
      </c>
      <c r="C712" s="9">
        <v>41985</v>
      </c>
      <c r="D712">
        <v>11.75</v>
      </c>
    </row>
    <row r="713" spans="1:4" x14ac:dyDescent="0.25">
      <c r="A713" s="5">
        <f t="shared" si="31"/>
        <v>12</v>
      </c>
      <c r="B713" s="5">
        <f t="shared" si="32"/>
        <v>2014</v>
      </c>
      <c r="C713" s="9">
        <v>41986</v>
      </c>
      <c r="D713">
        <v>11.75</v>
      </c>
    </row>
    <row r="714" spans="1:4" x14ac:dyDescent="0.25">
      <c r="A714" s="5">
        <f t="shared" si="31"/>
        <v>12</v>
      </c>
      <c r="B714" s="5">
        <f t="shared" si="32"/>
        <v>2014</v>
      </c>
      <c r="C714" s="9">
        <v>41987</v>
      </c>
      <c r="D714">
        <v>11.75</v>
      </c>
    </row>
    <row r="715" spans="1:4" x14ac:dyDescent="0.25">
      <c r="A715" s="5">
        <f t="shared" si="31"/>
        <v>12</v>
      </c>
      <c r="B715" s="5">
        <f t="shared" si="32"/>
        <v>2014</v>
      </c>
      <c r="C715" s="9">
        <v>41988</v>
      </c>
      <c r="D715">
        <v>11.75</v>
      </c>
    </row>
    <row r="716" spans="1:4" x14ac:dyDescent="0.25">
      <c r="A716" s="5">
        <f t="shared" si="31"/>
        <v>12</v>
      </c>
      <c r="B716" s="5">
        <f t="shared" si="32"/>
        <v>2014</v>
      </c>
      <c r="C716" s="9">
        <v>41989</v>
      </c>
      <c r="D716">
        <v>11.75</v>
      </c>
    </row>
    <row r="717" spans="1:4" x14ac:dyDescent="0.25">
      <c r="A717" s="5">
        <f t="shared" si="31"/>
        <v>12</v>
      </c>
      <c r="B717" s="5">
        <f t="shared" si="32"/>
        <v>2014</v>
      </c>
      <c r="C717" s="9">
        <v>41990</v>
      </c>
      <c r="D717">
        <v>11.75</v>
      </c>
    </row>
    <row r="718" spans="1:4" x14ac:dyDescent="0.25">
      <c r="A718" s="5">
        <f t="shared" si="31"/>
        <v>12</v>
      </c>
      <c r="B718" s="5">
        <f t="shared" si="32"/>
        <v>2014</v>
      </c>
      <c r="C718" s="9">
        <v>41991</v>
      </c>
      <c r="D718">
        <v>11.75</v>
      </c>
    </row>
    <row r="719" spans="1:4" x14ac:dyDescent="0.25">
      <c r="A719" s="5">
        <f t="shared" si="31"/>
        <v>12</v>
      </c>
      <c r="B719" s="5">
        <f t="shared" si="32"/>
        <v>2014</v>
      </c>
      <c r="C719" s="9">
        <v>41992</v>
      </c>
      <c r="D719">
        <v>11.75</v>
      </c>
    </row>
    <row r="720" spans="1:4" x14ac:dyDescent="0.25">
      <c r="A720" s="5">
        <f t="shared" si="31"/>
        <v>12</v>
      </c>
      <c r="B720" s="5">
        <f t="shared" si="32"/>
        <v>2014</v>
      </c>
      <c r="C720" s="9">
        <v>41993</v>
      </c>
      <c r="D720">
        <v>11.75</v>
      </c>
    </row>
    <row r="721" spans="1:4" x14ac:dyDescent="0.25">
      <c r="A721" s="5">
        <f t="shared" si="31"/>
        <v>12</v>
      </c>
      <c r="B721" s="5">
        <f t="shared" si="32"/>
        <v>2014</v>
      </c>
      <c r="C721" s="9">
        <v>41994</v>
      </c>
      <c r="D721">
        <v>11.75</v>
      </c>
    </row>
    <row r="722" spans="1:4" x14ac:dyDescent="0.25">
      <c r="A722" s="5">
        <f t="shared" si="31"/>
        <v>12</v>
      </c>
      <c r="B722" s="5">
        <f t="shared" si="32"/>
        <v>2014</v>
      </c>
      <c r="C722" s="9">
        <v>41995</v>
      </c>
      <c r="D722">
        <v>11.75</v>
      </c>
    </row>
    <row r="723" spans="1:4" x14ac:dyDescent="0.25">
      <c r="A723" s="5">
        <f t="shared" si="31"/>
        <v>12</v>
      </c>
      <c r="B723" s="5">
        <f t="shared" si="32"/>
        <v>2014</v>
      </c>
      <c r="C723" s="9">
        <v>41996</v>
      </c>
      <c r="D723">
        <v>11.75</v>
      </c>
    </row>
    <row r="724" spans="1:4" x14ac:dyDescent="0.25">
      <c r="A724" s="5">
        <f t="shared" si="31"/>
        <v>12</v>
      </c>
      <c r="B724" s="5">
        <f t="shared" si="32"/>
        <v>2014</v>
      </c>
      <c r="C724" s="9">
        <v>41997</v>
      </c>
      <c r="D724">
        <v>11.75</v>
      </c>
    </row>
    <row r="725" spans="1:4" x14ac:dyDescent="0.25">
      <c r="A725" s="5">
        <f t="shared" si="31"/>
        <v>12</v>
      </c>
      <c r="B725" s="5">
        <f t="shared" si="32"/>
        <v>2014</v>
      </c>
      <c r="C725" s="9">
        <v>41998</v>
      </c>
      <c r="D725">
        <v>11.75</v>
      </c>
    </row>
    <row r="726" spans="1:4" x14ac:dyDescent="0.25">
      <c r="A726" s="5">
        <f t="shared" si="31"/>
        <v>12</v>
      </c>
      <c r="B726" s="5">
        <f t="shared" si="32"/>
        <v>2014</v>
      </c>
      <c r="C726" s="9">
        <v>41999</v>
      </c>
      <c r="D726">
        <v>11.75</v>
      </c>
    </row>
    <row r="727" spans="1:4" x14ac:dyDescent="0.25">
      <c r="A727" s="5">
        <f t="shared" si="31"/>
        <v>12</v>
      </c>
      <c r="B727" s="5">
        <f t="shared" si="32"/>
        <v>2014</v>
      </c>
      <c r="C727" s="9">
        <v>42000</v>
      </c>
      <c r="D727">
        <v>11.75</v>
      </c>
    </row>
    <row r="728" spans="1:4" x14ac:dyDescent="0.25">
      <c r="A728" s="5">
        <f t="shared" si="31"/>
        <v>12</v>
      </c>
      <c r="B728" s="5">
        <f t="shared" si="32"/>
        <v>2014</v>
      </c>
      <c r="C728" s="9">
        <v>42001</v>
      </c>
      <c r="D728">
        <v>11.75</v>
      </c>
    </row>
    <row r="729" spans="1:4" x14ac:dyDescent="0.25">
      <c r="A729" s="5">
        <f t="shared" si="31"/>
        <v>12</v>
      </c>
      <c r="B729" s="5">
        <f t="shared" si="32"/>
        <v>2014</v>
      </c>
      <c r="C729" s="9">
        <v>42002</v>
      </c>
      <c r="D729">
        <v>11.75</v>
      </c>
    </row>
    <row r="730" spans="1:4" x14ac:dyDescent="0.25">
      <c r="A730" s="5">
        <f t="shared" si="31"/>
        <v>12</v>
      </c>
      <c r="B730" s="5">
        <f t="shared" si="32"/>
        <v>2014</v>
      </c>
      <c r="C730" s="9">
        <v>42003</v>
      </c>
      <c r="D730">
        <v>11.75</v>
      </c>
    </row>
    <row r="731" spans="1:4" x14ac:dyDescent="0.25">
      <c r="A731" s="5">
        <f t="shared" si="31"/>
        <v>12</v>
      </c>
      <c r="B731" s="5">
        <f t="shared" si="32"/>
        <v>2014</v>
      </c>
      <c r="C731" s="9">
        <v>42004</v>
      </c>
      <c r="D731">
        <v>11.75</v>
      </c>
    </row>
    <row r="732" spans="1:4" x14ac:dyDescent="0.25">
      <c r="A732" s="5">
        <f t="shared" si="31"/>
        <v>1</v>
      </c>
      <c r="B732" s="5">
        <f t="shared" si="32"/>
        <v>2015</v>
      </c>
      <c r="C732" s="9">
        <v>42005</v>
      </c>
      <c r="D732">
        <v>11.75</v>
      </c>
    </row>
    <row r="733" spans="1:4" x14ac:dyDescent="0.25">
      <c r="A733" s="5">
        <f t="shared" si="31"/>
        <v>1</v>
      </c>
      <c r="B733" s="5">
        <f t="shared" si="32"/>
        <v>2015</v>
      </c>
      <c r="C733" s="9">
        <v>42006</v>
      </c>
      <c r="D733">
        <v>11.75</v>
      </c>
    </row>
    <row r="734" spans="1:4" x14ac:dyDescent="0.25">
      <c r="A734" s="5">
        <f t="shared" si="31"/>
        <v>1</v>
      </c>
      <c r="B734" s="5">
        <f t="shared" si="32"/>
        <v>2015</v>
      </c>
      <c r="C734" s="9">
        <v>42007</v>
      </c>
      <c r="D734">
        <v>11.75</v>
      </c>
    </row>
    <row r="735" spans="1:4" x14ac:dyDescent="0.25">
      <c r="A735" s="5">
        <f t="shared" si="31"/>
        <v>1</v>
      </c>
      <c r="B735" s="5">
        <f t="shared" si="32"/>
        <v>2015</v>
      </c>
      <c r="C735" s="9">
        <v>42008</v>
      </c>
      <c r="D735">
        <v>11.75</v>
      </c>
    </row>
    <row r="736" spans="1:4" x14ac:dyDescent="0.25">
      <c r="A736" s="5">
        <f t="shared" si="31"/>
        <v>1</v>
      </c>
      <c r="B736" s="5">
        <f t="shared" si="32"/>
        <v>2015</v>
      </c>
      <c r="C736" s="9">
        <v>42009</v>
      </c>
      <c r="D736">
        <v>11.75</v>
      </c>
    </row>
    <row r="737" spans="1:4" x14ac:dyDescent="0.25">
      <c r="A737" s="5">
        <f t="shared" si="31"/>
        <v>1</v>
      </c>
      <c r="B737" s="5">
        <f t="shared" si="32"/>
        <v>2015</v>
      </c>
      <c r="C737" s="9">
        <v>42010</v>
      </c>
      <c r="D737">
        <v>11.75</v>
      </c>
    </row>
    <row r="738" spans="1:4" x14ac:dyDescent="0.25">
      <c r="A738" s="5">
        <f t="shared" si="31"/>
        <v>1</v>
      </c>
      <c r="B738" s="5">
        <f t="shared" si="32"/>
        <v>2015</v>
      </c>
      <c r="C738" s="9">
        <v>42011</v>
      </c>
      <c r="D738">
        <v>11.75</v>
      </c>
    </row>
    <row r="739" spans="1:4" x14ac:dyDescent="0.25">
      <c r="A739" s="5">
        <f t="shared" si="31"/>
        <v>1</v>
      </c>
      <c r="B739" s="5">
        <f t="shared" si="32"/>
        <v>2015</v>
      </c>
      <c r="C739" s="9">
        <v>42012</v>
      </c>
      <c r="D739">
        <v>11.75</v>
      </c>
    </row>
    <row r="740" spans="1:4" x14ac:dyDescent="0.25">
      <c r="A740" s="5">
        <f t="shared" si="31"/>
        <v>1</v>
      </c>
      <c r="B740" s="5">
        <f t="shared" si="32"/>
        <v>2015</v>
      </c>
      <c r="C740" s="9">
        <v>42013</v>
      </c>
      <c r="D740">
        <v>11.75</v>
      </c>
    </row>
    <row r="741" spans="1:4" x14ac:dyDescent="0.25">
      <c r="A741" s="5">
        <f t="shared" si="31"/>
        <v>1</v>
      </c>
      <c r="B741" s="5">
        <f t="shared" si="32"/>
        <v>2015</v>
      </c>
      <c r="C741" s="9">
        <v>42014</v>
      </c>
      <c r="D741">
        <v>11.75</v>
      </c>
    </row>
    <row r="742" spans="1:4" x14ac:dyDescent="0.25">
      <c r="A742" s="5">
        <f t="shared" si="31"/>
        <v>1</v>
      </c>
      <c r="B742" s="5">
        <f t="shared" si="32"/>
        <v>2015</v>
      </c>
      <c r="C742" s="9">
        <v>42015</v>
      </c>
      <c r="D742">
        <v>11.75</v>
      </c>
    </row>
    <row r="743" spans="1:4" x14ac:dyDescent="0.25">
      <c r="A743" s="5">
        <f t="shared" si="31"/>
        <v>1</v>
      </c>
      <c r="B743" s="5">
        <f t="shared" si="32"/>
        <v>2015</v>
      </c>
      <c r="C743" s="9">
        <v>42016</v>
      </c>
      <c r="D743">
        <v>11.75</v>
      </c>
    </row>
    <row r="744" spans="1:4" x14ac:dyDescent="0.25">
      <c r="A744" s="5">
        <f t="shared" si="31"/>
        <v>1</v>
      </c>
      <c r="B744" s="5">
        <f t="shared" si="32"/>
        <v>2015</v>
      </c>
      <c r="C744" s="9">
        <v>42017</v>
      </c>
      <c r="D744">
        <v>11.75</v>
      </c>
    </row>
    <row r="745" spans="1:4" x14ac:dyDescent="0.25">
      <c r="A745" s="5">
        <f t="shared" si="31"/>
        <v>1</v>
      </c>
      <c r="B745" s="5">
        <f t="shared" si="32"/>
        <v>2015</v>
      </c>
      <c r="C745" s="9">
        <v>42018</v>
      </c>
      <c r="D745">
        <v>11.75</v>
      </c>
    </row>
    <row r="746" spans="1:4" x14ac:dyDescent="0.25">
      <c r="A746" s="5">
        <f t="shared" si="31"/>
        <v>1</v>
      </c>
      <c r="B746" s="5">
        <f t="shared" si="32"/>
        <v>2015</v>
      </c>
      <c r="C746" s="9">
        <v>42019</v>
      </c>
      <c r="D746">
        <v>11.75</v>
      </c>
    </row>
    <row r="747" spans="1:4" x14ac:dyDescent="0.25">
      <c r="A747" s="5">
        <f t="shared" si="31"/>
        <v>1</v>
      </c>
      <c r="B747" s="5">
        <f t="shared" si="32"/>
        <v>2015</v>
      </c>
      <c r="C747" s="9">
        <v>42020</v>
      </c>
      <c r="D747">
        <v>11.75</v>
      </c>
    </row>
    <row r="748" spans="1:4" x14ac:dyDescent="0.25">
      <c r="A748" s="5">
        <f t="shared" si="31"/>
        <v>1</v>
      </c>
      <c r="B748" s="5">
        <f t="shared" si="32"/>
        <v>2015</v>
      </c>
      <c r="C748" s="9">
        <v>42021</v>
      </c>
      <c r="D748">
        <v>11.75</v>
      </c>
    </row>
    <row r="749" spans="1:4" x14ac:dyDescent="0.25">
      <c r="A749" s="5">
        <f t="shared" si="31"/>
        <v>1</v>
      </c>
      <c r="B749" s="5">
        <f t="shared" si="32"/>
        <v>2015</v>
      </c>
      <c r="C749" s="9">
        <v>42022</v>
      </c>
      <c r="D749">
        <v>11.75</v>
      </c>
    </row>
    <row r="750" spans="1:4" x14ac:dyDescent="0.25">
      <c r="A750" s="5">
        <f t="shared" si="31"/>
        <v>1</v>
      </c>
      <c r="B750" s="5">
        <f t="shared" si="32"/>
        <v>2015</v>
      </c>
      <c r="C750" s="9">
        <v>42023</v>
      </c>
      <c r="D750">
        <v>11.75</v>
      </c>
    </row>
    <row r="751" spans="1:4" x14ac:dyDescent="0.25">
      <c r="A751" s="5">
        <f t="shared" si="31"/>
        <v>1</v>
      </c>
      <c r="B751" s="5">
        <f t="shared" si="32"/>
        <v>2015</v>
      </c>
      <c r="C751" s="9">
        <v>42024</v>
      </c>
      <c r="D751">
        <v>11.75</v>
      </c>
    </row>
    <row r="752" spans="1:4" x14ac:dyDescent="0.25">
      <c r="A752" s="5">
        <f t="shared" si="31"/>
        <v>1</v>
      </c>
      <c r="B752" s="5">
        <f t="shared" si="32"/>
        <v>2015</v>
      </c>
      <c r="C752" s="9">
        <v>42025</v>
      </c>
      <c r="D752">
        <v>11.75</v>
      </c>
    </row>
    <row r="753" spans="1:4" x14ac:dyDescent="0.25">
      <c r="A753" s="5">
        <f t="shared" si="31"/>
        <v>1</v>
      </c>
      <c r="B753" s="5">
        <f t="shared" si="32"/>
        <v>2015</v>
      </c>
      <c r="C753" s="9">
        <v>42026</v>
      </c>
      <c r="D753">
        <v>12.25</v>
      </c>
    </row>
    <row r="754" spans="1:4" x14ac:dyDescent="0.25">
      <c r="A754" s="5">
        <f t="shared" si="31"/>
        <v>1</v>
      </c>
      <c r="B754" s="5">
        <f t="shared" si="32"/>
        <v>2015</v>
      </c>
      <c r="C754" s="9">
        <v>42027</v>
      </c>
      <c r="D754">
        <v>12.25</v>
      </c>
    </row>
    <row r="755" spans="1:4" x14ac:dyDescent="0.25">
      <c r="A755" s="5">
        <f t="shared" si="31"/>
        <v>1</v>
      </c>
      <c r="B755" s="5">
        <f t="shared" si="32"/>
        <v>2015</v>
      </c>
      <c r="C755" s="9">
        <v>42028</v>
      </c>
      <c r="D755">
        <v>12.25</v>
      </c>
    </row>
    <row r="756" spans="1:4" x14ac:dyDescent="0.25">
      <c r="A756" s="5">
        <f t="shared" si="31"/>
        <v>1</v>
      </c>
      <c r="B756" s="5">
        <f t="shared" si="32"/>
        <v>2015</v>
      </c>
      <c r="C756" s="9">
        <v>42029</v>
      </c>
      <c r="D756">
        <v>12.25</v>
      </c>
    </row>
    <row r="757" spans="1:4" x14ac:dyDescent="0.25">
      <c r="A757" s="5">
        <f t="shared" si="31"/>
        <v>1</v>
      </c>
      <c r="B757" s="5">
        <f t="shared" si="32"/>
        <v>2015</v>
      </c>
      <c r="C757" s="9">
        <v>42030</v>
      </c>
      <c r="D757">
        <v>12.25</v>
      </c>
    </row>
    <row r="758" spans="1:4" x14ac:dyDescent="0.25">
      <c r="A758" s="5">
        <f t="shared" si="31"/>
        <v>1</v>
      </c>
      <c r="B758" s="5">
        <f t="shared" si="32"/>
        <v>2015</v>
      </c>
      <c r="C758" s="9">
        <v>42031</v>
      </c>
      <c r="D758">
        <v>12.25</v>
      </c>
    </row>
    <row r="759" spans="1:4" x14ac:dyDescent="0.25">
      <c r="A759" s="5">
        <f t="shared" si="31"/>
        <v>1</v>
      </c>
      <c r="B759" s="5">
        <f t="shared" si="32"/>
        <v>2015</v>
      </c>
      <c r="C759" s="9">
        <v>42032</v>
      </c>
      <c r="D759">
        <v>12.25</v>
      </c>
    </row>
    <row r="760" spans="1:4" x14ac:dyDescent="0.25">
      <c r="A760" s="5">
        <f t="shared" si="31"/>
        <v>1</v>
      </c>
      <c r="B760" s="5">
        <f t="shared" si="32"/>
        <v>2015</v>
      </c>
      <c r="C760" s="9">
        <v>42033</v>
      </c>
      <c r="D760">
        <v>12.25</v>
      </c>
    </row>
    <row r="761" spans="1:4" x14ac:dyDescent="0.25">
      <c r="A761" s="5">
        <f t="shared" si="31"/>
        <v>1</v>
      </c>
      <c r="B761" s="5">
        <f t="shared" si="32"/>
        <v>2015</v>
      </c>
      <c r="C761" s="9">
        <v>42034</v>
      </c>
      <c r="D761">
        <v>12.25</v>
      </c>
    </row>
    <row r="762" spans="1:4" x14ac:dyDescent="0.25">
      <c r="A762" s="5">
        <f t="shared" si="31"/>
        <v>1</v>
      </c>
      <c r="B762" s="5">
        <f t="shared" si="32"/>
        <v>2015</v>
      </c>
      <c r="C762" s="9">
        <v>42035</v>
      </c>
      <c r="D762">
        <v>12.25</v>
      </c>
    </row>
    <row r="763" spans="1:4" x14ac:dyDescent="0.25">
      <c r="A763" s="5">
        <f t="shared" si="31"/>
        <v>2</v>
      </c>
      <c r="B763" s="5">
        <f t="shared" si="32"/>
        <v>2015</v>
      </c>
      <c r="C763" s="9">
        <v>42036</v>
      </c>
      <c r="D763">
        <v>12.25</v>
      </c>
    </row>
    <row r="764" spans="1:4" x14ac:dyDescent="0.25">
      <c r="A764" s="5">
        <f t="shared" si="31"/>
        <v>2</v>
      </c>
      <c r="B764" s="5">
        <f t="shared" si="32"/>
        <v>2015</v>
      </c>
      <c r="C764" s="9">
        <v>42037</v>
      </c>
      <c r="D764">
        <v>12.25</v>
      </c>
    </row>
    <row r="765" spans="1:4" x14ac:dyDescent="0.25">
      <c r="A765" s="5">
        <f t="shared" si="31"/>
        <v>2</v>
      </c>
      <c r="B765" s="5">
        <f t="shared" si="32"/>
        <v>2015</v>
      </c>
      <c r="C765" s="9">
        <v>42038</v>
      </c>
      <c r="D765">
        <v>12.25</v>
      </c>
    </row>
    <row r="766" spans="1:4" x14ac:dyDescent="0.25">
      <c r="A766" s="5">
        <f t="shared" si="31"/>
        <v>2</v>
      </c>
      <c r="B766" s="5">
        <f t="shared" si="32"/>
        <v>2015</v>
      </c>
      <c r="C766" s="9">
        <v>42039</v>
      </c>
      <c r="D766">
        <v>12.25</v>
      </c>
    </row>
    <row r="767" spans="1:4" x14ac:dyDescent="0.25">
      <c r="A767" s="5">
        <f t="shared" si="31"/>
        <v>2</v>
      </c>
      <c r="B767" s="5">
        <f t="shared" si="32"/>
        <v>2015</v>
      </c>
      <c r="C767" s="9">
        <v>42040</v>
      </c>
      <c r="D767">
        <v>12.25</v>
      </c>
    </row>
    <row r="768" spans="1:4" x14ac:dyDescent="0.25">
      <c r="A768" s="5">
        <f t="shared" si="31"/>
        <v>2</v>
      </c>
      <c r="B768" s="5">
        <f t="shared" si="32"/>
        <v>2015</v>
      </c>
      <c r="C768" s="9">
        <v>42041</v>
      </c>
      <c r="D768">
        <v>12.25</v>
      </c>
    </row>
    <row r="769" spans="1:4" x14ac:dyDescent="0.25">
      <c r="A769" s="5">
        <f t="shared" si="31"/>
        <v>2</v>
      </c>
      <c r="B769" s="5">
        <f t="shared" si="32"/>
        <v>2015</v>
      </c>
      <c r="C769" s="9">
        <v>42042</v>
      </c>
      <c r="D769">
        <v>12.25</v>
      </c>
    </row>
    <row r="770" spans="1:4" x14ac:dyDescent="0.25">
      <c r="A770" s="5">
        <f t="shared" si="31"/>
        <v>2</v>
      </c>
      <c r="B770" s="5">
        <f t="shared" si="32"/>
        <v>2015</v>
      </c>
      <c r="C770" s="9">
        <v>42043</v>
      </c>
      <c r="D770">
        <v>12.25</v>
      </c>
    </row>
    <row r="771" spans="1:4" x14ac:dyDescent="0.25">
      <c r="A771" s="5">
        <f t="shared" ref="A771:A834" si="33">MONTH(C771)</f>
        <v>2</v>
      </c>
      <c r="B771" s="5">
        <f t="shared" ref="B771:B834" si="34">YEAR(C771)</f>
        <v>2015</v>
      </c>
      <c r="C771" s="9">
        <v>42044</v>
      </c>
      <c r="D771">
        <v>12.25</v>
      </c>
    </row>
    <row r="772" spans="1:4" x14ac:dyDescent="0.25">
      <c r="A772" s="5">
        <f t="shared" si="33"/>
        <v>2</v>
      </c>
      <c r="B772" s="5">
        <f t="shared" si="34"/>
        <v>2015</v>
      </c>
      <c r="C772" s="9">
        <v>42045</v>
      </c>
      <c r="D772">
        <v>12.25</v>
      </c>
    </row>
    <row r="773" spans="1:4" x14ac:dyDescent="0.25">
      <c r="A773" s="5">
        <f t="shared" si="33"/>
        <v>2</v>
      </c>
      <c r="B773" s="5">
        <f t="shared" si="34"/>
        <v>2015</v>
      </c>
      <c r="C773" s="9">
        <v>42046</v>
      </c>
      <c r="D773">
        <v>12.25</v>
      </c>
    </row>
    <row r="774" spans="1:4" x14ac:dyDescent="0.25">
      <c r="A774" s="5">
        <f t="shared" si="33"/>
        <v>2</v>
      </c>
      <c r="B774" s="5">
        <f t="shared" si="34"/>
        <v>2015</v>
      </c>
      <c r="C774" s="9">
        <v>42047</v>
      </c>
      <c r="D774">
        <v>12.25</v>
      </c>
    </row>
    <row r="775" spans="1:4" x14ac:dyDescent="0.25">
      <c r="A775" s="5">
        <f t="shared" si="33"/>
        <v>2</v>
      </c>
      <c r="B775" s="5">
        <f t="shared" si="34"/>
        <v>2015</v>
      </c>
      <c r="C775" s="9">
        <v>42048</v>
      </c>
      <c r="D775">
        <v>12.25</v>
      </c>
    </row>
    <row r="776" spans="1:4" x14ac:dyDescent="0.25">
      <c r="A776" s="5">
        <f t="shared" si="33"/>
        <v>2</v>
      </c>
      <c r="B776" s="5">
        <f t="shared" si="34"/>
        <v>2015</v>
      </c>
      <c r="C776" s="9">
        <v>42049</v>
      </c>
      <c r="D776">
        <v>12.25</v>
      </c>
    </row>
    <row r="777" spans="1:4" x14ac:dyDescent="0.25">
      <c r="A777" s="5">
        <f t="shared" si="33"/>
        <v>2</v>
      </c>
      <c r="B777" s="5">
        <f t="shared" si="34"/>
        <v>2015</v>
      </c>
      <c r="C777" s="9">
        <v>42050</v>
      </c>
      <c r="D777">
        <v>12.25</v>
      </c>
    </row>
    <row r="778" spans="1:4" x14ac:dyDescent="0.25">
      <c r="A778" s="5">
        <f t="shared" si="33"/>
        <v>2</v>
      </c>
      <c r="B778" s="5">
        <f t="shared" si="34"/>
        <v>2015</v>
      </c>
      <c r="C778" s="9">
        <v>42051</v>
      </c>
      <c r="D778">
        <v>12.25</v>
      </c>
    </row>
    <row r="779" spans="1:4" x14ac:dyDescent="0.25">
      <c r="A779" s="5">
        <f t="shared" si="33"/>
        <v>2</v>
      </c>
      <c r="B779" s="5">
        <f t="shared" si="34"/>
        <v>2015</v>
      </c>
      <c r="C779" s="9">
        <v>42052</v>
      </c>
      <c r="D779">
        <v>12.25</v>
      </c>
    </row>
    <row r="780" spans="1:4" x14ac:dyDescent="0.25">
      <c r="A780" s="5">
        <f t="shared" si="33"/>
        <v>2</v>
      </c>
      <c r="B780" s="5">
        <f t="shared" si="34"/>
        <v>2015</v>
      </c>
      <c r="C780" s="9">
        <v>42053</v>
      </c>
      <c r="D780">
        <v>12.25</v>
      </c>
    </row>
    <row r="781" spans="1:4" x14ac:dyDescent="0.25">
      <c r="A781" s="5">
        <f t="shared" si="33"/>
        <v>2</v>
      </c>
      <c r="B781" s="5">
        <f t="shared" si="34"/>
        <v>2015</v>
      </c>
      <c r="C781" s="9">
        <v>42054</v>
      </c>
      <c r="D781">
        <v>12.25</v>
      </c>
    </row>
    <row r="782" spans="1:4" x14ac:dyDescent="0.25">
      <c r="A782" s="5">
        <f t="shared" si="33"/>
        <v>2</v>
      </c>
      <c r="B782" s="5">
        <f t="shared" si="34"/>
        <v>2015</v>
      </c>
      <c r="C782" s="9">
        <v>42055</v>
      </c>
      <c r="D782">
        <v>12.25</v>
      </c>
    </row>
    <row r="783" spans="1:4" x14ac:dyDescent="0.25">
      <c r="A783" s="5">
        <f t="shared" si="33"/>
        <v>2</v>
      </c>
      <c r="B783" s="5">
        <f t="shared" si="34"/>
        <v>2015</v>
      </c>
      <c r="C783" s="9">
        <v>42056</v>
      </c>
      <c r="D783">
        <v>12.25</v>
      </c>
    </row>
    <row r="784" spans="1:4" x14ac:dyDescent="0.25">
      <c r="A784" s="5">
        <f t="shared" si="33"/>
        <v>2</v>
      </c>
      <c r="B784" s="5">
        <f t="shared" si="34"/>
        <v>2015</v>
      </c>
      <c r="C784" s="9">
        <v>42057</v>
      </c>
      <c r="D784">
        <v>12.25</v>
      </c>
    </row>
    <row r="785" spans="1:4" x14ac:dyDescent="0.25">
      <c r="A785" s="5">
        <f t="shared" si="33"/>
        <v>2</v>
      </c>
      <c r="B785" s="5">
        <f t="shared" si="34"/>
        <v>2015</v>
      </c>
      <c r="C785" s="9">
        <v>42058</v>
      </c>
      <c r="D785">
        <v>12.25</v>
      </c>
    </row>
    <row r="786" spans="1:4" x14ac:dyDescent="0.25">
      <c r="A786" s="5">
        <f t="shared" si="33"/>
        <v>2</v>
      </c>
      <c r="B786" s="5">
        <f t="shared" si="34"/>
        <v>2015</v>
      </c>
      <c r="C786" s="9">
        <v>42059</v>
      </c>
      <c r="D786">
        <v>12.25</v>
      </c>
    </row>
    <row r="787" spans="1:4" x14ac:dyDescent="0.25">
      <c r="A787" s="5">
        <f t="shared" si="33"/>
        <v>2</v>
      </c>
      <c r="B787" s="5">
        <f t="shared" si="34"/>
        <v>2015</v>
      </c>
      <c r="C787" s="9">
        <v>42060</v>
      </c>
      <c r="D787">
        <v>12.25</v>
      </c>
    </row>
    <row r="788" spans="1:4" x14ac:dyDescent="0.25">
      <c r="A788" s="5">
        <f t="shared" si="33"/>
        <v>2</v>
      </c>
      <c r="B788" s="5">
        <f t="shared" si="34"/>
        <v>2015</v>
      </c>
      <c r="C788" s="9">
        <v>42061</v>
      </c>
      <c r="D788">
        <v>12.25</v>
      </c>
    </row>
    <row r="789" spans="1:4" x14ac:dyDescent="0.25">
      <c r="A789" s="5">
        <f t="shared" si="33"/>
        <v>2</v>
      </c>
      <c r="B789" s="5">
        <f t="shared" si="34"/>
        <v>2015</v>
      </c>
      <c r="C789" s="9">
        <v>42062</v>
      </c>
      <c r="D789">
        <v>12.25</v>
      </c>
    </row>
    <row r="790" spans="1:4" x14ac:dyDescent="0.25">
      <c r="A790" s="5">
        <f t="shared" si="33"/>
        <v>2</v>
      </c>
      <c r="B790" s="5">
        <f t="shared" si="34"/>
        <v>2015</v>
      </c>
      <c r="C790" s="9">
        <v>42063</v>
      </c>
      <c r="D790">
        <v>12.25</v>
      </c>
    </row>
    <row r="791" spans="1:4" x14ac:dyDescent="0.25">
      <c r="A791" s="5">
        <f t="shared" si="33"/>
        <v>3</v>
      </c>
      <c r="B791" s="5">
        <f t="shared" si="34"/>
        <v>2015</v>
      </c>
      <c r="C791" s="9">
        <v>42064</v>
      </c>
      <c r="D791">
        <v>12.25</v>
      </c>
    </row>
    <row r="792" spans="1:4" x14ac:dyDescent="0.25">
      <c r="A792" s="5">
        <f t="shared" si="33"/>
        <v>3</v>
      </c>
      <c r="B792" s="5">
        <f t="shared" si="34"/>
        <v>2015</v>
      </c>
      <c r="C792" s="9">
        <v>42065</v>
      </c>
      <c r="D792">
        <v>12.25</v>
      </c>
    </row>
    <row r="793" spans="1:4" x14ac:dyDescent="0.25">
      <c r="A793" s="5">
        <f t="shared" si="33"/>
        <v>3</v>
      </c>
      <c r="B793" s="5">
        <f t="shared" si="34"/>
        <v>2015</v>
      </c>
      <c r="C793" s="9">
        <v>42066</v>
      </c>
      <c r="D793">
        <v>12.25</v>
      </c>
    </row>
    <row r="794" spans="1:4" x14ac:dyDescent="0.25">
      <c r="A794" s="5">
        <f t="shared" si="33"/>
        <v>3</v>
      </c>
      <c r="B794" s="5">
        <f t="shared" si="34"/>
        <v>2015</v>
      </c>
      <c r="C794" s="9">
        <v>42067</v>
      </c>
      <c r="D794">
        <v>12.25</v>
      </c>
    </row>
    <row r="795" spans="1:4" x14ac:dyDescent="0.25">
      <c r="A795" s="5">
        <f t="shared" si="33"/>
        <v>3</v>
      </c>
      <c r="B795" s="5">
        <f t="shared" si="34"/>
        <v>2015</v>
      </c>
      <c r="C795" s="9">
        <v>42068</v>
      </c>
      <c r="D795">
        <v>12.75</v>
      </c>
    </row>
    <row r="796" spans="1:4" x14ac:dyDescent="0.25">
      <c r="A796" s="5">
        <f t="shared" si="33"/>
        <v>3</v>
      </c>
      <c r="B796" s="5">
        <f t="shared" si="34"/>
        <v>2015</v>
      </c>
      <c r="C796" s="9">
        <v>42069</v>
      </c>
      <c r="D796">
        <v>12.75</v>
      </c>
    </row>
    <row r="797" spans="1:4" x14ac:dyDescent="0.25">
      <c r="A797" s="5">
        <f t="shared" si="33"/>
        <v>3</v>
      </c>
      <c r="B797" s="5">
        <f t="shared" si="34"/>
        <v>2015</v>
      </c>
      <c r="C797" s="9">
        <v>42070</v>
      </c>
      <c r="D797">
        <v>12.75</v>
      </c>
    </row>
    <row r="798" spans="1:4" x14ac:dyDescent="0.25">
      <c r="A798" s="5">
        <f t="shared" si="33"/>
        <v>3</v>
      </c>
      <c r="B798" s="5">
        <f t="shared" si="34"/>
        <v>2015</v>
      </c>
      <c r="C798" s="9">
        <v>42071</v>
      </c>
      <c r="D798">
        <v>12.75</v>
      </c>
    </row>
    <row r="799" spans="1:4" x14ac:dyDescent="0.25">
      <c r="A799" s="5">
        <f t="shared" si="33"/>
        <v>3</v>
      </c>
      <c r="B799" s="5">
        <f t="shared" si="34"/>
        <v>2015</v>
      </c>
      <c r="C799" s="9">
        <v>42072</v>
      </c>
      <c r="D799">
        <v>12.75</v>
      </c>
    </row>
    <row r="800" spans="1:4" x14ac:dyDescent="0.25">
      <c r="A800" s="5">
        <f t="shared" si="33"/>
        <v>3</v>
      </c>
      <c r="B800" s="5">
        <f t="shared" si="34"/>
        <v>2015</v>
      </c>
      <c r="C800" s="9">
        <v>42073</v>
      </c>
      <c r="D800">
        <v>12.75</v>
      </c>
    </row>
    <row r="801" spans="1:4" x14ac:dyDescent="0.25">
      <c r="A801" s="5">
        <f t="shared" si="33"/>
        <v>3</v>
      </c>
      <c r="B801" s="5">
        <f t="shared" si="34"/>
        <v>2015</v>
      </c>
      <c r="C801" s="9">
        <v>42074</v>
      </c>
      <c r="D801">
        <v>12.75</v>
      </c>
    </row>
    <row r="802" spans="1:4" x14ac:dyDescent="0.25">
      <c r="A802" s="5">
        <f t="shared" si="33"/>
        <v>3</v>
      </c>
      <c r="B802" s="5">
        <f t="shared" si="34"/>
        <v>2015</v>
      </c>
      <c r="C802" s="9">
        <v>42075</v>
      </c>
      <c r="D802">
        <v>12.75</v>
      </c>
    </row>
    <row r="803" spans="1:4" x14ac:dyDescent="0.25">
      <c r="A803" s="5">
        <f t="shared" si="33"/>
        <v>3</v>
      </c>
      <c r="B803" s="5">
        <f t="shared" si="34"/>
        <v>2015</v>
      </c>
      <c r="C803" s="9">
        <v>42076</v>
      </c>
      <c r="D803">
        <v>12.75</v>
      </c>
    </row>
    <row r="804" spans="1:4" x14ac:dyDescent="0.25">
      <c r="A804" s="5">
        <f t="shared" si="33"/>
        <v>3</v>
      </c>
      <c r="B804" s="5">
        <f t="shared" si="34"/>
        <v>2015</v>
      </c>
      <c r="C804" s="9">
        <v>42077</v>
      </c>
      <c r="D804">
        <v>12.75</v>
      </c>
    </row>
    <row r="805" spans="1:4" x14ac:dyDescent="0.25">
      <c r="A805" s="5">
        <f t="shared" si="33"/>
        <v>3</v>
      </c>
      <c r="B805" s="5">
        <f t="shared" si="34"/>
        <v>2015</v>
      </c>
      <c r="C805" s="9">
        <v>42078</v>
      </c>
      <c r="D805">
        <v>12.75</v>
      </c>
    </row>
    <row r="806" spans="1:4" x14ac:dyDescent="0.25">
      <c r="A806" s="5">
        <f t="shared" si="33"/>
        <v>3</v>
      </c>
      <c r="B806" s="5">
        <f t="shared" si="34"/>
        <v>2015</v>
      </c>
      <c r="C806" s="9">
        <v>42079</v>
      </c>
      <c r="D806">
        <v>12.75</v>
      </c>
    </row>
    <row r="807" spans="1:4" x14ac:dyDescent="0.25">
      <c r="A807" s="5">
        <f t="shared" si="33"/>
        <v>3</v>
      </c>
      <c r="B807" s="5">
        <f t="shared" si="34"/>
        <v>2015</v>
      </c>
      <c r="C807" s="9">
        <v>42080</v>
      </c>
      <c r="D807">
        <v>12.75</v>
      </c>
    </row>
    <row r="808" spans="1:4" x14ac:dyDescent="0.25">
      <c r="A808" s="5">
        <f t="shared" si="33"/>
        <v>3</v>
      </c>
      <c r="B808" s="5">
        <f t="shared" si="34"/>
        <v>2015</v>
      </c>
      <c r="C808" s="9">
        <v>42081</v>
      </c>
      <c r="D808">
        <v>12.75</v>
      </c>
    </row>
    <row r="809" spans="1:4" x14ac:dyDescent="0.25">
      <c r="A809" s="5">
        <f t="shared" si="33"/>
        <v>3</v>
      </c>
      <c r="B809" s="5">
        <f t="shared" si="34"/>
        <v>2015</v>
      </c>
      <c r="C809" s="9">
        <v>42082</v>
      </c>
      <c r="D809">
        <v>12.75</v>
      </c>
    </row>
    <row r="810" spans="1:4" x14ac:dyDescent="0.25">
      <c r="A810" s="5">
        <f t="shared" si="33"/>
        <v>3</v>
      </c>
      <c r="B810" s="5">
        <f t="shared" si="34"/>
        <v>2015</v>
      </c>
      <c r="C810" s="9">
        <v>42083</v>
      </c>
      <c r="D810">
        <v>12.75</v>
      </c>
    </row>
    <row r="811" spans="1:4" x14ac:dyDescent="0.25">
      <c r="A811" s="5">
        <f t="shared" si="33"/>
        <v>3</v>
      </c>
      <c r="B811" s="5">
        <f t="shared" si="34"/>
        <v>2015</v>
      </c>
      <c r="C811" s="9">
        <v>42084</v>
      </c>
      <c r="D811">
        <v>12.75</v>
      </c>
    </row>
    <row r="812" spans="1:4" x14ac:dyDescent="0.25">
      <c r="A812" s="5">
        <f t="shared" si="33"/>
        <v>3</v>
      </c>
      <c r="B812" s="5">
        <f t="shared" si="34"/>
        <v>2015</v>
      </c>
      <c r="C812" s="9">
        <v>42085</v>
      </c>
      <c r="D812">
        <v>12.75</v>
      </c>
    </row>
    <row r="813" spans="1:4" x14ac:dyDescent="0.25">
      <c r="A813" s="5">
        <f t="shared" si="33"/>
        <v>3</v>
      </c>
      <c r="B813" s="5">
        <f t="shared" si="34"/>
        <v>2015</v>
      </c>
      <c r="C813" s="9">
        <v>42086</v>
      </c>
      <c r="D813">
        <v>12.75</v>
      </c>
    </row>
    <row r="814" spans="1:4" x14ac:dyDescent="0.25">
      <c r="A814" s="5">
        <f t="shared" si="33"/>
        <v>3</v>
      </c>
      <c r="B814" s="5">
        <f t="shared" si="34"/>
        <v>2015</v>
      </c>
      <c r="C814" s="9">
        <v>42087</v>
      </c>
      <c r="D814">
        <v>12.75</v>
      </c>
    </row>
    <row r="815" spans="1:4" x14ac:dyDescent="0.25">
      <c r="A815" s="5">
        <f t="shared" si="33"/>
        <v>3</v>
      </c>
      <c r="B815" s="5">
        <f t="shared" si="34"/>
        <v>2015</v>
      </c>
      <c r="C815" s="9">
        <v>42088</v>
      </c>
      <c r="D815">
        <v>12.75</v>
      </c>
    </row>
    <row r="816" spans="1:4" x14ac:dyDescent="0.25">
      <c r="A816" s="5">
        <f t="shared" si="33"/>
        <v>3</v>
      </c>
      <c r="B816" s="5">
        <f t="shared" si="34"/>
        <v>2015</v>
      </c>
      <c r="C816" s="9">
        <v>42089</v>
      </c>
      <c r="D816">
        <v>12.75</v>
      </c>
    </row>
    <row r="817" spans="1:4" x14ac:dyDescent="0.25">
      <c r="A817" s="5">
        <f t="shared" si="33"/>
        <v>3</v>
      </c>
      <c r="B817" s="5">
        <f t="shared" si="34"/>
        <v>2015</v>
      </c>
      <c r="C817" s="9">
        <v>42090</v>
      </c>
      <c r="D817">
        <v>12.75</v>
      </c>
    </row>
    <row r="818" spans="1:4" x14ac:dyDescent="0.25">
      <c r="A818" s="5">
        <f t="shared" si="33"/>
        <v>3</v>
      </c>
      <c r="B818" s="5">
        <f t="shared" si="34"/>
        <v>2015</v>
      </c>
      <c r="C818" s="9">
        <v>42091</v>
      </c>
      <c r="D818">
        <v>12.75</v>
      </c>
    </row>
    <row r="819" spans="1:4" x14ac:dyDescent="0.25">
      <c r="A819" s="5">
        <f t="shared" si="33"/>
        <v>3</v>
      </c>
      <c r="B819" s="5">
        <f t="shared" si="34"/>
        <v>2015</v>
      </c>
      <c r="C819" s="9">
        <v>42092</v>
      </c>
      <c r="D819">
        <v>12.75</v>
      </c>
    </row>
    <row r="820" spans="1:4" x14ac:dyDescent="0.25">
      <c r="A820" s="5">
        <f t="shared" si="33"/>
        <v>3</v>
      </c>
      <c r="B820" s="5">
        <f t="shared" si="34"/>
        <v>2015</v>
      </c>
      <c r="C820" s="9">
        <v>42093</v>
      </c>
      <c r="D820">
        <v>12.75</v>
      </c>
    </row>
    <row r="821" spans="1:4" x14ac:dyDescent="0.25">
      <c r="A821" s="5">
        <f t="shared" si="33"/>
        <v>3</v>
      </c>
      <c r="B821" s="5">
        <f t="shared" si="34"/>
        <v>2015</v>
      </c>
      <c r="C821" s="9">
        <v>42094</v>
      </c>
      <c r="D821">
        <v>12.75</v>
      </c>
    </row>
    <row r="822" spans="1:4" x14ac:dyDescent="0.25">
      <c r="A822" s="5">
        <f t="shared" si="33"/>
        <v>4</v>
      </c>
      <c r="B822" s="5">
        <f t="shared" si="34"/>
        <v>2015</v>
      </c>
      <c r="C822" s="9">
        <v>42095</v>
      </c>
      <c r="D822">
        <v>12.75</v>
      </c>
    </row>
    <row r="823" spans="1:4" x14ac:dyDescent="0.25">
      <c r="A823" s="5">
        <f t="shared" si="33"/>
        <v>4</v>
      </c>
      <c r="B823" s="5">
        <f t="shared" si="34"/>
        <v>2015</v>
      </c>
      <c r="C823" s="9">
        <v>42096</v>
      </c>
      <c r="D823">
        <v>12.75</v>
      </c>
    </row>
    <row r="824" spans="1:4" x14ac:dyDescent="0.25">
      <c r="A824" s="5">
        <f t="shared" si="33"/>
        <v>4</v>
      </c>
      <c r="B824" s="5">
        <f t="shared" si="34"/>
        <v>2015</v>
      </c>
      <c r="C824" s="9">
        <v>42097</v>
      </c>
      <c r="D824">
        <v>12.75</v>
      </c>
    </row>
    <row r="825" spans="1:4" x14ac:dyDescent="0.25">
      <c r="A825" s="5">
        <f t="shared" si="33"/>
        <v>4</v>
      </c>
      <c r="B825" s="5">
        <f t="shared" si="34"/>
        <v>2015</v>
      </c>
      <c r="C825" s="9">
        <v>42098</v>
      </c>
      <c r="D825">
        <v>12.75</v>
      </c>
    </row>
    <row r="826" spans="1:4" x14ac:dyDescent="0.25">
      <c r="A826" s="5">
        <f t="shared" si="33"/>
        <v>4</v>
      </c>
      <c r="B826" s="5">
        <f t="shared" si="34"/>
        <v>2015</v>
      </c>
      <c r="C826" s="9">
        <v>42099</v>
      </c>
      <c r="D826">
        <v>12.75</v>
      </c>
    </row>
    <row r="827" spans="1:4" x14ac:dyDescent="0.25">
      <c r="A827" s="5">
        <f t="shared" si="33"/>
        <v>4</v>
      </c>
      <c r="B827" s="5">
        <f t="shared" si="34"/>
        <v>2015</v>
      </c>
      <c r="C827" s="9">
        <v>42100</v>
      </c>
      <c r="D827">
        <v>12.75</v>
      </c>
    </row>
    <row r="828" spans="1:4" x14ac:dyDescent="0.25">
      <c r="A828" s="5">
        <f t="shared" si="33"/>
        <v>4</v>
      </c>
      <c r="B828" s="5">
        <f t="shared" si="34"/>
        <v>2015</v>
      </c>
      <c r="C828" s="9">
        <v>42101</v>
      </c>
      <c r="D828">
        <v>12.75</v>
      </c>
    </row>
    <row r="829" spans="1:4" x14ac:dyDescent="0.25">
      <c r="A829" s="5">
        <f t="shared" si="33"/>
        <v>4</v>
      </c>
      <c r="B829" s="5">
        <f t="shared" si="34"/>
        <v>2015</v>
      </c>
      <c r="C829" s="9">
        <v>42102</v>
      </c>
      <c r="D829">
        <v>12.75</v>
      </c>
    </row>
    <row r="830" spans="1:4" x14ac:dyDescent="0.25">
      <c r="A830" s="5">
        <f t="shared" si="33"/>
        <v>4</v>
      </c>
      <c r="B830" s="5">
        <f t="shared" si="34"/>
        <v>2015</v>
      </c>
      <c r="C830" s="9">
        <v>42103</v>
      </c>
      <c r="D830">
        <v>12.75</v>
      </c>
    </row>
    <row r="831" spans="1:4" x14ac:dyDescent="0.25">
      <c r="A831" s="5">
        <f t="shared" si="33"/>
        <v>4</v>
      </c>
      <c r="B831" s="5">
        <f t="shared" si="34"/>
        <v>2015</v>
      </c>
      <c r="C831" s="9">
        <v>42104</v>
      </c>
      <c r="D831">
        <v>12.75</v>
      </c>
    </row>
    <row r="832" spans="1:4" x14ac:dyDescent="0.25">
      <c r="A832" s="5">
        <f t="shared" si="33"/>
        <v>4</v>
      </c>
      <c r="B832" s="5">
        <f t="shared" si="34"/>
        <v>2015</v>
      </c>
      <c r="C832" s="9">
        <v>42105</v>
      </c>
      <c r="D832">
        <v>12.75</v>
      </c>
    </row>
    <row r="833" spans="1:4" x14ac:dyDescent="0.25">
      <c r="A833" s="5">
        <f t="shared" si="33"/>
        <v>4</v>
      </c>
      <c r="B833" s="5">
        <f t="shared" si="34"/>
        <v>2015</v>
      </c>
      <c r="C833" s="9">
        <v>42106</v>
      </c>
      <c r="D833">
        <v>12.75</v>
      </c>
    </row>
    <row r="834" spans="1:4" x14ac:dyDescent="0.25">
      <c r="A834" s="5">
        <f t="shared" si="33"/>
        <v>4</v>
      </c>
      <c r="B834" s="5">
        <f t="shared" si="34"/>
        <v>2015</v>
      </c>
      <c r="C834" s="9">
        <v>42107</v>
      </c>
      <c r="D834">
        <v>12.75</v>
      </c>
    </row>
    <row r="835" spans="1:4" x14ac:dyDescent="0.25">
      <c r="A835" s="5">
        <f t="shared" ref="A835:A898" si="35">MONTH(C835)</f>
        <v>4</v>
      </c>
      <c r="B835" s="5">
        <f t="shared" ref="B835:B898" si="36">YEAR(C835)</f>
        <v>2015</v>
      </c>
      <c r="C835" s="9">
        <v>42108</v>
      </c>
      <c r="D835">
        <v>12.75</v>
      </c>
    </row>
    <row r="836" spans="1:4" x14ac:dyDescent="0.25">
      <c r="A836" s="5">
        <f t="shared" si="35"/>
        <v>4</v>
      </c>
      <c r="B836" s="5">
        <f t="shared" si="36"/>
        <v>2015</v>
      </c>
      <c r="C836" s="9">
        <v>42109</v>
      </c>
      <c r="D836">
        <v>12.75</v>
      </c>
    </row>
    <row r="837" spans="1:4" x14ac:dyDescent="0.25">
      <c r="A837" s="5">
        <f t="shared" si="35"/>
        <v>4</v>
      </c>
      <c r="B837" s="5">
        <f t="shared" si="36"/>
        <v>2015</v>
      </c>
      <c r="C837" s="9">
        <v>42110</v>
      </c>
      <c r="D837">
        <v>12.75</v>
      </c>
    </row>
    <row r="838" spans="1:4" x14ac:dyDescent="0.25">
      <c r="A838" s="5">
        <f t="shared" si="35"/>
        <v>4</v>
      </c>
      <c r="B838" s="5">
        <f t="shared" si="36"/>
        <v>2015</v>
      </c>
      <c r="C838" s="9">
        <v>42111</v>
      </c>
      <c r="D838">
        <v>12.75</v>
      </c>
    </row>
    <row r="839" spans="1:4" x14ac:dyDescent="0.25">
      <c r="A839" s="5">
        <f t="shared" si="35"/>
        <v>4</v>
      </c>
      <c r="B839" s="5">
        <f t="shared" si="36"/>
        <v>2015</v>
      </c>
      <c r="C839" s="9">
        <v>42112</v>
      </c>
      <c r="D839">
        <v>12.75</v>
      </c>
    </row>
    <row r="840" spans="1:4" x14ac:dyDescent="0.25">
      <c r="A840" s="5">
        <f t="shared" si="35"/>
        <v>4</v>
      </c>
      <c r="B840" s="5">
        <f t="shared" si="36"/>
        <v>2015</v>
      </c>
      <c r="C840" s="9">
        <v>42113</v>
      </c>
      <c r="D840">
        <v>12.75</v>
      </c>
    </row>
    <row r="841" spans="1:4" x14ac:dyDescent="0.25">
      <c r="A841" s="5">
        <f t="shared" si="35"/>
        <v>4</v>
      </c>
      <c r="B841" s="5">
        <f t="shared" si="36"/>
        <v>2015</v>
      </c>
      <c r="C841" s="9">
        <v>42114</v>
      </c>
      <c r="D841">
        <v>12.75</v>
      </c>
    </row>
    <row r="842" spans="1:4" x14ac:dyDescent="0.25">
      <c r="A842" s="5">
        <f t="shared" si="35"/>
        <v>4</v>
      </c>
      <c r="B842" s="5">
        <f t="shared" si="36"/>
        <v>2015</v>
      </c>
      <c r="C842" s="9">
        <v>42115</v>
      </c>
      <c r="D842">
        <v>12.75</v>
      </c>
    </row>
    <row r="843" spans="1:4" x14ac:dyDescent="0.25">
      <c r="A843" s="5">
        <f t="shared" si="35"/>
        <v>4</v>
      </c>
      <c r="B843" s="5">
        <f t="shared" si="36"/>
        <v>2015</v>
      </c>
      <c r="C843" s="9">
        <v>42116</v>
      </c>
      <c r="D843">
        <v>12.75</v>
      </c>
    </row>
    <row r="844" spans="1:4" x14ac:dyDescent="0.25">
      <c r="A844" s="5">
        <f t="shared" si="35"/>
        <v>4</v>
      </c>
      <c r="B844" s="5">
        <f t="shared" si="36"/>
        <v>2015</v>
      </c>
      <c r="C844" s="9">
        <v>42117</v>
      </c>
      <c r="D844">
        <v>12.75</v>
      </c>
    </row>
    <row r="845" spans="1:4" x14ac:dyDescent="0.25">
      <c r="A845" s="5">
        <f t="shared" si="35"/>
        <v>4</v>
      </c>
      <c r="B845" s="5">
        <f t="shared" si="36"/>
        <v>2015</v>
      </c>
      <c r="C845" s="9">
        <v>42118</v>
      </c>
      <c r="D845">
        <v>12.75</v>
      </c>
    </row>
    <row r="846" spans="1:4" x14ac:dyDescent="0.25">
      <c r="A846" s="5">
        <f t="shared" si="35"/>
        <v>4</v>
      </c>
      <c r="B846" s="5">
        <f t="shared" si="36"/>
        <v>2015</v>
      </c>
      <c r="C846" s="9">
        <v>42119</v>
      </c>
      <c r="D846">
        <v>12.75</v>
      </c>
    </row>
    <row r="847" spans="1:4" x14ac:dyDescent="0.25">
      <c r="A847" s="5">
        <f t="shared" si="35"/>
        <v>4</v>
      </c>
      <c r="B847" s="5">
        <f t="shared" si="36"/>
        <v>2015</v>
      </c>
      <c r="C847" s="9">
        <v>42120</v>
      </c>
      <c r="D847">
        <v>12.75</v>
      </c>
    </row>
    <row r="848" spans="1:4" x14ac:dyDescent="0.25">
      <c r="A848" s="5">
        <f t="shared" si="35"/>
        <v>4</v>
      </c>
      <c r="B848" s="5">
        <f t="shared" si="36"/>
        <v>2015</v>
      </c>
      <c r="C848" s="9">
        <v>42121</v>
      </c>
      <c r="D848">
        <v>12.75</v>
      </c>
    </row>
    <row r="849" spans="1:4" x14ac:dyDescent="0.25">
      <c r="A849" s="5">
        <f t="shared" si="35"/>
        <v>4</v>
      </c>
      <c r="B849" s="5">
        <f t="shared" si="36"/>
        <v>2015</v>
      </c>
      <c r="C849" s="9">
        <v>42122</v>
      </c>
      <c r="D849">
        <v>12.75</v>
      </c>
    </row>
    <row r="850" spans="1:4" x14ac:dyDescent="0.25">
      <c r="A850" s="5">
        <f t="shared" si="35"/>
        <v>4</v>
      </c>
      <c r="B850" s="5">
        <f t="shared" si="36"/>
        <v>2015</v>
      </c>
      <c r="C850" s="9">
        <v>42123</v>
      </c>
      <c r="D850">
        <v>12.75</v>
      </c>
    </row>
    <row r="851" spans="1:4" x14ac:dyDescent="0.25">
      <c r="A851" s="5">
        <f t="shared" si="35"/>
        <v>4</v>
      </c>
      <c r="B851" s="5">
        <f t="shared" si="36"/>
        <v>2015</v>
      </c>
      <c r="C851" s="9">
        <v>42124</v>
      </c>
      <c r="D851">
        <v>13.25</v>
      </c>
    </row>
    <row r="852" spans="1:4" x14ac:dyDescent="0.25">
      <c r="A852" s="5">
        <f t="shared" si="35"/>
        <v>5</v>
      </c>
      <c r="B852" s="5">
        <f t="shared" si="36"/>
        <v>2015</v>
      </c>
      <c r="C852" s="9">
        <v>42125</v>
      </c>
      <c r="D852">
        <v>13.25</v>
      </c>
    </row>
    <row r="853" spans="1:4" x14ac:dyDescent="0.25">
      <c r="A853" s="5">
        <f t="shared" si="35"/>
        <v>5</v>
      </c>
      <c r="B853" s="5">
        <f t="shared" si="36"/>
        <v>2015</v>
      </c>
      <c r="C853" s="9">
        <v>42126</v>
      </c>
      <c r="D853">
        <v>13.25</v>
      </c>
    </row>
    <row r="854" spans="1:4" x14ac:dyDescent="0.25">
      <c r="A854" s="5">
        <f t="shared" si="35"/>
        <v>5</v>
      </c>
      <c r="B854" s="5">
        <f t="shared" si="36"/>
        <v>2015</v>
      </c>
      <c r="C854" s="9">
        <v>42127</v>
      </c>
      <c r="D854">
        <v>13.25</v>
      </c>
    </row>
    <row r="855" spans="1:4" x14ac:dyDescent="0.25">
      <c r="A855" s="5">
        <f t="shared" si="35"/>
        <v>5</v>
      </c>
      <c r="B855" s="5">
        <f t="shared" si="36"/>
        <v>2015</v>
      </c>
      <c r="C855" s="9">
        <v>42128</v>
      </c>
      <c r="D855">
        <v>13.25</v>
      </c>
    </row>
    <row r="856" spans="1:4" x14ac:dyDescent="0.25">
      <c r="A856" s="5">
        <f t="shared" si="35"/>
        <v>5</v>
      </c>
      <c r="B856" s="5">
        <f t="shared" si="36"/>
        <v>2015</v>
      </c>
      <c r="C856" s="9">
        <v>42129</v>
      </c>
      <c r="D856">
        <v>13.25</v>
      </c>
    </row>
    <row r="857" spans="1:4" x14ac:dyDescent="0.25">
      <c r="A857" s="5">
        <f t="shared" si="35"/>
        <v>5</v>
      </c>
      <c r="B857" s="5">
        <f t="shared" si="36"/>
        <v>2015</v>
      </c>
      <c r="C857" s="9">
        <v>42130</v>
      </c>
      <c r="D857">
        <v>13.25</v>
      </c>
    </row>
    <row r="858" spans="1:4" x14ac:dyDescent="0.25">
      <c r="A858" s="5">
        <f t="shared" si="35"/>
        <v>5</v>
      </c>
      <c r="B858" s="5">
        <f t="shared" si="36"/>
        <v>2015</v>
      </c>
      <c r="C858" s="9">
        <v>42131</v>
      </c>
      <c r="D858">
        <v>13.25</v>
      </c>
    </row>
    <row r="859" spans="1:4" x14ac:dyDescent="0.25">
      <c r="A859" s="5">
        <f t="shared" si="35"/>
        <v>5</v>
      </c>
      <c r="B859" s="5">
        <f t="shared" si="36"/>
        <v>2015</v>
      </c>
      <c r="C859" s="9">
        <v>42132</v>
      </c>
      <c r="D859">
        <v>13.25</v>
      </c>
    </row>
    <row r="860" spans="1:4" x14ac:dyDescent="0.25">
      <c r="A860" s="5">
        <f t="shared" si="35"/>
        <v>5</v>
      </c>
      <c r="B860" s="5">
        <f t="shared" si="36"/>
        <v>2015</v>
      </c>
      <c r="C860" s="9">
        <v>42133</v>
      </c>
      <c r="D860">
        <v>13.25</v>
      </c>
    </row>
    <row r="861" spans="1:4" x14ac:dyDescent="0.25">
      <c r="A861" s="5">
        <f t="shared" si="35"/>
        <v>5</v>
      </c>
      <c r="B861" s="5">
        <f t="shared" si="36"/>
        <v>2015</v>
      </c>
      <c r="C861" s="9">
        <v>42134</v>
      </c>
      <c r="D861">
        <v>13.25</v>
      </c>
    </row>
    <row r="862" spans="1:4" x14ac:dyDescent="0.25">
      <c r="A862" s="5">
        <f t="shared" si="35"/>
        <v>5</v>
      </c>
      <c r="B862" s="5">
        <f t="shared" si="36"/>
        <v>2015</v>
      </c>
      <c r="C862" s="9">
        <v>42135</v>
      </c>
      <c r="D862">
        <v>13.25</v>
      </c>
    </row>
    <row r="863" spans="1:4" x14ac:dyDescent="0.25">
      <c r="A863" s="5">
        <f t="shared" si="35"/>
        <v>5</v>
      </c>
      <c r="B863" s="5">
        <f t="shared" si="36"/>
        <v>2015</v>
      </c>
      <c r="C863" s="9">
        <v>42136</v>
      </c>
      <c r="D863">
        <v>13.25</v>
      </c>
    </row>
    <row r="864" spans="1:4" x14ac:dyDescent="0.25">
      <c r="A864" s="5">
        <f t="shared" si="35"/>
        <v>5</v>
      </c>
      <c r="B864" s="5">
        <f t="shared" si="36"/>
        <v>2015</v>
      </c>
      <c r="C864" s="9">
        <v>42137</v>
      </c>
      <c r="D864">
        <v>13.25</v>
      </c>
    </row>
    <row r="865" spans="1:4" x14ac:dyDescent="0.25">
      <c r="A865" s="5">
        <f t="shared" si="35"/>
        <v>5</v>
      </c>
      <c r="B865" s="5">
        <f t="shared" si="36"/>
        <v>2015</v>
      </c>
      <c r="C865" s="9">
        <v>42138</v>
      </c>
      <c r="D865">
        <v>13.25</v>
      </c>
    </row>
    <row r="866" spans="1:4" x14ac:dyDescent="0.25">
      <c r="A866" s="5">
        <f t="shared" si="35"/>
        <v>5</v>
      </c>
      <c r="B866" s="5">
        <f t="shared" si="36"/>
        <v>2015</v>
      </c>
      <c r="C866" s="9">
        <v>42139</v>
      </c>
      <c r="D866">
        <v>13.25</v>
      </c>
    </row>
    <row r="867" spans="1:4" x14ac:dyDescent="0.25">
      <c r="A867" s="5">
        <f t="shared" si="35"/>
        <v>5</v>
      </c>
      <c r="B867" s="5">
        <f t="shared" si="36"/>
        <v>2015</v>
      </c>
      <c r="C867" s="9">
        <v>42140</v>
      </c>
      <c r="D867">
        <v>13.25</v>
      </c>
    </row>
    <row r="868" spans="1:4" x14ac:dyDescent="0.25">
      <c r="A868" s="5">
        <f t="shared" si="35"/>
        <v>5</v>
      </c>
      <c r="B868" s="5">
        <f t="shared" si="36"/>
        <v>2015</v>
      </c>
      <c r="C868" s="9">
        <v>42141</v>
      </c>
      <c r="D868">
        <v>13.25</v>
      </c>
    </row>
    <row r="869" spans="1:4" x14ac:dyDescent="0.25">
      <c r="A869" s="5">
        <f t="shared" si="35"/>
        <v>5</v>
      </c>
      <c r="B869" s="5">
        <f t="shared" si="36"/>
        <v>2015</v>
      </c>
      <c r="C869" s="9">
        <v>42142</v>
      </c>
      <c r="D869">
        <v>13.25</v>
      </c>
    </row>
    <row r="870" spans="1:4" x14ac:dyDescent="0.25">
      <c r="A870" s="5">
        <f t="shared" si="35"/>
        <v>5</v>
      </c>
      <c r="B870" s="5">
        <f t="shared" si="36"/>
        <v>2015</v>
      </c>
      <c r="C870" s="9">
        <v>42143</v>
      </c>
      <c r="D870">
        <v>13.25</v>
      </c>
    </row>
    <row r="871" spans="1:4" x14ac:dyDescent="0.25">
      <c r="A871" s="5">
        <f t="shared" si="35"/>
        <v>5</v>
      </c>
      <c r="B871" s="5">
        <f t="shared" si="36"/>
        <v>2015</v>
      </c>
      <c r="C871" s="9">
        <v>42144</v>
      </c>
      <c r="D871">
        <v>13.25</v>
      </c>
    </row>
    <row r="872" spans="1:4" x14ac:dyDescent="0.25">
      <c r="A872" s="5">
        <f t="shared" si="35"/>
        <v>5</v>
      </c>
      <c r="B872" s="5">
        <f t="shared" si="36"/>
        <v>2015</v>
      </c>
      <c r="C872" s="9">
        <v>42145</v>
      </c>
      <c r="D872">
        <v>13.25</v>
      </c>
    </row>
    <row r="873" spans="1:4" x14ac:dyDescent="0.25">
      <c r="A873" s="5">
        <f t="shared" si="35"/>
        <v>5</v>
      </c>
      <c r="B873" s="5">
        <f t="shared" si="36"/>
        <v>2015</v>
      </c>
      <c r="C873" s="9">
        <v>42146</v>
      </c>
      <c r="D873">
        <v>13.25</v>
      </c>
    </row>
    <row r="874" spans="1:4" x14ac:dyDescent="0.25">
      <c r="A874" s="5">
        <f t="shared" si="35"/>
        <v>5</v>
      </c>
      <c r="B874" s="5">
        <f t="shared" si="36"/>
        <v>2015</v>
      </c>
      <c r="C874" s="9">
        <v>42147</v>
      </c>
      <c r="D874">
        <v>13.25</v>
      </c>
    </row>
    <row r="875" spans="1:4" x14ac:dyDescent="0.25">
      <c r="A875" s="5">
        <f t="shared" si="35"/>
        <v>5</v>
      </c>
      <c r="B875" s="5">
        <f t="shared" si="36"/>
        <v>2015</v>
      </c>
      <c r="C875" s="9">
        <v>42148</v>
      </c>
      <c r="D875">
        <v>13.25</v>
      </c>
    </row>
    <row r="876" spans="1:4" x14ac:dyDescent="0.25">
      <c r="A876" s="5">
        <f t="shared" si="35"/>
        <v>5</v>
      </c>
      <c r="B876" s="5">
        <f t="shared" si="36"/>
        <v>2015</v>
      </c>
      <c r="C876" s="9">
        <v>42149</v>
      </c>
      <c r="D876">
        <v>13.25</v>
      </c>
    </row>
    <row r="877" spans="1:4" x14ac:dyDescent="0.25">
      <c r="A877" s="5">
        <f t="shared" si="35"/>
        <v>5</v>
      </c>
      <c r="B877" s="5">
        <f t="shared" si="36"/>
        <v>2015</v>
      </c>
      <c r="C877" s="9">
        <v>42150</v>
      </c>
      <c r="D877">
        <v>13.25</v>
      </c>
    </row>
    <row r="878" spans="1:4" x14ac:dyDescent="0.25">
      <c r="A878" s="5">
        <f t="shared" si="35"/>
        <v>5</v>
      </c>
      <c r="B878" s="5">
        <f t="shared" si="36"/>
        <v>2015</v>
      </c>
      <c r="C878" s="9">
        <v>42151</v>
      </c>
      <c r="D878">
        <v>13.25</v>
      </c>
    </row>
    <row r="879" spans="1:4" x14ac:dyDescent="0.25">
      <c r="A879" s="5">
        <f t="shared" si="35"/>
        <v>5</v>
      </c>
      <c r="B879" s="5">
        <f t="shared" si="36"/>
        <v>2015</v>
      </c>
      <c r="C879" s="9">
        <v>42152</v>
      </c>
      <c r="D879">
        <v>13.25</v>
      </c>
    </row>
    <row r="880" spans="1:4" x14ac:dyDescent="0.25">
      <c r="A880" s="5">
        <f t="shared" si="35"/>
        <v>5</v>
      </c>
      <c r="B880" s="5">
        <f t="shared" si="36"/>
        <v>2015</v>
      </c>
      <c r="C880" s="9">
        <v>42153</v>
      </c>
      <c r="D880">
        <v>13.25</v>
      </c>
    </row>
    <row r="881" spans="1:4" x14ac:dyDescent="0.25">
      <c r="A881" s="5">
        <f t="shared" si="35"/>
        <v>5</v>
      </c>
      <c r="B881" s="5">
        <f t="shared" si="36"/>
        <v>2015</v>
      </c>
      <c r="C881" s="9">
        <v>42154</v>
      </c>
      <c r="D881">
        <v>13.25</v>
      </c>
    </row>
    <row r="882" spans="1:4" x14ac:dyDescent="0.25">
      <c r="A882" s="5">
        <f t="shared" si="35"/>
        <v>5</v>
      </c>
      <c r="B882" s="5">
        <f t="shared" si="36"/>
        <v>2015</v>
      </c>
      <c r="C882" s="9">
        <v>42155</v>
      </c>
      <c r="D882">
        <v>13.25</v>
      </c>
    </row>
    <row r="883" spans="1:4" x14ac:dyDescent="0.25">
      <c r="A883" s="5">
        <f t="shared" si="35"/>
        <v>6</v>
      </c>
      <c r="B883" s="5">
        <f t="shared" si="36"/>
        <v>2015</v>
      </c>
      <c r="C883" s="9">
        <v>42156</v>
      </c>
      <c r="D883">
        <v>13.25</v>
      </c>
    </row>
    <row r="884" spans="1:4" x14ac:dyDescent="0.25">
      <c r="A884" s="5">
        <f t="shared" si="35"/>
        <v>6</v>
      </c>
      <c r="B884" s="5">
        <f t="shared" si="36"/>
        <v>2015</v>
      </c>
      <c r="C884" s="9">
        <v>42157</v>
      </c>
      <c r="D884">
        <v>13.25</v>
      </c>
    </row>
    <row r="885" spans="1:4" x14ac:dyDescent="0.25">
      <c r="A885" s="5">
        <f t="shared" si="35"/>
        <v>6</v>
      </c>
      <c r="B885" s="5">
        <f t="shared" si="36"/>
        <v>2015</v>
      </c>
      <c r="C885" s="9">
        <v>42158</v>
      </c>
      <c r="D885">
        <v>13.25</v>
      </c>
    </row>
    <row r="886" spans="1:4" x14ac:dyDescent="0.25">
      <c r="A886" s="5">
        <f t="shared" si="35"/>
        <v>6</v>
      </c>
      <c r="B886" s="5">
        <f t="shared" si="36"/>
        <v>2015</v>
      </c>
      <c r="C886" s="9">
        <v>42159</v>
      </c>
      <c r="D886">
        <v>13.75</v>
      </c>
    </row>
    <row r="887" spans="1:4" x14ac:dyDescent="0.25">
      <c r="A887" s="5">
        <f t="shared" si="35"/>
        <v>6</v>
      </c>
      <c r="B887" s="5">
        <f t="shared" si="36"/>
        <v>2015</v>
      </c>
      <c r="C887" s="9">
        <v>42160</v>
      </c>
      <c r="D887">
        <v>13.75</v>
      </c>
    </row>
    <row r="888" spans="1:4" x14ac:dyDescent="0.25">
      <c r="A888" s="5">
        <f t="shared" si="35"/>
        <v>6</v>
      </c>
      <c r="B888" s="5">
        <f t="shared" si="36"/>
        <v>2015</v>
      </c>
      <c r="C888" s="9">
        <v>42161</v>
      </c>
      <c r="D888">
        <v>13.75</v>
      </c>
    </row>
    <row r="889" spans="1:4" x14ac:dyDescent="0.25">
      <c r="A889" s="5">
        <f t="shared" si="35"/>
        <v>6</v>
      </c>
      <c r="B889" s="5">
        <f t="shared" si="36"/>
        <v>2015</v>
      </c>
      <c r="C889" s="9">
        <v>42162</v>
      </c>
      <c r="D889">
        <v>13.75</v>
      </c>
    </row>
    <row r="890" spans="1:4" x14ac:dyDescent="0.25">
      <c r="A890" s="5">
        <f t="shared" si="35"/>
        <v>6</v>
      </c>
      <c r="B890" s="5">
        <f t="shared" si="36"/>
        <v>2015</v>
      </c>
      <c r="C890" s="9">
        <v>42163</v>
      </c>
      <c r="D890">
        <v>13.75</v>
      </c>
    </row>
    <row r="891" spans="1:4" x14ac:dyDescent="0.25">
      <c r="A891" s="5">
        <f t="shared" si="35"/>
        <v>6</v>
      </c>
      <c r="B891" s="5">
        <f t="shared" si="36"/>
        <v>2015</v>
      </c>
      <c r="C891" s="9">
        <v>42164</v>
      </c>
      <c r="D891">
        <v>13.75</v>
      </c>
    </row>
    <row r="892" spans="1:4" x14ac:dyDescent="0.25">
      <c r="A892" s="5">
        <f t="shared" si="35"/>
        <v>6</v>
      </c>
      <c r="B892" s="5">
        <f t="shared" si="36"/>
        <v>2015</v>
      </c>
      <c r="C892" s="9">
        <v>42165</v>
      </c>
      <c r="D892">
        <v>13.75</v>
      </c>
    </row>
    <row r="893" spans="1:4" x14ac:dyDescent="0.25">
      <c r="A893" s="5">
        <f t="shared" si="35"/>
        <v>6</v>
      </c>
      <c r="B893" s="5">
        <f t="shared" si="36"/>
        <v>2015</v>
      </c>
      <c r="C893" s="9">
        <v>42166</v>
      </c>
      <c r="D893">
        <v>13.75</v>
      </c>
    </row>
    <row r="894" spans="1:4" x14ac:dyDescent="0.25">
      <c r="A894" s="5">
        <f t="shared" si="35"/>
        <v>6</v>
      </c>
      <c r="B894" s="5">
        <f t="shared" si="36"/>
        <v>2015</v>
      </c>
      <c r="C894" s="9">
        <v>42167</v>
      </c>
      <c r="D894">
        <v>13.75</v>
      </c>
    </row>
    <row r="895" spans="1:4" x14ac:dyDescent="0.25">
      <c r="A895" s="5">
        <f t="shared" si="35"/>
        <v>6</v>
      </c>
      <c r="B895" s="5">
        <f t="shared" si="36"/>
        <v>2015</v>
      </c>
      <c r="C895" s="9">
        <v>42168</v>
      </c>
      <c r="D895">
        <v>13.75</v>
      </c>
    </row>
    <row r="896" spans="1:4" x14ac:dyDescent="0.25">
      <c r="A896" s="5">
        <f t="shared" si="35"/>
        <v>6</v>
      </c>
      <c r="B896" s="5">
        <f t="shared" si="36"/>
        <v>2015</v>
      </c>
      <c r="C896" s="9">
        <v>42169</v>
      </c>
      <c r="D896">
        <v>13.75</v>
      </c>
    </row>
    <row r="897" spans="1:4" x14ac:dyDescent="0.25">
      <c r="A897" s="5">
        <f t="shared" si="35"/>
        <v>6</v>
      </c>
      <c r="B897" s="5">
        <f t="shared" si="36"/>
        <v>2015</v>
      </c>
      <c r="C897" s="9">
        <v>42170</v>
      </c>
      <c r="D897">
        <v>13.75</v>
      </c>
    </row>
    <row r="898" spans="1:4" x14ac:dyDescent="0.25">
      <c r="A898" s="5">
        <f t="shared" si="35"/>
        <v>6</v>
      </c>
      <c r="B898" s="5">
        <f t="shared" si="36"/>
        <v>2015</v>
      </c>
      <c r="C898" s="9">
        <v>42171</v>
      </c>
      <c r="D898">
        <v>13.75</v>
      </c>
    </row>
    <row r="899" spans="1:4" x14ac:dyDescent="0.25">
      <c r="A899" s="5">
        <f t="shared" ref="A899:A962" si="37">MONTH(C899)</f>
        <v>6</v>
      </c>
      <c r="B899" s="5">
        <f t="shared" ref="B899:B962" si="38">YEAR(C899)</f>
        <v>2015</v>
      </c>
      <c r="C899" s="9">
        <v>42172</v>
      </c>
      <c r="D899">
        <v>13.75</v>
      </c>
    </row>
    <row r="900" spans="1:4" x14ac:dyDescent="0.25">
      <c r="A900" s="5">
        <f t="shared" si="37"/>
        <v>6</v>
      </c>
      <c r="B900" s="5">
        <f t="shared" si="38"/>
        <v>2015</v>
      </c>
      <c r="C900" s="9">
        <v>42173</v>
      </c>
      <c r="D900">
        <v>13.75</v>
      </c>
    </row>
    <row r="901" spans="1:4" x14ac:dyDescent="0.25">
      <c r="A901" s="5">
        <f t="shared" si="37"/>
        <v>6</v>
      </c>
      <c r="B901" s="5">
        <f t="shared" si="38"/>
        <v>2015</v>
      </c>
      <c r="C901" s="9">
        <v>42174</v>
      </c>
      <c r="D901">
        <v>13.75</v>
      </c>
    </row>
    <row r="902" spans="1:4" x14ac:dyDescent="0.25">
      <c r="A902" s="5">
        <f t="shared" si="37"/>
        <v>6</v>
      </c>
      <c r="B902" s="5">
        <f t="shared" si="38"/>
        <v>2015</v>
      </c>
      <c r="C902" s="9">
        <v>42175</v>
      </c>
      <c r="D902">
        <v>13.75</v>
      </c>
    </row>
    <row r="903" spans="1:4" x14ac:dyDescent="0.25">
      <c r="A903" s="5">
        <f t="shared" si="37"/>
        <v>6</v>
      </c>
      <c r="B903" s="5">
        <f t="shared" si="38"/>
        <v>2015</v>
      </c>
      <c r="C903" s="9">
        <v>42176</v>
      </c>
      <c r="D903">
        <v>13.75</v>
      </c>
    </row>
    <row r="904" spans="1:4" x14ac:dyDescent="0.25">
      <c r="A904" s="5">
        <f t="shared" si="37"/>
        <v>6</v>
      </c>
      <c r="B904" s="5">
        <f t="shared" si="38"/>
        <v>2015</v>
      </c>
      <c r="C904" s="9">
        <v>42177</v>
      </c>
      <c r="D904">
        <v>13.75</v>
      </c>
    </row>
    <row r="905" spans="1:4" x14ac:dyDescent="0.25">
      <c r="A905" s="5">
        <f t="shared" si="37"/>
        <v>6</v>
      </c>
      <c r="B905" s="5">
        <f t="shared" si="38"/>
        <v>2015</v>
      </c>
      <c r="C905" s="9">
        <v>42178</v>
      </c>
      <c r="D905">
        <v>13.75</v>
      </c>
    </row>
    <row r="906" spans="1:4" x14ac:dyDescent="0.25">
      <c r="A906" s="5">
        <f t="shared" si="37"/>
        <v>6</v>
      </c>
      <c r="B906" s="5">
        <f t="shared" si="38"/>
        <v>2015</v>
      </c>
      <c r="C906" s="9">
        <v>42179</v>
      </c>
      <c r="D906">
        <v>13.75</v>
      </c>
    </row>
    <row r="907" spans="1:4" x14ac:dyDescent="0.25">
      <c r="A907" s="5">
        <f t="shared" si="37"/>
        <v>6</v>
      </c>
      <c r="B907" s="5">
        <f t="shared" si="38"/>
        <v>2015</v>
      </c>
      <c r="C907" s="9">
        <v>42180</v>
      </c>
      <c r="D907">
        <v>13.75</v>
      </c>
    </row>
    <row r="908" spans="1:4" x14ac:dyDescent="0.25">
      <c r="A908" s="5">
        <f t="shared" si="37"/>
        <v>6</v>
      </c>
      <c r="B908" s="5">
        <f t="shared" si="38"/>
        <v>2015</v>
      </c>
      <c r="C908" s="9">
        <v>42181</v>
      </c>
      <c r="D908">
        <v>13.75</v>
      </c>
    </row>
    <row r="909" spans="1:4" x14ac:dyDescent="0.25">
      <c r="A909" s="5">
        <f t="shared" si="37"/>
        <v>6</v>
      </c>
      <c r="B909" s="5">
        <f t="shared" si="38"/>
        <v>2015</v>
      </c>
      <c r="C909" s="9">
        <v>42182</v>
      </c>
      <c r="D909">
        <v>13.75</v>
      </c>
    </row>
    <row r="910" spans="1:4" x14ac:dyDescent="0.25">
      <c r="A910" s="5">
        <f t="shared" si="37"/>
        <v>6</v>
      </c>
      <c r="B910" s="5">
        <f t="shared" si="38"/>
        <v>2015</v>
      </c>
      <c r="C910" s="9">
        <v>42183</v>
      </c>
      <c r="D910">
        <v>13.75</v>
      </c>
    </row>
    <row r="911" spans="1:4" x14ac:dyDescent="0.25">
      <c r="A911" s="5">
        <f t="shared" si="37"/>
        <v>6</v>
      </c>
      <c r="B911" s="5">
        <f t="shared" si="38"/>
        <v>2015</v>
      </c>
      <c r="C911" s="9">
        <v>42184</v>
      </c>
      <c r="D911">
        <v>13.75</v>
      </c>
    </row>
    <row r="912" spans="1:4" x14ac:dyDescent="0.25">
      <c r="A912" s="5">
        <f t="shared" si="37"/>
        <v>6</v>
      </c>
      <c r="B912" s="5">
        <f t="shared" si="38"/>
        <v>2015</v>
      </c>
      <c r="C912" s="9">
        <v>42185</v>
      </c>
      <c r="D912">
        <v>13.75</v>
      </c>
    </row>
    <row r="913" spans="1:4" x14ac:dyDescent="0.25">
      <c r="A913" s="5">
        <f t="shared" si="37"/>
        <v>7</v>
      </c>
      <c r="B913" s="5">
        <f t="shared" si="38"/>
        <v>2015</v>
      </c>
      <c r="C913" s="9">
        <v>42186</v>
      </c>
      <c r="D913">
        <v>13.75</v>
      </c>
    </row>
    <row r="914" spans="1:4" x14ac:dyDescent="0.25">
      <c r="A914" s="5">
        <f t="shared" si="37"/>
        <v>7</v>
      </c>
      <c r="B914" s="5">
        <f t="shared" si="38"/>
        <v>2015</v>
      </c>
      <c r="C914" s="9">
        <v>42187</v>
      </c>
      <c r="D914">
        <v>13.75</v>
      </c>
    </row>
    <row r="915" spans="1:4" x14ac:dyDescent="0.25">
      <c r="A915" s="5">
        <f t="shared" si="37"/>
        <v>7</v>
      </c>
      <c r="B915" s="5">
        <f t="shared" si="38"/>
        <v>2015</v>
      </c>
      <c r="C915" s="9">
        <v>42188</v>
      </c>
      <c r="D915">
        <v>13.75</v>
      </c>
    </row>
    <row r="916" spans="1:4" x14ac:dyDescent="0.25">
      <c r="A916" s="5">
        <f t="shared" si="37"/>
        <v>7</v>
      </c>
      <c r="B916" s="5">
        <f t="shared" si="38"/>
        <v>2015</v>
      </c>
      <c r="C916" s="9">
        <v>42189</v>
      </c>
      <c r="D916">
        <v>13.75</v>
      </c>
    </row>
    <row r="917" spans="1:4" x14ac:dyDescent="0.25">
      <c r="A917" s="5">
        <f t="shared" si="37"/>
        <v>7</v>
      </c>
      <c r="B917" s="5">
        <f t="shared" si="38"/>
        <v>2015</v>
      </c>
      <c r="C917" s="9">
        <v>42190</v>
      </c>
      <c r="D917">
        <v>13.75</v>
      </c>
    </row>
    <row r="918" spans="1:4" x14ac:dyDescent="0.25">
      <c r="A918" s="5">
        <f t="shared" si="37"/>
        <v>7</v>
      </c>
      <c r="B918" s="5">
        <f t="shared" si="38"/>
        <v>2015</v>
      </c>
      <c r="C918" s="9">
        <v>42191</v>
      </c>
      <c r="D918">
        <v>13.75</v>
      </c>
    </row>
    <row r="919" spans="1:4" x14ac:dyDescent="0.25">
      <c r="A919" s="5">
        <f t="shared" si="37"/>
        <v>7</v>
      </c>
      <c r="B919" s="5">
        <f t="shared" si="38"/>
        <v>2015</v>
      </c>
      <c r="C919" s="9">
        <v>42192</v>
      </c>
      <c r="D919">
        <v>13.75</v>
      </c>
    </row>
    <row r="920" spans="1:4" x14ac:dyDescent="0.25">
      <c r="A920" s="5">
        <f t="shared" si="37"/>
        <v>7</v>
      </c>
      <c r="B920" s="5">
        <f t="shared" si="38"/>
        <v>2015</v>
      </c>
      <c r="C920" s="9">
        <v>42193</v>
      </c>
      <c r="D920">
        <v>13.75</v>
      </c>
    </row>
    <row r="921" spans="1:4" x14ac:dyDescent="0.25">
      <c r="A921" s="5">
        <f t="shared" si="37"/>
        <v>7</v>
      </c>
      <c r="B921" s="5">
        <f t="shared" si="38"/>
        <v>2015</v>
      </c>
      <c r="C921" s="9">
        <v>42194</v>
      </c>
      <c r="D921">
        <v>13.75</v>
      </c>
    </row>
    <row r="922" spans="1:4" x14ac:dyDescent="0.25">
      <c r="A922" s="5">
        <f t="shared" si="37"/>
        <v>7</v>
      </c>
      <c r="B922" s="5">
        <f t="shared" si="38"/>
        <v>2015</v>
      </c>
      <c r="C922" s="9">
        <v>42195</v>
      </c>
      <c r="D922">
        <v>13.75</v>
      </c>
    </row>
    <row r="923" spans="1:4" x14ac:dyDescent="0.25">
      <c r="A923" s="5">
        <f t="shared" si="37"/>
        <v>7</v>
      </c>
      <c r="B923" s="5">
        <f t="shared" si="38"/>
        <v>2015</v>
      </c>
      <c r="C923" s="9">
        <v>42196</v>
      </c>
      <c r="D923">
        <v>13.75</v>
      </c>
    </row>
    <row r="924" spans="1:4" x14ac:dyDescent="0.25">
      <c r="A924" s="5">
        <f t="shared" si="37"/>
        <v>7</v>
      </c>
      <c r="B924" s="5">
        <f t="shared" si="38"/>
        <v>2015</v>
      </c>
      <c r="C924" s="9">
        <v>42197</v>
      </c>
      <c r="D924">
        <v>13.75</v>
      </c>
    </row>
    <row r="925" spans="1:4" x14ac:dyDescent="0.25">
      <c r="A925" s="5">
        <f t="shared" si="37"/>
        <v>7</v>
      </c>
      <c r="B925" s="5">
        <f t="shared" si="38"/>
        <v>2015</v>
      </c>
      <c r="C925" s="9">
        <v>42198</v>
      </c>
      <c r="D925">
        <v>13.75</v>
      </c>
    </row>
    <row r="926" spans="1:4" x14ac:dyDescent="0.25">
      <c r="A926" s="5">
        <f t="shared" si="37"/>
        <v>7</v>
      </c>
      <c r="B926" s="5">
        <f t="shared" si="38"/>
        <v>2015</v>
      </c>
      <c r="C926" s="9">
        <v>42199</v>
      </c>
      <c r="D926">
        <v>13.75</v>
      </c>
    </row>
    <row r="927" spans="1:4" x14ac:dyDescent="0.25">
      <c r="A927" s="5">
        <f t="shared" si="37"/>
        <v>7</v>
      </c>
      <c r="B927" s="5">
        <f t="shared" si="38"/>
        <v>2015</v>
      </c>
      <c r="C927" s="9">
        <v>42200</v>
      </c>
      <c r="D927">
        <v>13.75</v>
      </c>
    </row>
    <row r="928" spans="1:4" x14ac:dyDescent="0.25">
      <c r="A928" s="5">
        <f t="shared" si="37"/>
        <v>7</v>
      </c>
      <c r="B928" s="5">
        <f t="shared" si="38"/>
        <v>2015</v>
      </c>
      <c r="C928" s="9">
        <v>42201</v>
      </c>
      <c r="D928">
        <v>13.75</v>
      </c>
    </row>
    <row r="929" spans="1:4" x14ac:dyDescent="0.25">
      <c r="A929" s="5">
        <f t="shared" si="37"/>
        <v>7</v>
      </c>
      <c r="B929" s="5">
        <f t="shared" si="38"/>
        <v>2015</v>
      </c>
      <c r="C929" s="9">
        <v>42202</v>
      </c>
      <c r="D929">
        <v>13.75</v>
      </c>
    </row>
    <row r="930" spans="1:4" x14ac:dyDescent="0.25">
      <c r="A930" s="5">
        <f t="shared" si="37"/>
        <v>7</v>
      </c>
      <c r="B930" s="5">
        <f t="shared" si="38"/>
        <v>2015</v>
      </c>
      <c r="C930" s="9">
        <v>42203</v>
      </c>
      <c r="D930">
        <v>13.75</v>
      </c>
    </row>
    <row r="931" spans="1:4" x14ac:dyDescent="0.25">
      <c r="A931" s="5">
        <f t="shared" si="37"/>
        <v>7</v>
      </c>
      <c r="B931" s="5">
        <f t="shared" si="38"/>
        <v>2015</v>
      </c>
      <c r="C931" s="9">
        <v>42204</v>
      </c>
      <c r="D931">
        <v>13.75</v>
      </c>
    </row>
    <row r="932" spans="1:4" x14ac:dyDescent="0.25">
      <c r="A932" s="5">
        <f t="shared" si="37"/>
        <v>7</v>
      </c>
      <c r="B932" s="5">
        <f t="shared" si="38"/>
        <v>2015</v>
      </c>
      <c r="C932" s="9">
        <v>42205</v>
      </c>
      <c r="D932">
        <v>13.75</v>
      </c>
    </row>
    <row r="933" spans="1:4" x14ac:dyDescent="0.25">
      <c r="A933" s="5">
        <f t="shared" si="37"/>
        <v>7</v>
      </c>
      <c r="B933" s="5">
        <f t="shared" si="38"/>
        <v>2015</v>
      </c>
      <c r="C933" s="9">
        <v>42206</v>
      </c>
      <c r="D933">
        <v>13.75</v>
      </c>
    </row>
    <row r="934" spans="1:4" x14ac:dyDescent="0.25">
      <c r="A934" s="5">
        <f t="shared" si="37"/>
        <v>7</v>
      </c>
      <c r="B934" s="5">
        <f t="shared" si="38"/>
        <v>2015</v>
      </c>
      <c r="C934" s="9">
        <v>42207</v>
      </c>
      <c r="D934">
        <v>13.75</v>
      </c>
    </row>
    <row r="935" spans="1:4" x14ac:dyDescent="0.25">
      <c r="A935" s="5">
        <f t="shared" si="37"/>
        <v>7</v>
      </c>
      <c r="B935" s="5">
        <f t="shared" si="38"/>
        <v>2015</v>
      </c>
      <c r="C935" s="9">
        <v>42208</v>
      </c>
      <c r="D935">
        <v>13.75</v>
      </c>
    </row>
    <row r="936" spans="1:4" x14ac:dyDescent="0.25">
      <c r="A936" s="5">
        <f t="shared" si="37"/>
        <v>7</v>
      </c>
      <c r="B936" s="5">
        <f t="shared" si="38"/>
        <v>2015</v>
      </c>
      <c r="C936" s="9">
        <v>42209</v>
      </c>
      <c r="D936">
        <v>13.75</v>
      </c>
    </row>
    <row r="937" spans="1:4" x14ac:dyDescent="0.25">
      <c r="A937" s="5">
        <f t="shared" si="37"/>
        <v>7</v>
      </c>
      <c r="B937" s="5">
        <f t="shared" si="38"/>
        <v>2015</v>
      </c>
      <c r="C937" s="9">
        <v>42210</v>
      </c>
      <c r="D937">
        <v>13.75</v>
      </c>
    </row>
    <row r="938" spans="1:4" x14ac:dyDescent="0.25">
      <c r="A938" s="5">
        <f t="shared" si="37"/>
        <v>7</v>
      </c>
      <c r="B938" s="5">
        <f t="shared" si="38"/>
        <v>2015</v>
      </c>
      <c r="C938" s="9">
        <v>42211</v>
      </c>
      <c r="D938">
        <v>13.75</v>
      </c>
    </row>
    <row r="939" spans="1:4" x14ac:dyDescent="0.25">
      <c r="A939" s="5">
        <f t="shared" si="37"/>
        <v>7</v>
      </c>
      <c r="B939" s="5">
        <f t="shared" si="38"/>
        <v>2015</v>
      </c>
      <c r="C939" s="9">
        <v>42212</v>
      </c>
      <c r="D939">
        <v>13.75</v>
      </c>
    </row>
    <row r="940" spans="1:4" x14ac:dyDescent="0.25">
      <c r="A940" s="5">
        <f t="shared" si="37"/>
        <v>7</v>
      </c>
      <c r="B940" s="5">
        <f t="shared" si="38"/>
        <v>2015</v>
      </c>
      <c r="C940" s="9">
        <v>42213</v>
      </c>
      <c r="D940">
        <v>13.75</v>
      </c>
    </row>
    <row r="941" spans="1:4" x14ac:dyDescent="0.25">
      <c r="A941" s="5">
        <f t="shared" si="37"/>
        <v>7</v>
      </c>
      <c r="B941" s="5">
        <f t="shared" si="38"/>
        <v>2015</v>
      </c>
      <c r="C941" s="9">
        <v>42214</v>
      </c>
      <c r="D941">
        <v>13.75</v>
      </c>
    </row>
    <row r="942" spans="1:4" x14ac:dyDescent="0.25">
      <c r="A942" s="5">
        <f t="shared" si="37"/>
        <v>7</v>
      </c>
      <c r="B942" s="5">
        <f t="shared" si="38"/>
        <v>2015</v>
      </c>
      <c r="C942" s="9">
        <v>42215</v>
      </c>
      <c r="D942">
        <v>14.25</v>
      </c>
    </row>
    <row r="943" spans="1:4" x14ac:dyDescent="0.25">
      <c r="A943" s="5">
        <f t="shared" si="37"/>
        <v>7</v>
      </c>
      <c r="B943" s="5">
        <f t="shared" si="38"/>
        <v>2015</v>
      </c>
      <c r="C943" s="9">
        <v>42216</v>
      </c>
      <c r="D943">
        <v>14.25</v>
      </c>
    </row>
    <row r="944" spans="1:4" x14ac:dyDescent="0.25">
      <c r="A944" s="5">
        <f t="shared" si="37"/>
        <v>8</v>
      </c>
      <c r="B944" s="5">
        <f t="shared" si="38"/>
        <v>2015</v>
      </c>
      <c r="C944" s="9">
        <v>42217</v>
      </c>
      <c r="D944">
        <v>14.25</v>
      </c>
    </row>
    <row r="945" spans="1:4" x14ac:dyDescent="0.25">
      <c r="A945" s="5">
        <f t="shared" si="37"/>
        <v>8</v>
      </c>
      <c r="B945" s="5">
        <f t="shared" si="38"/>
        <v>2015</v>
      </c>
      <c r="C945" s="9">
        <v>42218</v>
      </c>
      <c r="D945">
        <v>14.25</v>
      </c>
    </row>
    <row r="946" spans="1:4" x14ac:dyDescent="0.25">
      <c r="A946" s="5">
        <f t="shared" si="37"/>
        <v>8</v>
      </c>
      <c r="B946" s="5">
        <f t="shared" si="38"/>
        <v>2015</v>
      </c>
      <c r="C946" s="9">
        <v>42219</v>
      </c>
      <c r="D946">
        <v>14.25</v>
      </c>
    </row>
    <row r="947" spans="1:4" x14ac:dyDescent="0.25">
      <c r="A947" s="5">
        <f t="shared" si="37"/>
        <v>8</v>
      </c>
      <c r="B947" s="5">
        <f t="shared" si="38"/>
        <v>2015</v>
      </c>
      <c r="C947" s="9">
        <v>42220</v>
      </c>
      <c r="D947">
        <v>14.25</v>
      </c>
    </row>
    <row r="948" spans="1:4" x14ac:dyDescent="0.25">
      <c r="A948" s="5">
        <f t="shared" si="37"/>
        <v>8</v>
      </c>
      <c r="B948" s="5">
        <f t="shared" si="38"/>
        <v>2015</v>
      </c>
      <c r="C948" s="9">
        <v>42221</v>
      </c>
      <c r="D948">
        <v>14.25</v>
      </c>
    </row>
    <row r="949" spans="1:4" x14ac:dyDescent="0.25">
      <c r="A949" s="5">
        <f t="shared" si="37"/>
        <v>8</v>
      </c>
      <c r="B949" s="5">
        <f t="shared" si="38"/>
        <v>2015</v>
      </c>
      <c r="C949" s="9">
        <v>42222</v>
      </c>
      <c r="D949">
        <v>14.25</v>
      </c>
    </row>
    <row r="950" spans="1:4" x14ac:dyDescent="0.25">
      <c r="A950" s="5">
        <f t="shared" si="37"/>
        <v>8</v>
      </c>
      <c r="B950" s="5">
        <f t="shared" si="38"/>
        <v>2015</v>
      </c>
      <c r="C950" s="9">
        <v>42223</v>
      </c>
      <c r="D950">
        <v>14.25</v>
      </c>
    </row>
    <row r="951" spans="1:4" x14ac:dyDescent="0.25">
      <c r="A951" s="5">
        <f t="shared" si="37"/>
        <v>8</v>
      </c>
      <c r="B951" s="5">
        <f t="shared" si="38"/>
        <v>2015</v>
      </c>
      <c r="C951" s="9">
        <v>42224</v>
      </c>
      <c r="D951">
        <v>14.25</v>
      </c>
    </row>
    <row r="952" spans="1:4" x14ac:dyDescent="0.25">
      <c r="A952" s="5">
        <f t="shared" si="37"/>
        <v>8</v>
      </c>
      <c r="B952" s="5">
        <f t="shared" si="38"/>
        <v>2015</v>
      </c>
      <c r="C952" s="9">
        <v>42225</v>
      </c>
      <c r="D952">
        <v>14.25</v>
      </c>
    </row>
    <row r="953" spans="1:4" x14ac:dyDescent="0.25">
      <c r="A953" s="5">
        <f t="shared" si="37"/>
        <v>8</v>
      </c>
      <c r="B953" s="5">
        <f t="shared" si="38"/>
        <v>2015</v>
      </c>
      <c r="C953" s="9">
        <v>42226</v>
      </c>
      <c r="D953">
        <v>14.25</v>
      </c>
    </row>
    <row r="954" spans="1:4" x14ac:dyDescent="0.25">
      <c r="A954" s="5">
        <f t="shared" si="37"/>
        <v>8</v>
      </c>
      <c r="B954" s="5">
        <f t="shared" si="38"/>
        <v>2015</v>
      </c>
      <c r="C954" s="9">
        <v>42227</v>
      </c>
      <c r="D954">
        <v>14.25</v>
      </c>
    </row>
    <row r="955" spans="1:4" x14ac:dyDescent="0.25">
      <c r="A955" s="5">
        <f t="shared" si="37"/>
        <v>8</v>
      </c>
      <c r="B955" s="5">
        <f t="shared" si="38"/>
        <v>2015</v>
      </c>
      <c r="C955" s="9">
        <v>42228</v>
      </c>
      <c r="D955">
        <v>14.25</v>
      </c>
    </row>
    <row r="956" spans="1:4" x14ac:dyDescent="0.25">
      <c r="A956" s="5">
        <f t="shared" si="37"/>
        <v>8</v>
      </c>
      <c r="B956" s="5">
        <f t="shared" si="38"/>
        <v>2015</v>
      </c>
      <c r="C956" s="9">
        <v>42229</v>
      </c>
      <c r="D956">
        <v>14.25</v>
      </c>
    </row>
    <row r="957" spans="1:4" x14ac:dyDescent="0.25">
      <c r="A957" s="5">
        <f t="shared" si="37"/>
        <v>8</v>
      </c>
      <c r="B957" s="5">
        <f t="shared" si="38"/>
        <v>2015</v>
      </c>
      <c r="C957" s="9">
        <v>42230</v>
      </c>
      <c r="D957">
        <v>14.25</v>
      </c>
    </row>
    <row r="958" spans="1:4" x14ac:dyDescent="0.25">
      <c r="A958" s="5">
        <f t="shared" si="37"/>
        <v>8</v>
      </c>
      <c r="B958" s="5">
        <f t="shared" si="38"/>
        <v>2015</v>
      </c>
      <c r="C958" s="9">
        <v>42231</v>
      </c>
      <c r="D958">
        <v>14.25</v>
      </c>
    </row>
    <row r="959" spans="1:4" x14ac:dyDescent="0.25">
      <c r="A959" s="5">
        <f t="shared" si="37"/>
        <v>8</v>
      </c>
      <c r="B959" s="5">
        <f t="shared" si="38"/>
        <v>2015</v>
      </c>
      <c r="C959" s="9">
        <v>42232</v>
      </c>
      <c r="D959">
        <v>14.25</v>
      </c>
    </row>
    <row r="960" spans="1:4" x14ac:dyDescent="0.25">
      <c r="A960" s="5">
        <f t="shared" si="37"/>
        <v>8</v>
      </c>
      <c r="B960" s="5">
        <f t="shared" si="38"/>
        <v>2015</v>
      </c>
      <c r="C960" s="9">
        <v>42233</v>
      </c>
      <c r="D960">
        <v>14.25</v>
      </c>
    </row>
    <row r="961" spans="1:4" x14ac:dyDescent="0.25">
      <c r="A961" s="5">
        <f t="shared" si="37"/>
        <v>8</v>
      </c>
      <c r="B961" s="5">
        <f t="shared" si="38"/>
        <v>2015</v>
      </c>
      <c r="C961" s="9">
        <v>42234</v>
      </c>
      <c r="D961">
        <v>14.25</v>
      </c>
    </row>
    <row r="962" spans="1:4" x14ac:dyDescent="0.25">
      <c r="A962" s="5">
        <f t="shared" si="37"/>
        <v>8</v>
      </c>
      <c r="B962" s="5">
        <f t="shared" si="38"/>
        <v>2015</v>
      </c>
      <c r="C962" s="9">
        <v>42235</v>
      </c>
      <c r="D962">
        <v>14.25</v>
      </c>
    </row>
    <row r="963" spans="1:4" x14ac:dyDescent="0.25">
      <c r="A963" s="5">
        <f t="shared" ref="A963:A1026" si="39">MONTH(C963)</f>
        <v>8</v>
      </c>
      <c r="B963" s="5">
        <f t="shared" ref="B963:B1026" si="40">YEAR(C963)</f>
        <v>2015</v>
      </c>
      <c r="C963" s="9">
        <v>42236</v>
      </c>
      <c r="D963">
        <v>14.25</v>
      </c>
    </row>
    <row r="964" spans="1:4" x14ac:dyDescent="0.25">
      <c r="A964" s="5">
        <f t="shared" si="39"/>
        <v>8</v>
      </c>
      <c r="B964" s="5">
        <f t="shared" si="40"/>
        <v>2015</v>
      </c>
      <c r="C964" s="9">
        <v>42237</v>
      </c>
      <c r="D964">
        <v>14.25</v>
      </c>
    </row>
    <row r="965" spans="1:4" x14ac:dyDescent="0.25">
      <c r="A965" s="5">
        <f t="shared" si="39"/>
        <v>8</v>
      </c>
      <c r="B965" s="5">
        <f t="shared" si="40"/>
        <v>2015</v>
      </c>
      <c r="C965" s="9">
        <v>42238</v>
      </c>
      <c r="D965">
        <v>14.25</v>
      </c>
    </row>
    <row r="966" spans="1:4" x14ac:dyDescent="0.25">
      <c r="A966" s="5">
        <f t="shared" si="39"/>
        <v>8</v>
      </c>
      <c r="B966" s="5">
        <f t="shared" si="40"/>
        <v>2015</v>
      </c>
      <c r="C966" s="9">
        <v>42239</v>
      </c>
      <c r="D966">
        <v>14.25</v>
      </c>
    </row>
    <row r="967" spans="1:4" x14ac:dyDescent="0.25">
      <c r="A967" s="5">
        <f t="shared" si="39"/>
        <v>8</v>
      </c>
      <c r="B967" s="5">
        <f t="shared" si="40"/>
        <v>2015</v>
      </c>
      <c r="C967" s="9">
        <v>42240</v>
      </c>
      <c r="D967">
        <v>14.25</v>
      </c>
    </row>
    <row r="968" spans="1:4" x14ac:dyDescent="0.25">
      <c r="A968" s="5">
        <f t="shared" si="39"/>
        <v>8</v>
      </c>
      <c r="B968" s="5">
        <f t="shared" si="40"/>
        <v>2015</v>
      </c>
      <c r="C968" s="9">
        <v>42241</v>
      </c>
      <c r="D968">
        <v>14.25</v>
      </c>
    </row>
    <row r="969" spans="1:4" x14ac:dyDescent="0.25">
      <c r="A969" s="5">
        <f t="shared" si="39"/>
        <v>8</v>
      </c>
      <c r="B969" s="5">
        <f t="shared" si="40"/>
        <v>2015</v>
      </c>
      <c r="C969" s="9">
        <v>42242</v>
      </c>
      <c r="D969">
        <v>14.25</v>
      </c>
    </row>
    <row r="970" spans="1:4" x14ac:dyDescent="0.25">
      <c r="A970" s="5">
        <f t="shared" si="39"/>
        <v>8</v>
      </c>
      <c r="B970" s="5">
        <f t="shared" si="40"/>
        <v>2015</v>
      </c>
      <c r="C970" s="9">
        <v>42243</v>
      </c>
      <c r="D970">
        <v>14.25</v>
      </c>
    </row>
    <row r="971" spans="1:4" x14ac:dyDescent="0.25">
      <c r="A971" s="5">
        <f t="shared" si="39"/>
        <v>8</v>
      </c>
      <c r="B971" s="5">
        <f t="shared" si="40"/>
        <v>2015</v>
      </c>
      <c r="C971" s="9">
        <v>42244</v>
      </c>
      <c r="D971">
        <v>14.25</v>
      </c>
    </row>
    <row r="972" spans="1:4" x14ac:dyDescent="0.25">
      <c r="A972" s="5">
        <f t="shared" si="39"/>
        <v>8</v>
      </c>
      <c r="B972" s="5">
        <f t="shared" si="40"/>
        <v>2015</v>
      </c>
      <c r="C972" s="9">
        <v>42245</v>
      </c>
      <c r="D972">
        <v>14.25</v>
      </c>
    </row>
    <row r="973" spans="1:4" x14ac:dyDescent="0.25">
      <c r="A973" s="5">
        <f t="shared" si="39"/>
        <v>8</v>
      </c>
      <c r="B973" s="5">
        <f t="shared" si="40"/>
        <v>2015</v>
      </c>
      <c r="C973" s="9">
        <v>42246</v>
      </c>
      <c r="D973">
        <v>14.25</v>
      </c>
    </row>
    <row r="974" spans="1:4" x14ac:dyDescent="0.25">
      <c r="A974" s="5">
        <f t="shared" si="39"/>
        <v>8</v>
      </c>
      <c r="B974" s="5">
        <f t="shared" si="40"/>
        <v>2015</v>
      </c>
      <c r="C974" s="9">
        <v>42247</v>
      </c>
      <c r="D974">
        <v>14.25</v>
      </c>
    </row>
    <row r="975" spans="1:4" x14ac:dyDescent="0.25">
      <c r="A975" s="5">
        <f t="shared" si="39"/>
        <v>9</v>
      </c>
      <c r="B975" s="5">
        <f t="shared" si="40"/>
        <v>2015</v>
      </c>
      <c r="C975" s="9">
        <v>42248</v>
      </c>
      <c r="D975">
        <v>14.25</v>
      </c>
    </row>
    <row r="976" spans="1:4" x14ac:dyDescent="0.25">
      <c r="A976" s="5">
        <f t="shared" si="39"/>
        <v>9</v>
      </c>
      <c r="B976" s="5">
        <f t="shared" si="40"/>
        <v>2015</v>
      </c>
      <c r="C976" s="9">
        <v>42249</v>
      </c>
      <c r="D976">
        <v>14.25</v>
      </c>
    </row>
    <row r="977" spans="1:4" x14ac:dyDescent="0.25">
      <c r="A977" s="5">
        <f t="shared" si="39"/>
        <v>9</v>
      </c>
      <c r="B977" s="5">
        <f t="shared" si="40"/>
        <v>2015</v>
      </c>
      <c r="C977" s="9">
        <v>42250</v>
      </c>
      <c r="D977">
        <v>14.25</v>
      </c>
    </row>
    <row r="978" spans="1:4" x14ac:dyDescent="0.25">
      <c r="A978" s="5">
        <f t="shared" si="39"/>
        <v>9</v>
      </c>
      <c r="B978" s="5">
        <f t="shared" si="40"/>
        <v>2015</v>
      </c>
      <c r="C978" s="9">
        <v>42251</v>
      </c>
      <c r="D978">
        <v>14.25</v>
      </c>
    </row>
    <row r="979" spans="1:4" x14ac:dyDescent="0.25">
      <c r="A979" s="5">
        <f t="shared" si="39"/>
        <v>9</v>
      </c>
      <c r="B979" s="5">
        <f t="shared" si="40"/>
        <v>2015</v>
      </c>
      <c r="C979" s="9">
        <v>42252</v>
      </c>
      <c r="D979">
        <v>14.25</v>
      </c>
    </row>
    <row r="980" spans="1:4" x14ac:dyDescent="0.25">
      <c r="A980" s="5">
        <f t="shared" si="39"/>
        <v>9</v>
      </c>
      <c r="B980" s="5">
        <f t="shared" si="40"/>
        <v>2015</v>
      </c>
      <c r="C980" s="9">
        <v>42253</v>
      </c>
      <c r="D980">
        <v>14.25</v>
      </c>
    </row>
    <row r="981" spans="1:4" x14ac:dyDescent="0.25">
      <c r="A981" s="5">
        <f t="shared" si="39"/>
        <v>9</v>
      </c>
      <c r="B981" s="5">
        <f t="shared" si="40"/>
        <v>2015</v>
      </c>
      <c r="C981" s="9">
        <v>42254</v>
      </c>
      <c r="D981">
        <v>14.25</v>
      </c>
    </row>
    <row r="982" spans="1:4" x14ac:dyDescent="0.25">
      <c r="A982" s="5">
        <f t="shared" si="39"/>
        <v>9</v>
      </c>
      <c r="B982" s="5">
        <f t="shared" si="40"/>
        <v>2015</v>
      </c>
      <c r="C982" s="9">
        <v>42255</v>
      </c>
      <c r="D982">
        <v>14.25</v>
      </c>
    </row>
    <row r="983" spans="1:4" x14ac:dyDescent="0.25">
      <c r="A983" s="5">
        <f t="shared" si="39"/>
        <v>9</v>
      </c>
      <c r="B983" s="5">
        <f t="shared" si="40"/>
        <v>2015</v>
      </c>
      <c r="C983" s="9">
        <v>42256</v>
      </c>
      <c r="D983">
        <v>14.25</v>
      </c>
    </row>
    <row r="984" spans="1:4" x14ac:dyDescent="0.25">
      <c r="A984" s="5">
        <f t="shared" si="39"/>
        <v>9</v>
      </c>
      <c r="B984" s="5">
        <f t="shared" si="40"/>
        <v>2015</v>
      </c>
      <c r="C984" s="9">
        <v>42257</v>
      </c>
      <c r="D984">
        <v>14.25</v>
      </c>
    </row>
    <row r="985" spans="1:4" x14ac:dyDescent="0.25">
      <c r="A985" s="5">
        <f t="shared" si="39"/>
        <v>9</v>
      </c>
      <c r="B985" s="5">
        <f t="shared" si="40"/>
        <v>2015</v>
      </c>
      <c r="C985" s="9">
        <v>42258</v>
      </c>
      <c r="D985">
        <v>14.25</v>
      </c>
    </row>
    <row r="986" spans="1:4" x14ac:dyDescent="0.25">
      <c r="A986" s="5">
        <f t="shared" si="39"/>
        <v>9</v>
      </c>
      <c r="B986" s="5">
        <f t="shared" si="40"/>
        <v>2015</v>
      </c>
      <c r="C986" s="9">
        <v>42259</v>
      </c>
      <c r="D986">
        <v>14.25</v>
      </c>
    </row>
    <row r="987" spans="1:4" x14ac:dyDescent="0.25">
      <c r="A987" s="5">
        <f t="shared" si="39"/>
        <v>9</v>
      </c>
      <c r="B987" s="5">
        <f t="shared" si="40"/>
        <v>2015</v>
      </c>
      <c r="C987" s="9">
        <v>42260</v>
      </c>
      <c r="D987">
        <v>14.25</v>
      </c>
    </row>
    <row r="988" spans="1:4" x14ac:dyDescent="0.25">
      <c r="A988" s="5">
        <f t="shared" si="39"/>
        <v>9</v>
      </c>
      <c r="B988" s="5">
        <f t="shared" si="40"/>
        <v>2015</v>
      </c>
      <c r="C988" s="9">
        <v>42261</v>
      </c>
      <c r="D988">
        <v>14.25</v>
      </c>
    </row>
    <row r="989" spans="1:4" x14ac:dyDescent="0.25">
      <c r="A989" s="5">
        <f t="shared" si="39"/>
        <v>9</v>
      </c>
      <c r="B989" s="5">
        <f t="shared" si="40"/>
        <v>2015</v>
      </c>
      <c r="C989" s="9">
        <v>42262</v>
      </c>
      <c r="D989">
        <v>14.25</v>
      </c>
    </row>
    <row r="990" spans="1:4" x14ac:dyDescent="0.25">
      <c r="A990" s="5">
        <f t="shared" si="39"/>
        <v>9</v>
      </c>
      <c r="B990" s="5">
        <f t="shared" si="40"/>
        <v>2015</v>
      </c>
      <c r="C990" s="9">
        <v>42263</v>
      </c>
      <c r="D990">
        <v>14.25</v>
      </c>
    </row>
    <row r="991" spans="1:4" x14ac:dyDescent="0.25">
      <c r="A991" s="5">
        <f t="shared" si="39"/>
        <v>9</v>
      </c>
      <c r="B991" s="5">
        <f t="shared" si="40"/>
        <v>2015</v>
      </c>
      <c r="C991" s="9">
        <v>42264</v>
      </c>
      <c r="D991">
        <v>14.25</v>
      </c>
    </row>
    <row r="992" spans="1:4" x14ac:dyDescent="0.25">
      <c r="A992" s="5">
        <f t="shared" si="39"/>
        <v>9</v>
      </c>
      <c r="B992" s="5">
        <f t="shared" si="40"/>
        <v>2015</v>
      </c>
      <c r="C992" s="9">
        <v>42265</v>
      </c>
      <c r="D992">
        <v>14.25</v>
      </c>
    </row>
    <row r="993" spans="1:4" x14ac:dyDescent="0.25">
      <c r="A993" s="5">
        <f t="shared" si="39"/>
        <v>9</v>
      </c>
      <c r="B993" s="5">
        <f t="shared" si="40"/>
        <v>2015</v>
      </c>
      <c r="C993" s="9">
        <v>42266</v>
      </c>
      <c r="D993">
        <v>14.25</v>
      </c>
    </row>
    <row r="994" spans="1:4" x14ac:dyDescent="0.25">
      <c r="A994" s="5">
        <f t="shared" si="39"/>
        <v>9</v>
      </c>
      <c r="B994" s="5">
        <f t="shared" si="40"/>
        <v>2015</v>
      </c>
      <c r="C994" s="9">
        <v>42267</v>
      </c>
      <c r="D994">
        <v>14.25</v>
      </c>
    </row>
    <row r="995" spans="1:4" x14ac:dyDescent="0.25">
      <c r="A995" s="5">
        <f t="shared" si="39"/>
        <v>9</v>
      </c>
      <c r="B995" s="5">
        <f t="shared" si="40"/>
        <v>2015</v>
      </c>
      <c r="C995" s="9">
        <v>42268</v>
      </c>
      <c r="D995">
        <v>14.25</v>
      </c>
    </row>
    <row r="996" spans="1:4" x14ac:dyDescent="0.25">
      <c r="A996" s="5">
        <f t="shared" si="39"/>
        <v>9</v>
      </c>
      <c r="B996" s="5">
        <f t="shared" si="40"/>
        <v>2015</v>
      </c>
      <c r="C996" s="9">
        <v>42269</v>
      </c>
      <c r="D996">
        <v>14.25</v>
      </c>
    </row>
    <row r="997" spans="1:4" x14ac:dyDescent="0.25">
      <c r="A997" s="5">
        <f t="shared" si="39"/>
        <v>9</v>
      </c>
      <c r="B997" s="5">
        <f t="shared" si="40"/>
        <v>2015</v>
      </c>
      <c r="C997" s="9">
        <v>42270</v>
      </c>
      <c r="D997">
        <v>14.25</v>
      </c>
    </row>
    <row r="998" spans="1:4" x14ac:dyDescent="0.25">
      <c r="A998" s="5">
        <f t="shared" si="39"/>
        <v>9</v>
      </c>
      <c r="B998" s="5">
        <f t="shared" si="40"/>
        <v>2015</v>
      </c>
      <c r="C998" s="9">
        <v>42271</v>
      </c>
      <c r="D998">
        <v>14.25</v>
      </c>
    </row>
    <row r="999" spans="1:4" x14ac:dyDescent="0.25">
      <c r="A999" s="5">
        <f t="shared" si="39"/>
        <v>9</v>
      </c>
      <c r="B999" s="5">
        <f t="shared" si="40"/>
        <v>2015</v>
      </c>
      <c r="C999" s="9">
        <v>42272</v>
      </c>
      <c r="D999">
        <v>14.25</v>
      </c>
    </row>
    <row r="1000" spans="1:4" x14ac:dyDescent="0.25">
      <c r="A1000" s="5">
        <f t="shared" si="39"/>
        <v>9</v>
      </c>
      <c r="B1000" s="5">
        <f t="shared" si="40"/>
        <v>2015</v>
      </c>
      <c r="C1000" s="9">
        <v>42273</v>
      </c>
      <c r="D1000">
        <v>14.25</v>
      </c>
    </row>
    <row r="1001" spans="1:4" x14ac:dyDescent="0.25">
      <c r="A1001" s="5">
        <f t="shared" si="39"/>
        <v>9</v>
      </c>
      <c r="B1001" s="5">
        <f t="shared" si="40"/>
        <v>2015</v>
      </c>
      <c r="C1001" s="9">
        <v>42274</v>
      </c>
      <c r="D1001">
        <v>14.25</v>
      </c>
    </row>
    <row r="1002" spans="1:4" x14ac:dyDescent="0.25">
      <c r="A1002" s="5">
        <f t="shared" si="39"/>
        <v>9</v>
      </c>
      <c r="B1002" s="5">
        <f t="shared" si="40"/>
        <v>2015</v>
      </c>
      <c r="C1002" s="9">
        <v>42275</v>
      </c>
      <c r="D1002">
        <v>14.25</v>
      </c>
    </row>
    <row r="1003" spans="1:4" x14ac:dyDescent="0.25">
      <c r="A1003" s="5">
        <f t="shared" si="39"/>
        <v>9</v>
      </c>
      <c r="B1003" s="5">
        <f t="shared" si="40"/>
        <v>2015</v>
      </c>
      <c r="C1003" s="9">
        <v>42276</v>
      </c>
      <c r="D1003">
        <v>14.25</v>
      </c>
    </row>
    <row r="1004" spans="1:4" x14ac:dyDescent="0.25">
      <c r="A1004" s="5">
        <f t="shared" si="39"/>
        <v>9</v>
      </c>
      <c r="B1004" s="5">
        <f t="shared" si="40"/>
        <v>2015</v>
      </c>
      <c r="C1004" s="9">
        <v>42277</v>
      </c>
      <c r="D1004">
        <v>14.25</v>
      </c>
    </row>
    <row r="1005" spans="1:4" x14ac:dyDescent="0.25">
      <c r="A1005" s="5">
        <f t="shared" si="39"/>
        <v>10</v>
      </c>
      <c r="B1005" s="5">
        <f t="shared" si="40"/>
        <v>2015</v>
      </c>
      <c r="C1005" s="9">
        <v>42278</v>
      </c>
      <c r="D1005">
        <v>14.25</v>
      </c>
    </row>
    <row r="1006" spans="1:4" x14ac:dyDescent="0.25">
      <c r="A1006" s="5">
        <f t="shared" si="39"/>
        <v>10</v>
      </c>
      <c r="B1006" s="5">
        <f t="shared" si="40"/>
        <v>2015</v>
      </c>
      <c r="C1006" s="9">
        <v>42279</v>
      </c>
      <c r="D1006">
        <v>14.25</v>
      </c>
    </row>
    <row r="1007" spans="1:4" x14ac:dyDescent="0.25">
      <c r="A1007" s="5">
        <f t="shared" si="39"/>
        <v>10</v>
      </c>
      <c r="B1007" s="5">
        <f t="shared" si="40"/>
        <v>2015</v>
      </c>
      <c r="C1007" s="9">
        <v>42280</v>
      </c>
      <c r="D1007">
        <v>14.25</v>
      </c>
    </row>
    <row r="1008" spans="1:4" x14ac:dyDescent="0.25">
      <c r="A1008" s="5">
        <f t="shared" si="39"/>
        <v>10</v>
      </c>
      <c r="B1008" s="5">
        <f t="shared" si="40"/>
        <v>2015</v>
      </c>
      <c r="C1008" s="9">
        <v>42281</v>
      </c>
      <c r="D1008">
        <v>14.25</v>
      </c>
    </row>
    <row r="1009" spans="1:4" x14ac:dyDescent="0.25">
      <c r="A1009" s="5">
        <f t="shared" si="39"/>
        <v>10</v>
      </c>
      <c r="B1009" s="5">
        <f t="shared" si="40"/>
        <v>2015</v>
      </c>
      <c r="C1009" s="9">
        <v>42282</v>
      </c>
      <c r="D1009">
        <v>14.25</v>
      </c>
    </row>
    <row r="1010" spans="1:4" x14ac:dyDescent="0.25">
      <c r="A1010" s="5">
        <f t="shared" si="39"/>
        <v>10</v>
      </c>
      <c r="B1010" s="5">
        <f t="shared" si="40"/>
        <v>2015</v>
      </c>
      <c r="C1010" s="9">
        <v>42283</v>
      </c>
      <c r="D1010">
        <v>14.25</v>
      </c>
    </row>
    <row r="1011" spans="1:4" x14ac:dyDescent="0.25">
      <c r="A1011" s="5">
        <f t="shared" si="39"/>
        <v>10</v>
      </c>
      <c r="B1011" s="5">
        <f t="shared" si="40"/>
        <v>2015</v>
      </c>
      <c r="C1011" s="9">
        <v>42284</v>
      </c>
      <c r="D1011">
        <v>14.25</v>
      </c>
    </row>
    <row r="1012" spans="1:4" x14ac:dyDescent="0.25">
      <c r="A1012" s="5">
        <f t="shared" si="39"/>
        <v>10</v>
      </c>
      <c r="B1012" s="5">
        <f t="shared" si="40"/>
        <v>2015</v>
      </c>
      <c r="C1012" s="9">
        <v>42285</v>
      </c>
      <c r="D1012">
        <v>14.25</v>
      </c>
    </row>
    <row r="1013" spans="1:4" x14ac:dyDescent="0.25">
      <c r="A1013" s="5">
        <f t="shared" si="39"/>
        <v>10</v>
      </c>
      <c r="B1013" s="5">
        <f t="shared" si="40"/>
        <v>2015</v>
      </c>
      <c r="C1013" s="9">
        <v>42286</v>
      </c>
      <c r="D1013">
        <v>14.25</v>
      </c>
    </row>
    <row r="1014" spans="1:4" x14ac:dyDescent="0.25">
      <c r="A1014" s="5">
        <f t="shared" si="39"/>
        <v>10</v>
      </c>
      <c r="B1014" s="5">
        <f t="shared" si="40"/>
        <v>2015</v>
      </c>
      <c r="C1014" s="9">
        <v>42287</v>
      </c>
      <c r="D1014">
        <v>14.25</v>
      </c>
    </row>
    <row r="1015" spans="1:4" x14ac:dyDescent="0.25">
      <c r="A1015" s="5">
        <f t="shared" si="39"/>
        <v>10</v>
      </c>
      <c r="B1015" s="5">
        <f t="shared" si="40"/>
        <v>2015</v>
      </c>
      <c r="C1015" s="9">
        <v>42288</v>
      </c>
      <c r="D1015">
        <v>14.25</v>
      </c>
    </row>
    <row r="1016" spans="1:4" x14ac:dyDescent="0.25">
      <c r="A1016" s="5">
        <f t="shared" si="39"/>
        <v>10</v>
      </c>
      <c r="B1016" s="5">
        <f t="shared" si="40"/>
        <v>2015</v>
      </c>
      <c r="C1016" s="9">
        <v>42289</v>
      </c>
      <c r="D1016">
        <v>14.25</v>
      </c>
    </row>
    <row r="1017" spans="1:4" x14ac:dyDescent="0.25">
      <c r="A1017" s="5">
        <f t="shared" si="39"/>
        <v>10</v>
      </c>
      <c r="B1017" s="5">
        <f t="shared" si="40"/>
        <v>2015</v>
      </c>
      <c r="C1017" s="9">
        <v>42290</v>
      </c>
      <c r="D1017">
        <v>14.25</v>
      </c>
    </row>
    <row r="1018" spans="1:4" x14ac:dyDescent="0.25">
      <c r="A1018" s="5">
        <f t="shared" si="39"/>
        <v>10</v>
      </c>
      <c r="B1018" s="5">
        <f t="shared" si="40"/>
        <v>2015</v>
      </c>
      <c r="C1018" s="9">
        <v>42291</v>
      </c>
      <c r="D1018">
        <v>14.25</v>
      </c>
    </row>
    <row r="1019" spans="1:4" x14ac:dyDescent="0.25">
      <c r="A1019" s="5">
        <f t="shared" si="39"/>
        <v>10</v>
      </c>
      <c r="B1019" s="5">
        <f t="shared" si="40"/>
        <v>2015</v>
      </c>
      <c r="C1019" s="9">
        <v>42292</v>
      </c>
      <c r="D1019">
        <v>14.25</v>
      </c>
    </row>
    <row r="1020" spans="1:4" x14ac:dyDescent="0.25">
      <c r="A1020" s="5">
        <f t="shared" si="39"/>
        <v>10</v>
      </c>
      <c r="B1020" s="5">
        <f t="shared" si="40"/>
        <v>2015</v>
      </c>
      <c r="C1020" s="9">
        <v>42293</v>
      </c>
      <c r="D1020">
        <v>14.25</v>
      </c>
    </row>
    <row r="1021" spans="1:4" x14ac:dyDescent="0.25">
      <c r="A1021" s="5">
        <f t="shared" si="39"/>
        <v>10</v>
      </c>
      <c r="B1021" s="5">
        <f t="shared" si="40"/>
        <v>2015</v>
      </c>
      <c r="C1021" s="9">
        <v>42294</v>
      </c>
      <c r="D1021">
        <v>14.25</v>
      </c>
    </row>
    <row r="1022" spans="1:4" x14ac:dyDescent="0.25">
      <c r="A1022" s="5">
        <f t="shared" si="39"/>
        <v>10</v>
      </c>
      <c r="B1022" s="5">
        <f t="shared" si="40"/>
        <v>2015</v>
      </c>
      <c r="C1022" s="9">
        <v>42295</v>
      </c>
      <c r="D1022">
        <v>14.25</v>
      </c>
    </row>
    <row r="1023" spans="1:4" x14ac:dyDescent="0.25">
      <c r="A1023" s="5">
        <f t="shared" si="39"/>
        <v>10</v>
      </c>
      <c r="B1023" s="5">
        <f t="shared" si="40"/>
        <v>2015</v>
      </c>
      <c r="C1023" s="9">
        <v>42296</v>
      </c>
      <c r="D1023">
        <v>14.25</v>
      </c>
    </row>
    <row r="1024" spans="1:4" x14ac:dyDescent="0.25">
      <c r="A1024" s="5">
        <f t="shared" si="39"/>
        <v>10</v>
      </c>
      <c r="B1024" s="5">
        <f t="shared" si="40"/>
        <v>2015</v>
      </c>
      <c r="C1024" s="9">
        <v>42297</v>
      </c>
      <c r="D1024">
        <v>14.25</v>
      </c>
    </row>
    <row r="1025" spans="1:4" x14ac:dyDescent="0.25">
      <c r="A1025" s="5">
        <f t="shared" si="39"/>
        <v>10</v>
      </c>
      <c r="B1025" s="5">
        <f t="shared" si="40"/>
        <v>2015</v>
      </c>
      <c r="C1025" s="9">
        <v>42298</v>
      </c>
      <c r="D1025">
        <v>14.25</v>
      </c>
    </row>
    <row r="1026" spans="1:4" x14ac:dyDescent="0.25">
      <c r="A1026" s="5">
        <f t="shared" si="39"/>
        <v>10</v>
      </c>
      <c r="B1026" s="5">
        <f t="shared" si="40"/>
        <v>2015</v>
      </c>
      <c r="C1026" s="9">
        <v>42299</v>
      </c>
      <c r="D1026">
        <v>14.25</v>
      </c>
    </row>
    <row r="1027" spans="1:4" x14ac:dyDescent="0.25">
      <c r="A1027" s="5">
        <f t="shared" ref="A1027:A1090" si="41">MONTH(C1027)</f>
        <v>10</v>
      </c>
      <c r="B1027" s="5">
        <f t="shared" ref="B1027:B1090" si="42">YEAR(C1027)</f>
        <v>2015</v>
      </c>
      <c r="C1027" s="9">
        <v>42300</v>
      </c>
      <c r="D1027">
        <v>14.25</v>
      </c>
    </row>
    <row r="1028" spans="1:4" x14ac:dyDescent="0.25">
      <c r="A1028" s="5">
        <f t="shared" si="41"/>
        <v>10</v>
      </c>
      <c r="B1028" s="5">
        <f t="shared" si="42"/>
        <v>2015</v>
      </c>
      <c r="C1028" s="9">
        <v>42301</v>
      </c>
      <c r="D1028">
        <v>14.25</v>
      </c>
    </row>
    <row r="1029" spans="1:4" x14ac:dyDescent="0.25">
      <c r="A1029" s="5">
        <f t="shared" si="41"/>
        <v>10</v>
      </c>
      <c r="B1029" s="5">
        <f t="shared" si="42"/>
        <v>2015</v>
      </c>
      <c r="C1029" s="9">
        <v>42302</v>
      </c>
      <c r="D1029">
        <v>14.25</v>
      </c>
    </row>
    <row r="1030" spans="1:4" x14ac:dyDescent="0.25">
      <c r="A1030" s="5">
        <f t="shared" si="41"/>
        <v>10</v>
      </c>
      <c r="B1030" s="5">
        <f t="shared" si="42"/>
        <v>2015</v>
      </c>
      <c r="C1030" s="9">
        <v>42303</v>
      </c>
      <c r="D1030">
        <v>14.25</v>
      </c>
    </row>
    <row r="1031" spans="1:4" x14ac:dyDescent="0.25">
      <c r="A1031" s="5">
        <f t="shared" si="41"/>
        <v>10</v>
      </c>
      <c r="B1031" s="5">
        <f t="shared" si="42"/>
        <v>2015</v>
      </c>
      <c r="C1031" s="9">
        <v>42304</v>
      </c>
      <c r="D1031">
        <v>14.25</v>
      </c>
    </row>
    <row r="1032" spans="1:4" x14ac:dyDescent="0.25">
      <c r="A1032" s="5">
        <f t="shared" si="41"/>
        <v>10</v>
      </c>
      <c r="B1032" s="5">
        <f t="shared" si="42"/>
        <v>2015</v>
      </c>
      <c r="C1032" s="9">
        <v>42305</v>
      </c>
      <c r="D1032">
        <v>14.25</v>
      </c>
    </row>
    <row r="1033" spans="1:4" x14ac:dyDescent="0.25">
      <c r="A1033" s="5">
        <f t="shared" si="41"/>
        <v>10</v>
      </c>
      <c r="B1033" s="5">
        <f t="shared" si="42"/>
        <v>2015</v>
      </c>
      <c r="C1033" s="9">
        <v>42306</v>
      </c>
      <c r="D1033">
        <v>14.25</v>
      </c>
    </row>
    <row r="1034" spans="1:4" x14ac:dyDescent="0.25">
      <c r="A1034" s="5">
        <f t="shared" si="41"/>
        <v>10</v>
      </c>
      <c r="B1034" s="5">
        <f t="shared" si="42"/>
        <v>2015</v>
      </c>
      <c r="C1034" s="9">
        <v>42307</v>
      </c>
      <c r="D1034">
        <v>14.25</v>
      </c>
    </row>
    <row r="1035" spans="1:4" x14ac:dyDescent="0.25">
      <c r="A1035" s="5">
        <f t="shared" si="41"/>
        <v>10</v>
      </c>
      <c r="B1035" s="5">
        <f t="shared" si="42"/>
        <v>2015</v>
      </c>
      <c r="C1035" s="9">
        <v>42308</v>
      </c>
      <c r="D1035">
        <v>14.25</v>
      </c>
    </row>
    <row r="1036" spans="1:4" x14ac:dyDescent="0.25">
      <c r="A1036" s="5">
        <f t="shared" si="41"/>
        <v>11</v>
      </c>
      <c r="B1036" s="5">
        <f t="shared" si="42"/>
        <v>2015</v>
      </c>
      <c r="C1036" s="9">
        <v>42309</v>
      </c>
      <c r="D1036">
        <v>14.25</v>
      </c>
    </row>
    <row r="1037" spans="1:4" x14ac:dyDescent="0.25">
      <c r="A1037" s="5">
        <f t="shared" si="41"/>
        <v>11</v>
      </c>
      <c r="B1037" s="5">
        <f t="shared" si="42"/>
        <v>2015</v>
      </c>
      <c r="C1037" s="9">
        <v>42310</v>
      </c>
      <c r="D1037">
        <v>14.25</v>
      </c>
    </row>
    <row r="1038" spans="1:4" x14ac:dyDescent="0.25">
      <c r="A1038" s="5">
        <f t="shared" si="41"/>
        <v>11</v>
      </c>
      <c r="B1038" s="5">
        <f t="shared" si="42"/>
        <v>2015</v>
      </c>
      <c r="C1038" s="9">
        <v>42311</v>
      </c>
      <c r="D1038">
        <v>14.25</v>
      </c>
    </row>
    <row r="1039" spans="1:4" x14ac:dyDescent="0.25">
      <c r="A1039" s="5">
        <f t="shared" si="41"/>
        <v>11</v>
      </c>
      <c r="B1039" s="5">
        <f t="shared" si="42"/>
        <v>2015</v>
      </c>
      <c r="C1039" s="9">
        <v>42312</v>
      </c>
      <c r="D1039">
        <v>14.25</v>
      </c>
    </row>
    <row r="1040" spans="1:4" x14ac:dyDescent="0.25">
      <c r="A1040" s="5">
        <f t="shared" si="41"/>
        <v>11</v>
      </c>
      <c r="B1040" s="5">
        <f t="shared" si="42"/>
        <v>2015</v>
      </c>
      <c r="C1040" s="9">
        <v>42313</v>
      </c>
      <c r="D1040">
        <v>14.25</v>
      </c>
    </row>
    <row r="1041" spans="1:4" x14ac:dyDescent="0.25">
      <c r="A1041" s="5">
        <f t="shared" si="41"/>
        <v>11</v>
      </c>
      <c r="B1041" s="5">
        <f t="shared" si="42"/>
        <v>2015</v>
      </c>
      <c r="C1041" s="9">
        <v>42314</v>
      </c>
      <c r="D1041">
        <v>14.25</v>
      </c>
    </row>
    <row r="1042" spans="1:4" x14ac:dyDescent="0.25">
      <c r="A1042" s="5">
        <f t="shared" si="41"/>
        <v>11</v>
      </c>
      <c r="B1042" s="5">
        <f t="shared" si="42"/>
        <v>2015</v>
      </c>
      <c r="C1042" s="9">
        <v>42315</v>
      </c>
      <c r="D1042">
        <v>14.25</v>
      </c>
    </row>
    <row r="1043" spans="1:4" x14ac:dyDescent="0.25">
      <c r="A1043" s="5">
        <f t="shared" si="41"/>
        <v>11</v>
      </c>
      <c r="B1043" s="5">
        <f t="shared" si="42"/>
        <v>2015</v>
      </c>
      <c r="C1043" s="9">
        <v>42316</v>
      </c>
      <c r="D1043">
        <v>14.25</v>
      </c>
    </row>
    <row r="1044" spans="1:4" x14ac:dyDescent="0.25">
      <c r="A1044" s="5">
        <f t="shared" si="41"/>
        <v>11</v>
      </c>
      <c r="B1044" s="5">
        <f t="shared" si="42"/>
        <v>2015</v>
      </c>
      <c r="C1044" s="9">
        <v>42317</v>
      </c>
      <c r="D1044">
        <v>14.25</v>
      </c>
    </row>
    <row r="1045" spans="1:4" x14ac:dyDescent="0.25">
      <c r="A1045" s="5">
        <f t="shared" si="41"/>
        <v>11</v>
      </c>
      <c r="B1045" s="5">
        <f t="shared" si="42"/>
        <v>2015</v>
      </c>
      <c r="C1045" s="9">
        <v>42318</v>
      </c>
      <c r="D1045">
        <v>14.25</v>
      </c>
    </row>
    <row r="1046" spans="1:4" x14ac:dyDescent="0.25">
      <c r="A1046" s="5">
        <f t="shared" si="41"/>
        <v>11</v>
      </c>
      <c r="B1046" s="5">
        <f t="shared" si="42"/>
        <v>2015</v>
      </c>
      <c r="C1046" s="9">
        <v>42319</v>
      </c>
      <c r="D1046">
        <v>14.25</v>
      </c>
    </row>
    <row r="1047" spans="1:4" x14ac:dyDescent="0.25">
      <c r="A1047" s="5">
        <f t="shared" si="41"/>
        <v>11</v>
      </c>
      <c r="B1047" s="5">
        <f t="shared" si="42"/>
        <v>2015</v>
      </c>
      <c r="C1047" s="9">
        <v>42320</v>
      </c>
      <c r="D1047">
        <v>14.25</v>
      </c>
    </row>
    <row r="1048" spans="1:4" x14ac:dyDescent="0.25">
      <c r="A1048" s="5">
        <f t="shared" si="41"/>
        <v>11</v>
      </c>
      <c r="B1048" s="5">
        <f t="shared" si="42"/>
        <v>2015</v>
      </c>
      <c r="C1048" s="9">
        <v>42321</v>
      </c>
      <c r="D1048">
        <v>14.25</v>
      </c>
    </row>
    <row r="1049" spans="1:4" x14ac:dyDescent="0.25">
      <c r="A1049" s="5">
        <f t="shared" si="41"/>
        <v>11</v>
      </c>
      <c r="B1049" s="5">
        <f t="shared" si="42"/>
        <v>2015</v>
      </c>
      <c r="C1049" s="9">
        <v>42322</v>
      </c>
      <c r="D1049">
        <v>14.25</v>
      </c>
    </row>
    <row r="1050" spans="1:4" x14ac:dyDescent="0.25">
      <c r="A1050" s="5">
        <f t="shared" si="41"/>
        <v>11</v>
      </c>
      <c r="B1050" s="5">
        <f t="shared" si="42"/>
        <v>2015</v>
      </c>
      <c r="C1050" s="9">
        <v>42323</v>
      </c>
      <c r="D1050">
        <v>14.25</v>
      </c>
    </row>
    <row r="1051" spans="1:4" x14ac:dyDescent="0.25">
      <c r="A1051" s="5">
        <f t="shared" si="41"/>
        <v>11</v>
      </c>
      <c r="B1051" s="5">
        <f t="shared" si="42"/>
        <v>2015</v>
      </c>
      <c r="C1051" s="9">
        <v>42324</v>
      </c>
      <c r="D1051">
        <v>14.25</v>
      </c>
    </row>
    <row r="1052" spans="1:4" x14ac:dyDescent="0.25">
      <c r="A1052" s="5">
        <f t="shared" si="41"/>
        <v>11</v>
      </c>
      <c r="B1052" s="5">
        <f t="shared" si="42"/>
        <v>2015</v>
      </c>
      <c r="C1052" s="9">
        <v>42325</v>
      </c>
      <c r="D1052">
        <v>14.25</v>
      </c>
    </row>
    <row r="1053" spans="1:4" x14ac:dyDescent="0.25">
      <c r="A1053" s="5">
        <f t="shared" si="41"/>
        <v>11</v>
      </c>
      <c r="B1053" s="5">
        <f t="shared" si="42"/>
        <v>2015</v>
      </c>
      <c r="C1053" s="9">
        <v>42326</v>
      </c>
      <c r="D1053">
        <v>14.25</v>
      </c>
    </row>
    <row r="1054" spans="1:4" x14ac:dyDescent="0.25">
      <c r="A1054" s="5">
        <f t="shared" si="41"/>
        <v>11</v>
      </c>
      <c r="B1054" s="5">
        <f t="shared" si="42"/>
        <v>2015</v>
      </c>
      <c r="C1054" s="9">
        <v>42327</v>
      </c>
      <c r="D1054">
        <v>14.25</v>
      </c>
    </row>
    <row r="1055" spans="1:4" x14ac:dyDescent="0.25">
      <c r="A1055" s="5">
        <f t="shared" si="41"/>
        <v>11</v>
      </c>
      <c r="B1055" s="5">
        <f t="shared" si="42"/>
        <v>2015</v>
      </c>
      <c r="C1055" s="9">
        <v>42328</v>
      </c>
      <c r="D1055">
        <v>14.25</v>
      </c>
    </row>
    <row r="1056" spans="1:4" x14ac:dyDescent="0.25">
      <c r="A1056" s="5">
        <f t="shared" si="41"/>
        <v>11</v>
      </c>
      <c r="B1056" s="5">
        <f t="shared" si="42"/>
        <v>2015</v>
      </c>
      <c r="C1056" s="9">
        <v>42329</v>
      </c>
      <c r="D1056">
        <v>14.25</v>
      </c>
    </row>
    <row r="1057" spans="1:4" x14ac:dyDescent="0.25">
      <c r="A1057" s="5">
        <f t="shared" si="41"/>
        <v>11</v>
      </c>
      <c r="B1057" s="5">
        <f t="shared" si="42"/>
        <v>2015</v>
      </c>
      <c r="C1057" s="9">
        <v>42330</v>
      </c>
      <c r="D1057">
        <v>14.25</v>
      </c>
    </row>
    <row r="1058" spans="1:4" x14ac:dyDescent="0.25">
      <c r="A1058" s="5">
        <f t="shared" si="41"/>
        <v>11</v>
      </c>
      <c r="B1058" s="5">
        <f t="shared" si="42"/>
        <v>2015</v>
      </c>
      <c r="C1058" s="9">
        <v>42331</v>
      </c>
      <c r="D1058">
        <v>14.25</v>
      </c>
    </row>
    <row r="1059" spans="1:4" x14ac:dyDescent="0.25">
      <c r="A1059" s="5">
        <f t="shared" si="41"/>
        <v>11</v>
      </c>
      <c r="B1059" s="5">
        <f t="shared" si="42"/>
        <v>2015</v>
      </c>
      <c r="C1059" s="9">
        <v>42332</v>
      </c>
      <c r="D1059">
        <v>14.25</v>
      </c>
    </row>
    <row r="1060" spans="1:4" x14ac:dyDescent="0.25">
      <c r="A1060" s="5">
        <f t="shared" si="41"/>
        <v>11</v>
      </c>
      <c r="B1060" s="5">
        <f t="shared" si="42"/>
        <v>2015</v>
      </c>
      <c r="C1060" s="9">
        <v>42333</v>
      </c>
      <c r="D1060">
        <v>14.25</v>
      </c>
    </row>
    <row r="1061" spans="1:4" x14ac:dyDescent="0.25">
      <c r="A1061" s="5">
        <f t="shared" si="41"/>
        <v>11</v>
      </c>
      <c r="B1061" s="5">
        <f t="shared" si="42"/>
        <v>2015</v>
      </c>
      <c r="C1061" s="9">
        <v>42334</v>
      </c>
      <c r="D1061">
        <v>14.25</v>
      </c>
    </row>
    <row r="1062" spans="1:4" x14ac:dyDescent="0.25">
      <c r="A1062" s="5">
        <f t="shared" si="41"/>
        <v>11</v>
      </c>
      <c r="B1062" s="5">
        <f t="shared" si="42"/>
        <v>2015</v>
      </c>
      <c r="C1062" s="9">
        <v>42335</v>
      </c>
      <c r="D1062">
        <v>14.25</v>
      </c>
    </row>
    <row r="1063" spans="1:4" x14ac:dyDescent="0.25">
      <c r="A1063" s="5">
        <f t="shared" si="41"/>
        <v>11</v>
      </c>
      <c r="B1063" s="5">
        <f t="shared" si="42"/>
        <v>2015</v>
      </c>
      <c r="C1063" s="9">
        <v>42336</v>
      </c>
      <c r="D1063">
        <v>14.25</v>
      </c>
    </row>
    <row r="1064" spans="1:4" x14ac:dyDescent="0.25">
      <c r="A1064" s="5">
        <f t="shared" si="41"/>
        <v>11</v>
      </c>
      <c r="B1064" s="5">
        <f t="shared" si="42"/>
        <v>2015</v>
      </c>
      <c r="C1064" s="9">
        <v>42337</v>
      </c>
      <c r="D1064">
        <v>14.25</v>
      </c>
    </row>
    <row r="1065" spans="1:4" x14ac:dyDescent="0.25">
      <c r="A1065" s="5">
        <f t="shared" si="41"/>
        <v>11</v>
      </c>
      <c r="B1065" s="5">
        <f t="shared" si="42"/>
        <v>2015</v>
      </c>
      <c r="C1065" s="9">
        <v>42338</v>
      </c>
      <c r="D1065">
        <v>14.25</v>
      </c>
    </row>
    <row r="1066" spans="1:4" x14ac:dyDescent="0.25">
      <c r="A1066" s="5">
        <f t="shared" si="41"/>
        <v>12</v>
      </c>
      <c r="B1066" s="5">
        <f t="shared" si="42"/>
        <v>2015</v>
      </c>
      <c r="C1066" s="9">
        <v>42339</v>
      </c>
      <c r="D1066">
        <v>14.25</v>
      </c>
    </row>
    <row r="1067" spans="1:4" x14ac:dyDescent="0.25">
      <c r="A1067" s="5">
        <f t="shared" si="41"/>
        <v>12</v>
      </c>
      <c r="B1067" s="5">
        <f t="shared" si="42"/>
        <v>2015</v>
      </c>
      <c r="C1067" s="9">
        <v>42340</v>
      </c>
      <c r="D1067">
        <v>14.25</v>
      </c>
    </row>
    <row r="1068" spans="1:4" x14ac:dyDescent="0.25">
      <c r="A1068" s="5">
        <f t="shared" si="41"/>
        <v>12</v>
      </c>
      <c r="B1068" s="5">
        <f t="shared" si="42"/>
        <v>2015</v>
      </c>
      <c r="C1068" s="9">
        <v>42341</v>
      </c>
      <c r="D1068">
        <v>14.25</v>
      </c>
    </row>
    <row r="1069" spans="1:4" x14ac:dyDescent="0.25">
      <c r="A1069" s="5">
        <f t="shared" si="41"/>
        <v>12</v>
      </c>
      <c r="B1069" s="5">
        <f t="shared" si="42"/>
        <v>2015</v>
      </c>
      <c r="C1069" s="9">
        <v>42342</v>
      </c>
      <c r="D1069">
        <v>14.25</v>
      </c>
    </row>
    <row r="1070" spans="1:4" x14ac:dyDescent="0.25">
      <c r="A1070" s="5">
        <f t="shared" si="41"/>
        <v>12</v>
      </c>
      <c r="B1070" s="5">
        <f t="shared" si="42"/>
        <v>2015</v>
      </c>
      <c r="C1070" s="9">
        <v>42343</v>
      </c>
      <c r="D1070">
        <v>14.25</v>
      </c>
    </row>
    <row r="1071" spans="1:4" x14ac:dyDescent="0.25">
      <c r="A1071" s="5">
        <f t="shared" si="41"/>
        <v>12</v>
      </c>
      <c r="B1071" s="5">
        <f t="shared" si="42"/>
        <v>2015</v>
      </c>
      <c r="C1071" s="9">
        <v>42344</v>
      </c>
      <c r="D1071">
        <v>14.25</v>
      </c>
    </row>
    <row r="1072" spans="1:4" x14ac:dyDescent="0.25">
      <c r="A1072" s="5">
        <f t="shared" si="41"/>
        <v>12</v>
      </c>
      <c r="B1072" s="5">
        <f t="shared" si="42"/>
        <v>2015</v>
      </c>
      <c r="C1072" s="9">
        <v>42345</v>
      </c>
      <c r="D1072">
        <v>14.25</v>
      </c>
    </row>
    <row r="1073" spans="1:4" x14ac:dyDescent="0.25">
      <c r="A1073" s="5">
        <f t="shared" si="41"/>
        <v>12</v>
      </c>
      <c r="B1073" s="5">
        <f t="shared" si="42"/>
        <v>2015</v>
      </c>
      <c r="C1073" s="9">
        <v>42346</v>
      </c>
      <c r="D1073">
        <v>14.25</v>
      </c>
    </row>
    <row r="1074" spans="1:4" x14ac:dyDescent="0.25">
      <c r="A1074" s="5">
        <f t="shared" si="41"/>
        <v>12</v>
      </c>
      <c r="B1074" s="5">
        <f t="shared" si="42"/>
        <v>2015</v>
      </c>
      <c r="C1074" s="9">
        <v>42347</v>
      </c>
      <c r="D1074">
        <v>14.25</v>
      </c>
    </row>
    <row r="1075" spans="1:4" x14ac:dyDescent="0.25">
      <c r="A1075" s="5">
        <f t="shared" si="41"/>
        <v>12</v>
      </c>
      <c r="B1075" s="5">
        <f t="shared" si="42"/>
        <v>2015</v>
      </c>
      <c r="C1075" s="9">
        <v>42348</v>
      </c>
      <c r="D1075">
        <v>14.25</v>
      </c>
    </row>
    <row r="1076" spans="1:4" x14ac:dyDescent="0.25">
      <c r="A1076" s="5">
        <f t="shared" si="41"/>
        <v>12</v>
      </c>
      <c r="B1076" s="5">
        <f t="shared" si="42"/>
        <v>2015</v>
      </c>
      <c r="C1076" s="9">
        <v>42349</v>
      </c>
      <c r="D1076">
        <v>14.25</v>
      </c>
    </row>
    <row r="1077" spans="1:4" x14ac:dyDescent="0.25">
      <c r="A1077" s="5">
        <f t="shared" si="41"/>
        <v>12</v>
      </c>
      <c r="B1077" s="5">
        <f t="shared" si="42"/>
        <v>2015</v>
      </c>
      <c r="C1077" s="9">
        <v>42350</v>
      </c>
      <c r="D1077">
        <v>14.25</v>
      </c>
    </row>
    <row r="1078" spans="1:4" x14ac:dyDescent="0.25">
      <c r="A1078" s="5">
        <f t="shared" si="41"/>
        <v>12</v>
      </c>
      <c r="B1078" s="5">
        <f t="shared" si="42"/>
        <v>2015</v>
      </c>
      <c r="C1078" s="9">
        <v>42351</v>
      </c>
      <c r="D1078">
        <v>14.25</v>
      </c>
    </row>
    <row r="1079" spans="1:4" x14ac:dyDescent="0.25">
      <c r="A1079" s="5">
        <f t="shared" si="41"/>
        <v>12</v>
      </c>
      <c r="B1079" s="5">
        <f t="shared" si="42"/>
        <v>2015</v>
      </c>
      <c r="C1079" s="9">
        <v>42352</v>
      </c>
      <c r="D1079">
        <v>14.25</v>
      </c>
    </row>
    <row r="1080" spans="1:4" x14ac:dyDescent="0.25">
      <c r="A1080" s="5">
        <f t="shared" si="41"/>
        <v>12</v>
      </c>
      <c r="B1080" s="5">
        <f t="shared" si="42"/>
        <v>2015</v>
      </c>
      <c r="C1080" s="9">
        <v>42353</v>
      </c>
      <c r="D1080">
        <v>14.25</v>
      </c>
    </row>
    <row r="1081" spans="1:4" x14ac:dyDescent="0.25">
      <c r="A1081" s="5">
        <f t="shared" si="41"/>
        <v>12</v>
      </c>
      <c r="B1081" s="5">
        <f t="shared" si="42"/>
        <v>2015</v>
      </c>
      <c r="C1081" s="9">
        <v>42354</v>
      </c>
      <c r="D1081">
        <v>14.25</v>
      </c>
    </row>
    <row r="1082" spans="1:4" x14ac:dyDescent="0.25">
      <c r="A1082" s="5">
        <f t="shared" si="41"/>
        <v>12</v>
      </c>
      <c r="B1082" s="5">
        <f t="shared" si="42"/>
        <v>2015</v>
      </c>
      <c r="C1082" s="9">
        <v>42355</v>
      </c>
      <c r="D1082">
        <v>14.25</v>
      </c>
    </row>
    <row r="1083" spans="1:4" x14ac:dyDescent="0.25">
      <c r="A1083" s="5">
        <f t="shared" si="41"/>
        <v>12</v>
      </c>
      <c r="B1083" s="5">
        <f t="shared" si="42"/>
        <v>2015</v>
      </c>
      <c r="C1083" s="9">
        <v>42356</v>
      </c>
      <c r="D1083">
        <v>14.25</v>
      </c>
    </row>
    <row r="1084" spans="1:4" x14ac:dyDescent="0.25">
      <c r="A1084" s="5">
        <f t="shared" si="41"/>
        <v>12</v>
      </c>
      <c r="B1084" s="5">
        <f t="shared" si="42"/>
        <v>2015</v>
      </c>
      <c r="C1084" s="9">
        <v>42357</v>
      </c>
      <c r="D1084">
        <v>14.25</v>
      </c>
    </row>
    <row r="1085" spans="1:4" x14ac:dyDescent="0.25">
      <c r="A1085" s="5">
        <f t="shared" si="41"/>
        <v>12</v>
      </c>
      <c r="B1085" s="5">
        <f t="shared" si="42"/>
        <v>2015</v>
      </c>
      <c r="C1085" s="9">
        <v>42358</v>
      </c>
      <c r="D1085">
        <v>14.25</v>
      </c>
    </row>
    <row r="1086" spans="1:4" x14ac:dyDescent="0.25">
      <c r="A1086" s="5">
        <f t="shared" si="41"/>
        <v>12</v>
      </c>
      <c r="B1086" s="5">
        <f t="shared" si="42"/>
        <v>2015</v>
      </c>
      <c r="C1086" s="9">
        <v>42359</v>
      </c>
      <c r="D1086">
        <v>14.25</v>
      </c>
    </row>
    <row r="1087" spans="1:4" x14ac:dyDescent="0.25">
      <c r="A1087" s="5">
        <f t="shared" si="41"/>
        <v>12</v>
      </c>
      <c r="B1087" s="5">
        <f t="shared" si="42"/>
        <v>2015</v>
      </c>
      <c r="C1087" s="9">
        <v>42360</v>
      </c>
      <c r="D1087">
        <v>14.25</v>
      </c>
    </row>
    <row r="1088" spans="1:4" x14ac:dyDescent="0.25">
      <c r="A1088" s="5">
        <f t="shared" si="41"/>
        <v>12</v>
      </c>
      <c r="B1088" s="5">
        <f t="shared" si="42"/>
        <v>2015</v>
      </c>
      <c r="C1088" s="9">
        <v>42361</v>
      </c>
      <c r="D1088">
        <v>14.25</v>
      </c>
    </row>
    <row r="1089" spans="1:4" x14ac:dyDescent="0.25">
      <c r="A1089" s="5">
        <f t="shared" si="41"/>
        <v>12</v>
      </c>
      <c r="B1089" s="5">
        <f t="shared" si="42"/>
        <v>2015</v>
      </c>
      <c r="C1089" s="9">
        <v>42362</v>
      </c>
      <c r="D1089">
        <v>14.25</v>
      </c>
    </row>
    <row r="1090" spans="1:4" x14ac:dyDescent="0.25">
      <c r="A1090" s="5">
        <f t="shared" si="41"/>
        <v>12</v>
      </c>
      <c r="B1090" s="5">
        <f t="shared" si="42"/>
        <v>2015</v>
      </c>
      <c r="C1090" s="9">
        <v>42363</v>
      </c>
      <c r="D1090">
        <v>14.25</v>
      </c>
    </row>
    <row r="1091" spans="1:4" x14ac:dyDescent="0.25">
      <c r="A1091" s="5">
        <f t="shared" ref="A1091:A1154" si="43">MONTH(C1091)</f>
        <v>12</v>
      </c>
      <c r="B1091" s="5">
        <f t="shared" ref="B1091:B1154" si="44">YEAR(C1091)</f>
        <v>2015</v>
      </c>
      <c r="C1091" s="9">
        <v>42364</v>
      </c>
      <c r="D1091">
        <v>14.25</v>
      </c>
    </row>
    <row r="1092" spans="1:4" x14ac:dyDescent="0.25">
      <c r="A1092" s="5">
        <f t="shared" si="43"/>
        <v>12</v>
      </c>
      <c r="B1092" s="5">
        <f t="shared" si="44"/>
        <v>2015</v>
      </c>
      <c r="C1092" s="9">
        <v>42365</v>
      </c>
      <c r="D1092">
        <v>14.25</v>
      </c>
    </row>
    <row r="1093" spans="1:4" x14ac:dyDescent="0.25">
      <c r="A1093" s="5">
        <f t="shared" si="43"/>
        <v>12</v>
      </c>
      <c r="B1093" s="5">
        <f t="shared" si="44"/>
        <v>2015</v>
      </c>
      <c r="C1093" s="9">
        <v>42366</v>
      </c>
      <c r="D1093">
        <v>14.25</v>
      </c>
    </row>
    <row r="1094" spans="1:4" x14ac:dyDescent="0.25">
      <c r="A1094" s="5">
        <f t="shared" si="43"/>
        <v>12</v>
      </c>
      <c r="B1094" s="5">
        <f t="shared" si="44"/>
        <v>2015</v>
      </c>
      <c r="C1094" s="9">
        <v>42367</v>
      </c>
      <c r="D1094">
        <v>14.25</v>
      </c>
    </row>
    <row r="1095" spans="1:4" x14ac:dyDescent="0.25">
      <c r="A1095" s="5">
        <f t="shared" si="43"/>
        <v>12</v>
      </c>
      <c r="B1095" s="5">
        <f t="shared" si="44"/>
        <v>2015</v>
      </c>
      <c r="C1095" s="9">
        <v>42368</v>
      </c>
      <c r="D1095">
        <v>14.25</v>
      </c>
    </row>
    <row r="1096" spans="1:4" x14ac:dyDescent="0.25">
      <c r="A1096" s="5">
        <f t="shared" si="43"/>
        <v>12</v>
      </c>
      <c r="B1096" s="5">
        <f t="shared" si="44"/>
        <v>2015</v>
      </c>
      <c r="C1096" s="9">
        <v>42369</v>
      </c>
      <c r="D1096">
        <v>14.25</v>
      </c>
    </row>
    <row r="1097" spans="1:4" x14ac:dyDescent="0.25">
      <c r="A1097" s="5">
        <f t="shared" si="43"/>
        <v>1</v>
      </c>
      <c r="B1097" s="5">
        <f t="shared" si="44"/>
        <v>2016</v>
      </c>
      <c r="C1097" s="9">
        <v>42370</v>
      </c>
      <c r="D1097">
        <v>14.25</v>
      </c>
    </row>
    <row r="1098" spans="1:4" x14ac:dyDescent="0.25">
      <c r="A1098" s="5">
        <f t="shared" si="43"/>
        <v>1</v>
      </c>
      <c r="B1098" s="5">
        <f t="shared" si="44"/>
        <v>2016</v>
      </c>
      <c r="C1098" s="9">
        <v>42371</v>
      </c>
      <c r="D1098">
        <v>14.25</v>
      </c>
    </row>
    <row r="1099" spans="1:4" x14ac:dyDescent="0.25">
      <c r="A1099" s="5">
        <f t="shared" si="43"/>
        <v>1</v>
      </c>
      <c r="B1099" s="5">
        <f t="shared" si="44"/>
        <v>2016</v>
      </c>
      <c r="C1099" s="9">
        <v>42372</v>
      </c>
      <c r="D1099">
        <v>14.25</v>
      </c>
    </row>
    <row r="1100" spans="1:4" x14ac:dyDescent="0.25">
      <c r="A1100" s="5">
        <f t="shared" si="43"/>
        <v>1</v>
      </c>
      <c r="B1100" s="5">
        <f t="shared" si="44"/>
        <v>2016</v>
      </c>
      <c r="C1100" s="9">
        <v>42373</v>
      </c>
      <c r="D1100">
        <v>14.25</v>
      </c>
    </row>
    <row r="1101" spans="1:4" x14ac:dyDescent="0.25">
      <c r="A1101" s="5">
        <f t="shared" si="43"/>
        <v>1</v>
      </c>
      <c r="B1101" s="5">
        <f t="shared" si="44"/>
        <v>2016</v>
      </c>
      <c r="C1101" s="9">
        <v>42374</v>
      </c>
      <c r="D1101">
        <v>14.25</v>
      </c>
    </row>
    <row r="1102" spans="1:4" x14ac:dyDescent="0.25">
      <c r="A1102" s="5">
        <f t="shared" si="43"/>
        <v>1</v>
      </c>
      <c r="B1102" s="5">
        <f t="shared" si="44"/>
        <v>2016</v>
      </c>
      <c r="C1102" s="9">
        <v>42375</v>
      </c>
      <c r="D1102">
        <v>14.25</v>
      </c>
    </row>
    <row r="1103" spans="1:4" x14ac:dyDescent="0.25">
      <c r="A1103" s="5">
        <f t="shared" si="43"/>
        <v>1</v>
      </c>
      <c r="B1103" s="5">
        <f t="shared" si="44"/>
        <v>2016</v>
      </c>
      <c r="C1103" s="9">
        <v>42376</v>
      </c>
      <c r="D1103">
        <v>14.25</v>
      </c>
    </row>
    <row r="1104" spans="1:4" x14ac:dyDescent="0.25">
      <c r="A1104" s="5">
        <f t="shared" si="43"/>
        <v>1</v>
      </c>
      <c r="B1104" s="5">
        <f t="shared" si="44"/>
        <v>2016</v>
      </c>
      <c r="C1104" s="9">
        <v>42377</v>
      </c>
      <c r="D1104">
        <v>14.25</v>
      </c>
    </row>
    <row r="1105" spans="1:4" x14ac:dyDescent="0.25">
      <c r="A1105" s="5">
        <f t="shared" si="43"/>
        <v>1</v>
      </c>
      <c r="B1105" s="5">
        <f t="shared" si="44"/>
        <v>2016</v>
      </c>
      <c r="C1105" s="9">
        <v>42378</v>
      </c>
      <c r="D1105">
        <v>14.25</v>
      </c>
    </row>
    <row r="1106" spans="1:4" x14ac:dyDescent="0.25">
      <c r="A1106" s="5">
        <f t="shared" si="43"/>
        <v>1</v>
      </c>
      <c r="B1106" s="5">
        <f t="shared" si="44"/>
        <v>2016</v>
      </c>
      <c r="C1106" s="9">
        <v>42379</v>
      </c>
      <c r="D1106">
        <v>14.25</v>
      </c>
    </row>
    <row r="1107" spans="1:4" x14ac:dyDescent="0.25">
      <c r="A1107" s="5">
        <f t="shared" si="43"/>
        <v>1</v>
      </c>
      <c r="B1107" s="5">
        <f t="shared" si="44"/>
        <v>2016</v>
      </c>
      <c r="C1107" s="9">
        <v>42380</v>
      </c>
      <c r="D1107">
        <v>14.25</v>
      </c>
    </row>
    <row r="1108" spans="1:4" x14ac:dyDescent="0.25">
      <c r="A1108" s="5">
        <f t="shared" si="43"/>
        <v>1</v>
      </c>
      <c r="B1108" s="5">
        <f t="shared" si="44"/>
        <v>2016</v>
      </c>
      <c r="C1108" s="9">
        <v>42381</v>
      </c>
      <c r="D1108">
        <v>14.25</v>
      </c>
    </row>
    <row r="1109" spans="1:4" x14ac:dyDescent="0.25">
      <c r="A1109" s="5">
        <f t="shared" si="43"/>
        <v>1</v>
      </c>
      <c r="B1109" s="5">
        <f t="shared" si="44"/>
        <v>2016</v>
      </c>
      <c r="C1109" s="9">
        <v>42382</v>
      </c>
      <c r="D1109">
        <v>14.25</v>
      </c>
    </row>
    <row r="1110" spans="1:4" x14ac:dyDescent="0.25">
      <c r="A1110" s="5">
        <f t="shared" si="43"/>
        <v>1</v>
      </c>
      <c r="B1110" s="5">
        <f t="shared" si="44"/>
        <v>2016</v>
      </c>
      <c r="C1110" s="9">
        <v>42383</v>
      </c>
      <c r="D1110">
        <v>14.25</v>
      </c>
    </row>
    <row r="1111" spans="1:4" x14ac:dyDescent="0.25">
      <c r="A1111" s="5">
        <f t="shared" si="43"/>
        <v>1</v>
      </c>
      <c r="B1111" s="5">
        <f t="shared" si="44"/>
        <v>2016</v>
      </c>
      <c r="C1111" s="9">
        <v>42384</v>
      </c>
      <c r="D1111">
        <v>14.25</v>
      </c>
    </row>
    <row r="1112" spans="1:4" x14ac:dyDescent="0.25">
      <c r="A1112" s="5">
        <f t="shared" si="43"/>
        <v>1</v>
      </c>
      <c r="B1112" s="5">
        <f t="shared" si="44"/>
        <v>2016</v>
      </c>
      <c r="C1112" s="9">
        <v>42385</v>
      </c>
      <c r="D1112">
        <v>14.25</v>
      </c>
    </row>
    <row r="1113" spans="1:4" x14ac:dyDescent="0.25">
      <c r="A1113" s="5">
        <f t="shared" si="43"/>
        <v>1</v>
      </c>
      <c r="B1113" s="5">
        <f t="shared" si="44"/>
        <v>2016</v>
      </c>
      <c r="C1113" s="9">
        <v>42386</v>
      </c>
      <c r="D1113">
        <v>14.25</v>
      </c>
    </row>
    <row r="1114" spans="1:4" x14ac:dyDescent="0.25">
      <c r="A1114" s="5">
        <f t="shared" si="43"/>
        <v>1</v>
      </c>
      <c r="B1114" s="5">
        <f t="shared" si="44"/>
        <v>2016</v>
      </c>
      <c r="C1114" s="9">
        <v>42387</v>
      </c>
      <c r="D1114">
        <v>14.25</v>
      </c>
    </row>
    <row r="1115" spans="1:4" x14ac:dyDescent="0.25">
      <c r="A1115" s="5">
        <f t="shared" si="43"/>
        <v>1</v>
      </c>
      <c r="B1115" s="5">
        <f t="shared" si="44"/>
        <v>2016</v>
      </c>
      <c r="C1115" s="9">
        <v>42388</v>
      </c>
      <c r="D1115">
        <v>14.25</v>
      </c>
    </row>
    <row r="1116" spans="1:4" x14ac:dyDescent="0.25">
      <c r="A1116" s="5">
        <f t="shared" si="43"/>
        <v>1</v>
      </c>
      <c r="B1116" s="5">
        <f t="shared" si="44"/>
        <v>2016</v>
      </c>
      <c r="C1116" s="9">
        <v>42389</v>
      </c>
      <c r="D1116">
        <v>14.25</v>
      </c>
    </row>
    <row r="1117" spans="1:4" x14ac:dyDescent="0.25">
      <c r="A1117" s="5">
        <f t="shared" si="43"/>
        <v>1</v>
      </c>
      <c r="B1117" s="5">
        <f t="shared" si="44"/>
        <v>2016</v>
      </c>
      <c r="C1117" s="9">
        <v>42390</v>
      </c>
      <c r="D1117">
        <v>14.25</v>
      </c>
    </row>
    <row r="1118" spans="1:4" x14ac:dyDescent="0.25">
      <c r="A1118" s="5">
        <f t="shared" si="43"/>
        <v>1</v>
      </c>
      <c r="B1118" s="5">
        <f t="shared" si="44"/>
        <v>2016</v>
      </c>
      <c r="C1118" s="9">
        <v>42391</v>
      </c>
      <c r="D1118">
        <v>14.25</v>
      </c>
    </row>
    <row r="1119" spans="1:4" x14ac:dyDescent="0.25">
      <c r="A1119" s="5">
        <f t="shared" si="43"/>
        <v>1</v>
      </c>
      <c r="B1119" s="5">
        <f t="shared" si="44"/>
        <v>2016</v>
      </c>
      <c r="C1119" s="9">
        <v>42392</v>
      </c>
      <c r="D1119">
        <v>14.25</v>
      </c>
    </row>
    <row r="1120" spans="1:4" x14ac:dyDescent="0.25">
      <c r="A1120" s="5">
        <f t="shared" si="43"/>
        <v>1</v>
      </c>
      <c r="B1120" s="5">
        <f t="shared" si="44"/>
        <v>2016</v>
      </c>
      <c r="C1120" s="9">
        <v>42393</v>
      </c>
      <c r="D1120">
        <v>14.25</v>
      </c>
    </row>
    <row r="1121" spans="1:4" x14ac:dyDescent="0.25">
      <c r="A1121" s="5">
        <f t="shared" si="43"/>
        <v>1</v>
      </c>
      <c r="B1121" s="5">
        <f t="shared" si="44"/>
        <v>2016</v>
      </c>
      <c r="C1121" s="9">
        <v>42394</v>
      </c>
      <c r="D1121">
        <v>14.25</v>
      </c>
    </row>
    <row r="1122" spans="1:4" x14ac:dyDescent="0.25">
      <c r="A1122" s="5">
        <f t="shared" si="43"/>
        <v>1</v>
      </c>
      <c r="B1122" s="5">
        <f t="shared" si="44"/>
        <v>2016</v>
      </c>
      <c r="C1122" s="9">
        <v>42395</v>
      </c>
      <c r="D1122">
        <v>14.25</v>
      </c>
    </row>
    <row r="1123" spans="1:4" x14ac:dyDescent="0.25">
      <c r="A1123" s="5">
        <f t="shared" si="43"/>
        <v>1</v>
      </c>
      <c r="B1123" s="5">
        <f t="shared" si="44"/>
        <v>2016</v>
      </c>
      <c r="C1123" s="9">
        <v>42396</v>
      </c>
      <c r="D1123">
        <v>14.25</v>
      </c>
    </row>
    <row r="1124" spans="1:4" x14ac:dyDescent="0.25">
      <c r="A1124" s="5">
        <f t="shared" si="43"/>
        <v>1</v>
      </c>
      <c r="B1124" s="5">
        <f t="shared" si="44"/>
        <v>2016</v>
      </c>
      <c r="C1124" s="9">
        <v>42397</v>
      </c>
      <c r="D1124">
        <v>14.25</v>
      </c>
    </row>
    <row r="1125" spans="1:4" x14ac:dyDescent="0.25">
      <c r="A1125" s="5">
        <f t="shared" si="43"/>
        <v>1</v>
      </c>
      <c r="B1125" s="5">
        <f t="shared" si="44"/>
        <v>2016</v>
      </c>
      <c r="C1125" s="9">
        <v>42398</v>
      </c>
      <c r="D1125">
        <v>14.25</v>
      </c>
    </row>
    <row r="1126" spans="1:4" x14ac:dyDescent="0.25">
      <c r="A1126" s="5">
        <f t="shared" si="43"/>
        <v>1</v>
      </c>
      <c r="B1126" s="5">
        <f t="shared" si="44"/>
        <v>2016</v>
      </c>
      <c r="C1126" s="9">
        <v>42399</v>
      </c>
      <c r="D1126">
        <v>14.25</v>
      </c>
    </row>
    <row r="1127" spans="1:4" x14ac:dyDescent="0.25">
      <c r="A1127" s="5">
        <f t="shared" si="43"/>
        <v>1</v>
      </c>
      <c r="B1127" s="5">
        <f t="shared" si="44"/>
        <v>2016</v>
      </c>
      <c r="C1127" s="9">
        <v>42400</v>
      </c>
      <c r="D1127">
        <v>14.25</v>
      </c>
    </row>
    <row r="1128" spans="1:4" x14ac:dyDescent="0.25">
      <c r="A1128" s="5">
        <f t="shared" si="43"/>
        <v>2</v>
      </c>
      <c r="B1128" s="5">
        <f t="shared" si="44"/>
        <v>2016</v>
      </c>
      <c r="C1128" s="9">
        <v>42401</v>
      </c>
      <c r="D1128">
        <v>14.25</v>
      </c>
    </row>
    <row r="1129" spans="1:4" x14ac:dyDescent="0.25">
      <c r="A1129" s="5">
        <f t="shared" si="43"/>
        <v>2</v>
      </c>
      <c r="B1129" s="5">
        <f t="shared" si="44"/>
        <v>2016</v>
      </c>
      <c r="C1129" s="9">
        <v>42402</v>
      </c>
      <c r="D1129">
        <v>14.25</v>
      </c>
    </row>
    <row r="1130" spans="1:4" x14ac:dyDescent="0.25">
      <c r="A1130" s="5">
        <f t="shared" si="43"/>
        <v>2</v>
      </c>
      <c r="B1130" s="5">
        <f t="shared" si="44"/>
        <v>2016</v>
      </c>
      <c r="C1130" s="9">
        <v>42403</v>
      </c>
      <c r="D1130">
        <v>14.25</v>
      </c>
    </row>
    <row r="1131" spans="1:4" x14ac:dyDescent="0.25">
      <c r="A1131" s="5">
        <f t="shared" si="43"/>
        <v>2</v>
      </c>
      <c r="B1131" s="5">
        <f t="shared" si="44"/>
        <v>2016</v>
      </c>
      <c r="C1131" s="9">
        <v>42404</v>
      </c>
      <c r="D1131">
        <v>14.25</v>
      </c>
    </row>
    <row r="1132" spans="1:4" x14ac:dyDescent="0.25">
      <c r="A1132" s="5">
        <f t="shared" si="43"/>
        <v>2</v>
      </c>
      <c r="B1132" s="5">
        <f t="shared" si="44"/>
        <v>2016</v>
      </c>
      <c r="C1132" s="9">
        <v>42405</v>
      </c>
      <c r="D1132">
        <v>14.25</v>
      </c>
    </row>
    <row r="1133" spans="1:4" x14ac:dyDescent="0.25">
      <c r="A1133" s="5">
        <f t="shared" si="43"/>
        <v>2</v>
      </c>
      <c r="B1133" s="5">
        <f t="shared" si="44"/>
        <v>2016</v>
      </c>
      <c r="C1133" s="9">
        <v>42406</v>
      </c>
      <c r="D1133">
        <v>14.25</v>
      </c>
    </row>
    <row r="1134" spans="1:4" x14ac:dyDescent="0.25">
      <c r="A1134" s="5">
        <f t="shared" si="43"/>
        <v>2</v>
      </c>
      <c r="B1134" s="5">
        <f t="shared" si="44"/>
        <v>2016</v>
      </c>
      <c r="C1134" s="9">
        <v>42407</v>
      </c>
      <c r="D1134">
        <v>14.25</v>
      </c>
    </row>
    <row r="1135" spans="1:4" x14ac:dyDescent="0.25">
      <c r="A1135" s="5">
        <f t="shared" si="43"/>
        <v>2</v>
      </c>
      <c r="B1135" s="5">
        <f t="shared" si="44"/>
        <v>2016</v>
      </c>
      <c r="C1135" s="9">
        <v>42408</v>
      </c>
      <c r="D1135">
        <v>14.25</v>
      </c>
    </row>
    <row r="1136" spans="1:4" x14ac:dyDescent="0.25">
      <c r="A1136" s="5">
        <f t="shared" si="43"/>
        <v>2</v>
      </c>
      <c r="B1136" s="5">
        <f t="shared" si="44"/>
        <v>2016</v>
      </c>
      <c r="C1136" s="9">
        <v>42409</v>
      </c>
      <c r="D1136">
        <v>14.25</v>
      </c>
    </row>
    <row r="1137" spans="1:4" x14ac:dyDescent="0.25">
      <c r="A1137" s="5">
        <f t="shared" si="43"/>
        <v>2</v>
      </c>
      <c r="B1137" s="5">
        <f t="shared" si="44"/>
        <v>2016</v>
      </c>
      <c r="C1137" s="9">
        <v>42410</v>
      </c>
      <c r="D1137">
        <v>14.25</v>
      </c>
    </row>
    <row r="1138" spans="1:4" x14ac:dyDescent="0.25">
      <c r="A1138" s="5">
        <f t="shared" si="43"/>
        <v>2</v>
      </c>
      <c r="B1138" s="5">
        <f t="shared" si="44"/>
        <v>2016</v>
      </c>
      <c r="C1138" s="9">
        <v>42411</v>
      </c>
      <c r="D1138">
        <v>14.25</v>
      </c>
    </row>
    <row r="1139" spans="1:4" x14ac:dyDescent="0.25">
      <c r="A1139" s="5">
        <f t="shared" si="43"/>
        <v>2</v>
      </c>
      <c r="B1139" s="5">
        <f t="shared" si="44"/>
        <v>2016</v>
      </c>
      <c r="C1139" s="9">
        <v>42412</v>
      </c>
      <c r="D1139">
        <v>14.25</v>
      </c>
    </row>
    <row r="1140" spans="1:4" x14ac:dyDescent="0.25">
      <c r="A1140" s="5">
        <f t="shared" si="43"/>
        <v>2</v>
      </c>
      <c r="B1140" s="5">
        <f t="shared" si="44"/>
        <v>2016</v>
      </c>
      <c r="C1140" s="9">
        <v>42413</v>
      </c>
      <c r="D1140">
        <v>14.25</v>
      </c>
    </row>
    <row r="1141" spans="1:4" x14ac:dyDescent="0.25">
      <c r="A1141" s="5">
        <f t="shared" si="43"/>
        <v>2</v>
      </c>
      <c r="B1141" s="5">
        <f t="shared" si="44"/>
        <v>2016</v>
      </c>
      <c r="C1141" s="9">
        <v>42414</v>
      </c>
      <c r="D1141">
        <v>14.25</v>
      </c>
    </row>
    <row r="1142" spans="1:4" x14ac:dyDescent="0.25">
      <c r="A1142" s="5">
        <f t="shared" si="43"/>
        <v>2</v>
      </c>
      <c r="B1142" s="5">
        <f t="shared" si="44"/>
        <v>2016</v>
      </c>
      <c r="C1142" s="9">
        <v>42415</v>
      </c>
      <c r="D1142">
        <v>14.25</v>
      </c>
    </row>
    <row r="1143" spans="1:4" x14ac:dyDescent="0.25">
      <c r="A1143" s="5">
        <f t="shared" si="43"/>
        <v>2</v>
      </c>
      <c r="B1143" s="5">
        <f t="shared" si="44"/>
        <v>2016</v>
      </c>
      <c r="C1143" s="9">
        <v>42416</v>
      </c>
      <c r="D1143">
        <v>14.25</v>
      </c>
    </row>
    <row r="1144" spans="1:4" x14ac:dyDescent="0.25">
      <c r="A1144" s="5">
        <f t="shared" si="43"/>
        <v>2</v>
      </c>
      <c r="B1144" s="5">
        <f t="shared" si="44"/>
        <v>2016</v>
      </c>
      <c r="C1144" s="9">
        <v>42417</v>
      </c>
      <c r="D1144">
        <v>14.25</v>
      </c>
    </row>
    <row r="1145" spans="1:4" x14ac:dyDescent="0.25">
      <c r="A1145" s="5">
        <f t="shared" si="43"/>
        <v>2</v>
      </c>
      <c r="B1145" s="5">
        <f t="shared" si="44"/>
        <v>2016</v>
      </c>
      <c r="C1145" s="9">
        <v>42418</v>
      </c>
      <c r="D1145">
        <v>14.25</v>
      </c>
    </row>
    <row r="1146" spans="1:4" x14ac:dyDescent="0.25">
      <c r="A1146" s="5">
        <f t="shared" si="43"/>
        <v>2</v>
      </c>
      <c r="B1146" s="5">
        <f t="shared" si="44"/>
        <v>2016</v>
      </c>
      <c r="C1146" s="9">
        <v>42419</v>
      </c>
      <c r="D1146">
        <v>14.25</v>
      </c>
    </row>
    <row r="1147" spans="1:4" x14ac:dyDescent="0.25">
      <c r="A1147" s="5">
        <f t="shared" si="43"/>
        <v>2</v>
      </c>
      <c r="B1147" s="5">
        <f t="shared" si="44"/>
        <v>2016</v>
      </c>
      <c r="C1147" s="9">
        <v>42420</v>
      </c>
      <c r="D1147">
        <v>14.25</v>
      </c>
    </row>
    <row r="1148" spans="1:4" x14ac:dyDescent="0.25">
      <c r="A1148" s="5">
        <f t="shared" si="43"/>
        <v>2</v>
      </c>
      <c r="B1148" s="5">
        <f t="shared" si="44"/>
        <v>2016</v>
      </c>
      <c r="C1148" s="9">
        <v>42421</v>
      </c>
      <c r="D1148">
        <v>14.25</v>
      </c>
    </row>
    <row r="1149" spans="1:4" x14ac:dyDescent="0.25">
      <c r="A1149" s="5">
        <f t="shared" si="43"/>
        <v>2</v>
      </c>
      <c r="B1149" s="5">
        <f t="shared" si="44"/>
        <v>2016</v>
      </c>
      <c r="C1149" s="9">
        <v>42422</v>
      </c>
      <c r="D1149">
        <v>14.25</v>
      </c>
    </row>
    <row r="1150" spans="1:4" x14ac:dyDescent="0.25">
      <c r="A1150" s="5">
        <f t="shared" si="43"/>
        <v>2</v>
      </c>
      <c r="B1150" s="5">
        <f t="shared" si="44"/>
        <v>2016</v>
      </c>
      <c r="C1150" s="9">
        <v>42423</v>
      </c>
      <c r="D1150">
        <v>14.25</v>
      </c>
    </row>
    <row r="1151" spans="1:4" x14ac:dyDescent="0.25">
      <c r="A1151" s="5">
        <f t="shared" si="43"/>
        <v>2</v>
      </c>
      <c r="B1151" s="5">
        <f t="shared" si="44"/>
        <v>2016</v>
      </c>
      <c r="C1151" s="9">
        <v>42424</v>
      </c>
      <c r="D1151">
        <v>14.25</v>
      </c>
    </row>
    <row r="1152" spans="1:4" x14ac:dyDescent="0.25">
      <c r="A1152" s="5">
        <f t="shared" si="43"/>
        <v>2</v>
      </c>
      <c r="B1152" s="5">
        <f t="shared" si="44"/>
        <v>2016</v>
      </c>
      <c r="C1152" s="9">
        <v>42425</v>
      </c>
      <c r="D1152">
        <v>14.25</v>
      </c>
    </row>
    <row r="1153" spans="1:4" x14ac:dyDescent="0.25">
      <c r="A1153" s="5">
        <f t="shared" si="43"/>
        <v>2</v>
      </c>
      <c r="B1153" s="5">
        <f t="shared" si="44"/>
        <v>2016</v>
      </c>
      <c r="C1153" s="9">
        <v>42426</v>
      </c>
      <c r="D1153">
        <v>14.25</v>
      </c>
    </row>
    <row r="1154" spans="1:4" x14ac:dyDescent="0.25">
      <c r="A1154" s="5">
        <f t="shared" si="43"/>
        <v>2</v>
      </c>
      <c r="B1154" s="5">
        <f t="shared" si="44"/>
        <v>2016</v>
      </c>
      <c r="C1154" s="9">
        <v>42427</v>
      </c>
      <c r="D1154">
        <v>14.25</v>
      </c>
    </row>
    <row r="1155" spans="1:4" x14ac:dyDescent="0.25">
      <c r="A1155" s="5">
        <f t="shared" ref="A1155:A1218" si="45">MONTH(C1155)</f>
        <v>2</v>
      </c>
      <c r="B1155" s="5">
        <f t="shared" ref="B1155:B1218" si="46">YEAR(C1155)</f>
        <v>2016</v>
      </c>
      <c r="C1155" s="9">
        <v>42428</v>
      </c>
      <c r="D1155">
        <v>14.25</v>
      </c>
    </row>
    <row r="1156" spans="1:4" x14ac:dyDescent="0.25">
      <c r="A1156" s="5">
        <f t="shared" si="45"/>
        <v>2</v>
      </c>
      <c r="B1156" s="5">
        <f t="shared" si="46"/>
        <v>2016</v>
      </c>
      <c r="C1156" s="9">
        <v>42429</v>
      </c>
      <c r="D1156">
        <v>14.25</v>
      </c>
    </row>
    <row r="1157" spans="1:4" x14ac:dyDescent="0.25">
      <c r="A1157" s="5">
        <f t="shared" si="45"/>
        <v>3</v>
      </c>
      <c r="B1157" s="5">
        <f t="shared" si="46"/>
        <v>2016</v>
      </c>
      <c r="C1157" s="9">
        <v>42430</v>
      </c>
      <c r="D1157">
        <v>14.25</v>
      </c>
    </row>
    <row r="1158" spans="1:4" x14ac:dyDescent="0.25">
      <c r="A1158" s="5">
        <f t="shared" si="45"/>
        <v>3</v>
      </c>
      <c r="B1158" s="5">
        <f t="shared" si="46"/>
        <v>2016</v>
      </c>
      <c r="C1158" s="9">
        <v>42431</v>
      </c>
      <c r="D1158">
        <v>14.25</v>
      </c>
    </row>
    <row r="1159" spans="1:4" x14ac:dyDescent="0.25">
      <c r="A1159" s="5">
        <f t="shared" si="45"/>
        <v>3</v>
      </c>
      <c r="B1159" s="5">
        <f t="shared" si="46"/>
        <v>2016</v>
      </c>
      <c r="C1159" s="9">
        <v>42432</v>
      </c>
      <c r="D1159">
        <v>14.25</v>
      </c>
    </row>
    <row r="1160" spans="1:4" x14ac:dyDescent="0.25">
      <c r="A1160" s="5">
        <f t="shared" si="45"/>
        <v>3</v>
      </c>
      <c r="B1160" s="5">
        <f t="shared" si="46"/>
        <v>2016</v>
      </c>
      <c r="C1160" s="9">
        <v>42433</v>
      </c>
      <c r="D1160">
        <v>14.25</v>
      </c>
    </row>
    <row r="1161" spans="1:4" x14ac:dyDescent="0.25">
      <c r="A1161" s="5">
        <f t="shared" si="45"/>
        <v>3</v>
      </c>
      <c r="B1161" s="5">
        <f t="shared" si="46"/>
        <v>2016</v>
      </c>
      <c r="C1161" s="9">
        <v>42434</v>
      </c>
      <c r="D1161">
        <v>14.25</v>
      </c>
    </row>
    <row r="1162" spans="1:4" x14ac:dyDescent="0.25">
      <c r="A1162" s="5">
        <f t="shared" si="45"/>
        <v>3</v>
      </c>
      <c r="B1162" s="5">
        <f t="shared" si="46"/>
        <v>2016</v>
      </c>
      <c r="C1162" s="9">
        <v>42435</v>
      </c>
      <c r="D1162">
        <v>14.25</v>
      </c>
    </row>
    <row r="1163" spans="1:4" x14ac:dyDescent="0.25">
      <c r="A1163" s="5">
        <f t="shared" si="45"/>
        <v>3</v>
      </c>
      <c r="B1163" s="5">
        <f t="shared" si="46"/>
        <v>2016</v>
      </c>
      <c r="C1163" s="9">
        <v>42436</v>
      </c>
      <c r="D1163">
        <v>14.25</v>
      </c>
    </row>
    <row r="1164" spans="1:4" x14ac:dyDescent="0.25">
      <c r="A1164" s="5">
        <f t="shared" si="45"/>
        <v>3</v>
      </c>
      <c r="B1164" s="5">
        <f t="shared" si="46"/>
        <v>2016</v>
      </c>
      <c r="C1164" s="9">
        <v>42437</v>
      </c>
      <c r="D1164">
        <v>14.25</v>
      </c>
    </row>
    <row r="1165" spans="1:4" x14ac:dyDescent="0.25">
      <c r="A1165" s="5">
        <f t="shared" si="45"/>
        <v>3</v>
      </c>
      <c r="B1165" s="5">
        <f t="shared" si="46"/>
        <v>2016</v>
      </c>
      <c r="C1165" s="9">
        <v>42438</v>
      </c>
      <c r="D1165">
        <v>14.25</v>
      </c>
    </row>
    <row r="1166" spans="1:4" x14ac:dyDescent="0.25">
      <c r="A1166" s="5">
        <f t="shared" si="45"/>
        <v>3</v>
      </c>
      <c r="B1166" s="5">
        <f t="shared" si="46"/>
        <v>2016</v>
      </c>
      <c r="C1166" s="9">
        <v>42439</v>
      </c>
      <c r="D1166">
        <v>14.25</v>
      </c>
    </row>
    <row r="1167" spans="1:4" x14ac:dyDescent="0.25">
      <c r="A1167" s="5">
        <f t="shared" si="45"/>
        <v>3</v>
      </c>
      <c r="B1167" s="5">
        <f t="shared" si="46"/>
        <v>2016</v>
      </c>
      <c r="C1167" s="9">
        <v>42440</v>
      </c>
      <c r="D1167">
        <v>14.25</v>
      </c>
    </row>
    <row r="1168" spans="1:4" x14ac:dyDescent="0.25">
      <c r="A1168" s="5">
        <f t="shared" si="45"/>
        <v>3</v>
      </c>
      <c r="B1168" s="5">
        <f t="shared" si="46"/>
        <v>2016</v>
      </c>
      <c r="C1168" s="9">
        <v>42441</v>
      </c>
      <c r="D1168">
        <v>14.25</v>
      </c>
    </row>
    <row r="1169" spans="1:4" x14ac:dyDescent="0.25">
      <c r="A1169" s="5">
        <f t="shared" si="45"/>
        <v>3</v>
      </c>
      <c r="B1169" s="5">
        <f t="shared" si="46"/>
        <v>2016</v>
      </c>
      <c r="C1169" s="9">
        <v>42442</v>
      </c>
      <c r="D1169">
        <v>14.25</v>
      </c>
    </row>
    <row r="1170" spans="1:4" x14ac:dyDescent="0.25">
      <c r="A1170" s="5">
        <f t="shared" si="45"/>
        <v>3</v>
      </c>
      <c r="B1170" s="5">
        <f t="shared" si="46"/>
        <v>2016</v>
      </c>
      <c r="C1170" s="9">
        <v>42443</v>
      </c>
      <c r="D1170">
        <v>14.25</v>
      </c>
    </row>
    <row r="1171" spans="1:4" x14ac:dyDescent="0.25">
      <c r="A1171" s="5">
        <f t="shared" si="45"/>
        <v>3</v>
      </c>
      <c r="B1171" s="5">
        <f t="shared" si="46"/>
        <v>2016</v>
      </c>
      <c r="C1171" s="9">
        <v>42444</v>
      </c>
      <c r="D1171">
        <v>14.25</v>
      </c>
    </row>
    <row r="1172" spans="1:4" x14ac:dyDescent="0.25">
      <c r="A1172" s="5">
        <f t="shared" si="45"/>
        <v>3</v>
      </c>
      <c r="B1172" s="5">
        <f t="shared" si="46"/>
        <v>2016</v>
      </c>
      <c r="C1172" s="9">
        <v>42445</v>
      </c>
      <c r="D1172">
        <v>14.25</v>
      </c>
    </row>
    <row r="1173" spans="1:4" x14ac:dyDescent="0.25">
      <c r="A1173" s="5">
        <f t="shared" si="45"/>
        <v>3</v>
      </c>
      <c r="B1173" s="5">
        <f t="shared" si="46"/>
        <v>2016</v>
      </c>
      <c r="C1173" s="9">
        <v>42446</v>
      </c>
      <c r="D1173">
        <v>14.25</v>
      </c>
    </row>
    <row r="1174" spans="1:4" x14ac:dyDescent="0.25">
      <c r="A1174" s="5">
        <f t="shared" si="45"/>
        <v>3</v>
      </c>
      <c r="B1174" s="5">
        <f t="shared" si="46"/>
        <v>2016</v>
      </c>
      <c r="C1174" s="9">
        <v>42447</v>
      </c>
      <c r="D1174">
        <v>14.25</v>
      </c>
    </row>
    <row r="1175" spans="1:4" x14ac:dyDescent="0.25">
      <c r="A1175" s="5">
        <f t="shared" si="45"/>
        <v>3</v>
      </c>
      <c r="B1175" s="5">
        <f t="shared" si="46"/>
        <v>2016</v>
      </c>
      <c r="C1175" s="9">
        <v>42448</v>
      </c>
      <c r="D1175">
        <v>14.25</v>
      </c>
    </row>
    <row r="1176" spans="1:4" x14ac:dyDescent="0.25">
      <c r="A1176" s="5">
        <f t="shared" si="45"/>
        <v>3</v>
      </c>
      <c r="B1176" s="5">
        <f t="shared" si="46"/>
        <v>2016</v>
      </c>
      <c r="C1176" s="9">
        <v>42449</v>
      </c>
      <c r="D1176">
        <v>14.25</v>
      </c>
    </row>
    <row r="1177" spans="1:4" x14ac:dyDescent="0.25">
      <c r="A1177" s="5">
        <f t="shared" si="45"/>
        <v>3</v>
      </c>
      <c r="B1177" s="5">
        <f t="shared" si="46"/>
        <v>2016</v>
      </c>
      <c r="C1177" s="9">
        <v>42450</v>
      </c>
      <c r="D1177">
        <v>14.25</v>
      </c>
    </row>
    <row r="1178" spans="1:4" x14ac:dyDescent="0.25">
      <c r="A1178" s="5">
        <f t="shared" si="45"/>
        <v>3</v>
      </c>
      <c r="B1178" s="5">
        <f t="shared" si="46"/>
        <v>2016</v>
      </c>
      <c r="C1178" s="9">
        <v>42451</v>
      </c>
      <c r="D1178">
        <v>14.25</v>
      </c>
    </row>
    <row r="1179" spans="1:4" x14ac:dyDescent="0.25">
      <c r="A1179" s="5">
        <f t="shared" si="45"/>
        <v>3</v>
      </c>
      <c r="B1179" s="5">
        <f t="shared" si="46"/>
        <v>2016</v>
      </c>
      <c r="C1179" s="9">
        <v>42452</v>
      </c>
      <c r="D1179">
        <v>14.25</v>
      </c>
    </row>
    <row r="1180" spans="1:4" x14ac:dyDescent="0.25">
      <c r="A1180" s="5">
        <f t="shared" si="45"/>
        <v>3</v>
      </c>
      <c r="B1180" s="5">
        <f t="shared" si="46"/>
        <v>2016</v>
      </c>
      <c r="C1180" s="9">
        <v>42453</v>
      </c>
      <c r="D1180">
        <v>14.25</v>
      </c>
    </row>
    <row r="1181" spans="1:4" x14ac:dyDescent="0.25">
      <c r="A1181" s="5">
        <f t="shared" si="45"/>
        <v>3</v>
      </c>
      <c r="B1181" s="5">
        <f t="shared" si="46"/>
        <v>2016</v>
      </c>
      <c r="C1181" s="9">
        <v>42454</v>
      </c>
      <c r="D1181">
        <v>14.25</v>
      </c>
    </row>
    <row r="1182" spans="1:4" x14ac:dyDescent="0.25">
      <c r="A1182" s="5">
        <f t="shared" si="45"/>
        <v>3</v>
      </c>
      <c r="B1182" s="5">
        <f t="shared" si="46"/>
        <v>2016</v>
      </c>
      <c r="C1182" s="9">
        <v>42455</v>
      </c>
      <c r="D1182">
        <v>14.25</v>
      </c>
    </row>
    <row r="1183" spans="1:4" x14ac:dyDescent="0.25">
      <c r="A1183" s="5">
        <f t="shared" si="45"/>
        <v>3</v>
      </c>
      <c r="B1183" s="5">
        <f t="shared" si="46"/>
        <v>2016</v>
      </c>
      <c r="C1183" s="9">
        <v>42456</v>
      </c>
      <c r="D1183">
        <v>14.25</v>
      </c>
    </row>
    <row r="1184" spans="1:4" x14ac:dyDescent="0.25">
      <c r="A1184" s="5">
        <f t="shared" si="45"/>
        <v>3</v>
      </c>
      <c r="B1184" s="5">
        <f t="shared" si="46"/>
        <v>2016</v>
      </c>
      <c r="C1184" s="9">
        <v>42457</v>
      </c>
      <c r="D1184">
        <v>14.25</v>
      </c>
    </row>
    <row r="1185" spans="1:4" x14ac:dyDescent="0.25">
      <c r="A1185" s="5">
        <f t="shared" si="45"/>
        <v>3</v>
      </c>
      <c r="B1185" s="5">
        <f t="shared" si="46"/>
        <v>2016</v>
      </c>
      <c r="C1185" s="9">
        <v>42458</v>
      </c>
      <c r="D1185">
        <v>14.25</v>
      </c>
    </row>
    <row r="1186" spans="1:4" x14ac:dyDescent="0.25">
      <c r="A1186" s="5">
        <f t="shared" si="45"/>
        <v>3</v>
      </c>
      <c r="B1186" s="5">
        <f t="shared" si="46"/>
        <v>2016</v>
      </c>
      <c r="C1186" s="9">
        <v>42459</v>
      </c>
      <c r="D1186">
        <v>14.25</v>
      </c>
    </row>
    <row r="1187" spans="1:4" x14ac:dyDescent="0.25">
      <c r="A1187" s="5">
        <f t="shared" si="45"/>
        <v>3</v>
      </c>
      <c r="B1187" s="5">
        <f t="shared" si="46"/>
        <v>2016</v>
      </c>
      <c r="C1187" s="9">
        <v>42460</v>
      </c>
      <c r="D1187">
        <v>14.25</v>
      </c>
    </row>
    <row r="1188" spans="1:4" x14ac:dyDescent="0.25">
      <c r="A1188" s="5">
        <f t="shared" si="45"/>
        <v>4</v>
      </c>
      <c r="B1188" s="5">
        <f t="shared" si="46"/>
        <v>2016</v>
      </c>
      <c r="C1188" s="9">
        <v>42461</v>
      </c>
      <c r="D1188">
        <v>14.25</v>
      </c>
    </row>
    <row r="1189" spans="1:4" x14ac:dyDescent="0.25">
      <c r="A1189" s="5">
        <f t="shared" si="45"/>
        <v>4</v>
      </c>
      <c r="B1189" s="5">
        <f t="shared" si="46"/>
        <v>2016</v>
      </c>
      <c r="C1189" s="9">
        <v>42462</v>
      </c>
      <c r="D1189">
        <v>14.25</v>
      </c>
    </row>
    <row r="1190" spans="1:4" x14ac:dyDescent="0.25">
      <c r="A1190" s="5">
        <f t="shared" si="45"/>
        <v>4</v>
      </c>
      <c r="B1190" s="5">
        <f t="shared" si="46"/>
        <v>2016</v>
      </c>
      <c r="C1190" s="9">
        <v>42463</v>
      </c>
      <c r="D1190">
        <v>14.25</v>
      </c>
    </row>
    <row r="1191" spans="1:4" x14ac:dyDescent="0.25">
      <c r="A1191" s="5">
        <f t="shared" si="45"/>
        <v>4</v>
      </c>
      <c r="B1191" s="5">
        <f t="shared" si="46"/>
        <v>2016</v>
      </c>
      <c r="C1191" s="9">
        <v>42464</v>
      </c>
      <c r="D1191">
        <v>14.25</v>
      </c>
    </row>
    <row r="1192" spans="1:4" x14ac:dyDescent="0.25">
      <c r="A1192" s="5">
        <f t="shared" si="45"/>
        <v>4</v>
      </c>
      <c r="B1192" s="5">
        <f t="shared" si="46"/>
        <v>2016</v>
      </c>
      <c r="C1192" s="9">
        <v>42465</v>
      </c>
      <c r="D1192">
        <v>14.25</v>
      </c>
    </row>
    <row r="1193" spans="1:4" x14ac:dyDescent="0.25">
      <c r="A1193" s="5">
        <f t="shared" si="45"/>
        <v>4</v>
      </c>
      <c r="B1193" s="5">
        <f t="shared" si="46"/>
        <v>2016</v>
      </c>
      <c r="C1193" s="9">
        <v>42466</v>
      </c>
      <c r="D1193">
        <v>14.25</v>
      </c>
    </row>
    <row r="1194" spans="1:4" x14ac:dyDescent="0.25">
      <c r="A1194" s="5">
        <f t="shared" si="45"/>
        <v>4</v>
      </c>
      <c r="B1194" s="5">
        <f t="shared" si="46"/>
        <v>2016</v>
      </c>
      <c r="C1194" s="9">
        <v>42467</v>
      </c>
      <c r="D1194">
        <v>14.25</v>
      </c>
    </row>
    <row r="1195" spans="1:4" x14ac:dyDescent="0.25">
      <c r="A1195" s="5">
        <f t="shared" si="45"/>
        <v>4</v>
      </c>
      <c r="B1195" s="5">
        <f t="shared" si="46"/>
        <v>2016</v>
      </c>
      <c r="C1195" s="9">
        <v>42468</v>
      </c>
      <c r="D1195">
        <v>14.25</v>
      </c>
    </row>
    <row r="1196" spans="1:4" x14ac:dyDescent="0.25">
      <c r="A1196" s="5">
        <f t="shared" si="45"/>
        <v>4</v>
      </c>
      <c r="B1196" s="5">
        <f t="shared" si="46"/>
        <v>2016</v>
      </c>
      <c r="C1196" s="9">
        <v>42469</v>
      </c>
      <c r="D1196">
        <v>14.25</v>
      </c>
    </row>
    <row r="1197" spans="1:4" x14ac:dyDescent="0.25">
      <c r="A1197" s="5">
        <f t="shared" si="45"/>
        <v>4</v>
      </c>
      <c r="B1197" s="5">
        <f t="shared" si="46"/>
        <v>2016</v>
      </c>
      <c r="C1197" s="9">
        <v>42470</v>
      </c>
      <c r="D1197">
        <v>14.25</v>
      </c>
    </row>
    <row r="1198" spans="1:4" x14ac:dyDescent="0.25">
      <c r="A1198" s="5">
        <f t="shared" si="45"/>
        <v>4</v>
      </c>
      <c r="B1198" s="5">
        <f t="shared" si="46"/>
        <v>2016</v>
      </c>
      <c r="C1198" s="9">
        <v>42471</v>
      </c>
      <c r="D1198">
        <v>14.25</v>
      </c>
    </row>
    <row r="1199" spans="1:4" x14ac:dyDescent="0.25">
      <c r="A1199" s="5">
        <f t="shared" si="45"/>
        <v>4</v>
      </c>
      <c r="B1199" s="5">
        <f t="shared" si="46"/>
        <v>2016</v>
      </c>
      <c r="C1199" s="9">
        <v>42472</v>
      </c>
      <c r="D1199">
        <v>14.25</v>
      </c>
    </row>
    <row r="1200" spans="1:4" x14ac:dyDescent="0.25">
      <c r="A1200" s="5">
        <f t="shared" si="45"/>
        <v>4</v>
      </c>
      <c r="B1200" s="5">
        <f t="shared" si="46"/>
        <v>2016</v>
      </c>
      <c r="C1200" s="9">
        <v>42473</v>
      </c>
      <c r="D1200">
        <v>14.25</v>
      </c>
    </row>
    <row r="1201" spans="1:4" x14ac:dyDescent="0.25">
      <c r="A1201" s="5">
        <f t="shared" si="45"/>
        <v>4</v>
      </c>
      <c r="B1201" s="5">
        <f t="shared" si="46"/>
        <v>2016</v>
      </c>
      <c r="C1201" s="9">
        <v>42474</v>
      </c>
      <c r="D1201">
        <v>14.25</v>
      </c>
    </row>
    <row r="1202" spans="1:4" x14ac:dyDescent="0.25">
      <c r="A1202" s="5">
        <f t="shared" si="45"/>
        <v>4</v>
      </c>
      <c r="B1202" s="5">
        <f t="shared" si="46"/>
        <v>2016</v>
      </c>
      <c r="C1202" s="9">
        <v>42475</v>
      </c>
      <c r="D1202">
        <v>14.25</v>
      </c>
    </row>
    <row r="1203" spans="1:4" x14ac:dyDescent="0.25">
      <c r="A1203" s="5">
        <f t="shared" si="45"/>
        <v>4</v>
      </c>
      <c r="B1203" s="5">
        <f t="shared" si="46"/>
        <v>2016</v>
      </c>
      <c r="C1203" s="9">
        <v>42476</v>
      </c>
      <c r="D1203">
        <v>14.25</v>
      </c>
    </row>
    <row r="1204" spans="1:4" x14ac:dyDescent="0.25">
      <c r="A1204" s="5">
        <f t="shared" si="45"/>
        <v>4</v>
      </c>
      <c r="B1204" s="5">
        <f t="shared" si="46"/>
        <v>2016</v>
      </c>
      <c r="C1204" s="9">
        <v>42477</v>
      </c>
      <c r="D1204">
        <v>14.25</v>
      </c>
    </row>
    <row r="1205" spans="1:4" x14ac:dyDescent="0.25">
      <c r="A1205" s="5">
        <f t="shared" si="45"/>
        <v>4</v>
      </c>
      <c r="B1205" s="5">
        <f t="shared" si="46"/>
        <v>2016</v>
      </c>
      <c r="C1205" s="9">
        <v>42478</v>
      </c>
      <c r="D1205">
        <v>14.25</v>
      </c>
    </row>
    <row r="1206" spans="1:4" x14ac:dyDescent="0.25">
      <c r="A1206" s="5">
        <f t="shared" si="45"/>
        <v>4</v>
      </c>
      <c r="B1206" s="5">
        <f t="shared" si="46"/>
        <v>2016</v>
      </c>
      <c r="C1206" s="9">
        <v>42479</v>
      </c>
      <c r="D1206">
        <v>14.25</v>
      </c>
    </row>
    <row r="1207" spans="1:4" x14ac:dyDescent="0.25">
      <c r="A1207" s="5">
        <f t="shared" si="45"/>
        <v>4</v>
      </c>
      <c r="B1207" s="5">
        <f t="shared" si="46"/>
        <v>2016</v>
      </c>
      <c r="C1207" s="9">
        <v>42480</v>
      </c>
      <c r="D1207">
        <v>14.25</v>
      </c>
    </row>
    <row r="1208" spans="1:4" x14ac:dyDescent="0.25">
      <c r="A1208" s="5">
        <f t="shared" si="45"/>
        <v>4</v>
      </c>
      <c r="B1208" s="5">
        <f t="shared" si="46"/>
        <v>2016</v>
      </c>
      <c r="C1208" s="9">
        <v>42481</v>
      </c>
      <c r="D1208">
        <v>14.25</v>
      </c>
    </row>
    <row r="1209" spans="1:4" x14ac:dyDescent="0.25">
      <c r="A1209" s="5">
        <f t="shared" si="45"/>
        <v>4</v>
      </c>
      <c r="B1209" s="5">
        <f t="shared" si="46"/>
        <v>2016</v>
      </c>
      <c r="C1209" s="9">
        <v>42482</v>
      </c>
      <c r="D1209">
        <v>14.25</v>
      </c>
    </row>
    <row r="1210" spans="1:4" x14ac:dyDescent="0.25">
      <c r="A1210" s="5">
        <f t="shared" si="45"/>
        <v>4</v>
      </c>
      <c r="B1210" s="5">
        <f t="shared" si="46"/>
        <v>2016</v>
      </c>
      <c r="C1210" s="9">
        <v>42483</v>
      </c>
      <c r="D1210">
        <v>14.25</v>
      </c>
    </row>
    <row r="1211" spans="1:4" x14ac:dyDescent="0.25">
      <c r="A1211" s="5">
        <f t="shared" si="45"/>
        <v>4</v>
      </c>
      <c r="B1211" s="5">
        <f t="shared" si="46"/>
        <v>2016</v>
      </c>
      <c r="C1211" s="9">
        <v>42484</v>
      </c>
      <c r="D1211">
        <v>14.25</v>
      </c>
    </row>
    <row r="1212" spans="1:4" x14ac:dyDescent="0.25">
      <c r="A1212" s="5">
        <f t="shared" si="45"/>
        <v>4</v>
      </c>
      <c r="B1212" s="5">
        <f t="shared" si="46"/>
        <v>2016</v>
      </c>
      <c r="C1212" s="9">
        <v>42485</v>
      </c>
      <c r="D1212">
        <v>14.25</v>
      </c>
    </row>
    <row r="1213" spans="1:4" x14ac:dyDescent="0.25">
      <c r="A1213" s="5">
        <f t="shared" si="45"/>
        <v>4</v>
      </c>
      <c r="B1213" s="5">
        <f t="shared" si="46"/>
        <v>2016</v>
      </c>
      <c r="C1213" s="9">
        <v>42486</v>
      </c>
      <c r="D1213">
        <v>14.25</v>
      </c>
    </row>
    <row r="1214" spans="1:4" x14ac:dyDescent="0.25">
      <c r="A1214" s="5">
        <f t="shared" si="45"/>
        <v>4</v>
      </c>
      <c r="B1214" s="5">
        <f t="shared" si="46"/>
        <v>2016</v>
      </c>
      <c r="C1214" s="9">
        <v>42487</v>
      </c>
      <c r="D1214">
        <v>14.25</v>
      </c>
    </row>
    <row r="1215" spans="1:4" x14ac:dyDescent="0.25">
      <c r="A1215" s="5">
        <f t="shared" si="45"/>
        <v>4</v>
      </c>
      <c r="B1215" s="5">
        <f t="shared" si="46"/>
        <v>2016</v>
      </c>
      <c r="C1215" s="9">
        <v>42488</v>
      </c>
      <c r="D1215">
        <v>14.25</v>
      </c>
    </row>
    <row r="1216" spans="1:4" x14ac:dyDescent="0.25">
      <c r="A1216" s="5">
        <f t="shared" si="45"/>
        <v>4</v>
      </c>
      <c r="B1216" s="5">
        <f t="shared" si="46"/>
        <v>2016</v>
      </c>
      <c r="C1216" s="9">
        <v>42489</v>
      </c>
      <c r="D1216">
        <v>14.25</v>
      </c>
    </row>
    <row r="1217" spans="1:4" x14ac:dyDescent="0.25">
      <c r="A1217" s="5">
        <f t="shared" si="45"/>
        <v>4</v>
      </c>
      <c r="B1217" s="5">
        <f t="shared" si="46"/>
        <v>2016</v>
      </c>
      <c r="C1217" s="9">
        <v>42490</v>
      </c>
      <c r="D1217">
        <v>14.25</v>
      </c>
    </row>
    <row r="1218" spans="1:4" x14ac:dyDescent="0.25">
      <c r="A1218" s="5">
        <f t="shared" si="45"/>
        <v>5</v>
      </c>
      <c r="B1218" s="5">
        <f t="shared" si="46"/>
        <v>2016</v>
      </c>
      <c r="C1218" s="9">
        <v>42491</v>
      </c>
      <c r="D1218">
        <v>14.25</v>
      </c>
    </row>
    <row r="1219" spans="1:4" x14ac:dyDescent="0.25">
      <c r="A1219" s="5">
        <f t="shared" ref="A1219:A1282" si="47">MONTH(C1219)</f>
        <v>5</v>
      </c>
      <c r="B1219" s="5">
        <f t="shared" ref="B1219:B1282" si="48">YEAR(C1219)</f>
        <v>2016</v>
      </c>
      <c r="C1219" s="9">
        <v>42492</v>
      </c>
      <c r="D1219">
        <v>14.25</v>
      </c>
    </row>
    <row r="1220" spans="1:4" x14ac:dyDescent="0.25">
      <c r="A1220" s="5">
        <f t="shared" si="47"/>
        <v>5</v>
      </c>
      <c r="B1220" s="5">
        <f t="shared" si="48"/>
        <v>2016</v>
      </c>
      <c r="C1220" s="9">
        <v>42493</v>
      </c>
      <c r="D1220">
        <v>14.25</v>
      </c>
    </row>
    <row r="1221" spans="1:4" x14ac:dyDescent="0.25">
      <c r="A1221" s="5">
        <f t="shared" si="47"/>
        <v>5</v>
      </c>
      <c r="B1221" s="5">
        <f t="shared" si="48"/>
        <v>2016</v>
      </c>
      <c r="C1221" s="9">
        <v>42494</v>
      </c>
      <c r="D1221">
        <v>14.25</v>
      </c>
    </row>
    <row r="1222" spans="1:4" x14ac:dyDescent="0.25">
      <c r="A1222" s="5">
        <f t="shared" si="47"/>
        <v>5</v>
      </c>
      <c r="B1222" s="5">
        <f t="shared" si="48"/>
        <v>2016</v>
      </c>
      <c r="C1222" s="9">
        <v>42495</v>
      </c>
      <c r="D1222">
        <v>14.25</v>
      </c>
    </row>
    <row r="1223" spans="1:4" x14ac:dyDescent="0.25">
      <c r="A1223" s="5">
        <f t="shared" si="47"/>
        <v>5</v>
      </c>
      <c r="B1223" s="5">
        <f t="shared" si="48"/>
        <v>2016</v>
      </c>
      <c r="C1223" s="9">
        <v>42496</v>
      </c>
      <c r="D1223">
        <v>14.25</v>
      </c>
    </row>
    <row r="1224" spans="1:4" x14ac:dyDescent="0.25">
      <c r="A1224" s="5">
        <f t="shared" si="47"/>
        <v>5</v>
      </c>
      <c r="B1224" s="5">
        <f t="shared" si="48"/>
        <v>2016</v>
      </c>
      <c r="C1224" s="9">
        <v>42497</v>
      </c>
      <c r="D1224">
        <v>14.25</v>
      </c>
    </row>
    <row r="1225" spans="1:4" x14ac:dyDescent="0.25">
      <c r="A1225" s="5">
        <f t="shared" si="47"/>
        <v>5</v>
      </c>
      <c r="B1225" s="5">
        <f t="shared" si="48"/>
        <v>2016</v>
      </c>
      <c r="C1225" s="9">
        <v>42498</v>
      </c>
      <c r="D1225">
        <v>14.25</v>
      </c>
    </row>
    <row r="1226" spans="1:4" x14ac:dyDescent="0.25">
      <c r="A1226" s="5">
        <f t="shared" si="47"/>
        <v>5</v>
      </c>
      <c r="B1226" s="5">
        <f t="shared" si="48"/>
        <v>2016</v>
      </c>
      <c r="C1226" s="9">
        <v>42499</v>
      </c>
      <c r="D1226">
        <v>14.25</v>
      </c>
    </row>
    <row r="1227" spans="1:4" x14ac:dyDescent="0.25">
      <c r="A1227" s="5">
        <f t="shared" si="47"/>
        <v>5</v>
      </c>
      <c r="B1227" s="5">
        <f t="shared" si="48"/>
        <v>2016</v>
      </c>
      <c r="C1227" s="9">
        <v>42500</v>
      </c>
      <c r="D1227">
        <v>14.25</v>
      </c>
    </row>
    <row r="1228" spans="1:4" x14ac:dyDescent="0.25">
      <c r="A1228" s="5">
        <f t="shared" si="47"/>
        <v>5</v>
      </c>
      <c r="B1228" s="5">
        <f t="shared" si="48"/>
        <v>2016</v>
      </c>
      <c r="C1228" s="9">
        <v>42501</v>
      </c>
      <c r="D1228">
        <v>14.25</v>
      </c>
    </row>
    <row r="1229" spans="1:4" x14ac:dyDescent="0.25">
      <c r="A1229" s="5">
        <f t="shared" si="47"/>
        <v>5</v>
      </c>
      <c r="B1229" s="5">
        <f t="shared" si="48"/>
        <v>2016</v>
      </c>
      <c r="C1229" s="9">
        <v>42502</v>
      </c>
      <c r="D1229">
        <v>14.25</v>
      </c>
    </row>
    <row r="1230" spans="1:4" x14ac:dyDescent="0.25">
      <c r="A1230" s="5">
        <f t="shared" si="47"/>
        <v>5</v>
      </c>
      <c r="B1230" s="5">
        <f t="shared" si="48"/>
        <v>2016</v>
      </c>
      <c r="C1230" s="9">
        <v>42503</v>
      </c>
      <c r="D1230">
        <v>14.25</v>
      </c>
    </row>
    <row r="1231" spans="1:4" x14ac:dyDescent="0.25">
      <c r="A1231" s="5">
        <f t="shared" si="47"/>
        <v>5</v>
      </c>
      <c r="B1231" s="5">
        <f t="shared" si="48"/>
        <v>2016</v>
      </c>
      <c r="C1231" s="9">
        <v>42504</v>
      </c>
      <c r="D1231">
        <v>14.25</v>
      </c>
    </row>
    <row r="1232" spans="1:4" x14ac:dyDescent="0.25">
      <c r="A1232" s="5">
        <f t="shared" si="47"/>
        <v>5</v>
      </c>
      <c r="B1232" s="5">
        <f t="shared" si="48"/>
        <v>2016</v>
      </c>
      <c r="C1232" s="9">
        <v>42505</v>
      </c>
      <c r="D1232">
        <v>14.25</v>
      </c>
    </row>
    <row r="1233" spans="1:4" x14ac:dyDescent="0.25">
      <c r="A1233" s="5">
        <f t="shared" si="47"/>
        <v>5</v>
      </c>
      <c r="B1233" s="5">
        <f t="shared" si="48"/>
        <v>2016</v>
      </c>
      <c r="C1233" s="9">
        <v>42506</v>
      </c>
      <c r="D1233">
        <v>14.25</v>
      </c>
    </row>
    <row r="1234" spans="1:4" x14ac:dyDescent="0.25">
      <c r="A1234" s="5">
        <f t="shared" si="47"/>
        <v>5</v>
      </c>
      <c r="B1234" s="5">
        <f t="shared" si="48"/>
        <v>2016</v>
      </c>
      <c r="C1234" s="9">
        <v>42507</v>
      </c>
      <c r="D1234">
        <v>14.25</v>
      </c>
    </row>
    <row r="1235" spans="1:4" x14ac:dyDescent="0.25">
      <c r="A1235" s="5">
        <f t="shared" si="47"/>
        <v>5</v>
      </c>
      <c r="B1235" s="5">
        <f t="shared" si="48"/>
        <v>2016</v>
      </c>
      <c r="C1235" s="9">
        <v>42508</v>
      </c>
      <c r="D1235">
        <v>14.25</v>
      </c>
    </row>
    <row r="1236" spans="1:4" x14ac:dyDescent="0.25">
      <c r="A1236" s="5">
        <f t="shared" si="47"/>
        <v>5</v>
      </c>
      <c r="B1236" s="5">
        <f t="shared" si="48"/>
        <v>2016</v>
      </c>
      <c r="C1236" s="9">
        <v>42509</v>
      </c>
      <c r="D1236">
        <v>14.25</v>
      </c>
    </row>
    <row r="1237" spans="1:4" x14ac:dyDescent="0.25">
      <c r="A1237" s="5">
        <f t="shared" si="47"/>
        <v>5</v>
      </c>
      <c r="B1237" s="5">
        <f t="shared" si="48"/>
        <v>2016</v>
      </c>
      <c r="C1237" s="9">
        <v>42510</v>
      </c>
      <c r="D1237">
        <v>14.25</v>
      </c>
    </row>
    <row r="1238" spans="1:4" x14ac:dyDescent="0.25">
      <c r="A1238" s="5">
        <f t="shared" si="47"/>
        <v>5</v>
      </c>
      <c r="B1238" s="5">
        <f t="shared" si="48"/>
        <v>2016</v>
      </c>
      <c r="C1238" s="9">
        <v>42511</v>
      </c>
      <c r="D1238">
        <v>14.25</v>
      </c>
    </row>
    <row r="1239" spans="1:4" x14ac:dyDescent="0.25">
      <c r="A1239" s="5">
        <f t="shared" si="47"/>
        <v>5</v>
      </c>
      <c r="B1239" s="5">
        <f t="shared" si="48"/>
        <v>2016</v>
      </c>
      <c r="C1239" s="9">
        <v>42512</v>
      </c>
      <c r="D1239">
        <v>14.25</v>
      </c>
    </row>
    <row r="1240" spans="1:4" x14ac:dyDescent="0.25">
      <c r="A1240" s="5">
        <f t="shared" si="47"/>
        <v>5</v>
      </c>
      <c r="B1240" s="5">
        <f t="shared" si="48"/>
        <v>2016</v>
      </c>
      <c r="C1240" s="9">
        <v>42513</v>
      </c>
      <c r="D1240">
        <v>14.25</v>
      </c>
    </row>
    <row r="1241" spans="1:4" x14ac:dyDescent="0.25">
      <c r="A1241" s="5">
        <f t="shared" si="47"/>
        <v>5</v>
      </c>
      <c r="B1241" s="5">
        <f t="shared" si="48"/>
        <v>2016</v>
      </c>
      <c r="C1241" s="9">
        <v>42514</v>
      </c>
      <c r="D1241">
        <v>14.25</v>
      </c>
    </row>
    <row r="1242" spans="1:4" x14ac:dyDescent="0.25">
      <c r="A1242" s="5">
        <f t="shared" si="47"/>
        <v>5</v>
      </c>
      <c r="B1242" s="5">
        <f t="shared" si="48"/>
        <v>2016</v>
      </c>
      <c r="C1242" s="9">
        <v>42515</v>
      </c>
      <c r="D1242">
        <v>14.25</v>
      </c>
    </row>
    <row r="1243" spans="1:4" x14ac:dyDescent="0.25">
      <c r="A1243" s="5">
        <f t="shared" si="47"/>
        <v>5</v>
      </c>
      <c r="B1243" s="5">
        <f t="shared" si="48"/>
        <v>2016</v>
      </c>
      <c r="C1243" s="9">
        <v>42516</v>
      </c>
      <c r="D1243">
        <v>14.25</v>
      </c>
    </row>
    <row r="1244" spans="1:4" x14ac:dyDescent="0.25">
      <c r="A1244" s="5">
        <f t="shared" si="47"/>
        <v>5</v>
      </c>
      <c r="B1244" s="5">
        <f t="shared" si="48"/>
        <v>2016</v>
      </c>
      <c r="C1244" s="9">
        <v>42517</v>
      </c>
      <c r="D1244">
        <v>14.25</v>
      </c>
    </row>
    <row r="1245" spans="1:4" x14ac:dyDescent="0.25">
      <c r="A1245" s="5">
        <f t="shared" si="47"/>
        <v>5</v>
      </c>
      <c r="B1245" s="5">
        <f t="shared" si="48"/>
        <v>2016</v>
      </c>
      <c r="C1245" s="9">
        <v>42518</v>
      </c>
      <c r="D1245">
        <v>14.25</v>
      </c>
    </row>
    <row r="1246" spans="1:4" x14ac:dyDescent="0.25">
      <c r="A1246" s="5">
        <f t="shared" si="47"/>
        <v>5</v>
      </c>
      <c r="B1246" s="5">
        <f t="shared" si="48"/>
        <v>2016</v>
      </c>
      <c r="C1246" s="9">
        <v>42519</v>
      </c>
      <c r="D1246">
        <v>14.25</v>
      </c>
    </row>
    <row r="1247" spans="1:4" x14ac:dyDescent="0.25">
      <c r="A1247" s="5">
        <f t="shared" si="47"/>
        <v>5</v>
      </c>
      <c r="B1247" s="5">
        <f t="shared" si="48"/>
        <v>2016</v>
      </c>
      <c r="C1247" s="9">
        <v>42520</v>
      </c>
      <c r="D1247">
        <v>14.25</v>
      </c>
    </row>
    <row r="1248" spans="1:4" x14ac:dyDescent="0.25">
      <c r="A1248" s="5">
        <f t="shared" si="47"/>
        <v>5</v>
      </c>
      <c r="B1248" s="5">
        <f t="shared" si="48"/>
        <v>2016</v>
      </c>
      <c r="C1248" s="9">
        <v>42521</v>
      </c>
      <c r="D1248">
        <v>14.25</v>
      </c>
    </row>
    <row r="1249" spans="1:4" x14ac:dyDescent="0.25">
      <c r="A1249" s="5">
        <f t="shared" si="47"/>
        <v>6</v>
      </c>
      <c r="B1249" s="5">
        <f t="shared" si="48"/>
        <v>2016</v>
      </c>
      <c r="C1249" s="9">
        <v>42522</v>
      </c>
      <c r="D1249">
        <v>14.25</v>
      </c>
    </row>
    <row r="1250" spans="1:4" x14ac:dyDescent="0.25">
      <c r="A1250" s="5">
        <f t="shared" si="47"/>
        <v>6</v>
      </c>
      <c r="B1250" s="5">
        <f t="shared" si="48"/>
        <v>2016</v>
      </c>
      <c r="C1250" s="9">
        <v>42523</v>
      </c>
      <c r="D1250">
        <v>14.25</v>
      </c>
    </row>
    <row r="1251" spans="1:4" x14ac:dyDescent="0.25">
      <c r="A1251" s="5">
        <f t="shared" si="47"/>
        <v>6</v>
      </c>
      <c r="B1251" s="5">
        <f t="shared" si="48"/>
        <v>2016</v>
      </c>
      <c r="C1251" s="9">
        <v>42524</v>
      </c>
      <c r="D1251">
        <v>14.25</v>
      </c>
    </row>
    <row r="1252" spans="1:4" x14ac:dyDescent="0.25">
      <c r="A1252" s="5">
        <f t="shared" si="47"/>
        <v>6</v>
      </c>
      <c r="B1252" s="5">
        <f t="shared" si="48"/>
        <v>2016</v>
      </c>
      <c r="C1252" s="9">
        <v>42525</v>
      </c>
      <c r="D1252">
        <v>14.25</v>
      </c>
    </row>
    <row r="1253" spans="1:4" x14ac:dyDescent="0.25">
      <c r="A1253" s="5">
        <f t="shared" si="47"/>
        <v>6</v>
      </c>
      <c r="B1253" s="5">
        <f t="shared" si="48"/>
        <v>2016</v>
      </c>
      <c r="C1253" s="9">
        <v>42526</v>
      </c>
      <c r="D1253">
        <v>14.25</v>
      </c>
    </row>
    <row r="1254" spans="1:4" x14ac:dyDescent="0.25">
      <c r="A1254" s="5">
        <f t="shared" si="47"/>
        <v>6</v>
      </c>
      <c r="B1254" s="5">
        <f t="shared" si="48"/>
        <v>2016</v>
      </c>
      <c r="C1254" s="9">
        <v>42527</v>
      </c>
      <c r="D1254">
        <v>14.25</v>
      </c>
    </row>
    <row r="1255" spans="1:4" x14ac:dyDescent="0.25">
      <c r="A1255" s="5">
        <f t="shared" si="47"/>
        <v>6</v>
      </c>
      <c r="B1255" s="5">
        <f t="shared" si="48"/>
        <v>2016</v>
      </c>
      <c r="C1255" s="9">
        <v>42528</v>
      </c>
      <c r="D1255">
        <v>14.25</v>
      </c>
    </row>
    <row r="1256" spans="1:4" x14ac:dyDescent="0.25">
      <c r="A1256" s="5">
        <f t="shared" si="47"/>
        <v>6</v>
      </c>
      <c r="B1256" s="5">
        <f t="shared" si="48"/>
        <v>2016</v>
      </c>
      <c r="C1256" s="9">
        <v>42529</v>
      </c>
      <c r="D1256">
        <v>14.25</v>
      </c>
    </row>
    <row r="1257" spans="1:4" x14ac:dyDescent="0.25">
      <c r="A1257" s="5">
        <f t="shared" si="47"/>
        <v>6</v>
      </c>
      <c r="B1257" s="5">
        <f t="shared" si="48"/>
        <v>2016</v>
      </c>
      <c r="C1257" s="9">
        <v>42530</v>
      </c>
      <c r="D1257">
        <v>14.25</v>
      </c>
    </row>
    <row r="1258" spans="1:4" x14ac:dyDescent="0.25">
      <c r="A1258" s="5">
        <f t="shared" si="47"/>
        <v>6</v>
      </c>
      <c r="B1258" s="5">
        <f t="shared" si="48"/>
        <v>2016</v>
      </c>
      <c r="C1258" s="9">
        <v>42531</v>
      </c>
      <c r="D1258">
        <v>14.25</v>
      </c>
    </row>
    <row r="1259" spans="1:4" x14ac:dyDescent="0.25">
      <c r="A1259" s="5">
        <f t="shared" si="47"/>
        <v>6</v>
      </c>
      <c r="B1259" s="5">
        <f t="shared" si="48"/>
        <v>2016</v>
      </c>
      <c r="C1259" s="9">
        <v>42532</v>
      </c>
      <c r="D1259">
        <v>14.25</v>
      </c>
    </row>
    <row r="1260" spans="1:4" x14ac:dyDescent="0.25">
      <c r="A1260" s="5">
        <f t="shared" si="47"/>
        <v>6</v>
      </c>
      <c r="B1260" s="5">
        <f t="shared" si="48"/>
        <v>2016</v>
      </c>
      <c r="C1260" s="9">
        <v>42533</v>
      </c>
      <c r="D1260">
        <v>14.25</v>
      </c>
    </row>
    <row r="1261" spans="1:4" x14ac:dyDescent="0.25">
      <c r="A1261" s="5">
        <f t="shared" si="47"/>
        <v>6</v>
      </c>
      <c r="B1261" s="5">
        <f t="shared" si="48"/>
        <v>2016</v>
      </c>
      <c r="C1261" s="9">
        <v>42534</v>
      </c>
      <c r="D1261">
        <v>14.25</v>
      </c>
    </row>
    <row r="1262" spans="1:4" x14ac:dyDescent="0.25">
      <c r="A1262" s="5">
        <f t="shared" si="47"/>
        <v>6</v>
      </c>
      <c r="B1262" s="5">
        <f t="shared" si="48"/>
        <v>2016</v>
      </c>
      <c r="C1262" s="9">
        <v>42535</v>
      </c>
      <c r="D1262">
        <v>14.25</v>
      </c>
    </row>
    <row r="1263" spans="1:4" x14ac:dyDescent="0.25">
      <c r="A1263" s="5">
        <f t="shared" si="47"/>
        <v>6</v>
      </c>
      <c r="B1263" s="5">
        <f t="shared" si="48"/>
        <v>2016</v>
      </c>
      <c r="C1263" s="9">
        <v>42536</v>
      </c>
      <c r="D1263">
        <v>14.25</v>
      </c>
    </row>
    <row r="1264" spans="1:4" x14ac:dyDescent="0.25">
      <c r="A1264" s="5">
        <f t="shared" si="47"/>
        <v>6</v>
      </c>
      <c r="B1264" s="5">
        <f t="shared" si="48"/>
        <v>2016</v>
      </c>
      <c r="C1264" s="9">
        <v>42537</v>
      </c>
      <c r="D1264">
        <v>14.25</v>
      </c>
    </row>
    <row r="1265" spans="1:4" x14ac:dyDescent="0.25">
      <c r="A1265" s="5">
        <f t="shared" si="47"/>
        <v>6</v>
      </c>
      <c r="B1265" s="5">
        <f t="shared" si="48"/>
        <v>2016</v>
      </c>
      <c r="C1265" s="9">
        <v>42538</v>
      </c>
      <c r="D1265">
        <v>14.25</v>
      </c>
    </row>
    <row r="1266" spans="1:4" x14ac:dyDescent="0.25">
      <c r="A1266" s="5">
        <f t="shared" si="47"/>
        <v>6</v>
      </c>
      <c r="B1266" s="5">
        <f t="shared" si="48"/>
        <v>2016</v>
      </c>
      <c r="C1266" s="9">
        <v>42539</v>
      </c>
      <c r="D1266">
        <v>14.25</v>
      </c>
    </row>
    <row r="1267" spans="1:4" x14ac:dyDescent="0.25">
      <c r="A1267" s="5">
        <f t="shared" si="47"/>
        <v>6</v>
      </c>
      <c r="B1267" s="5">
        <f t="shared" si="48"/>
        <v>2016</v>
      </c>
      <c r="C1267" s="9">
        <v>42540</v>
      </c>
      <c r="D1267">
        <v>14.25</v>
      </c>
    </row>
    <row r="1268" spans="1:4" x14ac:dyDescent="0.25">
      <c r="A1268" s="5">
        <f t="shared" si="47"/>
        <v>6</v>
      </c>
      <c r="B1268" s="5">
        <f t="shared" si="48"/>
        <v>2016</v>
      </c>
      <c r="C1268" s="9">
        <v>42541</v>
      </c>
      <c r="D1268">
        <v>14.25</v>
      </c>
    </row>
    <row r="1269" spans="1:4" x14ac:dyDescent="0.25">
      <c r="A1269" s="5">
        <f t="shared" si="47"/>
        <v>6</v>
      </c>
      <c r="B1269" s="5">
        <f t="shared" si="48"/>
        <v>2016</v>
      </c>
      <c r="C1269" s="9">
        <v>42542</v>
      </c>
      <c r="D1269">
        <v>14.25</v>
      </c>
    </row>
    <row r="1270" spans="1:4" x14ac:dyDescent="0.25">
      <c r="A1270" s="5">
        <f t="shared" si="47"/>
        <v>6</v>
      </c>
      <c r="B1270" s="5">
        <f t="shared" si="48"/>
        <v>2016</v>
      </c>
      <c r="C1270" s="9">
        <v>42543</v>
      </c>
      <c r="D1270">
        <v>14.25</v>
      </c>
    </row>
    <row r="1271" spans="1:4" x14ac:dyDescent="0.25">
      <c r="A1271" s="5">
        <f t="shared" si="47"/>
        <v>6</v>
      </c>
      <c r="B1271" s="5">
        <f t="shared" si="48"/>
        <v>2016</v>
      </c>
      <c r="C1271" s="9">
        <v>42544</v>
      </c>
      <c r="D1271">
        <v>14.25</v>
      </c>
    </row>
    <row r="1272" spans="1:4" x14ac:dyDescent="0.25">
      <c r="A1272" s="5">
        <f t="shared" si="47"/>
        <v>6</v>
      </c>
      <c r="B1272" s="5">
        <f t="shared" si="48"/>
        <v>2016</v>
      </c>
      <c r="C1272" s="9">
        <v>42545</v>
      </c>
      <c r="D1272">
        <v>14.25</v>
      </c>
    </row>
    <row r="1273" spans="1:4" x14ac:dyDescent="0.25">
      <c r="A1273" s="5">
        <f t="shared" si="47"/>
        <v>6</v>
      </c>
      <c r="B1273" s="5">
        <f t="shared" si="48"/>
        <v>2016</v>
      </c>
      <c r="C1273" s="9">
        <v>42546</v>
      </c>
      <c r="D1273">
        <v>14.25</v>
      </c>
    </row>
    <row r="1274" spans="1:4" x14ac:dyDescent="0.25">
      <c r="A1274" s="5">
        <f t="shared" si="47"/>
        <v>6</v>
      </c>
      <c r="B1274" s="5">
        <f t="shared" si="48"/>
        <v>2016</v>
      </c>
      <c r="C1274" s="9">
        <v>42547</v>
      </c>
      <c r="D1274">
        <v>14.25</v>
      </c>
    </row>
    <row r="1275" spans="1:4" x14ac:dyDescent="0.25">
      <c r="A1275" s="5">
        <f t="shared" si="47"/>
        <v>6</v>
      </c>
      <c r="B1275" s="5">
        <f t="shared" si="48"/>
        <v>2016</v>
      </c>
      <c r="C1275" s="9">
        <v>42548</v>
      </c>
      <c r="D1275">
        <v>14.25</v>
      </c>
    </row>
    <row r="1276" spans="1:4" x14ac:dyDescent="0.25">
      <c r="A1276" s="5">
        <f t="shared" si="47"/>
        <v>6</v>
      </c>
      <c r="B1276" s="5">
        <f t="shared" si="48"/>
        <v>2016</v>
      </c>
      <c r="C1276" s="9">
        <v>42549</v>
      </c>
      <c r="D1276">
        <v>14.25</v>
      </c>
    </row>
    <row r="1277" spans="1:4" x14ac:dyDescent="0.25">
      <c r="A1277" s="5">
        <f t="shared" si="47"/>
        <v>6</v>
      </c>
      <c r="B1277" s="5">
        <f t="shared" si="48"/>
        <v>2016</v>
      </c>
      <c r="C1277" s="9">
        <v>42550</v>
      </c>
      <c r="D1277">
        <v>14.25</v>
      </c>
    </row>
    <row r="1278" spans="1:4" x14ac:dyDescent="0.25">
      <c r="A1278" s="5">
        <f t="shared" si="47"/>
        <v>6</v>
      </c>
      <c r="B1278" s="5">
        <f t="shared" si="48"/>
        <v>2016</v>
      </c>
      <c r="C1278" s="9">
        <v>42551</v>
      </c>
      <c r="D1278">
        <v>14.25</v>
      </c>
    </row>
    <row r="1279" spans="1:4" x14ac:dyDescent="0.25">
      <c r="A1279" s="5">
        <f t="shared" si="47"/>
        <v>7</v>
      </c>
      <c r="B1279" s="5">
        <f t="shared" si="48"/>
        <v>2016</v>
      </c>
      <c r="C1279" s="9">
        <v>42552</v>
      </c>
      <c r="D1279">
        <v>14.25</v>
      </c>
    </row>
    <row r="1280" spans="1:4" x14ac:dyDescent="0.25">
      <c r="A1280" s="5">
        <f t="shared" si="47"/>
        <v>7</v>
      </c>
      <c r="B1280" s="5">
        <f t="shared" si="48"/>
        <v>2016</v>
      </c>
      <c r="C1280" s="9">
        <v>42553</v>
      </c>
      <c r="D1280">
        <v>14.25</v>
      </c>
    </row>
    <row r="1281" spans="1:4" x14ac:dyDescent="0.25">
      <c r="A1281" s="5">
        <f t="shared" si="47"/>
        <v>7</v>
      </c>
      <c r="B1281" s="5">
        <f t="shared" si="48"/>
        <v>2016</v>
      </c>
      <c r="C1281" s="9">
        <v>42554</v>
      </c>
      <c r="D1281">
        <v>14.25</v>
      </c>
    </row>
    <row r="1282" spans="1:4" x14ac:dyDescent="0.25">
      <c r="A1282" s="5">
        <f t="shared" si="47"/>
        <v>7</v>
      </c>
      <c r="B1282" s="5">
        <f t="shared" si="48"/>
        <v>2016</v>
      </c>
      <c r="C1282" s="9">
        <v>42555</v>
      </c>
      <c r="D1282">
        <v>14.25</v>
      </c>
    </row>
    <row r="1283" spans="1:4" x14ac:dyDescent="0.25">
      <c r="A1283" s="5">
        <f t="shared" ref="A1283:A1346" si="49">MONTH(C1283)</f>
        <v>7</v>
      </c>
      <c r="B1283" s="5">
        <f t="shared" ref="B1283:B1346" si="50">YEAR(C1283)</f>
        <v>2016</v>
      </c>
      <c r="C1283" s="9">
        <v>42556</v>
      </c>
      <c r="D1283">
        <v>14.25</v>
      </c>
    </row>
    <row r="1284" spans="1:4" x14ac:dyDescent="0.25">
      <c r="A1284" s="5">
        <f t="shared" si="49"/>
        <v>7</v>
      </c>
      <c r="B1284" s="5">
        <f t="shared" si="50"/>
        <v>2016</v>
      </c>
      <c r="C1284" s="9">
        <v>42557</v>
      </c>
      <c r="D1284">
        <v>14.25</v>
      </c>
    </row>
    <row r="1285" spans="1:4" x14ac:dyDescent="0.25">
      <c r="A1285" s="5">
        <f t="shared" si="49"/>
        <v>7</v>
      </c>
      <c r="B1285" s="5">
        <f t="shared" si="50"/>
        <v>2016</v>
      </c>
      <c r="C1285" s="9">
        <v>42558</v>
      </c>
      <c r="D1285">
        <v>14.25</v>
      </c>
    </row>
    <row r="1286" spans="1:4" x14ac:dyDescent="0.25">
      <c r="A1286" s="5">
        <f t="shared" si="49"/>
        <v>7</v>
      </c>
      <c r="B1286" s="5">
        <f t="shared" si="50"/>
        <v>2016</v>
      </c>
      <c r="C1286" s="9">
        <v>42559</v>
      </c>
      <c r="D1286">
        <v>14.25</v>
      </c>
    </row>
    <row r="1287" spans="1:4" x14ac:dyDescent="0.25">
      <c r="A1287" s="5">
        <f t="shared" si="49"/>
        <v>7</v>
      </c>
      <c r="B1287" s="5">
        <f t="shared" si="50"/>
        <v>2016</v>
      </c>
      <c r="C1287" s="9">
        <v>42560</v>
      </c>
      <c r="D1287">
        <v>14.25</v>
      </c>
    </row>
    <row r="1288" spans="1:4" x14ac:dyDescent="0.25">
      <c r="A1288" s="5">
        <f t="shared" si="49"/>
        <v>7</v>
      </c>
      <c r="B1288" s="5">
        <f t="shared" si="50"/>
        <v>2016</v>
      </c>
      <c r="C1288" s="9">
        <v>42561</v>
      </c>
      <c r="D1288">
        <v>14.25</v>
      </c>
    </row>
    <row r="1289" spans="1:4" x14ac:dyDescent="0.25">
      <c r="A1289" s="5">
        <f t="shared" si="49"/>
        <v>7</v>
      </c>
      <c r="B1289" s="5">
        <f t="shared" si="50"/>
        <v>2016</v>
      </c>
      <c r="C1289" s="9">
        <v>42562</v>
      </c>
      <c r="D1289">
        <v>14.25</v>
      </c>
    </row>
    <row r="1290" spans="1:4" x14ac:dyDescent="0.25">
      <c r="A1290" s="5">
        <f t="shared" si="49"/>
        <v>7</v>
      </c>
      <c r="B1290" s="5">
        <f t="shared" si="50"/>
        <v>2016</v>
      </c>
      <c r="C1290" s="9">
        <v>42563</v>
      </c>
      <c r="D1290">
        <v>14.25</v>
      </c>
    </row>
    <row r="1291" spans="1:4" x14ac:dyDescent="0.25">
      <c r="A1291" s="5">
        <f t="shared" si="49"/>
        <v>7</v>
      </c>
      <c r="B1291" s="5">
        <f t="shared" si="50"/>
        <v>2016</v>
      </c>
      <c r="C1291" s="9">
        <v>42564</v>
      </c>
      <c r="D1291">
        <v>14.25</v>
      </c>
    </row>
    <row r="1292" spans="1:4" x14ac:dyDescent="0.25">
      <c r="A1292" s="5">
        <f t="shared" si="49"/>
        <v>7</v>
      </c>
      <c r="B1292" s="5">
        <f t="shared" si="50"/>
        <v>2016</v>
      </c>
      <c r="C1292" s="9">
        <v>42565</v>
      </c>
      <c r="D1292">
        <v>14.25</v>
      </c>
    </row>
    <row r="1293" spans="1:4" x14ac:dyDescent="0.25">
      <c r="A1293" s="5">
        <f t="shared" si="49"/>
        <v>7</v>
      </c>
      <c r="B1293" s="5">
        <f t="shared" si="50"/>
        <v>2016</v>
      </c>
      <c r="C1293" s="9">
        <v>42566</v>
      </c>
      <c r="D1293">
        <v>14.25</v>
      </c>
    </row>
    <row r="1294" spans="1:4" x14ac:dyDescent="0.25">
      <c r="A1294" s="5">
        <f t="shared" si="49"/>
        <v>7</v>
      </c>
      <c r="B1294" s="5">
        <f t="shared" si="50"/>
        <v>2016</v>
      </c>
      <c r="C1294" s="9">
        <v>42567</v>
      </c>
      <c r="D1294">
        <v>14.25</v>
      </c>
    </row>
    <row r="1295" spans="1:4" x14ac:dyDescent="0.25">
      <c r="A1295" s="5">
        <f t="shared" si="49"/>
        <v>7</v>
      </c>
      <c r="B1295" s="5">
        <f t="shared" si="50"/>
        <v>2016</v>
      </c>
      <c r="C1295" s="9">
        <v>42568</v>
      </c>
      <c r="D1295">
        <v>14.25</v>
      </c>
    </row>
    <row r="1296" spans="1:4" x14ac:dyDescent="0.25">
      <c r="A1296" s="5">
        <f t="shared" si="49"/>
        <v>7</v>
      </c>
      <c r="B1296" s="5">
        <f t="shared" si="50"/>
        <v>2016</v>
      </c>
      <c r="C1296" s="9">
        <v>42569</v>
      </c>
      <c r="D1296">
        <v>14.25</v>
      </c>
    </row>
    <row r="1297" spans="1:4" x14ac:dyDescent="0.25">
      <c r="A1297" s="5">
        <f t="shared" si="49"/>
        <v>7</v>
      </c>
      <c r="B1297" s="5">
        <f t="shared" si="50"/>
        <v>2016</v>
      </c>
      <c r="C1297" s="9">
        <v>42570</v>
      </c>
      <c r="D1297">
        <v>14.25</v>
      </c>
    </row>
    <row r="1298" spans="1:4" x14ac:dyDescent="0.25">
      <c r="A1298" s="5">
        <f t="shared" si="49"/>
        <v>7</v>
      </c>
      <c r="B1298" s="5">
        <f t="shared" si="50"/>
        <v>2016</v>
      </c>
      <c r="C1298" s="9">
        <v>42571</v>
      </c>
      <c r="D1298">
        <v>14.25</v>
      </c>
    </row>
    <row r="1299" spans="1:4" x14ac:dyDescent="0.25">
      <c r="A1299" s="5">
        <f t="shared" si="49"/>
        <v>7</v>
      </c>
      <c r="B1299" s="5">
        <f t="shared" si="50"/>
        <v>2016</v>
      </c>
      <c r="C1299" s="9">
        <v>42572</v>
      </c>
      <c r="D1299">
        <v>14.25</v>
      </c>
    </row>
    <row r="1300" spans="1:4" x14ac:dyDescent="0.25">
      <c r="A1300" s="5">
        <f t="shared" si="49"/>
        <v>7</v>
      </c>
      <c r="B1300" s="5">
        <f t="shared" si="50"/>
        <v>2016</v>
      </c>
      <c r="C1300" s="9">
        <v>42573</v>
      </c>
      <c r="D1300">
        <v>14.25</v>
      </c>
    </row>
    <row r="1301" spans="1:4" x14ac:dyDescent="0.25">
      <c r="A1301" s="5">
        <f t="shared" si="49"/>
        <v>7</v>
      </c>
      <c r="B1301" s="5">
        <f t="shared" si="50"/>
        <v>2016</v>
      </c>
      <c r="C1301" s="9">
        <v>42574</v>
      </c>
      <c r="D1301">
        <v>14.25</v>
      </c>
    </row>
    <row r="1302" spans="1:4" x14ac:dyDescent="0.25">
      <c r="A1302" s="5">
        <f t="shared" si="49"/>
        <v>7</v>
      </c>
      <c r="B1302" s="5">
        <f t="shared" si="50"/>
        <v>2016</v>
      </c>
      <c r="C1302" s="9">
        <v>42575</v>
      </c>
      <c r="D1302">
        <v>14.25</v>
      </c>
    </row>
    <row r="1303" spans="1:4" x14ac:dyDescent="0.25">
      <c r="A1303" s="5">
        <f t="shared" si="49"/>
        <v>7</v>
      </c>
      <c r="B1303" s="5">
        <f t="shared" si="50"/>
        <v>2016</v>
      </c>
      <c r="C1303" s="9">
        <v>42576</v>
      </c>
      <c r="D1303">
        <v>14.25</v>
      </c>
    </row>
    <row r="1304" spans="1:4" x14ac:dyDescent="0.25">
      <c r="A1304" s="5">
        <f t="shared" si="49"/>
        <v>7</v>
      </c>
      <c r="B1304" s="5">
        <f t="shared" si="50"/>
        <v>2016</v>
      </c>
      <c r="C1304" s="9">
        <v>42577</v>
      </c>
      <c r="D1304">
        <v>14.25</v>
      </c>
    </row>
    <row r="1305" spans="1:4" x14ac:dyDescent="0.25">
      <c r="A1305" s="5">
        <f t="shared" si="49"/>
        <v>7</v>
      </c>
      <c r="B1305" s="5">
        <f t="shared" si="50"/>
        <v>2016</v>
      </c>
      <c r="C1305" s="9">
        <v>42578</v>
      </c>
      <c r="D1305">
        <v>14.25</v>
      </c>
    </row>
    <row r="1306" spans="1:4" x14ac:dyDescent="0.25">
      <c r="A1306" s="5">
        <f t="shared" si="49"/>
        <v>7</v>
      </c>
      <c r="B1306" s="5">
        <f t="shared" si="50"/>
        <v>2016</v>
      </c>
      <c r="C1306" s="9">
        <v>42579</v>
      </c>
      <c r="D1306">
        <v>14.25</v>
      </c>
    </row>
    <row r="1307" spans="1:4" x14ac:dyDescent="0.25">
      <c r="A1307" s="5">
        <f t="shared" si="49"/>
        <v>7</v>
      </c>
      <c r="B1307" s="5">
        <f t="shared" si="50"/>
        <v>2016</v>
      </c>
      <c r="C1307" s="9">
        <v>42580</v>
      </c>
      <c r="D1307">
        <v>14.25</v>
      </c>
    </row>
    <row r="1308" spans="1:4" x14ac:dyDescent="0.25">
      <c r="A1308" s="5">
        <f t="shared" si="49"/>
        <v>7</v>
      </c>
      <c r="B1308" s="5">
        <f t="shared" si="50"/>
        <v>2016</v>
      </c>
      <c r="C1308" s="9">
        <v>42581</v>
      </c>
      <c r="D1308">
        <v>14.25</v>
      </c>
    </row>
    <row r="1309" spans="1:4" x14ac:dyDescent="0.25">
      <c r="A1309" s="5">
        <f t="shared" si="49"/>
        <v>7</v>
      </c>
      <c r="B1309" s="5">
        <f t="shared" si="50"/>
        <v>2016</v>
      </c>
      <c r="C1309" s="9">
        <v>42582</v>
      </c>
      <c r="D1309">
        <v>14.25</v>
      </c>
    </row>
    <row r="1310" spans="1:4" x14ac:dyDescent="0.25">
      <c r="A1310" s="5">
        <f t="shared" si="49"/>
        <v>8</v>
      </c>
      <c r="B1310" s="5">
        <f t="shared" si="50"/>
        <v>2016</v>
      </c>
      <c r="C1310" s="9">
        <v>42583</v>
      </c>
      <c r="D1310">
        <v>14.25</v>
      </c>
    </row>
    <row r="1311" spans="1:4" x14ac:dyDescent="0.25">
      <c r="A1311" s="5">
        <f t="shared" si="49"/>
        <v>8</v>
      </c>
      <c r="B1311" s="5">
        <f t="shared" si="50"/>
        <v>2016</v>
      </c>
      <c r="C1311" s="9">
        <v>42584</v>
      </c>
      <c r="D1311">
        <v>14.25</v>
      </c>
    </row>
    <row r="1312" spans="1:4" x14ac:dyDescent="0.25">
      <c r="A1312" s="5">
        <f t="shared" si="49"/>
        <v>8</v>
      </c>
      <c r="B1312" s="5">
        <f t="shared" si="50"/>
        <v>2016</v>
      </c>
      <c r="C1312" s="9">
        <v>42585</v>
      </c>
      <c r="D1312">
        <v>14.25</v>
      </c>
    </row>
    <row r="1313" spans="1:4" x14ac:dyDescent="0.25">
      <c r="A1313" s="5">
        <f t="shared" si="49"/>
        <v>8</v>
      </c>
      <c r="B1313" s="5">
        <f t="shared" si="50"/>
        <v>2016</v>
      </c>
      <c r="C1313" s="9">
        <v>42586</v>
      </c>
      <c r="D1313">
        <v>14.25</v>
      </c>
    </row>
    <row r="1314" spans="1:4" x14ac:dyDescent="0.25">
      <c r="A1314" s="5">
        <f t="shared" si="49"/>
        <v>8</v>
      </c>
      <c r="B1314" s="5">
        <f t="shared" si="50"/>
        <v>2016</v>
      </c>
      <c r="C1314" s="9">
        <v>42587</v>
      </c>
      <c r="D1314">
        <v>14.25</v>
      </c>
    </row>
    <row r="1315" spans="1:4" x14ac:dyDescent="0.25">
      <c r="A1315" s="5">
        <f t="shared" si="49"/>
        <v>8</v>
      </c>
      <c r="B1315" s="5">
        <f t="shared" si="50"/>
        <v>2016</v>
      </c>
      <c r="C1315" s="9">
        <v>42588</v>
      </c>
      <c r="D1315">
        <v>14.25</v>
      </c>
    </row>
    <row r="1316" spans="1:4" x14ac:dyDescent="0.25">
      <c r="A1316" s="5">
        <f t="shared" si="49"/>
        <v>8</v>
      </c>
      <c r="B1316" s="5">
        <f t="shared" si="50"/>
        <v>2016</v>
      </c>
      <c r="C1316" s="9">
        <v>42589</v>
      </c>
      <c r="D1316">
        <v>14.25</v>
      </c>
    </row>
    <row r="1317" spans="1:4" x14ac:dyDescent="0.25">
      <c r="A1317" s="5">
        <f t="shared" si="49"/>
        <v>8</v>
      </c>
      <c r="B1317" s="5">
        <f t="shared" si="50"/>
        <v>2016</v>
      </c>
      <c r="C1317" s="9">
        <v>42590</v>
      </c>
      <c r="D1317">
        <v>14.25</v>
      </c>
    </row>
    <row r="1318" spans="1:4" x14ac:dyDescent="0.25">
      <c r="A1318" s="5">
        <f t="shared" si="49"/>
        <v>8</v>
      </c>
      <c r="B1318" s="5">
        <f t="shared" si="50"/>
        <v>2016</v>
      </c>
      <c r="C1318" s="9">
        <v>42591</v>
      </c>
      <c r="D1318">
        <v>14.25</v>
      </c>
    </row>
    <row r="1319" spans="1:4" x14ac:dyDescent="0.25">
      <c r="A1319" s="5">
        <f t="shared" si="49"/>
        <v>8</v>
      </c>
      <c r="B1319" s="5">
        <f t="shared" si="50"/>
        <v>2016</v>
      </c>
      <c r="C1319" s="9">
        <v>42592</v>
      </c>
      <c r="D1319">
        <v>14.25</v>
      </c>
    </row>
    <row r="1320" spans="1:4" x14ac:dyDescent="0.25">
      <c r="A1320" s="5">
        <f t="shared" si="49"/>
        <v>8</v>
      </c>
      <c r="B1320" s="5">
        <f t="shared" si="50"/>
        <v>2016</v>
      </c>
      <c r="C1320" s="9">
        <v>42593</v>
      </c>
      <c r="D1320">
        <v>14.25</v>
      </c>
    </row>
    <row r="1321" spans="1:4" x14ac:dyDescent="0.25">
      <c r="A1321" s="5">
        <f t="shared" si="49"/>
        <v>8</v>
      </c>
      <c r="B1321" s="5">
        <f t="shared" si="50"/>
        <v>2016</v>
      </c>
      <c r="C1321" s="9">
        <v>42594</v>
      </c>
      <c r="D1321">
        <v>14.25</v>
      </c>
    </row>
    <row r="1322" spans="1:4" x14ac:dyDescent="0.25">
      <c r="A1322" s="5">
        <f t="shared" si="49"/>
        <v>8</v>
      </c>
      <c r="B1322" s="5">
        <f t="shared" si="50"/>
        <v>2016</v>
      </c>
      <c r="C1322" s="9">
        <v>42595</v>
      </c>
      <c r="D1322">
        <v>14.25</v>
      </c>
    </row>
    <row r="1323" spans="1:4" x14ac:dyDescent="0.25">
      <c r="A1323" s="5">
        <f t="shared" si="49"/>
        <v>8</v>
      </c>
      <c r="B1323" s="5">
        <f t="shared" si="50"/>
        <v>2016</v>
      </c>
      <c r="C1323" s="9">
        <v>42596</v>
      </c>
      <c r="D1323">
        <v>14.25</v>
      </c>
    </row>
    <row r="1324" spans="1:4" x14ac:dyDescent="0.25">
      <c r="A1324" s="5">
        <f t="shared" si="49"/>
        <v>8</v>
      </c>
      <c r="B1324" s="5">
        <f t="shared" si="50"/>
        <v>2016</v>
      </c>
      <c r="C1324" s="9">
        <v>42597</v>
      </c>
      <c r="D1324">
        <v>14.25</v>
      </c>
    </row>
    <row r="1325" spans="1:4" x14ac:dyDescent="0.25">
      <c r="A1325" s="5">
        <f t="shared" si="49"/>
        <v>8</v>
      </c>
      <c r="B1325" s="5">
        <f t="shared" si="50"/>
        <v>2016</v>
      </c>
      <c r="C1325" s="9">
        <v>42598</v>
      </c>
      <c r="D1325">
        <v>14.25</v>
      </c>
    </row>
    <row r="1326" spans="1:4" x14ac:dyDescent="0.25">
      <c r="A1326" s="5">
        <f t="shared" si="49"/>
        <v>8</v>
      </c>
      <c r="B1326" s="5">
        <f t="shared" si="50"/>
        <v>2016</v>
      </c>
      <c r="C1326" s="9">
        <v>42599</v>
      </c>
      <c r="D1326">
        <v>14.25</v>
      </c>
    </row>
    <row r="1327" spans="1:4" x14ac:dyDescent="0.25">
      <c r="A1327" s="5">
        <f t="shared" si="49"/>
        <v>8</v>
      </c>
      <c r="B1327" s="5">
        <f t="shared" si="50"/>
        <v>2016</v>
      </c>
      <c r="C1327" s="9">
        <v>42600</v>
      </c>
      <c r="D1327">
        <v>14.25</v>
      </c>
    </row>
    <row r="1328" spans="1:4" x14ac:dyDescent="0.25">
      <c r="A1328" s="5">
        <f t="shared" si="49"/>
        <v>8</v>
      </c>
      <c r="B1328" s="5">
        <f t="shared" si="50"/>
        <v>2016</v>
      </c>
      <c r="C1328" s="9">
        <v>42601</v>
      </c>
      <c r="D1328">
        <v>14.25</v>
      </c>
    </row>
    <row r="1329" spans="1:4" x14ac:dyDescent="0.25">
      <c r="A1329" s="5">
        <f t="shared" si="49"/>
        <v>8</v>
      </c>
      <c r="B1329" s="5">
        <f t="shared" si="50"/>
        <v>2016</v>
      </c>
      <c r="C1329" s="9">
        <v>42602</v>
      </c>
      <c r="D1329">
        <v>14.25</v>
      </c>
    </row>
    <row r="1330" spans="1:4" x14ac:dyDescent="0.25">
      <c r="A1330" s="5">
        <f t="shared" si="49"/>
        <v>8</v>
      </c>
      <c r="B1330" s="5">
        <f t="shared" si="50"/>
        <v>2016</v>
      </c>
      <c r="C1330" s="9">
        <v>42603</v>
      </c>
      <c r="D1330">
        <v>14.25</v>
      </c>
    </row>
    <row r="1331" spans="1:4" x14ac:dyDescent="0.25">
      <c r="A1331" s="5">
        <f t="shared" si="49"/>
        <v>8</v>
      </c>
      <c r="B1331" s="5">
        <f t="shared" si="50"/>
        <v>2016</v>
      </c>
      <c r="C1331" s="9">
        <v>42604</v>
      </c>
      <c r="D1331">
        <v>14.25</v>
      </c>
    </row>
    <row r="1332" spans="1:4" x14ac:dyDescent="0.25">
      <c r="A1332" s="5">
        <f t="shared" si="49"/>
        <v>8</v>
      </c>
      <c r="B1332" s="5">
        <f t="shared" si="50"/>
        <v>2016</v>
      </c>
      <c r="C1332" s="9">
        <v>42605</v>
      </c>
      <c r="D1332">
        <v>14.25</v>
      </c>
    </row>
    <row r="1333" spans="1:4" x14ac:dyDescent="0.25">
      <c r="A1333" s="5">
        <f t="shared" si="49"/>
        <v>8</v>
      </c>
      <c r="B1333" s="5">
        <f t="shared" si="50"/>
        <v>2016</v>
      </c>
      <c r="C1333" s="9">
        <v>42606</v>
      </c>
      <c r="D1333">
        <v>14.25</v>
      </c>
    </row>
    <row r="1334" spans="1:4" x14ac:dyDescent="0.25">
      <c r="A1334" s="5">
        <f t="shared" si="49"/>
        <v>8</v>
      </c>
      <c r="B1334" s="5">
        <f t="shared" si="50"/>
        <v>2016</v>
      </c>
      <c r="C1334" s="9">
        <v>42607</v>
      </c>
      <c r="D1334">
        <v>14.25</v>
      </c>
    </row>
    <row r="1335" spans="1:4" x14ac:dyDescent="0.25">
      <c r="A1335" s="5">
        <f t="shared" si="49"/>
        <v>8</v>
      </c>
      <c r="B1335" s="5">
        <f t="shared" si="50"/>
        <v>2016</v>
      </c>
      <c r="C1335" s="9">
        <v>42608</v>
      </c>
      <c r="D1335">
        <v>14.25</v>
      </c>
    </row>
    <row r="1336" spans="1:4" x14ac:dyDescent="0.25">
      <c r="A1336" s="5">
        <f t="shared" si="49"/>
        <v>8</v>
      </c>
      <c r="B1336" s="5">
        <f t="shared" si="50"/>
        <v>2016</v>
      </c>
      <c r="C1336" s="9">
        <v>42609</v>
      </c>
      <c r="D1336">
        <v>14.25</v>
      </c>
    </row>
    <row r="1337" spans="1:4" x14ac:dyDescent="0.25">
      <c r="A1337" s="5">
        <f t="shared" si="49"/>
        <v>8</v>
      </c>
      <c r="B1337" s="5">
        <f t="shared" si="50"/>
        <v>2016</v>
      </c>
      <c r="C1337" s="9">
        <v>42610</v>
      </c>
      <c r="D1337">
        <v>14.25</v>
      </c>
    </row>
    <row r="1338" spans="1:4" x14ac:dyDescent="0.25">
      <c r="A1338" s="5">
        <f t="shared" si="49"/>
        <v>8</v>
      </c>
      <c r="B1338" s="5">
        <f t="shared" si="50"/>
        <v>2016</v>
      </c>
      <c r="C1338" s="9">
        <v>42611</v>
      </c>
      <c r="D1338">
        <v>14.25</v>
      </c>
    </row>
    <row r="1339" spans="1:4" x14ac:dyDescent="0.25">
      <c r="A1339" s="5">
        <f t="shared" si="49"/>
        <v>8</v>
      </c>
      <c r="B1339" s="5">
        <f t="shared" si="50"/>
        <v>2016</v>
      </c>
      <c r="C1339" s="9">
        <v>42612</v>
      </c>
      <c r="D1339">
        <v>14.25</v>
      </c>
    </row>
    <row r="1340" spans="1:4" x14ac:dyDescent="0.25">
      <c r="A1340" s="5">
        <f t="shared" si="49"/>
        <v>8</v>
      </c>
      <c r="B1340" s="5">
        <f t="shared" si="50"/>
        <v>2016</v>
      </c>
      <c r="C1340" s="9">
        <v>42613</v>
      </c>
      <c r="D1340">
        <v>14.25</v>
      </c>
    </row>
    <row r="1341" spans="1:4" x14ac:dyDescent="0.25">
      <c r="A1341" s="5">
        <f t="shared" si="49"/>
        <v>9</v>
      </c>
      <c r="B1341" s="5">
        <f t="shared" si="50"/>
        <v>2016</v>
      </c>
      <c r="C1341" s="9">
        <v>42614</v>
      </c>
      <c r="D1341">
        <v>14.25</v>
      </c>
    </row>
    <row r="1342" spans="1:4" x14ac:dyDescent="0.25">
      <c r="A1342" s="5">
        <f t="shared" si="49"/>
        <v>9</v>
      </c>
      <c r="B1342" s="5">
        <f t="shared" si="50"/>
        <v>2016</v>
      </c>
      <c r="C1342" s="9">
        <v>42615</v>
      </c>
      <c r="D1342">
        <v>14.25</v>
      </c>
    </row>
    <row r="1343" spans="1:4" x14ac:dyDescent="0.25">
      <c r="A1343" s="5">
        <f t="shared" si="49"/>
        <v>9</v>
      </c>
      <c r="B1343" s="5">
        <f t="shared" si="50"/>
        <v>2016</v>
      </c>
      <c r="C1343" s="9">
        <v>42616</v>
      </c>
      <c r="D1343">
        <v>14.25</v>
      </c>
    </row>
    <row r="1344" spans="1:4" x14ac:dyDescent="0.25">
      <c r="A1344" s="5">
        <f t="shared" si="49"/>
        <v>9</v>
      </c>
      <c r="B1344" s="5">
        <f t="shared" si="50"/>
        <v>2016</v>
      </c>
      <c r="C1344" s="9">
        <v>42617</v>
      </c>
      <c r="D1344">
        <v>14.25</v>
      </c>
    </row>
    <row r="1345" spans="1:4" x14ac:dyDescent="0.25">
      <c r="A1345" s="5">
        <f t="shared" si="49"/>
        <v>9</v>
      </c>
      <c r="B1345" s="5">
        <f t="shared" si="50"/>
        <v>2016</v>
      </c>
      <c r="C1345" s="9">
        <v>42618</v>
      </c>
      <c r="D1345">
        <v>14.25</v>
      </c>
    </row>
    <row r="1346" spans="1:4" x14ac:dyDescent="0.25">
      <c r="A1346" s="5">
        <f t="shared" si="49"/>
        <v>9</v>
      </c>
      <c r="B1346" s="5">
        <f t="shared" si="50"/>
        <v>2016</v>
      </c>
      <c r="C1346" s="9">
        <v>42619</v>
      </c>
      <c r="D1346">
        <v>14.25</v>
      </c>
    </row>
    <row r="1347" spans="1:4" x14ac:dyDescent="0.25">
      <c r="A1347" s="5">
        <f t="shared" ref="A1347:A1410" si="51">MONTH(C1347)</f>
        <v>9</v>
      </c>
      <c r="B1347" s="5">
        <f t="shared" ref="B1347:B1410" si="52">YEAR(C1347)</f>
        <v>2016</v>
      </c>
      <c r="C1347" s="9">
        <v>42620</v>
      </c>
      <c r="D1347">
        <v>14.25</v>
      </c>
    </row>
    <row r="1348" spans="1:4" x14ac:dyDescent="0.25">
      <c r="A1348" s="5">
        <f t="shared" si="51"/>
        <v>9</v>
      </c>
      <c r="B1348" s="5">
        <f t="shared" si="52"/>
        <v>2016</v>
      </c>
      <c r="C1348" s="9">
        <v>42621</v>
      </c>
      <c r="D1348">
        <v>14.25</v>
      </c>
    </row>
    <row r="1349" spans="1:4" x14ac:dyDescent="0.25">
      <c r="A1349" s="5">
        <f t="shared" si="51"/>
        <v>9</v>
      </c>
      <c r="B1349" s="5">
        <f t="shared" si="52"/>
        <v>2016</v>
      </c>
      <c r="C1349" s="9">
        <v>42622</v>
      </c>
      <c r="D1349">
        <v>14.25</v>
      </c>
    </row>
    <row r="1350" spans="1:4" x14ac:dyDescent="0.25">
      <c r="A1350" s="5">
        <f t="shared" si="51"/>
        <v>9</v>
      </c>
      <c r="B1350" s="5">
        <f t="shared" si="52"/>
        <v>2016</v>
      </c>
      <c r="C1350" s="9">
        <v>42623</v>
      </c>
      <c r="D1350">
        <v>14.25</v>
      </c>
    </row>
    <row r="1351" spans="1:4" x14ac:dyDescent="0.25">
      <c r="A1351" s="5">
        <f t="shared" si="51"/>
        <v>9</v>
      </c>
      <c r="B1351" s="5">
        <f t="shared" si="52"/>
        <v>2016</v>
      </c>
      <c r="C1351" s="9">
        <v>42624</v>
      </c>
      <c r="D1351">
        <v>14.25</v>
      </c>
    </row>
    <row r="1352" spans="1:4" x14ac:dyDescent="0.25">
      <c r="A1352" s="5">
        <f t="shared" si="51"/>
        <v>9</v>
      </c>
      <c r="B1352" s="5">
        <f t="shared" si="52"/>
        <v>2016</v>
      </c>
      <c r="C1352" s="9">
        <v>42625</v>
      </c>
      <c r="D1352">
        <v>14.25</v>
      </c>
    </row>
    <row r="1353" spans="1:4" x14ac:dyDescent="0.25">
      <c r="A1353" s="5">
        <f t="shared" si="51"/>
        <v>9</v>
      </c>
      <c r="B1353" s="5">
        <f t="shared" si="52"/>
        <v>2016</v>
      </c>
      <c r="C1353" s="9">
        <v>42626</v>
      </c>
      <c r="D1353">
        <v>14.25</v>
      </c>
    </row>
    <row r="1354" spans="1:4" x14ac:dyDescent="0.25">
      <c r="A1354" s="5">
        <f t="shared" si="51"/>
        <v>9</v>
      </c>
      <c r="B1354" s="5">
        <f t="shared" si="52"/>
        <v>2016</v>
      </c>
      <c r="C1354" s="9">
        <v>42627</v>
      </c>
      <c r="D1354">
        <v>14.25</v>
      </c>
    </row>
    <row r="1355" spans="1:4" x14ac:dyDescent="0.25">
      <c r="A1355" s="5">
        <f t="shared" si="51"/>
        <v>9</v>
      </c>
      <c r="B1355" s="5">
        <f t="shared" si="52"/>
        <v>2016</v>
      </c>
      <c r="C1355" s="9">
        <v>42628</v>
      </c>
      <c r="D1355">
        <v>14.25</v>
      </c>
    </row>
    <row r="1356" spans="1:4" x14ac:dyDescent="0.25">
      <c r="A1356" s="5">
        <f t="shared" si="51"/>
        <v>9</v>
      </c>
      <c r="B1356" s="5">
        <f t="shared" si="52"/>
        <v>2016</v>
      </c>
      <c r="C1356" s="9">
        <v>42629</v>
      </c>
      <c r="D1356">
        <v>14.25</v>
      </c>
    </row>
    <row r="1357" spans="1:4" x14ac:dyDescent="0.25">
      <c r="A1357" s="5">
        <f t="shared" si="51"/>
        <v>9</v>
      </c>
      <c r="B1357" s="5">
        <f t="shared" si="52"/>
        <v>2016</v>
      </c>
      <c r="C1357" s="9">
        <v>42630</v>
      </c>
      <c r="D1357">
        <v>14.25</v>
      </c>
    </row>
    <row r="1358" spans="1:4" x14ac:dyDescent="0.25">
      <c r="A1358" s="5">
        <f t="shared" si="51"/>
        <v>9</v>
      </c>
      <c r="B1358" s="5">
        <f t="shared" si="52"/>
        <v>2016</v>
      </c>
      <c r="C1358" s="9">
        <v>42631</v>
      </c>
      <c r="D1358">
        <v>14.25</v>
      </c>
    </row>
    <row r="1359" spans="1:4" x14ac:dyDescent="0.25">
      <c r="A1359" s="5">
        <f t="shared" si="51"/>
        <v>9</v>
      </c>
      <c r="B1359" s="5">
        <f t="shared" si="52"/>
        <v>2016</v>
      </c>
      <c r="C1359" s="9">
        <v>42632</v>
      </c>
      <c r="D1359">
        <v>14.25</v>
      </c>
    </row>
    <row r="1360" spans="1:4" x14ac:dyDescent="0.25">
      <c r="A1360" s="5">
        <f t="shared" si="51"/>
        <v>9</v>
      </c>
      <c r="B1360" s="5">
        <f t="shared" si="52"/>
        <v>2016</v>
      </c>
      <c r="C1360" s="9">
        <v>42633</v>
      </c>
      <c r="D1360">
        <v>14.25</v>
      </c>
    </row>
    <row r="1361" spans="1:4" x14ac:dyDescent="0.25">
      <c r="A1361" s="5">
        <f t="shared" si="51"/>
        <v>9</v>
      </c>
      <c r="B1361" s="5">
        <f t="shared" si="52"/>
        <v>2016</v>
      </c>
      <c r="C1361" s="9">
        <v>42634</v>
      </c>
      <c r="D1361">
        <v>14.25</v>
      </c>
    </row>
    <row r="1362" spans="1:4" x14ac:dyDescent="0.25">
      <c r="A1362" s="5">
        <f t="shared" si="51"/>
        <v>9</v>
      </c>
      <c r="B1362" s="5">
        <f t="shared" si="52"/>
        <v>2016</v>
      </c>
      <c r="C1362" s="9">
        <v>42635</v>
      </c>
      <c r="D1362">
        <v>14.25</v>
      </c>
    </row>
    <row r="1363" spans="1:4" x14ac:dyDescent="0.25">
      <c r="A1363" s="5">
        <f t="shared" si="51"/>
        <v>9</v>
      </c>
      <c r="B1363" s="5">
        <f t="shared" si="52"/>
        <v>2016</v>
      </c>
      <c r="C1363" s="9">
        <v>42636</v>
      </c>
      <c r="D1363">
        <v>14.25</v>
      </c>
    </row>
    <row r="1364" spans="1:4" x14ac:dyDescent="0.25">
      <c r="A1364" s="5">
        <f t="shared" si="51"/>
        <v>9</v>
      </c>
      <c r="B1364" s="5">
        <f t="shared" si="52"/>
        <v>2016</v>
      </c>
      <c r="C1364" s="9">
        <v>42637</v>
      </c>
      <c r="D1364">
        <v>14.25</v>
      </c>
    </row>
    <row r="1365" spans="1:4" x14ac:dyDescent="0.25">
      <c r="A1365" s="5">
        <f t="shared" si="51"/>
        <v>9</v>
      </c>
      <c r="B1365" s="5">
        <f t="shared" si="52"/>
        <v>2016</v>
      </c>
      <c r="C1365" s="9">
        <v>42638</v>
      </c>
      <c r="D1365">
        <v>14.25</v>
      </c>
    </row>
    <row r="1366" spans="1:4" x14ac:dyDescent="0.25">
      <c r="A1366" s="5">
        <f t="shared" si="51"/>
        <v>9</v>
      </c>
      <c r="B1366" s="5">
        <f t="shared" si="52"/>
        <v>2016</v>
      </c>
      <c r="C1366" s="9">
        <v>42639</v>
      </c>
      <c r="D1366">
        <v>14.25</v>
      </c>
    </row>
    <row r="1367" spans="1:4" x14ac:dyDescent="0.25">
      <c r="A1367" s="5">
        <f t="shared" si="51"/>
        <v>9</v>
      </c>
      <c r="B1367" s="5">
        <f t="shared" si="52"/>
        <v>2016</v>
      </c>
      <c r="C1367" s="9">
        <v>42640</v>
      </c>
      <c r="D1367">
        <v>14.25</v>
      </c>
    </row>
    <row r="1368" spans="1:4" x14ac:dyDescent="0.25">
      <c r="A1368" s="5">
        <f t="shared" si="51"/>
        <v>9</v>
      </c>
      <c r="B1368" s="5">
        <f t="shared" si="52"/>
        <v>2016</v>
      </c>
      <c r="C1368" s="9">
        <v>42641</v>
      </c>
      <c r="D1368">
        <v>14.25</v>
      </c>
    </row>
    <row r="1369" spans="1:4" x14ac:dyDescent="0.25">
      <c r="A1369" s="5">
        <f t="shared" si="51"/>
        <v>9</v>
      </c>
      <c r="B1369" s="5">
        <f t="shared" si="52"/>
        <v>2016</v>
      </c>
      <c r="C1369" s="9">
        <v>42642</v>
      </c>
      <c r="D1369">
        <v>14.25</v>
      </c>
    </row>
    <row r="1370" spans="1:4" x14ac:dyDescent="0.25">
      <c r="A1370" s="5">
        <f t="shared" si="51"/>
        <v>9</v>
      </c>
      <c r="B1370" s="5">
        <f t="shared" si="52"/>
        <v>2016</v>
      </c>
      <c r="C1370" s="9">
        <v>42643</v>
      </c>
      <c r="D1370">
        <v>14.25</v>
      </c>
    </row>
    <row r="1371" spans="1:4" x14ac:dyDescent="0.25">
      <c r="A1371" s="5">
        <f t="shared" si="51"/>
        <v>10</v>
      </c>
      <c r="B1371" s="5">
        <f t="shared" si="52"/>
        <v>2016</v>
      </c>
      <c r="C1371" s="9">
        <v>42644</v>
      </c>
      <c r="D1371">
        <v>14.25</v>
      </c>
    </row>
    <row r="1372" spans="1:4" x14ac:dyDescent="0.25">
      <c r="A1372" s="5">
        <f t="shared" si="51"/>
        <v>10</v>
      </c>
      <c r="B1372" s="5">
        <f t="shared" si="52"/>
        <v>2016</v>
      </c>
      <c r="C1372" s="9">
        <v>42645</v>
      </c>
      <c r="D1372">
        <v>14.25</v>
      </c>
    </row>
    <row r="1373" spans="1:4" x14ac:dyDescent="0.25">
      <c r="A1373" s="5">
        <f t="shared" si="51"/>
        <v>10</v>
      </c>
      <c r="B1373" s="5">
        <f t="shared" si="52"/>
        <v>2016</v>
      </c>
      <c r="C1373" s="9">
        <v>42646</v>
      </c>
      <c r="D1373">
        <v>14.25</v>
      </c>
    </row>
    <row r="1374" spans="1:4" x14ac:dyDescent="0.25">
      <c r="A1374" s="5">
        <f t="shared" si="51"/>
        <v>10</v>
      </c>
      <c r="B1374" s="5">
        <f t="shared" si="52"/>
        <v>2016</v>
      </c>
      <c r="C1374" s="9">
        <v>42647</v>
      </c>
      <c r="D1374">
        <v>14.25</v>
      </c>
    </row>
    <row r="1375" spans="1:4" x14ac:dyDescent="0.25">
      <c r="A1375" s="5">
        <f t="shared" si="51"/>
        <v>10</v>
      </c>
      <c r="B1375" s="5">
        <f t="shared" si="52"/>
        <v>2016</v>
      </c>
      <c r="C1375" s="9">
        <v>42648</v>
      </c>
      <c r="D1375">
        <v>14.25</v>
      </c>
    </row>
    <row r="1376" spans="1:4" x14ac:dyDescent="0.25">
      <c r="A1376" s="5">
        <f t="shared" si="51"/>
        <v>10</v>
      </c>
      <c r="B1376" s="5">
        <f t="shared" si="52"/>
        <v>2016</v>
      </c>
      <c r="C1376" s="9">
        <v>42649</v>
      </c>
      <c r="D1376">
        <v>14.25</v>
      </c>
    </row>
    <row r="1377" spans="1:4" x14ac:dyDescent="0.25">
      <c r="A1377" s="5">
        <f t="shared" si="51"/>
        <v>10</v>
      </c>
      <c r="B1377" s="5">
        <f t="shared" si="52"/>
        <v>2016</v>
      </c>
      <c r="C1377" s="9">
        <v>42650</v>
      </c>
      <c r="D1377">
        <v>14.25</v>
      </c>
    </row>
    <row r="1378" spans="1:4" x14ac:dyDescent="0.25">
      <c r="A1378" s="5">
        <f t="shared" si="51"/>
        <v>10</v>
      </c>
      <c r="B1378" s="5">
        <f t="shared" si="52"/>
        <v>2016</v>
      </c>
      <c r="C1378" s="9">
        <v>42651</v>
      </c>
      <c r="D1378">
        <v>14.25</v>
      </c>
    </row>
    <row r="1379" spans="1:4" x14ac:dyDescent="0.25">
      <c r="A1379" s="5">
        <f t="shared" si="51"/>
        <v>10</v>
      </c>
      <c r="B1379" s="5">
        <f t="shared" si="52"/>
        <v>2016</v>
      </c>
      <c r="C1379" s="9">
        <v>42652</v>
      </c>
      <c r="D1379">
        <v>14.25</v>
      </c>
    </row>
    <row r="1380" spans="1:4" x14ac:dyDescent="0.25">
      <c r="A1380" s="5">
        <f t="shared" si="51"/>
        <v>10</v>
      </c>
      <c r="B1380" s="5">
        <f t="shared" si="52"/>
        <v>2016</v>
      </c>
      <c r="C1380" s="9">
        <v>42653</v>
      </c>
      <c r="D1380">
        <v>14.25</v>
      </c>
    </row>
    <row r="1381" spans="1:4" x14ac:dyDescent="0.25">
      <c r="A1381" s="5">
        <f t="shared" si="51"/>
        <v>10</v>
      </c>
      <c r="B1381" s="5">
        <f t="shared" si="52"/>
        <v>2016</v>
      </c>
      <c r="C1381" s="9">
        <v>42654</v>
      </c>
      <c r="D1381">
        <v>14.25</v>
      </c>
    </row>
    <row r="1382" spans="1:4" x14ac:dyDescent="0.25">
      <c r="A1382" s="5">
        <f t="shared" si="51"/>
        <v>10</v>
      </c>
      <c r="B1382" s="5">
        <f t="shared" si="52"/>
        <v>2016</v>
      </c>
      <c r="C1382" s="9">
        <v>42655</v>
      </c>
      <c r="D1382">
        <v>14.25</v>
      </c>
    </row>
    <row r="1383" spans="1:4" x14ac:dyDescent="0.25">
      <c r="A1383" s="5">
        <f t="shared" si="51"/>
        <v>10</v>
      </c>
      <c r="B1383" s="5">
        <f t="shared" si="52"/>
        <v>2016</v>
      </c>
      <c r="C1383" s="9">
        <v>42656</v>
      </c>
      <c r="D1383">
        <v>14.25</v>
      </c>
    </row>
    <row r="1384" spans="1:4" x14ac:dyDescent="0.25">
      <c r="A1384" s="5">
        <f t="shared" si="51"/>
        <v>10</v>
      </c>
      <c r="B1384" s="5">
        <f t="shared" si="52"/>
        <v>2016</v>
      </c>
      <c r="C1384" s="9">
        <v>42657</v>
      </c>
      <c r="D1384">
        <v>14.25</v>
      </c>
    </row>
    <row r="1385" spans="1:4" x14ac:dyDescent="0.25">
      <c r="A1385" s="5">
        <f t="shared" si="51"/>
        <v>10</v>
      </c>
      <c r="B1385" s="5">
        <f t="shared" si="52"/>
        <v>2016</v>
      </c>
      <c r="C1385" s="9">
        <v>42658</v>
      </c>
      <c r="D1385">
        <v>14.25</v>
      </c>
    </row>
    <row r="1386" spans="1:4" x14ac:dyDescent="0.25">
      <c r="A1386" s="5">
        <f t="shared" si="51"/>
        <v>10</v>
      </c>
      <c r="B1386" s="5">
        <f t="shared" si="52"/>
        <v>2016</v>
      </c>
      <c r="C1386" s="9">
        <v>42659</v>
      </c>
      <c r="D1386">
        <v>14.25</v>
      </c>
    </row>
    <row r="1387" spans="1:4" x14ac:dyDescent="0.25">
      <c r="A1387" s="5">
        <f t="shared" si="51"/>
        <v>10</v>
      </c>
      <c r="B1387" s="5">
        <f t="shared" si="52"/>
        <v>2016</v>
      </c>
      <c r="C1387" s="9">
        <v>42660</v>
      </c>
      <c r="D1387">
        <v>14.25</v>
      </c>
    </row>
    <row r="1388" spans="1:4" x14ac:dyDescent="0.25">
      <c r="A1388" s="5">
        <f t="shared" si="51"/>
        <v>10</v>
      </c>
      <c r="B1388" s="5">
        <f t="shared" si="52"/>
        <v>2016</v>
      </c>
      <c r="C1388" s="9">
        <v>42661</v>
      </c>
      <c r="D1388">
        <v>14.25</v>
      </c>
    </row>
    <row r="1389" spans="1:4" x14ac:dyDescent="0.25">
      <c r="A1389" s="5">
        <f t="shared" si="51"/>
        <v>10</v>
      </c>
      <c r="B1389" s="5">
        <f t="shared" si="52"/>
        <v>2016</v>
      </c>
      <c r="C1389" s="9">
        <v>42662</v>
      </c>
      <c r="D1389">
        <v>14.25</v>
      </c>
    </row>
    <row r="1390" spans="1:4" x14ac:dyDescent="0.25">
      <c r="A1390" s="5">
        <f t="shared" si="51"/>
        <v>10</v>
      </c>
      <c r="B1390" s="5">
        <f t="shared" si="52"/>
        <v>2016</v>
      </c>
      <c r="C1390" s="9">
        <v>42663</v>
      </c>
      <c r="D1390">
        <v>14</v>
      </c>
    </row>
    <row r="1391" spans="1:4" x14ac:dyDescent="0.25">
      <c r="A1391" s="5">
        <f t="shared" si="51"/>
        <v>10</v>
      </c>
      <c r="B1391" s="5">
        <f t="shared" si="52"/>
        <v>2016</v>
      </c>
      <c r="C1391" s="9">
        <v>42664</v>
      </c>
      <c r="D1391">
        <v>14</v>
      </c>
    </row>
    <row r="1392" spans="1:4" x14ac:dyDescent="0.25">
      <c r="A1392" s="5">
        <f t="shared" si="51"/>
        <v>10</v>
      </c>
      <c r="B1392" s="5">
        <f t="shared" si="52"/>
        <v>2016</v>
      </c>
      <c r="C1392" s="9">
        <v>42665</v>
      </c>
      <c r="D1392">
        <v>14</v>
      </c>
    </row>
    <row r="1393" spans="1:4" x14ac:dyDescent="0.25">
      <c r="A1393" s="5">
        <f t="shared" si="51"/>
        <v>10</v>
      </c>
      <c r="B1393" s="5">
        <f t="shared" si="52"/>
        <v>2016</v>
      </c>
      <c r="C1393" s="9">
        <v>42666</v>
      </c>
      <c r="D1393">
        <v>14</v>
      </c>
    </row>
    <row r="1394" spans="1:4" x14ac:dyDescent="0.25">
      <c r="A1394" s="5">
        <f t="shared" si="51"/>
        <v>10</v>
      </c>
      <c r="B1394" s="5">
        <f t="shared" si="52"/>
        <v>2016</v>
      </c>
      <c r="C1394" s="9">
        <v>42667</v>
      </c>
      <c r="D1394">
        <v>14</v>
      </c>
    </row>
    <row r="1395" spans="1:4" x14ac:dyDescent="0.25">
      <c r="A1395" s="5">
        <f t="shared" si="51"/>
        <v>10</v>
      </c>
      <c r="B1395" s="5">
        <f t="shared" si="52"/>
        <v>2016</v>
      </c>
      <c r="C1395" s="9">
        <v>42668</v>
      </c>
      <c r="D1395">
        <v>14</v>
      </c>
    </row>
    <row r="1396" spans="1:4" x14ac:dyDescent="0.25">
      <c r="A1396" s="5">
        <f t="shared" si="51"/>
        <v>10</v>
      </c>
      <c r="B1396" s="5">
        <f t="shared" si="52"/>
        <v>2016</v>
      </c>
      <c r="C1396" s="9">
        <v>42669</v>
      </c>
      <c r="D1396">
        <v>14</v>
      </c>
    </row>
    <row r="1397" spans="1:4" x14ac:dyDescent="0.25">
      <c r="A1397" s="5">
        <f t="shared" si="51"/>
        <v>10</v>
      </c>
      <c r="B1397" s="5">
        <f t="shared" si="52"/>
        <v>2016</v>
      </c>
      <c r="C1397" s="9">
        <v>42670</v>
      </c>
      <c r="D1397">
        <v>14</v>
      </c>
    </row>
    <row r="1398" spans="1:4" x14ac:dyDescent="0.25">
      <c r="A1398" s="5">
        <f t="shared" si="51"/>
        <v>10</v>
      </c>
      <c r="B1398" s="5">
        <f t="shared" si="52"/>
        <v>2016</v>
      </c>
      <c r="C1398" s="9">
        <v>42671</v>
      </c>
      <c r="D1398">
        <v>14</v>
      </c>
    </row>
    <row r="1399" spans="1:4" x14ac:dyDescent="0.25">
      <c r="A1399" s="5">
        <f t="shared" si="51"/>
        <v>10</v>
      </c>
      <c r="B1399" s="5">
        <f t="shared" si="52"/>
        <v>2016</v>
      </c>
      <c r="C1399" s="9">
        <v>42672</v>
      </c>
      <c r="D1399">
        <v>14</v>
      </c>
    </row>
    <row r="1400" spans="1:4" x14ac:dyDescent="0.25">
      <c r="A1400" s="5">
        <f t="shared" si="51"/>
        <v>10</v>
      </c>
      <c r="B1400" s="5">
        <f t="shared" si="52"/>
        <v>2016</v>
      </c>
      <c r="C1400" s="9">
        <v>42673</v>
      </c>
      <c r="D1400">
        <v>14</v>
      </c>
    </row>
    <row r="1401" spans="1:4" x14ac:dyDescent="0.25">
      <c r="A1401" s="5">
        <f t="shared" si="51"/>
        <v>10</v>
      </c>
      <c r="B1401" s="5">
        <f t="shared" si="52"/>
        <v>2016</v>
      </c>
      <c r="C1401" s="9">
        <v>42674</v>
      </c>
      <c r="D1401">
        <v>14</v>
      </c>
    </row>
    <row r="1402" spans="1:4" x14ac:dyDescent="0.25">
      <c r="A1402" s="5">
        <f t="shared" si="51"/>
        <v>11</v>
      </c>
      <c r="B1402" s="5">
        <f t="shared" si="52"/>
        <v>2016</v>
      </c>
      <c r="C1402" s="9">
        <v>42675</v>
      </c>
      <c r="D1402">
        <v>14</v>
      </c>
    </row>
    <row r="1403" spans="1:4" x14ac:dyDescent="0.25">
      <c r="A1403" s="5">
        <f t="shared" si="51"/>
        <v>11</v>
      </c>
      <c r="B1403" s="5">
        <f t="shared" si="52"/>
        <v>2016</v>
      </c>
      <c r="C1403" s="9">
        <v>42676</v>
      </c>
      <c r="D1403">
        <v>14</v>
      </c>
    </row>
    <row r="1404" spans="1:4" x14ac:dyDescent="0.25">
      <c r="A1404" s="5">
        <f t="shared" si="51"/>
        <v>11</v>
      </c>
      <c r="B1404" s="5">
        <f t="shared" si="52"/>
        <v>2016</v>
      </c>
      <c r="C1404" s="9">
        <v>42677</v>
      </c>
      <c r="D1404">
        <v>14</v>
      </c>
    </row>
    <row r="1405" spans="1:4" x14ac:dyDescent="0.25">
      <c r="A1405" s="5">
        <f t="shared" si="51"/>
        <v>11</v>
      </c>
      <c r="B1405" s="5">
        <f t="shared" si="52"/>
        <v>2016</v>
      </c>
      <c r="C1405" s="9">
        <v>42678</v>
      </c>
      <c r="D1405">
        <v>14</v>
      </c>
    </row>
    <row r="1406" spans="1:4" x14ac:dyDescent="0.25">
      <c r="A1406" s="5">
        <f t="shared" si="51"/>
        <v>11</v>
      </c>
      <c r="B1406" s="5">
        <f t="shared" si="52"/>
        <v>2016</v>
      </c>
      <c r="C1406" s="9">
        <v>42679</v>
      </c>
      <c r="D1406">
        <v>14</v>
      </c>
    </row>
    <row r="1407" spans="1:4" x14ac:dyDescent="0.25">
      <c r="A1407" s="5">
        <f t="shared" si="51"/>
        <v>11</v>
      </c>
      <c r="B1407" s="5">
        <f t="shared" si="52"/>
        <v>2016</v>
      </c>
      <c r="C1407" s="9">
        <v>42680</v>
      </c>
      <c r="D1407">
        <v>14</v>
      </c>
    </row>
    <row r="1408" spans="1:4" x14ac:dyDescent="0.25">
      <c r="A1408" s="5">
        <f t="shared" si="51"/>
        <v>11</v>
      </c>
      <c r="B1408" s="5">
        <f t="shared" si="52"/>
        <v>2016</v>
      </c>
      <c r="C1408" s="9">
        <v>42681</v>
      </c>
      <c r="D1408">
        <v>14</v>
      </c>
    </row>
    <row r="1409" spans="1:4" x14ac:dyDescent="0.25">
      <c r="A1409" s="5">
        <f t="shared" si="51"/>
        <v>11</v>
      </c>
      <c r="B1409" s="5">
        <f t="shared" si="52"/>
        <v>2016</v>
      </c>
      <c r="C1409" s="9">
        <v>42682</v>
      </c>
      <c r="D1409">
        <v>14</v>
      </c>
    </row>
    <row r="1410" spans="1:4" x14ac:dyDescent="0.25">
      <c r="A1410" s="5">
        <f t="shared" si="51"/>
        <v>11</v>
      </c>
      <c r="B1410" s="5">
        <f t="shared" si="52"/>
        <v>2016</v>
      </c>
      <c r="C1410" s="9">
        <v>42683</v>
      </c>
      <c r="D1410">
        <v>14</v>
      </c>
    </row>
    <row r="1411" spans="1:4" x14ac:dyDescent="0.25">
      <c r="A1411" s="5">
        <f t="shared" ref="A1411:A1474" si="53">MONTH(C1411)</f>
        <v>11</v>
      </c>
      <c r="B1411" s="5">
        <f t="shared" ref="B1411:B1474" si="54">YEAR(C1411)</f>
        <v>2016</v>
      </c>
      <c r="C1411" s="9">
        <v>42684</v>
      </c>
      <c r="D1411">
        <v>14</v>
      </c>
    </row>
    <row r="1412" spans="1:4" x14ac:dyDescent="0.25">
      <c r="A1412" s="5">
        <f t="shared" si="53"/>
        <v>11</v>
      </c>
      <c r="B1412" s="5">
        <f t="shared" si="54"/>
        <v>2016</v>
      </c>
      <c r="C1412" s="9">
        <v>42685</v>
      </c>
      <c r="D1412">
        <v>14</v>
      </c>
    </row>
    <row r="1413" spans="1:4" x14ac:dyDescent="0.25">
      <c r="A1413" s="5">
        <f t="shared" si="53"/>
        <v>11</v>
      </c>
      <c r="B1413" s="5">
        <f t="shared" si="54"/>
        <v>2016</v>
      </c>
      <c r="C1413" s="9">
        <v>42686</v>
      </c>
      <c r="D1413">
        <v>14</v>
      </c>
    </row>
    <row r="1414" spans="1:4" x14ac:dyDescent="0.25">
      <c r="A1414" s="5">
        <f t="shared" si="53"/>
        <v>11</v>
      </c>
      <c r="B1414" s="5">
        <f t="shared" si="54"/>
        <v>2016</v>
      </c>
      <c r="C1414" s="9">
        <v>42687</v>
      </c>
      <c r="D1414">
        <v>14</v>
      </c>
    </row>
    <row r="1415" spans="1:4" x14ac:dyDescent="0.25">
      <c r="A1415" s="5">
        <f t="shared" si="53"/>
        <v>11</v>
      </c>
      <c r="B1415" s="5">
        <f t="shared" si="54"/>
        <v>2016</v>
      </c>
      <c r="C1415" s="9">
        <v>42688</v>
      </c>
      <c r="D1415">
        <v>14</v>
      </c>
    </row>
    <row r="1416" spans="1:4" x14ac:dyDescent="0.25">
      <c r="A1416" s="5">
        <f t="shared" si="53"/>
        <v>11</v>
      </c>
      <c r="B1416" s="5">
        <f t="shared" si="54"/>
        <v>2016</v>
      </c>
      <c r="C1416" s="9">
        <v>42689</v>
      </c>
      <c r="D1416">
        <v>14</v>
      </c>
    </row>
    <row r="1417" spans="1:4" x14ac:dyDescent="0.25">
      <c r="A1417" s="5">
        <f t="shared" si="53"/>
        <v>11</v>
      </c>
      <c r="B1417" s="5">
        <f t="shared" si="54"/>
        <v>2016</v>
      </c>
      <c r="C1417" s="9">
        <v>42690</v>
      </c>
      <c r="D1417">
        <v>14</v>
      </c>
    </row>
    <row r="1418" spans="1:4" x14ac:dyDescent="0.25">
      <c r="A1418" s="5">
        <f t="shared" si="53"/>
        <v>11</v>
      </c>
      <c r="B1418" s="5">
        <f t="shared" si="54"/>
        <v>2016</v>
      </c>
      <c r="C1418" s="9">
        <v>42691</v>
      </c>
      <c r="D1418">
        <v>14</v>
      </c>
    </row>
    <row r="1419" spans="1:4" x14ac:dyDescent="0.25">
      <c r="A1419" s="5">
        <f t="shared" si="53"/>
        <v>11</v>
      </c>
      <c r="B1419" s="5">
        <f t="shared" si="54"/>
        <v>2016</v>
      </c>
      <c r="C1419" s="9">
        <v>42692</v>
      </c>
      <c r="D1419">
        <v>14</v>
      </c>
    </row>
    <row r="1420" spans="1:4" x14ac:dyDescent="0.25">
      <c r="A1420" s="5">
        <f t="shared" si="53"/>
        <v>11</v>
      </c>
      <c r="B1420" s="5">
        <f t="shared" si="54"/>
        <v>2016</v>
      </c>
      <c r="C1420" s="9">
        <v>42693</v>
      </c>
      <c r="D1420">
        <v>14</v>
      </c>
    </row>
    <row r="1421" spans="1:4" x14ac:dyDescent="0.25">
      <c r="A1421" s="5">
        <f t="shared" si="53"/>
        <v>11</v>
      </c>
      <c r="B1421" s="5">
        <f t="shared" si="54"/>
        <v>2016</v>
      </c>
      <c r="C1421" s="9">
        <v>42694</v>
      </c>
      <c r="D1421">
        <v>14</v>
      </c>
    </row>
    <row r="1422" spans="1:4" x14ac:dyDescent="0.25">
      <c r="A1422" s="5">
        <f t="shared" si="53"/>
        <v>11</v>
      </c>
      <c r="B1422" s="5">
        <f t="shared" si="54"/>
        <v>2016</v>
      </c>
      <c r="C1422" s="9">
        <v>42695</v>
      </c>
      <c r="D1422">
        <v>14</v>
      </c>
    </row>
    <row r="1423" spans="1:4" x14ac:dyDescent="0.25">
      <c r="A1423" s="5">
        <f t="shared" si="53"/>
        <v>11</v>
      </c>
      <c r="B1423" s="5">
        <f t="shared" si="54"/>
        <v>2016</v>
      </c>
      <c r="C1423" s="9">
        <v>42696</v>
      </c>
      <c r="D1423">
        <v>14</v>
      </c>
    </row>
    <row r="1424" spans="1:4" x14ac:dyDescent="0.25">
      <c r="A1424" s="5">
        <f t="shared" si="53"/>
        <v>11</v>
      </c>
      <c r="B1424" s="5">
        <f t="shared" si="54"/>
        <v>2016</v>
      </c>
      <c r="C1424" s="9">
        <v>42697</v>
      </c>
      <c r="D1424">
        <v>14</v>
      </c>
    </row>
    <row r="1425" spans="1:4" x14ac:dyDescent="0.25">
      <c r="A1425" s="5">
        <f t="shared" si="53"/>
        <v>11</v>
      </c>
      <c r="B1425" s="5">
        <f t="shared" si="54"/>
        <v>2016</v>
      </c>
      <c r="C1425" s="9">
        <v>42698</v>
      </c>
      <c r="D1425">
        <v>14</v>
      </c>
    </row>
    <row r="1426" spans="1:4" x14ac:dyDescent="0.25">
      <c r="A1426" s="5">
        <f t="shared" si="53"/>
        <v>11</v>
      </c>
      <c r="B1426" s="5">
        <f t="shared" si="54"/>
        <v>2016</v>
      </c>
      <c r="C1426" s="9">
        <v>42699</v>
      </c>
      <c r="D1426">
        <v>14</v>
      </c>
    </row>
    <row r="1427" spans="1:4" x14ac:dyDescent="0.25">
      <c r="A1427" s="5">
        <f t="shared" si="53"/>
        <v>11</v>
      </c>
      <c r="B1427" s="5">
        <f t="shared" si="54"/>
        <v>2016</v>
      </c>
      <c r="C1427" s="9">
        <v>42700</v>
      </c>
      <c r="D1427">
        <v>14</v>
      </c>
    </row>
    <row r="1428" spans="1:4" x14ac:dyDescent="0.25">
      <c r="A1428" s="5">
        <f t="shared" si="53"/>
        <v>11</v>
      </c>
      <c r="B1428" s="5">
        <f t="shared" si="54"/>
        <v>2016</v>
      </c>
      <c r="C1428" s="9">
        <v>42701</v>
      </c>
      <c r="D1428">
        <v>14</v>
      </c>
    </row>
    <row r="1429" spans="1:4" x14ac:dyDescent="0.25">
      <c r="A1429" s="5">
        <f t="shared" si="53"/>
        <v>11</v>
      </c>
      <c r="B1429" s="5">
        <f t="shared" si="54"/>
        <v>2016</v>
      </c>
      <c r="C1429" s="9">
        <v>42702</v>
      </c>
      <c r="D1429">
        <v>14</v>
      </c>
    </row>
    <row r="1430" spans="1:4" x14ac:dyDescent="0.25">
      <c r="A1430" s="5">
        <f t="shared" si="53"/>
        <v>11</v>
      </c>
      <c r="B1430" s="5">
        <f t="shared" si="54"/>
        <v>2016</v>
      </c>
      <c r="C1430" s="9">
        <v>42703</v>
      </c>
      <c r="D1430">
        <v>14</v>
      </c>
    </row>
    <row r="1431" spans="1:4" x14ac:dyDescent="0.25">
      <c r="A1431" s="5">
        <f t="shared" si="53"/>
        <v>11</v>
      </c>
      <c r="B1431" s="5">
        <f t="shared" si="54"/>
        <v>2016</v>
      </c>
      <c r="C1431" s="9">
        <v>42704</v>
      </c>
      <c r="D1431">
        <v>14</v>
      </c>
    </row>
    <row r="1432" spans="1:4" x14ac:dyDescent="0.25">
      <c r="A1432" s="5">
        <f t="shared" si="53"/>
        <v>12</v>
      </c>
      <c r="B1432" s="5">
        <f t="shared" si="54"/>
        <v>2016</v>
      </c>
      <c r="C1432" s="9">
        <v>42705</v>
      </c>
      <c r="D1432">
        <v>13.75</v>
      </c>
    </row>
    <row r="1433" spans="1:4" x14ac:dyDescent="0.25">
      <c r="A1433" s="5">
        <f t="shared" si="53"/>
        <v>12</v>
      </c>
      <c r="B1433" s="5">
        <f t="shared" si="54"/>
        <v>2016</v>
      </c>
      <c r="C1433" s="9">
        <v>42706</v>
      </c>
      <c r="D1433">
        <v>13.75</v>
      </c>
    </row>
    <row r="1434" spans="1:4" x14ac:dyDescent="0.25">
      <c r="A1434" s="5">
        <f t="shared" si="53"/>
        <v>12</v>
      </c>
      <c r="B1434" s="5">
        <f t="shared" si="54"/>
        <v>2016</v>
      </c>
      <c r="C1434" s="9">
        <v>42707</v>
      </c>
      <c r="D1434">
        <v>13.75</v>
      </c>
    </row>
    <row r="1435" spans="1:4" x14ac:dyDescent="0.25">
      <c r="A1435" s="5">
        <f t="shared" si="53"/>
        <v>12</v>
      </c>
      <c r="B1435" s="5">
        <f t="shared" si="54"/>
        <v>2016</v>
      </c>
      <c r="C1435" s="9">
        <v>42708</v>
      </c>
      <c r="D1435">
        <v>13.75</v>
      </c>
    </row>
    <row r="1436" spans="1:4" x14ac:dyDescent="0.25">
      <c r="A1436" s="5">
        <f t="shared" si="53"/>
        <v>12</v>
      </c>
      <c r="B1436" s="5">
        <f t="shared" si="54"/>
        <v>2016</v>
      </c>
      <c r="C1436" s="9">
        <v>42709</v>
      </c>
      <c r="D1436">
        <v>13.75</v>
      </c>
    </row>
    <row r="1437" spans="1:4" x14ac:dyDescent="0.25">
      <c r="A1437" s="5">
        <f t="shared" si="53"/>
        <v>12</v>
      </c>
      <c r="B1437" s="5">
        <f t="shared" si="54"/>
        <v>2016</v>
      </c>
      <c r="C1437" s="9">
        <v>42710</v>
      </c>
      <c r="D1437">
        <v>13.75</v>
      </c>
    </row>
    <row r="1438" spans="1:4" x14ac:dyDescent="0.25">
      <c r="A1438" s="5">
        <f t="shared" si="53"/>
        <v>12</v>
      </c>
      <c r="B1438" s="5">
        <f t="shared" si="54"/>
        <v>2016</v>
      </c>
      <c r="C1438" s="9">
        <v>42711</v>
      </c>
      <c r="D1438">
        <v>13.75</v>
      </c>
    </row>
    <row r="1439" spans="1:4" x14ac:dyDescent="0.25">
      <c r="A1439" s="5">
        <f t="shared" si="53"/>
        <v>12</v>
      </c>
      <c r="B1439" s="5">
        <f t="shared" si="54"/>
        <v>2016</v>
      </c>
      <c r="C1439" s="9">
        <v>42712</v>
      </c>
      <c r="D1439">
        <v>13.75</v>
      </c>
    </row>
    <row r="1440" spans="1:4" x14ac:dyDescent="0.25">
      <c r="A1440" s="5">
        <f t="shared" si="53"/>
        <v>12</v>
      </c>
      <c r="B1440" s="5">
        <f t="shared" si="54"/>
        <v>2016</v>
      </c>
      <c r="C1440" s="9">
        <v>42713</v>
      </c>
      <c r="D1440">
        <v>13.75</v>
      </c>
    </row>
    <row r="1441" spans="1:4" x14ac:dyDescent="0.25">
      <c r="A1441" s="5">
        <f t="shared" si="53"/>
        <v>12</v>
      </c>
      <c r="B1441" s="5">
        <f t="shared" si="54"/>
        <v>2016</v>
      </c>
      <c r="C1441" s="9">
        <v>42714</v>
      </c>
      <c r="D1441">
        <v>13.75</v>
      </c>
    </row>
    <row r="1442" spans="1:4" x14ac:dyDescent="0.25">
      <c r="A1442" s="5">
        <f t="shared" si="53"/>
        <v>12</v>
      </c>
      <c r="B1442" s="5">
        <f t="shared" si="54"/>
        <v>2016</v>
      </c>
      <c r="C1442" s="9">
        <v>42715</v>
      </c>
      <c r="D1442">
        <v>13.75</v>
      </c>
    </row>
    <row r="1443" spans="1:4" x14ac:dyDescent="0.25">
      <c r="A1443" s="5">
        <f t="shared" si="53"/>
        <v>12</v>
      </c>
      <c r="B1443" s="5">
        <f t="shared" si="54"/>
        <v>2016</v>
      </c>
      <c r="C1443" s="9">
        <v>42716</v>
      </c>
      <c r="D1443">
        <v>13.75</v>
      </c>
    </row>
    <row r="1444" spans="1:4" x14ac:dyDescent="0.25">
      <c r="A1444" s="5">
        <f t="shared" si="53"/>
        <v>12</v>
      </c>
      <c r="B1444" s="5">
        <f t="shared" si="54"/>
        <v>2016</v>
      </c>
      <c r="C1444" s="9">
        <v>42717</v>
      </c>
      <c r="D1444">
        <v>13.75</v>
      </c>
    </row>
    <row r="1445" spans="1:4" x14ac:dyDescent="0.25">
      <c r="A1445" s="5">
        <f t="shared" si="53"/>
        <v>12</v>
      </c>
      <c r="B1445" s="5">
        <f t="shared" si="54"/>
        <v>2016</v>
      </c>
      <c r="C1445" s="9">
        <v>42718</v>
      </c>
      <c r="D1445">
        <v>13.75</v>
      </c>
    </row>
    <row r="1446" spans="1:4" x14ac:dyDescent="0.25">
      <c r="A1446" s="5">
        <f t="shared" si="53"/>
        <v>12</v>
      </c>
      <c r="B1446" s="5">
        <f t="shared" si="54"/>
        <v>2016</v>
      </c>
      <c r="C1446" s="9">
        <v>42719</v>
      </c>
      <c r="D1446">
        <v>13.75</v>
      </c>
    </row>
    <row r="1447" spans="1:4" x14ac:dyDescent="0.25">
      <c r="A1447" s="5">
        <f t="shared" si="53"/>
        <v>12</v>
      </c>
      <c r="B1447" s="5">
        <f t="shared" si="54"/>
        <v>2016</v>
      </c>
      <c r="C1447" s="9">
        <v>42720</v>
      </c>
      <c r="D1447">
        <v>13.75</v>
      </c>
    </row>
    <row r="1448" spans="1:4" x14ac:dyDescent="0.25">
      <c r="A1448" s="5">
        <f t="shared" si="53"/>
        <v>12</v>
      </c>
      <c r="B1448" s="5">
        <f t="shared" si="54"/>
        <v>2016</v>
      </c>
      <c r="C1448" s="9">
        <v>42721</v>
      </c>
      <c r="D1448">
        <v>13.75</v>
      </c>
    </row>
    <row r="1449" spans="1:4" x14ac:dyDescent="0.25">
      <c r="A1449" s="5">
        <f t="shared" si="53"/>
        <v>12</v>
      </c>
      <c r="B1449" s="5">
        <f t="shared" si="54"/>
        <v>2016</v>
      </c>
      <c r="C1449" s="9">
        <v>42722</v>
      </c>
      <c r="D1449">
        <v>13.75</v>
      </c>
    </row>
    <row r="1450" spans="1:4" x14ac:dyDescent="0.25">
      <c r="A1450" s="5">
        <f t="shared" si="53"/>
        <v>12</v>
      </c>
      <c r="B1450" s="5">
        <f t="shared" si="54"/>
        <v>2016</v>
      </c>
      <c r="C1450" s="9">
        <v>42723</v>
      </c>
      <c r="D1450">
        <v>13.75</v>
      </c>
    </row>
    <row r="1451" spans="1:4" x14ac:dyDescent="0.25">
      <c r="A1451" s="5">
        <f t="shared" si="53"/>
        <v>12</v>
      </c>
      <c r="B1451" s="5">
        <f t="shared" si="54"/>
        <v>2016</v>
      </c>
      <c r="C1451" s="9">
        <v>42724</v>
      </c>
      <c r="D1451">
        <v>13.75</v>
      </c>
    </row>
    <row r="1452" spans="1:4" x14ac:dyDescent="0.25">
      <c r="A1452" s="5">
        <f t="shared" si="53"/>
        <v>12</v>
      </c>
      <c r="B1452" s="5">
        <f t="shared" si="54"/>
        <v>2016</v>
      </c>
      <c r="C1452" s="9">
        <v>42725</v>
      </c>
      <c r="D1452">
        <v>13.75</v>
      </c>
    </row>
    <row r="1453" spans="1:4" x14ac:dyDescent="0.25">
      <c r="A1453" s="5">
        <f t="shared" si="53"/>
        <v>12</v>
      </c>
      <c r="B1453" s="5">
        <f t="shared" si="54"/>
        <v>2016</v>
      </c>
      <c r="C1453" s="9">
        <v>42726</v>
      </c>
      <c r="D1453">
        <v>13.75</v>
      </c>
    </row>
    <row r="1454" spans="1:4" x14ac:dyDescent="0.25">
      <c r="A1454" s="5">
        <f t="shared" si="53"/>
        <v>12</v>
      </c>
      <c r="B1454" s="5">
        <f t="shared" si="54"/>
        <v>2016</v>
      </c>
      <c r="C1454" s="9">
        <v>42727</v>
      </c>
      <c r="D1454">
        <v>13.75</v>
      </c>
    </row>
    <row r="1455" spans="1:4" x14ac:dyDescent="0.25">
      <c r="A1455" s="5">
        <f t="shared" si="53"/>
        <v>12</v>
      </c>
      <c r="B1455" s="5">
        <f t="shared" si="54"/>
        <v>2016</v>
      </c>
      <c r="C1455" s="9">
        <v>42728</v>
      </c>
      <c r="D1455">
        <v>13.75</v>
      </c>
    </row>
    <row r="1456" spans="1:4" x14ac:dyDescent="0.25">
      <c r="A1456" s="5">
        <f t="shared" si="53"/>
        <v>12</v>
      </c>
      <c r="B1456" s="5">
        <f t="shared" si="54"/>
        <v>2016</v>
      </c>
      <c r="C1456" s="9">
        <v>42729</v>
      </c>
      <c r="D1456">
        <v>13.75</v>
      </c>
    </row>
    <row r="1457" spans="1:4" x14ac:dyDescent="0.25">
      <c r="A1457" s="5">
        <f t="shared" si="53"/>
        <v>12</v>
      </c>
      <c r="B1457" s="5">
        <f t="shared" si="54"/>
        <v>2016</v>
      </c>
      <c r="C1457" s="9">
        <v>42730</v>
      </c>
      <c r="D1457">
        <v>13.75</v>
      </c>
    </row>
    <row r="1458" spans="1:4" x14ac:dyDescent="0.25">
      <c r="A1458" s="5">
        <f t="shared" si="53"/>
        <v>12</v>
      </c>
      <c r="B1458" s="5">
        <f t="shared" si="54"/>
        <v>2016</v>
      </c>
      <c r="C1458" s="9">
        <v>42731</v>
      </c>
      <c r="D1458">
        <v>13.75</v>
      </c>
    </row>
    <row r="1459" spans="1:4" x14ac:dyDescent="0.25">
      <c r="A1459" s="5">
        <f t="shared" si="53"/>
        <v>12</v>
      </c>
      <c r="B1459" s="5">
        <f t="shared" si="54"/>
        <v>2016</v>
      </c>
      <c r="C1459" s="9">
        <v>42732</v>
      </c>
      <c r="D1459">
        <v>13.75</v>
      </c>
    </row>
    <row r="1460" spans="1:4" x14ac:dyDescent="0.25">
      <c r="A1460" s="5">
        <f t="shared" si="53"/>
        <v>12</v>
      </c>
      <c r="B1460" s="5">
        <f t="shared" si="54"/>
        <v>2016</v>
      </c>
      <c r="C1460" s="9">
        <v>42733</v>
      </c>
      <c r="D1460">
        <v>13.75</v>
      </c>
    </row>
    <row r="1461" spans="1:4" x14ac:dyDescent="0.25">
      <c r="A1461" s="5">
        <f t="shared" si="53"/>
        <v>12</v>
      </c>
      <c r="B1461" s="5">
        <f t="shared" si="54"/>
        <v>2016</v>
      </c>
      <c r="C1461" s="9">
        <v>42734</v>
      </c>
      <c r="D1461">
        <v>13.75</v>
      </c>
    </row>
    <row r="1462" spans="1:4" x14ac:dyDescent="0.25">
      <c r="A1462" s="5">
        <f t="shared" si="53"/>
        <v>12</v>
      </c>
      <c r="B1462" s="5">
        <f t="shared" si="54"/>
        <v>2016</v>
      </c>
      <c r="C1462" s="9">
        <v>42735</v>
      </c>
      <c r="D1462">
        <v>13.75</v>
      </c>
    </row>
    <row r="1463" spans="1:4" x14ac:dyDescent="0.25">
      <c r="A1463" s="5">
        <f t="shared" si="53"/>
        <v>1</v>
      </c>
      <c r="B1463" s="5">
        <f t="shared" si="54"/>
        <v>2017</v>
      </c>
      <c r="C1463" s="9">
        <v>42736</v>
      </c>
      <c r="D1463">
        <v>13.75</v>
      </c>
    </row>
    <row r="1464" spans="1:4" x14ac:dyDescent="0.25">
      <c r="A1464" s="5">
        <f t="shared" si="53"/>
        <v>1</v>
      </c>
      <c r="B1464" s="5">
        <f t="shared" si="54"/>
        <v>2017</v>
      </c>
      <c r="C1464" s="9">
        <v>42737</v>
      </c>
      <c r="D1464">
        <v>13.75</v>
      </c>
    </row>
    <row r="1465" spans="1:4" x14ac:dyDescent="0.25">
      <c r="A1465" s="5">
        <f t="shared" si="53"/>
        <v>1</v>
      </c>
      <c r="B1465" s="5">
        <f t="shared" si="54"/>
        <v>2017</v>
      </c>
      <c r="C1465" s="9">
        <v>42738</v>
      </c>
      <c r="D1465">
        <v>13.75</v>
      </c>
    </row>
    <row r="1466" spans="1:4" x14ac:dyDescent="0.25">
      <c r="A1466" s="5">
        <f t="shared" si="53"/>
        <v>1</v>
      </c>
      <c r="B1466" s="5">
        <f t="shared" si="54"/>
        <v>2017</v>
      </c>
      <c r="C1466" s="9">
        <v>42739</v>
      </c>
      <c r="D1466">
        <v>13.75</v>
      </c>
    </row>
    <row r="1467" spans="1:4" x14ac:dyDescent="0.25">
      <c r="A1467" s="5">
        <f t="shared" si="53"/>
        <v>1</v>
      </c>
      <c r="B1467" s="5">
        <f t="shared" si="54"/>
        <v>2017</v>
      </c>
      <c r="C1467" s="9">
        <v>42740</v>
      </c>
      <c r="D1467">
        <v>13.75</v>
      </c>
    </row>
    <row r="1468" spans="1:4" x14ac:dyDescent="0.25">
      <c r="A1468" s="5">
        <f t="shared" si="53"/>
        <v>1</v>
      </c>
      <c r="B1468" s="5">
        <f t="shared" si="54"/>
        <v>2017</v>
      </c>
      <c r="C1468" s="9">
        <v>42741</v>
      </c>
      <c r="D1468">
        <v>13.75</v>
      </c>
    </row>
    <row r="1469" spans="1:4" x14ac:dyDescent="0.25">
      <c r="A1469" s="5">
        <f t="shared" si="53"/>
        <v>1</v>
      </c>
      <c r="B1469" s="5">
        <f t="shared" si="54"/>
        <v>2017</v>
      </c>
      <c r="C1469" s="9">
        <v>42742</v>
      </c>
      <c r="D1469">
        <v>13.75</v>
      </c>
    </row>
    <row r="1470" spans="1:4" x14ac:dyDescent="0.25">
      <c r="A1470" s="5">
        <f t="shared" si="53"/>
        <v>1</v>
      </c>
      <c r="B1470" s="5">
        <f t="shared" si="54"/>
        <v>2017</v>
      </c>
      <c r="C1470" s="9">
        <v>42743</v>
      </c>
      <c r="D1470">
        <v>13.75</v>
      </c>
    </row>
    <row r="1471" spans="1:4" x14ac:dyDescent="0.25">
      <c r="A1471" s="5">
        <f t="shared" si="53"/>
        <v>1</v>
      </c>
      <c r="B1471" s="5">
        <f t="shared" si="54"/>
        <v>2017</v>
      </c>
      <c r="C1471" s="9">
        <v>42744</v>
      </c>
      <c r="D1471">
        <v>13.75</v>
      </c>
    </row>
    <row r="1472" spans="1:4" x14ac:dyDescent="0.25">
      <c r="A1472" s="5">
        <f t="shared" si="53"/>
        <v>1</v>
      </c>
      <c r="B1472" s="5">
        <f t="shared" si="54"/>
        <v>2017</v>
      </c>
      <c r="C1472" s="9">
        <v>42745</v>
      </c>
      <c r="D1472">
        <v>13.75</v>
      </c>
    </row>
    <row r="1473" spans="1:4" x14ac:dyDescent="0.25">
      <c r="A1473" s="5">
        <f t="shared" si="53"/>
        <v>1</v>
      </c>
      <c r="B1473" s="5">
        <f t="shared" si="54"/>
        <v>2017</v>
      </c>
      <c r="C1473" s="9">
        <v>42746</v>
      </c>
      <c r="D1473">
        <v>13.75</v>
      </c>
    </row>
    <row r="1474" spans="1:4" x14ac:dyDescent="0.25">
      <c r="A1474" s="5">
        <f t="shared" si="53"/>
        <v>1</v>
      </c>
      <c r="B1474" s="5">
        <f t="shared" si="54"/>
        <v>2017</v>
      </c>
      <c r="C1474" s="9">
        <v>42747</v>
      </c>
      <c r="D1474">
        <v>13</v>
      </c>
    </row>
    <row r="1475" spans="1:4" x14ac:dyDescent="0.25">
      <c r="A1475" s="5">
        <f t="shared" ref="A1475:A1538" si="55">MONTH(C1475)</f>
        <v>1</v>
      </c>
      <c r="B1475" s="5">
        <f t="shared" ref="B1475:B1538" si="56">YEAR(C1475)</f>
        <v>2017</v>
      </c>
      <c r="C1475" s="9">
        <v>42748</v>
      </c>
      <c r="D1475">
        <v>13</v>
      </c>
    </row>
    <row r="1476" spans="1:4" x14ac:dyDescent="0.25">
      <c r="A1476" s="5">
        <f t="shared" si="55"/>
        <v>1</v>
      </c>
      <c r="B1476" s="5">
        <f t="shared" si="56"/>
        <v>2017</v>
      </c>
      <c r="C1476" s="9">
        <v>42749</v>
      </c>
      <c r="D1476">
        <v>13</v>
      </c>
    </row>
    <row r="1477" spans="1:4" x14ac:dyDescent="0.25">
      <c r="A1477" s="5">
        <f t="shared" si="55"/>
        <v>1</v>
      </c>
      <c r="B1477" s="5">
        <f t="shared" si="56"/>
        <v>2017</v>
      </c>
      <c r="C1477" s="9">
        <v>42750</v>
      </c>
      <c r="D1477">
        <v>13</v>
      </c>
    </row>
    <row r="1478" spans="1:4" x14ac:dyDescent="0.25">
      <c r="A1478" s="5">
        <f t="shared" si="55"/>
        <v>1</v>
      </c>
      <c r="B1478" s="5">
        <f t="shared" si="56"/>
        <v>2017</v>
      </c>
      <c r="C1478" s="9">
        <v>42751</v>
      </c>
      <c r="D1478">
        <v>13</v>
      </c>
    </row>
    <row r="1479" spans="1:4" x14ac:dyDescent="0.25">
      <c r="A1479" s="5">
        <f t="shared" si="55"/>
        <v>1</v>
      </c>
      <c r="B1479" s="5">
        <f t="shared" si="56"/>
        <v>2017</v>
      </c>
      <c r="C1479" s="9">
        <v>42752</v>
      </c>
      <c r="D1479">
        <v>13</v>
      </c>
    </row>
    <row r="1480" spans="1:4" x14ac:dyDescent="0.25">
      <c r="A1480" s="5">
        <f t="shared" si="55"/>
        <v>1</v>
      </c>
      <c r="B1480" s="5">
        <f t="shared" si="56"/>
        <v>2017</v>
      </c>
      <c r="C1480" s="9">
        <v>42753</v>
      </c>
      <c r="D1480">
        <v>13</v>
      </c>
    </row>
    <row r="1481" spans="1:4" x14ac:dyDescent="0.25">
      <c r="A1481" s="5">
        <f t="shared" si="55"/>
        <v>1</v>
      </c>
      <c r="B1481" s="5">
        <f t="shared" si="56"/>
        <v>2017</v>
      </c>
      <c r="C1481" s="9">
        <v>42754</v>
      </c>
      <c r="D1481">
        <v>13</v>
      </c>
    </row>
    <row r="1482" spans="1:4" x14ac:dyDescent="0.25">
      <c r="A1482" s="5">
        <f t="shared" si="55"/>
        <v>1</v>
      </c>
      <c r="B1482" s="5">
        <f t="shared" si="56"/>
        <v>2017</v>
      </c>
      <c r="C1482" s="9">
        <v>42755</v>
      </c>
      <c r="D1482">
        <v>13</v>
      </c>
    </row>
    <row r="1483" spans="1:4" x14ac:dyDescent="0.25">
      <c r="A1483" s="5">
        <f t="shared" si="55"/>
        <v>1</v>
      </c>
      <c r="B1483" s="5">
        <f t="shared" si="56"/>
        <v>2017</v>
      </c>
      <c r="C1483" s="9">
        <v>42756</v>
      </c>
      <c r="D1483">
        <v>13</v>
      </c>
    </row>
    <row r="1484" spans="1:4" x14ac:dyDescent="0.25">
      <c r="A1484" s="5">
        <f t="shared" si="55"/>
        <v>1</v>
      </c>
      <c r="B1484" s="5">
        <f t="shared" si="56"/>
        <v>2017</v>
      </c>
      <c r="C1484" s="9">
        <v>42757</v>
      </c>
      <c r="D1484">
        <v>13</v>
      </c>
    </row>
    <row r="1485" spans="1:4" x14ac:dyDescent="0.25">
      <c r="A1485" s="5">
        <f t="shared" si="55"/>
        <v>1</v>
      </c>
      <c r="B1485" s="5">
        <f t="shared" si="56"/>
        <v>2017</v>
      </c>
      <c r="C1485" s="9">
        <v>42758</v>
      </c>
      <c r="D1485">
        <v>13</v>
      </c>
    </row>
    <row r="1486" spans="1:4" x14ac:dyDescent="0.25">
      <c r="A1486" s="5">
        <f t="shared" si="55"/>
        <v>1</v>
      </c>
      <c r="B1486" s="5">
        <f t="shared" si="56"/>
        <v>2017</v>
      </c>
      <c r="C1486" s="9">
        <v>42759</v>
      </c>
      <c r="D1486">
        <v>13</v>
      </c>
    </row>
    <row r="1487" spans="1:4" x14ac:dyDescent="0.25">
      <c r="A1487" s="5">
        <f t="shared" si="55"/>
        <v>1</v>
      </c>
      <c r="B1487" s="5">
        <f t="shared" si="56"/>
        <v>2017</v>
      </c>
      <c r="C1487" s="9">
        <v>42760</v>
      </c>
      <c r="D1487">
        <v>13</v>
      </c>
    </row>
    <row r="1488" spans="1:4" x14ac:dyDescent="0.25">
      <c r="A1488" s="5">
        <f t="shared" si="55"/>
        <v>1</v>
      </c>
      <c r="B1488" s="5">
        <f t="shared" si="56"/>
        <v>2017</v>
      </c>
      <c r="C1488" s="9">
        <v>42761</v>
      </c>
      <c r="D1488">
        <v>13</v>
      </c>
    </row>
    <row r="1489" spans="1:4" x14ac:dyDescent="0.25">
      <c r="A1489" s="5">
        <f t="shared" si="55"/>
        <v>1</v>
      </c>
      <c r="B1489" s="5">
        <f t="shared" si="56"/>
        <v>2017</v>
      </c>
      <c r="C1489" s="9">
        <v>42762</v>
      </c>
      <c r="D1489">
        <v>13</v>
      </c>
    </row>
    <row r="1490" spans="1:4" x14ac:dyDescent="0.25">
      <c r="A1490" s="5">
        <f t="shared" si="55"/>
        <v>1</v>
      </c>
      <c r="B1490" s="5">
        <f t="shared" si="56"/>
        <v>2017</v>
      </c>
      <c r="C1490" s="9">
        <v>42763</v>
      </c>
      <c r="D1490">
        <v>13</v>
      </c>
    </row>
    <row r="1491" spans="1:4" x14ac:dyDescent="0.25">
      <c r="A1491" s="5">
        <f t="shared" si="55"/>
        <v>1</v>
      </c>
      <c r="B1491" s="5">
        <f t="shared" si="56"/>
        <v>2017</v>
      </c>
      <c r="C1491" s="9">
        <v>42764</v>
      </c>
      <c r="D1491">
        <v>13</v>
      </c>
    </row>
    <row r="1492" spans="1:4" x14ac:dyDescent="0.25">
      <c r="A1492" s="5">
        <f t="shared" si="55"/>
        <v>1</v>
      </c>
      <c r="B1492" s="5">
        <f t="shared" si="56"/>
        <v>2017</v>
      </c>
      <c r="C1492" s="9">
        <v>42765</v>
      </c>
      <c r="D1492">
        <v>13</v>
      </c>
    </row>
    <row r="1493" spans="1:4" x14ac:dyDescent="0.25">
      <c r="A1493" s="5">
        <f t="shared" si="55"/>
        <v>1</v>
      </c>
      <c r="B1493" s="5">
        <f t="shared" si="56"/>
        <v>2017</v>
      </c>
      <c r="C1493" s="9">
        <v>42766</v>
      </c>
      <c r="D1493">
        <v>13</v>
      </c>
    </row>
    <row r="1494" spans="1:4" x14ac:dyDescent="0.25">
      <c r="A1494" s="5">
        <f t="shared" si="55"/>
        <v>2</v>
      </c>
      <c r="B1494" s="5">
        <f t="shared" si="56"/>
        <v>2017</v>
      </c>
      <c r="C1494" s="9">
        <v>42767</v>
      </c>
      <c r="D1494">
        <v>13</v>
      </c>
    </row>
    <row r="1495" spans="1:4" x14ac:dyDescent="0.25">
      <c r="A1495" s="5">
        <f t="shared" si="55"/>
        <v>2</v>
      </c>
      <c r="B1495" s="5">
        <f t="shared" si="56"/>
        <v>2017</v>
      </c>
      <c r="C1495" s="9">
        <v>42768</v>
      </c>
      <c r="D1495">
        <v>13</v>
      </c>
    </row>
    <row r="1496" spans="1:4" x14ac:dyDescent="0.25">
      <c r="A1496" s="5">
        <f t="shared" si="55"/>
        <v>2</v>
      </c>
      <c r="B1496" s="5">
        <f t="shared" si="56"/>
        <v>2017</v>
      </c>
      <c r="C1496" s="9">
        <v>42769</v>
      </c>
      <c r="D1496">
        <v>13</v>
      </c>
    </row>
    <row r="1497" spans="1:4" x14ac:dyDescent="0.25">
      <c r="A1497" s="5">
        <f t="shared" si="55"/>
        <v>2</v>
      </c>
      <c r="B1497" s="5">
        <f t="shared" si="56"/>
        <v>2017</v>
      </c>
      <c r="C1497" s="9">
        <v>42770</v>
      </c>
      <c r="D1497">
        <v>13</v>
      </c>
    </row>
    <row r="1498" spans="1:4" x14ac:dyDescent="0.25">
      <c r="A1498" s="5">
        <f t="shared" si="55"/>
        <v>2</v>
      </c>
      <c r="B1498" s="5">
        <f t="shared" si="56"/>
        <v>2017</v>
      </c>
      <c r="C1498" s="9">
        <v>42771</v>
      </c>
      <c r="D1498">
        <v>13</v>
      </c>
    </row>
    <row r="1499" spans="1:4" x14ac:dyDescent="0.25">
      <c r="A1499" s="5">
        <f t="shared" si="55"/>
        <v>2</v>
      </c>
      <c r="B1499" s="5">
        <f t="shared" si="56"/>
        <v>2017</v>
      </c>
      <c r="C1499" s="9">
        <v>42772</v>
      </c>
      <c r="D1499">
        <v>13</v>
      </c>
    </row>
    <row r="1500" spans="1:4" x14ac:dyDescent="0.25">
      <c r="A1500" s="5">
        <f t="shared" si="55"/>
        <v>2</v>
      </c>
      <c r="B1500" s="5">
        <f t="shared" si="56"/>
        <v>2017</v>
      </c>
      <c r="C1500" s="9">
        <v>42773</v>
      </c>
      <c r="D1500">
        <v>13</v>
      </c>
    </row>
    <row r="1501" spans="1:4" x14ac:dyDescent="0.25">
      <c r="A1501" s="5">
        <f t="shared" si="55"/>
        <v>2</v>
      </c>
      <c r="B1501" s="5">
        <f t="shared" si="56"/>
        <v>2017</v>
      </c>
      <c r="C1501" s="9">
        <v>42774</v>
      </c>
      <c r="D1501">
        <v>13</v>
      </c>
    </row>
    <row r="1502" spans="1:4" x14ac:dyDescent="0.25">
      <c r="A1502" s="5">
        <f t="shared" si="55"/>
        <v>2</v>
      </c>
      <c r="B1502" s="5">
        <f t="shared" si="56"/>
        <v>2017</v>
      </c>
      <c r="C1502" s="9">
        <v>42775</v>
      </c>
      <c r="D1502">
        <v>13</v>
      </c>
    </row>
    <row r="1503" spans="1:4" x14ac:dyDescent="0.25">
      <c r="A1503" s="5">
        <f t="shared" si="55"/>
        <v>2</v>
      </c>
      <c r="B1503" s="5">
        <f t="shared" si="56"/>
        <v>2017</v>
      </c>
      <c r="C1503" s="9">
        <v>42776</v>
      </c>
      <c r="D1503">
        <v>13</v>
      </c>
    </row>
    <row r="1504" spans="1:4" x14ac:dyDescent="0.25">
      <c r="A1504" s="5">
        <f t="shared" si="55"/>
        <v>2</v>
      </c>
      <c r="B1504" s="5">
        <f t="shared" si="56"/>
        <v>2017</v>
      </c>
      <c r="C1504" s="9">
        <v>42777</v>
      </c>
      <c r="D1504">
        <v>13</v>
      </c>
    </row>
    <row r="1505" spans="1:4" x14ac:dyDescent="0.25">
      <c r="A1505" s="5">
        <f t="shared" si="55"/>
        <v>2</v>
      </c>
      <c r="B1505" s="5">
        <f t="shared" si="56"/>
        <v>2017</v>
      </c>
      <c r="C1505" s="9">
        <v>42778</v>
      </c>
      <c r="D1505">
        <v>13</v>
      </c>
    </row>
    <row r="1506" spans="1:4" x14ac:dyDescent="0.25">
      <c r="A1506" s="5">
        <f t="shared" si="55"/>
        <v>2</v>
      </c>
      <c r="B1506" s="5">
        <f t="shared" si="56"/>
        <v>2017</v>
      </c>
      <c r="C1506" s="9">
        <v>42779</v>
      </c>
      <c r="D1506">
        <v>13</v>
      </c>
    </row>
    <row r="1507" spans="1:4" x14ac:dyDescent="0.25">
      <c r="A1507" s="5">
        <f t="shared" si="55"/>
        <v>2</v>
      </c>
      <c r="B1507" s="5">
        <f t="shared" si="56"/>
        <v>2017</v>
      </c>
      <c r="C1507" s="9">
        <v>42780</v>
      </c>
      <c r="D1507">
        <v>13</v>
      </c>
    </row>
    <row r="1508" spans="1:4" x14ac:dyDescent="0.25">
      <c r="A1508" s="5">
        <f t="shared" si="55"/>
        <v>2</v>
      </c>
      <c r="B1508" s="5">
        <f t="shared" si="56"/>
        <v>2017</v>
      </c>
      <c r="C1508" s="9">
        <v>42781</v>
      </c>
      <c r="D1508">
        <v>13</v>
      </c>
    </row>
    <row r="1509" spans="1:4" x14ac:dyDescent="0.25">
      <c r="A1509" s="5">
        <f t="shared" si="55"/>
        <v>2</v>
      </c>
      <c r="B1509" s="5">
        <f t="shared" si="56"/>
        <v>2017</v>
      </c>
      <c r="C1509" s="9">
        <v>42782</v>
      </c>
      <c r="D1509">
        <v>13</v>
      </c>
    </row>
    <row r="1510" spans="1:4" x14ac:dyDescent="0.25">
      <c r="A1510" s="5">
        <f t="shared" si="55"/>
        <v>2</v>
      </c>
      <c r="B1510" s="5">
        <f t="shared" si="56"/>
        <v>2017</v>
      </c>
      <c r="C1510" s="9">
        <v>42783</v>
      </c>
      <c r="D1510">
        <v>13</v>
      </c>
    </row>
    <row r="1511" spans="1:4" x14ac:dyDescent="0.25">
      <c r="A1511" s="5">
        <f t="shared" si="55"/>
        <v>2</v>
      </c>
      <c r="B1511" s="5">
        <f t="shared" si="56"/>
        <v>2017</v>
      </c>
      <c r="C1511" s="9">
        <v>42784</v>
      </c>
      <c r="D1511">
        <v>13</v>
      </c>
    </row>
    <row r="1512" spans="1:4" x14ac:dyDescent="0.25">
      <c r="A1512" s="5">
        <f t="shared" si="55"/>
        <v>2</v>
      </c>
      <c r="B1512" s="5">
        <f t="shared" si="56"/>
        <v>2017</v>
      </c>
      <c r="C1512" s="9">
        <v>42785</v>
      </c>
      <c r="D1512">
        <v>13</v>
      </c>
    </row>
    <row r="1513" spans="1:4" x14ac:dyDescent="0.25">
      <c r="A1513" s="5">
        <f t="shared" si="55"/>
        <v>2</v>
      </c>
      <c r="B1513" s="5">
        <f t="shared" si="56"/>
        <v>2017</v>
      </c>
      <c r="C1513" s="9">
        <v>42786</v>
      </c>
      <c r="D1513">
        <v>13</v>
      </c>
    </row>
    <row r="1514" spans="1:4" x14ac:dyDescent="0.25">
      <c r="A1514" s="5">
        <f t="shared" si="55"/>
        <v>2</v>
      </c>
      <c r="B1514" s="5">
        <f t="shared" si="56"/>
        <v>2017</v>
      </c>
      <c r="C1514" s="9">
        <v>42787</v>
      </c>
      <c r="D1514">
        <v>13</v>
      </c>
    </row>
    <row r="1515" spans="1:4" x14ac:dyDescent="0.25">
      <c r="A1515" s="5">
        <f t="shared" si="55"/>
        <v>2</v>
      </c>
      <c r="B1515" s="5">
        <f t="shared" si="56"/>
        <v>2017</v>
      </c>
      <c r="C1515" s="9">
        <v>42788</v>
      </c>
      <c r="D1515">
        <v>13</v>
      </c>
    </row>
    <row r="1516" spans="1:4" x14ac:dyDescent="0.25">
      <c r="A1516" s="5">
        <f t="shared" si="55"/>
        <v>2</v>
      </c>
      <c r="B1516" s="5">
        <f t="shared" si="56"/>
        <v>2017</v>
      </c>
      <c r="C1516" s="9">
        <v>42789</v>
      </c>
      <c r="D1516">
        <v>12.25</v>
      </c>
    </row>
    <row r="1517" spans="1:4" x14ac:dyDescent="0.25">
      <c r="A1517" s="5">
        <f t="shared" si="55"/>
        <v>2</v>
      </c>
      <c r="B1517" s="5">
        <f t="shared" si="56"/>
        <v>2017</v>
      </c>
      <c r="C1517" s="9">
        <v>42790</v>
      </c>
      <c r="D1517">
        <v>12.25</v>
      </c>
    </row>
    <row r="1518" spans="1:4" x14ac:dyDescent="0.25">
      <c r="A1518" s="5">
        <f t="shared" si="55"/>
        <v>2</v>
      </c>
      <c r="B1518" s="5">
        <f t="shared" si="56"/>
        <v>2017</v>
      </c>
      <c r="C1518" s="9">
        <v>42791</v>
      </c>
      <c r="D1518">
        <v>12.25</v>
      </c>
    </row>
    <row r="1519" spans="1:4" x14ac:dyDescent="0.25">
      <c r="A1519" s="5">
        <f t="shared" si="55"/>
        <v>2</v>
      </c>
      <c r="B1519" s="5">
        <f t="shared" si="56"/>
        <v>2017</v>
      </c>
      <c r="C1519" s="9">
        <v>42792</v>
      </c>
      <c r="D1519">
        <v>12.25</v>
      </c>
    </row>
    <row r="1520" spans="1:4" x14ac:dyDescent="0.25">
      <c r="A1520" s="5">
        <f t="shared" si="55"/>
        <v>2</v>
      </c>
      <c r="B1520" s="5">
        <f t="shared" si="56"/>
        <v>2017</v>
      </c>
      <c r="C1520" s="9">
        <v>42793</v>
      </c>
      <c r="D1520">
        <v>12.25</v>
      </c>
    </row>
    <row r="1521" spans="1:4" x14ac:dyDescent="0.25">
      <c r="A1521" s="5">
        <f t="shared" si="55"/>
        <v>2</v>
      </c>
      <c r="B1521" s="5">
        <f t="shared" si="56"/>
        <v>2017</v>
      </c>
      <c r="C1521" s="9">
        <v>42794</v>
      </c>
      <c r="D1521">
        <v>12.25</v>
      </c>
    </row>
    <row r="1522" spans="1:4" x14ac:dyDescent="0.25">
      <c r="A1522" s="5">
        <f t="shared" si="55"/>
        <v>3</v>
      </c>
      <c r="B1522" s="5">
        <f t="shared" si="56"/>
        <v>2017</v>
      </c>
      <c r="C1522" s="9">
        <v>42795</v>
      </c>
      <c r="D1522">
        <v>12.25</v>
      </c>
    </row>
    <row r="1523" spans="1:4" x14ac:dyDescent="0.25">
      <c r="A1523" s="5">
        <f t="shared" si="55"/>
        <v>3</v>
      </c>
      <c r="B1523" s="5">
        <f t="shared" si="56"/>
        <v>2017</v>
      </c>
      <c r="C1523" s="9">
        <v>42796</v>
      </c>
      <c r="D1523">
        <v>12.25</v>
      </c>
    </row>
    <row r="1524" spans="1:4" x14ac:dyDescent="0.25">
      <c r="A1524" s="5">
        <f t="shared" si="55"/>
        <v>3</v>
      </c>
      <c r="B1524" s="5">
        <f t="shared" si="56"/>
        <v>2017</v>
      </c>
      <c r="C1524" s="9">
        <v>42797</v>
      </c>
      <c r="D1524">
        <v>12.25</v>
      </c>
    </row>
    <row r="1525" spans="1:4" x14ac:dyDescent="0.25">
      <c r="A1525" s="5">
        <f t="shared" si="55"/>
        <v>3</v>
      </c>
      <c r="B1525" s="5">
        <f t="shared" si="56"/>
        <v>2017</v>
      </c>
      <c r="C1525" s="9">
        <v>42798</v>
      </c>
      <c r="D1525">
        <v>12.25</v>
      </c>
    </row>
    <row r="1526" spans="1:4" x14ac:dyDescent="0.25">
      <c r="A1526" s="5">
        <f t="shared" si="55"/>
        <v>3</v>
      </c>
      <c r="B1526" s="5">
        <f t="shared" si="56"/>
        <v>2017</v>
      </c>
      <c r="C1526" s="9">
        <v>42799</v>
      </c>
      <c r="D1526">
        <v>12.25</v>
      </c>
    </row>
    <row r="1527" spans="1:4" x14ac:dyDescent="0.25">
      <c r="A1527" s="5">
        <f t="shared" si="55"/>
        <v>3</v>
      </c>
      <c r="B1527" s="5">
        <f t="shared" si="56"/>
        <v>2017</v>
      </c>
      <c r="C1527" s="9">
        <v>42800</v>
      </c>
      <c r="D1527">
        <v>12.25</v>
      </c>
    </row>
    <row r="1528" spans="1:4" x14ac:dyDescent="0.25">
      <c r="A1528" s="5">
        <f t="shared" si="55"/>
        <v>3</v>
      </c>
      <c r="B1528" s="5">
        <f t="shared" si="56"/>
        <v>2017</v>
      </c>
      <c r="C1528" s="9">
        <v>42801</v>
      </c>
      <c r="D1528">
        <v>12.25</v>
      </c>
    </row>
    <row r="1529" spans="1:4" x14ac:dyDescent="0.25">
      <c r="A1529" s="5">
        <f t="shared" si="55"/>
        <v>3</v>
      </c>
      <c r="B1529" s="5">
        <f t="shared" si="56"/>
        <v>2017</v>
      </c>
      <c r="C1529" s="9">
        <v>42802</v>
      </c>
      <c r="D1529">
        <v>12.25</v>
      </c>
    </row>
    <row r="1530" spans="1:4" x14ac:dyDescent="0.25">
      <c r="A1530" s="5">
        <f t="shared" si="55"/>
        <v>3</v>
      </c>
      <c r="B1530" s="5">
        <f t="shared" si="56"/>
        <v>2017</v>
      </c>
      <c r="C1530" s="9">
        <v>42803</v>
      </c>
      <c r="D1530">
        <v>12.25</v>
      </c>
    </row>
    <row r="1531" spans="1:4" x14ac:dyDescent="0.25">
      <c r="A1531" s="5">
        <f t="shared" si="55"/>
        <v>3</v>
      </c>
      <c r="B1531" s="5">
        <f t="shared" si="56"/>
        <v>2017</v>
      </c>
      <c r="C1531" s="9">
        <v>42804</v>
      </c>
      <c r="D1531">
        <v>12.25</v>
      </c>
    </row>
    <row r="1532" spans="1:4" x14ac:dyDescent="0.25">
      <c r="A1532" s="5">
        <f t="shared" si="55"/>
        <v>3</v>
      </c>
      <c r="B1532" s="5">
        <f t="shared" si="56"/>
        <v>2017</v>
      </c>
      <c r="C1532" s="9">
        <v>42805</v>
      </c>
      <c r="D1532">
        <v>12.25</v>
      </c>
    </row>
    <row r="1533" spans="1:4" x14ac:dyDescent="0.25">
      <c r="A1533" s="5">
        <f t="shared" si="55"/>
        <v>3</v>
      </c>
      <c r="B1533" s="5">
        <f t="shared" si="56"/>
        <v>2017</v>
      </c>
      <c r="C1533" s="9">
        <v>42806</v>
      </c>
      <c r="D1533">
        <v>12.25</v>
      </c>
    </row>
    <row r="1534" spans="1:4" x14ac:dyDescent="0.25">
      <c r="A1534" s="5">
        <f t="shared" si="55"/>
        <v>3</v>
      </c>
      <c r="B1534" s="5">
        <f t="shared" si="56"/>
        <v>2017</v>
      </c>
      <c r="C1534" s="9">
        <v>42807</v>
      </c>
      <c r="D1534">
        <v>12.25</v>
      </c>
    </row>
    <row r="1535" spans="1:4" x14ac:dyDescent="0.25">
      <c r="A1535" s="5">
        <f t="shared" si="55"/>
        <v>3</v>
      </c>
      <c r="B1535" s="5">
        <f t="shared" si="56"/>
        <v>2017</v>
      </c>
      <c r="C1535" s="9">
        <v>42808</v>
      </c>
      <c r="D1535">
        <v>12.25</v>
      </c>
    </row>
    <row r="1536" spans="1:4" x14ac:dyDescent="0.25">
      <c r="A1536" s="5">
        <f t="shared" si="55"/>
        <v>3</v>
      </c>
      <c r="B1536" s="5">
        <f t="shared" si="56"/>
        <v>2017</v>
      </c>
      <c r="C1536" s="9">
        <v>42809</v>
      </c>
      <c r="D1536">
        <v>12.25</v>
      </c>
    </row>
    <row r="1537" spans="1:4" x14ac:dyDescent="0.25">
      <c r="A1537" s="5">
        <f t="shared" si="55"/>
        <v>3</v>
      </c>
      <c r="B1537" s="5">
        <f t="shared" si="56"/>
        <v>2017</v>
      </c>
      <c r="C1537" s="9">
        <v>42810</v>
      </c>
      <c r="D1537">
        <v>12.25</v>
      </c>
    </row>
    <row r="1538" spans="1:4" x14ac:dyDescent="0.25">
      <c r="A1538" s="5">
        <f t="shared" si="55"/>
        <v>3</v>
      </c>
      <c r="B1538" s="5">
        <f t="shared" si="56"/>
        <v>2017</v>
      </c>
      <c r="C1538" s="9">
        <v>42811</v>
      </c>
      <c r="D1538">
        <v>12.25</v>
      </c>
    </row>
    <row r="1539" spans="1:4" x14ac:dyDescent="0.25">
      <c r="A1539" s="5">
        <f t="shared" ref="A1539:A1602" si="57">MONTH(C1539)</f>
        <v>3</v>
      </c>
      <c r="B1539" s="5">
        <f t="shared" ref="B1539:B1602" si="58">YEAR(C1539)</f>
        <v>2017</v>
      </c>
      <c r="C1539" s="9">
        <v>42812</v>
      </c>
      <c r="D1539">
        <v>12.25</v>
      </c>
    </row>
    <row r="1540" spans="1:4" x14ac:dyDescent="0.25">
      <c r="A1540" s="5">
        <f t="shared" si="57"/>
        <v>3</v>
      </c>
      <c r="B1540" s="5">
        <f t="shared" si="58"/>
        <v>2017</v>
      </c>
      <c r="C1540" s="9">
        <v>42813</v>
      </c>
      <c r="D1540">
        <v>12.25</v>
      </c>
    </row>
    <row r="1541" spans="1:4" x14ac:dyDescent="0.25">
      <c r="A1541" s="5">
        <f t="shared" si="57"/>
        <v>3</v>
      </c>
      <c r="B1541" s="5">
        <f t="shared" si="58"/>
        <v>2017</v>
      </c>
      <c r="C1541" s="9">
        <v>42814</v>
      </c>
      <c r="D1541">
        <v>12.25</v>
      </c>
    </row>
    <row r="1542" spans="1:4" x14ac:dyDescent="0.25">
      <c r="A1542" s="5">
        <f t="shared" si="57"/>
        <v>3</v>
      </c>
      <c r="B1542" s="5">
        <f t="shared" si="58"/>
        <v>2017</v>
      </c>
      <c r="C1542" s="9">
        <v>42815</v>
      </c>
      <c r="D1542">
        <v>12.25</v>
      </c>
    </row>
    <row r="1543" spans="1:4" x14ac:dyDescent="0.25">
      <c r="A1543" s="5">
        <f t="shared" si="57"/>
        <v>3</v>
      </c>
      <c r="B1543" s="5">
        <f t="shared" si="58"/>
        <v>2017</v>
      </c>
      <c r="C1543" s="9">
        <v>42816</v>
      </c>
      <c r="D1543">
        <v>12.25</v>
      </c>
    </row>
    <row r="1544" spans="1:4" x14ac:dyDescent="0.25">
      <c r="A1544" s="5">
        <f t="shared" si="57"/>
        <v>3</v>
      </c>
      <c r="B1544" s="5">
        <f t="shared" si="58"/>
        <v>2017</v>
      </c>
      <c r="C1544" s="9">
        <v>42817</v>
      </c>
      <c r="D1544">
        <v>12.25</v>
      </c>
    </row>
    <row r="1545" spans="1:4" x14ac:dyDescent="0.25">
      <c r="A1545" s="5">
        <f t="shared" si="57"/>
        <v>3</v>
      </c>
      <c r="B1545" s="5">
        <f t="shared" si="58"/>
        <v>2017</v>
      </c>
      <c r="C1545" s="9">
        <v>42818</v>
      </c>
      <c r="D1545">
        <v>12.25</v>
      </c>
    </row>
    <row r="1546" spans="1:4" x14ac:dyDescent="0.25">
      <c r="A1546" s="5">
        <f t="shared" si="57"/>
        <v>3</v>
      </c>
      <c r="B1546" s="5">
        <f t="shared" si="58"/>
        <v>2017</v>
      </c>
      <c r="C1546" s="9">
        <v>42819</v>
      </c>
      <c r="D1546">
        <v>12.25</v>
      </c>
    </row>
    <row r="1547" spans="1:4" x14ac:dyDescent="0.25">
      <c r="A1547" s="5">
        <f t="shared" si="57"/>
        <v>3</v>
      </c>
      <c r="B1547" s="5">
        <f t="shared" si="58"/>
        <v>2017</v>
      </c>
      <c r="C1547" s="9">
        <v>42820</v>
      </c>
      <c r="D1547">
        <v>12.25</v>
      </c>
    </row>
    <row r="1548" spans="1:4" x14ac:dyDescent="0.25">
      <c r="A1548" s="5">
        <f t="shared" si="57"/>
        <v>3</v>
      </c>
      <c r="B1548" s="5">
        <f t="shared" si="58"/>
        <v>2017</v>
      </c>
      <c r="C1548" s="9">
        <v>42821</v>
      </c>
      <c r="D1548">
        <v>12.25</v>
      </c>
    </row>
    <row r="1549" spans="1:4" x14ac:dyDescent="0.25">
      <c r="A1549" s="5">
        <f t="shared" si="57"/>
        <v>3</v>
      </c>
      <c r="B1549" s="5">
        <f t="shared" si="58"/>
        <v>2017</v>
      </c>
      <c r="C1549" s="9">
        <v>42822</v>
      </c>
      <c r="D1549">
        <v>12.25</v>
      </c>
    </row>
    <row r="1550" spans="1:4" x14ac:dyDescent="0.25">
      <c r="A1550" s="5">
        <f t="shared" si="57"/>
        <v>3</v>
      </c>
      <c r="B1550" s="5">
        <f t="shared" si="58"/>
        <v>2017</v>
      </c>
      <c r="C1550" s="9">
        <v>42823</v>
      </c>
      <c r="D1550">
        <v>12.25</v>
      </c>
    </row>
    <row r="1551" spans="1:4" x14ac:dyDescent="0.25">
      <c r="A1551" s="5">
        <f t="shared" si="57"/>
        <v>3</v>
      </c>
      <c r="B1551" s="5">
        <f t="shared" si="58"/>
        <v>2017</v>
      </c>
      <c r="C1551" s="9">
        <v>42824</v>
      </c>
      <c r="D1551">
        <v>12.25</v>
      </c>
    </row>
    <row r="1552" spans="1:4" x14ac:dyDescent="0.25">
      <c r="A1552" s="5">
        <f t="shared" si="57"/>
        <v>3</v>
      </c>
      <c r="B1552" s="5">
        <f t="shared" si="58"/>
        <v>2017</v>
      </c>
      <c r="C1552" s="9">
        <v>42825</v>
      </c>
      <c r="D1552">
        <v>12.25</v>
      </c>
    </row>
    <row r="1553" spans="1:4" x14ac:dyDescent="0.25">
      <c r="A1553" s="5">
        <f t="shared" si="57"/>
        <v>4</v>
      </c>
      <c r="B1553" s="5">
        <f t="shared" si="58"/>
        <v>2017</v>
      </c>
      <c r="C1553" s="9">
        <v>42826</v>
      </c>
      <c r="D1553">
        <v>12.25</v>
      </c>
    </row>
    <row r="1554" spans="1:4" x14ac:dyDescent="0.25">
      <c r="A1554" s="5">
        <f t="shared" si="57"/>
        <v>4</v>
      </c>
      <c r="B1554" s="5">
        <f t="shared" si="58"/>
        <v>2017</v>
      </c>
      <c r="C1554" s="9">
        <v>42827</v>
      </c>
      <c r="D1554">
        <v>12.25</v>
      </c>
    </row>
    <row r="1555" spans="1:4" x14ac:dyDescent="0.25">
      <c r="A1555" s="5">
        <f t="shared" si="57"/>
        <v>4</v>
      </c>
      <c r="B1555" s="5">
        <f t="shared" si="58"/>
        <v>2017</v>
      </c>
      <c r="C1555" s="9">
        <v>42828</v>
      </c>
      <c r="D1555">
        <v>12.25</v>
      </c>
    </row>
    <row r="1556" spans="1:4" x14ac:dyDescent="0.25">
      <c r="A1556" s="5">
        <f t="shared" si="57"/>
        <v>4</v>
      </c>
      <c r="B1556" s="5">
        <f t="shared" si="58"/>
        <v>2017</v>
      </c>
      <c r="C1556" s="9">
        <v>42829</v>
      </c>
      <c r="D1556">
        <v>12.25</v>
      </c>
    </row>
    <row r="1557" spans="1:4" x14ac:dyDescent="0.25">
      <c r="A1557" s="5">
        <f t="shared" si="57"/>
        <v>4</v>
      </c>
      <c r="B1557" s="5">
        <f t="shared" si="58"/>
        <v>2017</v>
      </c>
      <c r="C1557" s="9">
        <v>42830</v>
      </c>
      <c r="D1557">
        <v>12.25</v>
      </c>
    </row>
    <row r="1558" spans="1:4" x14ac:dyDescent="0.25">
      <c r="A1558" s="5">
        <f t="shared" si="57"/>
        <v>4</v>
      </c>
      <c r="B1558" s="5">
        <f t="shared" si="58"/>
        <v>2017</v>
      </c>
      <c r="C1558" s="9">
        <v>42831</v>
      </c>
      <c r="D1558">
        <v>12.25</v>
      </c>
    </row>
    <row r="1559" spans="1:4" x14ac:dyDescent="0.25">
      <c r="A1559" s="5">
        <f t="shared" si="57"/>
        <v>4</v>
      </c>
      <c r="B1559" s="5">
        <f t="shared" si="58"/>
        <v>2017</v>
      </c>
      <c r="C1559" s="9">
        <v>42832</v>
      </c>
      <c r="D1559">
        <v>12.25</v>
      </c>
    </row>
    <row r="1560" spans="1:4" x14ac:dyDescent="0.25">
      <c r="A1560" s="5">
        <f t="shared" si="57"/>
        <v>4</v>
      </c>
      <c r="B1560" s="5">
        <f t="shared" si="58"/>
        <v>2017</v>
      </c>
      <c r="C1560" s="9">
        <v>42833</v>
      </c>
      <c r="D1560">
        <v>12.25</v>
      </c>
    </row>
    <row r="1561" spans="1:4" x14ac:dyDescent="0.25">
      <c r="A1561" s="5">
        <f t="shared" si="57"/>
        <v>4</v>
      </c>
      <c r="B1561" s="5">
        <f t="shared" si="58"/>
        <v>2017</v>
      </c>
      <c r="C1561" s="9">
        <v>42834</v>
      </c>
      <c r="D1561">
        <v>12.25</v>
      </c>
    </row>
    <row r="1562" spans="1:4" x14ac:dyDescent="0.25">
      <c r="A1562" s="5">
        <f t="shared" si="57"/>
        <v>4</v>
      </c>
      <c r="B1562" s="5">
        <f t="shared" si="58"/>
        <v>2017</v>
      </c>
      <c r="C1562" s="9">
        <v>42835</v>
      </c>
      <c r="D1562">
        <v>12.25</v>
      </c>
    </row>
    <row r="1563" spans="1:4" x14ac:dyDescent="0.25">
      <c r="A1563" s="5">
        <f t="shared" si="57"/>
        <v>4</v>
      </c>
      <c r="B1563" s="5">
        <f t="shared" si="58"/>
        <v>2017</v>
      </c>
      <c r="C1563" s="9">
        <v>42836</v>
      </c>
      <c r="D1563">
        <v>12.25</v>
      </c>
    </row>
    <row r="1564" spans="1:4" x14ac:dyDescent="0.25">
      <c r="A1564" s="5">
        <f t="shared" si="57"/>
        <v>4</v>
      </c>
      <c r="B1564" s="5">
        <f t="shared" si="58"/>
        <v>2017</v>
      </c>
      <c r="C1564" s="9">
        <v>42837</v>
      </c>
      <c r="D1564">
        <v>12.25</v>
      </c>
    </row>
    <row r="1565" spans="1:4" x14ac:dyDescent="0.25">
      <c r="A1565" s="5">
        <f t="shared" si="57"/>
        <v>4</v>
      </c>
      <c r="B1565" s="5">
        <f t="shared" si="58"/>
        <v>2017</v>
      </c>
      <c r="C1565" s="9">
        <v>42838</v>
      </c>
      <c r="D1565">
        <v>11.25</v>
      </c>
    </row>
    <row r="1566" spans="1:4" x14ac:dyDescent="0.25">
      <c r="A1566" s="5">
        <f t="shared" si="57"/>
        <v>4</v>
      </c>
      <c r="B1566" s="5">
        <f t="shared" si="58"/>
        <v>2017</v>
      </c>
      <c r="C1566" s="9">
        <v>42839</v>
      </c>
      <c r="D1566">
        <v>11.25</v>
      </c>
    </row>
    <row r="1567" spans="1:4" x14ac:dyDescent="0.25">
      <c r="A1567" s="5">
        <f t="shared" si="57"/>
        <v>4</v>
      </c>
      <c r="B1567" s="5">
        <f t="shared" si="58"/>
        <v>2017</v>
      </c>
      <c r="C1567" s="9">
        <v>42840</v>
      </c>
      <c r="D1567">
        <v>11.25</v>
      </c>
    </row>
    <row r="1568" spans="1:4" x14ac:dyDescent="0.25">
      <c r="A1568" s="5">
        <f t="shared" si="57"/>
        <v>4</v>
      </c>
      <c r="B1568" s="5">
        <f t="shared" si="58"/>
        <v>2017</v>
      </c>
      <c r="C1568" s="9">
        <v>42841</v>
      </c>
      <c r="D1568">
        <v>11.25</v>
      </c>
    </row>
    <row r="1569" spans="1:4" x14ac:dyDescent="0.25">
      <c r="A1569" s="5">
        <f t="shared" si="57"/>
        <v>4</v>
      </c>
      <c r="B1569" s="5">
        <f t="shared" si="58"/>
        <v>2017</v>
      </c>
      <c r="C1569" s="9">
        <v>42842</v>
      </c>
      <c r="D1569">
        <v>11.25</v>
      </c>
    </row>
    <row r="1570" spans="1:4" x14ac:dyDescent="0.25">
      <c r="A1570" s="5">
        <f t="shared" si="57"/>
        <v>4</v>
      </c>
      <c r="B1570" s="5">
        <f t="shared" si="58"/>
        <v>2017</v>
      </c>
      <c r="C1570" s="9">
        <v>42843</v>
      </c>
      <c r="D1570">
        <v>11.25</v>
      </c>
    </row>
    <row r="1571" spans="1:4" x14ac:dyDescent="0.25">
      <c r="A1571" s="5">
        <f t="shared" si="57"/>
        <v>4</v>
      </c>
      <c r="B1571" s="5">
        <f t="shared" si="58"/>
        <v>2017</v>
      </c>
      <c r="C1571" s="9">
        <v>42844</v>
      </c>
      <c r="D1571">
        <v>11.25</v>
      </c>
    </row>
    <row r="1572" spans="1:4" x14ac:dyDescent="0.25">
      <c r="A1572" s="5">
        <f t="shared" si="57"/>
        <v>4</v>
      </c>
      <c r="B1572" s="5">
        <f t="shared" si="58"/>
        <v>2017</v>
      </c>
      <c r="C1572" s="9">
        <v>42845</v>
      </c>
      <c r="D1572">
        <v>11.25</v>
      </c>
    </row>
    <row r="1573" spans="1:4" x14ac:dyDescent="0.25">
      <c r="A1573" s="5">
        <f t="shared" si="57"/>
        <v>4</v>
      </c>
      <c r="B1573" s="5">
        <f t="shared" si="58"/>
        <v>2017</v>
      </c>
      <c r="C1573" s="9">
        <v>42846</v>
      </c>
      <c r="D1573">
        <v>11.25</v>
      </c>
    </row>
    <row r="1574" spans="1:4" x14ac:dyDescent="0.25">
      <c r="A1574" s="5">
        <f t="shared" si="57"/>
        <v>4</v>
      </c>
      <c r="B1574" s="5">
        <f t="shared" si="58"/>
        <v>2017</v>
      </c>
      <c r="C1574" s="9">
        <v>42847</v>
      </c>
      <c r="D1574">
        <v>11.25</v>
      </c>
    </row>
    <row r="1575" spans="1:4" x14ac:dyDescent="0.25">
      <c r="A1575" s="5">
        <f t="shared" si="57"/>
        <v>4</v>
      </c>
      <c r="B1575" s="5">
        <f t="shared" si="58"/>
        <v>2017</v>
      </c>
      <c r="C1575" s="9">
        <v>42848</v>
      </c>
      <c r="D1575">
        <v>11.25</v>
      </c>
    </row>
    <row r="1576" spans="1:4" x14ac:dyDescent="0.25">
      <c r="A1576" s="5">
        <f t="shared" si="57"/>
        <v>4</v>
      </c>
      <c r="B1576" s="5">
        <f t="shared" si="58"/>
        <v>2017</v>
      </c>
      <c r="C1576" s="9">
        <v>42849</v>
      </c>
      <c r="D1576">
        <v>11.25</v>
      </c>
    </row>
    <row r="1577" spans="1:4" x14ac:dyDescent="0.25">
      <c r="A1577" s="5">
        <f t="shared" si="57"/>
        <v>4</v>
      </c>
      <c r="B1577" s="5">
        <f t="shared" si="58"/>
        <v>2017</v>
      </c>
      <c r="C1577" s="9">
        <v>42850</v>
      </c>
      <c r="D1577">
        <v>11.25</v>
      </c>
    </row>
    <row r="1578" spans="1:4" x14ac:dyDescent="0.25">
      <c r="A1578" s="5">
        <f t="shared" si="57"/>
        <v>4</v>
      </c>
      <c r="B1578" s="5">
        <f t="shared" si="58"/>
        <v>2017</v>
      </c>
      <c r="C1578" s="9">
        <v>42851</v>
      </c>
      <c r="D1578">
        <v>11.25</v>
      </c>
    </row>
    <row r="1579" spans="1:4" x14ac:dyDescent="0.25">
      <c r="A1579" s="5">
        <f t="shared" si="57"/>
        <v>4</v>
      </c>
      <c r="B1579" s="5">
        <f t="shared" si="58"/>
        <v>2017</v>
      </c>
      <c r="C1579" s="9">
        <v>42852</v>
      </c>
      <c r="D1579">
        <v>11.25</v>
      </c>
    </row>
    <row r="1580" spans="1:4" x14ac:dyDescent="0.25">
      <c r="A1580" s="5">
        <f t="shared" si="57"/>
        <v>4</v>
      </c>
      <c r="B1580" s="5">
        <f t="shared" si="58"/>
        <v>2017</v>
      </c>
      <c r="C1580" s="9">
        <v>42853</v>
      </c>
      <c r="D1580">
        <v>11.25</v>
      </c>
    </row>
    <row r="1581" spans="1:4" x14ac:dyDescent="0.25">
      <c r="A1581" s="5">
        <f t="shared" si="57"/>
        <v>4</v>
      </c>
      <c r="B1581" s="5">
        <f t="shared" si="58"/>
        <v>2017</v>
      </c>
      <c r="C1581" s="9">
        <v>42854</v>
      </c>
      <c r="D1581">
        <v>11.25</v>
      </c>
    </row>
    <row r="1582" spans="1:4" x14ac:dyDescent="0.25">
      <c r="A1582" s="5">
        <f t="shared" si="57"/>
        <v>4</v>
      </c>
      <c r="B1582" s="5">
        <f t="shared" si="58"/>
        <v>2017</v>
      </c>
      <c r="C1582" s="9">
        <v>42855</v>
      </c>
      <c r="D1582">
        <v>11.25</v>
      </c>
    </row>
    <row r="1583" spans="1:4" x14ac:dyDescent="0.25">
      <c r="A1583" s="5">
        <f t="shared" si="57"/>
        <v>5</v>
      </c>
      <c r="B1583" s="5">
        <f t="shared" si="58"/>
        <v>2017</v>
      </c>
      <c r="C1583" s="9">
        <v>42856</v>
      </c>
      <c r="D1583">
        <v>11.25</v>
      </c>
    </row>
    <row r="1584" spans="1:4" x14ac:dyDescent="0.25">
      <c r="A1584" s="5">
        <f t="shared" si="57"/>
        <v>5</v>
      </c>
      <c r="B1584" s="5">
        <f t="shared" si="58"/>
        <v>2017</v>
      </c>
      <c r="C1584" s="9">
        <v>42857</v>
      </c>
      <c r="D1584">
        <v>11.25</v>
      </c>
    </row>
    <row r="1585" spans="1:4" x14ac:dyDescent="0.25">
      <c r="A1585" s="5">
        <f t="shared" si="57"/>
        <v>5</v>
      </c>
      <c r="B1585" s="5">
        <f t="shared" si="58"/>
        <v>2017</v>
      </c>
      <c r="C1585" s="9">
        <v>42858</v>
      </c>
      <c r="D1585">
        <v>11.25</v>
      </c>
    </row>
    <row r="1586" spans="1:4" x14ac:dyDescent="0.25">
      <c r="A1586" s="5">
        <f t="shared" si="57"/>
        <v>5</v>
      </c>
      <c r="B1586" s="5">
        <f t="shared" si="58"/>
        <v>2017</v>
      </c>
      <c r="C1586" s="9">
        <v>42859</v>
      </c>
      <c r="D1586">
        <v>11.25</v>
      </c>
    </row>
    <row r="1587" spans="1:4" x14ac:dyDescent="0.25">
      <c r="A1587" s="5">
        <f t="shared" si="57"/>
        <v>5</v>
      </c>
      <c r="B1587" s="5">
        <f t="shared" si="58"/>
        <v>2017</v>
      </c>
      <c r="C1587" s="9">
        <v>42860</v>
      </c>
      <c r="D1587">
        <v>11.25</v>
      </c>
    </row>
    <row r="1588" spans="1:4" x14ac:dyDescent="0.25">
      <c r="A1588" s="5">
        <f t="shared" si="57"/>
        <v>5</v>
      </c>
      <c r="B1588" s="5">
        <f t="shared" si="58"/>
        <v>2017</v>
      </c>
      <c r="C1588" s="9">
        <v>42861</v>
      </c>
      <c r="D1588">
        <v>11.25</v>
      </c>
    </row>
    <row r="1589" spans="1:4" x14ac:dyDescent="0.25">
      <c r="A1589" s="5">
        <f t="shared" si="57"/>
        <v>5</v>
      </c>
      <c r="B1589" s="5">
        <f t="shared" si="58"/>
        <v>2017</v>
      </c>
      <c r="C1589" s="9">
        <v>42862</v>
      </c>
      <c r="D1589">
        <v>11.25</v>
      </c>
    </row>
    <row r="1590" spans="1:4" x14ac:dyDescent="0.25">
      <c r="A1590" s="5">
        <f t="shared" si="57"/>
        <v>5</v>
      </c>
      <c r="B1590" s="5">
        <f t="shared" si="58"/>
        <v>2017</v>
      </c>
      <c r="C1590" s="9">
        <v>42863</v>
      </c>
      <c r="D1590">
        <v>11.25</v>
      </c>
    </row>
    <row r="1591" spans="1:4" x14ac:dyDescent="0.25">
      <c r="A1591" s="5">
        <f t="shared" si="57"/>
        <v>5</v>
      </c>
      <c r="B1591" s="5">
        <f t="shared" si="58"/>
        <v>2017</v>
      </c>
      <c r="C1591" s="9">
        <v>42864</v>
      </c>
      <c r="D1591">
        <v>11.25</v>
      </c>
    </row>
    <row r="1592" spans="1:4" x14ac:dyDescent="0.25">
      <c r="A1592" s="5">
        <f t="shared" si="57"/>
        <v>5</v>
      </c>
      <c r="B1592" s="5">
        <f t="shared" si="58"/>
        <v>2017</v>
      </c>
      <c r="C1592" s="9">
        <v>42865</v>
      </c>
      <c r="D1592">
        <v>11.25</v>
      </c>
    </row>
    <row r="1593" spans="1:4" x14ac:dyDescent="0.25">
      <c r="A1593" s="5">
        <f t="shared" si="57"/>
        <v>5</v>
      </c>
      <c r="B1593" s="5">
        <f t="shared" si="58"/>
        <v>2017</v>
      </c>
      <c r="C1593" s="9">
        <v>42866</v>
      </c>
      <c r="D1593">
        <v>11.25</v>
      </c>
    </row>
    <row r="1594" spans="1:4" x14ac:dyDescent="0.25">
      <c r="A1594" s="5">
        <f t="shared" si="57"/>
        <v>5</v>
      </c>
      <c r="B1594" s="5">
        <f t="shared" si="58"/>
        <v>2017</v>
      </c>
      <c r="C1594" s="9">
        <v>42867</v>
      </c>
      <c r="D1594">
        <v>11.25</v>
      </c>
    </row>
    <row r="1595" spans="1:4" x14ac:dyDescent="0.25">
      <c r="A1595" s="5">
        <f t="shared" si="57"/>
        <v>5</v>
      </c>
      <c r="B1595" s="5">
        <f t="shared" si="58"/>
        <v>2017</v>
      </c>
      <c r="C1595" s="9">
        <v>42868</v>
      </c>
      <c r="D1595">
        <v>11.25</v>
      </c>
    </row>
    <row r="1596" spans="1:4" x14ac:dyDescent="0.25">
      <c r="A1596" s="5">
        <f t="shared" si="57"/>
        <v>5</v>
      </c>
      <c r="B1596" s="5">
        <f t="shared" si="58"/>
        <v>2017</v>
      </c>
      <c r="C1596" s="9">
        <v>42869</v>
      </c>
      <c r="D1596">
        <v>11.25</v>
      </c>
    </row>
    <row r="1597" spans="1:4" x14ac:dyDescent="0.25">
      <c r="A1597" s="5">
        <f t="shared" si="57"/>
        <v>5</v>
      </c>
      <c r="B1597" s="5">
        <f t="shared" si="58"/>
        <v>2017</v>
      </c>
      <c r="C1597" s="9">
        <v>42870</v>
      </c>
      <c r="D1597">
        <v>11.25</v>
      </c>
    </row>
    <row r="1598" spans="1:4" x14ac:dyDescent="0.25">
      <c r="A1598" s="5">
        <f t="shared" si="57"/>
        <v>5</v>
      </c>
      <c r="B1598" s="5">
        <f t="shared" si="58"/>
        <v>2017</v>
      </c>
      <c r="C1598" s="9">
        <v>42871</v>
      </c>
      <c r="D1598">
        <v>11.25</v>
      </c>
    </row>
    <row r="1599" spans="1:4" x14ac:dyDescent="0.25">
      <c r="A1599" s="5">
        <f t="shared" si="57"/>
        <v>5</v>
      </c>
      <c r="B1599" s="5">
        <f t="shared" si="58"/>
        <v>2017</v>
      </c>
      <c r="C1599" s="9">
        <v>42872</v>
      </c>
      <c r="D1599">
        <v>11.25</v>
      </c>
    </row>
    <row r="1600" spans="1:4" x14ac:dyDescent="0.25">
      <c r="A1600" s="5">
        <f t="shared" si="57"/>
        <v>5</v>
      </c>
      <c r="B1600" s="5">
        <f t="shared" si="58"/>
        <v>2017</v>
      </c>
      <c r="C1600" s="9">
        <v>42873</v>
      </c>
      <c r="D1600">
        <v>11.25</v>
      </c>
    </row>
    <row r="1601" spans="1:4" x14ac:dyDescent="0.25">
      <c r="A1601" s="5">
        <f t="shared" si="57"/>
        <v>5</v>
      </c>
      <c r="B1601" s="5">
        <f t="shared" si="58"/>
        <v>2017</v>
      </c>
      <c r="C1601" s="9">
        <v>42874</v>
      </c>
      <c r="D1601">
        <v>11.25</v>
      </c>
    </row>
    <row r="1602" spans="1:4" x14ac:dyDescent="0.25">
      <c r="A1602" s="5">
        <f t="shared" si="57"/>
        <v>5</v>
      </c>
      <c r="B1602" s="5">
        <f t="shared" si="58"/>
        <v>2017</v>
      </c>
      <c r="C1602" s="9">
        <v>42875</v>
      </c>
      <c r="D1602">
        <v>11.25</v>
      </c>
    </row>
    <row r="1603" spans="1:4" x14ac:dyDescent="0.25">
      <c r="A1603" s="5">
        <f t="shared" ref="A1603:A1666" si="59">MONTH(C1603)</f>
        <v>5</v>
      </c>
      <c r="B1603" s="5">
        <f t="shared" ref="B1603:B1666" si="60">YEAR(C1603)</f>
        <v>2017</v>
      </c>
      <c r="C1603" s="9">
        <v>42876</v>
      </c>
      <c r="D1603">
        <v>11.25</v>
      </c>
    </row>
    <row r="1604" spans="1:4" x14ac:dyDescent="0.25">
      <c r="A1604" s="5">
        <f t="shared" si="59"/>
        <v>5</v>
      </c>
      <c r="B1604" s="5">
        <f t="shared" si="60"/>
        <v>2017</v>
      </c>
      <c r="C1604" s="9">
        <v>42877</v>
      </c>
      <c r="D1604">
        <v>11.25</v>
      </c>
    </row>
    <row r="1605" spans="1:4" x14ac:dyDescent="0.25">
      <c r="A1605" s="5">
        <f t="shared" si="59"/>
        <v>5</v>
      </c>
      <c r="B1605" s="5">
        <f t="shared" si="60"/>
        <v>2017</v>
      </c>
      <c r="C1605" s="9">
        <v>42878</v>
      </c>
      <c r="D1605">
        <v>11.25</v>
      </c>
    </row>
    <row r="1606" spans="1:4" x14ac:dyDescent="0.25">
      <c r="A1606" s="5">
        <f t="shared" si="59"/>
        <v>5</v>
      </c>
      <c r="B1606" s="5">
        <f t="shared" si="60"/>
        <v>2017</v>
      </c>
      <c r="C1606" s="9">
        <v>42879</v>
      </c>
      <c r="D1606">
        <v>11.25</v>
      </c>
    </row>
    <row r="1607" spans="1:4" x14ac:dyDescent="0.25">
      <c r="A1607" s="5">
        <f t="shared" si="59"/>
        <v>5</v>
      </c>
      <c r="B1607" s="5">
        <f t="shared" si="60"/>
        <v>2017</v>
      </c>
      <c r="C1607" s="9">
        <v>42880</v>
      </c>
      <c r="D1607">
        <v>11.25</v>
      </c>
    </row>
    <row r="1608" spans="1:4" x14ac:dyDescent="0.25">
      <c r="A1608" s="5">
        <f t="shared" si="59"/>
        <v>5</v>
      </c>
      <c r="B1608" s="5">
        <f t="shared" si="60"/>
        <v>2017</v>
      </c>
      <c r="C1608" s="9">
        <v>42881</v>
      </c>
      <c r="D1608">
        <v>11.25</v>
      </c>
    </row>
    <row r="1609" spans="1:4" x14ac:dyDescent="0.25">
      <c r="A1609" s="5">
        <f t="shared" si="59"/>
        <v>5</v>
      </c>
      <c r="B1609" s="5">
        <f t="shared" si="60"/>
        <v>2017</v>
      </c>
      <c r="C1609" s="9">
        <v>42882</v>
      </c>
      <c r="D1609">
        <v>11.25</v>
      </c>
    </row>
    <row r="1610" spans="1:4" x14ac:dyDescent="0.25">
      <c r="A1610" s="5">
        <f t="shared" si="59"/>
        <v>5</v>
      </c>
      <c r="B1610" s="5">
        <f t="shared" si="60"/>
        <v>2017</v>
      </c>
      <c r="C1610" s="9">
        <v>42883</v>
      </c>
      <c r="D1610">
        <v>11.25</v>
      </c>
    </row>
    <row r="1611" spans="1:4" x14ac:dyDescent="0.25">
      <c r="A1611" s="5">
        <f t="shared" si="59"/>
        <v>5</v>
      </c>
      <c r="B1611" s="5">
        <f t="shared" si="60"/>
        <v>2017</v>
      </c>
      <c r="C1611" s="9">
        <v>42884</v>
      </c>
      <c r="D1611">
        <v>11.25</v>
      </c>
    </row>
    <row r="1612" spans="1:4" x14ac:dyDescent="0.25">
      <c r="A1612" s="5">
        <f t="shared" si="59"/>
        <v>5</v>
      </c>
      <c r="B1612" s="5">
        <f t="shared" si="60"/>
        <v>2017</v>
      </c>
      <c r="C1612" s="9">
        <v>42885</v>
      </c>
      <c r="D1612">
        <v>11.25</v>
      </c>
    </row>
    <row r="1613" spans="1:4" x14ac:dyDescent="0.25">
      <c r="A1613" s="5">
        <f t="shared" si="59"/>
        <v>5</v>
      </c>
      <c r="B1613" s="5">
        <f t="shared" si="60"/>
        <v>2017</v>
      </c>
      <c r="C1613" s="9">
        <v>42886</v>
      </c>
      <c r="D1613">
        <v>11.25</v>
      </c>
    </row>
    <row r="1614" spans="1:4" x14ac:dyDescent="0.25">
      <c r="A1614" s="5">
        <f t="shared" si="59"/>
        <v>6</v>
      </c>
      <c r="B1614" s="5">
        <f t="shared" si="60"/>
        <v>2017</v>
      </c>
      <c r="C1614" s="9">
        <v>42887</v>
      </c>
      <c r="D1614">
        <v>10.25</v>
      </c>
    </row>
    <row r="1615" spans="1:4" x14ac:dyDescent="0.25">
      <c r="A1615" s="5">
        <f t="shared" si="59"/>
        <v>6</v>
      </c>
      <c r="B1615" s="5">
        <f t="shared" si="60"/>
        <v>2017</v>
      </c>
      <c r="C1615" s="9">
        <v>42888</v>
      </c>
      <c r="D1615">
        <v>10.25</v>
      </c>
    </row>
    <row r="1616" spans="1:4" x14ac:dyDescent="0.25">
      <c r="A1616" s="5">
        <f t="shared" si="59"/>
        <v>6</v>
      </c>
      <c r="B1616" s="5">
        <f t="shared" si="60"/>
        <v>2017</v>
      </c>
      <c r="C1616" s="9">
        <v>42889</v>
      </c>
      <c r="D1616">
        <v>10.25</v>
      </c>
    </row>
    <row r="1617" spans="1:4" x14ac:dyDescent="0.25">
      <c r="A1617" s="5">
        <f t="shared" si="59"/>
        <v>6</v>
      </c>
      <c r="B1617" s="5">
        <f t="shared" si="60"/>
        <v>2017</v>
      </c>
      <c r="C1617" s="9">
        <v>42890</v>
      </c>
      <c r="D1617">
        <v>10.25</v>
      </c>
    </row>
    <row r="1618" spans="1:4" x14ac:dyDescent="0.25">
      <c r="A1618" s="5">
        <f t="shared" si="59"/>
        <v>6</v>
      </c>
      <c r="B1618" s="5">
        <f t="shared" si="60"/>
        <v>2017</v>
      </c>
      <c r="C1618" s="9">
        <v>42891</v>
      </c>
      <c r="D1618">
        <v>10.25</v>
      </c>
    </row>
    <row r="1619" spans="1:4" x14ac:dyDescent="0.25">
      <c r="A1619" s="5">
        <f t="shared" si="59"/>
        <v>6</v>
      </c>
      <c r="B1619" s="5">
        <f t="shared" si="60"/>
        <v>2017</v>
      </c>
      <c r="C1619" s="9">
        <v>42892</v>
      </c>
      <c r="D1619">
        <v>10.25</v>
      </c>
    </row>
    <row r="1620" spans="1:4" x14ac:dyDescent="0.25">
      <c r="A1620" s="5">
        <f t="shared" si="59"/>
        <v>6</v>
      </c>
      <c r="B1620" s="5">
        <f t="shared" si="60"/>
        <v>2017</v>
      </c>
      <c r="C1620" s="9">
        <v>42893</v>
      </c>
      <c r="D1620">
        <v>10.25</v>
      </c>
    </row>
    <row r="1621" spans="1:4" x14ac:dyDescent="0.25">
      <c r="A1621" s="5">
        <f t="shared" si="59"/>
        <v>6</v>
      </c>
      <c r="B1621" s="5">
        <f t="shared" si="60"/>
        <v>2017</v>
      </c>
      <c r="C1621" s="9">
        <v>42894</v>
      </c>
      <c r="D1621">
        <v>10.25</v>
      </c>
    </row>
    <row r="1622" spans="1:4" x14ac:dyDescent="0.25">
      <c r="A1622" s="5">
        <f t="shared" si="59"/>
        <v>6</v>
      </c>
      <c r="B1622" s="5">
        <f t="shared" si="60"/>
        <v>2017</v>
      </c>
      <c r="C1622" s="9">
        <v>42895</v>
      </c>
      <c r="D1622">
        <v>10.25</v>
      </c>
    </row>
    <row r="1623" spans="1:4" x14ac:dyDescent="0.25">
      <c r="A1623" s="5">
        <f t="shared" si="59"/>
        <v>6</v>
      </c>
      <c r="B1623" s="5">
        <f t="shared" si="60"/>
        <v>2017</v>
      </c>
      <c r="C1623" s="9">
        <v>42896</v>
      </c>
      <c r="D1623">
        <v>10.25</v>
      </c>
    </row>
    <row r="1624" spans="1:4" x14ac:dyDescent="0.25">
      <c r="A1624" s="5">
        <f t="shared" si="59"/>
        <v>6</v>
      </c>
      <c r="B1624" s="5">
        <f t="shared" si="60"/>
        <v>2017</v>
      </c>
      <c r="C1624" s="9">
        <v>42897</v>
      </c>
      <c r="D1624">
        <v>10.25</v>
      </c>
    </row>
    <row r="1625" spans="1:4" x14ac:dyDescent="0.25">
      <c r="A1625" s="5">
        <f t="shared" si="59"/>
        <v>6</v>
      </c>
      <c r="B1625" s="5">
        <f t="shared" si="60"/>
        <v>2017</v>
      </c>
      <c r="C1625" s="9">
        <v>42898</v>
      </c>
      <c r="D1625">
        <v>10.25</v>
      </c>
    </row>
    <row r="1626" spans="1:4" x14ac:dyDescent="0.25">
      <c r="A1626" s="5">
        <f t="shared" si="59"/>
        <v>6</v>
      </c>
      <c r="B1626" s="5">
        <f t="shared" si="60"/>
        <v>2017</v>
      </c>
      <c r="C1626" s="9">
        <v>42899</v>
      </c>
      <c r="D1626">
        <v>10.25</v>
      </c>
    </row>
    <row r="1627" spans="1:4" x14ac:dyDescent="0.25">
      <c r="A1627" s="5">
        <f t="shared" si="59"/>
        <v>6</v>
      </c>
      <c r="B1627" s="5">
        <f t="shared" si="60"/>
        <v>2017</v>
      </c>
      <c r="C1627" s="9">
        <v>42900</v>
      </c>
      <c r="D1627">
        <v>10.25</v>
      </c>
    </row>
    <row r="1628" spans="1:4" x14ac:dyDescent="0.25">
      <c r="A1628" s="5">
        <f t="shared" si="59"/>
        <v>6</v>
      </c>
      <c r="B1628" s="5">
        <f t="shared" si="60"/>
        <v>2017</v>
      </c>
      <c r="C1628" s="9">
        <v>42901</v>
      </c>
      <c r="D1628">
        <v>10.25</v>
      </c>
    </row>
    <row r="1629" spans="1:4" x14ac:dyDescent="0.25">
      <c r="A1629" s="5">
        <f t="shared" si="59"/>
        <v>6</v>
      </c>
      <c r="B1629" s="5">
        <f t="shared" si="60"/>
        <v>2017</v>
      </c>
      <c r="C1629" s="9">
        <v>42902</v>
      </c>
      <c r="D1629">
        <v>10.25</v>
      </c>
    </row>
    <row r="1630" spans="1:4" x14ac:dyDescent="0.25">
      <c r="A1630" s="5">
        <f t="shared" si="59"/>
        <v>6</v>
      </c>
      <c r="B1630" s="5">
        <f t="shared" si="60"/>
        <v>2017</v>
      </c>
      <c r="C1630" s="9">
        <v>42903</v>
      </c>
      <c r="D1630">
        <v>10.25</v>
      </c>
    </row>
    <row r="1631" spans="1:4" x14ac:dyDescent="0.25">
      <c r="A1631" s="5">
        <f t="shared" si="59"/>
        <v>6</v>
      </c>
      <c r="B1631" s="5">
        <f t="shared" si="60"/>
        <v>2017</v>
      </c>
      <c r="C1631" s="9">
        <v>42904</v>
      </c>
      <c r="D1631">
        <v>10.25</v>
      </c>
    </row>
    <row r="1632" spans="1:4" x14ac:dyDescent="0.25">
      <c r="A1632" s="5">
        <f t="shared" si="59"/>
        <v>6</v>
      </c>
      <c r="B1632" s="5">
        <f t="shared" si="60"/>
        <v>2017</v>
      </c>
      <c r="C1632" s="9">
        <v>42905</v>
      </c>
      <c r="D1632">
        <v>10.25</v>
      </c>
    </row>
    <row r="1633" spans="1:4" x14ac:dyDescent="0.25">
      <c r="A1633" s="5">
        <f t="shared" si="59"/>
        <v>6</v>
      </c>
      <c r="B1633" s="5">
        <f t="shared" si="60"/>
        <v>2017</v>
      </c>
      <c r="C1633" s="9">
        <v>42906</v>
      </c>
      <c r="D1633">
        <v>10.25</v>
      </c>
    </row>
    <row r="1634" spans="1:4" x14ac:dyDescent="0.25">
      <c r="A1634" s="5">
        <f t="shared" si="59"/>
        <v>6</v>
      </c>
      <c r="B1634" s="5">
        <f t="shared" si="60"/>
        <v>2017</v>
      </c>
      <c r="C1634" s="9">
        <v>42907</v>
      </c>
      <c r="D1634">
        <v>10.25</v>
      </c>
    </row>
    <row r="1635" spans="1:4" x14ac:dyDescent="0.25">
      <c r="A1635" s="5">
        <f t="shared" si="59"/>
        <v>6</v>
      </c>
      <c r="B1635" s="5">
        <f t="shared" si="60"/>
        <v>2017</v>
      </c>
      <c r="C1635" s="9">
        <v>42908</v>
      </c>
      <c r="D1635">
        <v>10.25</v>
      </c>
    </row>
    <row r="1636" spans="1:4" x14ac:dyDescent="0.25">
      <c r="A1636" s="5">
        <f t="shared" si="59"/>
        <v>6</v>
      </c>
      <c r="B1636" s="5">
        <f t="shared" si="60"/>
        <v>2017</v>
      </c>
      <c r="C1636" s="9">
        <v>42909</v>
      </c>
      <c r="D1636">
        <v>10.25</v>
      </c>
    </row>
    <row r="1637" spans="1:4" x14ac:dyDescent="0.25">
      <c r="A1637" s="5">
        <f t="shared" si="59"/>
        <v>6</v>
      </c>
      <c r="B1637" s="5">
        <f t="shared" si="60"/>
        <v>2017</v>
      </c>
      <c r="C1637" s="9">
        <v>42910</v>
      </c>
      <c r="D1637">
        <v>10.25</v>
      </c>
    </row>
    <row r="1638" spans="1:4" x14ac:dyDescent="0.25">
      <c r="A1638" s="5">
        <f t="shared" si="59"/>
        <v>6</v>
      </c>
      <c r="B1638" s="5">
        <f t="shared" si="60"/>
        <v>2017</v>
      </c>
      <c r="C1638" s="9">
        <v>42911</v>
      </c>
      <c r="D1638">
        <v>10.25</v>
      </c>
    </row>
    <row r="1639" spans="1:4" x14ac:dyDescent="0.25">
      <c r="A1639" s="5">
        <f t="shared" si="59"/>
        <v>6</v>
      </c>
      <c r="B1639" s="5">
        <f t="shared" si="60"/>
        <v>2017</v>
      </c>
      <c r="C1639" s="9">
        <v>42912</v>
      </c>
      <c r="D1639">
        <v>10.25</v>
      </c>
    </row>
    <row r="1640" spans="1:4" x14ac:dyDescent="0.25">
      <c r="A1640" s="5">
        <f t="shared" si="59"/>
        <v>6</v>
      </c>
      <c r="B1640" s="5">
        <f t="shared" si="60"/>
        <v>2017</v>
      </c>
      <c r="C1640" s="9">
        <v>42913</v>
      </c>
      <c r="D1640">
        <v>10.25</v>
      </c>
    </row>
    <row r="1641" spans="1:4" x14ac:dyDescent="0.25">
      <c r="A1641" s="5">
        <f t="shared" si="59"/>
        <v>6</v>
      </c>
      <c r="B1641" s="5">
        <f t="shared" si="60"/>
        <v>2017</v>
      </c>
      <c r="C1641" s="9">
        <v>42914</v>
      </c>
      <c r="D1641">
        <v>10.25</v>
      </c>
    </row>
    <row r="1642" spans="1:4" x14ac:dyDescent="0.25">
      <c r="A1642" s="5">
        <f t="shared" si="59"/>
        <v>6</v>
      </c>
      <c r="B1642" s="5">
        <f t="shared" si="60"/>
        <v>2017</v>
      </c>
      <c r="C1642" s="9">
        <v>42915</v>
      </c>
      <c r="D1642">
        <v>10.25</v>
      </c>
    </row>
    <row r="1643" spans="1:4" x14ac:dyDescent="0.25">
      <c r="A1643" s="5">
        <f t="shared" si="59"/>
        <v>6</v>
      </c>
      <c r="B1643" s="5">
        <f t="shared" si="60"/>
        <v>2017</v>
      </c>
      <c r="C1643" s="9">
        <v>42916</v>
      </c>
      <c r="D1643">
        <v>10.25</v>
      </c>
    </row>
    <row r="1644" spans="1:4" x14ac:dyDescent="0.25">
      <c r="A1644" s="5">
        <f t="shared" si="59"/>
        <v>7</v>
      </c>
      <c r="B1644" s="5">
        <f t="shared" si="60"/>
        <v>2017</v>
      </c>
      <c r="C1644" s="9">
        <v>42917</v>
      </c>
      <c r="D1644">
        <v>10.25</v>
      </c>
    </row>
    <row r="1645" spans="1:4" x14ac:dyDescent="0.25">
      <c r="A1645" s="5">
        <f t="shared" si="59"/>
        <v>7</v>
      </c>
      <c r="B1645" s="5">
        <f t="shared" si="60"/>
        <v>2017</v>
      </c>
      <c r="C1645" s="9">
        <v>42918</v>
      </c>
      <c r="D1645">
        <v>10.25</v>
      </c>
    </row>
    <row r="1646" spans="1:4" x14ac:dyDescent="0.25">
      <c r="A1646" s="5">
        <f t="shared" si="59"/>
        <v>7</v>
      </c>
      <c r="B1646" s="5">
        <f t="shared" si="60"/>
        <v>2017</v>
      </c>
      <c r="C1646" s="9">
        <v>42919</v>
      </c>
      <c r="D1646">
        <v>10.25</v>
      </c>
    </row>
    <row r="1647" spans="1:4" x14ac:dyDescent="0.25">
      <c r="A1647" s="5">
        <f t="shared" si="59"/>
        <v>7</v>
      </c>
      <c r="B1647" s="5">
        <f t="shared" si="60"/>
        <v>2017</v>
      </c>
      <c r="C1647" s="9">
        <v>42920</v>
      </c>
      <c r="D1647">
        <v>10.25</v>
      </c>
    </row>
    <row r="1648" spans="1:4" x14ac:dyDescent="0.25">
      <c r="A1648" s="5">
        <f t="shared" si="59"/>
        <v>7</v>
      </c>
      <c r="B1648" s="5">
        <f t="shared" si="60"/>
        <v>2017</v>
      </c>
      <c r="C1648" s="9">
        <v>42921</v>
      </c>
      <c r="D1648">
        <v>10.25</v>
      </c>
    </row>
    <row r="1649" spans="1:4" x14ac:dyDescent="0.25">
      <c r="A1649" s="5">
        <f t="shared" si="59"/>
        <v>7</v>
      </c>
      <c r="B1649" s="5">
        <f t="shared" si="60"/>
        <v>2017</v>
      </c>
      <c r="C1649" s="9">
        <v>42922</v>
      </c>
      <c r="D1649">
        <v>10.25</v>
      </c>
    </row>
    <row r="1650" spans="1:4" x14ac:dyDescent="0.25">
      <c r="A1650" s="5">
        <f t="shared" si="59"/>
        <v>7</v>
      </c>
      <c r="B1650" s="5">
        <f t="shared" si="60"/>
        <v>2017</v>
      </c>
      <c r="C1650" s="9">
        <v>42923</v>
      </c>
      <c r="D1650">
        <v>10.25</v>
      </c>
    </row>
    <row r="1651" spans="1:4" x14ac:dyDescent="0.25">
      <c r="A1651" s="5">
        <f t="shared" si="59"/>
        <v>7</v>
      </c>
      <c r="B1651" s="5">
        <f t="shared" si="60"/>
        <v>2017</v>
      </c>
      <c r="C1651" s="9">
        <v>42924</v>
      </c>
      <c r="D1651">
        <v>10.25</v>
      </c>
    </row>
    <row r="1652" spans="1:4" x14ac:dyDescent="0.25">
      <c r="A1652" s="5">
        <f t="shared" si="59"/>
        <v>7</v>
      </c>
      <c r="B1652" s="5">
        <f t="shared" si="60"/>
        <v>2017</v>
      </c>
      <c r="C1652" s="9">
        <v>42925</v>
      </c>
      <c r="D1652">
        <v>10.25</v>
      </c>
    </row>
    <row r="1653" spans="1:4" x14ac:dyDescent="0.25">
      <c r="A1653" s="5">
        <f t="shared" si="59"/>
        <v>7</v>
      </c>
      <c r="B1653" s="5">
        <f t="shared" si="60"/>
        <v>2017</v>
      </c>
      <c r="C1653" s="9">
        <v>42926</v>
      </c>
      <c r="D1653">
        <v>10.25</v>
      </c>
    </row>
    <row r="1654" spans="1:4" x14ac:dyDescent="0.25">
      <c r="A1654" s="5">
        <f t="shared" si="59"/>
        <v>7</v>
      </c>
      <c r="B1654" s="5">
        <f t="shared" si="60"/>
        <v>2017</v>
      </c>
      <c r="C1654" s="9">
        <v>42927</v>
      </c>
      <c r="D1654">
        <v>10.25</v>
      </c>
    </row>
    <row r="1655" spans="1:4" x14ac:dyDescent="0.25">
      <c r="A1655" s="5">
        <f t="shared" si="59"/>
        <v>7</v>
      </c>
      <c r="B1655" s="5">
        <f t="shared" si="60"/>
        <v>2017</v>
      </c>
      <c r="C1655" s="9">
        <v>42928</v>
      </c>
      <c r="D1655">
        <v>10.25</v>
      </c>
    </row>
    <row r="1656" spans="1:4" x14ac:dyDescent="0.25">
      <c r="A1656" s="5">
        <f t="shared" si="59"/>
        <v>7</v>
      </c>
      <c r="B1656" s="5">
        <f t="shared" si="60"/>
        <v>2017</v>
      </c>
      <c r="C1656" s="9">
        <v>42929</v>
      </c>
      <c r="D1656">
        <v>10.25</v>
      </c>
    </row>
    <row r="1657" spans="1:4" x14ac:dyDescent="0.25">
      <c r="A1657" s="5">
        <f t="shared" si="59"/>
        <v>7</v>
      </c>
      <c r="B1657" s="5">
        <f t="shared" si="60"/>
        <v>2017</v>
      </c>
      <c r="C1657" s="9">
        <v>42930</v>
      </c>
      <c r="D1657">
        <v>10.25</v>
      </c>
    </row>
    <row r="1658" spans="1:4" x14ac:dyDescent="0.25">
      <c r="A1658" s="5">
        <f t="shared" si="59"/>
        <v>7</v>
      </c>
      <c r="B1658" s="5">
        <f t="shared" si="60"/>
        <v>2017</v>
      </c>
      <c r="C1658" s="9">
        <v>42931</v>
      </c>
      <c r="D1658">
        <v>10.25</v>
      </c>
    </row>
    <row r="1659" spans="1:4" x14ac:dyDescent="0.25">
      <c r="A1659" s="5">
        <f t="shared" si="59"/>
        <v>7</v>
      </c>
      <c r="B1659" s="5">
        <f t="shared" si="60"/>
        <v>2017</v>
      </c>
      <c r="C1659" s="9">
        <v>42932</v>
      </c>
      <c r="D1659">
        <v>10.25</v>
      </c>
    </row>
    <row r="1660" spans="1:4" x14ac:dyDescent="0.25">
      <c r="A1660" s="5">
        <f t="shared" si="59"/>
        <v>7</v>
      </c>
      <c r="B1660" s="5">
        <f t="shared" si="60"/>
        <v>2017</v>
      </c>
      <c r="C1660" s="9">
        <v>42933</v>
      </c>
      <c r="D1660">
        <v>10.25</v>
      </c>
    </row>
    <row r="1661" spans="1:4" x14ac:dyDescent="0.25">
      <c r="A1661" s="5">
        <f t="shared" si="59"/>
        <v>7</v>
      </c>
      <c r="B1661" s="5">
        <f t="shared" si="60"/>
        <v>2017</v>
      </c>
      <c r="C1661" s="9">
        <v>42934</v>
      </c>
      <c r="D1661">
        <v>10.25</v>
      </c>
    </row>
    <row r="1662" spans="1:4" x14ac:dyDescent="0.25">
      <c r="A1662" s="5">
        <f t="shared" si="59"/>
        <v>7</v>
      </c>
      <c r="B1662" s="5">
        <f t="shared" si="60"/>
        <v>2017</v>
      </c>
      <c r="C1662" s="9">
        <v>42935</v>
      </c>
      <c r="D1662">
        <v>10.25</v>
      </c>
    </row>
    <row r="1663" spans="1:4" x14ac:dyDescent="0.25">
      <c r="A1663" s="5">
        <f t="shared" si="59"/>
        <v>7</v>
      </c>
      <c r="B1663" s="5">
        <f t="shared" si="60"/>
        <v>2017</v>
      </c>
      <c r="C1663" s="9">
        <v>42936</v>
      </c>
      <c r="D1663">
        <v>10.25</v>
      </c>
    </row>
    <row r="1664" spans="1:4" x14ac:dyDescent="0.25">
      <c r="A1664" s="5">
        <f t="shared" si="59"/>
        <v>7</v>
      </c>
      <c r="B1664" s="5">
        <f t="shared" si="60"/>
        <v>2017</v>
      </c>
      <c r="C1664" s="9">
        <v>42937</v>
      </c>
      <c r="D1664">
        <v>10.25</v>
      </c>
    </row>
    <row r="1665" spans="1:4" x14ac:dyDescent="0.25">
      <c r="A1665" s="5">
        <f t="shared" si="59"/>
        <v>7</v>
      </c>
      <c r="B1665" s="5">
        <f t="shared" si="60"/>
        <v>2017</v>
      </c>
      <c r="C1665" s="9">
        <v>42938</v>
      </c>
      <c r="D1665">
        <v>10.25</v>
      </c>
    </row>
    <row r="1666" spans="1:4" x14ac:dyDescent="0.25">
      <c r="A1666" s="5">
        <f t="shared" si="59"/>
        <v>7</v>
      </c>
      <c r="B1666" s="5">
        <f t="shared" si="60"/>
        <v>2017</v>
      </c>
      <c r="C1666" s="9">
        <v>42939</v>
      </c>
      <c r="D1666">
        <v>10.25</v>
      </c>
    </row>
    <row r="1667" spans="1:4" x14ac:dyDescent="0.25">
      <c r="A1667" s="5">
        <f t="shared" ref="A1667:A1730" si="61">MONTH(C1667)</f>
        <v>7</v>
      </c>
      <c r="B1667" s="5">
        <f t="shared" ref="B1667:B1730" si="62">YEAR(C1667)</f>
        <v>2017</v>
      </c>
      <c r="C1667" s="9">
        <v>42940</v>
      </c>
      <c r="D1667">
        <v>10.25</v>
      </c>
    </row>
    <row r="1668" spans="1:4" x14ac:dyDescent="0.25">
      <c r="A1668" s="5">
        <f t="shared" si="61"/>
        <v>7</v>
      </c>
      <c r="B1668" s="5">
        <f t="shared" si="62"/>
        <v>2017</v>
      </c>
      <c r="C1668" s="9">
        <v>42941</v>
      </c>
      <c r="D1668">
        <v>10.25</v>
      </c>
    </row>
    <row r="1669" spans="1:4" x14ac:dyDescent="0.25">
      <c r="A1669" s="5">
        <f t="shared" si="61"/>
        <v>7</v>
      </c>
      <c r="B1669" s="5">
        <f t="shared" si="62"/>
        <v>2017</v>
      </c>
      <c r="C1669" s="9">
        <v>42942</v>
      </c>
      <c r="D1669">
        <v>10.25</v>
      </c>
    </row>
    <row r="1670" spans="1:4" x14ac:dyDescent="0.25">
      <c r="A1670" s="5">
        <f t="shared" si="61"/>
        <v>7</v>
      </c>
      <c r="B1670" s="5">
        <f t="shared" si="62"/>
        <v>2017</v>
      </c>
      <c r="C1670" s="9">
        <v>42943</v>
      </c>
      <c r="D1670">
        <v>9.25</v>
      </c>
    </row>
    <row r="1671" spans="1:4" x14ac:dyDescent="0.25">
      <c r="A1671" s="5">
        <f t="shared" si="61"/>
        <v>7</v>
      </c>
      <c r="B1671" s="5">
        <f t="shared" si="62"/>
        <v>2017</v>
      </c>
      <c r="C1671" s="9">
        <v>42944</v>
      </c>
      <c r="D1671">
        <v>9.25</v>
      </c>
    </row>
    <row r="1672" spans="1:4" x14ac:dyDescent="0.25">
      <c r="A1672" s="5">
        <f t="shared" si="61"/>
        <v>7</v>
      </c>
      <c r="B1672" s="5">
        <f t="shared" si="62"/>
        <v>2017</v>
      </c>
      <c r="C1672" s="9">
        <v>42945</v>
      </c>
      <c r="D1672">
        <v>9.25</v>
      </c>
    </row>
    <row r="1673" spans="1:4" x14ac:dyDescent="0.25">
      <c r="A1673" s="5">
        <f t="shared" si="61"/>
        <v>7</v>
      </c>
      <c r="B1673" s="5">
        <f t="shared" si="62"/>
        <v>2017</v>
      </c>
      <c r="C1673" s="9">
        <v>42946</v>
      </c>
      <c r="D1673">
        <v>9.25</v>
      </c>
    </row>
    <row r="1674" spans="1:4" x14ac:dyDescent="0.25">
      <c r="A1674" s="5">
        <f t="shared" si="61"/>
        <v>7</v>
      </c>
      <c r="B1674" s="5">
        <f t="shared" si="62"/>
        <v>2017</v>
      </c>
      <c r="C1674" s="9">
        <v>42947</v>
      </c>
      <c r="D1674">
        <v>9.25</v>
      </c>
    </row>
    <row r="1675" spans="1:4" x14ac:dyDescent="0.25">
      <c r="A1675" s="5">
        <f t="shared" si="61"/>
        <v>8</v>
      </c>
      <c r="B1675" s="5">
        <f t="shared" si="62"/>
        <v>2017</v>
      </c>
      <c r="C1675" s="9">
        <v>42948</v>
      </c>
      <c r="D1675">
        <v>9.25</v>
      </c>
    </row>
    <row r="1676" spans="1:4" x14ac:dyDescent="0.25">
      <c r="A1676" s="5">
        <f t="shared" si="61"/>
        <v>8</v>
      </c>
      <c r="B1676" s="5">
        <f t="shared" si="62"/>
        <v>2017</v>
      </c>
      <c r="C1676" s="9">
        <v>42949</v>
      </c>
      <c r="D1676">
        <v>9.25</v>
      </c>
    </row>
    <row r="1677" spans="1:4" x14ac:dyDescent="0.25">
      <c r="A1677" s="5">
        <f t="shared" si="61"/>
        <v>8</v>
      </c>
      <c r="B1677" s="5">
        <f t="shared" si="62"/>
        <v>2017</v>
      </c>
      <c r="C1677" s="9">
        <v>42950</v>
      </c>
      <c r="D1677">
        <v>9.25</v>
      </c>
    </row>
    <row r="1678" spans="1:4" x14ac:dyDescent="0.25">
      <c r="A1678" s="5">
        <f t="shared" si="61"/>
        <v>8</v>
      </c>
      <c r="B1678" s="5">
        <f t="shared" si="62"/>
        <v>2017</v>
      </c>
      <c r="C1678" s="9">
        <v>42951</v>
      </c>
      <c r="D1678">
        <v>9.25</v>
      </c>
    </row>
    <row r="1679" spans="1:4" x14ac:dyDescent="0.25">
      <c r="A1679" s="5">
        <f t="shared" si="61"/>
        <v>8</v>
      </c>
      <c r="B1679" s="5">
        <f t="shared" si="62"/>
        <v>2017</v>
      </c>
      <c r="C1679" s="9">
        <v>42952</v>
      </c>
      <c r="D1679">
        <v>9.25</v>
      </c>
    </row>
    <row r="1680" spans="1:4" x14ac:dyDescent="0.25">
      <c r="A1680" s="5">
        <f t="shared" si="61"/>
        <v>8</v>
      </c>
      <c r="B1680" s="5">
        <f t="shared" si="62"/>
        <v>2017</v>
      </c>
      <c r="C1680" s="9">
        <v>42953</v>
      </c>
      <c r="D1680">
        <v>9.25</v>
      </c>
    </row>
    <row r="1681" spans="1:4" x14ac:dyDescent="0.25">
      <c r="A1681" s="5">
        <f t="shared" si="61"/>
        <v>8</v>
      </c>
      <c r="B1681" s="5">
        <f t="shared" si="62"/>
        <v>2017</v>
      </c>
      <c r="C1681" s="9">
        <v>42954</v>
      </c>
      <c r="D1681">
        <v>9.25</v>
      </c>
    </row>
    <row r="1682" spans="1:4" x14ac:dyDescent="0.25">
      <c r="A1682" s="5">
        <f t="shared" si="61"/>
        <v>8</v>
      </c>
      <c r="B1682" s="5">
        <f t="shared" si="62"/>
        <v>2017</v>
      </c>
      <c r="C1682" s="9">
        <v>42955</v>
      </c>
      <c r="D1682">
        <v>9.25</v>
      </c>
    </row>
    <row r="1683" spans="1:4" x14ac:dyDescent="0.25">
      <c r="A1683" s="5">
        <f t="shared" si="61"/>
        <v>8</v>
      </c>
      <c r="B1683" s="5">
        <f t="shared" si="62"/>
        <v>2017</v>
      </c>
      <c r="C1683" s="9">
        <v>42956</v>
      </c>
      <c r="D1683">
        <v>9.25</v>
      </c>
    </row>
    <row r="1684" spans="1:4" x14ac:dyDescent="0.25">
      <c r="A1684" s="5">
        <f t="shared" si="61"/>
        <v>8</v>
      </c>
      <c r="B1684" s="5">
        <f t="shared" si="62"/>
        <v>2017</v>
      </c>
      <c r="C1684" s="9">
        <v>42957</v>
      </c>
      <c r="D1684">
        <v>9.25</v>
      </c>
    </row>
    <row r="1685" spans="1:4" x14ac:dyDescent="0.25">
      <c r="A1685" s="5">
        <f t="shared" si="61"/>
        <v>8</v>
      </c>
      <c r="B1685" s="5">
        <f t="shared" si="62"/>
        <v>2017</v>
      </c>
      <c r="C1685" s="9">
        <v>42958</v>
      </c>
      <c r="D1685">
        <v>9.25</v>
      </c>
    </row>
    <row r="1686" spans="1:4" x14ac:dyDescent="0.25">
      <c r="A1686" s="5">
        <f t="shared" si="61"/>
        <v>8</v>
      </c>
      <c r="B1686" s="5">
        <f t="shared" si="62"/>
        <v>2017</v>
      </c>
      <c r="C1686" s="9">
        <v>42959</v>
      </c>
      <c r="D1686">
        <v>9.25</v>
      </c>
    </row>
    <row r="1687" spans="1:4" x14ac:dyDescent="0.25">
      <c r="A1687" s="5">
        <f t="shared" si="61"/>
        <v>8</v>
      </c>
      <c r="B1687" s="5">
        <f t="shared" si="62"/>
        <v>2017</v>
      </c>
      <c r="C1687" s="9">
        <v>42960</v>
      </c>
      <c r="D1687">
        <v>9.25</v>
      </c>
    </row>
    <row r="1688" spans="1:4" x14ac:dyDescent="0.25">
      <c r="A1688" s="5">
        <f t="shared" si="61"/>
        <v>8</v>
      </c>
      <c r="B1688" s="5">
        <f t="shared" si="62"/>
        <v>2017</v>
      </c>
      <c r="C1688" s="9">
        <v>42961</v>
      </c>
      <c r="D1688">
        <v>9.25</v>
      </c>
    </row>
    <row r="1689" spans="1:4" x14ac:dyDescent="0.25">
      <c r="A1689" s="5">
        <f t="shared" si="61"/>
        <v>8</v>
      </c>
      <c r="B1689" s="5">
        <f t="shared" si="62"/>
        <v>2017</v>
      </c>
      <c r="C1689" s="9">
        <v>42962</v>
      </c>
      <c r="D1689">
        <v>9.25</v>
      </c>
    </row>
    <row r="1690" spans="1:4" x14ac:dyDescent="0.25">
      <c r="A1690" s="5">
        <f t="shared" si="61"/>
        <v>8</v>
      </c>
      <c r="B1690" s="5">
        <f t="shared" si="62"/>
        <v>2017</v>
      </c>
      <c r="C1690" s="9">
        <v>42963</v>
      </c>
      <c r="D1690">
        <v>9.25</v>
      </c>
    </row>
    <row r="1691" spans="1:4" x14ac:dyDescent="0.25">
      <c r="A1691" s="5">
        <f t="shared" si="61"/>
        <v>8</v>
      </c>
      <c r="B1691" s="5">
        <f t="shared" si="62"/>
        <v>2017</v>
      </c>
      <c r="C1691" s="9">
        <v>42964</v>
      </c>
      <c r="D1691">
        <v>9.25</v>
      </c>
    </row>
    <row r="1692" spans="1:4" x14ac:dyDescent="0.25">
      <c r="A1692" s="5">
        <f t="shared" si="61"/>
        <v>8</v>
      </c>
      <c r="B1692" s="5">
        <f t="shared" si="62"/>
        <v>2017</v>
      </c>
      <c r="C1692" s="9">
        <v>42965</v>
      </c>
      <c r="D1692">
        <v>9.25</v>
      </c>
    </row>
    <row r="1693" spans="1:4" x14ac:dyDescent="0.25">
      <c r="A1693" s="5">
        <f t="shared" si="61"/>
        <v>8</v>
      </c>
      <c r="B1693" s="5">
        <f t="shared" si="62"/>
        <v>2017</v>
      </c>
      <c r="C1693" s="9">
        <v>42966</v>
      </c>
      <c r="D1693">
        <v>9.25</v>
      </c>
    </row>
    <row r="1694" spans="1:4" x14ac:dyDescent="0.25">
      <c r="A1694" s="5">
        <f t="shared" si="61"/>
        <v>8</v>
      </c>
      <c r="B1694" s="5">
        <f t="shared" si="62"/>
        <v>2017</v>
      </c>
      <c r="C1694" s="9">
        <v>42967</v>
      </c>
      <c r="D1694">
        <v>9.25</v>
      </c>
    </row>
    <row r="1695" spans="1:4" x14ac:dyDescent="0.25">
      <c r="A1695" s="5">
        <f t="shared" si="61"/>
        <v>8</v>
      </c>
      <c r="B1695" s="5">
        <f t="shared" si="62"/>
        <v>2017</v>
      </c>
      <c r="C1695" s="9">
        <v>42968</v>
      </c>
      <c r="D1695">
        <v>9.25</v>
      </c>
    </row>
    <row r="1696" spans="1:4" x14ac:dyDescent="0.25">
      <c r="A1696" s="5">
        <f t="shared" si="61"/>
        <v>8</v>
      </c>
      <c r="B1696" s="5">
        <f t="shared" si="62"/>
        <v>2017</v>
      </c>
      <c r="C1696" s="9">
        <v>42969</v>
      </c>
      <c r="D1696">
        <v>9.25</v>
      </c>
    </row>
    <row r="1697" spans="1:4" x14ac:dyDescent="0.25">
      <c r="A1697" s="5">
        <f t="shared" si="61"/>
        <v>8</v>
      </c>
      <c r="B1697" s="5">
        <f t="shared" si="62"/>
        <v>2017</v>
      </c>
      <c r="C1697" s="9">
        <v>42970</v>
      </c>
      <c r="D1697">
        <v>9.25</v>
      </c>
    </row>
    <row r="1698" spans="1:4" x14ac:dyDescent="0.25">
      <c r="A1698" s="5">
        <f t="shared" si="61"/>
        <v>8</v>
      </c>
      <c r="B1698" s="5">
        <f t="shared" si="62"/>
        <v>2017</v>
      </c>
      <c r="C1698" s="9">
        <v>42971</v>
      </c>
      <c r="D1698">
        <v>9.25</v>
      </c>
    </row>
    <row r="1699" spans="1:4" x14ac:dyDescent="0.25">
      <c r="A1699" s="5">
        <f t="shared" si="61"/>
        <v>8</v>
      </c>
      <c r="B1699" s="5">
        <f t="shared" si="62"/>
        <v>2017</v>
      </c>
      <c r="C1699" s="9">
        <v>42972</v>
      </c>
      <c r="D1699">
        <v>9.25</v>
      </c>
    </row>
    <row r="1700" spans="1:4" x14ac:dyDescent="0.25">
      <c r="A1700" s="5">
        <f t="shared" si="61"/>
        <v>8</v>
      </c>
      <c r="B1700" s="5">
        <f t="shared" si="62"/>
        <v>2017</v>
      </c>
      <c r="C1700" s="9">
        <v>42973</v>
      </c>
      <c r="D1700">
        <v>9.25</v>
      </c>
    </row>
    <row r="1701" spans="1:4" x14ac:dyDescent="0.25">
      <c r="A1701" s="5">
        <f t="shared" si="61"/>
        <v>8</v>
      </c>
      <c r="B1701" s="5">
        <f t="shared" si="62"/>
        <v>2017</v>
      </c>
      <c r="C1701" s="9">
        <v>42974</v>
      </c>
      <c r="D1701">
        <v>9.25</v>
      </c>
    </row>
    <row r="1702" spans="1:4" x14ac:dyDescent="0.25">
      <c r="A1702" s="5">
        <f t="shared" si="61"/>
        <v>8</v>
      </c>
      <c r="B1702" s="5">
        <f t="shared" si="62"/>
        <v>2017</v>
      </c>
      <c r="C1702" s="9">
        <v>42975</v>
      </c>
      <c r="D1702">
        <v>9.25</v>
      </c>
    </row>
    <row r="1703" spans="1:4" x14ac:dyDescent="0.25">
      <c r="A1703" s="5">
        <f t="shared" si="61"/>
        <v>8</v>
      </c>
      <c r="B1703" s="5">
        <f t="shared" si="62"/>
        <v>2017</v>
      </c>
      <c r="C1703" s="9">
        <v>42976</v>
      </c>
      <c r="D1703">
        <v>9.25</v>
      </c>
    </row>
    <row r="1704" spans="1:4" x14ac:dyDescent="0.25">
      <c r="A1704" s="5">
        <f t="shared" si="61"/>
        <v>8</v>
      </c>
      <c r="B1704" s="5">
        <f t="shared" si="62"/>
        <v>2017</v>
      </c>
      <c r="C1704" s="9">
        <v>42977</v>
      </c>
      <c r="D1704">
        <v>9.25</v>
      </c>
    </row>
    <row r="1705" spans="1:4" x14ac:dyDescent="0.25">
      <c r="A1705" s="5">
        <f t="shared" si="61"/>
        <v>8</v>
      </c>
      <c r="B1705" s="5">
        <f t="shared" si="62"/>
        <v>2017</v>
      </c>
      <c r="C1705" s="9">
        <v>42978</v>
      </c>
      <c r="D1705">
        <v>9.25</v>
      </c>
    </row>
    <row r="1706" spans="1:4" x14ac:dyDescent="0.25">
      <c r="A1706" s="5">
        <f t="shared" si="61"/>
        <v>9</v>
      </c>
      <c r="B1706" s="5">
        <f t="shared" si="62"/>
        <v>2017</v>
      </c>
      <c r="C1706" s="9">
        <v>42979</v>
      </c>
      <c r="D1706">
        <v>9.25</v>
      </c>
    </row>
    <row r="1707" spans="1:4" x14ac:dyDescent="0.25">
      <c r="A1707" s="5">
        <f t="shared" si="61"/>
        <v>9</v>
      </c>
      <c r="B1707" s="5">
        <f t="shared" si="62"/>
        <v>2017</v>
      </c>
      <c r="C1707" s="9">
        <v>42980</v>
      </c>
      <c r="D1707">
        <v>9.25</v>
      </c>
    </row>
    <row r="1708" spans="1:4" x14ac:dyDescent="0.25">
      <c r="A1708" s="5">
        <f t="shared" si="61"/>
        <v>9</v>
      </c>
      <c r="B1708" s="5">
        <f t="shared" si="62"/>
        <v>2017</v>
      </c>
      <c r="C1708" s="9">
        <v>42981</v>
      </c>
      <c r="D1708">
        <v>9.25</v>
      </c>
    </row>
    <row r="1709" spans="1:4" x14ac:dyDescent="0.25">
      <c r="A1709" s="5">
        <f t="shared" si="61"/>
        <v>9</v>
      </c>
      <c r="B1709" s="5">
        <f t="shared" si="62"/>
        <v>2017</v>
      </c>
      <c r="C1709" s="9">
        <v>42982</v>
      </c>
      <c r="D1709">
        <v>9.25</v>
      </c>
    </row>
    <row r="1710" spans="1:4" x14ac:dyDescent="0.25">
      <c r="A1710" s="5">
        <f t="shared" si="61"/>
        <v>9</v>
      </c>
      <c r="B1710" s="5">
        <f t="shared" si="62"/>
        <v>2017</v>
      </c>
      <c r="C1710" s="9">
        <v>42983</v>
      </c>
      <c r="D1710">
        <v>9.25</v>
      </c>
    </row>
    <row r="1711" spans="1:4" x14ac:dyDescent="0.25">
      <c r="A1711" s="5">
        <f t="shared" si="61"/>
        <v>9</v>
      </c>
      <c r="B1711" s="5">
        <f t="shared" si="62"/>
        <v>2017</v>
      </c>
      <c r="C1711" s="9">
        <v>42984</v>
      </c>
      <c r="D1711">
        <v>9.25</v>
      </c>
    </row>
    <row r="1712" spans="1:4" x14ac:dyDescent="0.25">
      <c r="A1712" s="5">
        <f t="shared" si="61"/>
        <v>9</v>
      </c>
      <c r="B1712" s="5">
        <f t="shared" si="62"/>
        <v>2017</v>
      </c>
      <c r="C1712" s="9">
        <v>42985</v>
      </c>
      <c r="D1712">
        <v>9.25</v>
      </c>
    </row>
    <row r="1713" spans="1:4" x14ac:dyDescent="0.25">
      <c r="A1713" s="5">
        <f t="shared" si="61"/>
        <v>9</v>
      </c>
      <c r="B1713" s="5">
        <f t="shared" si="62"/>
        <v>2017</v>
      </c>
      <c r="C1713" s="9">
        <v>42986</v>
      </c>
      <c r="D1713">
        <v>8.25</v>
      </c>
    </row>
    <row r="1714" spans="1:4" x14ac:dyDescent="0.25">
      <c r="A1714" s="5">
        <f t="shared" si="61"/>
        <v>9</v>
      </c>
      <c r="B1714" s="5">
        <f t="shared" si="62"/>
        <v>2017</v>
      </c>
      <c r="C1714" s="9">
        <v>42987</v>
      </c>
      <c r="D1714">
        <v>8.25</v>
      </c>
    </row>
    <row r="1715" spans="1:4" x14ac:dyDescent="0.25">
      <c r="A1715" s="5">
        <f t="shared" si="61"/>
        <v>9</v>
      </c>
      <c r="B1715" s="5">
        <f t="shared" si="62"/>
        <v>2017</v>
      </c>
      <c r="C1715" s="9">
        <v>42988</v>
      </c>
      <c r="D1715">
        <v>8.25</v>
      </c>
    </row>
    <row r="1716" spans="1:4" x14ac:dyDescent="0.25">
      <c r="A1716" s="5">
        <f t="shared" si="61"/>
        <v>9</v>
      </c>
      <c r="B1716" s="5">
        <f t="shared" si="62"/>
        <v>2017</v>
      </c>
      <c r="C1716" s="9">
        <v>42989</v>
      </c>
      <c r="D1716">
        <v>8.25</v>
      </c>
    </row>
    <row r="1717" spans="1:4" x14ac:dyDescent="0.25">
      <c r="A1717" s="5">
        <f t="shared" si="61"/>
        <v>9</v>
      </c>
      <c r="B1717" s="5">
        <f t="shared" si="62"/>
        <v>2017</v>
      </c>
      <c r="C1717" s="9">
        <v>42990</v>
      </c>
      <c r="D1717">
        <v>8.25</v>
      </c>
    </row>
    <row r="1718" spans="1:4" x14ac:dyDescent="0.25">
      <c r="A1718" s="5">
        <f t="shared" si="61"/>
        <v>9</v>
      </c>
      <c r="B1718" s="5">
        <f t="shared" si="62"/>
        <v>2017</v>
      </c>
      <c r="C1718" s="9">
        <v>42991</v>
      </c>
      <c r="D1718">
        <v>8.25</v>
      </c>
    </row>
    <row r="1719" spans="1:4" x14ac:dyDescent="0.25">
      <c r="A1719" s="5">
        <f t="shared" si="61"/>
        <v>9</v>
      </c>
      <c r="B1719" s="5">
        <f t="shared" si="62"/>
        <v>2017</v>
      </c>
      <c r="C1719" s="9">
        <v>42992</v>
      </c>
      <c r="D1719">
        <v>8.25</v>
      </c>
    </row>
    <row r="1720" spans="1:4" x14ac:dyDescent="0.25">
      <c r="A1720" s="5">
        <f t="shared" si="61"/>
        <v>9</v>
      </c>
      <c r="B1720" s="5">
        <f t="shared" si="62"/>
        <v>2017</v>
      </c>
      <c r="C1720" s="9">
        <v>42993</v>
      </c>
      <c r="D1720">
        <v>8.25</v>
      </c>
    </row>
    <row r="1721" spans="1:4" x14ac:dyDescent="0.25">
      <c r="A1721" s="5">
        <f t="shared" si="61"/>
        <v>9</v>
      </c>
      <c r="B1721" s="5">
        <f t="shared" si="62"/>
        <v>2017</v>
      </c>
      <c r="C1721" s="9">
        <v>42994</v>
      </c>
      <c r="D1721">
        <v>8.25</v>
      </c>
    </row>
    <row r="1722" spans="1:4" x14ac:dyDescent="0.25">
      <c r="A1722" s="5">
        <f t="shared" si="61"/>
        <v>9</v>
      </c>
      <c r="B1722" s="5">
        <f t="shared" si="62"/>
        <v>2017</v>
      </c>
      <c r="C1722" s="9">
        <v>42995</v>
      </c>
      <c r="D1722">
        <v>8.25</v>
      </c>
    </row>
    <row r="1723" spans="1:4" x14ac:dyDescent="0.25">
      <c r="A1723" s="5">
        <f t="shared" si="61"/>
        <v>9</v>
      </c>
      <c r="B1723" s="5">
        <f t="shared" si="62"/>
        <v>2017</v>
      </c>
      <c r="C1723" s="9">
        <v>42996</v>
      </c>
      <c r="D1723">
        <v>8.25</v>
      </c>
    </row>
    <row r="1724" spans="1:4" x14ac:dyDescent="0.25">
      <c r="A1724" s="5">
        <f t="shared" si="61"/>
        <v>9</v>
      </c>
      <c r="B1724" s="5">
        <f t="shared" si="62"/>
        <v>2017</v>
      </c>
      <c r="C1724" s="9">
        <v>42997</v>
      </c>
      <c r="D1724">
        <v>8.25</v>
      </c>
    </row>
    <row r="1725" spans="1:4" x14ac:dyDescent="0.25">
      <c r="A1725" s="5">
        <f t="shared" si="61"/>
        <v>9</v>
      </c>
      <c r="B1725" s="5">
        <f t="shared" si="62"/>
        <v>2017</v>
      </c>
      <c r="C1725" s="9">
        <v>42998</v>
      </c>
      <c r="D1725">
        <v>8.25</v>
      </c>
    </row>
    <row r="1726" spans="1:4" x14ac:dyDescent="0.25">
      <c r="A1726" s="5">
        <f t="shared" si="61"/>
        <v>9</v>
      </c>
      <c r="B1726" s="5">
        <f t="shared" si="62"/>
        <v>2017</v>
      </c>
      <c r="C1726" s="9">
        <v>42999</v>
      </c>
      <c r="D1726">
        <v>8.25</v>
      </c>
    </row>
    <row r="1727" spans="1:4" x14ac:dyDescent="0.25">
      <c r="A1727" s="5">
        <f t="shared" si="61"/>
        <v>9</v>
      </c>
      <c r="B1727" s="5">
        <f t="shared" si="62"/>
        <v>2017</v>
      </c>
      <c r="C1727" s="9">
        <v>43000</v>
      </c>
      <c r="D1727">
        <v>8.25</v>
      </c>
    </row>
    <row r="1728" spans="1:4" x14ac:dyDescent="0.25">
      <c r="A1728" s="5">
        <f t="shared" si="61"/>
        <v>9</v>
      </c>
      <c r="B1728" s="5">
        <f t="shared" si="62"/>
        <v>2017</v>
      </c>
      <c r="C1728" s="9">
        <v>43001</v>
      </c>
      <c r="D1728">
        <v>8.25</v>
      </c>
    </row>
    <row r="1729" spans="1:4" x14ac:dyDescent="0.25">
      <c r="A1729" s="5">
        <f t="shared" si="61"/>
        <v>9</v>
      </c>
      <c r="B1729" s="5">
        <f t="shared" si="62"/>
        <v>2017</v>
      </c>
      <c r="C1729" s="9">
        <v>43002</v>
      </c>
      <c r="D1729">
        <v>8.25</v>
      </c>
    </row>
    <row r="1730" spans="1:4" x14ac:dyDescent="0.25">
      <c r="A1730" s="5">
        <f t="shared" si="61"/>
        <v>9</v>
      </c>
      <c r="B1730" s="5">
        <f t="shared" si="62"/>
        <v>2017</v>
      </c>
      <c r="C1730" s="9">
        <v>43003</v>
      </c>
      <c r="D1730">
        <v>8.25</v>
      </c>
    </row>
    <row r="1731" spans="1:4" x14ac:dyDescent="0.25">
      <c r="A1731" s="5">
        <f t="shared" ref="A1731:A1794" si="63">MONTH(C1731)</f>
        <v>9</v>
      </c>
      <c r="B1731" s="5">
        <f t="shared" ref="B1731:B1794" si="64">YEAR(C1731)</f>
        <v>2017</v>
      </c>
      <c r="C1731" s="9">
        <v>43004</v>
      </c>
      <c r="D1731">
        <v>8.25</v>
      </c>
    </row>
    <row r="1732" spans="1:4" x14ac:dyDescent="0.25">
      <c r="A1732" s="5">
        <f t="shared" si="63"/>
        <v>9</v>
      </c>
      <c r="B1732" s="5">
        <f t="shared" si="64"/>
        <v>2017</v>
      </c>
      <c r="C1732" s="9">
        <v>43005</v>
      </c>
      <c r="D1732">
        <v>8.25</v>
      </c>
    </row>
    <row r="1733" spans="1:4" x14ac:dyDescent="0.25">
      <c r="A1733" s="5">
        <f t="shared" si="63"/>
        <v>9</v>
      </c>
      <c r="B1733" s="5">
        <f t="shared" si="64"/>
        <v>2017</v>
      </c>
      <c r="C1733" s="9">
        <v>43006</v>
      </c>
      <c r="D1733">
        <v>8.25</v>
      </c>
    </row>
    <row r="1734" spans="1:4" x14ac:dyDescent="0.25">
      <c r="A1734" s="5">
        <f t="shared" si="63"/>
        <v>9</v>
      </c>
      <c r="B1734" s="5">
        <f t="shared" si="64"/>
        <v>2017</v>
      </c>
      <c r="C1734" s="9">
        <v>43007</v>
      </c>
      <c r="D1734">
        <v>8.25</v>
      </c>
    </row>
    <row r="1735" spans="1:4" x14ac:dyDescent="0.25">
      <c r="A1735" s="5">
        <f t="shared" si="63"/>
        <v>9</v>
      </c>
      <c r="B1735" s="5">
        <f t="shared" si="64"/>
        <v>2017</v>
      </c>
      <c r="C1735" s="9">
        <v>43008</v>
      </c>
      <c r="D1735">
        <v>8.25</v>
      </c>
    </row>
    <row r="1736" spans="1:4" x14ac:dyDescent="0.25">
      <c r="A1736" s="5">
        <f t="shared" si="63"/>
        <v>10</v>
      </c>
      <c r="B1736" s="5">
        <f t="shared" si="64"/>
        <v>2017</v>
      </c>
      <c r="C1736" s="9">
        <v>43009</v>
      </c>
      <c r="D1736">
        <v>8.25</v>
      </c>
    </row>
    <row r="1737" spans="1:4" x14ac:dyDescent="0.25">
      <c r="A1737" s="5">
        <f t="shared" si="63"/>
        <v>10</v>
      </c>
      <c r="B1737" s="5">
        <f t="shared" si="64"/>
        <v>2017</v>
      </c>
      <c r="C1737" s="9">
        <v>43010</v>
      </c>
      <c r="D1737">
        <v>8.25</v>
      </c>
    </row>
    <row r="1738" spans="1:4" x14ac:dyDescent="0.25">
      <c r="A1738" s="5">
        <f t="shared" si="63"/>
        <v>10</v>
      </c>
      <c r="B1738" s="5">
        <f t="shared" si="64"/>
        <v>2017</v>
      </c>
      <c r="C1738" s="9">
        <v>43011</v>
      </c>
      <c r="D1738">
        <v>8.25</v>
      </c>
    </row>
    <row r="1739" spans="1:4" x14ac:dyDescent="0.25">
      <c r="A1739" s="5">
        <f t="shared" si="63"/>
        <v>10</v>
      </c>
      <c r="B1739" s="5">
        <f t="shared" si="64"/>
        <v>2017</v>
      </c>
      <c r="C1739" s="9">
        <v>43012</v>
      </c>
      <c r="D1739">
        <v>8.25</v>
      </c>
    </row>
    <row r="1740" spans="1:4" x14ac:dyDescent="0.25">
      <c r="A1740" s="5">
        <f t="shared" si="63"/>
        <v>10</v>
      </c>
      <c r="B1740" s="5">
        <f t="shared" si="64"/>
        <v>2017</v>
      </c>
      <c r="C1740" s="9">
        <v>43013</v>
      </c>
      <c r="D1740">
        <v>8.25</v>
      </c>
    </row>
    <row r="1741" spans="1:4" x14ac:dyDescent="0.25">
      <c r="A1741" s="5">
        <f t="shared" si="63"/>
        <v>10</v>
      </c>
      <c r="B1741" s="5">
        <f t="shared" si="64"/>
        <v>2017</v>
      </c>
      <c r="C1741" s="9">
        <v>43014</v>
      </c>
      <c r="D1741">
        <v>8.25</v>
      </c>
    </row>
    <row r="1742" spans="1:4" x14ac:dyDescent="0.25">
      <c r="A1742" s="5">
        <f t="shared" si="63"/>
        <v>10</v>
      </c>
      <c r="B1742" s="5">
        <f t="shared" si="64"/>
        <v>2017</v>
      </c>
      <c r="C1742" s="9">
        <v>43015</v>
      </c>
      <c r="D1742">
        <v>8.25</v>
      </c>
    </row>
    <row r="1743" spans="1:4" x14ac:dyDescent="0.25">
      <c r="A1743" s="5">
        <f t="shared" si="63"/>
        <v>10</v>
      </c>
      <c r="B1743" s="5">
        <f t="shared" si="64"/>
        <v>2017</v>
      </c>
      <c r="C1743" s="9">
        <v>43016</v>
      </c>
      <c r="D1743">
        <v>8.25</v>
      </c>
    </row>
    <row r="1744" spans="1:4" x14ac:dyDescent="0.25">
      <c r="A1744" s="5">
        <f t="shared" si="63"/>
        <v>10</v>
      </c>
      <c r="B1744" s="5">
        <f t="shared" si="64"/>
        <v>2017</v>
      </c>
      <c r="C1744" s="9">
        <v>43017</v>
      </c>
      <c r="D1744">
        <v>8.25</v>
      </c>
    </row>
    <row r="1745" spans="1:4" x14ac:dyDescent="0.25">
      <c r="A1745" s="5">
        <f t="shared" si="63"/>
        <v>10</v>
      </c>
      <c r="B1745" s="5">
        <f t="shared" si="64"/>
        <v>2017</v>
      </c>
      <c r="C1745" s="9">
        <v>43018</v>
      </c>
      <c r="D1745">
        <v>8.25</v>
      </c>
    </row>
    <row r="1746" spans="1:4" x14ac:dyDescent="0.25">
      <c r="A1746" s="5">
        <f t="shared" si="63"/>
        <v>10</v>
      </c>
      <c r="B1746" s="5">
        <f t="shared" si="64"/>
        <v>2017</v>
      </c>
      <c r="C1746" s="9">
        <v>43019</v>
      </c>
      <c r="D1746">
        <v>8.25</v>
      </c>
    </row>
    <row r="1747" spans="1:4" x14ac:dyDescent="0.25">
      <c r="A1747" s="5">
        <f t="shared" si="63"/>
        <v>10</v>
      </c>
      <c r="B1747" s="5">
        <f t="shared" si="64"/>
        <v>2017</v>
      </c>
      <c r="C1747" s="9">
        <v>43020</v>
      </c>
      <c r="D1747">
        <v>8.25</v>
      </c>
    </row>
    <row r="1748" spans="1:4" x14ac:dyDescent="0.25">
      <c r="A1748" s="5">
        <f t="shared" si="63"/>
        <v>10</v>
      </c>
      <c r="B1748" s="5">
        <f t="shared" si="64"/>
        <v>2017</v>
      </c>
      <c r="C1748" s="9">
        <v>43021</v>
      </c>
      <c r="D1748">
        <v>8.25</v>
      </c>
    </row>
    <row r="1749" spans="1:4" x14ac:dyDescent="0.25">
      <c r="A1749" s="5">
        <f t="shared" si="63"/>
        <v>10</v>
      </c>
      <c r="B1749" s="5">
        <f t="shared" si="64"/>
        <v>2017</v>
      </c>
      <c r="C1749" s="9">
        <v>43022</v>
      </c>
      <c r="D1749">
        <v>8.25</v>
      </c>
    </row>
    <row r="1750" spans="1:4" x14ac:dyDescent="0.25">
      <c r="A1750" s="5">
        <f t="shared" si="63"/>
        <v>10</v>
      </c>
      <c r="B1750" s="5">
        <f t="shared" si="64"/>
        <v>2017</v>
      </c>
      <c r="C1750" s="9">
        <v>43023</v>
      </c>
      <c r="D1750">
        <v>8.25</v>
      </c>
    </row>
    <row r="1751" spans="1:4" x14ac:dyDescent="0.25">
      <c r="A1751" s="5">
        <f t="shared" si="63"/>
        <v>10</v>
      </c>
      <c r="B1751" s="5">
        <f t="shared" si="64"/>
        <v>2017</v>
      </c>
      <c r="C1751" s="9">
        <v>43024</v>
      </c>
      <c r="D1751">
        <v>8.25</v>
      </c>
    </row>
    <row r="1752" spans="1:4" x14ac:dyDescent="0.25">
      <c r="A1752" s="5">
        <f t="shared" si="63"/>
        <v>10</v>
      </c>
      <c r="B1752" s="5">
        <f t="shared" si="64"/>
        <v>2017</v>
      </c>
      <c r="C1752" s="9">
        <v>43025</v>
      </c>
      <c r="D1752">
        <v>8.25</v>
      </c>
    </row>
    <row r="1753" spans="1:4" x14ac:dyDescent="0.25">
      <c r="A1753" s="5">
        <f t="shared" si="63"/>
        <v>10</v>
      </c>
      <c r="B1753" s="5">
        <f t="shared" si="64"/>
        <v>2017</v>
      </c>
      <c r="C1753" s="9">
        <v>43026</v>
      </c>
      <c r="D1753">
        <v>8.25</v>
      </c>
    </row>
    <row r="1754" spans="1:4" x14ac:dyDescent="0.25">
      <c r="A1754" s="5">
        <f t="shared" si="63"/>
        <v>10</v>
      </c>
      <c r="B1754" s="5">
        <f t="shared" si="64"/>
        <v>2017</v>
      </c>
      <c r="C1754" s="9">
        <v>43027</v>
      </c>
      <c r="D1754">
        <v>8.25</v>
      </c>
    </row>
    <row r="1755" spans="1:4" x14ac:dyDescent="0.25">
      <c r="A1755" s="5">
        <f t="shared" si="63"/>
        <v>10</v>
      </c>
      <c r="B1755" s="5">
        <f t="shared" si="64"/>
        <v>2017</v>
      </c>
      <c r="C1755" s="9">
        <v>43028</v>
      </c>
      <c r="D1755">
        <v>8.25</v>
      </c>
    </row>
    <row r="1756" spans="1:4" x14ac:dyDescent="0.25">
      <c r="A1756" s="5">
        <f t="shared" si="63"/>
        <v>10</v>
      </c>
      <c r="B1756" s="5">
        <f t="shared" si="64"/>
        <v>2017</v>
      </c>
      <c r="C1756" s="9">
        <v>43029</v>
      </c>
      <c r="D1756">
        <v>8.25</v>
      </c>
    </row>
    <row r="1757" spans="1:4" x14ac:dyDescent="0.25">
      <c r="A1757" s="5">
        <f t="shared" si="63"/>
        <v>10</v>
      </c>
      <c r="B1757" s="5">
        <f t="shared" si="64"/>
        <v>2017</v>
      </c>
      <c r="C1757" s="9">
        <v>43030</v>
      </c>
      <c r="D1757">
        <v>8.25</v>
      </c>
    </row>
    <row r="1758" spans="1:4" x14ac:dyDescent="0.25">
      <c r="A1758" s="5">
        <f t="shared" si="63"/>
        <v>10</v>
      </c>
      <c r="B1758" s="5">
        <f t="shared" si="64"/>
        <v>2017</v>
      </c>
      <c r="C1758" s="9">
        <v>43031</v>
      </c>
      <c r="D1758">
        <v>8.25</v>
      </c>
    </row>
    <row r="1759" spans="1:4" x14ac:dyDescent="0.25">
      <c r="A1759" s="5">
        <f t="shared" si="63"/>
        <v>10</v>
      </c>
      <c r="B1759" s="5">
        <f t="shared" si="64"/>
        <v>2017</v>
      </c>
      <c r="C1759" s="9">
        <v>43032</v>
      </c>
      <c r="D1759">
        <v>8.25</v>
      </c>
    </row>
    <row r="1760" spans="1:4" x14ac:dyDescent="0.25">
      <c r="A1760" s="5">
        <f t="shared" si="63"/>
        <v>10</v>
      </c>
      <c r="B1760" s="5">
        <f t="shared" si="64"/>
        <v>2017</v>
      </c>
      <c r="C1760" s="9">
        <v>43033</v>
      </c>
      <c r="D1760">
        <v>8.25</v>
      </c>
    </row>
    <row r="1761" spans="1:4" x14ac:dyDescent="0.25">
      <c r="A1761" s="5">
        <f t="shared" si="63"/>
        <v>10</v>
      </c>
      <c r="B1761" s="5">
        <f t="shared" si="64"/>
        <v>2017</v>
      </c>
      <c r="C1761" s="9">
        <v>43034</v>
      </c>
      <c r="D1761">
        <v>7.5</v>
      </c>
    </row>
    <row r="1762" spans="1:4" x14ac:dyDescent="0.25">
      <c r="A1762" s="5">
        <f t="shared" si="63"/>
        <v>10</v>
      </c>
      <c r="B1762" s="5">
        <f t="shared" si="64"/>
        <v>2017</v>
      </c>
      <c r="C1762" s="9">
        <v>43035</v>
      </c>
      <c r="D1762">
        <v>7.5</v>
      </c>
    </row>
    <row r="1763" spans="1:4" x14ac:dyDescent="0.25">
      <c r="A1763" s="5">
        <f t="shared" si="63"/>
        <v>10</v>
      </c>
      <c r="B1763" s="5">
        <f t="shared" si="64"/>
        <v>2017</v>
      </c>
      <c r="C1763" s="9">
        <v>43036</v>
      </c>
      <c r="D1763">
        <v>7.5</v>
      </c>
    </row>
    <row r="1764" spans="1:4" x14ac:dyDescent="0.25">
      <c r="A1764" s="5">
        <f t="shared" si="63"/>
        <v>10</v>
      </c>
      <c r="B1764" s="5">
        <f t="shared" si="64"/>
        <v>2017</v>
      </c>
      <c r="C1764" s="9">
        <v>43037</v>
      </c>
      <c r="D1764">
        <v>7.5</v>
      </c>
    </row>
    <row r="1765" spans="1:4" x14ac:dyDescent="0.25">
      <c r="A1765" s="5">
        <f t="shared" si="63"/>
        <v>10</v>
      </c>
      <c r="B1765" s="5">
        <f t="shared" si="64"/>
        <v>2017</v>
      </c>
      <c r="C1765" s="9">
        <v>43038</v>
      </c>
      <c r="D1765">
        <v>7.5</v>
      </c>
    </row>
    <row r="1766" spans="1:4" x14ac:dyDescent="0.25">
      <c r="A1766" s="5">
        <f t="shared" si="63"/>
        <v>10</v>
      </c>
      <c r="B1766" s="5">
        <f t="shared" si="64"/>
        <v>2017</v>
      </c>
      <c r="C1766" s="9">
        <v>43039</v>
      </c>
      <c r="D1766">
        <v>7.5</v>
      </c>
    </row>
    <row r="1767" spans="1:4" x14ac:dyDescent="0.25">
      <c r="A1767" s="5">
        <f t="shared" si="63"/>
        <v>11</v>
      </c>
      <c r="B1767" s="5">
        <f t="shared" si="64"/>
        <v>2017</v>
      </c>
      <c r="C1767" s="9">
        <v>43040</v>
      </c>
      <c r="D1767">
        <v>7.5</v>
      </c>
    </row>
    <row r="1768" spans="1:4" x14ac:dyDescent="0.25">
      <c r="A1768" s="5">
        <f t="shared" si="63"/>
        <v>11</v>
      </c>
      <c r="B1768" s="5">
        <f t="shared" si="64"/>
        <v>2017</v>
      </c>
      <c r="C1768" s="9">
        <v>43041</v>
      </c>
      <c r="D1768">
        <v>7.5</v>
      </c>
    </row>
    <row r="1769" spans="1:4" x14ac:dyDescent="0.25">
      <c r="A1769" s="5">
        <f t="shared" si="63"/>
        <v>11</v>
      </c>
      <c r="B1769" s="5">
        <f t="shared" si="64"/>
        <v>2017</v>
      </c>
      <c r="C1769" s="9">
        <v>43042</v>
      </c>
      <c r="D1769">
        <v>7.5</v>
      </c>
    </row>
    <row r="1770" spans="1:4" x14ac:dyDescent="0.25">
      <c r="A1770" s="5">
        <f t="shared" si="63"/>
        <v>11</v>
      </c>
      <c r="B1770" s="5">
        <f t="shared" si="64"/>
        <v>2017</v>
      </c>
      <c r="C1770" s="9">
        <v>43043</v>
      </c>
      <c r="D1770">
        <v>7.5</v>
      </c>
    </row>
    <row r="1771" spans="1:4" x14ac:dyDescent="0.25">
      <c r="A1771" s="5">
        <f t="shared" si="63"/>
        <v>11</v>
      </c>
      <c r="B1771" s="5">
        <f t="shared" si="64"/>
        <v>2017</v>
      </c>
      <c r="C1771" s="9">
        <v>43044</v>
      </c>
      <c r="D1771">
        <v>7.5</v>
      </c>
    </row>
    <row r="1772" spans="1:4" x14ac:dyDescent="0.25">
      <c r="A1772" s="5">
        <f t="shared" si="63"/>
        <v>11</v>
      </c>
      <c r="B1772" s="5">
        <f t="shared" si="64"/>
        <v>2017</v>
      </c>
      <c r="C1772" s="9">
        <v>43045</v>
      </c>
      <c r="D1772">
        <v>7.5</v>
      </c>
    </row>
    <row r="1773" spans="1:4" x14ac:dyDescent="0.25">
      <c r="A1773" s="5">
        <f t="shared" si="63"/>
        <v>11</v>
      </c>
      <c r="B1773" s="5">
        <f t="shared" si="64"/>
        <v>2017</v>
      </c>
      <c r="C1773" s="9">
        <v>43046</v>
      </c>
      <c r="D1773">
        <v>7.5</v>
      </c>
    </row>
    <row r="1774" spans="1:4" x14ac:dyDescent="0.25">
      <c r="A1774" s="5">
        <f t="shared" si="63"/>
        <v>11</v>
      </c>
      <c r="B1774" s="5">
        <f t="shared" si="64"/>
        <v>2017</v>
      </c>
      <c r="C1774" s="9">
        <v>43047</v>
      </c>
      <c r="D1774">
        <v>7.5</v>
      </c>
    </row>
    <row r="1775" spans="1:4" x14ac:dyDescent="0.25">
      <c r="A1775" s="5">
        <f t="shared" si="63"/>
        <v>11</v>
      </c>
      <c r="B1775" s="5">
        <f t="shared" si="64"/>
        <v>2017</v>
      </c>
      <c r="C1775" s="9">
        <v>43048</v>
      </c>
      <c r="D1775">
        <v>7.5</v>
      </c>
    </row>
    <row r="1776" spans="1:4" x14ac:dyDescent="0.25">
      <c r="A1776" s="5">
        <f t="shared" si="63"/>
        <v>11</v>
      </c>
      <c r="B1776" s="5">
        <f t="shared" si="64"/>
        <v>2017</v>
      </c>
      <c r="C1776" s="9">
        <v>43049</v>
      </c>
      <c r="D1776">
        <v>7.5</v>
      </c>
    </row>
    <row r="1777" spans="1:4" x14ac:dyDescent="0.25">
      <c r="A1777" s="5">
        <f t="shared" si="63"/>
        <v>11</v>
      </c>
      <c r="B1777" s="5">
        <f t="shared" si="64"/>
        <v>2017</v>
      </c>
      <c r="C1777" s="9">
        <v>43050</v>
      </c>
      <c r="D1777">
        <v>7.5</v>
      </c>
    </row>
    <row r="1778" spans="1:4" x14ac:dyDescent="0.25">
      <c r="A1778" s="5">
        <f t="shared" si="63"/>
        <v>11</v>
      </c>
      <c r="B1778" s="5">
        <f t="shared" si="64"/>
        <v>2017</v>
      </c>
      <c r="C1778" s="9">
        <v>43051</v>
      </c>
      <c r="D1778">
        <v>7.5</v>
      </c>
    </row>
    <row r="1779" spans="1:4" x14ac:dyDescent="0.25">
      <c r="A1779" s="5">
        <f t="shared" si="63"/>
        <v>11</v>
      </c>
      <c r="B1779" s="5">
        <f t="shared" si="64"/>
        <v>2017</v>
      </c>
      <c r="C1779" s="9">
        <v>43052</v>
      </c>
      <c r="D1779">
        <v>7.5</v>
      </c>
    </row>
    <row r="1780" spans="1:4" x14ac:dyDescent="0.25">
      <c r="A1780" s="5">
        <f t="shared" si="63"/>
        <v>11</v>
      </c>
      <c r="B1780" s="5">
        <f t="shared" si="64"/>
        <v>2017</v>
      </c>
      <c r="C1780" s="9">
        <v>43053</v>
      </c>
      <c r="D1780">
        <v>7.5</v>
      </c>
    </row>
    <row r="1781" spans="1:4" x14ac:dyDescent="0.25">
      <c r="A1781" s="5">
        <f t="shared" si="63"/>
        <v>11</v>
      </c>
      <c r="B1781" s="5">
        <f t="shared" si="64"/>
        <v>2017</v>
      </c>
      <c r="C1781" s="9">
        <v>43054</v>
      </c>
      <c r="D1781">
        <v>7.5</v>
      </c>
    </row>
    <row r="1782" spans="1:4" x14ac:dyDescent="0.25">
      <c r="A1782" s="5">
        <f t="shared" si="63"/>
        <v>11</v>
      </c>
      <c r="B1782" s="5">
        <f t="shared" si="64"/>
        <v>2017</v>
      </c>
      <c r="C1782" s="9">
        <v>43055</v>
      </c>
      <c r="D1782">
        <v>7.5</v>
      </c>
    </row>
    <row r="1783" spans="1:4" x14ac:dyDescent="0.25">
      <c r="A1783" s="5">
        <f t="shared" si="63"/>
        <v>11</v>
      </c>
      <c r="B1783" s="5">
        <f t="shared" si="64"/>
        <v>2017</v>
      </c>
      <c r="C1783" s="9">
        <v>43056</v>
      </c>
      <c r="D1783">
        <v>7.5</v>
      </c>
    </row>
    <row r="1784" spans="1:4" x14ac:dyDescent="0.25">
      <c r="A1784" s="5">
        <f t="shared" si="63"/>
        <v>11</v>
      </c>
      <c r="B1784" s="5">
        <f t="shared" si="64"/>
        <v>2017</v>
      </c>
      <c r="C1784" s="9">
        <v>43057</v>
      </c>
      <c r="D1784">
        <v>7.5</v>
      </c>
    </row>
    <row r="1785" spans="1:4" x14ac:dyDescent="0.25">
      <c r="A1785" s="5">
        <f t="shared" si="63"/>
        <v>11</v>
      </c>
      <c r="B1785" s="5">
        <f t="shared" si="64"/>
        <v>2017</v>
      </c>
      <c r="C1785" s="9">
        <v>43058</v>
      </c>
      <c r="D1785">
        <v>7.5</v>
      </c>
    </row>
    <row r="1786" spans="1:4" x14ac:dyDescent="0.25">
      <c r="A1786" s="5">
        <f t="shared" si="63"/>
        <v>11</v>
      </c>
      <c r="B1786" s="5">
        <f t="shared" si="64"/>
        <v>2017</v>
      </c>
      <c r="C1786" s="9">
        <v>43059</v>
      </c>
      <c r="D1786">
        <v>7.5</v>
      </c>
    </row>
    <row r="1787" spans="1:4" x14ac:dyDescent="0.25">
      <c r="A1787" s="5">
        <f t="shared" si="63"/>
        <v>11</v>
      </c>
      <c r="B1787" s="5">
        <f t="shared" si="64"/>
        <v>2017</v>
      </c>
      <c r="C1787" s="9">
        <v>43060</v>
      </c>
      <c r="D1787">
        <v>7.5</v>
      </c>
    </row>
    <row r="1788" spans="1:4" x14ac:dyDescent="0.25">
      <c r="A1788" s="5">
        <f t="shared" si="63"/>
        <v>11</v>
      </c>
      <c r="B1788" s="5">
        <f t="shared" si="64"/>
        <v>2017</v>
      </c>
      <c r="C1788" s="9">
        <v>43061</v>
      </c>
      <c r="D1788">
        <v>7.5</v>
      </c>
    </row>
    <row r="1789" spans="1:4" x14ac:dyDescent="0.25">
      <c r="A1789" s="5">
        <f t="shared" si="63"/>
        <v>11</v>
      </c>
      <c r="B1789" s="5">
        <f t="shared" si="64"/>
        <v>2017</v>
      </c>
      <c r="C1789" s="9">
        <v>43062</v>
      </c>
      <c r="D1789">
        <v>7.5</v>
      </c>
    </row>
    <row r="1790" spans="1:4" x14ac:dyDescent="0.25">
      <c r="A1790" s="5">
        <f t="shared" si="63"/>
        <v>11</v>
      </c>
      <c r="B1790" s="5">
        <f t="shared" si="64"/>
        <v>2017</v>
      </c>
      <c r="C1790" s="9">
        <v>43063</v>
      </c>
      <c r="D1790">
        <v>7.5</v>
      </c>
    </row>
    <row r="1791" spans="1:4" x14ac:dyDescent="0.25">
      <c r="A1791" s="5">
        <f t="shared" si="63"/>
        <v>11</v>
      </c>
      <c r="B1791" s="5">
        <f t="shared" si="64"/>
        <v>2017</v>
      </c>
      <c r="C1791" s="9">
        <v>43064</v>
      </c>
      <c r="D1791">
        <v>7.5</v>
      </c>
    </row>
    <row r="1792" spans="1:4" x14ac:dyDescent="0.25">
      <c r="A1792" s="5">
        <f t="shared" si="63"/>
        <v>11</v>
      </c>
      <c r="B1792" s="5">
        <f t="shared" si="64"/>
        <v>2017</v>
      </c>
      <c r="C1792" s="9">
        <v>43065</v>
      </c>
      <c r="D1792">
        <v>7.5</v>
      </c>
    </row>
    <row r="1793" spans="1:4" x14ac:dyDescent="0.25">
      <c r="A1793" s="5">
        <f t="shared" si="63"/>
        <v>11</v>
      </c>
      <c r="B1793" s="5">
        <f t="shared" si="64"/>
        <v>2017</v>
      </c>
      <c r="C1793" s="9">
        <v>43066</v>
      </c>
      <c r="D1793">
        <v>7.5</v>
      </c>
    </row>
    <row r="1794" spans="1:4" x14ac:dyDescent="0.25">
      <c r="A1794" s="5">
        <f t="shared" si="63"/>
        <v>11</v>
      </c>
      <c r="B1794" s="5">
        <f t="shared" si="64"/>
        <v>2017</v>
      </c>
      <c r="C1794" s="9">
        <v>43067</v>
      </c>
      <c r="D1794">
        <v>7.5</v>
      </c>
    </row>
    <row r="1795" spans="1:4" x14ac:dyDescent="0.25">
      <c r="A1795" s="5">
        <f t="shared" ref="A1795:A1858" si="65">MONTH(C1795)</f>
        <v>11</v>
      </c>
      <c r="B1795" s="5">
        <f t="shared" ref="B1795:B1858" si="66">YEAR(C1795)</f>
        <v>2017</v>
      </c>
      <c r="C1795" s="9">
        <v>43068</v>
      </c>
      <c r="D1795">
        <v>7.5</v>
      </c>
    </row>
    <row r="1796" spans="1:4" x14ac:dyDescent="0.25">
      <c r="A1796" s="5">
        <f t="shared" si="65"/>
        <v>11</v>
      </c>
      <c r="B1796" s="5">
        <f t="shared" si="66"/>
        <v>2017</v>
      </c>
      <c r="C1796" s="9">
        <v>43069</v>
      </c>
      <c r="D1796">
        <v>7.5</v>
      </c>
    </row>
    <row r="1797" spans="1:4" x14ac:dyDescent="0.25">
      <c r="A1797" s="5">
        <f t="shared" si="65"/>
        <v>12</v>
      </c>
      <c r="B1797" s="5">
        <f t="shared" si="66"/>
        <v>2017</v>
      </c>
      <c r="C1797" s="9">
        <v>43070</v>
      </c>
      <c r="D1797">
        <v>7.5</v>
      </c>
    </row>
    <row r="1798" spans="1:4" x14ac:dyDescent="0.25">
      <c r="A1798" s="5">
        <f t="shared" si="65"/>
        <v>12</v>
      </c>
      <c r="B1798" s="5">
        <f t="shared" si="66"/>
        <v>2017</v>
      </c>
      <c r="C1798" s="9">
        <v>43071</v>
      </c>
      <c r="D1798">
        <v>7.5</v>
      </c>
    </row>
    <row r="1799" spans="1:4" x14ac:dyDescent="0.25">
      <c r="A1799" s="5">
        <f t="shared" si="65"/>
        <v>12</v>
      </c>
      <c r="B1799" s="5">
        <f t="shared" si="66"/>
        <v>2017</v>
      </c>
      <c r="C1799" s="9">
        <v>43072</v>
      </c>
      <c r="D1799">
        <v>7.5</v>
      </c>
    </row>
    <row r="1800" spans="1:4" x14ac:dyDescent="0.25">
      <c r="A1800" s="5">
        <f t="shared" si="65"/>
        <v>12</v>
      </c>
      <c r="B1800" s="5">
        <f t="shared" si="66"/>
        <v>2017</v>
      </c>
      <c r="C1800" s="9">
        <v>43073</v>
      </c>
      <c r="D1800">
        <v>7.5</v>
      </c>
    </row>
    <row r="1801" spans="1:4" x14ac:dyDescent="0.25">
      <c r="A1801" s="5">
        <f t="shared" si="65"/>
        <v>12</v>
      </c>
      <c r="B1801" s="5">
        <f t="shared" si="66"/>
        <v>2017</v>
      </c>
      <c r="C1801" s="9">
        <v>43074</v>
      </c>
      <c r="D1801">
        <v>7.5</v>
      </c>
    </row>
    <row r="1802" spans="1:4" x14ac:dyDescent="0.25">
      <c r="A1802" s="5">
        <f t="shared" si="65"/>
        <v>12</v>
      </c>
      <c r="B1802" s="5">
        <f t="shared" si="66"/>
        <v>2017</v>
      </c>
      <c r="C1802" s="9">
        <v>43075</v>
      </c>
      <c r="D1802">
        <v>7.5</v>
      </c>
    </row>
    <row r="1803" spans="1:4" x14ac:dyDescent="0.25">
      <c r="A1803" s="5">
        <f t="shared" si="65"/>
        <v>12</v>
      </c>
      <c r="B1803" s="5">
        <f t="shared" si="66"/>
        <v>2017</v>
      </c>
      <c r="C1803" s="9">
        <v>43076</v>
      </c>
      <c r="D1803">
        <v>7</v>
      </c>
    </row>
    <row r="1804" spans="1:4" x14ac:dyDescent="0.25">
      <c r="A1804" s="5">
        <f t="shared" si="65"/>
        <v>12</v>
      </c>
      <c r="B1804" s="5">
        <f t="shared" si="66"/>
        <v>2017</v>
      </c>
      <c r="C1804" s="9">
        <v>43077</v>
      </c>
      <c r="D1804">
        <v>7</v>
      </c>
    </row>
    <row r="1805" spans="1:4" x14ac:dyDescent="0.25">
      <c r="A1805" s="5">
        <f t="shared" si="65"/>
        <v>12</v>
      </c>
      <c r="B1805" s="5">
        <f t="shared" si="66"/>
        <v>2017</v>
      </c>
      <c r="C1805" s="9">
        <v>43078</v>
      </c>
      <c r="D1805">
        <v>7</v>
      </c>
    </row>
    <row r="1806" spans="1:4" x14ac:dyDescent="0.25">
      <c r="A1806" s="5">
        <f t="shared" si="65"/>
        <v>12</v>
      </c>
      <c r="B1806" s="5">
        <f t="shared" si="66"/>
        <v>2017</v>
      </c>
      <c r="C1806" s="9">
        <v>43079</v>
      </c>
      <c r="D1806">
        <v>7</v>
      </c>
    </row>
    <row r="1807" spans="1:4" x14ac:dyDescent="0.25">
      <c r="A1807" s="5">
        <f t="shared" si="65"/>
        <v>12</v>
      </c>
      <c r="B1807" s="5">
        <f t="shared" si="66"/>
        <v>2017</v>
      </c>
      <c r="C1807" s="9">
        <v>43080</v>
      </c>
      <c r="D1807">
        <v>7</v>
      </c>
    </row>
    <row r="1808" spans="1:4" x14ac:dyDescent="0.25">
      <c r="A1808" s="5">
        <f t="shared" si="65"/>
        <v>12</v>
      </c>
      <c r="B1808" s="5">
        <f t="shared" si="66"/>
        <v>2017</v>
      </c>
      <c r="C1808" s="9">
        <v>43081</v>
      </c>
      <c r="D1808">
        <v>7</v>
      </c>
    </row>
    <row r="1809" spans="1:4" x14ac:dyDescent="0.25">
      <c r="A1809" s="5">
        <f t="shared" si="65"/>
        <v>12</v>
      </c>
      <c r="B1809" s="5">
        <f t="shared" si="66"/>
        <v>2017</v>
      </c>
      <c r="C1809" s="9">
        <v>43082</v>
      </c>
      <c r="D1809">
        <v>7</v>
      </c>
    </row>
    <row r="1810" spans="1:4" x14ac:dyDescent="0.25">
      <c r="A1810" s="5">
        <f t="shared" si="65"/>
        <v>12</v>
      </c>
      <c r="B1810" s="5">
        <f t="shared" si="66"/>
        <v>2017</v>
      </c>
      <c r="C1810" s="9">
        <v>43083</v>
      </c>
      <c r="D1810">
        <v>7</v>
      </c>
    </row>
    <row r="1811" spans="1:4" x14ac:dyDescent="0.25">
      <c r="A1811" s="5">
        <f t="shared" si="65"/>
        <v>12</v>
      </c>
      <c r="B1811" s="5">
        <f t="shared" si="66"/>
        <v>2017</v>
      </c>
      <c r="C1811" s="9">
        <v>43084</v>
      </c>
      <c r="D1811">
        <v>7</v>
      </c>
    </row>
    <row r="1812" spans="1:4" x14ac:dyDescent="0.25">
      <c r="A1812" s="5">
        <f t="shared" si="65"/>
        <v>12</v>
      </c>
      <c r="B1812" s="5">
        <f t="shared" si="66"/>
        <v>2017</v>
      </c>
      <c r="C1812" s="9">
        <v>43085</v>
      </c>
      <c r="D1812">
        <v>7</v>
      </c>
    </row>
    <row r="1813" spans="1:4" x14ac:dyDescent="0.25">
      <c r="A1813" s="5">
        <f t="shared" si="65"/>
        <v>12</v>
      </c>
      <c r="B1813" s="5">
        <f t="shared" si="66"/>
        <v>2017</v>
      </c>
      <c r="C1813" s="9">
        <v>43086</v>
      </c>
      <c r="D1813">
        <v>7</v>
      </c>
    </row>
    <row r="1814" spans="1:4" x14ac:dyDescent="0.25">
      <c r="A1814" s="5">
        <f t="shared" si="65"/>
        <v>12</v>
      </c>
      <c r="B1814" s="5">
        <f t="shared" si="66"/>
        <v>2017</v>
      </c>
      <c r="C1814" s="9">
        <v>43087</v>
      </c>
      <c r="D1814">
        <v>7</v>
      </c>
    </row>
    <row r="1815" spans="1:4" x14ac:dyDescent="0.25">
      <c r="A1815" s="5">
        <f t="shared" si="65"/>
        <v>12</v>
      </c>
      <c r="B1815" s="5">
        <f t="shared" si="66"/>
        <v>2017</v>
      </c>
      <c r="C1815" s="9">
        <v>43088</v>
      </c>
      <c r="D1815">
        <v>7</v>
      </c>
    </row>
    <row r="1816" spans="1:4" x14ac:dyDescent="0.25">
      <c r="A1816" s="5">
        <f t="shared" si="65"/>
        <v>12</v>
      </c>
      <c r="B1816" s="5">
        <f t="shared" si="66"/>
        <v>2017</v>
      </c>
      <c r="C1816" s="9">
        <v>43089</v>
      </c>
      <c r="D1816">
        <v>7</v>
      </c>
    </row>
    <row r="1817" spans="1:4" x14ac:dyDescent="0.25">
      <c r="A1817" s="5">
        <f t="shared" si="65"/>
        <v>12</v>
      </c>
      <c r="B1817" s="5">
        <f t="shared" si="66"/>
        <v>2017</v>
      </c>
      <c r="C1817" s="9">
        <v>43090</v>
      </c>
      <c r="D1817">
        <v>7</v>
      </c>
    </row>
    <row r="1818" spans="1:4" x14ac:dyDescent="0.25">
      <c r="A1818" s="5">
        <f t="shared" si="65"/>
        <v>12</v>
      </c>
      <c r="B1818" s="5">
        <f t="shared" si="66"/>
        <v>2017</v>
      </c>
      <c r="C1818" s="9">
        <v>43091</v>
      </c>
      <c r="D1818">
        <v>7</v>
      </c>
    </row>
    <row r="1819" spans="1:4" x14ac:dyDescent="0.25">
      <c r="A1819" s="5">
        <f t="shared" si="65"/>
        <v>12</v>
      </c>
      <c r="B1819" s="5">
        <f t="shared" si="66"/>
        <v>2017</v>
      </c>
      <c r="C1819" s="9">
        <v>43092</v>
      </c>
      <c r="D1819">
        <v>7</v>
      </c>
    </row>
    <row r="1820" spans="1:4" x14ac:dyDescent="0.25">
      <c r="A1820" s="5">
        <f t="shared" si="65"/>
        <v>12</v>
      </c>
      <c r="B1820" s="5">
        <f t="shared" si="66"/>
        <v>2017</v>
      </c>
      <c r="C1820" s="9">
        <v>43093</v>
      </c>
      <c r="D1820">
        <v>7</v>
      </c>
    </row>
    <row r="1821" spans="1:4" x14ac:dyDescent="0.25">
      <c r="A1821" s="5">
        <f t="shared" si="65"/>
        <v>12</v>
      </c>
      <c r="B1821" s="5">
        <f t="shared" si="66"/>
        <v>2017</v>
      </c>
      <c r="C1821" s="9">
        <v>43094</v>
      </c>
      <c r="D1821">
        <v>7</v>
      </c>
    </row>
    <row r="1822" spans="1:4" x14ac:dyDescent="0.25">
      <c r="A1822" s="5">
        <f t="shared" si="65"/>
        <v>12</v>
      </c>
      <c r="B1822" s="5">
        <f t="shared" si="66"/>
        <v>2017</v>
      </c>
      <c r="C1822" s="9">
        <v>43095</v>
      </c>
      <c r="D1822">
        <v>7</v>
      </c>
    </row>
    <row r="1823" spans="1:4" x14ac:dyDescent="0.25">
      <c r="A1823" s="5">
        <f t="shared" si="65"/>
        <v>12</v>
      </c>
      <c r="B1823" s="5">
        <f t="shared" si="66"/>
        <v>2017</v>
      </c>
      <c r="C1823" s="9">
        <v>43096</v>
      </c>
      <c r="D1823">
        <v>7</v>
      </c>
    </row>
    <row r="1824" spans="1:4" x14ac:dyDescent="0.25">
      <c r="A1824" s="5">
        <f t="shared" si="65"/>
        <v>12</v>
      </c>
      <c r="B1824" s="5">
        <f t="shared" si="66"/>
        <v>2017</v>
      </c>
      <c r="C1824" s="9">
        <v>43097</v>
      </c>
      <c r="D1824">
        <v>7</v>
      </c>
    </row>
    <row r="1825" spans="1:4" x14ac:dyDescent="0.25">
      <c r="A1825" s="5">
        <f t="shared" si="65"/>
        <v>12</v>
      </c>
      <c r="B1825" s="5">
        <f t="shared" si="66"/>
        <v>2017</v>
      </c>
      <c r="C1825" s="9">
        <v>43098</v>
      </c>
      <c r="D1825">
        <v>7</v>
      </c>
    </row>
    <row r="1826" spans="1:4" x14ac:dyDescent="0.25">
      <c r="A1826" s="5">
        <f t="shared" si="65"/>
        <v>12</v>
      </c>
      <c r="B1826" s="5">
        <f t="shared" si="66"/>
        <v>2017</v>
      </c>
      <c r="C1826" s="9">
        <v>43099</v>
      </c>
      <c r="D1826">
        <v>7</v>
      </c>
    </row>
    <row r="1827" spans="1:4" x14ac:dyDescent="0.25">
      <c r="A1827" s="5">
        <f t="shared" si="65"/>
        <v>12</v>
      </c>
      <c r="B1827" s="5">
        <f t="shared" si="66"/>
        <v>2017</v>
      </c>
      <c r="C1827" s="9">
        <v>43100</v>
      </c>
      <c r="D1827">
        <v>7</v>
      </c>
    </row>
    <row r="1828" spans="1:4" x14ac:dyDescent="0.25">
      <c r="A1828" s="5">
        <f t="shared" si="65"/>
        <v>1</v>
      </c>
      <c r="B1828" s="5">
        <f t="shared" si="66"/>
        <v>2018</v>
      </c>
      <c r="C1828" s="9">
        <v>43101</v>
      </c>
      <c r="D1828">
        <v>7</v>
      </c>
    </row>
    <row r="1829" spans="1:4" x14ac:dyDescent="0.25">
      <c r="A1829" s="5">
        <f t="shared" si="65"/>
        <v>1</v>
      </c>
      <c r="B1829" s="5">
        <f t="shared" si="66"/>
        <v>2018</v>
      </c>
      <c r="C1829" s="9">
        <v>43102</v>
      </c>
      <c r="D1829">
        <v>7</v>
      </c>
    </row>
    <row r="1830" spans="1:4" x14ac:dyDescent="0.25">
      <c r="A1830" s="5">
        <f t="shared" si="65"/>
        <v>1</v>
      </c>
      <c r="B1830" s="5">
        <f t="shared" si="66"/>
        <v>2018</v>
      </c>
      <c r="C1830" s="9">
        <v>43103</v>
      </c>
      <c r="D1830">
        <v>7</v>
      </c>
    </row>
    <row r="1831" spans="1:4" x14ac:dyDescent="0.25">
      <c r="A1831" s="5">
        <f t="shared" si="65"/>
        <v>1</v>
      </c>
      <c r="B1831" s="5">
        <f t="shared" si="66"/>
        <v>2018</v>
      </c>
      <c r="C1831" s="9">
        <v>43104</v>
      </c>
      <c r="D1831">
        <v>7</v>
      </c>
    </row>
    <row r="1832" spans="1:4" x14ac:dyDescent="0.25">
      <c r="A1832" s="5">
        <f t="shared" si="65"/>
        <v>1</v>
      </c>
      <c r="B1832" s="5">
        <f t="shared" si="66"/>
        <v>2018</v>
      </c>
      <c r="C1832" s="9">
        <v>43105</v>
      </c>
      <c r="D1832">
        <v>7</v>
      </c>
    </row>
    <row r="1833" spans="1:4" x14ac:dyDescent="0.25">
      <c r="A1833" s="5">
        <f t="shared" si="65"/>
        <v>1</v>
      </c>
      <c r="B1833" s="5">
        <f t="shared" si="66"/>
        <v>2018</v>
      </c>
      <c r="C1833" s="9">
        <v>43106</v>
      </c>
      <c r="D1833">
        <v>7</v>
      </c>
    </row>
    <row r="1834" spans="1:4" x14ac:dyDescent="0.25">
      <c r="A1834" s="5">
        <f t="shared" si="65"/>
        <v>1</v>
      </c>
      <c r="B1834" s="5">
        <f t="shared" si="66"/>
        <v>2018</v>
      </c>
      <c r="C1834" s="9">
        <v>43107</v>
      </c>
      <c r="D1834">
        <v>7</v>
      </c>
    </row>
    <row r="1835" spans="1:4" x14ac:dyDescent="0.25">
      <c r="A1835" s="5">
        <f t="shared" si="65"/>
        <v>1</v>
      </c>
      <c r="B1835" s="5">
        <f t="shared" si="66"/>
        <v>2018</v>
      </c>
      <c r="C1835" s="9">
        <v>43108</v>
      </c>
      <c r="D1835">
        <v>7</v>
      </c>
    </row>
    <row r="1836" spans="1:4" x14ac:dyDescent="0.25">
      <c r="A1836" s="5">
        <f t="shared" si="65"/>
        <v>1</v>
      </c>
      <c r="B1836" s="5">
        <f t="shared" si="66"/>
        <v>2018</v>
      </c>
      <c r="C1836" s="9">
        <v>43109</v>
      </c>
      <c r="D1836">
        <v>7</v>
      </c>
    </row>
    <row r="1837" spans="1:4" x14ac:dyDescent="0.25">
      <c r="A1837" s="5">
        <f t="shared" si="65"/>
        <v>1</v>
      </c>
      <c r="B1837" s="5">
        <f t="shared" si="66"/>
        <v>2018</v>
      </c>
      <c r="C1837" s="9">
        <v>43110</v>
      </c>
      <c r="D1837">
        <v>7</v>
      </c>
    </row>
    <row r="1838" spans="1:4" x14ac:dyDescent="0.25">
      <c r="A1838" s="5">
        <f t="shared" si="65"/>
        <v>1</v>
      </c>
      <c r="B1838" s="5">
        <f t="shared" si="66"/>
        <v>2018</v>
      </c>
      <c r="C1838" s="9">
        <v>43111</v>
      </c>
      <c r="D1838">
        <v>7</v>
      </c>
    </row>
    <row r="1839" spans="1:4" x14ac:dyDescent="0.25">
      <c r="A1839" s="5">
        <f t="shared" si="65"/>
        <v>1</v>
      </c>
      <c r="B1839" s="5">
        <f t="shared" si="66"/>
        <v>2018</v>
      </c>
      <c r="C1839" s="9">
        <v>43112</v>
      </c>
      <c r="D1839">
        <v>7</v>
      </c>
    </row>
    <row r="1840" spans="1:4" x14ac:dyDescent="0.25">
      <c r="A1840" s="5">
        <f t="shared" si="65"/>
        <v>1</v>
      </c>
      <c r="B1840" s="5">
        <f t="shared" si="66"/>
        <v>2018</v>
      </c>
      <c r="C1840" s="9">
        <v>43113</v>
      </c>
      <c r="D1840">
        <v>7</v>
      </c>
    </row>
    <row r="1841" spans="1:4" x14ac:dyDescent="0.25">
      <c r="A1841" s="5">
        <f t="shared" si="65"/>
        <v>1</v>
      </c>
      <c r="B1841" s="5">
        <f t="shared" si="66"/>
        <v>2018</v>
      </c>
      <c r="C1841" s="9">
        <v>43114</v>
      </c>
      <c r="D1841">
        <v>7</v>
      </c>
    </row>
    <row r="1842" spans="1:4" x14ac:dyDescent="0.25">
      <c r="A1842" s="5">
        <f t="shared" si="65"/>
        <v>1</v>
      </c>
      <c r="B1842" s="5">
        <f t="shared" si="66"/>
        <v>2018</v>
      </c>
      <c r="C1842" s="9">
        <v>43115</v>
      </c>
      <c r="D1842">
        <v>7</v>
      </c>
    </row>
    <row r="1843" spans="1:4" x14ac:dyDescent="0.25">
      <c r="A1843" s="5">
        <f t="shared" si="65"/>
        <v>1</v>
      </c>
      <c r="B1843" s="5">
        <f t="shared" si="66"/>
        <v>2018</v>
      </c>
      <c r="C1843" s="9">
        <v>43116</v>
      </c>
      <c r="D1843">
        <v>7</v>
      </c>
    </row>
    <row r="1844" spans="1:4" x14ac:dyDescent="0.25">
      <c r="A1844" s="5">
        <f t="shared" si="65"/>
        <v>1</v>
      </c>
      <c r="B1844" s="5">
        <f t="shared" si="66"/>
        <v>2018</v>
      </c>
      <c r="C1844" s="9">
        <v>43117</v>
      </c>
      <c r="D1844">
        <v>7</v>
      </c>
    </row>
    <row r="1845" spans="1:4" x14ac:dyDescent="0.25">
      <c r="A1845" s="5">
        <f t="shared" si="65"/>
        <v>1</v>
      </c>
      <c r="B1845" s="5">
        <f t="shared" si="66"/>
        <v>2018</v>
      </c>
      <c r="C1845" s="9">
        <v>43118</v>
      </c>
      <c r="D1845">
        <v>7</v>
      </c>
    </row>
    <row r="1846" spans="1:4" x14ac:dyDescent="0.25">
      <c r="A1846" s="5">
        <f t="shared" si="65"/>
        <v>1</v>
      </c>
      <c r="B1846" s="5">
        <f t="shared" si="66"/>
        <v>2018</v>
      </c>
      <c r="C1846" s="9">
        <v>43119</v>
      </c>
      <c r="D1846">
        <v>7</v>
      </c>
    </row>
    <row r="1847" spans="1:4" x14ac:dyDescent="0.25">
      <c r="A1847" s="5">
        <f t="shared" si="65"/>
        <v>1</v>
      </c>
      <c r="B1847" s="5">
        <f t="shared" si="66"/>
        <v>2018</v>
      </c>
      <c r="C1847" s="9">
        <v>43120</v>
      </c>
      <c r="D1847">
        <v>7</v>
      </c>
    </row>
    <row r="1848" spans="1:4" x14ac:dyDescent="0.25">
      <c r="A1848" s="5">
        <f t="shared" si="65"/>
        <v>1</v>
      </c>
      <c r="B1848" s="5">
        <f t="shared" si="66"/>
        <v>2018</v>
      </c>
      <c r="C1848" s="9">
        <v>43121</v>
      </c>
      <c r="D1848">
        <v>7</v>
      </c>
    </row>
    <row r="1849" spans="1:4" x14ac:dyDescent="0.25">
      <c r="A1849" s="5">
        <f t="shared" si="65"/>
        <v>1</v>
      </c>
      <c r="B1849" s="5">
        <f t="shared" si="66"/>
        <v>2018</v>
      </c>
      <c r="C1849" s="9">
        <v>43122</v>
      </c>
      <c r="D1849">
        <v>7</v>
      </c>
    </row>
    <row r="1850" spans="1:4" x14ac:dyDescent="0.25">
      <c r="A1850" s="5">
        <f t="shared" si="65"/>
        <v>1</v>
      </c>
      <c r="B1850" s="5">
        <f t="shared" si="66"/>
        <v>2018</v>
      </c>
      <c r="C1850" s="9">
        <v>43123</v>
      </c>
      <c r="D1850">
        <v>7</v>
      </c>
    </row>
    <row r="1851" spans="1:4" x14ac:dyDescent="0.25">
      <c r="A1851" s="5">
        <f t="shared" si="65"/>
        <v>1</v>
      </c>
      <c r="B1851" s="5">
        <f t="shared" si="66"/>
        <v>2018</v>
      </c>
      <c r="C1851" s="9">
        <v>43124</v>
      </c>
      <c r="D1851">
        <v>7</v>
      </c>
    </row>
    <row r="1852" spans="1:4" x14ac:dyDescent="0.25">
      <c r="A1852" s="5">
        <f t="shared" si="65"/>
        <v>1</v>
      </c>
      <c r="B1852" s="5">
        <f t="shared" si="66"/>
        <v>2018</v>
      </c>
      <c r="C1852" s="9">
        <v>43125</v>
      </c>
      <c r="D1852">
        <v>7</v>
      </c>
    </row>
    <row r="1853" spans="1:4" x14ac:dyDescent="0.25">
      <c r="A1853" s="5">
        <f t="shared" si="65"/>
        <v>1</v>
      </c>
      <c r="B1853" s="5">
        <f t="shared" si="66"/>
        <v>2018</v>
      </c>
      <c r="C1853" s="9">
        <v>43126</v>
      </c>
      <c r="D1853">
        <v>7</v>
      </c>
    </row>
    <row r="1854" spans="1:4" x14ac:dyDescent="0.25">
      <c r="A1854" s="5">
        <f t="shared" si="65"/>
        <v>1</v>
      </c>
      <c r="B1854" s="5">
        <f t="shared" si="66"/>
        <v>2018</v>
      </c>
      <c r="C1854" s="9">
        <v>43127</v>
      </c>
      <c r="D1854">
        <v>7</v>
      </c>
    </row>
    <row r="1855" spans="1:4" x14ac:dyDescent="0.25">
      <c r="A1855" s="5">
        <f t="shared" si="65"/>
        <v>1</v>
      </c>
      <c r="B1855" s="5">
        <f t="shared" si="66"/>
        <v>2018</v>
      </c>
      <c r="C1855" s="9">
        <v>43128</v>
      </c>
      <c r="D1855">
        <v>7</v>
      </c>
    </row>
    <row r="1856" spans="1:4" x14ac:dyDescent="0.25">
      <c r="A1856" s="5">
        <f t="shared" si="65"/>
        <v>1</v>
      </c>
      <c r="B1856" s="5">
        <f t="shared" si="66"/>
        <v>2018</v>
      </c>
      <c r="C1856" s="9">
        <v>43129</v>
      </c>
      <c r="D1856">
        <v>7</v>
      </c>
    </row>
    <row r="1857" spans="1:4" x14ac:dyDescent="0.25">
      <c r="A1857" s="5">
        <f t="shared" si="65"/>
        <v>1</v>
      </c>
      <c r="B1857" s="5">
        <f t="shared" si="66"/>
        <v>2018</v>
      </c>
      <c r="C1857" s="9">
        <v>43130</v>
      </c>
      <c r="D1857">
        <v>7</v>
      </c>
    </row>
    <row r="1858" spans="1:4" x14ac:dyDescent="0.25">
      <c r="A1858" s="5">
        <f t="shared" si="65"/>
        <v>1</v>
      </c>
      <c r="B1858" s="5">
        <f t="shared" si="66"/>
        <v>2018</v>
      </c>
      <c r="C1858" s="9">
        <v>43131</v>
      </c>
      <c r="D1858">
        <v>7</v>
      </c>
    </row>
    <row r="1859" spans="1:4" x14ac:dyDescent="0.25">
      <c r="A1859" s="5">
        <f t="shared" ref="A1859:A1922" si="67">MONTH(C1859)</f>
        <v>2</v>
      </c>
      <c r="B1859" s="5">
        <f t="shared" ref="B1859:B1922" si="68">YEAR(C1859)</f>
        <v>2018</v>
      </c>
      <c r="C1859" s="9">
        <v>43132</v>
      </c>
      <c r="D1859">
        <v>7</v>
      </c>
    </row>
    <row r="1860" spans="1:4" x14ac:dyDescent="0.25">
      <c r="A1860" s="5">
        <f t="shared" si="67"/>
        <v>2</v>
      </c>
      <c r="B1860" s="5">
        <f t="shared" si="68"/>
        <v>2018</v>
      </c>
      <c r="C1860" s="9">
        <v>43133</v>
      </c>
      <c r="D1860">
        <v>7</v>
      </c>
    </row>
    <row r="1861" spans="1:4" x14ac:dyDescent="0.25">
      <c r="A1861" s="5">
        <f t="shared" si="67"/>
        <v>2</v>
      </c>
      <c r="B1861" s="5">
        <f t="shared" si="68"/>
        <v>2018</v>
      </c>
      <c r="C1861" s="9">
        <v>43134</v>
      </c>
      <c r="D1861">
        <v>7</v>
      </c>
    </row>
    <row r="1862" spans="1:4" x14ac:dyDescent="0.25">
      <c r="A1862" s="5">
        <f t="shared" si="67"/>
        <v>2</v>
      </c>
      <c r="B1862" s="5">
        <f t="shared" si="68"/>
        <v>2018</v>
      </c>
      <c r="C1862" s="9">
        <v>43135</v>
      </c>
      <c r="D1862">
        <v>7</v>
      </c>
    </row>
    <row r="1863" spans="1:4" x14ac:dyDescent="0.25">
      <c r="A1863" s="5">
        <f t="shared" si="67"/>
        <v>2</v>
      </c>
      <c r="B1863" s="5">
        <f t="shared" si="68"/>
        <v>2018</v>
      </c>
      <c r="C1863" s="9">
        <v>43136</v>
      </c>
      <c r="D1863">
        <v>7</v>
      </c>
    </row>
    <row r="1864" spans="1:4" x14ac:dyDescent="0.25">
      <c r="A1864" s="5">
        <f t="shared" si="67"/>
        <v>2</v>
      </c>
      <c r="B1864" s="5">
        <f t="shared" si="68"/>
        <v>2018</v>
      </c>
      <c r="C1864" s="9">
        <v>43137</v>
      </c>
      <c r="D1864">
        <v>7</v>
      </c>
    </row>
    <row r="1865" spans="1:4" x14ac:dyDescent="0.25">
      <c r="A1865" s="5">
        <f t="shared" si="67"/>
        <v>2</v>
      </c>
      <c r="B1865" s="5">
        <f t="shared" si="68"/>
        <v>2018</v>
      </c>
      <c r="C1865" s="9">
        <v>43138</v>
      </c>
      <c r="D1865">
        <v>7</v>
      </c>
    </row>
    <row r="1866" spans="1:4" x14ac:dyDescent="0.25">
      <c r="A1866" s="5">
        <f t="shared" si="67"/>
        <v>2</v>
      </c>
      <c r="B1866" s="5">
        <f t="shared" si="68"/>
        <v>2018</v>
      </c>
      <c r="C1866" s="9">
        <v>43139</v>
      </c>
      <c r="D1866">
        <v>6.75</v>
      </c>
    </row>
    <row r="1867" spans="1:4" x14ac:dyDescent="0.25">
      <c r="A1867" s="5">
        <f t="shared" si="67"/>
        <v>2</v>
      </c>
      <c r="B1867" s="5">
        <f t="shared" si="68"/>
        <v>2018</v>
      </c>
      <c r="C1867" s="9">
        <v>43140</v>
      </c>
      <c r="D1867">
        <v>6.75</v>
      </c>
    </row>
    <row r="1868" spans="1:4" x14ac:dyDescent="0.25">
      <c r="A1868" s="5">
        <f t="shared" si="67"/>
        <v>2</v>
      </c>
      <c r="B1868" s="5">
        <f t="shared" si="68"/>
        <v>2018</v>
      </c>
      <c r="C1868" s="9">
        <v>43141</v>
      </c>
      <c r="D1868">
        <v>6.75</v>
      </c>
    </row>
    <row r="1869" spans="1:4" x14ac:dyDescent="0.25">
      <c r="A1869" s="5">
        <f t="shared" si="67"/>
        <v>2</v>
      </c>
      <c r="B1869" s="5">
        <f t="shared" si="68"/>
        <v>2018</v>
      </c>
      <c r="C1869" s="9">
        <v>43142</v>
      </c>
      <c r="D1869">
        <v>6.75</v>
      </c>
    </row>
    <row r="1870" spans="1:4" x14ac:dyDescent="0.25">
      <c r="A1870" s="5">
        <f t="shared" si="67"/>
        <v>2</v>
      </c>
      <c r="B1870" s="5">
        <f t="shared" si="68"/>
        <v>2018</v>
      </c>
      <c r="C1870" s="9">
        <v>43143</v>
      </c>
      <c r="D1870">
        <v>6.75</v>
      </c>
    </row>
    <row r="1871" spans="1:4" x14ac:dyDescent="0.25">
      <c r="A1871" s="5">
        <f t="shared" si="67"/>
        <v>2</v>
      </c>
      <c r="B1871" s="5">
        <f t="shared" si="68"/>
        <v>2018</v>
      </c>
      <c r="C1871" s="9">
        <v>43144</v>
      </c>
      <c r="D1871">
        <v>6.75</v>
      </c>
    </row>
    <row r="1872" spans="1:4" x14ac:dyDescent="0.25">
      <c r="A1872" s="5">
        <f t="shared" si="67"/>
        <v>2</v>
      </c>
      <c r="B1872" s="5">
        <f t="shared" si="68"/>
        <v>2018</v>
      </c>
      <c r="C1872" s="9">
        <v>43145</v>
      </c>
      <c r="D1872">
        <v>6.75</v>
      </c>
    </row>
    <row r="1873" spans="1:4" x14ac:dyDescent="0.25">
      <c r="A1873" s="5">
        <f t="shared" si="67"/>
        <v>2</v>
      </c>
      <c r="B1873" s="5">
        <f t="shared" si="68"/>
        <v>2018</v>
      </c>
      <c r="C1873" s="9">
        <v>43146</v>
      </c>
      <c r="D1873">
        <v>6.75</v>
      </c>
    </row>
    <row r="1874" spans="1:4" x14ac:dyDescent="0.25">
      <c r="A1874" s="5">
        <f t="shared" si="67"/>
        <v>2</v>
      </c>
      <c r="B1874" s="5">
        <f t="shared" si="68"/>
        <v>2018</v>
      </c>
      <c r="C1874" s="9">
        <v>43147</v>
      </c>
      <c r="D1874">
        <v>6.75</v>
      </c>
    </row>
    <row r="1875" spans="1:4" x14ac:dyDescent="0.25">
      <c r="A1875" s="5">
        <f t="shared" si="67"/>
        <v>2</v>
      </c>
      <c r="B1875" s="5">
        <f t="shared" si="68"/>
        <v>2018</v>
      </c>
      <c r="C1875" s="9">
        <v>43148</v>
      </c>
      <c r="D1875">
        <v>6.75</v>
      </c>
    </row>
    <row r="1876" spans="1:4" x14ac:dyDescent="0.25">
      <c r="A1876" s="5">
        <f t="shared" si="67"/>
        <v>2</v>
      </c>
      <c r="B1876" s="5">
        <f t="shared" si="68"/>
        <v>2018</v>
      </c>
      <c r="C1876" s="9">
        <v>43149</v>
      </c>
      <c r="D1876">
        <v>6.75</v>
      </c>
    </row>
    <row r="1877" spans="1:4" x14ac:dyDescent="0.25">
      <c r="A1877" s="5">
        <f t="shared" si="67"/>
        <v>2</v>
      </c>
      <c r="B1877" s="5">
        <f t="shared" si="68"/>
        <v>2018</v>
      </c>
      <c r="C1877" s="9">
        <v>43150</v>
      </c>
      <c r="D1877">
        <v>6.75</v>
      </c>
    </row>
    <row r="1878" spans="1:4" x14ac:dyDescent="0.25">
      <c r="A1878" s="5">
        <f t="shared" si="67"/>
        <v>2</v>
      </c>
      <c r="B1878" s="5">
        <f t="shared" si="68"/>
        <v>2018</v>
      </c>
      <c r="C1878" s="9">
        <v>43151</v>
      </c>
      <c r="D1878">
        <v>6.75</v>
      </c>
    </row>
    <row r="1879" spans="1:4" x14ac:dyDescent="0.25">
      <c r="A1879" s="5">
        <f t="shared" si="67"/>
        <v>2</v>
      </c>
      <c r="B1879" s="5">
        <f t="shared" si="68"/>
        <v>2018</v>
      </c>
      <c r="C1879" s="9">
        <v>43152</v>
      </c>
      <c r="D1879">
        <v>6.75</v>
      </c>
    </row>
    <row r="1880" spans="1:4" x14ac:dyDescent="0.25">
      <c r="A1880" s="5">
        <f t="shared" si="67"/>
        <v>2</v>
      </c>
      <c r="B1880" s="5">
        <f t="shared" si="68"/>
        <v>2018</v>
      </c>
      <c r="C1880" s="9">
        <v>43153</v>
      </c>
      <c r="D1880">
        <v>6.75</v>
      </c>
    </row>
    <row r="1881" spans="1:4" x14ac:dyDescent="0.25">
      <c r="A1881" s="5">
        <f t="shared" si="67"/>
        <v>2</v>
      </c>
      <c r="B1881" s="5">
        <f t="shared" si="68"/>
        <v>2018</v>
      </c>
      <c r="C1881" s="9">
        <v>43154</v>
      </c>
      <c r="D1881">
        <v>6.75</v>
      </c>
    </row>
    <row r="1882" spans="1:4" x14ac:dyDescent="0.25">
      <c r="A1882" s="5">
        <f t="shared" si="67"/>
        <v>2</v>
      </c>
      <c r="B1882" s="5">
        <f t="shared" si="68"/>
        <v>2018</v>
      </c>
      <c r="C1882" s="9">
        <v>43155</v>
      </c>
      <c r="D1882">
        <v>6.75</v>
      </c>
    </row>
    <row r="1883" spans="1:4" x14ac:dyDescent="0.25">
      <c r="A1883" s="5">
        <f t="shared" si="67"/>
        <v>2</v>
      </c>
      <c r="B1883" s="5">
        <f t="shared" si="68"/>
        <v>2018</v>
      </c>
      <c r="C1883" s="9">
        <v>43156</v>
      </c>
      <c r="D1883">
        <v>6.75</v>
      </c>
    </row>
    <row r="1884" spans="1:4" x14ac:dyDescent="0.25">
      <c r="A1884" s="5">
        <f t="shared" si="67"/>
        <v>2</v>
      </c>
      <c r="B1884" s="5">
        <f t="shared" si="68"/>
        <v>2018</v>
      </c>
      <c r="C1884" s="9">
        <v>43157</v>
      </c>
      <c r="D1884">
        <v>6.75</v>
      </c>
    </row>
    <row r="1885" spans="1:4" x14ac:dyDescent="0.25">
      <c r="A1885" s="5">
        <f t="shared" si="67"/>
        <v>2</v>
      </c>
      <c r="B1885" s="5">
        <f t="shared" si="68"/>
        <v>2018</v>
      </c>
      <c r="C1885" s="9">
        <v>43158</v>
      </c>
      <c r="D1885">
        <v>6.75</v>
      </c>
    </row>
    <row r="1886" spans="1:4" x14ac:dyDescent="0.25">
      <c r="A1886" s="5">
        <f t="shared" si="67"/>
        <v>2</v>
      </c>
      <c r="B1886" s="5">
        <f t="shared" si="68"/>
        <v>2018</v>
      </c>
      <c r="C1886" s="9">
        <v>43159</v>
      </c>
      <c r="D1886">
        <v>6.75</v>
      </c>
    </row>
    <row r="1887" spans="1:4" x14ac:dyDescent="0.25">
      <c r="A1887" s="5">
        <f t="shared" si="67"/>
        <v>3</v>
      </c>
      <c r="B1887" s="5">
        <f t="shared" si="68"/>
        <v>2018</v>
      </c>
      <c r="C1887" s="9">
        <v>43160</v>
      </c>
      <c r="D1887">
        <v>6.75</v>
      </c>
    </row>
    <row r="1888" spans="1:4" x14ac:dyDescent="0.25">
      <c r="A1888" s="5">
        <f t="shared" si="67"/>
        <v>3</v>
      </c>
      <c r="B1888" s="5">
        <f t="shared" si="68"/>
        <v>2018</v>
      </c>
      <c r="C1888" s="9">
        <v>43161</v>
      </c>
      <c r="D1888">
        <v>6.75</v>
      </c>
    </row>
    <row r="1889" spans="1:4" x14ac:dyDescent="0.25">
      <c r="A1889" s="5">
        <f t="shared" si="67"/>
        <v>3</v>
      </c>
      <c r="B1889" s="5">
        <f t="shared" si="68"/>
        <v>2018</v>
      </c>
      <c r="C1889" s="9">
        <v>43162</v>
      </c>
      <c r="D1889">
        <v>6.75</v>
      </c>
    </row>
    <row r="1890" spans="1:4" x14ac:dyDescent="0.25">
      <c r="A1890" s="5">
        <f t="shared" si="67"/>
        <v>3</v>
      </c>
      <c r="B1890" s="5">
        <f t="shared" si="68"/>
        <v>2018</v>
      </c>
      <c r="C1890" s="9">
        <v>43163</v>
      </c>
      <c r="D1890">
        <v>6.75</v>
      </c>
    </row>
    <row r="1891" spans="1:4" x14ac:dyDescent="0.25">
      <c r="A1891" s="5">
        <f t="shared" si="67"/>
        <v>3</v>
      </c>
      <c r="B1891" s="5">
        <f t="shared" si="68"/>
        <v>2018</v>
      </c>
      <c r="C1891" s="9">
        <v>43164</v>
      </c>
      <c r="D1891">
        <v>6.75</v>
      </c>
    </row>
    <row r="1892" spans="1:4" x14ac:dyDescent="0.25">
      <c r="A1892" s="5">
        <f t="shared" si="67"/>
        <v>3</v>
      </c>
      <c r="B1892" s="5">
        <f t="shared" si="68"/>
        <v>2018</v>
      </c>
      <c r="C1892" s="9">
        <v>43165</v>
      </c>
      <c r="D1892">
        <v>6.75</v>
      </c>
    </row>
    <row r="1893" spans="1:4" x14ac:dyDescent="0.25">
      <c r="A1893" s="5">
        <f t="shared" si="67"/>
        <v>3</v>
      </c>
      <c r="B1893" s="5">
        <f t="shared" si="68"/>
        <v>2018</v>
      </c>
      <c r="C1893" s="9">
        <v>43166</v>
      </c>
      <c r="D1893">
        <v>6.75</v>
      </c>
    </row>
    <row r="1894" spans="1:4" x14ac:dyDescent="0.25">
      <c r="A1894" s="5">
        <f t="shared" si="67"/>
        <v>3</v>
      </c>
      <c r="B1894" s="5">
        <f t="shared" si="68"/>
        <v>2018</v>
      </c>
      <c r="C1894" s="9">
        <v>43167</v>
      </c>
      <c r="D1894">
        <v>6.75</v>
      </c>
    </row>
    <row r="1895" spans="1:4" x14ac:dyDescent="0.25">
      <c r="A1895" s="5">
        <f t="shared" si="67"/>
        <v>3</v>
      </c>
      <c r="B1895" s="5">
        <f t="shared" si="68"/>
        <v>2018</v>
      </c>
      <c r="C1895" s="9">
        <v>43168</v>
      </c>
      <c r="D1895">
        <v>6.75</v>
      </c>
    </row>
    <row r="1896" spans="1:4" x14ac:dyDescent="0.25">
      <c r="A1896" s="5">
        <f t="shared" si="67"/>
        <v>3</v>
      </c>
      <c r="B1896" s="5">
        <f t="shared" si="68"/>
        <v>2018</v>
      </c>
      <c r="C1896" s="9">
        <v>43169</v>
      </c>
      <c r="D1896">
        <v>6.75</v>
      </c>
    </row>
    <row r="1897" spans="1:4" x14ac:dyDescent="0.25">
      <c r="A1897" s="5">
        <f t="shared" si="67"/>
        <v>3</v>
      </c>
      <c r="B1897" s="5">
        <f t="shared" si="68"/>
        <v>2018</v>
      </c>
      <c r="C1897" s="9">
        <v>43170</v>
      </c>
      <c r="D1897">
        <v>6.75</v>
      </c>
    </row>
    <row r="1898" spans="1:4" x14ac:dyDescent="0.25">
      <c r="A1898" s="5">
        <f t="shared" si="67"/>
        <v>3</v>
      </c>
      <c r="B1898" s="5">
        <f t="shared" si="68"/>
        <v>2018</v>
      </c>
      <c r="C1898" s="9">
        <v>43171</v>
      </c>
      <c r="D1898">
        <v>6.75</v>
      </c>
    </row>
    <row r="1899" spans="1:4" x14ac:dyDescent="0.25">
      <c r="A1899" s="5">
        <f t="shared" si="67"/>
        <v>3</v>
      </c>
      <c r="B1899" s="5">
        <f t="shared" si="68"/>
        <v>2018</v>
      </c>
      <c r="C1899" s="9">
        <v>43172</v>
      </c>
      <c r="D1899">
        <v>6.75</v>
      </c>
    </row>
    <row r="1900" spans="1:4" x14ac:dyDescent="0.25">
      <c r="A1900" s="5">
        <f t="shared" si="67"/>
        <v>3</v>
      </c>
      <c r="B1900" s="5">
        <f t="shared" si="68"/>
        <v>2018</v>
      </c>
      <c r="C1900" s="9">
        <v>43173</v>
      </c>
      <c r="D1900">
        <v>6.75</v>
      </c>
    </row>
    <row r="1901" spans="1:4" x14ac:dyDescent="0.25">
      <c r="A1901" s="5">
        <f t="shared" si="67"/>
        <v>3</v>
      </c>
      <c r="B1901" s="5">
        <f t="shared" si="68"/>
        <v>2018</v>
      </c>
      <c r="C1901" s="9">
        <v>43174</v>
      </c>
      <c r="D1901">
        <v>6.75</v>
      </c>
    </row>
    <row r="1902" spans="1:4" x14ac:dyDescent="0.25">
      <c r="A1902" s="5">
        <f t="shared" si="67"/>
        <v>3</v>
      </c>
      <c r="B1902" s="5">
        <f t="shared" si="68"/>
        <v>2018</v>
      </c>
      <c r="C1902" s="9">
        <v>43175</v>
      </c>
      <c r="D1902">
        <v>6.75</v>
      </c>
    </row>
    <row r="1903" spans="1:4" x14ac:dyDescent="0.25">
      <c r="A1903" s="5">
        <f t="shared" si="67"/>
        <v>3</v>
      </c>
      <c r="B1903" s="5">
        <f t="shared" si="68"/>
        <v>2018</v>
      </c>
      <c r="C1903" s="9">
        <v>43176</v>
      </c>
      <c r="D1903">
        <v>6.75</v>
      </c>
    </row>
    <row r="1904" spans="1:4" x14ac:dyDescent="0.25">
      <c r="A1904" s="5">
        <f t="shared" si="67"/>
        <v>3</v>
      </c>
      <c r="B1904" s="5">
        <f t="shared" si="68"/>
        <v>2018</v>
      </c>
      <c r="C1904" s="9">
        <v>43177</v>
      </c>
      <c r="D1904">
        <v>6.75</v>
      </c>
    </row>
    <row r="1905" spans="1:4" x14ac:dyDescent="0.25">
      <c r="A1905" s="5">
        <f t="shared" si="67"/>
        <v>3</v>
      </c>
      <c r="B1905" s="5">
        <f t="shared" si="68"/>
        <v>2018</v>
      </c>
      <c r="C1905" s="9">
        <v>43178</v>
      </c>
      <c r="D1905">
        <v>6.75</v>
      </c>
    </row>
    <row r="1906" spans="1:4" x14ac:dyDescent="0.25">
      <c r="A1906" s="5">
        <f t="shared" si="67"/>
        <v>3</v>
      </c>
      <c r="B1906" s="5">
        <f t="shared" si="68"/>
        <v>2018</v>
      </c>
      <c r="C1906" s="9">
        <v>43179</v>
      </c>
      <c r="D1906">
        <v>6.75</v>
      </c>
    </row>
    <row r="1907" spans="1:4" x14ac:dyDescent="0.25">
      <c r="A1907" s="5">
        <f t="shared" si="67"/>
        <v>3</v>
      </c>
      <c r="B1907" s="5">
        <f t="shared" si="68"/>
        <v>2018</v>
      </c>
      <c r="C1907" s="9">
        <v>43180</v>
      </c>
      <c r="D1907">
        <v>6.75</v>
      </c>
    </row>
    <row r="1908" spans="1:4" x14ac:dyDescent="0.25">
      <c r="A1908" s="5">
        <f t="shared" si="67"/>
        <v>3</v>
      </c>
      <c r="B1908" s="5">
        <f t="shared" si="68"/>
        <v>2018</v>
      </c>
      <c r="C1908" s="9">
        <v>43181</v>
      </c>
      <c r="D1908">
        <v>6.5</v>
      </c>
    </row>
    <row r="1909" spans="1:4" x14ac:dyDescent="0.25">
      <c r="A1909" s="5">
        <f t="shared" si="67"/>
        <v>3</v>
      </c>
      <c r="B1909" s="5">
        <f t="shared" si="68"/>
        <v>2018</v>
      </c>
      <c r="C1909" s="9">
        <v>43182</v>
      </c>
      <c r="D1909">
        <v>6.5</v>
      </c>
    </row>
    <row r="1910" spans="1:4" x14ac:dyDescent="0.25">
      <c r="A1910" s="5">
        <f t="shared" si="67"/>
        <v>3</v>
      </c>
      <c r="B1910" s="5">
        <f t="shared" si="68"/>
        <v>2018</v>
      </c>
      <c r="C1910" s="9">
        <v>43183</v>
      </c>
      <c r="D1910">
        <v>6.5</v>
      </c>
    </row>
    <row r="1911" spans="1:4" x14ac:dyDescent="0.25">
      <c r="A1911" s="5">
        <f t="shared" si="67"/>
        <v>3</v>
      </c>
      <c r="B1911" s="5">
        <f t="shared" si="68"/>
        <v>2018</v>
      </c>
      <c r="C1911" s="9">
        <v>43184</v>
      </c>
      <c r="D1911">
        <v>6.5</v>
      </c>
    </row>
    <row r="1912" spans="1:4" x14ac:dyDescent="0.25">
      <c r="A1912" s="5">
        <f t="shared" si="67"/>
        <v>3</v>
      </c>
      <c r="B1912" s="5">
        <f t="shared" si="68"/>
        <v>2018</v>
      </c>
      <c r="C1912" s="9">
        <v>43185</v>
      </c>
      <c r="D1912">
        <v>6.5</v>
      </c>
    </row>
    <row r="1913" spans="1:4" x14ac:dyDescent="0.25">
      <c r="A1913" s="5">
        <f t="shared" si="67"/>
        <v>3</v>
      </c>
      <c r="B1913" s="5">
        <f t="shared" si="68"/>
        <v>2018</v>
      </c>
      <c r="C1913" s="9">
        <v>43186</v>
      </c>
      <c r="D1913">
        <v>6.5</v>
      </c>
    </row>
    <row r="1914" spans="1:4" x14ac:dyDescent="0.25">
      <c r="A1914" s="5">
        <f t="shared" si="67"/>
        <v>3</v>
      </c>
      <c r="B1914" s="5">
        <f t="shared" si="68"/>
        <v>2018</v>
      </c>
      <c r="C1914" s="9">
        <v>43187</v>
      </c>
      <c r="D1914">
        <v>6.5</v>
      </c>
    </row>
    <row r="1915" spans="1:4" x14ac:dyDescent="0.25">
      <c r="A1915" s="5">
        <f t="shared" si="67"/>
        <v>3</v>
      </c>
      <c r="B1915" s="5">
        <f t="shared" si="68"/>
        <v>2018</v>
      </c>
      <c r="C1915" s="9">
        <v>43188</v>
      </c>
      <c r="D1915">
        <v>6.5</v>
      </c>
    </row>
    <row r="1916" spans="1:4" x14ac:dyDescent="0.25">
      <c r="A1916" s="5">
        <f t="shared" si="67"/>
        <v>3</v>
      </c>
      <c r="B1916" s="5">
        <f t="shared" si="68"/>
        <v>2018</v>
      </c>
      <c r="C1916" s="9">
        <v>43189</v>
      </c>
      <c r="D1916">
        <v>6.5</v>
      </c>
    </row>
    <row r="1917" spans="1:4" x14ac:dyDescent="0.25">
      <c r="A1917" s="5">
        <f t="shared" si="67"/>
        <v>3</v>
      </c>
      <c r="B1917" s="5">
        <f t="shared" si="68"/>
        <v>2018</v>
      </c>
      <c r="C1917" s="9">
        <v>43190</v>
      </c>
      <c r="D1917">
        <v>6.5</v>
      </c>
    </row>
    <row r="1918" spans="1:4" x14ac:dyDescent="0.25">
      <c r="A1918" s="5">
        <f t="shared" si="67"/>
        <v>4</v>
      </c>
      <c r="B1918" s="5">
        <f t="shared" si="68"/>
        <v>2018</v>
      </c>
      <c r="C1918" s="9">
        <v>43191</v>
      </c>
      <c r="D1918">
        <v>6.5</v>
      </c>
    </row>
    <row r="1919" spans="1:4" x14ac:dyDescent="0.25">
      <c r="A1919" s="5">
        <f t="shared" si="67"/>
        <v>4</v>
      </c>
      <c r="B1919" s="5">
        <f t="shared" si="68"/>
        <v>2018</v>
      </c>
      <c r="C1919" s="9">
        <v>43192</v>
      </c>
      <c r="D1919">
        <v>6.5</v>
      </c>
    </row>
    <row r="1920" spans="1:4" x14ac:dyDescent="0.25">
      <c r="A1920" s="5">
        <f t="shared" si="67"/>
        <v>4</v>
      </c>
      <c r="B1920" s="5">
        <f t="shared" si="68"/>
        <v>2018</v>
      </c>
      <c r="C1920" s="9">
        <v>43193</v>
      </c>
      <c r="D1920">
        <v>6.5</v>
      </c>
    </row>
    <row r="1921" spans="1:4" x14ac:dyDescent="0.25">
      <c r="A1921" s="5">
        <f t="shared" si="67"/>
        <v>4</v>
      </c>
      <c r="B1921" s="5">
        <f t="shared" si="68"/>
        <v>2018</v>
      </c>
      <c r="C1921" s="9">
        <v>43194</v>
      </c>
      <c r="D1921">
        <v>6.5</v>
      </c>
    </row>
    <row r="1922" spans="1:4" x14ac:dyDescent="0.25">
      <c r="A1922" s="5">
        <f t="shared" si="67"/>
        <v>4</v>
      </c>
      <c r="B1922" s="5">
        <f t="shared" si="68"/>
        <v>2018</v>
      </c>
      <c r="C1922" s="9">
        <v>43195</v>
      </c>
      <c r="D1922">
        <v>6.5</v>
      </c>
    </row>
    <row r="1923" spans="1:4" x14ac:dyDescent="0.25">
      <c r="A1923" s="5">
        <f t="shared" ref="A1923:A1986" si="69">MONTH(C1923)</f>
        <v>4</v>
      </c>
      <c r="B1923" s="5">
        <f t="shared" ref="B1923:B1986" si="70">YEAR(C1923)</f>
        <v>2018</v>
      </c>
      <c r="C1923" s="9">
        <v>43196</v>
      </c>
      <c r="D1923">
        <v>6.5</v>
      </c>
    </row>
    <row r="1924" spans="1:4" x14ac:dyDescent="0.25">
      <c r="A1924" s="5">
        <f t="shared" si="69"/>
        <v>4</v>
      </c>
      <c r="B1924" s="5">
        <f t="shared" si="70"/>
        <v>2018</v>
      </c>
      <c r="C1924" s="9">
        <v>43197</v>
      </c>
      <c r="D1924">
        <v>6.5</v>
      </c>
    </row>
    <row r="1925" spans="1:4" x14ac:dyDescent="0.25">
      <c r="A1925" s="5">
        <f t="shared" si="69"/>
        <v>4</v>
      </c>
      <c r="B1925" s="5">
        <f t="shared" si="70"/>
        <v>2018</v>
      </c>
      <c r="C1925" s="9">
        <v>43198</v>
      </c>
      <c r="D1925">
        <v>6.5</v>
      </c>
    </row>
    <row r="1926" spans="1:4" x14ac:dyDescent="0.25">
      <c r="A1926" s="5">
        <f t="shared" si="69"/>
        <v>4</v>
      </c>
      <c r="B1926" s="5">
        <f t="shared" si="70"/>
        <v>2018</v>
      </c>
      <c r="C1926" s="9">
        <v>43199</v>
      </c>
      <c r="D1926">
        <v>6.5</v>
      </c>
    </row>
    <row r="1927" spans="1:4" x14ac:dyDescent="0.25">
      <c r="A1927" s="5">
        <f t="shared" si="69"/>
        <v>4</v>
      </c>
      <c r="B1927" s="5">
        <f t="shared" si="70"/>
        <v>2018</v>
      </c>
      <c r="C1927" s="9">
        <v>43200</v>
      </c>
      <c r="D1927">
        <v>6.5</v>
      </c>
    </row>
    <row r="1928" spans="1:4" x14ac:dyDescent="0.25">
      <c r="A1928" s="5">
        <f t="shared" si="69"/>
        <v>4</v>
      </c>
      <c r="B1928" s="5">
        <f t="shared" si="70"/>
        <v>2018</v>
      </c>
      <c r="C1928" s="9">
        <v>43201</v>
      </c>
      <c r="D1928">
        <v>6.5</v>
      </c>
    </row>
    <row r="1929" spans="1:4" x14ac:dyDescent="0.25">
      <c r="A1929" s="5">
        <f t="shared" si="69"/>
        <v>4</v>
      </c>
      <c r="B1929" s="5">
        <f t="shared" si="70"/>
        <v>2018</v>
      </c>
      <c r="C1929" s="9">
        <v>43202</v>
      </c>
      <c r="D1929">
        <v>6.5</v>
      </c>
    </row>
    <row r="1930" spans="1:4" x14ac:dyDescent="0.25">
      <c r="A1930" s="5">
        <f t="shared" si="69"/>
        <v>4</v>
      </c>
      <c r="B1930" s="5">
        <f t="shared" si="70"/>
        <v>2018</v>
      </c>
      <c r="C1930" s="9">
        <v>43203</v>
      </c>
      <c r="D1930">
        <v>6.5</v>
      </c>
    </row>
    <row r="1931" spans="1:4" x14ac:dyDescent="0.25">
      <c r="A1931" s="5">
        <f t="shared" si="69"/>
        <v>4</v>
      </c>
      <c r="B1931" s="5">
        <f t="shared" si="70"/>
        <v>2018</v>
      </c>
      <c r="C1931" s="9">
        <v>43204</v>
      </c>
      <c r="D1931">
        <v>6.5</v>
      </c>
    </row>
    <row r="1932" spans="1:4" x14ac:dyDescent="0.25">
      <c r="A1932" s="5">
        <f t="shared" si="69"/>
        <v>4</v>
      </c>
      <c r="B1932" s="5">
        <f t="shared" si="70"/>
        <v>2018</v>
      </c>
      <c r="C1932" s="9">
        <v>43205</v>
      </c>
      <c r="D1932">
        <v>6.5</v>
      </c>
    </row>
    <row r="1933" spans="1:4" x14ac:dyDescent="0.25">
      <c r="A1933" s="5">
        <f t="shared" si="69"/>
        <v>4</v>
      </c>
      <c r="B1933" s="5">
        <f t="shared" si="70"/>
        <v>2018</v>
      </c>
      <c r="C1933" s="9">
        <v>43206</v>
      </c>
      <c r="D1933">
        <v>6.5</v>
      </c>
    </row>
    <row r="1934" spans="1:4" x14ac:dyDescent="0.25">
      <c r="A1934" s="5">
        <f t="shared" si="69"/>
        <v>4</v>
      </c>
      <c r="B1934" s="5">
        <f t="shared" si="70"/>
        <v>2018</v>
      </c>
      <c r="C1934" s="9">
        <v>43207</v>
      </c>
      <c r="D1934">
        <v>6.5</v>
      </c>
    </row>
    <row r="1935" spans="1:4" x14ac:dyDescent="0.25">
      <c r="A1935" s="5">
        <f t="shared" si="69"/>
        <v>4</v>
      </c>
      <c r="B1935" s="5">
        <f t="shared" si="70"/>
        <v>2018</v>
      </c>
      <c r="C1935" s="9">
        <v>43208</v>
      </c>
      <c r="D1935">
        <v>6.5</v>
      </c>
    </row>
    <row r="1936" spans="1:4" x14ac:dyDescent="0.25">
      <c r="A1936" s="5">
        <f t="shared" si="69"/>
        <v>4</v>
      </c>
      <c r="B1936" s="5">
        <f t="shared" si="70"/>
        <v>2018</v>
      </c>
      <c r="C1936" s="9">
        <v>43209</v>
      </c>
      <c r="D1936">
        <v>6.5</v>
      </c>
    </row>
    <row r="1937" spans="1:4" x14ac:dyDescent="0.25">
      <c r="A1937" s="5">
        <f t="shared" si="69"/>
        <v>4</v>
      </c>
      <c r="B1937" s="5">
        <f t="shared" si="70"/>
        <v>2018</v>
      </c>
      <c r="C1937" s="9">
        <v>43210</v>
      </c>
      <c r="D1937">
        <v>6.5</v>
      </c>
    </row>
    <row r="1938" spans="1:4" x14ac:dyDescent="0.25">
      <c r="A1938" s="5">
        <f t="shared" si="69"/>
        <v>4</v>
      </c>
      <c r="B1938" s="5">
        <f t="shared" si="70"/>
        <v>2018</v>
      </c>
      <c r="C1938" s="9">
        <v>43211</v>
      </c>
      <c r="D1938">
        <v>6.5</v>
      </c>
    </row>
    <row r="1939" spans="1:4" x14ac:dyDescent="0.25">
      <c r="A1939" s="5">
        <f t="shared" si="69"/>
        <v>4</v>
      </c>
      <c r="B1939" s="5">
        <f t="shared" si="70"/>
        <v>2018</v>
      </c>
      <c r="C1939" s="9">
        <v>43212</v>
      </c>
      <c r="D1939">
        <v>6.5</v>
      </c>
    </row>
    <row r="1940" spans="1:4" x14ac:dyDescent="0.25">
      <c r="A1940" s="5">
        <f t="shared" si="69"/>
        <v>4</v>
      </c>
      <c r="B1940" s="5">
        <f t="shared" si="70"/>
        <v>2018</v>
      </c>
      <c r="C1940" s="9">
        <v>43213</v>
      </c>
      <c r="D1940">
        <v>6.5</v>
      </c>
    </row>
    <row r="1941" spans="1:4" x14ac:dyDescent="0.25">
      <c r="A1941" s="5">
        <f t="shared" si="69"/>
        <v>4</v>
      </c>
      <c r="B1941" s="5">
        <f t="shared" si="70"/>
        <v>2018</v>
      </c>
      <c r="C1941" s="9">
        <v>43214</v>
      </c>
      <c r="D1941">
        <v>6.5</v>
      </c>
    </row>
    <row r="1942" spans="1:4" x14ac:dyDescent="0.25">
      <c r="A1942" s="5">
        <f t="shared" si="69"/>
        <v>4</v>
      </c>
      <c r="B1942" s="5">
        <f t="shared" si="70"/>
        <v>2018</v>
      </c>
      <c r="C1942" s="9">
        <v>43215</v>
      </c>
      <c r="D1942">
        <v>6.5</v>
      </c>
    </row>
    <row r="1943" spans="1:4" x14ac:dyDescent="0.25">
      <c r="A1943" s="5">
        <f t="shared" si="69"/>
        <v>4</v>
      </c>
      <c r="B1943" s="5">
        <f t="shared" si="70"/>
        <v>2018</v>
      </c>
      <c r="C1943" s="9">
        <v>43216</v>
      </c>
      <c r="D1943">
        <v>6.5</v>
      </c>
    </row>
    <row r="1944" spans="1:4" x14ac:dyDescent="0.25">
      <c r="A1944" s="5">
        <f t="shared" si="69"/>
        <v>4</v>
      </c>
      <c r="B1944" s="5">
        <f t="shared" si="70"/>
        <v>2018</v>
      </c>
      <c r="C1944" s="9">
        <v>43217</v>
      </c>
      <c r="D1944">
        <v>6.5</v>
      </c>
    </row>
    <row r="1945" spans="1:4" x14ac:dyDescent="0.25">
      <c r="A1945" s="5">
        <f t="shared" si="69"/>
        <v>4</v>
      </c>
      <c r="B1945" s="5">
        <f t="shared" si="70"/>
        <v>2018</v>
      </c>
      <c r="C1945" s="9">
        <v>43218</v>
      </c>
      <c r="D1945">
        <v>6.5</v>
      </c>
    </row>
    <row r="1946" spans="1:4" x14ac:dyDescent="0.25">
      <c r="A1946" s="5">
        <f t="shared" si="69"/>
        <v>4</v>
      </c>
      <c r="B1946" s="5">
        <f t="shared" si="70"/>
        <v>2018</v>
      </c>
      <c r="C1946" s="9">
        <v>43219</v>
      </c>
      <c r="D1946">
        <v>6.5</v>
      </c>
    </row>
    <row r="1947" spans="1:4" x14ac:dyDescent="0.25">
      <c r="A1947" s="5">
        <f t="shared" si="69"/>
        <v>4</v>
      </c>
      <c r="B1947" s="5">
        <f t="shared" si="70"/>
        <v>2018</v>
      </c>
      <c r="C1947" s="9">
        <v>43220</v>
      </c>
      <c r="D1947">
        <v>6.5</v>
      </c>
    </row>
    <row r="1948" spans="1:4" x14ac:dyDescent="0.25">
      <c r="A1948" s="5">
        <f t="shared" si="69"/>
        <v>5</v>
      </c>
      <c r="B1948" s="5">
        <f t="shared" si="70"/>
        <v>2018</v>
      </c>
      <c r="C1948" s="9">
        <v>43221</v>
      </c>
      <c r="D1948">
        <v>6.5</v>
      </c>
    </row>
    <row r="1949" spans="1:4" x14ac:dyDescent="0.25">
      <c r="A1949" s="5">
        <f t="shared" si="69"/>
        <v>5</v>
      </c>
      <c r="B1949" s="5">
        <f t="shared" si="70"/>
        <v>2018</v>
      </c>
      <c r="C1949" s="9">
        <v>43222</v>
      </c>
      <c r="D1949">
        <v>6.5</v>
      </c>
    </row>
    <row r="1950" spans="1:4" x14ac:dyDescent="0.25">
      <c r="A1950" s="5">
        <f t="shared" si="69"/>
        <v>5</v>
      </c>
      <c r="B1950" s="5">
        <f t="shared" si="70"/>
        <v>2018</v>
      </c>
      <c r="C1950" s="9">
        <v>43223</v>
      </c>
      <c r="D1950">
        <v>6.5</v>
      </c>
    </row>
    <row r="1951" spans="1:4" x14ac:dyDescent="0.25">
      <c r="A1951" s="5">
        <f t="shared" si="69"/>
        <v>5</v>
      </c>
      <c r="B1951" s="5">
        <f t="shared" si="70"/>
        <v>2018</v>
      </c>
      <c r="C1951" s="9">
        <v>43224</v>
      </c>
      <c r="D1951">
        <v>6.5</v>
      </c>
    </row>
    <row r="1952" spans="1:4" x14ac:dyDescent="0.25">
      <c r="A1952" s="5">
        <f t="shared" si="69"/>
        <v>5</v>
      </c>
      <c r="B1952" s="5">
        <f t="shared" si="70"/>
        <v>2018</v>
      </c>
      <c r="C1952" s="9">
        <v>43225</v>
      </c>
      <c r="D1952">
        <v>6.5</v>
      </c>
    </row>
    <row r="1953" spans="1:4" x14ac:dyDescent="0.25">
      <c r="A1953" s="5">
        <f t="shared" si="69"/>
        <v>5</v>
      </c>
      <c r="B1953" s="5">
        <f t="shared" si="70"/>
        <v>2018</v>
      </c>
      <c r="C1953" s="9">
        <v>43226</v>
      </c>
      <c r="D1953">
        <v>6.5</v>
      </c>
    </row>
    <row r="1954" spans="1:4" x14ac:dyDescent="0.25">
      <c r="A1954" s="5">
        <f t="shared" si="69"/>
        <v>5</v>
      </c>
      <c r="B1954" s="5">
        <f t="shared" si="70"/>
        <v>2018</v>
      </c>
      <c r="C1954" s="9">
        <v>43227</v>
      </c>
      <c r="D1954">
        <v>6.5</v>
      </c>
    </row>
    <row r="1955" spans="1:4" x14ac:dyDescent="0.25">
      <c r="A1955" s="5">
        <f t="shared" si="69"/>
        <v>5</v>
      </c>
      <c r="B1955" s="5">
        <f t="shared" si="70"/>
        <v>2018</v>
      </c>
      <c r="C1955" s="9">
        <v>43228</v>
      </c>
      <c r="D1955">
        <v>6.5</v>
      </c>
    </row>
    <row r="1956" spans="1:4" x14ac:dyDescent="0.25">
      <c r="A1956" s="5">
        <f t="shared" si="69"/>
        <v>5</v>
      </c>
      <c r="B1956" s="5">
        <f t="shared" si="70"/>
        <v>2018</v>
      </c>
      <c r="C1956" s="9">
        <v>43229</v>
      </c>
      <c r="D1956">
        <v>6.5</v>
      </c>
    </row>
    <row r="1957" spans="1:4" x14ac:dyDescent="0.25">
      <c r="A1957" s="5">
        <f t="shared" si="69"/>
        <v>5</v>
      </c>
      <c r="B1957" s="5">
        <f t="shared" si="70"/>
        <v>2018</v>
      </c>
      <c r="C1957" s="9">
        <v>43230</v>
      </c>
      <c r="D1957">
        <v>6.5</v>
      </c>
    </row>
    <row r="1958" spans="1:4" x14ac:dyDescent="0.25">
      <c r="A1958" s="5">
        <f t="shared" si="69"/>
        <v>5</v>
      </c>
      <c r="B1958" s="5">
        <f t="shared" si="70"/>
        <v>2018</v>
      </c>
      <c r="C1958" s="9">
        <v>43231</v>
      </c>
      <c r="D1958">
        <v>6.5</v>
      </c>
    </row>
    <row r="1959" spans="1:4" x14ac:dyDescent="0.25">
      <c r="A1959" s="5">
        <f t="shared" si="69"/>
        <v>5</v>
      </c>
      <c r="B1959" s="5">
        <f t="shared" si="70"/>
        <v>2018</v>
      </c>
      <c r="C1959" s="9">
        <v>43232</v>
      </c>
      <c r="D1959">
        <v>6.5</v>
      </c>
    </row>
    <row r="1960" spans="1:4" x14ac:dyDescent="0.25">
      <c r="A1960" s="5">
        <f t="shared" si="69"/>
        <v>5</v>
      </c>
      <c r="B1960" s="5">
        <f t="shared" si="70"/>
        <v>2018</v>
      </c>
      <c r="C1960" s="9">
        <v>43233</v>
      </c>
      <c r="D1960">
        <v>6.5</v>
      </c>
    </row>
    <row r="1961" spans="1:4" x14ac:dyDescent="0.25">
      <c r="A1961" s="5">
        <f t="shared" si="69"/>
        <v>5</v>
      </c>
      <c r="B1961" s="5">
        <f t="shared" si="70"/>
        <v>2018</v>
      </c>
      <c r="C1961" s="9">
        <v>43234</v>
      </c>
      <c r="D1961">
        <v>6.5</v>
      </c>
    </row>
    <row r="1962" spans="1:4" x14ac:dyDescent="0.25">
      <c r="A1962" s="5">
        <f t="shared" si="69"/>
        <v>5</v>
      </c>
      <c r="B1962" s="5">
        <f t="shared" si="70"/>
        <v>2018</v>
      </c>
      <c r="C1962" s="9">
        <v>43235</v>
      </c>
      <c r="D1962">
        <v>6.5</v>
      </c>
    </row>
    <row r="1963" spans="1:4" x14ac:dyDescent="0.25">
      <c r="A1963" s="5">
        <f t="shared" si="69"/>
        <v>5</v>
      </c>
      <c r="B1963" s="5">
        <f t="shared" si="70"/>
        <v>2018</v>
      </c>
      <c r="C1963" s="9">
        <v>43236</v>
      </c>
      <c r="D1963">
        <v>6.5</v>
      </c>
    </row>
    <row r="1964" spans="1:4" x14ac:dyDescent="0.25">
      <c r="A1964" s="5">
        <f t="shared" si="69"/>
        <v>5</v>
      </c>
      <c r="B1964" s="5">
        <f t="shared" si="70"/>
        <v>2018</v>
      </c>
      <c r="C1964" s="9">
        <v>43237</v>
      </c>
      <c r="D1964">
        <v>6.5</v>
      </c>
    </row>
    <row r="1965" spans="1:4" x14ac:dyDescent="0.25">
      <c r="A1965" s="5">
        <f t="shared" si="69"/>
        <v>5</v>
      </c>
      <c r="B1965" s="5">
        <f t="shared" si="70"/>
        <v>2018</v>
      </c>
      <c r="C1965" s="9">
        <v>43238</v>
      </c>
      <c r="D1965">
        <v>6.5</v>
      </c>
    </row>
    <row r="1966" spans="1:4" x14ac:dyDescent="0.25">
      <c r="A1966" s="5">
        <f t="shared" si="69"/>
        <v>5</v>
      </c>
      <c r="B1966" s="5">
        <f t="shared" si="70"/>
        <v>2018</v>
      </c>
      <c r="C1966" s="9">
        <v>43239</v>
      </c>
      <c r="D1966">
        <v>6.5</v>
      </c>
    </row>
    <row r="1967" spans="1:4" x14ac:dyDescent="0.25">
      <c r="A1967" s="5">
        <f t="shared" si="69"/>
        <v>5</v>
      </c>
      <c r="B1967" s="5">
        <f t="shared" si="70"/>
        <v>2018</v>
      </c>
      <c r="C1967" s="9">
        <v>43240</v>
      </c>
      <c r="D1967">
        <v>6.5</v>
      </c>
    </row>
    <row r="1968" spans="1:4" x14ac:dyDescent="0.25">
      <c r="A1968" s="5">
        <f t="shared" si="69"/>
        <v>5</v>
      </c>
      <c r="B1968" s="5">
        <f t="shared" si="70"/>
        <v>2018</v>
      </c>
      <c r="C1968" s="9">
        <v>43241</v>
      </c>
      <c r="D1968">
        <v>6.5</v>
      </c>
    </row>
    <row r="1969" spans="1:4" x14ac:dyDescent="0.25">
      <c r="A1969" s="5">
        <f t="shared" si="69"/>
        <v>5</v>
      </c>
      <c r="B1969" s="5">
        <f t="shared" si="70"/>
        <v>2018</v>
      </c>
      <c r="C1969" s="9">
        <v>43242</v>
      </c>
      <c r="D1969">
        <v>6.5</v>
      </c>
    </row>
    <row r="1970" spans="1:4" x14ac:dyDescent="0.25">
      <c r="A1970" s="5">
        <f t="shared" si="69"/>
        <v>5</v>
      </c>
      <c r="B1970" s="5">
        <f t="shared" si="70"/>
        <v>2018</v>
      </c>
      <c r="C1970" s="9">
        <v>43243</v>
      </c>
      <c r="D1970">
        <v>6.5</v>
      </c>
    </row>
    <row r="1971" spans="1:4" x14ac:dyDescent="0.25">
      <c r="A1971" s="5">
        <f t="shared" si="69"/>
        <v>5</v>
      </c>
      <c r="B1971" s="5">
        <f t="shared" si="70"/>
        <v>2018</v>
      </c>
      <c r="C1971" s="9">
        <v>43244</v>
      </c>
      <c r="D1971">
        <v>6.5</v>
      </c>
    </row>
    <row r="1972" spans="1:4" x14ac:dyDescent="0.25">
      <c r="A1972" s="5">
        <f t="shared" si="69"/>
        <v>5</v>
      </c>
      <c r="B1972" s="5">
        <f t="shared" si="70"/>
        <v>2018</v>
      </c>
      <c r="C1972" s="9">
        <v>43245</v>
      </c>
      <c r="D1972">
        <v>6.5</v>
      </c>
    </row>
    <row r="1973" spans="1:4" x14ac:dyDescent="0.25">
      <c r="A1973" s="5">
        <f t="shared" si="69"/>
        <v>5</v>
      </c>
      <c r="B1973" s="5">
        <f t="shared" si="70"/>
        <v>2018</v>
      </c>
      <c r="C1973" s="9">
        <v>43246</v>
      </c>
      <c r="D1973">
        <v>6.5</v>
      </c>
    </row>
    <row r="1974" spans="1:4" x14ac:dyDescent="0.25">
      <c r="A1974" s="5">
        <f t="shared" si="69"/>
        <v>5</v>
      </c>
      <c r="B1974" s="5">
        <f t="shared" si="70"/>
        <v>2018</v>
      </c>
      <c r="C1974" s="9">
        <v>43247</v>
      </c>
      <c r="D1974">
        <v>6.5</v>
      </c>
    </row>
    <row r="1975" spans="1:4" x14ac:dyDescent="0.25">
      <c r="A1975" s="5">
        <f t="shared" si="69"/>
        <v>5</v>
      </c>
      <c r="B1975" s="5">
        <f t="shared" si="70"/>
        <v>2018</v>
      </c>
      <c r="C1975" s="9">
        <v>43248</v>
      </c>
      <c r="D1975">
        <v>6.5</v>
      </c>
    </row>
    <row r="1976" spans="1:4" x14ac:dyDescent="0.25">
      <c r="A1976" s="5">
        <f t="shared" si="69"/>
        <v>5</v>
      </c>
      <c r="B1976" s="5">
        <f t="shared" si="70"/>
        <v>2018</v>
      </c>
      <c r="C1976" s="9">
        <v>43249</v>
      </c>
      <c r="D1976">
        <v>6.5</v>
      </c>
    </row>
    <row r="1977" spans="1:4" x14ac:dyDescent="0.25">
      <c r="A1977" s="5">
        <f t="shared" si="69"/>
        <v>5</v>
      </c>
      <c r="B1977" s="5">
        <f t="shared" si="70"/>
        <v>2018</v>
      </c>
      <c r="C1977" s="9">
        <v>43250</v>
      </c>
      <c r="D1977">
        <v>6.5</v>
      </c>
    </row>
    <row r="1978" spans="1:4" x14ac:dyDescent="0.25">
      <c r="A1978" s="5">
        <f t="shared" si="69"/>
        <v>5</v>
      </c>
      <c r="B1978" s="5">
        <f t="shared" si="70"/>
        <v>2018</v>
      </c>
      <c r="C1978" s="9">
        <v>43251</v>
      </c>
      <c r="D1978">
        <v>6.5</v>
      </c>
    </row>
    <row r="1979" spans="1:4" x14ac:dyDescent="0.25">
      <c r="A1979" s="5">
        <f t="shared" si="69"/>
        <v>6</v>
      </c>
      <c r="B1979" s="5">
        <f t="shared" si="70"/>
        <v>2018</v>
      </c>
      <c r="C1979" s="9">
        <v>43252</v>
      </c>
      <c r="D1979">
        <v>6.5</v>
      </c>
    </row>
    <row r="1980" spans="1:4" x14ac:dyDescent="0.25">
      <c r="A1980" s="5">
        <f t="shared" si="69"/>
        <v>6</v>
      </c>
      <c r="B1980" s="5">
        <f t="shared" si="70"/>
        <v>2018</v>
      </c>
      <c r="C1980" s="9">
        <v>43253</v>
      </c>
      <c r="D1980">
        <v>6.5</v>
      </c>
    </row>
    <row r="1981" spans="1:4" x14ac:dyDescent="0.25">
      <c r="A1981" s="5">
        <f t="shared" si="69"/>
        <v>6</v>
      </c>
      <c r="B1981" s="5">
        <f t="shared" si="70"/>
        <v>2018</v>
      </c>
      <c r="C1981" s="9">
        <v>43254</v>
      </c>
      <c r="D1981">
        <v>6.5</v>
      </c>
    </row>
    <row r="1982" spans="1:4" x14ac:dyDescent="0.25">
      <c r="A1982" s="5">
        <f t="shared" si="69"/>
        <v>6</v>
      </c>
      <c r="B1982" s="5">
        <f t="shared" si="70"/>
        <v>2018</v>
      </c>
      <c r="C1982" s="9">
        <v>43255</v>
      </c>
      <c r="D1982">
        <v>6.5</v>
      </c>
    </row>
    <row r="1983" spans="1:4" x14ac:dyDescent="0.25">
      <c r="A1983" s="5">
        <f t="shared" si="69"/>
        <v>6</v>
      </c>
      <c r="B1983" s="5">
        <f t="shared" si="70"/>
        <v>2018</v>
      </c>
      <c r="C1983" s="9">
        <v>43256</v>
      </c>
      <c r="D1983">
        <v>6.5</v>
      </c>
    </row>
    <row r="1984" spans="1:4" x14ac:dyDescent="0.25">
      <c r="A1984" s="5">
        <f t="shared" si="69"/>
        <v>6</v>
      </c>
      <c r="B1984" s="5">
        <f t="shared" si="70"/>
        <v>2018</v>
      </c>
      <c r="C1984" s="9">
        <v>43257</v>
      </c>
      <c r="D1984">
        <v>6.5</v>
      </c>
    </row>
    <row r="1985" spans="1:4" x14ac:dyDescent="0.25">
      <c r="A1985" s="5">
        <f t="shared" si="69"/>
        <v>6</v>
      </c>
      <c r="B1985" s="5">
        <f t="shared" si="70"/>
        <v>2018</v>
      </c>
      <c r="C1985" s="9">
        <v>43258</v>
      </c>
      <c r="D1985">
        <v>6.5</v>
      </c>
    </row>
    <row r="1986" spans="1:4" x14ac:dyDescent="0.25">
      <c r="A1986" s="5">
        <f t="shared" si="69"/>
        <v>6</v>
      </c>
      <c r="B1986" s="5">
        <f t="shared" si="70"/>
        <v>2018</v>
      </c>
      <c r="C1986" s="9">
        <v>43259</v>
      </c>
      <c r="D1986">
        <v>6.5</v>
      </c>
    </row>
    <row r="1987" spans="1:4" x14ac:dyDescent="0.25">
      <c r="A1987" s="5">
        <f t="shared" ref="A1987:A2050" si="71">MONTH(C1987)</f>
        <v>6</v>
      </c>
      <c r="B1987" s="5">
        <f t="shared" ref="B1987:B2050" si="72">YEAR(C1987)</f>
        <v>2018</v>
      </c>
      <c r="C1987" s="9">
        <v>43260</v>
      </c>
      <c r="D1987">
        <v>6.5</v>
      </c>
    </row>
    <row r="1988" spans="1:4" x14ac:dyDescent="0.25">
      <c r="A1988" s="5">
        <f t="shared" si="71"/>
        <v>6</v>
      </c>
      <c r="B1988" s="5">
        <f t="shared" si="72"/>
        <v>2018</v>
      </c>
      <c r="C1988" s="9">
        <v>43261</v>
      </c>
      <c r="D1988">
        <v>6.5</v>
      </c>
    </row>
    <row r="1989" spans="1:4" x14ac:dyDescent="0.25">
      <c r="A1989" s="5">
        <f t="shared" si="71"/>
        <v>6</v>
      </c>
      <c r="B1989" s="5">
        <f t="shared" si="72"/>
        <v>2018</v>
      </c>
      <c r="C1989" s="9">
        <v>43262</v>
      </c>
      <c r="D1989">
        <v>6.5</v>
      </c>
    </row>
    <row r="1990" spans="1:4" x14ac:dyDescent="0.25">
      <c r="A1990" s="5">
        <f t="shared" si="71"/>
        <v>6</v>
      </c>
      <c r="B1990" s="5">
        <f t="shared" si="72"/>
        <v>2018</v>
      </c>
      <c r="C1990" s="9">
        <v>43263</v>
      </c>
      <c r="D1990">
        <v>6.5</v>
      </c>
    </row>
    <row r="1991" spans="1:4" x14ac:dyDescent="0.25">
      <c r="A1991" s="5">
        <f t="shared" si="71"/>
        <v>6</v>
      </c>
      <c r="B1991" s="5">
        <f t="shared" si="72"/>
        <v>2018</v>
      </c>
      <c r="C1991" s="9">
        <v>43264</v>
      </c>
      <c r="D1991">
        <v>6.5</v>
      </c>
    </row>
    <row r="1992" spans="1:4" x14ac:dyDescent="0.25">
      <c r="A1992" s="5">
        <f t="shared" si="71"/>
        <v>6</v>
      </c>
      <c r="B1992" s="5">
        <f t="shared" si="72"/>
        <v>2018</v>
      </c>
      <c r="C1992" s="9">
        <v>43265</v>
      </c>
      <c r="D1992">
        <v>6.5</v>
      </c>
    </row>
    <row r="1993" spans="1:4" x14ac:dyDescent="0.25">
      <c r="A1993" s="5">
        <f t="shared" si="71"/>
        <v>6</v>
      </c>
      <c r="B1993" s="5">
        <f t="shared" si="72"/>
        <v>2018</v>
      </c>
      <c r="C1993" s="9">
        <v>43266</v>
      </c>
      <c r="D1993">
        <v>6.5</v>
      </c>
    </row>
    <row r="1994" spans="1:4" x14ac:dyDescent="0.25">
      <c r="A1994" s="5">
        <f t="shared" si="71"/>
        <v>6</v>
      </c>
      <c r="B1994" s="5">
        <f t="shared" si="72"/>
        <v>2018</v>
      </c>
      <c r="C1994" s="9">
        <v>43267</v>
      </c>
      <c r="D1994">
        <v>6.5</v>
      </c>
    </row>
    <row r="1995" spans="1:4" x14ac:dyDescent="0.25">
      <c r="A1995" s="5">
        <f t="shared" si="71"/>
        <v>6</v>
      </c>
      <c r="B1995" s="5">
        <f t="shared" si="72"/>
        <v>2018</v>
      </c>
      <c r="C1995" s="9">
        <v>43268</v>
      </c>
      <c r="D1995">
        <v>6.5</v>
      </c>
    </row>
    <row r="1996" spans="1:4" x14ac:dyDescent="0.25">
      <c r="A1996" s="5">
        <f t="shared" si="71"/>
        <v>6</v>
      </c>
      <c r="B1996" s="5">
        <f t="shared" si="72"/>
        <v>2018</v>
      </c>
      <c r="C1996" s="9">
        <v>43269</v>
      </c>
      <c r="D1996">
        <v>6.5</v>
      </c>
    </row>
    <row r="1997" spans="1:4" x14ac:dyDescent="0.25">
      <c r="A1997" s="5">
        <f t="shared" si="71"/>
        <v>6</v>
      </c>
      <c r="B1997" s="5">
        <f t="shared" si="72"/>
        <v>2018</v>
      </c>
      <c r="C1997" s="9">
        <v>43270</v>
      </c>
      <c r="D1997">
        <v>6.5</v>
      </c>
    </row>
    <row r="1998" spans="1:4" x14ac:dyDescent="0.25">
      <c r="A1998" s="5">
        <f t="shared" si="71"/>
        <v>6</v>
      </c>
      <c r="B1998" s="5">
        <f t="shared" si="72"/>
        <v>2018</v>
      </c>
      <c r="C1998" s="9">
        <v>43271</v>
      </c>
      <c r="D1998">
        <v>6.5</v>
      </c>
    </row>
    <row r="1999" spans="1:4" x14ac:dyDescent="0.25">
      <c r="A1999" s="5">
        <f t="shared" si="71"/>
        <v>6</v>
      </c>
      <c r="B1999" s="5">
        <f t="shared" si="72"/>
        <v>2018</v>
      </c>
      <c r="C1999" s="9">
        <v>43272</v>
      </c>
      <c r="D1999">
        <v>6.5</v>
      </c>
    </row>
    <row r="2000" spans="1:4" x14ac:dyDescent="0.25">
      <c r="A2000" s="5">
        <f t="shared" si="71"/>
        <v>6</v>
      </c>
      <c r="B2000" s="5">
        <f t="shared" si="72"/>
        <v>2018</v>
      </c>
      <c r="C2000" s="9">
        <v>43273</v>
      </c>
      <c r="D2000">
        <v>6.5</v>
      </c>
    </row>
    <row r="2001" spans="1:4" x14ac:dyDescent="0.25">
      <c r="A2001" s="5">
        <f t="shared" si="71"/>
        <v>6</v>
      </c>
      <c r="B2001" s="5">
        <f t="shared" si="72"/>
        <v>2018</v>
      </c>
      <c r="C2001" s="9">
        <v>43274</v>
      </c>
      <c r="D2001">
        <v>6.5</v>
      </c>
    </row>
    <row r="2002" spans="1:4" x14ac:dyDescent="0.25">
      <c r="A2002" s="5">
        <f t="shared" si="71"/>
        <v>6</v>
      </c>
      <c r="B2002" s="5">
        <f t="shared" si="72"/>
        <v>2018</v>
      </c>
      <c r="C2002" s="9">
        <v>43275</v>
      </c>
      <c r="D2002">
        <v>6.5</v>
      </c>
    </row>
    <row r="2003" spans="1:4" x14ac:dyDescent="0.25">
      <c r="A2003" s="5">
        <f t="shared" si="71"/>
        <v>6</v>
      </c>
      <c r="B2003" s="5">
        <f t="shared" si="72"/>
        <v>2018</v>
      </c>
      <c r="C2003" s="9">
        <v>43276</v>
      </c>
      <c r="D2003">
        <v>6.5</v>
      </c>
    </row>
    <row r="2004" spans="1:4" x14ac:dyDescent="0.25">
      <c r="A2004" s="5">
        <f t="shared" si="71"/>
        <v>6</v>
      </c>
      <c r="B2004" s="5">
        <f t="shared" si="72"/>
        <v>2018</v>
      </c>
      <c r="C2004" s="9">
        <v>43277</v>
      </c>
      <c r="D2004">
        <v>6.5</v>
      </c>
    </row>
    <row r="2005" spans="1:4" x14ac:dyDescent="0.25">
      <c r="A2005" s="5">
        <f t="shared" si="71"/>
        <v>6</v>
      </c>
      <c r="B2005" s="5">
        <f t="shared" si="72"/>
        <v>2018</v>
      </c>
      <c r="C2005" s="9">
        <v>43278</v>
      </c>
      <c r="D2005">
        <v>6.5</v>
      </c>
    </row>
    <row r="2006" spans="1:4" x14ac:dyDescent="0.25">
      <c r="A2006" s="5">
        <f t="shared" si="71"/>
        <v>6</v>
      </c>
      <c r="B2006" s="5">
        <f t="shared" si="72"/>
        <v>2018</v>
      </c>
      <c r="C2006" s="9">
        <v>43279</v>
      </c>
      <c r="D2006">
        <v>6.5</v>
      </c>
    </row>
    <row r="2007" spans="1:4" x14ac:dyDescent="0.25">
      <c r="A2007" s="5">
        <f t="shared" si="71"/>
        <v>6</v>
      </c>
      <c r="B2007" s="5">
        <f t="shared" si="72"/>
        <v>2018</v>
      </c>
      <c r="C2007" s="9">
        <v>43280</v>
      </c>
      <c r="D2007">
        <v>6.5</v>
      </c>
    </row>
    <row r="2008" spans="1:4" x14ac:dyDescent="0.25">
      <c r="A2008" s="5">
        <f t="shared" si="71"/>
        <v>6</v>
      </c>
      <c r="B2008" s="5">
        <f t="shared" si="72"/>
        <v>2018</v>
      </c>
      <c r="C2008" s="9">
        <v>43281</v>
      </c>
      <c r="D2008">
        <v>6.5</v>
      </c>
    </row>
    <row r="2009" spans="1:4" x14ac:dyDescent="0.25">
      <c r="A2009" s="5">
        <f t="shared" si="71"/>
        <v>7</v>
      </c>
      <c r="B2009" s="5">
        <f t="shared" si="72"/>
        <v>2018</v>
      </c>
      <c r="C2009" s="9">
        <v>43282</v>
      </c>
      <c r="D2009">
        <v>6.5</v>
      </c>
    </row>
    <row r="2010" spans="1:4" x14ac:dyDescent="0.25">
      <c r="A2010" s="5">
        <f t="shared" si="71"/>
        <v>7</v>
      </c>
      <c r="B2010" s="5">
        <f t="shared" si="72"/>
        <v>2018</v>
      </c>
      <c r="C2010" s="9">
        <v>43283</v>
      </c>
      <c r="D2010">
        <v>6.5</v>
      </c>
    </row>
    <row r="2011" spans="1:4" x14ac:dyDescent="0.25">
      <c r="A2011" s="5">
        <f t="shared" si="71"/>
        <v>7</v>
      </c>
      <c r="B2011" s="5">
        <f t="shared" si="72"/>
        <v>2018</v>
      </c>
      <c r="C2011" s="9">
        <v>43284</v>
      </c>
      <c r="D2011">
        <v>6.5</v>
      </c>
    </row>
    <row r="2012" spans="1:4" x14ac:dyDescent="0.25">
      <c r="A2012" s="5">
        <f t="shared" si="71"/>
        <v>7</v>
      </c>
      <c r="B2012" s="5">
        <f t="shared" si="72"/>
        <v>2018</v>
      </c>
      <c r="C2012" s="9">
        <v>43285</v>
      </c>
      <c r="D2012">
        <v>6.5</v>
      </c>
    </row>
    <row r="2013" spans="1:4" x14ac:dyDescent="0.25">
      <c r="A2013" s="5">
        <f t="shared" si="71"/>
        <v>7</v>
      </c>
      <c r="B2013" s="5">
        <f t="shared" si="72"/>
        <v>2018</v>
      </c>
      <c r="C2013" s="9">
        <v>43286</v>
      </c>
      <c r="D2013">
        <v>6.5</v>
      </c>
    </row>
    <row r="2014" spans="1:4" x14ac:dyDescent="0.25">
      <c r="A2014" s="5">
        <f t="shared" si="71"/>
        <v>7</v>
      </c>
      <c r="B2014" s="5">
        <f t="shared" si="72"/>
        <v>2018</v>
      </c>
      <c r="C2014" s="9">
        <v>43287</v>
      </c>
      <c r="D2014">
        <v>6.5</v>
      </c>
    </row>
    <row r="2015" spans="1:4" x14ac:dyDescent="0.25">
      <c r="A2015" s="5">
        <f t="shared" si="71"/>
        <v>7</v>
      </c>
      <c r="B2015" s="5">
        <f t="shared" si="72"/>
        <v>2018</v>
      </c>
      <c r="C2015" s="9">
        <v>43288</v>
      </c>
      <c r="D2015">
        <v>6.5</v>
      </c>
    </row>
    <row r="2016" spans="1:4" x14ac:dyDescent="0.25">
      <c r="A2016" s="5">
        <f t="shared" si="71"/>
        <v>7</v>
      </c>
      <c r="B2016" s="5">
        <f t="shared" si="72"/>
        <v>2018</v>
      </c>
      <c r="C2016" s="9">
        <v>43289</v>
      </c>
      <c r="D2016">
        <v>6.5</v>
      </c>
    </row>
    <row r="2017" spans="1:4" x14ac:dyDescent="0.25">
      <c r="A2017" s="5">
        <f t="shared" si="71"/>
        <v>7</v>
      </c>
      <c r="B2017" s="5">
        <f t="shared" si="72"/>
        <v>2018</v>
      </c>
      <c r="C2017" s="9">
        <v>43290</v>
      </c>
      <c r="D2017">
        <v>6.5</v>
      </c>
    </row>
    <row r="2018" spans="1:4" x14ac:dyDescent="0.25">
      <c r="A2018" s="5">
        <f t="shared" si="71"/>
        <v>7</v>
      </c>
      <c r="B2018" s="5">
        <f t="shared" si="72"/>
        <v>2018</v>
      </c>
      <c r="C2018" s="9">
        <v>43291</v>
      </c>
      <c r="D2018">
        <v>6.5</v>
      </c>
    </row>
    <row r="2019" spans="1:4" x14ac:dyDescent="0.25">
      <c r="A2019" s="5">
        <f t="shared" si="71"/>
        <v>7</v>
      </c>
      <c r="B2019" s="5">
        <f t="shared" si="72"/>
        <v>2018</v>
      </c>
      <c r="C2019" s="9">
        <v>43292</v>
      </c>
      <c r="D2019">
        <v>6.5</v>
      </c>
    </row>
    <row r="2020" spans="1:4" x14ac:dyDescent="0.25">
      <c r="A2020" s="5">
        <f t="shared" si="71"/>
        <v>7</v>
      </c>
      <c r="B2020" s="5">
        <f t="shared" si="72"/>
        <v>2018</v>
      </c>
      <c r="C2020" s="9">
        <v>43293</v>
      </c>
      <c r="D2020">
        <v>6.5</v>
      </c>
    </row>
    <row r="2021" spans="1:4" x14ac:dyDescent="0.25">
      <c r="A2021" s="5">
        <f t="shared" si="71"/>
        <v>7</v>
      </c>
      <c r="B2021" s="5">
        <f t="shared" si="72"/>
        <v>2018</v>
      </c>
      <c r="C2021" s="9">
        <v>43294</v>
      </c>
      <c r="D2021">
        <v>6.5</v>
      </c>
    </row>
    <row r="2022" spans="1:4" x14ac:dyDescent="0.25">
      <c r="A2022" s="5">
        <f t="shared" si="71"/>
        <v>7</v>
      </c>
      <c r="B2022" s="5">
        <f t="shared" si="72"/>
        <v>2018</v>
      </c>
      <c r="C2022" s="9">
        <v>43295</v>
      </c>
      <c r="D2022">
        <v>6.5</v>
      </c>
    </row>
    <row r="2023" spans="1:4" x14ac:dyDescent="0.25">
      <c r="A2023" s="5">
        <f t="shared" si="71"/>
        <v>7</v>
      </c>
      <c r="B2023" s="5">
        <f t="shared" si="72"/>
        <v>2018</v>
      </c>
      <c r="C2023" s="9">
        <v>43296</v>
      </c>
      <c r="D2023">
        <v>6.5</v>
      </c>
    </row>
    <row r="2024" spans="1:4" x14ac:dyDescent="0.25">
      <c r="A2024" s="5">
        <f t="shared" si="71"/>
        <v>7</v>
      </c>
      <c r="B2024" s="5">
        <f t="shared" si="72"/>
        <v>2018</v>
      </c>
      <c r="C2024" s="9">
        <v>43297</v>
      </c>
      <c r="D2024">
        <v>6.5</v>
      </c>
    </row>
    <row r="2025" spans="1:4" x14ac:dyDescent="0.25">
      <c r="A2025" s="5">
        <f t="shared" si="71"/>
        <v>7</v>
      </c>
      <c r="B2025" s="5">
        <f t="shared" si="72"/>
        <v>2018</v>
      </c>
      <c r="C2025" s="9">
        <v>43298</v>
      </c>
      <c r="D2025">
        <v>6.5</v>
      </c>
    </row>
    <row r="2026" spans="1:4" x14ac:dyDescent="0.25">
      <c r="A2026" s="5">
        <f t="shared" si="71"/>
        <v>7</v>
      </c>
      <c r="B2026" s="5">
        <f t="shared" si="72"/>
        <v>2018</v>
      </c>
      <c r="C2026" s="9">
        <v>43299</v>
      </c>
      <c r="D2026">
        <v>6.5</v>
      </c>
    </row>
    <row r="2027" spans="1:4" x14ac:dyDescent="0.25">
      <c r="A2027" s="5">
        <f t="shared" si="71"/>
        <v>7</v>
      </c>
      <c r="B2027" s="5">
        <f t="shared" si="72"/>
        <v>2018</v>
      </c>
      <c r="C2027" s="9">
        <v>43300</v>
      </c>
      <c r="D2027">
        <v>6.5</v>
      </c>
    </row>
    <row r="2028" spans="1:4" x14ac:dyDescent="0.25">
      <c r="A2028" s="5">
        <f t="shared" si="71"/>
        <v>7</v>
      </c>
      <c r="B2028" s="5">
        <f t="shared" si="72"/>
        <v>2018</v>
      </c>
      <c r="C2028" s="9">
        <v>43301</v>
      </c>
      <c r="D2028">
        <v>6.5</v>
      </c>
    </row>
    <row r="2029" spans="1:4" x14ac:dyDescent="0.25">
      <c r="A2029" s="5">
        <f t="shared" si="71"/>
        <v>7</v>
      </c>
      <c r="B2029" s="5">
        <f t="shared" si="72"/>
        <v>2018</v>
      </c>
      <c r="C2029" s="9">
        <v>43302</v>
      </c>
      <c r="D2029">
        <v>6.5</v>
      </c>
    </row>
    <row r="2030" spans="1:4" x14ac:dyDescent="0.25">
      <c r="A2030" s="5">
        <f t="shared" si="71"/>
        <v>7</v>
      </c>
      <c r="B2030" s="5">
        <f t="shared" si="72"/>
        <v>2018</v>
      </c>
      <c r="C2030" s="9">
        <v>43303</v>
      </c>
      <c r="D2030">
        <v>6.5</v>
      </c>
    </row>
    <row r="2031" spans="1:4" x14ac:dyDescent="0.25">
      <c r="A2031" s="5">
        <f t="shared" si="71"/>
        <v>7</v>
      </c>
      <c r="B2031" s="5">
        <f t="shared" si="72"/>
        <v>2018</v>
      </c>
      <c r="C2031" s="9">
        <v>43304</v>
      </c>
      <c r="D2031">
        <v>6.5</v>
      </c>
    </row>
    <row r="2032" spans="1:4" x14ac:dyDescent="0.25">
      <c r="A2032" s="5">
        <f t="shared" si="71"/>
        <v>7</v>
      </c>
      <c r="B2032" s="5">
        <f t="shared" si="72"/>
        <v>2018</v>
      </c>
      <c r="C2032" s="9">
        <v>43305</v>
      </c>
      <c r="D2032">
        <v>6.5</v>
      </c>
    </row>
    <row r="2033" spans="1:4" x14ac:dyDescent="0.25">
      <c r="A2033" s="5">
        <f t="shared" si="71"/>
        <v>7</v>
      </c>
      <c r="B2033" s="5">
        <f t="shared" si="72"/>
        <v>2018</v>
      </c>
      <c r="C2033" s="9">
        <v>43306</v>
      </c>
      <c r="D2033">
        <v>6.5</v>
      </c>
    </row>
    <row r="2034" spans="1:4" x14ac:dyDescent="0.25">
      <c r="A2034" s="5">
        <f t="shared" si="71"/>
        <v>7</v>
      </c>
      <c r="B2034" s="5">
        <f t="shared" si="72"/>
        <v>2018</v>
      </c>
      <c r="C2034" s="9">
        <v>43307</v>
      </c>
      <c r="D2034">
        <v>6.5</v>
      </c>
    </row>
    <row r="2035" spans="1:4" x14ac:dyDescent="0.25">
      <c r="A2035" s="5">
        <f t="shared" si="71"/>
        <v>7</v>
      </c>
      <c r="B2035" s="5">
        <f t="shared" si="72"/>
        <v>2018</v>
      </c>
      <c r="C2035" s="9">
        <v>43308</v>
      </c>
      <c r="D2035">
        <v>6.5</v>
      </c>
    </row>
    <row r="2036" spans="1:4" x14ac:dyDescent="0.25">
      <c r="A2036" s="5">
        <f t="shared" si="71"/>
        <v>7</v>
      </c>
      <c r="B2036" s="5">
        <f t="shared" si="72"/>
        <v>2018</v>
      </c>
      <c r="C2036" s="9">
        <v>43309</v>
      </c>
      <c r="D2036">
        <v>6.5</v>
      </c>
    </row>
    <row r="2037" spans="1:4" x14ac:dyDescent="0.25">
      <c r="A2037" s="5">
        <f t="shared" si="71"/>
        <v>7</v>
      </c>
      <c r="B2037" s="5">
        <f t="shared" si="72"/>
        <v>2018</v>
      </c>
      <c r="C2037" s="9">
        <v>43310</v>
      </c>
      <c r="D2037">
        <v>6.5</v>
      </c>
    </row>
    <row r="2038" spans="1:4" x14ac:dyDescent="0.25">
      <c r="A2038" s="5">
        <f t="shared" si="71"/>
        <v>7</v>
      </c>
      <c r="B2038" s="5">
        <f t="shared" si="72"/>
        <v>2018</v>
      </c>
      <c r="C2038" s="9">
        <v>43311</v>
      </c>
      <c r="D2038">
        <v>6.5</v>
      </c>
    </row>
    <row r="2039" spans="1:4" x14ac:dyDescent="0.25">
      <c r="A2039" s="5">
        <f t="shared" si="71"/>
        <v>7</v>
      </c>
      <c r="B2039" s="5">
        <f t="shared" si="72"/>
        <v>2018</v>
      </c>
      <c r="C2039" s="9">
        <v>43312</v>
      </c>
      <c r="D2039">
        <v>6.5</v>
      </c>
    </row>
    <row r="2040" spans="1:4" x14ac:dyDescent="0.25">
      <c r="A2040" s="5">
        <f t="shared" si="71"/>
        <v>8</v>
      </c>
      <c r="B2040" s="5">
        <f t="shared" si="72"/>
        <v>2018</v>
      </c>
      <c r="C2040" s="9">
        <v>43313</v>
      </c>
      <c r="D2040">
        <v>6.5</v>
      </c>
    </row>
    <row r="2041" spans="1:4" x14ac:dyDescent="0.25">
      <c r="A2041" s="5">
        <f t="shared" si="71"/>
        <v>8</v>
      </c>
      <c r="B2041" s="5">
        <f t="shared" si="72"/>
        <v>2018</v>
      </c>
      <c r="C2041" s="9">
        <v>43314</v>
      </c>
      <c r="D2041">
        <v>6.5</v>
      </c>
    </row>
    <row r="2042" spans="1:4" x14ac:dyDescent="0.25">
      <c r="A2042" s="5">
        <f t="shared" si="71"/>
        <v>8</v>
      </c>
      <c r="B2042" s="5">
        <f t="shared" si="72"/>
        <v>2018</v>
      </c>
      <c r="C2042" s="9">
        <v>43315</v>
      </c>
      <c r="D2042">
        <v>6.5</v>
      </c>
    </row>
    <row r="2043" spans="1:4" x14ac:dyDescent="0.25">
      <c r="A2043" s="5">
        <f t="shared" si="71"/>
        <v>8</v>
      </c>
      <c r="B2043" s="5">
        <f t="shared" si="72"/>
        <v>2018</v>
      </c>
      <c r="C2043" s="9">
        <v>43316</v>
      </c>
      <c r="D2043">
        <v>6.5</v>
      </c>
    </row>
    <row r="2044" spans="1:4" x14ac:dyDescent="0.25">
      <c r="A2044" s="5">
        <f t="shared" si="71"/>
        <v>8</v>
      </c>
      <c r="B2044" s="5">
        <f t="shared" si="72"/>
        <v>2018</v>
      </c>
      <c r="C2044" s="9">
        <v>43317</v>
      </c>
      <c r="D2044">
        <v>6.5</v>
      </c>
    </row>
    <row r="2045" spans="1:4" x14ac:dyDescent="0.25">
      <c r="A2045" s="5">
        <f t="shared" si="71"/>
        <v>8</v>
      </c>
      <c r="B2045" s="5">
        <f t="shared" si="72"/>
        <v>2018</v>
      </c>
      <c r="C2045" s="9">
        <v>43318</v>
      </c>
      <c r="D2045">
        <v>6.5</v>
      </c>
    </row>
    <row r="2046" spans="1:4" x14ac:dyDescent="0.25">
      <c r="A2046" s="5">
        <f t="shared" si="71"/>
        <v>8</v>
      </c>
      <c r="B2046" s="5">
        <f t="shared" si="72"/>
        <v>2018</v>
      </c>
      <c r="C2046" s="9">
        <v>43319</v>
      </c>
      <c r="D2046">
        <v>6.5</v>
      </c>
    </row>
    <row r="2047" spans="1:4" x14ac:dyDescent="0.25">
      <c r="A2047" s="5">
        <f t="shared" si="71"/>
        <v>8</v>
      </c>
      <c r="B2047" s="5">
        <f t="shared" si="72"/>
        <v>2018</v>
      </c>
      <c r="C2047" s="9">
        <v>43320</v>
      </c>
      <c r="D2047">
        <v>6.5</v>
      </c>
    </row>
    <row r="2048" spans="1:4" x14ac:dyDescent="0.25">
      <c r="A2048" s="5">
        <f t="shared" si="71"/>
        <v>8</v>
      </c>
      <c r="B2048" s="5">
        <f t="shared" si="72"/>
        <v>2018</v>
      </c>
      <c r="C2048" s="9">
        <v>43321</v>
      </c>
      <c r="D2048">
        <v>6.5</v>
      </c>
    </row>
    <row r="2049" spans="1:4" x14ac:dyDescent="0.25">
      <c r="A2049" s="5">
        <f t="shared" si="71"/>
        <v>8</v>
      </c>
      <c r="B2049" s="5">
        <f t="shared" si="72"/>
        <v>2018</v>
      </c>
      <c r="C2049" s="9">
        <v>43322</v>
      </c>
      <c r="D2049">
        <v>6.5</v>
      </c>
    </row>
    <row r="2050" spans="1:4" x14ac:dyDescent="0.25">
      <c r="A2050" s="5">
        <f t="shared" si="71"/>
        <v>8</v>
      </c>
      <c r="B2050" s="5">
        <f t="shared" si="72"/>
        <v>2018</v>
      </c>
      <c r="C2050" s="9">
        <v>43323</v>
      </c>
      <c r="D2050">
        <v>6.5</v>
      </c>
    </row>
    <row r="2051" spans="1:4" x14ac:dyDescent="0.25">
      <c r="A2051" s="5">
        <f t="shared" ref="A2051:A2114" si="73">MONTH(C2051)</f>
        <v>8</v>
      </c>
      <c r="B2051" s="5">
        <f t="shared" ref="B2051:B2114" si="74">YEAR(C2051)</f>
        <v>2018</v>
      </c>
      <c r="C2051" s="9">
        <v>43324</v>
      </c>
      <c r="D2051">
        <v>6.5</v>
      </c>
    </row>
    <row r="2052" spans="1:4" x14ac:dyDescent="0.25">
      <c r="A2052" s="5">
        <f t="shared" si="73"/>
        <v>8</v>
      </c>
      <c r="B2052" s="5">
        <f t="shared" si="74"/>
        <v>2018</v>
      </c>
      <c r="C2052" s="9">
        <v>43325</v>
      </c>
      <c r="D2052">
        <v>6.5</v>
      </c>
    </row>
    <row r="2053" spans="1:4" x14ac:dyDescent="0.25">
      <c r="A2053" s="5">
        <f t="shared" si="73"/>
        <v>8</v>
      </c>
      <c r="B2053" s="5">
        <f t="shared" si="74"/>
        <v>2018</v>
      </c>
      <c r="C2053" s="9">
        <v>43326</v>
      </c>
      <c r="D2053">
        <v>6.5</v>
      </c>
    </row>
    <row r="2054" spans="1:4" x14ac:dyDescent="0.25">
      <c r="A2054" s="5">
        <f t="shared" si="73"/>
        <v>8</v>
      </c>
      <c r="B2054" s="5">
        <f t="shared" si="74"/>
        <v>2018</v>
      </c>
      <c r="C2054" s="9">
        <v>43327</v>
      </c>
      <c r="D2054">
        <v>6.5</v>
      </c>
    </row>
    <row r="2055" spans="1:4" x14ac:dyDescent="0.25">
      <c r="A2055" s="5">
        <f t="shared" si="73"/>
        <v>8</v>
      </c>
      <c r="B2055" s="5">
        <f t="shared" si="74"/>
        <v>2018</v>
      </c>
      <c r="C2055" s="9">
        <v>43328</v>
      </c>
      <c r="D2055">
        <v>6.5</v>
      </c>
    </row>
    <row r="2056" spans="1:4" x14ac:dyDescent="0.25">
      <c r="A2056" s="5">
        <f t="shared" si="73"/>
        <v>8</v>
      </c>
      <c r="B2056" s="5">
        <f t="shared" si="74"/>
        <v>2018</v>
      </c>
      <c r="C2056" s="9">
        <v>43329</v>
      </c>
      <c r="D2056">
        <v>6.5</v>
      </c>
    </row>
    <row r="2057" spans="1:4" x14ac:dyDescent="0.25">
      <c r="A2057" s="5">
        <f t="shared" si="73"/>
        <v>8</v>
      </c>
      <c r="B2057" s="5">
        <f t="shared" si="74"/>
        <v>2018</v>
      </c>
      <c r="C2057" s="9">
        <v>43330</v>
      </c>
      <c r="D2057">
        <v>6.5</v>
      </c>
    </row>
    <row r="2058" spans="1:4" x14ac:dyDescent="0.25">
      <c r="A2058" s="5">
        <f t="shared" si="73"/>
        <v>8</v>
      </c>
      <c r="B2058" s="5">
        <f t="shared" si="74"/>
        <v>2018</v>
      </c>
      <c r="C2058" s="9">
        <v>43331</v>
      </c>
      <c r="D2058">
        <v>6.5</v>
      </c>
    </row>
    <row r="2059" spans="1:4" x14ac:dyDescent="0.25">
      <c r="A2059" s="5">
        <f t="shared" si="73"/>
        <v>8</v>
      </c>
      <c r="B2059" s="5">
        <f t="shared" si="74"/>
        <v>2018</v>
      </c>
      <c r="C2059" s="9">
        <v>43332</v>
      </c>
      <c r="D2059">
        <v>6.5</v>
      </c>
    </row>
    <row r="2060" spans="1:4" x14ac:dyDescent="0.25">
      <c r="A2060" s="5">
        <f t="shared" si="73"/>
        <v>8</v>
      </c>
      <c r="B2060" s="5">
        <f t="shared" si="74"/>
        <v>2018</v>
      </c>
      <c r="C2060" s="9">
        <v>43333</v>
      </c>
      <c r="D2060">
        <v>6.5</v>
      </c>
    </row>
    <row r="2061" spans="1:4" x14ac:dyDescent="0.25">
      <c r="A2061" s="5">
        <f t="shared" si="73"/>
        <v>8</v>
      </c>
      <c r="B2061" s="5">
        <f t="shared" si="74"/>
        <v>2018</v>
      </c>
      <c r="C2061" s="9">
        <v>43334</v>
      </c>
      <c r="D2061">
        <v>6.5</v>
      </c>
    </row>
    <row r="2062" spans="1:4" x14ac:dyDescent="0.25">
      <c r="A2062" s="5">
        <f t="shared" si="73"/>
        <v>8</v>
      </c>
      <c r="B2062" s="5">
        <f t="shared" si="74"/>
        <v>2018</v>
      </c>
      <c r="C2062" s="9">
        <v>43335</v>
      </c>
      <c r="D2062">
        <v>6.5</v>
      </c>
    </row>
    <row r="2063" spans="1:4" x14ac:dyDescent="0.25">
      <c r="A2063" s="5">
        <f t="shared" si="73"/>
        <v>8</v>
      </c>
      <c r="B2063" s="5">
        <f t="shared" si="74"/>
        <v>2018</v>
      </c>
      <c r="C2063" s="9">
        <v>43336</v>
      </c>
      <c r="D2063">
        <v>6.5</v>
      </c>
    </row>
    <row r="2064" spans="1:4" x14ac:dyDescent="0.25">
      <c r="A2064" s="5">
        <f t="shared" si="73"/>
        <v>8</v>
      </c>
      <c r="B2064" s="5">
        <f t="shared" si="74"/>
        <v>2018</v>
      </c>
      <c r="C2064" s="9">
        <v>43337</v>
      </c>
      <c r="D2064">
        <v>6.5</v>
      </c>
    </row>
    <row r="2065" spans="1:4" x14ac:dyDescent="0.25">
      <c r="A2065" s="5">
        <f t="shared" si="73"/>
        <v>8</v>
      </c>
      <c r="B2065" s="5">
        <f t="shared" si="74"/>
        <v>2018</v>
      </c>
      <c r="C2065" s="9">
        <v>43338</v>
      </c>
      <c r="D2065">
        <v>6.5</v>
      </c>
    </row>
    <row r="2066" spans="1:4" x14ac:dyDescent="0.25">
      <c r="A2066" s="5">
        <f t="shared" si="73"/>
        <v>8</v>
      </c>
      <c r="B2066" s="5">
        <f t="shared" si="74"/>
        <v>2018</v>
      </c>
      <c r="C2066" s="9">
        <v>43339</v>
      </c>
      <c r="D2066">
        <v>6.5</v>
      </c>
    </row>
    <row r="2067" spans="1:4" x14ac:dyDescent="0.25">
      <c r="A2067" s="5">
        <f t="shared" si="73"/>
        <v>8</v>
      </c>
      <c r="B2067" s="5">
        <f t="shared" si="74"/>
        <v>2018</v>
      </c>
      <c r="C2067" s="9">
        <v>43340</v>
      </c>
      <c r="D2067">
        <v>6.5</v>
      </c>
    </row>
    <row r="2068" spans="1:4" x14ac:dyDescent="0.25">
      <c r="A2068" s="5">
        <f t="shared" si="73"/>
        <v>8</v>
      </c>
      <c r="B2068" s="5">
        <f t="shared" si="74"/>
        <v>2018</v>
      </c>
      <c r="C2068" s="9">
        <v>43341</v>
      </c>
      <c r="D2068">
        <v>6.5</v>
      </c>
    </row>
    <row r="2069" spans="1:4" x14ac:dyDescent="0.25">
      <c r="A2069" s="5">
        <f t="shared" si="73"/>
        <v>8</v>
      </c>
      <c r="B2069" s="5">
        <f t="shared" si="74"/>
        <v>2018</v>
      </c>
      <c r="C2069" s="9">
        <v>43342</v>
      </c>
      <c r="D2069">
        <v>6.5</v>
      </c>
    </row>
    <row r="2070" spans="1:4" x14ac:dyDescent="0.25">
      <c r="A2070" s="5">
        <f t="shared" si="73"/>
        <v>8</v>
      </c>
      <c r="B2070" s="5">
        <f t="shared" si="74"/>
        <v>2018</v>
      </c>
      <c r="C2070" s="9">
        <v>43343</v>
      </c>
      <c r="D2070">
        <v>6.5</v>
      </c>
    </row>
    <row r="2071" spans="1:4" x14ac:dyDescent="0.25">
      <c r="A2071" s="5">
        <f t="shared" si="73"/>
        <v>9</v>
      </c>
      <c r="B2071" s="5">
        <f t="shared" si="74"/>
        <v>2018</v>
      </c>
      <c r="C2071" s="9">
        <v>43344</v>
      </c>
      <c r="D2071">
        <v>6.5</v>
      </c>
    </row>
    <row r="2072" spans="1:4" x14ac:dyDescent="0.25">
      <c r="A2072" s="5">
        <f t="shared" si="73"/>
        <v>9</v>
      </c>
      <c r="B2072" s="5">
        <f t="shared" si="74"/>
        <v>2018</v>
      </c>
      <c r="C2072" s="9">
        <v>43345</v>
      </c>
      <c r="D2072">
        <v>6.5</v>
      </c>
    </row>
    <row r="2073" spans="1:4" x14ac:dyDescent="0.25">
      <c r="A2073" s="5">
        <f t="shared" si="73"/>
        <v>9</v>
      </c>
      <c r="B2073" s="5">
        <f t="shared" si="74"/>
        <v>2018</v>
      </c>
      <c r="C2073" s="9">
        <v>43346</v>
      </c>
      <c r="D2073">
        <v>6.5</v>
      </c>
    </row>
    <row r="2074" spans="1:4" x14ac:dyDescent="0.25">
      <c r="A2074" s="5">
        <f t="shared" si="73"/>
        <v>9</v>
      </c>
      <c r="B2074" s="5">
        <f t="shared" si="74"/>
        <v>2018</v>
      </c>
      <c r="C2074" s="9">
        <v>43347</v>
      </c>
      <c r="D2074">
        <v>6.5</v>
      </c>
    </row>
    <row r="2075" spans="1:4" x14ac:dyDescent="0.25">
      <c r="A2075" s="5">
        <f t="shared" si="73"/>
        <v>9</v>
      </c>
      <c r="B2075" s="5">
        <f t="shared" si="74"/>
        <v>2018</v>
      </c>
      <c r="C2075" s="9">
        <v>43348</v>
      </c>
      <c r="D2075">
        <v>6.5</v>
      </c>
    </row>
    <row r="2076" spans="1:4" x14ac:dyDescent="0.25">
      <c r="A2076" s="5">
        <f t="shared" si="73"/>
        <v>9</v>
      </c>
      <c r="B2076" s="5">
        <f t="shared" si="74"/>
        <v>2018</v>
      </c>
      <c r="C2076" s="9">
        <v>43349</v>
      </c>
      <c r="D2076">
        <v>6.5</v>
      </c>
    </row>
    <row r="2077" spans="1:4" x14ac:dyDescent="0.25">
      <c r="A2077" s="5">
        <f t="shared" si="73"/>
        <v>9</v>
      </c>
      <c r="B2077" s="5">
        <f t="shared" si="74"/>
        <v>2018</v>
      </c>
      <c r="C2077" s="9">
        <v>43350</v>
      </c>
      <c r="D2077">
        <v>6.5</v>
      </c>
    </row>
    <row r="2078" spans="1:4" x14ac:dyDescent="0.25">
      <c r="A2078" s="5">
        <f t="shared" si="73"/>
        <v>9</v>
      </c>
      <c r="B2078" s="5">
        <f t="shared" si="74"/>
        <v>2018</v>
      </c>
      <c r="C2078" s="9">
        <v>43351</v>
      </c>
      <c r="D2078">
        <v>6.5</v>
      </c>
    </row>
    <row r="2079" spans="1:4" x14ac:dyDescent="0.25">
      <c r="A2079" s="5">
        <f t="shared" si="73"/>
        <v>9</v>
      </c>
      <c r="B2079" s="5">
        <f t="shared" si="74"/>
        <v>2018</v>
      </c>
      <c r="C2079" s="9">
        <v>43352</v>
      </c>
      <c r="D2079">
        <v>6.5</v>
      </c>
    </row>
    <row r="2080" spans="1:4" x14ac:dyDescent="0.25">
      <c r="A2080" s="5">
        <f t="shared" si="73"/>
        <v>9</v>
      </c>
      <c r="B2080" s="5">
        <f t="shared" si="74"/>
        <v>2018</v>
      </c>
      <c r="C2080" s="9">
        <v>43353</v>
      </c>
      <c r="D2080">
        <v>6.5</v>
      </c>
    </row>
    <row r="2081" spans="1:4" x14ac:dyDescent="0.25">
      <c r="A2081" s="5">
        <f t="shared" si="73"/>
        <v>9</v>
      </c>
      <c r="B2081" s="5">
        <f t="shared" si="74"/>
        <v>2018</v>
      </c>
      <c r="C2081" s="9">
        <v>43354</v>
      </c>
      <c r="D2081">
        <v>6.5</v>
      </c>
    </row>
    <row r="2082" spans="1:4" x14ac:dyDescent="0.25">
      <c r="A2082" s="5">
        <f t="shared" si="73"/>
        <v>9</v>
      </c>
      <c r="B2082" s="5">
        <f t="shared" si="74"/>
        <v>2018</v>
      </c>
      <c r="C2082" s="9">
        <v>43355</v>
      </c>
      <c r="D2082">
        <v>6.5</v>
      </c>
    </row>
    <row r="2083" spans="1:4" x14ac:dyDescent="0.25">
      <c r="A2083" s="5">
        <f t="shared" si="73"/>
        <v>9</v>
      </c>
      <c r="B2083" s="5">
        <f t="shared" si="74"/>
        <v>2018</v>
      </c>
      <c r="C2083" s="9">
        <v>43356</v>
      </c>
      <c r="D2083">
        <v>6.5</v>
      </c>
    </row>
    <row r="2084" spans="1:4" x14ac:dyDescent="0.25">
      <c r="A2084" s="5">
        <f t="shared" si="73"/>
        <v>9</v>
      </c>
      <c r="B2084" s="5">
        <f t="shared" si="74"/>
        <v>2018</v>
      </c>
      <c r="C2084" s="9">
        <v>43357</v>
      </c>
      <c r="D2084">
        <v>6.5</v>
      </c>
    </row>
    <row r="2085" spans="1:4" x14ac:dyDescent="0.25">
      <c r="A2085" s="5">
        <f t="shared" si="73"/>
        <v>9</v>
      </c>
      <c r="B2085" s="5">
        <f t="shared" si="74"/>
        <v>2018</v>
      </c>
      <c r="C2085" s="9">
        <v>43358</v>
      </c>
      <c r="D2085">
        <v>6.5</v>
      </c>
    </row>
    <row r="2086" spans="1:4" x14ac:dyDescent="0.25">
      <c r="A2086" s="5">
        <f t="shared" si="73"/>
        <v>9</v>
      </c>
      <c r="B2086" s="5">
        <f t="shared" si="74"/>
        <v>2018</v>
      </c>
      <c r="C2086" s="9">
        <v>43359</v>
      </c>
      <c r="D2086">
        <v>6.5</v>
      </c>
    </row>
    <row r="2087" spans="1:4" x14ac:dyDescent="0.25">
      <c r="A2087" s="5">
        <f t="shared" si="73"/>
        <v>9</v>
      </c>
      <c r="B2087" s="5">
        <f t="shared" si="74"/>
        <v>2018</v>
      </c>
      <c r="C2087" s="9">
        <v>43360</v>
      </c>
      <c r="D2087">
        <v>6.5</v>
      </c>
    </row>
    <row r="2088" spans="1:4" x14ac:dyDescent="0.25">
      <c r="A2088" s="5">
        <f t="shared" si="73"/>
        <v>9</v>
      </c>
      <c r="B2088" s="5">
        <f t="shared" si="74"/>
        <v>2018</v>
      </c>
      <c r="C2088" s="9">
        <v>43361</v>
      </c>
      <c r="D2088">
        <v>6.5</v>
      </c>
    </row>
    <row r="2089" spans="1:4" x14ac:dyDescent="0.25">
      <c r="A2089" s="5">
        <f t="shared" si="73"/>
        <v>9</v>
      </c>
      <c r="B2089" s="5">
        <f t="shared" si="74"/>
        <v>2018</v>
      </c>
      <c r="C2089" s="9">
        <v>43362</v>
      </c>
      <c r="D2089">
        <v>6.5</v>
      </c>
    </row>
    <row r="2090" spans="1:4" x14ac:dyDescent="0.25">
      <c r="A2090" s="5">
        <f t="shared" si="73"/>
        <v>9</v>
      </c>
      <c r="B2090" s="5">
        <f t="shared" si="74"/>
        <v>2018</v>
      </c>
      <c r="C2090" s="9">
        <v>43363</v>
      </c>
      <c r="D2090">
        <v>6.5</v>
      </c>
    </row>
    <row r="2091" spans="1:4" x14ac:dyDescent="0.25">
      <c r="A2091" s="5">
        <f t="shared" si="73"/>
        <v>9</v>
      </c>
      <c r="B2091" s="5">
        <f t="shared" si="74"/>
        <v>2018</v>
      </c>
      <c r="C2091" s="9">
        <v>43364</v>
      </c>
      <c r="D2091">
        <v>6.5</v>
      </c>
    </row>
    <row r="2092" spans="1:4" x14ac:dyDescent="0.25">
      <c r="A2092" s="5">
        <f t="shared" si="73"/>
        <v>9</v>
      </c>
      <c r="B2092" s="5">
        <f t="shared" si="74"/>
        <v>2018</v>
      </c>
      <c r="C2092" s="9">
        <v>43365</v>
      </c>
      <c r="D2092">
        <v>6.5</v>
      </c>
    </row>
    <row r="2093" spans="1:4" x14ac:dyDescent="0.25">
      <c r="A2093" s="5">
        <f t="shared" si="73"/>
        <v>9</v>
      </c>
      <c r="B2093" s="5">
        <f t="shared" si="74"/>
        <v>2018</v>
      </c>
      <c r="C2093" s="9">
        <v>43366</v>
      </c>
      <c r="D2093">
        <v>6.5</v>
      </c>
    </row>
    <row r="2094" spans="1:4" x14ac:dyDescent="0.25">
      <c r="A2094" s="5">
        <f t="shared" si="73"/>
        <v>9</v>
      </c>
      <c r="B2094" s="5">
        <f t="shared" si="74"/>
        <v>2018</v>
      </c>
      <c r="C2094" s="9">
        <v>43367</v>
      </c>
      <c r="D2094">
        <v>6.5</v>
      </c>
    </row>
    <row r="2095" spans="1:4" x14ac:dyDescent="0.25">
      <c r="A2095" s="5">
        <f t="shared" si="73"/>
        <v>9</v>
      </c>
      <c r="B2095" s="5">
        <f t="shared" si="74"/>
        <v>2018</v>
      </c>
      <c r="C2095" s="9">
        <v>43368</v>
      </c>
      <c r="D2095">
        <v>6.5</v>
      </c>
    </row>
    <row r="2096" spans="1:4" x14ac:dyDescent="0.25">
      <c r="A2096" s="5">
        <f t="shared" si="73"/>
        <v>9</v>
      </c>
      <c r="B2096" s="5">
        <f t="shared" si="74"/>
        <v>2018</v>
      </c>
      <c r="C2096" s="9">
        <v>43369</v>
      </c>
      <c r="D2096">
        <v>6.5</v>
      </c>
    </row>
    <row r="2097" spans="1:4" x14ac:dyDescent="0.25">
      <c r="A2097" s="5">
        <f t="shared" si="73"/>
        <v>9</v>
      </c>
      <c r="B2097" s="5">
        <f t="shared" si="74"/>
        <v>2018</v>
      </c>
      <c r="C2097" s="9">
        <v>43370</v>
      </c>
      <c r="D2097">
        <v>6.5</v>
      </c>
    </row>
    <row r="2098" spans="1:4" x14ac:dyDescent="0.25">
      <c r="A2098" s="5">
        <f t="shared" si="73"/>
        <v>9</v>
      </c>
      <c r="B2098" s="5">
        <f t="shared" si="74"/>
        <v>2018</v>
      </c>
      <c r="C2098" s="9">
        <v>43371</v>
      </c>
      <c r="D2098">
        <v>6.5</v>
      </c>
    </row>
    <row r="2099" spans="1:4" x14ac:dyDescent="0.25">
      <c r="A2099" s="5">
        <f t="shared" si="73"/>
        <v>9</v>
      </c>
      <c r="B2099" s="5">
        <f t="shared" si="74"/>
        <v>2018</v>
      </c>
      <c r="C2099" s="9">
        <v>43372</v>
      </c>
      <c r="D2099">
        <v>6.5</v>
      </c>
    </row>
    <row r="2100" spans="1:4" x14ac:dyDescent="0.25">
      <c r="A2100" s="5">
        <f t="shared" si="73"/>
        <v>9</v>
      </c>
      <c r="B2100" s="5">
        <f t="shared" si="74"/>
        <v>2018</v>
      </c>
      <c r="C2100" s="9">
        <v>43373</v>
      </c>
      <c r="D2100">
        <v>6.5</v>
      </c>
    </row>
    <row r="2101" spans="1:4" x14ac:dyDescent="0.25">
      <c r="A2101" s="5">
        <f t="shared" si="73"/>
        <v>10</v>
      </c>
      <c r="B2101" s="5">
        <f t="shared" si="74"/>
        <v>2018</v>
      </c>
      <c r="C2101" s="9">
        <v>43374</v>
      </c>
      <c r="D2101">
        <v>6.5</v>
      </c>
    </row>
    <row r="2102" spans="1:4" x14ac:dyDescent="0.25">
      <c r="A2102" s="5">
        <f t="shared" si="73"/>
        <v>10</v>
      </c>
      <c r="B2102" s="5">
        <f t="shared" si="74"/>
        <v>2018</v>
      </c>
      <c r="C2102" s="9">
        <v>43375</v>
      </c>
      <c r="D2102">
        <v>6.5</v>
      </c>
    </row>
    <row r="2103" spans="1:4" x14ac:dyDescent="0.25">
      <c r="A2103" s="5">
        <f t="shared" si="73"/>
        <v>10</v>
      </c>
      <c r="B2103" s="5">
        <f t="shared" si="74"/>
        <v>2018</v>
      </c>
      <c r="C2103" s="9">
        <v>43376</v>
      </c>
      <c r="D2103">
        <v>6.5</v>
      </c>
    </row>
    <row r="2104" spans="1:4" x14ac:dyDescent="0.25">
      <c r="A2104" s="5">
        <f t="shared" si="73"/>
        <v>10</v>
      </c>
      <c r="B2104" s="5">
        <f t="shared" si="74"/>
        <v>2018</v>
      </c>
      <c r="C2104" s="9">
        <v>43377</v>
      </c>
      <c r="D2104">
        <v>6.5</v>
      </c>
    </row>
    <row r="2105" spans="1:4" x14ac:dyDescent="0.25">
      <c r="A2105" s="5">
        <f t="shared" si="73"/>
        <v>10</v>
      </c>
      <c r="B2105" s="5">
        <f t="shared" si="74"/>
        <v>2018</v>
      </c>
      <c r="C2105" s="9">
        <v>43378</v>
      </c>
      <c r="D2105">
        <v>6.5</v>
      </c>
    </row>
    <row r="2106" spans="1:4" x14ac:dyDescent="0.25">
      <c r="A2106" s="5">
        <f t="shared" si="73"/>
        <v>10</v>
      </c>
      <c r="B2106" s="5">
        <f t="shared" si="74"/>
        <v>2018</v>
      </c>
      <c r="C2106" s="9">
        <v>43379</v>
      </c>
      <c r="D2106">
        <v>6.5</v>
      </c>
    </row>
    <row r="2107" spans="1:4" x14ac:dyDescent="0.25">
      <c r="A2107" s="5">
        <f t="shared" si="73"/>
        <v>10</v>
      </c>
      <c r="B2107" s="5">
        <f t="shared" si="74"/>
        <v>2018</v>
      </c>
      <c r="C2107" s="9">
        <v>43380</v>
      </c>
      <c r="D2107">
        <v>6.5</v>
      </c>
    </row>
    <row r="2108" spans="1:4" x14ac:dyDescent="0.25">
      <c r="A2108" s="5">
        <f t="shared" si="73"/>
        <v>10</v>
      </c>
      <c r="B2108" s="5">
        <f t="shared" si="74"/>
        <v>2018</v>
      </c>
      <c r="C2108" s="9">
        <v>43381</v>
      </c>
      <c r="D2108">
        <v>6.5</v>
      </c>
    </row>
    <row r="2109" spans="1:4" x14ac:dyDescent="0.25">
      <c r="A2109" s="5">
        <f t="shared" si="73"/>
        <v>10</v>
      </c>
      <c r="B2109" s="5">
        <f t="shared" si="74"/>
        <v>2018</v>
      </c>
      <c r="C2109" s="9">
        <v>43382</v>
      </c>
      <c r="D2109">
        <v>6.5</v>
      </c>
    </row>
    <row r="2110" spans="1:4" x14ac:dyDescent="0.25">
      <c r="A2110" s="5">
        <f t="shared" si="73"/>
        <v>10</v>
      </c>
      <c r="B2110" s="5">
        <f t="shared" si="74"/>
        <v>2018</v>
      </c>
      <c r="C2110" s="9">
        <v>43383</v>
      </c>
      <c r="D2110">
        <v>6.5</v>
      </c>
    </row>
    <row r="2111" spans="1:4" x14ac:dyDescent="0.25">
      <c r="A2111" s="5">
        <f t="shared" si="73"/>
        <v>10</v>
      </c>
      <c r="B2111" s="5">
        <f t="shared" si="74"/>
        <v>2018</v>
      </c>
      <c r="C2111" s="9">
        <v>43384</v>
      </c>
      <c r="D2111">
        <v>6.5</v>
      </c>
    </row>
    <row r="2112" spans="1:4" x14ac:dyDescent="0.25">
      <c r="A2112" s="5">
        <f t="shared" si="73"/>
        <v>10</v>
      </c>
      <c r="B2112" s="5">
        <f t="shared" si="74"/>
        <v>2018</v>
      </c>
      <c r="C2112" s="9">
        <v>43385</v>
      </c>
      <c r="D2112">
        <v>6.5</v>
      </c>
    </row>
    <row r="2113" spans="1:4" x14ac:dyDescent="0.25">
      <c r="A2113" s="5">
        <f t="shared" si="73"/>
        <v>10</v>
      </c>
      <c r="B2113" s="5">
        <f t="shared" si="74"/>
        <v>2018</v>
      </c>
      <c r="C2113" s="9">
        <v>43386</v>
      </c>
      <c r="D2113">
        <v>6.5</v>
      </c>
    </row>
    <row r="2114" spans="1:4" x14ac:dyDescent="0.25">
      <c r="A2114" s="5">
        <f t="shared" si="73"/>
        <v>10</v>
      </c>
      <c r="B2114" s="5">
        <f t="shared" si="74"/>
        <v>2018</v>
      </c>
      <c r="C2114" s="9">
        <v>43387</v>
      </c>
      <c r="D2114">
        <v>6.5</v>
      </c>
    </row>
    <row r="2115" spans="1:4" x14ac:dyDescent="0.25">
      <c r="A2115" s="5">
        <f t="shared" ref="A2115:A2178" si="75">MONTH(C2115)</f>
        <v>10</v>
      </c>
      <c r="B2115" s="5">
        <f t="shared" ref="B2115:B2178" si="76">YEAR(C2115)</f>
        <v>2018</v>
      </c>
      <c r="C2115" s="9">
        <v>43388</v>
      </c>
      <c r="D2115">
        <v>6.5</v>
      </c>
    </row>
    <row r="2116" spans="1:4" x14ac:dyDescent="0.25">
      <c r="A2116" s="5">
        <f t="shared" si="75"/>
        <v>10</v>
      </c>
      <c r="B2116" s="5">
        <f t="shared" si="76"/>
        <v>2018</v>
      </c>
      <c r="C2116" s="9">
        <v>43389</v>
      </c>
      <c r="D2116">
        <v>6.5</v>
      </c>
    </row>
    <row r="2117" spans="1:4" x14ac:dyDescent="0.25">
      <c r="A2117" s="5">
        <f t="shared" si="75"/>
        <v>10</v>
      </c>
      <c r="B2117" s="5">
        <f t="shared" si="76"/>
        <v>2018</v>
      </c>
      <c r="C2117" s="9">
        <v>43390</v>
      </c>
      <c r="D2117">
        <v>6.5</v>
      </c>
    </row>
    <row r="2118" spans="1:4" x14ac:dyDescent="0.25">
      <c r="A2118" s="5">
        <f t="shared" si="75"/>
        <v>10</v>
      </c>
      <c r="B2118" s="5">
        <f t="shared" si="76"/>
        <v>2018</v>
      </c>
      <c r="C2118" s="9">
        <v>43391</v>
      </c>
      <c r="D2118">
        <v>6.5</v>
      </c>
    </row>
    <row r="2119" spans="1:4" x14ac:dyDescent="0.25">
      <c r="A2119" s="5">
        <f t="shared" si="75"/>
        <v>10</v>
      </c>
      <c r="B2119" s="5">
        <f t="shared" si="76"/>
        <v>2018</v>
      </c>
      <c r="C2119" s="9">
        <v>43392</v>
      </c>
      <c r="D2119">
        <v>6.5</v>
      </c>
    </row>
    <row r="2120" spans="1:4" x14ac:dyDescent="0.25">
      <c r="A2120" s="5">
        <f t="shared" si="75"/>
        <v>10</v>
      </c>
      <c r="B2120" s="5">
        <f t="shared" si="76"/>
        <v>2018</v>
      </c>
      <c r="C2120" s="9">
        <v>43393</v>
      </c>
      <c r="D2120">
        <v>6.5</v>
      </c>
    </row>
    <row r="2121" spans="1:4" x14ac:dyDescent="0.25">
      <c r="A2121" s="5">
        <f t="shared" si="75"/>
        <v>10</v>
      </c>
      <c r="B2121" s="5">
        <f t="shared" si="76"/>
        <v>2018</v>
      </c>
      <c r="C2121" s="9">
        <v>43394</v>
      </c>
      <c r="D2121">
        <v>6.5</v>
      </c>
    </row>
    <row r="2122" spans="1:4" x14ac:dyDescent="0.25">
      <c r="A2122" s="5">
        <f t="shared" si="75"/>
        <v>10</v>
      </c>
      <c r="B2122" s="5">
        <f t="shared" si="76"/>
        <v>2018</v>
      </c>
      <c r="C2122" s="9">
        <v>43395</v>
      </c>
      <c r="D2122">
        <v>6.5</v>
      </c>
    </row>
    <row r="2123" spans="1:4" x14ac:dyDescent="0.25">
      <c r="A2123" s="5">
        <f t="shared" si="75"/>
        <v>10</v>
      </c>
      <c r="B2123" s="5">
        <f t="shared" si="76"/>
        <v>2018</v>
      </c>
      <c r="C2123" s="9">
        <v>43396</v>
      </c>
      <c r="D2123">
        <v>6.5</v>
      </c>
    </row>
    <row r="2124" spans="1:4" x14ac:dyDescent="0.25">
      <c r="A2124" s="5">
        <f t="shared" si="75"/>
        <v>10</v>
      </c>
      <c r="B2124" s="5">
        <f t="shared" si="76"/>
        <v>2018</v>
      </c>
      <c r="C2124" s="9">
        <v>43397</v>
      </c>
      <c r="D2124">
        <v>6.5</v>
      </c>
    </row>
    <row r="2125" spans="1:4" x14ac:dyDescent="0.25">
      <c r="A2125" s="5">
        <f t="shared" si="75"/>
        <v>10</v>
      </c>
      <c r="B2125" s="5">
        <f t="shared" si="76"/>
        <v>2018</v>
      </c>
      <c r="C2125" s="9">
        <v>43398</v>
      </c>
      <c r="D2125">
        <v>6.5</v>
      </c>
    </row>
    <row r="2126" spans="1:4" x14ac:dyDescent="0.25">
      <c r="A2126" s="5">
        <f t="shared" si="75"/>
        <v>10</v>
      </c>
      <c r="B2126" s="5">
        <f t="shared" si="76"/>
        <v>2018</v>
      </c>
      <c r="C2126" s="9">
        <v>43399</v>
      </c>
      <c r="D2126">
        <v>6.5</v>
      </c>
    </row>
    <row r="2127" spans="1:4" x14ac:dyDescent="0.25">
      <c r="A2127" s="5">
        <f t="shared" si="75"/>
        <v>10</v>
      </c>
      <c r="B2127" s="5">
        <f t="shared" si="76"/>
        <v>2018</v>
      </c>
      <c r="C2127" s="9">
        <v>43400</v>
      </c>
      <c r="D2127">
        <v>6.5</v>
      </c>
    </row>
    <row r="2128" spans="1:4" x14ac:dyDescent="0.25">
      <c r="A2128" s="5">
        <f t="shared" si="75"/>
        <v>10</v>
      </c>
      <c r="B2128" s="5">
        <f t="shared" si="76"/>
        <v>2018</v>
      </c>
      <c r="C2128" s="9">
        <v>43401</v>
      </c>
      <c r="D2128">
        <v>6.5</v>
      </c>
    </row>
    <row r="2129" spans="1:4" x14ac:dyDescent="0.25">
      <c r="A2129" s="5">
        <f t="shared" si="75"/>
        <v>10</v>
      </c>
      <c r="B2129" s="5">
        <f t="shared" si="76"/>
        <v>2018</v>
      </c>
      <c r="C2129" s="9">
        <v>43402</v>
      </c>
      <c r="D2129">
        <v>6.5</v>
      </c>
    </row>
    <row r="2130" spans="1:4" x14ac:dyDescent="0.25">
      <c r="A2130" s="5">
        <f t="shared" si="75"/>
        <v>10</v>
      </c>
      <c r="B2130" s="5">
        <f t="shared" si="76"/>
        <v>2018</v>
      </c>
      <c r="C2130" s="9">
        <v>43403</v>
      </c>
      <c r="D2130">
        <v>6.5</v>
      </c>
    </row>
    <row r="2131" spans="1:4" x14ac:dyDescent="0.25">
      <c r="A2131" s="5">
        <f t="shared" si="75"/>
        <v>10</v>
      </c>
      <c r="B2131" s="5">
        <f t="shared" si="76"/>
        <v>2018</v>
      </c>
      <c r="C2131" s="9">
        <v>43404</v>
      </c>
      <c r="D2131">
        <v>6.5</v>
      </c>
    </row>
    <row r="2132" spans="1:4" x14ac:dyDescent="0.25">
      <c r="A2132" s="5">
        <f t="shared" si="75"/>
        <v>11</v>
      </c>
      <c r="B2132" s="5">
        <f t="shared" si="76"/>
        <v>2018</v>
      </c>
      <c r="C2132" s="9">
        <v>43405</v>
      </c>
      <c r="D2132">
        <v>6.5</v>
      </c>
    </row>
    <row r="2133" spans="1:4" x14ac:dyDescent="0.25">
      <c r="A2133" s="5">
        <f t="shared" si="75"/>
        <v>11</v>
      </c>
      <c r="B2133" s="5">
        <f t="shared" si="76"/>
        <v>2018</v>
      </c>
      <c r="C2133" s="9">
        <v>43406</v>
      </c>
      <c r="D2133">
        <v>6.5</v>
      </c>
    </row>
    <row r="2134" spans="1:4" x14ac:dyDescent="0.25">
      <c r="A2134" s="5">
        <f t="shared" si="75"/>
        <v>11</v>
      </c>
      <c r="B2134" s="5">
        <f t="shared" si="76"/>
        <v>2018</v>
      </c>
      <c r="C2134" s="9">
        <v>43407</v>
      </c>
      <c r="D2134">
        <v>6.5</v>
      </c>
    </row>
    <row r="2135" spans="1:4" x14ac:dyDescent="0.25">
      <c r="A2135" s="5">
        <f t="shared" si="75"/>
        <v>11</v>
      </c>
      <c r="B2135" s="5">
        <f t="shared" si="76"/>
        <v>2018</v>
      </c>
      <c r="C2135" s="9">
        <v>43408</v>
      </c>
      <c r="D2135">
        <v>6.5</v>
      </c>
    </row>
    <row r="2136" spans="1:4" x14ac:dyDescent="0.25">
      <c r="A2136" s="5">
        <f t="shared" si="75"/>
        <v>11</v>
      </c>
      <c r="B2136" s="5">
        <f t="shared" si="76"/>
        <v>2018</v>
      </c>
      <c r="C2136" s="9">
        <v>43409</v>
      </c>
      <c r="D2136">
        <v>6.5</v>
      </c>
    </row>
    <row r="2137" spans="1:4" x14ac:dyDescent="0.25">
      <c r="A2137" s="5">
        <f t="shared" si="75"/>
        <v>11</v>
      </c>
      <c r="B2137" s="5">
        <f t="shared" si="76"/>
        <v>2018</v>
      </c>
      <c r="C2137" s="9">
        <v>43410</v>
      </c>
      <c r="D2137">
        <v>6.5</v>
      </c>
    </row>
    <row r="2138" spans="1:4" x14ac:dyDescent="0.25">
      <c r="A2138" s="5">
        <f t="shared" si="75"/>
        <v>11</v>
      </c>
      <c r="B2138" s="5">
        <f t="shared" si="76"/>
        <v>2018</v>
      </c>
      <c r="C2138" s="9">
        <v>43411</v>
      </c>
      <c r="D2138">
        <v>6.5</v>
      </c>
    </row>
    <row r="2139" spans="1:4" x14ac:dyDescent="0.25">
      <c r="A2139" s="5">
        <f t="shared" si="75"/>
        <v>11</v>
      </c>
      <c r="B2139" s="5">
        <f t="shared" si="76"/>
        <v>2018</v>
      </c>
      <c r="C2139" s="9">
        <v>43412</v>
      </c>
      <c r="D2139">
        <v>6.5</v>
      </c>
    </row>
    <row r="2140" spans="1:4" x14ac:dyDescent="0.25">
      <c r="A2140" s="5">
        <f t="shared" si="75"/>
        <v>11</v>
      </c>
      <c r="B2140" s="5">
        <f t="shared" si="76"/>
        <v>2018</v>
      </c>
      <c r="C2140" s="9">
        <v>43413</v>
      </c>
      <c r="D2140">
        <v>6.5</v>
      </c>
    </row>
    <row r="2141" spans="1:4" x14ac:dyDescent="0.25">
      <c r="A2141" s="5">
        <f t="shared" si="75"/>
        <v>11</v>
      </c>
      <c r="B2141" s="5">
        <f t="shared" si="76"/>
        <v>2018</v>
      </c>
      <c r="C2141" s="9">
        <v>43414</v>
      </c>
      <c r="D2141">
        <v>6.5</v>
      </c>
    </row>
    <row r="2142" spans="1:4" x14ac:dyDescent="0.25">
      <c r="A2142" s="5">
        <f t="shared" si="75"/>
        <v>11</v>
      </c>
      <c r="B2142" s="5">
        <f t="shared" si="76"/>
        <v>2018</v>
      </c>
      <c r="C2142" s="9">
        <v>43415</v>
      </c>
      <c r="D2142">
        <v>6.5</v>
      </c>
    </row>
    <row r="2143" spans="1:4" x14ac:dyDescent="0.25">
      <c r="A2143" s="5">
        <f t="shared" si="75"/>
        <v>11</v>
      </c>
      <c r="B2143" s="5">
        <f t="shared" si="76"/>
        <v>2018</v>
      </c>
      <c r="C2143" s="9">
        <v>43416</v>
      </c>
      <c r="D2143">
        <v>6.5</v>
      </c>
    </row>
    <row r="2144" spans="1:4" x14ac:dyDescent="0.25">
      <c r="A2144" s="5">
        <f t="shared" si="75"/>
        <v>11</v>
      </c>
      <c r="B2144" s="5">
        <f t="shared" si="76"/>
        <v>2018</v>
      </c>
      <c r="C2144" s="9">
        <v>43417</v>
      </c>
      <c r="D2144">
        <v>6.5</v>
      </c>
    </row>
    <row r="2145" spans="1:4" x14ac:dyDescent="0.25">
      <c r="A2145" s="5">
        <f t="shared" si="75"/>
        <v>11</v>
      </c>
      <c r="B2145" s="5">
        <f t="shared" si="76"/>
        <v>2018</v>
      </c>
      <c r="C2145" s="9">
        <v>43418</v>
      </c>
      <c r="D2145">
        <v>6.5</v>
      </c>
    </row>
    <row r="2146" spans="1:4" x14ac:dyDescent="0.25">
      <c r="A2146" s="5">
        <f t="shared" si="75"/>
        <v>11</v>
      </c>
      <c r="B2146" s="5">
        <f t="shared" si="76"/>
        <v>2018</v>
      </c>
      <c r="C2146" s="9">
        <v>43419</v>
      </c>
      <c r="D2146">
        <v>6.5</v>
      </c>
    </row>
    <row r="2147" spans="1:4" x14ac:dyDescent="0.25">
      <c r="A2147" s="5">
        <f t="shared" si="75"/>
        <v>11</v>
      </c>
      <c r="B2147" s="5">
        <f t="shared" si="76"/>
        <v>2018</v>
      </c>
      <c r="C2147" s="9">
        <v>43420</v>
      </c>
      <c r="D2147">
        <v>6.5</v>
      </c>
    </row>
    <row r="2148" spans="1:4" x14ac:dyDescent="0.25">
      <c r="A2148" s="5">
        <f t="shared" si="75"/>
        <v>11</v>
      </c>
      <c r="B2148" s="5">
        <f t="shared" si="76"/>
        <v>2018</v>
      </c>
      <c r="C2148" s="9">
        <v>43421</v>
      </c>
      <c r="D2148">
        <v>6.5</v>
      </c>
    </row>
    <row r="2149" spans="1:4" x14ac:dyDescent="0.25">
      <c r="A2149" s="5">
        <f t="shared" si="75"/>
        <v>11</v>
      </c>
      <c r="B2149" s="5">
        <f t="shared" si="76"/>
        <v>2018</v>
      </c>
      <c r="C2149" s="9">
        <v>43422</v>
      </c>
      <c r="D2149">
        <v>6.5</v>
      </c>
    </row>
    <row r="2150" spans="1:4" x14ac:dyDescent="0.25">
      <c r="A2150" s="5">
        <f t="shared" si="75"/>
        <v>11</v>
      </c>
      <c r="B2150" s="5">
        <f t="shared" si="76"/>
        <v>2018</v>
      </c>
      <c r="C2150" s="9">
        <v>43423</v>
      </c>
      <c r="D2150">
        <v>6.5</v>
      </c>
    </row>
    <row r="2151" spans="1:4" x14ac:dyDescent="0.25">
      <c r="A2151" s="5">
        <f t="shared" si="75"/>
        <v>11</v>
      </c>
      <c r="B2151" s="5">
        <f t="shared" si="76"/>
        <v>2018</v>
      </c>
      <c r="C2151" s="9">
        <v>43424</v>
      </c>
      <c r="D2151">
        <v>6.5</v>
      </c>
    </row>
    <row r="2152" spans="1:4" x14ac:dyDescent="0.25">
      <c r="A2152" s="5">
        <f t="shared" si="75"/>
        <v>11</v>
      </c>
      <c r="B2152" s="5">
        <f t="shared" si="76"/>
        <v>2018</v>
      </c>
      <c r="C2152" s="9">
        <v>43425</v>
      </c>
      <c r="D2152">
        <v>6.5</v>
      </c>
    </row>
    <row r="2153" spans="1:4" x14ac:dyDescent="0.25">
      <c r="A2153" s="5">
        <f t="shared" si="75"/>
        <v>11</v>
      </c>
      <c r="B2153" s="5">
        <f t="shared" si="76"/>
        <v>2018</v>
      </c>
      <c r="C2153" s="9">
        <v>43426</v>
      </c>
      <c r="D2153">
        <v>6.5</v>
      </c>
    </row>
    <row r="2154" spans="1:4" x14ac:dyDescent="0.25">
      <c r="A2154" s="5">
        <f t="shared" si="75"/>
        <v>11</v>
      </c>
      <c r="B2154" s="5">
        <f t="shared" si="76"/>
        <v>2018</v>
      </c>
      <c r="C2154" s="9">
        <v>43427</v>
      </c>
      <c r="D2154">
        <v>6.5</v>
      </c>
    </row>
    <row r="2155" spans="1:4" x14ac:dyDescent="0.25">
      <c r="A2155" s="5">
        <f t="shared" si="75"/>
        <v>11</v>
      </c>
      <c r="B2155" s="5">
        <f t="shared" si="76"/>
        <v>2018</v>
      </c>
      <c r="C2155" s="9">
        <v>43428</v>
      </c>
      <c r="D2155">
        <v>6.5</v>
      </c>
    </row>
    <row r="2156" spans="1:4" x14ac:dyDescent="0.25">
      <c r="A2156" s="5">
        <f t="shared" si="75"/>
        <v>11</v>
      </c>
      <c r="B2156" s="5">
        <f t="shared" si="76"/>
        <v>2018</v>
      </c>
      <c r="C2156" s="9">
        <v>43429</v>
      </c>
      <c r="D2156">
        <v>6.5</v>
      </c>
    </row>
    <row r="2157" spans="1:4" x14ac:dyDescent="0.25">
      <c r="A2157" s="5">
        <f t="shared" si="75"/>
        <v>11</v>
      </c>
      <c r="B2157" s="5">
        <f t="shared" si="76"/>
        <v>2018</v>
      </c>
      <c r="C2157" s="9">
        <v>43430</v>
      </c>
      <c r="D2157">
        <v>6.5</v>
      </c>
    </row>
    <row r="2158" spans="1:4" x14ac:dyDescent="0.25">
      <c r="A2158" s="5">
        <f t="shared" si="75"/>
        <v>11</v>
      </c>
      <c r="B2158" s="5">
        <f t="shared" si="76"/>
        <v>2018</v>
      </c>
      <c r="C2158" s="9">
        <v>43431</v>
      </c>
      <c r="D2158">
        <v>6.5</v>
      </c>
    </row>
    <row r="2159" spans="1:4" x14ac:dyDescent="0.25">
      <c r="A2159" s="5">
        <f t="shared" si="75"/>
        <v>11</v>
      </c>
      <c r="B2159" s="5">
        <f t="shared" si="76"/>
        <v>2018</v>
      </c>
      <c r="C2159" s="9">
        <v>43432</v>
      </c>
      <c r="D2159">
        <v>6.5</v>
      </c>
    </row>
    <row r="2160" spans="1:4" x14ac:dyDescent="0.25">
      <c r="A2160" s="5">
        <f t="shared" si="75"/>
        <v>11</v>
      </c>
      <c r="B2160" s="5">
        <f t="shared" si="76"/>
        <v>2018</v>
      </c>
      <c r="C2160" s="9">
        <v>43433</v>
      </c>
      <c r="D2160">
        <v>6.5</v>
      </c>
    </row>
    <row r="2161" spans="1:4" x14ac:dyDescent="0.25">
      <c r="A2161" s="5">
        <f t="shared" si="75"/>
        <v>11</v>
      </c>
      <c r="B2161" s="5">
        <f t="shared" si="76"/>
        <v>2018</v>
      </c>
      <c r="C2161" s="9">
        <v>43434</v>
      </c>
      <c r="D2161">
        <v>6.5</v>
      </c>
    </row>
    <row r="2162" spans="1:4" x14ac:dyDescent="0.25">
      <c r="A2162" s="5">
        <f t="shared" si="75"/>
        <v>12</v>
      </c>
      <c r="B2162" s="5">
        <f t="shared" si="76"/>
        <v>2018</v>
      </c>
      <c r="C2162" s="9">
        <v>43435</v>
      </c>
      <c r="D2162">
        <v>6.5</v>
      </c>
    </row>
    <row r="2163" spans="1:4" x14ac:dyDescent="0.25">
      <c r="A2163" s="5">
        <f t="shared" si="75"/>
        <v>12</v>
      </c>
      <c r="B2163" s="5">
        <f t="shared" si="76"/>
        <v>2018</v>
      </c>
      <c r="C2163" s="9">
        <v>43436</v>
      </c>
      <c r="D2163">
        <v>6.5</v>
      </c>
    </row>
    <row r="2164" spans="1:4" x14ac:dyDescent="0.25">
      <c r="A2164" s="5">
        <f t="shared" si="75"/>
        <v>12</v>
      </c>
      <c r="B2164" s="5">
        <f t="shared" si="76"/>
        <v>2018</v>
      </c>
      <c r="C2164" s="9">
        <v>43437</v>
      </c>
      <c r="D2164">
        <v>6.5</v>
      </c>
    </row>
    <row r="2165" spans="1:4" x14ac:dyDescent="0.25">
      <c r="A2165" s="5">
        <f t="shared" si="75"/>
        <v>12</v>
      </c>
      <c r="B2165" s="5">
        <f t="shared" si="76"/>
        <v>2018</v>
      </c>
      <c r="C2165" s="9">
        <v>43438</v>
      </c>
      <c r="D2165">
        <v>6.5</v>
      </c>
    </row>
    <row r="2166" spans="1:4" x14ac:dyDescent="0.25">
      <c r="A2166" s="5">
        <f t="shared" si="75"/>
        <v>12</v>
      </c>
      <c r="B2166" s="5">
        <f t="shared" si="76"/>
        <v>2018</v>
      </c>
      <c r="C2166" s="9">
        <v>43439</v>
      </c>
      <c r="D2166">
        <v>6.5</v>
      </c>
    </row>
    <row r="2167" spans="1:4" x14ac:dyDescent="0.25">
      <c r="A2167" s="5">
        <f t="shared" si="75"/>
        <v>12</v>
      </c>
      <c r="B2167" s="5">
        <f t="shared" si="76"/>
        <v>2018</v>
      </c>
      <c r="C2167" s="9">
        <v>43440</v>
      </c>
      <c r="D2167">
        <v>6.5</v>
      </c>
    </row>
    <row r="2168" spans="1:4" x14ac:dyDescent="0.25">
      <c r="A2168" s="5">
        <f t="shared" si="75"/>
        <v>12</v>
      </c>
      <c r="B2168" s="5">
        <f t="shared" si="76"/>
        <v>2018</v>
      </c>
      <c r="C2168" s="9">
        <v>43441</v>
      </c>
      <c r="D2168">
        <v>6.5</v>
      </c>
    </row>
    <row r="2169" spans="1:4" x14ac:dyDescent="0.25">
      <c r="A2169" s="5">
        <f t="shared" si="75"/>
        <v>12</v>
      </c>
      <c r="B2169" s="5">
        <f t="shared" si="76"/>
        <v>2018</v>
      </c>
      <c r="C2169" s="9">
        <v>43442</v>
      </c>
      <c r="D2169">
        <v>6.5</v>
      </c>
    </row>
    <row r="2170" spans="1:4" x14ac:dyDescent="0.25">
      <c r="A2170" s="5">
        <f t="shared" si="75"/>
        <v>12</v>
      </c>
      <c r="B2170" s="5">
        <f t="shared" si="76"/>
        <v>2018</v>
      </c>
      <c r="C2170" s="9">
        <v>43443</v>
      </c>
      <c r="D2170">
        <v>6.5</v>
      </c>
    </row>
    <row r="2171" spans="1:4" x14ac:dyDescent="0.25">
      <c r="A2171" s="5">
        <f t="shared" si="75"/>
        <v>12</v>
      </c>
      <c r="B2171" s="5">
        <f t="shared" si="76"/>
        <v>2018</v>
      </c>
      <c r="C2171" s="9">
        <v>43444</v>
      </c>
      <c r="D2171">
        <v>6.5</v>
      </c>
    </row>
    <row r="2172" spans="1:4" x14ac:dyDescent="0.25">
      <c r="A2172" s="5">
        <f t="shared" si="75"/>
        <v>12</v>
      </c>
      <c r="B2172" s="5">
        <f t="shared" si="76"/>
        <v>2018</v>
      </c>
      <c r="C2172" s="9">
        <v>43445</v>
      </c>
      <c r="D2172">
        <v>6.5</v>
      </c>
    </row>
    <row r="2173" spans="1:4" x14ac:dyDescent="0.25">
      <c r="A2173" s="5">
        <f t="shared" si="75"/>
        <v>12</v>
      </c>
      <c r="B2173" s="5">
        <f t="shared" si="76"/>
        <v>2018</v>
      </c>
      <c r="C2173" s="9">
        <v>43446</v>
      </c>
      <c r="D2173">
        <v>6.5</v>
      </c>
    </row>
    <row r="2174" spans="1:4" x14ac:dyDescent="0.25">
      <c r="A2174" s="5">
        <f t="shared" si="75"/>
        <v>12</v>
      </c>
      <c r="B2174" s="5">
        <f t="shared" si="76"/>
        <v>2018</v>
      </c>
      <c r="C2174" s="9">
        <v>43447</v>
      </c>
      <c r="D2174">
        <v>6.5</v>
      </c>
    </row>
    <row r="2175" spans="1:4" x14ac:dyDescent="0.25">
      <c r="A2175" s="5">
        <f t="shared" si="75"/>
        <v>12</v>
      </c>
      <c r="B2175" s="5">
        <f t="shared" si="76"/>
        <v>2018</v>
      </c>
      <c r="C2175" s="9">
        <v>43448</v>
      </c>
      <c r="D2175">
        <v>6.5</v>
      </c>
    </row>
    <row r="2176" spans="1:4" x14ac:dyDescent="0.25">
      <c r="A2176" s="5">
        <f t="shared" si="75"/>
        <v>12</v>
      </c>
      <c r="B2176" s="5">
        <f t="shared" si="76"/>
        <v>2018</v>
      </c>
      <c r="C2176" s="9">
        <v>43449</v>
      </c>
      <c r="D2176">
        <v>6.5</v>
      </c>
    </row>
    <row r="2177" spans="1:4" x14ac:dyDescent="0.25">
      <c r="A2177" s="5">
        <f t="shared" si="75"/>
        <v>12</v>
      </c>
      <c r="B2177" s="5">
        <f t="shared" si="76"/>
        <v>2018</v>
      </c>
      <c r="C2177" s="9">
        <v>43450</v>
      </c>
      <c r="D2177">
        <v>6.5</v>
      </c>
    </row>
    <row r="2178" spans="1:4" x14ac:dyDescent="0.25">
      <c r="A2178" s="5">
        <f t="shared" si="75"/>
        <v>12</v>
      </c>
      <c r="B2178" s="5">
        <f t="shared" si="76"/>
        <v>2018</v>
      </c>
      <c r="C2178" s="9">
        <v>43451</v>
      </c>
      <c r="D2178">
        <v>6.5</v>
      </c>
    </row>
    <row r="2179" spans="1:4" x14ac:dyDescent="0.25">
      <c r="A2179" s="5">
        <f t="shared" ref="A2179:A2242" si="77">MONTH(C2179)</f>
        <v>12</v>
      </c>
      <c r="B2179" s="5">
        <f t="shared" ref="B2179:B2242" si="78">YEAR(C2179)</f>
        <v>2018</v>
      </c>
      <c r="C2179" s="9">
        <v>43452</v>
      </c>
      <c r="D2179">
        <v>6.5</v>
      </c>
    </row>
    <row r="2180" spans="1:4" x14ac:dyDescent="0.25">
      <c r="A2180" s="5">
        <f t="shared" si="77"/>
        <v>12</v>
      </c>
      <c r="B2180" s="5">
        <f t="shared" si="78"/>
        <v>2018</v>
      </c>
      <c r="C2180" s="9">
        <v>43453</v>
      </c>
      <c r="D2180">
        <v>6.5</v>
      </c>
    </row>
    <row r="2181" spans="1:4" x14ac:dyDescent="0.25">
      <c r="A2181" s="5">
        <f t="shared" si="77"/>
        <v>12</v>
      </c>
      <c r="B2181" s="5">
        <f t="shared" si="78"/>
        <v>2018</v>
      </c>
      <c r="C2181" s="9">
        <v>43454</v>
      </c>
      <c r="D2181">
        <v>6.5</v>
      </c>
    </row>
    <row r="2182" spans="1:4" x14ac:dyDescent="0.25">
      <c r="A2182" s="5">
        <f t="shared" si="77"/>
        <v>12</v>
      </c>
      <c r="B2182" s="5">
        <f t="shared" si="78"/>
        <v>2018</v>
      </c>
      <c r="C2182" s="9">
        <v>43455</v>
      </c>
      <c r="D2182">
        <v>6.5</v>
      </c>
    </row>
    <row r="2183" spans="1:4" x14ac:dyDescent="0.25">
      <c r="A2183" s="5">
        <f t="shared" si="77"/>
        <v>12</v>
      </c>
      <c r="B2183" s="5">
        <f t="shared" si="78"/>
        <v>2018</v>
      </c>
      <c r="C2183" s="9">
        <v>43456</v>
      </c>
      <c r="D2183">
        <v>6.5</v>
      </c>
    </row>
    <row r="2184" spans="1:4" x14ac:dyDescent="0.25">
      <c r="A2184" s="5">
        <f t="shared" si="77"/>
        <v>12</v>
      </c>
      <c r="B2184" s="5">
        <f t="shared" si="78"/>
        <v>2018</v>
      </c>
      <c r="C2184" s="9">
        <v>43457</v>
      </c>
      <c r="D2184">
        <v>6.5</v>
      </c>
    </row>
    <row r="2185" spans="1:4" x14ac:dyDescent="0.25">
      <c r="A2185" s="5">
        <f t="shared" si="77"/>
        <v>12</v>
      </c>
      <c r="B2185" s="5">
        <f t="shared" si="78"/>
        <v>2018</v>
      </c>
      <c r="C2185" s="9">
        <v>43458</v>
      </c>
      <c r="D2185">
        <v>6.5</v>
      </c>
    </row>
    <row r="2186" spans="1:4" x14ac:dyDescent="0.25">
      <c r="A2186" s="5">
        <f t="shared" si="77"/>
        <v>12</v>
      </c>
      <c r="B2186" s="5">
        <f t="shared" si="78"/>
        <v>2018</v>
      </c>
      <c r="C2186" s="9">
        <v>43459</v>
      </c>
      <c r="D2186">
        <v>6.5</v>
      </c>
    </row>
    <row r="2187" spans="1:4" x14ac:dyDescent="0.25">
      <c r="A2187" s="5">
        <f t="shared" si="77"/>
        <v>12</v>
      </c>
      <c r="B2187" s="5">
        <f t="shared" si="78"/>
        <v>2018</v>
      </c>
      <c r="C2187" s="9">
        <v>43460</v>
      </c>
      <c r="D2187">
        <v>6.5</v>
      </c>
    </row>
    <row r="2188" spans="1:4" x14ac:dyDescent="0.25">
      <c r="A2188" s="5">
        <f t="shared" si="77"/>
        <v>12</v>
      </c>
      <c r="B2188" s="5">
        <f t="shared" si="78"/>
        <v>2018</v>
      </c>
      <c r="C2188" s="9">
        <v>43461</v>
      </c>
      <c r="D2188">
        <v>6.5</v>
      </c>
    </row>
    <row r="2189" spans="1:4" x14ac:dyDescent="0.25">
      <c r="A2189" s="5">
        <f t="shared" si="77"/>
        <v>12</v>
      </c>
      <c r="B2189" s="5">
        <f t="shared" si="78"/>
        <v>2018</v>
      </c>
      <c r="C2189" s="9">
        <v>43462</v>
      </c>
      <c r="D2189">
        <v>6.5</v>
      </c>
    </row>
    <row r="2190" spans="1:4" x14ac:dyDescent="0.25">
      <c r="A2190" s="5">
        <f t="shared" si="77"/>
        <v>12</v>
      </c>
      <c r="B2190" s="5">
        <f t="shared" si="78"/>
        <v>2018</v>
      </c>
      <c r="C2190" s="9">
        <v>43463</v>
      </c>
      <c r="D2190">
        <v>6.5</v>
      </c>
    </row>
    <row r="2191" spans="1:4" x14ac:dyDescent="0.25">
      <c r="A2191" s="5">
        <f t="shared" si="77"/>
        <v>12</v>
      </c>
      <c r="B2191" s="5">
        <f t="shared" si="78"/>
        <v>2018</v>
      </c>
      <c r="C2191" s="9">
        <v>43464</v>
      </c>
      <c r="D2191">
        <v>6.5</v>
      </c>
    </row>
    <row r="2192" spans="1:4" x14ac:dyDescent="0.25">
      <c r="A2192" s="5">
        <f t="shared" si="77"/>
        <v>12</v>
      </c>
      <c r="B2192" s="5">
        <f t="shared" si="78"/>
        <v>2018</v>
      </c>
      <c r="C2192" s="9">
        <v>43465</v>
      </c>
      <c r="D2192">
        <v>6.5</v>
      </c>
    </row>
    <row r="2193" spans="1:4" x14ac:dyDescent="0.25">
      <c r="A2193" s="5">
        <f t="shared" si="77"/>
        <v>1</v>
      </c>
      <c r="B2193" s="5">
        <f t="shared" si="78"/>
        <v>2019</v>
      </c>
      <c r="C2193" s="9">
        <v>43466</v>
      </c>
      <c r="D2193">
        <v>6.5</v>
      </c>
    </row>
    <row r="2194" spans="1:4" x14ac:dyDescent="0.25">
      <c r="A2194" s="5">
        <f t="shared" si="77"/>
        <v>1</v>
      </c>
      <c r="B2194" s="5">
        <f t="shared" si="78"/>
        <v>2019</v>
      </c>
      <c r="C2194" s="9">
        <v>43467</v>
      </c>
      <c r="D2194">
        <v>6.5</v>
      </c>
    </row>
    <row r="2195" spans="1:4" x14ac:dyDescent="0.25">
      <c r="A2195" s="5">
        <f t="shared" si="77"/>
        <v>1</v>
      </c>
      <c r="B2195" s="5">
        <f t="shared" si="78"/>
        <v>2019</v>
      </c>
      <c r="C2195" s="9">
        <v>43468</v>
      </c>
      <c r="D2195">
        <v>6.5</v>
      </c>
    </row>
    <row r="2196" spans="1:4" x14ac:dyDescent="0.25">
      <c r="A2196" s="5">
        <f t="shared" si="77"/>
        <v>1</v>
      </c>
      <c r="B2196" s="5">
        <f t="shared" si="78"/>
        <v>2019</v>
      </c>
      <c r="C2196" s="9">
        <v>43469</v>
      </c>
      <c r="D2196">
        <v>6.5</v>
      </c>
    </row>
    <row r="2197" spans="1:4" x14ac:dyDescent="0.25">
      <c r="A2197" s="5">
        <f t="shared" si="77"/>
        <v>1</v>
      </c>
      <c r="B2197" s="5">
        <f t="shared" si="78"/>
        <v>2019</v>
      </c>
      <c r="C2197" s="9">
        <v>43470</v>
      </c>
      <c r="D2197">
        <v>6.5</v>
      </c>
    </row>
    <row r="2198" spans="1:4" x14ac:dyDescent="0.25">
      <c r="A2198" s="5">
        <f t="shared" si="77"/>
        <v>1</v>
      </c>
      <c r="B2198" s="5">
        <f t="shared" si="78"/>
        <v>2019</v>
      </c>
      <c r="C2198" s="9">
        <v>43471</v>
      </c>
      <c r="D2198">
        <v>6.5</v>
      </c>
    </row>
    <row r="2199" spans="1:4" x14ac:dyDescent="0.25">
      <c r="A2199" s="5">
        <f t="shared" si="77"/>
        <v>1</v>
      </c>
      <c r="B2199" s="5">
        <f t="shared" si="78"/>
        <v>2019</v>
      </c>
      <c r="C2199" s="9">
        <v>43472</v>
      </c>
      <c r="D2199">
        <v>6.5</v>
      </c>
    </row>
    <row r="2200" spans="1:4" x14ac:dyDescent="0.25">
      <c r="A2200" s="5">
        <f t="shared" si="77"/>
        <v>1</v>
      </c>
      <c r="B2200" s="5">
        <f t="shared" si="78"/>
        <v>2019</v>
      </c>
      <c r="C2200" s="9">
        <v>43473</v>
      </c>
      <c r="D2200">
        <v>6.5</v>
      </c>
    </row>
    <row r="2201" spans="1:4" x14ac:dyDescent="0.25">
      <c r="A2201" s="5">
        <f t="shared" si="77"/>
        <v>1</v>
      </c>
      <c r="B2201" s="5">
        <f t="shared" si="78"/>
        <v>2019</v>
      </c>
      <c r="C2201" s="9">
        <v>43474</v>
      </c>
      <c r="D2201">
        <v>6.5</v>
      </c>
    </row>
    <row r="2202" spans="1:4" x14ac:dyDescent="0.25">
      <c r="A2202" s="5">
        <f t="shared" si="77"/>
        <v>1</v>
      </c>
      <c r="B2202" s="5">
        <f t="shared" si="78"/>
        <v>2019</v>
      </c>
      <c r="C2202" s="9">
        <v>43475</v>
      </c>
      <c r="D2202">
        <v>6.5</v>
      </c>
    </row>
    <row r="2203" spans="1:4" x14ac:dyDescent="0.25">
      <c r="A2203" s="5">
        <f t="shared" si="77"/>
        <v>1</v>
      </c>
      <c r="B2203" s="5">
        <f t="shared" si="78"/>
        <v>2019</v>
      </c>
      <c r="C2203" s="9">
        <v>43476</v>
      </c>
      <c r="D2203">
        <v>6.5</v>
      </c>
    </row>
    <row r="2204" spans="1:4" x14ac:dyDescent="0.25">
      <c r="A2204" s="5">
        <f t="shared" si="77"/>
        <v>1</v>
      </c>
      <c r="B2204" s="5">
        <f t="shared" si="78"/>
        <v>2019</v>
      </c>
      <c r="C2204" s="9">
        <v>43477</v>
      </c>
      <c r="D2204">
        <v>6.5</v>
      </c>
    </row>
    <row r="2205" spans="1:4" x14ac:dyDescent="0.25">
      <c r="A2205" s="5">
        <f t="shared" si="77"/>
        <v>1</v>
      </c>
      <c r="B2205" s="5">
        <f t="shared" si="78"/>
        <v>2019</v>
      </c>
      <c r="C2205" s="9">
        <v>43478</v>
      </c>
      <c r="D2205">
        <v>6.5</v>
      </c>
    </row>
    <row r="2206" spans="1:4" x14ac:dyDescent="0.25">
      <c r="A2206" s="5">
        <f t="shared" si="77"/>
        <v>1</v>
      </c>
      <c r="B2206" s="5">
        <f t="shared" si="78"/>
        <v>2019</v>
      </c>
      <c r="C2206" s="9">
        <v>43479</v>
      </c>
      <c r="D2206">
        <v>6.5</v>
      </c>
    </row>
    <row r="2207" spans="1:4" x14ac:dyDescent="0.25">
      <c r="A2207" s="5">
        <f t="shared" si="77"/>
        <v>1</v>
      </c>
      <c r="B2207" s="5">
        <f t="shared" si="78"/>
        <v>2019</v>
      </c>
      <c r="C2207" s="9">
        <v>43480</v>
      </c>
      <c r="D2207">
        <v>6.5</v>
      </c>
    </row>
    <row r="2208" spans="1:4" x14ac:dyDescent="0.25">
      <c r="A2208" s="5">
        <f t="shared" si="77"/>
        <v>1</v>
      </c>
      <c r="B2208" s="5">
        <f t="shared" si="78"/>
        <v>2019</v>
      </c>
      <c r="C2208" s="9">
        <v>43481</v>
      </c>
      <c r="D2208">
        <v>6.5</v>
      </c>
    </row>
    <row r="2209" spans="1:4" x14ac:dyDescent="0.25">
      <c r="A2209" s="5">
        <f t="shared" si="77"/>
        <v>1</v>
      </c>
      <c r="B2209" s="5">
        <f t="shared" si="78"/>
        <v>2019</v>
      </c>
      <c r="C2209" s="9">
        <v>43482</v>
      </c>
      <c r="D2209">
        <v>6.5</v>
      </c>
    </row>
    <row r="2210" spans="1:4" x14ac:dyDescent="0.25">
      <c r="A2210" s="5">
        <f t="shared" si="77"/>
        <v>1</v>
      </c>
      <c r="B2210" s="5">
        <f t="shared" si="78"/>
        <v>2019</v>
      </c>
      <c r="C2210" s="9">
        <v>43483</v>
      </c>
      <c r="D2210">
        <v>6.5</v>
      </c>
    </row>
    <row r="2211" spans="1:4" x14ac:dyDescent="0.25">
      <c r="A2211" s="5">
        <f t="shared" si="77"/>
        <v>1</v>
      </c>
      <c r="B2211" s="5">
        <f t="shared" si="78"/>
        <v>2019</v>
      </c>
      <c r="C2211" s="9">
        <v>43484</v>
      </c>
      <c r="D2211">
        <v>6.5</v>
      </c>
    </row>
    <row r="2212" spans="1:4" x14ac:dyDescent="0.25">
      <c r="A2212" s="5">
        <f t="shared" si="77"/>
        <v>1</v>
      </c>
      <c r="B2212" s="5">
        <f t="shared" si="78"/>
        <v>2019</v>
      </c>
      <c r="C2212" s="9">
        <v>43485</v>
      </c>
      <c r="D2212">
        <v>6.5</v>
      </c>
    </row>
    <row r="2213" spans="1:4" x14ac:dyDescent="0.25">
      <c r="A2213" s="5">
        <f t="shared" si="77"/>
        <v>1</v>
      </c>
      <c r="B2213" s="5">
        <f t="shared" si="78"/>
        <v>2019</v>
      </c>
      <c r="C2213" s="9">
        <v>43486</v>
      </c>
      <c r="D2213">
        <v>6.5</v>
      </c>
    </row>
    <row r="2214" spans="1:4" x14ac:dyDescent="0.25">
      <c r="A2214" s="5">
        <f t="shared" si="77"/>
        <v>1</v>
      </c>
      <c r="B2214" s="5">
        <f t="shared" si="78"/>
        <v>2019</v>
      </c>
      <c r="C2214" s="9">
        <v>43487</v>
      </c>
      <c r="D2214">
        <v>6.5</v>
      </c>
    </row>
    <row r="2215" spans="1:4" x14ac:dyDescent="0.25">
      <c r="A2215" s="5">
        <f t="shared" si="77"/>
        <v>1</v>
      </c>
      <c r="B2215" s="5">
        <f t="shared" si="78"/>
        <v>2019</v>
      </c>
      <c r="C2215" s="9">
        <v>43488</v>
      </c>
      <c r="D2215">
        <v>6.5</v>
      </c>
    </row>
    <row r="2216" spans="1:4" x14ac:dyDescent="0.25">
      <c r="A2216" s="5">
        <f t="shared" si="77"/>
        <v>1</v>
      </c>
      <c r="B2216" s="5">
        <f t="shared" si="78"/>
        <v>2019</v>
      </c>
      <c r="C2216" s="9">
        <v>43489</v>
      </c>
      <c r="D2216">
        <v>6.5</v>
      </c>
    </row>
    <row r="2217" spans="1:4" x14ac:dyDescent="0.25">
      <c r="A2217" s="5">
        <f t="shared" si="77"/>
        <v>1</v>
      </c>
      <c r="B2217" s="5">
        <f t="shared" si="78"/>
        <v>2019</v>
      </c>
      <c r="C2217" s="9">
        <v>43490</v>
      </c>
      <c r="D2217">
        <v>6.5</v>
      </c>
    </row>
    <row r="2218" spans="1:4" x14ac:dyDescent="0.25">
      <c r="A2218" s="5">
        <f t="shared" si="77"/>
        <v>1</v>
      </c>
      <c r="B2218" s="5">
        <f t="shared" si="78"/>
        <v>2019</v>
      </c>
      <c r="C2218" s="9">
        <v>43491</v>
      </c>
      <c r="D2218">
        <v>6.5</v>
      </c>
    </row>
    <row r="2219" spans="1:4" x14ac:dyDescent="0.25">
      <c r="A2219" s="5">
        <f t="shared" si="77"/>
        <v>1</v>
      </c>
      <c r="B2219" s="5">
        <f t="shared" si="78"/>
        <v>2019</v>
      </c>
      <c r="C2219" s="9">
        <v>43492</v>
      </c>
      <c r="D2219">
        <v>6.5</v>
      </c>
    </row>
    <row r="2220" spans="1:4" x14ac:dyDescent="0.25">
      <c r="A2220" s="5">
        <f t="shared" si="77"/>
        <v>1</v>
      </c>
      <c r="B2220" s="5">
        <f t="shared" si="78"/>
        <v>2019</v>
      </c>
      <c r="C2220" s="9">
        <v>43493</v>
      </c>
      <c r="D2220">
        <v>6.5</v>
      </c>
    </row>
    <row r="2221" spans="1:4" x14ac:dyDescent="0.25">
      <c r="A2221" s="5">
        <f t="shared" si="77"/>
        <v>1</v>
      </c>
      <c r="B2221" s="5">
        <f t="shared" si="78"/>
        <v>2019</v>
      </c>
      <c r="C2221" s="9">
        <v>43494</v>
      </c>
      <c r="D2221">
        <v>6.5</v>
      </c>
    </row>
    <row r="2222" spans="1:4" x14ac:dyDescent="0.25">
      <c r="A2222" s="5">
        <f t="shared" si="77"/>
        <v>1</v>
      </c>
      <c r="B2222" s="5">
        <f t="shared" si="78"/>
        <v>2019</v>
      </c>
      <c r="C2222" s="9">
        <v>43495</v>
      </c>
      <c r="D2222">
        <v>6.5</v>
      </c>
    </row>
    <row r="2223" spans="1:4" x14ac:dyDescent="0.25">
      <c r="A2223" s="5">
        <f t="shared" si="77"/>
        <v>1</v>
      </c>
      <c r="B2223" s="5">
        <f t="shared" si="78"/>
        <v>2019</v>
      </c>
      <c r="C2223" s="9">
        <v>43496</v>
      </c>
      <c r="D2223">
        <v>6.5</v>
      </c>
    </row>
    <row r="2224" spans="1:4" x14ac:dyDescent="0.25">
      <c r="A2224" s="5">
        <f t="shared" si="77"/>
        <v>2</v>
      </c>
      <c r="B2224" s="5">
        <f t="shared" si="78"/>
        <v>2019</v>
      </c>
      <c r="C2224" s="9">
        <v>43497</v>
      </c>
      <c r="D2224">
        <v>6.5</v>
      </c>
    </row>
    <row r="2225" spans="1:4" x14ac:dyDescent="0.25">
      <c r="A2225" s="5">
        <f t="shared" si="77"/>
        <v>2</v>
      </c>
      <c r="B2225" s="5">
        <f t="shared" si="78"/>
        <v>2019</v>
      </c>
      <c r="C2225" s="9">
        <v>43498</v>
      </c>
      <c r="D2225">
        <v>6.5</v>
      </c>
    </row>
    <row r="2226" spans="1:4" x14ac:dyDescent="0.25">
      <c r="A2226" s="5">
        <f t="shared" si="77"/>
        <v>2</v>
      </c>
      <c r="B2226" s="5">
        <f t="shared" si="78"/>
        <v>2019</v>
      </c>
      <c r="C2226" s="9">
        <v>43499</v>
      </c>
      <c r="D2226">
        <v>6.5</v>
      </c>
    </row>
    <row r="2227" spans="1:4" x14ac:dyDescent="0.25">
      <c r="A2227" s="5">
        <f t="shared" si="77"/>
        <v>2</v>
      </c>
      <c r="B2227" s="5">
        <f t="shared" si="78"/>
        <v>2019</v>
      </c>
      <c r="C2227" s="9">
        <v>43500</v>
      </c>
      <c r="D2227">
        <v>6.5</v>
      </c>
    </row>
    <row r="2228" spans="1:4" x14ac:dyDescent="0.25">
      <c r="A2228" s="5">
        <f t="shared" si="77"/>
        <v>2</v>
      </c>
      <c r="B2228" s="5">
        <f t="shared" si="78"/>
        <v>2019</v>
      </c>
      <c r="C2228" s="9">
        <v>43501</v>
      </c>
      <c r="D2228">
        <v>6.5</v>
      </c>
    </row>
    <row r="2229" spans="1:4" x14ac:dyDescent="0.25">
      <c r="A2229" s="5">
        <f t="shared" si="77"/>
        <v>2</v>
      </c>
      <c r="B2229" s="5">
        <f t="shared" si="78"/>
        <v>2019</v>
      </c>
      <c r="C2229" s="9">
        <v>43502</v>
      </c>
      <c r="D2229">
        <v>6.5</v>
      </c>
    </row>
    <row r="2230" spans="1:4" x14ac:dyDescent="0.25">
      <c r="A2230" s="5">
        <f t="shared" si="77"/>
        <v>2</v>
      </c>
      <c r="B2230" s="5">
        <f t="shared" si="78"/>
        <v>2019</v>
      </c>
      <c r="C2230" s="9">
        <v>43503</v>
      </c>
      <c r="D2230">
        <v>6.5</v>
      </c>
    </row>
    <row r="2231" spans="1:4" x14ac:dyDescent="0.25">
      <c r="A2231" s="5">
        <f t="shared" si="77"/>
        <v>2</v>
      </c>
      <c r="B2231" s="5">
        <f t="shared" si="78"/>
        <v>2019</v>
      </c>
      <c r="C2231" s="9">
        <v>43504</v>
      </c>
      <c r="D2231">
        <v>6.5</v>
      </c>
    </row>
    <row r="2232" spans="1:4" x14ac:dyDescent="0.25">
      <c r="A2232" s="5">
        <f t="shared" si="77"/>
        <v>2</v>
      </c>
      <c r="B2232" s="5">
        <f t="shared" si="78"/>
        <v>2019</v>
      </c>
      <c r="C2232" s="9">
        <v>43505</v>
      </c>
      <c r="D2232">
        <v>6.5</v>
      </c>
    </row>
    <row r="2233" spans="1:4" x14ac:dyDescent="0.25">
      <c r="A2233" s="5">
        <f t="shared" si="77"/>
        <v>2</v>
      </c>
      <c r="B2233" s="5">
        <f t="shared" si="78"/>
        <v>2019</v>
      </c>
      <c r="C2233" s="9">
        <v>43506</v>
      </c>
      <c r="D2233">
        <v>6.5</v>
      </c>
    </row>
    <row r="2234" spans="1:4" x14ac:dyDescent="0.25">
      <c r="A2234" s="5">
        <f t="shared" si="77"/>
        <v>2</v>
      </c>
      <c r="B2234" s="5">
        <f t="shared" si="78"/>
        <v>2019</v>
      </c>
      <c r="C2234" s="9">
        <v>43507</v>
      </c>
      <c r="D2234">
        <v>6.5</v>
      </c>
    </row>
    <row r="2235" spans="1:4" x14ac:dyDescent="0.25">
      <c r="A2235" s="5">
        <f t="shared" si="77"/>
        <v>2</v>
      </c>
      <c r="B2235" s="5">
        <f t="shared" si="78"/>
        <v>2019</v>
      </c>
      <c r="C2235" s="9">
        <v>43508</v>
      </c>
      <c r="D2235">
        <v>6.5</v>
      </c>
    </row>
    <row r="2236" spans="1:4" x14ac:dyDescent="0.25">
      <c r="A2236" s="5">
        <f t="shared" si="77"/>
        <v>2</v>
      </c>
      <c r="B2236" s="5">
        <f t="shared" si="78"/>
        <v>2019</v>
      </c>
      <c r="C2236" s="9">
        <v>43509</v>
      </c>
      <c r="D2236">
        <v>6.5</v>
      </c>
    </row>
    <row r="2237" spans="1:4" x14ac:dyDescent="0.25">
      <c r="A2237" s="5">
        <f t="shared" si="77"/>
        <v>2</v>
      </c>
      <c r="B2237" s="5">
        <f t="shared" si="78"/>
        <v>2019</v>
      </c>
      <c r="C2237" s="9">
        <v>43510</v>
      </c>
      <c r="D2237">
        <v>6.5</v>
      </c>
    </row>
    <row r="2238" spans="1:4" x14ac:dyDescent="0.25">
      <c r="A2238" s="5">
        <f t="shared" si="77"/>
        <v>2</v>
      </c>
      <c r="B2238" s="5">
        <f t="shared" si="78"/>
        <v>2019</v>
      </c>
      <c r="C2238" s="9">
        <v>43511</v>
      </c>
      <c r="D2238">
        <v>6.5</v>
      </c>
    </row>
    <row r="2239" spans="1:4" x14ac:dyDescent="0.25">
      <c r="A2239" s="5">
        <f t="shared" si="77"/>
        <v>2</v>
      </c>
      <c r="B2239" s="5">
        <f t="shared" si="78"/>
        <v>2019</v>
      </c>
      <c r="C2239" s="9">
        <v>43512</v>
      </c>
      <c r="D2239">
        <v>6.5</v>
      </c>
    </row>
    <row r="2240" spans="1:4" x14ac:dyDescent="0.25">
      <c r="A2240" s="5">
        <f t="shared" si="77"/>
        <v>2</v>
      </c>
      <c r="B2240" s="5">
        <f t="shared" si="78"/>
        <v>2019</v>
      </c>
      <c r="C2240" s="9">
        <v>43513</v>
      </c>
      <c r="D2240">
        <v>6.5</v>
      </c>
    </row>
    <row r="2241" spans="1:4" x14ac:dyDescent="0.25">
      <c r="A2241" s="5">
        <f t="shared" si="77"/>
        <v>2</v>
      </c>
      <c r="B2241" s="5">
        <f t="shared" si="78"/>
        <v>2019</v>
      </c>
      <c r="C2241" s="9">
        <v>43514</v>
      </c>
      <c r="D2241">
        <v>6.5</v>
      </c>
    </row>
    <row r="2242" spans="1:4" x14ac:dyDescent="0.25">
      <c r="A2242" s="5">
        <f t="shared" si="77"/>
        <v>2</v>
      </c>
      <c r="B2242" s="5">
        <f t="shared" si="78"/>
        <v>2019</v>
      </c>
      <c r="C2242" s="9">
        <v>43515</v>
      </c>
      <c r="D2242">
        <v>6.5</v>
      </c>
    </row>
    <row r="2243" spans="1:4" x14ac:dyDescent="0.25">
      <c r="A2243" s="5">
        <f t="shared" ref="A2243:A2306" si="79">MONTH(C2243)</f>
        <v>2</v>
      </c>
      <c r="B2243" s="5">
        <f t="shared" ref="B2243:B2306" si="80">YEAR(C2243)</f>
        <v>2019</v>
      </c>
      <c r="C2243" s="9">
        <v>43516</v>
      </c>
      <c r="D2243">
        <v>6.5</v>
      </c>
    </row>
    <row r="2244" spans="1:4" x14ac:dyDescent="0.25">
      <c r="A2244" s="5">
        <f t="shared" si="79"/>
        <v>2</v>
      </c>
      <c r="B2244" s="5">
        <f t="shared" si="80"/>
        <v>2019</v>
      </c>
      <c r="C2244" s="9">
        <v>43517</v>
      </c>
      <c r="D2244">
        <v>6.5</v>
      </c>
    </row>
    <row r="2245" spans="1:4" x14ac:dyDescent="0.25">
      <c r="A2245" s="5">
        <f t="shared" si="79"/>
        <v>2</v>
      </c>
      <c r="B2245" s="5">
        <f t="shared" si="80"/>
        <v>2019</v>
      </c>
      <c r="C2245" s="9">
        <v>43518</v>
      </c>
      <c r="D2245">
        <v>6.5</v>
      </c>
    </row>
    <row r="2246" spans="1:4" x14ac:dyDescent="0.25">
      <c r="A2246" s="5">
        <f t="shared" si="79"/>
        <v>2</v>
      </c>
      <c r="B2246" s="5">
        <f t="shared" si="80"/>
        <v>2019</v>
      </c>
      <c r="C2246" s="9">
        <v>43519</v>
      </c>
      <c r="D2246">
        <v>6.5</v>
      </c>
    </row>
    <row r="2247" spans="1:4" x14ac:dyDescent="0.25">
      <c r="A2247" s="5">
        <f t="shared" si="79"/>
        <v>2</v>
      </c>
      <c r="B2247" s="5">
        <f t="shared" si="80"/>
        <v>2019</v>
      </c>
      <c r="C2247" s="9">
        <v>43520</v>
      </c>
      <c r="D2247">
        <v>6.5</v>
      </c>
    </row>
    <row r="2248" spans="1:4" x14ac:dyDescent="0.25">
      <c r="A2248" s="5">
        <f t="shared" si="79"/>
        <v>2</v>
      </c>
      <c r="B2248" s="5">
        <f t="shared" si="80"/>
        <v>2019</v>
      </c>
      <c r="C2248" s="9">
        <v>43521</v>
      </c>
      <c r="D2248">
        <v>6.5</v>
      </c>
    </row>
    <row r="2249" spans="1:4" x14ac:dyDescent="0.25">
      <c r="A2249" s="5">
        <f t="shared" si="79"/>
        <v>2</v>
      </c>
      <c r="B2249" s="5">
        <f t="shared" si="80"/>
        <v>2019</v>
      </c>
      <c r="C2249" s="9">
        <v>43522</v>
      </c>
      <c r="D2249">
        <v>6.5</v>
      </c>
    </row>
    <row r="2250" spans="1:4" x14ac:dyDescent="0.25">
      <c r="A2250" s="5">
        <f t="shared" si="79"/>
        <v>2</v>
      </c>
      <c r="B2250" s="5">
        <f t="shared" si="80"/>
        <v>2019</v>
      </c>
      <c r="C2250" s="9">
        <v>43523</v>
      </c>
      <c r="D2250">
        <v>6.5</v>
      </c>
    </row>
    <row r="2251" spans="1:4" x14ac:dyDescent="0.25">
      <c r="A2251" s="5">
        <f t="shared" si="79"/>
        <v>2</v>
      </c>
      <c r="B2251" s="5">
        <f t="shared" si="80"/>
        <v>2019</v>
      </c>
      <c r="C2251" s="9">
        <v>43524</v>
      </c>
      <c r="D2251">
        <v>6.5</v>
      </c>
    </row>
    <row r="2252" spans="1:4" x14ac:dyDescent="0.25">
      <c r="A2252" s="5">
        <f t="shared" si="79"/>
        <v>3</v>
      </c>
      <c r="B2252" s="5">
        <f t="shared" si="80"/>
        <v>2019</v>
      </c>
      <c r="C2252" s="9">
        <v>43525</v>
      </c>
      <c r="D2252">
        <v>6.5</v>
      </c>
    </row>
    <row r="2253" spans="1:4" x14ac:dyDescent="0.25">
      <c r="A2253" s="5">
        <f t="shared" si="79"/>
        <v>3</v>
      </c>
      <c r="B2253" s="5">
        <f t="shared" si="80"/>
        <v>2019</v>
      </c>
      <c r="C2253" s="9">
        <v>43526</v>
      </c>
      <c r="D2253">
        <v>6.5</v>
      </c>
    </row>
    <row r="2254" spans="1:4" x14ac:dyDescent="0.25">
      <c r="A2254" s="5">
        <f t="shared" si="79"/>
        <v>3</v>
      </c>
      <c r="B2254" s="5">
        <f t="shared" si="80"/>
        <v>2019</v>
      </c>
      <c r="C2254" s="9">
        <v>43527</v>
      </c>
      <c r="D2254">
        <v>6.5</v>
      </c>
    </row>
    <row r="2255" spans="1:4" x14ac:dyDescent="0.25">
      <c r="A2255" s="5">
        <f t="shared" si="79"/>
        <v>3</v>
      </c>
      <c r="B2255" s="5">
        <f t="shared" si="80"/>
        <v>2019</v>
      </c>
      <c r="C2255" s="9">
        <v>43528</v>
      </c>
      <c r="D2255">
        <v>6.5</v>
      </c>
    </row>
    <row r="2256" spans="1:4" x14ac:dyDescent="0.25">
      <c r="A2256" s="5">
        <f t="shared" si="79"/>
        <v>3</v>
      </c>
      <c r="B2256" s="5">
        <f t="shared" si="80"/>
        <v>2019</v>
      </c>
      <c r="C2256" s="9">
        <v>43529</v>
      </c>
      <c r="D2256">
        <v>6.5</v>
      </c>
    </row>
    <row r="2257" spans="1:4" x14ac:dyDescent="0.25">
      <c r="A2257" s="5">
        <f t="shared" si="79"/>
        <v>3</v>
      </c>
      <c r="B2257" s="5">
        <f t="shared" si="80"/>
        <v>2019</v>
      </c>
      <c r="C2257" s="9">
        <v>43530</v>
      </c>
      <c r="D2257">
        <v>6.5</v>
      </c>
    </row>
    <row r="2258" spans="1:4" x14ac:dyDescent="0.25">
      <c r="A2258" s="5">
        <f t="shared" si="79"/>
        <v>3</v>
      </c>
      <c r="B2258" s="5">
        <f t="shared" si="80"/>
        <v>2019</v>
      </c>
      <c r="C2258" s="9">
        <v>43531</v>
      </c>
      <c r="D2258">
        <v>6.5</v>
      </c>
    </row>
    <row r="2259" spans="1:4" x14ac:dyDescent="0.25">
      <c r="A2259" s="5">
        <f t="shared" si="79"/>
        <v>3</v>
      </c>
      <c r="B2259" s="5">
        <f t="shared" si="80"/>
        <v>2019</v>
      </c>
      <c r="C2259" s="9">
        <v>43532</v>
      </c>
      <c r="D2259">
        <v>6.5</v>
      </c>
    </row>
    <row r="2260" spans="1:4" x14ac:dyDescent="0.25">
      <c r="A2260" s="5">
        <f t="shared" si="79"/>
        <v>3</v>
      </c>
      <c r="B2260" s="5">
        <f t="shared" si="80"/>
        <v>2019</v>
      </c>
      <c r="C2260" s="9">
        <v>43533</v>
      </c>
      <c r="D2260">
        <v>6.5</v>
      </c>
    </row>
    <row r="2261" spans="1:4" x14ac:dyDescent="0.25">
      <c r="A2261" s="5">
        <f t="shared" si="79"/>
        <v>3</v>
      </c>
      <c r="B2261" s="5">
        <f t="shared" si="80"/>
        <v>2019</v>
      </c>
      <c r="C2261" s="9">
        <v>43534</v>
      </c>
      <c r="D2261">
        <v>6.5</v>
      </c>
    </row>
    <row r="2262" spans="1:4" x14ac:dyDescent="0.25">
      <c r="A2262" s="5">
        <f t="shared" si="79"/>
        <v>3</v>
      </c>
      <c r="B2262" s="5">
        <f t="shared" si="80"/>
        <v>2019</v>
      </c>
      <c r="C2262" s="9">
        <v>43535</v>
      </c>
      <c r="D2262">
        <v>6.5</v>
      </c>
    </row>
    <row r="2263" spans="1:4" x14ac:dyDescent="0.25">
      <c r="A2263" s="5">
        <f t="shared" si="79"/>
        <v>3</v>
      </c>
      <c r="B2263" s="5">
        <f t="shared" si="80"/>
        <v>2019</v>
      </c>
      <c r="C2263" s="9">
        <v>43536</v>
      </c>
      <c r="D2263">
        <v>6.5</v>
      </c>
    </row>
    <row r="2264" spans="1:4" x14ac:dyDescent="0.25">
      <c r="A2264" s="5">
        <f t="shared" si="79"/>
        <v>3</v>
      </c>
      <c r="B2264" s="5">
        <f t="shared" si="80"/>
        <v>2019</v>
      </c>
      <c r="C2264" s="9">
        <v>43537</v>
      </c>
      <c r="D2264">
        <v>6.5</v>
      </c>
    </row>
    <row r="2265" spans="1:4" x14ac:dyDescent="0.25">
      <c r="A2265" s="5">
        <f t="shared" si="79"/>
        <v>3</v>
      </c>
      <c r="B2265" s="5">
        <f t="shared" si="80"/>
        <v>2019</v>
      </c>
      <c r="C2265" s="9">
        <v>43538</v>
      </c>
      <c r="D2265">
        <v>6.5</v>
      </c>
    </row>
    <row r="2266" spans="1:4" x14ac:dyDescent="0.25">
      <c r="A2266" s="5">
        <f t="shared" si="79"/>
        <v>3</v>
      </c>
      <c r="B2266" s="5">
        <f t="shared" si="80"/>
        <v>2019</v>
      </c>
      <c r="C2266" s="9">
        <v>43539</v>
      </c>
      <c r="D2266">
        <v>6.5</v>
      </c>
    </row>
    <row r="2267" spans="1:4" x14ac:dyDescent="0.25">
      <c r="A2267" s="5">
        <f t="shared" si="79"/>
        <v>3</v>
      </c>
      <c r="B2267" s="5">
        <f t="shared" si="80"/>
        <v>2019</v>
      </c>
      <c r="C2267" s="9">
        <v>43540</v>
      </c>
      <c r="D2267">
        <v>6.5</v>
      </c>
    </row>
    <row r="2268" spans="1:4" x14ac:dyDescent="0.25">
      <c r="A2268" s="5">
        <f t="shared" si="79"/>
        <v>3</v>
      </c>
      <c r="B2268" s="5">
        <f t="shared" si="80"/>
        <v>2019</v>
      </c>
      <c r="C2268" s="9">
        <v>43541</v>
      </c>
      <c r="D2268">
        <v>6.5</v>
      </c>
    </row>
    <row r="2269" spans="1:4" x14ac:dyDescent="0.25">
      <c r="A2269" s="5">
        <f t="shared" si="79"/>
        <v>3</v>
      </c>
      <c r="B2269" s="5">
        <f t="shared" si="80"/>
        <v>2019</v>
      </c>
      <c r="C2269" s="9">
        <v>43542</v>
      </c>
      <c r="D2269">
        <v>6.5</v>
      </c>
    </row>
    <row r="2270" spans="1:4" x14ac:dyDescent="0.25">
      <c r="A2270" s="5">
        <f t="shared" si="79"/>
        <v>3</v>
      </c>
      <c r="B2270" s="5">
        <f t="shared" si="80"/>
        <v>2019</v>
      </c>
      <c r="C2270" s="9">
        <v>43543</v>
      </c>
      <c r="D2270">
        <v>6.5</v>
      </c>
    </row>
    <row r="2271" spans="1:4" x14ac:dyDescent="0.25">
      <c r="A2271" s="5">
        <f t="shared" si="79"/>
        <v>3</v>
      </c>
      <c r="B2271" s="5">
        <f t="shared" si="80"/>
        <v>2019</v>
      </c>
      <c r="C2271" s="9">
        <v>43544</v>
      </c>
      <c r="D2271">
        <v>6.5</v>
      </c>
    </row>
    <row r="2272" spans="1:4" x14ac:dyDescent="0.25">
      <c r="A2272" s="5">
        <f t="shared" si="79"/>
        <v>3</v>
      </c>
      <c r="B2272" s="5">
        <f t="shared" si="80"/>
        <v>2019</v>
      </c>
      <c r="C2272" s="9">
        <v>43545</v>
      </c>
      <c r="D2272">
        <v>6.5</v>
      </c>
    </row>
    <row r="2273" spans="1:4" x14ac:dyDescent="0.25">
      <c r="A2273" s="5">
        <f t="shared" si="79"/>
        <v>3</v>
      </c>
      <c r="B2273" s="5">
        <f t="shared" si="80"/>
        <v>2019</v>
      </c>
      <c r="C2273" s="9">
        <v>43546</v>
      </c>
      <c r="D2273">
        <v>6.5</v>
      </c>
    </row>
    <row r="2274" spans="1:4" x14ac:dyDescent="0.25">
      <c r="A2274" s="5">
        <f t="shared" si="79"/>
        <v>3</v>
      </c>
      <c r="B2274" s="5">
        <f t="shared" si="80"/>
        <v>2019</v>
      </c>
      <c r="C2274" s="9">
        <v>43547</v>
      </c>
      <c r="D2274">
        <v>6.5</v>
      </c>
    </row>
    <row r="2275" spans="1:4" x14ac:dyDescent="0.25">
      <c r="A2275" s="5">
        <f t="shared" si="79"/>
        <v>3</v>
      </c>
      <c r="B2275" s="5">
        <f t="shared" si="80"/>
        <v>2019</v>
      </c>
      <c r="C2275" s="9">
        <v>43548</v>
      </c>
      <c r="D2275">
        <v>6.5</v>
      </c>
    </row>
    <row r="2276" spans="1:4" x14ac:dyDescent="0.25">
      <c r="A2276" s="5">
        <f t="shared" si="79"/>
        <v>3</v>
      </c>
      <c r="B2276" s="5">
        <f t="shared" si="80"/>
        <v>2019</v>
      </c>
      <c r="C2276" s="9">
        <v>43549</v>
      </c>
      <c r="D2276">
        <v>6.5</v>
      </c>
    </row>
    <row r="2277" spans="1:4" x14ac:dyDescent="0.25">
      <c r="A2277" s="5">
        <f t="shared" si="79"/>
        <v>3</v>
      </c>
      <c r="B2277" s="5">
        <f t="shared" si="80"/>
        <v>2019</v>
      </c>
      <c r="C2277" s="9">
        <v>43550</v>
      </c>
      <c r="D2277">
        <v>6.5</v>
      </c>
    </row>
    <row r="2278" spans="1:4" x14ac:dyDescent="0.25">
      <c r="A2278" s="5">
        <f t="shared" si="79"/>
        <v>3</v>
      </c>
      <c r="B2278" s="5">
        <f t="shared" si="80"/>
        <v>2019</v>
      </c>
      <c r="C2278" s="9">
        <v>43551</v>
      </c>
      <c r="D2278">
        <v>6.5</v>
      </c>
    </row>
    <row r="2279" spans="1:4" x14ac:dyDescent="0.25">
      <c r="A2279" s="5">
        <f t="shared" si="79"/>
        <v>3</v>
      </c>
      <c r="B2279" s="5">
        <f t="shared" si="80"/>
        <v>2019</v>
      </c>
      <c r="C2279" s="9">
        <v>43552</v>
      </c>
      <c r="D2279">
        <v>6.5</v>
      </c>
    </row>
    <row r="2280" spans="1:4" x14ac:dyDescent="0.25">
      <c r="A2280" s="5">
        <f t="shared" si="79"/>
        <v>3</v>
      </c>
      <c r="B2280" s="5">
        <f t="shared" si="80"/>
        <v>2019</v>
      </c>
      <c r="C2280" s="9">
        <v>43553</v>
      </c>
      <c r="D2280">
        <v>6.5</v>
      </c>
    </row>
    <row r="2281" spans="1:4" x14ac:dyDescent="0.25">
      <c r="A2281" s="5">
        <f t="shared" si="79"/>
        <v>3</v>
      </c>
      <c r="B2281" s="5">
        <f t="shared" si="80"/>
        <v>2019</v>
      </c>
      <c r="C2281" s="9">
        <v>43554</v>
      </c>
      <c r="D2281">
        <v>6.5</v>
      </c>
    </row>
    <row r="2282" spans="1:4" x14ac:dyDescent="0.25">
      <c r="A2282" s="5">
        <f t="shared" si="79"/>
        <v>3</v>
      </c>
      <c r="B2282" s="5">
        <f t="shared" si="80"/>
        <v>2019</v>
      </c>
      <c r="C2282" s="9">
        <v>43555</v>
      </c>
      <c r="D2282">
        <v>6.5</v>
      </c>
    </row>
    <row r="2283" spans="1:4" x14ac:dyDescent="0.25">
      <c r="A2283" s="5">
        <f t="shared" si="79"/>
        <v>4</v>
      </c>
      <c r="B2283" s="5">
        <f t="shared" si="80"/>
        <v>2019</v>
      </c>
      <c r="C2283" s="9">
        <v>43556</v>
      </c>
      <c r="D2283">
        <v>6.5</v>
      </c>
    </row>
    <row r="2284" spans="1:4" x14ac:dyDescent="0.25">
      <c r="A2284" s="5">
        <f t="shared" si="79"/>
        <v>4</v>
      </c>
      <c r="B2284" s="5">
        <f t="shared" si="80"/>
        <v>2019</v>
      </c>
      <c r="C2284" s="9">
        <v>43557</v>
      </c>
      <c r="D2284">
        <v>6.5</v>
      </c>
    </row>
    <row r="2285" spans="1:4" x14ac:dyDescent="0.25">
      <c r="A2285" s="5">
        <f t="shared" si="79"/>
        <v>4</v>
      </c>
      <c r="B2285" s="5">
        <f t="shared" si="80"/>
        <v>2019</v>
      </c>
      <c r="C2285" s="9">
        <v>43558</v>
      </c>
      <c r="D2285">
        <v>6.5</v>
      </c>
    </row>
    <row r="2286" spans="1:4" x14ac:dyDescent="0.25">
      <c r="A2286" s="5">
        <f t="shared" si="79"/>
        <v>4</v>
      </c>
      <c r="B2286" s="5">
        <f t="shared" si="80"/>
        <v>2019</v>
      </c>
      <c r="C2286" s="9">
        <v>43559</v>
      </c>
      <c r="D2286">
        <v>6.5</v>
      </c>
    </row>
    <row r="2287" spans="1:4" x14ac:dyDescent="0.25">
      <c r="A2287" s="5">
        <f t="shared" si="79"/>
        <v>4</v>
      </c>
      <c r="B2287" s="5">
        <f t="shared" si="80"/>
        <v>2019</v>
      </c>
      <c r="C2287" s="9">
        <v>43560</v>
      </c>
      <c r="D2287">
        <v>6.5</v>
      </c>
    </row>
    <row r="2288" spans="1:4" x14ac:dyDescent="0.25">
      <c r="A2288" s="5">
        <f t="shared" si="79"/>
        <v>4</v>
      </c>
      <c r="B2288" s="5">
        <f t="shared" si="80"/>
        <v>2019</v>
      </c>
      <c r="C2288" s="9">
        <v>43561</v>
      </c>
      <c r="D2288">
        <v>6.5</v>
      </c>
    </row>
    <row r="2289" spans="1:4" x14ac:dyDescent="0.25">
      <c r="A2289" s="5">
        <f t="shared" si="79"/>
        <v>4</v>
      </c>
      <c r="B2289" s="5">
        <f t="shared" si="80"/>
        <v>2019</v>
      </c>
      <c r="C2289" s="9">
        <v>43562</v>
      </c>
      <c r="D2289">
        <v>6.5</v>
      </c>
    </row>
    <row r="2290" spans="1:4" x14ac:dyDescent="0.25">
      <c r="A2290" s="5">
        <f t="shared" si="79"/>
        <v>4</v>
      </c>
      <c r="B2290" s="5">
        <f t="shared" si="80"/>
        <v>2019</v>
      </c>
      <c r="C2290" s="9">
        <v>43563</v>
      </c>
      <c r="D2290">
        <v>6.5</v>
      </c>
    </row>
    <row r="2291" spans="1:4" x14ac:dyDescent="0.25">
      <c r="A2291" s="5">
        <f t="shared" si="79"/>
        <v>4</v>
      </c>
      <c r="B2291" s="5">
        <f t="shared" si="80"/>
        <v>2019</v>
      </c>
      <c r="C2291" s="9">
        <v>43564</v>
      </c>
      <c r="D2291">
        <v>6.5</v>
      </c>
    </row>
    <row r="2292" spans="1:4" x14ac:dyDescent="0.25">
      <c r="A2292" s="5">
        <f t="shared" si="79"/>
        <v>4</v>
      </c>
      <c r="B2292" s="5">
        <f t="shared" si="80"/>
        <v>2019</v>
      </c>
      <c r="C2292" s="9">
        <v>43565</v>
      </c>
      <c r="D2292">
        <v>6.5</v>
      </c>
    </row>
    <row r="2293" spans="1:4" x14ac:dyDescent="0.25">
      <c r="A2293" s="5">
        <f t="shared" si="79"/>
        <v>4</v>
      </c>
      <c r="B2293" s="5">
        <f t="shared" si="80"/>
        <v>2019</v>
      </c>
      <c r="C2293" s="9">
        <v>43566</v>
      </c>
      <c r="D2293">
        <v>6.5</v>
      </c>
    </row>
    <row r="2294" spans="1:4" x14ac:dyDescent="0.25">
      <c r="A2294" s="5">
        <f t="shared" si="79"/>
        <v>4</v>
      </c>
      <c r="B2294" s="5">
        <f t="shared" si="80"/>
        <v>2019</v>
      </c>
      <c r="C2294" s="9">
        <v>43567</v>
      </c>
      <c r="D2294">
        <v>6.5</v>
      </c>
    </row>
    <row r="2295" spans="1:4" x14ac:dyDescent="0.25">
      <c r="A2295" s="5">
        <f t="shared" si="79"/>
        <v>4</v>
      </c>
      <c r="B2295" s="5">
        <f t="shared" si="80"/>
        <v>2019</v>
      </c>
      <c r="C2295" s="9">
        <v>43568</v>
      </c>
      <c r="D2295">
        <v>6.5</v>
      </c>
    </row>
    <row r="2296" spans="1:4" x14ac:dyDescent="0.25">
      <c r="A2296" s="5">
        <f t="shared" si="79"/>
        <v>4</v>
      </c>
      <c r="B2296" s="5">
        <f t="shared" si="80"/>
        <v>2019</v>
      </c>
      <c r="C2296" s="9">
        <v>43569</v>
      </c>
      <c r="D2296">
        <v>6.5</v>
      </c>
    </row>
    <row r="2297" spans="1:4" x14ac:dyDescent="0.25">
      <c r="A2297" s="5">
        <f t="shared" si="79"/>
        <v>4</v>
      </c>
      <c r="B2297" s="5">
        <f t="shared" si="80"/>
        <v>2019</v>
      </c>
      <c r="C2297" s="9">
        <v>43570</v>
      </c>
      <c r="D2297">
        <v>6.5</v>
      </c>
    </row>
    <row r="2298" spans="1:4" x14ac:dyDescent="0.25">
      <c r="A2298" s="5">
        <f t="shared" si="79"/>
        <v>4</v>
      </c>
      <c r="B2298" s="5">
        <f t="shared" si="80"/>
        <v>2019</v>
      </c>
      <c r="C2298" s="9">
        <v>43571</v>
      </c>
      <c r="D2298">
        <v>6.5</v>
      </c>
    </row>
    <row r="2299" spans="1:4" x14ac:dyDescent="0.25">
      <c r="A2299" s="5">
        <f t="shared" si="79"/>
        <v>4</v>
      </c>
      <c r="B2299" s="5">
        <f t="shared" si="80"/>
        <v>2019</v>
      </c>
      <c r="C2299" s="9">
        <v>43572</v>
      </c>
      <c r="D2299">
        <v>6.5</v>
      </c>
    </row>
    <row r="2300" spans="1:4" x14ac:dyDescent="0.25">
      <c r="A2300" s="5">
        <f t="shared" si="79"/>
        <v>4</v>
      </c>
      <c r="B2300" s="5">
        <f t="shared" si="80"/>
        <v>2019</v>
      </c>
      <c r="C2300" s="9">
        <v>43573</v>
      </c>
      <c r="D2300">
        <v>6.5</v>
      </c>
    </row>
    <row r="2301" spans="1:4" x14ac:dyDescent="0.25">
      <c r="A2301" s="5">
        <f t="shared" si="79"/>
        <v>4</v>
      </c>
      <c r="B2301" s="5">
        <f t="shared" si="80"/>
        <v>2019</v>
      </c>
      <c r="C2301" s="9">
        <v>43574</v>
      </c>
      <c r="D2301">
        <v>6.5</v>
      </c>
    </row>
    <row r="2302" spans="1:4" x14ac:dyDescent="0.25">
      <c r="A2302" s="5">
        <f t="shared" si="79"/>
        <v>4</v>
      </c>
      <c r="B2302" s="5">
        <f t="shared" si="80"/>
        <v>2019</v>
      </c>
      <c r="C2302" s="9">
        <v>43575</v>
      </c>
      <c r="D2302">
        <v>6.5</v>
      </c>
    </row>
    <row r="2303" spans="1:4" x14ac:dyDescent="0.25">
      <c r="A2303" s="5">
        <f t="shared" si="79"/>
        <v>4</v>
      </c>
      <c r="B2303" s="5">
        <f t="shared" si="80"/>
        <v>2019</v>
      </c>
      <c r="C2303" s="9">
        <v>43576</v>
      </c>
      <c r="D2303">
        <v>6.5</v>
      </c>
    </row>
    <row r="2304" spans="1:4" x14ac:dyDescent="0.25">
      <c r="A2304" s="5">
        <f t="shared" si="79"/>
        <v>4</v>
      </c>
      <c r="B2304" s="5">
        <f t="shared" si="80"/>
        <v>2019</v>
      </c>
      <c r="C2304" s="9">
        <v>43577</v>
      </c>
      <c r="D2304">
        <v>6.5</v>
      </c>
    </row>
    <row r="2305" spans="1:4" x14ac:dyDescent="0.25">
      <c r="A2305" s="5">
        <f t="shared" si="79"/>
        <v>4</v>
      </c>
      <c r="B2305" s="5">
        <f t="shared" si="80"/>
        <v>2019</v>
      </c>
      <c r="C2305" s="9">
        <v>43578</v>
      </c>
      <c r="D2305">
        <v>6.5</v>
      </c>
    </row>
    <row r="2306" spans="1:4" x14ac:dyDescent="0.25">
      <c r="A2306" s="5">
        <f t="shared" si="79"/>
        <v>4</v>
      </c>
      <c r="B2306" s="5">
        <f t="shared" si="80"/>
        <v>2019</v>
      </c>
      <c r="C2306" s="9">
        <v>43579</v>
      </c>
      <c r="D2306">
        <v>6.5</v>
      </c>
    </row>
    <row r="2307" spans="1:4" x14ac:dyDescent="0.25">
      <c r="A2307" s="5">
        <f t="shared" ref="A2307:A2370" si="81">MONTH(C2307)</f>
        <v>4</v>
      </c>
      <c r="B2307" s="5">
        <f t="shared" ref="B2307:B2370" si="82">YEAR(C2307)</f>
        <v>2019</v>
      </c>
      <c r="C2307" s="9">
        <v>43580</v>
      </c>
      <c r="D2307">
        <v>6.5</v>
      </c>
    </row>
    <row r="2308" spans="1:4" x14ac:dyDescent="0.25">
      <c r="A2308" s="5">
        <f t="shared" si="81"/>
        <v>4</v>
      </c>
      <c r="B2308" s="5">
        <f t="shared" si="82"/>
        <v>2019</v>
      </c>
      <c r="C2308" s="9">
        <v>43581</v>
      </c>
      <c r="D2308">
        <v>6.5</v>
      </c>
    </row>
    <row r="2309" spans="1:4" x14ac:dyDescent="0.25">
      <c r="A2309" s="5">
        <f t="shared" si="81"/>
        <v>4</v>
      </c>
      <c r="B2309" s="5">
        <f t="shared" si="82"/>
        <v>2019</v>
      </c>
      <c r="C2309" s="9">
        <v>43582</v>
      </c>
      <c r="D2309">
        <v>6.5</v>
      </c>
    </row>
    <row r="2310" spans="1:4" x14ac:dyDescent="0.25">
      <c r="A2310" s="5">
        <f t="shared" si="81"/>
        <v>4</v>
      </c>
      <c r="B2310" s="5">
        <f t="shared" si="82"/>
        <v>2019</v>
      </c>
      <c r="C2310" s="9">
        <v>43583</v>
      </c>
      <c r="D2310">
        <v>6.5</v>
      </c>
    </row>
    <row r="2311" spans="1:4" x14ac:dyDescent="0.25">
      <c r="A2311" s="5">
        <f t="shared" si="81"/>
        <v>4</v>
      </c>
      <c r="B2311" s="5">
        <f t="shared" si="82"/>
        <v>2019</v>
      </c>
      <c r="C2311" s="9">
        <v>43584</v>
      </c>
      <c r="D2311">
        <v>6.5</v>
      </c>
    </row>
    <row r="2312" spans="1:4" x14ac:dyDescent="0.25">
      <c r="A2312" s="5">
        <f t="shared" si="81"/>
        <v>4</v>
      </c>
      <c r="B2312" s="5">
        <f t="shared" si="82"/>
        <v>2019</v>
      </c>
      <c r="C2312" s="9">
        <v>43585</v>
      </c>
      <c r="D2312">
        <v>6.5</v>
      </c>
    </row>
    <row r="2313" spans="1:4" x14ac:dyDescent="0.25">
      <c r="A2313" s="5">
        <f t="shared" si="81"/>
        <v>5</v>
      </c>
      <c r="B2313" s="5">
        <f t="shared" si="82"/>
        <v>2019</v>
      </c>
      <c r="C2313" s="9">
        <v>43586</v>
      </c>
      <c r="D2313">
        <v>6.5</v>
      </c>
    </row>
    <row r="2314" spans="1:4" x14ac:dyDescent="0.25">
      <c r="A2314" s="5">
        <f t="shared" si="81"/>
        <v>5</v>
      </c>
      <c r="B2314" s="5">
        <f t="shared" si="82"/>
        <v>2019</v>
      </c>
      <c r="C2314" s="9">
        <v>43587</v>
      </c>
      <c r="D2314">
        <v>6.5</v>
      </c>
    </row>
    <row r="2315" spans="1:4" x14ac:dyDescent="0.25">
      <c r="A2315" s="5">
        <f t="shared" si="81"/>
        <v>5</v>
      </c>
      <c r="B2315" s="5">
        <f t="shared" si="82"/>
        <v>2019</v>
      </c>
      <c r="C2315" s="9">
        <v>43588</v>
      </c>
      <c r="D2315">
        <v>6.5</v>
      </c>
    </row>
    <row r="2316" spans="1:4" x14ac:dyDescent="0.25">
      <c r="A2316" s="5">
        <f t="shared" si="81"/>
        <v>5</v>
      </c>
      <c r="B2316" s="5">
        <f t="shared" si="82"/>
        <v>2019</v>
      </c>
      <c r="C2316" s="9">
        <v>43589</v>
      </c>
      <c r="D2316">
        <v>6.5</v>
      </c>
    </row>
    <row r="2317" spans="1:4" x14ac:dyDescent="0.25">
      <c r="A2317" s="5">
        <f t="shared" si="81"/>
        <v>5</v>
      </c>
      <c r="B2317" s="5">
        <f t="shared" si="82"/>
        <v>2019</v>
      </c>
      <c r="C2317" s="9">
        <v>43590</v>
      </c>
      <c r="D2317">
        <v>6.5</v>
      </c>
    </row>
    <row r="2318" spans="1:4" x14ac:dyDescent="0.25">
      <c r="A2318" s="5">
        <f t="shared" si="81"/>
        <v>5</v>
      </c>
      <c r="B2318" s="5">
        <f t="shared" si="82"/>
        <v>2019</v>
      </c>
      <c r="C2318" s="9">
        <v>43591</v>
      </c>
      <c r="D2318">
        <v>6.5</v>
      </c>
    </row>
    <row r="2319" spans="1:4" x14ac:dyDescent="0.25">
      <c r="A2319" s="5">
        <f t="shared" si="81"/>
        <v>5</v>
      </c>
      <c r="B2319" s="5">
        <f t="shared" si="82"/>
        <v>2019</v>
      </c>
      <c r="C2319" s="9">
        <v>43592</v>
      </c>
      <c r="D2319">
        <v>6.5</v>
      </c>
    </row>
    <row r="2320" spans="1:4" x14ac:dyDescent="0.25">
      <c r="A2320" s="5">
        <f t="shared" si="81"/>
        <v>5</v>
      </c>
      <c r="B2320" s="5">
        <f t="shared" si="82"/>
        <v>2019</v>
      </c>
      <c r="C2320" s="9">
        <v>43593</v>
      </c>
      <c r="D2320">
        <v>6.5</v>
      </c>
    </row>
    <row r="2321" spans="1:4" x14ac:dyDescent="0.25">
      <c r="A2321" s="5">
        <f t="shared" si="81"/>
        <v>5</v>
      </c>
      <c r="B2321" s="5">
        <f t="shared" si="82"/>
        <v>2019</v>
      </c>
      <c r="C2321" s="9">
        <v>43594</v>
      </c>
      <c r="D2321">
        <v>6.5</v>
      </c>
    </row>
    <row r="2322" spans="1:4" x14ac:dyDescent="0.25">
      <c r="A2322" s="5">
        <f t="shared" si="81"/>
        <v>5</v>
      </c>
      <c r="B2322" s="5">
        <f t="shared" si="82"/>
        <v>2019</v>
      </c>
      <c r="C2322" s="9">
        <v>43595</v>
      </c>
      <c r="D2322">
        <v>6.5</v>
      </c>
    </row>
    <row r="2323" spans="1:4" x14ac:dyDescent="0.25">
      <c r="A2323" s="5">
        <f t="shared" si="81"/>
        <v>5</v>
      </c>
      <c r="B2323" s="5">
        <f t="shared" si="82"/>
        <v>2019</v>
      </c>
      <c r="C2323" s="9">
        <v>43596</v>
      </c>
      <c r="D2323">
        <v>6.5</v>
      </c>
    </row>
    <row r="2324" spans="1:4" x14ac:dyDescent="0.25">
      <c r="A2324" s="5">
        <f t="shared" si="81"/>
        <v>5</v>
      </c>
      <c r="B2324" s="5">
        <f t="shared" si="82"/>
        <v>2019</v>
      </c>
      <c r="C2324" s="9">
        <v>43597</v>
      </c>
      <c r="D2324">
        <v>6.5</v>
      </c>
    </row>
    <row r="2325" spans="1:4" x14ac:dyDescent="0.25">
      <c r="A2325" s="5">
        <f t="shared" si="81"/>
        <v>5</v>
      </c>
      <c r="B2325" s="5">
        <f t="shared" si="82"/>
        <v>2019</v>
      </c>
      <c r="C2325" s="9">
        <v>43598</v>
      </c>
      <c r="D2325">
        <v>6.5</v>
      </c>
    </row>
    <row r="2326" spans="1:4" x14ac:dyDescent="0.25">
      <c r="A2326" s="5">
        <f t="shared" si="81"/>
        <v>5</v>
      </c>
      <c r="B2326" s="5">
        <f t="shared" si="82"/>
        <v>2019</v>
      </c>
      <c r="C2326" s="9">
        <v>43599</v>
      </c>
      <c r="D2326">
        <v>6.5</v>
      </c>
    </row>
    <row r="2327" spans="1:4" x14ac:dyDescent="0.25">
      <c r="A2327" s="5">
        <f t="shared" si="81"/>
        <v>5</v>
      </c>
      <c r="B2327" s="5">
        <f t="shared" si="82"/>
        <v>2019</v>
      </c>
      <c r="C2327" s="9">
        <v>43600</v>
      </c>
      <c r="D2327">
        <v>6.5</v>
      </c>
    </row>
    <row r="2328" spans="1:4" x14ac:dyDescent="0.25">
      <c r="A2328" s="5">
        <f t="shared" si="81"/>
        <v>5</v>
      </c>
      <c r="B2328" s="5">
        <f t="shared" si="82"/>
        <v>2019</v>
      </c>
      <c r="C2328" s="9">
        <v>43601</v>
      </c>
      <c r="D2328">
        <v>6.5</v>
      </c>
    </row>
    <row r="2329" spans="1:4" x14ac:dyDescent="0.25">
      <c r="A2329" s="5">
        <f t="shared" si="81"/>
        <v>5</v>
      </c>
      <c r="B2329" s="5">
        <f t="shared" si="82"/>
        <v>2019</v>
      </c>
      <c r="C2329" s="9">
        <v>43602</v>
      </c>
      <c r="D2329">
        <v>6.5</v>
      </c>
    </row>
    <row r="2330" spans="1:4" x14ac:dyDescent="0.25">
      <c r="A2330" s="5">
        <f t="shared" si="81"/>
        <v>5</v>
      </c>
      <c r="B2330" s="5">
        <f t="shared" si="82"/>
        <v>2019</v>
      </c>
      <c r="C2330" s="9">
        <v>43603</v>
      </c>
      <c r="D2330">
        <v>6.5</v>
      </c>
    </row>
    <row r="2331" spans="1:4" x14ac:dyDescent="0.25">
      <c r="A2331" s="5">
        <f t="shared" si="81"/>
        <v>5</v>
      </c>
      <c r="B2331" s="5">
        <f t="shared" si="82"/>
        <v>2019</v>
      </c>
      <c r="C2331" s="9">
        <v>43604</v>
      </c>
      <c r="D2331">
        <v>6.5</v>
      </c>
    </row>
    <row r="2332" spans="1:4" x14ac:dyDescent="0.25">
      <c r="A2332" s="5">
        <f t="shared" si="81"/>
        <v>5</v>
      </c>
      <c r="B2332" s="5">
        <f t="shared" si="82"/>
        <v>2019</v>
      </c>
      <c r="C2332" s="9">
        <v>43605</v>
      </c>
      <c r="D2332">
        <v>6.5</v>
      </c>
    </row>
    <row r="2333" spans="1:4" x14ac:dyDescent="0.25">
      <c r="A2333" s="5">
        <f t="shared" si="81"/>
        <v>5</v>
      </c>
      <c r="B2333" s="5">
        <f t="shared" si="82"/>
        <v>2019</v>
      </c>
      <c r="C2333" s="9">
        <v>43606</v>
      </c>
      <c r="D2333">
        <v>6.5</v>
      </c>
    </row>
    <row r="2334" spans="1:4" x14ac:dyDescent="0.25">
      <c r="A2334" s="5">
        <f t="shared" si="81"/>
        <v>5</v>
      </c>
      <c r="B2334" s="5">
        <f t="shared" si="82"/>
        <v>2019</v>
      </c>
      <c r="C2334" s="9">
        <v>43607</v>
      </c>
      <c r="D2334">
        <v>6.5</v>
      </c>
    </row>
    <row r="2335" spans="1:4" x14ac:dyDescent="0.25">
      <c r="A2335" s="5">
        <f t="shared" si="81"/>
        <v>5</v>
      </c>
      <c r="B2335" s="5">
        <f t="shared" si="82"/>
        <v>2019</v>
      </c>
      <c r="C2335" s="9">
        <v>43608</v>
      </c>
      <c r="D2335">
        <v>6.5</v>
      </c>
    </row>
    <row r="2336" spans="1:4" x14ac:dyDescent="0.25">
      <c r="A2336" s="5">
        <f t="shared" si="81"/>
        <v>5</v>
      </c>
      <c r="B2336" s="5">
        <f t="shared" si="82"/>
        <v>2019</v>
      </c>
      <c r="C2336" s="9">
        <v>43609</v>
      </c>
      <c r="D2336">
        <v>6.5</v>
      </c>
    </row>
    <row r="2337" spans="1:4" x14ac:dyDescent="0.25">
      <c r="A2337" s="5">
        <f t="shared" si="81"/>
        <v>5</v>
      </c>
      <c r="B2337" s="5">
        <f t="shared" si="82"/>
        <v>2019</v>
      </c>
      <c r="C2337" s="9">
        <v>43610</v>
      </c>
      <c r="D2337">
        <v>6.5</v>
      </c>
    </row>
    <row r="2338" spans="1:4" x14ac:dyDescent="0.25">
      <c r="A2338" s="5">
        <f t="shared" si="81"/>
        <v>5</v>
      </c>
      <c r="B2338" s="5">
        <f t="shared" si="82"/>
        <v>2019</v>
      </c>
      <c r="C2338" s="9">
        <v>43611</v>
      </c>
      <c r="D2338">
        <v>6.5</v>
      </c>
    </row>
    <row r="2339" spans="1:4" x14ac:dyDescent="0.25">
      <c r="A2339" s="5">
        <f t="shared" si="81"/>
        <v>5</v>
      </c>
      <c r="B2339" s="5">
        <f t="shared" si="82"/>
        <v>2019</v>
      </c>
      <c r="C2339" s="9">
        <v>43612</v>
      </c>
      <c r="D2339">
        <v>6.5</v>
      </c>
    </row>
    <row r="2340" spans="1:4" x14ac:dyDescent="0.25">
      <c r="A2340" s="5">
        <f t="shared" si="81"/>
        <v>5</v>
      </c>
      <c r="B2340" s="5">
        <f t="shared" si="82"/>
        <v>2019</v>
      </c>
      <c r="C2340" s="9">
        <v>43613</v>
      </c>
      <c r="D2340">
        <v>6.5</v>
      </c>
    </row>
    <row r="2341" spans="1:4" x14ac:dyDescent="0.25">
      <c r="A2341" s="5">
        <f t="shared" si="81"/>
        <v>5</v>
      </c>
      <c r="B2341" s="5">
        <f t="shared" si="82"/>
        <v>2019</v>
      </c>
      <c r="C2341" s="9">
        <v>43614</v>
      </c>
      <c r="D2341">
        <v>6.5</v>
      </c>
    </row>
    <row r="2342" spans="1:4" x14ac:dyDescent="0.25">
      <c r="A2342" s="5">
        <f t="shared" si="81"/>
        <v>5</v>
      </c>
      <c r="B2342" s="5">
        <f t="shared" si="82"/>
        <v>2019</v>
      </c>
      <c r="C2342" s="9">
        <v>43615</v>
      </c>
      <c r="D2342">
        <v>6.5</v>
      </c>
    </row>
    <row r="2343" spans="1:4" x14ac:dyDescent="0.25">
      <c r="A2343" s="5">
        <f t="shared" si="81"/>
        <v>5</v>
      </c>
      <c r="B2343" s="5">
        <f t="shared" si="82"/>
        <v>2019</v>
      </c>
      <c r="C2343" s="9">
        <v>43616</v>
      </c>
      <c r="D2343">
        <v>6.5</v>
      </c>
    </row>
    <row r="2344" spans="1:4" x14ac:dyDescent="0.25">
      <c r="A2344" s="5">
        <f t="shared" si="81"/>
        <v>6</v>
      </c>
      <c r="B2344" s="5">
        <f t="shared" si="82"/>
        <v>2019</v>
      </c>
      <c r="C2344" s="9">
        <v>43617</v>
      </c>
      <c r="D2344">
        <v>6.5</v>
      </c>
    </row>
    <row r="2345" spans="1:4" x14ac:dyDescent="0.25">
      <c r="A2345" s="5">
        <f t="shared" si="81"/>
        <v>6</v>
      </c>
      <c r="B2345" s="5">
        <f t="shared" si="82"/>
        <v>2019</v>
      </c>
      <c r="C2345" s="9">
        <v>43618</v>
      </c>
      <c r="D2345">
        <v>6.5</v>
      </c>
    </row>
    <row r="2346" spans="1:4" x14ac:dyDescent="0.25">
      <c r="A2346" s="5">
        <f t="shared" si="81"/>
        <v>6</v>
      </c>
      <c r="B2346" s="5">
        <f t="shared" si="82"/>
        <v>2019</v>
      </c>
      <c r="C2346" s="9">
        <v>43619</v>
      </c>
      <c r="D2346">
        <v>6.5</v>
      </c>
    </row>
    <row r="2347" spans="1:4" x14ac:dyDescent="0.25">
      <c r="A2347" s="5">
        <f t="shared" si="81"/>
        <v>6</v>
      </c>
      <c r="B2347" s="5">
        <f t="shared" si="82"/>
        <v>2019</v>
      </c>
      <c r="C2347" s="9">
        <v>43620</v>
      </c>
      <c r="D2347">
        <v>6.5</v>
      </c>
    </row>
    <row r="2348" spans="1:4" x14ac:dyDescent="0.25">
      <c r="A2348" s="5">
        <f t="shared" si="81"/>
        <v>6</v>
      </c>
      <c r="B2348" s="5">
        <f t="shared" si="82"/>
        <v>2019</v>
      </c>
      <c r="C2348" s="9">
        <v>43621</v>
      </c>
      <c r="D2348">
        <v>6.5</v>
      </c>
    </row>
    <row r="2349" spans="1:4" x14ac:dyDescent="0.25">
      <c r="A2349" s="5">
        <f t="shared" si="81"/>
        <v>6</v>
      </c>
      <c r="B2349" s="5">
        <f t="shared" si="82"/>
        <v>2019</v>
      </c>
      <c r="C2349" s="9">
        <v>43622</v>
      </c>
      <c r="D2349">
        <v>6.5</v>
      </c>
    </row>
    <row r="2350" spans="1:4" x14ac:dyDescent="0.25">
      <c r="A2350" s="5">
        <f t="shared" si="81"/>
        <v>6</v>
      </c>
      <c r="B2350" s="5">
        <f t="shared" si="82"/>
        <v>2019</v>
      </c>
      <c r="C2350" s="9">
        <v>43623</v>
      </c>
      <c r="D2350">
        <v>6.5</v>
      </c>
    </row>
    <row r="2351" spans="1:4" x14ac:dyDescent="0.25">
      <c r="A2351" s="5">
        <f t="shared" si="81"/>
        <v>6</v>
      </c>
      <c r="B2351" s="5">
        <f t="shared" si="82"/>
        <v>2019</v>
      </c>
      <c r="C2351" s="9">
        <v>43624</v>
      </c>
      <c r="D2351">
        <v>6.5</v>
      </c>
    </row>
    <row r="2352" spans="1:4" x14ac:dyDescent="0.25">
      <c r="A2352" s="5">
        <f t="shared" si="81"/>
        <v>6</v>
      </c>
      <c r="B2352" s="5">
        <f t="shared" si="82"/>
        <v>2019</v>
      </c>
      <c r="C2352" s="9">
        <v>43625</v>
      </c>
      <c r="D2352">
        <v>6.5</v>
      </c>
    </row>
    <row r="2353" spans="1:4" x14ac:dyDescent="0.25">
      <c r="A2353" s="5">
        <f t="shared" si="81"/>
        <v>6</v>
      </c>
      <c r="B2353" s="5">
        <f t="shared" si="82"/>
        <v>2019</v>
      </c>
      <c r="C2353" s="9">
        <v>43626</v>
      </c>
      <c r="D2353">
        <v>6.5</v>
      </c>
    </row>
    <row r="2354" spans="1:4" x14ac:dyDescent="0.25">
      <c r="A2354" s="5">
        <f t="shared" si="81"/>
        <v>6</v>
      </c>
      <c r="B2354" s="5">
        <f t="shared" si="82"/>
        <v>2019</v>
      </c>
      <c r="C2354" s="9">
        <v>43627</v>
      </c>
      <c r="D2354">
        <v>6.5</v>
      </c>
    </row>
    <row r="2355" spans="1:4" x14ac:dyDescent="0.25">
      <c r="A2355" s="5">
        <f t="shared" si="81"/>
        <v>6</v>
      </c>
      <c r="B2355" s="5">
        <f t="shared" si="82"/>
        <v>2019</v>
      </c>
      <c r="C2355" s="9">
        <v>43628</v>
      </c>
      <c r="D2355">
        <v>6.5</v>
      </c>
    </row>
    <row r="2356" spans="1:4" x14ac:dyDescent="0.25">
      <c r="A2356" s="5">
        <f t="shared" si="81"/>
        <v>6</v>
      </c>
      <c r="B2356" s="5">
        <f t="shared" si="82"/>
        <v>2019</v>
      </c>
      <c r="C2356" s="9">
        <v>43629</v>
      </c>
      <c r="D2356">
        <v>6.5</v>
      </c>
    </row>
    <row r="2357" spans="1:4" x14ac:dyDescent="0.25">
      <c r="A2357" s="5">
        <f t="shared" si="81"/>
        <v>6</v>
      </c>
      <c r="B2357" s="5">
        <f t="shared" si="82"/>
        <v>2019</v>
      </c>
      <c r="C2357" s="9">
        <v>43630</v>
      </c>
      <c r="D2357">
        <v>6.5</v>
      </c>
    </row>
    <row r="2358" spans="1:4" x14ac:dyDescent="0.25">
      <c r="A2358" s="5">
        <f t="shared" si="81"/>
        <v>6</v>
      </c>
      <c r="B2358" s="5">
        <f t="shared" si="82"/>
        <v>2019</v>
      </c>
      <c r="C2358" s="9">
        <v>43631</v>
      </c>
      <c r="D2358">
        <v>6.5</v>
      </c>
    </row>
    <row r="2359" spans="1:4" x14ac:dyDescent="0.25">
      <c r="A2359" s="5">
        <f t="shared" si="81"/>
        <v>6</v>
      </c>
      <c r="B2359" s="5">
        <f t="shared" si="82"/>
        <v>2019</v>
      </c>
      <c r="C2359" s="9">
        <v>43632</v>
      </c>
      <c r="D2359">
        <v>6.5</v>
      </c>
    </row>
    <row r="2360" spans="1:4" x14ac:dyDescent="0.25">
      <c r="A2360" s="5">
        <f t="shared" si="81"/>
        <v>6</v>
      </c>
      <c r="B2360" s="5">
        <f t="shared" si="82"/>
        <v>2019</v>
      </c>
      <c r="C2360" s="9">
        <v>43633</v>
      </c>
      <c r="D2360">
        <v>6.5</v>
      </c>
    </row>
    <row r="2361" spans="1:4" x14ac:dyDescent="0.25">
      <c r="A2361" s="5">
        <f t="shared" si="81"/>
        <v>6</v>
      </c>
      <c r="B2361" s="5">
        <f t="shared" si="82"/>
        <v>2019</v>
      </c>
      <c r="C2361" s="9">
        <v>43634</v>
      </c>
      <c r="D2361">
        <v>6.5</v>
      </c>
    </row>
    <row r="2362" spans="1:4" x14ac:dyDescent="0.25">
      <c r="A2362" s="5">
        <f t="shared" si="81"/>
        <v>6</v>
      </c>
      <c r="B2362" s="5">
        <f t="shared" si="82"/>
        <v>2019</v>
      </c>
      <c r="C2362" s="9">
        <v>43635</v>
      </c>
      <c r="D2362">
        <v>6.5</v>
      </c>
    </row>
    <row r="2363" spans="1:4" x14ac:dyDescent="0.25">
      <c r="A2363" s="5">
        <f t="shared" si="81"/>
        <v>6</v>
      </c>
      <c r="B2363" s="5">
        <f t="shared" si="82"/>
        <v>2019</v>
      </c>
      <c r="C2363" s="9">
        <v>43636</v>
      </c>
      <c r="D2363">
        <v>6.5</v>
      </c>
    </row>
    <row r="2364" spans="1:4" x14ac:dyDescent="0.25">
      <c r="A2364" s="5">
        <f t="shared" si="81"/>
        <v>6</v>
      </c>
      <c r="B2364" s="5">
        <f t="shared" si="82"/>
        <v>2019</v>
      </c>
      <c r="C2364" s="9">
        <v>43637</v>
      </c>
      <c r="D2364">
        <v>6.5</v>
      </c>
    </row>
    <row r="2365" spans="1:4" x14ac:dyDescent="0.25">
      <c r="A2365" s="5">
        <f t="shared" si="81"/>
        <v>6</v>
      </c>
      <c r="B2365" s="5">
        <f t="shared" si="82"/>
        <v>2019</v>
      </c>
      <c r="C2365" s="9">
        <v>43638</v>
      </c>
      <c r="D2365">
        <v>6.5</v>
      </c>
    </row>
    <row r="2366" spans="1:4" x14ac:dyDescent="0.25">
      <c r="A2366" s="5">
        <f t="shared" si="81"/>
        <v>6</v>
      </c>
      <c r="B2366" s="5">
        <f t="shared" si="82"/>
        <v>2019</v>
      </c>
      <c r="C2366" s="9">
        <v>43639</v>
      </c>
      <c r="D2366">
        <v>6.5</v>
      </c>
    </row>
    <row r="2367" spans="1:4" x14ac:dyDescent="0.25">
      <c r="A2367" s="5">
        <f t="shared" si="81"/>
        <v>6</v>
      </c>
      <c r="B2367" s="5">
        <f t="shared" si="82"/>
        <v>2019</v>
      </c>
      <c r="C2367" s="9">
        <v>43640</v>
      </c>
      <c r="D2367">
        <v>6.5</v>
      </c>
    </row>
    <row r="2368" spans="1:4" x14ac:dyDescent="0.25">
      <c r="A2368" s="5">
        <f t="shared" si="81"/>
        <v>6</v>
      </c>
      <c r="B2368" s="5">
        <f t="shared" si="82"/>
        <v>2019</v>
      </c>
      <c r="C2368" s="9">
        <v>43641</v>
      </c>
      <c r="D2368">
        <v>6.5</v>
      </c>
    </row>
    <row r="2369" spans="1:4" x14ac:dyDescent="0.25">
      <c r="A2369" s="5">
        <f t="shared" si="81"/>
        <v>6</v>
      </c>
      <c r="B2369" s="5">
        <f t="shared" si="82"/>
        <v>2019</v>
      </c>
      <c r="C2369" s="9">
        <v>43642</v>
      </c>
      <c r="D2369">
        <v>6.5</v>
      </c>
    </row>
    <row r="2370" spans="1:4" x14ac:dyDescent="0.25">
      <c r="A2370" s="5">
        <f t="shared" si="81"/>
        <v>6</v>
      </c>
      <c r="B2370" s="5">
        <f t="shared" si="82"/>
        <v>2019</v>
      </c>
      <c r="C2370" s="9">
        <v>43643</v>
      </c>
      <c r="D2370">
        <v>6.5</v>
      </c>
    </row>
    <row r="2371" spans="1:4" x14ac:dyDescent="0.25">
      <c r="A2371" s="5">
        <f t="shared" ref="A2371:A2434" si="83">MONTH(C2371)</f>
        <v>6</v>
      </c>
      <c r="B2371" s="5">
        <f t="shared" ref="B2371:B2434" si="84">YEAR(C2371)</f>
        <v>2019</v>
      </c>
      <c r="C2371" s="9">
        <v>43644</v>
      </c>
      <c r="D2371">
        <v>6.5</v>
      </c>
    </row>
    <row r="2372" spans="1:4" x14ac:dyDescent="0.25">
      <c r="A2372" s="5">
        <f t="shared" si="83"/>
        <v>6</v>
      </c>
      <c r="B2372" s="5">
        <f t="shared" si="84"/>
        <v>2019</v>
      </c>
      <c r="C2372" s="9">
        <v>43645</v>
      </c>
      <c r="D2372">
        <v>6.5</v>
      </c>
    </row>
    <row r="2373" spans="1:4" x14ac:dyDescent="0.25">
      <c r="A2373" s="5">
        <f t="shared" si="83"/>
        <v>6</v>
      </c>
      <c r="B2373" s="5">
        <f t="shared" si="84"/>
        <v>2019</v>
      </c>
      <c r="C2373" s="9">
        <v>43646</v>
      </c>
      <c r="D2373">
        <v>6.5</v>
      </c>
    </row>
    <row r="2374" spans="1:4" x14ac:dyDescent="0.25">
      <c r="A2374" s="5">
        <f t="shared" si="83"/>
        <v>7</v>
      </c>
      <c r="B2374" s="5">
        <f t="shared" si="84"/>
        <v>2019</v>
      </c>
      <c r="C2374" s="9">
        <v>43647</v>
      </c>
      <c r="D2374">
        <v>6.5</v>
      </c>
    </row>
    <row r="2375" spans="1:4" x14ac:dyDescent="0.25">
      <c r="A2375" s="5">
        <f t="shared" si="83"/>
        <v>7</v>
      </c>
      <c r="B2375" s="5">
        <f t="shared" si="84"/>
        <v>2019</v>
      </c>
      <c r="C2375" s="9">
        <v>43648</v>
      </c>
      <c r="D2375">
        <v>6.5</v>
      </c>
    </row>
    <row r="2376" spans="1:4" x14ac:dyDescent="0.25">
      <c r="A2376" s="5">
        <f t="shared" si="83"/>
        <v>7</v>
      </c>
      <c r="B2376" s="5">
        <f t="shared" si="84"/>
        <v>2019</v>
      </c>
      <c r="C2376" s="9">
        <v>43649</v>
      </c>
      <c r="D2376">
        <v>6.5</v>
      </c>
    </row>
    <row r="2377" spans="1:4" x14ac:dyDescent="0.25">
      <c r="A2377" s="5">
        <f t="shared" si="83"/>
        <v>7</v>
      </c>
      <c r="B2377" s="5">
        <f t="shared" si="84"/>
        <v>2019</v>
      </c>
      <c r="C2377" s="9">
        <v>43650</v>
      </c>
      <c r="D2377">
        <v>6.5</v>
      </c>
    </row>
    <row r="2378" spans="1:4" x14ac:dyDescent="0.25">
      <c r="A2378" s="5">
        <f t="shared" si="83"/>
        <v>7</v>
      </c>
      <c r="B2378" s="5">
        <f t="shared" si="84"/>
        <v>2019</v>
      </c>
      <c r="C2378" s="9">
        <v>43651</v>
      </c>
      <c r="D2378">
        <v>6.5</v>
      </c>
    </row>
    <row r="2379" spans="1:4" x14ac:dyDescent="0.25">
      <c r="A2379" s="5">
        <f t="shared" si="83"/>
        <v>7</v>
      </c>
      <c r="B2379" s="5">
        <f t="shared" si="84"/>
        <v>2019</v>
      </c>
      <c r="C2379" s="9">
        <v>43652</v>
      </c>
      <c r="D2379">
        <v>6.5</v>
      </c>
    </row>
    <row r="2380" spans="1:4" x14ac:dyDescent="0.25">
      <c r="A2380" s="5">
        <f t="shared" si="83"/>
        <v>7</v>
      </c>
      <c r="B2380" s="5">
        <f t="shared" si="84"/>
        <v>2019</v>
      </c>
      <c r="C2380" s="9">
        <v>43653</v>
      </c>
      <c r="D2380">
        <v>6.5</v>
      </c>
    </row>
    <row r="2381" spans="1:4" x14ac:dyDescent="0.25">
      <c r="A2381" s="5">
        <f t="shared" si="83"/>
        <v>7</v>
      </c>
      <c r="B2381" s="5">
        <f t="shared" si="84"/>
        <v>2019</v>
      </c>
      <c r="C2381" s="9">
        <v>43654</v>
      </c>
      <c r="D2381">
        <v>6.5</v>
      </c>
    </row>
    <row r="2382" spans="1:4" x14ac:dyDescent="0.25">
      <c r="A2382" s="5">
        <f t="shared" si="83"/>
        <v>7</v>
      </c>
      <c r="B2382" s="5">
        <f t="shared" si="84"/>
        <v>2019</v>
      </c>
      <c r="C2382" s="9">
        <v>43655</v>
      </c>
      <c r="D2382">
        <v>6.5</v>
      </c>
    </row>
    <row r="2383" spans="1:4" x14ac:dyDescent="0.25">
      <c r="A2383" s="5">
        <f t="shared" si="83"/>
        <v>7</v>
      </c>
      <c r="B2383" s="5">
        <f t="shared" si="84"/>
        <v>2019</v>
      </c>
      <c r="C2383" s="9">
        <v>43656</v>
      </c>
      <c r="D2383">
        <v>6.5</v>
      </c>
    </row>
    <row r="2384" spans="1:4" x14ac:dyDescent="0.25">
      <c r="A2384" s="5">
        <f t="shared" si="83"/>
        <v>7</v>
      </c>
      <c r="B2384" s="5">
        <f t="shared" si="84"/>
        <v>2019</v>
      </c>
      <c r="C2384" s="9">
        <v>43657</v>
      </c>
      <c r="D2384">
        <v>6.5</v>
      </c>
    </row>
    <row r="2385" spans="1:4" x14ac:dyDescent="0.25">
      <c r="A2385" s="5">
        <f t="shared" si="83"/>
        <v>7</v>
      </c>
      <c r="B2385" s="5">
        <f t="shared" si="84"/>
        <v>2019</v>
      </c>
      <c r="C2385" s="9">
        <v>43658</v>
      </c>
      <c r="D2385">
        <v>6.5</v>
      </c>
    </row>
    <row r="2386" spans="1:4" x14ac:dyDescent="0.25">
      <c r="A2386" s="5">
        <f t="shared" si="83"/>
        <v>7</v>
      </c>
      <c r="B2386" s="5">
        <f t="shared" si="84"/>
        <v>2019</v>
      </c>
      <c r="C2386" s="9">
        <v>43659</v>
      </c>
      <c r="D2386">
        <v>6.5</v>
      </c>
    </row>
    <row r="2387" spans="1:4" x14ac:dyDescent="0.25">
      <c r="A2387" s="5">
        <f t="shared" si="83"/>
        <v>7</v>
      </c>
      <c r="B2387" s="5">
        <f t="shared" si="84"/>
        <v>2019</v>
      </c>
      <c r="C2387" s="9">
        <v>43660</v>
      </c>
      <c r="D2387">
        <v>6.5</v>
      </c>
    </row>
    <row r="2388" spans="1:4" x14ac:dyDescent="0.25">
      <c r="A2388" s="5">
        <f t="shared" si="83"/>
        <v>7</v>
      </c>
      <c r="B2388" s="5">
        <f t="shared" si="84"/>
        <v>2019</v>
      </c>
      <c r="C2388" s="9">
        <v>43661</v>
      </c>
      <c r="D2388">
        <v>6.5</v>
      </c>
    </row>
    <row r="2389" spans="1:4" x14ac:dyDescent="0.25">
      <c r="A2389" s="5">
        <f t="shared" si="83"/>
        <v>7</v>
      </c>
      <c r="B2389" s="5">
        <f t="shared" si="84"/>
        <v>2019</v>
      </c>
      <c r="C2389" s="9">
        <v>43662</v>
      </c>
      <c r="D2389">
        <v>6.5</v>
      </c>
    </row>
    <row r="2390" spans="1:4" x14ac:dyDescent="0.25">
      <c r="A2390" s="5">
        <f t="shared" si="83"/>
        <v>7</v>
      </c>
      <c r="B2390" s="5">
        <f t="shared" si="84"/>
        <v>2019</v>
      </c>
      <c r="C2390" s="9">
        <v>43663</v>
      </c>
      <c r="D2390">
        <v>6.5</v>
      </c>
    </row>
    <row r="2391" spans="1:4" x14ac:dyDescent="0.25">
      <c r="A2391" s="5">
        <f t="shared" si="83"/>
        <v>7</v>
      </c>
      <c r="B2391" s="5">
        <f t="shared" si="84"/>
        <v>2019</v>
      </c>
      <c r="C2391" s="9">
        <v>43664</v>
      </c>
      <c r="D2391">
        <v>6.5</v>
      </c>
    </row>
    <row r="2392" spans="1:4" x14ac:dyDescent="0.25">
      <c r="A2392" s="5">
        <f t="shared" si="83"/>
        <v>7</v>
      </c>
      <c r="B2392" s="5">
        <f t="shared" si="84"/>
        <v>2019</v>
      </c>
      <c r="C2392" s="9">
        <v>43665</v>
      </c>
      <c r="D2392">
        <v>6.5</v>
      </c>
    </row>
    <row r="2393" spans="1:4" x14ac:dyDescent="0.25">
      <c r="A2393" s="5">
        <f t="shared" si="83"/>
        <v>7</v>
      </c>
      <c r="B2393" s="5">
        <f t="shared" si="84"/>
        <v>2019</v>
      </c>
      <c r="C2393" s="9">
        <v>43666</v>
      </c>
      <c r="D2393">
        <v>6.5</v>
      </c>
    </row>
    <row r="2394" spans="1:4" x14ac:dyDescent="0.25">
      <c r="A2394" s="5">
        <f t="shared" si="83"/>
        <v>7</v>
      </c>
      <c r="B2394" s="5">
        <f t="shared" si="84"/>
        <v>2019</v>
      </c>
      <c r="C2394" s="9">
        <v>43667</v>
      </c>
      <c r="D2394">
        <v>6.5</v>
      </c>
    </row>
    <row r="2395" spans="1:4" x14ac:dyDescent="0.25">
      <c r="A2395" s="5">
        <f t="shared" si="83"/>
        <v>7</v>
      </c>
      <c r="B2395" s="5">
        <f t="shared" si="84"/>
        <v>2019</v>
      </c>
      <c r="C2395" s="9">
        <v>43668</v>
      </c>
      <c r="D2395">
        <v>6.5</v>
      </c>
    </row>
    <row r="2396" spans="1:4" x14ac:dyDescent="0.25">
      <c r="A2396" s="5">
        <f t="shared" si="83"/>
        <v>7</v>
      </c>
      <c r="B2396" s="5">
        <f t="shared" si="84"/>
        <v>2019</v>
      </c>
      <c r="C2396" s="9">
        <v>43669</v>
      </c>
      <c r="D2396">
        <v>6.5</v>
      </c>
    </row>
    <row r="2397" spans="1:4" x14ac:dyDescent="0.25">
      <c r="A2397" s="5">
        <f t="shared" si="83"/>
        <v>7</v>
      </c>
      <c r="B2397" s="5">
        <f t="shared" si="84"/>
        <v>2019</v>
      </c>
      <c r="C2397" s="9">
        <v>43670</v>
      </c>
      <c r="D2397">
        <v>6.5</v>
      </c>
    </row>
    <row r="2398" spans="1:4" x14ac:dyDescent="0.25">
      <c r="A2398" s="5">
        <f t="shared" si="83"/>
        <v>7</v>
      </c>
      <c r="B2398" s="5">
        <f t="shared" si="84"/>
        <v>2019</v>
      </c>
      <c r="C2398" s="9">
        <v>43671</v>
      </c>
      <c r="D2398">
        <v>6.5</v>
      </c>
    </row>
    <row r="2399" spans="1:4" x14ac:dyDescent="0.25">
      <c r="A2399" s="5">
        <f t="shared" si="83"/>
        <v>7</v>
      </c>
      <c r="B2399" s="5">
        <f t="shared" si="84"/>
        <v>2019</v>
      </c>
      <c r="C2399" s="9">
        <v>43672</v>
      </c>
      <c r="D2399">
        <v>6.5</v>
      </c>
    </row>
    <row r="2400" spans="1:4" x14ac:dyDescent="0.25">
      <c r="A2400" s="5">
        <f t="shared" si="83"/>
        <v>7</v>
      </c>
      <c r="B2400" s="5">
        <f t="shared" si="84"/>
        <v>2019</v>
      </c>
      <c r="C2400" s="9">
        <v>43673</v>
      </c>
      <c r="D2400">
        <v>6.5</v>
      </c>
    </row>
    <row r="2401" spans="1:4" x14ac:dyDescent="0.25">
      <c r="A2401" s="5">
        <f t="shared" si="83"/>
        <v>7</v>
      </c>
      <c r="B2401" s="5">
        <f t="shared" si="84"/>
        <v>2019</v>
      </c>
      <c r="C2401" s="9">
        <v>43674</v>
      </c>
      <c r="D2401">
        <v>6.5</v>
      </c>
    </row>
    <row r="2402" spans="1:4" x14ac:dyDescent="0.25">
      <c r="A2402" s="5">
        <f t="shared" si="83"/>
        <v>7</v>
      </c>
      <c r="B2402" s="5">
        <f t="shared" si="84"/>
        <v>2019</v>
      </c>
      <c r="C2402" s="9">
        <v>43675</v>
      </c>
      <c r="D2402">
        <v>6.5</v>
      </c>
    </row>
    <row r="2403" spans="1:4" x14ac:dyDescent="0.25">
      <c r="A2403" s="5">
        <f t="shared" si="83"/>
        <v>7</v>
      </c>
      <c r="B2403" s="5">
        <f t="shared" si="84"/>
        <v>2019</v>
      </c>
      <c r="C2403" s="9">
        <v>43676</v>
      </c>
      <c r="D2403">
        <v>6.5</v>
      </c>
    </row>
    <row r="2404" spans="1:4" x14ac:dyDescent="0.25">
      <c r="A2404" s="5">
        <f t="shared" si="83"/>
        <v>7</v>
      </c>
      <c r="B2404" s="5">
        <f t="shared" si="84"/>
        <v>2019</v>
      </c>
      <c r="C2404" s="9">
        <v>43677</v>
      </c>
      <c r="D2404">
        <v>6.5</v>
      </c>
    </row>
    <row r="2405" spans="1:4" x14ac:dyDescent="0.25">
      <c r="A2405" s="5">
        <f t="shared" si="83"/>
        <v>8</v>
      </c>
      <c r="B2405" s="5">
        <f t="shared" si="84"/>
        <v>2019</v>
      </c>
      <c r="C2405" s="9">
        <v>43678</v>
      </c>
      <c r="D2405">
        <v>6</v>
      </c>
    </row>
    <row r="2406" spans="1:4" x14ac:dyDescent="0.25">
      <c r="A2406" s="5">
        <f t="shared" si="83"/>
        <v>8</v>
      </c>
      <c r="B2406" s="5">
        <f t="shared" si="84"/>
        <v>2019</v>
      </c>
      <c r="C2406" s="9">
        <v>43679</v>
      </c>
      <c r="D2406">
        <v>6</v>
      </c>
    </row>
    <row r="2407" spans="1:4" x14ac:dyDescent="0.25">
      <c r="A2407" s="5">
        <f t="shared" si="83"/>
        <v>8</v>
      </c>
      <c r="B2407" s="5">
        <f t="shared" si="84"/>
        <v>2019</v>
      </c>
      <c r="C2407" s="9">
        <v>43680</v>
      </c>
      <c r="D2407">
        <v>6</v>
      </c>
    </row>
    <row r="2408" spans="1:4" x14ac:dyDescent="0.25">
      <c r="A2408" s="5">
        <f t="shared" si="83"/>
        <v>8</v>
      </c>
      <c r="B2408" s="5">
        <f t="shared" si="84"/>
        <v>2019</v>
      </c>
      <c r="C2408" s="9">
        <v>43681</v>
      </c>
      <c r="D2408">
        <v>6</v>
      </c>
    </row>
    <row r="2409" spans="1:4" x14ac:dyDescent="0.25">
      <c r="A2409" s="5">
        <f t="shared" si="83"/>
        <v>8</v>
      </c>
      <c r="B2409" s="5">
        <f t="shared" si="84"/>
        <v>2019</v>
      </c>
      <c r="C2409" s="9">
        <v>43682</v>
      </c>
      <c r="D2409">
        <v>6</v>
      </c>
    </row>
    <row r="2410" spans="1:4" x14ac:dyDescent="0.25">
      <c r="A2410" s="5">
        <f t="shared" si="83"/>
        <v>8</v>
      </c>
      <c r="B2410" s="5">
        <f t="shared" si="84"/>
        <v>2019</v>
      </c>
      <c r="C2410" s="9">
        <v>43683</v>
      </c>
      <c r="D2410">
        <v>6</v>
      </c>
    </row>
    <row r="2411" spans="1:4" x14ac:dyDescent="0.25">
      <c r="A2411" s="5">
        <f t="shared" si="83"/>
        <v>8</v>
      </c>
      <c r="B2411" s="5">
        <f t="shared" si="84"/>
        <v>2019</v>
      </c>
      <c r="C2411" s="9">
        <v>43684</v>
      </c>
      <c r="D2411">
        <v>6</v>
      </c>
    </row>
    <row r="2412" spans="1:4" x14ac:dyDescent="0.25">
      <c r="A2412" s="5">
        <f t="shared" si="83"/>
        <v>8</v>
      </c>
      <c r="B2412" s="5">
        <f t="shared" si="84"/>
        <v>2019</v>
      </c>
      <c r="C2412" s="9">
        <v>43685</v>
      </c>
      <c r="D2412">
        <v>6</v>
      </c>
    </row>
    <row r="2413" spans="1:4" x14ac:dyDescent="0.25">
      <c r="A2413" s="5">
        <f t="shared" si="83"/>
        <v>8</v>
      </c>
      <c r="B2413" s="5">
        <f t="shared" si="84"/>
        <v>2019</v>
      </c>
      <c r="C2413" s="9">
        <v>43686</v>
      </c>
      <c r="D2413">
        <v>6</v>
      </c>
    </row>
    <row r="2414" spans="1:4" x14ac:dyDescent="0.25">
      <c r="A2414" s="5">
        <f t="shared" si="83"/>
        <v>8</v>
      </c>
      <c r="B2414" s="5">
        <f t="shared" si="84"/>
        <v>2019</v>
      </c>
      <c r="C2414" s="9">
        <v>43687</v>
      </c>
      <c r="D2414">
        <v>6</v>
      </c>
    </row>
    <row r="2415" spans="1:4" x14ac:dyDescent="0.25">
      <c r="A2415" s="5">
        <f t="shared" si="83"/>
        <v>8</v>
      </c>
      <c r="B2415" s="5">
        <f t="shared" si="84"/>
        <v>2019</v>
      </c>
      <c r="C2415" s="9">
        <v>43688</v>
      </c>
      <c r="D2415">
        <v>6</v>
      </c>
    </row>
    <row r="2416" spans="1:4" x14ac:dyDescent="0.25">
      <c r="A2416" s="5">
        <f t="shared" si="83"/>
        <v>8</v>
      </c>
      <c r="B2416" s="5">
        <f t="shared" si="84"/>
        <v>2019</v>
      </c>
      <c r="C2416" s="9">
        <v>43689</v>
      </c>
      <c r="D2416">
        <v>6</v>
      </c>
    </row>
    <row r="2417" spans="1:4" x14ac:dyDescent="0.25">
      <c r="A2417" s="5">
        <f t="shared" si="83"/>
        <v>8</v>
      </c>
      <c r="B2417" s="5">
        <f t="shared" si="84"/>
        <v>2019</v>
      </c>
      <c r="C2417" s="9">
        <v>43690</v>
      </c>
      <c r="D2417">
        <v>6</v>
      </c>
    </row>
    <row r="2418" spans="1:4" x14ac:dyDescent="0.25">
      <c r="A2418" s="5">
        <f t="shared" si="83"/>
        <v>8</v>
      </c>
      <c r="B2418" s="5">
        <f t="shared" si="84"/>
        <v>2019</v>
      </c>
      <c r="C2418" s="9">
        <v>43691</v>
      </c>
      <c r="D2418">
        <v>6</v>
      </c>
    </row>
    <row r="2419" spans="1:4" x14ac:dyDescent="0.25">
      <c r="A2419" s="5">
        <f t="shared" si="83"/>
        <v>8</v>
      </c>
      <c r="B2419" s="5">
        <f t="shared" si="84"/>
        <v>2019</v>
      </c>
      <c r="C2419" s="9">
        <v>43692</v>
      </c>
      <c r="D2419">
        <v>6</v>
      </c>
    </row>
    <row r="2420" spans="1:4" x14ac:dyDescent="0.25">
      <c r="A2420" s="5">
        <f t="shared" si="83"/>
        <v>8</v>
      </c>
      <c r="B2420" s="5">
        <f t="shared" si="84"/>
        <v>2019</v>
      </c>
      <c r="C2420" s="9">
        <v>43693</v>
      </c>
      <c r="D2420">
        <v>6</v>
      </c>
    </row>
    <row r="2421" spans="1:4" x14ac:dyDescent="0.25">
      <c r="A2421" s="5">
        <f t="shared" si="83"/>
        <v>8</v>
      </c>
      <c r="B2421" s="5">
        <f t="shared" si="84"/>
        <v>2019</v>
      </c>
      <c r="C2421" s="9">
        <v>43694</v>
      </c>
      <c r="D2421">
        <v>6</v>
      </c>
    </row>
    <row r="2422" spans="1:4" x14ac:dyDescent="0.25">
      <c r="A2422" s="5">
        <f t="shared" si="83"/>
        <v>8</v>
      </c>
      <c r="B2422" s="5">
        <f t="shared" si="84"/>
        <v>2019</v>
      </c>
      <c r="C2422" s="9">
        <v>43695</v>
      </c>
      <c r="D2422">
        <v>6</v>
      </c>
    </row>
    <row r="2423" spans="1:4" x14ac:dyDescent="0.25">
      <c r="A2423" s="5">
        <f t="shared" si="83"/>
        <v>8</v>
      </c>
      <c r="B2423" s="5">
        <f t="shared" si="84"/>
        <v>2019</v>
      </c>
      <c r="C2423" s="9">
        <v>43696</v>
      </c>
      <c r="D2423">
        <v>6</v>
      </c>
    </row>
    <row r="2424" spans="1:4" x14ac:dyDescent="0.25">
      <c r="A2424" s="5">
        <f t="shared" si="83"/>
        <v>8</v>
      </c>
      <c r="B2424" s="5">
        <f t="shared" si="84"/>
        <v>2019</v>
      </c>
      <c r="C2424" s="9">
        <v>43697</v>
      </c>
      <c r="D2424">
        <v>6</v>
      </c>
    </row>
    <row r="2425" spans="1:4" x14ac:dyDescent="0.25">
      <c r="A2425" s="5">
        <f t="shared" si="83"/>
        <v>8</v>
      </c>
      <c r="B2425" s="5">
        <f t="shared" si="84"/>
        <v>2019</v>
      </c>
      <c r="C2425" s="9">
        <v>43698</v>
      </c>
      <c r="D2425">
        <v>6</v>
      </c>
    </row>
    <row r="2426" spans="1:4" x14ac:dyDescent="0.25">
      <c r="A2426" s="5">
        <f t="shared" si="83"/>
        <v>8</v>
      </c>
      <c r="B2426" s="5">
        <f t="shared" si="84"/>
        <v>2019</v>
      </c>
      <c r="C2426" s="9">
        <v>43699</v>
      </c>
      <c r="D2426">
        <v>6</v>
      </c>
    </row>
    <row r="2427" spans="1:4" x14ac:dyDescent="0.25">
      <c r="A2427" s="5">
        <f t="shared" si="83"/>
        <v>8</v>
      </c>
      <c r="B2427" s="5">
        <f t="shared" si="84"/>
        <v>2019</v>
      </c>
      <c r="C2427" s="9">
        <v>43700</v>
      </c>
      <c r="D2427">
        <v>6</v>
      </c>
    </row>
    <row r="2428" spans="1:4" x14ac:dyDescent="0.25">
      <c r="A2428" s="5">
        <f t="shared" si="83"/>
        <v>8</v>
      </c>
      <c r="B2428" s="5">
        <f t="shared" si="84"/>
        <v>2019</v>
      </c>
      <c r="C2428" s="9">
        <v>43701</v>
      </c>
      <c r="D2428">
        <v>6</v>
      </c>
    </row>
    <row r="2429" spans="1:4" x14ac:dyDescent="0.25">
      <c r="A2429" s="5">
        <f t="shared" si="83"/>
        <v>8</v>
      </c>
      <c r="B2429" s="5">
        <f t="shared" si="84"/>
        <v>2019</v>
      </c>
      <c r="C2429" s="9">
        <v>43702</v>
      </c>
      <c r="D2429">
        <v>6</v>
      </c>
    </row>
    <row r="2430" spans="1:4" x14ac:dyDescent="0.25">
      <c r="A2430" s="5">
        <f t="shared" si="83"/>
        <v>8</v>
      </c>
      <c r="B2430" s="5">
        <f t="shared" si="84"/>
        <v>2019</v>
      </c>
      <c r="C2430" s="9">
        <v>43703</v>
      </c>
      <c r="D2430">
        <v>6</v>
      </c>
    </row>
    <row r="2431" spans="1:4" x14ac:dyDescent="0.25">
      <c r="A2431" s="5">
        <f t="shared" si="83"/>
        <v>8</v>
      </c>
      <c r="B2431" s="5">
        <f t="shared" si="84"/>
        <v>2019</v>
      </c>
      <c r="C2431" s="9">
        <v>43704</v>
      </c>
      <c r="D2431">
        <v>6</v>
      </c>
    </row>
    <row r="2432" spans="1:4" x14ac:dyDescent="0.25">
      <c r="A2432" s="5">
        <f t="shared" si="83"/>
        <v>8</v>
      </c>
      <c r="B2432" s="5">
        <f t="shared" si="84"/>
        <v>2019</v>
      </c>
      <c r="C2432" s="9">
        <v>43705</v>
      </c>
      <c r="D2432">
        <v>6</v>
      </c>
    </row>
    <row r="2433" spans="1:4" x14ac:dyDescent="0.25">
      <c r="A2433" s="5">
        <f t="shared" si="83"/>
        <v>8</v>
      </c>
      <c r="B2433" s="5">
        <f t="shared" si="84"/>
        <v>2019</v>
      </c>
      <c r="C2433" s="9">
        <v>43706</v>
      </c>
      <c r="D2433">
        <v>6</v>
      </c>
    </row>
    <row r="2434" spans="1:4" x14ac:dyDescent="0.25">
      <c r="A2434" s="5">
        <f t="shared" si="83"/>
        <v>8</v>
      </c>
      <c r="B2434" s="5">
        <f t="shared" si="84"/>
        <v>2019</v>
      </c>
      <c r="C2434" s="9">
        <v>43707</v>
      </c>
      <c r="D2434">
        <v>6</v>
      </c>
    </row>
    <row r="2435" spans="1:4" x14ac:dyDescent="0.25">
      <c r="A2435" s="5">
        <f t="shared" ref="A2435:A2498" si="85">MONTH(C2435)</f>
        <v>8</v>
      </c>
      <c r="B2435" s="5">
        <f t="shared" ref="B2435:B2498" si="86">YEAR(C2435)</f>
        <v>2019</v>
      </c>
      <c r="C2435" s="9">
        <v>43708</v>
      </c>
      <c r="D2435">
        <v>6</v>
      </c>
    </row>
    <row r="2436" spans="1:4" x14ac:dyDescent="0.25">
      <c r="A2436" s="5">
        <f t="shared" si="85"/>
        <v>9</v>
      </c>
      <c r="B2436" s="5">
        <f t="shared" si="86"/>
        <v>2019</v>
      </c>
      <c r="C2436" s="9">
        <v>43709</v>
      </c>
      <c r="D2436">
        <v>6</v>
      </c>
    </row>
    <row r="2437" spans="1:4" x14ac:dyDescent="0.25">
      <c r="A2437" s="5">
        <f t="shared" si="85"/>
        <v>9</v>
      </c>
      <c r="B2437" s="5">
        <f t="shared" si="86"/>
        <v>2019</v>
      </c>
      <c r="C2437" s="9">
        <v>43710</v>
      </c>
      <c r="D2437">
        <v>6</v>
      </c>
    </row>
    <row r="2438" spans="1:4" x14ac:dyDescent="0.25">
      <c r="A2438" s="5">
        <f t="shared" si="85"/>
        <v>9</v>
      </c>
      <c r="B2438" s="5">
        <f t="shared" si="86"/>
        <v>2019</v>
      </c>
      <c r="C2438" s="9">
        <v>43711</v>
      </c>
      <c r="D2438">
        <v>6</v>
      </c>
    </row>
    <row r="2439" spans="1:4" x14ac:dyDescent="0.25">
      <c r="A2439" s="5">
        <f t="shared" si="85"/>
        <v>9</v>
      </c>
      <c r="B2439" s="5">
        <f t="shared" si="86"/>
        <v>2019</v>
      </c>
      <c r="C2439" s="9">
        <v>43712</v>
      </c>
      <c r="D2439">
        <v>6</v>
      </c>
    </row>
    <row r="2440" spans="1:4" x14ac:dyDescent="0.25">
      <c r="A2440" s="5">
        <f t="shared" si="85"/>
        <v>9</v>
      </c>
      <c r="B2440" s="5">
        <f t="shared" si="86"/>
        <v>2019</v>
      </c>
      <c r="C2440" s="9">
        <v>43713</v>
      </c>
      <c r="D2440">
        <v>6</v>
      </c>
    </row>
    <row r="2441" spans="1:4" x14ac:dyDescent="0.25">
      <c r="A2441" s="5">
        <f t="shared" si="85"/>
        <v>9</v>
      </c>
      <c r="B2441" s="5">
        <f t="shared" si="86"/>
        <v>2019</v>
      </c>
      <c r="C2441" s="9">
        <v>43714</v>
      </c>
      <c r="D2441">
        <v>6</v>
      </c>
    </row>
    <row r="2442" spans="1:4" x14ac:dyDescent="0.25">
      <c r="A2442" s="5">
        <f t="shared" si="85"/>
        <v>9</v>
      </c>
      <c r="B2442" s="5">
        <f t="shared" si="86"/>
        <v>2019</v>
      </c>
      <c r="C2442" s="9">
        <v>43715</v>
      </c>
      <c r="D2442">
        <v>6</v>
      </c>
    </row>
    <row r="2443" spans="1:4" x14ac:dyDescent="0.25">
      <c r="A2443" s="5">
        <f t="shared" si="85"/>
        <v>9</v>
      </c>
      <c r="B2443" s="5">
        <f t="shared" si="86"/>
        <v>2019</v>
      </c>
      <c r="C2443" s="9">
        <v>43716</v>
      </c>
      <c r="D2443">
        <v>6</v>
      </c>
    </row>
    <row r="2444" spans="1:4" x14ac:dyDescent="0.25">
      <c r="A2444" s="5">
        <f t="shared" si="85"/>
        <v>9</v>
      </c>
      <c r="B2444" s="5">
        <f t="shared" si="86"/>
        <v>2019</v>
      </c>
      <c r="C2444" s="9">
        <v>43717</v>
      </c>
      <c r="D2444">
        <v>6</v>
      </c>
    </row>
    <row r="2445" spans="1:4" x14ac:dyDescent="0.25">
      <c r="A2445" s="5">
        <f t="shared" si="85"/>
        <v>9</v>
      </c>
      <c r="B2445" s="5">
        <f t="shared" si="86"/>
        <v>2019</v>
      </c>
      <c r="C2445" s="9">
        <v>43718</v>
      </c>
      <c r="D2445">
        <v>6</v>
      </c>
    </row>
    <row r="2446" spans="1:4" x14ac:dyDescent="0.25">
      <c r="A2446" s="5">
        <f t="shared" si="85"/>
        <v>9</v>
      </c>
      <c r="B2446" s="5">
        <f t="shared" si="86"/>
        <v>2019</v>
      </c>
      <c r="C2446" s="9">
        <v>43719</v>
      </c>
      <c r="D2446">
        <v>6</v>
      </c>
    </row>
    <row r="2447" spans="1:4" x14ac:dyDescent="0.25">
      <c r="A2447" s="5">
        <f t="shared" si="85"/>
        <v>9</v>
      </c>
      <c r="B2447" s="5">
        <f t="shared" si="86"/>
        <v>2019</v>
      </c>
      <c r="C2447" s="9">
        <v>43720</v>
      </c>
      <c r="D2447">
        <v>6</v>
      </c>
    </row>
    <row r="2448" spans="1:4" x14ac:dyDescent="0.25">
      <c r="A2448" s="5">
        <f t="shared" si="85"/>
        <v>9</v>
      </c>
      <c r="B2448" s="5">
        <f t="shared" si="86"/>
        <v>2019</v>
      </c>
      <c r="C2448" s="9">
        <v>43721</v>
      </c>
      <c r="D2448">
        <v>6</v>
      </c>
    </row>
    <row r="2449" spans="1:4" x14ac:dyDescent="0.25">
      <c r="A2449" s="5">
        <f t="shared" si="85"/>
        <v>9</v>
      </c>
      <c r="B2449" s="5">
        <f t="shared" si="86"/>
        <v>2019</v>
      </c>
      <c r="C2449" s="9">
        <v>43722</v>
      </c>
      <c r="D2449">
        <v>6</v>
      </c>
    </row>
    <row r="2450" spans="1:4" x14ac:dyDescent="0.25">
      <c r="A2450" s="5">
        <f t="shared" si="85"/>
        <v>9</v>
      </c>
      <c r="B2450" s="5">
        <f t="shared" si="86"/>
        <v>2019</v>
      </c>
      <c r="C2450" s="9">
        <v>43723</v>
      </c>
      <c r="D2450">
        <v>6</v>
      </c>
    </row>
    <row r="2451" spans="1:4" x14ac:dyDescent="0.25">
      <c r="A2451" s="5">
        <f t="shared" si="85"/>
        <v>9</v>
      </c>
      <c r="B2451" s="5">
        <f t="shared" si="86"/>
        <v>2019</v>
      </c>
      <c r="C2451" s="9">
        <v>43724</v>
      </c>
      <c r="D2451">
        <v>6</v>
      </c>
    </row>
    <row r="2452" spans="1:4" x14ac:dyDescent="0.25">
      <c r="A2452" s="5">
        <f t="shared" si="85"/>
        <v>9</v>
      </c>
      <c r="B2452" s="5">
        <f t="shared" si="86"/>
        <v>2019</v>
      </c>
      <c r="C2452" s="9">
        <v>43725</v>
      </c>
      <c r="D2452">
        <v>6</v>
      </c>
    </row>
    <row r="2453" spans="1:4" x14ac:dyDescent="0.25">
      <c r="A2453" s="5">
        <f t="shared" si="85"/>
        <v>9</v>
      </c>
      <c r="B2453" s="5">
        <f t="shared" si="86"/>
        <v>2019</v>
      </c>
      <c r="C2453" s="9">
        <v>43726</v>
      </c>
      <c r="D2453">
        <v>6</v>
      </c>
    </row>
    <row r="2454" spans="1:4" x14ac:dyDescent="0.25">
      <c r="A2454" s="5">
        <f t="shared" si="85"/>
        <v>9</v>
      </c>
      <c r="B2454" s="5">
        <f t="shared" si="86"/>
        <v>2019</v>
      </c>
      <c r="C2454" s="9">
        <v>43727</v>
      </c>
      <c r="D2454">
        <v>5.5</v>
      </c>
    </row>
    <row r="2455" spans="1:4" x14ac:dyDescent="0.25">
      <c r="A2455" s="5">
        <f t="shared" si="85"/>
        <v>9</v>
      </c>
      <c r="B2455" s="5">
        <f t="shared" si="86"/>
        <v>2019</v>
      </c>
      <c r="C2455" s="9">
        <v>43728</v>
      </c>
      <c r="D2455">
        <v>5.5</v>
      </c>
    </row>
    <row r="2456" spans="1:4" x14ac:dyDescent="0.25">
      <c r="A2456" s="5">
        <f t="shared" si="85"/>
        <v>9</v>
      </c>
      <c r="B2456" s="5">
        <f t="shared" si="86"/>
        <v>2019</v>
      </c>
      <c r="C2456" s="9">
        <v>43729</v>
      </c>
      <c r="D2456">
        <v>5.5</v>
      </c>
    </row>
    <row r="2457" spans="1:4" x14ac:dyDescent="0.25">
      <c r="A2457" s="5">
        <f t="shared" si="85"/>
        <v>9</v>
      </c>
      <c r="B2457" s="5">
        <f t="shared" si="86"/>
        <v>2019</v>
      </c>
      <c r="C2457" s="9">
        <v>43730</v>
      </c>
      <c r="D2457">
        <v>5.5</v>
      </c>
    </row>
    <row r="2458" spans="1:4" x14ac:dyDescent="0.25">
      <c r="A2458" s="5">
        <f t="shared" si="85"/>
        <v>9</v>
      </c>
      <c r="B2458" s="5">
        <f t="shared" si="86"/>
        <v>2019</v>
      </c>
      <c r="C2458" s="9">
        <v>43731</v>
      </c>
      <c r="D2458">
        <v>5.5</v>
      </c>
    </row>
    <row r="2459" spans="1:4" x14ac:dyDescent="0.25">
      <c r="A2459" s="5">
        <f t="shared" si="85"/>
        <v>9</v>
      </c>
      <c r="B2459" s="5">
        <f t="shared" si="86"/>
        <v>2019</v>
      </c>
      <c r="C2459" s="9">
        <v>43732</v>
      </c>
      <c r="D2459">
        <v>5.5</v>
      </c>
    </row>
    <row r="2460" spans="1:4" x14ac:dyDescent="0.25">
      <c r="A2460" s="5">
        <f t="shared" si="85"/>
        <v>9</v>
      </c>
      <c r="B2460" s="5">
        <f t="shared" si="86"/>
        <v>2019</v>
      </c>
      <c r="C2460" s="9">
        <v>43733</v>
      </c>
      <c r="D2460">
        <v>5.5</v>
      </c>
    </row>
    <row r="2461" spans="1:4" x14ac:dyDescent="0.25">
      <c r="A2461" s="5">
        <f t="shared" si="85"/>
        <v>9</v>
      </c>
      <c r="B2461" s="5">
        <f t="shared" si="86"/>
        <v>2019</v>
      </c>
      <c r="C2461" s="9">
        <v>43734</v>
      </c>
      <c r="D2461">
        <v>5.5</v>
      </c>
    </row>
    <row r="2462" spans="1:4" x14ac:dyDescent="0.25">
      <c r="A2462" s="5">
        <f t="shared" si="85"/>
        <v>9</v>
      </c>
      <c r="B2462" s="5">
        <f t="shared" si="86"/>
        <v>2019</v>
      </c>
      <c r="C2462" s="9">
        <v>43735</v>
      </c>
      <c r="D2462">
        <v>5.5</v>
      </c>
    </row>
    <row r="2463" spans="1:4" x14ac:dyDescent="0.25">
      <c r="A2463" s="5">
        <f t="shared" si="85"/>
        <v>9</v>
      </c>
      <c r="B2463" s="5">
        <f t="shared" si="86"/>
        <v>2019</v>
      </c>
      <c r="C2463" s="9">
        <v>43736</v>
      </c>
      <c r="D2463">
        <v>5.5</v>
      </c>
    </row>
    <row r="2464" spans="1:4" x14ac:dyDescent="0.25">
      <c r="A2464" s="5">
        <f t="shared" si="85"/>
        <v>9</v>
      </c>
      <c r="B2464" s="5">
        <f t="shared" si="86"/>
        <v>2019</v>
      </c>
      <c r="C2464" s="9">
        <v>43737</v>
      </c>
      <c r="D2464">
        <v>5.5</v>
      </c>
    </row>
    <row r="2465" spans="1:4" x14ac:dyDescent="0.25">
      <c r="A2465" s="5">
        <f t="shared" si="85"/>
        <v>9</v>
      </c>
      <c r="B2465" s="5">
        <f t="shared" si="86"/>
        <v>2019</v>
      </c>
      <c r="C2465" s="9">
        <v>43738</v>
      </c>
      <c r="D2465">
        <v>5.5</v>
      </c>
    </row>
    <row r="2466" spans="1:4" x14ac:dyDescent="0.25">
      <c r="A2466" s="5">
        <f t="shared" si="85"/>
        <v>10</v>
      </c>
      <c r="B2466" s="5">
        <f t="shared" si="86"/>
        <v>2019</v>
      </c>
      <c r="C2466" s="9">
        <v>43739</v>
      </c>
      <c r="D2466">
        <v>5.5</v>
      </c>
    </row>
    <row r="2467" spans="1:4" x14ac:dyDescent="0.25">
      <c r="A2467" s="5">
        <f t="shared" si="85"/>
        <v>10</v>
      </c>
      <c r="B2467" s="5">
        <f t="shared" si="86"/>
        <v>2019</v>
      </c>
      <c r="C2467" s="9">
        <v>43740</v>
      </c>
      <c r="D2467">
        <v>5.5</v>
      </c>
    </row>
    <row r="2468" spans="1:4" x14ac:dyDescent="0.25">
      <c r="A2468" s="5">
        <f t="shared" si="85"/>
        <v>10</v>
      </c>
      <c r="B2468" s="5">
        <f t="shared" si="86"/>
        <v>2019</v>
      </c>
      <c r="C2468" s="9">
        <v>43741</v>
      </c>
      <c r="D2468">
        <v>5.5</v>
      </c>
    </row>
    <row r="2469" spans="1:4" x14ac:dyDescent="0.25">
      <c r="A2469" s="5">
        <f t="shared" si="85"/>
        <v>10</v>
      </c>
      <c r="B2469" s="5">
        <f t="shared" si="86"/>
        <v>2019</v>
      </c>
      <c r="C2469" s="9">
        <v>43742</v>
      </c>
      <c r="D2469">
        <v>5.5</v>
      </c>
    </row>
    <row r="2470" spans="1:4" x14ac:dyDescent="0.25">
      <c r="A2470" s="5">
        <f t="shared" si="85"/>
        <v>10</v>
      </c>
      <c r="B2470" s="5">
        <f t="shared" si="86"/>
        <v>2019</v>
      </c>
      <c r="C2470" s="9">
        <v>43743</v>
      </c>
      <c r="D2470">
        <v>5.5</v>
      </c>
    </row>
    <row r="2471" spans="1:4" x14ac:dyDescent="0.25">
      <c r="A2471" s="5">
        <f t="shared" si="85"/>
        <v>10</v>
      </c>
      <c r="B2471" s="5">
        <f t="shared" si="86"/>
        <v>2019</v>
      </c>
      <c r="C2471" s="9">
        <v>43744</v>
      </c>
      <c r="D2471">
        <v>5.5</v>
      </c>
    </row>
    <row r="2472" spans="1:4" x14ac:dyDescent="0.25">
      <c r="A2472" s="5">
        <f t="shared" si="85"/>
        <v>10</v>
      </c>
      <c r="B2472" s="5">
        <f t="shared" si="86"/>
        <v>2019</v>
      </c>
      <c r="C2472" s="9">
        <v>43745</v>
      </c>
      <c r="D2472">
        <v>5.5</v>
      </c>
    </row>
    <row r="2473" spans="1:4" x14ac:dyDescent="0.25">
      <c r="A2473" s="5">
        <f t="shared" si="85"/>
        <v>10</v>
      </c>
      <c r="B2473" s="5">
        <f t="shared" si="86"/>
        <v>2019</v>
      </c>
      <c r="C2473" s="9">
        <v>43746</v>
      </c>
      <c r="D2473">
        <v>5.5</v>
      </c>
    </row>
    <row r="2474" spans="1:4" x14ac:dyDescent="0.25">
      <c r="A2474" s="5">
        <f t="shared" si="85"/>
        <v>10</v>
      </c>
      <c r="B2474" s="5">
        <f t="shared" si="86"/>
        <v>2019</v>
      </c>
      <c r="C2474" s="9">
        <v>43747</v>
      </c>
      <c r="D2474">
        <v>5.5</v>
      </c>
    </row>
    <row r="2475" spans="1:4" x14ac:dyDescent="0.25">
      <c r="A2475" s="5">
        <f t="shared" si="85"/>
        <v>10</v>
      </c>
      <c r="B2475" s="5">
        <f t="shared" si="86"/>
        <v>2019</v>
      </c>
      <c r="C2475" s="9">
        <v>43748</v>
      </c>
      <c r="D2475">
        <v>5.5</v>
      </c>
    </row>
    <row r="2476" spans="1:4" x14ac:dyDescent="0.25">
      <c r="A2476" s="5">
        <f t="shared" si="85"/>
        <v>10</v>
      </c>
      <c r="B2476" s="5">
        <f t="shared" si="86"/>
        <v>2019</v>
      </c>
      <c r="C2476" s="9">
        <v>43749</v>
      </c>
      <c r="D2476">
        <v>5.5</v>
      </c>
    </row>
    <row r="2477" spans="1:4" x14ac:dyDescent="0.25">
      <c r="A2477" s="5">
        <f t="shared" si="85"/>
        <v>10</v>
      </c>
      <c r="B2477" s="5">
        <f t="shared" si="86"/>
        <v>2019</v>
      </c>
      <c r="C2477" s="9">
        <v>43750</v>
      </c>
      <c r="D2477">
        <v>5.5</v>
      </c>
    </row>
    <row r="2478" spans="1:4" x14ac:dyDescent="0.25">
      <c r="A2478" s="5">
        <f t="shared" si="85"/>
        <v>10</v>
      </c>
      <c r="B2478" s="5">
        <f t="shared" si="86"/>
        <v>2019</v>
      </c>
      <c r="C2478" s="9">
        <v>43751</v>
      </c>
      <c r="D2478">
        <v>5.5</v>
      </c>
    </row>
    <row r="2479" spans="1:4" x14ac:dyDescent="0.25">
      <c r="A2479" s="5">
        <f t="shared" si="85"/>
        <v>10</v>
      </c>
      <c r="B2479" s="5">
        <f t="shared" si="86"/>
        <v>2019</v>
      </c>
      <c r="C2479" s="9">
        <v>43752</v>
      </c>
      <c r="D2479">
        <v>5.5</v>
      </c>
    </row>
    <row r="2480" spans="1:4" x14ac:dyDescent="0.25">
      <c r="A2480" s="5">
        <f t="shared" si="85"/>
        <v>10</v>
      </c>
      <c r="B2480" s="5">
        <f t="shared" si="86"/>
        <v>2019</v>
      </c>
      <c r="C2480" s="9">
        <v>43753</v>
      </c>
      <c r="D2480">
        <v>5.5</v>
      </c>
    </row>
    <row r="2481" spans="1:4" x14ac:dyDescent="0.25">
      <c r="A2481" s="5">
        <f t="shared" si="85"/>
        <v>10</v>
      </c>
      <c r="B2481" s="5">
        <f t="shared" si="86"/>
        <v>2019</v>
      </c>
      <c r="C2481" s="9">
        <v>43754</v>
      </c>
      <c r="D2481">
        <v>5.5</v>
      </c>
    </row>
    <row r="2482" spans="1:4" x14ac:dyDescent="0.25">
      <c r="A2482" s="5">
        <f t="shared" si="85"/>
        <v>10</v>
      </c>
      <c r="B2482" s="5">
        <f t="shared" si="86"/>
        <v>2019</v>
      </c>
      <c r="C2482" s="9">
        <v>43755</v>
      </c>
      <c r="D2482">
        <v>5.5</v>
      </c>
    </row>
    <row r="2483" spans="1:4" x14ac:dyDescent="0.25">
      <c r="A2483" s="5">
        <f t="shared" si="85"/>
        <v>10</v>
      </c>
      <c r="B2483" s="5">
        <f t="shared" si="86"/>
        <v>2019</v>
      </c>
      <c r="C2483" s="9">
        <v>43756</v>
      </c>
      <c r="D2483">
        <v>5.5</v>
      </c>
    </row>
    <row r="2484" spans="1:4" x14ac:dyDescent="0.25">
      <c r="A2484" s="5">
        <f t="shared" si="85"/>
        <v>10</v>
      </c>
      <c r="B2484" s="5">
        <f t="shared" si="86"/>
        <v>2019</v>
      </c>
      <c r="C2484" s="9">
        <v>43757</v>
      </c>
      <c r="D2484">
        <v>5.5</v>
      </c>
    </row>
    <row r="2485" spans="1:4" x14ac:dyDescent="0.25">
      <c r="A2485" s="5">
        <f t="shared" si="85"/>
        <v>10</v>
      </c>
      <c r="B2485" s="5">
        <f t="shared" si="86"/>
        <v>2019</v>
      </c>
      <c r="C2485" s="9">
        <v>43758</v>
      </c>
      <c r="D2485">
        <v>5.5</v>
      </c>
    </row>
    <row r="2486" spans="1:4" x14ac:dyDescent="0.25">
      <c r="A2486" s="5">
        <f t="shared" si="85"/>
        <v>10</v>
      </c>
      <c r="B2486" s="5">
        <f t="shared" si="86"/>
        <v>2019</v>
      </c>
      <c r="C2486" s="9">
        <v>43759</v>
      </c>
      <c r="D2486">
        <v>5.5</v>
      </c>
    </row>
    <row r="2487" spans="1:4" x14ac:dyDescent="0.25">
      <c r="A2487" s="5">
        <f t="shared" si="85"/>
        <v>10</v>
      </c>
      <c r="B2487" s="5">
        <f t="shared" si="86"/>
        <v>2019</v>
      </c>
      <c r="C2487" s="9">
        <v>43760</v>
      </c>
      <c r="D2487">
        <v>5.5</v>
      </c>
    </row>
    <row r="2488" spans="1:4" x14ac:dyDescent="0.25">
      <c r="A2488" s="5">
        <f t="shared" si="85"/>
        <v>10</v>
      </c>
      <c r="B2488" s="5">
        <f t="shared" si="86"/>
        <v>2019</v>
      </c>
      <c r="C2488" s="9">
        <v>43761</v>
      </c>
      <c r="D2488">
        <v>5.5</v>
      </c>
    </row>
    <row r="2489" spans="1:4" x14ac:dyDescent="0.25">
      <c r="A2489" s="5">
        <f t="shared" si="85"/>
        <v>10</v>
      </c>
      <c r="B2489" s="5">
        <f t="shared" si="86"/>
        <v>2019</v>
      </c>
      <c r="C2489" s="9">
        <v>43762</v>
      </c>
      <c r="D2489">
        <v>5.5</v>
      </c>
    </row>
    <row r="2490" spans="1:4" x14ac:dyDescent="0.25">
      <c r="A2490" s="5">
        <f t="shared" si="85"/>
        <v>10</v>
      </c>
      <c r="B2490" s="5">
        <f t="shared" si="86"/>
        <v>2019</v>
      </c>
      <c r="C2490" s="9">
        <v>43763</v>
      </c>
      <c r="D2490">
        <v>5.5</v>
      </c>
    </row>
    <row r="2491" spans="1:4" x14ac:dyDescent="0.25">
      <c r="A2491" s="5">
        <f t="shared" si="85"/>
        <v>10</v>
      </c>
      <c r="B2491" s="5">
        <f t="shared" si="86"/>
        <v>2019</v>
      </c>
      <c r="C2491" s="9">
        <v>43764</v>
      </c>
      <c r="D2491">
        <v>5.5</v>
      </c>
    </row>
    <row r="2492" spans="1:4" x14ac:dyDescent="0.25">
      <c r="A2492" s="5">
        <f t="shared" si="85"/>
        <v>10</v>
      </c>
      <c r="B2492" s="5">
        <f t="shared" si="86"/>
        <v>2019</v>
      </c>
      <c r="C2492" s="9">
        <v>43765</v>
      </c>
      <c r="D2492">
        <v>5.5</v>
      </c>
    </row>
    <row r="2493" spans="1:4" x14ac:dyDescent="0.25">
      <c r="A2493" s="5">
        <f t="shared" si="85"/>
        <v>10</v>
      </c>
      <c r="B2493" s="5">
        <f t="shared" si="86"/>
        <v>2019</v>
      </c>
      <c r="C2493" s="9">
        <v>43766</v>
      </c>
      <c r="D2493">
        <v>5.5</v>
      </c>
    </row>
    <row r="2494" spans="1:4" x14ac:dyDescent="0.25">
      <c r="A2494" s="5">
        <f t="shared" si="85"/>
        <v>10</v>
      </c>
      <c r="B2494" s="5">
        <f t="shared" si="86"/>
        <v>2019</v>
      </c>
      <c r="C2494" s="9">
        <v>43767</v>
      </c>
      <c r="D2494">
        <v>5.5</v>
      </c>
    </row>
    <row r="2495" spans="1:4" x14ac:dyDescent="0.25">
      <c r="A2495" s="5">
        <f t="shared" si="85"/>
        <v>10</v>
      </c>
      <c r="B2495" s="5">
        <f t="shared" si="86"/>
        <v>2019</v>
      </c>
      <c r="C2495" s="9">
        <v>43768</v>
      </c>
      <c r="D2495">
        <v>5.5</v>
      </c>
    </row>
    <row r="2496" spans="1:4" x14ac:dyDescent="0.25">
      <c r="A2496" s="5">
        <f t="shared" si="85"/>
        <v>10</v>
      </c>
      <c r="B2496" s="5">
        <f t="shared" si="86"/>
        <v>2019</v>
      </c>
      <c r="C2496" s="9">
        <v>43769</v>
      </c>
      <c r="D2496">
        <v>5</v>
      </c>
    </row>
    <row r="2497" spans="1:4" x14ac:dyDescent="0.25">
      <c r="A2497" s="5">
        <f t="shared" si="85"/>
        <v>11</v>
      </c>
      <c r="B2497" s="5">
        <f t="shared" si="86"/>
        <v>2019</v>
      </c>
      <c r="C2497" s="9">
        <v>43770</v>
      </c>
      <c r="D2497">
        <v>5</v>
      </c>
    </row>
    <row r="2498" spans="1:4" x14ac:dyDescent="0.25">
      <c r="A2498" s="5">
        <f t="shared" si="85"/>
        <v>11</v>
      </c>
      <c r="B2498" s="5">
        <f t="shared" si="86"/>
        <v>2019</v>
      </c>
      <c r="C2498" s="9">
        <v>43771</v>
      </c>
      <c r="D2498">
        <v>5</v>
      </c>
    </row>
    <row r="2499" spans="1:4" x14ac:dyDescent="0.25">
      <c r="A2499" s="5">
        <f t="shared" ref="A2499:A2562" si="87">MONTH(C2499)</f>
        <v>11</v>
      </c>
      <c r="B2499" s="5">
        <f t="shared" ref="B2499:B2562" si="88">YEAR(C2499)</f>
        <v>2019</v>
      </c>
      <c r="C2499" s="9">
        <v>43772</v>
      </c>
      <c r="D2499">
        <v>5</v>
      </c>
    </row>
    <row r="2500" spans="1:4" x14ac:dyDescent="0.25">
      <c r="A2500" s="5">
        <f t="shared" si="87"/>
        <v>11</v>
      </c>
      <c r="B2500" s="5">
        <f t="shared" si="88"/>
        <v>2019</v>
      </c>
      <c r="C2500" s="9">
        <v>43773</v>
      </c>
      <c r="D2500">
        <v>5</v>
      </c>
    </row>
    <row r="2501" spans="1:4" x14ac:dyDescent="0.25">
      <c r="A2501" s="5">
        <f t="shared" si="87"/>
        <v>11</v>
      </c>
      <c r="B2501" s="5">
        <f t="shared" si="88"/>
        <v>2019</v>
      </c>
      <c r="C2501" s="9">
        <v>43774</v>
      </c>
      <c r="D2501">
        <v>5</v>
      </c>
    </row>
    <row r="2502" spans="1:4" x14ac:dyDescent="0.25">
      <c r="A2502" s="5">
        <f t="shared" si="87"/>
        <v>11</v>
      </c>
      <c r="B2502" s="5">
        <f t="shared" si="88"/>
        <v>2019</v>
      </c>
      <c r="C2502" s="9">
        <v>43775</v>
      </c>
      <c r="D2502">
        <v>5</v>
      </c>
    </row>
    <row r="2503" spans="1:4" x14ac:dyDescent="0.25">
      <c r="A2503" s="5">
        <f t="shared" si="87"/>
        <v>11</v>
      </c>
      <c r="B2503" s="5">
        <f t="shared" si="88"/>
        <v>2019</v>
      </c>
      <c r="C2503" s="9">
        <v>43776</v>
      </c>
      <c r="D2503">
        <v>5</v>
      </c>
    </row>
    <row r="2504" spans="1:4" x14ac:dyDescent="0.25">
      <c r="A2504" s="5">
        <f t="shared" si="87"/>
        <v>11</v>
      </c>
      <c r="B2504" s="5">
        <f t="shared" si="88"/>
        <v>2019</v>
      </c>
      <c r="C2504" s="9">
        <v>43777</v>
      </c>
      <c r="D2504">
        <v>5</v>
      </c>
    </row>
    <row r="2505" spans="1:4" x14ac:dyDescent="0.25">
      <c r="A2505" s="5">
        <f t="shared" si="87"/>
        <v>11</v>
      </c>
      <c r="B2505" s="5">
        <f t="shared" si="88"/>
        <v>2019</v>
      </c>
      <c r="C2505" s="9">
        <v>43778</v>
      </c>
      <c r="D2505">
        <v>5</v>
      </c>
    </row>
    <row r="2506" spans="1:4" x14ac:dyDescent="0.25">
      <c r="A2506" s="5">
        <f t="shared" si="87"/>
        <v>11</v>
      </c>
      <c r="B2506" s="5">
        <f t="shared" si="88"/>
        <v>2019</v>
      </c>
      <c r="C2506" s="9">
        <v>43779</v>
      </c>
      <c r="D2506">
        <v>5</v>
      </c>
    </row>
    <row r="2507" spans="1:4" x14ac:dyDescent="0.25">
      <c r="A2507" s="5">
        <f t="shared" si="87"/>
        <v>11</v>
      </c>
      <c r="B2507" s="5">
        <f t="shared" si="88"/>
        <v>2019</v>
      </c>
      <c r="C2507" s="9">
        <v>43780</v>
      </c>
      <c r="D2507">
        <v>5</v>
      </c>
    </row>
    <row r="2508" spans="1:4" x14ac:dyDescent="0.25">
      <c r="A2508" s="5">
        <f t="shared" si="87"/>
        <v>11</v>
      </c>
      <c r="B2508" s="5">
        <f t="shared" si="88"/>
        <v>2019</v>
      </c>
      <c r="C2508" s="9">
        <v>43781</v>
      </c>
      <c r="D2508">
        <v>5</v>
      </c>
    </row>
    <row r="2509" spans="1:4" x14ac:dyDescent="0.25">
      <c r="A2509" s="5">
        <f t="shared" si="87"/>
        <v>11</v>
      </c>
      <c r="B2509" s="5">
        <f t="shared" si="88"/>
        <v>2019</v>
      </c>
      <c r="C2509" s="9">
        <v>43782</v>
      </c>
      <c r="D2509">
        <v>5</v>
      </c>
    </row>
    <row r="2510" spans="1:4" x14ac:dyDescent="0.25">
      <c r="A2510" s="5">
        <f t="shared" si="87"/>
        <v>11</v>
      </c>
      <c r="B2510" s="5">
        <f t="shared" si="88"/>
        <v>2019</v>
      </c>
      <c r="C2510" s="9">
        <v>43783</v>
      </c>
      <c r="D2510">
        <v>5</v>
      </c>
    </row>
    <row r="2511" spans="1:4" x14ac:dyDescent="0.25">
      <c r="A2511" s="5">
        <f t="shared" si="87"/>
        <v>11</v>
      </c>
      <c r="B2511" s="5">
        <f t="shared" si="88"/>
        <v>2019</v>
      </c>
      <c r="C2511" s="9">
        <v>43784</v>
      </c>
      <c r="D2511">
        <v>5</v>
      </c>
    </row>
    <row r="2512" spans="1:4" x14ac:dyDescent="0.25">
      <c r="A2512" s="5">
        <f t="shared" si="87"/>
        <v>11</v>
      </c>
      <c r="B2512" s="5">
        <f t="shared" si="88"/>
        <v>2019</v>
      </c>
      <c r="C2512" s="9">
        <v>43785</v>
      </c>
      <c r="D2512">
        <v>5</v>
      </c>
    </row>
    <row r="2513" spans="1:4" x14ac:dyDescent="0.25">
      <c r="A2513" s="5">
        <f t="shared" si="87"/>
        <v>11</v>
      </c>
      <c r="B2513" s="5">
        <f t="shared" si="88"/>
        <v>2019</v>
      </c>
      <c r="C2513" s="9">
        <v>43786</v>
      </c>
      <c r="D2513">
        <v>5</v>
      </c>
    </row>
    <row r="2514" spans="1:4" x14ac:dyDescent="0.25">
      <c r="A2514" s="5">
        <f t="shared" si="87"/>
        <v>11</v>
      </c>
      <c r="B2514" s="5">
        <f t="shared" si="88"/>
        <v>2019</v>
      </c>
      <c r="C2514" s="9">
        <v>43787</v>
      </c>
      <c r="D2514">
        <v>5</v>
      </c>
    </row>
    <row r="2515" spans="1:4" x14ac:dyDescent="0.25">
      <c r="A2515" s="5">
        <f t="shared" si="87"/>
        <v>11</v>
      </c>
      <c r="B2515" s="5">
        <f t="shared" si="88"/>
        <v>2019</v>
      </c>
      <c r="C2515" s="9">
        <v>43788</v>
      </c>
      <c r="D2515">
        <v>5</v>
      </c>
    </row>
    <row r="2516" spans="1:4" x14ac:dyDescent="0.25">
      <c r="A2516" s="5">
        <f t="shared" si="87"/>
        <v>11</v>
      </c>
      <c r="B2516" s="5">
        <f t="shared" si="88"/>
        <v>2019</v>
      </c>
      <c r="C2516" s="9">
        <v>43789</v>
      </c>
      <c r="D2516">
        <v>5</v>
      </c>
    </row>
    <row r="2517" spans="1:4" x14ac:dyDescent="0.25">
      <c r="A2517" s="5">
        <f t="shared" si="87"/>
        <v>11</v>
      </c>
      <c r="B2517" s="5">
        <f t="shared" si="88"/>
        <v>2019</v>
      </c>
      <c r="C2517" s="9">
        <v>43790</v>
      </c>
      <c r="D2517">
        <v>5</v>
      </c>
    </row>
    <row r="2518" spans="1:4" x14ac:dyDescent="0.25">
      <c r="A2518" s="5">
        <f t="shared" si="87"/>
        <v>11</v>
      </c>
      <c r="B2518" s="5">
        <f t="shared" si="88"/>
        <v>2019</v>
      </c>
      <c r="C2518" s="9">
        <v>43791</v>
      </c>
      <c r="D2518">
        <v>5</v>
      </c>
    </row>
    <row r="2519" spans="1:4" x14ac:dyDescent="0.25">
      <c r="A2519" s="5">
        <f t="shared" si="87"/>
        <v>11</v>
      </c>
      <c r="B2519" s="5">
        <f t="shared" si="88"/>
        <v>2019</v>
      </c>
      <c r="C2519" s="9">
        <v>43792</v>
      </c>
      <c r="D2519">
        <v>5</v>
      </c>
    </row>
    <row r="2520" spans="1:4" x14ac:dyDescent="0.25">
      <c r="A2520" s="5">
        <f t="shared" si="87"/>
        <v>11</v>
      </c>
      <c r="B2520" s="5">
        <f t="shared" si="88"/>
        <v>2019</v>
      </c>
      <c r="C2520" s="9">
        <v>43793</v>
      </c>
      <c r="D2520">
        <v>5</v>
      </c>
    </row>
    <row r="2521" spans="1:4" x14ac:dyDescent="0.25">
      <c r="A2521" s="5">
        <f t="shared" si="87"/>
        <v>11</v>
      </c>
      <c r="B2521" s="5">
        <f t="shared" si="88"/>
        <v>2019</v>
      </c>
      <c r="C2521" s="9">
        <v>43794</v>
      </c>
      <c r="D2521">
        <v>5</v>
      </c>
    </row>
    <row r="2522" spans="1:4" x14ac:dyDescent="0.25">
      <c r="A2522" s="5">
        <f t="shared" si="87"/>
        <v>11</v>
      </c>
      <c r="B2522" s="5">
        <f t="shared" si="88"/>
        <v>2019</v>
      </c>
      <c r="C2522" s="9">
        <v>43795</v>
      </c>
      <c r="D2522">
        <v>5</v>
      </c>
    </row>
    <row r="2523" spans="1:4" x14ac:dyDescent="0.25">
      <c r="A2523" s="5">
        <f t="shared" si="87"/>
        <v>11</v>
      </c>
      <c r="B2523" s="5">
        <f t="shared" si="88"/>
        <v>2019</v>
      </c>
      <c r="C2523" s="9">
        <v>43796</v>
      </c>
      <c r="D2523">
        <v>5</v>
      </c>
    </row>
    <row r="2524" spans="1:4" x14ac:dyDescent="0.25">
      <c r="A2524" s="5">
        <f t="shared" si="87"/>
        <v>11</v>
      </c>
      <c r="B2524" s="5">
        <f t="shared" si="88"/>
        <v>2019</v>
      </c>
      <c r="C2524" s="9">
        <v>43797</v>
      </c>
      <c r="D2524">
        <v>5</v>
      </c>
    </row>
    <row r="2525" spans="1:4" x14ac:dyDescent="0.25">
      <c r="A2525" s="5">
        <f t="shared" si="87"/>
        <v>11</v>
      </c>
      <c r="B2525" s="5">
        <f t="shared" si="88"/>
        <v>2019</v>
      </c>
      <c r="C2525" s="9">
        <v>43798</v>
      </c>
      <c r="D2525">
        <v>5</v>
      </c>
    </row>
    <row r="2526" spans="1:4" x14ac:dyDescent="0.25">
      <c r="A2526" s="5">
        <f t="shared" si="87"/>
        <v>11</v>
      </c>
      <c r="B2526" s="5">
        <f t="shared" si="88"/>
        <v>2019</v>
      </c>
      <c r="C2526" s="9">
        <v>43799</v>
      </c>
      <c r="D2526">
        <v>5</v>
      </c>
    </row>
    <row r="2527" spans="1:4" x14ac:dyDescent="0.25">
      <c r="A2527" s="5">
        <f t="shared" si="87"/>
        <v>12</v>
      </c>
      <c r="B2527" s="5">
        <f t="shared" si="88"/>
        <v>2019</v>
      </c>
      <c r="C2527" s="9">
        <v>43800</v>
      </c>
      <c r="D2527">
        <v>5</v>
      </c>
    </row>
    <row r="2528" spans="1:4" x14ac:dyDescent="0.25">
      <c r="A2528" s="5">
        <f t="shared" si="87"/>
        <v>12</v>
      </c>
      <c r="B2528" s="5">
        <f t="shared" si="88"/>
        <v>2019</v>
      </c>
      <c r="C2528" s="9">
        <v>43801</v>
      </c>
      <c r="D2528">
        <v>5</v>
      </c>
    </row>
    <row r="2529" spans="1:4" x14ac:dyDescent="0.25">
      <c r="A2529" s="5">
        <f t="shared" si="87"/>
        <v>12</v>
      </c>
      <c r="B2529" s="5">
        <f t="shared" si="88"/>
        <v>2019</v>
      </c>
      <c r="C2529" s="9">
        <v>43802</v>
      </c>
      <c r="D2529">
        <v>5</v>
      </c>
    </row>
    <row r="2530" spans="1:4" x14ac:dyDescent="0.25">
      <c r="A2530" s="5">
        <f t="shared" si="87"/>
        <v>12</v>
      </c>
      <c r="B2530" s="5">
        <f t="shared" si="88"/>
        <v>2019</v>
      </c>
      <c r="C2530" s="9">
        <v>43803</v>
      </c>
      <c r="D2530">
        <v>5</v>
      </c>
    </row>
    <row r="2531" spans="1:4" x14ac:dyDescent="0.25">
      <c r="A2531" s="5">
        <f t="shared" si="87"/>
        <v>12</v>
      </c>
      <c r="B2531" s="5">
        <f t="shared" si="88"/>
        <v>2019</v>
      </c>
      <c r="C2531" s="9">
        <v>43804</v>
      </c>
      <c r="D2531">
        <v>5</v>
      </c>
    </row>
    <row r="2532" spans="1:4" x14ac:dyDescent="0.25">
      <c r="A2532" s="5">
        <f t="shared" si="87"/>
        <v>12</v>
      </c>
      <c r="B2532" s="5">
        <f t="shared" si="88"/>
        <v>2019</v>
      </c>
      <c r="C2532" s="9">
        <v>43805</v>
      </c>
      <c r="D2532">
        <v>5</v>
      </c>
    </row>
    <row r="2533" spans="1:4" x14ac:dyDescent="0.25">
      <c r="A2533" s="5">
        <f t="shared" si="87"/>
        <v>12</v>
      </c>
      <c r="B2533" s="5">
        <f t="shared" si="88"/>
        <v>2019</v>
      </c>
      <c r="C2533" s="9">
        <v>43806</v>
      </c>
      <c r="D2533">
        <v>5</v>
      </c>
    </row>
    <row r="2534" spans="1:4" x14ac:dyDescent="0.25">
      <c r="A2534" s="5">
        <f t="shared" si="87"/>
        <v>12</v>
      </c>
      <c r="B2534" s="5">
        <f t="shared" si="88"/>
        <v>2019</v>
      </c>
      <c r="C2534" s="9">
        <v>43807</v>
      </c>
      <c r="D2534">
        <v>5</v>
      </c>
    </row>
    <row r="2535" spans="1:4" x14ac:dyDescent="0.25">
      <c r="A2535" s="5">
        <f t="shared" si="87"/>
        <v>12</v>
      </c>
      <c r="B2535" s="5">
        <f t="shared" si="88"/>
        <v>2019</v>
      </c>
      <c r="C2535" s="9">
        <v>43808</v>
      </c>
      <c r="D2535">
        <v>5</v>
      </c>
    </row>
    <row r="2536" spans="1:4" x14ac:dyDescent="0.25">
      <c r="A2536" s="5">
        <f t="shared" si="87"/>
        <v>12</v>
      </c>
      <c r="B2536" s="5">
        <f t="shared" si="88"/>
        <v>2019</v>
      </c>
      <c r="C2536" s="9">
        <v>43809</v>
      </c>
      <c r="D2536">
        <v>5</v>
      </c>
    </row>
    <row r="2537" spans="1:4" x14ac:dyDescent="0.25">
      <c r="A2537" s="5">
        <f t="shared" si="87"/>
        <v>12</v>
      </c>
      <c r="B2537" s="5">
        <f t="shared" si="88"/>
        <v>2019</v>
      </c>
      <c r="C2537" s="9">
        <v>43810</v>
      </c>
      <c r="D2537">
        <v>5</v>
      </c>
    </row>
    <row r="2538" spans="1:4" x14ac:dyDescent="0.25">
      <c r="A2538" s="5">
        <f t="shared" si="87"/>
        <v>12</v>
      </c>
      <c r="B2538" s="5">
        <f t="shared" si="88"/>
        <v>2019</v>
      </c>
      <c r="C2538" s="9">
        <v>43811</v>
      </c>
      <c r="D2538">
        <v>4.5</v>
      </c>
    </row>
    <row r="2539" spans="1:4" x14ac:dyDescent="0.25">
      <c r="A2539" s="5">
        <f t="shared" si="87"/>
        <v>12</v>
      </c>
      <c r="B2539" s="5">
        <f t="shared" si="88"/>
        <v>2019</v>
      </c>
      <c r="C2539" s="9">
        <v>43812</v>
      </c>
      <c r="D2539">
        <v>4.5</v>
      </c>
    </row>
    <row r="2540" spans="1:4" x14ac:dyDescent="0.25">
      <c r="A2540" s="5">
        <f t="shared" si="87"/>
        <v>12</v>
      </c>
      <c r="B2540" s="5">
        <f t="shared" si="88"/>
        <v>2019</v>
      </c>
      <c r="C2540" s="9">
        <v>43813</v>
      </c>
      <c r="D2540">
        <v>4.5</v>
      </c>
    </row>
    <row r="2541" spans="1:4" x14ac:dyDescent="0.25">
      <c r="A2541" s="5">
        <f t="shared" si="87"/>
        <v>12</v>
      </c>
      <c r="B2541" s="5">
        <f t="shared" si="88"/>
        <v>2019</v>
      </c>
      <c r="C2541" s="9">
        <v>43814</v>
      </c>
      <c r="D2541">
        <v>4.5</v>
      </c>
    </row>
    <row r="2542" spans="1:4" x14ac:dyDescent="0.25">
      <c r="A2542" s="5">
        <f t="shared" si="87"/>
        <v>12</v>
      </c>
      <c r="B2542" s="5">
        <f t="shared" si="88"/>
        <v>2019</v>
      </c>
      <c r="C2542" s="9">
        <v>43815</v>
      </c>
      <c r="D2542">
        <v>4.5</v>
      </c>
    </row>
    <row r="2543" spans="1:4" x14ac:dyDescent="0.25">
      <c r="A2543" s="5">
        <f t="shared" si="87"/>
        <v>12</v>
      </c>
      <c r="B2543" s="5">
        <f t="shared" si="88"/>
        <v>2019</v>
      </c>
      <c r="C2543" s="9">
        <v>43816</v>
      </c>
      <c r="D2543">
        <v>4.5</v>
      </c>
    </row>
    <row r="2544" spans="1:4" x14ac:dyDescent="0.25">
      <c r="A2544" s="5">
        <f t="shared" si="87"/>
        <v>12</v>
      </c>
      <c r="B2544" s="5">
        <f t="shared" si="88"/>
        <v>2019</v>
      </c>
      <c r="C2544" s="9">
        <v>43817</v>
      </c>
      <c r="D2544">
        <v>4.5</v>
      </c>
    </row>
    <row r="2545" spans="1:4" x14ac:dyDescent="0.25">
      <c r="A2545" s="5">
        <f t="shared" si="87"/>
        <v>12</v>
      </c>
      <c r="B2545" s="5">
        <f t="shared" si="88"/>
        <v>2019</v>
      </c>
      <c r="C2545" s="9">
        <v>43818</v>
      </c>
      <c r="D2545">
        <v>4.5</v>
      </c>
    </row>
    <row r="2546" spans="1:4" x14ac:dyDescent="0.25">
      <c r="A2546" s="5">
        <f t="shared" si="87"/>
        <v>12</v>
      </c>
      <c r="B2546" s="5">
        <f t="shared" si="88"/>
        <v>2019</v>
      </c>
      <c r="C2546" s="9">
        <v>43819</v>
      </c>
      <c r="D2546">
        <v>4.5</v>
      </c>
    </row>
    <row r="2547" spans="1:4" x14ac:dyDescent="0.25">
      <c r="A2547" s="5">
        <f t="shared" si="87"/>
        <v>12</v>
      </c>
      <c r="B2547" s="5">
        <f t="shared" si="88"/>
        <v>2019</v>
      </c>
      <c r="C2547" s="9">
        <v>43820</v>
      </c>
      <c r="D2547">
        <v>4.5</v>
      </c>
    </row>
    <row r="2548" spans="1:4" x14ac:dyDescent="0.25">
      <c r="A2548" s="5">
        <f t="shared" si="87"/>
        <v>12</v>
      </c>
      <c r="B2548" s="5">
        <f t="shared" si="88"/>
        <v>2019</v>
      </c>
      <c r="C2548" s="9">
        <v>43821</v>
      </c>
      <c r="D2548">
        <v>4.5</v>
      </c>
    </row>
    <row r="2549" spans="1:4" x14ac:dyDescent="0.25">
      <c r="A2549" s="5">
        <f t="shared" si="87"/>
        <v>12</v>
      </c>
      <c r="B2549" s="5">
        <f t="shared" si="88"/>
        <v>2019</v>
      </c>
      <c r="C2549" s="9">
        <v>43822</v>
      </c>
      <c r="D2549">
        <v>4.5</v>
      </c>
    </row>
    <row r="2550" spans="1:4" x14ac:dyDescent="0.25">
      <c r="A2550" s="5">
        <f t="shared" si="87"/>
        <v>12</v>
      </c>
      <c r="B2550" s="5">
        <f t="shared" si="88"/>
        <v>2019</v>
      </c>
      <c r="C2550" s="9">
        <v>43823</v>
      </c>
      <c r="D2550">
        <v>4.5</v>
      </c>
    </row>
    <row r="2551" spans="1:4" x14ac:dyDescent="0.25">
      <c r="A2551" s="5">
        <f t="shared" si="87"/>
        <v>12</v>
      </c>
      <c r="B2551" s="5">
        <f t="shared" si="88"/>
        <v>2019</v>
      </c>
      <c r="C2551" s="9">
        <v>43824</v>
      </c>
      <c r="D2551">
        <v>4.5</v>
      </c>
    </row>
    <row r="2552" spans="1:4" x14ac:dyDescent="0.25">
      <c r="A2552" s="5">
        <f t="shared" si="87"/>
        <v>12</v>
      </c>
      <c r="B2552" s="5">
        <f t="shared" si="88"/>
        <v>2019</v>
      </c>
      <c r="C2552" s="9">
        <v>43825</v>
      </c>
      <c r="D2552">
        <v>4.5</v>
      </c>
    </row>
    <row r="2553" spans="1:4" x14ac:dyDescent="0.25">
      <c r="A2553" s="5">
        <f t="shared" si="87"/>
        <v>12</v>
      </c>
      <c r="B2553" s="5">
        <f t="shared" si="88"/>
        <v>2019</v>
      </c>
      <c r="C2553" s="9">
        <v>43826</v>
      </c>
      <c r="D2553">
        <v>4.5</v>
      </c>
    </row>
    <row r="2554" spans="1:4" x14ac:dyDescent="0.25">
      <c r="A2554" s="5">
        <f t="shared" si="87"/>
        <v>12</v>
      </c>
      <c r="B2554" s="5">
        <f t="shared" si="88"/>
        <v>2019</v>
      </c>
      <c r="C2554" s="9">
        <v>43827</v>
      </c>
      <c r="D2554">
        <v>4.5</v>
      </c>
    </row>
    <row r="2555" spans="1:4" x14ac:dyDescent="0.25">
      <c r="A2555" s="5">
        <f t="shared" si="87"/>
        <v>12</v>
      </c>
      <c r="B2555" s="5">
        <f t="shared" si="88"/>
        <v>2019</v>
      </c>
      <c r="C2555" s="9">
        <v>43828</v>
      </c>
      <c r="D2555">
        <v>4.5</v>
      </c>
    </row>
    <row r="2556" spans="1:4" x14ac:dyDescent="0.25">
      <c r="A2556" s="5">
        <f t="shared" si="87"/>
        <v>12</v>
      </c>
      <c r="B2556" s="5">
        <f t="shared" si="88"/>
        <v>2019</v>
      </c>
      <c r="C2556" s="9">
        <v>43829</v>
      </c>
      <c r="D2556">
        <v>4.5</v>
      </c>
    </row>
    <row r="2557" spans="1:4" x14ac:dyDescent="0.25">
      <c r="A2557" s="5">
        <f t="shared" si="87"/>
        <v>12</v>
      </c>
      <c r="B2557" s="5">
        <f t="shared" si="88"/>
        <v>2019</v>
      </c>
      <c r="C2557" s="9">
        <v>43830</v>
      </c>
      <c r="D2557">
        <v>4.5</v>
      </c>
    </row>
    <row r="2558" spans="1:4" x14ac:dyDescent="0.25">
      <c r="A2558" s="5">
        <f t="shared" si="87"/>
        <v>1</v>
      </c>
      <c r="B2558" s="5">
        <f t="shared" si="88"/>
        <v>2020</v>
      </c>
      <c r="C2558" s="9">
        <v>43831</v>
      </c>
      <c r="D2558">
        <v>4.5</v>
      </c>
    </row>
    <row r="2559" spans="1:4" x14ac:dyDescent="0.25">
      <c r="A2559" s="5">
        <f t="shared" si="87"/>
        <v>1</v>
      </c>
      <c r="B2559" s="5">
        <f t="shared" si="88"/>
        <v>2020</v>
      </c>
      <c r="C2559" s="9">
        <v>43832</v>
      </c>
      <c r="D2559">
        <v>4.5</v>
      </c>
    </row>
    <row r="2560" spans="1:4" x14ac:dyDescent="0.25">
      <c r="A2560" s="5">
        <f t="shared" si="87"/>
        <v>1</v>
      </c>
      <c r="B2560" s="5">
        <f t="shared" si="88"/>
        <v>2020</v>
      </c>
      <c r="C2560" s="9">
        <v>43833</v>
      </c>
      <c r="D2560">
        <v>4.5</v>
      </c>
    </row>
    <row r="2561" spans="1:4" x14ac:dyDescent="0.25">
      <c r="A2561" s="5">
        <f t="shared" si="87"/>
        <v>1</v>
      </c>
      <c r="B2561" s="5">
        <f t="shared" si="88"/>
        <v>2020</v>
      </c>
      <c r="C2561" s="9">
        <v>43834</v>
      </c>
      <c r="D2561">
        <v>4.5</v>
      </c>
    </row>
    <row r="2562" spans="1:4" x14ac:dyDescent="0.25">
      <c r="A2562" s="5">
        <f t="shared" si="87"/>
        <v>1</v>
      </c>
      <c r="B2562" s="5">
        <f t="shared" si="88"/>
        <v>2020</v>
      </c>
      <c r="C2562" s="9">
        <v>43835</v>
      </c>
      <c r="D2562">
        <v>4.5</v>
      </c>
    </row>
    <row r="2563" spans="1:4" x14ac:dyDescent="0.25">
      <c r="A2563" s="5">
        <f t="shared" ref="A2563:A2626" si="89">MONTH(C2563)</f>
        <v>1</v>
      </c>
      <c r="B2563" s="5">
        <f t="shared" ref="B2563:B2626" si="90">YEAR(C2563)</f>
        <v>2020</v>
      </c>
      <c r="C2563" s="9">
        <v>43836</v>
      </c>
      <c r="D2563">
        <v>4.5</v>
      </c>
    </row>
    <row r="2564" spans="1:4" x14ac:dyDescent="0.25">
      <c r="A2564" s="5">
        <f t="shared" si="89"/>
        <v>1</v>
      </c>
      <c r="B2564" s="5">
        <f t="shared" si="90"/>
        <v>2020</v>
      </c>
      <c r="C2564" s="9">
        <v>43837</v>
      </c>
      <c r="D2564">
        <v>4.5</v>
      </c>
    </row>
    <row r="2565" spans="1:4" x14ac:dyDescent="0.25">
      <c r="A2565" s="5">
        <f t="shared" si="89"/>
        <v>1</v>
      </c>
      <c r="B2565" s="5">
        <f t="shared" si="90"/>
        <v>2020</v>
      </c>
      <c r="C2565" s="9">
        <v>43838</v>
      </c>
      <c r="D2565">
        <v>4.5</v>
      </c>
    </row>
    <row r="2566" spans="1:4" x14ac:dyDescent="0.25">
      <c r="A2566" s="5">
        <f t="shared" si="89"/>
        <v>1</v>
      </c>
      <c r="B2566" s="5">
        <f t="shared" si="90"/>
        <v>2020</v>
      </c>
      <c r="C2566" s="9">
        <v>43839</v>
      </c>
      <c r="D2566">
        <v>4.5</v>
      </c>
    </row>
    <row r="2567" spans="1:4" x14ac:dyDescent="0.25">
      <c r="A2567" s="5">
        <f t="shared" si="89"/>
        <v>1</v>
      </c>
      <c r="B2567" s="5">
        <f t="shared" si="90"/>
        <v>2020</v>
      </c>
      <c r="C2567" s="9">
        <v>43840</v>
      </c>
      <c r="D2567">
        <v>4.5</v>
      </c>
    </row>
    <row r="2568" spans="1:4" x14ac:dyDescent="0.25">
      <c r="A2568" s="5">
        <f t="shared" si="89"/>
        <v>1</v>
      </c>
      <c r="B2568" s="5">
        <f t="shared" si="90"/>
        <v>2020</v>
      </c>
      <c r="C2568" s="9">
        <v>43841</v>
      </c>
      <c r="D2568">
        <v>4.5</v>
      </c>
    </row>
    <row r="2569" spans="1:4" x14ac:dyDescent="0.25">
      <c r="A2569" s="5">
        <f t="shared" si="89"/>
        <v>1</v>
      </c>
      <c r="B2569" s="5">
        <f t="shared" si="90"/>
        <v>2020</v>
      </c>
      <c r="C2569" s="9">
        <v>43842</v>
      </c>
      <c r="D2569">
        <v>4.5</v>
      </c>
    </row>
    <row r="2570" spans="1:4" x14ac:dyDescent="0.25">
      <c r="A2570" s="5">
        <f t="shared" si="89"/>
        <v>1</v>
      </c>
      <c r="B2570" s="5">
        <f t="shared" si="90"/>
        <v>2020</v>
      </c>
      <c r="C2570" s="9">
        <v>43843</v>
      </c>
      <c r="D2570">
        <v>4.5</v>
      </c>
    </row>
    <row r="2571" spans="1:4" x14ac:dyDescent="0.25">
      <c r="A2571" s="5">
        <f t="shared" si="89"/>
        <v>1</v>
      </c>
      <c r="B2571" s="5">
        <f t="shared" si="90"/>
        <v>2020</v>
      </c>
      <c r="C2571" s="9">
        <v>43844</v>
      </c>
      <c r="D2571">
        <v>4.5</v>
      </c>
    </row>
    <row r="2572" spans="1:4" x14ac:dyDescent="0.25">
      <c r="A2572" s="5">
        <f t="shared" si="89"/>
        <v>1</v>
      </c>
      <c r="B2572" s="5">
        <f t="shared" si="90"/>
        <v>2020</v>
      </c>
      <c r="C2572" s="9">
        <v>43845</v>
      </c>
      <c r="D2572">
        <v>4.5</v>
      </c>
    </row>
    <row r="2573" spans="1:4" x14ac:dyDescent="0.25">
      <c r="A2573" s="5">
        <f t="shared" si="89"/>
        <v>1</v>
      </c>
      <c r="B2573" s="5">
        <f t="shared" si="90"/>
        <v>2020</v>
      </c>
      <c r="C2573" s="9">
        <v>43846</v>
      </c>
      <c r="D2573">
        <v>4.5</v>
      </c>
    </row>
    <row r="2574" spans="1:4" x14ac:dyDescent="0.25">
      <c r="A2574" s="5">
        <f t="shared" si="89"/>
        <v>1</v>
      </c>
      <c r="B2574" s="5">
        <f t="shared" si="90"/>
        <v>2020</v>
      </c>
      <c r="C2574" s="9">
        <v>43847</v>
      </c>
      <c r="D2574">
        <v>4.5</v>
      </c>
    </row>
    <row r="2575" spans="1:4" x14ac:dyDescent="0.25">
      <c r="A2575" s="5">
        <f t="shared" si="89"/>
        <v>1</v>
      </c>
      <c r="B2575" s="5">
        <f t="shared" si="90"/>
        <v>2020</v>
      </c>
      <c r="C2575" s="9">
        <v>43848</v>
      </c>
      <c r="D2575">
        <v>4.5</v>
      </c>
    </row>
    <row r="2576" spans="1:4" x14ac:dyDescent="0.25">
      <c r="A2576" s="5">
        <f t="shared" si="89"/>
        <v>1</v>
      </c>
      <c r="B2576" s="5">
        <f t="shared" si="90"/>
        <v>2020</v>
      </c>
      <c r="C2576" s="9">
        <v>43849</v>
      </c>
      <c r="D2576">
        <v>4.5</v>
      </c>
    </row>
    <row r="2577" spans="1:4" x14ac:dyDescent="0.25">
      <c r="A2577" s="5">
        <f t="shared" si="89"/>
        <v>1</v>
      </c>
      <c r="B2577" s="5">
        <f t="shared" si="90"/>
        <v>2020</v>
      </c>
      <c r="C2577" s="9">
        <v>43850</v>
      </c>
      <c r="D2577">
        <v>4.5</v>
      </c>
    </row>
    <row r="2578" spans="1:4" x14ac:dyDescent="0.25">
      <c r="A2578" s="5">
        <f t="shared" si="89"/>
        <v>1</v>
      </c>
      <c r="B2578" s="5">
        <f t="shared" si="90"/>
        <v>2020</v>
      </c>
      <c r="C2578" s="9">
        <v>43851</v>
      </c>
      <c r="D2578">
        <v>4.5</v>
      </c>
    </row>
    <row r="2579" spans="1:4" x14ac:dyDescent="0.25">
      <c r="A2579" s="5">
        <f t="shared" si="89"/>
        <v>1</v>
      </c>
      <c r="B2579" s="5">
        <f t="shared" si="90"/>
        <v>2020</v>
      </c>
      <c r="C2579" s="9">
        <v>43852</v>
      </c>
      <c r="D2579">
        <v>4.5</v>
      </c>
    </row>
    <row r="2580" spans="1:4" x14ac:dyDescent="0.25">
      <c r="A2580" s="5">
        <f t="shared" si="89"/>
        <v>1</v>
      </c>
      <c r="B2580" s="5">
        <f t="shared" si="90"/>
        <v>2020</v>
      </c>
      <c r="C2580" s="9">
        <v>43853</v>
      </c>
      <c r="D2580">
        <v>4.5</v>
      </c>
    </row>
    <row r="2581" spans="1:4" x14ac:dyDescent="0.25">
      <c r="A2581" s="5">
        <f t="shared" si="89"/>
        <v>1</v>
      </c>
      <c r="B2581" s="5">
        <f t="shared" si="90"/>
        <v>2020</v>
      </c>
      <c r="C2581" s="9">
        <v>43854</v>
      </c>
      <c r="D2581">
        <v>4.5</v>
      </c>
    </row>
    <row r="2582" spans="1:4" x14ac:dyDescent="0.25">
      <c r="A2582" s="5">
        <f t="shared" si="89"/>
        <v>1</v>
      </c>
      <c r="B2582" s="5">
        <f t="shared" si="90"/>
        <v>2020</v>
      </c>
      <c r="C2582" s="9">
        <v>43855</v>
      </c>
      <c r="D2582">
        <v>4.5</v>
      </c>
    </row>
    <row r="2583" spans="1:4" x14ac:dyDescent="0.25">
      <c r="A2583" s="5">
        <f t="shared" si="89"/>
        <v>1</v>
      </c>
      <c r="B2583" s="5">
        <f t="shared" si="90"/>
        <v>2020</v>
      </c>
      <c r="C2583" s="9">
        <v>43856</v>
      </c>
      <c r="D2583">
        <v>4.5</v>
      </c>
    </row>
    <row r="2584" spans="1:4" x14ac:dyDescent="0.25">
      <c r="A2584" s="5">
        <f t="shared" si="89"/>
        <v>1</v>
      </c>
      <c r="B2584" s="5">
        <f t="shared" si="90"/>
        <v>2020</v>
      </c>
      <c r="C2584" s="9">
        <v>43857</v>
      </c>
      <c r="D2584">
        <v>4.5</v>
      </c>
    </row>
    <row r="2585" spans="1:4" x14ac:dyDescent="0.25">
      <c r="A2585" s="5">
        <f t="shared" si="89"/>
        <v>1</v>
      </c>
      <c r="B2585" s="5">
        <f t="shared" si="90"/>
        <v>2020</v>
      </c>
      <c r="C2585" s="9">
        <v>43858</v>
      </c>
      <c r="D2585">
        <v>4.5</v>
      </c>
    </row>
    <row r="2586" spans="1:4" x14ac:dyDescent="0.25">
      <c r="A2586" s="5">
        <f t="shared" si="89"/>
        <v>1</v>
      </c>
      <c r="B2586" s="5">
        <f t="shared" si="90"/>
        <v>2020</v>
      </c>
      <c r="C2586" s="9">
        <v>43859</v>
      </c>
      <c r="D2586">
        <v>4.5</v>
      </c>
    </row>
    <row r="2587" spans="1:4" x14ac:dyDescent="0.25">
      <c r="A2587" s="5">
        <f t="shared" si="89"/>
        <v>1</v>
      </c>
      <c r="B2587" s="5">
        <f t="shared" si="90"/>
        <v>2020</v>
      </c>
      <c r="C2587" s="9">
        <v>43860</v>
      </c>
      <c r="D2587">
        <v>4.5</v>
      </c>
    </row>
    <row r="2588" spans="1:4" x14ac:dyDescent="0.25">
      <c r="A2588" s="5">
        <f t="shared" si="89"/>
        <v>1</v>
      </c>
      <c r="B2588" s="5">
        <f t="shared" si="90"/>
        <v>2020</v>
      </c>
      <c r="C2588" s="9">
        <v>43861</v>
      </c>
      <c r="D2588">
        <v>4.5</v>
      </c>
    </row>
    <row r="2589" spans="1:4" x14ac:dyDescent="0.25">
      <c r="A2589" s="5">
        <f t="shared" si="89"/>
        <v>2</v>
      </c>
      <c r="B2589" s="5">
        <f t="shared" si="90"/>
        <v>2020</v>
      </c>
      <c r="C2589" s="9">
        <v>43862</v>
      </c>
      <c r="D2589">
        <v>4.5</v>
      </c>
    </row>
    <row r="2590" spans="1:4" x14ac:dyDescent="0.25">
      <c r="A2590" s="5">
        <f t="shared" si="89"/>
        <v>2</v>
      </c>
      <c r="B2590" s="5">
        <f t="shared" si="90"/>
        <v>2020</v>
      </c>
      <c r="C2590" s="9">
        <v>43863</v>
      </c>
      <c r="D2590">
        <v>4.5</v>
      </c>
    </row>
    <row r="2591" spans="1:4" x14ac:dyDescent="0.25">
      <c r="A2591" s="5">
        <f t="shared" si="89"/>
        <v>2</v>
      </c>
      <c r="B2591" s="5">
        <f t="shared" si="90"/>
        <v>2020</v>
      </c>
      <c r="C2591" s="9">
        <v>43864</v>
      </c>
      <c r="D2591">
        <v>4.5</v>
      </c>
    </row>
    <row r="2592" spans="1:4" x14ac:dyDescent="0.25">
      <c r="A2592" s="5">
        <f t="shared" si="89"/>
        <v>2</v>
      </c>
      <c r="B2592" s="5">
        <f t="shared" si="90"/>
        <v>2020</v>
      </c>
      <c r="C2592" s="9">
        <v>43865</v>
      </c>
      <c r="D2592">
        <v>4.5</v>
      </c>
    </row>
    <row r="2593" spans="1:4" x14ac:dyDescent="0.25">
      <c r="A2593" s="5">
        <f t="shared" si="89"/>
        <v>2</v>
      </c>
      <c r="B2593" s="5">
        <f t="shared" si="90"/>
        <v>2020</v>
      </c>
      <c r="C2593" s="9">
        <v>43866</v>
      </c>
      <c r="D2593">
        <v>4.5</v>
      </c>
    </row>
    <row r="2594" spans="1:4" x14ac:dyDescent="0.25">
      <c r="A2594" s="5">
        <f t="shared" si="89"/>
        <v>2</v>
      </c>
      <c r="B2594" s="5">
        <f t="shared" si="90"/>
        <v>2020</v>
      </c>
      <c r="C2594" s="9">
        <v>43867</v>
      </c>
      <c r="D2594">
        <v>4.25</v>
      </c>
    </row>
    <row r="2595" spans="1:4" x14ac:dyDescent="0.25">
      <c r="A2595" s="5">
        <f t="shared" si="89"/>
        <v>2</v>
      </c>
      <c r="B2595" s="5">
        <f t="shared" si="90"/>
        <v>2020</v>
      </c>
      <c r="C2595" s="9">
        <v>43868</v>
      </c>
      <c r="D2595">
        <v>4.25</v>
      </c>
    </row>
    <row r="2596" spans="1:4" x14ac:dyDescent="0.25">
      <c r="A2596" s="5">
        <f t="shared" si="89"/>
        <v>2</v>
      </c>
      <c r="B2596" s="5">
        <f t="shared" si="90"/>
        <v>2020</v>
      </c>
      <c r="C2596" s="9">
        <v>43869</v>
      </c>
      <c r="D2596">
        <v>4.25</v>
      </c>
    </row>
    <row r="2597" spans="1:4" x14ac:dyDescent="0.25">
      <c r="A2597" s="5">
        <f t="shared" si="89"/>
        <v>2</v>
      </c>
      <c r="B2597" s="5">
        <f t="shared" si="90"/>
        <v>2020</v>
      </c>
      <c r="C2597" s="9">
        <v>43870</v>
      </c>
      <c r="D2597">
        <v>4.25</v>
      </c>
    </row>
    <row r="2598" spans="1:4" x14ac:dyDescent="0.25">
      <c r="A2598" s="5">
        <f t="shared" si="89"/>
        <v>2</v>
      </c>
      <c r="B2598" s="5">
        <f t="shared" si="90"/>
        <v>2020</v>
      </c>
      <c r="C2598" s="9">
        <v>43871</v>
      </c>
      <c r="D2598">
        <v>4.25</v>
      </c>
    </row>
    <row r="2599" spans="1:4" x14ac:dyDescent="0.25">
      <c r="A2599" s="5">
        <f t="shared" si="89"/>
        <v>2</v>
      </c>
      <c r="B2599" s="5">
        <f t="shared" si="90"/>
        <v>2020</v>
      </c>
      <c r="C2599" s="9">
        <v>43872</v>
      </c>
      <c r="D2599">
        <v>4.25</v>
      </c>
    </row>
    <row r="2600" spans="1:4" x14ac:dyDescent="0.25">
      <c r="A2600" s="5">
        <f t="shared" si="89"/>
        <v>2</v>
      </c>
      <c r="B2600" s="5">
        <f t="shared" si="90"/>
        <v>2020</v>
      </c>
      <c r="C2600" s="9">
        <v>43873</v>
      </c>
      <c r="D2600">
        <v>4.25</v>
      </c>
    </row>
    <row r="2601" spans="1:4" x14ac:dyDescent="0.25">
      <c r="A2601" s="5">
        <f t="shared" si="89"/>
        <v>2</v>
      </c>
      <c r="B2601" s="5">
        <f t="shared" si="90"/>
        <v>2020</v>
      </c>
      <c r="C2601" s="9">
        <v>43874</v>
      </c>
      <c r="D2601">
        <v>4.25</v>
      </c>
    </row>
    <row r="2602" spans="1:4" x14ac:dyDescent="0.25">
      <c r="A2602" s="5">
        <f t="shared" si="89"/>
        <v>2</v>
      </c>
      <c r="B2602" s="5">
        <f t="shared" si="90"/>
        <v>2020</v>
      </c>
      <c r="C2602" s="9">
        <v>43875</v>
      </c>
      <c r="D2602">
        <v>4.25</v>
      </c>
    </row>
    <row r="2603" spans="1:4" x14ac:dyDescent="0.25">
      <c r="A2603" s="5">
        <f t="shared" si="89"/>
        <v>2</v>
      </c>
      <c r="B2603" s="5">
        <f t="shared" si="90"/>
        <v>2020</v>
      </c>
      <c r="C2603" s="9">
        <v>43876</v>
      </c>
      <c r="D2603">
        <v>4.25</v>
      </c>
    </row>
    <row r="2604" spans="1:4" x14ac:dyDescent="0.25">
      <c r="A2604" s="5">
        <f t="shared" si="89"/>
        <v>2</v>
      </c>
      <c r="B2604" s="5">
        <f t="shared" si="90"/>
        <v>2020</v>
      </c>
      <c r="C2604" s="9">
        <v>43877</v>
      </c>
      <c r="D2604">
        <v>4.25</v>
      </c>
    </row>
    <row r="2605" spans="1:4" x14ac:dyDescent="0.25">
      <c r="A2605" s="5">
        <f t="shared" si="89"/>
        <v>2</v>
      </c>
      <c r="B2605" s="5">
        <f t="shared" si="90"/>
        <v>2020</v>
      </c>
      <c r="C2605" s="9">
        <v>43878</v>
      </c>
      <c r="D2605">
        <v>4.25</v>
      </c>
    </row>
    <row r="2606" spans="1:4" x14ac:dyDescent="0.25">
      <c r="A2606" s="5">
        <f t="shared" si="89"/>
        <v>2</v>
      </c>
      <c r="B2606" s="5">
        <f t="shared" si="90"/>
        <v>2020</v>
      </c>
      <c r="C2606" s="9">
        <v>43879</v>
      </c>
      <c r="D2606">
        <v>4.25</v>
      </c>
    </row>
    <row r="2607" spans="1:4" x14ac:dyDescent="0.25">
      <c r="A2607" s="5">
        <f t="shared" si="89"/>
        <v>2</v>
      </c>
      <c r="B2607" s="5">
        <f t="shared" si="90"/>
        <v>2020</v>
      </c>
      <c r="C2607" s="9">
        <v>43880</v>
      </c>
      <c r="D2607">
        <v>4.25</v>
      </c>
    </row>
    <row r="2608" spans="1:4" x14ac:dyDescent="0.25">
      <c r="A2608" s="5">
        <f t="shared" si="89"/>
        <v>2</v>
      </c>
      <c r="B2608" s="5">
        <f t="shared" si="90"/>
        <v>2020</v>
      </c>
      <c r="C2608" s="9">
        <v>43881</v>
      </c>
      <c r="D2608">
        <v>4.25</v>
      </c>
    </row>
    <row r="2609" spans="1:4" x14ac:dyDescent="0.25">
      <c r="A2609" s="5">
        <f t="shared" si="89"/>
        <v>2</v>
      </c>
      <c r="B2609" s="5">
        <f t="shared" si="90"/>
        <v>2020</v>
      </c>
      <c r="C2609" s="9">
        <v>43882</v>
      </c>
      <c r="D2609">
        <v>4.25</v>
      </c>
    </row>
    <row r="2610" spans="1:4" x14ac:dyDescent="0.25">
      <c r="A2610" s="5">
        <f t="shared" si="89"/>
        <v>2</v>
      </c>
      <c r="B2610" s="5">
        <f t="shared" si="90"/>
        <v>2020</v>
      </c>
      <c r="C2610" s="9">
        <v>43883</v>
      </c>
      <c r="D2610">
        <v>4.25</v>
      </c>
    </row>
    <row r="2611" spans="1:4" x14ac:dyDescent="0.25">
      <c r="A2611" s="5">
        <f t="shared" si="89"/>
        <v>2</v>
      </c>
      <c r="B2611" s="5">
        <f t="shared" si="90"/>
        <v>2020</v>
      </c>
      <c r="C2611" s="9">
        <v>43884</v>
      </c>
      <c r="D2611">
        <v>4.25</v>
      </c>
    </row>
    <row r="2612" spans="1:4" x14ac:dyDescent="0.25">
      <c r="A2612" s="5">
        <f t="shared" si="89"/>
        <v>2</v>
      </c>
      <c r="B2612" s="5">
        <f t="shared" si="90"/>
        <v>2020</v>
      </c>
      <c r="C2612" s="9">
        <v>43885</v>
      </c>
      <c r="D2612">
        <v>4.25</v>
      </c>
    </row>
    <row r="2613" spans="1:4" x14ac:dyDescent="0.25">
      <c r="A2613" s="5">
        <f t="shared" si="89"/>
        <v>2</v>
      </c>
      <c r="B2613" s="5">
        <f t="shared" si="90"/>
        <v>2020</v>
      </c>
      <c r="C2613" s="9">
        <v>43886</v>
      </c>
      <c r="D2613">
        <v>4.25</v>
      </c>
    </row>
    <row r="2614" spans="1:4" x14ac:dyDescent="0.25">
      <c r="A2614" s="5">
        <f t="shared" si="89"/>
        <v>2</v>
      </c>
      <c r="B2614" s="5">
        <f t="shared" si="90"/>
        <v>2020</v>
      </c>
      <c r="C2614" s="9">
        <v>43887</v>
      </c>
      <c r="D2614">
        <v>4.25</v>
      </c>
    </row>
    <row r="2615" spans="1:4" x14ac:dyDescent="0.25">
      <c r="A2615" s="5">
        <f t="shared" si="89"/>
        <v>2</v>
      </c>
      <c r="B2615" s="5">
        <f t="shared" si="90"/>
        <v>2020</v>
      </c>
      <c r="C2615" s="9">
        <v>43888</v>
      </c>
      <c r="D2615">
        <v>4.25</v>
      </c>
    </row>
    <row r="2616" spans="1:4" x14ac:dyDescent="0.25">
      <c r="A2616" s="5">
        <f t="shared" si="89"/>
        <v>2</v>
      </c>
      <c r="B2616" s="5">
        <f t="shared" si="90"/>
        <v>2020</v>
      </c>
      <c r="C2616" s="9">
        <v>43889</v>
      </c>
      <c r="D2616">
        <v>4.25</v>
      </c>
    </row>
    <row r="2617" spans="1:4" x14ac:dyDescent="0.25">
      <c r="A2617" s="5">
        <f t="shared" si="89"/>
        <v>2</v>
      </c>
      <c r="B2617" s="5">
        <f t="shared" si="90"/>
        <v>2020</v>
      </c>
      <c r="C2617" s="9">
        <v>43890</v>
      </c>
      <c r="D2617">
        <v>4.25</v>
      </c>
    </row>
    <row r="2618" spans="1:4" x14ac:dyDescent="0.25">
      <c r="A2618" s="5">
        <f t="shared" si="89"/>
        <v>3</v>
      </c>
      <c r="B2618" s="5">
        <f t="shared" si="90"/>
        <v>2020</v>
      </c>
      <c r="C2618" s="9">
        <v>43891</v>
      </c>
      <c r="D2618">
        <v>4.25</v>
      </c>
    </row>
    <row r="2619" spans="1:4" x14ac:dyDescent="0.25">
      <c r="A2619" s="5">
        <f t="shared" si="89"/>
        <v>3</v>
      </c>
      <c r="B2619" s="5">
        <f t="shared" si="90"/>
        <v>2020</v>
      </c>
      <c r="C2619" s="9">
        <v>43892</v>
      </c>
      <c r="D2619">
        <v>4.25</v>
      </c>
    </row>
    <row r="2620" spans="1:4" x14ac:dyDescent="0.25">
      <c r="A2620" s="5">
        <f t="shared" si="89"/>
        <v>3</v>
      </c>
      <c r="B2620" s="5">
        <f t="shared" si="90"/>
        <v>2020</v>
      </c>
      <c r="C2620" s="9">
        <v>43893</v>
      </c>
      <c r="D2620">
        <v>4.25</v>
      </c>
    </row>
    <row r="2621" spans="1:4" x14ac:dyDescent="0.25">
      <c r="A2621" s="5">
        <f t="shared" si="89"/>
        <v>3</v>
      </c>
      <c r="B2621" s="5">
        <f t="shared" si="90"/>
        <v>2020</v>
      </c>
      <c r="C2621" s="9">
        <v>43894</v>
      </c>
      <c r="D2621">
        <v>4.25</v>
      </c>
    </row>
    <row r="2622" spans="1:4" x14ac:dyDescent="0.25">
      <c r="A2622" s="5">
        <f t="shared" si="89"/>
        <v>3</v>
      </c>
      <c r="B2622" s="5">
        <f t="shared" si="90"/>
        <v>2020</v>
      </c>
      <c r="C2622" s="9">
        <v>43895</v>
      </c>
      <c r="D2622">
        <v>4.25</v>
      </c>
    </row>
    <row r="2623" spans="1:4" x14ac:dyDescent="0.25">
      <c r="A2623" s="5">
        <f t="shared" si="89"/>
        <v>3</v>
      </c>
      <c r="B2623" s="5">
        <f t="shared" si="90"/>
        <v>2020</v>
      </c>
      <c r="C2623" s="9">
        <v>43896</v>
      </c>
      <c r="D2623">
        <v>4.25</v>
      </c>
    </row>
    <row r="2624" spans="1:4" x14ac:dyDescent="0.25">
      <c r="A2624" s="5">
        <f t="shared" si="89"/>
        <v>3</v>
      </c>
      <c r="B2624" s="5">
        <f t="shared" si="90"/>
        <v>2020</v>
      </c>
      <c r="C2624" s="9">
        <v>43897</v>
      </c>
      <c r="D2624">
        <v>4.25</v>
      </c>
    </row>
    <row r="2625" spans="1:4" x14ac:dyDescent="0.25">
      <c r="A2625" s="5">
        <f t="shared" si="89"/>
        <v>3</v>
      </c>
      <c r="B2625" s="5">
        <f t="shared" si="90"/>
        <v>2020</v>
      </c>
      <c r="C2625" s="9">
        <v>43898</v>
      </c>
      <c r="D2625">
        <v>4.25</v>
      </c>
    </row>
    <row r="2626" spans="1:4" x14ac:dyDescent="0.25">
      <c r="A2626" s="5">
        <f t="shared" si="89"/>
        <v>3</v>
      </c>
      <c r="B2626" s="5">
        <f t="shared" si="90"/>
        <v>2020</v>
      </c>
      <c r="C2626" s="9">
        <v>43899</v>
      </c>
      <c r="D2626">
        <v>4.25</v>
      </c>
    </row>
    <row r="2627" spans="1:4" x14ac:dyDescent="0.25">
      <c r="A2627" s="5">
        <f t="shared" ref="A2627:A2690" si="91">MONTH(C2627)</f>
        <v>3</v>
      </c>
      <c r="B2627" s="5">
        <f t="shared" ref="B2627:B2690" si="92">YEAR(C2627)</f>
        <v>2020</v>
      </c>
      <c r="C2627" s="9">
        <v>43900</v>
      </c>
      <c r="D2627">
        <v>4.25</v>
      </c>
    </row>
    <row r="2628" spans="1:4" x14ac:dyDescent="0.25">
      <c r="A2628" s="5">
        <f t="shared" si="91"/>
        <v>3</v>
      </c>
      <c r="B2628" s="5">
        <f t="shared" si="92"/>
        <v>2020</v>
      </c>
      <c r="C2628" s="9">
        <v>43901</v>
      </c>
      <c r="D2628">
        <v>4.25</v>
      </c>
    </row>
    <row r="2629" spans="1:4" x14ac:dyDescent="0.25">
      <c r="A2629" s="5">
        <f t="shared" si="91"/>
        <v>3</v>
      </c>
      <c r="B2629" s="5">
        <f t="shared" si="92"/>
        <v>2020</v>
      </c>
      <c r="C2629" s="9">
        <v>43902</v>
      </c>
      <c r="D2629">
        <v>4.25</v>
      </c>
    </row>
    <row r="2630" spans="1:4" x14ac:dyDescent="0.25">
      <c r="A2630" s="5">
        <f t="shared" si="91"/>
        <v>3</v>
      </c>
      <c r="B2630" s="5">
        <f t="shared" si="92"/>
        <v>2020</v>
      </c>
      <c r="C2630" s="9">
        <v>43903</v>
      </c>
      <c r="D2630">
        <v>4.25</v>
      </c>
    </row>
    <row r="2631" spans="1:4" x14ac:dyDescent="0.25">
      <c r="A2631" s="5">
        <f t="shared" si="91"/>
        <v>3</v>
      </c>
      <c r="B2631" s="5">
        <f t="shared" si="92"/>
        <v>2020</v>
      </c>
      <c r="C2631" s="9">
        <v>43904</v>
      </c>
      <c r="D2631">
        <v>4.25</v>
      </c>
    </row>
    <row r="2632" spans="1:4" x14ac:dyDescent="0.25">
      <c r="A2632" s="5">
        <f t="shared" si="91"/>
        <v>3</v>
      </c>
      <c r="B2632" s="5">
        <f t="shared" si="92"/>
        <v>2020</v>
      </c>
      <c r="C2632" s="9">
        <v>43905</v>
      </c>
      <c r="D2632">
        <v>4.25</v>
      </c>
    </row>
    <row r="2633" spans="1:4" x14ac:dyDescent="0.25">
      <c r="A2633" s="5">
        <f t="shared" si="91"/>
        <v>3</v>
      </c>
      <c r="B2633" s="5">
        <f t="shared" si="92"/>
        <v>2020</v>
      </c>
      <c r="C2633" s="9">
        <v>43906</v>
      </c>
      <c r="D2633">
        <v>4.25</v>
      </c>
    </row>
    <row r="2634" spans="1:4" x14ac:dyDescent="0.25">
      <c r="A2634" s="5">
        <f t="shared" si="91"/>
        <v>3</v>
      </c>
      <c r="B2634" s="5">
        <f t="shared" si="92"/>
        <v>2020</v>
      </c>
      <c r="C2634" s="9">
        <v>43907</v>
      </c>
      <c r="D2634">
        <v>4.25</v>
      </c>
    </row>
    <row r="2635" spans="1:4" x14ac:dyDescent="0.25">
      <c r="A2635" s="5">
        <f t="shared" si="91"/>
        <v>3</v>
      </c>
      <c r="B2635" s="5">
        <f t="shared" si="92"/>
        <v>2020</v>
      </c>
      <c r="C2635" s="9">
        <v>43908</v>
      </c>
      <c r="D2635">
        <v>4.25</v>
      </c>
    </row>
    <row r="2636" spans="1:4" x14ac:dyDescent="0.25">
      <c r="A2636" s="5">
        <f t="shared" si="91"/>
        <v>3</v>
      </c>
      <c r="B2636" s="5">
        <f t="shared" si="92"/>
        <v>2020</v>
      </c>
      <c r="C2636" s="9">
        <v>43909</v>
      </c>
      <c r="D2636">
        <v>3.75</v>
      </c>
    </row>
    <row r="2637" spans="1:4" x14ac:dyDescent="0.25">
      <c r="A2637" s="5">
        <f t="shared" si="91"/>
        <v>3</v>
      </c>
      <c r="B2637" s="5">
        <f t="shared" si="92"/>
        <v>2020</v>
      </c>
      <c r="C2637" s="9">
        <v>43910</v>
      </c>
      <c r="D2637">
        <v>3.75</v>
      </c>
    </row>
    <row r="2638" spans="1:4" x14ac:dyDescent="0.25">
      <c r="A2638" s="5">
        <f t="shared" si="91"/>
        <v>3</v>
      </c>
      <c r="B2638" s="5">
        <f t="shared" si="92"/>
        <v>2020</v>
      </c>
      <c r="C2638" s="9">
        <v>43911</v>
      </c>
      <c r="D2638">
        <v>3.75</v>
      </c>
    </row>
    <row r="2639" spans="1:4" x14ac:dyDescent="0.25">
      <c r="A2639" s="5">
        <f t="shared" si="91"/>
        <v>3</v>
      </c>
      <c r="B2639" s="5">
        <f t="shared" si="92"/>
        <v>2020</v>
      </c>
      <c r="C2639" s="9">
        <v>43912</v>
      </c>
      <c r="D2639">
        <v>3.75</v>
      </c>
    </row>
    <row r="2640" spans="1:4" x14ac:dyDescent="0.25">
      <c r="A2640" s="5">
        <f t="shared" si="91"/>
        <v>3</v>
      </c>
      <c r="B2640" s="5">
        <f t="shared" si="92"/>
        <v>2020</v>
      </c>
      <c r="C2640" s="9">
        <v>43913</v>
      </c>
      <c r="D2640">
        <v>3.75</v>
      </c>
    </row>
    <row r="2641" spans="1:4" x14ac:dyDescent="0.25">
      <c r="A2641" s="5">
        <f t="shared" si="91"/>
        <v>3</v>
      </c>
      <c r="B2641" s="5">
        <f t="shared" si="92"/>
        <v>2020</v>
      </c>
      <c r="C2641" s="9">
        <v>43914</v>
      </c>
      <c r="D2641">
        <v>3.75</v>
      </c>
    </row>
    <row r="2642" spans="1:4" x14ac:dyDescent="0.25">
      <c r="A2642" s="5">
        <f t="shared" si="91"/>
        <v>3</v>
      </c>
      <c r="B2642" s="5">
        <f t="shared" si="92"/>
        <v>2020</v>
      </c>
      <c r="C2642" s="9">
        <v>43915</v>
      </c>
      <c r="D2642">
        <v>3.75</v>
      </c>
    </row>
    <row r="2643" spans="1:4" x14ac:dyDescent="0.25">
      <c r="A2643" s="5">
        <f t="shared" si="91"/>
        <v>3</v>
      </c>
      <c r="B2643" s="5">
        <f t="shared" si="92"/>
        <v>2020</v>
      </c>
      <c r="C2643" s="9">
        <v>43916</v>
      </c>
      <c r="D2643">
        <v>3.75</v>
      </c>
    </row>
    <row r="2644" spans="1:4" x14ac:dyDescent="0.25">
      <c r="A2644" s="5">
        <f t="shared" si="91"/>
        <v>3</v>
      </c>
      <c r="B2644" s="5">
        <f t="shared" si="92"/>
        <v>2020</v>
      </c>
      <c r="C2644" s="9">
        <v>43917</v>
      </c>
      <c r="D2644">
        <v>3.75</v>
      </c>
    </row>
    <row r="2645" spans="1:4" x14ac:dyDescent="0.25">
      <c r="A2645" s="5">
        <f t="shared" si="91"/>
        <v>3</v>
      </c>
      <c r="B2645" s="5">
        <f t="shared" si="92"/>
        <v>2020</v>
      </c>
      <c r="C2645" s="9">
        <v>43918</v>
      </c>
      <c r="D2645">
        <v>3.75</v>
      </c>
    </row>
    <row r="2646" spans="1:4" x14ac:dyDescent="0.25">
      <c r="A2646" s="5">
        <f t="shared" si="91"/>
        <v>3</v>
      </c>
      <c r="B2646" s="5">
        <f t="shared" si="92"/>
        <v>2020</v>
      </c>
      <c r="C2646" s="9">
        <v>43919</v>
      </c>
      <c r="D2646">
        <v>3.75</v>
      </c>
    </row>
    <row r="2647" spans="1:4" x14ac:dyDescent="0.25">
      <c r="A2647" s="5">
        <f t="shared" si="91"/>
        <v>3</v>
      </c>
      <c r="B2647" s="5">
        <f t="shared" si="92"/>
        <v>2020</v>
      </c>
      <c r="C2647" s="9">
        <v>43920</v>
      </c>
      <c r="D2647">
        <v>3.75</v>
      </c>
    </row>
    <row r="2648" spans="1:4" x14ac:dyDescent="0.25">
      <c r="A2648" s="5">
        <f t="shared" si="91"/>
        <v>3</v>
      </c>
      <c r="B2648" s="5">
        <f t="shared" si="92"/>
        <v>2020</v>
      </c>
      <c r="C2648" s="9">
        <v>43921</v>
      </c>
      <c r="D2648">
        <v>3.75</v>
      </c>
    </row>
    <row r="2649" spans="1:4" x14ac:dyDescent="0.25">
      <c r="A2649" s="5">
        <f t="shared" si="91"/>
        <v>4</v>
      </c>
      <c r="B2649" s="5">
        <f t="shared" si="92"/>
        <v>2020</v>
      </c>
      <c r="C2649" s="9">
        <v>43922</v>
      </c>
      <c r="D2649">
        <v>3.75</v>
      </c>
    </row>
    <row r="2650" spans="1:4" x14ac:dyDescent="0.25">
      <c r="A2650" s="5">
        <f t="shared" si="91"/>
        <v>4</v>
      </c>
      <c r="B2650" s="5">
        <f t="shared" si="92"/>
        <v>2020</v>
      </c>
      <c r="C2650" s="9">
        <v>43923</v>
      </c>
      <c r="D2650">
        <v>3.75</v>
      </c>
    </row>
    <row r="2651" spans="1:4" x14ac:dyDescent="0.25">
      <c r="A2651" s="5">
        <f t="shared" si="91"/>
        <v>4</v>
      </c>
      <c r="B2651" s="5">
        <f t="shared" si="92"/>
        <v>2020</v>
      </c>
      <c r="C2651" s="9">
        <v>43924</v>
      </c>
      <c r="D2651">
        <v>3.75</v>
      </c>
    </row>
    <row r="2652" spans="1:4" x14ac:dyDescent="0.25">
      <c r="A2652" s="5">
        <f t="shared" si="91"/>
        <v>4</v>
      </c>
      <c r="B2652" s="5">
        <f t="shared" si="92"/>
        <v>2020</v>
      </c>
      <c r="C2652" s="9">
        <v>43925</v>
      </c>
      <c r="D2652">
        <v>3.75</v>
      </c>
    </row>
    <row r="2653" spans="1:4" x14ac:dyDescent="0.25">
      <c r="A2653" s="5">
        <f t="shared" si="91"/>
        <v>4</v>
      </c>
      <c r="B2653" s="5">
        <f t="shared" si="92"/>
        <v>2020</v>
      </c>
      <c r="C2653" s="9">
        <v>43926</v>
      </c>
      <c r="D2653">
        <v>3.75</v>
      </c>
    </row>
    <row r="2654" spans="1:4" x14ac:dyDescent="0.25">
      <c r="A2654" s="5">
        <f t="shared" si="91"/>
        <v>4</v>
      </c>
      <c r="B2654" s="5">
        <f t="shared" si="92"/>
        <v>2020</v>
      </c>
      <c r="C2654" s="9">
        <v>43927</v>
      </c>
      <c r="D2654">
        <v>3.75</v>
      </c>
    </row>
    <row r="2655" spans="1:4" x14ac:dyDescent="0.25">
      <c r="A2655" s="5">
        <f t="shared" si="91"/>
        <v>4</v>
      </c>
      <c r="B2655" s="5">
        <f t="shared" si="92"/>
        <v>2020</v>
      </c>
      <c r="C2655" s="9">
        <v>43928</v>
      </c>
      <c r="D2655">
        <v>3.75</v>
      </c>
    </row>
    <row r="2656" spans="1:4" x14ac:dyDescent="0.25">
      <c r="A2656" s="5">
        <f t="shared" si="91"/>
        <v>4</v>
      </c>
      <c r="B2656" s="5">
        <f t="shared" si="92"/>
        <v>2020</v>
      </c>
      <c r="C2656" s="9">
        <v>43929</v>
      </c>
      <c r="D2656">
        <v>3.75</v>
      </c>
    </row>
    <row r="2657" spans="1:4" x14ac:dyDescent="0.25">
      <c r="A2657" s="5">
        <f t="shared" si="91"/>
        <v>4</v>
      </c>
      <c r="B2657" s="5">
        <f t="shared" si="92"/>
        <v>2020</v>
      </c>
      <c r="C2657" s="9">
        <v>43930</v>
      </c>
      <c r="D2657">
        <v>3.75</v>
      </c>
    </row>
    <row r="2658" spans="1:4" x14ac:dyDescent="0.25">
      <c r="A2658" s="5">
        <f t="shared" si="91"/>
        <v>4</v>
      </c>
      <c r="B2658" s="5">
        <f t="shared" si="92"/>
        <v>2020</v>
      </c>
      <c r="C2658" s="9">
        <v>43931</v>
      </c>
      <c r="D2658">
        <v>3.75</v>
      </c>
    </row>
    <row r="2659" spans="1:4" x14ac:dyDescent="0.25">
      <c r="A2659" s="5">
        <f t="shared" si="91"/>
        <v>4</v>
      </c>
      <c r="B2659" s="5">
        <f t="shared" si="92"/>
        <v>2020</v>
      </c>
      <c r="C2659" s="9">
        <v>43932</v>
      </c>
      <c r="D2659">
        <v>3.75</v>
      </c>
    </row>
    <row r="2660" spans="1:4" x14ac:dyDescent="0.25">
      <c r="A2660" s="5">
        <f t="shared" si="91"/>
        <v>4</v>
      </c>
      <c r="B2660" s="5">
        <f t="shared" si="92"/>
        <v>2020</v>
      </c>
      <c r="C2660" s="9">
        <v>43933</v>
      </c>
      <c r="D2660">
        <v>3.75</v>
      </c>
    </row>
    <row r="2661" spans="1:4" x14ac:dyDescent="0.25">
      <c r="A2661" s="5">
        <f t="shared" si="91"/>
        <v>4</v>
      </c>
      <c r="B2661" s="5">
        <f t="shared" si="92"/>
        <v>2020</v>
      </c>
      <c r="C2661" s="9">
        <v>43934</v>
      </c>
      <c r="D2661">
        <v>3.75</v>
      </c>
    </row>
    <row r="2662" spans="1:4" x14ac:dyDescent="0.25">
      <c r="A2662" s="5">
        <f t="shared" si="91"/>
        <v>4</v>
      </c>
      <c r="B2662" s="5">
        <f t="shared" si="92"/>
        <v>2020</v>
      </c>
      <c r="C2662" s="9">
        <v>43935</v>
      </c>
      <c r="D2662">
        <v>3.75</v>
      </c>
    </row>
    <row r="2663" spans="1:4" x14ac:dyDescent="0.25">
      <c r="A2663" s="5">
        <f t="shared" si="91"/>
        <v>4</v>
      </c>
      <c r="B2663" s="5">
        <f t="shared" si="92"/>
        <v>2020</v>
      </c>
      <c r="C2663" s="9">
        <v>43936</v>
      </c>
      <c r="D2663">
        <v>3.75</v>
      </c>
    </row>
    <row r="2664" spans="1:4" x14ac:dyDescent="0.25">
      <c r="A2664" s="5">
        <f t="shared" si="91"/>
        <v>4</v>
      </c>
      <c r="B2664" s="5">
        <f t="shared" si="92"/>
        <v>2020</v>
      </c>
      <c r="C2664" s="9">
        <v>43937</v>
      </c>
      <c r="D2664">
        <v>3.75</v>
      </c>
    </row>
    <row r="2665" spans="1:4" x14ac:dyDescent="0.25">
      <c r="A2665" s="5">
        <f t="shared" si="91"/>
        <v>4</v>
      </c>
      <c r="B2665" s="5">
        <f t="shared" si="92"/>
        <v>2020</v>
      </c>
      <c r="C2665" s="9">
        <v>43938</v>
      </c>
      <c r="D2665">
        <v>3.75</v>
      </c>
    </row>
    <row r="2666" spans="1:4" x14ac:dyDescent="0.25">
      <c r="A2666" s="5">
        <f t="shared" si="91"/>
        <v>4</v>
      </c>
      <c r="B2666" s="5">
        <f t="shared" si="92"/>
        <v>2020</v>
      </c>
      <c r="C2666" s="9">
        <v>43939</v>
      </c>
      <c r="D2666">
        <v>3.75</v>
      </c>
    </row>
    <row r="2667" spans="1:4" x14ac:dyDescent="0.25">
      <c r="A2667" s="5">
        <f t="shared" si="91"/>
        <v>4</v>
      </c>
      <c r="B2667" s="5">
        <f t="shared" si="92"/>
        <v>2020</v>
      </c>
      <c r="C2667" s="9">
        <v>43940</v>
      </c>
      <c r="D2667">
        <v>3.75</v>
      </c>
    </row>
    <row r="2668" spans="1:4" x14ac:dyDescent="0.25">
      <c r="A2668" s="5">
        <f t="shared" si="91"/>
        <v>4</v>
      </c>
      <c r="B2668" s="5">
        <f t="shared" si="92"/>
        <v>2020</v>
      </c>
      <c r="C2668" s="9">
        <v>43941</v>
      </c>
      <c r="D2668">
        <v>3.75</v>
      </c>
    </row>
    <row r="2669" spans="1:4" x14ac:dyDescent="0.25">
      <c r="A2669" s="5">
        <f t="shared" si="91"/>
        <v>4</v>
      </c>
      <c r="B2669" s="5">
        <f t="shared" si="92"/>
        <v>2020</v>
      </c>
      <c r="C2669" s="9">
        <v>43942</v>
      </c>
      <c r="D2669">
        <v>3.75</v>
      </c>
    </row>
    <row r="2670" spans="1:4" x14ac:dyDescent="0.25">
      <c r="A2670" s="5">
        <f t="shared" si="91"/>
        <v>4</v>
      </c>
      <c r="B2670" s="5">
        <f t="shared" si="92"/>
        <v>2020</v>
      </c>
      <c r="C2670" s="9">
        <v>43943</v>
      </c>
      <c r="D2670">
        <v>3.75</v>
      </c>
    </row>
    <row r="2671" spans="1:4" x14ac:dyDescent="0.25">
      <c r="A2671" s="5">
        <f t="shared" si="91"/>
        <v>4</v>
      </c>
      <c r="B2671" s="5">
        <f t="shared" si="92"/>
        <v>2020</v>
      </c>
      <c r="C2671" s="9">
        <v>43944</v>
      </c>
      <c r="D2671">
        <v>3.75</v>
      </c>
    </row>
    <row r="2672" spans="1:4" x14ac:dyDescent="0.25">
      <c r="A2672" s="5">
        <f t="shared" si="91"/>
        <v>4</v>
      </c>
      <c r="B2672" s="5">
        <f t="shared" si="92"/>
        <v>2020</v>
      </c>
      <c r="C2672" s="9">
        <v>43945</v>
      </c>
      <c r="D2672">
        <v>3.75</v>
      </c>
    </row>
    <row r="2673" spans="1:4" x14ac:dyDescent="0.25">
      <c r="A2673" s="5">
        <f t="shared" si="91"/>
        <v>4</v>
      </c>
      <c r="B2673" s="5">
        <f t="shared" si="92"/>
        <v>2020</v>
      </c>
      <c r="C2673" s="9">
        <v>43946</v>
      </c>
      <c r="D2673">
        <v>3.75</v>
      </c>
    </row>
    <row r="2674" spans="1:4" x14ac:dyDescent="0.25">
      <c r="A2674" s="5">
        <f t="shared" si="91"/>
        <v>4</v>
      </c>
      <c r="B2674" s="5">
        <f t="shared" si="92"/>
        <v>2020</v>
      </c>
      <c r="C2674" s="9">
        <v>43947</v>
      </c>
      <c r="D2674">
        <v>3.75</v>
      </c>
    </row>
    <row r="2675" spans="1:4" x14ac:dyDescent="0.25">
      <c r="A2675" s="5">
        <f t="shared" si="91"/>
        <v>4</v>
      </c>
      <c r="B2675" s="5">
        <f t="shared" si="92"/>
        <v>2020</v>
      </c>
      <c r="C2675" s="9">
        <v>43948</v>
      </c>
      <c r="D2675">
        <v>3.75</v>
      </c>
    </row>
    <row r="2676" spans="1:4" x14ac:dyDescent="0.25">
      <c r="A2676" s="5">
        <f t="shared" si="91"/>
        <v>4</v>
      </c>
      <c r="B2676" s="5">
        <f t="shared" si="92"/>
        <v>2020</v>
      </c>
      <c r="C2676" s="9">
        <v>43949</v>
      </c>
      <c r="D2676">
        <v>3.75</v>
      </c>
    </row>
    <row r="2677" spans="1:4" x14ac:dyDescent="0.25">
      <c r="A2677" s="5">
        <f t="shared" si="91"/>
        <v>4</v>
      </c>
      <c r="B2677" s="5">
        <f t="shared" si="92"/>
        <v>2020</v>
      </c>
      <c r="C2677" s="9">
        <v>43950</v>
      </c>
      <c r="D2677">
        <v>3.75</v>
      </c>
    </row>
    <row r="2678" spans="1:4" x14ac:dyDescent="0.25">
      <c r="A2678" s="5">
        <f t="shared" si="91"/>
        <v>4</v>
      </c>
      <c r="B2678" s="5">
        <f t="shared" si="92"/>
        <v>2020</v>
      </c>
      <c r="C2678" s="9">
        <v>43951</v>
      </c>
      <c r="D2678">
        <v>3.75</v>
      </c>
    </row>
    <row r="2679" spans="1:4" x14ac:dyDescent="0.25">
      <c r="A2679" s="5">
        <f t="shared" si="91"/>
        <v>5</v>
      </c>
      <c r="B2679" s="5">
        <f t="shared" si="92"/>
        <v>2020</v>
      </c>
      <c r="C2679" s="9">
        <v>43952</v>
      </c>
      <c r="D2679">
        <v>3.75</v>
      </c>
    </row>
    <row r="2680" spans="1:4" x14ac:dyDescent="0.25">
      <c r="A2680" s="5">
        <f t="shared" si="91"/>
        <v>5</v>
      </c>
      <c r="B2680" s="5">
        <f t="shared" si="92"/>
        <v>2020</v>
      </c>
      <c r="C2680" s="9">
        <v>43953</v>
      </c>
      <c r="D2680">
        <v>3.75</v>
      </c>
    </row>
    <row r="2681" spans="1:4" x14ac:dyDescent="0.25">
      <c r="A2681" s="5">
        <f t="shared" si="91"/>
        <v>5</v>
      </c>
      <c r="B2681" s="5">
        <f t="shared" si="92"/>
        <v>2020</v>
      </c>
      <c r="C2681" s="9">
        <v>43954</v>
      </c>
      <c r="D2681">
        <v>3.75</v>
      </c>
    </row>
    <row r="2682" spans="1:4" x14ac:dyDescent="0.25">
      <c r="A2682" s="5">
        <f t="shared" si="91"/>
        <v>5</v>
      </c>
      <c r="B2682" s="5">
        <f t="shared" si="92"/>
        <v>2020</v>
      </c>
      <c r="C2682" s="9">
        <v>43955</v>
      </c>
      <c r="D2682">
        <v>3.75</v>
      </c>
    </row>
    <row r="2683" spans="1:4" x14ac:dyDescent="0.25">
      <c r="A2683" s="5">
        <f t="shared" si="91"/>
        <v>5</v>
      </c>
      <c r="B2683" s="5">
        <f t="shared" si="92"/>
        <v>2020</v>
      </c>
      <c r="C2683" s="9">
        <v>43956</v>
      </c>
      <c r="D2683">
        <v>3.75</v>
      </c>
    </row>
    <row r="2684" spans="1:4" x14ac:dyDescent="0.25">
      <c r="A2684" s="5">
        <f t="shared" si="91"/>
        <v>5</v>
      </c>
      <c r="B2684" s="5">
        <f t="shared" si="92"/>
        <v>2020</v>
      </c>
      <c r="C2684" s="9">
        <v>43957</v>
      </c>
      <c r="D2684">
        <v>3.75</v>
      </c>
    </row>
    <row r="2685" spans="1:4" x14ac:dyDescent="0.25">
      <c r="A2685" s="5">
        <f t="shared" si="91"/>
        <v>5</v>
      </c>
      <c r="B2685" s="5">
        <f t="shared" si="92"/>
        <v>2020</v>
      </c>
      <c r="C2685" s="9">
        <v>43958</v>
      </c>
      <c r="D2685">
        <v>3</v>
      </c>
    </row>
    <row r="2686" spans="1:4" x14ac:dyDescent="0.25">
      <c r="A2686" s="5">
        <f t="shared" si="91"/>
        <v>5</v>
      </c>
      <c r="B2686" s="5">
        <f t="shared" si="92"/>
        <v>2020</v>
      </c>
      <c r="C2686" s="9">
        <v>43959</v>
      </c>
      <c r="D2686">
        <v>3</v>
      </c>
    </row>
    <row r="2687" spans="1:4" x14ac:dyDescent="0.25">
      <c r="A2687" s="5">
        <f t="shared" si="91"/>
        <v>5</v>
      </c>
      <c r="B2687" s="5">
        <f t="shared" si="92"/>
        <v>2020</v>
      </c>
      <c r="C2687" s="9">
        <v>43960</v>
      </c>
      <c r="D2687">
        <v>3</v>
      </c>
    </row>
    <row r="2688" spans="1:4" x14ac:dyDescent="0.25">
      <c r="A2688" s="5">
        <f t="shared" si="91"/>
        <v>5</v>
      </c>
      <c r="B2688" s="5">
        <f t="shared" si="92"/>
        <v>2020</v>
      </c>
      <c r="C2688" s="9">
        <v>43961</v>
      </c>
      <c r="D2688">
        <v>3</v>
      </c>
    </row>
    <row r="2689" spans="1:4" x14ac:dyDescent="0.25">
      <c r="A2689" s="5">
        <f t="shared" si="91"/>
        <v>5</v>
      </c>
      <c r="B2689" s="5">
        <f t="shared" si="92"/>
        <v>2020</v>
      </c>
      <c r="C2689" s="9">
        <v>43962</v>
      </c>
      <c r="D2689">
        <v>3</v>
      </c>
    </row>
    <row r="2690" spans="1:4" x14ac:dyDescent="0.25">
      <c r="A2690" s="5">
        <f t="shared" si="91"/>
        <v>5</v>
      </c>
      <c r="B2690" s="5">
        <f t="shared" si="92"/>
        <v>2020</v>
      </c>
      <c r="C2690" s="9">
        <v>43963</v>
      </c>
      <c r="D2690">
        <v>3</v>
      </c>
    </row>
    <row r="2691" spans="1:4" x14ac:dyDescent="0.25">
      <c r="A2691" s="5">
        <f t="shared" ref="A2691:A2754" si="93">MONTH(C2691)</f>
        <v>5</v>
      </c>
      <c r="B2691" s="5">
        <f t="shared" ref="B2691:B2754" si="94">YEAR(C2691)</f>
        <v>2020</v>
      </c>
      <c r="C2691" s="9">
        <v>43964</v>
      </c>
      <c r="D2691">
        <v>3</v>
      </c>
    </row>
    <row r="2692" spans="1:4" x14ac:dyDescent="0.25">
      <c r="A2692" s="5">
        <f t="shared" si="93"/>
        <v>5</v>
      </c>
      <c r="B2692" s="5">
        <f t="shared" si="94"/>
        <v>2020</v>
      </c>
      <c r="C2692" s="9">
        <v>43965</v>
      </c>
      <c r="D2692">
        <v>3</v>
      </c>
    </row>
    <row r="2693" spans="1:4" x14ac:dyDescent="0.25">
      <c r="A2693" s="5">
        <f t="shared" si="93"/>
        <v>5</v>
      </c>
      <c r="B2693" s="5">
        <f t="shared" si="94"/>
        <v>2020</v>
      </c>
      <c r="C2693" s="9">
        <v>43966</v>
      </c>
      <c r="D2693">
        <v>3</v>
      </c>
    </row>
    <row r="2694" spans="1:4" x14ac:dyDescent="0.25">
      <c r="A2694" s="5">
        <f t="shared" si="93"/>
        <v>5</v>
      </c>
      <c r="B2694" s="5">
        <f t="shared" si="94"/>
        <v>2020</v>
      </c>
      <c r="C2694" s="9">
        <v>43967</v>
      </c>
      <c r="D2694">
        <v>3</v>
      </c>
    </row>
    <row r="2695" spans="1:4" x14ac:dyDescent="0.25">
      <c r="A2695" s="5">
        <f t="shared" si="93"/>
        <v>5</v>
      </c>
      <c r="B2695" s="5">
        <f t="shared" si="94"/>
        <v>2020</v>
      </c>
      <c r="C2695" s="9">
        <v>43968</v>
      </c>
      <c r="D2695">
        <v>3</v>
      </c>
    </row>
    <row r="2696" spans="1:4" x14ac:dyDescent="0.25">
      <c r="A2696" s="5">
        <f t="shared" si="93"/>
        <v>5</v>
      </c>
      <c r="B2696" s="5">
        <f t="shared" si="94"/>
        <v>2020</v>
      </c>
      <c r="C2696" s="9">
        <v>43969</v>
      </c>
      <c r="D2696">
        <v>3</v>
      </c>
    </row>
    <row r="2697" spans="1:4" x14ac:dyDescent="0.25">
      <c r="A2697" s="5">
        <f t="shared" si="93"/>
        <v>5</v>
      </c>
      <c r="B2697" s="5">
        <f t="shared" si="94"/>
        <v>2020</v>
      </c>
      <c r="C2697" s="9">
        <v>43970</v>
      </c>
      <c r="D2697">
        <v>3</v>
      </c>
    </row>
    <row r="2698" spans="1:4" x14ac:dyDescent="0.25">
      <c r="A2698" s="5">
        <f t="shared" si="93"/>
        <v>5</v>
      </c>
      <c r="B2698" s="5">
        <f t="shared" si="94"/>
        <v>2020</v>
      </c>
      <c r="C2698" s="9">
        <v>43971</v>
      </c>
      <c r="D2698">
        <v>3</v>
      </c>
    </row>
    <row r="2699" spans="1:4" x14ac:dyDescent="0.25">
      <c r="A2699" s="5">
        <f t="shared" si="93"/>
        <v>5</v>
      </c>
      <c r="B2699" s="5">
        <f t="shared" si="94"/>
        <v>2020</v>
      </c>
      <c r="C2699" s="9">
        <v>43972</v>
      </c>
      <c r="D2699">
        <v>3</v>
      </c>
    </row>
    <row r="2700" spans="1:4" x14ac:dyDescent="0.25">
      <c r="A2700" s="5">
        <f t="shared" si="93"/>
        <v>5</v>
      </c>
      <c r="B2700" s="5">
        <f t="shared" si="94"/>
        <v>2020</v>
      </c>
      <c r="C2700" s="9">
        <v>43973</v>
      </c>
      <c r="D2700">
        <v>3</v>
      </c>
    </row>
    <row r="2701" spans="1:4" x14ac:dyDescent="0.25">
      <c r="A2701" s="5">
        <f t="shared" si="93"/>
        <v>5</v>
      </c>
      <c r="B2701" s="5">
        <f t="shared" si="94"/>
        <v>2020</v>
      </c>
      <c r="C2701" s="9">
        <v>43974</v>
      </c>
      <c r="D2701">
        <v>3</v>
      </c>
    </row>
    <row r="2702" spans="1:4" x14ac:dyDescent="0.25">
      <c r="A2702" s="5">
        <f t="shared" si="93"/>
        <v>5</v>
      </c>
      <c r="B2702" s="5">
        <f t="shared" si="94"/>
        <v>2020</v>
      </c>
      <c r="C2702" s="9">
        <v>43975</v>
      </c>
      <c r="D2702">
        <v>3</v>
      </c>
    </row>
    <row r="2703" spans="1:4" x14ac:dyDescent="0.25">
      <c r="A2703" s="5">
        <f t="shared" si="93"/>
        <v>5</v>
      </c>
      <c r="B2703" s="5">
        <f t="shared" si="94"/>
        <v>2020</v>
      </c>
      <c r="C2703" s="9">
        <v>43976</v>
      </c>
      <c r="D2703">
        <v>3</v>
      </c>
    </row>
    <row r="2704" spans="1:4" x14ac:dyDescent="0.25">
      <c r="A2704" s="5">
        <f t="shared" si="93"/>
        <v>5</v>
      </c>
      <c r="B2704" s="5">
        <f t="shared" si="94"/>
        <v>2020</v>
      </c>
      <c r="C2704" s="9">
        <v>43977</v>
      </c>
      <c r="D2704">
        <v>3</v>
      </c>
    </row>
    <row r="2705" spans="1:4" x14ac:dyDescent="0.25">
      <c r="A2705" s="5">
        <f t="shared" si="93"/>
        <v>5</v>
      </c>
      <c r="B2705" s="5">
        <f t="shared" si="94"/>
        <v>2020</v>
      </c>
      <c r="C2705" s="9">
        <v>43978</v>
      </c>
      <c r="D2705">
        <v>3</v>
      </c>
    </row>
    <row r="2706" spans="1:4" x14ac:dyDescent="0.25">
      <c r="A2706" s="5">
        <f t="shared" si="93"/>
        <v>5</v>
      </c>
      <c r="B2706" s="5">
        <f t="shared" si="94"/>
        <v>2020</v>
      </c>
      <c r="C2706" s="9">
        <v>43979</v>
      </c>
      <c r="D2706">
        <v>3</v>
      </c>
    </row>
    <row r="2707" spans="1:4" x14ac:dyDescent="0.25">
      <c r="A2707" s="5">
        <f t="shared" si="93"/>
        <v>5</v>
      </c>
      <c r="B2707" s="5">
        <f t="shared" si="94"/>
        <v>2020</v>
      </c>
      <c r="C2707" s="9">
        <v>43980</v>
      </c>
      <c r="D2707">
        <v>3</v>
      </c>
    </row>
    <row r="2708" spans="1:4" x14ac:dyDescent="0.25">
      <c r="A2708" s="5">
        <f t="shared" si="93"/>
        <v>5</v>
      </c>
      <c r="B2708" s="5">
        <f t="shared" si="94"/>
        <v>2020</v>
      </c>
      <c r="C2708" s="9">
        <v>43981</v>
      </c>
      <c r="D2708">
        <v>3</v>
      </c>
    </row>
    <row r="2709" spans="1:4" x14ac:dyDescent="0.25">
      <c r="A2709" s="5">
        <f t="shared" si="93"/>
        <v>5</v>
      </c>
      <c r="B2709" s="5">
        <f t="shared" si="94"/>
        <v>2020</v>
      </c>
      <c r="C2709" s="9">
        <v>43982</v>
      </c>
      <c r="D2709">
        <v>3</v>
      </c>
    </row>
    <row r="2710" spans="1:4" x14ac:dyDescent="0.25">
      <c r="A2710" s="5">
        <f t="shared" si="93"/>
        <v>6</v>
      </c>
      <c r="B2710" s="5">
        <f t="shared" si="94"/>
        <v>2020</v>
      </c>
      <c r="C2710" s="9">
        <v>43983</v>
      </c>
      <c r="D2710">
        <v>3</v>
      </c>
    </row>
    <row r="2711" spans="1:4" x14ac:dyDescent="0.25">
      <c r="A2711" s="5">
        <f t="shared" si="93"/>
        <v>6</v>
      </c>
      <c r="B2711" s="5">
        <f t="shared" si="94"/>
        <v>2020</v>
      </c>
      <c r="C2711" s="9">
        <v>43984</v>
      </c>
      <c r="D2711">
        <v>3</v>
      </c>
    </row>
    <row r="2712" spans="1:4" x14ac:dyDescent="0.25">
      <c r="A2712" s="5">
        <f t="shared" si="93"/>
        <v>6</v>
      </c>
      <c r="B2712" s="5">
        <f t="shared" si="94"/>
        <v>2020</v>
      </c>
      <c r="C2712" s="9">
        <v>43985</v>
      </c>
      <c r="D2712">
        <v>3</v>
      </c>
    </row>
    <row r="2713" spans="1:4" x14ac:dyDescent="0.25">
      <c r="A2713" s="5">
        <f t="shared" si="93"/>
        <v>6</v>
      </c>
      <c r="B2713" s="5">
        <f t="shared" si="94"/>
        <v>2020</v>
      </c>
      <c r="C2713" s="9">
        <v>43986</v>
      </c>
      <c r="D2713">
        <v>3</v>
      </c>
    </row>
    <row r="2714" spans="1:4" x14ac:dyDescent="0.25">
      <c r="A2714" s="5">
        <f t="shared" si="93"/>
        <v>6</v>
      </c>
      <c r="B2714" s="5">
        <f t="shared" si="94"/>
        <v>2020</v>
      </c>
      <c r="C2714" s="9">
        <v>43987</v>
      </c>
      <c r="D2714">
        <v>3</v>
      </c>
    </row>
    <row r="2715" spans="1:4" x14ac:dyDescent="0.25">
      <c r="A2715" s="5">
        <f t="shared" si="93"/>
        <v>6</v>
      </c>
      <c r="B2715" s="5">
        <f t="shared" si="94"/>
        <v>2020</v>
      </c>
      <c r="C2715" s="9">
        <v>43988</v>
      </c>
      <c r="D2715">
        <v>3</v>
      </c>
    </row>
    <row r="2716" spans="1:4" x14ac:dyDescent="0.25">
      <c r="A2716" s="5">
        <f t="shared" si="93"/>
        <v>6</v>
      </c>
      <c r="B2716" s="5">
        <f t="shared" si="94"/>
        <v>2020</v>
      </c>
      <c r="C2716" s="9">
        <v>43989</v>
      </c>
      <c r="D2716">
        <v>3</v>
      </c>
    </row>
    <row r="2717" spans="1:4" x14ac:dyDescent="0.25">
      <c r="A2717" s="5">
        <f t="shared" si="93"/>
        <v>6</v>
      </c>
      <c r="B2717" s="5">
        <f t="shared" si="94"/>
        <v>2020</v>
      </c>
      <c r="C2717" s="9">
        <v>43990</v>
      </c>
      <c r="D2717">
        <v>3</v>
      </c>
    </row>
    <row r="2718" spans="1:4" x14ac:dyDescent="0.25">
      <c r="A2718" s="5">
        <f t="shared" si="93"/>
        <v>6</v>
      </c>
      <c r="B2718" s="5">
        <f t="shared" si="94"/>
        <v>2020</v>
      </c>
      <c r="C2718" s="9">
        <v>43991</v>
      </c>
      <c r="D2718">
        <v>3</v>
      </c>
    </row>
    <row r="2719" spans="1:4" x14ac:dyDescent="0.25">
      <c r="A2719" s="5">
        <f t="shared" si="93"/>
        <v>6</v>
      </c>
      <c r="B2719" s="5">
        <f t="shared" si="94"/>
        <v>2020</v>
      </c>
      <c r="C2719" s="9">
        <v>43992</v>
      </c>
      <c r="D2719">
        <v>3</v>
      </c>
    </row>
    <row r="2720" spans="1:4" x14ac:dyDescent="0.25">
      <c r="A2720" s="5">
        <f t="shared" si="93"/>
        <v>6</v>
      </c>
      <c r="B2720" s="5">
        <f t="shared" si="94"/>
        <v>2020</v>
      </c>
      <c r="C2720" s="9">
        <v>43993</v>
      </c>
      <c r="D2720">
        <v>3</v>
      </c>
    </row>
    <row r="2721" spans="1:4" x14ac:dyDescent="0.25">
      <c r="A2721" s="5">
        <f t="shared" si="93"/>
        <v>6</v>
      </c>
      <c r="B2721" s="5">
        <f t="shared" si="94"/>
        <v>2020</v>
      </c>
      <c r="C2721" s="9">
        <v>43994</v>
      </c>
      <c r="D2721">
        <v>3</v>
      </c>
    </row>
    <row r="2722" spans="1:4" x14ac:dyDescent="0.25">
      <c r="A2722" s="5">
        <f t="shared" si="93"/>
        <v>6</v>
      </c>
      <c r="B2722" s="5">
        <f t="shared" si="94"/>
        <v>2020</v>
      </c>
      <c r="C2722" s="9">
        <v>43995</v>
      </c>
      <c r="D2722">
        <v>3</v>
      </c>
    </row>
    <row r="2723" spans="1:4" x14ac:dyDescent="0.25">
      <c r="A2723" s="5">
        <f t="shared" si="93"/>
        <v>6</v>
      </c>
      <c r="B2723" s="5">
        <f t="shared" si="94"/>
        <v>2020</v>
      </c>
      <c r="C2723" s="9">
        <v>43996</v>
      </c>
      <c r="D2723">
        <v>3</v>
      </c>
    </row>
    <row r="2724" spans="1:4" x14ac:dyDescent="0.25">
      <c r="A2724" s="5">
        <f t="shared" si="93"/>
        <v>6</v>
      </c>
      <c r="B2724" s="5">
        <f t="shared" si="94"/>
        <v>2020</v>
      </c>
      <c r="C2724" s="9">
        <v>43997</v>
      </c>
      <c r="D2724">
        <v>3</v>
      </c>
    </row>
    <row r="2725" spans="1:4" x14ac:dyDescent="0.25">
      <c r="A2725" s="5">
        <f t="shared" si="93"/>
        <v>6</v>
      </c>
      <c r="B2725" s="5">
        <f t="shared" si="94"/>
        <v>2020</v>
      </c>
      <c r="C2725" s="9">
        <v>43998</v>
      </c>
      <c r="D2725">
        <v>3</v>
      </c>
    </row>
    <row r="2726" spans="1:4" x14ac:dyDescent="0.25">
      <c r="A2726" s="5">
        <f t="shared" si="93"/>
        <v>6</v>
      </c>
      <c r="B2726" s="5">
        <f t="shared" si="94"/>
        <v>2020</v>
      </c>
      <c r="C2726" s="9">
        <v>43999</v>
      </c>
      <c r="D2726">
        <v>3</v>
      </c>
    </row>
    <row r="2727" spans="1:4" x14ac:dyDescent="0.25">
      <c r="A2727" s="5">
        <f t="shared" si="93"/>
        <v>6</v>
      </c>
      <c r="B2727" s="5">
        <f t="shared" si="94"/>
        <v>2020</v>
      </c>
      <c r="C2727" s="9">
        <v>44000</v>
      </c>
      <c r="D2727">
        <v>2.25</v>
      </c>
    </row>
    <row r="2728" spans="1:4" x14ac:dyDescent="0.25">
      <c r="A2728" s="5">
        <f t="shared" si="93"/>
        <v>6</v>
      </c>
      <c r="B2728" s="5">
        <f t="shared" si="94"/>
        <v>2020</v>
      </c>
      <c r="C2728" s="9">
        <v>44001</v>
      </c>
      <c r="D2728">
        <v>2.25</v>
      </c>
    </row>
    <row r="2729" spans="1:4" x14ac:dyDescent="0.25">
      <c r="A2729" s="5">
        <f t="shared" si="93"/>
        <v>6</v>
      </c>
      <c r="B2729" s="5">
        <f t="shared" si="94"/>
        <v>2020</v>
      </c>
      <c r="C2729" s="9">
        <v>44002</v>
      </c>
      <c r="D2729">
        <v>2.25</v>
      </c>
    </row>
    <row r="2730" spans="1:4" x14ac:dyDescent="0.25">
      <c r="A2730" s="5">
        <f t="shared" si="93"/>
        <v>6</v>
      </c>
      <c r="B2730" s="5">
        <f t="shared" si="94"/>
        <v>2020</v>
      </c>
      <c r="C2730" s="9">
        <v>44003</v>
      </c>
      <c r="D2730">
        <v>2.25</v>
      </c>
    </row>
    <row r="2731" spans="1:4" x14ac:dyDescent="0.25">
      <c r="A2731" s="5">
        <f t="shared" si="93"/>
        <v>6</v>
      </c>
      <c r="B2731" s="5">
        <f t="shared" si="94"/>
        <v>2020</v>
      </c>
      <c r="C2731" s="9">
        <v>44004</v>
      </c>
      <c r="D2731">
        <v>2.25</v>
      </c>
    </row>
    <row r="2732" spans="1:4" x14ac:dyDescent="0.25">
      <c r="A2732" s="5">
        <f t="shared" si="93"/>
        <v>6</v>
      </c>
      <c r="B2732" s="5">
        <f t="shared" si="94"/>
        <v>2020</v>
      </c>
      <c r="C2732" s="9">
        <v>44005</v>
      </c>
      <c r="D2732">
        <v>2.25</v>
      </c>
    </row>
    <row r="2733" spans="1:4" x14ac:dyDescent="0.25">
      <c r="A2733" s="5">
        <f t="shared" si="93"/>
        <v>6</v>
      </c>
      <c r="B2733" s="5">
        <f t="shared" si="94"/>
        <v>2020</v>
      </c>
      <c r="C2733" s="9">
        <v>44006</v>
      </c>
      <c r="D2733">
        <v>2.25</v>
      </c>
    </row>
    <row r="2734" spans="1:4" x14ac:dyDescent="0.25">
      <c r="A2734" s="5">
        <f t="shared" si="93"/>
        <v>6</v>
      </c>
      <c r="B2734" s="5">
        <f t="shared" si="94"/>
        <v>2020</v>
      </c>
      <c r="C2734" s="9">
        <v>44007</v>
      </c>
      <c r="D2734">
        <v>2.25</v>
      </c>
    </row>
    <row r="2735" spans="1:4" x14ac:dyDescent="0.25">
      <c r="A2735" s="5">
        <f t="shared" si="93"/>
        <v>6</v>
      </c>
      <c r="B2735" s="5">
        <f t="shared" si="94"/>
        <v>2020</v>
      </c>
      <c r="C2735" s="9">
        <v>44008</v>
      </c>
      <c r="D2735">
        <v>2.25</v>
      </c>
    </row>
    <row r="2736" spans="1:4" x14ac:dyDescent="0.25">
      <c r="A2736" s="5">
        <f t="shared" si="93"/>
        <v>6</v>
      </c>
      <c r="B2736" s="5">
        <f t="shared" si="94"/>
        <v>2020</v>
      </c>
      <c r="C2736" s="9">
        <v>44009</v>
      </c>
      <c r="D2736">
        <v>2.25</v>
      </c>
    </row>
    <row r="2737" spans="1:4" x14ac:dyDescent="0.25">
      <c r="A2737" s="5">
        <f t="shared" si="93"/>
        <v>6</v>
      </c>
      <c r="B2737" s="5">
        <f t="shared" si="94"/>
        <v>2020</v>
      </c>
      <c r="C2737" s="9">
        <v>44010</v>
      </c>
      <c r="D2737">
        <v>2.25</v>
      </c>
    </row>
    <row r="2738" spans="1:4" x14ac:dyDescent="0.25">
      <c r="A2738" s="5">
        <f t="shared" si="93"/>
        <v>6</v>
      </c>
      <c r="B2738" s="5">
        <f t="shared" si="94"/>
        <v>2020</v>
      </c>
      <c r="C2738" s="9">
        <v>44011</v>
      </c>
      <c r="D2738">
        <v>2.25</v>
      </c>
    </row>
    <row r="2739" spans="1:4" x14ac:dyDescent="0.25">
      <c r="A2739" s="5">
        <f t="shared" si="93"/>
        <v>6</v>
      </c>
      <c r="B2739" s="5">
        <f t="shared" si="94"/>
        <v>2020</v>
      </c>
      <c r="C2739" s="9">
        <v>44012</v>
      </c>
      <c r="D2739">
        <v>2.25</v>
      </c>
    </row>
    <row r="2740" spans="1:4" x14ac:dyDescent="0.25">
      <c r="A2740" s="5">
        <f t="shared" si="93"/>
        <v>7</v>
      </c>
      <c r="B2740" s="5">
        <f t="shared" si="94"/>
        <v>2020</v>
      </c>
      <c r="C2740" s="9">
        <v>44013</v>
      </c>
      <c r="D2740">
        <v>2.25</v>
      </c>
    </row>
    <row r="2741" spans="1:4" x14ac:dyDescent="0.25">
      <c r="A2741" s="5">
        <f t="shared" si="93"/>
        <v>7</v>
      </c>
      <c r="B2741" s="5">
        <f t="shared" si="94"/>
        <v>2020</v>
      </c>
      <c r="C2741" s="9">
        <v>44014</v>
      </c>
      <c r="D2741">
        <v>2.25</v>
      </c>
    </row>
    <row r="2742" spans="1:4" x14ac:dyDescent="0.25">
      <c r="A2742" s="5">
        <f t="shared" si="93"/>
        <v>7</v>
      </c>
      <c r="B2742" s="5">
        <f t="shared" si="94"/>
        <v>2020</v>
      </c>
      <c r="C2742" s="9">
        <v>44015</v>
      </c>
      <c r="D2742">
        <v>2.25</v>
      </c>
    </row>
    <row r="2743" spans="1:4" x14ac:dyDescent="0.25">
      <c r="A2743" s="5">
        <f t="shared" si="93"/>
        <v>7</v>
      </c>
      <c r="B2743" s="5">
        <f t="shared" si="94"/>
        <v>2020</v>
      </c>
      <c r="C2743" s="9">
        <v>44016</v>
      </c>
      <c r="D2743">
        <v>2.25</v>
      </c>
    </row>
    <row r="2744" spans="1:4" x14ac:dyDescent="0.25">
      <c r="A2744" s="5">
        <f t="shared" si="93"/>
        <v>7</v>
      </c>
      <c r="B2744" s="5">
        <f t="shared" si="94"/>
        <v>2020</v>
      </c>
      <c r="C2744" s="9">
        <v>44017</v>
      </c>
      <c r="D2744">
        <v>2.25</v>
      </c>
    </row>
    <row r="2745" spans="1:4" x14ac:dyDescent="0.25">
      <c r="A2745" s="5">
        <f t="shared" si="93"/>
        <v>7</v>
      </c>
      <c r="B2745" s="5">
        <f t="shared" si="94"/>
        <v>2020</v>
      </c>
      <c r="C2745" s="9">
        <v>44018</v>
      </c>
      <c r="D2745">
        <v>2.25</v>
      </c>
    </row>
    <row r="2746" spans="1:4" x14ac:dyDescent="0.25">
      <c r="A2746" s="5">
        <f t="shared" si="93"/>
        <v>7</v>
      </c>
      <c r="B2746" s="5">
        <f t="shared" si="94"/>
        <v>2020</v>
      </c>
      <c r="C2746" s="9">
        <v>44019</v>
      </c>
      <c r="D2746">
        <v>2.25</v>
      </c>
    </row>
    <row r="2747" spans="1:4" x14ac:dyDescent="0.25">
      <c r="A2747" s="5">
        <f t="shared" si="93"/>
        <v>7</v>
      </c>
      <c r="B2747" s="5">
        <f t="shared" si="94"/>
        <v>2020</v>
      </c>
      <c r="C2747" s="9">
        <v>44020</v>
      </c>
      <c r="D2747">
        <v>2.25</v>
      </c>
    </row>
    <row r="2748" spans="1:4" x14ac:dyDescent="0.25">
      <c r="A2748" s="5">
        <f t="shared" si="93"/>
        <v>7</v>
      </c>
      <c r="B2748" s="5">
        <f t="shared" si="94"/>
        <v>2020</v>
      </c>
      <c r="C2748" s="9">
        <v>44021</v>
      </c>
      <c r="D2748">
        <v>2.25</v>
      </c>
    </row>
    <row r="2749" spans="1:4" x14ac:dyDescent="0.25">
      <c r="A2749" s="5">
        <f t="shared" si="93"/>
        <v>7</v>
      </c>
      <c r="B2749" s="5">
        <f t="shared" si="94"/>
        <v>2020</v>
      </c>
      <c r="C2749" s="9">
        <v>44022</v>
      </c>
      <c r="D2749">
        <v>2.25</v>
      </c>
    </row>
    <row r="2750" spans="1:4" x14ac:dyDescent="0.25">
      <c r="A2750" s="5">
        <f t="shared" si="93"/>
        <v>7</v>
      </c>
      <c r="B2750" s="5">
        <f t="shared" si="94"/>
        <v>2020</v>
      </c>
      <c r="C2750" s="9">
        <v>44023</v>
      </c>
      <c r="D2750">
        <v>2.25</v>
      </c>
    </row>
    <row r="2751" spans="1:4" x14ac:dyDescent="0.25">
      <c r="A2751" s="5">
        <f t="shared" si="93"/>
        <v>7</v>
      </c>
      <c r="B2751" s="5">
        <f t="shared" si="94"/>
        <v>2020</v>
      </c>
      <c r="C2751" s="9">
        <v>44024</v>
      </c>
      <c r="D2751">
        <v>2.25</v>
      </c>
    </row>
    <row r="2752" spans="1:4" x14ac:dyDescent="0.25">
      <c r="A2752" s="5">
        <f t="shared" si="93"/>
        <v>7</v>
      </c>
      <c r="B2752" s="5">
        <f t="shared" si="94"/>
        <v>2020</v>
      </c>
      <c r="C2752" s="9">
        <v>44025</v>
      </c>
      <c r="D2752">
        <v>2.25</v>
      </c>
    </row>
    <row r="2753" spans="1:4" x14ac:dyDescent="0.25">
      <c r="A2753" s="5">
        <f t="shared" si="93"/>
        <v>7</v>
      </c>
      <c r="B2753" s="5">
        <f t="shared" si="94"/>
        <v>2020</v>
      </c>
      <c r="C2753" s="9">
        <v>44026</v>
      </c>
      <c r="D2753">
        <v>2.25</v>
      </c>
    </row>
    <row r="2754" spans="1:4" x14ac:dyDescent="0.25">
      <c r="A2754" s="5">
        <f t="shared" si="93"/>
        <v>7</v>
      </c>
      <c r="B2754" s="5">
        <f t="shared" si="94"/>
        <v>2020</v>
      </c>
      <c r="C2754" s="9">
        <v>44027</v>
      </c>
      <c r="D2754">
        <v>2.25</v>
      </c>
    </row>
    <row r="2755" spans="1:4" x14ac:dyDescent="0.25">
      <c r="A2755" s="5">
        <f t="shared" ref="A2755:A2818" si="95">MONTH(C2755)</f>
        <v>7</v>
      </c>
      <c r="B2755" s="5">
        <f t="shared" ref="B2755:B2818" si="96">YEAR(C2755)</f>
        <v>2020</v>
      </c>
      <c r="C2755" s="9">
        <v>44028</v>
      </c>
      <c r="D2755">
        <v>2.25</v>
      </c>
    </row>
    <row r="2756" spans="1:4" x14ac:dyDescent="0.25">
      <c r="A2756" s="5">
        <f t="shared" si="95"/>
        <v>7</v>
      </c>
      <c r="B2756" s="5">
        <f t="shared" si="96"/>
        <v>2020</v>
      </c>
      <c r="C2756" s="9">
        <v>44029</v>
      </c>
      <c r="D2756">
        <v>2.25</v>
      </c>
    </row>
    <row r="2757" spans="1:4" x14ac:dyDescent="0.25">
      <c r="A2757" s="5">
        <f t="shared" si="95"/>
        <v>7</v>
      </c>
      <c r="B2757" s="5">
        <f t="shared" si="96"/>
        <v>2020</v>
      </c>
      <c r="C2757" s="9">
        <v>44030</v>
      </c>
      <c r="D2757">
        <v>2.25</v>
      </c>
    </row>
    <row r="2758" spans="1:4" x14ac:dyDescent="0.25">
      <c r="A2758" s="5">
        <f t="shared" si="95"/>
        <v>7</v>
      </c>
      <c r="B2758" s="5">
        <f t="shared" si="96"/>
        <v>2020</v>
      </c>
      <c r="C2758" s="9">
        <v>44031</v>
      </c>
      <c r="D2758">
        <v>2.25</v>
      </c>
    </row>
    <row r="2759" spans="1:4" x14ac:dyDescent="0.25">
      <c r="A2759" s="5">
        <f t="shared" si="95"/>
        <v>7</v>
      </c>
      <c r="B2759" s="5">
        <f t="shared" si="96"/>
        <v>2020</v>
      </c>
      <c r="C2759" s="9">
        <v>44032</v>
      </c>
      <c r="D2759">
        <v>2.25</v>
      </c>
    </row>
    <row r="2760" spans="1:4" x14ac:dyDescent="0.25">
      <c r="A2760" s="5">
        <f t="shared" si="95"/>
        <v>7</v>
      </c>
      <c r="B2760" s="5">
        <f t="shared" si="96"/>
        <v>2020</v>
      </c>
      <c r="C2760" s="9">
        <v>44033</v>
      </c>
      <c r="D2760">
        <v>2.25</v>
      </c>
    </row>
    <row r="2761" spans="1:4" x14ac:dyDescent="0.25">
      <c r="A2761" s="5">
        <f t="shared" si="95"/>
        <v>7</v>
      </c>
      <c r="B2761" s="5">
        <f t="shared" si="96"/>
        <v>2020</v>
      </c>
      <c r="C2761" s="9">
        <v>44034</v>
      </c>
      <c r="D2761">
        <v>2.25</v>
      </c>
    </row>
    <row r="2762" spans="1:4" x14ac:dyDescent="0.25">
      <c r="A2762" s="5">
        <f t="shared" si="95"/>
        <v>7</v>
      </c>
      <c r="B2762" s="5">
        <f t="shared" si="96"/>
        <v>2020</v>
      </c>
      <c r="C2762" s="9">
        <v>44035</v>
      </c>
      <c r="D2762">
        <v>2.25</v>
      </c>
    </row>
    <row r="2763" spans="1:4" x14ac:dyDescent="0.25">
      <c r="A2763" s="5">
        <f t="shared" si="95"/>
        <v>7</v>
      </c>
      <c r="B2763" s="5">
        <f t="shared" si="96"/>
        <v>2020</v>
      </c>
      <c r="C2763" s="9">
        <v>44036</v>
      </c>
      <c r="D2763">
        <v>2.25</v>
      </c>
    </row>
    <row r="2764" spans="1:4" x14ac:dyDescent="0.25">
      <c r="A2764" s="5">
        <f t="shared" si="95"/>
        <v>7</v>
      </c>
      <c r="B2764" s="5">
        <f t="shared" si="96"/>
        <v>2020</v>
      </c>
      <c r="C2764" s="9">
        <v>44037</v>
      </c>
      <c r="D2764">
        <v>2.25</v>
      </c>
    </row>
    <row r="2765" spans="1:4" x14ac:dyDescent="0.25">
      <c r="A2765" s="5">
        <f t="shared" si="95"/>
        <v>7</v>
      </c>
      <c r="B2765" s="5">
        <f t="shared" si="96"/>
        <v>2020</v>
      </c>
      <c r="C2765" s="9">
        <v>44038</v>
      </c>
      <c r="D2765">
        <v>2.25</v>
      </c>
    </row>
    <row r="2766" spans="1:4" x14ac:dyDescent="0.25">
      <c r="A2766" s="5">
        <f t="shared" si="95"/>
        <v>7</v>
      </c>
      <c r="B2766" s="5">
        <f t="shared" si="96"/>
        <v>2020</v>
      </c>
      <c r="C2766" s="9">
        <v>44039</v>
      </c>
      <c r="D2766">
        <v>2.25</v>
      </c>
    </row>
    <row r="2767" spans="1:4" x14ac:dyDescent="0.25">
      <c r="A2767" s="5">
        <f t="shared" si="95"/>
        <v>7</v>
      </c>
      <c r="B2767" s="5">
        <f t="shared" si="96"/>
        <v>2020</v>
      </c>
      <c r="C2767" s="9">
        <v>44040</v>
      </c>
      <c r="D2767">
        <v>2.25</v>
      </c>
    </row>
    <row r="2768" spans="1:4" x14ac:dyDescent="0.25">
      <c r="A2768" s="5">
        <f t="shared" si="95"/>
        <v>7</v>
      </c>
      <c r="B2768" s="5">
        <f t="shared" si="96"/>
        <v>2020</v>
      </c>
      <c r="C2768" s="9">
        <v>44041</v>
      </c>
      <c r="D2768">
        <v>2.25</v>
      </c>
    </row>
    <row r="2769" spans="1:4" x14ac:dyDescent="0.25">
      <c r="A2769" s="5">
        <f t="shared" si="95"/>
        <v>7</v>
      </c>
      <c r="B2769" s="5">
        <f t="shared" si="96"/>
        <v>2020</v>
      </c>
      <c r="C2769" s="9">
        <v>44042</v>
      </c>
      <c r="D2769">
        <v>2.25</v>
      </c>
    </row>
    <row r="2770" spans="1:4" x14ac:dyDescent="0.25">
      <c r="A2770" s="5">
        <f t="shared" si="95"/>
        <v>7</v>
      </c>
      <c r="B2770" s="5">
        <f t="shared" si="96"/>
        <v>2020</v>
      </c>
      <c r="C2770" s="9">
        <v>44043</v>
      </c>
      <c r="D2770">
        <v>2.25</v>
      </c>
    </row>
    <row r="2771" spans="1:4" x14ac:dyDescent="0.25">
      <c r="A2771" s="5">
        <f t="shared" si="95"/>
        <v>8</v>
      </c>
      <c r="B2771" s="5">
        <f t="shared" si="96"/>
        <v>2020</v>
      </c>
      <c r="C2771" s="9">
        <v>44044</v>
      </c>
      <c r="D2771">
        <v>2.25</v>
      </c>
    </row>
    <row r="2772" spans="1:4" x14ac:dyDescent="0.25">
      <c r="A2772" s="5">
        <f t="shared" si="95"/>
        <v>8</v>
      </c>
      <c r="B2772" s="5">
        <f t="shared" si="96"/>
        <v>2020</v>
      </c>
      <c r="C2772" s="9">
        <v>44045</v>
      </c>
      <c r="D2772">
        <v>2.25</v>
      </c>
    </row>
    <row r="2773" spans="1:4" x14ac:dyDescent="0.25">
      <c r="A2773" s="5">
        <f t="shared" si="95"/>
        <v>8</v>
      </c>
      <c r="B2773" s="5">
        <f t="shared" si="96"/>
        <v>2020</v>
      </c>
      <c r="C2773" s="9">
        <v>44046</v>
      </c>
      <c r="D2773">
        <v>2.25</v>
      </c>
    </row>
    <row r="2774" spans="1:4" x14ac:dyDescent="0.25">
      <c r="A2774" s="5">
        <f t="shared" si="95"/>
        <v>8</v>
      </c>
      <c r="B2774" s="5">
        <f t="shared" si="96"/>
        <v>2020</v>
      </c>
      <c r="C2774" s="9">
        <v>44047</v>
      </c>
      <c r="D2774">
        <v>2.25</v>
      </c>
    </row>
    <row r="2775" spans="1:4" x14ac:dyDescent="0.25">
      <c r="A2775" s="5">
        <f t="shared" si="95"/>
        <v>8</v>
      </c>
      <c r="B2775" s="5">
        <f t="shared" si="96"/>
        <v>2020</v>
      </c>
      <c r="C2775" s="9">
        <v>44048</v>
      </c>
      <c r="D2775">
        <v>2.25</v>
      </c>
    </row>
    <row r="2776" spans="1:4" x14ac:dyDescent="0.25">
      <c r="A2776" s="5">
        <f t="shared" si="95"/>
        <v>8</v>
      </c>
      <c r="B2776" s="5">
        <f t="shared" si="96"/>
        <v>2020</v>
      </c>
      <c r="C2776" s="9">
        <v>44049</v>
      </c>
      <c r="D2776">
        <v>2</v>
      </c>
    </row>
    <row r="2777" spans="1:4" x14ac:dyDescent="0.25">
      <c r="A2777" s="5">
        <f t="shared" si="95"/>
        <v>8</v>
      </c>
      <c r="B2777" s="5">
        <f t="shared" si="96"/>
        <v>2020</v>
      </c>
      <c r="C2777" s="9">
        <v>44050</v>
      </c>
      <c r="D2777">
        <v>2</v>
      </c>
    </row>
    <row r="2778" spans="1:4" x14ac:dyDescent="0.25">
      <c r="A2778" s="5">
        <f t="shared" si="95"/>
        <v>8</v>
      </c>
      <c r="B2778" s="5">
        <f t="shared" si="96"/>
        <v>2020</v>
      </c>
      <c r="C2778" s="9">
        <v>44051</v>
      </c>
      <c r="D2778">
        <v>2</v>
      </c>
    </row>
    <row r="2779" spans="1:4" x14ac:dyDescent="0.25">
      <c r="A2779" s="5">
        <f t="shared" si="95"/>
        <v>8</v>
      </c>
      <c r="B2779" s="5">
        <f t="shared" si="96"/>
        <v>2020</v>
      </c>
      <c r="C2779" s="9">
        <v>44052</v>
      </c>
      <c r="D2779">
        <v>2</v>
      </c>
    </row>
    <row r="2780" spans="1:4" x14ac:dyDescent="0.25">
      <c r="A2780" s="5">
        <f t="shared" si="95"/>
        <v>8</v>
      </c>
      <c r="B2780" s="5">
        <f t="shared" si="96"/>
        <v>2020</v>
      </c>
      <c r="C2780" s="9">
        <v>44053</v>
      </c>
      <c r="D2780">
        <v>2</v>
      </c>
    </row>
    <row r="2781" spans="1:4" x14ac:dyDescent="0.25">
      <c r="A2781" s="5">
        <f t="shared" si="95"/>
        <v>8</v>
      </c>
      <c r="B2781" s="5">
        <f t="shared" si="96"/>
        <v>2020</v>
      </c>
      <c r="C2781" s="9">
        <v>44054</v>
      </c>
      <c r="D2781">
        <v>2</v>
      </c>
    </row>
    <row r="2782" spans="1:4" x14ac:dyDescent="0.25">
      <c r="A2782" s="5">
        <f t="shared" si="95"/>
        <v>8</v>
      </c>
      <c r="B2782" s="5">
        <f t="shared" si="96"/>
        <v>2020</v>
      </c>
      <c r="C2782" s="9">
        <v>44055</v>
      </c>
      <c r="D2782">
        <v>2</v>
      </c>
    </row>
    <row r="2783" spans="1:4" x14ac:dyDescent="0.25">
      <c r="A2783" s="5">
        <f t="shared" si="95"/>
        <v>8</v>
      </c>
      <c r="B2783" s="5">
        <f t="shared" si="96"/>
        <v>2020</v>
      </c>
      <c r="C2783" s="9">
        <v>44056</v>
      </c>
      <c r="D2783">
        <v>2</v>
      </c>
    </row>
    <row r="2784" spans="1:4" x14ac:dyDescent="0.25">
      <c r="A2784" s="5">
        <f t="shared" si="95"/>
        <v>8</v>
      </c>
      <c r="B2784" s="5">
        <f t="shared" si="96"/>
        <v>2020</v>
      </c>
      <c r="C2784" s="9">
        <v>44057</v>
      </c>
      <c r="D2784">
        <v>2</v>
      </c>
    </row>
    <row r="2785" spans="1:4" x14ac:dyDescent="0.25">
      <c r="A2785" s="5">
        <f t="shared" si="95"/>
        <v>8</v>
      </c>
      <c r="B2785" s="5">
        <f t="shared" si="96"/>
        <v>2020</v>
      </c>
      <c r="C2785" s="9">
        <v>44058</v>
      </c>
      <c r="D2785">
        <v>2</v>
      </c>
    </row>
    <row r="2786" spans="1:4" x14ac:dyDescent="0.25">
      <c r="A2786" s="5">
        <f t="shared" si="95"/>
        <v>8</v>
      </c>
      <c r="B2786" s="5">
        <f t="shared" si="96"/>
        <v>2020</v>
      </c>
      <c r="C2786" s="9">
        <v>44059</v>
      </c>
      <c r="D2786">
        <v>2</v>
      </c>
    </row>
    <row r="2787" spans="1:4" x14ac:dyDescent="0.25">
      <c r="A2787" s="5">
        <f t="shared" si="95"/>
        <v>8</v>
      </c>
      <c r="B2787" s="5">
        <f t="shared" si="96"/>
        <v>2020</v>
      </c>
      <c r="C2787" s="9">
        <v>44060</v>
      </c>
      <c r="D2787">
        <v>2</v>
      </c>
    </row>
    <row r="2788" spans="1:4" x14ac:dyDescent="0.25">
      <c r="A2788" s="5">
        <f t="shared" si="95"/>
        <v>8</v>
      </c>
      <c r="B2788" s="5">
        <f t="shared" si="96"/>
        <v>2020</v>
      </c>
      <c r="C2788" s="9">
        <v>44061</v>
      </c>
      <c r="D2788">
        <v>2</v>
      </c>
    </row>
    <row r="2789" spans="1:4" x14ac:dyDescent="0.25">
      <c r="A2789" s="5">
        <f t="shared" si="95"/>
        <v>8</v>
      </c>
      <c r="B2789" s="5">
        <f t="shared" si="96"/>
        <v>2020</v>
      </c>
      <c r="C2789" s="9">
        <v>44062</v>
      </c>
      <c r="D2789">
        <v>2</v>
      </c>
    </row>
    <row r="2790" spans="1:4" x14ac:dyDescent="0.25">
      <c r="A2790" s="5">
        <f t="shared" si="95"/>
        <v>8</v>
      </c>
      <c r="B2790" s="5">
        <f t="shared" si="96"/>
        <v>2020</v>
      </c>
      <c r="C2790" s="9">
        <v>44063</v>
      </c>
      <c r="D2790">
        <v>2</v>
      </c>
    </row>
    <row r="2791" spans="1:4" x14ac:dyDescent="0.25">
      <c r="A2791" s="5">
        <f t="shared" si="95"/>
        <v>8</v>
      </c>
      <c r="B2791" s="5">
        <f t="shared" si="96"/>
        <v>2020</v>
      </c>
      <c r="C2791" s="9">
        <v>44064</v>
      </c>
      <c r="D2791">
        <v>2</v>
      </c>
    </row>
    <row r="2792" spans="1:4" x14ac:dyDescent="0.25">
      <c r="A2792" s="5">
        <f t="shared" si="95"/>
        <v>8</v>
      </c>
      <c r="B2792" s="5">
        <f t="shared" si="96"/>
        <v>2020</v>
      </c>
      <c r="C2792" s="9">
        <v>44065</v>
      </c>
      <c r="D2792">
        <v>2</v>
      </c>
    </row>
    <row r="2793" spans="1:4" x14ac:dyDescent="0.25">
      <c r="A2793" s="5">
        <f t="shared" si="95"/>
        <v>8</v>
      </c>
      <c r="B2793" s="5">
        <f t="shared" si="96"/>
        <v>2020</v>
      </c>
      <c r="C2793" s="9">
        <v>44066</v>
      </c>
      <c r="D2793">
        <v>2</v>
      </c>
    </row>
    <row r="2794" spans="1:4" x14ac:dyDescent="0.25">
      <c r="A2794" s="5">
        <f t="shared" si="95"/>
        <v>8</v>
      </c>
      <c r="B2794" s="5">
        <f t="shared" si="96"/>
        <v>2020</v>
      </c>
      <c r="C2794" s="9">
        <v>44067</v>
      </c>
      <c r="D2794">
        <v>2</v>
      </c>
    </row>
    <row r="2795" spans="1:4" x14ac:dyDescent="0.25">
      <c r="A2795" s="5">
        <f t="shared" si="95"/>
        <v>8</v>
      </c>
      <c r="B2795" s="5">
        <f t="shared" si="96"/>
        <v>2020</v>
      </c>
      <c r="C2795" s="9">
        <v>44068</v>
      </c>
      <c r="D2795">
        <v>2</v>
      </c>
    </row>
    <row r="2796" spans="1:4" x14ac:dyDescent="0.25">
      <c r="A2796" s="5">
        <f t="shared" si="95"/>
        <v>8</v>
      </c>
      <c r="B2796" s="5">
        <f t="shared" si="96"/>
        <v>2020</v>
      </c>
      <c r="C2796" s="9">
        <v>44069</v>
      </c>
      <c r="D2796">
        <v>2</v>
      </c>
    </row>
    <row r="2797" spans="1:4" x14ac:dyDescent="0.25">
      <c r="A2797" s="5">
        <f t="shared" si="95"/>
        <v>8</v>
      </c>
      <c r="B2797" s="5">
        <f t="shared" si="96"/>
        <v>2020</v>
      </c>
      <c r="C2797" s="9">
        <v>44070</v>
      </c>
      <c r="D2797">
        <v>2</v>
      </c>
    </row>
    <row r="2798" spans="1:4" x14ac:dyDescent="0.25">
      <c r="A2798" s="5">
        <f t="shared" si="95"/>
        <v>8</v>
      </c>
      <c r="B2798" s="5">
        <f t="shared" si="96"/>
        <v>2020</v>
      </c>
      <c r="C2798" s="9">
        <v>44071</v>
      </c>
      <c r="D2798">
        <v>2</v>
      </c>
    </row>
    <row r="2799" spans="1:4" x14ac:dyDescent="0.25">
      <c r="A2799" s="5">
        <f t="shared" si="95"/>
        <v>8</v>
      </c>
      <c r="B2799" s="5">
        <f t="shared" si="96"/>
        <v>2020</v>
      </c>
      <c r="C2799" s="9">
        <v>44072</v>
      </c>
      <c r="D2799">
        <v>2</v>
      </c>
    </row>
    <row r="2800" spans="1:4" x14ac:dyDescent="0.25">
      <c r="A2800" s="5">
        <f t="shared" si="95"/>
        <v>8</v>
      </c>
      <c r="B2800" s="5">
        <f t="shared" si="96"/>
        <v>2020</v>
      </c>
      <c r="C2800" s="9">
        <v>44073</v>
      </c>
      <c r="D2800">
        <v>2</v>
      </c>
    </row>
    <row r="2801" spans="1:4" x14ac:dyDescent="0.25">
      <c r="A2801" s="5">
        <f t="shared" si="95"/>
        <v>8</v>
      </c>
      <c r="B2801" s="5">
        <f t="shared" si="96"/>
        <v>2020</v>
      </c>
      <c r="C2801" s="9">
        <v>44074</v>
      </c>
      <c r="D2801">
        <v>2</v>
      </c>
    </row>
    <row r="2802" spans="1:4" x14ac:dyDescent="0.25">
      <c r="A2802" s="5">
        <f t="shared" si="95"/>
        <v>9</v>
      </c>
      <c r="B2802" s="5">
        <f t="shared" si="96"/>
        <v>2020</v>
      </c>
      <c r="C2802" s="9">
        <v>44075</v>
      </c>
      <c r="D2802">
        <v>2</v>
      </c>
    </row>
    <row r="2803" spans="1:4" x14ac:dyDescent="0.25">
      <c r="A2803" s="5">
        <f t="shared" si="95"/>
        <v>9</v>
      </c>
      <c r="B2803" s="5">
        <f t="shared" si="96"/>
        <v>2020</v>
      </c>
      <c r="C2803" s="9">
        <v>44076</v>
      </c>
      <c r="D2803">
        <v>2</v>
      </c>
    </row>
    <row r="2804" spans="1:4" x14ac:dyDescent="0.25">
      <c r="A2804" s="5">
        <f t="shared" si="95"/>
        <v>9</v>
      </c>
      <c r="B2804" s="5">
        <f t="shared" si="96"/>
        <v>2020</v>
      </c>
      <c r="C2804" s="9">
        <v>44077</v>
      </c>
      <c r="D2804">
        <v>2</v>
      </c>
    </row>
    <row r="2805" spans="1:4" x14ac:dyDescent="0.25">
      <c r="A2805" s="5">
        <f t="shared" si="95"/>
        <v>9</v>
      </c>
      <c r="B2805" s="5">
        <f t="shared" si="96"/>
        <v>2020</v>
      </c>
      <c r="C2805" s="9">
        <v>44078</v>
      </c>
      <c r="D2805">
        <v>2</v>
      </c>
    </row>
    <row r="2806" spans="1:4" x14ac:dyDescent="0.25">
      <c r="A2806" s="5">
        <f t="shared" si="95"/>
        <v>9</v>
      </c>
      <c r="B2806" s="5">
        <f t="shared" si="96"/>
        <v>2020</v>
      </c>
      <c r="C2806" s="9">
        <v>44079</v>
      </c>
      <c r="D2806">
        <v>2</v>
      </c>
    </row>
    <row r="2807" spans="1:4" x14ac:dyDescent="0.25">
      <c r="A2807" s="5">
        <f t="shared" si="95"/>
        <v>9</v>
      </c>
      <c r="B2807" s="5">
        <f t="shared" si="96"/>
        <v>2020</v>
      </c>
      <c r="C2807" s="9">
        <v>44080</v>
      </c>
      <c r="D2807">
        <v>2</v>
      </c>
    </row>
    <row r="2808" spans="1:4" x14ac:dyDescent="0.25">
      <c r="A2808" s="5">
        <f t="shared" si="95"/>
        <v>9</v>
      </c>
      <c r="B2808" s="5">
        <f t="shared" si="96"/>
        <v>2020</v>
      </c>
      <c r="C2808" s="9">
        <v>44081</v>
      </c>
      <c r="D2808">
        <v>2</v>
      </c>
    </row>
    <row r="2809" spans="1:4" x14ac:dyDescent="0.25">
      <c r="A2809" s="5">
        <f t="shared" si="95"/>
        <v>9</v>
      </c>
      <c r="B2809" s="5">
        <f t="shared" si="96"/>
        <v>2020</v>
      </c>
      <c r="C2809" s="9">
        <v>44082</v>
      </c>
      <c r="D2809">
        <v>2</v>
      </c>
    </row>
    <row r="2810" spans="1:4" x14ac:dyDescent="0.25">
      <c r="A2810" s="5">
        <f t="shared" si="95"/>
        <v>9</v>
      </c>
      <c r="B2810" s="5">
        <f t="shared" si="96"/>
        <v>2020</v>
      </c>
      <c r="C2810" s="9">
        <v>44083</v>
      </c>
      <c r="D2810">
        <v>2</v>
      </c>
    </row>
    <row r="2811" spans="1:4" x14ac:dyDescent="0.25">
      <c r="A2811" s="5">
        <f t="shared" si="95"/>
        <v>9</v>
      </c>
      <c r="B2811" s="5">
        <f t="shared" si="96"/>
        <v>2020</v>
      </c>
      <c r="C2811" s="9">
        <v>44084</v>
      </c>
      <c r="D2811">
        <v>2</v>
      </c>
    </row>
    <row r="2812" spans="1:4" x14ac:dyDescent="0.25">
      <c r="A2812" s="5">
        <f t="shared" si="95"/>
        <v>9</v>
      </c>
      <c r="B2812" s="5">
        <f t="shared" si="96"/>
        <v>2020</v>
      </c>
      <c r="C2812" s="9">
        <v>44085</v>
      </c>
      <c r="D2812">
        <v>2</v>
      </c>
    </row>
    <row r="2813" spans="1:4" x14ac:dyDescent="0.25">
      <c r="A2813" s="5">
        <f t="shared" si="95"/>
        <v>9</v>
      </c>
      <c r="B2813" s="5">
        <f t="shared" si="96"/>
        <v>2020</v>
      </c>
      <c r="C2813" s="9">
        <v>44086</v>
      </c>
      <c r="D2813">
        <v>2</v>
      </c>
    </row>
    <row r="2814" spans="1:4" x14ac:dyDescent="0.25">
      <c r="A2814" s="5">
        <f t="shared" si="95"/>
        <v>9</v>
      </c>
      <c r="B2814" s="5">
        <f t="shared" si="96"/>
        <v>2020</v>
      </c>
      <c r="C2814" s="9">
        <v>44087</v>
      </c>
      <c r="D2814">
        <v>2</v>
      </c>
    </row>
    <row r="2815" spans="1:4" x14ac:dyDescent="0.25">
      <c r="A2815" s="5">
        <f t="shared" si="95"/>
        <v>9</v>
      </c>
      <c r="B2815" s="5">
        <f t="shared" si="96"/>
        <v>2020</v>
      </c>
      <c r="C2815" s="9">
        <v>44088</v>
      </c>
      <c r="D2815">
        <v>2</v>
      </c>
    </row>
    <row r="2816" spans="1:4" x14ac:dyDescent="0.25">
      <c r="A2816" s="5">
        <f t="shared" si="95"/>
        <v>9</v>
      </c>
      <c r="B2816" s="5">
        <f t="shared" si="96"/>
        <v>2020</v>
      </c>
      <c r="C2816" s="9">
        <v>44089</v>
      </c>
      <c r="D2816">
        <v>2</v>
      </c>
    </row>
    <row r="2817" spans="1:4" x14ac:dyDescent="0.25">
      <c r="A2817" s="5">
        <f t="shared" si="95"/>
        <v>9</v>
      </c>
      <c r="B2817" s="5">
        <f t="shared" si="96"/>
        <v>2020</v>
      </c>
      <c r="C2817" s="9">
        <v>44090</v>
      </c>
      <c r="D2817">
        <v>2</v>
      </c>
    </row>
    <row r="2818" spans="1:4" x14ac:dyDescent="0.25">
      <c r="A2818" s="5">
        <f t="shared" si="95"/>
        <v>9</v>
      </c>
      <c r="B2818" s="5">
        <f t="shared" si="96"/>
        <v>2020</v>
      </c>
      <c r="C2818" s="9">
        <v>44091</v>
      </c>
      <c r="D2818">
        <v>2</v>
      </c>
    </row>
    <row r="2819" spans="1:4" x14ac:dyDescent="0.25">
      <c r="A2819" s="5">
        <f t="shared" ref="A2819:A2882" si="97">MONTH(C2819)</f>
        <v>9</v>
      </c>
      <c r="B2819" s="5">
        <f t="shared" ref="B2819:B2882" si="98">YEAR(C2819)</f>
        <v>2020</v>
      </c>
      <c r="C2819" s="9">
        <v>44092</v>
      </c>
      <c r="D2819">
        <v>2</v>
      </c>
    </row>
    <row r="2820" spans="1:4" x14ac:dyDescent="0.25">
      <c r="A2820" s="5">
        <f t="shared" si="97"/>
        <v>9</v>
      </c>
      <c r="B2820" s="5">
        <f t="shared" si="98"/>
        <v>2020</v>
      </c>
      <c r="C2820" s="9">
        <v>44093</v>
      </c>
      <c r="D2820">
        <v>2</v>
      </c>
    </row>
    <row r="2821" spans="1:4" x14ac:dyDescent="0.25">
      <c r="A2821" s="5">
        <f t="shared" si="97"/>
        <v>9</v>
      </c>
      <c r="B2821" s="5">
        <f t="shared" si="98"/>
        <v>2020</v>
      </c>
      <c r="C2821" s="9">
        <v>44094</v>
      </c>
      <c r="D2821">
        <v>2</v>
      </c>
    </row>
    <row r="2822" spans="1:4" x14ac:dyDescent="0.25">
      <c r="A2822" s="5">
        <f t="shared" si="97"/>
        <v>9</v>
      </c>
      <c r="B2822" s="5">
        <f t="shared" si="98"/>
        <v>2020</v>
      </c>
      <c r="C2822" s="9">
        <v>44095</v>
      </c>
      <c r="D2822">
        <v>2</v>
      </c>
    </row>
    <row r="2823" spans="1:4" x14ac:dyDescent="0.25">
      <c r="A2823" s="5">
        <f t="shared" si="97"/>
        <v>9</v>
      </c>
      <c r="B2823" s="5">
        <f t="shared" si="98"/>
        <v>2020</v>
      </c>
      <c r="C2823" s="9">
        <v>44096</v>
      </c>
      <c r="D2823">
        <v>2</v>
      </c>
    </row>
    <row r="2824" spans="1:4" x14ac:dyDescent="0.25">
      <c r="A2824" s="5">
        <f t="shared" si="97"/>
        <v>9</v>
      </c>
      <c r="B2824" s="5">
        <f t="shared" si="98"/>
        <v>2020</v>
      </c>
      <c r="C2824" s="9">
        <v>44097</v>
      </c>
      <c r="D2824">
        <v>2</v>
      </c>
    </row>
    <row r="2825" spans="1:4" x14ac:dyDescent="0.25">
      <c r="A2825" s="5">
        <f t="shared" si="97"/>
        <v>9</v>
      </c>
      <c r="B2825" s="5">
        <f t="shared" si="98"/>
        <v>2020</v>
      </c>
      <c r="C2825" s="9">
        <v>44098</v>
      </c>
      <c r="D2825">
        <v>2</v>
      </c>
    </row>
    <row r="2826" spans="1:4" x14ac:dyDescent="0.25">
      <c r="A2826" s="5">
        <f t="shared" si="97"/>
        <v>9</v>
      </c>
      <c r="B2826" s="5">
        <f t="shared" si="98"/>
        <v>2020</v>
      </c>
      <c r="C2826" s="9">
        <v>44099</v>
      </c>
      <c r="D2826">
        <v>2</v>
      </c>
    </row>
    <row r="2827" spans="1:4" x14ac:dyDescent="0.25">
      <c r="A2827" s="5">
        <f t="shared" si="97"/>
        <v>9</v>
      </c>
      <c r="B2827" s="5">
        <f t="shared" si="98"/>
        <v>2020</v>
      </c>
      <c r="C2827" s="9">
        <v>44100</v>
      </c>
      <c r="D2827">
        <v>2</v>
      </c>
    </row>
    <row r="2828" spans="1:4" x14ac:dyDescent="0.25">
      <c r="A2828" s="5">
        <f t="shared" si="97"/>
        <v>9</v>
      </c>
      <c r="B2828" s="5">
        <f t="shared" si="98"/>
        <v>2020</v>
      </c>
      <c r="C2828" s="9">
        <v>44101</v>
      </c>
      <c r="D2828">
        <v>2</v>
      </c>
    </row>
    <row r="2829" spans="1:4" x14ac:dyDescent="0.25">
      <c r="A2829" s="5">
        <f t="shared" si="97"/>
        <v>9</v>
      </c>
      <c r="B2829" s="5">
        <f t="shared" si="98"/>
        <v>2020</v>
      </c>
      <c r="C2829" s="9">
        <v>44102</v>
      </c>
      <c r="D2829">
        <v>2</v>
      </c>
    </row>
    <row r="2830" spans="1:4" x14ac:dyDescent="0.25">
      <c r="A2830" s="5">
        <f t="shared" si="97"/>
        <v>9</v>
      </c>
      <c r="B2830" s="5">
        <f t="shared" si="98"/>
        <v>2020</v>
      </c>
      <c r="C2830" s="9">
        <v>44103</v>
      </c>
      <c r="D2830">
        <v>2</v>
      </c>
    </row>
    <row r="2831" spans="1:4" x14ac:dyDescent="0.25">
      <c r="A2831" s="5">
        <f t="shared" si="97"/>
        <v>9</v>
      </c>
      <c r="B2831" s="5">
        <f t="shared" si="98"/>
        <v>2020</v>
      </c>
      <c r="C2831" s="9">
        <v>44104</v>
      </c>
      <c r="D2831">
        <v>2</v>
      </c>
    </row>
    <row r="2832" spans="1:4" x14ac:dyDescent="0.25">
      <c r="A2832" s="5">
        <f t="shared" si="97"/>
        <v>10</v>
      </c>
      <c r="B2832" s="5">
        <f t="shared" si="98"/>
        <v>2020</v>
      </c>
      <c r="C2832" s="9">
        <v>44105</v>
      </c>
      <c r="D2832">
        <v>2</v>
      </c>
    </row>
    <row r="2833" spans="1:4" x14ac:dyDescent="0.25">
      <c r="A2833" s="5">
        <f t="shared" si="97"/>
        <v>10</v>
      </c>
      <c r="B2833" s="5">
        <f t="shared" si="98"/>
        <v>2020</v>
      </c>
      <c r="C2833" s="9">
        <v>44106</v>
      </c>
      <c r="D2833">
        <v>2</v>
      </c>
    </row>
    <row r="2834" spans="1:4" x14ac:dyDescent="0.25">
      <c r="A2834" s="5">
        <f t="shared" si="97"/>
        <v>10</v>
      </c>
      <c r="B2834" s="5">
        <f t="shared" si="98"/>
        <v>2020</v>
      </c>
      <c r="C2834" s="9">
        <v>44107</v>
      </c>
      <c r="D2834">
        <v>2</v>
      </c>
    </row>
    <row r="2835" spans="1:4" x14ac:dyDescent="0.25">
      <c r="A2835" s="5">
        <f t="shared" si="97"/>
        <v>10</v>
      </c>
      <c r="B2835" s="5">
        <f t="shared" si="98"/>
        <v>2020</v>
      </c>
      <c r="C2835" s="9">
        <v>44108</v>
      </c>
      <c r="D2835">
        <v>2</v>
      </c>
    </row>
    <row r="2836" spans="1:4" x14ac:dyDescent="0.25">
      <c r="A2836" s="5">
        <f t="shared" si="97"/>
        <v>10</v>
      </c>
      <c r="B2836" s="5">
        <f t="shared" si="98"/>
        <v>2020</v>
      </c>
      <c r="C2836" s="9">
        <v>44109</v>
      </c>
      <c r="D2836">
        <v>2</v>
      </c>
    </row>
    <row r="2837" spans="1:4" x14ac:dyDescent="0.25">
      <c r="A2837" s="5">
        <f t="shared" si="97"/>
        <v>10</v>
      </c>
      <c r="B2837" s="5">
        <f t="shared" si="98"/>
        <v>2020</v>
      </c>
      <c r="C2837" s="9">
        <v>44110</v>
      </c>
      <c r="D2837">
        <v>2</v>
      </c>
    </row>
    <row r="2838" spans="1:4" x14ac:dyDescent="0.25">
      <c r="A2838" s="5">
        <f t="shared" si="97"/>
        <v>10</v>
      </c>
      <c r="B2838" s="5">
        <f t="shared" si="98"/>
        <v>2020</v>
      </c>
      <c r="C2838" s="9">
        <v>44111</v>
      </c>
      <c r="D2838">
        <v>2</v>
      </c>
    </row>
    <row r="2839" spans="1:4" x14ac:dyDescent="0.25">
      <c r="A2839" s="5">
        <f t="shared" si="97"/>
        <v>10</v>
      </c>
      <c r="B2839" s="5">
        <f t="shared" si="98"/>
        <v>2020</v>
      </c>
      <c r="C2839" s="9">
        <v>44112</v>
      </c>
      <c r="D2839">
        <v>2</v>
      </c>
    </row>
    <row r="2840" spans="1:4" x14ac:dyDescent="0.25">
      <c r="A2840" s="5">
        <f t="shared" si="97"/>
        <v>10</v>
      </c>
      <c r="B2840" s="5">
        <f t="shared" si="98"/>
        <v>2020</v>
      </c>
      <c r="C2840" s="9">
        <v>44113</v>
      </c>
      <c r="D2840">
        <v>2</v>
      </c>
    </row>
    <row r="2841" spans="1:4" x14ac:dyDescent="0.25">
      <c r="A2841" s="5">
        <f t="shared" si="97"/>
        <v>10</v>
      </c>
      <c r="B2841" s="5">
        <f t="shared" si="98"/>
        <v>2020</v>
      </c>
      <c r="C2841" s="9">
        <v>44114</v>
      </c>
      <c r="D2841">
        <v>2</v>
      </c>
    </row>
    <row r="2842" spans="1:4" x14ac:dyDescent="0.25">
      <c r="A2842" s="5">
        <f t="shared" si="97"/>
        <v>10</v>
      </c>
      <c r="B2842" s="5">
        <f t="shared" si="98"/>
        <v>2020</v>
      </c>
      <c r="C2842" s="9">
        <v>44115</v>
      </c>
      <c r="D2842">
        <v>2</v>
      </c>
    </row>
    <row r="2843" spans="1:4" x14ac:dyDescent="0.25">
      <c r="A2843" s="5">
        <f t="shared" si="97"/>
        <v>10</v>
      </c>
      <c r="B2843" s="5">
        <f t="shared" si="98"/>
        <v>2020</v>
      </c>
      <c r="C2843" s="9">
        <v>44116</v>
      </c>
      <c r="D2843">
        <v>2</v>
      </c>
    </row>
    <row r="2844" spans="1:4" x14ac:dyDescent="0.25">
      <c r="A2844" s="5">
        <f t="shared" si="97"/>
        <v>10</v>
      </c>
      <c r="B2844" s="5">
        <f t="shared" si="98"/>
        <v>2020</v>
      </c>
      <c r="C2844" s="9">
        <v>44117</v>
      </c>
      <c r="D2844">
        <v>2</v>
      </c>
    </row>
    <row r="2845" spans="1:4" x14ac:dyDescent="0.25">
      <c r="A2845" s="5">
        <f t="shared" si="97"/>
        <v>10</v>
      </c>
      <c r="B2845" s="5">
        <f t="shared" si="98"/>
        <v>2020</v>
      </c>
      <c r="C2845" s="9">
        <v>44118</v>
      </c>
      <c r="D2845">
        <v>2</v>
      </c>
    </row>
    <row r="2846" spans="1:4" x14ac:dyDescent="0.25">
      <c r="A2846" s="5">
        <f t="shared" si="97"/>
        <v>10</v>
      </c>
      <c r="B2846" s="5">
        <f t="shared" si="98"/>
        <v>2020</v>
      </c>
      <c r="C2846" s="9">
        <v>44119</v>
      </c>
      <c r="D2846">
        <v>2</v>
      </c>
    </row>
    <row r="2847" spans="1:4" x14ac:dyDescent="0.25">
      <c r="A2847" s="5">
        <f t="shared" si="97"/>
        <v>10</v>
      </c>
      <c r="B2847" s="5">
        <f t="shared" si="98"/>
        <v>2020</v>
      </c>
      <c r="C2847" s="9">
        <v>44120</v>
      </c>
      <c r="D2847">
        <v>2</v>
      </c>
    </row>
    <row r="2848" spans="1:4" x14ac:dyDescent="0.25">
      <c r="A2848" s="5">
        <f t="shared" si="97"/>
        <v>10</v>
      </c>
      <c r="B2848" s="5">
        <f t="shared" si="98"/>
        <v>2020</v>
      </c>
      <c r="C2848" s="9">
        <v>44121</v>
      </c>
      <c r="D2848">
        <v>2</v>
      </c>
    </row>
    <row r="2849" spans="1:4" x14ac:dyDescent="0.25">
      <c r="A2849" s="5">
        <f t="shared" si="97"/>
        <v>10</v>
      </c>
      <c r="B2849" s="5">
        <f t="shared" si="98"/>
        <v>2020</v>
      </c>
      <c r="C2849" s="9">
        <v>44122</v>
      </c>
      <c r="D2849">
        <v>2</v>
      </c>
    </row>
    <row r="2850" spans="1:4" x14ac:dyDescent="0.25">
      <c r="A2850" s="5">
        <f t="shared" si="97"/>
        <v>10</v>
      </c>
      <c r="B2850" s="5">
        <f t="shared" si="98"/>
        <v>2020</v>
      </c>
      <c r="C2850" s="9">
        <v>44123</v>
      </c>
      <c r="D2850">
        <v>2</v>
      </c>
    </row>
    <row r="2851" spans="1:4" x14ac:dyDescent="0.25">
      <c r="A2851" s="5">
        <f t="shared" si="97"/>
        <v>10</v>
      </c>
      <c r="B2851" s="5">
        <f t="shared" si="98"/>
        <v>2020</v>
      </c>
      <c r="C2851" s="9">
        <v>44124</v>
      </c>
      <c r="D2851">
        <v>2</v>
      </c>
    </row>
    <row r="2852" spans="1:4" x14ac:dyDescent="0.25">
      <c r="A2852" s="5">
        <f t="shared" si="97"/>
        <v>10</v>
      </c>
      <c r="B2852" s="5">
        <f t="shared" si="98"/>
        <v>2020</v>
      </c>
      <c r="C2852" s="9">
        <v>44125</v>
      </c>
      <c r="D2852">
        <v>2</v>
      </c>
    </row>
    <row r="2853" spans="1:4" x14ac:dyDescent="0.25">
      <c r="A2853" s="5">
        <f t="shared" si="97"/>
        <v>10</v>
      </c>
      <c r="B2853" s="5">
        <f t="shared" si="98"/>
        <v>2020</v>
      </c>
      <c r="C2853" s="9">
        <v>44126</v>
      </c>
      <c r="D2853">
        <v>2</v>
      </c>
    </row>
    <row r="2854" spans="1:4" x14ac:dyDescent="0.25">
      <c r="A2854" s="5">
        <f t="shared" si="97"/>
        <v>10</v>
      </c>
      <c r="B2854" s="5">
        <f t="shared" si="98"/>
        <v>2020</v>
      </c>
      <c r="C2854" s="9">
        <v>44127</v>
      </c>
      <c r="D2854">
        <v>2</v>
      </c>
    </row>
    <row r="2855" spans="1:4" x14ac:dyDescent="0.25">
      <c r="A2855" s="5">
        <f t="shared" si="97"/>
        <v>10</v>
      </c>
      <c r="B2855" s="5">
        <f t="shared" si="98"/>
        <v>2020</v>
      </c>
      <c r="C2855" s="9">
        <v>44128</v>
      </c>
      <c r="D2855">
        <v>2</v>
      </c>
    </row>
    <row r="2856" spans="1:4" x14ac:dyDescent="0.25">
      <c r="A2856" s="5">
        <f t="shared" si="97"/>
        <v>10</v>
      </c>
      <c r="B2856" s="5">
        <f t="shared" si="98"/>
        <v>2020</v>
      </c>
      <c r="C2856" s="9">
        <v>44129</v>
      </c>
      <c r="D2856">
        <v>2</v>
      </c>
    </row>
    <row r="2857" spans="1:4" x14ac:dyDescent="0.25">
      <c r="A2857" s="5">
        <f t="shared" si="97"/>
        <v>10</v>
      </c>
      <c r="B2857" s="5">
        <f t="shared" si="98"/>
        <v>2020</v>
      </c>
      <c r="C2857" s="9">
        <v>44130</v>
      </c>
      <c r="D2857">
        <v>2</v>
      </c>
    </row>
    <row r="2858" spans="1:4" x14ac:dyDescent="0.25">
      <c r="A2858" s="5">
        <f t="shared" si="97"/>
        <v>10</v>
      </c>
      <c r="B2858" s="5">
        <f t="shared" si="98"/>
        <v>2020</v>
      </c>
      <c r="C2858" s="9">
        <v>44131</v>
      </c>
      <c r="D2858">
        <v>2</v>
      </c>
    </row>
    <row r="2859" spans="1:4" x14ac:dyDescent="0.25">
      <c r="A2859" s="5">
        <f t="shared" si="97"/>
        <v>10</v>
      </c>
      <c r="B2859" s="5">
        <f t="shared" si="98"/>
        <v>2020</v>
      </c>
      <c r="C2859" s="9">
        <v>44132</v>
      </c>
      <c r="D2859">
        <v>2</v>
      </c>
    </row>
    <row r="2860" spans="1:4" x14ac:dyDescent="0.25">
      <c r="A2860" s="5">
        <f t="shared" si="97"/>
        <v>10</v>
      </c>
      <c r="B2860" s="5">
        <f t="shared" si="98"/>
        <v>2020</v>
      </c>
      <c r="C2860" s="9">
        <v>44133</v>
      </c>
      <c r="D2860">
        <v>2</v>
      </c>
    </row>
    <row r="2861" spans="1:4" x14ac:dyDescent="0.25">
      <c r="A2861" s="5">
        <f t="shared" si="97"/>
        <v>10</v>
      </c>
      <c r="B2861" s="5">
        <f t="shared" si="98"/>
        <v>2020</v>
      </c>
      <c r="C2861" s="9">
        <v>44134</v>
      </c>
      <c r="D2861">
        <v>2</v>
      </c>
    </row>
    <row r="2862" spans="1:4" x14ac:dyDescent="0.25">
      <c r="A2862" s="5">
        <f t="shared" si="97"/>
        <v>10</v>
      </c>
      <c r="B2862" s="5">
        <f t="shared" si="98"/>
        <v>2020</v>
      </c>
      <c r="C2862" s="9">
        <v>44135</v>
      </c>
      <c r="D2862">
        <v>2</v>
      </c>
    </row>
    <row r="2863" spans="1:4" x14ac:dyDescent="0.25">
      <c r="A2863" s="5">
        <f t="shared" si="97"/>
        <v>11</v>
      </c>
      <c r="B2863" s="5">
        <f t="shared" si="98"/>
        <v>2020</v>
      </c>
      <c r="C2863" s="9">
        <v>44136</v>
      </c>
      <c r="D2863">
        <v>2</v>
      </c>
    </row>
    <row r="2864" spans="1:4" x14ac:dyDescent="0.25">
      <c r="A2864" s="5">
        <f t="shared" si="97"/>
        <v>11</v>
      </c>
      <c r="B2864" s="5">
        <f t="shared" si="98"/>
        <v>2020</v>
      </c>
      <c r="C2864" s="9">
        <v>44137</v>
      </c>
      <c r="D2864">
        <v>2</v>
      </c>
    </row>
    <row r="2865" spans="1:4" x14ac:dyDescent="0.25">
      <c r="A2865" s="5">
        <f t="shared" si="97"/>
        <v>11</v>
      </c>
      <c r="B2865" s="5">
        <f t="shared" si="98"/>
        <v>2020</v>
      </c>
      <c r="C2865" s="9">
        <v>44138</v>
      </c>
      <c r="D2865">
        <v>2</v>
      </c>
    </row>
    <row r="2866" spans="1:4" x14ac:dyDescent="0.25">
      <c r="A2866" s="5">
        <f t="shared" si="97"/>
        <v>11</v>
      </c>
      <c r="B2866" s="5">
        <f t="shared" si="98"/>
        <v>2020</v>
      </c>
      <c r="C2866" s="9">
        <v>44139</v>
      </c>
      <c r="D2866">
        <v>2</v>
      </c>
    </row>
    <row r="2867" spans="1:4" x14ac:dyDescent="0.25">
      <c r="A2867" s="5">
        <f t="shared" si="97"/>
        <v>11</v>
      </c>
      <c r="B2867" s="5">
        <f t="shared" si="98"/>
        <v>2020</v>
      </c>
      <c r="C2867" s="9">
        <v>44140</v>
      </c>
      <c r="D2867">
        <v>2</v>
      </c>
    </row>
    <row r="2868" spans="1:4" x14ac:dyDescent="0.25">
      <c r="A2868" s="5">
        <f t="shared" si="97"/>
        <v>11</v>
      </c>
      <c r="B2868" s="5">
        <f t="shared" si="98"/>
        <v>2020</v>
      </c>
      <c r="C2868" s="9">
        <v>44141</v>
      </c>
      <c r="D2868">
        <v>2</v>
      </c>
    </row>
    <row r="2869" spans="1:4" x14ac:dyDescent="0.25">
      <c r="A2869" s="5">
        <f t="shared" si="97"/>
        <v>11</v>
      </c>
      <c r="B2869" s="5">
        <f t="shared" si="98"/>
        <v>2020</v>
      </c>
      <c r="C2869" s="9">
        <v>44142</v>
      </c>
      <c r="D2869">
        <v>2</v>
      </c>
    </row>
    <row r="2870" spans="1:4" x14ac:dyDescent="0.25">
      <c r="A2870" s="5">
        <f t="shared" si="97"/>
        <v>11</v>
      </c>
      <c r="B2870" s="5">
        <f t="shared" si="98"/>
        <v>2020</v>
      </c>
      <c r="C2870" s="9">
        <v>44143</v>
      </c>
      <c r="D2870">
        <v>2</v>
      </c>
    </row>
    <row r="2871" spans="1:4" x14ac:dyDescent="0.25">
      <c r="A2871" s="5">
        <f t="shared" si="97"/>
        <v>11</v>
      </c>
      <c r="B2871" s="5">
        <f t="shared" si="98"/>
        <v>2020</v>
      </c>
      <c r="C2871" s="9">
        <v>44144</v>
      </c>
      <c r="D2871">
        <v>2</v>
      </c>
    </row>
    <row r="2872" spans="1:4" x14ac:dyDescent="0.25">
      <c r="A2872" s="5">
        <f t="shared" si="97"/>
        <v>11</v>
      </c>
      <c r="B2872" s="5">
        <f t="shared" si="98"/>
        <v>2020</v>
      </c>
      <c r="C2872" s="9">
        <v>44145</v>
      </c>
      <c r="D2872">
        <v>2</v>
      </c>
    </row>
    <row r="2873" spans="1:4" x14ac:dyDescent="0.25">
      <c r="A2873" s="5">
        <f t="shared" si="97"/>
        <v>11</v>
      </c>
      <c r="B2873" s="5">
        <f t="shared" si="98"/>
        <v>2020</v>
      </c>
      <c r="C2873" s="9">
        <v>44146</v>
      </c>
      <c r="D2873">
        <v>2</v>
      </c>
    </row>
    <row r="2874" spans="1:4" x14ac:dyDescent="0.25">
      <c r="A2874" s="5">
        <f t="shared" si="97"/>
        <v>11</v>
      </c>
      <c r="B2874" s="5">
        <f t="shared" si="98"/>
        <v>2020</v>
      </c>
      <c r="C2874" s="9">
        <v>44147</v>
      </c>
      <c r="D2874">
        <v>2</v>
      </c>
    </row>
    <row r="2875" spans="1:4" x14ac:dyDescent="0.25">
      <c r="A2875" s="5">
        <f t="shared" si="97"/>
        <v>11</v>
      </c>
      <c r="B2875" s="5">
        <f t="shared" si="98"/>
        <v>2020</v>
      </c>
      <c r="C2875" s="9">
        <v>44148</v>
      </c>
      <c r="D2875">
        <v>2</v>
      </c>
    </row>
    <row r="2876" spans="1:4" x14ac:dyDescent="0.25">
      <c r="A2876" s="5">
        <f t="shared" si="97"/>
        <v>11</v>
      </c>
      <c r="B2876" s="5">
        <f t="shared" si="98"/>
        <v>2020</v>
      </c>
      <c r="C2876" s="9">
        <v>44149</v>
      </c>
      <c r="D2876">
        <v>2</v>
      </c>
    </row>
    <row r="2877" spans="1:4" x14ac:dyDescent="0.25">
      <c r="A2877" s="5">
        <f t="shared" si="97"/>
        <v>11</v>
      </c>
      <c r="B2877" s="5">
        <f t="shared" si="98"/>
        <v>2020</v>
      </c>
      <c r="C2877" s="9">
        <v>44150</v>
      </c>
      <c r="D2877">
        <v>2</v>
      </c>
    </row>
    <row r="2878" spans="1:4" x14ac:dyDescent="0.25">
      <c r="A2878" s="5">
        <f t="shared" si="97"/>
        <v>11</v>
      </c>
      <c r="B2878" s="5">
        <f t="shared" si="98"/>
        <v>2020</v>
      </c>
      <c r="C2878" s="9">
        <v>44151</v>
      </c>
      <c r="D2878">
        <v>2</v>
      </c>
    </row>
    <row r="2879" spans="1:4" x14ac:dyDescent="0.25">
      <c r="A2879" s="5">
        <f t="shared" si="97"/>
        <v>11</v>
      </c>
      <c r="B2879" s="5">
        <f t="shared" si="98"/>
        <v>2020</v>
      </c>
      <c r="C2879" s="9">
        <v>44152</v>
      </c>
      <c r="D2879">
        <v>2</v>
      </c>
    </row>
    <row r="2880" spans="1:4" x14ac:dyDescent="0.25">
      <c r="A2880" s="5">
        <f t="shared" si="97"/>
        <v>11</v>
      </c>
      <c r="B2880" s="5">
        <f t="shared" si="98"/>
        <v>2020</v>
      </c>
      <c r="C2880" s="9">
        <v>44153</v>
      </c>
      <c r="D2880">
        <v>2</v>
      </c>
    </row>
    <row r="2881" spans="1:4" x14ac:dyDescent="0.25">
      <c r="A2881" s="5">
        <f t="shared" si="97"/>
        <v>11</v>
      </c>
      <c r="B2881" s="5">
        <f t="shared" si="98"/>
        <v>2020</v>
      </c>
      <c r="C2881" s="9">
        <v>44154</v>
      </c>
      <c r="D2881">
        <v>2</v>
      </c>
    </row>
    <row r="2882" spans="1:4" x14ac:dyDescent="0.25">
      <c r="A2882" s="5">
        <f t="shared" si="97"/>
        <v>11</v>
      </c>
      <c r="B2882" s="5">
        <f t="shared" si="98"/>
        <v>2020</v>
      </c>
      <c r="C2882" s="9">
        <v>44155</v>
      </c>
      <c r="D2882">
        <v>2</v>
      </c>
    </row>
    <row r="2883" spans="1:4" x14ac:dyDescent="0.25">
      <c r="A2883" s="5">
        <f t="shared" ref="A2883:A2946" si="99">MONTH(C2883)</f>
        <v>11</v>
      </c>
      <c r="B2883" s="5">
        <f t="shared" ref="B2883:B2946" si="100">YEAR(C2883)</f>
        <v>2020</v>
      </c>
      <c r="C2883" s="9">
        <v>44156</v>
      </c>
      <c r="D2883">
        <v>2</v>
      </c>
    </row>
    <row r="2884" spans="1:4" x14ac:dyDescent="0.25">
      <c r="A2884" s="5">
        <f t="shared" si="99"/>
        <v>11</v>
      </c>
      <c r="B2884" s="5">
        <f t="shared" si="100"/>
        <v>2020</v>
      </c>
      <c r="C2884" s="9">
        <v>44157</v>
      </c>
      <c r="D2884">
        <v>2</v>
      </c>
    </row>
    <row r="2885" spans="1:4" x14ac:dyDescent="0.25">
      <c r="A2885" s="5">
        <f t="shared" si="99"/>
        <v>11</v>
      </c>
      <c r="B2885" s="5">
        <f t="shared" si="100"/>
        <v>2020</v>
      </c>
      <c r="C2885" s="9">
        <v>44158</v>
      </c>
      <c r="D2885">
        <v>2</v>
      </c>
    </row>
    <row r="2886" spans="1:4" x14ac:dyDescent="0.25">
      <c r="A2886" s="5">
        <f t="shared" si="99"/>
        <v>11</v>
      </c>
      <c r="B2886" s="5">
        <f t="shared" si="100"/>
        <v>2020</v>
      </c>
      <c r="C2886" s="9">
        <v>44159</v>
      </c>
      <c r="D2886">
        <v>2</v>
      </c>
    </row>
    <row r="2887" spans="1:4" x14ac:dyDescent="0.25">
      <c r="A2887" s="5">
        <f t="shared" si="99"/>
        <v>11</v>
      </c>
      <c r="B2887" s="5">
        <f t="shared" si="100"/>
        <v>2020</v>
      </c>
      <c r="C2887" s="9">
        <v>44160</v>
      </c>
      <c r="D2887">
        <v>2</v>
      </c>
    </row>
    <row r="2888" spans="1:4" x14ac:dyDescent="0.25">
      <c r="A2888" s="5">
        <f t="shared" si="99"/>
        <v>11</v>
      </c>
      <c r="B2888" s="5">
        <f t="shared" si="100"/>
        <v>2020</v>
      </c>
      <c r="C2888" s="9">
        <v>44161</v>
      </c>
      <c r="D2888">
        <v>2</v>
      </c>
    </row>
    <row r="2889" spans="1:4" x14ac:dyDescent="0.25">
      <c r="A2889" s="5">
        <f t="shared" si="99"/>
        <v>11</v>
      </c>
      <c r="B2889" s="5">
        <f t="shared" si="100"/>
        <v>2020</v>
      </c>
      <c r="C2889" s="9">
        <v>44162</v>
      </c>
      <c r="D2889">
        <v>2</v>
      </c>
    </row>
    <row r="2890" spans="1:4" x14ac:dyDescent="0.25">
      <c r="A2890" s="5">
        <f t="shared" si="99"/>
        <v>11</v>
      </c>
      <c r="B2890" s="5">
        <f t="shared" si="100"/>
        <v>2020</v>
      </c>
      <c r="C2890" s="9">
        <v>44163</v>
      </c>
      <c r="D2890">
        <v>2</v>
      </c>
    </row>
    <row r="2891" spans="1:4" x14ac:dyDescent="0.25">
      <c r="A2891" s="5">
        <f t="shared" si="99"/>
        <v>11</v>
      </c>
      <c r="B2891" s="5">
        <f t="shared" si="100"/>
        <v>2020</v>
      </c>
      <c r="C2891" s="9">
        <v>44164</v>
      </c>
      <c r="D2891">
        <v>2</v>
      </c>
    </row>
    <row r="2892" spans="1:4" x14ac:dyDescent="0.25">
      <c r="A2892" s="5">
        <f t="shared" si="99"/>
        <v>11</v>
      </c>
      <c r="B2892" s="5">
        <f t="shared" si="100"/>
        <v>2020</v>
      </c>
      <c r="C2892" s="9">
        <v>44165</v>
      </c>
      <c r="D2892">
        <v>2</v>
      </c>
    </row>
    <row r="2893" spans="1:4" x14ac:dyDescent="0.25">
      <c r="A2893" s="5">
        <f t="shared" si="99"/>
        <v>12</v>
      </c>
      <c r="B2893" s="5">
        <f t="shared" si="100"/>
        <v>2020</v>
      </c>
      <c r="C2893" s="9">
        <v>44166</v>
      </c>
      <c r="D2893">
        <v>2</v>
      </c>
    </row>
    <row r="2894" spans="1:4" x14ac:dyDescent="0.25">
      <c r="A2894" s="5">
        <f t="shared" si="99"/>
        <v>12</v>
      </c>
      <c r="B2894" s="5">
        <f t="shared" si="100"/>
        <v>2020</v>
      </c>
      <c r="C2894" s="9">
        <v>44167</v>
      </c>
      <c r="D2894">
        <v>2</v>
      </c>
    </row>
    <row r="2895" spans="1:4" x14ac:dyDescent="0.25">
      <c r="A2895" s="5">
        <f t="shared" si="99"/>
        <v>12</v>
      </c>
      <c r="B2895" s="5">
        <f t="shared" si="100"/>
        <v>2020</v>
      </c>
      <c r="C2895" s="9">
        <v>44168</v>
      </c>
      <c r="D2895">
        <v>2</v>
      </c>
    </row>
    <row r="2896" spans="1:4" x14ac:dyDescent="0.25">
      <c r="A2896" s="5">
        <f t="shared" si="99"/>
        <v>12</v>
      </c>
      <c r="B2896" s="5">
        <f t="shared" si="100"/>
        <v>2020</v>
      </c>
      <c r="C2896" s="9">
        <v>44169</v>
      </c>
      <c r="D2896">
        <v>2</v>
      </c>
    </row>
    <row r="2897" spans="1:4" x14ac:dyDescent="0.25">
      <c r="A2897" s="5">
        <f t="shared" si="99"/>
        <v>12</v>
      </c>
      <c r="B2897" s="5">
        <f t="shared" si="100"/>
        <v>2020</v>
      </c>
      <c r="C2897" s="9">
        <v>44170</v>
      </c>
      <c r="D2897">
        <v>2</v>
      </c>
    </row>
    <row r="2898" spans="1:4" x14ac:dyDescent="0.25">
      <c r="A2898" s="5">
        <f t="shared" si="99"/>
        <v>12</v>
      </c>
      <c r="B2898" s="5">
        <f t="shared" si="100"/>
        <v>2020</v>
      </c>
      <c r="C2898" s="9">
        <v>44171</v>
      </c>
      <c r="D2898">
        <v>2</v>
      </c>
    </row>
    <row r="2899" spans="1:4" x14ac:dyDescent="0.25">
      <c r="A2899" s="5">
        <f t="shared" si="99"/>
        <v>12</v>
      </c>
      <c r="B2899" s="5">
        <f t="shared" si="100"/>
        <v>2020</v>
      </c>
      <c r="C2899" s="9">
        <v>44172</v>
      </c>
      <c r="D2899">
        <v>2</v>
      </c>
    </row>
    <row r="2900" spans="1:4" x14ac:dyDescent="0.25">
      <c r="A2900" s="5">
        <f t="shared" si="99"/>
        <v>12</v>
      </c>
      <c r="B2900" s="5">
        <f t="shared" si="100"/>
        <v>2020</v>
      </c>
      <c r="C2900" s="9">
        <v>44173</v>
      </c>
      <c r="D2900">
        <v>2</v>
      </c>
    </row>
    <row r="2901" spans="1:4" x14ac:dyDescent="0.25">
      <c r="A2901" s="5">
        <f t="shared" si="99"/>
        <v>12</v>
      </c>
      <c r="B2901" s="5">
        <f t="shared" si="100"/>
        <v>2020</v>
      </c>
      <c r="C2901" s="9">
        <v>44174</v>
      </c>
      <c r="D2901">
        <v>2</v>
      </c>
    </row>
    <row r="2902" spans="1:4" x14ac:dyDescent="0.25">
      <c r="A2902" s="5">
        <f t="shared" si="99"/>
        <v>12</v>
      </c>
      <c r="B2902" s="5">
        <f t="shared" si="100"/>
        <v>2020</v>
      </c>
      <c r="C2902" s="9">
        <v>44175</v>
      </c>
      <c r="D2902">
        <v>2</v>
      </c>
    </row>
    <row r="2903" spans="1:4" x14ac:dyDescent="0.25">
      <c r="A2903" s="5">
        <f t="shared" si="99"/>
        <v>12</v>
      </c>
      <c r="B2903" s="5">
        <f t="shared" si="100"/>
        <v>2020</v>
      </c>
      <c r="C2903" s="9">
        <v>44176</v>
      </c>
      <c r="D2903">
        <v>2</v>
      </c>
    </row>
    <row r="2904" spans="1:4" x14ac:dyDescent="0.25">
      <c r="A2904" s="5">
        <f t="shared" si="99"/>
        <v>12</v>
      </c>
      <c r="B2904" s="5">
        <f t="shared" si="100"/>
        <v>2020</v>
      </c>
      <c r="C2904" s="9">
        <v>44177</v>
      </c>
      <c r="D2904">
        <v>2</v>
      </c>
    </row>
    <row r="2905" spans="1:4" x14ac:dyDescent="0.25">
      <c r="A2905" s="5">
        <f t="shared" si="99"/>
        <v>12</v>
      </c>
      <c r="B2905" s="5">
        <f t="shared" si="100"/>
        <v>2020</v>
      </c>
      <c r="C2905" s="9">
        <v>44178</v>
      </c>
      <c r="D2905">
        <v>2</v>
      </c>
    </row>
    <row r="2906" spans="1:4" x14ac:dyDescent="0.25">
      <c r="A2906" s="5">
        <f t="shared" si="99"/>
        <v>12</v>
      </c>
      <c r="B2906" s="5">
        <f t="shared" si="100"/>
        <v>2020</v>
      </c>
      <c r="C2906" s="9">
        <v>44179</v>
      </c>
      <c r="D2906">
        <v>2</v>
      </c>
    </row>
    <row r="2907" spans="1:4" x14ac:dyDescent="0.25">
      <c r="A2907" s="5">
        <f t="shared" si="99"/>
        <v>12</v>
      </c>
      <c r="B2907" s="5">
        <f t="shared" si="100"/>
        <v>2020</v>
      </c>
      <c r="C2907" s="9">
        <v>44180</v>
      </c>
      <c r="D2907">
        <v>2</v>
      </c>
    </row>
    <row r="2908" spans="1:4" x14ac:dyDescent="0.25">
      <c r="A2908" s="5">
        <f t="shared" si="99"/>
        <v>12</v>
      </c>
      <c r="B2908" s="5">
        <f t="shared" si="100"/>
        <v>2020</v>
      </c>
      <c r="C2908" s="9">
        <v>44181</v>
      </c>
      <c r="D2908">
        <v>2</v>
      </c>
    </row>
    <row r="2909" spans="1:4" x14ac:dyDescent="0.25">
      <c r="A2909" s="5">
        <f t="shared" si="99"/>
        <v>12</v>
      </c>
      <c r="B2909" s="5">
        <f t="shared" si="100"/>
        <v>2020</v>
      </c>
      <c r="C2909" s="9">
        <v>44182</v>
      </c>
      <c r="D2909">
        <v>2</v>
      </c>
    </row>
    <row r="2910" spans="1:4" x14ac:dyDescent="0.25">
      <c r="A2910" s="5">
        <f t="shared" si="99"/>
        <v>12</v>
      </c>
      <c r="B2910" s="5">
        <f t="shared" si="100"/>
        <v>2020</v>
      </c>
      <c r="C2910" s="9">
        <v>44183</v>
      </c>
      <c r="D2910">
        <v>2</v>
      </c>
    </row>
    <row r="2911" spans="1:4" x14ac:dyDescent="0.25">
      <c r="A2911" s="5">
        <f t="shared" si="99"/>
        <v>12</v>
      </c>
      <c r="B2911" s="5">
        <f t="shared" si="100"/>
        <v>2020</v>
      </c>
      <c r="C2911" s="9">
        <v>44184</v>
      </c>
      <c r="D2911">
        <v>2</v>
      </c>
    </row>
    <row r="2912" spans="1:4" x14ac:dyDescent="0.25">
      <c r="A2912" s="5">
        <f t="shared" si="99"/>
        <v>12</v>
      </c>
      <c r="B2912" s="5">
        <f t="shared" si="100"/>
        <v>2020</v>
      </c>
      <c r="C2912" s="9">
        <v>44185</v>
      </c>
      <c r="D2912">
        <v>2</v>
      </c>
    </row>
    <row r="2913" spans="1:4" x14ac:dyDescent="0.25">
      <c r="A2913" s="5">
        <f t="shared" si="99"/>
        <v>12</v>
      </c>
      <c r="B2913" s="5">
        <f t="shared" si="100"/>
        <v>2020</v>
      </c>
      <c r="C2913" s="9">
        <v>44186</v>
      </c>
      <c r="D2913">
        <v>2</v>
      </c>
    </row>
    <row r="2914" spans="1:4" x14ac:dyDescent="0.25">
      <c r="A2914" s="5">
        <f t="shared" si="99"/>
        <v>12</v>
      </c>
      <c r="B2914" s="5">
        <f t="shared" si="100"/>
        <v>2020</v>
      </c>
      <c r="C2914" s="9">
        <v>44187</v>
      </c>
      <c r="D2914">
        <v>2</v>
      </c>
    </row>
    <row r="2915" spans="1:4" x14ac:dyDescent="0.25">
      <c r="A2915" s="5">
        <f t="shared" si="99"/>
        <v>12</v>
      </c>
      <c r="B2915" s="5">
        <f t="shared" si="100"/>
        <v>2020</v>
      </c>
      <c r="C2915" s="9">
        <v>44188</v>
      </c>
      <c r="D2915">
        <v>2</v>
      </c>
    </row>
    <row r="2916" spans="1:4" x14ac:dyDescent="0.25">
      <c r="A2916" s="5">
        <f t="shared" si="99"/>
        <v>12</v>
      </c>
      <c r="B2916" s="5">
        <f t="shared" si="100"/>
        <v>2020</v>
      </c>
      <c r="C2916" s="9">
        <v>44189</v>
      </c>
      <c r="D2916">
        <v>2</v>
      </c>
    </row>
    <row r="2917" spans="1:4" x14ac:dyDescent="0.25">
      <c r="A2917" s="5">
        <f t="shared" si="99"/>
        <v>12</v>
      </c>
      <c r="B2917" s="5">
        <f t="shared" si="100"/>
        <v>2020</v>
      </c>
      <c r="C2917" s="9">
        <v>44190</v>
      </c>
      <c r="D2917">
        <v>2</v>
      </c>
    </row>
    <row r="2918" spans="1:4" x14ac:dyDescent="0.25">
      <c r="A2918" s="5">
        <f t="shared" si="99"/>
        <v>12</v>
      </c>
      <c r="B2918" s="5">
        <f t="shared" si="100"/>
        <v>2020</v>
      </c>
      <c r="C2918" s="9">
        <v>44191</v>
      </c>
      <c r="D2918">
        <v>2</v>
      </c>
    </row>
    <row r="2919" spans="1:4" x14ac:dyDescent="0.25">
      <c r="A2919" s="5">
        <f t="shared" si="99"/>
        <v>12</v>
      </c>
      <c r="B2919" s="5">
        <f t="shared" si="100"/>
        <v>2020</v>
      </c>
      <c r="C2919" s="9">
        <v>44192</v>
      </c>
      <c r="D2919">
        <v>2</v>
      </c>
    </row>
    <row r="2920" spans="1:4" x14ac:dyDescent="0.25">
      <c r="A2920" s="5">
        <f t="shared" si="99"/>
        <v>12</v>
      </c>
      <c r="B2920" s="5">
        <f t="shared" si="100"/>
        <v>2020</v>
      </c>
      <c r="C2920" s="9">
        <v>44193</v>
      </c>
      <c r="D2920">
        <v>2</v>
      </c>
    </row>
    <row r="2921" spans="1:4" x14ac:dyDescent="0.25">
      <c r="A2921" s="5">
        <f t="shared" si="99"/>
        <v>12</v>
      </c>
      <c r="B2921" s="5">
        <f t="shared" si="100"/>
        <v>2020</v>
      </c>
      <c r="C2921" s="9">
        <v>44194</v>
      </c>
      <c r="D2921">
        <v>2</v>
      </c>
    </row>
    <row r="2922" spans="1:4" x14ac:dyDescent="0.25">
      <c r="A2922" s="5">
        <f t="shared" si="99"/>
        <v>12</v>
      </c>
      <c r="B2922" s="5">
        <f t="shared" si="100"/>
        <v>2020</v>
      </c>
      <c r="C2922" s="9">
        <v>44195</v>
      </c>
      <c r="D2922">
        <v>2</v>
      </c>
    </row>
    <row r="2923" spans="1:4" x14ac:dyDescent="0.25">
      <c r="A2923" s="5">
        <f t="shared" si="99"/>
        <v>12</v>
      </c>
      <c r="B2923" s="5">
        <f t="shared" si="100"/>
        <v>2020</v>
      </c>
      <c r="C2923" s="9">
        <v>44196</v>
      </c>
      <c r="D2923">
        <v>2</v>
      </c>
    </row>
    <row r="2924" spans="1:4" x14ac:dyDescent="0.25">
      <c r="A2924" s="5">
        <f t="shared" si="99"/>
        <v>1</v>
      </c>
      <c r="B2924" s="5">
        <f t="shared" si="100"/>
        <v>2021</v>
      </c>
      <c r="C2924" s="9">
        <v>44197</v>
      </c>
      <c r="D2924">
        <v>2</v>
      </c>
    </row>
    <row r="2925" spans="1:4" x14ac:dyDescent="0.25">
      <c r="A2925" s="5">
        <f t="shared" si="99"/>
        <v>1</v>
      </c>
      <c r="B2925" s="5">
        <f t="shared" si="100"/>
        <v>2021</v>
      </c>
      <c r="C2925" s="9">
        <v>44198</v>
      </c>
      <c r="D2925">
        <v>2</v>
      </c>
    </row>
    <row r="2926" spans="1:4" x14ac:dyDescent="0.25">
      <c r="A2926" s="5">
        <f t="shared" si="99"/>
        <v>1</v>
      </c>
      <c r="B2926" s="5">
        <f t="shared" si="100"/>
        <v>2021</v>
      </c>
      <c r="C2926" s="9">
        <v>44199</v>
      </c>
      <c r="D2926">
        <v>2</v>
      </c>
    </row>
    <row r="2927" spans="1:4" x14ac:dyDescent="0.25">
      <c r="A2927" s="5">
        <f t="shared" si="99"/>
        <v>1</v>
      </c>
      <c r="B2927" s="5">
        <f t="shared" si="100"/>
        <v>2021</v>
      </c>
      <c r="C2927" s="9">
        <v>44200</v>
      </c>
      <c r="D2927">
        <v>2</v>
      </c>
    </row>
    <row r="2928" spans="1:4" x14ac:dyDescent="0.25">
      <c r="A2928" s="5">
        <f t="shared" si="99"/>
        <v>1</v>
      </c>
      <c r="B2928" s="5">
        <f t="shared" si="100"/>
        <v>2021</v>
      </c>
      <c r="C2928" s="9">
        <v>44201</v>
      </c>
      <c r="D2928">
        <v>2</v>
      </c>
    </row>
    <row r="2929" spans="1:4" x14ac:dyDescent="0.25">
      <c r="A2929" s="5">
        <f t="shared" si="99"/>
        <v>1</v>
      </c>
      <c r="B2929" s="5">
        <f t="shared" si="100"/>
        <v>2021</v>
      </c>
      <c r="C2929" s="9">
        <v>44202</v>
      </c>
      <c r="D2929">
        <v>2</v>
      </c>
    </row>
    <row r="2930" spans="1:4" x14ac:dyDescent="0.25">
      <c r="A2930" s="5">
        <f t="shared" si="99"/>
        <v>1</v>
      </c>
      <c r="B2930" s="5">
        <f t="shared" si="100"/>
        <v>2021</v>
      </c>
      <c r="C2930" s="9">
        <v>44203</v>
      </c>
      <c r="D2930">
        <v>2</v>
      </c>
    </row>
    <row r="2931" spans="1:4" x14ac:dyDescent="0.25">
      <c r="A2931" s="5">
        <f t="shared" si="99"/>
        <v>1</v>
      </c>
      <c r="B2931" s="5">
        <f t="shared" si="100"/>
        <v>2021</v>
      </c>
      <c r="C2931" s="9">
        <v>44204</v>
      </c>
      <c r="D2931">
        <v>2</v>
      </c>
    </row>
    <row r="2932" spans="1:4" x14ac:dyDescent="0.25">
      <c r="A2932" s="5">
        <f t="shared" si="99"/>
        <v>1</v>
      </c>
      <c r="B2932" s="5">
        <f t="shared" si="100"/>
        <v>2021</v>
      </c>
      <c r="C2932" s="9">
        <v>44205</v>
      </c>
      <c r="D2932">
        <v>2</v>
      </c>
    </row>
    <row r="2933" spans="1:4" x14ac:dyDescent="0.25">
      <c r="A2933" s="5">
        <f t="shared" si="99"/>
        <v>1</v>
      </c>
      <c r="B2933" s="5">
        <f t="shared" si="100"/>
        <v>2021</v>
      </c>
      <c r="C2933" s="9">
        <v>44206</v>
      </c>
      <c r="D2933">
        <v>2</v>
      </c>
    </row>
    <row r="2934" spans="1:4" x14ac:dyDescent="0.25">
      <c r="A2934" s="5">
        <f t="shared" si="99"/>
        <v>1</v>
      </c>
      <c r="B2934" s="5">
        <f t="shared" si="100"/>
        <v>2021</v>
      </c>
      <c r="C2934" s="9">
        <v>44207</v>
      </c>
      <c r="D2934">
        <v>2</v>
      </c>
    </row>
    <row r="2935" spans="1:4" x14ac:dyDescent="0.25">
      <c r="A2935" s="5">
        <f t="shared" si="99"/>
        <v>1</v>
      </c>
      <c r="B2935" s="5">
        <f t="shared" si="100"/>
        <v>2021</v>
      </c>
      <c r="C2935" s="9">
        <v>44208</v>
      </c>
      <c r="D2935">
        <v>2</v>
      </c>
    </row>
    <row r="2936" spans="1:4" x14ac:dyDescent="0.25">
      <c r="A2936" s="5">
        <f t="shared" si="99"/>
        <v>1</v>
      </c>
      <c r="B2936" s="5">
        <f t="shared" si="100"/>
        <v>2021</v>
      </c>
      <c r="C2936" s="9">
        <v>44209</v>
      </c>
      <c r="D2936">
        <v>2</v>
      </c>
    </row>
    <row r="2937" spans="1:4" x14ac:dyDescent="0.25">
      <c r="A2937" s="5">
        <f t="shared" si="99"/>
        <v>1</v>
      </c>
      <c r="B2937" s="5">
        <f t="shared" si="100"/>
        <v>2021</v>
      </c>
      <c r="C2937" s="9">
        <v>44210</v>
      </c>
      <c r="D2937">
        <v>2</v>
      </c>
    </row>
    <row r="2938" spans="1:4" x14ac:dyDescent="0.25">
      <c r="A2938" s="5">
        <f t="shared" si="99"/>
        <v>1</v>
      </c>
      <c r="B2938" s="5">
        <f t="shared" si="100"/>
        <v>2021</v>
      </c>
      <c r="C2938" s="9">
        <v>44211</v>
      </c>
      <c r="D2938">
        <v>2</v>
      </c>
    </row>
    <row r="2939" spans="1:4" x14ac:dyDescent="0.25">
      <c r="A2939" s="5">
        <f t="shared" si="99"/>
        <v>1</v>
      </c>
      <c r="B2939" s="5">
        <f t="shared" si="100"/>
        <v>2021</v>
      </c>
      <c r="C2939" s="9">
        <v>44212</v>
      </c>
      <c r="D2939">
        <v>2</v>
      </c>
    </row>
    <row r="2940" spans="1:4" x14ac:dyDescent="0.25">
      <c r="A2940" s="5">
        <f t="shared" si="99"/>
        <v>1</v>
      </c>
      <c r="B2940" s="5">
        <f t="shared" si="100"/>
        <v>2021</v>
      </c>
      <c r="C2940" s="9">
        <v>44213</v>
      </c>
      <c r="D2940">
        <v>2</v>
      </c>
    </row>
    <row r="2941" spans="1:4" x14ac:dyDescent="0.25">
      <c r="A2941" s="5">
        <f t="shared" si="99"/>
        <v>1</v>
      </c>
      <c r="B2941" s="5">
        <f t="shared" si="100"/>
        <v>2021</v>
      </c>
      <c r="C2941" s="9">
        <v>44214</v>
      </c>
      <c r="D2941">
        <v>2</v>
      </c>
    </row>
    <row r="2942" spans="1:4" x14ac:dyDescent="0.25">
      <c r="A2942" s="5">
        <f t="shared" si="99"/>
        <v>1</v>
      </c>
      <c r="B2942" s="5">
        <f t="shared" si="100"/>
        <v>2021</v>
      </c>
      <c r="C2942" s="9">
        <v>44215</v>
      </c>
      <c r="D2942">
        <v>2</v>
      </c>
    </row>
    <row r="2943" spans="1:4" x14ac:dyDescent="0.25">
      <c r="A2943" s="5">
        <f t="shared" si="99"/>
        <v>1</v>
      </c>
      <c r="B2943" s="5">
        <f t="shared" si="100"/>
        <v>2021</v>
      </c>
      <c r="C2943" s="9">
        <v>44216</v>
      </c>
      <c r="D2943">
        <v>2</v>
      </c>
    </row>
    <row r="2944" spans="1:4" x14ac:dyDescent="0.25">
      <c r="A2944" s="5">
        <f t="shared" si="99"/>
        <v>1</v>
      </c>
      <c r="B2944" s="5">
        <f t="shared" si="100"/>
        <v>2021</v>
      </c>
      <c r="C2944" s="9">
        <v>44217</v>
      </c>
      <c r="D2944">
        <v>2</v>
      </c>
    </row>
    <row r="2945" spans="1:4" x14ac:dyDescent="0.25">
      <c r="A2945" s="5">
        <f t="shared" si="99"/>
        <v>1</v>
      </c>
      <c r="B2945" s="5">
        <f t="shared" si="100"/>
        <v>2021</v>
      </c>
      <c r="C2945" s="9">
        <v>44218</v>
      </c>
      <c r="D2945">
        <v>2</v>
      </c>
    </row>
    <row r="2946" spans="1:4" x14ac:dyDescent="0.25">
      <c r="A2946" s="5">
        <f t="shared" si="99"/>
        <v>1</v>
      </c>
      <c r="B2946" s="5">
        <f t="shared" si="100"/>
        <v>2021</v>
      </c>
      <c r="C2946" s="9">
        <v>44219</v>
      </c>
      <c r="D2946">
        <v>2</v>
      </c>
    </row>
    <row r="2947" spans="1:4" x14ac:dyDescent="0.25">
      <c r="A2947" s="5">
        <f t="shared" ref="A2947:A3010" si="101">MONTH(C2947)</f>
        <v>1</v>
      </c>
      <c r="B2947" s="5">
        <f t="shared" ref="B2947:B3010" si="102">YEAR(C2947)</f>
        <v>2021</v>
      </c>
      <c r="C2947" s="9">
        <v>44220</v>
      </c>
      <c r="D2947">
        <v>2</v>
      </c>
    </row>
    <row r="2948" spans="1:4" x14ac:dyDescent="0.25">
      <c r="A2948" s="5">
        <f t="shared" si="101"/>
        <v>1</v>
      </c>
      <c r="B2948" s="5">
        <f t="shared" si="102"/>
        <v>2021</v>
      </c>
      <c r="C2948" s="9">
        <v>44221</v>
      </c>
      <c r="D2948">
        <v>2</v>
      </c>
    </row>
    <row r="2949" spans="1:4" x14ac:dyDescent="0.25">
      <c r="A2949" s="5">
        <f t="shared" si="101"/>
        <v>1</v>
      </c>
      <c r="B2949" s="5">
        <f t="shared" si="102"/>
        <v>2021</v>
      </c>
      <c r="C2949" s="9">
        <v>44222</v>
      </c>
      <c r="D2949">
        <v>2</v>
      </c>
    </row>
    <row r="2950" spans="1:4" x14ac:dyDescent="0.25">
      <c r="A2950" s="5">
        <f t="shared" si="101"/>
        <v>1</v>
      </c>
      <c r="B2950" s="5">
        <f t="shared" si="102"/>
        <v>2021</v>
      </c>
      <c r="C2950" s="9">
        <v>44223</v>
      </c>
      <c r="D2950">
        <v>2</v>
      </c>
    </row>
    <row r="2951" spans="1:4" x14ac:dyDescent="0.25">
      <c r="A2951" s="5">
        <f t="shared" si="101"/>
        <v>1</v>
      </c>
      <c r="B2951" s="5">
        <f t="shared" si="102"/>
        <v>2021</v>
      </c>
      <c r="C2951" s="9">
        <v>44224</v>
      </c>
      <c r="D2951">
        <v>2</v>
      </c>
    </row>
    <row r="2952" spans="1:4" x14ac:dyDescent="0.25">
      <c r="A2952" s="5">
        <f t="shared" si="101"/>
        <v>1</v>
      </c>
      <c r="B2952" s="5">
        <f t="shared" si="102"/>
        <v>2021</v>
      </c>
      <c r="C2952" s="9">
        <v>44225</v>
      </c>
      <c r="D2952">
        <v>2</v>
      </c>
    </row>
    <row r="2953" spans="1:4" x14ac:dyDescent="0.25">
      <c r="A2953" s="5">
        <f t="shared" si="101"/>
        <v>1</v>
      </c>
      <c r="B2953" s="5">
        <f t="shared" si="102"/>
        <v>2021</v>
      </c>
      <c r="C2953" s="9">
        <v>44226</v>
      </c>
      <c r="D2953">
        <v>2</v>
      </c>
    </row>
    <row r="2954" spans="1:4" x14ac:dyDescent="0.25">
      <c r="A2954" s="5">
        <f t="shared" si="101"/>
        <v>1</v>
      </c>
      <c r="B2954" s="5">
        <f t="shared" si="102"/>
        <v>2021</v>
      </c>
      <c r="C2954" s="9">
        <v>44227</v>
      </c>
      <c r="D2954">
        <v>2</v>
      </c>
    </row>
    <row r="2955" spans="1:4" x14ac:dyDescent="0.25">
      <c r="A2955" s="5">
        <f t="shared" si="101"/>
        <v>2</v>
      </c>
      <c r="B2955" s="5">
        <f t="shared" si="102"/>
        <v>2021</v>
      </c>
      <c r="C2955" s="9">
        <v>44228</v>
      </c>
      <c r="D2955">
        <v>2</v>
      </c>
    </row>
    <row r="2956" spans="1:4" x14ac:dyDescent="0.25">
      <c r="A2956" s="5">
        <f t="shared" si="101"/>
        <v>2</v>
      </c>
      <c r="B2956" s="5">
        <f t="shared" si="102"/>
        <v>2021</v>
      </c>
      <c r="C2956" s="9">
        <v>44229</v>
      </c>
      <c r="D2956">
        <v>2</v>
      </c>
    </row>
    <row r="2957" spans="1:4" x14ac:dyDescent="0.25">
      <c r="A2957" s="5">
        <f t="shared" si="101"/>
        <v>2</v>
      </c>
      <c r="B2957" s="5">
        <f t="shared" si="102"/>
        <v>2021</v>
      </c>
      <c r="C2957" s="9">
        <v>44230</v>
      </c>
      <c r="D2957">
        <v>2</v>
      </c>
    </row>
    <row r="2958" spans="1:4" x14ac:dyDescent="0.25">
      <c r="A2958" s="5">
        <f t="shared" si="101"/>
        <v>2</v>
      </c>
      <c r="B2958" s="5">
        <f t="shared" si="102"/>
        <v>2021</v>
      </c>
      <c r="C2958" s="9">
        <v>44231</v>
      </c>
      <c r="D2958">
        <v>2</v>
      </c>
    </row>
    <row r="2959" spans="1:4" x14ac:dyDescent="0.25">
      <c r="A2959" s="5">
        <f t="shared" si="101"/>
        <v>2</v>
      </c>
      <c r="B2959" s="5">
        <f t="shared" si="102"/>
        <v>2021</v>
      </c>
      <c r="C2959" s="9">
        <v>44232</v>
      </c>
      <c r="D2959">
        <v>2</v>
      </c>
    </row>
    <row r="2960" spans="1:4" x14ac:dyDescent="0.25">
      <c r="A2960" s="5">
        <f t="shared" si="101"/>
        <v>2</v>
      </c>
      <c r="B2960" s="5">
        <f t="shared" si="102"/>
        <v>2021</v>
      </c>
      <c r="C2960" s="9">
        <v>44233</v>
      </c>
      <c r="D2960">
        <v>2</v>
      </c>
    </row>
    <row r="2961" spans="1:4" x14ac:dyDescent="0.25">
      <c r="A2961" s="5">
        <f t="shared" si="101"/>
        <v>2</v>
      </c>
      <c r="B2961" s="5">
        <f t="shared" si="102"/>
        <v>2021</v>
      </c>
      <c r="C2961" s="9">
        <v>44234</v>
      </c>
      <c r="D2961">
        <v>2</v>
      </c>
    </row>
    <row r="2962" spans="1:4" x14ac:dyDescent="0.25">
      <c r="A2962" s="5">
        <f t="shared" si="101"/>
        <v>2</v>
      </c>
      <c r="B2962" s="5">
        <f t="shared" si="102"/>
        <v>2021</v>
      </c>
      <c r="C2962" s="9">
        <v>44235</v>
      </c>
      <c r="D2962">
        <v>2</v>
      </c>
    </row>
    <row r="2963" spans="1:4" x14ac:dyDescent="0.25">
      <c r="A2963" s="5">
        <f t="shared" si="101"/>
        <v>2</v>
      </c>
      <c r="B2963" s="5">
        <f t="shared" si="102"/>
        <v>2021</v>
      </c>
      <c r="C2963" s="9">
        <v>44236</v>
      </c>
      <c r="D2963">
        <v>2</v>
      </c>
    </row>
    <row r="2964" spans="1:4" x14ac:dyDescent="0.25">
      <c r="A2964" s="5">
        <f t="shared" si="101"/>
        <v>2</v>
      </c>
      <c r="B2964" s="5">
        <f t="shared" si="102"/>
        <v>2021</v>
      </c>
      <c r="C2964" s="9">
        <v>44237</v>
      </c>
      <c r="D2964">
        <v>2</v>
      </c>
    </row>
    <row r="2965" spans="1:4" x14ac:dyDescent="0.25">
      <c r="A2965" s="5">
        <f t="shared" si="101"/>
        <v>2</v>
      </c>
      <c r="B2965" s="5">
        <f t="shared" si="102"/>
        <v>2021</v>
      </c>
      <c r="C2965" s="9">
        <v>44238</v>
      </c>
      <c r="D2965">
        <v>2</v>
      </c>
    </row>
    <row r="2966" spans="1:4" x14ac:dyDescent="0.25">
      <c r="A2966" s="5">
        <f t="shared" si="101"/>
        <v>2</v>
      </c>
      <c r="B2966" s="5">
        <f t="shared" si="102"/>
        <v>2021</v>
      </c>
      <c r="C2966" s="9">
        <v>44239</v>
      </c>
      <c r="D2966">
        <v>2</v>
      </c>
    </row>
    <row r="2967" spans="1:4" x14ac:dyDescent="0.25">
      <c r="A2967" s="5">
        <f t="shared" si="101"/>
        <v>2</v>
      </c>
      <c r="B2967" s="5">
        <f t="shared" si="102"/>
        <v>2021</v>
      </c>
      <c r="C2967" s="9">
        <v>44240</v>
      </c>
      <c r="D2967">
        <v>2</v>
      </c>
    </row>
    <row r="2968" spans="1:4" x14ac:dyDescent="0.25">
      <c r="A2968" s="5">
        <f t="shared" si="101"/>
        <v>2</v>
      </c>
      <c r="B2968" s="5">
        <f t="shared" si="102"/>
        <v>2021</v>
      </c>
      <c r="C2968" s="9">
        <v>44241</v>
      </c>
      <c r="D2968">
        <v>2</v>
      </c>
    </row>
    <row r="2969" spans="1:4" x14ac:dyDescent="0.25">
      <c r="A2969" s="5">
        <f t="shared" si="101"/>
        <v>2</v>
      </c>
      <c r="B2969" s="5">
        <f t="shared" si="102"/>
        <v>2021</v>
      </c>
      <c r="C2969" s="9">
        <v>44242</v>
      </c>
      <c r="D2969">
        <v>2</v>
      </c>
    </row>
    <row r="2970" spans="1:4" x14ac:dyDescent="0.25">
      <c r="A2970" s="5">
        <f t="shared" si="101"/>
        <v>2</v>
      </c>
      <c r="B2970" s="5">
        <f t="shared" si="102"/>
        <v>2021</v>
      </c>
      <c r="C2970" s="9">
        <v>44243</v>
      </c>
      <c r="D2970">
        <v>2</v>
      </c>
    </row>
    <row r="2971" spans="1:4" x14ac:dyDescent="0.25">
      <c r="A2971" s="5">
        <f t="shared" si="101"/>
        <v>2</v>
      </c>
      <c r="B2971" s="5">
        <f t="shared" si="102"/>
        <v>2021</v>
      </c>
      <c r="C2971" s="9">
        <v>44244</v>
      </c>
      <c r="D2971">
        <v>2</v>
      </c>
    </row>
    <row r="2972" spans="1:4" x14ac:dyDescent="0.25">
      <c r="A2972" s="5">
        <f t="shared" si="101"/>
        <v>2</v>
      </c>
      <c r="B2972" s="5">
        <f t="shared" si="102"/>
        <v>2021</v>
      </c>
      <c r="C2972" s="9">
        <v>44245</v>
      </c>
      <c r="D2972">
        <v>2</v>
      </c>
    </row>
    <row r="2973" spans="1:4" x14ac:dyDescent="0.25">
      <c r="A2973" s="5">
        <f t="shared" si="101"/>
        <v>2</v>
      </c>
      <c r="B2973" s="5">
        <f t="shared" si="102"/>
        <v>2021</v>
      </c>
      <c r="C2973" s="9">
        <v>44246</v>
      </c>
      <c r="D2973">
        <v>2</v>
      </c>
    </row>
    <row r="2974" spans="1:4" x14ac:dyDescent="0.25">
      <c r="A2974" s="5">
        <f t="shared" si="101"/>
        <v>2</v>
      </c>
      <c r="B2974" s="5">
        <f t="shared" si="102"/>
        <v>2021</v>
      </c>
      <c r="C2974" s="9">
        <v>44247</v>
      </c>
      <c r="D2974">
        <v>2</v>
      </c>
    </row>
    <row r="2975" spans="1:4" x14ac:dyDescent="0.25">
      <c r="A2975" s="5">
        <f t="shared" si="101"/>
        <v>2</v>
      </c>
      <c r="B2975" s="5">
        <f t="shared" si="102"/>
        <v>2021</v>
      </c>
      <c r="C2975" s="9">
        <v>44248</v>
      </c>
      <c r="D2975">
        <v>2</v>
      </c>
    </row>
    <row r="2976" spans="1:4" x14ac:dyDescent="0.25">
      <c r="A2976" s="5">
        <f t="shared" si="101"/>
        <v>2</v>
      </c>
      <c r="B2976" s="5">
        <f t="shared" si="102"/>
        <v>2021</v>
      </c>
      <c r="C2976" s="9">
        <v>44249</v>
      </c>
      <c r="D2976">
        <v>2</v>
      </c>
    </row>
    <row r="2977" spans="1:4" x14ac:dyDescent="0.25">
      <c r="A2977" s="5">
        <f t="shared" si="101"/>
        <v>2</v>
      </c>
      <c r="B2977" s="5">
        <f t="shared" si="102"/>
        <v>2021</v>
      </c>
      <c r="C2977" s="9">
        <v>44250</v>
      </c>
      <c r="D2977">
        <v>2</v>
      </c>
    </row>
    <row r="2978" spans="1:4" x14ac:dyDescent="0.25">
      <c r="A2978" s="5">
        <f t="shared" si="101"/>
        <v>2</v>
      </c>
      <c r="B2978" s="5">
        <f t="shared" si="102"/>
        <v>2021</v>
      </c>
      <c r="C2978" s="9">
        <v>44251</v>
      </c>
      <c r="D2978">
        <v>2</v>
      </c>
    </row>
    <row r="2979" spans="1:4" x14ac:dyDescent="0.25">
      <c r="A2979" s="5">
        <f t="shared" si="101"/>
        <v>2</v>
      </c>
      <c r="B2979" s="5">
        <f t="shared" si="102"/>
        <v>2021</v>
      </c>
      <c r="C2979" s="9">
        <v>44252</v>
      </c>
      <c r="D2979">
        <v>2</v>
      </c>
    </row>
    <row r="2980" spans="1:4" x14ac:dyDescent="0.25">
      <c r="A2980" s="5">
        <f t="shared" si="101"/>
        <v>2</v>
      </c>
      <c r="B2980" s="5">
        <f t="shared" si="102"/>
        <v>2021</v>
      </c>
      <c r="C2980" s="9">
        <v>44253</v>
      </c>
      <c r="D2980">
        <v>2</v>
      </c>
    </row>
    <row r="2981" spans="1:4" x14ac:dyDescent="0.25">
      <c r="A2981" s="5">
        <f t="shared" si="101"/>
        <v>2</v>
      </c>
      <c r="B2981" s="5">
        <f t="shared" si="102"/>
        <v>2021</v>
      </c>
      <c r="C2981" s="9">
        <v>44254</v>
      </c>
      <c r="D2981">
        <v>2</v>
      </c>
    </row>
    <row r="2982" spans="1:4" x14ac:dyDescent="0.25">
      <c r="A2982" s="5">
        <f t="shared" si="101"/>
        <v>2</v>
      </c>
      <c r="B2982" s="5">
        <f t="shared" si="102"/>
        <v>2021</v>
      </c>
      <c r="C2982" s="9">
        <v>44255</v>
      </c>
      <c r="D2982">
        <v>2</v>
      </c>
    </row>
    <row r="2983" spans="1:4" x14ac:dyDescent="0.25">
      <c r="A2983" s="5">
        <f t="shared" si="101"/>
        <v>3</v>
      </c>
      <c r="B2983" s="5">
        <f t="shared" si="102"/>
        <v>2021</v>
      </c>
      <c r="C2983" s="9">
        <v>44256</v>
      </c>
      <c r="D2983">
        <v>2</v>
      </c>
    </row>
    <row r="2984" spans="1:4" x14ac:dyDescent="0.25">
      <c r="A2984" s="5">
        <f t="shared" si="101"/>
        <v>3</v>
      </c>
      <c r="B2984" s="5">
        <f t="shared" si="102"/>
        <v>2021</v>
      </c>
      <c r="C2984" s="9">
        <v>44257</v>
      </c>
      <c r="D2984">
        <v>2</v>
      </c>
    </row>
    <row r="2985" spans="1:4" x14ac:dyDescent="0.25">
      <c r="A2985" s="5">
        <f t="shared" si="101"/>
        <v>3</v>
      </c>
      <c r="B2985" s="5">
        <f t="shared" si="102"/>
        <v>2021</v>
      </c>
      <c r="C2985" s="9">
        <v>44258</v>
      </c>
      <c r="D2985">
        <v>2</v>
      </c>
    </row>
    <row r="2986" spans="1:4" x14ac:dyDescent="0.25">
      <c r="A2986" s="5">
        <f t="shared" si="101"/>
        <v>3</v>
      </c>
      <c r="B2986" s="5">
        <f t="shared" si="102"/>
        <v>2021</v>
      </c>
      <c r="C2986" s="9">
        <v>44259</v>
      </c>
      <c r="D2986">
        <v>2</v>
      </c>
    </row>
    <row r="2987" spans="1:4" x14ac:dyDescent="0.25">
      <c r="A2987" s="5">
        <f t="shared" si="101"/>
        <v>3</v>
      </c>
      <c r="B2987" s="5">
        <f t="shared" si="102"/>
        <v>2021</v>
      </c>
      <c r="C2987" s="9">
        <v>44260</v>
      </c>
      <c r="D2987">
        <v>2</v>
      </c>
    </row>
    <row r="2988" spans="1:4" x14ac:dyDescent="0.25">
      <c r="A2988" s="5">
        <f t="shared" si="101"/>
        <v>3</v>
      </c>
      <c r="B2988" s="5">
        <f t="shared" si="102"/>
        <v>2021</v>
      </c>
      <c r="C2988" s="9">
        <v>44261</v>
      </c>
      <c r="D2988">
        <v>2</v>
      </c>
    </row>
    <row r="2989" spans="1:4" x14ac:dyDescent="0.25">
      <c r="A2989" s="5">
        <f t="shared" si="101"/>
        <v>3</v>
      </c>
      <c r="B2989" s="5">
        <f t="shared" si="102"/>
        <v>2021</v>
      </c>
      <c r="C2989" s="9">
        <v>44262</v>
      </c>
      <c r="D2989">
        <v>2</v>
      </c>
    </row>
    <row r="2990" spans="1:4" x14ac:dyDescent="0.25">
      <c r="A2990" s="5">
        <f t="shared" si="101"/>
        <v>3</v>
      </c>
      <c r="B2990" s="5">
        <f t="shared" si="102"/>
        <v>2021</v>
      </c>
      <c r="C2990" s="9">
        <v>44263</v>
      </c>
      <c r="D2990">
        <v>2</v>
      </c>
    </row>
    <row r="2991" spans="1:4" x14ac:dyDescent="0.25">
      <c r="A2991" s="5">
        <f t="shared" si="101"/>
        <v>3</v>
      </c>
      <c r="B2991" s="5">
        <f t="shared" si="102"/>
        <v>2021</v>
      </c>
      <c r="C2991" s="9">
        <v>44264</v>
      </c>
      <c r="D2991">
        <v>2</v>
      </c>
    </row>
    <row r="2992" spans="1:4" x14ac:dyDescent="0.25">
      <c r="A2992" s="5">
        <f t="shared" si="101"/>
        <v>3</v>
      </c>
      <c r="B2992" s="5">
        <f t="shared" si="102"/>
        <v>2021</v>
      </c>
      <c r="C2992" s="9">
        <v>44265</v>
      </c>
      <c r="D2992">
        <v>2</v>
      </c>
    </row>
    <row r="2993" spans="1:4" x14ac:dyDescent="0.25">
      <c r="A2993" s="5">
        <f t="shared" si="101"/>
        <v>3</v>
      </c>
      <c r="B2993" s="5">
        <f t="shared" si="102"/>
        <v>2021</v>
      </c>
      <c r="C2993" s="9">
        <v>44266</v>
      </c>
      <c r="D2993">
        <v>2</v>
      </c>
    </row>
    <row r="2994" spans="1:4" x14ac:dyDescent="0.25">
      <c r="A2994" s="5">
        <f t="shared" si="101"/>
        <v>3</v>
      </c>
      <c r="B2994" s="5">
        <f t="shared" si="102"/>
        <v>2021</v>
      </c>
      <c r="C2994" s="9">
        <v>44267</v>
      </c>
      <c r="D2994">
        <v>2</v>
      </c>
    </row>
    <row r="2995" spans="1:4" x14ac:dyDescent="0.25">
      <c r="A2995" s="5">
        <f t="shared" si="101"/>
        <v>3</v>
      </c>
      <c r="B2995" s="5">
        <f t="shared" si="102"/>
        <v>2021</v>
      </c>
      <c r="C2995" s="9">
        <v>44268</v>
      </c>
      <c r="D2995">
        <v>2</v>
      </c>
    </row>
    <row r="2996" spans="1:4" x14ac:dyDescent="0.25">
      <c r="A2996" s="5">
        <f t="shared" si="101"/>
        <v>3</v>
      </c>
      <c r="B2996" s="5">
        <f t="shared" si="102"/>
        <v>2021</v>
      </c>
      <c r="C2996" s="9">
        <v>44269</v>
      </c>
      <c r="D2996">
        <v>2</v>
      </c>
    </row>
    <row r="2997" spans="1:4" x14ac:dyDescent="0.25">
      <c r="A2997" s="5">
        <f t="shared" si="101"/>
        <v>3</v>
      </c>
      <c r="B2997" s="5">
        <f t="shared" si="102"/>
        <v>2021</v>
      </c>
      <c r="C2997" s="9">
        <v>44270</v>
      </c>
      <c r="D2997">
        <v>2</v>
      </c>
    </row>
    <row r="2998" spans="1:4" x14ac:dyDescent="0.25">
      <c r="A2998" s="5">
        <f t="shared" si="101"/>
        <v>3</v>
      </c>
      <c r="B2998" s="5">
        <f t="shared" si="102"/>
        <v>2021</v>
      </c>
      <c r="C2998" s="9">
        <v>44271</v>
      </c>
      <c r="D2998">
        <v>2</v>
      </c>
    </row>
    <row r="2999" spans="1:4" x14ac:dyDescent="0.25">
      <c r="A2999" s="5">
        <f t="shared" si="101"/>
        <v>3</v>
      </c>
      <c r="B2999" s="5">
        <f t="shared" si="102"/>
        <v>2021</v>
      </c>
      <c r="C2999" s="9">
        <v>44272</v>
      </c>
      <c r="D2999">
        <v>2</v>
      </c>
    </row>
    <row r="3000" spans="1:4" x14ac:dyDescent="0.25">
      <c r="A3000" s="5">
        <f t="shared" si="101"/>
        <v>3</v>
      </c>
      <c r="B3000" s="5">
        <f t="shared" si="102"/>
        <v>2021</v>
      </c>
      <c r="C3000" s="9">
        <v>44273</v>
      </c>
      <c r="D3000">
        <v>2.75</v>
      </c>
    </row>
    <row r="3001" spans="1:4" x14ac:dyDescent="0.25">
      <c r="A3001" s="5">
        <f t="shared" si="101"/>
        <v>3</v>
      </c>
      <c r="B3001" s="5">
        <f t="shared" si="102"/>
        <v>2021</v>
      </c>
      <c r="C3001" s="9">
        <v>44274</v>
      </c>
      <c r="D3001">
        <v>2.75</v>
      </c>
    </row>
    <row r="3002" spans="1:4" x14ac:dyDescent="0.25">
      <c r="A3002" s="5">
        <f t="shared" si="101"/>
        <v>3</v>
      </c>
      <c r="B3002" s="5">
        <f t="shared" si="102"/>
        <v>2021</v>
      </c>
      <c r="C3002" s="9">
        <v>44275</v>
      </c>
      <c r="D3002">
        <v>2.75</v>
      </c>
    </row>
    <row r="3003" spans="1:4" x14ac:dyDescent="0.25">
      <c r="A3003" s="5">
        <f t="shared" si="101"/>
        <v>3</v>
      </c>
      <c r="B3003" s="5">
        <f t="shared" si="102"/>
        <v>2021</v>
      </c>
      <c r="C3003" s="9">
        <v>44276</v>
      </c>
      <c r="D3003">
        <v>2.75</v>
      </c>
    </row>
    <row r="3004" spans="1:4" x14ac:dyDescent="0.25">
      <c r="A3004" s="5">
        <f t="shared" si="101"/>
        <v>3</v>
      </c>
      <c r="B3004" s="5">
        <f t="shared" si="102"/>
        <v>2021</v>
      </c>
      <c r="C3004" s="9">
        <v>44277</v>
      </c>
      <c r="D3004">
        <v>2.75</v>
      </c>
    </row>
    <row r="3005" spans="1:4" x14ac:dyDescent="0.25">
      <c r="A3005" s="5">
        <f t="shared" si="101"/>
        <v>3</v>
      </c>
      <c r="B3005" s="5">
        <f t="shared" si="102"/>
        <v>2021</v>
      </c>
      <c r="C3005" s="9">
        <v>44278</v>
      </c>
      <c r="D3005">
        <v>2.75</v>
      </c>
    </row>
    <row r="3006" spans="1:4" x14ac:dyDescent="0.25">
      <c r="A3006" s="5">
        <f t="shared" si="101"/>
        <v>3</v>
      </c>
      <c r="B3006" s="5">
        <f t="shared" si="102"/>
        <v>2021</v>
      </c>
      <c r="C3006" s="9">
        <v>44279</v>
      </c>
      <c r="D3006">
        <v>2.75</v>
      </c>
    </row>
    <row r="3007" spans="1:4" x14ac:dyDescent="0.25">
      <c r="A3007" s="5">
        <f t="shared" si="101"/>
        <v>3</v>
      </c>
      <c r="B3007" s="5">
        <f t="shared" si="102"/>
        <v>2021</v>
      </c>
      <c r="C3007" s="9">
        <v>44280</v>
      </c>
      <c r="D3007">
        <v>2.75</v>
      </c>
    </row>
    <row r="3008" spans="1:4" x14ac:dyDescent="0.25">
      <c r="A3008" s="5">
        <f t="shared" si="101"/>
        <v>3</v>
      </c>
      <c r="B3008" s="5">
        <f t="shared" si="102"/>
        <v>2021</v>
      </c>
      <c r="C3008" s="9">
        <v>44281</v>
      </c>
      <c r="D3008">
        <v>2.75</v>
      </c>
    </row>
    <row r="3009" spans="1:4" x14ac:dyDescent="0.25">
      <c r="A3009" s="5">
        <f t="shared" si="101"/>
        <v>3</v>
      </c>
      <c r="B3009" s="5">
        <f t="shared" si="102"/>
        <v>2021</v>
      </c>
      <c r="C3009" s="9">
        <v>44282</v>
      </c>
      <c r="D3009">
        <v>2.75</v>
      </c>
    </row>
    <row r="3010" spans="1:4" x14ac:dyDescent="0.25">
      <c r="A3010" s="5">
        <f t="shared" si="101"/>
        <v>3</v>
      </c>
      <c r="B3010" s="5">
        <f t="shared" si="102"/>
        <v>2021</v>
      </c>
      <c r="C3010" s="9">
        <v>44283</v>
      </c>
      <c r="D3010">
        <v>2.75</v>
      </c>
    </row>
    <row r="3011" spans="1:4" x14ac:dyDescent="0.25">
      <c r="A3011" s="5">
        <f t="shared" ref="A3011:A3074" si="103">MONTH(C3011)</f>
        <v>3</v>
      </c>
      <c r="B3011" s="5">
        <f t="shared" ref="B3011:B3074" si="104">YEAR(C3011)</f>
        <v>2021</v>
      </c>
      <c r="C3011" s="9">
        <v>44284</v>
      </c>
      <c r="D3011">
        <v>2.75</v>
      </c>
    </row>
    <row r="3012" spans="1:4" x14ac:dyDescent="0.25">
      <c r="A3012" s="5">
        <f t="shared" si="103"/>
        <v>3</v>
      </c>
      <c r="B3012" s="5">
        <f t="shared" si="104"/>
        <v>2021</v>
      </c>
      <c r="C3012" s="9">
        <v>44285</v>
      </c>
      <c r="D3012">
        <v>2.75</v>
      </c>
    </row>
    <row r="3013" spans="1:4" x14ac:dyDescent="0.25">
      <c r="A3013" s="5">
        <f t="shared" si="103"/>
        <v>3</v>
      </c>
      <c r="B3013" s="5">
        <f t="shared" si="104"/>
        <v>2021</v>
      </c>
      <c r="C3013" s="9">
        <v>44286</v>
      </c>
      <c r="D3013">
        <v>2.75</v>
      </c>
    </row>
    <row r="3014" spans="1:4" x14ac:dyDescent="0.25">
      <c r="A3014" s="5">
        <f t="shared" si="103"/>
        <v>4</v>
      </c>
      <c r="B3014" s="5">
        <f t="shared" si="104"/>
        <v>2021</v>
      </c>
      <c r="C3014" s="9">
        <v>44287</v>
      </c>
      <c r="D3014">
        <v>2.75</v>
      </c>
    </row>
    <row r="3015" spans="1:4" x14ac:dyDescent="0.25">
      <c r="A3015" s="5">
        <f t="shared" si="103"/>
        <v>4</v>
      </c>
      <c r="B3015" s="5">
        <f t="shared" si="104"/>
        <v>2021</v>
      </c>
      <c r="C3015" s="9">
        <v>44288</v>
      </c>
      <c r="D3015">
        <v>2.75</v>
      </c>
    </row>
    <row r="3016" spans="1:4" x14ac:dyDescent="0.25">
      <c r="A3016" s="5">
        <f t="shared" si="103"/>
        <v>4</v>
      </c>
      <c r="B3016" s="5">
        <f t="shared" si="104"/>
        <v>2021</v>
      </c>
      <c r="C3016" s="9">
        <v>44289</v>
      </c>
      <c r="D3016">
        <v>2.75</v>
      </c>
    </row>
    <row r="3017" spans="1:4" x14ac:dyDescent="0.25">
      <c r="A3017" s="5">
        <f t="shared" si="103"/>
        <v>4</v>
      </c>
      <c r="B3017" s="5">
        <f t="shared" si="104"/>
        <v>2021</v>
      </c>
      <c r="C3017" s="9">
        <v>44290</v>
      </c>
      <c r="D3017">
        <v>2.75</v>
      </c>
    </row>
    <row r="3018" spans="1:4" x14ac:dyDescent="0.25">
      <c r="A3018" s="5">
        <f t="shared" si="103"/>
        <v>4</v>
      </c>
      <c r="B3018" s="5">
        <f t="shared" si="104"/>
        <v>2021</v>
      </c>
      <c r="C3018" s="9">
        <v>44291</v>
      </c>
      <c r="D3018">
        <v>2.75</v>
      </c>
    </row>
    <row r="3019" spans="1:4" x14ac:dyDescent="0.25">
      <c r="A3019" s="5">
        <f t="shared" si="103"/>
        <v>4</v>
      </c>
      <c r="B3019" s="5">
        <f t="shared" si="104"/>
        <v>2021</v>
      </c>
      <c r="C3019" s="9">
        <v>44292</v>
      </c>
      <c r="D3019">
        <v>2.75</v>
      </c>
    </row>
    <row r="3020" spans="1:4" x14ac:dyDescent="0.25">
      <c r="A3020" s="5">
        <f t="shared" si="103"/>
        <v>4</v>
      </c>
      <c r="B3020" s="5">
        <f t="shared" si="104"/>
        <v>2021</v>
      </c>
      <c r="C3020" s="9">
        <v>44293</v>
      </c>
      <c r="D3020">
        <v>2.75</v>
      </c>
    </row>
    <row r="3021" spans="1:4" x14ac:dyDescent="0.25">
      <c r="A3021" s="5">
        <f t="shared" si="103"/>
        <v>4</v>
      </c>
      <c r="B3021" s="5">
        <f t="shared" si="104"/>
        <v>2021</v>
      </c>
      <c r="C3021" s="9">
        <v>44294</v>
      </c>
      <c r="D3021">
        <v>2.75</v>
      </c>
    </row>
    <row r="3022" spans="1:4" x14ac:dyDescent="0.25">
      <c r="A3022" s="5">
        <f t="shared" si="103"/>
        <v>4</v>
      </c>
      <c r="B3022" s="5">
        <f t="shared" si="104"/>
        <v>2021</v>
      </c>
      <c r="C3022" s="9">
        <v>44295</v>
      </c>
      <c r="D3022">
        <v>2.75</v>
      </c>
    </row>
    <row r="3023" spans="1:4" x14ac:dyDescent="0.25">
      <c r="A3023" s="5">
        <f t="shared" si="103"/>
        <v>4</v>
      </c>
      <c r="B3023" s="5">
        <f t="shared" si="104"/>
        <v>2021</v>
      </c>
      <c r="C3023" s="9">
        <v>44296</v>
      </c>
      <c r="D3023">
        <v>2.75</v>
      </c>
    </row>
    <row r="3024" spans="1:4" x14ac:dyDescent="0.25">
      <c r="A3024" s="5">
        <f t="shared" si="103"/>
        <v>4</v>
      </c>
      <c r="B3024" s="5">
        <f t="shared" si="104"/>
        <v>2021</v>
      </c>
      <c r="C3024" s="9">
        <v>44297</v>
      </c>
      <c r="D3024">
        <v>2.75</v>
      </c>
    </row>
    <row r="3025" spans="1:4" x14ac:dyDescent="0.25">
      <c r="A3025" s="5">
        <f t="shared" si="103"/>
        <v>4</v>
      </c>
      <c r="B3025" s="5">
        <f t="shared" si="104"/>
        <v>2021</v>
      </c>
      <c r="C3025" s="9">
        <v>44298</v>
      </c>
      <c r="D3025">
        <v>2.75</v>
      </c>
    </row>
    <row r="3026" spans="1:4" x14ac:dyDescent="0.25">
      <c r="A3026" s="5">
        <f t="shared" si="103"/>
        <v>4</v>
      </c>
      <c r="B3026" s="5">
        <f t="shared" si="104"/>
        <v>2021</v>
      </c>
      <c r="C3026" s="9">
        <v>44299</v>
      </c>
      <c r="D3026">
        <v>2.75</v>
      </c>
    </row>
    <row r="3027" spans="1:4" x14ac:dyDescent="0.25">
      <c r="A3027" s="5">
        <f t="shared" si="103"/>
        <v>4</v>
      </c>
      <c r="B3027" s="5">
        <f t="shared" si="104"/>
        <v>2021</v>
      </c>
      <c r="C3027" s="9">
        <v>44300</v>
      </c>
      <c r="D3027">
        <v>2.75</v>
      </c>
    </row>
    <row r="3028" spans="1:4" x14ac:dyDescent="0.25">
      <c r="A3028" s="5">
        <f t="shared" si="103"/>
        <v>4</v>
      </c>
      <c r="B3028" s="5">
        <f t="shared" si="104"/>
        <v>2021</v>
      </c>
      <c r="C3028" s="9">
        <v>44301</v>
      </c>
      <c r="D3028">
        <v>2.75</v>
      </c>
    </row>
    <row r="3029" spans="1:4" x14ac:dyDescent="0.25">
      <c r="A3029" s="5">
        <f t="shared" si="103"/>
        <v>4</v>
      </c>
      <c r="B3029" s="5">
        <f t="shared" si="104"/>
        <v>2021</v>
      </c>
      <c r="C3029" s="9">
        <v>44302</v>
      </c>
      <c r="D3029">
        <v>2.75</v>
      </c>
    </row>
    <row r="3030" spans="1:4" x14ac:dyDescent="0.25">
      <c r="A3030" s="5">
        <f t="shared" si="103"/>
        <v>4</v>
      </c>
      <c r="B3030" s="5">
        <f t="shared" si="104"/>
        <v>2021</v>
      </c>
      <c r="C3030" s="9">
        <v>44303</v>
      </c>
      <c r="D3030">
        <v>2.75</v>
      </c>
    </row>
    <row r="3031" spans="1:4" x14ac:dyDescent="0.25">
      <c r="A3031" s="5">
        <f t="shared" si="103"/>
        <v>4</v>
      </c>
      <c r="B3031" s="5">
        <f t="shared" si="104"/>
        <v>2021</v>
      </c>
      <c r="C3031" s="9">
        <v>44304</v>
      </c>
      <c r="D3031">
        <v>2.75</v>
      </c>
    </row>
    <row r="3032" spans="1:4" x14ac:dyDescent="0.25">
      <c r="A3032" s="5">
        <f t="shared" si="103"/>
        <v>4</v>
      </c>
      <c r="B3032" s="5">
        <f t="shared" si="104"/>
        <v>2021</v>
      </c>
      <c r="C3032" s="9">
        <v>44305</v>
      </c>
      <c r="D3032">
        <v>2.75</v>
      </c>
    </row>
    <row r="3033" spans="1:4" x14ac:dyDescent="0.25">
      <c r="A3033" s="5">
        <f t="shared" si="103"/>
        <v>4</v>
      </c>
      <c r="B3033" s="5">
        <f t="shared" si="104"/>
        <v>2021</v>
      </c>
      <c r="C3033" s="9">
        <v>44306</v>
      </c>
      <c r="D3033">
        <v>2.75</v>
      </c>
    </row>
    <row r="3034" spans="1:4" x14ac:dyDescent="0.25">
      <c r="A3034" s="5">
        <f t="shared" si="103"/>
        <v>4</v>
      </c>
      <c r="B3034" s="5">
        <f t="shared" si="104"/>
        <v>2021</v>
      </c>
      <c r="C3034" s="9">
        <v>44307</v>
      </c>
      <c r="D3034">
        <v>2.75</v>
      </c>
    </row>
    <row r="3035" spans="1:4" x14ac:dyDescent="0.25">
      <c r="A3035" s="5">
        <f t="shared" si="103"/>
        <v>4</v>
      </c>
      <c r="B3035" s="5">
        <f t="shared" si="104"/>
        <v>2021</v>
      </c>
      <c r="C3035" s="9">
        <v>44308</v>
      </c>
      <c r="D3035">
        <v>2.75</v>
      </c>
    </row>
    <row r="3036" spans="1:4" x14ac:dyDescent="0.25">
      <c r="A3036" s="5">
        <f t="shared" si="103"/>
        <v>4</v>
      </c>
      <c r="B3036" s="5">
        <f t="shared" si="104"/>
        <v>2021</v>
      </c>
      <c r="C3036" s="9">
        <v>44309</v>
      </c>
      <c r="D3036">
        <v>2.75</v>
      </c>
    </row>
    <row r="3037" spans="1:4" x14ac:dyDescent="0.25">
      <c r="A3037" s="5">
        <f t="shared" si="103"/>
        <v>4</v>
      </c>
      <c r="B3037" s="5">
        <f t="shared" si="104"/>
        <v>2021</v>
      </c>
      <c r="C3037" s="9">
        <v>44310</v>
      </c>
      <c r="D3037">
        <v>2.75</v>
      </c>
    </row>
    <row r="3038" spans="1:4" x14ac:dyDescent="0.25">
      <c r="A3038" s="5">
        <f t="shared" si="103"/>
        <v>4</v>
      </c>
      <c r="B3038" s="5">
        <f t="shared" si="104"/>
        <v>2021</v>
      </c>
      <c r="C3038" s="9">
        <v>44311</v>
      </c>
      <c r="D3038">
        <v>2.75</v>
      </c>
    </row>
    <row r="3039" spans="1:4" x14ac:dyDescent="0.25">
      <c r="A3039" s="5">
        <f t="shared" si="103"/>
        <v>4</v>
      </c>
      <c r="B3039" s="5">
        <f t="shared" si="104"/>
        <v>2021</v>
      </c>
      <c r="C3039" s="9">
        <v>44312</v>
      </c>
      <c r="D3039">
        <v>2.75</v>
      </c>
    </row>
    <row r="3040" spans="1:4" x14ac:dyDescent="0.25">
      <c r="A3040" s="5">
        <f t="shared" si="103"/>
        <v>4</v>
      </c>
      <c r="B3040" s="5">
        <f t="shared" si="104"/>
        <v>2021</v>
      </c>
      <c r="C3040" s="9">
        <v>44313</v>
      </c>
      <c r="D3040">
        <v>2.75</v>
      </c>
    </row>
    <row r="3041" spans="1:4" x14ac:dyDescent="0.25">
      <c r="A3041" s="5">
        <f t="shared" si="103"/>
        <v>4</v>
      </c>
      <c r="B3041" s="5">
        <f t="shared" si="104"/>
        <v>2021</v>
      </c>
      <c r="C3041" s="9">
        <v>44314</v>
      </c>
      <c r="D3041">
        <v>2.75</v>
      </c>
    </row>
    <row r="3042" spans="1:4" x14ac:dyDescent="0.25">
      <c r="A3042" s="5">
        <f t="shared" si="103"/>
        <v>4</v>
      </c>
      <c r="B3042" s="5">
        <f t="shared" si="104"/>
        <v>2021</v>
      </c>
      <c r="C3042" s="9">
        <v>44315</v>
      </c>
      <c r="D3042">
        <v>2.75</v>
      </c>
    </row>
    <row r="3043" spans="1:4" x14ac:dyDescent="0.25">
      <c r="A3043" s="5">
        <f t="shared" si="103"/>
        <v>4</v>
      </c>
      <c r="B3043" s="5">
        <f t="shared" si="104"/>
        <v>2021</v>
      </c>
      <c r="C3043" s="9">
        <v>44316</v>
      </c>
      <c r="D3043">
        <v>2.75</v>
      </c>
    </row>
    <row r="3044" spans="1:4" x14ac:dyDescent="0.25">
      <c r="A3044" s="5">
        <f t="shared" si="103"/>
        <v>5</v>
      </c>
      <c r="B3044" s="5">
        <f t="shared" si="104"/>
        <v>2021</v>
      </c>
      <c r="C3044" s="9">
        <v>44317</v>
      </c>
      <c r="D3044">
        <v>2.75</v>
      </c>
    </row>
    <row r="3045" spans="1:4" x14ac:dyDescent="0.25">
      <c r="A3045" s="5">
        <f t="shared" si="103"/>
        <v>5</v>
      </c>
      <c r="B3045" s="5">
        <f t="shared" si="104"/>
        <v>2021</v>
      </c>
      <c r="C3045" s="9">
        <v>44318</v>
      </c>
      <c r="D3045">
        <v>2.75</v>
      </c>
    </row>
    <row r="3046" spans="1:4" x14ac:dyDescent="0.25">
      <c r="A3046" s="5">
        <f t="shared" si="103"/>
        <v>5</v>
      </c>
      <c r="B3046" s="5">
        <f t="shared" si="104"/>
        <v>2021</v>
      </c>
      <c r="C3046" s="9">
        <v>44319</v>
      </c>
      <c r="D3046">
        <v>2.75</v>
      </c>
    </row>
    <row r="3047" spans="1:4" x14ac:dyDescent="0.25">
      <c r="A3047" s="5">
        <f t="shared" si="103"/>
        <v>5</v>
      </c>
      <c r="B3047" s="5">
        <f t="shared" si="104"/>
        <v>2021</v>
      </c>
      <c r="C3047" s="9">
        <v>44320</v>
      </c>
      <c r="D3047">
        <v>2.75</v>
      </c>
    </row>
    <row r="3048" spans="1:4" x14ac:dyDescent="0.25">
      <c r="A3048" s="5">
        <f t="shared" si="103"/>
        <v>5</v>
      </c>
      <c r="B3048" s="5">
        <f t="shared" si="104"/>
        <v>2021</v>
      </c>
      <c r="C3048" s="9">
        <v>44321</v>
      </c>
      <c r="D3048">
        <v>2.75</v>
      </c>
    </row>
    <row r="3049" spans="1:4" x14ac:dyDescent="0.25">
      <c r="A3049" s="5">
        <f t="shared" si="103"/>
        <v>5</v>
      </c>
      <c r="B3049" s="5">
        <f t="shared" si="104"/>
        <v>2021</v>
      </c>
      <c r="C3049" s="9">
        <v>44322</v>
      </c>
      <c r="D3049">
        <v>3.5</v>
      </c>
    </row>
    <row r="3050" spans="1:4" x14ac:dyDescent="0.25">
      <c r="A3050" s="5">
        <f t="shared" si="103"/>
        <v>5</v>
      </c>
      <c r="B3050" s="5">
        <f t="shared" si="104"/>
        <v>2021</v>
      </c>
      <c r="C3050" s="9">
        <v>44323</v>
      </c>
      <c r="D3050">
        <v>3.5</v>
      </c>
    </row>
    <row r="3051" spans="1:4" x14ac:dyDescent="0.25">
      <c r="A3051" s="5">
        <f t="shared" si="103"/>
        <v>5</v>
      </c>
      <c r="B3051" s="5">
        <f t="shared" si="104"/>
        <v>2021</v>
      </c>
      <c r="C3051" s="9">
        <v>44324</v>
      </c>
      <c r="D3051">
        <v>3.5</v>
      </c>
    </row>
    <row r="3052" spans="1:4" x14ac:dyDescent="0.25">
      <c r="A3052" s="5">
        <f t="shared" si="103"/>
        <v>5</v>
      </c>
      <c r="B3052" s="5">
        <f t="shared" si="104"/>
        <v>2021</v>
      </c>
      <c r="C3052" s="9">
        <v>44325</v>
      </c>
      <c r="D3052">
        <v>3.5</v>
      </c>
    </row>
    <row r="3053" spans="1:4" x14ac:dyDescent="0.25">
      <c r="A3053" s="5">
        <f t="shared" si="103"/>
        <v>5</v>
      </c>
      <c r="B3053" s="5">
        <f t="shared" si="104"/>
        <v>2021</v>
      </c>
      <c r="C3053" s="9">
        <v>44326</v>
      </c>
      <c r="D3053">
        <v>3.5</v>
      </c>
    </row>
    <row r="3054" spans="1:4" x14ac:dyDescent="0.25">
      <c r="A3054" s="5">
        <f t="shared" si="103"/>
        <v>5</v>
      </c>
      <c r="B3054" s="5">
        <f t="shared" si="104"/>
        <v>2021</v>
      </c>
      <c r="C3054" s="9">
        <v>44327</v>
      </c>
      <c r="D3054">
        <v>3.5</v>
      </c>
    </row>
    <row r="3055" spans="1:4" x14ac:dyDescent="0.25">
      <c r="A3055" s="5">
        <f t="shared" si="103"/>
        <v>5</v>
      </c>
      <c r="B3055" s="5">
        <f t="shared" si="104"/>
        <v>2021</v>
      </c>
      <c r="C3055" s="9">
        <v>44328</v>
      </c>
      <c r="D3055">
        <v>3.5</v>
      </c>
    </row>
    <row r="3056" spans="1:4" x14ac:dyDescent="0.25">
      <c r="A3056" s="5">
        <f t="shared" si="103"/>
        <v>5</v>
      </c>
      <c r="B3056" s="5">
        <f t="shared" si="104"/>
        <v>2021</v>
      </c>
      <c r="C3056" s="9">
        <v>44329</v>
      </c>
      <c r="D3056">
        <v>3.5</v>
      </c>
    </row>
    <row r="3057" spans="1:4" x14ac:dyDescent="0.25">
      <c r="A3057" s="5">
        <f t="shared" si="103"/>
        <v>5</v>
      </c>
      <c r="B3057" s="5">
        <f t="shared" si="104"/>
        <v>2021</v>
      </c>
      <c r="C3057" s="9">
        <v>44330</v>
      </c>
      <c r="D3057">
        <v>3.5</v>
      </c>
    </row>
    <row r="3058" spans="1:4" x14ac:dyDescent="0.25">
      <c r="A3058" s="5">
        <f t="shared" si="103"/>
        <v>5</v>
      </c>
      <c r="B3058" s="5">
        <f t="shared" si="104"/>
        <v>2021</v>
      </c>
      <c r="C3058" s="9">
        <v>44331</v>
      </c>
      <c r="D3058">
        <v>3.5</v>
      </c>
    </row>
    <row r="3059" spans="1:4" x14ac:dyDescent="0.25">
      <c r="A3059" s="5">
        <f t="shared" si="103"/>
        <v>5</v>
      </c>
      <c r="B3059" s="5">
        <f t="shared" si="104"/>
        <v>2021</v>
      </c>
      <c r="C3059" s="9">
        <v>44332</v>
      </c>
      <c r="D3059">
        <v>3.5</v>
      </c>
    </row>
    <row r="3060" spans="1:4" x14ac:dyDescent="0.25">
      <c r="A3060" s="5">
        <f t="shared" si="103"/>
        <v>5</v>
      </c>
      <c r="B3060" s="5">
        <f t="shared" si="104"/>
        <v>2021</v>
      </c>
      <c r="C3060" s="9">
        <v>44333</v>
      </c>
      <c r="D3060">
        <v>3.5</v>
      </c>
    </row>
    <row r="3061" spans="1:4" x14ac:dyDescent="0.25">
      <c r="A3061" s="5">
        <f t="shared" si="103"/>
        <v>5</v>
      </c>
      <c r="B3061" s="5">
        <f t="shared" si="104"/>
        <v>2021</v>
      </c>
      <c r="C3061" s="9">
        <v>44334</v>
      </c>
      <c r="D3061">
        <v>3.5</v>
      </c>
    </row>
    <row r="3062" spans="1:4" x14ac:dyDescent="0.25">
      <c r="A3062" s="5">
        <f t="shared" si="103"/>
        <v>5</v>
      </c>
      <c r="B3062" s="5">
        <f t="shared" si="104"/>
        <v>2021</v>
      </c>
      <c r="C3062" s="9">
        <v>44335</v>
      </c>
      <c r="D3062">
        <v>3.5</v>
      </c>
    </row>
    <row r="3063" spans="1:4" x14ac:dyDescent="0.25">
      <c r="A3063" s="5">
        <f t="shared" si="103"/>
        <v>5</v>
      </c>
      <c r="B3063" s="5">
        <f t="shared" si="104"/>
        <v>2021</v>
      </c>
      <c r="C3063" s="9">
        <v>44336</v>
      </c>
      <c r="D3063">
        <v>3.5</v>
      </c>
    </row>
    <row r="3064" spans="1:4" x14ac:dyDescent="0.25">
      <c r="A3064" s="5">
        <f t="shared" si="103"/>
        <v>5</v>
      </c>
      <c r="B3064" s="5">
        <f t="shared" si="104"/>
        <v>2021</v>
      </c>
      <c r="C3064" s="9">
        <v>44337</v>
      </c>
      <c r="D3064">
        <v>3.5</v>
      </c>
    </row>
    <row r="3065" spans="1:4" x14ac:dyDescent="0.25">
      <c r="A3065" s="5">
        <f t="shared" si="103"/>
        <v>5</v>
      </c>
      <c r="B3065" s="5">
        <f t="shared" si="104"/>
        <v>2021</v>
      </c>
      <c r="C3065" s="9">
        <v>44338</v>
      </c>
      <c r="D3065">
        <v>3.5</v>
      </c>
    </row>
    <row r="3066" spans="1:4" x14ac:dyDescent="0.25">
      <c r="A3066" s="5">
        <f t="shared" si="103"/>
        <v>5</v>
      </c>
      <c r="B3066" s="5">
        <f t="shared" si="104"/>
        <v>2021</v>
      </c>
      <c r="C3066" s="9">
        <v>44339</v>
      </c>
      <c r="D3066">
        <v>3.5</v>
      </c>
    </row>
    <row r="3067" spans="1:4" x14ac:dyDescent="0.25">
      <c r="A3067" s="5">
        <f t="shared" si="103"/>
        <v>5</v>
      </c>
      <c r="B3067" s="5">
        <f t="shared" si="104"/>
        <v>2021</v>
      </c>
      <c r="C3067" s="9">
        <v>44340</v>
      </c>
      <c r="D3067">
        <v>3.5</v>
      </c>
    </row>
    <row r="3068" spans="1:4" x14ac:dyDescent="0.25">
      <c r="A3068" s="5">
        <f t="shared" si="103"/>
        <v>5</v>
      </c>
      <c r="B3068" s="5">
        <f t="shared" si="104"/>
        <v>2021</v>
      </c>
      <c r="C3068" s="9">
        <v>44341</v>
      </c>
      <c r="D3068">
        <v>3.5</v>
      </c>
    </row>
    <row r="3069" spans="1:4" x14ac:dyDescent="0.25">
      <c r="A3069" s="5">
        <f t="shared" si="103"/>
        <v>5</v>
      </c>
      <c r="B3069" s="5">
        <f t="shared" si="104"/>
        <v>2021</v>
      </c>
      <c r="C3069" s="9">
        <v>44342</v>
      </c>
      <c r="D3069">
        <v>3.5</v>
      </c>
    </row>
    <row r="3070" spans="1:4" x14ac:dyDescent="0.25">
      <c r="A3070" s="5">
        <f t="shared" si="103"/>
        <v>5</v>
      </c>
      <c r="B3070" s="5">
        <f t="shared" si="104"/>
        <v>2021</v>
      </c>
      <c r="C3070" s="9">
        <v>44343</v>
      </c>
      <c r="D3070">
        <v>3.5</v>
      </c>
    </row>
    <row r="3071" spans="1:4" x14ac:dyDescent="0.25">
      <c r="A3071" s="5">
        <f t="shared" si="103"/>
        <v>5</v>
      </c>
      <c r="B3071" s="5">
        <f t="shared" si="104"/>
        <v>2021</v>
      </c>
      <c r="C3071" s="9">
        <v>44344</v>
      </c>
      <c r="D3071">
        <v>3.5</v>
      </c>
    </row>
    <row r="3072" spans="1:4" x14ac:dyDescent="0.25">
      <c r="A3072" s="5">
        <f t="shared" si="103"/>
        <v>5</v>
      </c>
      <c r="B3072" s="5">
        <f t="shared" si="104"/>
        <v>2021</v>
      </c>
      <c r="C3072" s="9">
        <v>44345</v>
      </c>
      <c r="D3072">
        <v>3.5</v>
      </c>
    </row>
    <row r="3073" spans="1:4" x14ac:dyDescent="0.25">
      <c r="A3073" s="5">
        <f t="shared" si="103"/>
        <v>5</v>
      </c>
      <c r="B3073" s="5">
        <f t="shared" si="104"/>
        <v>2021</v>
      </c>
      <c r="C3073" s="9">
        <v>44346</v>
      </c>
      <c r="D3073">
        <v>3.5</v>
      </c>
    </row>
    <row r="3074" spans="1:4" x14ac:dyDescent="0.25">
      <c r="A3074" s="5">
        <f t="shared" si="103"/>
        <v>5</v>
      </c>
      <c r="B3074" s="5">
        <f t="shared" si="104"/>
        <v>2021</v>
      </c>
      <c r="C3074" s="9">
        <v>44347</v>
      </c>
      <c r="D3074">
        <v>3.5</v>
      </c>
    </row>
    <row r="3075" spans="1:4" x14ac:dyDescent="0.25">
      <c r="A3075" s="5">
        <f t="shared" ref="A3075:A3138" si="105">MONTH(C3075)</f>
        <v>6</v>
      </c>
      <c r="B3075" s="5">
        <f t="shared" ref="B3075:B3138" si="106">YEAR(C3075)</f>
        <v>2021</v>
      </c>
      <c r="C3075" s="9">
        <v>44348</v>
      </c>
      <c r="D3075">
        <v>3.5</v>
      </c>
    </row>
    <row r="3076" spans="1:4" x14ac:dyDescent="0.25">
      <c r="A3076" s="5">
        <f t="shared" si="105"/>
        <v>6</v>
      </c>
      <c r="B3076" s="5">
        <f t="shared" si="106"/>
        <v>2021</v>
      </c>
      <c r="C3076" s="9">
        <v>44349</v>
      </c>
      <c r="D3076">
        <v>3.5</v>
      </c>
    </row>
    <row r="3077" spans="1:4" x14ac:dyDescent="0.25">
      <c r="A3077" s="5">
        <f t="shared" si="105"/>
        <v>6</v>
      </c>
      <c r="B3077" s="5">
        <f t="shared" si="106"/>
        <v>2021</v>
      </c>
      <c r="C3077" s="9">
        <v>44350</v>
      </c>
      <c r="D3077">
        <v>3.5</v>
      </c>
    </row>
    <row r="3078" spans="1:4" x14ac:dyDescent="0.25">
      <c r="A3078" s="5">
        <f t="shared" si="105"/>
        <v>6</v>
      </c>
      <c r="B3078" s="5">
        <f t="shared" si="106"/>
        <v>2021</v>
      </c>
      <c r="C3078" s="9">
        <v>44351</v>
      </c>
      <c r="D3078">
        <v>3.5</v>
      </c>
    </row>
    <row r="3079" spans="1:4" x14ac:dyDescent="0.25">
      <c r="A3079" s="5">
        <f t="shared" si="105"/>
        <v>6</v>
      </c>
      <c r="B3079" s="5">
        <f t="shared" si="106"/>
        <v>2021</v>
      </c>
      <c r="C3079" s="9">
        <v>44352</v>
      </c>
      <c r="D3079">
        <v>3.5</v>
      </c>
    </row>
    <row r="3080" spans="1:4" x14ac:dyDescent="0.25">
      <c r="A3080" s="5">
        <f t="shared" si="105"/>
        <v>6</v>
      </c>
      <c r="B3080" s="5">
        <f t="shared" si="106"/>
        <v>2021</v>
      </c>
      <c r="C3080" s="9">
        <v>44353</v>
      </c>
      <c r="D3080">
        <v>3.5</v>
      </c>
    </row>
    <row r="3081" spans="1:4" x14ac:dyDescent="0.25">
      <c r="A3081" s="5">
        <f t="shared" si="105"/>
        <v>6</v>
      </c>
      <c r="B3081" s="5">
        <f t="shared" si="106"/>
        <v>2021</v>
      </c>
      <c r="C3081" s="9">
        <v>44354</v>
      </c>
      <c r="D3081">
        <v>3.5</v>
      </c>
    </row>
    <row r="3082" spans="1:4" x14ac:dyDescent="0.25">
      <c r="A3082" s="5">
        <f t="shared" si="105"/>
        <v>6</v>
      </c>
      <c r="B3082" s="5">
        <f t="shared" si="106"/>
        <v>2021</v>
      </c>
      <c r="C3082" s="9">
        <v>44355</v>
      </c>
      <c r="D3082">
        <v>3.5</v>
      </c>
    </row>
    <row r="3083" spans="1:4" x14ac:dyDescent="0.25">
      <c r="A3083" s="5">
        <f t="shared" si="105"/>
        <v>6</v>
      </c>
      <c r="B3083" s="5">
        <f t="shared" si="106"/>
        <v>2021</v>
      </c>
      <c r="C3083" s="9">
        <v>44356</v>
      </c>
      <c r="D3083">
        <v>3.5</v>
      </c>
    </row>
    <row r="3084" spans="1:4" x14ac:dyDescent="0.25">
      <c r="A3084" s="5">
        <f t="shared" si="105"/>
        <v>6</v>
      </c>
      <c r="B3084" s="5">
        <f t="shared" si="106"/>
        <v>2021</v>
      </c>
      <c r="C3084" s="9">
        <v>44357</v>
      </c>
      <c r="D3084">
        <v>3.5</v>
      </c>
    </row>
    <row r="3085" spans="1:4" x14ac:dyDescent="0.25">
      <c r="A3085" s="5">
        <f t="shared" si="105"/>
        <v>6</v>
      </c>
      <c r="B3085" s="5">
        <f t="shared" si="106"/>
        <v>2021</v>
      </c>
      <c r="C3085" s="9">
        <v>44358</v>
      </c>
      <c r="D3085">
        <v>3.5</v>
      </c>
    </row>
    <row r="3086" spans="1:4" x14ac:dyDescent="0.25">
      <c r="A3086" s="5">
        <f t="shared" si="105"/>
        <v>6</v>
      </c>
      <c r="B3086" s="5">
        <f t="shared" si="106"/>
        <v>2021</v>
      </c>
      <c r="C3086" s="9">
        <v>44359</v>
      </c>
      <c r="D3086">
        <v>3.5</v>
      </c>
    </row>
    <row r="3087" spans="1:4" x14ac:dyDescent="0.25">
      <c r="A3087" s="5">
        <f t="shared" si="105"/>
        <v>6</v>
      </c>
      <c r="B3087" s="5">
        <f t="shared" si="106"/>
        <v>2021</v>
      </c>
      <c r="C3087" s="9">
        <v>44360</v>
      </c>
      <c r="D3087">
        <v>3.5</v>
      </c>
    </row>
    <row r="3088" spans="1:4" x14ac:dyDescent="0.25">
      <c r="A3088" s="5">
        <f t="shared" si="105"/>
        <v>6</v>
      </c>
      <c r="B3088" s="5">
        <f t="shared" si="106"/>
        <v>2021</v>
      </c>
      <c r="C3088" s="9">
        <v>44361</v>
      </c>
      <c r="D3088">
        <v>3.5</v>
      </c>
    </row>
    <row r="3089" spans="1:4" x14ac:dyDescent="0.25">
      <c r="A3089" s="5">
        <f t="shared" si="105"/>
        <v>6</v>
      </c>
      <c r="B3089" s="5">
        <f t="shared" si="106"/>
        <v>2021</v>
      </c>
      <c r="C3089" s="9">
        <v>44362</v>
      </c>
      <c r="D3089">
        <v>3.5</v>
      </c>
    </row>
    <row r="3090" spans="1:4" x14ac:dyDescent="0.25">
      <c r="A3090" s="5">
        <f t="shared" si="105"/>
        <v>6</v>
      </c>
      <c r="B3090" s="5">
        <f t="shared" si="106"/>
        <v>2021</v>
      </c>
      <c r="C3090" s="9">
        <v>44363</v>
      </c>
      <c r="D3090">
        <v>3.5</v>
      </c>
    </row>
    <row r="3091" spans="1:4" x14ac:dyDescent="0.25">
      <c r="A3091" s="5">
        <f t="shared" si="105"/>
        <v>6</v>
      </c>
      <c r="B3091" s="5">
        <f t="shared" si="106"/>
        <v>2021</v>
      </c>
      <c r="C3091" s="9">
        <v>44364</v>
      </c>
      <c r="D3091">
        <v>4.25</v>
      </c>
    </row>
    <row r="3092" spans="1:4" x14ac:dyDescent="0.25">
      <c r="A3092" s="5">
        <f t="shared" si="105"/>
        <v>6</v>
      </c>
      <c r="B3092" s="5">
        <f t="shared" si="106"/>
        <v>2021</v>
      </c>
      <c r="C3092" s="9">
        <v>44365</v>
      </c>
      <c r="D3092">
        <v>4.25</v>
      </c>
    </row>
    <row r="3093" spans="1:4" x14ac:dyDescent="0.25">
      <c r="A3093" s="5">
        <f t="shared" si="105"/>
        <v>6</v>
      </c>
      <c r="B3093" s="5">
        <f t="shared" si="106"/>
        <v>2021</v>
      </c>
      <c r="C3093" s="9">
        <v>44366</v>
      </c>
      <c r="D3093">
        <v>4.25</v>
      </c>
    </row>
    <row r="3094" spans="1:4" x14ac:dyDescent="0.25">
      <c r="A3094" s="5">
        <f t="shared" si="105"/>
        <v>6</v>
      </c>
      <c r="B3094" s="5">
        <f t="shared" si="106"/>
        <v>2021</v>
      </c>
      <c r="C3094" s="9">
        <v>44367</v>
      </c>
      <c r="D3094">
        <v>4.25</v>
      </c>
    </row>
    <row r="3095" spans="1:4" x14ac:dyDescent="0.25">
      <c r="A3095" s="5">
        <f t="shared" si="105"/>
        <v>6</v>
      </c>
      <c r="B3095" s="5">
        <f t="shared" si="106"/>
        <v>2021</v>
      </c>
      <c r="C3095" s="9">
        <v>44368</v>
      </c>
      <c r="D3095">
        <v>4.25</v>
      </c>
    </row>
    <row r="3096" spans="1:4" x14ac:dyDescent="0.25">
      <c r="A3096" s="5">
        <f t="shared" si="105"/>
        <v>6</v>
      </c>
      <c r="B3096" s="5">
        <f t="shared" si="106"/>
        <v>2021</v>
      </c>
      <c r="C3096" s="9">
        <v>44369</v>
      </c>
      <c r="D3096">
        <v>4.25</v>
      </c>
    </row>
    <row r="3097" spans="1:4" x14ac:dyDescent="0.25">
      <c r="A3097" s="5">
        <f t="shared" si="105"/>
        <v>6</v>
      </c>
      <c r="B3097" s="5">
        <f t="shared" si="106"/>
        <v>2021</v>
      </c>
      <c r="C3097" s="9">
        <v>44370</v>
      </c>
      <c r="D3097">
        <v>4.25</v>
      </c>
    </row>
    <row r="3098" spans="1:4" x14ac:dyDescent="0.25">
      <c r="A3098" s="5">
        <f t="shared" si="105"/>
        <v>6</v>
      </c>
      <c r="B3098" s="5">
        <f t="shared" si="106"/>
        <v>2021</v>
      </c>
      <c r="C3098" s="9">
        <v>44371</v>
      </c>
      <c r="D3098">
        <v>4.25</v>
      </c>
    </row>
    <row r="3099" spans="1:4" x14ac:dyDescent="0.25">
      <c r="A3099" s="5">
        <f t="shared" si="105"/>
        <v>6</v>
      </c>
      <c r="B3099" s="5">
        <f t="shared" si="106"/>
        <v>2021</v>
      </c>
      <c r="C3099" s="9">
        <v>44372</v>
      </c>
      <c r="D3099">
        <v>4.25</v>
      </c>
    </row>
    <row r="3100" spans="1:4" x14ac:dyDescent="0.25">
      <c r="A3100" s="5">
        <f t="shared" si="105"/>
        <v>6</v>
      </c>
      <c r="B3100" s="5">
        <f t="shared" si="106"/>
        <v>2021</v>
      </c>
      <c r="C3100" s="9">
        <v>44373</v>
      </c>
      <c r="D3100">
        <v>4.25</v>
      </c>
    </row>
    <row r="3101" spans="1:4" x14ac:dyDescent="0.25">
      <c r="A3101" s="5">
        <f t="shared" si="105"/>
        <v>6</v>
      </c>
      <c r="B3101" s="5">
        <f t="shared" si="106"/>
        <v>2021</v>
      </c>
      <c r="C3101" s="9">
        <v>44374</v>
      </c>
      <c r="D3101">
        <v>4.25</v>
      </c>
    </row>
    <row r="3102" spans="1:4" x14ac:dyDescent="0.25">
      <c r="A3102" s="5">
        <f t="shared" si="105"/>
        <v>6</v>
      </c>
      <c r="B3102" s="5">
        <f t="shared" si="106"/>
        <v>2021</v>
      </c>
      <c r="C3102" s="9">
        <v>44375</v>
      </c>
      <c r="D3102">
        <v>4.25</v>
      </c>
    </row>
    <row r="3103" spans="1:4" x14ac:dyDescent="0.25">
      <c r="A3103" s="5">
        <f t="shared" si="105"/>
        <v>6</v>
      </c>
      <c r="B3103" s="5">
        <f t="shared" si="106"/>
        <v>2021</v>
      </c>
      <c r="C3103" s="9">
        <v>44376</v>
      </c>
      <c r="D3103">
        <v>4.25</v>
      </c>
    </row>
    <row r="3104" spans="1:4" x14ac:dyDescent="0.25">
      <c r="A3104" s="5">
        <f t="shared" si="105"/>
        <v>6</v>
      </c>
      <c r="B3104" s="5">
        <f t="shared" si="106"/>
        <v>2021</v>
      </c>
      <c r="C3104" s="9">
        <v>44377</v>
      </c>
      <c r="D3104">
        <v>4.25</v>
      </c>
    </row>
    <row r="3105" spans="1:4" x14ac:dyDescent="0.25">
      <c r="A3105" s="5">
        <f t="shared" si="105"/>
        <v>7</v>
      </c>
      <c r="B3105" s="5">
        <f t="shared" si="106"/>
        <v>2021</v>
      </c>
      <c r="C3105" s="9">
        <v>44378</v>
      </c>
      <c r="D3105">
        <v>4.25</v>
      </c>
    </row>
    <row r="3106" spans="1:4" x14ac:dyDescent="0.25">
      <c r="A3106" s="5">
        <f t="shared" si="105"/>
        <v>7</v>
      </c>
      <c r="B3106" s="5">
        <f t="shared" si="106"/>
        <v>2021</v>
      </c>
      <c r="C3106" s="9">
        <v>44379</v>
      </c>
      <c r="D3106">
        <v>4.25</v>
      </c>
    </row>
    <row r="3107" spans="1:4" x14ac:dyDescent="0.25">
      <c r="A3107" s="5">
        <f t="shared" si="105"/>
        <v>7</v>
      </c>
      <c r="B3107" s="5">
        <f t="shared" si="106"/>
        <v>2021</v>
      </c>
      <c r="C3107" s="9">
        <v>44380</v>
      </c>
      <c r="D3107">
        <v>4.25</v>
      </c>
    </row>
    <row r="3108" spans="1:4" x14ac:dyDescent="0.25">
      <c r="A3108" s="5">
        <f t="shared" si="105"/>
        <v>7</v>
      </c>
      <c r="B3108" s="5">
        <f t="shared" si="106"/>
        <v>2021</v>
      </c>
      <c r="C3108" s="9">
        <v>44381</v>
      </c>
      <c r="D3108">
        <v>4.25</v>
      </c>
    </row>
    <row r="3109" spans="1:4" x14ac:dyDescent="0.25">
      <c r="A3109" s="5">
        <f t="shared" si="105"/>
        <v>7</v>
      </c>
      <c r="B3109" s="5">
        <f t="shared" si="106"/>
        <v>2021</v>
      </c>
      <c r="C3109" s="9">
        <v>44382</v>
      </c>
      <c r="D3109">
        <v>4.25</v>
      </c>
    </row>
    <row r="3110" spans="1:4" x14ac:dyDescent="0.25">
      <c r="A3110" s="5">
        <f t="shared" si="105"/>
        <v>7</v>
      </c>
      <c r="B3110" s="5">
        <f t="shared" si="106"/>
        <v>2021</v>
      </c>
      <c r="C3110" s="9">
        <v>44383</v>
      </c>
      <c r="D3110">
        <v>4.25</v>
      </c>
    </row>
    <row r="3111" spans="1:4" x14ac:dyDescent="0.25">
      <c r="A3111" s="5">
        <f t="shared" si="105"/>
        <v>7</v>
      </c>
      <c r="B3111" s="5">
        <f t="shared" si="106"/>
        <v>2021</v>
      </c>
      <c r="C3111" s="9">
        <v>44384</v>
      </c>
      <c r="D3111">
        <v>4.25</v>
      </c>
    </row>
    <row r="3112" spans="1:4" x14ac:dyDescent="0.25">
      <c r="A3112" s="5">
        <f t="shared" si="105"/>
        <v>7</v>
      </c>
      <c r="B3112" s="5">
        <f t="shared" si="106"/>
        <v>2021</v>
      </c>
      <c r="C3112" s="9">
        <v>44385</v>
      </c>
      <c r="D3112">
        <v>4.25</v>
      </c>
    </row>
    <row r="3113" spans="1:4" x14ac:dyDescent="0.25">
      <c r="A3113" s="5">
        <f t="shared" si="105"/>
        <v>7</v>
      </c>
      <c r="B3113" s="5">
        <f t="shared" si="106"/>
        <v>2021</v>
      </c>
      <c r="C3113" s="9">
        <v>44386</v>
      </c>
      <c r="D3113">
        <v>4.25</v>
      </c>
    </row>
    <row r="3114" spans="1:4" x14ac:dyDescent="0.25">
      <c r="A3114" s="5">
        <f t="shared" si="105"/>
        <v>7</v>
      </c>
      <c r="B3114" s="5">
        <f t="shared" si="106"/>
        <v>2021</v>
      </c>
      <c r="C3114" s="9">
        <v>44387</v>
      </c>
      <c r="D3114">
        <v>4.25</v>
      </c>
    </row>
    <row r="3115" spans="1:4" x14ac:dyDescent="0.25">
      <c r="A3115" s="5">
        <f t="shared" si="105"/>
        <v>7</v>
      </c>
      <c r="B3115" s="5">
        <f t="shared" si="106"/>
        <v>2021</v>
      </c>
      <c r="C3115" s="9">
        <v>44388</v>
      </c>
      <c r="D3115">
        <v>4.25</v>
      </c>
    </row>
    <row r="3116" spans="1:4" x14ac:dyDescent="0.25">
      <c r="A3116" s="5">
        <f t="shared" si="105"/>
        <v>7</v>
      </c>
      <c r="B3116" s="5">
        <f t="shared" si="106"/>
        <v>2021</v>
      </c>
      <c r="C3116" s="9">
        <v>44389</v>
      </c>
      <c r="D3116">
        <v>4.25</v>
      </c>
    </row>
    <row r="3117" spans="1:4" x14ac:dyDescent="0.25">
      <c r="A3117" s="5">
        <f t="shared" si="105"/>
        <v>7</v>
      </c>
      <c r="B3117" s="5">
        <f t="shared" si="106"/>
        <v>2021</v>
      </c>
      <c r="C3117" s="9">
        <v>44390</v>
      </c>
      <c r="D3117">
        <v>4.25</v>
      </c>
    </row>
    <row r="3118" spans="1:4" x14ac:dyDescent="0.25">
      <c r="A3118" s="5">
        <f t="shared" si="105"/>
        <v>7</v>
      </c>
      <c r="B3118" s="5">
        <f t="shared" si="106"/>
        <v>2021</v>
      </c>
      <c r="C3118" s="9">
        <v>44391</v>
      </c>
      <c r="D3118">
        <v>4.25</v>
      </c>
    </row>
    <row r="3119" spans="1:4" x14ac:dyDescent="0.25">
      <c r="A3119" s="5">
        <f t="shared" si="105"/>
        <v>7</v>
      </c>
      <c r="B3119" s="5">
        <f t="shared" si="106"/>
        <v>2021</v>
      </c>
      <c r="C3119" s="9">
        <v>44392</v>
      </c>
      <c r="D3119">
        <v>4.25</v>
      </c>
    </row>
    <row r="3120" spans="1:4" x14ac:dyDescent="0.25">
      <c r="A3120" s="5">
        <f t="shared" si="105"/>
        <v>7</v>
      </c>
      <c r="B3120" s="5">
        <f t="shared" si="106"/>
        <v>2021</v>
      </c>
      <c r="C3120" s="9">
        <v>44393</v>
      </c>
      <c r="D3120">
        <v>4.25</v>
      </c>
    </row>
    <row r="3121" spans="1:4" x14ac:dyDescent="0.25">
      <c r="A3121" s="5">
        <f t="shared" si="105"/>
        <v>7</v>
      </c>
      <c r="B3121" s="5">
        <f t="shared" si="106"/>
        <v>2021</v>
      </c>
      <c r="C3121" s="9">
        <v>44394</v>
      </c>
      <c r="D3121">
        <v>4.25</v>
      </c>
    </row>
    <row r="3122" spans="1:4" x14ac:dyDescent="0.25">
      <c r="A3122" s="5">
        <f t="shared" si="105"/>
        <v>7</v>
      </c>
      <c r="B3122" s="5">
        <f t="shared" si="106"/>
        <v>2021</v>
      </c>
      <c r="C3122" s="9">
        <v>44395</v>
      </c>
      <c r="D3122">
        <v>4.25</v>
      </c>
    </row>
    <row r="3123" spans="1:4" x14ac:dyDescent="0.25">
      <c r="A3123" s="5">
        <f t="shared" si="105"/>
        <v>7</v>
      </c>
      <c r="B3123" s="5">
        <f t="shared" si="106"/>
        <v>2021</v>
      </c>
      <c r="C3123" s="9">
        <v>44396</v>
      </c>
      <c r="D3123">
        <v>4.25</v>
      </c>
    </row>
    <row r="3124" spans="1:4" x14ac:dyDescent="0.25">
      <c r="A3124" s="5">
        <f t="shared" si="105"/>
        <v>7</v>
      </c>
      <c r="B3124" s="5">
        <f t="shared" si="106"/>
        <v>2021</v>
      </c>
      <c r="C3124" s="9">
        <v>44397</v>
      </c>
      <c r="D3124">
        <v>4.25</v>
      </c>
    </row>
    <row r="3125" spans="1:4" x14ac:dyDescent="0.25">
      <c r="A3125" s="5">
        <f t="shared" si="105"/>
        <v>7</v>
      </c>
      <c r="B3125" s="5">
        <f t="shared" si="106"/>
        <v>2021</v>
      </c>
      <c r="C3125" s="9">
        <v>44398</v>
      </c>
      <c r="D3125">
        <v>4.25</v>
      </c>
    </row>
    <row r="3126" spans="1:4" x14ac:dyDescent="0.25">
      <c r="A3126" s="5">
        <f t="shared" si="105"/>
        <v>7</v>
      </c>
      <c r="B3126" s="5">
        <f t="shared" si="106"/>
        <v>2021</v>
      </c>
      <c r="C3126" s="9">
        <v>44399</v>
      </c>
      <c r="D3126">
        <v>4.25</v>
      </c>
    </row>
    <row r="3127" spans="1:4" x14ac:dyDescent="0.25">
      <c r="A3127" s="5">
        <f t="shared" si="105"/>
        <v>7</v>
      </c>
      <c r="B3127" s="5">
        <f t="shared" si="106"/>
        <v>2021</v>
      </c>
      <c r="C3127" s="9">
        <v>44400</v>
      </c>
      <c r="D3127">
        <v>4.25</v>
      </c>
    </row>
    <row r="3128" spans="1:4" x14ac:dyDescent="0.25">
      <c r="A3128" s="5">
        <f t="shared" si="105"/>
        <v>7</v>
      </c>
      <c r="B3128" s="5">
        <f t="shared" si="106"/>
        <v>2021</v>
      </c>
      <c r="C3128" s="9">
        <v>44401</v>
      </c>
      <c r="D3128">
        <v>4.25</v>
      </c>
    </row>
    <row r="3129" spans="1:4" x14ac:dyDescent="0.25">
      <c r="A3129" s="5">
        <f t="shared" si="105"/>
        <v>7</v>
      </c>
      <c r="B3129" s="5">
        <f t="shared" si="106"/>
        <v>2021</v>
      </c>
      <c r="C3129" s="9">
        <v>44402</v>
      </c>
      <c r="D3129">
        <v>4.25</v>
      </c>
    </row>
    <row r="3130" spans="1:4" x14ac:dyDescent="0.25">
      <c r="A3130" s="5">
        <f t="shared" si="105"/>
        <v>7</v>
      </c>
      <c r="B3130" s="5">
        <f t="shared" si="106"/>
        <v>2021</v>
      </c>
      <c r="C3130" s="9">
        <v>44403</v>
      </c>
      <c r="D3130">
        <v>4.25</v>
      </c>
    </row>
    <row r="3131" spans="1:4" x14ac:dyDescent="0.25">
      <c r="A3131" s="5">
        <f t="shared" si="105"/>
        <v>7</v>
      </c>
      <c r="B3131" s="5">
        <f t="shared" si="106"/>
        <v>2021</v>
      </c>
      <c r="C3131" s="9">
        <v>44404</v>
      </c>
      <c r="D3131">
        <v>4.25</v>
      </c>
    </row>
    <row r="3132" spans="1:4" x14ac:dyDescent="0.25">
      <c r="A3132" s="5">
        <f t="shared" si="105"/>
        <v>7</v>
      </c>
      <c r="B3132" s="5">
        <f t="shared" si="106"/>
        <v>2021</v>
      </c>
      <c r="C3132" s="9">
        <v>44405</v>
      </c>
      <c r="D3132">
        <v>4.25</v>
      </c>
    </row>
    <row r="3133" spans="1:4" x14ac:dyDescent="0.25">
      <c r="A3133" s="5">
        <f t="shared" si="105"/>
        <v>7</v>
      </c>
      <c r="B3133" s="5">
        <f t="shared" si="106"/>
        <v>2021</v>
      </c>
      <c r="C3133" s="9">
        <v>44406</v>
      </c>
      <c r="D3133">
        <v>4.25</v>
      </c>
    </row>
    <row r="3134" spans="1:4" x14ac:dyDescent="0.25">
      <c r="A3134" s="5">
        <f t="shared" si="105"/>
        <v>7</v>
      </c>
      <c r="B3134" s="5">
        <f t="shared" si="106"/>
        <v>2021</v>
      </c>
      <c r="C3134" s="9">
        <v>44407</v>
      </c>
      <c r="D3134">
        <v>4.25</v>
      </c>
    </row>
    <row r="3135" spans="1:4" x14ac:dyDescent="0.25">
      <c r="A3135" s="5">
        <f t="shared" si="105"/>
        <v>7</v>
      </c>
      <c r="B3135" s="5">
        <f t="shared" si="106"/>
        <v>2021</v>
      </c>
      <c r="C3135" s="9">
        <v>44408</v>
      </c>
      <c r="D3135">
        <v>4.25</v>
      </c>
    </row>
    <row r="3136" spans="1:4" x14ac:dyDescent="0.25">
      <c r="A3136" s="5">
        <f t="shared" si="105"/>
        <v>8</v>
      </c>
      <c r="B3136" s="5">
        <f t="shared" si="106"/>
        <v>2021</v>
      </c>
      <c r="C3136" s="9">
        <v>44409</v>
      </c>
      <c r="D3136">
        <v>4.25</v>
      </c>
    </row>
    <row r="3137" spans="1:4" x14ac:dyDescent="0.25">
      <c r="A3137" s="5">
        <f t="shared" si="105"/>
        <v>8</v>
      </c>
      <c r="B3137" s="5">
        <f t="shared" si="106"/>
        <v>2021</v>
      </c>
      <c r="C3137" s="9">
        <v>44410</v>
      </c>
      <c r="D3137">
        <v>4.25</v>
      </c>
    </row>
    <row r="3138" spans="1:4" x14ac:dyDescent="0.25">
      <c r="A3138" s="5">
        <f t="shared" si="105"/>
        <v>8</v>
      </c>
      <c r="B3138" s="5">
        <f t="shared" si="106"/>
        <v>2021</v>
      </c>
      <c r="C3138" s="9">
        <v>44411</v>
      </c>
      <c r="D3138">
        <v>4.25</v>
      </c>
    </row>
    <row r="3139" spans="1:4" x14ac:dyDescent="0.25">
      <c r="A3139" s="5">
        <f t="shared" ref="A3139:A3202" si="107">MONTH(C3139)</f>
        <v>8</v>
      </c>
      <c r="B3139" s="5">
        <f t="shared" ref="B3139:B3202" si="108">YEAR(C3139)</f>
        <v>2021</v>
      </c>
      <c r="C3139" s="9">
        <v>44412</v>
      </c>
      <c r="D3139">
        <v>4.25</v>
      </c>
    </row>
    <row r="3140" spans="1:4" x14ac:dyDescent="0.25">
      <c r="A3140" s="5">
        <f t="shared" si="107"/>
        <v>8</v>
      </c>
      <c r="B3140" s="5">
        <f t="shared" si="108"/>
        <v>2021</v>
      </c>
      <c r="C3140" s="9">
        <v>44413</v>
      </c>
      <c r="D3140">
        <v>5.25</v>
      </c>
    </row>
    <row r="3141" spans="1:4" x14ac:dyDescent="0.25">
      <c r="A3141" s="5">
        <f t="shared" si="107"/>
        <v>8</v>
      </c>
      <c r="B3141" s="5">
        <f t="shared" si="108"/>
        <v>2021</v>
      </c>
      <c r="C3141" s="9">
        <v>44414</v>
      </c>
      <c r="D3141">
        <v>5.25</v>
      </c>
    </row>
    <row r="3142" spans="1:4" x14ac:dyDescent="0.25">
      <c r="A3142" s="5">
        <f t="shared" si="107"/>
        <v>8</v>
      </c>
      <c r="B3142" s="5">
        <f t="shared" si="108"/>
        <v>2021</v>
      </c>
      <c r="C3142" s="9">
        <v>44415</v>
      </c>
      <c r="D3142">
        <v>5.25</v>
      </c>
    </row>
    <row r="3143" spans="1:4" x14ac:dyDescent="0.25">
      <c r="A3143" s="5">
        <f t="shared" si="107"/>
        <v>8</v>
      </c>
      <c r="B3143" s="5">
        <f t="shared" si="108"/>
        <v>2021</v>
      </c>
      <c r="C3143" s="9">
        <v>44416</v>
      </c>
      <c r="D3143">
        <v>5.25</v>
      </c>
    </row>
    <row r="3144" spans="1:4" x14ac:dyDescent="0.25">
      <c r="A3144" s="5">
        <f t="shared" si="107"/>
        <v>8</v>
      </c>
      <c r="B3144" s="5">
        <f t="shared" si="108"/>
        <v>2021</v>
      </c>
      <c r="C3144" s="9">
        <v>44417</v>
      </c>
      <c r="D3144">
        <v>5.25</v>
      </c>
    </row>
    <row r="3145" spans="1:4" x14ac:dyDescent="0.25">
      <c r="A3145" s="5">
        <f t="shared" si="107"/>
        <v>8</v>
      </c>
      <c r="B3145" s="5">
        <f t="shared" si="108"/>
        <v>2021</v>
      </c>
      <c r="C3145" s="9">
        <v>44418</v>
      </c>
      <c r="D3145">
        <v>5.25</v>
      </c>
    </row>
    <row r="3146" spans="1:4" x14ac:dyDescent="0.25">
      <c r="A3146" s="5">
        <f t="shared" si="107"/>
        <v>8</v>
      </c>
      <c r="B3146" s="5">
        <f t="shared" si="108"/>
        <v>2021</v>
      </c>
      <c r="C3146" s="9">
        <v>44419</v>
      </c>
      <c r="D3146">
        <v>5.25</v>
      </c>
    </row>
    <row r="3147" spans="1:4" x14ac:dyDescent="0.25">
      <c r="A3147" s="5">
        <f t="shared" si="107"/>
        <v>8</v>
      </c>
      <c r="B3147" s="5">
        <f t="shared" si="108"/>
        <v>2021</v>
      </c>
      <c r="C3147" s="9">
        <v>44420</v>
      </c>
      <c r="D3147">
        <v>5.25</v>
      </c>
    </row>
    <row r="3148" spans="1:4" x14ac:dyDescent="0.25">
      <c r="A3148" s="5">
        <f t="shared" si="107"/>
        <v>8</v>
      </c>
      <c r="B3148" s="5">
        <f t="shared" si="108"/>
        <v>2021</v>
      </c>
      <c r="C3148" s="9">
        <v>44421</v>
      </c>
      <c r="D3148">
        <v>5.25</v>
      </c>
    </row>
    <row r="3149" spans="1:4" x14ac:dyDescent="0.25">
      <c r="A3149" s="5">
        <f t="shared" si="107"/>
        <v>8</v>
      </c>
      <c r="B3149" s="5">
        <f t="shared" si="108"/>
        <v>2021</v>
      </c>
      <c r="C3149" s="9">
        <v>44422</v>
      </c>
      <c r="D3149">
        <v>5.25</v>
      </c>
    </row>
    <row r="3150" spans="1:4" x14ac:dyDescent="0.25">
      <c r="A3150" s="5">
        <f t="shared" si="107"/>
        <v>8</v>
      </c>
      <c r="B3150" s="5">
        <f t="shared" si="108"/>
        <v>2021</v>
      </c>
      <c r="C3150" s="9">
        <v>44423</v>
      </c>
      <c r="D3150">
        <v>5.25</v>
      </c>
    </row>
    <row r="3151" spans="1:4" x14ac:dyDescent="0.25">
      <c r="A3151" s="5">
        <f t="shared" si="107"/>
        <v>8</v>
      </c>
      <c r="B3151" s="5">
        <f t="shared" si="108"/>
        <v>2021</v>
      </c>
      <c r="C3151" s="9">
        <v>44424</v>
      </c>
      <c r="D3151">
        <v>5.25</v>
      </c>
    </row>
    <row r="3152" spans="1:4" x14ac:dyDescent="0.25">
      <c r="A3152" s="5">
        <f t="shared" si="107"/>
        <v>8</v>
      </c>
      <c r="B3152" s="5">
        <f t="shared" si="108"/>
        <v>2021</v>
      </c>
      <c r="C3152" s="9">
        <v>44425</v>
      </c>
      <c r="D3152">
        <v>5.25</v>
      </c>
    </row>
    <row r="3153" spans="1:4" x14ac:dyDescent="0.25">
      <c r="A3153" s="5">
        <f t="shared" si="107"/>
        <v>8</v>
      </c>
      <c r="B3153" s="5">
        <f t="shared" si="108"/>
        <v>2021</v>
      </c>
      <c r="C3153" s="9">
        <v>44426</v>
      </c>
      <c r="D3153">
        <v>5.25</v>
      </c>
    </row>
    <row r="3154" spans="1:4" x14ac:dyDescent="0.25">
      <c r="A3154" s="5">
        <f t="shared" si="107"/>
        <v>8</v>
      </c>
      <c r="B3154" s="5">
        <f t="shared" si="108"/>
        <v>2021</v>
      </c>
      <c r="C3154" s="9">
        <v>44427</v>
      </c>
      <c r="D3154">
        <v>5.25</v>
      </c>
    </row>
    <row r="3155" spans="1:4" x14ac:dyDescent="0.25">
      <c r="A3155" s="5">
        <f t="shared" si="107"/>
        <v>8</v>
      </c>
      <c r="B3155" s="5">
        <f t="shared" si="108"/>
        <v>2021</v>
      </c>
      <c r="C3155" s="9">
        <v>44428</v>
      </c>
      <c r="D3155">
        <v>5.25</v>
      </c>
    </row>
    <row r="3156" spans="1:4" x14ac:dyDescent="0.25">
      <c r="A3156" s="5">
        <f t="shared" si="107"/>
        <v>8</v>
      </c>
      <c r="B3156" s="5">
        <f t="shared" si="108"/>
        <v>2021</v>
      </c>
      <c r="C3156" s="9">
        <v>44429</v>
      </c>
      <c r="D3156">
        <v>5.25</v>
      </c>
    </row>
    <row r="3157" spans="1:4" x14ac:dyDescent="0.25">
      <c r="A3157" s="5">
        <f t="shared" si="107"/>
        <v>8</v>
      </c>
      <c r="B3157" s="5">
        <f t="shared" si="108"/>
        <v>2021</v>
      </c>
      <c r="C3157" s="9">
        <v>44430</v>
      </c>
      <c r="D3157">
        <v>5.25</v>
      </c>
    </row>
    <row r="3158" spans="1:4" x14ac:dyDescent="0.25">
      <c r="A3158" s="5">
        <f t="shared" si="107"/>
        <v>8</v>
      </c>
      <c r="B3158" s="5">
        <f t="shared" si="108"/>
        <v>2021</v>
      </c>
      <c r="C3158" s="9">
        <v>44431</v>
      </c>
      <c r="D3158">
        <v>5.25</v>
      </c>
    </row>
    <row r="3159" spans="1:4" x14ac:dyDescent="0.25">
      <c r="A3159" s="5">
        <f t="shared" si="107"/>
        <v>8</v>
      </c>
      <c r="B3159" s="5">
        <f t="shared" si="108"/>
        <v>2021</v>
      </c>
      <c r="C3159" s="9">
        <v>44432</v>
      </c>
      <c r="D3159">
        <v>5.25</v>
      </c>
    </row>
    <row r="3160" spans="1:4" x14ac:dyDescent="0.25">
      <c r="A3160" s="5">
        <f t="shared" si="107"/>
        <v>8</v>
      </c>
      <c r="B3160" s="5">
        <f t="shared" si="108"/>
        <v>2021</v>
      </c>
      <c r="C3160" s="9">
        <v>44433</v>
      </c>
      <c r="D3160">
        <v>5.25</v>
      </c>
    </row>
    <row r="3161" spans="1:4" x14ac:dyDescent="0.25">
      <c r="A3161" s="5">
        <f t="shared" si="107"/>
        <v>8</v>
      </c>
      <c r="B3161" s="5">
        <f t="shared" si="108"/>
        <v>2021</v>
      </c>
      <c r="C3161" s="9">
        <v>44434</v>
      </c>
      <c r="D3161">
        <v>5.25</v>
      </c>
    </row>
    <row r="3162" spans="1:4" x14ac:dyDescent="0.25">
      <c r="A3162" s="5">
        <f t="shared" si="107"/>
        <v>8</v>
      </c>
      <c r="B3162" s="5">
        <f t="shared" si="108"/>
        <v>2021</v>
      </c>
      <c r="C3162" s="9">
        <v>44435</v>
      </c>
      <c r="D3162">
        <v>5.25</v>
      </c>
    </row>
    <row r="3163" spans="1:4" x14ac:dyDescent="0.25">
      <c r="A3163" s="5">
        <f t="shared" si="107"/>
        <v>8</v>
      </c>
      <c r="B3163" s="5">
        <f t="shared" si="108"/>
        <v>2021</v>
      </c>
      <c r="C3163" s="9">
        <v>44436</v>
      </c>
      <c r="D3163">
        <v>5.25</v>
      </c>
    </row>
    <row r="3164" spans="1:4" x14ac:dyDescent="0.25">
      <c r="A3164" s="5">
        <f t="shared" si="107"/>
        <v>8</v>
      </c>
      <c r="B3164" s="5">
        <f t="shared" si="108"/>
        <v>2021</v>
      </c>
      <c r="C3164" s="9">
        <v>44437</v>
      </c>
      <c r="D3164">
        <v>5.25</v>
      </c>
    </row>
    <row r="3165" spans="1:4" x14ac:dyDescent="0.25">
      <c r="A3165" s="5">
        <f t="shared" si="107"/>
        <v>8</v>
      </c>
      <c r="B3165" s="5">
        <f t="shared" si="108"/>
        <v>2021</v>
      </c>
      <c r="C3165" s="9">
        <v>44438</v>
      </c>
      <c r="D3165">
        <v>5.25</v>
      </c>
    </row>
    <row r="3166" spans="1:4" x14ac:dyDescent="0.25">
      <c r="A3166" s="5">
        <f t="shared" si="107"/>
        <v>8</v>
      </c>
      <c r="B3166" s="5">
        <f t="shared" si="108"/>
        <v>2021</v>
      </c>
      <c r="C3166" s="9">
        <v>44439</v>
      </c>
      <c r="D3166">
        <v>5.25</v>
      </c>
    </row>
    <row r="3167" spans="1:4" x14ac:dyDescent="0.25">
      <c r="A3167" s="5">
        <f t="shared" si="107"/>
        <v>9</v>
      </c>
      <c r="B3167" s="5">
        <f t="shared" si="108"/>
        <v>2021</v>
      </c>
      <c r="C3167" s="9">
        <v>44440</v>
      </c>
      <c r="D3167">
        <v>5.25</v>
      </c>
    </row>
    <row r="3168" spans="1:4" x14ac:dyDescent="0.25">
      <c r="A3168" s="5">
        <f t="shared" si="107"/>
        <v>9</v>
      </c>
      <c r="B3168" s="5">
        <f t="shared" si="108"/>
        <v>2021</v>
      </c>
      <c r="C3168" s="9">
        <v>44441</v>
      </c>
      <c r="D3168">
        <v>5.25</v>
      </c>
    </row>
    <row r="3169" spans="1:4" x14ac:dyDescent="0.25">
      <c r="A3169" s="5">
        <f t="shared" si="107"/>
        <v>9</v>
      </c>
      <c r="B3169" s="5">
        <f t="shared" si="108"/>
        <v>2021</v>
      </c>
      <c r="C3169" s="9">
        <v>44442</v>
      </c>
      <c r="D3169">
        <v>5.25</v>
      </c>
    </row>
    <row r="3170" spans="1:4" x14ac:dyDescent="0.25">
      <c r="A3170" s="5">
        <f t="shared" si="107"/>
        <v>9</v>
      </c>
      <c r="B3170" s="5">
        <f t="shared" si="108"/>
        <v>2021</v>
      </c>
      <c r="C3170" s="9">
        <v>44443</v>
      </c>
      <c r="D3170">
        <v>5.25</v>
      </c>
    </row>
    <row r="3171" spans="1:4" x14ac:dyDescent="0.25">
      <c r="A3171" s="5">
        <f t="shared" si="107"/>
        <v>9</v>
      </c>
      <c r="B3171" s="5">
        <f t="shared" si="108"/>
        <v>2021</v>
      </c>
      <c r="C3171" s="9">
        <v>44444</v>
      </c>
      <c r="D3171">
        <v>5.25</v>
      </c>
    </row>
    <row r="3172" spans="1:4" x14ac:dyDescent="0.25">
      <c r="A3172" s="5">
        <f t="shared" si="107"/>
        <v>9</v>
      </c>
      <c r="B3172" s="5">
        <f t="shared" si="108"/>
        <v>2021</v>
      </c>
      <c r="C3172" s="9">
        <v>44445</v>
      </c>
      <c r="D3172">
        <v>5.25</v>
      </c>
    </row>
    <row r="3173" spans="1:4" x14ac:dyDescent="0.25">
      <c r="A3173" s="5">
        <f t="shared" si="107"/>
        <v>9</v>
      </c>
      <c r="B3173" s="5">
        <f t="shared" si="108"/>
        <v>2021</v>
      </c>
      <c r="C3173" s="9">
        <v>44446</v>
      </c>
      <c r="D3173">
        <v>5.25</v>
      </c>
    </row>
    <row r="3174" spans="1:4" x14ac:dyDescent="0.25">
      <c r="A3174" s="5">
        <f t="shared" si="107"/>
        <v>9</v>
      </c>
      <c r="B3174" s="5">
        <f t="shared" si="108"/>
        <v>2021</v>
      </c>
      <c r="C3174" s="9">
        <v>44447</v>
      </c>
      <c r="D3174">
        <v>5.25</v>
      </c>
    </row>
    <row r="3175" spans="1:4" x14ac:dyDescent="0.25">
      <c r="A3175" s="5">
        <f t="shared" si="107"/>
        <v>9</v>
      </c>
      <c r="B3175" s="5">
        <f t="shared" si="108"/>
        <v>2021</v>
      </c>
      <c r="C3175" s="9">
        <v>44448</v>
      </c>
      <c r="D3175">
        <v>5.25</v>
      </c>
    </row>
    <row r="3176" spans="1:4" x14ac:dyDescent="0.25">
      <c r="A3176" s="5">
        <f t="shared" si="107"/>
        <v>9</v>
      </c>
      <c r="B3176" s="5">
        <f t="shared" si="108"/>
        <v>2021</v>
      </c>
      <c r="C3176" s="9">
        <v>44449</v>
      </c>
      <c r="D3176">
        <v>5.25</v>
      </c>
    </row>
    <row r="3177" spans="1:4" x14ac:dyDescent="0.25">
      <c r="A3177" s="5">
        <f t="shared" si="107"/>
        <v>9</v>
      </c>
      <c r="B3177" s="5">
        <f t="shared" si="108"/>
        <v>2021</v>
      </c>
      <c r="C3177" s="9">
        <v>44450</v>
      </c>
      <c r="D3177">
        <v>5.25</v>
      </c>
    </row>
    <row r="3178" spans="1:4" x14ac:dyDescent="0.25">
      <c r="A3178" s="5">
        <f t="shared" si="107"/>
        <v>9</v>
      </c>
      <c r="B3178" s="5">
        <f t="shared" si="108"/>
        <v>2021</v>
      </c>
      <c r="C3178" s="9">
        <v>44451</v>
      </c>
      <c r="D3178">
        <v>5.25</v>
      </c>
    </row>
    <row r="3179" spans="1:4" x14ac:dyDescent="0.25">
      <c r="A3179" s="5">
        <f t="shared" si="107"/>
        <v>9</v>
      </c>
      <c r="B3179" s="5">
        <f t="shared" si="108"/>
        <v>2021</v>
      </c>
      <c r="C3179" s="9">
        <v>44452</v>
      </c>
      <c r="D3179">
        <v>5.25</v>
      </c>
    </row>
    <row r="3180" spans="1:4" x14ac:dyDescent="0.25">
      <c r="A3180" s="5">
        <f t="shared" si="107"/>
        <v>9</v>
      </c>
      <c r="B3180" s="5">
        <f t="shared" si="108"/>
        <v>2021</v>
      </c>
      <c r="C3180" s="9">
        <v>44453</v>
      </c>
      <c r="D3180">
        <v>5.25</v>
      </c>
    </row>
    <row r="3181" spans="1:4" x14ac:dyDescent="0.25">
      <c r="A3181" s="5">
        <f t="shared" si="107"/>
        <v>9</v>
      </c>
      <c r="B3181" s="5">
        <f t="shared" si="108"/>
        <v>2021</v>
      </c>
      <c r="C3181" s="9">
        <v>44454</v>
      </c>
      <c r="D3181">
        <v>5.25</v>
      </c>
    </row>
    <row r="3182" spans="1:4" x14ac:dyDescent="0.25">
      <c r="A3182" s="5">
        <f t="shared" si="107"/>
        <v>9</v>
      </c>
      <c r="B3182" s="5">
        <f t="shared" si="108"/>
        <v>2021</v>
      </c>
      <c r="C3182" s="9">
        <v>44455</v>
      </c>
      <c r="D3182">
        <v>5.25</v>
      </c>
    </row>
    <row r="3183" spans="1:4" x14ac:dyDescent="0.25">
      <c r="A3183" s="5">
        <f t="shared" si="107"/>
        <v>9</v>
      </c>
      <c r="B3183" s="5">
        <f t="shared" si="108"/>
        <v>2021</v>
      </c>
      <c r="C3183" s="9">
        <v>44456</v>
      </c>
      <c r="D3183">
        <v>5.25</v>
      </c>
    </row>
    <row r="3184" spans="1:4" x14ac:dyDescent="0.25">
      <c r="A3184" s="5">
        <f t="shared" si="107"/>
        <v>9</v>
      </c>
      <c r="B3184" s="5">
        <f t="shared" si="108"/>
        <v>2021</v>
      </c>
      <c r="C3184" s="9">
        <v>44457</v>
      </c>
      <c r="D3184">
        <v>5.25</v>
      </c>
    </row>
    <row r="3185" spans="1:4" x14ac:dyDescent="0.25">
      <c r="A3185" s="5">
        <f t="shared" si="107"/>
        <v>9</v>
      </c>
      <c r="B3185" s="5">
        <f t="shared" si="108"/>
        <v>2021</v>
      </c>
      <c r="C3185" s="9">
        <v>44458</v>
      </c>
      <c r="D3185">
        <v>5.25</v>
      </c>
    </row>
    <row r="3186" spans="1:4" x14ac:dyDescent="0.25">
      <c r="A3186" s="5">
        <f t="shared" si="107"/>
        <v>9</v>
      </c>
      <c r="B3186" s="5">
        <f t="shared" si="108"/>
        <v>2021</v>
      </c>
      <c r="C3186" s="9">
        <v>44459</v>
      </c>
      <c r="D3186">
        <v>5.25</v>
      </c>
    </row>
    <row r="3187" spans="1:4" x14ac:dyDescent="0.25">
      <c r="A3187" s="5">
        <f t="shared" si="107"/>
        <v>9</v>
      </c>
      <c r="B3187" s="5">
        <f t="shared" si="108"/>
        <v>2021</v>
      </c>
      <c r="C3187" s="9">
        <v>44460</v>
      </c>
      <c r="D3187">
        <v>5.25</v>
      </c>
    </row>
    <row r="3188" spans="1:4" x14ac:dyDescent="0.25">
      <c r="A3188" s="5">
        <f t="shared" si="107"/>
        <v>9</v>
      </c>
      <c r="B3188" s="5">
        <f t="shared" si="108"/>
        <v>2021</v>
      </c>
      <c r="C3188" s="9">
        <v>44461</v>
      </c>
      <c r="D3188">
        <v>5.25</v>
      </c>
    </row>
    <row r="3189" spans="1:4" x14ac:dyDescent="0.25">
      <c r="A3189" s="5">
        <f t="shared" si="107"/>
        <v>9</v>
      </c>
      <c r="B3189" s="5">
        <f t="shared" si="108"/>
        <v>2021</v>
      </c>
      <c r="C3189" s="9">
        <v>44462</v>
      </c>
      <c r="D3189">
        <v>6.25</v>
      </c>
    </row>
    <row r="3190" spans="1:4" x14ac:dyDescent="0.25">
      <c r="A3190" s="5">
        <f t="shared" si="107"/>
        <v>9</v>
      </c>
      <c r="B3190" s="5">
        <f t="shared" si="108"/>
        <v>2021</v>
      </c>
      <c r="C3190" s="9">
        <v>44463</v>
      </c>
      <c r="D3190">
        <v>6.25</v>
      </c>
    </row>
    <row r="3191" spans="1:4" x14ac:dyDescent="0.25">
      <c r="A3191" s="5">
        <f t="shared" si="107"/>
        <v>9</v>
      </c>
      <c r="B3191" s="5">
        <f t="shared" si="108"/>
        <v>2021</v>
      </c>
      <c r="C3191" s="9">
        <v>44464</v>
      </c>
      <c r="D3191">
        <v>6.25</v>
      </c>
    </row>
    <row r="3192" spans="1:4" x14ac:dyDescent="0.25">
      <c r="A3192" s="5">
        <f t="shared" si="107"/>
        <v>9</v>
      </c>
      <c r="B3192" s="5">
        <f t="shared" si="108"/>
        <v>2021</v>
      </c>
      <c r="C3192" s="9">
        <v>44465</v>
      </c>
      <c r="D3192">
        <v>6.25</v>
      </c>
    </row>
    <row r="3193" spans="1:4" x14ac:dyDescent="0.25">
      <c r="A3193" s="5">
        <f t="shared" si="107"/>
        <v>9</v>
      </c>
      <c r="B3193" s="5">
        <f t="shared" si="108"/>
        <v>2021</v>
      </c>
      <c r="C3193" s="9">
        <v>44466</v>
      </c>
      <c r="D3193">
        <v>6.25</v>
      </c>
    </row>
    <row r="3194" spans="1:4" x14ac:dyDescent="0.25">
      <c r="A3194" s="5">
        <f t="shared" si="107"/>
        <v>9</v>
      </c>
      <c r="B3194" s="5">
        <f t="shared" si="108"/>
        <v>2021</v>
      </c>
      <c r="C3194" s="9">
        <v>44467</v>
      </c>
      <c r="D3194">
        <v>6.25</v>
      </c>
    </row>
    <row r="3195" spans="1:4" x14ac:dyDescent="0.25">
      <c r="A3195" s="5">
        <f t="shared" si="107"/>
        <v>9</v>
      </c>
      <c r="B3195" s="5">
        <f t="shared" si="108"/>
        <v>2021</v>
      </c>
      <c r="C3195" s="9">
        <v>44468</v>
      </c>
      <c r="D3195">
        <v>6.25</v>
      </c>
    </row>
    <row r="3196" spans="1:4" x14ac:dyDescent="0.25">
      <c r="A3196" s="5">
        <f t="shared" si="107"/>
        <v>9</v>
      </c>
      <c r="B3196" s="5">
        <f t="shared" si="108"/>
        <v>2021</v>
      </c>
      <c r="C3196" s="9">
        <v>44469</v>
      </c>
      <c r="D3196">
        <v>6.25</v>
      </c>
    </row>
    <row r="3197" spans="1:4" x14ac:dyDescent="0.25">
      <c r="A3197" s="5">
        <f t="shared" si="107"/>
        <v>10</v>
      </c>
      <c r="B3197" s="5">
        <f t="shared" si="108"/>
        <v>2021</v>
      </c>
      <c r="C3197" s="9">
        <v>44470</v>
      </c>
      <c r="D3197">
        <v>6.25</v>
      </c>
    </row>
    <row r="3198" spans="1:4" x14ac:dyDescent="0.25">
      <c r="A3198" s="5">
        <f t="shared" si="107"/>
        <v>10</v>
      </c>
      <c r="B3198" s="5">
        <f t="shared" si="108"/>
        <v>2021</v>
      </c>
      <c r="C3198" s="9">
        <v>44471</v>
      </c>
      <c r="D3198">
        <v>6.25</v>
      </c>
    </row>
    <row r="3199" spans="1:4" x14ac:dyDescent="0.25">
      <c r="A3199" s="5">
        <f t="shared" si="107"/>
        <v>10</v>
      </c>
      <c r="B3199" s="5">
        <f t="shared" si="108"/>
        <v>2021</v>
      </c>
      <c r="C3199" s="9">
        <v>44472</v>
      </c>
      <c r="D3199">
        <v>6.25</v>
      </c>
    </row>
    <row r="3200" spans="1:4" x14ac:dyDescent="0.25">
      <c r="A3200" s="5">
        <f t="shared" si="107"/>
        <v>10</v>
      </c>
      <c r="B3200" s="5">
        <f t="shared" si="108"/>
        <v>2021</v>
      </c>
      <c r="C3200" s="9">
        <v>44473</v>
      </c>
      <c r="D3200">
        <v>6.25</v>
      </c>
    </row>
    <row r="3201" spans="1:4" x14ac:dyDescent="0.25">
      <c r="A3201" s="5">
        <f t="shared" si="107"/>
        <v>10</v>
      </c>
      <c r="B3201" s="5">
        <f t="shared" si="108"/>
        <v>2021</v>
      </c>
      <c r="C3201" s="9">
        <v>44474</v>
      </c>
      <c r="D3201">
        <v>6.25</v>
      </c>
    </row>
    <row r="3202" spans="1:4" x14ac:dyDescent="0.25">
      <c r="A3202" s="5">
        <f t="shared" si="107"/>
        <v>10</v>
      </c>
      <c r="B3202" s="5">
        <f t="shared" si="108"/>
        <v>2021</v>
      </c>
      <c r="C3202" s="9">
        <v>44475</v>
      </c>
      <c r="D3202">
        <v>6.25</v>
      </c>
    </row>
    <row r="3203" spans="1:4" x14ac:dyDescent="0.25">
      <c r="A3203" s="5">
        <f t="shared" ref="A3203:A3266" si="109">MONTH(C3203)</f>
        <v>10</v>
      </c>
      <c r="B3203" s="5">
        <f t="shared" ref="B3203:B3266" si="110">YEAR(C3203)</f>
        <v>2021</v>
      </c>
      <c r="C3203" s="9">
        <v>44476</v>
      </c>
      <c r="D3203">
        <v>6.25</v>
      </c>
    </row>
    <row r="3204" spans="1:4" x14ac:dyDescent="0.25">
      <c r="A3204" s="5">
        <f t="shared" si="109"/>
        <v>10</v>
      </c>
      <c r="B3204" s="5">
        <f t="shared" si="110"/>
        <v>2021</v>
      </c>
      <c r="C3204" s="9">
        <v>44477</v>
      </c>
      <c r="D3204">
        <v>6.25</v>
      </c>
    </row>
    <row r="3205" spans="1:4" x14ac:dyDescent="0.25">
      <c r="A3205" s="5">
        <f t="shared" si="109"/>
        <v>10</v>
      </c>
      <c r="B3205" s="5">
        <f t="shared" si="110"/>
        <v>2021</v>
      </c>
      <c r="C3205" s="9">
        <v>44478</v>
      </c>
      <c r="D3205">
        <v>6.25</v>
      </c>
    </row>
    <row r="3206" spans="1:4" x14ac:dyDescent="0.25">
      <c r="A3206" s="5">
        <f t="shared" si="109"/>
        <v>10</v>
      </c>
      <c r="B3206" s="5">
        <f t="shared" si="110"/>
        <v>2021</v>
      </c>
      <c r="C3206" s="9">
        <v>44479</v>
      </c>
      <c r="D3206">
        <v>6.25</v>
      </c>
    </row>
    <row r="3207" spans="1:4" x14ac:dyDescent="0.25">
      <c r="A3207" s="5">
        <f t="shared" si="109"/>
        <v>10</v>
      </c>
      <c r="B3207" s="5">
        <f t="shared" si="110"/>
        <v>2021</v>
      </c>
      <c r="C3207" s="9">
        <v>44480</v>
      </c>
      <c r="D3207">
        <v>6.25</v>
      </c>
    </row>
    <row r="3208" spans="1:4" x14ac:dyDescent="0.25">
      <c r="A3208" s="5">
        <f t="shared" si="109"/>
        <v>10</v>
      </c>
      <c r="B3208" s="5">
        <f t="shared" si="110"/>
        <v>2021</v>
      </c>
      <c r="C3208" s="9">
        <v>44481</v>
      </c>
      <c r="D3208">
        <v>6.25</v>
      </c>
    </row>
    <row r="3209" spans="1:4" x14ac:dyDescent="0.25">
      <c r="A3209" s="5">
        <f t="shared" si="109"/>
        <v>10</v>
      </c>
      <c r="B3209" s="5">
        <f t="shared" si="110"/>
        <v>2021</v>
      </c>
      <c r="C3209" s="9">
        <v>44482</v>
      </c>
      <c r="D3209">
        <v>6.25</v>
      </c>
    </row>
    <row r="3210" spans="1:4" x14ac:dyDescent="0.25">
      <c r="A3210" s="5">
        <f t="shared" si="109"/>
        <v>10</v>
      </c>
      <c r="B3210" s="5">
        <f t="shared" si="110"/>
        <v>2021</v>
      </c>
      <c r="C3210" s="9">
        <v>44483</v>
      </c>
      <c r="D3210">
        <v>6.25</v>
      </c>
    </row>
    <row r="3211" spans="1:4" x14ac:dyDescent="0.25">
      <c r="A3211" s="5">
        <f t="shared" si="109"/>
        <v>10</v>
      </c>
      <c r="B3211" s="5">
        <f t="shared" si="110"/>
        <v>2021</v>
      </c>
      <c r="C3211" s="9">
        <v>44484</v>
      </c>
      <c r="D3211">
        <v>6.25</v>
      </c>
    </row>
    <row r="3212" spans="1:4" x14ac:dyDescent="0.25">
      <c r="A3212" s="5">
        <f t="shared" si="109"/>
        <v>10</v>
      </c>
      <c r="B3212" s="5">
        <f t="shared" si="110"/>
        <v>2021</v>
      </c>
      <c r="C3212" s="9">
        <v>44485</v>
      </c>
      <c r="D3212">
        <v>6.25</v>
      </c>
    </row>
    <row r="3213" spans="1:4" x14ac:dyDescent="0.25">
      <c r="A3213" s="5">
        <f t="shared" si="109"/>
        <v>10</v>
      </c>
      <c r="B3213" s="5">
        <f t="shared" si="110"/>
        <v>2021</v>
      </c>
      <c r="C3213" s="9">
        <v>44486</v>
      </c>
      <c r="D3213">
        <v>6.25</v>
      </c>
    </row>
    <row r="3214" spans="1:4" x14ac:dyDescent="0.25">
      <c r="A3214" s="5">
        <f t="shared" si="109"/>
        <v>10</v>
      </c>
      <c r="B3214" s="5">
        <f t="shared" si="110"/>
        <v>2021</v>
      </c>
      <c r="C3214" s="9">
        <v>44487</v>
      </c>
      <c r="D3214">
        <v>6.25</v>
      </c>
    </row>
    <row r="3215" spans="1:4" x14ac:dyDescent="0.25">
      <c r="A3215" s="5">
        <f t="shared" si="109"/>
        <v>10</v>
      </c>
      <c r="B3215" s="5">
        <f t="shared" si="110"/>
        <v>2021</v>
      </c>
      <c r="C3215" s="9">
        <v>44488</v>
      </c>
      <c r="D3215">
        <v>6.25</v>
      </c>
    </row>
    <row r="3216" spans="1:4" x14ac:dyDescent="0.25">
      <c r="A3216" s="5">
        <f t="shared" si="109"/>
        <v>10</v>
      </c>
      <c r="B3216" s="5">
        <f t="shared" si="110"/>
        <v>2021</v>
      </c>
      <c r="C3216" s="9">
        <v>44489</v>
      </c>
      <c r="D3216">
        <v>6.25</v>
      </c>
    </row>
    <row r="3217" spans="1:4" x14ac:dyDescent="0.25">
      <c r="A3217" s="5">
        <f t="shared" si="109"/>
        <v>10</v>
      </c>
      <c r="B3217" s="5">
        <f t="shared" si="110"/>
        <v>2021</v>
      </c>
      <c r="C3217" s="9">
        <v>44490</v>
      </c>
      <c r="D3217">
        <v>6.25</v>
      </c>
    </row>
    <row r="3218" spans="1:4" x14ac:dyDescent="0.25">
      <c r="A3218" s="5">
        <f t="shared" si="109"/>
        <v>10</v>
      </c>
      <c r="B3218" s="5">
        <f t="shared" si="110"/>
        <v>2021</v>
      </c>
      <c r="C3218" s="9">
        <v>44491</v>
      </c>
      <c r="D3218">
        <v>6.25</v>
      </c>
    </row>
    <row r="3219" spans="1:4" x14ac:dyDescent="0.25">
      <c r="A3219" s="5">
        <f t="shared" si="109"/>
        <v>10</v>
      </c>
      <c r="B3219" s="5">
        <f t="shared" si="110"/>
        <v>2021</v>
      </c>
      <c r="C3219" s="9">
        <v>44492</v>
      </c>
      <c r="D3219">
        <v>6.25</v>
      </c>
    </row>
    <row r="3220" spans="1:4" x14ac:dyDescent="0.25">
      <c r="A3220" s="5">
        <f t="shared" si="109"/>
        <v>10</v>
      </c>
      <c r="B3220" s="5">
        <f t="shared" si="110"/>
        <v>2021</v>
      </c>
      <c r="C3220" s="9">
        <v>44493</v>
      </c>
      <c r="D3220">
        <v>6.25</v>
      </c>
    </row>
    <row r="3221" spans="1:4" x14ac:dyDescent="0.25">
      <c r="A3221" s="5">
        <f t="shared" si="109"/>
        <v>10</v>
      </c>
      <c r="B3221" s="5">
        <f t="shared" si="110"/>
        <v>2021</v>
      </c>
      <c r="C3221" s="9">
        <v>44494</v>
      </c>
      <c r="D3221">
        <v>6.25</v>
      </c>
    </row>
    <row r="3222" spans="1:4" x14ac:dyDescent="0.25">
      <c r="A3222" s="5">
        <f t="shared" si="109"/>
        <v>10</v>
      </c>
      <c r="B3222" s="5">
        <f t="shared" si="110"/>
        <v>2021</v>
      </c>
      <c r="C3222" s="9">
        <v>44495</v>
      </c>
      <c r="D3222">
        <v>6.25</v>
      </c>
    </row>
    <row r="3223" spans="1:4" x14ac:dyDescent="0.25">
      <c r="A3223" s="5">
        <f t="shared" si="109"/>
        <v>10</v>
      </c>
      <c r="B3223" s="5">
        <f t="shared" si="110"/>
        <v>2021</v>
      </c>
      <c r="C3223" s="9">
        <v>44496</v>
      </c>
      <c r="D3223">
        <v>6.25</v>
      </c>
    </row>
    <row r="3224" spans="1:4" x14ac:dyDescent="0.25">
      <c r="A3224" s="5">
        <f t="shared" si="109"/>
        <v>10</v>
      </c>
      <c r="B3224" s="5">
        <f t="shared" si="110"/>
        <v>2021</v>
      </c>
      <c r="C3224" s="9">
        <v>44497</v>
      </c>
      <c r="D3224">
        <v>7.75</v>
      </c>
    </row>
    <row r="3225" spans="1:4" x14ac:dyDescent="0.25">
      <c r="A3225" s="5">
        <f t="shared" si="109"/>
        <v>10</v>
      </c>
      <c r="B3225" s="5">
        <f t="shared" si="110"/>
        <v>2021</v>
      </c>
      <c r="C3225" s="9">
        <v>44498</v>
      </c>
      <c r="D3225">
        <v>7.75</v>
      </c>
    </row>
    <row r="3226" spans="1:4" x14ac:dyDescent="0.25">
      <c r="A3226" s="5">
        <f t="shared" si="109"/>
        <v>10</v>
      </c>
      <c r="B3226" s="5">
        <f t="shared" si="110"/>
        <v>2021</v>
      </c>
      <c r="C3226" s="9">
        <v>44499</v>
      </c>
      <c r="D3226">
        <v>7.75</v>
      </c>
    </row>
    <row r="3227" spans="1:4" x14ac:dyDescent="0.25">
      <c r="A3227" s="5">
        <f t="shared" si="109"/>
        <v>10</v>
      </c>
      <c r="B3227" s="5">
        <f t="shared" si="110"/>
        <v>2021</v>
      </c>
      <c r="C3227" s="9">
        <v>44500</v>
      </c>
      <c r="D3227">
        <v>7.75</v>
      </c>
    </row>
    <row r="3228" spans="1:4" x14ac:dyDescent="0.25">
      <c r="A3228" s="5">
        <f t="shared" si="109"/>
        <v>11</v>
      </c>
      <c r="B3228" s="5">
        <f t="shared" si="110"/>
        <v>2021</v>
      </c>
      <c r="C3228" s="9">
        <v>44501</v>
      </c>
      <c r="D3228">
        <v>7.75</v>
      </c>
    </row>
    <row r="3229" spans="1:4" x14ac:dyDescent="0.25">
      <c r="A3229" s="5">
        <f t="shared" si="109"/>
        <v>11</v>
      </c>
      <c r="B3229" s="5">
        <f t="shared" si="110"/>
        <v>2021</v>
      </c>
      <c r="C3229" s="9">
        <v>44502</v>
      </c>
      <c r="D3229">
        <v>7.75</v>
      </c>
    </row>
    <row r="3230" spans="1:4" x14ac:dyDescent="0.25">
      <c r="A3230" s="5">
        <f t="shared" si="109"/>
        <v>11</v>
      </c>
      <c r="B3230" s="5">
        <f t="shared" si="110"/>
        <v>2021</v>
      </c>
      <c r="C3230" s="9">
        <v>44503</v>
      </c>
      <c r="D3230">
        <v>7.75</v>
      </c>
    </row>
    <row r="3231" spans="1:4" x14ac:dyDescent="0.25">
      <c r="A3231" s="5">
        <f t="shared" si="109"/>
        <v>11</v>
      </c>
      <c r="B3231" s="5">
        <f t="shared" si="110"/>
        <v>2021</v>
      </c>
      <c r="C3231" s="9">
        <v>44504</v>
      </c>
      <c r="D3231">
        <v>7.75</v>
      </c>
    </row>
    <row r="3232" spans="1:4" x14ac:dyDescent="0.25">
      <c r="A3232" s="5">
        <f t="shared" si="109"/>
        <v>11</v>
      </c>
      <c r="B3232" s="5">
        <f t="shared" si="110"/>
        <v>2021</v>
      </c>
      <c r="C3232" s="9">
        <v>44505</v>
      </c>
      <c r="D3232">
        <v>7.75</v>
      </c>
    </row>
    <row r="3233" spans="1:4" x14ac:dyDescent="0.25">
      <c r="A3233" s="5">
        <f t="shared" si="109"/>
        <v>11</v>
      </c>
      <c r="B3233" s="5">
        <f t="shared" si="110"/>
        <v>2021</v>
      </c>
      <c r="C3233" s="9">
        <v>44506</v>
      </c>
      <c r="D3233">
        <v>7.75</v>
      </c>
    </row>
    <row r="3234" spans="1:4" x14ac:dyDescent="0.25">
      <c r="A3234" s="5">
        <f t="shared" si="109"/>
        <v>11</v>
      </c>
      <c r="B3234" s="5">
        <f t="shared" si="110"/>
        <v>2021</v>
      </c>
      <c r="C3234" s="9">
        <v>44507</v>
      </c>
      <c r="D3234">
        <v>7.75</v>
      </c>
    </row>
    <row r="3235" spans="1:4" x14ac:dyDescent="0.25">
      <c r="A3235" s="5">
        <f t="shared" si="109"/>
        <v>11</v>
      </c>
      <c r="B3235" s="5">
        <f t="shared" si="110"/>
        <v>2021</v>
      </c>
      <c r="C3235" s="9">
        <v>44508</v>
      </c>
      <c r="D3235">
        <v>7.75</v>
      </c>
    </row>
    <row r="3236" spans="1:4" x14ac:dyDescent="0.25">
      <c r="A3236" s="5">
        <f t="shared" si="109"/>
        <v>11</v>
      </c>
      <c r="B3236" s="5">
        <f t="shared" si="110"/>
        <v>2021</v>
      </c>
      <c r="C3236" s="9">
        <v>44509</v>
      </c>
      <c r="D3236">
        <v>7.75</v>
      </c>
    </row>
    <row r="3237" spans="1:4" x14ac:dyDescent="0.25">
      <c r="A3237" s="5">
        <f t="shared" si="109"/>
        <v>11</v>
      </c>
      <c r="B3237" s="5">
        <f t="shared" si="110"/>
        <v>2021</v>
      </c>
      <c r="C3237" s="9">
        <v>44510</v>
      </c>
      <c r="D3237">
        <v>7.75</v>
      </c>
    </row>
    <row r="3238" spans="1:4" x14ac:dyDescent="0.25">
      <c r="A3238" s="5">
        <f t="shared" si="109"/>
        <v>11</v>
      </c>
      <c r="B3238" s="5">
        <f t="shared" si="110"/>
        <v>2021</v>
      </c>
      <c r="C3238" s="9">
        <v>44511</v>
      </c>
      <c r="D3238">
        <v>7.75</v>
      </c>
    </row>
    <row r="3239" spans="1:4" x14ac:dyDescent="0.25">
      <c r="A3239" s="5">
        <f t="shared" si="109"/>
        <v>11</v>
      </c>
      <c r="B3239" s="5">
        <f t="shared" si="110"/>
        <v>2021</v>
      </c>
      <c r="C3239" s="9">
        <v>44512</v>
      </c>
      <c r="D3239">
        <v>7.75</v>
      </c>
    </row>
    <row r="3240" spans="1:4" x14ac:dyDescent="0.25">
      <c r="A3240" s="5">
        <f t="shared" si="109"/>
        <v>11</v>
      </c>
      <c r="B3240" s="5">
        <f t="shared" si="110"/>
        <v>2021</v>
      </c>
      <c r="C3240" s="9">
        <v>44513</v>
      </c>
      <c r="D3240">
        <v>7.75</v>
      </c>
    </row>
    <row r="3241" spans="1:4" x14ac:dyDescent="0.25">
      <c r="A3241" s="5">
        <f t="shared" si="109"/>
        <v>11</v>
      </c>
      <c r="B3241" s="5">
        <f t="shared" si="110"/>
        <v>2021</v>
      </c>
      <c r="C3241" s="9">
        <v>44514</v>
      </c>
      <c r="D3241">
        <v>7.75</v>
      </c>
    </row>
    <row r="3242" spans="1:4" x14ac:dyDescent="0.25">
      <c r="A3242" s="5">
        <f t="shared" si="109"/>
        <v>11</v>
      </c>
      <c r="B3242" s="5">
        <f t="shared" si="110"/>
        <v>2021</v>
      </c>
      <c r="C3242" s="9">
        <v>44515</v>
      </c>
      <c r="D3242">
        <v>7.75</v>
      </c>
    </row>
    <row r="3243" spans="1:4" x14ac:dyDescent="0.25">
      <c r="A3243" s="5">
        <f t="shared" si="109"/>
        <v>11</v>
      </c>
      <c r="B3243" s="5">
        <f t="shared" si="110"/>
        <v>2021</v>
      </c>
      <c r="C3243" s="9">
        <v>44516</v>
      </c>
      <c r="D3243">
        <v>7.75</v>
      </c>
    </row>
    <row r="3244" spans="1:4" x14ac:dyDescent="0.25">
      <c r="A3244" s="5">
        <f t="shared" si="109"/>
        <v>11</v>
      </c>
      <c r="B3244" s="5">
        <f t="shared" si="110"/>
        <v>2021</v>
      </c>
      <c r="C3244" s="9">
        <v>44517</v>
      </c>
      <c r="D3244">
        <v>7.75</v>
      </c>
    </row>
    <row r="3245" spans="1:4" x14ac:dyDescent="0.25">
      <c r="A3245" s="5">
        <f t="shared" si="109"/>
        <v>11</v>
      </c>
      <c r="B3245" s="5">
        <f t="shared" si="110"/>
        <v>2021</v>
      </c>
      <c r="C3245" s="9">
        <v>44518</v>
      </c>
      <c r="D3245">
        <v>7.75</v>
      </c>
    </row>
    <row r="3246" spans="1:4" x14ac:dyDescent="0.25">
      <c r="A3246" s="5">
        <f t="shared" si="109"/>
        <v>11</v>
      </c>
      <c r="B3246" s="5">
        <f t="shared" si="110"/>
        <v>2021</v>
      </c>
      <c r="C3246" s="9">
        <v>44519</v>
      </c>
      <c r="D3246">
        <v>7.75</v>
      </c>
    </row>
    <row r="3247" spans="1:4" x14ac:dyDescent="0.25">
      <c r="A3247" s="5">
        <f t="shared" si="109"/>
        <v>11</v>
      </c>
      <c r="B3247" s="5">
        <f t="shared" si="110"/>
        <v>2021</v>
      </c>
      <c r="C3247" s="9">
        <v>44520</v>
      </c>
      <c r="D3247">
        <v>7.75</v>
      </c>
    </row>
    <row r="3248" spans="1:4" x14ac:dyDescent="0.25">
      <c r="A3248" s="5">
        <f t="shared" si="109"/>
        <v>11</v>
      </c>
      <c r="B3248" s="5">
        <f t="shared" si="110"/>
        <v>2021</v>
      </c>
      <c r="C3248" s="9">
        <v>44521</v>
      </c>
      <c r="D3248">
        <v>7.75</v>
      </c>
    </row>
    <row r="3249" spans="1:4" x14ac:dyDescent="0.25">
      <c r="A3249" s="5">
        <f t="shared" si="109"/>
        <v>11</v>
      </c>
      <c r="B3249" s="5">
        <f t="shared" si="110"/>
        <v>2021</v>
      </c>
      <c r="C3249" s="9">
        <v>44522</v>
      </c>
      <c r="D3249">
        <v>7.75</v>
      </c>
    </row>
    <row r="3250" spans="1:4" x14ac:dyDescent="0.25">
      <c r="A3250" s="5">
        <f t="shared" si="109"/>
        <v>11</v>
      </c>
      <c r="B3250" s="5">
        <f t="shared" si="110"/>
        <v>2021</v>
      </c>
      <c r="C3250" s="9">
        <v>44523</v>
      </c>
      <c r="D3250">
        <v>7.75</v>
      </c>
    </row>
    <row r="3251" spans="1:4" x14ac:dyDescent="0.25">
      <c r="A3251" s="5">
        <f t="shared" si="109"/>
        <v>11</v>
      </c>
      <c r="B3251" s="5">
        <f t="shared" si="110"/>
        <v>2021</v>
      </c>
      <c r="C3251" s="9">
        <v>44524</v>
      </c>
      <c r="D3251">
        <v>7.75</v>
      </c>
    </row>
    <row r="3252" spans="1:4" x14ac:dyDescent="0.25">
      <c r="A3252" s="5">
        <f t="shared" si="109"/>
        <v>11</v>
      </c>
      <c r="B3252" s="5">
        <f t="shared" si="110"/>
        <v>2021</v>
      </c>
      <c r="C3252" s="9">
        <v>44525</v>
      </c>
      <c r="D3252">
        <v>7.75</v>
      </c>
    </row>
    <row r="3253" spans="1:4" x14ac:dyDescent="0.25">
      <c r="A3253" s="5">
        <f t="shared" si="109"/>
        <v>11</v>
      </c>
      <c r="B3253" s="5">
        <f t="shared" si="110"/>
        <v>2021</v>
      </c>
      <c r="C3253" s="9">
        <v>44526</v>
      </c>
      <c r="D3253">
        <v>7.75</v>
      </c>
    </row>
    <row r="3254" spans="1:4" x14ac:dyDescent="0.25">
      <c r="A3254" s="5">
        <f t="shared" si="109"/>
        <v>11</v>
      </c>
      <c r="B3254" s="5">
        <f t="shared" si="110"/>
        <v>2021</v>
      </c>
      <c r="C3254" s="9">
        <v>44527</v>
      </c>
      <c r="D3254">
        <v>7.75</v>
      </c>
    </row>
    <row r="3255" spans="1:4" x14ac:dyDescent="0.25">
      <c r="A3255" s="5">
        <f t="shared" si="109"/>
        <v>11</v>
      </c>
      <c r="B3255" s="5">
        <f t="shared" si="110"/>
        <v>2021</v>
      </c>
      <c r="C3255" s="9">
        <v>44528</v>
      </c>
      <c r="D3255">
        <v>7.75</v>
      </c>
    </row>
    <row r="3256" spans="1:4" x14ac:dyDescent="0.25">
      <c r="A3256" s="5">
        <f t="shared" si="109"/>
        <v>11</v>
      </c>
      <c r="B3256" s="5">
        <f t="shared" si="110"/>
        <v>2021</v>
      </c>
      <c r="C3256" s="9">
        <v>44529</v>
      </c>
      <c r="D3256">
        <v>7.75</v>
      </c>
    </row>
    <row r="3257" spans="1:4" x14ac:dyDescent="0.25">
      <c r="A3257" s="5">
        <f t="shared" si="109"/>
        <v>11</v>
      </c>
      <c r="B3257" s="5">
        <f t="shared" si="110"/>
        <v>2021</v>
      </c>
      <c r="C3257" s="9">
        <v>44530</v>
      </c>
      <c r="D3257">
        <v>7.75</v>
      </c>
    </row>
    <row r="3258" spans="1:4" x14ac:dyDescent="0.25">
      <c r="A3258" s="5">
        <f t="shared" si="109"/>
        <v>12</v>
      </c>
      <c r="B3258" s="5">
        <f t="shared" si="110"/>
        <v>2021</v>
      </c>
      <c r="C3258" s="9">
        <v>44531</v>
      </c>
      <c r="D3258">
        <v>7.75</v>
      </c>
    </row>
    <row r="3259" spans="1:4" x14ac:dyDescent="0.25">
      <c r="A3259" s="5">
        <f t="shared" si="109"/>
        <v>12</v>
      </c>
      <c r="B3259" s="5">
        <f t="shared" si="110"/>
        <v>2021</v>
      </c>
      <c r="C3259" s="9">
        <v>44532</v>
      </c>
      <c r="D3259">
        <v>7.75</v>
      </c>
    </row>
    <row r="3260" spans="1:4" x14ac:dyDescent="0.25">
      <c r="A3260" s="5">
        <f t="shared" si="109"/>
        <v>12</v>
      </c>
      <c r="B3260" s="5">
        <f t="shared" si="110"/>
        <v>2021</v>
      </c>
      <c r="C3260" s="9">
        <v>44533</v>
      </c>
      <c r="D3260">
        <v>7.75</v>
      </c>
    </row>
    <row r="3261" spans="1:4" x14ac:dyDescent="0.25">
      <c r="A3261" s="5">
        <f t="shared" si="109"/>
        <v>12</v>
      </c>
      <c r="B3261" s="5">
        <f t="shared" si="110"/>
        <v>2021</v>
      </c>
      <c r="C3261" s="9">
        <v>44534</v>
      </c>
      <c r="D3261">
        <v>7.75</v>
      </c>
    </row>
    <row r="3262" spans="1:4" x14ac:dyDescent="0.25">
      <c r="A3262" s="5">
        <f t="shared" si="109"/>
        <v>12</v>
      </c>
      <c r="B3262" s="5">
        <f t="shared" si="110"/>
        <v>2021</v>
      </c>
      <c r="C3262" s="9">
        <v>44535</v>
      </c>
      <c r="D3262">
        <v>7.75</v>
      </c>
    </row>
    <row r="3263" spans="1:4" x14ac:dyDescent="0.25">
      <c r="A3263" s="5">
        <f t="shared" si="109"/>
        <v>12</v>
      </c>
      <c r="B3263" s="5">
        <f t="shared" si="110"/>
        <v>2021</v>
      </c>
      <c r="C3263" s="9">
        <v>44536</v>
      </c>
      <c r="D3263">
        <v>7.75</v>
      </c>
    </row>
    <row r="3264" spans="1:4" x14ac:dyDescent="0.25">
      <c r="A3264" s="5">
        <f t="shared" si="109"/>
        <v>12</v>
      </c>
      <c r="B3264" s="5">
        <f t="shared" si="110"/>
        <v>2021</v>
      </c>
      <c r="C3264" s="9">
        <v>44537</v>
      </c>
      <c r="D3264">
        <v>7.75</v>
      </c>
    </row>
    <row r="3265" spans="1:4" x14ac:dyDescent="0.25">
      <c r="A3265" s="5">
        <f t="shared" si="109"/>
        <v>12</v>
      </c>
      <c r="B3265" s="5">
        <f t="shared" si="110"/>
        <v>2021</v>
      </c>
      <c r="C3265" s="9">
        <v>44538</v>
      </c>
      <c r="D3265">
        <v>7.75</v>
      </c>
    </row>
    <row r="3266" spans="1:4" x14ac:dyDescent="0.25">
      <c r="A3266" s="5">
        <f t="shared" si="109"/>
        <v>12</v>
      </c>
      <c r="B3266" s="5">
        <f t="shared" si="110"/>
        <v>2021</v>
      </c>
      <c r="C3266" s="9">
        <v>44539</v>
      </c>
      <c r="D3266">
        <v>9.25</v>
      </c>
    </row>
    <row r="3267" spans="1:4" x14ac:dyDescent="0.25">
      <c r="A3267" s="5">
        <f t="shared" ref="A3267:A3330" si="111">MONTH(C3267)</f>
        <v>12</v>
      </c>
      <c r="B3267" s="5">
        <f t="shared" ref="B3267:B3330" si="112">YEAR(C3267)</f>
        <v>2021</v>
      </c>
      <c r="C3267" s="9">
        <v>44540</v>
      </c>
      <c r="D3267">
        <v>9.25</v>
      </c>
    </row>
    <row r="3268" spans="1:4" x14ac:dyDescent="0.25">
      <c r="A3268" s="5">
        <f t="shared" si="111"/>
        <v>12</v>
      </c>
      <c r="B3268" s="5">
        <f t="shared" si="112"/>
        <v>2021</v>
      </c>
      <c r="C3268" s="9">
        <v>44541</v>
      </c>
      <c r="D3268">
        <v>9.25</v>
      </c>
    </row>
    <row r="3269" spans="1:4" x14ac:dyDescent="0.25">
      <c r="A3269" s="5">
        <f t="shared" si="111"/>
        <v>12</v>
      </c>
      <c r="B3269" s="5">
        <f t="shared" si="112"/>
        <v>2021</v>
      </c>
      <c r="C3269" s="9">
        <v>44542</v>
      </c>
      <c r="D3269">
        <v>9.25</v>
      </c>
    </row>
    <row r="3270" spans="1:4" x14ac:dyDescent="0.25">
      <c r="A3270" s="5">
        <f t="shared" si="111"/>
        <v>12</v>
      </c>
      <c r="B3270" s="5">
        <f t="shared" si="112"/>
        <v>2021</v>
      </c>
      <c r="C3270" s="9">
        <v>44543</v>
      </c>
      <c r="D3270">
        <v>9.25</v>
      </c>
    </row>
    <row r="3271" spans="1:4" x14ac:dyDescent="0.25">
      <c r="A3271" s="5">
        <f t="shared" si="111"/>
        <v>12</v>
      </c>
      <c r="B3271" s="5">
        <f t="shared" si="112"/>
        <v>2021</v>
      </c>
      <c r="C3271" s="9">
        <v>44544</v>
      </c>
      <c r="D3271">
        <v>9.25</v>
      </c>
    </row>
    <row r="3272" spans="1:4" x14ac:dyDescent="0.25">
      <c r="A3272" s="5">
        <f t="shared" si="111"/>
        <v>12</v>
      </c>
      <c r="B3272" s="5">
        <f t="shared" si="112"/>
        <v>2021</v>
      </c>
      <c r="C3272" s="9">
        <v>44545</v>
      </c>
      <c r="D3272">
        <v>9.25</v>
      </c>
    </row>
    <row r="3273" spans="1:4" x14ac:dyDescent="0.25">
      <c r="A3273" s="5">
        <f t="shared" si="111"/>
        <v>12</v>
      </c>
      <c r="B3273" s="5">
        <f t="shared" si="112"/>
        <v>2021</v>
      </c>
      <c r="C3273" s="9">
        <v>44546</v>
      </c>
      <c r="D3273">
        <v>9.25</v>
      </c>
    </row>
    <row r="3274" spans="1:4" x14ac:dyDescent="0.25">
      <c r="A3274" s="5">
        <f t="shared" si="111"/>
        <v>12</v>
      </c>
      <c r="B3274" s="5">
        <f t="shared" si="112"/>
        <v>2021</v>
      </c>
      <c r="C3274" s="9">
        <v>44547</v>
      </c>
      <c r="D3274">
        <v>9.25</v>
      </c>
    </row>
    <row r="3275" spans="1:4" x14ac:dyDescent="0.25">
      <c r="A3275" s="5">
        <f t="shared" si="111"/>
        <v>12</v>
      </c>
      <c r="B3275" s="5">
        <f t="shared" si="112"/>
        <v>2021</v>
      </c>
      <c r="C3275" s="9">
        <v>44548</v>
      </c>
      <c r="D3275">
        <v>9.25</v>
      </c>
    </row>
    <row r="3276" spans="1:4" x14ac:dyDescent="0.25">
      <c r="A3276" s="5">
        <f t="shared" si="111"/>
        <v>12</v>
      </c>
      <c r="B3276" s="5">
        <f t="shared" si="112"/>
        <v>2021</v>
      </c>
      <c r="C3276" s="9">
        <v>44549</v>
      </c>
      <c r="D3276">
        <v>9.25</v>
      </c>
    </row>
    <row r="3277" spans="1:4" x14ac:dyDescent="0.25">
      <c r="A3277" s="5">
        <f t="shared" si="111"/>
        <v>12</v>
      </c>
      <c r="B3277" s="5">
        <f t="shared" si="112"/>
        <v>2021</v>
      </c>
      <c r="C3277" s="9">
        <v>44550</v>
      </c>
      <c r="D3277">
        <v>9.25</v>
      </c>
    </row>
    <row r="3278" spans="1:4" x14ac:dyDescent="0.25">
      <c r="A3278" s="5">
        <f t="shared" si="111"/>
        <v>12</v>
      </c>
      <c r="B3278" s="5">
        <f t="shared" si="112"/>
        <v>2021</v>
      </c>
      <c r="C3278" s="9">
        <v>44551</v>
      </c>
      <c r="D3278">
        <v>9.25</v>
      </c>
    </row>
    <row r="3279" spans="1:4" x14ac:dyDescent="0.25">
      <c r="A3279" s="5">
        <f t="shared" si="111"/>
        <v>12</v>
      </c>
      <c r="B3279" s="5">
        <f t="shared" si="112"/>
        <v>2021</v>
      </c>
      <c r="C3279" s="9">
        <v>44552</v>
      </c>
      <c r="D3279">
        <v>9.25</v>
      </c>
    </row>
    <row r="3280" spans="1:4" x14ac:dyDescent="0.25">
      <c r="A3280" s="5">
        <f t="shared" si="111"/>
        <v>12</v>
      </c>
      <c r="B3280" s="5">
        <f t="shared" si="112"/>
        <v>2021</v>
      </c>
      <c r="C3280" s="9">
        <v>44553</v>
      </c>
      <c r="D3280">
        <v>9.25</v>
      </c>
    </row>
    <row r="3281" spans="1:4" x14ac:dyDescent="0.25">
      <c r="A3281" s="5">
        <f t="shared" si="111"/>
        <v>12</v>
      </c>
      <c r="B3281" s="5">
        <f t="shared" si="112"/>
        <v>2021</v>
      </c>
      <c r="C3281" s="9">
        <v>44554</v>
      </c>
      <c r="D3281">
        <v>9.25</v>
      </c>
    </row>
    <row r="3282" spans="1:4" x14ac:dyDescent="0.25">
      <c r="A3282" s="5">
        <f t="shared" si="111"/>
        <v>12</v>
      </c>
      <c r="B3282" s="5">
        <f t="shared" si="112"/>
        <v>2021</v>
      </c>
      <c r="C3282" s="9">
        <v>44555</v>
      </c>
      <c r="D3282">
        <v>9.25</v>
      </c>
    </row>
    <row r="3283" spans="1:4" x14ac:dyDescent="0.25">
      <c r="A3283" s="5">
        <f t="shared" si="111"/>
        <v>12</v>
      </c>
      <c r="B3283" s="5">
        <f t="shared" si="112"/>
        <v>2021</v>
      </c>
      <c r="C3283" s="9">
        <v>44556</v>
      </c>
      <c r="D3283">
        <v>9.25</v>
      </c>
    </row>
    <row r="3284" spans="1:4" x14ac:dyDescent="0.25">
      <c r="A3284" s="5">
        <f t="shared" si="111"/>
        <v>12</v>
      </c>
      <c r="B3284" s="5">
        <f t="shared" si="112"/>
        <v>2021</v>
      </c>
      <c r="C3284" s="9">
        <v>44557</v>
      </c>
      <c r="D3284">
        <v>9.25</v>
      </c>
    </row>
    <row r="3285" spans="1:4" x14ac:dyDescent="0.25">
      <c r="A3285" s="5">
        <f t="shared" si="111"/>
        <v>12</v>
      </c>
      <c r="B3285" s="5">
        <f t="shared" si="112"/>
        <v>2021</v>
      </c>
      <c r="C3285" s="9">
        <v>44558</v>
      </c>
      <c r="D3285">
        <v>9.25</v>
      </c>
    </row>
    <row r="3286" spans="1:4" x14ac:dyDescent="0.25">
      <c r="A3286" s="5">
        <f t="shared" si="111"/>
        <v>12</v>
      </c>
      <c r="B3286" s="5">
        <f t="shared" si="112"/>
        <v>2021</v>
      </c>
      <c r="C3286" s="9">
        <v>44559</v>
      </c>
      <c r="D3286">
        <v>9.25</v>
      </c>
    </row>
    <row r="3287" spans="1:4" x14ac:dyDescent="0.25">
      <c r="A3287" s="5">
        <f t="shared" si="111"/>
        <v>12</v>
      </c>
      <c r="B3287" s="5">
        <f t="shared" si="112"/>
        <v>2021</v>
      </c>
      <c r="C3287" s="9">
        <v>44560</v>
      </c>
      <c r="D3287">
        <v>9.25</v>
      </c>
    </row>
    <row r="3288" spans="1:4" x14ac:dyDescent="0.25">
      <c r="A3288" s="5">
        <f t="shared" si="111"/>
        <v>12</v>
      </c>
      <c r="B3288" s="5">
        <f t="shared" si="112"/>
        <v>2021</v>
      </c>
      <c r="C3288" s="9">
        <v>44561</v>
      </c>
      <c r="D3288">
        <v>9.25</v>
      </c>
    </row>
    <row r="3289" spans="1:4" x14ac:dyDescent="0.25">
      <c r="A3289" s="5">
        <f t="shared" si="111"/>
        <v>1</v>
      </c>
      <c r="B3289" s="5">
        <f t="shared" si="112"/>
        <v>2022</v>
      </c>
      <c r="C3289" s="9">
        <v>44562</v>
      </c>
      <c r="D3289">
        <v>9.25</v>
      </c>
    </row>
    <row r="3290" spans="1:4" x14ac:dyDescent="0.25">
      <c r="A3290" s="5">
        <f t="shared" si="111"/>
        <v>1</v>
      </c>
      <c r="B3290" s="5">
        <f t="shared" si="112"/>
        <v>2022</v>
      </c>
      <c r="C3290" s="9">
        <v>44563</v>
      </c>
      <c r="D3290">
        <v>9.25</v>
      </c>
    </row>
    <row r="3291" spans="1:4" x14ac:dyDescent="0.25">
      <c r="A3291" s="5">
        <f t="shared" si="111"/>
        <v>1</v>
      </c>
      <c r="B3291" s="5">
        <f t="shared" si="112"/>
        <v>2022</v>
      </c>
      <c r="C3291" s="9">
        <v>44564</v>
      </c>
      <c r="D3291">
        <v>9.25</v>
      </c>
    </row>
    <row r="3292" spans="1:4" x14ac:dyDescent="0.25">
      <c r="A3292" s="5">
        <f t="shared" si="111"/>
        <v>1</v>
      </c>
      <c r="B3292" s="5">
        <f t="shared" si="112"/>
        <v>2022</v>
      </c>
      <c r="C3292" s="9">
        <v>44565</v>
      </c>
      <c r="D3292">
        <v>9.25</v>
      </c>
    </row>
    <row r="3293" spans="1:4" x14ac:dyDescent="0.25">
      <c r="A3293" s="5">
        <f t="shared" si="111"/>
        <v>1</v>
      </c>
      <c r="B3293" s="5">
        <f t="shared" si="112"/>
        <v>2022</v>
      </c>
      <c r="C3293" s="9">
        <v>44566</v>
      </c>
      <c r="D3293">
        <v>9.25</v>
      </c>
    </row>
    <row r="3294" spans="1:4" x14ac:dyDescent="0.25">
      <c r="A3294" s="5">
        <f t="shared" si="111"/>
        <v>1</v>
      </c>
      <c r="B3294" s="5">
        <f t="shared" si="112"/>
        <v>2022</v>
      </c>
      <c r="C3294" s="9">
        <v>44567</v>
      </c>
      <c r="D3294">
        <v>9.25</v>
      </c>
    </row>
    <row r="3295" spans="1:4" x14ac:dyDescent="0.25">
      <c r="A3295" s="5">
        <f t="shared" si="111"/>
        <v>1</v>
      </c>
      <c r="B3295" s="5">
        <f t="shared" si="112"/>
        <v>2022</v>
      </c>
      <c r="C3295" s="9">
        <v>44568</v>
      </c>
      <c r="D3295">
        <v>9.25</v>
      </c>
    </row>
    <row r="3296" spans="1:4" x14ac:dyDescent="0.25">
      <c r="A3296" s="5">
        <f t="shared" si="111"/>
        <v>1</v>
      </c>
      <c r="B3296" s="5">
        <f t="shared" si="112"/>
        <v>2022</v>
      </c>
      <c r="C3296" s="9">
        <v>44569</v>
      </c>
      <c r="D3296">
        <v>9.25</v>
      </c>
    </row>
    <row r="3297" spans="1:4" x14ac:dyDescent="0.25">
      <c r="A3297" s="5">
        <f t="shared" si="111"/>
        <v>1</v>
      </c>
      <c r="B3297" s="5">
        <f t="shared" si="112"/>
        <v>2022</v>
      </c>
      <c r="C3297" s="9">
        <v>44570</v>
      </c>
      <c r="D3297">
        <v>9.25</v>
      </c>
    </row>
    <row r="3298" spans="1:4" x14ac:dyDescent="0.25">
      <c r="A3298" s="5">
        <f t="shared" si="111"/>
        <v>1</v>
      </c>
      <c r="B3298" s="5">
        <f t="shared" si="112"/>
        <v>2022</v>
      </c>
      <c r="C3298" s="9">
        <v>44571</v>
      </c>
      <c r="D3298">
        <v>9.25</v>
      </c>
    </row>
    <row r="3299" spans="1:4" x14ac:dyDescent="0.25">
      <c r="A3299" s="5">
        <f t="shared" si="111"/>
        <v>1</v>
      </c>
      <c r="B3299" s="5">
        <f t="shared" si="112"/>
        <v>2022</v>
      </c>
      <c r="C3299" s="9">
        <v>44572</v>
      </c>
      <c r="D3299">
        <v>9.25</v>
      </c>
    </row>
    <row r="3300" spans="1:4" x14ac:dyDescent="0.25">
      <c r="A3300" s="5">
        <f t="shared" si="111"/>
        <v>1</v>
      </c>
      <c r="B3300" s="5">
        <f t="shared" si="112"/>
        <v>2022</v>
      </c>
      <c r="C3300" s="9">
        <v>44573</v>
      </c>
      <c r="D3300">
        <v>9.25</v>
      </c>
    </row>
    <row r="3301" spans="1:4" x14ac:dyDescent="0.25">
      <c r="A3301" s="5">
        <f t="shared" si="111"/>
        <v>1</v>
      </c>
      <c r="B3301" s="5">
        <f t="shared" si="112"/>
        <v>2022</v>
      </c>
      <c r="C3301" s="9">
        <v>44574</v>
      </c>
      <c r="D3301">
        <v>9.25</v>
      </c>
    </row>
    <row r="3302" spans="1:4" x14ac:dyDescent="0.25">
      <c r="A3302" s="5">
        <f t="shared" si="111"/>
        <v>1</v>
      </c>
      <c r="B3302" s="5">
        <f t="shared" si="112"/>
        <v>2022</v>
      </c>
      <c r="C3302" s="9">
        <v>44575</v>
      </c>
      <c r="D3302">
        <v>9.25</v>
      </c>
    </row>
    <row r="3303" spans="1:4" x14ac:dyDescent="0.25">
      <c r="A3303" s="5">
        <f t="shared" si="111"/>
        <v>1</v>
      </c>
      <c r="B3303" s="5">
        <f t="shared" si="112"/>
        <v>2022</v>
      </c>
      <c r="C3303" s="9">
        <v>44576</v>
      </c>
      <c r="D3303">
        <v>9.25</v>
      </c>
    </row>
    <row r="3304" spans="1:4" x14ac:dyDescent="0.25">
      <c r="A3304" s="5">
        <f t="shared" si="111"/>
        <v>1</v>
      </c>
      <c r="B3304" s="5">
        <f t="shared" si="112"/>
        <v>2022</v>
      </c>
      <c r="C3304" s="9">
        <v>44577</v>
      </c>
      <c r="D3304">
        <v>9.25</v>
      </c>
    </row>
    <row r="3305" spans="1:4" x14ac:dyDescent="0.25">
      <c r="A3305" s="5">
        <f t="shared" si="111"/>
        <v>1</v>
      </c>
      <c r="B3305" s="5">
        <f t="shared" si="112"/>
        <v>2022</v>
      </c>
      <c r="C3305" s="9">
        <v>44578</v>
      </c>
      <c r="D3305">
        <v>9.25</v>
      </c>
    </row>
    <row r="3306" spans="1:4" x14ac:dyDescent="0.25">
      <c r="A3306" s="5">
        <f t="shared" si="111"/>
        <v>1</v>
      </c>
      <c r="B3306" s="5">
        <f t="shared" si="112"/>
        <v>2022</v>
      </c>
      <c r="C3306" s="9">
        <v>44579</v>
      </c>
      <c r="D3306">
        <v>9.25</v>
      </c>
    </row>
    <row r="3307" spans="1:4" x14ac:dyDescent="0.25">
      <c r="A3307" s="5">
        <f t="shared" si="111"/>
        <v>1</v>
      </c>
      <c r="B3307" s="5">
        <f t="shared" si="112"/>
        <v>2022</v>
      </c>
      <c r="C3307" s="9">
        <v>44580</v>
      </c>
      <c r="D3307">
        <v>9.25</v>
      </c>
    </row>
    <row r="3308" spans="1:4" x14ac:dyDescent="0.25">
      <c r="A3308" s="5">
        <f t="shared" si="111"/>
        <v>1</v>
      </c>
      <c r="B3308" s="5">
        <f t="shared" si="112"/>
        <v>2022</v>
      </c>
      <c r="C3308" s="9">
        <v>44581</v>
      </c>
      <c r="D3308">
        <v>9.25</v>
      </c>
    </row>
    <row r="3309" spans="1:4" x14ac:dyDescent="0.25">
      <c r="A3309" s="5">
        <f t="shared" si="111"/>
        <v>1</v>
      </c>
      <c r="B3309" s="5">
        <f t="shared" si="112"/>
        <v>2022</v>
      </c>
      <c r="C3309" s="9">
        <v>44582</v>
      </c>
      <c r="D3309">
        <v>9.25</v>
      </c>
    </row>
    <row r="3310" spans="1:4" x14ac:dyDescent="0.25">
      <c r="A3310" s="5">
        <f t="shared" si="111"/>
        <v>1</v>
      </c>
      <c r="B3310" s="5">
        <f t="shared" si="112"/>
        <v>2022</v>
      </c>
      <c r="C3310" s="9">
        <v>44583</v>
      </c>
      <c r="D3310">
        <v>9.25</v>
      </c>
    </row>
    <row r="3311" spans="1:4" x14ac:dyDescent="0.25">
      <c r="A3311" s="5">
        <f t="shared" si="111"/>
        <v>1</v>
      </c>
      <c r="B3311" s="5">
        <f t="shared" si="112"/>
        <v>2022</v>
      </c>
      <c r="C3311" s="9">
        <v>44584</v>
      </c>
      <c r="D3311">
        <v>9.25</v>
      </c>
    </row>
    <row r="3312" spans="1:4" x14ac:dyDescent="0.25">
      <c r="A3312" s="5">
        <f t="shared" si="111"/>
        <v>1</v>
      </c>
      <c r="B3312" s="5">
        <f t="shared" si="112"/>
        <v>2022</v>
      </c>
      <c r="C3312" s="9">
        <v>44585</v>
      </c>
      <c r="D3312">
        <v>9.25</v>
      </c>
    </row>
    <row r="3313" spans="1:4" x14ac:dyDescent="0.25">
      <c r="A3313" s="5">
        <f t="shared" si="111"/>
        <v>1</v>
      </c>
      <c r="B3313" s="5">
        <f t="shared" si="112"/>
        <v>2022</v>
      </c>
      <c r="C3313" s="9">
        <v>44586</v>
      </c>
      <c r="D3313">
        <v>9.25</v>
      </c>
    </row>
    <row r="3314" spans="1:4" x14ac:dyDescent="0.25">
      <c r="A3314" s="5">
        <f t="shared" si="111"/>
        <v>1</v>
      </c>
      <c r="B3314" s="5">
        <f t="shared" si="112"/>
        <v>2022</v>
      </c>
      <c r="C3314" s="9">
        <v>44587</v>
      </c>
      <c r="D3314">
        <v>9.25</v>
      </c>
    </row>
    <row r="3315" spans="1:4" x14ac:dyDescent="0.25">
      <c r="A3315" s="5">
        <f t="shared" si="111"/>
        <v>1</v>
      </c>
      <c r="B3315" s="5">
        <f t="shared" si="112"/>
        <v>2022</v>
      </c>
      <c r="C3315" s="9">
        <v>44588</v>
      </c>
      <c r="D3315">
        <v>9.25</v>
      </c>
    </row>
    <row r="3316" spans="1:4" x14ac:dyDescent="0.25">
      <c r="A3316" s="5">
        <f t="shared" si="111"/>
        <v>1</v>
      </c>
      <c r="B3316" s="5">
        <f t="shared" si="112"/>
        <v>2022</v>
      </c>
      <c r="C3316" s="9">
        <v>44589</v>
      </c>
      <c r="D3316">
        <v>9.25</v>
      </c>
    </row>
    <row r="3317" spans="1:4" x14ac:dyDescent="0.25">
      <c r="A3317" s="5">
        <f t="shared" si="111"/>
        <v>1</v>
      </c>
      <c r="B3317" s="5">
        <f t="shared" si="112"/>
        <v>2022</v>
      </c>
      <c r="C3317" s="9">
        <v>44590</v>
      </c>
      <c r="D3317">
        <v>9.25</v>
      </c>
    </row>
    <row r="3318" spans="1:4" x14ac:dyDescent="0.25">
      <c r="A3318" s="5">
        <f t="shared" si="111"/>
        <v>1</v>
      </c>
      <c r="B3318" s="5">
        <f t="shared" si="112"/>
        <v>2022</v>
      </c>
      <c r="C3318" s="9">
        <v>44591</v>
      </c>
      <c r="D3318">
        <v>9.25</v>
      </c>
    </row>
    <row r="3319" spans="1:4" x14ac:dyDescent="0.25">
      <c r="A3319" s="5">
        <f t="shared" si="111"/>
        <v>1</v>
      </c>
      <c r="B3319" s="5">
        <f t="shared" si="112"/>
        <v>2022</v>
      </c>
      <c r="C3319" s="9">
        <v>44592</v>
      </c>
      <c r="D3319">
        <v>9.25</v>
      </c>
    </row>
    <row r="3320" spans="1:4" x14ac:dyDescent="0.25">
      <c r="A3320" s="5">
        <f t="shared" si="111"/>
        <v>2</v>
      </c>
      <c r="B3320" s="5">
        <f t="shared" si="112"/>
        <v>2022</v>
      </c>
      <c r="C3320" s="9">
        <v>44593</v>
      </c>
      <c r="D3320">
        <v>9.25</v>
      </c>
    </row>
    <row r="3321" spans="1:4" x14ac:dyDescent="0.25">
      <c r="A3321" s="5">
        <f t="shared" si="111"/>
        <v>2</v>
      </c>
      <c r="B3321" s="5">
        <f t="shared" si="112"/>
        <v>2022</v>
      </c>
      <c r="C3321" s="9">
        <v>44594</v>
      </c>
      <c r="D3321">
        <v>9.25</v>
      </c>
    </row>
    <row r="3322" spans="1:4" x14ac:dyDescent="0.25">
      <c r="A3322" s="5">
        <f t="shared" si="111"/>
        <v>2</v>
      </c>
      <c r="B3322" s="5">
        <f t="shared" si="112"/>
        <v>2022</v>
      </c>
      <c r="C3322" s="9">
        <v>44595</v>
      </c>
      <c r="D3322">
        <v>10.75</v>
      </c>
    </row>
    <row r="3323" spans="1:4" x14ac:dyDescent="0.25">
      <c r="A3323" s="5">
        <f t="shared" si="111"/>
        <v>2</v>
      </c>
      <c r="B3323" s="5">
        <f t="shared" si="112"/>
        <v>2022</v>
      </c>
      <c r="C3323" s="9">
        <v>44596</v>
      </c>
      <c r="D3323">
        <v>10.75</v>
      </c>
    </row>
    <row r="3324" spans="1:4" x14ac:dyDescent="0.25">
      <c r="A3324" s="5">
        <f t="shared" si="111"/>
        <v>2</v>
      </c>
      <c r="B3324" s="5">
        <f t="shared" si="112"/>
        <v>2022</v>
      </c>
      <c r="C3324" s="9">
        <v>44597</v>
      </c>
      <c r="D3324">
        <v>10.75</v>
      </c>
    </row>
    <row r="3325" spans="1:4" x14ac:dyDescent="0.25">
      <c r="A3325" s="5">
        <f t="shared" si="111"/>
        <v>2</v>
      </c>
      <c r="B3325" s="5">
        <f t="shared" si="112"/>
        <v>2022</v>
      </c>
      <c r="C3325" s="9">
        <v>44598</v>
      </c>
      <c r="D3325">
        <v>10.75</v>
      </c>
    </row>
    <row r="3326" spans="1:4" x14ac:dyDescent="0.25">
      <c r="A3326" s="5">
        <f t="shared" si="111"/>
        <v>2</v>
      </c>
      <c r="B3326" s="5">
        <f t="shared" si="112"/>
        <v>2022</v>
      </c>
      <c r="C3326" s="9">
        <v>44599</v>
      </c>
      <c r="D3326">
        <v>10.75</v>
      </c>
    </row>
    <row r="3327" spans="1:4" x14ac:dyDescent="0.25">
      <c r="A3327" s="5">
        <f t="shared" si="111"/>
        <v>2</v>
      </c>
      <c r="B3327" s="5">
        <f t="shared" si="112"/>
        <v>2022</v>
      </c>
      <c r="C3327" s="9">
        <v>44600</v>
      </c>
      <c r="D3327">
        <v>10.75</v>
      </c>
    </row>
    <row r="3328" spans="1:4" x14ac:dyDescent="0.25">
      <c r="A3328" s="5">
        <f t="shared" si="111"/>
        <v>2</v>
      </c>
      <c r="B3328" s="5">
        <f t="shared" si="112"/>
        <v>2022</v>
      </c>
      <c r="C3328" s="9">
        <v>44601</v>
      </c>
      <c r="D3328">
        <v>10.75</v>
      </c>
    </row>
    <row r="3329" spans="1:4" x14ac:dyDescent="0.25">
      <c r="A3329" s="5">
        <f t="shared" si="111"/>
        <v>2</v>
      </c>
      <c r="B3329" s="5">
        <f t="shared" si="112"/>
        <v>2022</v>
      </c>
      <c r="C3329" s="9">
        <v>44602</v>
      </c>
      <c r="D3329">
        <v>10.75</v>
      </c>
    </row>
    <row r="3330" spans="1:4" x14ac:dyDescent="0.25">
      <c r="A3330" s="5">
        <f t="shared" si="111"/>
        <v>2</v>
      </c>
      <c r="B3330" s="5">
        <f t="shared" si="112"/>
        <v>2022</v>
      </c>
      <c r="C3330" s="9">
        <v>44603</v>
      </c>
      <c r="D3330">
        <v>10.75</v>
      </c>
    </row>
    <row r="3331" spans="1:4" x14ac:dyDescent="0.25">
      <c r="A3331" s="5">
        <f t="shared" ref="A3331:A3394" si="113">MONTH(C3331)</f>
        <v>2</v>
      </c>
      <c r="B3331" s="5">
        <f t="shared" ref="B3331:B3394" si="114">YEAR(C3331)</f>
        <v>2022</v>
      </c>
      <c r="C3331" s="9">
        <v>44604</v>
      </c>
      <c r="D3331">
        <v>10.75</v>
      </c>
    </row>
    <row r="3332" spans="1:4" x14ac:dyDescent="0.25">
      <c r="A3332" s="5">
        <f t="shared" si="113"/>
        <v>2</v>
      </c>
      <c r="B3332" s="5">
        <f t="shared" si="114"/>
        <v>2022</v>
      </c>
      <c r="C3332" s="9">
        <v>44605</v>
      </c>
      <c r="D3332">
        <v>10.75</v>
      </c>
    </row>
    <row r="3333" spans="1:4" x14ac:dyDescent="0.25">
      <c r="A3333" s="5">
        <f t="shared" si="113"/>
        <v>2</v>
      </c>
      <c r="B3333" s="5">
        <f t="shared" si="114"/>
        <v>2022</v>
      </c>
      <c r="C3333" s="9">
        <v>44606</v>
      </c>
      <c r="D3333">
        <v>10.75</v>
      </c>
    </row>
    <row r="3334" spans="1:4" x14ac:dyDescent="0.25">
      <c r="A3334" s="5">
        <f t="shared" si="113"/>
        <v>2</v>
      </c>
      <c r="B3334" s="5">
        <f t="shared" si="114"/>
        <v>2022</v>
      </c>
      <c r="C3334" s="9">
        <v>44607</v>
      </c>
      <c r="D3334">
        <v>10.75</v>
      </c>
    </row>
    <row r="3335" spans="1:4" x14ac:dyDescent="0.25">
      <c r="A3335" s="5">
        <f t="shared" si="113"/>
        <v>2</v>
      </c>
      <c r="B3335" s="5">
        <f t="shared" si="114"/>
        <v>2022</v>
      </c>
      <c r="C3335" s="9">
        <v>44608</v>
      </c>
      <c r="D3335">
        <v>10.75</v>
      </c>
    </row>
    <row r="3336" spans="1:4" x14ac:dyDescent="0.25">
      <c r="A3336" s="5">
        <f t="shared" si="113"/>
        <v>2</v>
      </c>
      <c r="B3336" s="5">
        <f t="shared" si="114"/>
        <v>2022</v>
      </c>
      <c r="C3336" s="9">
        <v>44609</v>
      </c>
      <c r="D3336">
        <v>10.75</v>
      </c>
    </row>
    <row r="3337" spans="1:4" x14ac:dyDescent="0.25">
      <c r="A3337" s="5">
        <f t="shared" si="113"/>
        <v>2</v>
      </c>
      <c r="B3337" s="5">
        <f t="shared" si="114"/>
        <v>2022</v>
      </c>
      <c r="C3337" s="9">
        <v>44610</v>
      </c>
      <c r="D3337">
        <v>10.75</v>
      </c>
    </row>
    <row r="3338" spans="1:4" x14ac:dyDescent="0.25">
      <c r="A3338" s="5">
        <f t="shared" si="113"/>
        <v>2</v>
      </c>
      <c r="B3338" s="5">
        <f t="shared" si="114"/>
        <v>2022</v>
      </c>
      <c r="C3338" s="9">
        <v>44611</v>
      </c>
      <c r="D3338">
        <v>10.75</v>
      </c>
    </row>
    <row r="3339" spans="1:4" x14ac:dyDescent="0.25">
      <c r="A3339" s="5">
        <f t="shared" si="113"/>
        <v>2</v>
      </c>
      <c r="B3339" s="5">
        <f t="shared" si="114"/>
        <v>2022</v>
      </c>
      <c r="C3339" s="9">
        <v>44612</v>
      </c>
      <c r="D3339">
        <v>10.75</v>
      </c>
    </row>
    <row r="3340" spans="1:4" x14ac:dyDescent="0.25">
      <c r="A3340" s="5">
        <f t="shared" si="113"/>
        <v>2</v>
      </c>
      <c r="B3340" s="5">
        <f t="shared" si="114"/>
        <v>2022</v>
      </c>
      <c r="C3340" s="9">
        <v>44613</v>
      </c>
      <c r="D3340">
        <v>10.75</v>
      </c>
    </row>
    <row r="3341" spans="1:4" x14ac:dyDescent="0.25">
      <c r="A3341" s="5">
        <f t="shared" si="113"/>
        <v>2</v>
      </c>
      <c r="B3341" s="5">
        <f t="shared" si="114"/>
        <v>2022</v>
      </c>
      <c r="C3341" s="9">
        <v>44614</v>
      </c>
      <c r="D3341">
        <v>10.75</v>
      </c>
    </row>
    <row r="3342" spans="1:4" x14ac:dyDescent="0.25">
      <c r="A3342" s="5">
        <f t="shared" si="113"/>
        <v>2</v>
      </c>
      <c r="B3342" s="5">
        <f t="shared" si="114"/>
        <v>2022</v>
      </c>
      <c r="C3342" s="9">
        <v>44615</v>
      </c>
      <c r="D3342">
        <v>10.75</v>
      </c>
    </row>
    <row r="3343" spans="1:4" x14ac:dyDescent="0.25">
      <c r="A3343" s="5">
        <f t="shared" si="113"/>
        <v>2</v>
      </c>
      <c r="B3343" s="5">
        <f t="shared" si="114"/>
        <v>2022</v>
      </c>
      <c r="C3343" s="9">
        <v>44616</v>
      </c>
      <c r="D3343">
        <v>10.75</v>
      </c>
    </row>
    <row r="3344" spans="1:4" x14ac:dyDescent="0.25">
      <c r="A3344" s="5">
        <f t="shared" si="113"/>
        <v>2</v>
      </c>
      <c r="B3344" s="5">
        <f t="shared" si="114"/>
        <v>2022</v>
      </c>
      <c r="C3344" s="9">
        <v>44617</v>
      </c>
      <c r="D3344">
        <v>10.75</v>
      </c>
    </row>
    <row r="3345" spans="1:4" x14ac:dyDescent="0.25">
      <c r="A3345" s="5">
        <f t="shared" si="113"/>
        <v>2</v>
      </c>
      <c r="B3345" s="5">
        <f t="shared" si="114"/>
        <v>2022</v>
      </c>
      <c r="C3345" s="9">
        <v>44618</v>
      </c>
      <c r="D3345">
        <v>10.75</v>
      </c>
    </row>
    <row r="3346" spans="1:4" x14ac:dyDescent="0.25">
      <c r="A3346" s="5">
        <f t="shared" si="113"/>
        <v>2</v>
      </c>
      <c r="B3346" s="5">
        <f t="shared" si="114"/>
        <v>2022</v>
      </c>
      <c r="C3346" s="9">
        <v>44619</v>
      </c>
      <c r="D3346">
        <v>10.75</v>
      </c>
    </row>
    <row r="3347" spans="1:4" x14ac:dyDescent="0.25">
      <c r="A3347" s="5">
        <f t="shared" si="113"/>
        <v>2</v>
      </c>
      <c r="B3347" s="5">
        <f t="shared" si="114"/>
        <v>2022</v>
      </c>
      <c r="C3347" s="9">
        <v>44620</v>
      </c>
      <c r="D3347">
        <v>10.75</v>
      </c>
    </row>
    <row r="3348" spans="1:4" x14ac:dyDescent="0.25">
      <c r="A3348" s="5">
        <f t="shared" si="113"/>
        <v>3</v>
      </c>
      <c r="B3348" s="5">
        <f t="shared" si="114"/>
        <v>2022</v>
      </c>
      <c r="C3348" s="9">
        <v>44621</v>
      </c>
      <c r="D3348">
        <v>10.75</v>
      </c>
    </row>
    <row r="3349" spans="1:4" x14ac:dyDescent="0.25">
      <c r="A3349" s="5">
        <f t="shared" si="113"/>
        <v>3</v>
      </c>
      <c r="B3349" s="5">
        <f t="shared" si="114"/>
        <v>2022</v>
      </c>
      <c r="C3349" s="9">
        <v>44622</v>
      </c>
      <c r="D3349">
        <v>10.75</v>
      </c>
    </row>
    <row r="3350" spans="1:4" x14ac:dyDescent="0.25">
      <c r="A3350" s="5">
        <f t="shared" si="113"/>
        <v>3</v>
      </c>
      <c r="B3350" s="5">
        <f t="shared" si="114"/>
        <v>2022</v>
      </c>
      <c r="C3350" s="9">
        <v>44623</v>
      </c>
      <c r="D3350">
        <v>10.75</v>
      </c>
    </row>
    <row r="3351" spans="1:4" x14ac:dyDescent="0.25">
      <c r="A3351" s="5">
        <f t="shared" si="113"/>
        <v>3</v>
      </c>
      <c r="B3351" s="5">
        <f t="shared" si="114"/>
        <v>2022</v>
      </c>
      <c r="C3351" s="9">
        <v>44624</v>
      </c>
      <c r="D3351">
        <v>10.75</v>
      </c>
    </row>
    <row r="3352" spans="1:4" x14ac:dyDescent="0.25">
      <c r="A3352" s="5">
        <f t="shared" si="113"/>
        <v>3</v>
      </c>
      <c r="B3352" s="5">
        <f t="shared" si="114"/>
        <v>2022</v>
      </c>
      <c r="C3352" s="9">
        <v>44625</v>
      </c>
      <c r="D3352">
        <v>10.75</v>
      </c>
    </row>
    <row r="3353" spans="1:4" x14ac:dyDescent="0.25">
      <c r="A3353" s="5">
        <f t="shared" si="113"/>
        <v>3</v>
      </c>
      <c r="B3353" s="5">
        <f t="shared" si="114"/>
        <v>2022</v>
      </c>
      <c r="C3353" s="9">
        <v>44626</v>
      </c>
      <c r="D3353">
        <v>10.75</v>
      </c>
    </row>
    <row r="3354" spans="1:4" x14ac:dyDescent="0.25">
      <c r="A3354" s="5">
        <f t="shared" si="113"/>
        <v>3</v>
      </c>
      <c r="B3354" s="5">
        <f t="shared" si="114"/>
        <v>2022</v>
      </c>
      <c r="C3354" s="9">
        <v>44627</v>
      </c>
      <c r="D3354">
        <v>10.75</v>
      </c>
    </row>
    <row r="3355" spans="1:4" x14ac:dyDescent="0.25">
      <c r="A3355" s="5">
        <f t="shared" si="113"/>
        <v>3</v>
      </c>
      <c r="B3355" s="5">
        <f t="shared" si="114"/>
        <v>2022</v>
      </c>
      <c r="C3355" s="9">
        <v>44628</v>
      </c>
      <c r="D3355">
        <v>10.75</v>
      </c>
    </row>
    <row r="3356" spans="1:4" x14ac:dyDescent="0.25">
      <c r="A3356" s="5">
        <f t="shared" si="113"/>
        <v>3</v>
      </c>
      <c r="B3356" s="5">
        <f t="shared" si="114"/>
        <v>2022</v>
      </c>
      <c r="C3356" s="9">
        <v>44629</v>
      </c>
      <c r="D3356">
        <v>10.75</v>
      </c>
    </row>
    <row r="3357" spans="1:4" x14ac:dyDescent="0.25">
      <c r="A3357" s="5">
        <f t="shared" si="113"/>
        <v>3</v>
      </c>
      <c r="B3357" s="5">
        <f t="shared" si="114"/>
        <v>2022</v>
      </c>
      <c r="C3357" s="9">
        <v>44630</v>
      </c>
      <c r="D3357">
        <v>10.75</v>
      </c>
    </row>
    <row r="3358" spans="1:4" x14ac:dyDescent="0.25">
      <c r="A3358" s="5">
        <f t="shared" si="113"/>
        <v>3</v>
      </c>
      <c r="B3358" s="5">
        <f t="shared" si="114"/>
        <v>2022</v>
      </c>
      <c r="C3358" s="9">
        <v>44631</v>
      </c>
      <c r="D3358">
        <v>10.75</v>
      </c>
    </row>
    <row r="3359" spans="1:4" x14ac:dyDescent="0.25">
      <c r="A3359" s="5">
        <f t="shared" si="113"/>
        <v>3</v>
      </c>
      <c r="B3359" s="5">
        <f t="shared" si="114"/>
        <v>2022</v>
      </c>
      <c r="C3359" s="9">
        <v>44632</v>
      </c>
      <c r="D3359">
        <v>10.75</v>
      </c>
    </row>
    <row r="3360" spans="1:4" x14ac:dyDescent="0.25">
      <c r="A3360" s="5">
        <f t="shared" si="113"/>
        <v>3</v>
      </c>
      <c r="B3360" s="5">
        <f t="shared" si="114"/>
        <v>2022</v>
      </c>
      <c r="C3360" s="9">
        <v>44633</v>
      </c>
      <c r="D3360">
        <v>10.75</v>
      </c>
    </row>
    <row r="3361" spans="1:4" x14ac:dyDescent="0.25">
      <c r="A3361" s="5">
        <f t="shared" si="113"/>
        <v>3</v>
      </c>
      <c r="B3361" s="5">
        <f t="shared" si="114"/>
        <v>2022</v>
      </c>
      <c r="C3361" s="9">
        <v>44634</v>
      </c>
      <c r="D3361">
        <v>10.75</v>
      </c>
    </row>
    <row r="3362" spans="1:4" x14ac:dyDescent="0.25">
      <c r="A3362" s="5">
        <f t="shared" si="113"/>
        <v>3</v>
      </c>
      <c r="B3362" s="5">
        <f t="shared" si="114"/>
        <v>2022</v>
      </c>
      <c r="C3362" s="9">
        <v>44635</v>
      </c>
      <c r="D3362">
        <v>10.75</v>
      </c>
    </row>
    <row r="3363" spans="1:4" x14ac:dyDescent="0.25">
      <c r="A3363" s="5">
        <f t="shared" si="113"/>
        <v>3</v>
      </c>
      <c r="B3363" s="5">
        <f t="shared" si="114"/>
        <v>2022</v>
      </c>
      <c r="C3363" s="9">
        <v>44636</v>
      </c>
      <c r="D3363">
        <v>10.75</v>
      </c>
    </row>
    <row r="3364" spans="1:4" x14ac:dyDescent="0.25">
      <c r="A3364" s="5">
        <f t="shared" si="113"/>
        <v>3</v>
      </c>
      <c r="B3364" s="5">
        <f t="shared" si="114"/>
        <v>2022</v>
      </c>
      <c r="C3364" s="9">
        <v>44637</v>
      </c>
      <c r="D3364">
        <v>11.75</v>
      </c>
    </row>
    <row r="3365" spans="1:4" x14ac:dyDescent="0.25">
      <c r="A3365" s="5">
        <f t="shared" si="113"/>
        <v>3</v>
      </c>
      <c r="B3365" s="5">
        <f t="shared" si="114"/>
        <v>2022</v>
      </c>
      <c r="C3365" s="9">
        <v>44638</v>
      </c>
      <c r="D3365">
        <v>11.75</v>
      </c>
    </row>
    <row r="3366" spans="1:4" x14ac:dyDescent="0.25">
      <c r="A3366" s="5">
        <f t="shared" si="113"/>
        <v>3</v>
      </c>
      <c r="B3366" s="5">
        <f t="shared" si="114"/>
        <v>2022</v>
      </c>
      <c r="C3366" s="9">
        <v>44639</v>
      </c>
      <c r="D3366">
        <v>11.75</v>
      </c>
    </row>
    <row r="3367" spans="1:4" x14ac:dyDescent="0.25">
      <c r="A3367" s="5">
        <f t="shared" si="113"/>
        <v>3</v>
      </c>
      <c r="B3367" s="5">
        <f t="shared" si="114"/>
        <v>2022</v>
      </c>
      <c r="C3367" s="9">
        <v>44640</v>
      </c>
      <c r="D3367">
        <v>11.75</v>
      </c>
    </row>
    <row r="3368" spans="1:4" x14ac:dyDescent="0.25">
      <c r="A3368" s="5">
        <f t="shared" si="113"/>
        <v>3</v>
      </c>
      <c r="B3368" s="5">
        <f t="shared" si="114"/>
        <v>2022</v>
      </c>
      <c r="C3368" s="9">
        <v>44641</v>
      </c>
      <c r="D3368">
        <v>11.75</v>
      </c>
    </row>
    <row r="3369" spans="1:4" x14ac:dyDescent="0.25">
      <c r="A3369" s="5">
        <f t="shared" si="113"/>
        <v>3</v>
      </c>
      <c r="B3369" s="5">
        <f t="shared" si="114"/>
        <v>2022</v>
      </c>
      <c r="C3369" s="9">
        <v>44642</v>
      </c>
      <c r="D3369">
        <v>11.75</v>
      </c>
    </row>
    <row r="3370" spans="1:4" x14ac:dyDescent="0.25">
      <c r="A3370" s="5">
        <f t="shared" si="113"/>
        <v>3</v>
      </c>
      <c r="B3370" s="5">
        <f t="shared" si="114"/>
        <v>2022</v>
      </c>
      <c r="C3370" s="9">
        <v>44643</v>
      </c>
      <c r="D3370">
        <v>11.75</v>
      </c>
    </row>
    <row r="3371" spans="1:4" x14ac:dyDescent="0.25">
      <c r="A3371" s="5">
        <f t="shared" si="113"/>
        <v>3</v>
      </c>
      <c r="B3371" s="5">
        <f t="shared" si="114"/>
        <v>2022</v>
      </c>
      <c r="C3371" s="9">
        <v>44644</v>
      </c>
      <c r="D3371">
        <v>11.75</v>
      </c>
    </row>
    <row r="3372" spans="1:4" x14ac:dyDescent="0.25">
      <c r="A3372" s="5">
        <f t="shared" si="113"/>
        <v>3</v>
      </c>
      <c r="B3372" s="5">
        <f t="shared" si="114"/>
        <v>2022</v>
      </c>
      <c r="C3372" s="9">
        <v>44645</v>
      </c>
      <c r="D3372">
        <v>11.75</v>
      </c>
    </row>
    <row r="3373" spans="1:4" x14ac:dyDescent="0.25">
      <c r="A3373" s="5">
        <f t="shared" si="113"/>
        <v>3</v>
      </c>
      <c r="B3373" s="5">
        <f t="shared" si="114"/>
        <v>2022</v>
      </c>
      <c r="C3373" s="9">
        <v>44646</v>
      </c>
      <c r="D3373">
        <v>11.75</v>
      </c>
    </row>
    <row r="3374" spans="1:4" x14ac:dyDescent="0.25">
      <c r="A3374" s="5">
        <f t="shared" si="113"/>
        <v>3</v>
      </c>
      <c r="B3374" s="5">
        <f t="shared" si="114"/>
        <v>2022</v>
      </c>
      <c r="C3374" s="9">
        <v>44647</v>
      </c>
      <c r="D3374">
        <v>11.75</v>
      </c>
    </row>
    <row r="3375" spans="1:4" x14ac:dyDescent="0.25">
      <c r="A3375" s="5">
        <f t="shared" si="113"/>
        <v>3</v>
      </c>
      <c r="B3375" s="5">
        <f t="shared" si="114"/>
        <v>2022</v>
      </c>
      <c r="C3375" s="9">
        <v>44648</v>
      </c>
      <c r="D3375">
        <v>11.75</v>
      </c>
    </row>
    <row r="3376" spans="1:4" x14ac:dyDescent="0.25">
      <c r="A3376" s="5">
        <f t="shared" si="113"/>
        <v>3</v>
      </c>
      <c r="B3376" s="5">
        <f t="shared" si="114"/>
        <v>2022</v>
      </c>
      <c r="C3376" s="9">
        <v>44649</v>
      </c>
      <c r="D3376">
        <v>11.75</v>
      </c>
    </row>
    <row r="3377" spans="1:4" x14ac:dyDescent="0.25">
      <c r="A3377" s="5">
        <f t="shared" si="113"/>
        <v>3</v>
      </c>
      <c r="B3377" s="5">
        <f t="shared" si="114"/>
        <v>2022</v>
      </c>
      <c r="C3377" s="9">
        <v>44650</v>
      </c>
      <c r="D3377">
        <v>11.75</v>
      </c>
    </row>
    <row r="3378" spans="1:4" x14ac:dyDescent="0.25">
      <c r="A3378" s="5">
        <f t="shared" si="113"/>
        <v>3</v>
      </c>
      <c r="B3378" s="5">
        <f t="shared" si="114"/>
        <v>2022</v>
      </c>
      <c r="C3378" s="9">
        <v>44651</v>
      </c>
      <c r="D3378">
        <v>11.75</v>
      </c>
    </row>
    <row r="3379" spans="1:4" x14ac:dyDescent="0.25">
      <c r="A3379" s="5">
        <f t="shared" si="113"/>
        <v>4</v>
      </c>
      <c r="B3379" s="5">
        <f t="shared" si="114"/>
        <v>2022</v>
      </c>
      <c r="C3379" s="9">
        <v>44652</v>
      </c>
      <c r="D3379">
        <v>11.75</v>
      </c>
    </row>
    <row r="3380" spans="1:4" x14ac:dyDescent="0.25">
      <c r="A3380" s="5">
        <f t="shared" si="113"/>
        <v>4</v>
      </c>
      <c r="B3380" s="5">
        <f t="shared" si="114"/>
        <v>2022</v>
      </c>
      <c r="C3380" s="9">
        <v>44653</v>
      </c>
      <c r="D3380">
        <v>11.75</v>
      </c>
    </row>
    <row r="3381" spans="1:4" x14ac:dyDescent="0.25">
      <c r="A3381" s="5">
        <f t="shared" si="113"/>
        <v>4</v>
      </c>
      <c r="B3381" s="5">
        <f t="shared" si="114"/>
        <v>2022</v>
      </c>
      <c r="C3381" s="9">
        <v>44654</v>
      </c>
      <c r="D3381">
        <v>11.75</v>
      </c>
    </row>
    <row r="3382" spans="1:4" x14ac:dyDescent="0.25">
      <c r="A3382" s="5">
        <f t="shared" si="113"/>
        <v>4</v>
      </c>
      <c r="B3382" s="5">
        <f t="shared" si="114"/>
        <v>2022</v>
      </c>
      <c r="C3382" s="9">
        <v>44655</v>
      </c>
      <c r="D3382">
        <v>11.75</v>
      </c>
    </row>
    <row r="3383" spans="1:4" x14ac:dyDescent="0.25">
      <c r="A3383" s="5">
        <f t="shared" si="113"/>
        <v>4</v>
      </c>
      <c r="B3383" s="5">
        <f t="shared" si="114"/>
        <v>2022</v>
      </c>
      <c r="C3383" s="9">
        <v>44656</v>
      </c>
      <c r="D3383">
        <v>11.75</v>
      </c>
    </row>
    <row r="3384" spans="1:4" x14ac:dyDescent="0.25">
      <c r="A3384" s="5">
        <f t="shared" si="113"/>
        <v>4</v>
      </c>
      <c r="B3384" s="5">
        <f t="shared" si="114"/>
        <v>2022</v>
      </c>
      <c r="C3384" s="9">
        <v>44657</v>
      </c>
      <c r="D3384">
        <v>11.75</v>
      </c>
    </row>
    <row r="3385" spans="1:4" x14ac:dyDescent="0.25">
      <c r="A3385" s="5">
        <f t="shared" si="113"/>
        <v>4</v>
      </c>
      <c r="B3385" s="5">
        <f t="shared" si="114"/>
        <v>2022</v>
      </c>
      <c r="C3385" s="9">
        <v>44658</v>
      </c>
      <c r="D3385">
        <v>11.75</v>
      </c>
    </row>
    <row r="3386" spans="1:4" x14ac:dyDescent="0.25">
      <c r="A3386" s="5">
        <f t="shared" si="113"/>
        <v>4</v>
      </c>
      <c r="B3386" s="5">
        <f t="shared" si="114"/>
        <v>2022</v>
      </c>
      <c r="C3386" s="9">
        <v>44659</v>
      </c>
      <c r="D3386">
        <v>11.75</v>
      </c>
    </row>
    <row r="3387" spans="1:4" x14ac:dyDescent="0.25">
      <c r="A3387" s="5">
        <f t="shared" si="113"/>
        <v>4</v>
      </c>
      <c r="B3387" s="5">
        <f t="shared" si="114"/>
        <v>2022</v>
      </c>
      <c r="C3387" s="9">
        <v>44660</v>
      </c>
      <c r="D3387">
        <v>11.75</v>
      </c>
    </row>
    <row r="3388" spans="1:4" x14ac:dyDescent="0.25">
      <c r="A3388" s="5">
        <f t="shared" si="113"/>
        <v>4</v>
      </c>
      <c r="B3388" s="5">
        <f t="shared" si="114"/>
        <v>2022</v>
      </c>
      <c r="C3388" s="9">
        <v>44661</v>
      </c>
      <c r="D3388">
        <v>11.75</v>
      </c>
    </row>
    <row r="3389" spans="1:4" x14ac:dyDescent="0.25">
      <c r="A3389" s="5">
        <f t="shared" si="113"/>
        <v>4</v>
      </c>
      <c r="B3389" s="5">
        <f t="shared" si="114"/>
        <v>2022</v>
      </c>
      <c r="C3389" s="9">
        <v>44662</v>
      </c>
      <c r="D3389">
        <v>11.75</v>
      </c>
    </row>
    <row r="3390" spans="1:4" x14ac:dyDescent="0.25">
      <c r="A3390" s="5">
        <f t="shared" si="113"/>
        <v>4</v>
      </c>
      <c r="B3390" s="5">
        <f t="shared" si="114"/>
        <v>2022</v>
      </c>
      <c r="C3390" s="9">
        <v>44663</v>
      </c>
      <c r="D3390">
        <v>11.75</v>
      </c>
    </row>
    <row r="3391" spans="1:4" x14ac:dyDescent="0.25">
      <c r="A3391" s="5">
        <f t="shared" si="113"/>
        <v>4</v>
      </c>
      <c r="B3391" s="5">
        <f t="shared" si="114"/>
        <v>2022</v>
      </c>
      <c r="C3391" s="9">
        <v>44664</v>
      </c>
      <c r="D3391">
        <v>11.75</v>
      </c>
    </row>
    <row r="3392" spans="1:4" x14ac:dyDescent="0.25">
      <c r="A3392" s="5">
        <f t="shared" si="113"/>
        <v>4</v>
      </c>
      <c r="B3392" s="5">
        <f t="shared" si="114"/>
        <v>2022</v>
      </c>
      <c r="C3392" s="9">
        <v>44665</v>
      </c>
      <c r="D3392">
        <v>11.75</v>
      </c>
    </row>
    <row r="3393" spans="1:4" x14ac:dyDescent="0.25">
      <c r="A3393" s="5">
        <f t="shared" si="113"/>
        <v>4</v>
      </c>
      <c r="B3393" s="5">
        <f t="shared" si="114"/>
        <v>2022</v>
      </c>
      <c r="C3393" s="9">
        <v>44666</v>
      </c>
      <c r="D3393">
        <v>11.75</v>
      </c>
    </row>
    <row r="3394" spans="1:4" x14ac:dyDescent="0.25">
      <c r="A3394" s="5">
        <f t="shared" si="113"/>
        <v>4</v>
      </c>
      <c r="B3394" s="5">
        <f t="shared" si="114"/>
        <v>2022</v>
      </c>
      <c r="C3394" s="9">
        <v>44667</v>
      </c>
      <c r="D3394">
        <v>11.75</v>
      </c>
    </row>
    <row r="3395" spans="1:4" x14ac:dyDescent="0.25">
      <c r="A3395" s="5">
        <f t="shared" ref="A3395:A3458" si="115">MONTH(C3395)</f>
        <v>4</v>
      </c>
      <c r="B3395" s="5">
        <f t="shared" ref="B3395:B3458" si="116">YEAR(C3395)</f>
        <v>2022</v>
      </c>
      <c r="C3395" s="9">
        <v>44668</v>
      </c>
      <c r="D3395">
        <v>11.75</v>
      </c>
    </row>
    <row r="3396" spans="1:4" x14ac:dyDescent="0.25">
      <c r="A3396" s="5">
        <f t="shared" si="115"/>
        <v>4</v>
      </c>
      <c r="B3396" s="5">
        <f t="shared" si="116"/>
        <v>2022</v>
      </c>
      <c r="C3396" s="9">
        <v>44669</v>
      </c>
      <c r="D3396">
        <v>11.75</v>
      </c>
    </row>
    <row r="3397" spans="1:4" x14ac:dyDescent="0.25">
      <c r="A3397" s="5">
        <f t="shared" si="115"/>
        <v>4</v>
      </c>
      <c r="B3397" s="5">
        <f t="shared" si="116"/>
        <v>2022</v>
      </c>
      <c r="C3397" s="9">
        <v>44670</v>
      </c>
      <c r="D3397">
        <v>11.75</v>
      </c>
    </row>
    <row r="3398" spans="1:4" x14ac:dyDescent="0.25">
      <c r="A3398" s="5">
        <f t="shared" si="115"/>
        <v>4</v>
      </c>
      <c r="B3398" s="5">
        <f t="shared" si="116"/>
        <v>2022</v>
      </c>
      <c r="C3398" s="9">
        <v>44671</v>
      </c>
      <c r="D3398">
        <v>11.75</v>
      </c>
    </row>
    <row r="3399" spans="1:4" x14ac:dyDescent="0.25">
      <c r="A3399" s="5">
        <f t="shared" si="115"/>
        <v>4</v>
      </c>
      <c r="B3399" s="5">
        <f t="shared" si="116"/>
        <v>2022</v>
      </c>
      <c r="C3399" s="9">
        <v>44672</v>
      </c>
      <c r="D3399">
        <v>11.75</v>
      </c>
    </row>
    <row r="3400" spans="1:4" x14ac:dyDescent="0.25">
      <c r="A3400" s="5">
        <f t="shared" si="115"/>
        <v>4</v>
      </c>
      <c r="B3400" s="5">
        <f t="shared" si="116"/>
        <v>2022</v>
      </c>
      <c r="C3400" s="9">
        <v>44673</v>
      </c>
      <c r="D3400">
        <v>11.75</v>
      </c>
    </row>
    <row r="3401" spans="1:4" x14ac:dyDescent="0.25">
      <c r="A3401" s="5">
        <f t="shared" si="115"/>
        <v>4</v>
      </c>
      <c r="B3401" s="5">
        <f t="shared" si="116"/>
        <v>2022</v>
      </c>
      <c r="C3401" s="9">
        <v>44674</v>
      </c>
      <c r="D3401">
        <v>11.75</v>
      </c>
    </row>
    <row r="3402" spans="1:4" x14ac:dyDescent="0.25">
      <c r="A3402" s="5">
        <f t="shared" si="115"/>
        <v>4</v>
      </c>
      <c r="B3402" s="5">
        <f t="shared" si="116"/>
        <v>2022</v>
      </c>
      <c r="C3402" s="9">
        <v>44675</v>
      </c>
      <c r="D3402">
        <v>11.75</v>
      </c>
    </row>
    <row r="3403" spans="1:4" x14ac:dyDescent="0.25">
      <c r="A3403" s="5">
        <f t="shared" si="115"/>
        <v>4</v>
      </c>
      <c r="B3403" s="5">
        <f t="shared" si="116"/>
        <v>2022</v>
      </c>
      <c r="C3403" s="9">
        <v>44676</v>
      </c>
      <c r="D3403">
        <v>11.75</v>
      </c>
    </row>
    <row r="3404" spans="1:4" x14ac:dyDescent="0.25">
      <c r="A3404" s="5">
        <f t="shared" si="115"/>
        <v>4</v>
      </c>
      <c r="B3404" s="5">
        <f t="shared" si="116"/>
        <v>2022</v>
      </c>
      <c r="C3404" s="9">
        <v>44677</v>
      </c>
      <c r="D3404">
        <v>11.75</v>
      </c>
    </row>
    <row r="3405" spans="1:4" x14ac:dyDescent="0.25">
      <c r="A3405" s="5">
        <f t="shared" si="115"/>
        <v>4</v>
      </c>
      <c r="B3405" s="5">
        <f t="shared" si="116"/>
        <v>2022</v>
      </c>
      <c r="C3405" s="9">
        <v>44678</v>
      </c>
      <c r="D3405">
        <v>11.75</v>
      </c>
    </row>
    <row r="3406" spans="1:4" x14ac:dyDescent="0.25">
      <c r="A3406" s="5">
        <f t="shared" si="115"/>
        <v>4</v>
      </c>
      <c r="B3406" s="5">
        <f t="shared" si="116"/>
        <v>2022</v>
      </c>
      <c r="C3406" s="9">
        <v>44679</v>
      </c>
      <c r="D3406">
        <v>11.75</v>
      </c>
    </row>
    <row r="3407" spans="1:4" x14ac:dyDescent="0.25">
      <c r="A3407" s="5">
        <f t="shared" si="115"/>
        <v>4</v>
      </c>
      <c r="B3407" s="5">
        <f t="shared" si="116"/>
        <v>2022</v>
      </c>
      <c r="C3407" s="9">
        <v>44680</v>
      </c>
      <c r="D3407">
        <v>11.75</v>
      </c>
    </row>
    <row r="3408" spans="1:4" x14ac:dyDescent="0.25">
      <c r="A3408" s="5">
        <f t="shared" si="115"/>
        <v>4</v>
      </c>
      <c r="B3408" s="5">
        <f t="shared" si="116"/>
        <v>2022</v>
      </c>
      <c r="C3408" s="9">
        <v>44681</v>
      </c>
      <c r="D3408">
        <v>11.75</v>
      </c>
    </row>
    <row r="3409" spans="1:4" x14ac:dyDescent="0.25">
      <c r="A3409" s="5">
        <f t="shared" si="115"/>
        <v>5</v>
      </c>
      <c r="B3409" s="5">
        <f t="shared" si="116"/>
        <v>2022</v>
      </c>
      <c r="C3409" s="9">
        <v>44682</v>
      </c>
      <c r="D3409">
        <v>11.75</v>
      </c>
    </row>
    <row r="3410" spans="1:4" x14ac:dyDescent="0.25">
      <c r="A3410" s="5">
        <f t="shared" si="115"/>
        <v>5</v>
      </c>
      <c r="B3410" s="5">
        <f t="shared" si="116"/>
        <v>2022</v>
      </c>
      <c r="C3410" s="9">
        <v>44683</v>
      </c>
      <c r="D3410">
        <v>11.75</v>
      </c>
    </row>
    <row r="3411" spans="1:4" x14ac:dyDescent="0.25">
      <c r="A3411" s="5">
        <f t="shared" si="115"/>
        <v>5</v>
      </c>
      <c r="B3411" s="5">
        <f t="shared" si="116"/>
        <v>2022</v>
      </c>
      <c r="C3411" s="9">
        <v>44684</v>
      </c>
      <c r="D3411">
        <v>11.75</v>
      </c>
    </row>
    <row r="3412" spans="1:4" x14ac:dyDescent="0.25">
      <c r="A3412" s="5">
        <f t="shared" si="115"/>
        <v>5</v>
      </c>
      <c r="B3412" s="5">
        <f t="shared" si="116"/>
        <v>2022</v>
      </c>
      <c r="C3412" s="9">
        <v>44685</v>
      </c>
      <c r="D3412">
        <v>11.75</v>
      </c>
    </row>
    <row r="3413" spans="1:4" x14ac:dyDescent="0.25">
      <c r="A3413" s="5">
        <f t="shared" si="115"/>
        <v>5</v>
      </c>
      <c r="B3413" s="5">
        <f t="shared" si="116"/>
        <v>2022</v>
      </c>
      <c r="C3413" s="9">
        <v>44686</v>
      </c>
      <c r="D3413">
        <v>12.75</v>
      </c>
    </row>
    <row r="3414" spans="1:4" x14ac:dyDescent="0.25">
      <c r="A3414" s="5">
        <f t="shared" si="115"/>
        <v>5</v>
      </c>
      <c r="B3414" s="5">
        <f t="shared" si="116"/>
        <v>2022</v>
      </c>
      <c r="C3414" s="9">
        <v>44687</v>
      </c>
      <c r="D3414">
        <v>12.75</v>
      </c>
    </row>
    <row r="3415" spans="1:4" x14ac:dyDescent="0.25">
      <c r="A3415" s="5">
        <f t="shared" si="115"/>
        <v>5</v>
      </c>
      <c r="B3415" s="5">
        <f t="shared" si="116"/>
        <v>2022</v>
      </c>
      <c r="C3415" s="9">
        <v>44688</v>
      </c>
      <c r="D3415">
        <v>12.75</v>
      </c>
    </row>
    <row r="3416" spans="1:4" x14ac:dyDescent="0.25">
      <c r="A3416" s="5">
        <f t="shared" si="115"/>
        <v>5</v>
      </c>
      <c r="B3416" s="5">
        <f t="shared" si="116"/>
        <v>2022</v>
      </c>
      <c r="C3416" s="9">
        <v>44689</v>
      </c>
      <c r="D3416">
        <v>12.75</v>
      </c>
    </row>
    <row r="3417" spans="1:4" x14ac:dyDescent="0.25">
      <c r="A3417" s="5">
        <f t="shared" si="115"/>
        <v>5</v>
      </c>
      <c r="B3417" s="5">
        <f t="shared" si="116"/>
        <v>2022</v>
      </c>
      <c r="C3417" s="9">
        <v>44690</v>
      </c>
      <c r="D3417">
        <v>12.75</v>
      </c>
    </row>
    <row r="3418" spans="1:4" x14ac:dyDescent="0.25">
      <c r="A3418" s="5">
        <f t="shared" si="115"/>
        <v>5</v>
      </c>
      <c r="B3418" s="5">
        <f t="shared" si="116"/>
        <v>2022</v>
      </c>
      <c r="C3418" s="9">
        <v>44691</v>
      </c>
      <c r="D3418">
        <v>12.75</v>
      </c>
    </row>
    <row r="3419" spans="1:4" x14ac:dyDescent="0.25">
      <c r="A3419" s="5">
        <f t="shared" si="115"/>
        <v>5</v>
      </c>
      <c r="B3419" s="5">
        <f t="shared" si="116"/>
        <v>2022</v>
      </c>
      <c r="C3419" s="9">
        <v>44692</v>
      </c>
      <c r="D3419">
        <v>12.75</v>
      </c>
    </row>
    <row r="3420" spans="1:4" x14ac:dyDescent="0.25">
      <c r="A3420" s="5">
        <f t="shared" si="115"/>
        <v>5</v>
      </c>
      <c r="B3420" s="5">
        <f t="shared" si="116"/>
        <v>2022</v>
      </c>
      <c r="C3420" s="9">
        <v>44693</v>
      </c>
      <c r="D3420">
        <v>12.75</v>
      </c>
    </row>
    <row r="3421" spans="1:4" x14ac:dyDescent="0.25">
      <c r="A3421" s="5">
        <f t="shared" si="115"/>
        <v>5</v>
      </c>
      <c r="B3421" s="5">
        <f t="shared" si="116"/>
        <v>2022</v>
      </c>
      <c r="C3421" s="9">
        <v>44694</v>
      </c>
      <c r="D3421">
        <v>12.75</v>
      </c>
    </row>
    <row r="3422" spans="1:4" x14ac:dyDescent="0.25">
      <c r="A3422" s="5">
        <f t="shared" si="115"/>
        <v>5</v>
      </c>
      <c r="B3422" s="5">
        <f t="shared" si="116"/>
        <v>2022</v>
      </c>
      <c r="C3422" s="9">
        <v>44695</v>
      </c>
      <c r="D3422">
        <v>12.75</v>
      </c>
    </row>
    <row r="3423" spans="1:4" x14ac:dyDescent="0.25">
      <c r="A3423" s="5">
        <f t="shared" si="115"/>
        <v>5</v>
      </c>
      <c r="B3423" s="5">
        <f t="shared" si="116"/>
        <v>2022</v>
      </c>
      <c r="C3423" s="9">
        <v>44696</v>
      </c>
      <c r="D3423">
        <v>12.75</v>
      </c>
    </row>
    <row r="3424" spans="1:4" x14ac:dyDescent="0.25">
      <c r="A3424" s="5">
        <f t="shared" si="115"/>
        <v>5</v>
      </c>
      <c r="B3424" s="5">
        <f t="shared" si="116"/>
        <v>2022</v>
      </c>
      <c r="C3424" s="9">
        <v>44697</v>
      </c>
      <c r="D3424">
        <v>12.75</v>
      </c>
    </row>
    <row r="3425" spans="1:4" x14ac:dyDescent="0.25">
      <c r="A3425" s="5">
        <f t="shared" si="115"/>
        <v>5</v>
      </c>
      <c r="B3425" s="5">
        <f t="shared" si="116"/>
        <v>2022</v>
      </c>
      <c r="C3425" s="9">
        <v>44698</v>
      </c>
      <c r="D3425">
        <v>12.75</v>
      </c>
    </row>
    <row r="3426" spans="1:4" x14ac:dyDescent="0.25">
      <c r="A3426" s="5">
        <f t="shared" si="115"/>
        <v>5</v>
      </c>
      <c r="B3426" s="5">
        <f t="shared" si="116"/>
        <v>2022</v>
      </c>
      <c r="C3426" s="9">
        <v>44699</v>
      </c>
      <c r="D3426">
        <v>12.75</v>
      </c>
    </row>
    <row r="3427" spans="1:4" x14ac:dyDescent="0.25">
      <c r="A3427" s="5">
        <f t="shared" si="115"/>
        <v>5</v>
      </c>
      <c r="B3427" s="5">
        <f t="shared" si="116"/>
        <v>2022</v>
      </c>
      <c r="C3427" s="9">
        <v>44700</v>
      </c>
      <c r="D3427">
        <v>12.75</v>
      </c>
    </row>
    <row r="3428" spans="1:4" x14ac:dyDescent="0.25">
      <c r="A3428" s="5">
        <f t="shared" si="115"/>
        <v>5</v>
      </c>
      <c r="B3428" s="5">
        <f t="shared" si="116"/>
        <v>2022</v>
      </c>
      <c r="C3428" s="9">
        <v>44701</v>
      </c>
      <c r="D3428">
        <v>12.75</v>
      </c>
    </row>
    <row r="3429" spans="1:4" x14ac:dyDescent="0.25">
      <c r="A3429" s="5">
        <f t="shared" si="115"/>
        <v>5</v>
      </c>
      <c r="B3429" s="5">
        <f t="shared" si="116"/>
        <v>2022</v>
      </c>
      <c r="C3429" s="9">
        <v>44702</v>
      </c>
      <c r="D3429">
        <v>12.75</v>
      </c>
    </row>
    <row r="3430" spans="1:4" x14ac:dyDescent="0.25">
      <c r="A3430" s="5">
        <f t="shared" si="115"/>
        <v>5</v>
      </c>
      <c r="B3430" s="5">
        <f t="shared" si="116"/>
        <v>2022</v>
      </c>
      <c r="C3430" s="9">
        <v>44703</v>
      </c>
      <c r="D3430">
        <v>12.75</v>
      </c>
    </row>
    <row r="3431" spans="1:4" x14ac:dyDescent="0.25">
      <c r="A3431" s="5">
        <f t="shared" si="115"/>
        <v>5</v>
      </c>
      <c r="B3431" s="5">
        <f t="shared" si="116"/>
        <v>2022</v>
      </c>
      <c r="C3431" s="9">
        <v>44704</v>
      </c>
      <c r="D3431">
        <v>12.75</v>
      </c>
    </row>
    <row r="3432" spans="1:4" x14ac:dyDescent="0.25">
      <c r="A3432" s="5">
        <f t="shared" si="115"/>
        <v>5</v>
      </c>
      <c r="B3432" s="5">
        <f t="shared" si="116"/>
        <v>2022</v>
      </c>
      <c r="C3432" s="9">
        <v>44705</v>
      </c>
      <c r="D3432">
        <v>12.75</v>
      </c>
    </row>
    <row r="3433" spans="1:4" x14ac:dyDescent="0.25">
      <c r="A3433" s="5">
        <f t="shared" si="115"/>
        <v>5</v>
      </c>
      <c r="B3433" s="5">
        <f t="shared" si="116"/>
        <v>2022</v>
      </c>
      <c r="C3433" s="9">
        <v>44706</v>
      </c>
      <c r="D3433">
        <v>12.75</v>
      </c>
    </row>
    <row r="3434" spans="1:4" x14ac:dyDescent="0.25">
      <c r="A3434" s="5">
        <f t="shared" si="115"/>
        <v>5</v>
      </c>
      <c r="B3434" s="5">
        <f t="shared" si="116"/>
        <v>2022</v>
      </c>
      <c r="C3434" s="9">
        <v>44707</v>
      </c>
      <c r="D3434">
        <v>12.75</v>
      </c>
    </row>
    <row r="3435" spans="1:4" x14ac:dyDescent="0.25">
      <c r="A3435" s="5">
        <f t="shared" si="115"/>
        <v>5</v>
      </c>
      <c r="B3435" s="5">
        <f t="shared" si="116"/>
        <v>2022</v>
      </c>
      <c r="C3435" s="9">
        <v>44708</v>
      </c>
      <c r="D3435">
        <v>12.75</v>
      </c>
    </row>
    <row r="3436" spans="1:4" x14ac:dyDescent="0.25">
      <c r="A3436" s="5">
        <f t="shared" si="115"/>
        <v>5</v>
      </c>
      <c r="B3436" s="5">
        <f t="shared" si="116"/>
        <v>2022</v>
      </c>
      <c r="C3436" s="9">
        <v>44709</v>
      </c>
      <c r="D3436">
        <v>12.75</v>
      </c>
    </row>
    <row r="3437" spans="1:4" x14ac:dyDescent="0.25">
      <c r="A3437" s="5">
        <f t="shared" si="115"/>
        <v>5</v>
      </c>
      <c r="B3437" s="5">
        <f t="shared" si="116"/>
        <v>2022</v>
      </c>
      <c r="C3437" s="9">
        <v>44710</v>
      </c>
      <c r="D3437">
        <v>12.75</v>
      </c>
    </row>
    <row r="3438" spans="1:4" x14ac:dyDescent="0.25">
      <c r="A3438" s="5">
        <f t="shared" si="115"/>
        <v>5</v>
      </c>
      <c r="B3438" s="5">
        <f t="shared" si="116"/>
        <v>2022</v>
      </c>
      <c r="C3438" s="9">
        <v>44711</v>
      </c>
      <c r="D3438">
        <v>12.75</v>
      </c>
    </row>
    <row r="3439" spans="1:4" x14ac:dyDescent="0.25">
      <c r="A3439" s="5">
        <f t="shared" si="115"/>
        <v>5</v>
      </c>
      <c r="B3439" s="5">
        <f t="shared" si="116"/>
        <v>2022</v>
      </c>
      <c r="C3439" s="9">
        <v>44712</v>
      </c>
      <c r="D3439">
        <v>12.75</v>
      </c>
    </row>
    <row r="3440" spans="1:4" x14ac:dyDescent="0.25">
      <c r="A3440" s="5">
        <f t="shared" si="115"/>
        <v>6</v>
      </c>
      <c r="B3440" s="5">
        <f t="shared" si="116"/>
        <v>2022</v>
      </c>
      <c r="C3440" s="9">
        <v>44713</v>
      </c>
      <c r="D3440">
        <v>12.75</v>
      </c>
    </row>
    <row r="3441" spans="1:4" x14ac:dyDescent="0.25">
      <c r="A3441" s="5">
        <f t="shared" si="115"/>
        <v>6</v>
      </c>
      <c r="B3441" s="5">
        <f t="shared" si="116"/>
        <v>2022</v>
      </c>
      <c r="C3441" s="9">
        <v>44714</v>
      </c>
      <c r="D3441">
        <v>12.75</v>
      </c>
    </row>
    <row r="3442" spans="1:4" x14ac:dyDescent="0.25">
      <c r="A3442" s="5">
        <f t="shared" si="115"/>
        <v>6</v>
      </c>
      <c r="B3442" s="5">
        <f t="shared" si="116"/>
        <v>2022</v>
      </c>
      <c r="C3442" s="9">
        <v>44715</v>
      </c>
      <c r="D3442">
        <v>12.75</v>
      </c>
    </row>
    <row r="3443" spans="1:4" x14ac:dyDescent="0.25">
      <c r="A3443" s="5">
        <f t="shared" si="115"/>
        <v>6</v>
      </c>
      <c r="B3443" s="5">
        <f t="shared" si="116"/>
        <v>2022</v>
      </c>
      <c r="C3443" s="9">
        <v>44716</v>
      </c>
      <c r="D3443">
        <v>12.75</v>
      </c>
    </row>
    <row r="3444" spans="1:4" x14ac:dyDescent="0.25">
      <c r="A3444" s="5">
        <f t="shared" si="115"/>
        <v>6</v>
      </c>
      <c r="B3444" s="5">
        <f t="shared" si="116"/>
        <v>2022</v>
      </c>
      <c r="C3444" s="9">
        <v>44717</v>
      </c>
      <c r="D3444">
        <v>12.75</v>
      </c>
    </row>
    <row r="3445" spans="1:4" x14ac:dyDescent="0.25">
      <c r="A3445" s="5">
        <f t="shared" si="115"/>
        <v>6</v>
      </c>
      <c r="B3445" s="5">
        <f t="shared" si="116"/>
        <v>2022</v>
      </c>
      <c r="C3445" s="9">
        <v>44718</v>
      </c>
      <c r="D3445">
        <v>12.75</v>
      </c>
    </row>
    <row r="3446" spans="1:4" x14ac:dyDescent="0.25">
      <c r="A3446" s="5">
        <f t="shared" si="115"/>
        <v>6</v>
      </c>
      <c r="B3446" s="5">
        <f t="shared" si="116"/>
        <v>2022</v>
      </c>
      <c r="C3446" s="9">
        <v>44719</v>
      </c>
      <c r="D3446">
        <v>12.75</v>
      </c>
    </row>
    <row r="3447" spans="1:4" x14ac:dyDescent="0.25">
      <c r="A3447" s="5">
        <f t="shared" si="115"/>
        <v>6</v>
      </c>
      <c r="B3447" s="5">
        <f t="shared" si="116"/>
        <v>2022</v>
      </c>
      <c r="C3447" s="9">
        <v>44720</v>
      </c>
      <c r="D3447">
        <v>12.75</v>
      </c>
    </row>
    <row r="3448" spans="1:4" x14ac:dyDescent="0.25">
      <c r="A3448" s="5">
        <f t="shared" si="115"/>
        <v>6</v>
      </c>
      <c r="B3448" s="5">
        <f t="shared" si="116"/>
        <v>2022</v>
      </c>
      <c r="C3448" s="9">
        <v>44721</v>
      </c>
      <c r="D3448">
        <v>12.75</v>
      </c>
    </row>
    <row r="3449" spans="1:4" x14ac:dyDescent="0.25">
      <c r="A3449" s="5">
        <f t="shared" si="115"/>
        <v>6</v>
      </c>
      <c r="B3449" s="5">
        <f t="shared" si="116"/>
        <v>2022</v>
      </c>
      <c r="C3449" s="9">
        <v>44722</v>
      </c>
      <c r="D3449">
        <v>12.75</v>
      </c>
    </row>
    <row r="3450" spans="1:4" x14ac:dyDescent="0.25">
      <c r="A3450" s="5">
        <f t="shared" si="115"/>
        <v>6</v>
      </c>
      <c r="B3450" s="5">
        <f t="shared" si="116"/>
        <v>2022</v>
      </c>
      <c r="C3450" s="9">
        <v>44723</v>
      </c>
      <c r="D3450">
        <v>12.75</v>
      </c>
    </row>
    <row r="3451" spans="1:4" x14ac:dyDescent="0.25">
      <c r="A3451" s="5">
        <f t="shared" si="115"/>
        <v>6</v>
      </c>
      <c r="B3451" s="5">
        <f t="shared" si="116"/>
        <v>2022</v>
      </c>
      <c r="C3451" s="9">
        <v>44724</v>
      </c>
      <c r="D3451">
        <v>12.75</v>
      </c>
    </row>
    <row r="3452" spans="1:4" x14ac:dyDescent="0.25">
      <c r="A3452" s="5">
        <f t="shared" si="115"/>
        <v>6</v>
      </c>
      <c r="B3452" s="5">
        <f t="shared" si="116"/>
        <v>2022</v>
      </c>
      <c r="C3452" s="9">
        <v>44725</v>
      </c>
      <c r="D3452">
        <v>12.75</v>
      </c>
    </row>
    <row r="3453" spans="1:4" x14ac:dyDescent="0.25">
      <c r="A3453" s="5">
        <f t="shared" si="115"/>
        <v>6</v>
      </c>
      <c r="B3453" s="5">
        <f t="shared" si="116"/>
        <v>2022</v>
      </c>
      <c r="C3453" s="9">
        <v>44726</v>
      </c>
      <c r="D3453">
        <v>12.75</v>
      </c>
    </row>
    <row r="3454" spans="1:4" x14ac:dyDescent="0.25">
      <c r="A3454" s="5">
        <f t="shared" si="115"/>
        <v>6</v>
      </c>
      <c r="B3454" s="5">
        <f t="shared" si="116"/>
        <v>2022</v>
      </c>
      <c r="C3454" s="9">
        <v>44727</v>
      </c>
      <c r="D3454">
        <v>12.75</v>
      </c>
    </row>
    <row r="3455" spans="1:4" x14ac:dyDescent="0.25">
      <c r="A3455" s="5">
        <f t="shared" si="115"/>
        <v>6</v>
      </c>
      <c r="B3455" s="5">
        <f t="shared" si="116"/>
        <v>2022</v>
      </c>
      <c r="C3455" s="9">
        <v>44728</v>
      </c>
      <c r="D3455">
        <v>13.25</v>
      </c>
    </row>
    <row r="3456" spans="1:4" x14ac:dyDescent="0.25">
      <c r="A3456" s="5">
        <f t="shared" si="115"/>
        <v>6</v>
      </c>
      <c r="B3456" s="5">
        <f t="shared" si="116"/>
        <v>2022</v>
      </c>
      <c r="C3456" s="9">
        <v>44729</v>
      </c>
      <c r="D3456">
        <v>13.25</v>
      </c>
    </row>
    <row r="3457" spans="1:4" x14ac:dyDescent="0.25">
      <c r="A3457" s="5">
        <f t="shared" si="115"/>
        <v>6</v>
      </c>
      <c r="B3457" s="5">
        <f t="shared" si="116"/>
        <v>2022</v>
      </c>
      <c r="C3457" s="9">
        <v>44730</v>
      </c>
      <c r="D3457">
        <v>13.25</v>
      </c>
    </row>
    <row r="3458" spans="1:4" x14ac:dyDescent="0.25">
      <c r="A3458" s="5">
        <f t="shared" si="115"/>
        <v>6</v>
      </c>
      <c r="B3458" s="5">
        <f t="shared" si="116"/>
        <v>2022</v>
      </c>
      <c r="C3458" s="9">
        <v>44731</v>
      </c>
      <c r="D3458">
        <v>13.25</v>
      </c>
    </row>
    <row r="3459" spans="1:4" x14ac:dyDescent="0.25">
      <c r="A3459" s="5">
        <f t="shared" ref="A3459:A3522" si="117">MONTH(C3459)</f>
        <v>6</v>
      </c>
      <c r="B3459" s="5">
        <f t="shared" ref="B3459:B3522" si="118">YEAR(C3459)</f>
        <v>2022</v>
      </c>
      <c r="C3459" s="9">
        <v>44732</v>
      </c>
      <c r="D3459">
        <v>13.25</v>
      </c>
    </row>
    <row r="3460" spans="1:4" x14ac:dyDescent="0.25">
      <c r="A3460" s="5">
        <f t="shared" si="117"/>
        <v>6</v>
      </c>
      <c r="B3460" s="5">
        <f t="shared" si="118"/>
        <v>2022</v>
      </c>
      <c r="C3460" s="9">
        <v>44733</v>
      </c>
      <c r="D3460">
        <v>13.25</v>
      </c>
    </row>
    <row r="3461" spans="1:4" x14ac:dyDescent="0.25">
      <c r="A3461" s="5">
        <f t="shared" si="117"/>
        <v>6</v>
      </c>
      <c r="B3461" s="5">
        <f t="shared" si="118"/>
        <v>2022</v>
      </c>
      <c r="C3461" s="9">
        <v>44734</v>
      </c>
      <c r="D3461">
        <v>13.25</v>
      </c>
    </row>
    <row r="3462" spans="1:4" x14ac:dyDescent="0.25">
      <c r="A3462" s="5">
        <f t="shared" si="117"/>
        <v>6</v>
      </c>
      <c r="B3462" s="5">
        <f t="shared" si="118"/>
        <v>2022</v>
      </c>
      <c r="C3462" s="9">
        <v>44735</v>
      </c>
      <c r="D3462">
        <v>13.25</v>
      </c>
    </row>
    <row r="3463" spans="1:4" x14ac:dyDescent="0.25">
      <c r="A3463" s="5">
        <f t="shared" si="117"/>
        <v>6</v>
      </c>
      <c r="B3463" s="5">
        <f t="shared" si="118"/>
        <v>2022</v>
      </c>
      <c r="C3463" s="9">
        <v>44736</v>
      </c>
      <c r="D3463">
        <v>13.25</v>
      </c>
    </row>
    <row r="3464" spans="1:4" x14ac:dyDescent="0.25">
      <c r="A3464" s="5">
        <f t="shared" si="117"/>
        <v>6</v>
      </c>
      <c r="B3464" s="5">
        <f t="shared" si="118"/>
        <v>2022</v>
      </c>
      <c r="C3464" s="9">
        <v>44737</v>
      </c>
      <c r="D3464">
        <v>13.25</v>
      </c>
    </row>
    <row r="3465" spans="1:4" x14ac:dyDescent="0.25">
      <c r="A3465" s="5">
        <f t="shared" si="117"/>
        <v>6</v>
      </c>
      <c r="B3465" s="5">
        <f t="shared" si="118"/>
        <v>2022</v>
      </c>
      <c r="C3465" s="9">
        <v>44738</v>
      </c>
      <c r="D3465">
        <v>13.25</v>
      </c>
    </row>
    <row r="3466" spans="1:4" x14ac:dyDescent="0.25">
      <c r="A3466" s="5">
        <f t="shared" si="117"/>
        <v>6</v>
      </c>
      <c r="B3466" s="5">
        <f t="shared" si="118"/>
        <v>2022</v>
      </c>
      <c r="C3466" s="9">
        <v>44739</v>
      </c>
      <c r="D3466">
        <v>13.25</v>
      </c>
    </row>
    <row r="3467" spans="1:4" x14ac:dyDescent="0.25">
      <c r="A3467" s="5">
        <f t="shared" si="117"/>
        <v>6</v>
      </c>
      <c r="B3467" s="5">
        <f t="shared" si="118"/>
        <v>2022</v>
      </c>
      <c r="C3467" s="9">
        <v>44740</v>
      </c>
      <c r="D3467">
        <v>13.25</v>
      </c>
    </row>
    <row r="3468" spans="1:4" x14ac:dyDescent="0.25">
      <c r="A3468" s="5">
        <f t="shared" si="117"/>
        <v>6</v>
      </c>
      <c r="B3468" s="5">
        <f t="shared" si="118"/>
        <v>2022</v>
      </c>
      <c r="C3468" s="9">
        <v>44741</v>
      </c>
      <c r="D3468">
        <v>13.25</v>
      </c>
    </row>
    <row r="3469" spans="1:4" x14ac:dyDescent="0.25">
      <c r="A3469" s="5">
        <f t="shared" si="117"/>
        <v>6</v>
      </c>
      <c r="B3469" s="5">
        <f t="shared" si="118"/>
        <v>2022</v>
      </c>
      <c r="C3469" s="9">
        <v>44742</v>
      </c>
      <c r="D3469">
        <v>13.25</v>
      </c>
    </row>
    <row r="3470" spans="1:4" x14ac:dyDescent="0.25">
      <c r="A3470" s="5">
        <f t="shared" si="117"/>
        <v>7</v>
      </c>
      <c r="B3470" s="5">
        <f t="shared" si="118"/>
        <v>2022</v>
      </c>
      <c r="C3470" s="9">
        <v>44743</v>
      </c>
      <c r="D3470">
        <v>13.25</v>
      </c>
    </row>
    <row r="3471" spans="1:4" x14ac:dyDescent="0.25">
      <c r="A3471" s="5">
        <f t="shared" si="117"/>
        <v>7</v>
      </c>
      <c r="B3471" s="5">
        <f t="shared" si="118"/>
        <v>2022</v>
      </c>
      <c r="C3471" s="9">
        <v>44744</v>
      </c>
      <c r="D3471">
        <v>13.25</v>
      </c>
    </row>
    <row r="3472" spans="1:4" x14ac:dyDescent="0.25">
      <c r="A3472" s="5">
        <f t="shared" si="117"/>
        <v>7</v>
      </c>
      <c r="B3472" s="5">
        <f t="shared" si="118"/>
        <v>2022</v>
      </c>
      <c r="C3472" s="9">
        <v>44745</v>
      </c>
      <c r="D3472">
        <v>13.25</v>
      </c>
    </row>
    <row r="3473" spans="1:4" x14ac:dyDescent="0.25">
      <c r="A3473" s="5">
        <f t="shared" si="117"/>
        <v>7</v>
      </c>
      <c r="B3473" s="5">
        <f t="shared" si="118"/>
        <v>2022</v>
      </c>
      <c r="C3473" s="9">
        <v>44746</v>
      </c>
      <c r="D3473">
        <v>13.25</v>
      </c>
    </row>
    <row r="3474" spans="1:4" x14ac:dyDescent="0.25">
      <c r="A3474" s="5">
        <f t="shared" si="117"/>
        <v>7</v>
      </c>
      <c r="B3474" s="5">
        <f t="shared" si="118"/>
        <v>2022</v>
      </c>
      <c r="C3474" s="9">
        <v>44747</v>
      </c>
      <c r="D3474">
        <v>13.25</v>
      </c>
    </row>
    <row r="3475" spans="1:4" x14ac:dyDescent="0.25">
      <c r="A3475" s="5">
        <f t="shared" si="117"/>
        <v>7</v>
      </c>
      <c r="B3475" s="5">
        <f t="shared" si="118"/>
        <v>2022</v>
      </c>
      <c r="C3475" s="9">
        <v>44748</v>
      </c>
      <c r="D3475">
        <v>13.25</v>
      </c>
    </row>
    <row r="3476" spans="1:4" x14ac:dyDescent="0.25">
      <c r="A3476" s="5">
        <f t="shared" si="117"/>
        <v>7</v>
      </c>
      <c r="B3476" s="5">
        <f t="shared" si="118"/>
        <v>2022</v>
      </c>
      <c r="C3476" s="9">
        <v>44749</v>
      </c>
      <c r="D3476">
        <v>13.25</v>
      </c>
    </row>
    <row r="3477" spans="1:4" x14ac:dyDescent="0.25">
      <c r="A3477" s="5">
        <f t="shared" si="117"/>
        <v>7</v>
      </c>
      <c r="B3477" s="5">
        <f t="shared" si="118"/>
        <v>2022</v>
      </c>
      <c r="C3477" s="9">
        <v>44750</v>
      </c>
      <c r="D3477">
        <v>13.25</v>
      </c>
    </row>
    <row r="3478" spans="1:4" x14ac:dyDescent="0.25">
      <c r="A3478" s="5">
        <f t="shared" si="117"/>
        <v>7</v>
      </c>
      <c r="B3478" s="5">
        <f t="shared" si="118"/>
        <v>2022</v>
      </c>
      <c r="C3478" s="9">
        <v>44751</v>
      </c>
      <c r="D3478">
        <v>13.25</v>
      </c>
    </row>
    <row r="3479" spans="1:4" x14ac:dyDescent="0.25">
      <c r="A3479" s="5">
        <f t="shared" si="117"/>
        <v>7</v>
      </c>
      <c r="B3479" s="5">
        <f t="shared" si="118"/>
        <v>2022</v>
      </c>
      <c r="C3479" s="9">
        <v>44752</v>
      </c>
      <c r="D3479">
        <v>13.25</v>
      </c>
    </row>
    <row r="3480" spans="1:4" x14ac:dyDescent="0.25">
      <c r="A3480" s="5">
        <f t="shared" si="117"/>
        <v>7</v>
      </c>
      <c r="B3480" s="5">
        <f t="shared" si="118"/>
        <v>2022</v>
      </c>
      <c r="C3480" s="9">
        <v>44753</v>
      </c>
      <c r="D3480">
        <v>13.25</v>
      </c>
    </row>
    <row r="3481" spans="1:4" x14ac:dyDescent="0.25">
      <c r="A3481" s="5">
        <f t="shared" si="117"/>
        <v>7</v>
      </c>
      <c r="B3481" s="5">
        <f t="shared" si="118"/>
        <v>2022</v>
      </c>
      <c r="C3481" s="9">
        <v>44754</v>
      </c>
      <c r="D3481">
        <v>13.25</v>
      </c>
    </row>
    <row r="3482" spans="1:4" x14ac:dyDescent="0.25">
      <c r="A3482" s="5">
        <f t="shared" si="117"/>
        <v>7</v>
      </c>
      <c r="B3482" s="5">
        <f t="shared" si="118"/>
        <v>2022</v>
      </c>
      <c r="C3482" s="9">
        <v>44755</v>
      </c>
      <c r="D3482">
        <v>13.25</v>
      </c>
    </row>
    <row r="3483" spans="1:4" x14ac:dyDescent="0.25">
      <c r="A3483" s="5">
        <f t="shared" si="117"/>
        <v>7</v>
      </c>
      <c r="B3483" s="5">
        <f t="shared" si="118"/>
        <v>2022</v>
      </c>
      <c r="C3483" s="9">
        <v>44756</v>
      </c>
      <c r="D3483">
        <v>13.25</v>
      </c>
    </row>
    <row r="3484" spans="1:4" x14ac:dyDescent="0.25">
      <c r="A3484" s="5">
        <f t="shared" si="117"/>
        <v>7</v>
      </c>
      <c r="B3484" s="5">
        <f t="shared" si="118"/>
        <v>2022</v>
      </c>
      <c r="C3484" s="9">
        <v>44757</v>
      </c>
      <c r="D3484">
        <v>13.25</v>
      </c>
    </row>
    <row r="3485" spans="1:4" x14ac:dyDescent="0.25">
      <c r="A3485" s="5">
        <f t="shared" si="117"/>
        <v>7</v>
      </c>
      <c r="B3485" s="5">
        <f t="shared" si="118"/>
        <v>2022</v>
      </c>
      <c r="C3485" s="9">
        <v>44758</v>
      </c>
      <c r="D3485">
        <v>13.25</v>
      </c>
    </row>
    <row r="3486" spans="1:4" x14ac:dyDescent="0.25">
      <c r="A3486" s="5">
        <f t="shared" si="117"/>
        <v>7</v>
      </c>
      <c r="B3486" s="5">
        <f t="shared" si="118"/>
        <v>2022</v>
      </c>
      <c r="C3486" s="9">
        <v>44759</v>
      </c>
      <c r="D3486">
        <v>13.25</v>
      </c>
    </row>
    <row r="3487" spans="1:4" x14ac:dyDescent="0.25">
      <c r="A3487" s="5">
        <f t="shared" si="117"/>
        <v>7</v>
      </c>
      <c r="B3487" s="5">
        <f t="shared" si="118"/>
        <v>2022</v>
      </c>
      <c r="C3487" s="9">
        <v>44760</v>
      </c>
      <c r="D3487">
        <v>13.25</v>
      </c>
    </row>
    <row r="3488" spans="1:4" x14ac:dyDescent="0.25">
      <c r="A3488" s="5">
        <f t="shared" si="117"/>
        <v>7</v>
      </c>
      <c r="B3488" s="5">
        <f t="shared" si="118"/>
        <v>2022</v>
      </c>
      <c r="C3488" s="9">
        <v>44761</v>
      </c>
      <c r="D3488">
        <v>13.25</v>
      </c>
    </row>
    <row r="3489" spans="1:4" x14ac:dyDescent="0.25">
      <c r="A3489" s="5">
        <f t="shared" si="117"/>
        <v>7</v>
      </c>
      <c r="B3489" s="5">
        <f t="shared" si="118"/>
        <v>2022</v>
      </c>
      <c r="C3489" s="9">
        <v>44762</v>
      </c>
      <c r="D3489">
        <v>13.25</v>
      </c>
    </row>
    <row r="3490" spans="1:4" x14ac:dyDescent="0.25">
      <c r="A3490" s="5">
        <f t="shared" si="117"/>
        <v>7</v>
      </c>
      <c r="B3490" s="5">
        <f t="shared" si="118"/>
        <v>2022</v>
      </c>
      <c r="C3490" s="9">
        <v>44763</v>
      </c>
      <c r="D3490">
        <v>13.25</v>
      </c>
    </row>
    <row r="3491" spans="1:4" x14ac:dyDescent="0.25">
      <c r="A3491" s="5">
        <f t="shared" si="117"/>
        <v>7</v>
      </c>
      <c r="B3491" s="5">
        <f t="shared" si="118"/>
        <v>2022</v>
      </c>
      <c r="C3491" s="9">
        <v>44764</v>
      </c>
      <c r="D3491">
        <v>13.25</v>
      </c>
    </row>
    <row r="3492" spans="1:4" x14ac:dyDescent="0.25">
      <c r="A3492" s="5">
        <f t="shared" si="117"/>
        <v>7</v>
      </c>
      <c r="B3492" s="5">
        <f t="shared" si="118"/>
        <v>2022</v>
      </c>
      <c r="C3492" s="9">
        <v>44765</v>
      </c>
      <c r="D3492">
        <v>13.25</v>
      </c>
    </row>
    <row r="3493" spans="1:4" x14ac:dyDescent="0.25">
      <c r="A3493" s="5">
        <f t="shared" si="117"/>
        <v>7</v>
      </c>
      <c r="B3493" s="5">
        <f t="shared" si="118"/>
        <v>2022</v>
      </c>
      <c r="C3493" s="9">
        <v>44766</v>
      </c>
      <c r="D3493">
        <v>13.25</v>
      </c>
    </row>
    <row r="3494" spans="1:4" x14ac:dyDescent="0.25">
      <c r="A3494" s="5">
        <f t="shared" si="117"/>
        <v>7</v>
      </c>
      <c r="B3494" s="5">
        <f t="shared" si="118"/>
        <v>2022</v>
      </c>
      <c r="C3494" s="9">
        <v>44767</v>
      </c>
      <c r="D3494">
        <v>13.25</v>
      </c>
    </row>
    <row r="3495" spans="1:4" x14ac:dyDescent="0.25">
      <c r="A3495" s="5">
        <f t="shared" si="117"/>
        <v>7</v>
      </c>
      <c r="B3495" s="5">
        <f t="shared" si="118"/>
        <v>2022</v>
      </c>
      <c r="C3495" s="9">
        <v>44768</v>
      </c>
      <c r="D3495">
        <v>13.25</v>
      </c>
    </row>
    <row r="3496" spans="1:4" x14ac:dyDescent="0.25">
      <c r="A3496" s="5">
        <f t="shared" si="117"/>
        <v>7</v>
      </c>
      <c r="B3496" s="5">
        <f t="shared" si="118"/>
        <v>2022</v>
      </c>
      <c r="C3496" s="9">
        <v>44769</v>
      </c>
      <c r="D3496">
        <v>13.25</v>
      </c>
    </row>
    <row r="3497" spans="1:4" x14ac:dyDescent="0.25">
      <c r="A3497" s="5">
        <f t="shared" si="117"/>
        <v>7</v>
      </c>
      <c r="B3497" s="5">
        <f t="shared" si="118"/>
        <v>2022</v>
      </c>
      <c r="C3497" s="9">
        <v>44770</v>
      </c>
      <c r="D3497">
        <v>13.25</v>
      </c>
    </row>
    <row r="3498" spans="1:4" x14ac:dyDescent="0.25">
      <c r="A3498" s="5">
        <f t="shared" si="117"/>
        <v>7</v>
      </c>
      <c r="B3498" s="5">
        <f t="shared" si="118"/>
        <v>2022</v>
      </c>
      <c r="C3498" s="9">
        <v>44771</v>
      </c>
      <c r="D3498">
        <v>13.25</v>
      </c>
    </row>
    <row r="3499" spans="1:4" x14ac:dyDescent="0.25">
      <c r="A3499" s="5">
        <f t="shared" si="117"/>
        <v>7</v>
      </c>
      <c r="B3499" s="5">
        <f t="shared" si="118"/>
        <v>2022</v>
      </c>
      <c r="C3499" s="9">
        <v>44772</v>
      </c>
      <c r="D3499">
        <v>13.25</v>
      </c>
    </row>
    <row r="3500" spans="1:4" x14ac:dyDescent="0.25">
      <c r="A3500" s="5">
        <f t="shared" si="117"/>
        <v>7</v>
      </c>
      <c r="B3500" s="5">
        <f t="shared" si="118"/>
        <v>2022</v>
      </c>
      <c r="C3500" s="9">
        <v>44773</v>
      </c>
      <c r="D3500">
        <v>13.25</v>
      </c>
    </row>
    <row r="3501" spans="1:4" x14ac:dyDescent="0.25">
      <c r="A3501" s="5">
        <f t="shared" si="117"/>
        <v>8</v>
      </c>
      <c r="B3501" s="5">
        <f t="shared" si="118"/>
        <v>2022</v>
      </c>
      <c r="C3501" s="9">
        <v>44774</v>
      </c>
      <c r="D3501">
        <v>13.25</v>
      </c>
    </row>
    <row r="3502" spans="1:4" x14ac:dyDescent="0.25">
      <c r="A3502" s="5">
        <f t="shared" si="117"/>
        <v>8</v>
      </c>
      <c r="B3502" s="5">
        <f t="shared" si="118"/>
        <v>2022</v>
      </c>
      <c r="C3502" s="9">
        <v>44775</v>
      </c>
      <c r="D3502">
        <v>13.25</v>
      </c>
    </row>
    <row r="3503" spans="1:4" x14ac:dyDescent="0.25">
      <c r="A3503" s="5">
        <f t="shared" si="117"/>
        <v>8</v>
      </c>
      <c r="B3503" s="5">
        <f t="shared" si="118"/>
        <v>2022</v>
      </c>
      <c r="C3503" s="9">
        <v>44776</v>
      </c>
      <c r="D3503">
        <v>13.25</v>
      </c>
    </row>
    <row r="3504" spans="1:4" x14ac:dyDescent="0.25">
      <c r="A3504" s="5">
        <f t="shared" si="117"/>
        <v>8</v>
      </c>
      <c r="B3504" s="5">
        <f t="shared" si="118"/>
        <v>2022</v>
      </c>
      <c r="C3504" s="9">
        <v>44777</v>
      </c>
      <c r="D3504">
        <v>13.75</v>
      </c>
    </row>
    <row r="3505" spans="1:4" x14ac:dyDescent="0.25">
      <c r="A3505" s="5">
        <f t="shared" si="117"/>
        <v>8</v>
      </c>
      <c r="B3505" s="5">
        <f t="shared" si="118"/>
        <v>2022</v>
      </c>
      <c r="C3505" s="9">
        <v>44778</v>
      </c>
      <c r="D3505">
        <v>13.75</v>
      </c>
    </row>
    <row r="3506" spans="1:4" x14ac:dyDescent="0.25">
      <c r="A3506" s="5">
        <f t="shared" si="117"/>
        <v>8</v>
      </c>
      <c r="B3506" s="5">
        <f t="shared" si="118"/>
        <v>2022</v>
      </c>
      <c r="C3506" s="9">
        <v>44779</v>
      </c>
      <c r="D3506">
        <v>13.75</v>
      </c>
    </row>
    <row r="3507" spans="1:4" x14ac:dyDescent="0.25">
      <c r="A3507" s="5">
        <f t="shared" si="117"/>
        <v>8</v>
      </c>
      <c r="B3507" s="5">
        <f t="shared" si="118"/>
        <v>2022</v>
      </c>
      <c r="C3507" s="9">
        <v>44780</v>
      </c>
      <c r="D3507">
        <v>13.75</v>
      </c>
    </row>
    <row r="3508" spans="1:4" x14ac:dyDescent="0.25">
      <c r="A3508" s="5">
        <f t="shared" si="117"/>
        <v>8</v>
      </c>
      <c r="B3508" s="5">
        <f t="shared" si="118"/>
        <v>2022</v>
      </c>
      <c r="C3508" s="9">
        <v>44781</v>
      </c>
      <c r="D3508">
        <v>13.75</v>
      </c>
    </row>
    <row r="3509" spans="1:4" x14ac:dyDescent="0.25">
      <c r="A3509" s="5">
        <f t="shared" si="117"/>
        <v>8</v>
      </c>
      <c r="B3509" s="5">
        <f t="shared" si="118"/>
        <v>2022</v>
      </c>
      <c r="C3509" s="9">
        <v>44782</v>
      </c>
      <c r="D3509">
        <v>13.75</v>
      </c>
    </row>
    <row r="3510" spans="1:4" x14ac:dyDescent="0.25">
      <c r="A3510" s="5">
        <f t="shared" si="117"/>
        <v>8</v>
      </c>
      <c r="B3510" s="5">
        <f t="shared" si="118"/>
        <v>2022</v>
      </c>
      <c r="C3510" s="9">
        <v>44783</v>
      </c>
      <c r="D3510">
        <v>13.75</v>
      </c>
    </row>
    <row r="3511" spans="1:4" x14ac:dyDescent="0.25">
      <c r="A3511" s="5">
        <f t="shared" si="117"/>
        <v>8</v>
      </c>
      <c r="B3511" s="5">
        <f t="shared" si="118"/>
        <v>2022</v>
      </c>
      <c r="C3511" s="9">
        <v>44784</v>
      </c>
      <c r="D3511">
        <v>13.75</v>
      </c>
    </row>
    <row r="3512" spans="1:4" x14ac:dyDescent="0.25">
      <c r="A3512" s="5">
        <f t="shared" si="117"/>
        <v>8</v>
      </c>
      <c r="B3512" s="5">
        <f t="shared" si="118"/>
        <v>2022</v>
      </c>
      <c r="C3512" s="9">
        <v>44785</v>
      </c>
      <c r="D3512">
        <v>13.75</v>
      </c>
    </row>
    <row r="3513" spans="1:4" x14ac:dyDescent="0.25">
      <c r="A3513" s="5">
        <f t="shared" si="117"/>
        <v>8</v>
      </c>
      <c r="B3513" s="5">
        <f t="shared" si="118"/>
        <v>2022</v>
      </c>
      <c r="C3513" s="9">
        <v>44786</v>
      </c>
      <c r="D3513">
        <v>13.75</v>
      </c>
    </row>
    <row r="3514" spans="1:4" x14ac:dyDescent="0.25">
      <c r="A3514" s="5">
        <f t="shared" si="117"/>
        <v>8</v>
      </c>
      <c r="B3514" s="5">
        <f t="shared" si="118"/>
        <v>2022</v>
      </c>
      <c r="C3514" s="9">
        <v>44787</v>
      </c>
      <c r="D3514">
        <v>13.75</v>
      </c>
    </row>
    <row r="3515" spans="1:4" x14ac:dyDescent="0.25">
      <c r="A3515" s="5">
        <f t="shared" si="117"/>
        <v>8</v>
      </c>
      <c r="B3515" s="5">
        <f t="shared" si="118"/>
        <v>2022</v>
      </c>
      <c r="C3515" s="9">
        <v>44788</v>
      </c>
      <c r="D3515">
        <v>13.75</v>
      </c>
    </row>
    <row r="3516" spans="1:4" x14ac:dyDescent="0.25">
      <c r="A3516" s="5">
        <f t="shared" si="117"/>
        <v>8</v>
      </c>
      <c r="B3516" s="5">
        <f t="shared" si="118"/>
        <v>2022</v>
      </c>
      <c r="C3516" s="9">
        <v>44789</v>
      </c>
      <c r="D3516">
        <v>13.75</v>
      </c>
    </row>
    <row r="3517" spans="1:4" x14ac:dyDescent="0.25">
      <c r="A3517" s="5">
        <f t="shared" si="117"/>
        <v>8</v>
      </c>
      <c r="B3517" s="5">
        <f t="shared" si="118"/>
        <v>2022</v>
      </c>
      <c r="C3517" s="9">
        <v>44790</v>
      </c>
      <c r="D3517">
        <v>13.75</v>
      </c>
    </row>
    <row r="3518" spans="1:4" x14ac:dyDescent="0.25">
      <c r="A3518" s="5">
        <f t="shared" si="117"/>
        <v>8</v>
      </c>
      <c r="B3518" s="5">
        <f t="shared" si="118"/>
        <v>2022</v>
      </c>
      <c r="C3518" s="9">
        <v>44791</v>
      </c>
      <c r="D3518">
        <v>13.75</v>
      </c>
    </row>
    <row r="3519" spans="1:4" x14ac:dyDescent="0.25">
      <c r="A3519" s="5">
        <f t="shared" si="117"/>
        <v>8</v>
      </c>
      <c r="B3519" s="5">
        <f t="shared" si="118"/>
        <v>2022</v>
      </c>
      <c r="C3519" s="9">
        <v>44792</v>
      </c>
      <c r="D3519">
        <v>13.75</v>
      </c>
    </row>
    <row r="3520" spans="1:4" x14ac:dyDescent="0.25">
      <c r="A3520" s="5">
        <f t="shared" si="117"/>
        <v>8</v>
      </c>
      <c r="B3520" s="5">
        <f t="shared" si="118"/>
        <v>2022</v>
      </c>
      <c r="C3520" s="9">
        <v>44793</v>
      </c>
      <c r="D3520">
        <v>13.75</v>
      </c>
    </row>
    <row r="3521" spans="1:4" x14ac:dyDescent="0.25">
      <c r="A3521" s="5">
        <f t="shared" si="117"/>
        <v>8</v>
      </c>
      <c r="B3521" s="5">
        <f t="shared" si="118"/>
        <v>2022</v>
      </c>
      <c r="C3521" s="9">
        <v>44794</v>
      </c>
      <c r="D3521">
        <v>13.75</v>
      </c>
    </row>
    <row r="3522" spans="1:4" x14ac:dyDescent="0.25">
      <c r="A3522" s="5">
        <f t="shared" si="117"/>
        <v>8</v>
      </c>
      <c r="B3522" s="5">
        <f t="shared" si="118"/>
        <v>2022</v>
      </c>
      <c r="C3522" s="9">
        <v>44795</v>
      </c>
      <c r="D3522">
        <v>13.75</v>
      </c>
    </row>
    <row r="3523" spans="1:4" x14ac:dyDescent="0.25">
      <c r="A3523" s="5">
        <f t="shared" ref="A3523:A3586" si="119">MONTH(C3523)</f>
        <v>8</v>
      </c>
      <c r="B3523" s="5">
        <f t="shared" ref="B3523:B3586" si="120">YEAR(C3523)</f>
        <v>2022</v>
      </c>
      <c r="C3523" s="9">
        <v>44796</v>
      </c>
      <c r="D3523">
        <v>13.75</v>
      </c>
    </row>
    <row r="3524" spans="1:4" x14ac:dyDescent="0.25">
      <c r="A3524" s="5">
        <f t="shared" si="119"/>
        <v>8</v>
      </c>
      <c r="B3524" s="5">
        <f t="shared" si="120"/>
        <v>2022</v>
      </c>
      <c r="C3524" s="9">
        <v>44797</v>
      </c>
      <c r="D3524">
        <v>13.75</v>
      </c>
    </row>
    <row r="3525" spans="1:4" x14ac:dyDescent="0.25">
      <c r="A3525" s="5">
        <f t="shared" si="119"/>
        <v>8</v>
      </c>
      <c r="B3525" s="5">
        <f t="shared" si="120"/>
        <v>2022</v>
      </c>
      <c r="C3525" s="9">
        <v>44798</v>
      </c>
      <c r="D3525">
        <v>13.75</v>
      </c>
    </row>
    <row r="3526" spans="1:4" x14ac:dyDescent="0.25">
      <c r="A3526" s="5">
        <f t="shared" si="119"/>
        <v>8</v>
      </c>
      <c r="B3526" s="5">
        <f t="shared" si="120"/>
        <v>2022</v>
      </c>
      <c r="C3526" s="9">
        <v>44799</v>
      </c>
      <c r="D3526">
        <v>13.75</v>
      </c>
    </row>
    <row r="3527" spans="1:4" x14ac:dyDescent="0.25">
      <c r="A3527" s="5">
        <f t="shared" si="119"/>
        <v>8</v>
      </c>
      <c r="B3527" s="5">
        <f t="shared" si="120"/>
        <v>2022</v>
      </c>
      <c r="C3527" s="9">
        <v>44800</v>
      </c>
      <c r="D3527">
        <v>13.75</v>
      </c>
    </row>
    <row r="3528" spans="1:4" x14ac:dyDescent="0.25">
      <c r="A3528" s="5">
        <f t="shared" si="119"/>
        <v>8</v>
      </c>
      <c r="B3528" s="5">
        <f t="shared" si="120"/>
        <v>2022</v>
      </c>
      <c r="C3528" s="9">
        <v>44801</v>
      </c>
      <c r="D3528">
        <v>13.75</v>
      </c>
    </row>
    <row r="3529" spans="1:4" x14ac:dyDescent="0.25">
      <c r="A3529" s="5">
        <f t="shared" si="119"/>
        <v>8</v>
      </c>
      <c r="B3529" s="5">
        <f t="shared" si="120"/>
        <v>2022</v>
      </c>
      <c r="C3529" s="9">
        <v>44802</v>
      </c>
      <c r="D3529">
        <v>13.75</v>
      </c>
    </row>
    <row r="3530" spans="1:4" x14ac:dyDescent="0.25">
      <c r="A3530" s="5">
        <f t="shared" si="119"/>
        <v>8</v>
      </c>
      <c r="B3530" s="5">
        <f t="shared" si="120"/>
        <v>2022</v>
      </c>
      <c r="C3530" s="9">
        <v>44803</v>
      </c>
      <c r="D3530">
        <v>13.75</v>
      </c>
    </row>
    <row r="3531" spans="1:4" x14ac:dyDescent="0.25">
      <c r="A3531" s="5">
        <f t="shared" si="119"/>
        <v>8</v>
      </c>
      <c r="B3531" s="5">
        <f t="shared" si="120"/>
        <v>2022</v>
      </c>
      <c r="C3531" s="9">
        <v>44804</v>
      </c>
      <c r="D3531">
        <v>13.75</v>
      </c>
    </row>
    <row r="3532" spans="1:4" x14ac:dyDescent="0.25">
      <c r="A3532" s="5">
        <f t="shared" si="119"/>
        <v>9</v>
      </c>
      <c r="B3532" s="5">
        <f t="shared" si="120"/>
        <v>2022</v>
      </c>
      <c r="C3532" s="9">
        <v>44805</v>
      </c>
      <c r="D3532">
        <v>13.75</v>
      </c>
    </row>
    <row r="3533" spans="1:4" x14ac:dyDescent="0.25">
      <c r="A3533" s="5">
        <f t="shared" si="119"/>
        <v>9</v>
      </c>
      <c r="B3533" s="5">
        <f t="shared" si="120"/>
        <v>2022</v>
      </c>
      <c r="C3533" s="9">
        <v>44806</v>
      </c>
      <c r="D3533">
        <v>13.75</v>
      </c>
    </row>
    <row r="3534" spans="1:4" x14ac:dyDescent="0.25">
      <c r="A3534" s="5">
        <f t="shared" si="119"/>
        <v>9</v>
      </c>
      <c r="B3534" s="5">
        <f t="shared" si="120"/>
        <v>2022</v>
      </c>
      <c r="C3534" s="9">
        <v>44807</v>
      </c>
      <c r="D3534">
        <v>13.75</v>
      </c>
    </row>
    <row r="3535" spans="1:4" x14ac:dyDescent="0.25">
      <c r="A3535" s="5">
        <f t="shared" si="119"/>
        <v>9</v>
      </c>
      <c r="B3535" s="5">
        <f t="shared" si="120"/>
        <v>2022</v>
      </c>
      <c r="C3535" s="9">
        <v>44808</v>
      </c>
      <c r="D3535">
        <v>13.75</v>
      </c>
    </row>
    <row r="3536" spans="1:4" x14ac:dyDescent="0.25">
      <c r="A3536" s="5">
        <f t="shared" si="119"/>
        <v>9</v>
      </c>
      <c r="B3536" s="5">
        <f t="shared" si="120"/>
        <v>2022</v>
      </c>
      <c r="C3536" s="9">
        <v>44809</v>
      </c>
      <c r="D3536">
        <v>13.75</v>
      </c>
    </row>
    <row r="3537" spans="1:4" x14ac:dyDescent="0.25">
      <c r="A3537" s="5">
        <f t="shared" si="119"/>
        <v>9</v>
      </c>
      <c r="B3537" s="5">
        <f t="shared" si="120"/>
        <v>2022</v>
      </c>
      <c r="C3537" s="9">
        <v>44810</v>
      </c>
      <c r="D3537">
        <v>13.75</v>
      </c>
    </row>
    <row r="3538" spans="1:4" x14ac:dyDescent="0.25">
      <c r="A3538" s="5">
        <f t="shared" si="119"/>
        <v>9</v>
      </c>
      <c r="B3538" s="5">
        <f t="shared" si="120"/>
        <v>2022</v>
      </c>
      <c r="C3538" s="9">
        <v>44811</v>
      </c>
      <c r="D3538">
        <v>13.75</v>
      </c>
    </row>
    <row r="3539" spans="1:4" x14ac:dyDescent="0.25">
      <c r="A3539" s="5">
        <f t="shared" si="119"/>
        <v>9</v>
      </c>
      <c r="B3539" s="5">
        <f t="shared" si="120"/>
        <v>2022</v>
      </c>
      <c r="C3539" s="9">
        <v>44812</v>
      </c>
      <c r="D3539">
        <v>13.75</v>
      </c>
    </row>
    <row r="3540" spans="1:4" x14ac:dyDescent="0.25">
      <c r="A3540" s="5">
        <f t="shared" si="119"/>
        <v>9</v>
      </c>
      <c r="B3540" s="5">
        <f t="shared" si="120"/>
        <v>2022</v>
      </c>
      <c r="C3540" s="9">
        <v>44813</v>
      </c>
      <c r="D3540">
        <v>13.75</v>
      </c>
    </row>
    <row r="3541" spans="1:4" x14ac:dyDescent="0.25">
      <c r="A3541" s="5">
        <f t="shared" si="119"/>
        <v>9</v>
      </c>
      <c r="B3541" s="5">
        <f t="shared" si="120"/>
        <v>2022</v>
      </c>
      <c r="C3541" s="9">
        <v>44814</v>
      </c>
      <c r="D3541">
        <v>13.75</v>
      </c>
    </row>
    <row r="3542" spans="1:4" x14ac:dyDescent="0.25">
      <c r="A3542" s="5">
        <f t="shared" si="119"/>
        <v>9</v>
      </c>
      <c r="B3542" s="5">
        <f t="shared" si="120"/>
        <v>2022</v>
      </c>
      <c r="C3542" s="9">
        <v>44815</v>
      </c>
      <c r="D3542">
        <v>13.75</v>
      </c>
    </row>
    <row r="3543" spans="1:4" x14ac:dyDescent="0.25">
      <c r="A3543" s="5">
        <f t="shared" si="119"/>
        <v>9</v>
      </c>
      <c r="B3543" s="5">
        <f t="shared" si="120"/>
        <v>2022</v>
      </c>
      <c r="C3543" s="9">
        <v>44816</v>
      </c>
      <c r="D3543">
        <v>13.75</v>
      </c>
    </row>
    <row r="3544" spans="1:4" x14ac:dyDescent="0.25">
      <c r="A3544" s="5">
        <f t="shared" si="119"/>
        <v>9</v>
      </c>
      <c r="B3544" s="5">
        <f t="shared" si="120"/>
        <v>2022</v>
      </c>
      <c r="C3544" s="9">
        <v>44817</v>
      </c>
      <c r="D3544">
        <v>13.75</v>
      </c>
    </row>
    <row r="3545" spans="1:4" x14ac:dyDescent="0.25">
      <c r="A3545" s="5">
        <f t="shared" si="119"/>
        <v>9</v>
      </c>
      <c r="B3545" s="5">
        <f t="shared" si="120"/>
        <v>2022</v>
      </c>
      <c r="C3545" s="9">
        <v>44818</v>
      </c>
      <c r="D3545">
        <v>13.75</v>
      </c>
    </row>
    <row r="3546" spans="1:4" x14ac:dyDescent="0.25">
      <c r="A3546" s="5">
        <f t="shared" si="119"/>
        <v>9</v>
      </c>
      <c r="B3546" s="5">
        <f t="shared" si="120"/>
        <v>2022</v>
      </c>
      <c r="C3546" s="9">
        <v>44819</v>
      </c>
      <c r="D3546">
        <v>13.75</v>
      </c>
    </row>
    <row r="3547" spans="1:4" x14ac:dyDescent="0.25">
      <c r="A3547" s="5">
        <f t="shared" si="119"/>
        <v>9</v>
      </c>
      <c r="B3547" s="5">
        <f t="shared" si="120"/>
        <v>2022</v>
      </c>
      <c r="C3547" s="9">
        <v>44820</v>
      </c>
      <c r="D3547">
        <v>13.75</v>
      </c>
    </row>
    <row r="3548" spans="1:4" x14ac:dyDescent="0.25">
      <c r="A3548" s="5">
        <f t="shared" si="119"/>
        <v>9</v>
      </c>
      <c r="B3548" s="5">
        <f t="shared" si="120"/>
        <v>2022</v>
      </c>
      <c r="C3548" s="9">
        <v>44821</v>
      </c>
      <c r="D3548">
        <v>13.75</v>
      </c>
    </row>
    <row r="3549" spans="1:4" x14ac:dyDescent="0.25">
      <c r="A3549" s="5">
        <f t="shared" si="119"/>
        <v>9</v>
      </c>
      <c r="B3549" s="5">
        <f t="shared" si="120"/>
        <v>2022</v>
      </c>
      <c r="C3549" s="9">
        <v>44822</v>
      </c>
      <c r="D3549">
        <v>13.75</v>
      </c>
    </row>
    <row r="3550" spans="1:4" x14ac:dyDescent="0.25">
      <c r="A3550" s="5">
        <f t="shared" si="119"/>
        <v>9</v>
      </c>
      <c r="B3550" s="5">
        <f t="shared" si="120"/>
        <v>2022</v>
      </c>
      <c r="C3550" s="9">
        <v>44823</v>
      </c>
      <c r="D3550">
        <v>13.75</v>
      </c>
    </row>
    <row r="3551" spans="1:4" x14ac:dyDescent="0.25">
      <c r="A3551" s="5">
        <f t="shared" si="119"/>
        <v>9</v>
      </c>
      <c r="B3551" s="5">
        <f t="shared" si="120"/>
        <v>2022</v>
      </c>
      <c r="C3551" s="9">
        <v>44824</v>
      </c>
      <c r="D3551">
        <v>13.75</v>
      </c>
    </row>
    <row r="3552" spans="1:4" x14ac:dyDescent="0.25">
      <c r="A3552" s="5">
        <f t="shared" si="119"/>
        <v>9</v>
      </c>
      <c r="B3552" s="5">
        <f t="shared" si="120"/>
        <v>2022</v>
      </c>
      <c r="C3552" s="9">
        <v>44825</v>
      </c>
      <c r="D3552">
        <v>13.75</v>
      </c>
    </row>
    <row r="3553" spans="1:4" x14ac:dyDescent="0.25">
      <c r="A3553" s="5">
        <f t="shared" si="119"/>
        <v>9</v>
      </c>
      <c r="B3553" s="5">
        <f t="shared" si="120"/>
        <v>2022</v>
      </c>
      <c r="C3553" s="9">
        <v>44826</v>
      </c>
      <c r="D3553">
        <v>13.75</v>
      </c>
    </row>
    <row r="3554" spans="1:4" x14ac:dyDescent="0.25">
      <c r="A3554" s="5">
        <f t="shared" si="119"/>
        <v>9</v>
      </c>
      <c r="B3554" s="5">
        <f t="shared" si="120"/>
        <v>2022</v>
      </c>
      <c r="C3554" s="9">
        <v>44827</v>
      </c>
      <c r="D3554">
        <v>13.75</v>
      </c>
    </row>
    <row r="3555" spans="1:4" x14ac:dyDescent="0.25">
      <c r="A3555" s="5">
        <f t="shared" si="119"/>
        <v>9</v>
      </c>
      <c r="B3555" s="5">
        <f t="shared" si="120"/>
        <v>2022</v>
      </c>
      <c r="C3555" s="9">
        <v>44828</v>
      </c>
      <c r="D3555">
        <v>13.75</v>
      </c>
    </row>
    <row r="3556" spans="1:4" x14ac:dyDescent="0.25">
      <c r="A3556" s="5">
        <f t="shared" si="119"/>
        <v>9</v>
      </c>
      <c r="B3556" s="5">
        <f t="shared" si="120"/>
        <v>2022</v>
      </c>
      <c r="C3556" s="9">
        <v>44829</v>
      </c>
      <c r="D3556">
        <v>13.75</v>
      </c>
    </row>
    <row r="3557" spans="1:4" x14ac:dyDescent="0.25">
      <c r="A3557" s="5">
        <f t="shared" si="119"/>
        <v>9</v>
      </c>
      <c r="B3557" s="5">
        <f t="shared" si="120"/>
        <v>2022</v>
      </c>
      <c r="C3557" s="9">
        <v>44830</v>
      </c>
      <c r="D3557">
        <v>13.75</v>
      </c>
    </row>
    <row r="3558" spans="1:4" x14ac:dyDescent="0.25">
      <c r="A3558" s="5">
        <f t="shared" si="119"/>
        <v>9</v>
      </c>
      <c r="B3558" s="5">
        <f t="shared" si="120"/>
        <v>2022</v>
      </c>
      <c r="C3558" s="9">
        <v>44831</v>
      </c>
      <c r="D3558">
        <v>13.75</v>
      </c>
    </row>
    <row r="3559" spans="1:4" x14ac:dyDescent="0.25">
      <c r="A3559" s="5">
        <f t="shared" si="119"/>
        <v>9</v>
      </c>
      <c r="B3559" s="5">
        <f t="shared" si="120"/>
        <v>2022</v>
      </c>
      <c r="C3559" s="9">
        <v>44832</v>
      </c>
      <c r="D3559">
        <v>13.75</v>
      </c>
    </row>
    <row r="3560" spans="1:4" x14ac:dyDescent="0.25">
      <c r="A3560" s="5">
        <f t="shared" si="119"/>
        <v>9</v>
      </c>
      <c r="B3560" s="5">
        <f t="shared" si="120"/>
        <v>2022</v>
      </c>
      <c r="C3560" s="9">
        <v>44833</v>
      </c>
      <c r="D3560">
        <v>13.75</v>
      </c>
    </row>
    <row r="3561" spans="1:4" x14ac:dyDescent="0.25">
      <c r="A3561" s="5">
        <f t="shared" si="119"/>
        <v>9</v>
      </c>
      <c r="B3561" s="5">
        <f t="shared" si="120"/>
        <v>2022</v>
      </c>
      <c r="C3561" s="9">
        <v>44834</v>
      </c>
      <c r="D3561">
        <v>13.75</v>
      </c>
    </row>
    <row r="3562" spans="1:4" x14ac:dyDescent="0.25">
      <c r="A3562" s="5">
        <f t="shared" si="119"/>
        <v>10</v>
      </c>
      <c r="B3562" s="5">
        <f t="shared" si="120"/>
        <v>2022</v>
      </c>
      <c r="C3562" s="9">
        <v>44835</v>
      </c>
      <c r="D3562">
        <v>13.75</v>
      </c>
    </row>
    <row r="3563" spans="1:4" x14ac:dyDescent="0.25">
      <c r="A3563" s="5">
        <f t="shared" si="119"/>
        <v>10</v>
      </c>
      <c r="B3563" s="5">
        <f t="shared" si="120"/>
        <v>2022</v>
      </c>
      <c r="C3563" s="9">
        <v>44836</v>
      </c>
      <c r="D3563">
        <v>13.75</v>
      </c>
    </row>
    <row r="3564" spans="1:4" x14ac:dyDescent="0.25">
      <c r="A3564" s="5">
        <f t="shared" si="119"/>
        <v>10</v>
      </c>
      <c r="B3564" s="5">
        <f t="shared" si="120"/>
        <v>2022</v>
      </c>
      <c r="C3564" s="9">
        <v>44837</v>
      </c>
      <c r="D3564">
        <v>13.75</v>
      </c>
    </row>
    <row r="3565" spans="1:4" x14ac:dyDescent="0.25">
      <c r="A3565" s="5">
        <f t="shared" si="119"/>
        <v>10</v>
      </c>
      <c r="B3565" s="5">
        <f t="shared" si="120"/>
        <v>2022</v>
      </c>
      <c r="C3565" s="9">
        <v>44838</v>
      </c>
      <c r="D3565">
        <v>13.75</v>
      </c>
    </row>
    <row r="3566" spans="1:4" x14ac:dyDescent="0.25">
      <c r="A3566" s="5">
        <f t="shared" si="119"/>
        <v>10</v>
      </c>
      <c r="B3566" s="5">
        <f t="shared" si="120"/>
        <v>2022</v>
      </c>
      <c r="C3566" s="9">
        <v>44839</v>
      </c>
      <c r="D3566">
        <v>13.75</v>
      </c>
    </row>
    <row r="3567" spans="1:4" x14ac:dyDescent="0.25">
      <c r="A3567" s="5">
        <f t="shared" si="119"/>
        <v>10</v>
      </c>
      <c r="B3567" s="5">
        <f t="shared" si="120"/>
        <v>2022</v>
      </c>
      <c r="C3567" s="9">
        <v>44840</v>
      </c>
      <c r="D3567">
        <v>13.75</v>
      </c>
    </row>
    <row r="3568" spans="1:4" x14ac:dyDescent="0.25">
      <c r="A3568" s="5">
        <f t="shared" si="119"/>
        <v>10</v>
      </c>
      <c r="B3568" s="5">
        <f t="shared" si="120"/>
        <v>2022</v>
      </c>
      <c r="C3568" s="9">
        <v>44841</v>
      </c>
      <c r="D3568">
        <v>13.75</v>
      </c>
    </row>
    <row r="3569" spans="1:4" x14ac:dyDescent="0.25">
      <c r="A3569" s="5">
        <f t="shared" si="119"/>
        <v>10</v>
      </c>
      <c r="B3569" s="5">
        <f t="shared" si="120"/>
        <v>2022</v>
      </c>
      <c r="C3569" s="9">
        <v>44842</v>
      </c>
      <c r="D3569">
        <v>13.75</v>
      </c>
    </row>
    <row r="3570" spans="1:4" x14ac:dyDescent="0.25">
      <c r="A3570" s="5">
        <f t="shared" si="119"/>
        <v>10</v>
      </c>
      <c r="B3570" s="5">
        <f t="shared" si="120"/>
        <v>2022</v>
      </c>
      <c r="C3570" s="9">
        <v>44843</v>
      </c>
      <c r="D3570">
        <v>13.75</v>
      </c>
    </row>
    <row r="3571" spans="1:4" x14ac:dyDescent="0.25">
      <c r="A3571" s="5">
        <f t="shared" si="119"/>
        <v>10</v>
      </c>
      <c r="B3571" s="5">
        <f t="shared" si="120"/>
        <v>2022</v>
      </c>
      <c r="C3571" s="9">
        <v>44844</v>
      </c>
      <c r="D3571">
        <v>13.75</v>
      </c>
    </row>
    <row r="3572" spans="1:4" x14ac:dyDescent="0.25">
      <c r="A3572" s="5">
        <f t="shared" si="119"/>
        <v>10</v>
      </c>
      <c r="B3572" s="5">
        <f t="shared" si="120"/>
        <v>2022</v>
      </c>
      <c r="C3572" s="9">
        <v>44845</v>
      </c>
      <c r="D3572">
        <v>13.75</v>
      </c>
    </row>
    <row r="3573" spans="1:4" x14ac:dyDescent="0.25">
      <c r="A3573" s="5">
        <f t="shared" si="119"/>
        <v>10</v>
      </c>
      <c r="B3573" s="5">
        <f t="shared" si="120"/>
        <v>2022</v>
      </c>
      <c r="C3573" s="9">
        <v>44846</v>
      </c>
      <c r="D3573">
        <v>13.75</v>
      </c>
    </row>
    <row r="3574" spans="1:4" x14ac:dyDescent="0.25">
      <c r="A3574" s="5">
        <f t="shared" si="119"/>
        <v>10</v>
      </c>
      <c r="B3574" s="5">
        <f t="shared" si="120"/>
        <v>2022</v>
      </c>
      <c r="C3574" s="9">
        <v>44847</v>
      </c>
      <c r="D3574">
        <v>13.75</v>
      </c>
    </row>
    <row r="3575" spans="1:4" x14ac:dyDescent="0.25">
      <c r="A3575" s="5">
        <f t="shared" si="119"/>
        <v>10</v>
      </c>
      <c r="B3575" s="5">
        <f t="shared" si="120"/>
        <v>2022</v>
      </c>
      <c r="C3575" s="9">
        <v>44848</v>
      </c>
      <c r="D3575">
        <v>13.75</v>
      </c>
    </row>
    <row r="3576" spans="1:4" x14ac:dyDescent="0.25">
      <c r="A3576" s="5">
        <f t="shared" si="119"/>
        <v>10</v>
      </c>
      <c r="B3576" s="5">
        <f t="shared" si="120"/>
        <v>2022</v>
      </c>
      <c r="C3576" s="9">
        <v>44849</v>
      </c>
      <c r="D3576">
        <v>13.75</v>
      </c>
    </row>
    <row r="3577" spans="1:4" x14ac:dyDescent="0.25">
      <c r="A3577" s="5">
        <f t="shared" si="119"/>
        <v>10</v>
      </c>
      <c r="B3577" s="5">
        <f t="shared" si="120"/>
        <v>2022</v>
      </c>
      <c r="C3577" s="9">
        <v>44850</v>
      </c>
      <c r="D3577">
        <v>13.75</v>
      </c>
    </row>
    <row r="3578" spans="1:4" x14ac:dyDescent="0.25">
      <c r="A3578" s="5">
        <f t="shared" si="119"/>
        <v>10</v>
      </c>
      <c r="B3578" s="5">
        <f t="shared" si="120"/>
        <v>2022</v>
      </c>
      <c r="C3578" s="9">
        <v>44851</v>
      </c>
      <c r="D3578">
        <v>13.75</v>
      </c>
    </row>
    <row r="3579" spans="1:4" x14ac:dyDescent="0.25">
      <c r="A3579" s="5">
        <f t="shared" si="119"/>
        <v>10</v>
      </c>
      <c r="B3579" s="5">
        <f t="shared" si="120"/>
        <v>2022</v>
      </c>
      <c r="C3579" s="9">
        <v>44852</v>
      </c>
      <c r="D3579">
        <v>13.75</v>
      </c>
    </row>
    <row r="3580" spans="1:4" x14ac:dyDescent="0.25">
      <c r="A3580" s="5">
        <f t="shared" si="119"/>
        <v>10</v>
      </c>
      <c r="B3580" s="5">
        <f t="shared" si="120"/>
        <v>2022</v>
      </c>
      <c r="C3580" s="9">
        <v>44853</v>
      </c>
      <c r="D3580">
        <v>13.75</v>
      </c>
    </row>
    <row r="3581" spans="1:4" x14ac:dyDescent="0.25">
      <c r="A3581" s="5">
        <f t="shared" si="119"/>
        <v>10</v>
      </c>
      <c r="B3581" s="5">
        <f t="shared" si="120"/>
        <v>2022</v>
      </c>
      <c r="C3581" s="9">
        <v>44854</v>
      </c>
      <c r="D3581">
        <v>13.75</v>
      </c>
    </row>
    <row r="3582" spans="1:4" x14ac:dyDescent="0.25">
      <c r="A3582" s="5">
        <f t="shared" si="119"/>
        <v>10</v>
      </c>
      <c r="B3582" s="5">
        <f t="shared" si="120"/>
        <v>2022</v>
      </c>
      <c r="C3582" s="9">
        <v>44855</v>
      </c>
      <c r="D3582">
        <v>13.75</v>
      </c>
    </row>
    <row r="3583" spans="1:4" x14ac:dyDescent="0.25">
      <c r="A3583" s="5">
        <f t="shared" si="119"/>
        <v>10</v>
      </c>
      <c r="B3583" s="5">
        <f t="shared" si="120"/>
        <v>2022</v>
      </c>
      <c r="C3583" s="9">
        <v>44856</v>
      </c>
      <c r="D3583">
        <v>13.75</v>
      </c>
    </row>
    <row r="3584" spans="1:4" x14ac:dyDescent="0.25">
      <c r="A3584" s="5">
        <f t="shared" si="119"/>
        <v>10</v>
      </c>
      <c r="B3584" s="5">
        <f t="shared" si="120"/>
        <v>2022</v>
      </c>
      <c r="C3584" s="9">
        <v>44857</v>
      </c>
      <c r="D3584">
        <v>13.75</v>
      </c>
    </row>
    <row r="3585" spans="1:4" x14ac:dyDescent="0.25">
      <c r="A3585" s="5">
        <f t="shared" si="119"/>
        <v>10</v>
      </c>
      <c r="B3585" s="5">
        <f t="shared" si="120"/>
        <v>2022</v>
      </c>
      <c r="C3585" s="9">
        <v>44858</v>
      </c>
      <c r="D3585">
        <v>13.75</v>
      </c>
    </row>
    <row r="3586" spans="1:4" x14ac:dyDescent="0.25">
      <c r="A3586" s="5">
        <f t="shared" si="119"/>
        <v>10</v>
      </c>
      <c r="B3586" s="5">
        <f t="shared" si="120"/>
        <v>2022</v>
      </c>
      <c r="C3586" s="9">
        <v>44859</v>
      </c>
      <c r="D3586">
        <v>13.75</v>
      </c>
    </row>
    <row r="3587" spans="1:4" x14ac:dyDescent="0.25">
      <c r="A3587" s="5">
        <f t="shared" ref="A3587:A3650" si="121">MONTH(C3587)</f>
        <v>10</v>
      </c>
      <c r="B3587" s="5">
        <f t="shared" ref="B3587:B3650" si="122">YEAR(C3587)</f>
        <v>2022</v>
      </c>
      <c r="C3587" s="9">
        <v>44860</v>
      </c>
      <c r="D3587">
        <v>13.75</v>
      </c>
    </row>
    <row r="3588" spans="1:4" x14ac:dyDescent="0.25">
      <c r="A3588" s="5">
        <f t="shared" si="121"/>
        <v>10</v>
      </c>
      <c r="B3588" s="5">
        <f t="shared" si="122"/>
        <v>2022</v>
      </c>
      <c r="C3588" s="9">
        <v>44861</v>
      </c>
      <c r="D3588">
        <v>13.75</v>
      </c>
    </row>
    <row r="3589" spans="1:4" x14ac:dyDescent="0.25">
      <c r="A3589" s="5">
        <f t="shared" si="121"/>
        <v>10</v>
      </c>
      <c r="B3589" s="5">
        <f t="shared" si="122"/>
        <v>2022</v>
      </c>
      <c r="C3589" s="9">
        <v>44862</v>
      </c>
      <c r="D3589">
        <v>13.75</v>
      </c>
    </row>
    <row r="3590" spans="1:4" x14ac:dyDescent="0.25">
      <c r="A3590" s="5">
        <f t="shared" si="121"/>
        <v>10</v>
      </c>
      <c r="B3590" s="5">
        <f t="shared" si="122"/>
        <v>2022</v>
      </c>
      <c r="C3590" s="9">
        <v>44863</v>
      </c>
      <c r="D3590">
        <v>13.75</v>
      </c>
    </row>
    <row r="3591" spans="1:4" x14ac:dyDescent="0.25">
      <c r="A3591" s="5">
        <f t="shared" si="121"/>
        <v>10</v>
      </c>
      <c r="B3591" s="5">
        <f t="shared" si="122"/>
        <v>2022</v>
      </c>
      <c r="C3591" s="9">
        <v>44864</v>
      </c>
      <c r="D3591">
        <v>13.75</v>
      </c>
    </row>
    <row r="3592" spans="1:4" x14ac:dyDescent="0.25">
      <c r="A3592" s="5">
        <f t="shared" si="121"/>
        <v>10</v>
      </c>
      <c r="B3592" s="5">
        <f t="shared" si="122"/>
        <v>2022</v>
      </c>
      <c r="C3592" s="9">
        <v>44865</v>
      </c>
      <c r="D3592">
        <v>13.75</v>
      </c>
    </row>
    <row r="3593" spans="1:4" x14ac:dyDescent="0.25">
      <c r="A3593" s="5">
        <f t="shared" si="121"/>
        <v>11</v>
      </c>
      <c r="B3593" s="5">
        <f t="shared" si="122"/>
        <v>2022</v>
      </c>
      <c r="C3593" s="9">
        <v>44866</v>
      </c>
      <c r="D3593">
        <v>13.75</v>
      </c>
    </row>
    <row r="3594" spans="1:4" x14ac:dyDescent="0.25">
      <c r="A3594" s="5">
        <f t="shared" si="121"/>
        <v>11</v>
      </c>
      <c r="B3594" s="5">
        <f t="shared" si="122"/>
        <v>2022</v>
      </c>
      <c r="C3594" s="9">
        <v>44867</v>
      </c>
      <c r="D3594">
        <v>13.75</v>
      </c>
    </row>
    <row r="3595" spans="1:4" x14ac:dyDescent="0.25">
      <c r="A3595" s="5">
        <f t="shared" si="121"/>
        <v>11</v>
      </c>
      <c r="B3595" s="5">
        <f t="shared" si="122"/>
        <v>2022</v>
      </c>
      <c r="C3595" s="9">
        <v>44868</v>
      </c>
      <c r="D3595">
        <v>13.75</v>
      </c>
    </row>
    <row r="3596" spans="1:4" x14ac:dyDescent="0.25">
      <c r="A3596" s="5">
        <f t="shared" si="121"/>
        <v>11</v>
      </c>
      <c r="B3596" s="5">
        <f t="shared" si="122"/>
        <v>2022</v>
      </c>
      <c r="C3596" s="9">
        <v>44869</v>
      </c>
      <c r="D3596">
        <v>13.75</v>
      </c>
    </row>
    <row r="3597" spans="1:4" x14ac:dyDescent="0.25">
      <c r="A3597" s="5">
        <f t="shared" si="121"/>
        <v>11</v>
      </c>
      <c r="B3597" s="5">
        <f t="shared" si="122"/>
        <v>2022</v>
      </c>
      <c r="C3597" s="9">
        <v>44870</v>
      </c>
      <c r="D3597">
        <v>13.75</v>
      </c>
    </row>
    <row r="3598" spans="1:4" x14ac:dyDescent="0.25">
      <c r="A3598" s="5">
        <f t="shared" si="121"/>
        <v>11</v>
      </c>
      <c r="B3598" s="5">
        <f t="shared" si="122"/>
        <v>2022</v>
      </c>
      <c r="C3598" s="9">
        <v>44871</v>
      </c>
      <c r="D3598">
        <v>13.75</v>
      </c>
    </row>
    <row r="3599" spans="1:4" x14ac:dyDescent="0.25">
      <c r="A3599" s="5">
        <f t="shared" si="121"/>
        <v>11</v>
      </c>
      <c r="B3599" s="5">
        <f t="shared" si="122"/>
        <v>2022</v>
      </c>
      <c r="C3599" s="9">
        <v>44872</v>
      </c>
      <c r="D3599">
        <v>13.75</v>
      </c>
    </row>
    <row r="3600" spans="1:4" x14ac:dyDescent="0.25">
      <c r="A3600" s="5">
        <f t="shared" si="121"/>
        <v>11</v>
      </c>
      <c r="B3600" s="5">
        <f t="shared" si="122"/>
        <v>2022</v>
      </c>
      <c r="C3600" s="9">
        <v>44873</v>
      </c>
      <c r="D3600">
        <v>13.75</v>
      </c>
    </row>
    <row r="3601" spans="1:4" x14ac:dyDescent="0.25">
      <c r="A3601" s="5">
        <f t="shared" si="121"/>
        <v>11</v>
      </c>
      <c r="B3601" s="5">
        <f t="shared" si="122"/>
        <v>2022</v>
      </c>
      <c r="C3601" s="9">
        <v>44874</v>
      </c>
      <c r="D3601">
        <v>13.75</v>
      </c>
    </row>
    <row r="3602" spans="1:4" x14ac:dyDescent="0.25">
      <c r="A3602" s="5">
        <f t="shared" si="121"/>
        <v>11</v>
      </c>
      <c r="B3602" s="5">
        <f t="shared" si="122"/>
        <v>2022</v>
      </c>
      <c r="C3602" s="9">
        <v>44875</v>
      </c>
      <c r="D3602">
        <v>13.75</v>
      </c>
    </row>
    <row r="3603" spans="1:4" x14ac:dyDescent="0.25">
      <c r="A3603" s="5">
        <f t="shared" si="121"/>
        <v>11</v>
      </c>
      <c r="B3603" s="5">
        <f t="shared" si="122"/>
        <v>2022</v>
      </c>
      <c r="C3603" s="9">
        <v>44876</v>
      </c>
      <c r="D3603">
        <v>13.75</v>
      </c>
    </row>
    <row r="3604" spans="1:4" x14ac:dyDescent="0.25">
      <c r="A3604" s="5">
        <f t="shared" si="121"/>
        <v>11</v>
      </c>
      <c r="B3604" s="5">
        <f t="shared" si="122"/>
        <v>2022</v>
      </c>
      <c r="C3604" s="9">
        <v>44877</v>
      </c>
      <c r="D3604">
        <v>13.75</v>
      </c>
    </row>
    <row r="3605" spans="1:4" x14ac:dyDescent="0.25">
      <c r="A3605" s="5">
        <f t="shared" si="121"/>
        <v>11</v>
      </c>
      <c r="B3605" s="5">
        <f t="shared" si="122"/>
        <v>2022</v>
      </c>
      <c r="C3605" s="9">
        <v>44878</v>
      </c>
      <c r="D3605">
        <v>13.75</v>
      </c>
    </row>
    <row r="3606" spans="1:4" x14ac:dyDescent="0.25">
      <c r="A3606" s="5">
        <f t="shared" si="121"/>
        <v>11</v>
      </c>
      <c r="B3606" s="5">
        <f t="shared" si="122"/>
        <v>2022</v>
      </c>
      <c r="C3606" s="9">
        <v>44879</v>
      </c>
      <c r="D3606">
        <v>13.75</v>
      </c>
    </row>
    <row r="3607" spans="1:4" x14ac:dyDescent="0.25">
      <c r="A3607" s="5">
        <f t="shared" si="121"/>
        <v>11</v>
      </c>
      <c r="B3607" s="5">
        <f t="shared" si="122"/>
        <v>2022</v>
      </c>
      <c r="C3607" s="9">
        <v>44880</v>
      </c>
      <c r="D3607">
        <v>13.75</v>
      </c>
    </row>
    <row r="3608" spans="1:4" x14ac:dyDescent="0.25">
      <c r="A3608" s="5">
        <f t="shared" si="121"/>
        <v>11</v>
      </c>
      <c r="B3608" s="5">
        <f t="shared" si="122"/>
        <v>2022</v>
      </c>
      <c r="C3608" s="9">
        <v>44881</v>
      </c>
      <c r="D3608">
        <v>13.75</v>
      </c>
    </row>
    <row r="3609" spans="1:4" x14ac:dyDescent="0.25">
      <c r="A3609" s="5">
        <f t="shared" si="121"/>
        <v>11</v>
      </c>
      <c r="B3609" s="5">
        <f t="shared" si="122"/>
        <v>2022</v>
      </c>
      <c r="C3609" s="9">
        <v>44882</v>
      </c>
      <c r="D3609">
        <v>13.75</v>
      </c>
    </row>
    <row r="3610" spans="1:4" x14ac:dyDescent="0.25">
      <c r="A3610" s="5">
        <f t="shared" si="121"/>
        <v>11</v>
      </c>
      <c r="B3610" s="5">
        <f t="shared" si="122"/>
        <v>2022</v>
      </c>
      <c r="C3610" s="9">
        <v>44883</v>
      </c>
      <c r="D3610">
        <v>13.75</v>
      </c>
    </row>
    <row r="3611" spans="1:4" x14ac:dyDescent="0.25">
      <c r="A3611" s="5">
        <f t="shared" si="121"/>
        <v>11</v>
      </c>
      <c r="B3611" s="5">
        <f t="shared" si="122"/>
        <v>2022</v>
      </c>
      <c r="C3611" s="9">
        <v>44884</v>
      </c>
      <c r="D3611">
        <v>13.75</v>
      </c>
    </row>
    <row r="3612" spans="1:4" x14ac:dyDescent="0.25">
      <c r="A3612" s="5">
        <f t="shared" si="121"/>
        <v>11</v>
      </c>
      <c r="B3612" s="5">
        <f t="shared" si="122"/>
        <v>2022</v>
      </c>
      <c r="C3612" s="9">
        <v>44885</v>
      </c>
      <c r="D3612">
        <v>13.75</v>
      </c>
    </row>
    <row r="3613" spans="1:4" x14ac:dyDescent="0.25">
      <c r="A3613" s="5">
        <f t="shared" si="121"/>
        <v>11</v>
      </c>
      <c r="B3613" s="5">
        <f t="shared" si="122"/>
        <v>2022</v>
      </c>
      <c r="C3613" s="9">
        <v>44886</v>
      </c>
      <c r="D3613">
        <v>13.75</v>
      </c>
    </row>
    <row r="3614" spans="1:4" x14ac:dyDescent="0.25">
      <c r="A3614" s="5">
        <f t="shared" si="121"/>
        <v>11</v>
      </c>
      <c r="B3614" s="5">
        <f t="shared" si="122"/>
        <v>2022</v>
      </c>
      <c r="C3614" s="9">
        <v>44887</v>
      </c>
      <c r="D3614">
        <v>13.75</v>
      </c>
    </row>
    <row r="3615" spans="1:4" x14ac:dyDescent="0.25">
      <c r="A3615" s="5">
        <f t="shared" si="121"/>
        <v>11</v>
      </c>
      <c r="B3615" s="5">
        <f t="shared" si="122"/>
        <v>2022</v>
      </c>
      <c r="C3615" s="9">
        <v>44888</v>
      </c>
      <c r="D3615">
        <v>13.75</v>
      </c>
    </row>
    <row r="3616" spans="1:4" x14ac:dyDescent="0.25">
      <c r="A3616" s="5">
        <f t="shared" si="121"/>
        <v>11</v>
      </c>
      <c r="B3616" s="5">
        <f t="shared" si="122"/>
        <v>2022</v>
      </c>
      <c r="C3616" s="9">
        <v>44889</v>
      </c>
      <c r="D3616">
        <v>13.75</v>
      </c>
    </row>
    <row r="3617" spans="1:4" x14ac:dyDescent="0.25">
      <c r="A3617" s="5">
        <f t="shared" si="121"/>
        <v>11</v>
      </c>
      <c r="B3617" s="5">
        <f t="shared" si="122"/>
        <v>2022</v>
      </c>
      <c r="C3617" s="9">
        <v>44890</v>
      </c>
      <c r="D3617">
        <v>13.75</v>
      </c>
    </row>
    <row r="3618" spans="1:4" x14ac:dyDescent="0.25">
      <c r="A3618" s="5">
        <f t="shared" si="121"/>
        <v>11</v>
      </c>
      <c r="B3618" s="5">
        <f t="shared" si="122"/>
        <v>2022</v>
      </c>
      <c r="C3618" s="9">
        <v>44891</v>
      </c>
      <c r="D3618">
        <v>13.75</v>
      </c>
    </row>
    <row r="3619" spans="1:4" x14ac:dyDescent="0.25">
      <c r="A3619" s="5">
        <f t="shared" si="121"/>
        <v>11</v>
      </c>
      <c r="B3619" s="5">
        <f t="shared" si="122"/>
        <v>2022</v>
      </c>
      <c r="C3619" s="9">
        <v>44892</v>
      </c>
      <c r="D3619">
        <v>13.75</v>
      </c>
    </row>
    <row r="3620" spans="1:4" x14ac:dyDescent="0.25">
      <c r="A3620" s="5">
        <f t="shared" si="121"/>
        <v>11</v>
      </c>
      <c r="B3620" s="5">
        <f t="shared" si="122"/>
        <v>2022</v>
      </c>
      <c r="C3620" s="9">
        <v>44893</v>
      </c>
      <c r="D3620">
        <v>13.75</v>
      </c>
    </row>
    <row r="3621" spans="1:4" x14ac:dyDescent="0.25">
      <c r="A3621" s="5">
        <f t="shared" si="121"/>
        <v>11</v>
      </c>
      <c r="B3621" s="5">
        <f t="shared" si="122"/>
        <v>2022</v>
      </c>
      <c r="C3621" s="9">
        <v>44894</v>
      </c>
      <c r="D3621">
        <v>13.75</v>
      </c>
    </row>
    <row r="3622" spans="1:4" x14ac:dyDescent="0.25">
      <c r="A3622" s="5">
        <f t="shared" si="121"/>
        <v>11</v>
      </c>
      <c r="B3622" s="5">
        <f t="shared" si="122"/>
        <v>2022</v>
      </c>
      <c r="C3622" s="9">
        <v>44895</v>
      </c>
      <c r="D3622">
        <v>13.75</v>
      </c>
    </row>
    <row r="3623" spans="1:4" x14ac:dyDescent="0.25">
      <c r="A3623" s="5">
        <f t="shared" si="121"/>
        <v>12</v>
      </c>
      <c r="B3623" s="5">
        <f t="shared" si="122"/>
        <v>2022</v>
      </c>
      <c r="C3623" s="9">
        <v>44896</v>
      </c>
      <c r="D3623">
        <v>13.75</v>
      </c>
    </row>
    <row r="3624" spans="1:4" x14ac:dyDescent="0.25">
      <c r="A3624" s="5">
        <f t="shared" si="121"/>
        <v>12</v>
      </c>
      <c r="B3624" s="5">
        <f t="shared" si="122"/>
        <v>2022</v>
      </c>
      <c r="C3624" s="9">
        <v>44897</v>
      </c>
      <c r="D3624">
        <v>13.75</v>
      </c>
    </row>
    <row r="3625" spans="1:4" x14ac:dyDescent="0.25">
      <c r="A3625" s="5">
        <f t="shared" si="121"/>
        <v>12</v>
      </c>
      <c r="B3625" s="5">
        <f t="shared" si="122"/>
        <v>2022</v>
      </c>
      <c r="C3625" s="9">
        <v>44898</v>
      </c>
      <c r="D3625">
        <v>13.75</v>
      </c>
    </row>
    <row r="3626" spans="1:4" x14ac:dyDescent="0.25">
      <c r="A3626" s="5">
        <f t="shared" si="121"/>
        <v>12</v>
      </c>
      <c r="B3626" s="5">
        <f t="shared" si="122"/>
        <v>2022</v>
      </c>
      <c r="C3626" s="9">
        <v>44899</v>
      </c>
      <c r="D3626">
        <v>13.75</v>
      </c>
    </row>
    <row r="3627" spans="1:4" x14ac:dyDescent="0.25">
      <c r="A3627" s="5">
        <f t="shared" si="121"/>
        <v>12</v>
      </c>
      <c r="B3627" s="5">
        <f t="shared" si="122"/>
        <v>2022</v>
      </c>
      <c r="C3627" s="9">
        <v>44900</v>
      </c>
      <c r="D3627">
        <v>13.75</v>
      </c>
    </row>
    <row r="3628" spans="1:4" x14ac:dyDescent="0.25">
      <c r="A3628" s="5">
        <f t="shared" si="121"/>
        <v>12</v>
      </c>
      <c r="B3628" s="5">
        <f t="shared" si="122"/>
        <v>2022</v>
      </c>
      <c r="C3628" s="9">
        <v>44901</v>
      </c>
      <c r="D3628">
        <v>13.75</v>
      </c>
    </row>
    <row r="3629" spans="1:4" x14ac:dyDescent="0.25">
      <c r="A3629" s="5">
        <f t="shared" si="121"/>
        <v>12</v>
      </c>
      <c r="B3629" s="5">
        <f t="shared" si="122"/>
        <v>2022</v>
      </c>
      <c r="C3629" s="9">
        <v>44902</v>
      </c>
      <c r="D3629">
        <v>13.75</v>
      </c>
    </row>
    <row r="3630" spans="1:4" x14ac:dyDescent="0.25">
      <c r="A3630" s="5">
        <f t="shared" si="121"/>
        <v>12</v>
      </c>
      <c r="B3630" s="5">
        <f t="shared" si="122"/>
        <v>2022</v>
      </c>
      <c r="C3630" s="9">
        <v>44903</v>
      </c>
      <c r="D3630">
        <v>13.75</v>
      </c>
    </row>
    <row r="3631" spans="1:4" x14ac:dyDescent="0.25">
      <c r="A3631" s="5">
        <f t="shared" si="121"/>
        <v>12</v>
      </c>
      <c r="B3631" s="5">
        <f t="shared" si="122"/>
        <v>2022</v>
      </c>
      <c r="C3631" s="9">
        <v>44904</v>
      </c>
      <c r="D3631">
        <v>13.75</v>
      </c>
    </row>
    <row r="3632" spans="1:4" x14ac:dyDescent="0.25">
      <c r="A3632" s="5">
        <f t="shared" si="121"/>
        <v>12</v>
      </c>
      <c r="B3632" s="5">
        <f t="shared" si="122"/>
        <v>2022</v>
      </c>
      <c r="C3632" s="9">
        <v>44905</v>
      </c>
      <c r="D3632">
        <v>13.75</v>
      </c>
    </row>
    <row r="3633" spans="1:4" x14ac:dyDescent="0.25">
      <c r="A3633" s="5">
        <f t="shared" si="121"/>
        <v>12</v>
      </c>
      <c r="B3633" s="5">
        <f t="shared" si="122"/>
        <v>2022</v>
      </c>
      <c r="C3633" s="9">
        <v>44906</v>
      </c>
      <c r="D3633">
        <v>13.75</v>
      </c>
    </row>
    <row r="3634" spans="1:4" x14ac:dyDescent="0.25">
      <c r="A3634" s="5">
        <f t="shared" si="121"/>
        <v>12</v>
      </c>
      <c r="B3634" s="5">
        <f t="shared" si="122"/>
        <v>2022</v>
      </c>
      <c r="C3634" s="9">
        <v>44907</v>
      </c>
      <c r="D3634">
        <v>13.75</v>
      </c>
    </row>
    <row r="3635" spans="1:4" x14ac:dyDescent="0.25">
      <c r="A3635" s="5">
        <f t="shared" si="121"/>
        <v>12</v>
      </c>
      <c r="B3635" s="5">
        <f t="shared" si="122"/>
        <v>2022</v>
      </c>
      <c r="C3635" s="9">
        <v>44908</v>
      </c>
      <c r="D3635">
        <v>13.75</v>
      </c>
    </row>
    <row r="3636" spans="1:4" x14ac:dyDescent="0.25">
      <c r="A3636" s="5">
        <f t="shared" si="121"/>
        <v>12</v>
      </c>
      <c r="B3636" s="5">
        <f t="shared" si="122"/>
        <v>2022</v>
      </c>
      <c r="C3636" s="9">
        <v>44909</v>
      </c>
      <c r="D3636">
        <v>13.75</v>
      </c>
    </row>
    <row r="3637" spans="1:4" x14ac:dyDescent="0.25">
      <c r="A3637" s="5">
        <f t="shared" si="121"/>
        <v>12</v>
      </c>
      <c r="B3637" s="5">
        <f t="shared" si="122"/>
        <v>2022</v>
      </c>
      <c r="C3637" s="9">
        <v>44910</v>
      </c>
      <c r="D3637">
        <v>13.75</v>
      </c>
    </row>
    <row r="3638" spans="1:4" x14ac:dyDescent="0.25">
      <c r="A3638" s="5">
        <f t="shared" si="121"/>
        <v>12</v>
      </c>
      <c r="B3638" s="5">
        <f t="shared" si="122"/>
        <v>2022</v>
      </c>
      <c r="C3638" s="9">
        <v>44911</v>
      </c>
      <c r="D3638">
        <v>13.75</v>
      </c>
    </row>
    <row r="3639" spans="1:4" x14ac:dyDescent="0.25">
      <c r="A3639" s="5">
        <f t="shared" si="121"/>
        <v>12</v>
      </c>
      <c r="B3639" s="5">
        <f t="shared" si="122"/>
        <v>2022</v>
      </c>
      <c r="C3639" s="9">
        <v>44912</v>
      </c>
      <c r="D3639">
        <v>13.75</v>
      </c>
    </row>
    <row r="3640" spans="1:4" x14ac:dyDescent="0.25">
      <c r="A3640" s="5">
        <f t="shared" si="121"/>
        <v>12</v>
      </c>
      <c r="B3640" s="5">
        <f t="shared" si="122"/>
        <v>2022</v>
      </c>
      <c r="C3640" s="9">
        <v>44913</v>
      </c>
      <c r="D3640">
        <v>13.75</v>
      </c>
    </row>
    <row r="3641" spans="1:4" x14ac:dyDescent="0.25">
      <c r="A3641" s="5">
        <f t="shared" si="121"/>
        <v>12</v>
      </c>
      <c r="B3641" s="5">
        <f t="shared" si="122"/>
        <v>2022</v>
      </c>
      <c r="C3641" s="9">
        <v>44914</v>
      </c>
      <c r="D3641">
        <v>13.75</v>
      </c>
    </row>
    <row r="3642" spans="1:4" x14ac:dyDescent="0.25">
      <c r="A3642" s="5">
        <f t="shared" si="121"/>
        <v>12</v>
      </c>
      <c r="B3642" s="5">
        <f t="shared" si="122"/>
        <v>2022</v>
      </c>
      <c r="C3642" s="9">
        <v>44915</v>
      </c>
      <c r="D3642">
        <v>13.75</v>
      </c>
    </row>
    <row r="3643" spans="1:4" x14ac:dyDescent="0.25">
      <c r="A3643" s="5">
        <f t="shared" si="121"/>
        <v>12</v>
      </c>
      <c r="B3643" s="5">
        <f t="shared" si="122"/>
        <v>2022</v>
      </c>
      <c r="C3643" s="9">
        <v>44916</v>
      </c>
      <c r="D3643">
        <v>13.75</v>
      </c>
    </row>
    <row r="3644" spans="1:4" x14ac:dyDescent="0.25">
      <c r="A3644" s="5">
        <f t="shared" si="121"/>
        <v>12</v>
      </c>
      <c r="B3644" s="5">
        <f t="shared" si="122"/>
        <v>2022</v>
      </c>
      <c r="C3644" s="9">
        <v>44917</v>
      </c>
      <c r="D3644">
        <v>13.75</v>
      </c>
    </row>
    <row r="3645" spans="1:4" x14ac:dyDescent="0.25">
      <c r="A3645" s="5">
        <f t="shared" si="121"/>
        <v>12</v>
      </c>
      <c r="B3645" s="5">
        <f t="shared" si="122"/>
        <v>2022</v>
      </c>
      <c r="C3645" s="9">
        <v>44918</v>
      </c>
      <c r="D3645">
        <v>13.75</v>
      </c>
    </row>
    <row r="3646" spans="1:4" x14ac:dyDescent="0.25">
      <c r="A3646" s="5">
        <f t="shared" si="121"/>
        <v>12</v>
      </c>
      <c r="B3646" s="5">
        <f t="shared" si="122"/>
        <v>2022</v>
      </c>
      <c r="C3646" s="9">
        <v>44919</v>
      </c>
      <c r="D3646">
        <v>13.75</v>
      </c>
    </row>
    <row r="3647" spans="1:4" x14ac:dyDescent="0.25">
      <c r="A3647" s="5">
        <f t="shared" si="121"/>
        <v>12</v>
      </c>
      <c r="B3647" s="5">
        <f t="shared" si="122"/>
        <v>2022</v>
      </c>
      <c r="C3647" s="9">
        <v>44920</v>
      </c>
      <c r="D3647">
        <v>13.75</v>
      </c>
    </row>
    <row r="3648" spans="1:4" x14ac:dyDescent="0.25">
      <c r="A3648" s="5">
        <f t="shared" si="121"/>
        <v>12</v>
      </c>
      <c r="B3648" s="5">
        <f t="shared" si="122"/>
        <v>2022</v>
      </c>
      <c r="C3648" s="9">
        <v>44921</v>
      </c>
      <c r="D3648">
        <v>13.75</v>
      </c>
    </row>
    <row r="3649" spans="1:4" x14ac:dyDescent="0.25">
      <c r="A3649" s="5">
        <f t="shared" si="121"/>
        <v>12</v>
      </c>
      <c r="B3649" s="5">
        <f t="shared" si="122"/>
        <v>2022</v>
      </c>
      <c r="C3649" s="9">
        <v>44922</v>
      </c>
      <c r="D3649">
        <v>13.75</v>
      </c>
    </row>
    <row r="3650" spans="1:4" x14ac:dyDescent="0.25">
      <c r="A3650" s="5">
        <f t="shared" si="121"/>
        <v>12</v>
      </c>
      <c r="B3650" s="5">
        <f t="shared" si="122"/>
        <v>2022</v>
      </c>
      <c r="C3650" s="9">
        <v>44923</v>
      </c>
      <c r="D3650">
        <v>13.75</v>
      </c>
    </row>
    <row r="3651" spans="1:4" x14ac:dyDescent="0.25">
      <c r="A3651" s="5">
        <f t="shared" ref="A3651:A3714" si="123">MONTH(C3651)</f>
        <v>12</v>
      </c>
      <c r="B3651" s="5">
        <f t="shared" ref="B3651:B3714" si="124">YEAR(C3651)</f>
        <v>2022</v>
      </c>
      <c r="C3651" s="9">
        <v>44924</v>
      </c>
      <c r="D3651">
        <v>13.75</v>
      </c>
    </row>
    <row r="3652" spans="1:4" x14ac:dyDescent="0.25">
      <c r="A3652" s="5">
        <f t="shared" si="123"/>
        <v>12</v>
      </c>
      <c r="B3652" s="5">
        <f t="shared" si="124"/>
        <v>2022</v>
      </c>
      <c r="C3652" s="9">
        <v>44925</v>
      </c>
      <c r="D3652">
        <v>13.75</v>
      </c>
    </row>
    <row r="3653" spans="1:4" x14ac:dyDescent="0.25">
      <c r="A3653" s="5">
        <f t="shared" si="123"/>
        <v>12</v>
      </c>
      <c r="B3653" s="5">
        <f t="shared" si="124"/>
        <v>2022</v>
      </c>
      <c r="C3653" s="9">
        <v>44926</v>
      </c>
      <c r="D3653">
        <v>13.75</v>
      </c>
    </row>
    <row r="3654" spans="1:4" x14ac:dyDescent="0.25">
      <c r="A3654" s="5">
        <f t="shared" si="123"/>
        <v>1</v>
      </c>
      <c r="B3654" s="5">
        <f t="shared" si="124"/>
        <v>2023</v>
      </c>
      <c r="C3654" s="9">
        <v>44927</v>
      </c>
      <c r="D3654">
        <v>13.75</v>
      </c>
    </row>
    <row r="3655" spans="1:4" x14ac:dyDescent="0.25">
      <c r="A3655" s="5">
        <f t="shared" si="123"/>
        <v>1</v>
      </c>
      <c r="B3655" s="5">
        <f t="shared" si="124"/>
        <v>2023</v>
      </c>
      <c r="C3655" s="9">
        <v>44928</v>
      </c>
      <c r="D3655">
        <v>13.75</v>
      </c>
    </row>
    <row r="3656" spans="1:4" x14ac:dyDescent="0.25">
      <c r="A3656" s="5">
        <f t="shared" si="123"/>
        <v>1</v>
      </c>
      <c r="B3656" s="5">
        <f t="shared" si="124"/>
        <v>2023</v>
      </c>
      <c r="C3656" s="9">
        <v>44929</v>
      </c>
      <c r="D3656">
        <v>13.75</v>
      </c>
    </row>
    <row r="3657" spans="1:4" x14ac:dyDescent="0.25">
      <c r="A3657" s="5">
        <f t="shared" si="123"/>
        <v>1</v>
      </c>
      <c r="B3657" s="5">
        <f t="shared" si="124"/>
        <v>2023</v>
      </c>
      <c r="C3657" s="9">
        <v>44930</v>
      </c>
      <c r="D3657">
        <v>13.75</v>
      </c>
    </row>
    <row r="3658" spans="1:4" x14ac:dyDescent="0.25">
      <c r="A3658" s="5">
        <f t="shared" si="123"/>
        <v>1</v>
      </c>
      <c r="B3658" s="5">
        <f t="shared" si="124"/>
        <v>2023</v>
      </c>
      <c r="C3658" s="9">
        <v>44931</v>
      </c>
      <c r="D3658">
        <v>13.75</v>
      </c>
    </row>
    <row r="3659" spans="1:4" x14ac:dyDescent="0.25">
      <c r="A3659" s="5">
        <f t="shared" si="123"/>
        <v>1</v>
      </c>
      <c r="B3659" s="5">
        <f t="shared" si="124"/>
        <v>2023</v>
      </c>
      <c r="C3659" s="9">
        <v>44932</v>
      </c>
      <c r="D3659">
        <v>13.75</v>
      </c>
    </row>
    <row r="3660" spans="1:4" x14ac:dyDescent="0.25">
      <c r="A3660" s="5">
        <f t="shared" si="123"/>
        <v>1</v>
      </c>
      <c r="B3660" s="5">
        <f t="shared" si="124"/>
        <v>2023</v>
      </c>
      <c r="C3660" s="9">
        <v>44933</v>
      </c>
      <c r="D3660">
        <v>13.75</v>
      </c>
    </row>
    <row r="3661" spans="1:4" x14ac:dyDescent="0.25">
      <c r="A3661" s="5">
        <f t="shared" si="123"/>
        <v>1</v>
      </c>
      <c r="B3661" s="5">
        <f t="shared" si="124"/>
        <v>2023</v>
      </c>
      <c r="C3661" s="9">
        <v>44934</v>
      </c>
      <c r="D3661">
        <v>13.75</v>
      </c>
    </row>
    <row r="3662" spans="1:4" x14ac:dyDescent="0.25">
      <c r="A3662" s="5">
        <f t="shared" si="123"/>
        <v>1</v>
      </c>
      <c r="B3662" s="5">
        <f t="shared" si="124"/>
        <v>2023</v>
      </c>
      <c r="C3662" s="9">
        <v>44935</v>
      </c>
      <c r="D3662">
        <v>13.75</v>
      </c>
    </row>
    <row r="3663" spans="1:4" x14ac:dyDescent="0.25">
      <c r="A3663" s="5">
        <f t="shared" si="123"/>
        <v>1</v>
      </c>
      <c r="B3663" s="5">
        <f t="shared" si="124"/>
        <v>2023</v>
      </c>
      <c r="C3663" s="9">
        <v>44936</v>
      </c>
      <c r="D3663">
        <v>13.75</v>
      </c>
    </row>
    <row r="3664" spans="1:4" x14ac:dyDescent="0.25">
      <c r="A3664" s="5">
        <f t="shared" si="123"/>
        <v>1</v>
      </c>
      <c r="B3664" s="5">
        <f t="shared" si="124"/>
        <v>2023</v>
      </c>
      <c r="C3664" s="9">
        <v>44937</v>
      </c>
      <c r="D3664">
        <v>13.75</v>
      </c>
    </row>
    <row r="3665" spans="1:4" x14ac:dyDescent="0.25">
      <c r="A3665" s="5">
        <f t="shared" si="123"/>
        <v>1</v>
      </c>
      <c r="B3665" s="5">
        <f t="shared" si="124"/>
        <v>2023</v>
      </c>
      <c r="C3665" s="9">
        <v>44938</v>
      </c>
      <c r="D3665">
        <v>13.75</v>
      </c>
    </row>
    <row r="3666" spans="1:4" x14ac:dyDescent="0.25">
      <c r="A3666" s="5">
        <f t="shared" si="123"/>
        <v>1</v>
      </c>
      <c r="B3666" s="5">
        <f t="shared" si="124"/>
        <v>2023</v>
      </c>
      <c r="C3666" s="9">
        <v>44939</v>
      </c>
      <c r="D3666">
        <v>13.75</v>
      </c>
    </row>
    <row r="3667" spans="1:4" x14ac:dyDescent="0.25">
      <c r="A3667" s="5">
        <f t="shared" si="123"/>
        <v>1</v>
      </c>
      <c r="B3667" s="5">
        <f t="shared" si="124"/>
        <v>2023</v>
      </c>
      <c r="C3667" s="9">
        <v>44940</v>
      </c>
      <c r="D3667">
        <v>13.75</v>
      </c>
    </row>
    <row r="3668" spans="1:4" x14ac:dyDescent="0.25">
      <c r="A3668" s="5">
        <f t="shared" si="123"/>
        <v>1</v>
      </c>
      <c r="B3668" s="5">
        <f t="shared" si="124"/>
        <v>2023</v>
      </c>
      <c r="C3668" s="9">
        <v>44941</v>
      </c>
      <c r="D3668">
        <v>13.75</v>
      </c>
    </row>
    <row r="3669" spans="1:4" x14ac:dyDescent="0.25">
      <c r="A3669" s="5">
        <f t="shared" si="123"/>
        <v>1</v>
      </c>
      <c r="B3669" s="5">
        <f t="shared" si="124"/>
        <v>2023</v>
      </c>
      <c r="C3669" s="9">
        <v>44942</v>
      </c>
      <c r="D3669">
        <v>13.75</v>
      </c>
    </row>
    <row r="3670" spans="1:4" x14ac:dyDescent="0.25">
      <c r="A3670" s="5">
        <f t="shared" si="123"/>
        <v>1</v>
      </c>
      <c r="B3670" s="5">
        <f t="shared" si="124"/>
        <v>2023</v>
      </c>
      <c r="C3670" s="9">
        <v>44943</v>
      </c>
      <c r="D3670">
        <v>13.75</v>
      </c>
    </row>
    <row r="3671" spans="1:4" x14ac:dyDescent="0.25">
      <c r="A3671" s="5">
        <f t="shared" si="123"/>
        <v>1</v>
      </c>
      <c r="B3671" s="5">
        <f t="shared" si="124"/>
        <v>2023</v>
      </c>
      <c r="C3671" s="9">
        <v>44944</v>
      </c>
      <c r="D3671">
        <v>13.75</v>
      </c>
    </row>
    <row r="3672" spans="1:4" x14ac:dyDescent="0.25">
      <c r="A3672" s="5">
        <f t="shared" si="123"/>
        <v>1</v>
      </c>
      <c r="B3672" s="5">
        <f t="shared" si="124"/>
        <v>2023</v>
      </c>
      <c r="C3672" s="9">
        <v>44945</v>
      </c>
      <c r="D3672">
        <v>13.75</v>
      </c>
    </row>
    <row r="3673" spans="1:4" x14ac:dyDescent="0.25">
      <c r="A3673" s="5">
        <f t="shared" si="123"/>
        <v>1</v>
      </c>
      <c r="B3673" s="5">
        <f t="shared" si="124"/>
        <v>2023</v>
      </c>
      <c r="C3673" s="9">
        <v>44946</v>
      </c>
      <c r="D3673">
        <v>13.75</v>
      </c>
    </row>
    <row r="3674" spans="1:4" x14ac:dyDescent="0.25">
      <c r="A3674" s="5">
        <f t="shared" si="123"/>
        <v>1</v>
      </c>
      <c r="B3674" s="5">
        <f t="shared" si="124"/>
        <v>2023</v>
      </c>
      <c r="C3674" s="9">
        <v>44947</v>
      </c>
      <c r="D3674">
        <v>13.75</v>
      </c>
    </row>
    <row r="3675" spans="1:4" x14ac:dyDescent="0.25">
      <c r="A3675" s="5">
        <f t="shared" si="123"/>
        <v>1</v>
      </c>
      <c r="B3675" s="5">
        <f t="shared" si="124"/>
        <v>2023</v>
      </c>
      <c r="C3675" s="9">
        <v>44948</v>
      </c>
      <c r="D3675">
        <v>13.75</v>
      </c>
    </row>
    <row r="3676" spans="1:4" x14ac:dyDescent="0.25">
      <c r="A3676" s="5">
        <f t="shared" si="123"/>
        <v>1</v>
      </c>
      <c r="B3676" s="5">
        <f t="shared" si="124"/>
        <v>2023</v>
      </c>
      <c r="C3676" s="9">
        <v>44949</v>
      </c>
      <c r="D3676">
        <v>13.75</v>
      </c>
    </row>
    <row r="3677" spans="1:4" x14ac:dyDescent="0.25">
      <c r="A3677" s="5">
        <f t="shared" si="123"/>
        <v>1</v>
      </c>
      <c r="B3677" s="5">
        <f t="shared" si="124"/>
        <v>2023</v>
      </c>
      <c r="C3677" s="9">
        <v>44950</v>
      </c>
      <c r="D3677">
        <v>13.75</v>
      </c>
    </row>
    <row r="3678" spans="1:4" x14ac:dyDescent="0.25">
      <c r="A3678" s="5">
        <f t="shared" si="123"/>
        <v>1</v>
      </c>
      <c r="B3678" s="5">
        <f t="shared" si="124"/>
        <v>2023</v>
      </c>
      <c r="C3678" s="9">
        <v>44951</v>
      </c>
      <c r="D3678">
        <v>13.75</v>
      </c>
    </row>
    <row r="3679" spans="1:4" x14ac:dyDescent="0.25">
      <c r="A3679" s="5">
        <f t="shared" si="123"/>
        <v>1</v>
      </c>
      <c r="B3679" s="5">
        <f t="shared" si="124"/>
        <v>2023</v>
      </c>
      <c r="C3679" s="9">
        <v>44952</v>
      </c>
      <c r="D3679">
        <v>13.75</v>
      </c>
    </row>
    <row r="3680" spans="1:4" x14ac:dyDescent="0.25">
      <c r="A3680" s="5">
        <f t="shared" si="123"/>
        <v>1</v>
      </c>
      <c r="B3680" s="5">
        <f t="shared" si="124"/>
        <v>2023</v>
      </c>
      <c r="C3680" s="9">
        <v>44953</v>
      </c>
      <c r="D3680">
        <v>13.75</v>
      </c>
    </row>
    <row r="3681" spans="1:4" x14ac:dyDescent="0.25">
      <c r="A3681" s="5">
        <f t="shared" si="123"/>
        <v>1</v>
      </c>
      <c r="B3681" s="5">
        <f t="shared" si="124"/>
        <v>2023</v>
      </c>
      <c r="C3681" s="9">
        <v>44954</v>
      </c>
      <c r="D3681">
        <v>13.75</v>
      </c>
    </row>
    <row r="3682" spans="1:4" x14ac:dyDescent="0.25">
      <c r="A3682" s="5">
        <f t="shared" si="123"/>
        <v>1</v>
      </c>
      <c r="B3682" s="5">
        <f t="shared" si="124"/>
        <v>2023</v>
      </c>
      <c r="C3682" s="9">
        <v>44955</v>
      </c>
      <c r="D3682">
        <v>13.75</v>
      </c>
    </row>
    <row r="3683" spans="1:4" x14ac:dyDescent="0.25">
      <c r="A3683" s="5">
        <f t="shared" si="123"/>
        <v>1</v>
      </c>
      <c r="B3683" s="5">
        <f t="shared" si="124"/>
        <v>2023</v>
      </c>
      <c r="C3683" s="9">
        <v>44956</v>
      </c>
      <c r="D3683">
        <v>13.75</v>
      </c>
    </row>
    <row r="3684" spans="1:4" x14ac:dyDescent="0.25">
      <c r="A3684" s="5">
        <f t="shared" si="123"/>
        <v>1</v>
      </c>
      <c r="B3684" s="5">
        <f t="shared" si="124"/>
        <v>2023</v>
      </c>
      <c r="C3684" s="9">
        <v>44957</v>
      </c>
      <c r="D3684">
        <v>13.75</v>
      </c>
    </row>
    <row r="3685" spans="1:4" x14ac:dyDescent="0.25">
      <c r="A3685" s="5">
        <f t="shared" si="123"/>
        <v>2</v>
      </c>
      <c r="B3685" s="5">
        <f t="shared" si="124"/>
        <v>2023</v>
      </c>
      <c r="C3685" s="9">
        <v>44958</v>
      </c>
      <c r="D3685">
        <v>13.75</v>
      </c>
    </row>
    <row r="3686" spans="1:4" x14ac:dyDescent="0.25">
      <c r="A3686" s="5">
        <f t="shared" si="123"/>
        <v>2</v>
      </c>
      <c r="B3686" s="5">
        <f t="shared" si="124"/>
        <v>2023</v>
      </c>
      <c r="C3686" s="9">
        <v>44959</v>
      </c>
      <c r="D3686">
        <v>13.75</v>
      </c>
    </row>
    <row r="3687" spans="1:4" x14ac:dyDescent="0.25">
      <c r="A3687" s="5">
        <f t="shared" si="123"/>
        <v>2</v>
      </c>
      <c r="B3687" s="5">
        <f t="shared" si="124"/>
        <v>2023</v>
      </c>
      <c r="C3687" s="9">
        <v>44960</v>
      </c>
      <c r="D3687">
        <v>13.75</v>
      </c>
    </row>
    <row r="3688" spans="1:4" x14ac:dyDescent="0.25">
      <c r="A3688" s="5">
        <f t="shared" si="123"/>
        <v>2</v>
      </c>
      <c r="B3688" s="5">
        <f t="shared" si="124"/>
        <v>2023</v>
      </c>
      <c r="C3688" s="9">
        <v>44961</v>
      </c>
      <c r="D3688">
        <v>13.75</v>
      </c>
    </row>
    <row r="3689" spans="1:4" x14ac:dyDescent="0.25">
      <c r="A3689" s="5">
        <f t="shared" si="123"/>
        <v>2</v>
      </c>
      <c r="B3689" s="5">
        <f t="shared" si="124"/>
        <v>2023</v>
      </c>
      <c r="C3689" s="9">
        <v>44962</v>
      </c>
      <c r="D3689">
        <v>13.75</v>
      </c>
    </row>
    <row r="3690" spans="1:4" x14ac:dyDescent="0.25">
      <c r="A3690" s="5">
        <f t="shared" si="123"/>
        <v>2</v>
      </c>
      <c r="B3690" s="5">
        <f t="shared" si="124"/>
        <v>2023</v>
      </c>
      <c r="C3690" s="9">
        <v>44963</v>
      </c>
      <c r="D3690">
        <v>13.75</v>
      </c>
    </row>
    <row r="3691" spans="1:4" x14ac:dyDescent="0.25">
      <c r="A3691" s="5">
        <f t="shared" si="123"/>
        <v>2</v>
      </c>
      <c r="B3691" s="5">
        <f t="shared" si="124"/>
        <v>2023</v>
      </c>
      <c r="C3691" s="9">
        <v>44964</v>
      </c>
      <c r="D3691">
        <v>13.75</v>
      </c>
    </row>
    <row r="3692" spans="1:4" x14ac:dyDescent="0.25">
      <c r="A3692" s="5">
        <f t="shared" si="123"/>
        <v>2</v>
      </c>
      <c r="B3692" s="5">
        <f t="shared" si="124"/>
        <v>2023</v>
      </c>
      <c r="C3692" s="9">
        <v>44965</v>
      </c>
      <c r="D3692">
        <v>13.75</v>
      </c>
    </row>
    <row r="3693" spans="1:4" x14ac:dyDescent="0.25">
      <c r="A3693" s="5">
        <f t="shared" si="123"/>
        <v>2</v>
      </c>
      <c r="B3693" s="5">
        <f t="shared" si="124"/>
        <v>2023</v>
      </c>
      <c r="C3693" s="9">
        <v>44966</v>
      </c>
      <c r="D3693">
        <v>13.75</v>
      </c>
    </row>
    <row r="3694" spans="1:4" x14ac:dyDescent="0.25">
      <c r="A3694" s="5">
        <f t="shared" si="123"/>
        <v>2</v>
      </c>
      <c r="B3694" s="5">
        <f t="shared" si="124"/>
        <v>2023</v>
      </c>
      <c r="C3694" s="9">
        <v>44967</v>
      </c>
      <c r="D3694">
        <v>13.75</v>
      </c>
    </row>
    <row r="3695" spans="1:4" x14ac:dyDescent="0.25">
      <c r="A3695" s="5">
        <f t="shared" si="123"/>
        <v>2</v>
      </c>
      <c r="B3695" s="5">
        <f t="shared" si="124"/>
        <v>2023</v>
      </c>
      <c r="C3695" s="9">
        <v>44968</v>
      </c>
      <c r="D3695">
        <v>13.75</v>
      </c>
    </row>
    <row r="3696" spans="1:4" x14ac:dyDescent="0.25">
      <c r="A3696" s="5">
        <f t="shared" si="123"/>
        <v>2</v>
      </c>
      <c r="B3696" s="5">
        <f t="shared" si="124"/>
        <v>2023</v>
      </c>
      <c r="C3696" s="9">
        <v>44969</v>
      </c>
      <c r="D3696">
        <v>13.75</v>
      </c>
    </row>
    <row r="3697" spans="1:4" x14ac:dyDescent="0.25">
      <c r="A3697" s="5">
        <f t="shared" si="123"/>
        <v>2</v>
      </c>
      <c r="B3697" s="5">
        <f t="shared" si="124"/>
        <v>2023</v>
      </c>
      <c r="C3697" s="9">
        <v>44970</v>
      </c>
      <c r="D3697">
        <v>13.75</v>
      </c>
    </row>
    <row r="3698" spans="1:4" x14ac:dyDescent="0.25">
      <c r="A3698" s="5">
        <f t="shared" si="123"/>
        <v>2</v>
      </c>
      <c r="B3698" s="5">
        <f t="shared" si="124"/>
        <v>2023</v>
      </c>
      <c r="C3698" s="9">
        <v>44971</v>
      </c>
      <c r="D3698">
        <v>13.75</v>
      </c>
    </row>
    <row r="3699" spans="1:4" x14ac:dyDescent="0.25">
      <c r="A3699" s="5">
        <f t="shared" si="123"/>
        <v>2</v>
      </c>
      <c r="B3699" s="5">
        <f t="shared" si="124"/>
        <v>2023</v>
      </c>
      <c r="C3699" s="9">
        <v>44972</v>
      </c>
      <c r="D3699">
        <v>13.75</v>
      </c>
    </row>
    <row r="3700" spans="1:4" x14ac:dyDescent="0.25">
      <c r="A3700" s="5">
        <f t="shared" si="123"/>
        <v>2</v>
      </c>
      <c r="B3700" s="5">
        <f t="shared" si="124"/>
        <v>2023</v>
      </c>
      <c r="C3700" s="9">
        <v>44973</v>
      </c>
      <c r="D3700">
        <v>13.75</v>
      </c>
    </row>
    <row r="3701" spans="1:4" x14ac:dyDescent="0.25">
      <c r="A3701" s="5">
        <f t="shared" si="123"/>
        <v>2</v>
      </c>
      <c r="B3701" s="5">
        <f t="shared" si="124"/>
        <v>2023</v>
      </c>
      <c r="C3701" s="9">
        <v>44974</v>
      </c>
      <c r="D3701">
        <v>13.75</v>
      </c>
    </row>
    <row r="3702" spans="1:4" x14ac:dyDescent="0.25">
      <c r="A3702" s="5">
        <f t="shared" si="123"/>
        <v>2</v>
      </c>
      <c r="B3702" s="5">
        <f t="shared" si="124"/>
        <v>2023</v>
      </c>
      <c r="C3702" s="9">
        <v>44975</v>
      </c>
      <c r="D3702">
        <v>13.75</v>
      </c>
    </row>
    <row r="3703" spans="1:4" x14ac:dyDescent="0.25">
      <c r="A3703" s="5">
        <f t="shared" si="123"/>
        <v>2</v>
      </c>
      <c r="B3703" s="5">
        <f t="shared" si="124"/>
        <v>2023</v>
      </c>
      <c r="C3703" s="9">
        <v>44976</v>
      </c>
      <c r="D3703">
        <v>13.75</v>
      </c>
    </row>
    <row r="3704" spans="1:4" x14ac:dyDescent="0.25">
      <c r="A3704" s="5">
        <f t="shared" si="123"/>
        <v>2</v>
      </c>
      <c r="B3704" s="5">
        <f t="shared" si="124"/>
        <v>2023</v>
      </c>
      <c r="C3704" s="9">
        <v>44977</v>
      </c>
      <c r="D3704">
        <v>13.75</v>
      </c>
    </row>
    <row r="3705" spans="1:4" x14ac:dyDescent="0.25">
      <c r="A3705" s="5">
        <f t="shared" si="123"/>
        <v>2</v>
      </c>
      <c r="B3705" s="5">
        <f t="shared" si="124"/>
        <v>2023</v>
      </c>
      <c r="C3705" s="9">
        <v>44978</v>
      </c>
      <c r="D3705">
        <v>13.75</v>
      </c>
    </row>
    <row r="3706" spans="1:4" x14ac:dyDescent="0.25">
      <c r="A3706" s="5">
        <f t="shared" si="123"/>
        <v>2</v>
      </c>
      <c r="B3706" s="5">
        <f t="shared" si="124"/>
        <v>2023</v>
      </c>
      <c r="C3706" s="9">
        <v>44979</v>
      </c>
      <c r="D3706">
        <v>13.75</v>
      </c>
    </row>
    <row r="3707" spans="1:4" x14ac:dyDescent="0.25">
      <c r="A3707" s="5">
        <f t="shared" si="123"/>
        <v>2</v>
      </c>
      <c r="B3707" s="5">
        <f t="shared" si="124"/>
        <v>2023</v>
      </c>
      <c r="C3707" s="9">
        <v>44980</v>
      </c>
      <c r="D3707">
        <v>13.75</v>
      </c>
    </row>
    <row r="3708" spans="1:4" x14ac:dyDescent="0.25">
      <c r="A3708" s="5">
        <f t="shared" si="123"/>
        <v>2</v>
      </c>
      <c r="B3708" s="5">
        <f t="shared" si="124"/>
        <v>2023</v>
      </c>
      <c r="C3708" s="9">
        <v>44981</v>
      </c>
      <c r="D3708">
        <v>13.75</v>
      </c>
    </row>
    <row r="3709" spans="1:4" x14ac:dyDescent="0.25">
      <c r="A3709" s="5">
        <f t="shared" si="123"/>
        <v>2</v>
      </c>
      <c r="B3709" s="5">
        <f t="shared" si="124"/>
        <v>2023</v>
      </c>
      <c r="C3709" s="9">
        <v>44982</v>
      </c>
      <c r="D3709">
        <v>13.75</v>
      </c>
    </row>
    <row r="3710" spans="1:4" x14ac:dyDescent="0.25">
      <c r="A3710" s="5">
        <f t="shared" si="123"/>
        <v>2</v>
      </c>
      <c r="B3710" s="5">
        <f t="shared" si="124"/>
        <v>2023</v>
      </c>
      <c r="C3710" s="9">
        <v>44983</v>
      </c>
      <c r="D3710">
        <v>13.75</v>
      </c>
    </row>
    <row r="3711" spans="1:4" x14ac:dyDescent="0.25">
      <c r="A3711" s="5">
        <f t="shared" si="123"/>
        <v>2</v>
      </c>
      <c r="B3711" s="5">
        <f t="shared" si="124"/>
        <v>2023</v>
      </c>
      <c r="C3711" s="9">
        <v>44984</v>
      </c>
      <c r="D3711">
        <v>13.75</v>
      </c>
    </row>
    <row r="3712" spans="1:4" x14ac:dyDescent="0.25">
      <c r="A3712" s="5">
        <f t="shared" si="123"/>
        <v>2</v>
      </c>
      <c r="B3712" s="5">
        <f t="shared" si="124"/>
        <v>2023</v>
      </c>
      <c r="C3712" s="9">
        <v>44985</v>
      </c>
      <c r="D3712">
        <v>13.75</v>
      </c>
    </row>
    <row r="3713" spans="1:4" x14ac:dyDescent="0.25">
      <c r="A3713" s="5">
        <f t="shared" si="123"/>
        <v>3</v>
      </c>
      <c r="B3713" s="5">
        <f t="shared" si="124"/>
        <v>2023</v>
      </c>
      <c r="C3713" s="9">
        <v>44986</v>
      </c>
      <c r="D3713">
        <v>13.75</v>
      </c>
    </row>
    <row r="3714" spans="1:4" x14ac:dyDescent="0.25">
      <c r="A3714" s="5">
        <f t="shared" si="123"/>
        <v>3</v>
      </c>
      <c r="B3714" s="5">
        <f t="shared" si="124"/>
        <v>2023</v>
      </c>
      <c r="C3714" s="9">
        <v>44987</v>
      </c>
      <c r="D3714">
        <v>13.75</v>
      </c>
    </row>
    <row r="3715" spans="1:4" x14ac:dyDescent="0.25">
      <c r="A3715" s="5">
        <f t="shared" ref="A3715:A3778" si="125">MONTH(C3715)</f>
        <v>3</v>
      </c>
      <c r="B3715" s="5">
        <f t="shared" ref="B3715:B3778" si="126">YEAR(C3715)</f>
        <v>2023</v>
      </c>
      <c r="C3715" s="9">
        <v>44988</v>
      </c>
      <c r="D3715">
        <v>13.75</v>
      </c>
    </row>
    <row r="3716" spans="1:4" x14ac:dyDescent="0.25">
      <c r="A3716" s="5">
        <f t="shared" si="125"/>
        <v>3</v>
      </c>
      <c r="B3716" s="5">
        <f t="shared" si="126"/>
        <v>2023</v>
      </c>
      <c r="C3716" s="9">
        <v>44989</v>
      </c>
      <c r="D3716">
        <v>13.75</v>
      </c>
    </row>
    <row r="3717" spans="1:4" x14ac:dyDescent="0.25">
      <c r="A3717" s="5">
        <f t="shared" si="125"/>
        <v>3</v>
      </c>
      <c r="B3717" s="5">
        <f t="shared" si="126"/>
        <v>2023</v>
      </c>
      <c r="C3717" s="9">
        <v>44990</v>
      </c>
      <c r="D3717">
        <v>13.75</v>
      </c>
    </row>
    <row r="3718" spans="1:4" x14ac:dyDescent="0.25">
      <c r="A3718" s="5">
        <f t="shared" si="125"/>
        <v>3</v>
      </c>
      <c r="B3718" s="5">
        <f t="shared" si="126"/>
        <v>2023</v>
      </c>
      <c r="C3718" s="9">
        <v>44991</v>
      </c>
      <c r="D3718">
        <v>13.75</v>
      </c>
    </row>
    <row r="3719" spans="1:4" x14ac:dyDescent="0.25">
      <c r="A3719" s="5">
        <f t="shared" si="125"/>
        <v>3</v>
      </c>
      <c r="B3719" s="5">
        <f t="shared" si="126"/>
        <v>2023</v>
      </c>
      <c r="C3719" s="9">
        <v>44992</v>
      </c>
      <c r="D3719">
        <v>13.75</v>
      </c>
    </row>
    <row r="3720" spans="1:4" x14ac:dyDescent="0.25">
      <c r="A3720" s="5">
        <f t="shared" si="125"/>
        <v>3</v>
      </c>
      <c r="B3720" s="5">
        <f t="shared" si="126"/>
        <v>2023</v>
      </c>
      <c r="C3720" s="9">
        <v>44993</v>
      </c>
      <c r="D3720">
        <v>13.75</v>
      </c>
    </row>
    <row r="3721" spans="1:4" x14ac:dyDescent="0.25">
      <c r="A3721" s="5">
        <f t="shared" si="125"/>
        <v>3</v>
      </c>
      <c r="B3721" s="5">
        <f t="shared" si="126"/>
        <v>2023</v>
      </c>
      <c r="C3721" s="9">
        <v>44994</v>
      </c>
      <c r="D3721">
        <v>13.75</v>
      </c>
    </row>
    <row r="3722" spans="1:4" x14ac:dyDescent="0.25">
      <c r="A3722" s="5">
        <f t="shared" si="125"/>
        <v>3</v>
      </c>
      <c r="B3722" s="5">
        <f t="shared" si="126"/>
        <v>2023</v>
      </c>
      <c r="C3722" s="9">
        <v>44995</v>
      </c>
      <c r="D3722">
        <v>13.75</v>
      </c>
    </row>
    <row r="3723" spans="1:4" x14ac:dyDescent="0.25">
      <c r="A3723" s="5">
        <f t="shared" si="125"/>
        <v>3</v>
      </c>
      <c r="B3723" s="5">
        <f t="shared" si="126"/>
        <v>2023</v>
      </c>
      <c r="C3723" s="9">
        <v>44996</v>
      </c>
      <c r="D3723">
        <v>13.75</v>
      </c>
    </row>
    <row r="3724" spans="1:4" x14ac:dyDescent="0.25">
      <c r="A3724" s="5">
        <f t="shared" si="125"/>
        <v>3</v>
      </c>
      <c r="B3724" s="5">
        <f t="shared" si="126"/>
        <v>2023</v>
      </c>
      <c r="C3724" s="9">
        <v>44997</v>
      </c>
      <c r="D3724">
        <v>13.75</v>
      </c>
    </row>
    <row r="3725" spans="1:4" x14ac:dyDescent="0.25">
      <c r="A3725" s="5">
        <f t="shared" si="125"/>
        <v>3</v>
      </c>
      <c r="B3725" s="5">
        <f t="shared" si="126"/>
        <v>2023</v>
      </c>
      <c r="C3725" s="9">
        <v>44998</v>
      </c>
      <c r="D3725">
        <v>13.75</v>
      </c>
    </row>
    <row r="3726" spans="1:4" x14ac:dyDescent="0.25">
      <c r="A3726" s="5">
        <f t="shared" si="125"/>
        <v>3</v>
      </c>
      <c r="B3726" s="5">
        <f t="shared" si="126"/>
        <v>2023</v>
      </c>
      <c r="C3726" s="9">
        <v>44999</v>
      </c>
      <c r="D3726">
        <v>13.75</v>
      </c>
    </row>
    <row r="3727" spans="1:4" x14ac:dyDescent="0.25">
      <c r="A3727" s="5">
        <f t="shared" si="125"/>
        <v>3</v>
      </c>
      <c r="B3727" s="5">
        <f t="shared" si="126"/>
        <v>2023</v>
      </c>
      <c r="C3727" s="9">
        <v>45000</v>
      </c>
      <c r="D3727">
        <v>13.75</v>
      </c>
    </row>
    <row r="3728" spans="1:4" x14ac:dyDescent="0.25">
      <c r="A3728" s="5">
        <f t="shared" si="125"/>
        <v>3</v>
      </c>
      <c r="B3728" s="5">
        <f t="shared" si="126"/>
        <v>2023</v>
      </c>
      <c r="C3728" s="9">
        <v>45001</v>
      </c>
      <c r="D3728">
        <v>13.75</v>
      </c>
    </row>
    <row r="3729" spans="1:4" x14ac:dyDescent="0.25">
      <c r="A3729" s="5">
        <f t="shared" si="125"/>
        <v>3</v>
      </c>
      <c r="B3729" s="5">
        <f t="shared" si="126"/>
        <v>2023</v>
      </c>
      <c r="C3729" s="9">
        <v>45002</v>
      </c>
      <c r="D3729">
        <v>13.75</v>
      </c>
    </row>
    <row r="3730" spans="1:4" x14ac:dyDescent="0.25">
      <c r="A3730" s="5">
        <f t="shared" si="125"/>
        <v>3</v>
      </c>
      <c r="B3730" s="5">
        <f t="shared" si="126"/>
        <v>2023</v>
      </c>
      <c r="C3730" s="9">
        <v>45003</v>
      </c>
      <c r="D3730">
        <v>13.75</v>
      </c>
    </row>
    <row r="3731" spans="1:4" x14ac:dyDescent="0.25">
      <c r="A3731" s="5">
        <f t="shared" si="125"/>
        <v>3</v>
      </c>
      <c r="B3731" s="5">
        <f t="shared" si="126"/>
        <v>2023</v>
      </c>
      <c r="C3731" s="9">
        <v>45004</v>
      </c>
      <c r="D3731">
        <v>13.75</v>
      </c>
    </row>
    <row r="3732" spans="1:4" x14ac:dyDescent="0.25">
      <c r="A3732" s="5">
        <f t="shared" si="125"/>
        <v>3</v>
      </c>
      <c r="B3732" s="5">
        <f t="shared" si="126"/>
        <v>2023</v>
      </c>
      <c r="C3732" s="9">
        <v>45005</v>
      </c>
      <c r="D3732">
        <v>13.75</v>
      </c>
    </row>
    <row r="3733" spans="1:4" x14ac:dyDescent="0.25">
      <c r="A3733" s="5">
        <f t="shared" si="125"/>
        <v>3</v>
      </c>
      <c r="B3733" s="5">
        <f t="shared" si="126"/>
        <v>2023</v>
      </c>
      <c r="C3733" s="9">
        <v>45006</v>
      </c>
      <c r="D3733">
        <v>13.75</v>
      </c>
    </row>
    <row r="3734" spans="1:4" x14ac:dyDescent="0.25">
      <c r="A3734" s="5">
        <f t="shared" si="125"/>
        <v>3</v>
      </c>
      <c r="B3734" s="5">
        <f t="shared" si="126"/>
        <v>2023</v>
      </c>
      <c r="C3734" s="9">
        <v>45007</v>
      </c>
      <c r="D3734">
        <v>13.75</v>
      </c>
    </row>
    <row r="3735" spans="1:4" x14ac:dyDescent="0.25">
      <c r="A3735" s="5">
        <f t="shared" si="125"/>
        <v>3</v>
      </c>
      <c r="B3735" s="5">
        <f t="shared" si="126"/>
        <v>2023</v>
      </c>
      <c r="C3735" s="9">
        <v>45008</v>
      </c>
      <c r="D3735">
        <v>13.75</v>
      </c>
    </row>
    <row r="3736" spans="1:4" x14ac:dyDescent="0.25">
      <c r="A3736" s="5">
        <f t="shared" si="125"/>
        <v>3</v>
      </c>
      <c r="B3736" s="5">
        <f t="shared" si="126"/>
        <v>2023</v>
      </c>
      <c r="C3736" s="9">
        <v>45009</v>
      </c>
      <c r="D3736">
        <v>13.75</v>
      </c>
    </row>
    <row r="3737" spans="1:4" x14ac:dyDescent="0.25">
      <c r="A3737" s="5">
        <f t="shared" si="125"/>
        <v>3</v>
      </c>
      <c r="B3737" s="5">
        <f t="shared" si="126"/>
        <v>2023</v>
      </c>
      <c r="C3737" s="9">
        <v>45010</v>
      </c>
      <c r="D3737">
        <v>13.75</v>
      </c>
    </row>
    <row r="3738" spans="1:4" x14ac:dyDescent="0.25">
      <c r="A3738" s="5">
        <f t="shared" si="125"/>
        <v>3</v>
      </c>
      <c r="B3738" s="5">
        <f t="shared" si="126"/>
        <v>2023</v>
      </c>
      <c r="C3738" s="9">
        <v>45011</v>
      </c>
      <c r="D3738">
        <v>13.75</v>
      </c>
    </row>
    <row r="3739" spans="1:4" x14ac:dyDescent="0.25">
      <c r="A3739" s="5">
        <f t="shared" si="125"/>
        <v>3</v>
      </c>
      <c r="B3739" s="5">
        <f t="shared" si="126"/>
        <v>2023</v>
      </c>
      <c r="C3739" s="9">
        <v>45012</v>
      </c>
      <c r="D3739">
        <v>13.75</v>
      </c>
    </row>
    <row r="3740" spans="1:4" x14ac:dyDescent="0.25">
      <c r="A3740" s="5">
        <f t="shared" si="125"/>
        <v>3</v>
      </c>
      <c r="B3740" s="5">
        <f t="shared" si="126"/>
        <v>2023</v>
      </c>
      <c r="C3740" s="9">
        <v>45013</v>
      </c>
      <c r="D3740">
        <v>13.75</v>
      </c>
    </row>
    <row r="3741" spans="1:4" x14ac:dyDescent="0.25">
      <c r="A3741" s="5">
        <f t="shared" si="125"/>
        <v>3</v>
      </c>
      <c r="B3741" s="5">
        <f t="shared" si="126"/>
        <v>2023</v>
      </c>
      <c r="C3741" s="9">
        <v>45014</v>
      </c>
      <c r="D3741">
        <v>13.75</v>
      </c>
    </row>
    <row r="3742" spans="1:4" x14ac:dyDescent="0.25">
      <c r="A3742" s="5">
        <f t="shared" si="125"/>
        <v>3</v>
      </c>
      <c r="B3742" s="5">
        <f t="shared" si="126"/>
        <v>2023</v>
      </c>
      <c r="C3742" s="9">
        <v>45015</v>
      </c>
      <c r="D3742">
        <v>13.75</v>
      </c>
    </row>
    <row r="3743" spans="1:4" x14ac:dyDescent="0.25">
      <c r="A3743" s="5">
        <f t="shared" si="125"/>
        <v>3</v>
      </c>
      <c r="B3743" s="5">
        <f t="shared" si="126"/>
        <v>2023</v>
      </c>
      <c r="C3743" s="9">
        <v>45016</v>
      </c>
      <c r="D3743">
        <v>13.75</v>
      </c>
    </row>
    <row r="3744" spans="1:4" x14ac:dyDescent="0.25">
      <c r="A3744" s="5">
        <f t="shared" si="125"/>
        <v>4</v>
      </c>
      <c r="B3744" s="5">
        <f t="shared" si="126"/>
        <v>2023</v>
      </c>
      <c r="C3744" s="9">
        <v>45017</v>
      </c>
      <c r="D3744">
        <v>13.75</v>
      </c>
    </row>
    <row r="3745" spans="1:4" x14ac:dyDescent="0.25">
      <c r="A3745" s="5">
        <f t="shared" si="125"/>
        <v>4</v>
      </c>
      <c r="B3745" s="5">
        <f t="shared" si="126"/>
        <v>2023</v>
      </c>
      <c r="C3745" s="9">
        <v>45018</v>
      </c>
      <c r="D3745">
        <v>13.75</v>
      </c>
    </row>
    <row r="3746" spans="1:4" x14ac:dyDescent="0.25">
      <c r="A3746" s="5">
        <f t="shared" si="125"/>
        <v>4</v>
      </c>
      <c r="B3746" s="5">
        <f t="shared" si="126"/>
        <v>2023</v>
      </c>
      <c r="C3746" s="9">
        <v>45019</v>
      </c>
      <c r="D3746">
        <v>13.75</v>
      </c>
    </row>
    <row r="3747" spans="1:4" x14ac:dyDescent="0.25">
      <c r="A3747" s="5">
        <f t="shared" si="125"/>
        <v>4</v>
      </c>
      <c r="B3747" s="5">
        <f t="shared" si="126"/>
        <v>2023</v>
      </c>
      <c r="C3747" s="9">
        <v>45020</v>
      </c>
      <c r="D3747">
        <v>13.75</v>
      </c>
    </row>
    <row r="3748" spans="1:4" x14ac:dyDescent="0.25">
      <c r="A3748" s="5">
        <f t="shared" si="125"/>
        <v>4</v>
      </c>
      <c r="B3748" s="5">
        <f t="shared" si="126"/>
        <v>2023</v>
      </c>
      <c r="C3748" s="9">
        <v>45021</v>
      </c>
      <c r="D3748">
        <v>13.75</v>
      </c>
    </row>
    <row r="3749" spans="1:4" x14ac:dyDescent="0.25">
      <c r="A3749" s="5">
        <f t="shared" si="125"/>
        <v>4</v>
      </c>
      <c r="B3749" s="5">
        <f t="shared" si="126"/>
        <v>2023</v>
      </c>
      <c r="C3749" s="9">
        <v>45022</v>
      </c>
      <c r="D3749">
        <v>13.75</v>
      </c>
    </row>
    <row r="3750" spans="1:4" x14ac:dyDescent="0.25">
      <c r="A3750" s="5">
        <f t="shared" si="125"/>
        <v>4</v>
      </c>
      <c r="B3750" s="5">
        <f t="shared" si="126"/>
        <v>2023</v>
      </c>
      <c r="C3750" s="9">
        <v>45023</v>
      </c>
      <c r="D3750">
        <v>13.75</v>
      </c>
    </row>
    <row r="3751" spans="1:4" x14ac:dyDescent="0.25">
      <c r="A3751" s="5">
        <f t="shared" si="125"/>
        <v>4</v>
      </c>
      <c r="B3751" s="5">
        <f t="shared" si="126"/>
        <v>2023</v>
      </c>
      <c r="C3751" s="9">
        <v>45024</v>
      </c>
      <c r="D3751">
        <v>13.75</v>
      </c>
    </row>
    <row r="3752" spans="1:4" x14ac:dyDescent="0.25">
      <c r="A3752" s="5">
        <f t="shared" si="125"/>
        <v>4</v>
      </c>
      <c r="B3752" s="5">
        <f t="shared" si="126"/>
        <v>2023</v>
      </c>
      <c r="C3752" s="9">
        <v>45025</v>
      </c>
      <c r="D3752">
        <v>13.75</v>
      </c>
    </row>
    <row r="3753" spans="1:4" x14ac:dyDescent="0.25">
      <c r="A3753" s="5">
        <f t="shared" si="125"/>
        <v>4</v>
      </c>
      <c r="B3753" s="5">
        <f t="shared" si="126"/>
        <v>2023</v>
      </c>
      <c r="C3753" s="9">
        <v>45026</v>
      </c>
      <c r="D3753">
        <v>13.75</v>
      </c>
    </row>
    <row r="3754" spans="1:4" x14ac:dyDescent="0.25">
      <c r="A3754" s="5">
        <f t="shared" si="125"/>
        <v>4</v>
      </c>
      <c r="B3754" s="5">
        <f t="shared" si="126"/>
        <v>2023</v>
      </c>
      <c r="C3754" s="9">
        <v>45027</v>
      </c>
      <c r="D3754">
        <v>13.75</v>
      </c>
    </row>
    <row r="3755" spans="1:4" x14ac:dyDescent="0.25">
      <c r="A3755" s="5">
        <f t="shared" si="125"/>
        <v>4</v>
      </c>
      <c r="B3755" s="5">
        <f t="shared" si="126"/>
        <v>2023</v>
      </c>
      <c r="C3755" s="9">
        <v>45028</v>
      </c>
      <c r="D3755">
        <v>13.75</v>
      </c>
    </row>
    <row r="3756" spans="1:4" x14ac:dyDescent="0.25">
      <c r="A3756" s="5">
        <f t="shared" si="125"/>
        <v>4</v>
      </c>
      <c r="B3756" s="5">
        <f t="shared" si="126"/>
        <v>2023</v>
      </c>
      <c r="C3756" s="9">
        <v>45029</v>
      </c>
      <c r="D3756">
        <v>13.75</v>
      </c>
    </row>
    <row r="3757" spans="1:4" x14ac:dyDescent="0.25">
      <c r="A3757" s="5">
        <f t="shared" si="125"/>
        <v>4</v>
      </c>
      <c r="B3757" s="5">
        <f t="shared" si="126"/>
        <v>2023</v>
      </c>
      <c r="C3757" s="9">
        <v>45030</v>
      </c>
      <c r="D3757">
        <v>13.75</v>
      </c>
    </row>
    <row r="3758" spans="1:4" x14ac:dyDescent="0.25">
      <c r="A3758" s="5">
        <f t="shared" si="125"/>
        <v>4</v>
      </c>
      <c r="B3758" s="5">
        <f t="shared" si="126"/>
        <v>2023</v>
      </c>
      <c r="C3758" s="9">
        <v>45031</v>
      </c>
      <c r="D3758">
        <v>13.75</v>
      </c>
    </row>
    <row r="3759" spans="1:4" x14ac:dyDescent="0.25">
      <c r="A3759" s="5">
        <f t="shared" si="125"/>
        <v>4</v>
      </c>
      <c r="B3759" s="5">
        <f t="shared" si="126"/>
        <v>2023</v>
      </c>
      <c r="C3759" s="9">
        <v>45032</v>
      </c>
      <c r="D3759">
        <v>13.75</v>
      </c>
    </row>
    <row r="3760" spans="1:4" x14ac:dyDescent="0.25">
      <c r="A3760" s="5">
        <f t="shared" si="125"/>
        <v>4</v>
      </c>
      <c r="B3760" s="5">
        <f t="shared" si="126"/>
        <v>2023</v>
      </c>
      <c r="C3760" s="9">
        <v>45033</v>
      </c>
      <c r="D3760">
        <v>13.75</v>
      </c>
    </row>
    <row r="3761" spans="1:4" x14ac:dyDescent="0.25">
      <c r="A3761" s="5">
        <f t="shared" si="125"/>
        <v>4</v>
      </c>
      <c r="B3761" s="5">
        <f t="shared" si="126"/>
        <v>2023</v>
      </c>
      <c r="C3761" s="9">
        <v>45034</v>
      </c>
      <c r="D3761">
        <v>13.75</v>
      </c>
    </row>
    <row r="3762" spans="1:4" x14ac:dyDescent="0.25">
      <c r="A3762" s="5">
        <f t="shared" si="125"/>
        <v>4</v>
      </c>
      <c r="B3762" s="5">
        <f t="shared" si="126"/>
        <v>2023</v>
      </c>
      <c r="C3762" s="9">
        <v>45035</v>
      </c>
      <c r="D3762">
        <v>13.75</v>
      </c>
    </row>
    <row r="3763" spans="1:4" x14ac:dyDescent="0.25">
      <c r="A3763" s="5">
        <f t="shared" si="125"/>
        <v>4</v>
      </c>
      <c r="B3763" s="5">
        <f t="shared" si="126"/>
        <v>2023</v>
      </c>
      <c r="C3763" s="9">
        <v>45036</v>
      </c>
      <c r="D3763">
        <v>13.75</v>
      </c>
    </row>
    <row r="3764" spans="1:4" x14ac:dyDescent="0.25">
      <c r="A3764" s="5">
        <f t="shared" si="125"/>
        <v>4</v>
      </c>
      <c r="B3764" s="5">
        <f t="shared" si="126"/>
        <v>2023</v>
      </c>
      <c r="C3764" s="9">
        <v>45037</v>
      </c>
      <c r="D3764">
        <v>13.75</v>
      </c>
    </row>
    <row r="3765" spans="1:4" x14ac:dyDescent="0.25">
      <c r="A3765" s="5">
        <f t="shared" si="125"/>
        <v>4</v>
      </c>
      <c r="B3765" s="5">
        <f t="shared" si="126"/>
        <v>2023</v>
      </c>
      <c r="C3765" s="9">
        <v>45038</v>
      </c>
      <c r="D3765">
        <v>13.75</v>
      </c>
    </row>
    <row r="3766" spans="1:4" x14ac:dyDescent="0.25">
      <c r="A3766" s="5">
        <f t="shared" si="125"/>
        <v>4</v>
      </c>
      <c r="B3766" s="5">
        <f t="shared" si="126"/>
        <v>2023</v>
      </c>
      <c r="C3766" s="9">
        <v>45039</v>
      </c>
      <c r="D3766">
        <v>13.75</v>
      </c>
    </row>
    <row r="3767" spans="1:4" x14ac:dyDescent="0.25">
      <c r="A3767" s="5">
        <f t="shared" si="125"/>
        <v>4</v>
      </c>
      <c r="B3767" s="5">
        <f t="shared" si="126"/>
        <v>2023</v>
      </c>
      <c r="C3767" s="9">
        <v>45040</v>
      </c>
      <c r="D3767">
        <v>13.75</v>
      </c>
    </row>
    <row r="3768" spans="1:4" x14ac:dyDescent="0.25">
      <c r="A3768" s="5">
        <f t="shared" si="125"/>
        <v>4</v>
      </c>
      <c r="B3768" s="5">
        <f t="shared" si="126"/>
        <v>2023</v>
      </c>
      <c r="C3768" s="9">
        <v>45041</v>
      </c>
      <c r="D3768">
        <v>13.75</v>
      </c>
    </row>
    <row r="3769" spans="1:4" x14ac:dyDescent="0.25">
      <c r="A3769" s="5">
        <f t="shared" si="125"/>
        <v>4</v>
      </c>
      <c r="B3769" s="5">
        <f t="shared" si="126"/>
        <v>2023</v>
      </c>
      <c r="C3769" s="9">
        <v>45042</v>
      </c>
      <c r="D3769">
        <v>13.75</v>
      </c>
    </row>
    <row r="3770" spans="1:4" x14ac:dyDescent="0.25">
      <c r="A3770" s="5">
        <f t="shared" si="125"/>
        <v>4</v>
      </c>
      <c r="B3770" s="5">
        <f t="shared" si="126"/>
        <v>2023</v>
      </c>
      <c r="C3770" s="9">
        <v>45043</v>
      </c>
      <c r="D3770">
        <v>13.75</v>
      </c>
    </row>
    <row r="3771" spans="1:4" x14ac:dyDescent="0.25">
      <c r="A3771" s="5">
        <f t="shared" si="125"/>
        <v>4</v>
      </c>
      <c r="B3771" s="5">
        <f t="shared" si="126"/>
        <v>2023</v>
      </c>
      <c r="C3771" s="9">
        <v>45044</v>
      </c>
      <c r="D3771">
        <v>13.75</v>
      </c>
    </row>
    <row r="3772" spans="1:4" x14ac:dyDescent="0.25">
      <c r="A3772" s="5">
        <f t="shared" si="125"/>
        <v>4</v>
      </c>
      <c r="B3772" s="5">
        <f t="shared" si="126"/>
        <v>2023</v>
      </c>
      <c r="C3772" s="9">
        <v>45045</v>
      </c>
      <c r="D3772">
        <v>13.75</v>
      </c>
    </row>
    <row r="3773" spans="1:4" x14ac:dyDescent="0.25">
      <c r="A3773" s="5">
        <f t="shared" si="125"/>
        <v>4</v>
      </c>
      <c r="B3773" s="5">
        <f t="shared" si="126"/>
        <v>2023</v>
      </c>
      <c r="C3773" s="9">
        <v>45046</v>
      </c>
      <c r="D3773">
        <v>13.75</v>
      </c>
    </row>
    <row r="3774" spans="1:4" x14ac:dyDescent="0.25">
      <c r="A3774" s="5">
        <f t="shared" si="125"/>
        <v>5</v>
      </c>
      <c r="B3774" s="5">
        <f t="shared" si="126"/>
        <v>2023</v>
      </c>
      <c r="C3774" s="9">
        <v>45047</v>
      </c>
      <c r="D3774">
        <v>13.75</v>
      </c>
    </row>
    <row r="3775" spans="1:4" x14ac:dyDescent="0.25">
      <c r="A3775" s="5">
        <f t="shared" si="125"/>
        <v>5</v>
      </c>
      <c r="B3775" s="5">
        <f t="shared" si="126"/>
        <v>2023</v>
      </c>
      <c r="C3775" s="9">
        <v>45048</v>
      </c>
      <c r="D3775">
        <v>13.75</v>
      </c>
    </row>
    <row r="3776" spans="1:4" x14ac:dyDescent="0.25">
      <c r="A3776" s="5">
        <f t="shared" si="125"/>
        <v>5</v>
      </c>
      <c r="B3776" s="5">
        <f t="shared" si="126"/>
        <v>2023</v>
      </c>
      <c r="C3776" s="9">
        <v>45049</v>
      </c>
      <c r="D3776">
        <v>13.75</v>
      </c>
    </row>
    <row r="3777" spans="1:4" x14ac:dyDescent="0.25">
      <c r="A3777" s="5">
        <f t="shared" si="125"/>
        <v>5</v>
      </c>
      <c r="B3777" s="5">
        <f t="shared" si="126"/>
        <v>2023</v>
      </c>
      <c r="C3777" s="9">
        <v>45050</v>
      </c>
      <c r="D3777">
        <v>13.75</v>
      </c>
    </row>
    <row r="3778" spans="1:4" x14ac:dyDescent="0.25">
      <c r="A3778" s="5">
        <f t="shared" si="125"/>
        <v>5</v>
      </c>
      <c r="B3778" s="5">
        <f t="shared" si="126"/>
        <v>2023</v>
      </c>
      <c r="C3778" s="9">
        <v>45051</v>
      </c>
      <c r="D3778">
        <v>13.75</v>
      </c>
    </row>
    <row r="3779" spans="1:4" x14ac:dyDescent="0.25">
      <c r="A3779" s="5">
        <f t="shared" ref="A3779:A3842" si="127">MONTH(C3779)</f>
        <v>5</v>
      </c>
      <c r="B3779" s="5">
        <f t="shared" ref="B3779:B3842" si="128">YEAR(C3779)</f>
        <v>2023</v>
      </c>
      <c r="C3779" s="9">
        <v>45052</v>
      </c>
      <c r="D3779">
        <v>13.75</v>
      </c>
    </row>
    <row r="3780" spans="1:4" x14ac:dyDescent="0.25">
      <c r="A3780" s="5">
        <f t="shared" si="127"/>
        <v>5</v>
      </c>
      <c r="B3780" s="5">
        <f t="shared" si="128"/>
        <v>2023</v>
      </c>
      <c r="C3780" s="9">
        <v>45053</v>
      </c>
      <c r="D3780">
        <v>13.75</v>
      </c>
    </row>
    <row r="3781" spans="1:4" x14ac:dyDescent="0.25">
      <c r="A3781" s="5">
        <f t="shared" si="127"/>
        <v>5</v>
      </c>
      <c r="B3781" s="5">
        <f t="shared" si="128"/>
        <v>2023</v>
      </c>
      <c r="C3781" s="9">
        <v>45054</v>
      </c>
      <c r="D3781">
        <v>13.75</v>
      </c>
    </row>
    <row r="3782" spans="1:4" x14ac:dyDescent="0.25">
      <c r="A3782" s="5">
        <f t="shared" si="127"/>
        <v>5</v>
      </c>
      <c r="B3782" s="5">
        <f t="shared" si="128"/>
        <v>2023</v>
      </c>
      <c r="C3782" s="9">
        <v>45055</v>
      </c>
      <c r="D3782">
        <v>13.75</v>
      </c>
    </row>
    <row r="3783" spans="1:4" x14ac:dyDescent="0.25">
      <c r="A3783" s="5">
        <f t="shared" si="127"/>
        <v>5</v>
      </c>
      <c r="B3783" s="5">
        <f t="shared" si="128"/>
        <v>2023</v>
      </c>
      <c r="C3783" s="9">
        <v>45056</v>
      </c>
      <c r="D3783">
        <v>13.75</v>
      </c>
    </row>
    <row r="3784" spans="1:4" x14ac:dyDescent="0.25">
      <c r="A3784" s="5">
        <f t="shared" si="127"/>
        <v>5</v>
      </c>
      <c r="B3784" s="5">
        <f t="shared" si="128"/>
        <v>2023</v>
      </c>
      <c r="C3784" s="9">
        <v>45057</v>
      </c>
      <c r="D3784">
        <v>13.75</v>
      </c>
    </row>
    <row r="3785" spans="1:4" x14ac:dyDescent="0.25">
      <c r="A3785" s="5">
        <f t="shared" si="127"/>
        <v>5</v>
      </c>
      <c r="B3785" s="5">
        <f t="shared" si="128"/>
        <v>2023</v>
      </c>
      <c r="C3785" s="9">
        <v>45058</v>
      </c>
      <c r="D3785">
        <v>13.75</v>
      </c>
    </row>
    <row r="3786" spans="1:4" x14ac:dyDescent="0.25">
      <c r="A3786" s="5">
        <f t="shared" si="127"/>
        <v>5</v>
      </c>
      <c r="B3786" s="5">
        <f t="shared" si="128"/>
        <v>2023</v>
      </c>
      <c r="C3786" s="9">
        <v>45059</v>
      </c>
      <c r="D3786">
        <v>13.75</v>
      </c>
    </row>
    <row r="3787" spans="1:4" x14ac:dyDescent="0.25">
      <c r="A3787" s="5">
        <f t="shared" si="127"/>
        <v>5</v>
      </c>
      <c r="B3787" s="5">
        <f t="shared" si="128"/>
        <v>2023</v>
      </c>
      <c r="C3787" s="9">
        <v>45060</v>
      </c>
      <c r="D3787">
        <v>13.75</v>
      </c>
    </row>
    <row r="3788" spans="1:4" x14ac:dyDescent="0.25">
      <c r="A3788" s="5">
        <f t="shared" si="127"/>
        <v>5</v>
      </c>
      <c r="B3788" s="5">
        <f t="shared" si="128"/>
        <v>2023</v>
      </c>
      <c r="C3788" s="9">
        <v>45061</v>
      </c>
      <c r="D3788">
        <v>13.75</v>
      </c>
    </row>
    <row r="3789" spans="1:4" x14ac:dyDescent="0.25">
      <c r="A3789" s="5">
        <f t="shared" si="127"/>
        <v>5</v>
      </c>
      <c r="B3789" s="5">
        <f t="shared" si="128"/>
        <v>2023</v>
      </c>
      <c r="C3789" s="9">
        <v>45062</v>
      </c>
      <c r="D3789">
        <v>13.75</v>
      </c>
    </row>
    <row r="3790" spans="1:4" x14ac:dyDescent="0.25">
      <c r="A3790" s="5">
        <f t="shared" si="127"/>
        <v>5</v>
      </c>
      <c r="B3790" s="5">
        <f t="shared" si="128"/>
        <v>2023</v>
      </c>
      <c r="C3790" s="9">
        <v>45063</v>
      </c>
      <c r="D3790">
        <v>13.75</v>
      </c>
    </row>
    <row r="3791" spans="1:4" x14ac:dyDescent="0.25">
      <c r="A3791" s="5">
        <f t="shared" si="127"/>
        <v>5</v>
      </c>
      <c r="B3791" s="5">
        <f t="shared" si="128"/>
        <v>2023</v>
      </c>
      <c r="C3791" s="9">
        <v>45064</v>
      </c>
      <c r="D3791">
        <v>13.75</v>
      </c>
    </row>
    <row r="3792" spans="1:4" x14ac:dyDescent="0.25">
      <c r="A3792" s="5">
        <f t="shared" si="127"/>
        <v>5</v>
      </c>
      <c r="B3792" s="5">
        <f t="shared" si="128"/>
        <v>2023</v>
      </c>
      <c r="C3792" s="9">
        <v>45065</v>
      </c>
      <c r="D3792">
        <v>13.75</v>
      </c>
    </row>
    <row r="3793" spans="1:4" x14ac:dyDescent="0.25">
      <c r="A3793" s="5">
        <f t="shared" si="127"/>
        <v>5</v>
      </c>
      <c r="B3793" s="5">
        <f t="shared" si="128"/>
        <v>2023</v>
      </c>
      <c r="C3793" s="9">
        <v>45066</v>
      </c>
      <c r="D3793">
        <v>13.75</v>
      </c>
    </row>
    <row r="3794" spans="1:4" x14ac:dyDescent="0.25">
      <c r="A3794" s="5">
        <f t="shared" si="127"/>
        <v>5</v>
      </c>
      <c r="B3794" s="5">
        <f t="shared" si="128"/>
        <v>2023</v>
      </c>
      <c r="C3794" s="9">
        <v>45067</v>
      </c>
      <c r="D3794">
        <v>13.75</v>
      </c>
    </row>
    <row r="3795" spans="1:4" x14ac:dyDescent="0.25">
      <c r="A3795" s="5">
        <f t="shared" si="127"/>
        <v>5</v>
      </c>
      <c r="B3795" s="5">
        <f t="shared" si="128"/>
        <v>2023</v>
      </c>
      <c r="C3795" s="9">
        <v>45068</v>
      </c>
      <c r="D3795">
        <v>13.75</v>
      </c>
    </row>
    <row r="3796" spans="1:4" x14ac:dyDescent="0.25">
      <c r="A3796" s="5">
        <f t="shared" si="127"/>
        <v>5</v>
      </c>
      <c r="B3796" s="5">
        <f t="shared" si="128"/>
        <v>2023</v>
      </c>
      <c r="C3796" s="9">
        <v>45069</v>
      </c>
      <c r="D3796">
        <v>13.75</v>
      </c>
    </row>
    <row r="3797" spans="1:4" x14ac:dyDescent="0.25">
      <c r="A3797" s="5">
        <f t="shared" si="127"/>
        <v>5</v>
      </c>
      <c r="B3797" s="5">
        <f t="shared" si="128"/>
        <v>2023</v>
      </c>
      <c r="C3797" s="9">
        <v>45070</v>
      </c>
      <c r="D3797">
        <v>13.75</v>
      </c>
    </row>
    <row r="3798" spans="1:4" x14ac:dyDescent="0.25">
      <c r="A3798" s="5">
        <f t="shared" si="127"/>
        <v>5</v>
      </c>
      <c r="B3798" s="5">
        <f t="shared" si="128"/>
        <v>2023</v>
      </c>
      <c r="C3798" s="9">
        <v>45071</v>
      </c>
      <c r="D3798">
        <v>13.75</v>
      </c>
    </row>
    <row r="3799" spans="1:4" x14ac:dyDescent="0.25">
      <c r="A3799" s="5">
        <f t="shared" si="127"/>
        <v>5</v>
      </c>
      <c r="B3799" s="5">
        <f t="shared" si="128"/>
        <v>2023</v>
      </c>
      <c r="C3799" s="9">
        <v>45072</v>
      </c>
      <c r="D3799">
        <v>13.75</v>
      </c>
    </row>
    <row r="3800" spans="1:4" x14ac:dyDescent="0.25">
      <c r="A3800" s="5">
        <f t="shared" si="127"/>
        <v>5</v>
      </c>
      <c r="B3800" s="5">
        <f t="shared" si="128"/>
        <v>2023</v>
      </c>
      <c r="C3800" s="9">
        <v>45073</v>
      </c>
      <c r="D3800">
        <v>13.75</v>
      </c>
    </row>
    <row r="3801" spans="1:4" x14ac:dyDescent="0.25">
      <c r="A3801" s="5">
        <f t="shared" si="127"/>
        <v>5</v>
      </c>
      <c r="B3801" s="5">
        <f t="shared" si="128"/>
        <v>2023</v>
      </c>
      <c r="C3801" s="9">
        <v>45074</v>
      </c>
      <c r="D3801">
        <v>13.75</v>
      </c>
    </row>
    <row r="3802" spans="1:4" x14ac:dyDescent="0.25">
      <c r="A3802" s="5">
        <f t="shared" si="127"/>
        <v>5</v>
      </c>
      <c r="B3802" s="5">
        <f t="shared" si="128"/>
        <v>2023</v>
      </c>
      <c r="C3802" s="9">
        <v>45075</v>
      </c>
      <c r="D3802">
        <v>13.75</v>
      </c>
    </row>
    <row r="3803" spans="1:4" x14ac:dyDescent="0.25">
      <c r="A3803" s="5">
        <f t="shared" si="127"/>
        <v>5</v>
      </c>
      <c r="B3803" s="5">
        <f t="shared" si="128"/>
        <v>2023</v>
      </c>
      <c r="C3803" s="9">
        <v>45076</v>
      </c>
      <c r="D3803">
        <v>13.75</v>
      </c>
    </row>
    <row r="3804" spans="1:4" x14ac:dyDescent="0.25">
      <c r="A3804" s="5">
        <f t="shared" si="127"/>
        <v>5</v>
      </c>
      <c r="B3804" s="5">
        <f t="shared" si="128"/>
        <v>2023</v>
      </c>
      <c r="C3804" s="9">
        <v>45077</v>
      </c>
      <c r="D3804">
        <v>13.75</v>
      </c>
    </row>
    <row r="3805" spans="1:4" x14ac:dyDescent="0.25">
      <c r="A3805" s="5">
        <f t="shared" si="127"/>
        <v>6</v>
      </c>
      <c r="B3805" s="5">
        <f t="shared" si="128"/>
        <v>2023</v>
      </c>
      <c r="C3805" s="9">
        <v>45078</v>
      </c>
      <c r="D3805">
        <v>13.75</v>
      </c>
    </row>
    <row r="3806" spans="1:4" x14ac:dyDescent="0.25">
      <c r="A3806" s="5">
        <f t="shared" si="127"/>
        <v>6</v>
      </c>
      <c r="B3806" s="5">
        <f t="shared" si="128"/>
        <v>2023</v>
      </c>
      <c r="C3806" s="9">
        <v>45079</v>
      </c>
      <c r="D3806">
        <v>13.75</v>
      </c>
    </row>
    <row r="3807" spans="1:4" x14ac:dyDescent="0.25">
      <c r="A3807" s="5">
        <f t="shared" si="127"/>
        <v>6</v>
      </c>
      <c r="B3807" s="5">
        <f t="shared" si="128"/>
        <v>2023</v>
      </c>
      <c r="C3807" s="9">
        <v>45080</v>
      </c>
      <c r="D3807">
        <v>13.75</v>
      </c>
    </row>
    <row r="3808" spans="1:4" x14ac:dyDescent="0.25">
      <c r="A3808" s="5">
        <f t="shared" si="127"/>
        <v>6</v>
      </c>
      <c r="B3808" s="5">
        <f t="shared" si="128"/>
        <v>2023</v>
      </c>
      <c r="C3808" s="9">
        <v>45081</v>
      </c>
      <c r="D3808">
        <v>13.75</v>
      </c>
    </row>
    <row r="3809" spans="1:4" x14ac:dyDescent="0.25">
      <c r="A3809" s="5">
        <f t="shared" si="127"/>
        <v>6</v>
      </c>
      <c r="B3809" s="5">
        <f t="shared" si="128"/>
        <v>2023</v>
      </c>
      <c r="C3809" s="9">
        <v>45082</v>
      </c>
      <c r="D3809">
        <v>13.75</v>
      </c>
    </row>
    <row r="3810" spans="1:4" x14ac:dyDescent="0.25">
      <c r="A3810" s="5">
        <f t="shared" si="127"/>
        <v>6</v>
      </c>
      <c r="B3810" s="5">
        <f t="shared" si="128"/>
        <v>2023</v>
      </c>
      <c r="C3810" s="9">
        <v>45083</v>
      </c>
      <c r="D3810">
        <v>13.75</v>
      </c>
    </row>
    <row r="3811" spans="1:4" x14ac:dyDescent="0.25">
      <c r="A3811" s="5">
        <f t="shared" si="127"/>
        <v>6</v>
      </c>
      <c r="B3811" s="5">
        <f t="shared" si="128"/>
        <v>2023</v>
      </c>
      <c r="C3811" s="9">
        <v>45084</v>
      </c>
      <c r="D3811">
        <v>13.75</v>
      </c>
    </row>
    <row r="3812" spans="1:4" x14ac:dyDescent="0.25">
      <c r="A3812" s="5">
        <f t="shared" si="127"/>
        <v>6</v>
      </c>
      <c r="B3812" s="5">
        <f t="shared" si="128"/>
        <v>2023</v>
      </c>
      <c r="C3812" s="9">
        <v>45085</v>
      </c>
      <c r="D3812">
        <v>13.75</v>
      </c>
    </row>
    <row r="3813" spans="1:4" x14ac:dyDescent="0.25">
      <c r="A3813" s="5">
        <f t="shared" si="127"/>
        <v>6</v>
      </c>
      <c r="B3813" s="5">
        <f t="shared" si="128"/>
        <v>2023</v>
      </c>
      <c r="C3813" s="9">
        <v>45086</v>
      </c>
      <c r="D3813">
        <v>13.75</v>
      </c>
    </row>
    <row r="3814" spans="1:4" x14ac:dyDescent="0.25">
      <c r="A3814" s="5">
        <f t="shared" si="127"/>
        <v>6</v>
      </c>
      <c r="B3814" s="5">
        <f t="shared" si="128"/>
        <v>2023</v>
      </c>
      <c r="C3814" s="9">
        <v>45087</v>
      </c>
      <c r="D3814">
        <v>13.75</v>
      </c>
    </row>
    <row r="3815" spans="1:4" x14ac:dyDescent="0.25">
      <c r="A3815" s="5">
        <f t="shared" si="127"/>
        <v>6</v>
      </c>
      <c r="B3815" s="5">
        <f t="shared" si="128"/>
        <v>2023</v>
      </c>
      <c r="C3815" s="9">
        <v>45088</v>
      </c>
      <c r="D3815">
        <v>13.75</v>
      </c>
    </row>
    <row r="3816" spans="1:4" x14ac:dyDescent="0.25">
      <c r="A3816" s="5">
        <f t="shared" si="127"/>
        <v>6</v>
      </c>
      <c r="B3816" s="5">
        <f t="shared" si="128"/>
        <v>2023</v>
      </c>
      <c r="C3816" s="9">
        <v>45089</v>
      </c>
      <c r="D3816">
        <v>13.75</v>
      </c>
    </row>
    <row r="3817" spans="1:4" x14ac:dyDescent="0.25">
      <c r="A3817" s="5">
        <f t="shared" si="127"/>
        <v>6</v>
      </c>
      <c r="B3817" s="5">
        <f t="shared" si="128"/>
        <v>2023</v>
      </c>
      <c r="C3817" s="9">
        <v>45090</v>
      </c>
      <c r="D3817">
        <v>13.75</v>
      </c>
    </row>
    <row r="3818" spans="1:4" x14ac:dyDescent="0.25">
      <c r="A3818" s="5">
        <f t="shared" si="127"/>
        <v>6</v>
      </c>
      <c r="B3818" s="5">
        <f t="shared" si="128"/>
        <v>2023</v>
      </c>
      <c r="C3818" s="9">
        <v>45091</v>
      </c>
      <c r="D3818">
        <v>13.75</v>
      </c>
    </row>
    <row r="3819" spans="1:4" x14ac:dyDescent="0.25">
      <c r="A3819" s="5">
        <f t="shared" si="127"/>
        <v>6</v>
      </c>
      <c r="B3819" s="5">
        <f t="shared" si="128"/>
        <v>2023</v>
      </c>
      <c r="C3819" s="9">
        <v>45092</v>
      </c>
      <c r="D3819">
        <v>13.75</v>
      </c>
    </row>
    <row r="3820" spans="1:4" x14ac:dyDescent="0.25">
      <c r="A3820" s="5">
        <f t="shared" si="127"/>
        <v>6</v>
      </c>
      <c r="B3820" s="5">
        <f t="shared" si="128"/>
        <v>2023</v>
      </c>
      <c r="C3820" s="9">
        <v>45093</v>
      </c>
      <c r="D3820">
        <v>13.75</v>
      </c>
    </row>
    <row r="3821" spans="1:4" x14ac:dyDescent="0.25">
      <c r="A3821" s="5">
        <f t="shared" si="127"/>
        <v>6</v>
      </c>
      <c r="B3821" s="5">
        <f t="shared" si="128"/>
        <v>2023</v>
      </c>
      <c r="C3821" s="9">
        <v>45094</v>
      </c>
      <c r="D3821">
        <v>13.75</v>
      </c>
    </row>
    <row r="3822" spans="1:4" x14ac:dyDescent="0.25">
      <c r="A3822" s="5">
        <f t="shared" si="127"/>
        <v>6</v>
      </c>
      <c r="B3822" s="5">
        <f t="shared" si="128"/>
        <v>2023</v>
      </c>
      <c r="C3822" s="9">
        <v>45095</v>
      </c>
      <c r="D3822">
        <v>13.75</v>
      </c>
    </row>
    <row r="3823" spans="1:4" x14ac:dyDescent="0.25">
      <c r="A3823" s="5">
        <f t="shared" si="127"/>
        <v>6</v>
      </c>
      <c r="B3823" s="5">
        <f t="shared" si="128"/>
        <v>2023</v>
      </c>
      <c r="C3823" s="9">
        <v>45096</v>
      </c>
      <c r="D3823">
        <v>13.75</v>
      </c>
    </row>
    <row r="3824" spans="1:4" x14ac:dyDescent="0.25">
      <c r="A3824" s="5">
        <f t="shared" si="127"/>
        <v>6</v>
      </c>
      <c r="B3824" s="5">
        <f t="shared" si="128"/>
        <v>2023</v>
      </c>
      <c r="C3824" s="9">
        <v>45097</v>
      </c>
      <c r="D3824">
        <v>13.75</v>
      </c>
    </row>
    <row r="3825" spans="1:4" x14ac:dyDescent="0.25">
      <c r="A3825" s="5">
        <f t="shared" si="127"/>
        <v>6</v>
      </c>
      <c r="B3825" s="5">
        <f t="shared" si="128"/>
        <v>2023</v>
      </c>
      <c r="C3825" s="9">
        <v>45098</v>
      </c>
      <c r="D3825">
        <v>13.75</v>
      </c>
    </row>
    <row r="3826" spans="1:4" x14ac:dyDescent="0.25">
      <c r="A3826" s="5">
        <f t="shared" si="127"/>
        <v>6</v>
      </c>
      <c r="B3826" s="5">
        <f t="shared" si="128"/>
        <v>2023</v>
      </c>
      <c r="C3826" s="9">
        <v>45099</v>
      </c>
      <c r="D3826">
        <v>13.75</v>
      </c>
    </row>
    <row r="3827" spans="1:4" x14ac:dyDescent="0.25">
      <c r="A3827" s="5">
        <f t="shared" si="127"/>
        <v>6</v>
      </c>
      <c r="B3827" s="5">
        <f t="shared" si="128"/>
        <v>2023</v>
      </c>
      <c r="C3827" s="9">
        <v>45100</v>
      </c>
      <c r="D3827">
        <v>13.75</v>
      </c>
    </row>
    <row r="3828" spans="1:4" x14ac:dyDescent="0.25">
      <c r="A3828" s="5">
        <f t="shared" si="127"/>
        <v>6</v>
      </c>
      <c r="B3828" s="5">
        <f t="shared" si="128"/>
        <v>2023</v>
      </c>
      <c r="C3828" s="9">
        <v>45101</v>
      </c>
      <c r="D3828">
        <v>13.75</v>
      </c>
    </row>
    <row r="3829" spans="1:4" x14ac:dyDescent="0.25">
      <c r="A3829" s="5">
        <f t="shared" si="127"/>
        <v>6</v>
      </c>
      <c r="B3829" s="5">
        <f t="shared" si="128"/>
        <v>2023</v>
      </c>
      <c r="C3829" s="9">
        <v>45102</v>
      </c>
      <c r="D3829">
        <v>13.75</v>
      </c>
    </row>
    <row r="3830" spans="1:4" x14ac:dyDescent="0.25">
      <c r="A3830" s="5">
        <f t="shared" si="127"/>
        <v>6</v>
      </c>
      <c r="B3830" s="5">
        <f t="shared" si="128"/>
        <v>2023</v>
      </c>
      <c r="C3830" s="9">
        <v>45103</v>
      </c>
      <c r="D3830">
        <v>13.75</v>
      </c>
    </row>
    <row r="3831" spans="1:4" x14ac:dyDescent="0.25">
      <c r="A3831" s="5">
        <f t="shared" si="127"/>
        <v>6</v>
      </c>
      <c r="B3831" s="5">
        <f t="shared" si="128"/>
        <v>2023</v>
      </c>
      <c r="C3831" s="9">
        <v>45104</v>
      </c>
      <c r="D3831">
        <v>13.75</v>
      </c>
    </row>
    <row r="3832" spans="1:4" x14ac:dyDescent="0.25">
      <c r="A3832" s="5">
        <f t="shared" si="127"/>
        <v>6</v>
      </c>
      <c r="B3832" s="5">
        <f t="shared" si="128"/>
        <v>2023</v>
      </c>
      <c r="C3832" s="9">
        <v>45105</v>
      </c>
      <c r="D3832">
        <v>13.75</v>
      </c>
    </row>
    <row r="3833" spans="1:4" x14ac:dyDescent="0.25">
      <c r="A3833" s="5">
        <f t="shared" si="127"/>
        <v>6</v>
      </c>
      <c r="B3833" s="5">
        <f t="shared" si="128"/>
        <v>2023</v>
      </c>
      <c r="C3833" s="9">
        <v>45106</v>
      </c>
      <c r="D3833">
        <v>13.75</v>
      </c>
    </row>
    <row r="3834" spans="1:4" x14ac:dyDescent="0.25">
      <c r="A3834" s="5">
        <f t="shared" si="127"/>
        <v>6</v>
      </c>
      <c r="B3834" s="5">
        <f t="shared" si="128"/>
        <v>2023</v>
      </c>
      <c r="C3834" s="9">
        <v>45107</v>
      </c>
      <c r="D3834">
        <v>13.75</v>
      </c>
    </row>
    <row r="3835" spans="1:4" x14ac:dyDescent="0.25">
      <c r="A3835" s="5">
        <f t="shared" si="127"/>
        <v>7</v>
      </c>
      <c r="B3835" s="5">
        <f t="shared" si="128"/>
        <v>2023</v>
      </c>
      <c r="C3835" s="9">
        <v>45108</v>
      </c>
      <c r="D3835">
        <v>13.75</v>
      </c>
    </row>
    <row r="3836" spans="1:4" x14ac:dyDescent="0.25">
      <c r="A3836" s="5">
        <f t="shared" si="127"/>
        <v>7</v>
      </c>
      <c r="B3836" s="5">
        <f t="shared" si="128"/>
        <v>2023</v>
      </c>
      <c r="C3836" s="9">
        <v>45109</v>
      </c>
      <c r="D3836">
        <v>13.75</v>
      </c>
    </row>
    <row r="3837" spans="1:4" x14ac:dyDescent="0.25">
      <c r="A3837" s="5">
        <f t="shared" si="127"/>
        <v>7</v>
      </c>
      <c r="B3837" s="5">
        <f t="shared" si="128"/>
        <v>2023</v>
      </c>
      <c r="C3837" s="9">
        <v>45110</v>
      </c>
      <c r="D3837">
        <v>13.75</v>
      </c>
    </row>
    <row r="3838" spans="1:4" x14ac:dyDescent="0.25">
      <c r="A3838" s="5">
        <f t="shared" si="127"/>
        <v>7</v>
      </c>
      <c r="B3838" s="5">
        <f t="shared" si="128"/>
        <v>2023</v>
      </c>
      <c r="C3838" s="9">
        <v>45111</v>
      </c>
      <c r="D3838">
        <v>13.75</v>
      </c>
    </row>
    <row r="3839" spans="1:4" x14ac:dyDescent="0.25">
      <c r="A3839" s="5">
        <f t="shared" si="127"/>
        <v>7</v>
      </c>
      <c r="B3839" s="5">
        <f t="shared" si="128"/>
        <v>2023</v>
      </c>
      <c r="C3839" s="9">
        <v>45112</v>
      </c>
      <c r="D3839">
        <v>13.75</v>
      </c>
    </row>
    <row r="3840" spans="1:4" x14ac:dyDescent="0.25">
      <c r="A3840" s="5">
        <f t="shared" si="127"/>
        <v>7</v>
      </c>
      <c r="B3840" s="5">
        <f t="shared" si="128"/>
        <v>2023</v>
      </c>
      <c r="C3840" s="9">
        <v>45113</v>
      </c>
      <c r="D3840">
        <v>13.75</v>
      </c>
    </row>
    <row r="3841" spans="1:4" x14ac:dyDescent="0.25">
      <c r="A3841" s="5">
        <f t="shared" si="127"/>
        <v>7</v>
      </c>
      <c r="B3841" s="5">
        <f t="shared" si="128"/>
        <v>2023</v>
      </c>
      <c r="C3841" s="9">
        <v>45114</v>
      </c>
      <c r="D3841">
        <v>13.75</v>
      </c>
    </row>
    <row r="3842" spans="1:4" x14ac:dyDescent="0.25">
      <c r="A3842" s="5">
        <f t="shared" si="127"/>
        <v>7</v>
      </c>
      <c r="B3842" s="5">
        <f t="shared" si="128"/>
        <v>2023</v>
      </c>
      <c r="C3842" s="9">
        <v>45115</v>
      </c>
      <c r="D3842">
        <v>13.75</v>
      </c>
    </row>
    <row r="3843" spans="1:4" x14ac:dyDescent="0.25">
      <c r="A3843" s="5">
        <f t="shared" ref="A3843:A3906" si="129">MONTH(C3843)</f>
        <v>7</v>
      </c>
      <c r="B3843" s="5">
        <f t="shared" ref="B3843:B3906" si="130">YEAR(C3843)</f>
        <v>2023</v>
      </c>
      <c r="C3843" s="9">
        <v>45116</v>
      </c>
      <c r="D3843">
        <v>13.75</v>
      </c>
    </row>
    <row r="3844" spans="1:4" x14ac:dyDescent="0.25">
      <c r="A3844" s="5">
        <f t="shared" si="129"/>
        <v>7</v>
      </c>
      <c r="B3844" s="5">
        <f t="shared" si="130"/>
        <v>2023</v>
      </c>
      <c r="C3844" s="9">
        <v>45117</v>
      </c>
      <c r="D3844">
        <v>13.75</v>
      </c>
    </row>
    <row r="3845" spans="1:4" x14ac:dyDescent="0.25">
      <c r="A3845" s="5">
        <f t="shared" si="129"/>
        <v>7</v>
      </c>
      <c r="B3845" s="5">
        <f t="shared" si="130"/>
        <v>2023</v>
      </c>
      <c r="C3845" s="9">
        <v>45118</v>
      </c>
      <c r="D3845">
        <v>13.75</v>
      </c>
    </row>
    <row r="3846" spans="1:4" x14ac:dyDescent="0.25">
      <c r="A3846" s="5">
        <f t="shared" si="129"/>
        <v>7</v>
      </c>
      <c r="B3846" s="5">
        <f t="shared" si="130"/>
        <v>2023</v>
      </c>
      <c r="C3846" s="9">
        <v>45119</v>
      </c>
      <c r="D3846">
        <v>13.75</v>
      </c>
    </row>
    <row r="3847" spans="1:4" x14ac:dyDescent="0.25">
      <c r="A3847" s="5">
        <f t="shared" si="129"/>
        <v>7</v>
      </c>
      <c r="B3847" s="5">
        <f t="shared" si="130"/>
        <v>2023</v>
      </c>
      <c r="C3847" s="9">
        <v>45120</v>
      </c>
      <c r="D3847">
        <v>13.75</v>
      </c>
    </row>
    <row r="3848" spans="1:4" x14ac:dyDescent="0.25">
      <c r="A3848" s="5">
        <f t="shared" si="129"/>
        <v>7</v>
      </c>
      <c r="B3848" s="5">
        <f t="shared" si="130"/>
        <v>2023</v>
      </c>
      <c r="C3848" s="9">
        <v>45121</v>
      </c>
      <c r="D3848">
        <v>13.75</v>
      </c>
    </row>
    <row r="3849" spans="1:4" x14ac:dyDescent="0.25">
      <c r="A3849" s="5">
        <f t="shared" si="129"/>
        <v>7</v>
      </c>
      <c r="B3849" s="5">
        <f t="shared" si="130"/>
        <v>2023</v>
      </c>
      <c r="C3849" s="9">
        <v>45122</v>
      </c>
      <c r="D3849">
        <v>13.75</v>
      </c>
    </row>
    <row r="3850" spans="1:4" x14ac:dyDescent="0.25">
      <c r="A3850" s="5">
        <f t="shared" si="129"/>
        <v>7</v>
      </c>
      <c r="B3850" s="5">
        <f t="shared" si="130"/>
        <v>2023</v>
      </c>
      <c r="C3850" s="9">
        <v>45123</v>
      </c>
      <c r="D3850">
        <v>13.75</v>
      </c>
    </row>
    <row r="3851" spans="1:4" x14ac:dyDescent="0.25">
      <c r="A3851" s="5">
        <f t="shared" si="129"/>
        <v>7</v>
      </c>
      <c r="B3851" s="5">
        <f t="shared" si="130"/>
        <v>2023</v>
      </c>
      <c r="C3851" s="9">
        <v>45124</v>
      </c>
      <c r="D3851">
        <v>13.75</v>
      </c>
    </row>
    <row r="3852" spans="1:4" x14ac:dyDescent="0.25">
      <c r="A3852" s="5">
        <f t="shared" si="129"/>
        <v>7</v>
      </c>
      <c r="B3852" s="5">
        <f t="shared" si="130"/>
        <v>2023</v>
      </c>
      <c r="C3852" s="9">
        <v>45125</v>
      </c>
      <c r="D3852">
        <v>13.75</v>
      </c>
    </row>
    <row r="3853" spans="1:4" x14ac:dyDescent="0.25">
      <c r="A3853" s="5">
        <f t="shared" si="129"/>
        <v>7</v>
      </c>
      <c r="B3853" s="5">
        <f t="shared" si="130"/>
        <v>2023</v>
      </c>
      <c r="C3853" s="9">
        <v>45126</v>
      </c>
      <c r="D3853">
        <v>13.75</v>
      </c>
    </row>
    <row r="3854" spans="1:4" x14ac:dyDescent="0.25">
      <c r="A3854" s="5">
        <f t="shared" si="129"/>
        <v>7</v>
      </c>
      <c r="B3854" s="5">
        <f t="shared" si="130"/>
        <v>2023</v>
      </c>
      <c r="C3854" s="9">
        <v>45127</v>
      </c>
      <c r="D3854">
        <v>13.75</v>
      </c>
    </row>
    <row r="3855" spans="1:4" x14ac:dyDescent="0.25">
      <c r="A3855" s="5">
        <f t="shared" si="129"/>
        <v>7</v>
      </c>
      <c r="B3855" s="5">
        <f t="shared" si="130"/>
        <v>2023</v>
      </c>
      <c r="C3855" s="9">
        <v>45128</v>
      </c>
      <c r="D3855">
        <v>13.75</v>
      </c>
    </row>
    <row r="3856" spans="1:4" x14ac:dyDescent="0.25">
      <c r="A3856" s="5">
        <f t="shared" si="129"/>
        <v>7</v>
      </c>
      <c r="B3856" s="5">
        <f t="shared" si="130"/>
        <v>2023</v>
      </c>
      <c r="C3856" s="9">
        <v>45129</v>
      </c>
      <c r="D3856">
        <v>13.75</v>
      </c>
    </row>
    <row r="3857" spans="1:4" x14ac:dyDescent="0.25">
      <c r="A3857" s="5">
        <f t="shared" si="129"/>
        <v>7</v>
      </c>
      <c r="B3857" s="5">
        <f t="shared" si="130"/>
        <v>2023</v>
      </c>
      <c r="C3857" s="9">
        <v>45130</v>
      </c>
      <c r="D3857">
        <v>13.75</v>
      </c>
    </row>
    <row r="3858" spans="1:4" x14ac:dyDescent="0.25">
      <c r="A3858" s="5">
        <f t="shared" si="129"/>
        <v>7</v>
      </c>
      <c r="B3858" s="5">
        <f t="shared" si="130"/>
        <v>2023</v>
      </c>
      <c r="C3858" s="9">
        <v>45131</v>
      </c>
      <c r="D3858">
        <v>13.75</v>
      </c>
    </row>
    <row r="3859" spans="1:4" x14ac:dyDescent="0.25">
      <c r="A3859" s="5">
        <f t="shared" si="129"/>
        <v>7</v>
      </c>
      <c r="B3859" s="5">
        <f t="shared" si="130"/>
        <v>2023</v>
      </c>
      <c r="C3859" s="9">
        <v>45132</v>
      </c>
      <c r="D3859">
        <v>13.75</v>
      </c>
    </row>
    <row r="3860" spans="1:4" x14ac:dyDescent="0.25">
      <c r="A3860" s="5">
        <f t="shared" si="129"/>
        <v>7</v>
      </c>
      <c r="B3860" s="5">
        <f t="shared" si="130"/>
        <v>2023</v>
      </c>
      <c r="C3860" s="9">
        <v>45133</v>
      </c>
      <c r="D3860">
        <v>13.75</v>
      </c>
    </row>
    <row r="3861" spans="1:4" x14ac:dyDescent="0.25">
      <c r="A3861" s="5">
        <f t="shared" si="129"/>
        <v>7</v>
      </c>
      <c r="B3861" s="5">
        <f t="shared" si="130"/>
        <v>2023</v>
      </c>
      <c r="C3861" s="9">
        <v>45134</v>
      </c>
      <c r="D3861">
        <v>13.75</v>
      </c>
    </row>
    <row r="3862" spans="1:4" x14ac:dyDescent="0.25">
      <c r="A3862" s="5">
        <f t="shared" si="129"/>
        <v>7</v>
      </c>
      <c r="B3862" s="5">
        <f t="shared" si="130"/>
        <v>2023</v>
      </c>
      <c r="C3862" s="9">
        <v>45135</v>
      </c>
      <c r="D3862">
        <v>13.75</v>
      </c>
    </row>
    <row r="3863" spans="1:4" x14ac:dyDescent="0.25">
      <c r="A3863" s="5">
        <f t="shared" si="129"/>
        <v>7</v>
      </c>
      <c r="B3863" s="5">
        <f t="shared" si="130"/>
        <v>2023</v>
      </c>
      <c r="C3863" s="9">
        <v>45136</v>
      </c>
      <c r="D3863">
        <v>13.75</v>
      </c>
    </row>
    <row r="3864" spans="1:4" x14ac:dyDescent="0.25">
      <c r="A3864" s="5">
        <f t="shared" si="129"/>
        <v>7</v>
      </c>
      <c r="B3864" s="5">
        <f t="shared" si="130"/>
        <v>2023</v>
      </c>
      <c r="C3864" s="9">
        <v>45137</v>
      </c>
      <c r="D3864">
        <v>13.75</v>
      </c>
    </row>
    <row r="3865" spans="1:4" x14ac:dyDescent="0.25">
      <c r="A3865" s="5">
        <f t="shared" si="129"/>
        <v>7</v>
      </c>
      <c r="B3865" s="5">
        <f t="shared" si="130"/>
        <v>2023</v>
      </c>
      <c r="C3865" s="9">
        <v>45138</v>
      </c>
      <c r="D3865">
        <v>13.75</v>
      </c>
    </row>
    <row r="3866" spans="1:4" x14ac:dyDescent="0.25">
      <c r="A3866" s="5">
        <f t="shared" si="129"/>
        <v>8</v>
      </c>
      <c r="B3866" s="5">
        <f t="shared" si="130"/>
        <v>2023</v>
      </c>
      <c r="C3866" s="9">
        <v>45139</v>
      </c>
      <c r="D3866">
        <v>13.75</v>
      </c>
    </row>
    <row r="3867" spans="1:4" x14ac:dyDescent="0.25">
      <c r="A3867" s="5">
        <f t="shared" si="129"/>
        <v>8</v>
      </c>
      <c r="B3867" s="5">
        <f t="shared" si="130"/>
        <v>2023</v>
      </c>
      <c r="C3867" s="9">
        <v>45140</v>
      </c>
      <c r="D3867">
        <v>13.75</v>
      </c>
    </row>
    <row r="3868" spans="1:4" x14ac:dyDescent="0.25">
      <c r="A3868" s="5">
        <f t="shared" si="129"/>
        <v>8</v>
      </c>
      <c r="B3868" s="5">
        <f t="shared" si="130"/>
        <v>2023</v>
      </c>
      <c r="C3868" s="9">
        <v>45141</v>
      </c>
      <c r="D3868">
        <v>13.25</v>
      </c>
    </row>
    <row r="3869" spans="1:4" x14ac:dyDescent="0.25">
      <c r="A3869" s="5">
        <f t="shared" si="129"/>
        <v>8</v>
      </c>
      <c r="B3869" s="5">
        <f t="shared" si="130"/>
        <v>2023</v>
      </c>
      <c r="C3869" s="9">
        <v>45142</v>
      </c>
      <c r="D3869">
        <v>13.25</v>
      </c>
    </row>
    <row r="3870" spans="1:4" x14ac:dyDescent="0.25">
      <c r="A3870" s="5">
        <f t="shared" si="129"/>
        <v>8</v>
      </c>
      <c r="B3870" s="5">
        <f t="shared" si="130"/>
        <v>2023</v>
      </c>
      <c r="C3870" s="9">
        <v>45143</v>
      </c>
      <c r="D3870">
        <v>13.25</v>
      </c>
    </row>
    <row r="3871" spans="1:4" x14ac:dyDescent="0.25">
      <c r="A3871" s="5">
        <f t="shared" si="129"/>
        <v>8</v>
      </c>
      <c r="B3871" s="5">
        <f t="shared" si="130"/>
        <v>2023</v>
      </c>
      <c r="C3871" s="9">
        <v>45144</v>
      </c>
      <c r="D3871">
        <v>13.25</v>
      </c>
    </row>
    <row r="3872" spans="1:4" x14ac:dyDescent="0.25">
      <c r="A3872" s="5">
        <f t="shared" si="129"/>
        <v>8</v>
      </c>
      <c r="B3872" s="5">
        <f t="shared" si="130"/>
        <v>2023</v>
      </c>
      <c r="C3872" s="9">
        <v>45145</v>
      </c>
      <c r="D3872">
        <v>13.25</v>
      </c>
    </row>
    <row r="3873" spans="1:4" x14ac:dyDescent="0.25">
      <c r="A3873" s="5">
        <f t="shared" si="129"/>
        <v>8</v>
      </c>
      <c r="B3873" s="5">
        <f t="shared" si="130"/>
        <v>2023</v>
      </c>
      <c r="C3873" s="9">
        <v>45146</v>
      </c>
      <c r="D3873">
        <v>13.25</v>
      </c>
    </row>
    <row r="3874" spans="1:4" x14ac:dyDescent="0.25">
      <c r="A3874" s="5">
        <f t="shared" si="129"/>
        <v>8</v>
      </c>
      <c r="B3874" s="5">
        <f t="shared" si="130"/>
        <v>2023</v>
      </c>
      <c r="C3874" s="9">
        <v>45147</v>
      </c>
      <c r="D3874">
        <v>13.25</v>
      </c>
    </row>
    <row r="3875" spans="1:4" x14ac:dyDescent="0.25">
      <c r="A3875" s="5">
        <f t="shared" si="129"/>
        <v>8</v>
      </c>
      <c r="B3875" s="5">
        <f t="shared" si="130"/>
        <v>2023</v>
      </c>
      <c r="C3875" s="9">
        <v>45148</v>
      </c>
      <c r="D3875">
        <v>13.25</v>
      </c>
    </row>
    <row r="3876" spans="1:4" x14ac:dyDescent="0.25">
      <c r="A3876" s="5">
        <f t="shared" si="129"/>
        <v>8</v>
      </c>
      <c r="B3876" s="5">
        <f t="shared" si="130"/>
        <v>2023</v>
      </c>
      <c r="C3876" s="9">
        <v>45149</v>
      </c>
      <c r="D3876">
        <v>13.25</v>
      </c>
    </row>
    <row r="3877" spans="1:4" x14ac:dyDescent="0.25">
      <c r="A3877" s="5">
        <f t="shared" si="129"/>
        <v>8</v>
      </c>
      <c r="B3877" s="5">
        <f t="shared" si="130"/>
        <v>2023</v>
      </c>
      <c r="C3877" s="9">
        <v>45150</v>
      </c>
      <c r="D3877">
        <v>13.25</v>
      </c>
    </row>
    <row r="3878" spans="1:4" x14ac:dyDescent="0.25">
      <c r="A3878" s="5">
        <f t="shared" si="129"/>
        <v>8</v>
      </c>
      <c r="B3878" s="5">
        <f t="shared" si="130"/>
        <v>2023</v>
      </c>
      <c r="C3878" s="9">
        <v>45151</v>
      </c>
      <c r="D3878">
        <v>13.25</v>
      </c>
    </row>
    <row r="3879" spans="1:4" x14ac:dyDescent="0.25">
      <c r="A3879" s="5">
        <f t="shared" si="129"/>
        <v>8</v>
      </c>
      <c r="B3879" s="5">
        <f t="shared" si="130"/>
        <v>2023</v>
      </c>
      <c r="C3879" s="9">
        <v>45152</v>
      </c>
      <c r="D3879">
        <v>13.25</v>
      </c>
    </row>
    <row r="3880" spans="1:4" x14ac:dyDescent="0.25">
      <c r="A3880" s="5">
        <f t="shared" si="129"/>
        <v>8</v>
      </c>
      <c r="B3880" s="5">
        <f t="shared" si="130"/>
        <v>2023</v>
      </c>
      <c r="C3880" s="9">
        <v>45153</v>
      </c>
      <c r="D3880">
        <v>13.25</v>
      </c>
    </row>
    <row r="3881" spans="1:4" x14ac:dyDescent="0.25">
      <c r="A3881" s="5">
        <f t="shared" si="129"/>
        <v>8</v>
      </c>
      <c r="B3881" s="5">
        <f t="shared" si="130"/>
        <v>2023</v>
      </c>
      <c r="C3881" s="9">
        <v>45154</v>
      </c>
      <c r="D3881">
        <v>13.25</v>
      </c>
    </row>
    <row r="3882" spans="1:4" x14ac:dyDescent="0.25">
      <c r="A3882" s="5">
        <f t="shared" si="129"/>
        <v>8</v>
      </c>
      <c r="B3882" s="5">
        <f t="shared" si="130"/>
        <v>2023</v>
      </c>
      <c r="C3882" s="9">
        <v>45155</v>
      </c>
      <c r="D3882">
        <v>13.25</v>
      </c>
    </row>
    <row r="3883" spans="1:4" x14ac:dyDescent="0.25">
      <c r="A3883" s="5">
        <f t="shared" si="129"/>
        <v>8</v>
      </c>
      <c r="B3883" s="5">
        <f t="shared" si="130"/>
        <v>2023</v>
      </c>
      <c r="C3883" s="9">
        <v>45156</v>
      </c>
      <c r="D3883">
        <v>13.25</v>
      </c>
    </row>
    <row r="3884" spans="1:4" x14ac:dyDescent="0.25">
      <c r="A3884" s="5">
        <f t="shared" si="129"/>
        <v>8</v>
      </c>
      <c r="B3884" s="5">
        <f t="shared" si="130"/>
        <v>2023</v>
      </c>
      <c r="C3884" s="9">
        <v>45157</v>
      </c>
      <c r="D3884">
        <v>13.25</v>
      </c>
    </row>
    <row r="3885" spans="1:4" x14ac:dyDescent="0.25">
      <c r="A3885" s="5">
        <f t="shared" si="129"/>
        <v>8</v>
      </c>
      <c r="B3885" s="5">
        <f t="shared" si="130"/>
        <v>2023</v>
      </c>
      <c r="C3885" s="9">
        <v>45158</v>
      </c>
      <c r="D3885">
        <v>13.25</v>
      </c>
    </row>
    <row r="3886" spans="1:4" x14ac:dyDescent="0.25">
      <c r="A3886" s="5">
        <f t="shared" si="129"/>
        <v>8</v>
      </c>
      <c r="B3886" s="5">
        <f t="shared" si="130"/>
        <v>2023</v>
      </c>
      <c r="C3886" s="9">
        <v>45159</v>
      </c>
      <c r="D3886">
        <v>13.25</v>
      </c>
    </row>
    <row r="3887" spans="1:4" x14ac:dyDescent="0.25">
      <c r="A3887" s="5">
        <f t="shared" si="129"/>
        <v>8</v>
      </c>
      <c r="B3887" s="5">
        <f t="shared" si="130"/>
        <v>2023</v>
      </c>
      <c r="C3887" s="9">
        <v>45160</v>
      </c>
      <c r="D3887">
        <v>13.25</v>
      </c>
    </row>
    <row r="3888" spans="1:4" x14ac:dyDescent="0.25">
      <c r="A3888" s="5">
        <f t="shared" si="129"/>
        <v>8</v>
      </c>
      <c r="B3888" s="5">
        <f t="shared" si="130"/>
        <v>2023</v>
      </c>
      <c r="C3888" s="9">
        <v>45161</v>
      </c>
      <c r="D3888">
        <v>13.25</v>
      </c>
    </row>
    <row r="3889" spans="1:4" x14ac:dyDescent="0.25">
      <c r="A3889" s="5">
        <f t="shared" si="129"/>
        <v>8</v>
      </c>
      <c r="B3889" s="5">
        <f t="shared" si="130"/>
        <v>2023</v>
      </c>
      <c r="C3889" s="9">
        <v>45162</v>
      </c>
      <c r="D3889">
        <v>13.25</v>
      </c>
    </row>
    <row r="3890" spans="1:4" x14ac:dyDescent="0.25">
      <c r="A3890" s="5">
        <f t="shared" si="129"/>
        <v>8</v>
      </c>
      <c r="B3890" s="5">
        <f t="shared" si="130"/>
        <v>2023</v>
      </c>
      <c r="C3890" s="9">
        <v>45163</v>
      </c>
      <c r="D3890">
        <v>13.25</v>
      </c>
    </row>
    <row r="3891" spans="1:4" x14ac:dyDescent="0.25">
      <c r="A3891" s="5">
        <f t="shared" si="129"/>
        <v>8</v>
      </c>
      <c r="B3891" s="5">
        <f t="shared" si="130"/>
        <v>2023</v>
      </c>
      <c r="C3891" s="9">
        <v>45164</v>
      </c>
      <c r="D3891">
        <v>13.25</v>
      </c>
    </row>
    <row r="3892" spans="1:4" x14ac:dyDescent="0.25">
      <c r="A3892" s="5">
        <f t="shared" si="129"/>
        <v>8</v>
      </c>
      <c r="B3892" s="5">
        <f t="shared" si="130"/>
        <v>2023</v>
      </c>
      <c r="C3892" s="9">
        <v>45165</v>
      </c>
      <c r="D3892">
        <v>13.25</v>
      </c>
    </row>
    <row r="3893" spans="1:4" x14ac:dyDescent="0.25">
      <c r="A3893" s="5">
        <f t="shared" si="129"/>
        <v>8</v>
      </c>
      <c r="B3893" s="5">
        <f t="shared" si="130"/>
        <v>2023</v>
      </c>
      <c r="C3893" s="9">
        <v>45166</v>
      </c>
      <c r="D3893">
        <v>13.25</v>
      </c>
    </row>
    <row r="3894" spans="1:4" x14ac:dyDescent="0.25">
      <c r="A3894" s="5">
        <f t="shared" si="129"/>
        <v>8</v>
      </c>
      <c r="B3894" s="5">
        <f t="shared" si="130"/>
        <v>2023</v>
      </c>
      <c r="C3894" s="9">
        <v>45167</v>
      </c>
      <c r="D3894">
        <v>13.25</v>
      </c>
    </row>
    <row r="3895" spans="1:4" x14ac:dyDescent="0.25">
      <c r="A3895" s="5">
        <f t="shared" si="129"/>
        <v>8</v>
      </c>
      <c r="B3895" s="5">
        <f t="shared" si="130"/>
        <v>2023</v>
      </c>
      <c r="C3895" s="9">
        <v>45168</v>
      </c>
      <c r="D3895">
        <v>13.25</v>
      </c>
    </row>
    <row r="3896" spans="1:4" x14ac:dyDescent="0.25">
      <c r="A3896" s="5">
        <f t="shared" si="129"/>
        <v>8</v>
      </c>
      <c r="B3896" s="5">
        <f t="shared" si="130"/>
        <v>2023</v>
      </c>
      <c r="C3896" s="9">
        <v>45169</v>
      </c>
      <c r="D3896">
        <v>13.25</v>
      </c>
    </row>
    <row r="3897" spans="1:4" x14ac:dyDescent="0.25">
      <c r="A3897" s="5">
        <f t="shared" si="129"/>
        <v>9</v>
      </c>
      <c r="B3897" s="5">
        <f t="shared" si="130"/>
        <v>2023</v>
      </c>
      <c r="C3897" s="9">
        <v>45170</v>
      </c>
      <c r="D3897">
        <v>13.25</v>
      </c>
    </row>
    <row r="3898" spans="1:4" x14ac:dyDescent="0.25">
      <c r="A3898" s="5">
        <f t="shared" si="129"/>
        <v>9</v>
      </c>
      <c r="B3898" s="5">
        <f t="shared" si="130"/>
        <v>2023</v>
      </c>
      <c r="C3898" s="9">
        <v>45171</v>
      </c>
      <c r="D3898">
        <v>13.25</v>
      </c>
    </row>
    <row r="3899" spans="1:4" x14ac:dyDescent="0.25">
      <c r="A3899" s="5">
        <f t="shared" si="129"/>
        <v>9</v>
      </c>
      <c r="B3899" s="5">
        <f t="shared" si="130"/>
        <v>2023</v>
      </c>
      <c r="C3899" s="9">
        <v>45172</v>
      </c>
      <c r="D3899">
        <v>13.25</v>
      </c>
    </row>
    <row r="3900" spans="1:4" x14ac:dyDescent="0.25">
      <c r="A3900" s="5">
        <f t="shared" si="129"/>
        <v>9</v>
      </c>
      <c r="B3900" s="5">
        <f t="shared" si="130"/>
        <v>2023</v>
      </c>
      <c r="C3900" s="9">
        <v>45173</v>
      </c>
      <c r="D3900">
        <v>13.25</v>
      </c>
    </row>
    <row r="3901" spans="1:4" x14ac:dyDescent="0.25">
      <c r="A3901" s="5">
        <f t="shared" si="129"/>
        <v>9</v>
      </c>
      <c r="B3901" s="5">
        <f t="shared" si="130"/>
        <v>2023</v>
      </c>
      <c r="C3901" s="9">
        <v>45174</v>
      </c>
      <c r="D3901">
        <v>13.25</v>
      </c>
    </row>
    <row r="3902" spans="1:4" x14ac:dyDescent="0.25">
      <c r="A3902" s="5">
        <f t="shared" si="129"/>
        <v>9</v>
      </c>
      <c r="B3902" s="5">
        <f t="shared" si="130"/>
        <v>2023</v>
      </c>
      <c r="C3902" s="9">
        <v>45175</v>
      </c>
      <c r="D3902">
        <v>13.25</v>
      </c>
    </row>
    <row r="3903" spans="1:4" x14ac:dyDescent="0.25">
      <c r="A3903" s="5">
        <f t="shared" si="129"/>
        <v>9</v>
      </c>
      <c r="B3903" s="5">
        <f t="shared" si="130"/>
        <v>2023</v>
      </c>
      <c r="C3903" s="9">
        <v>45176</v>
      </c>
      <c r="D3903">
        <v>13.25</v>
      </c>
    </row>
    <row r="3904" spans="1:4" x14ac:dyDescent="0.25">
      <c r="A3904" s="5">
        <f t="shared" si="129"/>
        <v>9</v>
      </c>
      <c r="B3904" s="5">
        <f t="shared" si="130"/>
        <v>2023</v>
      </c>
      <c r="C3904" s="9">
        <v>45177</v>
      </c>
      <c r="D3904">
        <v>13.25</v>
      </c>
    </row>
    <row r="3905" spans="1:4" x14ac:dyDescent="0.25">
      <c r="A3905" s="5">
        <f t="shared" si="129"/>
        <v>9</v>
      </c>
      <c r="B3905" s="5">
        <f t="shared" si="130"/>
        <v>2023</v>
      </c>
      <c r="C3905" s="9">
        <v>45178</v>
      </c>
      <c r="D3905">
        <v>13.25</v>
      </c>
    </row>
    <row r="3906" spans="1:4" x14ac:dyDescent="0.25">
      <c r="A3906" s="5">
        <f t="shared" si="129"/>
        <v>9</v>
      </c>
      <c r="B3906" s="5">
        <f t="shared" si="130"/>
        <v>2023</v>
      </c>
      <c r="C3906" s="9">
        <v>45179</v>
      </c>
      <c r="D3906">
        <v>13.25</v>
      </c>
    </row>
    <row r="3907" spans="1:4" x14ac:dyDescent="0.25">
      <c r="A3907" s="5">
        <f t="shared" ref="A3907:A3970" si="131">MONTH(C3907)</f>
        <v>9</v>
      </c>
      <c r="B3907" s="5">
        <f t="shared" ref="B3907:B3970" si="132">YEAR(C3907)</f>
        <v>2023</v>
      </c>
      <c r="C3907" s="9">
        <v>45180</v>
      </c>
      <c r="D3907">
        <v>13.25</v>
      </c>
    </row>
    <row r="3908" spans="1:4" x14ac:dyDescent="0.25">
      <c r="A3908" s="5">
        <f t="shared" si="131"/>
        <v>9</v>
      </c>
      <c r="B3908" s="5">
        <f t="shared" si="132"/>
        <v>2023</v>
      </c>
      <c r="C3908" s="9">
        <v>45181</v>
      </c>
      <c r="D3908">
        <v>13.25</v>
      </c>
    </row>
    <row r="3909" spans="1:4" x14ac:dyDescent="0.25">
      <c r="A3909" s="5">
        <f t="shared" si="131"/>
        <v>9</v>
      </c>
      <c r="B3909" s="5">
        <f t="shared" si="132"/>
        <v>2023</v>
      </c>
      <c r="C3909" s="9">
        <v>45182</v>
      </c>
      <c r="D3909">
        <v>13.25</v>
      </c>
    </row>
    <row r="3910" spans="1:4" x14ac:dyDescent="0.25">
      <c r="A3910" s="5">
        <f t="shared" si="131"/>
        <v>9</v>
      </c>
      <c r="B3910" s="5">
        <f t="shared" si="132"/>
        <v>2023</v>
      </c>
      <c r="C3910" s="9">
        <v>45183</v>
      </c>
      <c r="D3910">
        <v>13.25</v>
      </c>
    </row>
    <row r="3911" spans="1:4" x14ac:dyDescent="0.25">
      <c r="A3911" s="5">
        <f t="shared" si="131"/>
        <v>9</v>
      </c>
      <c r="B3911" s="5">
        <f t="shared" si="132"/>
        <v>2023</v>
      </c>
      <c r="C3911" s="9">
        <v>45184</v>
      </c>
      <c r="D3911">
        <v>13.25</v>
      </c>
    </row>
    <row r="3912" spans="1:4" x14ac:dyDescent="0.25">
      <c r="A3912" s="5">
        <f t="shared" si="131"/>
        <v>9</v>
      </c>
      <c r="B3912" s="5">
        <f t="shared" si="132"/>
        <v>2023</v>
      </c>
      <c r="C3912" s="9">
        <v>45185</v>
      </c>
      <c r="D3912">
        <v>13.25</v>
      </c>
    </row>
    <row r="3913" spans="1:4" x14ac:dyDescent="0.25">
      <c r="A3913" s="5">
        <f t="shared" si="131"/>
        <v>9</v>
      </c>
      <c r="B3913" s="5">
        <f t="shared" si="132"/>
        <v>2023</v>
      </c>
      <c r="C3913" s="9">
        <v>45186</v>
      </c>
      <c r="D3913">
        <v>13.25</v>
      </c>
    </row>
    <row r="3914" spans="1:4" x14ac:dyDescent="0.25">
      <c r="A3914" s="5">
        <f t="shared" si="131"/>
        <v>9</v>
      </c>
      <c r="B3914" s="5">
        <f t="shared" si="132"/>
        <v>2023</v>
      </c>
      <c r="C3914" s="9">
        <v>45187</v>
      </c>
      <c r="D3914">
        <v>13.25</v>
      </c>
    </row>
    <row r="3915" spans="1:4" x14ac:dyDescent="0.25">
      <c r="A3915" s="5">
        <f t="shared" si="131"/>
        <v>9</v>
      </c>
      <c r="B3915" s="5">
        <f t="shared" si="132"/>
        <v>2023</v>
      </c>
      <c r="C3915" s="9">
        <v>45188</v>
      </c>
      <c r="D3915">
        <v>13.25</v>
      </c>
    </row>
    <row r="3916" spans="1:4" x14ac:dyDescent="0.25">
      <c r="A3916" s="5">
        <f t="shared" si="131"/>
        <v>9</v>
      </c>
      <c r="B3916" s="5">
        <f t="shared" si="132"/>
        <v>2023</v>
      </c>
      <c r="C3916" s="9">
        <v>45189</v>
      </c>
      <c r="D3916">
        <v>13.25</v>
      </c>
    </row>
    <row r="3917" spans="1:4" x14ac:dyDescent="0.25">
      <c r="A3917" s="5">
        <f t="shared" si="131"/>
        <v>9</v>
      </c>
      <c r="B3917" s="5">
        <f t="shared" si="132"/>
        <v>2023</v>
      </c>
      <c r="C3917" s="9">
        <v>45190</v>
      </c>
      <c r="D3917">
        <v>12.75</v>
      </c>
    </row>
    <row r="3918" spans="1:4" x14ac:dyDescent="0.25">
      <c r="A3918" s="5">
        <f t="shared" si="131"/>
        <v>9</v>
      </c>
      <c r="B3918" s="5">
        <f t="shared" si="132"/>
        <v>2023</v>
      </c>
      <c r="C3918" s="9">
        <v>45191</v>
      </c>
      <c r="D3918">
        <v>12.75</v>
      </c>
    </row>
    <row r="3919" spans="1:4" x14ac:dyDescent="0.25">
      <c r="A3919" s="5">
        <f t="shared" si="131"/>
        <v>9</v>
      </c>
      <c r="B3919" s="5">
        <f t="shared" si="132"/>
        <v>2023</v>
      </c>
      <c r="C3919" s="9">
        <v>45192</v>
      </c>
      <c r="D3919">
        <v>12.75</v>
      </c>
    </row>
    <row r="3920" spans="1:4" x14ac:dyDescent="0.25">
      <c r="A3920" s="5">
        <f t="shared" si="131"/>
        <v>9</v>
      </c>
      <c r="B3920" s="5">
        <f t="shared" si="132"/>
        <v>2023</v>
      </c>
      <c r="C3920" s="9">
        <v>45193</v>
      </c>
      <c r="D3920">
        <v>12.75</v>
      </c>
    </row>
    <row r="3921" spans="1:4" x14ac:dyDescent="0.25">
      <c r="A3921" s="5">
        <f t="shared" si="131"/>
        <v>9</v>
      </c>
      <c r="B3921" s="5">
        <f t="shared" si="132"/>
        <v>2023</v>
      </c>
      <c r="C3921" s="9">
        <v>45194</v>
      </c>
      <c r="D3921">
        <v>12.75</v>
      </c>
    </row>
    <row r="3922" spans="1:4" x14ac:dyDescent="0.25">
      <c r="A3922" s="5">
        <f t="shared" si="131"/>
        <v>9</v>
      </c>
      <c r="B3922" s="5">
        <f t="shared" si="132"/>
        <v>2023</v>
      </c>
      <c r="C3922" s="9">
        <v>45195</v>
      </c>
      <c r="D3922">
        <v>12.75</v>
      </c>
    </row>
    <row r="3923" spans="1:4" x14ac:dyDescent="0.25">
      <c r="A3923" s="5">
        <f t="shared" si="131"/>
        <v>9</v>
      </c>
      <c r="B3923" s="5">
        <f t="shared" si="132"/>
        <v>2023</v>
      </c>
      <c r="C3923" s="9">
        <v>45196</v>
      </c>
      <c r="D3923">
        <v>12.75</v>
      </c>
    </row>
    <row r="3924" spans="1:4" x14ac:dyDescent="0.25">
      <c r="A3924" s="5">
        <f t="shared" si="131"/>
        <v>9</v>
      </c>
      <c r="B3924" s="5">
        <f t="shared" si="132"/>
        <v>2023</v>
      </c>
      <c r="C3924" s="9">
        <v>45197</v>
      </c>
      <c r="D3924">
        <v>12.75</v>
      </c>
    </row>
    <row r="3925" spans="1:4" x14ac:dyDescent="0.25">
      <c r="A3925" s="5">
        <f t="shared" si="131"/>
        <v>9</v>
      </c>
      <c r="B3925" s="5">
        <f t="shared" si="132"/>
        <v>2023</v>
      </c>
      <c r="C3925" s="9">
        <v>45198</v>
      </c>
      <c r="D3925">
        <v>12.75</v>
      </c>
    </row>
    <row r="3926" spans="1:4" x14ac:dyDescent="0.25">
      <c r="A3926" s="5">
        <f t="shared" si="131"/>
        <v>9</v>
      </c>
      <c r="B3926" s="5">
        <f t="shared" si="132"/>
        <v>2023</v>
      </c>
      <c r="C3926" s="9">
        <v>45199</v>
      </c>
      <c r="D3926">
        <v>12.75</v>
      </c>
    </row>
    <row r="3927" spans="1:4" x14ac:dyDescent="0.25">
      <c r="A3927" s="5">
        <f t="shared" si="131"/>
        <v>10</v>
      </c>
      <c r="B3927" s="5">
        <f t="shared" si="132"/>
        <v>2023</v>
      </c>
      <c r="C3927" s="9">
        <v>45200</v>
      </c>
      <c r="D3927">
        <v>12.75</v>
      </c>
    </row>
    <row r="3928" spans="1:4" x14ac:dyDescent="0.25">
      <c r="A3928" s="5">
        <f t="shared" si="131"/>
        <v>10</v>
      </c>
      <c r="B3928" s="5">
        <f t="shared" si="132"/>
        <v>2023</v>
      </c>
      <c r="C3928" s="9">
        <v>45201</v>
      </c>
      <c r="D3928">
        <v>12.75</v>
      </c>
    </row>
    <row r="3929" spans="1:4" x14ac:dyDescent="0.25">
      <c r="A3929" s="5">
        <f t="shared" si="131"/>
        <v>10</v>
      </c>
      <c r="B3929" s="5">
        <f t="shared" si="132"/>
        <v>2023</v>
      </c>
      <c r="C3929" s="9">
        <v>45202</v>
      </c>
      <c r="D3929">
        <v>12.75</v>
      </c>
    </row>
    <row r="3930" spans="1:4" x14ac:dyDescent="0.25">
      <c r="A3930" s="5">
        <f t="shared" si="131"/>
        <v>10</v>
      </c>
      <c r="B3930" s="5">
        <f t="shared" si="132"/>
        <v>2023</v>
      </c>
      <c r="C3930" s="9">
        <v>45203</v>
      </c>
      <c r="D3930">
        <v>12.75</v>
      </c>
    </row>
    <row r="3931" spans="1:4" x14ac:dyDescent="0.25">
      <c r="A3931" s="5">
        <f t="shared" si="131"/>
        <v>10</v>
      </c>
      <c r="B3931" s="5">
        <f t="shared" si="132"/>
        <v>2023</v>
      </c>
      <c r="C3931" s="9">
        <v>45204</v>
      </c>
      <c r="D3931">
        <v>12.75</v>
      </c>
    </row>
    <row r="3932" spans="1:4" x14ac:dyDescent="0.25">
      <c r="A3932" s="5">
        <f t="shared" si="131"/>
        <v>10</v>
      </c>
      <c r="B3932" s="5">
        <f t="shared" si="132"/>
        <v>2023</v>
      </c>
      <c r="C3932" s="9">
        <v>45205</v>
      </c>
      <c r="D3932">
        <v>12.75</v>
      </c>
    </row>
    <row r="3933" spans="1:4" x14ac:dyDescent="0.25">
      <c r="A3933" s="5">
        <f t="shared" si="131"/>
        <v>10</v>
      </c>
      <c r="B3933" s="5">
        <f t="shared" si="132"/>
        <v>2023</v>
      </c>
      <c r="C3933" s="9">
        <v>45206</v>
      </c>
      <c r="D3933">
        <v>12.75</v>
      </c>
    </row>
    <row r="3934" spans="1:4" x14ac:dyDescent="0.25">
      <c r="A3934" s="5">
        <f t="shared" si="131"/>
        <v>10</v>
      </c>
      <c r="B3934" s="5">
        <f t="shared" si="132"/>
        <v>2023</v>
      </c>
      <c r="C3934" s="9">
        <v>45207</v>
      </c>
      <c r="D3934">
        <v>12.75</v>
      </c>
    </row>
    <row r="3935" spans="1:4" x14ac:dyDescent="0.25">
      <c r="A3935" s="5">
        <f t="shared" si="131"/>
        <v>10</v>
      </c>
      <c r="B3935" s="5">
        <f t="shared" si="132"/>
        <v>2023</v>
      </c>
      <c r="C3935" s="9">
        <v>45208</v>
      </c>
      <c r="D3935">
        <v>12.75</v>
      </c>
    </row>
    <row r="3936" spans="1:4" x14ac:dyDescent="0.25">
      <c r="A3936" s="5">
        <f t="shared" si="131"/>
        <v>10</v>
      </c>
      <c r="B3936" s="5">
        <f t="shared" si="132"/>
        <v>2023</v>
      </c>
      <c r="C3936" s="9">
        <v>45209</v>
      </c>
      <c r="D3936">
        <v>12.75</v>
      </c>
    </row>
    <row r="3937" spans="1:4" x14ac:dyDescent="0.25">
      <c r="A3937" s="5">
        <f t="shared" si="131"/>
        <v>10</v>
      </c>
      <c r="B3937" s="5">
        <f t="shared" si="132"/>
        <v>2023</v>
      </c>
      <c r="C3937" s="9">
        <v>45210</v>
      </c>
      <c r="D3937">
        <v>12.75</v>
      </c>
    </row>
    <row r="3938" spans="1:4" x14ac:dyDescent="0.25">
      <c r="A3938" s="5">
        <f t="shared" si="131"/>
        <v>10</v>
      </c>
      <c r="B3938" s="5">
        <f t="shared" si="132"/>
        <v>2023</v>
      </c>
      <c r="C3938" s="9">
        <v>45211</v>
      </c>
      <c r="D3938">
        <v>12.75</v>
      </c>
    </row>
    <row r="3939" spans="1:4" x14ac:dyDescent="0.25">
      <c r="A3939" s="5">
        <f t="shared" si="131"/>
        <v>10</v>
      </c>
      <c r="B3939" s="5">
        <f t="shared" si="132"/>
        <v>2023</v>
      </c>
      <c r="C3939" s="9">
        <v>45212</v>
      </c>
      <c r="D3939">
        <v>12.75</v>
      </c>
    </row>
    <row r="3940" spans="1:4" x14ac:dyDescent="0.25">
      <c r="A3940" s="5">
        <f t="shared" si="131"/>
        <v>10</v>
      </c>
      <c r="B3940" s="5">
        <f t="shared" si="132"/>
        <v>2023</v>
      </c>
      <c r="C3940" s="9">
        <v>45213</v>
      </c>
      <c r="D3940">
        <v>12.75</v>
      </c>
    </row>
    <row r="3941" spans="1:4" x14ac:dyDescent="0.25">
      <c r="A3941" s="5">
        <f t="shared" si="131"/>
        <v>10</v>
      </c>
      <c r="B3941" s="5">
        <f t="shared" si="132"/>
        <v>2023</v>
      </c>
      <c r="C3941" s="9">
        <v>45214</v>
      </c>
      <c r="D3941">
        <v>12.75</v>
      </c>
    </row>
    <row r="3942" spans="1:4" x14ac:dyDescent="0.25">
      <c r="A3942" s="5">
        <f t="shared" si="131"/>
        <v>10</v>
      </c>
      <c r="B3942" s="5">
        <f t="shared" si="132"/>
        <v>2023</v>
      </c>
      <c r="C3942" s="9">
        <v>45215</v>
      </c>
      <c r="D3942">
        <v>12.75</v>
      </c>
    </row>
    <row r="3943" spans="1:4" x14ac:dyDescent="0.25">
      <c r="A3943" s="5">
        <f t="shared" si="131"/>
        <v>10</v>
      </c>
      <c r="B3943" s="5">
        <f t="shared" si="132"/>
        <v>2023</v>
      </c>
      <c r="C3943" s="9">
        <v>45216</v>
      </c>
      <c r="D3943">
        <v>12.75</v>
      </c>
    </row>
    <row r="3944" spans="1:4" x14ac:dyDescent="0.25">
      <c r="A3944" s="5">
        <f t="shared" si="131"/>
        <v>10</v>
      </c>
      <c r="B3944" s="5">
        <f t="shared" si="132"/>
        <v>2023</v>
      </c>
      <c r="C3944" s="9">
        <v>45217</v>
      </c>
      <c r="D3944">
        <v>12.75</v>
      </c>
    </row>
    <row r="3945" spans="1:4" x14ac:dyDescent="0.25">
      <c r="A3945" s="5">
        <f t="shared" si="131"/>
        <v>10</v>
      </c>
      <c r="B3945" s="5">
        <f t="shared" si="132"/>
        <v>2023</v>
      </c>
      <c r="C3945" s="9">
        <v>45218</v>
      </c>
      <c r="D3945">
        <v>12.75</v>
      </c>
    </row>
    <row r="3946" spans="1:4" x14ac:dyDescent="0.25">
      <c r="A3946" s="5">
        <f t="shared" si="131"/>
        <v>10</v>
      </c>
      <c r="B3946" s="5">
        <f t="shared" si="132"/>
        <v>2023</v>
      </c>
      <c r="C3946" s="9">
        <v>45219</v>
      </c>
      <c r="D3946">
        <v>12.75</v>
      </c>
    </row>
    <row r="3947" spans="1:4" x14ac:dyDescent="0.25">
      <c r="A3947" s="5">
        <f t="shared" si="131"/>
        <v>10</v>
      </c>
      <c r="B3947" s="5">
        <f t="shared" si="132"/>
        <v>2023</v>
      </c>
      <c r="C3947" s="9">
        <v>45220</v>
      </c>
      <c r="D3947">
        <v>12.75</v>
      </c>
    </row>
    <row r="3948" spans="1:4" x14ac:dyDescent="0.25">
      <c r="A3948" s="5">
        <f t="shared" si="131"/>
        <v>10</v>
      </c>
      <c r="B3948" s="5">
        <f t="shared" si="132"/>
        <v>2023</v>
      </c>
      <c r="C3948" s="9">
        <v>45221</v>
      </c>
      <c r="D3948">
        <v>12.75</v>
      </c>
    </row>
    <row r="3949" spans="1:4" x14ac:dyDescent="0.25">
      <c r="A3949" s="5">
        <f t="shared" si="131"/>
        <v>10</v>
      </c>
      <c r="B3949" s="5">
        <f t="shared" si="132"/>
        <v>2023</v>
      </c>
      <c r="C3949" s="9">
        <v>45222</v>
      </c>
      <c r="D3949">
        <v>12.75</v>
      </c>
    </row>
    <row r="3950" spans="1:4" x14ac:dyDescent="0.25">
      <c r="A3950" s="5">
        <f t="shared" si="131"/>
        <v>10</v>
      </c>
      <c r="B3950" s="5">
        <f t="shared" si="132"/>
        <v>2023</v>
      </c>
      <c r="C3950" s="9">
        <v>45223</v>
      </c>
      <c r="D3950">
        <v>12.75</v>
      </c>
    </row>
    <row r="3951" spans="1:4" x14ac:dyDescent="0.25">
      <c r="A3951" s="5">
        <f t="shared" si="131"/>
        <v>10</v>
      </c>
      <c r="B3951" s="5">
        <f t="shared" si="132"/>
        <v>2023</v>
      </c>
      <c r="C3951" s="9">
        <v>45224</v>
      </c>
      <c r="D3951">
        <v>12.75</v>
      </c>
    </row>
    <row r="3952" spans="1:4" x14ac:dyDescent="0.25">
      <c r="A3952" s="5">
        <f t="shared" si="131"/>
        <v>10</v>
      </c>
      <c r="B3952" s="5">
        <f t="shared" si="132"/>
        <v>2023</v>
      </c>
      <c r="C3952" s="9">
        <v>45225</v>
      </c>
      <c r="D3952">
        <v>12.75</v>
      </c>
    </row>
    <row r="3953" spans="1:4" x14ac:dyDescent="0.25">
      <c r="A3953" s="5">
        <f t="shared" si="131"/>
        <v>10</v>
      </c>
      <c r="B3953" s="5">
        <f t="shared" si="132"/>
        <v>2023</v>
      </c>
      <c r="C3953" s="9">
        <v>45226</v>
      </c>
      <c r="D3953">
        <v>12.75</v>
      </c>
    </row>
    <row r="3954" spans="1:4" x14ac:dyDescent="0.25">
      <c r="A3954" s="5">
        <f t="shared" si="131"/>
        <v>10</v>
      </c>
      <c r="B3954" s="5">
        <f t="shared" si="132"/>
        <v>2023</v>
      </c>
      <c r="C3954" s="9">
        <v>45227</v>
      </c>
      <c r="D3954">
        <v>12.75</v>
      </c>
    </row>
    <row r="3955" spans="1:4" x14ac:dyDescent="0.25">
      <c r="A3955" s="5">
        <f t="shared" si="131"/>
        <v>10</v>
      </c>
      <c r="B3955" s="5">
        <f t="shared" si="132"/>
        <v>2023</v>
      </c>
      <c r="C3955" s="9">
        <v>45228</v>
      </c>
      <c r="D3955">
        <v>12.75</v>
      </c>
    </row>
    <row r="3956" spans="1:4" x14ac:dyDescent="0.25">
      <c r="A3956" s="5">
        <f t="shared" si="131"/>
        <v>10</v>
      </c>
      <c r="B3956" s="5">
        <f t="shared" si="132"/>
        <v>2023</v>
      </c>
      <c r="C3956" s="9">
        <v>45229</v>
      </c>
      <c r="D3956">
        <v>12.75</v>
      </c>
    </row>
    <row r="3957" spans="1:4" x14ac:dyDescent="0.25">
      <c r="A3957" s="5">
        <f t="shared" si="131"/>
        <v>10</v>
      </c>
      <c r="B3957" s="5">
        <f t="shared" si="132"/>
        <v>2023</v>
      </c>
      <c r="C3957" s="9">
        <v>45230</v>
      </c>
      <c r="D3957">
        <v>12.75</v>
      </c>
    </row>
    <row r="3958" spans="1:4" x14ac:dyDescent="0.25">
      <c r="A3958" s="5">
        <f t="shared" si="131"/>
        <v>11</v>
      </c>
      <c r="B3958" s="5">
        <f t="shared" si="132"/>
        <v>2023</v>
      </c>
      <c r="C3958" s="9">
        <v>45231</v>
      </c>
      <c r="D3958">
        <v>12.75</v>
      </c>
    </row>
    <row r="3959" spans="1:4" x14ac:dyDescent="0.25">
      <c r="A3959" s="5">
        <f t="shared" si="131"/>
        <v>11</v>
      </c>
      <c r="B3959" s="5">
        <f t="shared" si="132"/>
        <v>2023</v>
      </c>
      <c r="C3959" s="9">
        <v>45232</v>
      </c>
      <c r="D3959">
        <v>12.25</v>
      </c>
    </row>
    <row r="3960" spans="1:4" x14ac:dyDescent="0.25">
      <c r="A3960" s="5">
        <f t="shared" si="131"/>
        <v>11</v>
      </c>
      <c r="B3960" s="5">
        <f t="shared" si="132"/>
        <v>2023</v>
      </c>
      <c r="C3960" s="9">
        <v>45233</v>
      </c>
      <c r="D3960">
        <v>12.25</v>
      </c>
    </row>
    <row r="3961" spans="1:4" x14ac:dyDescent="0.25">
      <c r="A3961" s="5">
        <f t="shared" si="131"/>
        <v>11</v>
      </c>
      <c r="B3961" s="5">
        <f t="shared" si="132"/>
        <v>2023</v>
      </c>
      <c r="C3961" s="9">
        <v>45234</v>
      </c>
      <c r="D3961">
        <v>12.25</v>
      </c>
    </row>
    <row r="3962" spans="1:4" x14ac:dyDescent="0.25">
      <c r="A3962" s="5">
        <f t="shared" si="131"/>
        <v>11</v>
      </c>
      <c r="B3962" s="5">
        <f t="shared" si="132"/>
        <v>2023</v>
      </c>
      <c r="C3962" s="9">
        <v>45235</v>
      </c>
      <c r="D3962">
        <v>12.25</v>
      </c>
    </row>
    <row r="3963" spans="1:4" x14ac:dyDescent="0.25">
      <c r="A3963" s="5">
        <f t="shared" si="131"/>
        <v>11</v>
      </c>
      <c r="B3963" s="5">
        <f t="shared" si="132"/>
        <v>2023</v>
      </c>
      <c r="C3963" s="9">
        <v>45236</v>
      </c>
      <c r="D3963">
        <v>12.25</v>
      </c>
    </row>
    <row r="3964" spans="1:4" x14ac:dyDescent="0.25">
      <c r="A3964" s="5">
        <f t="shared" si="131"/>
        <v>11</v>
      </c>
      <c r="B3964" s="5">
        <f t="shared" si="132"/>
        <v>2023</v>
      </c>
      <c r="C3964" s="9">
        <v>45237</v>
      </c>
      <c r="D3964">
        <v>12.25</v>
      </c>
    </row>
    <row r="3965" spans="1:4" x14ac:dyDescent="0.25">
      <c r="A3965" s="5">
        <f t="shared" si="131"/>
        <v>11</v>
      </c>
      <c r="B3965" s="5">
        <f t="shared" si="132"/>
        <v>2023</v>
      </c>
      <c r="C3965" s="9">
        <v>45238</v>
      </c>
      <c r="D3965">
        <v>12.25</v>
      </c>
    </row>
    <row r="3966" spans="1:4" x14ac:dyDescent="0.25">
      <c r="A3966" s="5">
        <f t="shared" si="131"/>
        <v>11</v>
      </c>
      <c r="B3966" s="5">
        <f t="shared" si="132"/>
        <v>2023</v>
      </c>
      <c r="C3966" s="9">
        <v>45239</v>
      </c>
      <c r="D3966">
        <v>12.25</v>
      </c>
    </row>
    <row r="3967" spans="1:4" x14ac:dyDescent="0.25">
      <c r="A3967" s="5">
        <f t="shared" si="131"/>
        <v>11</v>
      </c>
      <c r="B3967" s="5">
        <f t="shared" si="132"/>
        <v>2023</v>
      </c>
      <c r="C3967" s="9">
        <v>45240</v>
      </c>
      <c r="D3967">
        <v>12.25</v>
      </c>
    </row>
    <row r="3968" spans="1:4" x14ac:dyDescent="0.25">
      <c r="A3968" s="5">
        <f t="shared" si="131"/>
        <v>11</v>
      </c>
      <c r="B3968" s="5">
        <f t="shared" si="132"/>
        <v>2023</v>
      </c>
      <c r="C3968" s="9">
        <v>45241</v>
      </c>
      <c r="D3968">
        <v>12.25</v>
      </c>
    </row>
    <row r="3969" spans="1:4" x14ac:dyDescent="0.25">
      <c r="A3969" s="5">
        <f t="shared" si="131"/>
        <v>11</v>
      </c>
      <c r="B3969" s="5">
        <f t="shared" si="132"/>
        <v>2023</v>
      </c>
      <c r="C3969" s="9">
        <v>45242</v>
      </c>
      <c r="D3969">
        <v>12.25</v>
      </c>
    </row>
    <row r="3970" spans="1:4" x14ac:dyDescent="0.25">
      <c r="A3970" s="5">
        <f t="shared" si="131"/>
        <v>11</v>
      </c>
      <c r="B3970" s="5">
        <f t="shared" si="132"/>
        <v>2023</v>
      </c>
      <c r="C3970" s="9">
        <v>45243</v>
      </c>
      <c r="D3970">
        <v>12.25</v>
      </c>
    </row>
    <row r="3971" spans="1:4" x14ac:dyDescent="0.25">
      <c r="A3971" s="5">
        <f t="shared" ref="A3971:A4034" si="133">MONTH(C3971)</f>
        <v>11</v>
      </c>
      <c r="B3971" s="5">
        <f t="shared" ref="B3971:B4034" si="134">YEAR(C3971)</f>
        <v>2023</v>
      </c>
      <c r="C3971" s="9">
        <v>45244</v>
      </c>
      <c r="D3971">
        <v>12.25</v>
      </c>
    </row>
    <row r="3972" spans="1:4" x14ac:dyDescent="0.25">
      <c r="A3972" s="5">
        <f t="shared" si="133"/>
        <v>11</v>
      </c>
      <c r="B3972" s="5">
        <f t="shared" si="134"/>
        <v>2023</v>
      </c>
      <c r="C3972" s="9">
        <v>45245</v>
      </c>
      <c r="D3972">
        <v>12.25</v>
      </c>
    </row>
    <row r="3973" spans="1:4" x14ac:dyDescent="0.25">
      <c r="A3973" s="5">
        <f t="shared" si="133"/>
        <v>11</v>
      </c>
      <c r="B3973" s="5">
        <f t="shared" si="134"/>
        <v>2023</v>
      </c>
      <c r="C3973" s="9">
        <v>45246</v>
      </c>
      <c r="D3973">
        <v>12.25</v>
      </c>
    </row>
    <row r="3974" spans="1:4" x14ac:dyDescent="0.25">
      <c r="A3974" s="5">
        <f t="shared" si="133"/>
        <v>11</v>
      </c>
      <c r="B3974" s="5">
        <f t="shared" si="134"/>
        <v>2023</v>
      </c>
      <c r="C3974" s="9">
        <v>45247</v>
      </c>
      <c r="D3974">
        <v>12.25</v>
      </c>
    </row>
    <row r="3975" spans="1:4" x14ac:dyDescent="0.25">
      <c r="A3975" s="5">
        <f t="shared" si="133"/>
        <v>11</v>
      </c>
      <c r="B3975" s="5">
        <f t="shared" si="134"/>
        <v>2023</v>
      </c>
      <c r="C3975" s="9">
        <v>45248</v>
      </c>
      <c r="D3975">
        <v>12.25</v>
      </c>
    </row>
    <row r="3976" spans="1:4" x14ac:dyDescent="0.25">
      <c r="A3976" s="5">
        <f t="shared" si="133"/>
        <v>11</v>
      </c>
      <c r="B3976" s="5">
        <f t="shared" si="134"/>
        <v>2023</v>
      </c>
      <c r="C3976" s="9">
        <v>45249</v>
      </c>
      <c r="D3976">
        <v>12.25</v>
      </c>
    </row>
    <row r="3977" spans="1:4" x14ac:dyDescent="0.25">
      <c r="A3977" s="5">
        <f t="shared" si="133"/>
        <v>11</v>
      </c>
      <c r="B3977" s="5">
        <f t="shared" si="134"/>
        <v>2023</v>
      </c>
      <c r="C3977" s="9">
        <v>45250</v>
      </c>
      <c r="D3977">
        <v>12.25</v>
      </c>
    </row>
    <row r="3978" spans="1:4" x14ac:dyDescent="0.25">
      <c r="A3978" s="5">
        <f t="shared" si="133"/>
        <v>11</v>
      </c>
      <c r="B3978" s="5">
        <f t="shared" si="134"/>
        <v>2023</v>
      </c>
      <c r="C3978" s="9">
        <v>45251</v>
      </c>
      <c r="D3978">
        <v>12.25</v>
      </c>
    </row>
    <row r="3979" spans="1:4" x14ac:dyDescent="0.25">
      <c r="A3979" s="5">
        <f t="shared" si="133"/>
        <v>11</v>
      </c>
      <c r="B3979" s="5">
        <f t="shared" si="134"/>
        <v>2023</v>
      </c>
      <c r="C3979" s="9">
        <v>45252</v>
      </c>
      <c r="D3979">
        <v>12.25</v>
      </c>
    </row>
    <row r="3980" spans="1:4" x14ac:dyDescent="0.25">
      <c r="A3980" s="5">
        <f t="shared" si="133"/>
        <v>11</v>
      </c>
      <c r="B3980" s="5">
        <f t="shared" si="134"/>
        <v>2023</v>
      </c>
      <c r="C3980" s="9">
        <v>45253</v>
      </c>
      <c r="D3980">
        <v>12.25</v>
      </c>
    </row>
    <row r="3981" spans="1:4" x14ac:dyDescent="0.25">
      <c r="A3981" s="5">
        <f t="shared" si="133"/>
        <v>11</v>
      </c>
      <c r="B3981" s="5">
        <f t="shared" si="134"/>
        <v>2023</v>
      </c>
      <c r="C3981" s="9">
        <v>45254</v>
      </c>
      <c r="D3981">
        <v>12.25</v>
      </c>
    </row>
    <row r="3982" spans="1:4" x14ac:dyDescent="0.25">
      <c r="A3982" s="5">
        <f t="shared" si="133"/>
        <v>11</v>
      </c>
      <c r="B3982" s="5">
        <f t="shared" si="134"/>
        <v>2023</v>
      </c>
      <c r="C3982" s="9">
        <v>45255</v>
      </c>
      <c r="D3982">
        <v>12.25</v>
      </c>
    </row>
    <row r="3983" spans="1:4" x14ac:dyDescent="0.25">
      <c r="A3983" s="5">
        <f t="shared" si="133"/>
        <v>11</v>
      </c>
      <c r="B3983" s="5">
        <f t="shared" si="134"/>
        <v>2023</v>
      </c>
      <c r="C3983" s="9">
        <v>45256</v>
      </c>
      <c r="D3983">
        <v>12.25</v>
      </c>
    </row>
    <row r="3984" spans="1:4" x14ac:dyDescent="0.25">
      <c r="A3984" s="5">
        <f t="shared" si="133"/>
        <v>11</v>
      </c>
      <c r="B3984" s="5">
        <f t="shared" si="134"/>
        <v>2023</v>
      </c>
      <c r="C3984" s="9">
        <v>45257</v>
      </c>
      <c r="D3984">
        <v>12.25</v>
      </c>
    </row>
    <row r="3985" spans="1:4" x14ac:dyDescent="0.25">
      <c r="A3985" s="5">
        <f t="shared" si="133"/>
        <v>11</v>
      </c>
      <c r="B3985" s="5">
        <f t="shared" si="134"/>
        <v>2023</v>
      </c>
      <c r="C3985" s="9">
        <v>45258</v>
      </c>
      <c r="D3985">
        <v>12.25</v>
      </c>
    </row>
    <row r="3986" spans="1:4" x14ac:dyDescent="0.25">
      <c r="A3986" s="5">
        <f t="shared" si="133"/>
        <v>11</v>
      </c>
      <c r="B3986" s="5">
        <f t="shared" si="134"/>
        <v>2023</v>
      </c>
      <c r="C3986" s="9">
        <v>45259</v>
      </c>
      <c r="D3986">
        <v>12.25</v>
      </c>
    </row>
    <row r="3987" spans="1:4" x14ac:dyDescent="0.25">
      <c r="A3987" s="5">
        <f t="shared" si="133"/>
        <v>11</v>
      </c>
      <c r="B3987" s="5">
        <f t="shared" si="134"/>
        <v>2023</v>
      </c>
      <c r="C3987" s="9">
        <v>45260</v>
      </c>
      <c r="D3987">
        <v>12.25</v>
      </c>
    </row>
    <row r="3988" spans="1:4" x14ac:dyDescent="0.25">
      <c r="A3988" s="5">
        <f t="shared" si="133"/>
        <v>12</v>
      </c>
      <c r="B3988" s="5">
        <f t="shared" si="134"/>
        <v>2023</v>
      </c>
      <c r="C3988" s="9">
        <v>45261</v>
      </c>
      <c r="D3988">
        <v>12.25</v>
      </c>
    </row>
    <row r="3989" spans="1:4" x14ac:dyDescent="0.25">
      <c r="A3989" s="5">
        <f t="shared" si="133"/>
        <v>12</v>
      </c>
      <c r="B3989" s="5">
        <f t="shared" si="134"/>
        <v>2023</v>
      </c>
      <c r="C3989" s="9">
        <v>45262</v>
      </c>
      <c r="D3989">
        <v>12.25</v>
      </c>
    </row>
    <row r="3990" spans="1:4" x14ac:dyDescent="0.25">
      <c r="A3990" s="5">
        <f t="shared" si="133"/>
        <v>12</v>
      </c>
      <c r="B3990" s="5">
        <f t="shared" si="134"/>
        <v>2023</v>
      </c>
      <c r="C3990" s="9">
        <v>45263</v>
      </c>
      <c r="D3990">
        <v>12.25</v>
      </c>
    </row>
    <row r="3991" spans="1:4" x14ac:dyDescent="0.25">
      <c r="A3991" s="5">
        <f t="shared" si="133"/>
        <v>12</v>
      </c>
      <c r="B3991" s="5">
        <f t="shared" si="134"/>
        <v>2023</v>
      </c>
      <c r="C3991" s="9">
        <v>45264</v>
      </c>
      <c r="D3991">
        <v>12.25</v>
      </c>
    </row>
    <row r="3992" spans="1:4" x14ac:dyDescent="0.25">
      <c r="A3992" s="5">
        <f t="shared" si="133"/>
        <v>12</v>
      </c>
      <c r="B3992" s="5">
        <f t="shared" si="134"/>
        <v>2023</v>
      </c>
      <c r="C3992" s="9">
        <v>45265</v>
      </c>
      <c r="D3992">
        <v>12.25</v>
      </c>
    </row>
    <row r="3993" spans="1:4" x14ac:dyDescent="0.25">
      <c r="A3993" s="5">
        <f t="shared" si="133"/>
        <v>12</v>
      </c>
      <c r="B3993" s="5">
        <f t="shared" si="134"/>
        <v>2023</v>
      </c>
      <c r="C3993" s="9">
        <v>45266</v>
      </c>
      <c r="D3993">
        <v>12.25</v>
      </c>
    </row>
    <row r="3994" spans="1:4" x14ac:dyDescent="0.25">
      <c r="A3994" s="5">
        <f t="shared" si="133"/>
        <v>12</v>
      </c>
      <c r="B3994" s="5">
        <f t="shared" si="134"/>
        <v>2023</v>
      </c>
      <c r="C3994" s="9">
        <v>45267</v>
      </c>
      <c r="D3994">
        <v>12.25</v>
      </c>
    </row>
    <row r="3995" spans="1:4" x14ac:dyDescent="0.25">
      <c r="A3995" s="5">
        <f t="shared" si="133"/>
        <v>12</v>
      </c>
      <c r="B3995" s="5">
        <f t="shared" si="134"/>
        <v>2023</v>
      </c>
      <c r="C3995" s="9">
        <v>45268</v>
      </c>
      <c r="D3995">
        <v>12.25</v>
      </c>
    </row>
    <row r="3996" spans="1:4" x14ac:dyDescent="0.25">
      <c r="A3996" s="5">
        <f t="shared" si="133"/>
        <v>12</v>
      </c>
      <c r="B3996" s="5">
        <f t="shared" si="134"/>
        <v>2023</v>
      </c>
      <c r="C3996" s="9">
        <v>45269</v>
      </c>
      <c r="D3996">
        <v>12.25</v>
      </c>
    </row>
    <row r="3997" spans="1:4" x14ac:dyDescent="0.25">
      <c r="A3997" s="5">
        <f t="shared" si="133"/>
        <v>12</v>
      </c>
      <c r="B3997" s="5">
        <f t="shared" si="134"/>
        <v>2023</v>
      </c>
      <c r="C3997" s="9">
        <v>45270</v>
      </c>
      <c r="D3997">
        <v>12.25</v>
      </c>
    </row>
    <row r="3998" spans="1:4" x14ac:dyDescent="0.25">
      <c r="A3998" s="5">
        <f t="shared" si="133"/>
        <v>12</v>
      </c>
      <c r="B3998" s="5">
        <f t="shared" si="134"/>
        <v>2023</v>
      </c>
      <c r="C3998" s="9">
        <v>45271</v>
      </c>
      <c r="D3998">
        <v>12.25</v>
      </c>
    </row>
    <row r="3999" spans="1:4" x14ac:dyDescent="0.25">
      <c r="A3999" s="5">
        <f t="shared" si="133"/>
        <v>12</v>
      </c>
      <c r="B3999" s="5">
        <f t="shared" si="134"/>
        <v>2023</v>
      </c>
      <c r="C3999" s="9">
        <v>45272</v>
      </c>
      <c r="D3999">
        <v>12.25</v>
      </c>
    </row>
    <row r="4000" spans="1:4" x14ac:dyDescent="0.25">
      <c r="A4000" s="5">
        <f t="shared" si="133"/>
        <v>12</v>
      </c>
      <c r="B4000" s="5">
        <f t="shared" si="134"/>
        <v>2023</v>
      </c>
      <c r="C4000" s="9">
        <v>45273</v>
      </c>
      <c r="D4000">
        <v>12.25</v>
      </c>
    </row>
    <row r="4001" spans="1:4" x14ac:dyDescent="0.25">
      <c r="A4001" s="5">
        <f t="shared" si="133"/>
        <v>12</v>
      </c>
      <c r="B4001" s="5">
        <f t="shared" si="134"/>
        <v>2023</v>
      </c>
      <c r="C4001" s="9">
        <v>45274</v>
      </c>
      <c r="D4001">
        <v>11.75</v>
      </c>
    </row>
    <row r="4002" spans="1:4" x14ac:dyDescent="0.25">
      <c r="A4002" s="5">
        <f t="shared" si="133"/>
        <v>12</v>
      </c>
      <c r="B4002" s="5">
        <f t="shared" si="134"/>
        <v>2023</v>
      </c>
      <c r="C4002" s="9">
        <v>45275</v>
      </c>
      <c r="D4002">
        <v>11.75</v>
      </c>
    </row>
    <row r="4003" spans="1:4" x14ac:dyDescent="0.25">
      <c r="A4003" s="5">
        <f t="shared" si="133"/>
        <v>12</v>
      </c>
      <c r="B4003" s="5">
        <f t="shared" si="134"/>
        <v>2023</v>
      </c>
      <c r="C4003" s="9">
        <v>45276</v>
      </c>
      <c r="D4003">
        <v>11.75</v>
      </c>
    </row>
    <row r="4004" spans="1:4" x14ac:dyDescent="0.25">
      <c r="A4004" s="5">
        <f t="shared" si="133"/>
        <v>12</v>
      </c>
      <c r="B4004" s="5">
        <f t="shared" si="134"/>
        <v>2023</v>
      </c>
      <c r="C4004" s="9">
        <v>45277</v>
      </c>
      <c r="D4004">
        <v>11.75</v>
      </c>
    </row>
    <row r="4005" spans="1:4" x14ac:dyDescent="0.25">
      <c r="A4005" s="5">
        <f t="shared" si="133"/>
        <v>12</v>
      </c>
      <c r="B4005" s="5">
        <f t="shared" si="134"/>
        <v>2023</v>
      </c>
      <c r="C4005" s="9">
        <v>45278</v>
      </c>
      <c r="D4005">
        <v>11.75</v>
      </c>
    </row>
    <row r="4006" spans="1:4" x14ac:dyDescent="0.25">
      <c r="A4006" s="5">
        <f t="shared" si="133"/>
        <v>12</v>
      </c>
      <c r="B4006" s="5">
        <f t="shared" si="134"/>
        <v>2023</v>
      </c>
      <c r="C4006" s="9">
        <v>45279</v>
      </c>
      <c r="D4006">
        <v>11.75</v>
      </c>
    </row>
    <row r="4007" spans="1:4" x14ac:dyDescent="0.25">
      <c r="A4007" s="5">
        <f t="shared" si="133"/>
        <v>12</v>
      </c>
      <c r="B4007" s="5">
        <f t="shared" si="134"/>
        <v>2023</v>
      </c>
      <c r="C4007" s="9">
        <v>45280</v>
      </c>
      <c r="D4007">
        <v>11.75</v>
      </c>
    </row>
    <row r="4008" spans="1:4" x14ac:dyDescent="0.25">
      <c r="A4008" s="5">
        <f t="shared" si="133"/>
        <v>12</v>
      </c>
      <c r="B4008" s="5">
        <f t="shared" si="134"/>
        <v>2023</v>
      </c>
      <c r="C4008" s="9">
        <v>45281</v>
      </c>
      <c r="D4008">
        <v>11.75</v>
      </c>
    </row>
    <row r="4009" spans="1:4" x14ac:dyDescent="0.25">
      <c r="A4009" s="5">
        <f t="shared" si="133"/>
        <v>12</v>
      </c>
      <c r="B4009" s="5">
        <f t="shared" si="134"/>
        <v>2023</v>
      </c>
      <c r="C4009" s="9">
        <v>45282</v>
      </c>
      <c r="D4009">
        <v>11.75</v>
      </c>
    </row>
    <row r="4010" spans="1:4" x14ac:dyDescent="0.25">
      <c r="A4010" s="5">
        <f t="shared" si="133"/>
        <v>12</v>
      </c>
      <c r="B4010" s="5">
        <f t="shared" si="134"/>
        <v>2023</v>
      </c>
      <c r="C4010" s="9">
        <v>45283</v>
      </c>
      <c r="D4010">
        <v>11.75</v>
      </c>
    </row>
    <row r="4011" spans="1:4" x14ac:dyDescent="0.25">
      <c r="A4011" s="5">
        <f t="shared" si="133"/>
        <v>12</v>
      </c>
      <c r="B4011" s="5">
        <f t="shared" si="134"/>
        <v>2023</v>
      </c>
      <c r="C4011" s="9">
        <v>45284</v>
      </c>
      <c r="D4011">
        <v>11.75</v>
      </c>
    </row>
    <row r="4012" spans="1:4" x14ac:dyDescent="0.25">
      <c r="A4012" s="5">
        <f t="shared" si="133"/>
        <v>12</v>
      </c>
      <c r="B4012" s="5">
        <f t="shared" si="134"/>
        <v>2023</v>
      </c>
      <c r="C4012" s="9">
        <v>45285</v>
      </c>
      <c r="D4012">
        <v>11.75</v>
      </c>
    </row>
    <row r="4013" spans="1:4" x14ac:dyDescent="0.25">
      <c r="A4013" s="5">
        <f t="shared" si="133"/>
        <v>12</v>
      </c>
      <c r="B4013" s="5">
        <f t="shared" si="134"/>
        <v>2023</v>
      </c>
      <c r="C4013" s="9">
        <v>45286</v>
      </c>
      <c r="D4013">
        <v>11.75</v>
      </c>
    </row>
    <row r="4014" spans="1:4" x14ac:dyDescent="0.25">
      <c r="A4014" s="5">
        <f t="shared" si="133"/>
        <v>12</v>
      </c>
      <c r="B4014" s="5">
        <f t="shared" si="134"/>
        <v>2023</v>
      </c>
      <c r="C4014" s="9">
        <v>45287</v>
      </c>
      <c r="D4014">
        <v>11.75</v>
      </c>
    </row>
    <row r="4015" spans="1:4" x14ac:dyDescent="0.25">
      <c r="A4015" s="5">
        <f t="shared" si="133"/>
        <v>12</v>
      </c>
      <c r="B4015" s="5">
        <f t="shared" si="134"/>
        <v>2023</v>
      </c>
      <c r="C4015" s="9">
        <v>45288</v>
      </c>
      <c r="D4015">
        <v>11.75</v>
      </c>
    </row>
    <row r="4016" spans="1:4" x14ac:dyDescent="0.25">
      <c r="A4016" s="5">
        <f t="shared" si="133"/>
        <v>12</v>
      </c>
      <c r="B4016" s="5">
        <f t="shared" si="134"/>
        <v>2023</v>
      </c>
      <c r="C4016" s="9">
        <v>45289</v>
      </c>
      <c r="D4016">
        <v>11.75</v>
      </c>
    </row>
    <row r="4017" spans="1:4" x14ac:dyDescent="0.25">
      <c r="A4017" s="5">
        <f t="shared" si="133"/>
        <v>12</v>
      </c>
      <c r="B4017" s="5">
        <f t="shared" si="134"/>
        <v>2023</v>
      </c>
      <c r="C4017" s="9">
        <v>45290</v>
      </c>
      <c r="D4017">
        <v>11.75</v>
      </c>
    </row>
    <row r="4018" spans="1:4" x14ac:dyDescent="0.25">
      <c r="A4018" s="5">
        <f t="shared" si="133"/>
        <v>12</v>
      </c>
      <c r="B4018" s="5">
        <f t="shared" si="134"/>
        <v>2023</v>
      </c>
      <c r="C4018" s="9">
        <v>45291</v>
      </c>
      <c r="D4018">
        <v>11.75</v>
      </c>
    </row>
    <row r="4019" spans="1:4" x14ac:dyDescent="0.25">
      <c r="A4019" s="5">
        <f t="shared" si="133"/>
        <v>1</v>
      </c>
      <c r="B4019" s="5">
        <f t="shared" si="134"/>
        <v>2024</v>
      </c>
      <c r="C4019" s="9">
        <v>45292</v>
      </c>
      <c r="D4019">
        <v>11.75</v>
      </c>
    </row>
    <row r="4020" spans="1:4" x14ac:dyDescent="0.25">
      <c r="A4020" s="5">
        <f t="shared" si="133"/>
        <v>1</v>
      </c>
      <c r="B4020" s="5">
        <f t="shared" si="134"/>
        <v>2024</v>
      </c>
      <c r="C4020" s="9">
        <v>45293</v>
      </c>
      <c r="D4020">
        <v>11.75</v>
      </c>
    </row>
    <row r="4021" spans="1:4" x14ac:dyDescent="0.25">
      <c r="A4021" s="5">
        <f t="shared" si="133"/>
        <v>1</v>
      </c>
      <c r="B4021" s="5">
        <f t="shared" si="134"/>
        <v>2024</v>
      </c>
      <c r="C4021" s="9">
        <v>45294</v>
      </c>
      <c r="D4021">
        <v>11.75</v>
      </c>
    </row>
    <row r="4022" spans="1:4" x14ac:dyDescent="0.25">
      <c r="A4022" s="5">
        <f t="shared" si="133"/>
        <v>1</v>
      </c>
      <c r="B4022" s="5">
        <f t="shared" si="134"/>
        <v>2024</v>
      </c>
      <c r="C4022" s="9">
        <v>45295</v>
      </c>
      <c r="D4022">
        <v>11.75</v>
      </c>
    </row>
    <row r="4023" spans="1:4" x14ac:dyDescent="0.25">
      <c r="A4023" s="5">
        <f t="shared" si="133"/>
        <v>1</v>
      </c>
      <c r="B4023" s="5">
        <f t="shared" si="134"/>
        <v>2024</v>
      </c>
      <c r="C4023" s="9">
        <v>45296</v>
      </c>
      <c r="D4023">
        <v>11.75</v>
      </c>
    </row>
    <row r="4024" spans="1:4" x14ac:dyDescent="0.25">
      <c r="A4024" s="5">
        <f t="shared" si="133"/>
        <v>1</v>
      </c>
      <c r="B4024" s="5">
        <f t="shared" si="134"/>
        <v>2024</v>
      </c>
      <c r="C4024" s="9">
        <v>45297</v>
      </c>
      <c r="D4024">
        <v>11.75</v>
      </c>
    </row>
    <row r="4025" spans="1:4" x14ac:dyDescent="0.25">
      <c r="A4025" s="5">
        <f t="shared" si="133"/>
        <v>1</v>
      </c>
      <c r="B4025" s="5">
        <f t="shared" si="134"/>
        <v>2024</v>
      </c>
      <c r="C4025" s="9">
        <v>45298</v>
      </c>
      <c r="D4025">
        <v>11.75</v>
      </c>
    </row>
    <row r="4026" spans="1:4" x14ac:dyDescent="0.25">
      <c r="A4026" s="5">
        <f t="shared" si="133"/>
        <v>1</v>
      </c>
      <c r="B4026" s="5">
        <f t="shared" si="134"/>
        <v>2024</v>
      </c>
      <c r="C4026" s="9">
        <v>45299</v>
      </c>
      <c r="D4026">
        <v>11.75</v>
      </c>
    </row>
    <row r="4027" spans="1:4" x14ac:dyDescent="0.25">
      <c r="A4027" s="5">
        <f t="shared" si="133"/>
        <v>1</v>
      </c>
      <c r="B4027" s="5">
        <f t="shared" si="134"/>
        <v>2024</v>
      </c>
      <c r="C4027" s="9">
        <v>45300</v>
      </c>
      <c r="D4027">
        <v>11.75</v>
      </c>
    </row>
    <row r="4028" spans="1:4" x14ac:dyDescent="0.25">
      <c r="A4028" s="5">
        <f t="shared" si="133"/>
        <v>1</v>
      </c>
      <c r="B4028" s="5">
        <f t="shared" si="134"/>
        <v>2024</v>
      </c>
      <c r="C4028" s="9">
        <v>45301</v>
      </c>
      <c r="D4028">
        <v>11.75</v>
      </c>
    </row>
    <row r="4029" spans="1:4" x14ac:dyDescent="0.25">
      <c r="A4029" s="5">
        <f t="shared" si="133"/>
        <v>1</v>
      </c>
      <c r="B4029" s="5">
        <f t="shared" si="134"/>
        <v>2024</v>
      </c>
      <c r="C4029" s="9">
        <v>45302</v>
      </c>
      <c r="D4029">
        <v>11.75</v>
      </c>
    </row>
    <row r="4030" spans="1:4" x14ac:dyDescent="0.25">
      <c r="A4030" s="5">
        <f t="shared" si="133"/>
        <v>1</v>
      </c>
      <c r="B4030" s="5">
        <f t="shared" si="134"/>
        <v>2024</v>
      </c>
      <c r="C4030" s="9">
        <v>45303</v>
      </c>
      <c r="D4030">
        <v>11.75</v>
      </c>
    </row>
    <row r="4031" spans="1:4" x14ac:dyDescent="0.25">
      <c r="A4031" s="5">
        <f t="shared" si="133"/>
        <v>1</v>
      </c>
      <c r="B4031" s="5">
        <f t="shared" si="134"/>
        <v>2024</v>
      </c>
      <c r="C4031" s="9">
        <v>45304</v>
      </c>
      <c r="D4031">
        <v>11.75</v>
      </c>
    </row>
    <row r="4032" spans="1:4" x14ac:dyDescent="0.25">
      <c r="A4032" s="5">
        <f t="shared" si="133"/>
        <v>1</v>
      </c>
      <c r="B4032" s="5">
        <f t="shared" si="134"/>
        <v>2024</v>
      </c>
      <c r="C4032" s="9">
        <v>45305</v>
      </c>
      <c r="D4032">
        <v>11.75</v>
      </c>
    </row>
    <row r="4033" spans="1:4" x14ac:dyDescent="0.25">
      <c r="A4033" s="5">
        <f t="shared" si="133"/>
        <v>1</v>
      </c>
      <c r="B4033" s="5">
        <f t="shared" si="134"/>
        <v>2024</v>
      </c>
      <c r="C4033" s="9">
        <v>45306</v>
      </c>
      <c r="D4033">
        <v>11.75</v>
      </c>
    </row>
    <row r="4034" spans="1:4" x14ac:dyDescent="0.25">
      <c r="A4034" s="5">
        <f t="shared" si="133"/>
        <v>1</v>
      </c>
      <c r="B4034" s="5">
        <f t="shared" si="134"/>
        <v>2024</v>
      </c>
      <c r="C4034" s="9">
        <v>45307</v>
      </c>
      <c r="D4034">
        <v>11.75</v>
      </c>
    </row>
    <row r="4035" spans="1:4" x14ac:dyDescent="0.25">
      <c r="A4035" s="5">
        <f t="shared" ref="A4035:A4098" si="135">MONTH(C4035)</f>
        <v>1</v>
      </c>
      <c r="B4035" s="5">
        <f t="shared" ref="B4035:B4098" si="136">YEAR(C4035)</f>
        <v>2024</v>
      </c>
      <c r="C4035" s="9">
        <v>45308</v>
      </c>
      <c r="D4035">
        <v>11.75</v>
      </c>
    </row>
    <row r="4036" spans="1:4" x14ac:dyDescent="0.25">
      <c r="A4036" s="5">
        <f t="shared" si="135"/>
        <v>1</v>
      </c>
      <c r="B4036" s="5">
        <f t="shared" si="136"/>
        <v>2024</v>
      </c>
      <c r="C4036" s="9">
        <v>45309</v>
      </c>
      <c r="D4036">
        <v>11.75</v>
      </c>
    </row>
    <row r="4037" spans="1:4" x14ac:dyDescent="0.25">
      <c r="A4037" s="5">
        <f t="shared" si="135"/>
        <v>1</v>
      </c>
      <c r="B4037" s="5">
        <f t="shared" si="136"/>
        <v>2024</v>
      </c>
      <c r="C4037" s="9">
        <v>45310</v>
      </c>
      <c r="D4037">
        <v>11.75</v>
      </c>
    </row>
    <row r="4038" spans="1:4" x14ac:dyDescent="0.25">
      <c r="A4038" s="5">
        <f t="shared" si="135"/>
        <v>1</v>
      </c>
      <c r="B4038" s="5">
        <f t="shared" si="136"/>
        <v>2024</v>
      </c>
      <c r="C4038" s="9">
        <v>45311</v>
      </c>
      <c r="D4038">
        <v>11.75</v>
      </c>
    </row>
    <row r="4039" spans="1:4" x14ac:dyDescent="0.25">
      <c r="A4039" s="5">
        <f t="shared" si="135"/>
        <v>1</v>
      </c>
      <c r="B4039" s="5">
        <f t="shared" si="136"/>
        <v>2024</v>
      </c>
      <c r="C4039" s="9">
        <v>45312</v>
      </c>
      <c r="D4039">
        <v>11.75</v>
      </c>
    </row>
    <row r="4040" spans="1:4" x14ac:dyDescent="0.25">
      <c r="A4040" s="5">
        <f t="shared" si="135"/>
        <v>1</v>
      </c>
      <c r="B4040" s="5">
        <f t="shared" si="136"/>
        <v>2024</v>
      </c>
      <c r="C4040" s="9">
        <v>45313</v>
      </c>
      <c r="D4040">
        <v>11.75</v>
      </c>
    </row>
    <row r="4041" spans="1:4" x14ac:dyDescent="0.25">
      <c r="A4041" s="5">
        <f t="shared" si="135"/>
        <v>1</v>
      </c>
      <c r="B4041" s="5">
        <f t="shared" si="136"/>
        <v>2024</v>
      </c>
      <c r="C4041" s="9">
        <v>45314</v>
      </c>
      <c r="D4041">
        <v>11.75</v>
      </c>
    </row>
    <row r="4042" spans="1:4" x14ac:dyDescent="0.25">
      <c r="A4042" s="5">
        <f t="shared" si="135"/>
        <v>1</v>
      </c>
      <c r="B4042" s="5">
        <f t="shared" si="136"/>
        <v>2024</v>
      </c>
      <c r="C4042" s="9">
        <v>45315</v>
      </c>
      <c r="D4042">
        <v>11.75</v>
      </c>
    </row>
    <row r="4043" spans="1:4" x14ac:dyDescent="0.25">
      <c r="A4043" s="5">
        <f t="shared" si="135"/>
        <v>1</v>
      </c>
      <c r="B4043" s="5">
        <f t="shared" si="136"/>
        <v>2024</v>
      </c>
      <c r="C4043" s="9">
        <v>45316</v>
      </c>
      <c r="D4043">
        <v>11.75</v>
      </c>
    </row>
    <row r="4044" spans="1:4" x14ac:dyDescent="0.25">
      <c r="A4044" s="5">
        <f t="shared" si="135"/>
        <v>1</v>
      </c>
      <c r="B4044" s="5">
        <f t="shared" si="136"/>
        <v>2024</v>
      </c>
      <c r="C4044" s="9">
        <v>45317</v>
      </c>
      <c r="D4044">
        <v>11.75</v>
      </c>
    </row>
    <row r="4045" spans="1:4" x14ac:dyDescent="0.25">
      <c r="A4045" s="5">
        <f t="shared" si="135"/>
        <v>1</v>
      </c>
      <c r="B4045" s="5">
        <f t="shared" si="136"/>
        <v>2024</v>
      </c>
      <c r="C4045" s="9">
        <v>45318</v>
      </c>
      <c r="D4045">
        <v>11.75</v>
      </c>
    </row>
    <row r="4046" spans="1:4" x14ac:dyDescent="0.25">
      <c r="A4046" s="5">
        <f t="shared" si="135"/>
        <v>1</v>
      </c>
      <c r="B4046" s="5">
        <f t="shared" si="136"/>
        <v>2024</v>
      </c>
      <c r="C4046" s="9">
        <v>45319</v>
      </c>
      <c r="D4046">
        <v>11.75</v>
      </c>
    </row>
    <row r="4047" spans="1:4" x14ac:dyDescent="0.25">
      <c r="A4047" s="5">
        <f t="shared" si="135"/>
        <v>1</v>
      </c>
      <c r="B4047" s="5">
        <f t="shared" si="136"/>
        <v>2024</v>
      </c>
      <c r="C4047" s="9">
        <v>45320</v>
      </c>
      <c r="D4047">
        <v>11.75</v>
      </c>
    </row>
    <row r="4048" spans="1:4" x14ac:dyDescent="0.25">
      <c r="A4048" s="5">
        <f t="shared" si="135"/>
        <v>1</v>
      </c>
      <c r="B4048" s="5">
        <f t="shared" si="136"/>
        <v>2024</v>
      </c>
      <c r="C4048" s="9">
        <v>45321</v>
      </c>
      <c r="D4048">
        <v>11.75</v>
      </c>
    </row>
    <row r="4049" spans="1:4" x14ac:dyDescent="0.25">
      <c r="A4049" s="5">
        <f t="shared" si="135"/>
        <v>1</v>
      </c>
      <c r="B4049" s="5">
        <f t="shared" si="136"/>
        <v>2024</v>
      </c>
      <c r="C4049" s="9">
        <v>45322</v>
      </c>
      <c r="D4049">
        <v>11.75</v>
      </c>
    </row>
    <row r="4050" spans="1:4" x14ac:dyDescent="0.25">
      <c r="A4050" s="5">
        <f t="shared" si="135"/>
        <v>2</v>
      </c>
      <c r="B4050" s="5">
        <f t="shared" si="136"/>
        <v>2024</v>
      </c>
      <c r="C4050" s="9">
        <v>45323</v>
      </c>
      <c r="D4050">
        <v>11.25</v>
      </c>
    </row>
    <row r="4051" spans="1:4" x14ac:dyDescent="0.25">
      <c r="A4051" s="5">
        <f t="shared" si="135"/>
        <v>2</v>
      </c>
      <c r="B4051" s="5">
        <f t="shared" si="136"/>
        <v>2024</v>
      </c>
      <c r="C4051" s="9">
        <v>45324</v>
      </c>
      <c r="D4051">
        <v>11.25</v>
      </c>
    </row>
    <row r="4052" spans="1:4" x14ac:dyDescent="0.25">
      <c r="A4052" s="5">
        <f t="shared" si="135"/>
        <v>2</v>
      </c>
      <c r="B4052" s="5">
        <f t="shared" si="136"/>
        <v>2024</v>
      </c>
      <c r="C4052" s="9">
        <v>45325</v>
      </c>
      <c r="D4052">
        <v>11.25</v>
      </c>
    </row>
    <row r="4053" spans="1:4" x14ac:dyDescent="0.25">
      <c r="A4053" s="5">
        <f t="shared" si="135"/>
        <v>2</v>
      </c>
      <c r="B4053" s="5">
        <f t="shared" si="136"/>
        <v>2024</v>
      </c>
      <c r="C4053" s="9">
        <v>45326</v>
      </c>
      <c r="D4053">
        <v>11.25</v>
      </c>
    </row>
    <row r="4054" spans="1:4" x14ac:dyDescent="0.25">
      <c r="A4054" s="5">
        <f t="shared" si="135"/>
        <v>2</v>
      </c>
      <c r="B4054" s="5">
        <f t="shared" si="136"/>
        <v>2024</v>
      </c>
      <c r="C4054" s="9">
        <v>45327</v>
      </c>
      <c r="D4054">
        <v>11.25</v>
      </c>
    </row>
    <row r="4055" spans="1:4" x14ac:dyDescent="0.25">
      <c r="A4055" s="5">
        <f t="shared" si="135"/>
        <v>2</v>
      </c>
      <c r="B4055" s="5">
        <f t="shared" si="136"/>
        <v>2024</v>
      </c>
      <c r="C4055" s="9">
        <v>45328</v>
      </c>
      <c r="D4055">
        <v>11.25</v>
      </c>
    </row>
    <row r="4056" spans="1:4" x14ac:dyDescent="0.25">
      <c r="A4056" s="5">
        <f t="shared" si="135"/>
        <v>2</v>
      </c>
      <c r="B4056" s="5">
        <f t="shared" si="136"/>
        <v>2024</v>
      </c>
      <c r="C4056" s="9">
        <v>45329</v>
      </c>
      <c r="D4056">
        <v>11.25</v>
      </c>
    </row>
    <row r="4057" spans="1:4" x14ac:dyDescent="0.25">
      <c r="A4057" s="5">
        <f t="shared" si="135"/>
        <v>2</v>
      </c>
      <c r="B4057" s="5">
        <f t="shared" si="136"/>
        <v>2024</v>
      </c>
      <c r="C4057" s="9">
        <v>45330</v>
      </c>
      <c r="D4057">
        <v>11.25</v>
      </c>
    </row>
    <row r="4058" spans="1:4" x14ac:dyDescent="0.25">
      <c r="A4058" s="5">
        <f t="shared" si="135"/>
        <v>2</v>
      </c>
      <c r="B4058" s="5">
        <f t="shared" si="136"/>
        <v>2024</v>
      </c>
      <c r="C4058" s="9">
        <v>45331</v>
      </c>
      <c r="D4058">
        <v>11.25</v>
      </c>
    </row>
    <row r="4059" spans="1:4" x14ac:dyDescent="0.25">
      <c r="A4059" s="5">
        <f t="shared" si="135"/>
        <v>2</v>
      </c>
      <c r="B4059" s="5">
        <f t="shared" si="136"/>
        <v>2024</v>
      </c>
      <c r="C4059" s="9">
        <v>45332</v>
      </c>
      <c r="D4059">
        <v>11.25</v>
      </c>
    </row>
    <row r="4060" spans="1:4" x14ac:dyDescent="0.25">
      <c r="A4060" s="5">
        <f t="shared" si="135"/>
        <v>2</v>
      </c>
      <c r="B4060" s="5">
        <f t="shared" si="136"/>
        <v>2024</v>
      </c>
      <c r="C4060" s="9">
        <v>45333</v>
      </c>
      <c r="D4060">
        <v>11.25</v>
      </c>
    </row>
    <row r="4061" spans="1:4" x14ac:dyDescent="0.25">
      <c r="A4061" s="5">
        <f t="shared" si="135"/>
        <v>2</v>
      </c>
      <c r="B4061" s="5">
        <f t="shared" si="136"/>
        <v>2024</v>
      </c>
      <c r="C4061" s="9">
        <v>45334</v>
      </c>
      <c r="D4061">
        <v>11.25</v>
      </c>
    </row>
    <row r="4062" spans="1:4" x14ac:dyDescent="0.25">
      <c r="A4062" s="5">
        <f t="shared" si="135"/>
        <v>2</v>
      </c>
      <c r="B4062" s="5">
        <f t="shared" si="136"/>
        <v>2024</v>
      </c>
      <c r="C4062" s="9">
        <v>45335</v>
      </c>
      <c r="D4062">
        <v>11.25</v>
      </c>
    </row>
    <row r="4063" spans="1:4" x14ac:dyDescent="0.25">
      <c r="A4063" s="5">
        <f t="shared" si="135"/>
        <v>2</v>
      </c>
      <c r="B4063" s="5">
        <f t="shared" si="136"/>
        <v>2024</v>
      </c>
      <c r="C4063" s="9">
        <v>45336</v>
      </c>
      <c r="D4063">
        <v>11.25</v>
      </c>
    </row>
    <row r="4064" spans="1:4" x14ac:dyDescent="0.25">
      <c r="A4064" s="5">
        <f t="shared" si="135"/>
        <v>2</v>
      </c>
      <c r="B4064" s="5">
        <f t="shared" si="136"/>
        <v>2024</v>
      </c>
      <c r="C4064" s="9">
        <v>45337</v>
      </c>
      <c r="D4064">
        <v>11.25</v>
      </c>
    </row>
    <row r="4065" spans="1:4" x14ac:dyDescent="0.25">
      <c r="A4065" s="5">
        <f t="shared" si="135"/>
        <v>2</v>
      </c>
      <c r="B4065" s="5">
        <f t="shared" si="136"/>
        <v>2024</v>
      </c>
      <c r="C4065" s="9">
        <v>45338</v>
      </c>
      <c r="D4065">
        <v>11.25</v>
      </c>
    </row>
    <row r="4066" spans="1:4" x14ac:dyDescent="0.25">
      <c r="A4066" s="5">
        <f t="shared" si="135"/>
        <v>2</v>
      </c>
      <c r="B4066" s="5">
        <f t="shared" si="136"/>
        <v>2024</v>
      </c>
      <c r="C4066" s="9">
        <v>45339</v>
      </c>
      <c r="D4066">
        <v>11.25</v>
      </c>
    </row>
    <row r="4067" spans="1:4" x14ac:dyDescent="0.25">
      <c r="A4067" s="5">
        <f t="shared" si="135"/>
        <v>2</v>
      </c>
      <c r="B4067" s="5">
        <f t="shared" si="136"/>
        <v>2024</v>
      </c>
      <c r="C4067" s="9">
        <v>45340</v>
      </c>
      <c r="D4067">
        <v>11.25</v>
      </c>
    </row>
    <row r="4068" spans="1:4" x14ac:dyDescent="0.25">
      <c r="A4068" s="5">
        <f t="shared" si="135"/>
        <v>2</v>
      </c>
      <c r="B4068" s="5">
        <f t="shared" si="136"/>
        <v>2024</v>
      </c>
      <c r="C4068" s="9">
        <v>45341</v>
      </c>
      <c r="D4068">
        <v>11.25</v>
      </c>
    </row>
    <row r="4069" spans="1:4" x14ac:dyDescent="0.25">
      <c r="A4069" s="5">
        <f t="shared" si="135"/>
        <v>2</v>
      </c>
      <c r="B4069" s="5">
        <f t="shared" si="136"/>
        <v>2024</v>
      </c>
      <c r="C4069" s="9">
        <v>45342</v>
      </c>
      <c r="D4069">
        <v>11.25</v>
      </c>
    </row>
    <row r="4070" spans="1:4" x14ac:dyDescent="0.25">
      <c r="A4070" s="5">
        <f t="shared" si="135"/>
        <v>2</v>
      </c>
      <c r="B4070" s="5">
        <f t="shared" si="136"/>
        <v>2024</v>
      </c>
      <c r="C4070" s="9">
        <v>45343</v>
      </c>
      <c r="D4070">
        <v>11.25</v>
      </c>
    </row>
    <row r="4071" spans="1:4" x14ac:dyDescent="0.25">
      <c r="A4071" s="5">
        <f t="shared" si="135"/>
        <v>2</v>
      </c>
      <c r="B4071" s="5">
        <f t="shared" si="136"/>
        <v>2024</v>
      </c>
      <c r="C4071" s="9">
        <v>45344</v>
      </c>
      <c r="D4071">
        <v>11.25</v>
      </c>
    </row>
    <row r="4072" spans="1:4" x14ac:dyDescent="0.25">
      <c r="A4072" s="5">
        <f t="shared" si="135"/>
        <v>2</v>
      </c>
      <c r="B4072" s="5">
        <f t="shared" si="136"/>
        <v>2024</v>
      </c>
      <c r="C4072" s="9">
        <v>45345</v>
      </c>
      <c r="D4072">
        <v>11.25</v>
      </c>
    </row>
    <row r="4073" spans="1:4" x14ac:dyDescent="0.25">
      <c r="A4073" s="5">
        <f t="shared" si="135"/>
        <v>2</v>
      </c>
      <c r="B4073" s="5">
        <f t="shared" si="136"/>
        <v>2024</v>
      </c>
      <c r="C4073" s="9">
        <v>45346</v>
      </c>
      <c r="D4073">
        <v>11.25</v>
      </c>
    </row>
    <row r="4074" spans="1:4" x14ac:dyDescent="0.25">
      <c r="A4074" s="5">
        <f t="shared" si="135"/>
        <v>2</v>
      </c>
      <c r="B4074" s="5">
        <f t="shared" si="136"/>
        <v>2024</v>
      </c>
      <c r="C4074" s="9">
        <v>45347</v>
      </c>
      <c r="D4074">
        <v>11.25</v>
      </c>
    </row>
    <row r="4075" spans="1:4" x14ac:dyDescent="0.25">
      <c r="A4075" s="5">
        <f t="shared" si="135"/>
        <v>2</v>
      </c>
      <c r="B4075" s="5">
        <f t="shared" si="136"/>
        <v>2024</v>
      </c>
      <c r="C4075" s="9">
        <v>45348</v>
      </c>
      <c r="D4075">
        <v>11.25</v>
      </c>
    </row>
    <row r="4076" spans="1:4" x14ac:dyDescent="0.25">
      <c r="A4076" s="5">
        <f t="shared" si="135"/>
        <v>2</v>
      </c>
      <c r="B4076" s="5">
        <f t="shared" si="136"/>
        <v>2024</v>
      </c>
      <c r="C4076" s="9">
        <v>45349</v>
      </c>
      <c r="D4076">
        <v>11.25</v>
      </c>
    </row>
    <row r="4077" spans="1:4" x14ac:dyDescent="0.25">
      <c r="A4077" s="5">
        <f t="shared" si="135"/>
        <v>2</v>
      </c>
      <c r="B4077" s="5">
        <f t="shared" si="136"/>
        <v>2024</v>
      </c>
      <c r="C4077" s="9">
        <v>45350</v>
      </c>
      <c r="D4077">
        <v>11.25</v>
      </c>
    </row>
    <row r="4078" spans="1:4" x14ac:dyDescent="0.25">
      <c r="A4078" s="5">
        <f t="shared" si="135"/>
        <v>2</v>
      </c>
      <c r="B4078" s="5">
        <f t="shared" si="136"/>
        <v>2024</v>
      </c>
      <c r="C4078" s="9">
        <v>45351</v>
      </c>
      <c r="D4078">
        <v>11.25</v>
      </c>
    </row>
    <row r="4079" spans="1:4" x14ac:dyDescent="0.25">
      <c r="A4079" s="5">
        <f t="shared" si="135"/>
        <v>3</v>
      </c>
      <c r="B4079" s="5">
        <f t="shared" si="136"/>
        <v>2024</v>
      </c>
      <c r="C4079" s="9">
        <v>45352</v>
      </c>
      <c r="D4079">
        <v>11.25</v>
      </c>
    </row>
    <row r="4080" spans="1:4" x14ac:dyDescent="0.25">
      <c r="A4080" s="5">
        <f t="shared" si="135"/>
        <v>3</v>
      </c>
      <c r="B4080" s="5">
        <f t="shared" si="136"/>
        <v>2024</v>
      </c>
      <c r="C4080" s="9">
        <v>45353</v>
      </c>
      <c r="D4080">
        <v>11.25</v>
      </c>
    </row>
    <row r="4081" spans="1:4" x14ac:dyDescent="0.25">
      <c r="A4081" s="5">
        <f t="shared" si="135"/>
        <v>3</v>
      </c>
      <c r="B4081" s="5">
        <f t="shared" si="136"/>
        <v>2024</v>
      </c>
      <c r="C4081" s="9">
        <v>45354</v>
      </c>
      <c r="D4081">
        <v>11.25</v>
      </c>
    </row>
    <row r="4082" spans="1:4" x14ac:dyDescent="0.25">
      <c r="A4082" s="5">
        <f t="shared" si="135"/>
        <v>3</v>
      </c>
      <c r="B4082" s="5">
        <f t="shared" si="136"/>
        <v>2024</v>
      </c>
      <c r="C4082" s="9">
        <v>45355</v>
      </c>
      <c r="D4082">
        <v>11.25</v>
      </c>
    </row>
    <row r="4083" spans="1:4" x14ac:dyDescent="0.25">
      <c r="A4083" s="5">
        <f t="shared" si="135"/>
        <v>3</v>
      </c>
      <c r="B4083" s="5">
        <f t="shared" si="136"/>
        <v>2024</v>
      </c>
      <c r="C4083" s="9">
        <v>45356</v>
      </c>
      <c r="D4083">
        <v>11.25</v>
      </c>
    </row>
    <row r="4084" spans="1:4" x14ac:dyDescent="0.25">
      <c r="A4084" s="5">
        <f t="shared" si="135"/>
        <v>3</v>
      </c>
      <c r="B4084" s="5">
        <f t="shared" si="136"/>
        <v>2024</v>
      </c>
      <c r="C4084" s="9">
        <v>45357</v>
      </c>
      <c r="D4084">
        <v>11.25</v>
      </c>
    </row>
    <row r="4085" spans="1:4" x14ac:dyDescent="0.25">
      <c r="A4085" s="5">
        <f t="shared" si="135"/>
        <v>3</v>
      </c>
      <c r="B4085" s="5">
        <f t="shared" si="136"/>
        <v>2024</v>
      </c>
      <c r="C4085" s="9">
        <v>45358</v>
      </c>
      <c r="D4085">
        <v>11.25</v>
      </c>
    </row>
    <row r="4086" spans="1:4" x14ac:dyDescent="0.25">
      <c r="A4086" s="5">
        <f t="shared" si="135"/>
        <v>3</v>
      </c>
      <c r="B4086" s="5">
        <f t="shared" si="136"/>
        <v>2024</v>
      </c>
      <c r="C4086" s="9">
        <v>45359</v>
      </c>
      <c r="D4086">
        <v>11.25</v>
      </c>
    </row>
    <row r="4087" spans="1:4" x14ac:dyDescent="0.25">
      <c r="A4087" s="5">
        <f t="shared" si="135"/>
        <v>3</v>
      </c>
      <c r="B4087" s="5">
        <f t="shared" si="136"/>
        <v>2024</v>
      </c>
      <c r="C4087" s="9">
        <v>45360</v>
      </c>
      <c r="D4087">
        <v>11.25</v>
      </c>
    </row>
    <row r="4088" spans="1:4" x14ac:dyDescent="0.25">
      <c r="A4088" s="5">
        <f t="shared" si="135"/>
        <v>3</v>
      </c>
      <c r="B4088" s="5">
        <f t="shared" si="136"/>
        <v>2024</v>
      </c>
      <c r="C4088" s="9">
        <v>45361</v>
      </c>
      <c r="D4088">
        <v>11.25</v>
      </c>
    </row>
    <row r="4089" spans="1:4" x14ac:dyDescent="0.25">
      <c r="A4089" s="5">
        <f t="shared" si="135"/>
        <v>3</v>
      </c>
      <c r="B4089" s="5">
        <f t="shared" si="136"/>
        <v>2024</v>
      </c>
      <c r="C4089" s="9">
        <v>45362</v>
      </c>
      <c r="D4089">
        <v>11.25</v>
      </c>
    </row>
    <row r="4090" spans="1:4" x14ac:dyDescent="0.25">
      <c r="A4090" s="5">
        <f t="shared" si="135"/>
        <v>3</v>
      </c>
      <c r="B4090" s="5">
        <f t="shared" si="136"/>
        <v>2024</v>
      </c>
      <c r="C4090" s="9">
        <v>45363</v>
      </c>
      <c r="D4090">
        <v>11.25</v>
      </c>
    </row>
    <row r="4091" spans="1:4" x14ac:dyDescent="0.25">
      <c r="A4091" s="5">
        <f t="shared" si="135"/>
        <v>3</v>
      </c>
      <c r="B4091" s="5">
        <f t="shared" si="136"/>
        <v>2024</v>
      </c>
      <c r="C4091" s="9">
        <v>45364</v>
      </c>
      <c r="D4091">
        <v>11.25</v>
      </c>
    </row>
    <row r="4092" spans="1:4" x14ac:dyDescent="0.25">
      <c r="A4092" s="5">
        <f t="shared" si="135"/>
        <v>3</v>
      </c>
      <c r="B4092" s="5">
        <f t="shared" si="136"/>
        <v>2024</v>
      </c>
      <c r="C4092" s="9">
        <v>45365</v>
      </c>
      <c r="D4092">
        <v>11.25</v>
      </c>
    </row>
    <row r="4093" spans="1:4" x14ac:dyDescent="0.25">
      <c r="A4093" s="5">
        <f t="shared" si="135"/>
        <v>3</v>
      </c>
      <c r="B4093" s="5">
        <f t="shared" si="136"/>
        <v>2024</v>
      </c>
      <c r="C4093" s="9">
        <v>45366</v>
      </c>
      <c r="D4093">
        <v>11.25</v>
      </c>
    </row>
    <row r="4094" spans="1:4" x14ac:dyDescent="0.25">
      <c r="A4094" s="5">
        <f t="shared" si="135"/>
        <v>3</v>
      </c>
      <c r="B4094" s="5">
        <f t="shared" si="136"/>
        <v>2024</v>
      </c>
      <c r="C4094" s="9">
        <v>45367</v>
      </c>
      <c r="D4094">
        <v>11.25</v>
      </c>
    </row>
    <row r="4095" spans="1:4" x14ac:dyDescent="0.25">
      <c r="A4095" s="5">
        <f t="shared" si="135"/>
        <v>3</v>
      </c>
      <c r="B4095" s="5">
        <f t="shared" si="136"/>
        <v>2024</v>
      </c>
      <c r="C4095" s="9">
        <v>45368</v>
      </c>
      <c r="D4095">
        <v>11.25</v>
      </c>
    </row>
    <row r="4096" spans="1:4" x14ac:dyDescent="0.25">
      <c r="A4096" s="5">
        <f t="shared" si="135"/>
        <v>3</v>
      </c>
      <c r="B4096" s="5">
        <f t="shared" si="136"/>
        <v>2024</v>
      </c>
      <c r="C4096" s="9">
        <v>45369</v>
      </c>
      <c r="D4096">
        <v>11.25</v>
      </c>
    </row>
    <row r="4097" spans="1:4" x14ac:dyDescent="0.25">
      <c r="A4097" s="5">
        <f t="shared" si="135"/>
        <v>3</v>
      </c>
      <c r="B4097" s="5">
        <f t="shared" si="136"/>
        <v>2024</v>
      </c>
      <c r="C4097" s="9">
        <v>45370</v>
      </c>
      <c r="D4097">
        <v>11.25</v>
      </c>
    </row>
    <row r="4098" spans="1:4" x14ac:dyDescent="0.25">
      <c r="A4098" s="5">
        <f t="shared" si="135"/>
        <v>3</v>
      </c>
      <c r="B4098" s="5">
        <f t="shared" si="136"/>
        <v>2024</v>
      </c>
      <c r="C4098" s="9">
        <v>45371</v>
      </c>
      <c r="D4098">
        <v>11.25</v>
      </c>
    </row>
    <row r="4099" spans="1:4" x14ac:dyDescent="0.25">
      <c r="A4099" s="5">
        <f t="shared" ref="A4099:A4162" si="137">MONTH(C4099)</f>
        <v>3</v>
      </c>
      <c r="B4099" s="5">
        <f t="shared" ref="B4099:B4162" si="138">YEAR(C4099)</f>
        <v>2024</v>
      </c>
      <c r="C4099" s="9">
        <v>45372</v>
      </c>
      <c r="D4099">
        <v>10.75</v>
      </c>
    </row>
    <row r="4100" spans="1:4" x14ac:dyDescent="0.25">
      <c r="A4100" s="5">
        <f t="shared" si="137"/>
        <v>3</v>
      </c>
      <c r="B4100" s="5">
        <f t="shared" si="138"/>
        <v>2024</v>
      </c>
      <c r="C4100" s="9">
        <v>45373</v>
      </c>
      <c r="D4100">
        <v>10.75</v>
      </c>
    </row>
    <row r="4101" spans="1:4" x14ac:dyDescent="0.25">
      <c r="A4101" s="5">
        <f t="shared" si="137"/>
        <v>3</v>
      </c>
      <c r="B4101" s="5">
        <f t="shared" si="138"/>
        <v>2024</v>
      </c>
      <c r="C4101" s="9">
        <v>45374</v>
      </c>
      <c r="D4101">
        <v>10.75</v>
      </c>
    </row>
    <row r="4102" spans="1:4" x14ac:dyDescent="0.25">
      <c r="A4102" s="5">
        <f t="shared" si="137"/>
        <v>3</v>
      </c>
      <c r="B4102" s="5">
        <f t="shared" si="138"/>
        <v>2024</v>
      </c>
      <c r="C4102" s="9">
        <v>45375</v>
      </c>
      <c r="D4102">
        <v>10.75</v>
      </c>
    </row>
    <row r="4103" spans="1:4" x14ac:dyDescent="0.25">
      <c r="A4103" s="5">
        <f t="shared" si="137"/>
        <v>3</v>
      </c>
      <c r="B4103" s="5">
        <f t="shared" si="138"/>
        <v>2024</v>
      </c>
      <c r="C4103" s="9">
        <v>45376</v>
      </c>
      <c r="D4103">
        <v>10.75</v>
      </c>
    </row>
    <row r="4104" spans="1:4" x14ac:dyDescent="0.25">
      <c r="A4104" s="5">
        <f t="shared" si="137"/>
        <v>3</v>
      </c>
      <c r="B4104" s="5">
        <f t="shared" si="138"/>
        <v>2024</v>
      </c>
      <c r="C4104" s="9">
        <v>45377</v>
      </c>
      <c r="D4104">
        <v>10.75</v>
      </c>
    </row>
    <row r="4105" spans="1:4" x14ac:dyDescent="0.25">
      <c r="A4105" s="5">
        <f t="shared" si="137"/>
        <v>3</v>
      </c>
      <c r="B4105" s="5">
        <f t="shared" si="138"/>
        <v>2024</v>
      </c>
      <c r="C4105" s="9">
        <v>45378</v>
      </c>
      <c r="D4105">
        <v>10.75</v>
      </c>
    </row>
    <row r="4106" spans="1:4" x14ac:dyDescent="0.25">
      <c r="A4106" s="5">
        <f t="shared" si="137"/>
        <v>3</v>
      </c>
      <c r="B4106" s="5">
        <f t="shared" si="138"/>
        <v>2024</v>
      </c>
      <c r="C4106" s="9">
        <v>45379</v>
      </c>
      <c r="D4106">
        <v>10.75</v>
      </c>
    </row>
    <row r="4107" spans="1:4" x14ac:dyDescent="0.25">
      <c r="A4107" s="5">
        <f t="shared" si="137"/>
        <v>3</v>
      </c>
      <c r="B4107" s="5">
        <f t="shared" si="138"/>
        <v>2024</v>
      </c>
      <c r="C4107" s="9">
        <v>45380</v>
      </c>
      <c r="D4107">
        <v>10.75</v>
      </c>
    </row>
    <row r="4108" spans="1:4" x14ac:dyDescent="0.25">
      <c r="A4108" s="5">
        <f t="shared" si="137"/>
        <v>3</v>
      </c>
      <c r="B4108" s="5">
        <f t="shared" si="138"/>
        <v>2024</v>
      </c>
      <c r="C4108" s="9">
        <v>45381</v>
      </c>
      <c r="D4108">
        <v>10.75</v>
      </c>
    </row>
    <row r="4109" spans="1:4" x14ac:dyDescent="0.25">
      <c r="A4109" s="5">
        <f t="shared" si="137"/>
        <v>3</v>
      </c>
      <c r="B4109" s="5">
        <f t="shared" si="138"/>
        <v>2024</v>
      </c>
      <c r="C4109" s="9">
        <v>45382</v>
      </c>
      <c r="D4109">
        <v>10.75</v>
      </c>
    </row>
    <row r="4110" spans="1:4" x14ac:dyDescent="0.25">
      <c r="A4110" s="5">
        <f t="shared" si="137"/>
        <v>4</v>
      </c>
      <c r="B4110" s="5">
        <f t="shared" si="138"/>
        <v>2024</v>
      </c>
      <c r="C4110" s="9">
        <v>45383</v>
      </c>
      <c r="D4110">
        <v>10.75</v>
      </c>
    </row>
    <row r="4111" spans="1:4" x14ac:dyDescent="0.25">
      <c r="A4111" s="5">
        <f t="shared" si="137"/>
        <v>4</v>
      </c>
      <c r="B4111" s="5">
        <f t="shared" si="138"/>
        <v>2024</v>
      </c>
      <c r="C4111" s="9">
        <v>45384</v>
      </c>
      <c r="D4111">
        <v>10.75</v>
      </c>
    </row>
    <row r="4112" spans="1:4" x14ac:dyDescent="0.25">
      <c r="A4112" s="5">
        <f t="shared" si="137"/>
        <v>4</v>
      </c>
      <c r="B4112" s="5">
        <f t="shared" si="138"/>
        <v>2024</v>
      </c>
      <c r="C4112" s="9">
        <v>45385</v>
      </c>
      <c r="D4112">
        <v>10.75</v>
      </c>
    </row>
    <row r="4113" spans="1:4" x14ac:dyDescent="0.25">
      <c r="A4113" s="5">
        <f t="shared" si="137"/>
        <v>4</v>
      </c>
      <c r="B4113" s="5">
        <f t="shared" si="138"/>
        <v>2024</v>
      </c>
      <c r="C4113" s="9">
        <v>45386</v>
      </c>
      <c r="D4113">
        <v>10.75</v>
      </c>
    </row>
    <row r="4114" spans="1:4" x14ac:dyDescent="0.25">
      <c r="A4114" s="5">
        <f t="shared" si="137"/>
        <v>4</v>
      </c>
      <c r="B4114" s="5">
        <f t="shared" si="138"/>
        <v>2024</v>
      </c>
      <c r="C4114" s="9">
        <v>45387</v>
      </c>
      <c r="D4114">
        <v>10.75</v>
      </c>
    </row>
    <row r="4115" spans="1:4" x14ac:dyDescent="0.25">
      <c r="A4115" s="5">
        <f t="shared" si="137"/>
        <v>4</v>
      </c>
      <c r="B4115" s="5">
        <f t="shared" si="138"/>
        <v>2024</v>
      </c>
      <c r="C4115" s="9">
        <v>45388</v>
      </c>
      <c r="D4115">
        <v>10.75</v>
      </c>
    </row>
    <row r="4116" spans="1:4" x14ac:dyDescent="0.25">
      <c r="A4116" s="5">
        <f t="shared" si="137"/>
        <v>4</v>
      </c>
      <c r="B4116" s="5">
        <f t="shared" si="138"/>
        <v>2024</v>
      </c>
      <c r="C4116" s="9">
        <v>45389</v>
      </c>
      <c r="D4116">
        <v>10.75</v>
      </c>
    </row>
    <row r="4117" spans="1:4" x14ac:dyDescent="0.25">
      <c r="A4117" s="5">
        <f t="shared" si="137"/>
        <v>4</v>
      </c>
      <c r="B4117" s="5">
        <f t="shared" si="138"/>
        <v>2024</v>
      </c>
      <c r="C4117" s="9">
        <v>45390</v>
      </c>
      <c r="D4117">
        <v>10.75</v>
      </c>
    </row>
    <row r="4118" spans="1:4" x14ac:dyDescent="0.25">
      <c r="A4118" s="5">
        <f t="shared" si="137"/>
        <v>4</v>
      </c>
      <c r="B4118" s="5">
        <f t="shared" si="138"/>
        <v>2024</v>
      </c>
      <c r="C4118" s="9">
        <v>45391</v>
      </c>
      <c r="D4118">
        <v>10.75</v>
      </c>
    </row>
    <row r="4119" spans="1:4" x14ac:dyDescent="0.25">
      <c r="A4119" s="5">
        <f t="shared" si="137"/>
        <v>4</v>
      </c>
      <c r="B4119" s="5">
        <f t="shared" si="138"/>
        <v>2024</v>
      </c>
      <c r="C4119" s="9">
        <v>45392</v>
      </c>
      <c r="D4119">
        <v>10.75</v>
      </c>
    </row>
    <row r="4120" spans="1:4" x14ac:dyDescent="0.25">
      <c r="A4120" s="5">
        <f t="shared" si="137"/>
        <v>4</v>
      </c>
      <c r="B4120" s="5">
        <f t="shared" si="138"/>
        <v>2024</v>
      </c>
      <c r="C4120" s="9">
        <v>45393</v>
      </c>
      <c r="D4120">
        <v>10.75</v>
      </c>
    </row>
    <row r="4121" spans="1:4" x14ac:dyDescent="0.25">
      <c r="A4121" s="5">
        <f t="shared" si="137"/>
        <v>4</v>
      </c>
      <c r="B4121" s="5">
        <f t="shared" si="138"/>
        <v>2024</v>
      </c>
      <c r="C4121" s="9">
        <v>45394</v>
      </c>
      <c r="D4121">
        <v>10.75</v>
      </c>
    </row>
    <row r="4122" spans="1:4" x14ac:dyDescent="0.25">
      <c r="A4122" s="5">
        <f t="shared" si="137"/>
        <v>4</v>
      </c>
      <c r="B4122" s="5">
        <f t="shared" si="138"/>
        <v>2024</v>
      </c>
      <c r="C4122" s="9">
        <v>45395</v>
      </c>
      <c r="D4122">
        <v>10.75</v>
      </c>
    </row>
    <row r="4123" spans="1:4" x14ac:dyDescent="0.25">
      <c r="A4123" s="5">
        <f t="shared" si="137"/>
        <v>4</v>
      </c>
      <c r="B4123" s="5">
        <f t="shared" si="138"/>
        <v>2024</v>
      </c>
      <c r="C4123" s="9">
        <v>45396</v>
      </c>
      <c r="D4123">
        <v>10.75</v>
      </c>
    </row>
    <row r="4124" spans="1:4" x14ac:dyDescent="0.25">
      <c r="A4124" s="5">
        <f t="shared" si="137"/>
        <v>4</v>
      </c>
      <c r="B4124" s="5">
        <f t="shared" si="138"/>
        <v>2024</v>
      </c>
      <c r="C4124" s="9">
        <v>45397</v>
      </c>
      <c r="D4124">
        <v>10.75</v>
      </c>
    </row>
    <row r="4125" spans="1:4" x14ac:dyDescent="0.25">
      <c r="A4125" s="5">
        <f t="shared" si="137"/>
        <v>4</v>
      </c>
      <c r="B4125" s="5">
        <f t="shared" si="138"/>
        <v>2024</v>
      </c>
      <c r="C4125" s="9">
        <v>45398</v>
      </c>
      <c r="D4125">
        <v>10.75</v>
      </c>
    </row>
    <row r="4126" spans="1:4" x14ac:dyDescent="0.25">
      <c r="A4126" s="5">
        <f t="shared" si="137"/>
        <v>4</v>
      </c>
      <c r="B4126" s="5">
        <f t="shared" si="138"/>
        <v>2024</v>
      </c>
      <c r="C4126" s="9">
        <v>45399</v>
      </c>
      <c r="D4126">
        <v>10.75</v>
      </c>
    </row>
    <row r="4127" spans="1:4" x14ac:dyDescent="0.25">
      <c r="A4127" s="5">
        <f t="shared" si="137"/>
        <v>4</v>
      </c>
      <c r="B4127" s="5">
        <f t="shared" si="138"/>
        <v>2024</v>
      </c>
      <c r="C4127" s="9">
        <v>45400</v>
      </c>
      <c r="D4127">
        <v>10.75</v>
      </c>
    </row>
    <row r="4128" spans="1:4" x14ac:dyDescent="0.25">
      <c r="A4128" s="5">
        <f t="shared" si="137"/>
        <v>4</v>
      </c>
      <c r="B4128" s="5">
        <f t="shared" si="138"/>
        <v>2024</v>
      </c>
      <c r="C4128" s="9">
        <v>45401</v>
      </c>
      <c r="D4128">
        <v>10.75</v>
      </c>
    </row>
    <row r="4129" spans="1:4" x14ac:dyDescent="0.25">
      <c r="A4129" s="5">
        <f t="shared" si="137"/>
        <v>4</v>
      </c>
      <c r="B4129" s="5">
        <f t="shared" si="138"/>
        <v>2024</v>
      </c>
      <c r="C4129" s="9">
        <v>45402</v>
      </c>
      <c r="D4129">
        <v>10.75</v>
      </c>
    </row>
    <row r="4130" spans="1:4" x14ac:dyDescent="0.25">
      <c r="A4130" s="5">
        <f t="shared" si="137"/>
        <v>4</v>
      </c>
      <c r="B4130" s="5">
        <f t="shared" si="138"/>
        <v>2024</v>
      </c>
      <c r="C4130" s="9">
        <v>45403</v>
      </c>
      <c r="D4130">
        <v>10.75</v>
      </c>
    </row>
    <row r="4131" spans="1:4" x14ac:dyDescent="0.25">
      <c r="A4131" s="5">
        <f t="shared" si="137"/>
        <v>4</v>
      </c>
      <c r="B4131" s="5">
        <f t="shared" si="138"/>
        <v>2024</v>
      </c>
      <c r="C4131" s="9">
        <v>45404</v>
      </c>
      <c r="D4131">
        <v>10.75</v>
      </c>
    </row>
    <row r="4132" spans="1:4" x14ac:dyDescent="0.25">
      <c r="A4132" s="5">
        <f t="shared" si="137"/>
        <v>4</v>
      </c>
      <c r="B4132" s="5">
        <f t="shared" si="138"/>
        <v>2024</v>
      </c>
      <c r="C4132" s="9">
        <v>45405</v>
      </c>
      <c r="D4132">
        <v>10.75</v>
      </c>
    </row>
    <row r="4133" spans="1:4" x14ac:dyDescent="0.25">
      <c r="A4133" s="5">
        <f t="shared" si="137"/>
        <v>4</v>
      </c>
      <c r="B4133" s="5">
        <f t="shared" si="138"/>
        <v>2024</v>
      </c>
      <c r="C4133" s="9">
        <v>45406</v>
      </c>
      <c r="D4133">
        <v>10.75</v>
      </c>
    </row>
    <row r="4134" spans="1:4" x14ac:dyDescent="0.25">
      <c r="A4134" s="5">
        <f t="shared" si="137"/>
        <v>4</v>
      </c>
      <c r="B4134" s="5">
        <f t="shared" si="138"/>
        <v>2024</v>
      </c>
      <c r="C4134" s="9">
        <v>45407</v>
      </c>
      <c r="D4134">
        <v>10.75</v>
      </c>
    </row>
    <row r="4135" spans="1:4" x14ac:dyDescent="0.25">
      <c r="A4135" s="5">
        <f t="shared" si="137"/>
        <v>4</v>
      </c>
      <c r="B4135" s="5">
        <f t="shared" si="138"/>
        <v>2024</v>
      </c>
      <c r="C4135" s="9">
        <v>45408</v>
      </c>
      <c r="D4135">
        <v>10.75</v>
      </c>
    </row>
    <row r="4136" spans="1:4" x14ac:dyDescent="0.25">
      <c r="A4136" s="5">
        <f t="shared" si="137"/>
        <v>4</v>
      </c>
      <c r="B4136" s="5">
        <f t="shared" si="138"/>
        <v>2024</v>
      </c>
      <c r="C4136" s="9">
        <v>45409</v>
      </c>
      <c r="D4136">
        <v>10.75</v>
      </c>
    </row>
    <row r="4137" spans="1:4" x14ac:dyDescent="0.25">
      <c r="A4137" s="5">
        <f t="shared" si="137"/>
        <v>4</v>
      </c>
      <c r="B4137" s="5">
        <f t="shared" si="138"/>
        <v>2024</v>
      </c>
      <c r="C4137" s="9">
        <v>45410</v>
      </c>
      <c r="D4137">
        <v>10.75</v>
      </c>
    </row>
    <row r="4138" spans="1:4" x14ac:dyDescent="0.25">
      <c r="A4138" s="5">
        <f t="shared" si="137"/>
        <v>4</v>
      </c>
      <c r="B4138" s="5">
        <f t="shared" si="138"/>
        <v>2024</v>
      </c>
      <c r="C4138" s="9">
        <v>45411</v>
      </c>
      <c r="D4138">
        <v>10.75</v>
      </c>
    </row>
    <row r="4139" spans="1:4" x14ac:dyDescent="0.25">
      <c r="A4139" s="5">
        <f t="shared" si="137"/>
        <v>4</v>
      </c>
      <c r="B4139" s="5">
        <f t="shared" si="138"/>
        <v>2024</v>
      </c>
      <c r="C4139" s="9">
        <v>45412</v>
      </c>
      <c r="D4139">
        <v>10.75</v>
      </c>
    </row>
    <row r="4140" spans="1:4" x14ac:dyDescent="0.25">
      <c r="A4140" s="5">
        <f t="shared" si="137"/>
        <v>5</v>
      </c>
      <c r="B4140" s="5">
        <f t="shared" si="138"/>
        <v>2024</v>
      </c>
      <c r="C4140" s="9">
        <v>45413</v>
      </c>
      <c r="D4140">
        <v>10.75</v>
      </c>
    </row>
    <row r="4141" spans="1:4" x14ac:dyDescent="0.25">
      <c r="A4141" s="5">
        <f t="shared" si="137"/>
        <v>5</v>
      </c>
      <c r="B4141" s="5">
        <f t="shared" si="138"/>
        <v>2024</v>
      </c>
      <c r="C4141" s="9">
        <v>45414</v>
      </c>
      <c r="D4141">
        <v>10.75</v>
      </c>
    </row>
    <row r="4142" spans="1:4" x14ac:dyDescent="0.25">
      <c r="A4142" s="5">
        <f t="shared" si="137"/>
        <v>5</v>
      </c>
      <c r="B4142" s="5">
        <f t="shared" si="138"/>
        <v>2024</v>
      </c>
      <c r="C4142" s="9">
        <v>45415</v>
      </c>
      <c r="D4142">
        <v>10.75</v>
      </c>
    </row>
    <row r="4143" spans="1:4" x14ac:dyDescent="0.25">
      <c r="A4143" s="5">
        <f t="shared" si="137"/>
        <v>5</v>
      </c>
      <c r="B4143" s="5">
        <f t="shared" si="138"/>
        <v>2024</v>
      </c>
      <c r="C4143" s="9">
        <v>45416</v>
      </c>
      <c r="D4143">
        <v>10.75</v>
      </c>
    </row>
    <row r="4144" spans="1:4" x14ac:dyDescent="0.25">
      <c r="A4144" s="5">
        <f t="shared" si="137"/>
        <v>5</v>
      </c>
      <c r="B4144" s="5">
        <f t="shared" si="138"/>
        <v>2024</v>
      </c>
      <c r="C4144" s="9">
        <v>45417</v>
      </c>
      <c r="D4144">
        <v>10.75</v>
      </c>
    </row>
    <row r="4145" spans="1:4" x14ac:dyDescent="0.25">
      <c r="A4145" s="5">
        <f t="shared" si="137"/>
        <v>5</v>
      </c>
      <c r="B4145" s="5">
        <f t="shared" si="138"/>
        <v>2024</v>
      </c>
      <c r="C4145" s="9">
        <v>45418</v>
      </c>
      <c r="D4145">
        <v>10.75</v>
      </c>
    </row>
    <row r="4146" spans="1:4" x14ac:dyDescent="0.25">
      <c r="A4146" s="5">
        <f t="shared" si="137"/>
        <v>5</v>
      </c>
      <c r="B4146" s="5">
        <f t="shared" si="138"/>
        <v>2024</v>
      </c>
      <c r="C4146" s="9">
        <v>45419</v>
      </c>
      <c r="D4146">
        <v>10.75</v>
      </c>
    </row>
    <row r="4147" spans="1:4" x14ac:dyDescent="0.25">
      <c r="A4147" s="5">
        <f t="shared" si="137"/>
        <v>5</v>
      </c>
      <c r="B4147" s="5">
        <f t="shared" si="138"/>
        <v>2024</v>
      </c>
      <c r="C4147" s="9">
        <v>45420</v>
      </c>
      <c r="D4147">
        <v>10.75</v>
      </c>
    </row>
    <row r="4148" spans="1:4" x14ac:dyDescent="0.25">
      <c r="A4148" s="5">
        <f t="shared" si="137"/>
        <v>5</v>
      </c>
      <c r="B4148" s="5">
        <f t="shared" si="138"/>
        <v>2024</v>
      </c>
      <c r="C4148" s="9">
        <v>45421</v>
      </c>
      <c r="D4148">
        <v>10.5</v>
      </c>
    </row>
    <row r="4149" spans="1:4" x14ac:dyDescent="0.25">
      <c r="A4149" s="5">
        <f t="shared" si="137"/>
        <v>5</v>
      </c>
      <c r="B4149" s="5">
        <f t="shared" si="138"/>
        <v>2024</v>
      </c>
      <c r="C4149" s="9">
        <v>45422</v>
      </c>
      <c r="D4149">
        <v>10.5</v>
      </c>
    </row>
    <row r="4150" spans="1:4" x14ac:dyDescent="0.25">
      <c r="A4150" s="5">
        <f t="shared" si="137"/>
        <v>5</v>
      </c>
      <c r="B4150" s="5">
        <f t="shared" si="138"/>
        <v>2024</v>
      </c>
      <c r="C4150" s="9">
        <v>45423</v>
      </c>
      <c r="D4150">
        <v>10.5</v>
      </c>
    </row>
    <row r="4151" spans="1:4" x14ac:dyDescent="0.25">
      <c r="A4151" s="5">
        <f t="shared" si="137"/>
        <v>5</v>
      </c>
      <c r="B4151" s="5">
        <f t="shared" si="138"/>
        <v>2024</v>
      </c>
      <c r="C4151" s="9">
        <v>45424</v>
      </c>
      <c r="D4151">
        <v>10.5</v>
      </c>
    </row>
    <row r="4152" spans="1:4" x14ac:dyDescent="0.25">
      <c r="A4152" s="5">
        <f t="shared" si="137"/>
        <v>5</v>
      </c>
      <c r="B4152" s="5">
        <f t="shared" si="138"/>
        <v>2024</v>
      </c>
      <c r="C4152" s="9">
        <v>45425</v>
      </c>
      <c r="D4152">
        <v>10.5</v>
      </c>
    </row>
    <row r="4153" spans="1:4" x14ac:dyDescent="0.25">
      <c r="A4153" s="5">
        <f t="shared" si="137"/>
        <v>5</v>
      </c>
      <c r="B4153" s="5">
        <f t="shared" si="138"/>
        <v>2024</v>
      </c>
      <c r="C4153" s="9">
        <v>45426</v>
      </c>
      <c r="D4153">
        <v>10.5</v>
      </c>
    </row>
    <row r="4154" spans="1:4" x14ac:dyDescent="0.25">
      <c r="A4154" s="5">
        <f t="shared" si="137"/>
        <v>5</v>
      </c>
      <c r="B4154" s="5">
        <f t="shared" si="138"/>
        <v>2024</v>
      </c>
      <c r="C4154" s="9">
        <v>45427</v>
      </c>
      <c r="D4154">
        <v>10.5</v>
      </c>
    </row>
    <row r="4155" spans="1:4" x14ac:dyDescent="0.25">
      <c r="A4155" s="5">
        <f t="shared" si="137"/>
        <v>5</v>
      </c>
      <c r="B4155" s="5">
        <f t="shared" si="138"/>
        <v>2024</v>
      </c>
      <c r="C4155" s="9">
        <v>45428</v>
      </c>
      <c r="D4155">
        <v>10.5</v>
      </c>
    </row>
    <row r="4156" spans="1:4" x14ac:dyDescent="0.25">
      <c r="A4156" s="5">
        <f t="shared" si="137"/>
        <v>5</v>
      </c>
      <c r="B4156" s="5">
        <f t="shared" si="138"/>
        <v>2024</v>
      </c>
      <c r="C4156" s="9">
        <v>45429</v>
      </c>
      <c r="D4156">
        <v>10.5</v>
      </c>
    </row>
    <row r="4157" spans="1:4" x14ac:dyDescent="0.25">
      <c r="A4157" s="5">
        <f t="shared" si="137"/>
        <v>5</v>
      </c>
      <c r="B4157" s="5">
        <f t="shared" si="138"/>
        <v>2024</v>
      </c>
      <c r="C4157" s="9">
        <v>45430</v>
      </c>
      <c r="D4157">
        <v>10.5</v>
      </c>
    </row>
    <row r="4158" spans="1:4" x14ac:dyDescent="0.25">
      <c r="A4158" s="5">
        <f t="shared" si="137"/>
        <v>5</v>
      </c>
      <c r="B4158" s="5">
        <f t="shared" si="138"/>
        <v>2024</v>
      </c>
      <c r="C4158" s="9">
        <v>45431</v>
      </c>
      <c r="D4158">
        <v>10.5</v>
      </c>
    </row>
    <row r="4159" spans="1:4" x14ac:dyDescent="0.25">
      <c r="A4159" s="5">
        <f t="shared" si="137"/>
        <v>5</v>
      </c>
      <c r="B4159" s="5">
        <f t="shared" si="138"/>
        <v>2024</v>
      </c>
      <c r="C4159" s="9">
        <v>45432</v>
      </c>
      <c r="D4159">
        <v>10.5</v>
      </c>
    </row>
    <row r="4160" spans="1:4" x14ac:dyDescent="0.25">
      <c r="A4160" s="5">
        <f t="shared" si="137"/>
        <v>5</v>
      </c>
      <c r="B4160" s="5">
        <f t="shared" si="138"/>
        <v>2024</v>
      </c>
      <c r="C4160" s="9">
        <v>45433</v>
      </c>
      <c r="D4160">
        <v>10.5</v>
      </c>
    </row>
    <row r="4161" spans="1:4" x14ac:dyDescent="0.25">
      <c r="A4161" s="5">
        <f t="shared" si="137"/>
        <v>5</v>
      </c>
      <c r="B4161" s="5">
        <f t="shared" si="138"/>
        <v>2024</v>
      </c>
      <c r="C4161" s="9">
        <v>45434</v>
      </c>
      <c r="D4161">
        <v>10.5</v>
      </c>
    </row>
    <row r="4162" spans="1:4" x14ac:dyDescent="0.25">
      <c r="A4162" s="5">
        <f t="shared" si="137"/>
        <v>5</v>
      </c>
      <c r="B4162" s="5">
        <f t="shared" si="138"/>
        <v>2024</v>
      </c>
      <c r="C4162" s="9">
        <v>45435</v>
      </c>
      <c r="D4162">
        <v>10.5</v>
      </c>
    </row>
    <row r="4163" spans="1:4" x14ac:dyDescent="0.25">
      <c r="A4163" s="5">
        <f t="shared" ref="A4163:A4226" si="139">MONTH(C4163)</f>
        <v>5</v>
      </c>
      <c r="B4163" s="5">
        <f t="shared" ref="B4163:B4226" si="140">YEAR(C4163)</f>
        <v>2024</v>
      </c>
      <c r="C4163" s="9">
        <v>45436</v>
      </c>
      <c r="D4163">
        <v>10.5</v>
      </c>
    </row>
    <row r="4164" spans="1:4" x14ac:dyDescent="0.25">
      <c r="A4164" s="5">
        <f t="shared" si="139"/>
        <v>5</v>
      </c>
      <c r="B4164" s="5">
        <f t="shared" si="140"/>
        <v>2024</v>
      </c>
      <c r="C4164" s="9">
        <v>45437</v>
      </c>
      <c r="D4164">
        <v>10.5</v>
      </c>
    </row>
    <row r="4165" spans="1:4" x14ac:dyDescent="0.25">
      <c r="A4165" s="5">
        <f t="shared" si="139"/>
        <v>5</v>
      </c>
      <c r="B4165" s="5">
        <f t="shared" si="140"/>
        <v>2024</v>
      </c>
      <c r="C4165" s="9">
        <v>45438</v>
      </c>
      <c r="D4165">
        <v>10.5</v>
      </c>
    </row>
    <row r="4166" spans="1:4" x14ac:dyDescent="0.25">
      <c r="A4166" s="5">
        <f t="shared" si="139"/>
        <v>5</v>
      </c>
      <c r="B4166" s="5">
        <f t="shared" si="140"/>
        <v>2024</v>
      </c>
      <c r="C4166" s="9">
        <v>45439</v>
      </c>
      <c r="D4166">
        <v>10.5</v>
      </c>
    </row>
    <row r="4167" spans="1:4" x14ac:dyDescent="0.25">
      <c r="A4167" s="5">
        <f t="shared" si="139"/>
        <v>5</v>
      </c>
      <c r="B4167" s="5">
        <f t="shared" si="140"/>
        <v>2024</v>
      </c>
      <c r="C4167" s="9">
        <v>45440</v>
      </c>
      <c r="D4167">
        <v>10.5</v>
      </c>
    </row>
    <row r="4168" spans="1:4" x14ac:dyDescent="0.25">
      <c r="A4168" s="5">
        <f t="shared" si="139"/>
        <v>5</v>
      </c>
      <c r="B4168" s="5">
        <f t="shared" si="140"/>
        <v>2024</v>
      </c>
      <c r="C4168" s="9">
        <v>45441</v>
      </c>
      <c r="D4168">
        <v>10.5</v>
      </c>
    </row>
    <row r="4169" spans="1:4" x14ac:dyDescent="0.25">
      <c r="A4169" s="5">
        <f t="shared" si="139"/>
        <v>5</v>
      </c>
      <c r="B4169" s="5">
        <f t="shared" si="140"/>
        <v>2024</v>
      </c>
      <c r="C4169" s="9">
        <v>45442</v>
      </c>
      <c r="D4169">
        <v>10.5</v>
      </c>
    </row>
    <row r="4170" spans="1:4" x14ac:dyDescent="0.25">
      <c r="A4170" s="5">
        <f t="shared" si="139"/>
        <v>5</v>
      </c>
      <c r="B4170" s="5">
        <f t="shared" si="140"/>
        <v>2024</v>
      </c>
      <c r="C4170" s="9">
        <v>45443</v>
      </c>
      <c r="D4170">
        <v>10.5</v>
      </c>
    </row>
    <row r="4171" spans="1:4" x14ac:dyDescent="0.25">
      <c r="A4171" s="5">
        <f t="shared" si="139"/>
        <v>6</v>
      </c>
      <c r="B4171" s="5">
        <f t="shared" si="140"/>
        <v>2024</v>
      </c>
      <c r="C4171" s="9">
        <v>45444</v>
      </c>
      <c r="D4171">
        <v>10.5</v>
      </c>
    </row>
    <row r="4172" spans="1:4" x14ac:dyDescent="0.25">
      <c r="A4172" s="5">
        <f t="shared" si="139"/>
        <v>6</v>
      </c>
      <c r="B4172" s="5">
        <f t="shared" si="140"/>
        <v>2024</v>
      </c>
      <c r="C4172" s="9">
        <v>45445</v>
      </c>
      <c r="D4172">
        <v>10.5</v>
      </c>
    </row>
    <row r="4173" spans="1:4" x14ac:dyDescent="0.25">
      <c r="A4173" s="5">
        <f t="shared" si="139"/>
        <v>6</v>
      </c>
      <c r="B4173" s="5">
        <f t="shared" si="140"/>
        <v>2024</v>
      </c>
      <c r="C4173" s="9">
        <v>45446</v>
      </c>
      <c r="D4173">
        <v>10.5</v>
      </c>
    </row>
    <row r="4174" spans="1:4" x14ac:dyDescent="0.25">
      <c r="A4174" s="5">
        <f t="shared" si="139"/>
        <v>6</v>
      </c>
      <c r="B4174" s="5">
        <f t="shared" si="140"/>
        <v>2024</v>
      </c>
      <c r="C4174" s="9">
        <v>45447</v>
      </c>
      <c r="D4174">
        <v>10.5</v>
      </c>
    </row>
    <row r="4175" spans="1:4" x14ac:dyDescent="0.25">
      <c r="A4175" s="5">
        <f t="shared" si="139"/>
        <v>6</v>
      </c>
      <c r="B4175" s="5">
        <f t="shared" si="140"/>
        <v>2024</v>
      </c>
      <c r="C4175" s="9">
        <v>45448</v>
      </c>
      <c r="D4175">
        <v>10.5</v>
      </c>
    </row>
    <row r="4176" spans="1:4" x14ac:dyDescent="0.25">
      <c r="A4176" s="5">
        <f t="shared" si="139"/>
        <v>6</v>
      </c>
      <c r="B4176" s="5">
        <f t="shared" si="140"/>
        <v>2024</v>
      </c>
      <c r="C4176" s="9">
        <v>45449</v>
      </c>
      <c r="D4176">
        <v>10.5</v>
      </c>
    </row>
    <row r="4177" spans="1:4" x14ac:dyDescent="0.25">
      <c r="A4177" s="5">
        <f t="shared" si="139"/>
        <v>6</v>
      </c>
      <c r="B4177" s="5">
        <f t="shared" si="140"/>
        <v>2024</v>
      </c>
      <c r="C4177" s="9">
        <v>45450</v>
      </c>
      <c r="D4177">
        <v>10.5</v>
      </c>
    </row>
    <row r="4178" spans="1:4" x14ac:dyDescent="0.25">
      <c r="A4178" s="5">
        <f t="shared" si="139"/>
        <v>6</v>
      </c>
      <c r="B4178" s="5">
        <f t="shared" si="140"/>
        <v>2024</v>
      </c>
      <c r="C4178" s="9">
        <v>45451</v>
      </c>
      <c r="D4178">
        <v>10.5</v>
      </c>
    </row>
    <row r="4179" spans="1:4" x14ac:dyDescent="0.25">
      <c r="A4179" s="5">
        <f t="shared" si="139"/>
        <v>6</v>
      </c>
      <c r="B4179" s="5">
        <f t="shared" si="140"/>
        <v>2024</v>
      </c>
      <c r="C4179" s="9">
        <v>45452</v>
      </c>
      <c r="D4179">
        <v>10.5</v>
      </c>
    </row>
    <row r="4180" spans="1:4" x14ac:dyDescent="0.25">
      <c r="A4180" s="5">
        <f t="shared" si="139"/>
        <v>6</v>
      </c>
      <c r="B4180" s="5">
        <f t="shared" si="140"/>
        <v>2024</v>
      </c>
      <c r="C4180" s="9">
        <v>45453</v>
      </c>
      <c r="D4180">
        <v>10.5</v>
      </c>
    </row>
    <row r="4181" spans="1:4" x14ac:dyDescent="0.25">
      <c r="A4181" s="5">
        <f t="shared" si="139"/>
        <v>6</v>
      </c>
      <c r="B4181" s="5">
        <f t="shared" si="140"/>
        <v>2024</v>
      </c>
      <c r="C4181" s="9">
        <v>45454</v>
      </c>
      <c r="D4181">
        <v>10.5</v>
      </c>
    </row>
    <row r="4182" spans="1:4" x14ac:dyDescent="0.25">
      <c r="A4182" s="5">
        <f t="shared" si="139"/>
        <v>6</v>
      </c>
      <c r="B4182" s="5">
        <f t="shared" si="140"/>
        <v>2024</v>
      </c>
      <c r="C4182" s="9">
        <v>45455</v>
      </c>
      <c r="D4182">
        <v>10.5</v>
      </c>
    </row>
    <row r="4183" spans="1:4" x14ac:dyDescent="0.25">
      <c r="A4183" s="5">
        <f t="shared" si="139"/>
        <v>6</v>
      </c>
      <c r="B4183" s="5">
        <f t="shared" si="140"/>
        <v>2024</v>
      </c>
      <c r="C4183" s="9">
        <v>45456</v>
      </c>
      <c r="D4183">
        <v>10.5</v>
      </c>
    </row>
    <row r="4184" spans="1:4" x14ac:dyDescent="0.25">
      <c r="A4184" s="5">
        <f t="shared" si="139"/>
        <v>6</v>
      </c>
      <c r="B4184" s="5">
        <f t="shared" si="140"/>
        <v>2024</v>
      </c>
      <c r="C4184" s="9">
        <v>45457</v>
      </c>
      <c r="D4184">
        <v>10.5</v>
      </c>
    </row>
    <row r="4185" spans="1:4" x14ac:dyDescent="0.25">
      <c r="A4185" s="5">
        <f t="shared" si="139"/>
        <v>6</v>
      </c>
      <c r="B4185" s="5">
        <f t="shared" si="140"/>
        <v>2024</v>
      </c>
      <c r="C4185" s="9">
        <v>45458</v>
      </c>
      <c r="D4185">
        <v>10.5</v>
      </c>
    </row>
    <row r="4186" spans="1:4" x14ac:dyDescent="0.25">
      <c r="A4186" s="5">
        <f t="shared" si="139"/>
        <v>6</v>
      </c>
      <c r="B4186" s="5">
        <f t="shared" si="140"/>
        <v>2024</v>
      </c>
      <c r="C4186" s="9">
        <v>45459</v>
      </c>
      <c r="D4186">
        <v>10.5</v>
      </c>
    </row>
    <row r="4187" spans="1:4" x14ac:dyDescent="0.25">
      <c r="A4187" s="5">
        <f t="shared" si="139"/>
        <v>6</v>
      </c>
      <c r="B4187" s="5">
        <f t="shared" si="140"/>
        <v>2024</v>
      </c>
      <c r="C4187" s="9">
        <v>45460</v>
      </c>
      <c r="D4187">
        <v>10.5</v>
      </c>
    </row>
    <row r="4188" spans="1:4" x14ac:dyDescent="0.25">
      <c r="A4188" s="5">
        <f t="shared" si="139"/>
        <v>6</v>
      </c>
      <c r="B4188" s="5">
        <f t="shared" si="140"/>
        <v>2024</v>
      </c>
      <c r="C4188" s="9">
        <v>45461</v>
      </c>
      <c r="D4188">
        <v>10.5</v>
      </c>
    </row>
    <row r="4189" spans="1:4" x14ac:dyDescent="0.25">
      <c r="A4189" s="5">
        <f t="shared" si="139"/>
        <v>6</v>
      </c>
      <c r="B4189" s="5">
        <f t="shared" si="140"/>
        <v>2024</v>
      </c>
      <c r="C4189" s="9">
        <v>45462</v>
      </c>
      <c r="D4189">
        <v>10.5</v>
      </c>
    </row>
    <row r="4190" spans="1:4" x14ac:dyDescent="0.25">
      <c r="A4190" s="5">
        <f t="shared" si="139"/>
        <v>6</v>
      </c>
      <c r="B4190" s="5">
        <f t="shared" si="140"/>
        <v>2024</v>
      </c>
      <c r="C4190" s="9">
        <v>45463</v>
      </c>
      <c r="D4190">
        <v>10.5</v>
      </c>
    </row>
    <row r="4191" spans="1:4" x14ac:dyDescent="0.25">
      <c r="A4191" s="5">
        <f t="shared" si="139"/>
        <v>6</v>
      </c>
      <c r="B4191" s="5">
        <f t="shared" si="140"/>
        <v>2024</v>
      </c>
      <c r="C4191" s="9">
        <v>45464</v>
      </c>
      <c r="D4191">
        <v>10.5</v>
      </c>
    </row>
    <row r="4192" spans="1:4" x14ac:dyDescent="0.25">
      <c r="A4192" s="5">
        <f t="shared" si="139"/>
        <v>6</v>
      </c>
      <c r="B4192" s="5">
        <f t="shared" si="140"/>
        <v>2024</v>
      </c>
      <c r="C4192" s="9">
        <v>45465</v>
      </c>
      <c r="D4192">
        <v>10.5</v>
      </c>
    </row>
    <row r="4193" spans="1:4" x14ac:dyDescent="0.25">
      <c r="A4193" s="5">
        <f t="shared" si="139"/>
        <v>6</v>
      </c>
      <c r="B4193" s="5">
        <f t="shared" si="140"/>
        <v>2024</v>
      </c>
      <c r="C4193" s="9">
        <v>45466</v>
      </c>
      <c r="D4193">
        <v>10.5</v>
      </c>
    </row>
    <row r="4194" spans="1:4" x14ac:dyDescent="0.25">
      <c r="A4194" s="5">
        <f t="shared" si="139"/>
        <v>6</v>
      </c>
      <c r="B4194" s="5">
        <f t="shared" si="140"/>
        <v>2024</v>
      </c>
      <c r="C4194" s="9">
        <v>45467</v>
      </c>
      <c r="D4194">
        <v>10.5</v>
      </c>
    </row>
    <row r="4195" spans="1:4" x14ac:dyDescent="0.25">
      <c r="A4195" s="5">
        <f t="shared" si="139"/>
        <v>6</v>
      </c>
      <c r="B4195" s="5">
        <f t="shared" si="140"/>
        <v>2024</v>
      </c>
      <c r="C4195" s="9">
        <v>45468</v>
      </c>
      <c r="D4195">
        <v>10.5</v>
      </c>
    </row>
    <row r="4196" spans="1:4" x14ac:dyDescent="0.25">
      <c r="A4196" s="5">
        <f t="shared" si="139"/>
        <v>6</v>
      </c>
      <c r="B4196" s="5">
        <f t="shared" si="140"/>
        <v>2024</v>
      </c>
      <c r="C4196" s="9">
        <v>45469</v>
      </c>
      <c r="D4196">
        <v>10.5</v>
      </c>
    </row>
    <row r="4197" spans="1:4" x14ac:dyDescent="0.25">
      <c r="A4197" s="5">
        <f t="shared" si="139"/>
        <v>6</v>
      </c>
      <c r="B4197" s="5">
        <f t="shared" si="140"/>
        <v>2024</v>
      </c>
      <c r="C4197" s="9">
        <v>45470</v>
      </c>
      <c r="D4197">
        <v>10.5</v>
      </c>
    </row>
    <row r="4198" spans="1:4" x14ac:dyDescent="0.25">
      <c r="A4198" s="5">
        <f t="shared" si="139"/>
        <v>6</v>
      </c>
      <c r="B4198" s="5">
        <f t="shared" si="140"/>
        <v>2024</v>
      </c>
      <c r="C4198" s="9">
        <v>45471</v>
      </c>
      <c r="D4198">
        <v>10.5</v>
      </c>
    </row>
    <row r="4199" spans="1:4" x14ac:dyDescent="0.25">
      <c r="A4199" s="5">
        <f t="shared" si="139"/>
        <v>6</v>
      </c>
      <c r="B4199" s="5">
        <f t="shared" si="140"/>
        <v>2024</v>
      </c>
      <c r="C4199" s="9">
        <v>45472</v>
      </c>
      <c r="D4199">
        <v>10.5</v>
      </c>
    </row>
    <row r="4200" spans="1:4" x14ac:dyDescent="0.25">
      <c r="A4200" s="5">
        <f t="shared" si="139"/>
        <v>6</v>
      </c>
      <c r="B4200" s="5">
        <f t="shared" si="140"/>
        <v>2024</v>
      </c>
      <c r="C4200" s="9">
        <v>45473</v>
      </c>
      <c r="D4200">
        <v>10.5</v>
      </c>
    </row>
    <row r="4201" spans="1:4" x14ac:dyDescent="0.25">
      <c r="A4201" s="5">
        <f t="shared" si="139"/>
        <v>7</v>
      </c>
      <c r="B4201" s="5">
        <f t="shared" si="140"/>
        <v>2024</v>
      </c>
      <c r="C4201" s="9">
        <v>45474</v>
      </c>
      <c r="D4201">
        <v>10.5</v>
      </c>
    </row>
    <row r="4202" spans="1:4" x14ac:dyDescent="0.25">
      <c r="A4202" s="5">
        <f t="shared" si="139"/>
        <v>7</v>
      </c>
      <c r="B4202" s="5">
        <f t="shared" si="140"/>
        <v>2024</v>
      </c>
      <c r="C4202" s="9">
        <v>45475</v>
      </c>
      <c r="D4202">
        <v>10.5</v>
      </c>
    </row>
    <row r="4203" spans="1:4" x14ac:dyDescent="0.25">
      <c r="A4203" s="5">
        <f t="shared" si="139"/>
        <v>7</v>
      </c>
      <c r="B4203" s="5">
        <f t="shared" si="140"/>
        <v>2024</v>
      </c>
      <c r="C4203" s="9">
        <v>45476</v>
      </c>
      <c r="D4203">
        <v>10.5</v>
      </c>
    </row>
    <row r="4204" spans="1:4" x14ac:dyDescent="0.25">
      <c r="A4204" s="5">
        <f t="shared" si="139"/>
        <v>7</v>
      </c>
      <c r="B4204" s="5">
        <f t="shared" si="140"/>
        <v>2024</v>
      </c>
      <c r="C4204" s="9">
        <v>45477</v>
      </c>
      <c r="D4204">
        <v>10.5</v>
      </c>
    </row>
    <row r="4205" spans="1:4" x14ac:dyDescent="0.25">
      <c r="A4205" s="5">
        <f t="shared" si="139"/>
        <v>7</v>
      </c>
      <c r="B4205" s="5">
        <f t="shared" si="140"/>
        <v>2024</v>
      </c>
      <c r="C4205" s="9">
        <v>45478</v>
      </c>
      <c r="D4205">
        <v>10.5</v>
      </c>
    </row>
    <row r="4206" spans="1:4" x14ac:dyDescent="0.25">
      <c r="A4206" s="5">
        <f t="shared" si="139"/>
        <v>7</v>
      </c>
      <c r="B4206" s="5">
        <f t="shared" si="140"/>
        <v>2024</v>
      </c>
      <c r="C4206" s="9">
        <v>45479</v>
      </c>
      <c r="D4206">
        <v>10.5</v>
      </c>
    </row>
    <row r="4207" spans="1:4" x14ac:dyDescent="0.25">
      <c r="A4207" s="5">
        <f t="shared" si="139"/>
        <v>7</v>
      </c>
      <c r="B4207" s="5">
        <f t="shared" si="140"/>
        <v>2024</v>
      </c>
      <c r="C4207" s="9">
        <v>45480</v>
      </c>
      <c r="D4207">
        <v>10.5</v>
      </c>
    </row>
    <row r="4208" spans="1:4" x14ac:dyDescent="0.25">
      <c r="A4208" s="5">
        <f t="shared" si="139"/>
        <v>7</v>
      </c>
      <c r="B4208" s="5">
        <f t="shared" si="140"/>
        <v>2024</v>
      </c>
      <c r="C4208" s="9">
        <v>45481</v>
      </c>
      <c r="D4208">
        <v>10.5</v>
      </c>
    </row>
    <row r="4209" spans="1:4" x14ac:dyDescent="0.25">
      <c r="A4209" s="5">
        <f t="shared" si="139"/>
        <v>7</v>
      </c>
      <c r="B4209" s="5">
        <f t="shared" si="140"/>
        <v>2024</v>
      </c>
      <c r="C4209" s="9">
        <v>45482</v>
      </c>
      <c r="D4209">
        <v>10.5</v>
      </c>
    </row>
    <row r="4210" spans="1:4" x14ac:dyDescent="0.25">
      <c r="A4210" s="5">
        <f t="shared" si="139"/>
        <v>7</v>
      </c>
      <c r="B4210" s="5">
        <f t="shared" si="140"/>
        <v>2024</v>
      </c>
      <c r="C4210" s="9">
        <v>45483</v>
      </c>
      <c r="D4210">
        <v>10.5</v>
      </c>
    </row>
    <row r="4211" spans="1:4" x14ac:dyDescent="0.25">
      <c r="A4211" s="5">
        <f t="shared" si="139"/>
        <v>7</v>
      </c>
      <c r="B4211" s="5">
        <f t="shared" si="140"/>
        <v>2024</v>
      </c>
      <c r="C4211" s="9">
        <v>45484</v>
      </c>
      <c r="D4211">
        <v>10.5</v>
      </c>
    </row>
    <row r="4212" spans="1:4" x14ac:dyDescent="0.25">
      <c r="A4212" s="5">
        <f t="shared" si="139"/>
        <v>7</v>
      </c>
      <c r="B4212" s="5">
        <f t="shared" si="140"/>
        <v>2024</v>
      </c>
      <c r="C4212" s="9">
        <v>45485</v>
      </c>
      <c r="D4212">
        <v>10.5</v>
      </c>
    </row>
    <row r="4213" spans="1:4" x14ac:dyDescent="0.25">
      <c r="A4213" s="5">
        <f t="shared" si="139"/>
        <v>7</v>
      </c>
      <c r="B4213" s="5">
        <f t="shared" si="140"/>
        <v>2024</v>
      </c>
      <c r="C4213" s="9">
        <v>45486</v>
      </c>
      <c r="D4213">
        <v>10.5</v>
      </c>
    </row>
    <row r="4214" spans="1:4" x14ac:dyDescent="0.25">
      <c r="A4214" s="5">
        <f t="shared" si="139"/>
        <v>7</v>
      </c>
      <c r="B4214" s="5">
        <f t="shared" si="140"/>
        <v>2024</v>
      </c>
      <c r="C4214" s="9">
        <v>45487</v>
      </c>
      <c r="D4214">
        <v>10.5</v>
      </c>
    </row>
    <row r="4215" spans="1:4" x14ac:dyDescent="0.25">
      <c r="A4215" s="5">
        <f t="shared" si="139"/>
        <v>7</v>
      </c>
      <c r="B4215" s="5">
        <f t="shared" si="140"/>
        <v>2024</v>
      </c>
      <c r="C4215" s="9">
        <v>45488</v>
      </c>
      <c r="D4215">
        <v>10.5</v>
      </c>
    </row>
    <row r="4216" spans="1:4" x14ac:dyDescent="0.25">
      <c r="A4216" s="5">
        <f t="shared" si="139"/>
        <v>7</v>
      </c>
      <c r="B4216" s="5">
        <f t="shared" si="140"/>
        <v>2024</v>
      </c>
      <c r="C4216" s="9">
        <v>45489</v>
      </c>
      <c r="D4216">
        <v>10.5</v>
      </c>
    </row>
    <row r="4217" spans="1:4" x14ac:dyDescent="0.25">
      <c r="A4217" s="5">
        <f t="shared" si="139"/>
        <v>7</v>
      </c>
      <c r="B4217" s="5">
        <f t="shared" si="140"/>
        <v>2024</v>
      </c>
      <c r="C4217" s="9">
        <v>45490</v>
      </c>
      <c r="D4217">
        <v>10.5</v>
      </c>
    </row>
    <row r="4218" spans="1:4" x14ac:dyDescent="0.25">
      <c r="A4218" s="5">
        <f t="shared" si="139"/>
        <v>7</v>
      </c>
      <c r="B4218" s="5">
        <f t="shared" si="140"/>
        <v>2024</v>
      </c>
      <c r="C4218" s="9">
        <v>45491</v>
      </c>
      <c r="D4218">
        <v>10.5</v>
      </c>
    </row>
    <row r="4219" spans="1:4" x14ac:dyDescent="0.25">
      <c r="A4219" s="5">
        <f t="shared" si="139"/>
        <v>7</v>
      </c>
      <c r="B4219" s="5">
        <f t="shared" si="140"/>
        <v>2024</v>
      </c>
      <c r="C4219" s="9">
        <v>45492</v>
      </c>
      <c r="D4219">
        <v>10.5</v>
      </c>
    </row>
    <row r="4220" spans="1:4" x14ac:dyDescent="0.25">
      <c r="A4220" s="5">
        <f t="shared" si="139"/>
        <v>7</v>
      </c>
      <c r="B4220" s="5">
        <f t="shared" si="140"/>
        <v>2024</v>
      </c>
      <c r="C4220" s="9">
        <v>45493</v>
      </c>
      <c r="D4220">
        <v>10.5</v>
      </c>
    </row>
    <row r="4221" spans="1:4" x14ac:dyDescent="0.25">
      <c r="A4221" s="5">
        <f t="shared" si="139"/>
        <v>7</v>
      </c>
      <c r="B4221" s="5">
        <f t="shared" si="140"/>
        <v>2024</v>
      </c>
      <c r="C4221" s="9">
        <v>45494</v>
      </c>
      <c r="D4221">
        <v>10.5</v>
      </c>
    </row>
    <row r="4222" spans="1:4" x14ac:dyDescent="0.25">
      <c r="A4222" s="5">
        <f t="shared" si="139"/>
        <v>7</v>
      </c>
      <c r="B4222" s="5">
        <f t="shared" si="140"/>
        <v>2024</v>
      </c>
      <c r="C4222" s="9">
        <v>45495</v>
      </c>
      <c r="D4222">
        <v>10.5</v>
      </c>
    </row>
    <row r="4223" spans="1:4" x14ac:dyDescent="0.25">
      <c r="A4223" s="5">
        <f t="shared" si="139"/>
        <v>7</v>
      </c>
      <c r="B4223" s="5">
        <f t="shared" si="140"/>
        <v>2024</v>
      </c>
      <c r="C4223" s="9">
        <v>45496</v>
      </c>
      <c r="D4223">
        <v>10.5</v>
      </c>
    </row>
    <row r="4224" spans="1:4" x14ac:dyDescent="0.25">
      <c r="A4224" s="5">
        <f t="shared" si="139"/>
        <v>7</v>
      </c>
      <c r="B4224" s="5">
        <f t="shared" si="140"/>
        <v>2024</v>
      </c>
      <c r="C4224" s="9">
        <v>45497</v>
      </c>
      <c r="D4224">
        <v>10.5</v>
      </c>
    </row>
    <row r="4225" spans="1:4" x14ac:dyDescent="0.25">
      <c r="A4225" s="5">
        <f t="shared" si="139"/>
        <v>7</v>
      </c>
      <c r="B4225" s="5">
        <f t="shared" si="140"/>
        <v>2024</v>
      </c>
      <c r="C4225" s="9">
        <v>45498</v>
      </c>
      <c r="D4225">
        <v>10.5</v>
      </c>
    </row>
    <row r="4226" spans="1:4" x14ac:dyDescent="0.25">
      <c r="A4226" s="5">
        <f t="shared" si="139"/>
        <v>7</v>
      </c>
      <c r="B4226" s="5">
        <f t="shared" si="140"/>
        <v>2024</v>
      </c>
      <c r="C4226" s="9">
        <v>45499</v>
      </c>
      <c r="D4226">
        <v>10.5</v>
      </c>
    </row>
    <row r="4227" spans="1:4" x14ac:dyDescent="0.25">
      <c r="A4227" s="5">
        <f t="shared" ref="A4227:A4290" si="141">MONTH(C4227)</f>
        <v>7</v>
      </c>
      <c r="B4227" s="5">
        <f t="shared" ref="B4227:B4290" si="142">YEAR(C4227)</f>
        <v>2024</v>
      </c>
      <c r="C4227" s="9">
        <v>45500</v>
      </c>
      <c r="D4227">
        <v>10.5</v>
      </c>
    </row>
    <row r="4228" spans="1:4" x14ac:dyDescent="0.25">
      <c r="A4228" s="5">
        <f t="shared" si="141"/>
        <v>7</v>
      </c>
      <c r="B4228" s="5">
        <f t="shared" si="142"/>
        <v>2024</v>
      </c>
      <c r="C4228" s="9">
        <v>45501</v>
      </c>
      <c r="D4228">
        <v>10.5</v>
      </c>
    </row>
    <row r="4229" spans="1:4" x14ac:dyDescent="0.25">
      <c r="A4229" s="5">
        <f t="shared" si="141"/>
        <v>7</v>
      </c>
      <c r="B4229" s="5">
        <f t="shared" si="142"/>
        <v>2024</v>
      </c>
      <c r="C4229" s="9">
        <v>45502</v>
      </c>
      <c r="D4229">
        <v>10.5</v>
      </c>
    </row>
    <row r="4230" spans="1:4" x14ac:dyDescent="0.25">
      <c r="A4230" s="5">
        <f t="shared" si="141"/>
        <v>7</v>
      </c>
      <c r="B4230" s="5">
        <f t="shared" si="142"/>
        <v>2024</v>
      </c>
      <c r="C4230" s="9">
        <v>45503</v>
      </c>
      <c r="D4230">
        <v>10.5</v>
      </c>
    </row>
    <row r="4231" spans="1:4" x14ac:dyDescent="0.25">
      <c r="A4231" s="5">
        <f t="shared" si="141"/>
        <v>7</v>
      </c>
      <c r="B4231" s="5">
        <f t="shared" si="142"/>
        <v>2024</v>
      </c>
      <c r="C4231" s="9">
        <v>45504</v>
      </c>
      <c r="D4231">
        <v>10.5</v>
      </c>
    </row>
    <row r="4232" spans="1:4" x14ac:dyDescent="0.25">
      <c r="A4232" s="5">
        <f t="shared" si="141"/>
        <v>8</v>
      </c>
      <c r="B4232" s="5">
        <f t="shared" si="142"/>
        <v>2024</v>
      </c>
      <c r="C4232" s="9">
        <v>45505</v>
      </c>
      <c r="D4232">
        <v>10.5</v>
      </c>
    </row>
    <row r="4233" spans="1:4" x14ac:dyDescent="0.25">
      <c r="A4233" s="5">
        <f t="shared" si="141"/>
        <v>8</v>
      </c>
      <c r="B4233" s="5">
        <f t="shared" si="142"/>
        <v>2024</v>
      </c>
      <c r="C4233" s="9">
        <v>45506</v>
      </c>
      <c r="D4233">
        <v>10.5</v>
      </c>
    </row>
    <row r="4234" spans="1:4" x14ac:dyDescent="0.25">
      <c r="A4234" s="5">
        <f t="shared" si="141"/>
        <v>8</v>
      </c>
      <c r="B4234" s="5">
        <f t="shared" si="142"/>
        <v>2024</v>
      </c>
      <c r="C4234" s="9">
        <v>45507</v>
      </c>
      <c r="D4234">
        <v>10.5</v>
      </c>
    </row>
    <row r="4235" spans="1:4" x14ac:dyDescent="0.25">
      <c r="A4235" s="5">
        <f t="shared" si="141"/>
        <v>8</v>
      </c>
      <c r="B4235" s="5">
        <f t="shared" si="142"/>
        <v>2024</v>
      </c>
      <c r="C4235" s="9">
        <v>45508</v>
      </c>
      <c r="D4235">
        <v>10.5</v>
      </c>
    </row>
    <row r="4236" spans="1:4" x14ac:dyDescent="0.25">
      <c r="A4236" s="5">
        <f t="shared" si="141"/>
        <v>8</v>
      </c>
      <c r="B4236" s="5">
        <f t="shared" si="142"/>
        <v>2024</v>
      </c>
      <c r="C4236" s="9">
        <v>45509</v>
      </c>
      <c r="D4236">
        <v>10.5</v>
      </c>
    </row>
    <row r="4237" spans="1:4" x14ac:dyDescent="0.25">
      <c r="A4237" s="5">
        <f t="shared" si="141"/>
        <v>8</v>
      </c>
      <c r="B4237" s="5">
        <f t="shared" si="142"/>
        <v>2024</v>
      </c>
      <c r="C4237" s="9">
        <v>45510</v>
      </c>
      <c r="D4237">
        <v>10.5</v>
      </c>
    </row>
    <row r="4238" spans="1:4" x14ac:dyDescent="0.25">
      <c r="A4238" s="5">
        <f t="shared" si="141"/>
        <v>8</v>
      </c>
      <c r="B4238" s="5">
        <f t="shared" si="142"/>
        <v>2024</v>
      </c>
      <c r="C4238" s="9">
        <v>45511</v>
      </c>
      <c r="D4238">
        <v>10.5</v>
      </c>
    </row>
    <row r="4239" spans="1:4" x14ac:dyDescent="0.25">
      <c r="A4239" s="5">
        <f t="shared" si="141"/>
        <v>8</v>
      </c>
      <c r="B4239" s="5">
        <f t="shared" si="142"/>
        <v>2024</v>
      </c>
      <c r="C4239" s="9">
        <v>45512</v>
      </c>
      <c r="D4239">
        <v>10.5</v>
      </c>
    </row>
    <row r="4240" spans="1:4" x14ac:dyDescent="0.25">
      <c r="A4240" s="5">
        <f t="shared" si="141"/>
        <v>8</v>
      </c>
      <c r="B4240" s="5">
        <f t="shared" si="142"/>
        <v>2024</v>
      </c>
      <c r="C4240" s="9">
        <v>45513</v>
      </c>
      <c r="D4240">
        <v>10.5</v>
      </c>
    </row>
    <row r="4241" spans="1:4" x14ac:dyDescent="0.25">
      <c r="A4241" s="5">
        <f t="shared" si="141"/>
        <v>8</v>
      </c>
      <c r="B4241" s="5">
        <f t="shared" si="142"/>
        <v>2024</v>
      </c>
      <c r="C4241" s="9">
        <v>45514</v>
      </c>
      <c r="D4241">
        <v>10.5</v>
      </c>
    </row>
    <row r="4242" spans="1:4" x14ac:dyDescent="0.25">
      <c r="A4242" s="5">
        <f t="shared" si="141"/>
        <v>8</v>
      </c>
      <c r="B4242" s="5">
        <f t="shared" si="142"/>
        <v>2024</v>
      </c>
      <c r="C4242" s="9">
        <v>45515</v>
      </c>
      <c r="D4242">
        <v>10.5</v>
      </c>
    </row>
    <row r="4243" spans="1:4" x14ac:dyDescent="0.25">
      <c r="A4243" s="5">
        <f t="shared" si="141"/>
        <v>8</v>
      </c>
      <c r="B4243" s="5">
        <f t="shared" si="142"/>
        <v>2024</v>
      </c>
      <c r="C4243" s="9">
        <v>45516</v>
      </c>
      <c r="D4243">
        <v>10.5</v>
      </c>
    </row>
    <row r="4244" spans="1:4" x14ac:dyDescent="0.25">
      <c r="A4244" s="5">
        <f t="shared" si="141"/>
        <v>8</v>
      </c>
      <c r="B4244" s="5">
        <f t="shared" si="142"/>
        <v>2024</v>
      </c>
      <c r="C4244" s="9">
        <v>45517</v>
      </c>
      <c r="D4244">
        <v>10.5</v>
      </c>
    </row>
    <row r="4245" spans="1:4" x14ac:dyDescent="0.25">
      <c r="A4245" s="5">
        <f t="shared" si="141"/>
        <v>8</v>
      </c>
      <c r="B4245" s="5">
        <f t="shared" si="142"/>
        <v>2024</v>
      </c>
      <c r="C4245" s="9">
        <v>45518</v>
      </c>
      <c r="D4245">
        <v>10.5</v>
      </c>
    </row>
    <row r="4246" spans="1:4" x14ac:dyDescent="0.25">
      <c r="A4246" s="5">
        <f t="shared" si="141"/>
        <v>8</v>
      </c>
      <c r="B4246" s="5">
        <f t="shared" si="142"/>
        <v>2024</v>
      </c>
      <c r="C4246" s="9">
        <v>45519</v>
      </c>
      <c r="D4246">
        <v>10.5</v>
      </c>
    </row>
    <row r="4247" spans="1:4" x14ac:dyDescent="0.25">
      <c r="A4247" s="5">
        <f t="shared" si="141"/>
        <v>8</v>
      </c>
      <c r="B4247" s="5">
        <f t="shared" si="142"/>
        <v>2024</v>
      </c>
      <c r="C4247" s="9">
        <v>45520</v>
      </c>
      <c r="D4247">
        <v>10.5</v>
      </c>
    </row>
    <row r="4248" spans="1:4" x14ac:dyDescent="0.25">
      <c r="A4248" s="5">
        <f t="shared" si="141"/>
        <v>8</v>
      </c>
      <c r="B4248" s="5">
        <f t="shared" si="142"/>
        <v>2024</v>
      </c>
      <c r="C4248" s="9">
        <v>45521</v>
      </c>
      <c r="D4248">
        <v>10.5</v>
      </c>
    </row>
    <row r="4249" spans="1:4" x14ac:dyDescent="0.25">
      <c r="A4249" s="5">
        <f t="shared" si="141"/>
        <v>8</v>
      </c>
      <c r="B4249" s="5">
        <f t="shared" si="142"/>
        <v>2024</v>
      </c>
      <c r="C4249" s="9">
        <v>45522</v>
      </c>
      <c r="D4249">
        <v>10.5</v>
      </c>
    </row>
    <row r="4250" spans="1:4" x14ac:dyDescent="0.25">
      <c r="A4250" s="5">
        <f t="shared" si="141"/>
        <v>8</v>
      </c>
      <c r="B4250" s="5">
        <f t="shared" si="142"/>
        <v>2024</v>
      </c>
      <c r="C4250" s="9">
        <v>45523</v>
      </c>
      <c r="D4250">
        <v>10.5</v>
      </c>
    </row>
    <row r="4251" spans="1:4" x14ac:dyDescent="0.25">
      <c r="A4251" s="5">
        <f t="shared" si="141"/>
        <v>8</v>
      </c>
      <c r="B4251" s="5">
        <f t="shared" si="142"/>
        <v>2024</v>
      </c>
      <c r="C4251" s="9">
        <v>45524</v>
      </c>
      <c r="D4251">
        <v>10.5</v>
      </c>
    </row>
    <row r="4252" spans="1:4" x14ac:dyDescent="0.25">
      <c r="A4252" s="5">
        <f t="shared" si="141"/>
        <v>8</v>
      </c>
      <c r="B4252" s="5">
        <f t="shared" si="142"/>
        <v>2024</v>
      </c>
      <c r="C4252" s="9">
        <v>45525</v>
      </c>
      <c r="D4252">
        <v>10.5</v>
      </c>
    </row>
    <row r="4253" spans="1:4" x14ac:dyDescent="0.25">
      <c r="A4253" s="5">
        <f t="shared" si="141"/>
        <v>8</v>
      </c>
      <c r="B4253" s="5">
        <f t="shared" si="142"/>
        <v>2024</v>
      </c>
      <c r="C4253" s="9">
        <v>45526</v>
      </c>
      <c r="D4253">
        <v>10.5</v>
      </c>
    </row>
    <row r="4254" spans="1:4" x14ac:dyDescent="0.25">
      <c r="A4254" s="5">
        <f t="shared" si="141"/>
        <v>8</v>
      </c>
      <c r="B4254" s="5">
        <f t="shared" si="142"/>
        <v>2024</v>
      </c>
      <c r="C4254" s="9">
        <v>45527</v>
      </c>
      <c r="D4254">
        <v>10.5</v>
      </c>
    </row>
    <row r="4255" spans="1:4" x14ac:dyDescent="0.25">
      <c r="A4255" s="5">
        <f t="shared" si="141"/>
        <v>8</v>
      </c>
      <c r="B4255" s="5">
        <f t="shared" si="142"/>
        <v>2024</v>
      </c>
      <c r="C4255" s="9">
        <v>45528</v>
      </c>
      <c r="D4255">
        <v>10.5</v>
      </c>
    </row>
    <row r="4256" spans="1:4" x14ac:dyDescent="0.25">
      <c r="A4256" s="5">
        <f t="shared" si="141"/>
        <v>8</v>
      </c>
      <c r="B4256" s="5">
        <f t="shared" si="142"/>
        <v>2024</v>
      </c>
      <c r="C4256" s="9">
        <v>45529</v>
      </c>
      <c r="D4256">
        <v>10.5</v>
      </c>
    </row>
    <row r="4257" spans="1:4" x14ac:dyDescent="0.25">
      <c r="A4257" s="5">
        <f t="shared" si="141"/>
        <v>8</v>
      </c>
      <c r="B4257" s="5">
        <f t="shared" si="142"/>
        <v>2024</v>
      </c>
      <c r="C4257" s="9">
        <v>45530</v>
      </c>
      <c r="D4257">
        <v>10.5</v>
      </c>
    </row>
    <row r="4258" spans="1:4" x14ac:dyDescent="0.25">
      <c r="A4258" s="5">
        <f t="shared" si="141"/>
        <v>8</v>
      </c>
      <c r="B4258" s="5">
        <f t="shared" si="142"/>
        <v>2024</v>
      </c>
      <c r="C4258" s="9">
        <v>45531</v>
      </c>
      <c r="D4258">
        <v>10.5</v>
      </c>
    </row>
    <row r="4259" spans="1:4" x14ac:dyDescent="0.25">
      <c r="A4259" s="5">
        <f t="shared" si="141"/>
        <v>8</v>
      </c>
      <c r="B4259" s="5">
        <f t="shared" si="142"/>
        <v>2024</v>
      </c>
      <c r="C4259" s="9">
        <v>45532</v>
      </c>
      <c r="D4259">
        <v>10.5</v>
      </c>
    </row>
    <row r="4260" spans="1:4" x14ac:dyDescent="0.25">
      <c r="A4260" s="5">
        <f t="shared" si="141"/>
        <v>8</v>
      </c>
      <c r="B4260" s="5">
        <f t="shared" si="142"/>
        <v>2024</v>
      </c>
      <c r="C4260" s="9">
        <v>45533</v>
      </c>
      <c r="D4260">
        <v>10.5</v>
      </c>
    </row>
    <row r="4261" spans="1:4" x14ac:dyDescent="0.25">
      <c r="A4261" s="5">
        <f t="shared" si="141"/>
        <v>8</v>
      </c>
      <c r="B4261" s="5">
        <f t="shared" si="142"/>
        <v>2024</v>
      </c>
      <c r="C4261" s="9">
        <v>45534</v>
      </c>
      <c r="D4261">
        <v>10.5</v>
      </c>
    </row>
    <row r="4262" spans="1:4" x14ac:dyDescent="0.25">
      <c r="A4262" s="5">
        <f t="shared" si="141"/>
        <v>8</v>
      </c>
      <c r="B4262" s="5">
        <f t="shared" si="142"/>
        <v>2024</v>
      </c>
      <c r="C4262" s="9">
        <v>45535</v>
      </c>
      <c r="D4262">
        <v>10.5</v>
      </c>
    </row>
    <row r="4263" spans="1:4" x14ac:dyDescent="0.25">
      <c r="A4263" s="5">
        <f t="shared" si="141"/>
        <v>9</v>
      </c>
      <c r="B4263" s="5">
        <f t="shared" si="142"/>
        <v>2024</v>
      </c>
      <c r="C4263" s="9">
        <v>45536</v>
      </c>
      <c r="D4263">
        <v>10.5</v>
      </c>
    </row>
    <row r="4264" spans="1:4" x14ac:dyDescent="0.25">
      <c r="A4264" s="5">
        <f t="shared" si="141"/>
        <v>9</v>
      </c>
      <c r="B4264" s="5">
        <f t="shared" si="142"/>
        <v>2024</v>
      </c>
      <c r="C4264" s="9">
        <v>45537</v>
      </c>
      <c r="D4264">
        <v>10.5</v>
      </c>
    </row>
    <row r="4265" spans="1:4" x14ac:dyDescent="0.25">
      <c r="A4265" s="5">
        <f t="shared" si="141"/>
        <v>9</v>
      </c>
      <c r="B4265" s="5">
        <f t="shared" si="142"/>
        <v>2024</v>
      </c>
      <c r="C4265" s="9">
        <v>45538</v>
      </c>
      <c r="D4265">
        <v>10.5</v>
      </c>
    </row>
    <row r="4266" spans="1:4" x14ac:dyDescent="0.25">
      <c r="A4266" s="5">
        <f t="shared" si="141"/>
        <v>9</v>
      </c>
      <c r="B4266" s="5">
        <f t="shared" si="142"/>
        <v>2024</v>
      </c>
      <c r="C4266" s="9">
        <v>45539</v>
      </c>
      <c r="D4266">
        <v>10.5</v>
      </c>
    </row>
    <row r="4267" spans="1:4" x14ac:dyDescent="0.25">
      <c r="A4267" s="5">
        <f t="shared" si="141"/>
        <v>9</v>
      </c>
      <c r="B4267" s="5">
        <f t="shared" si="142"/>
        <v>2024</v>
      </c>
      <c r="C4267" s="9">
        <v>45540</v>
      </c>
      <c r="D4267">
        <v>10.5</v>
      </c>
    </row>
    <row r="4268" spans="1:4" x14ac:dyDescent="0.25">
      <c r="A4268" s="5">
        <f t="shared" si="141"/>
        <v>9</v>
      </c>
      <c r="B4268" s="5">
        <f t="shared" si="142"/>
        <v>2024</v>
      </c>
      <c r="C4268" s="9">
        <v>45541</v>
      </c>
      <c r="D4268">
        <v>10.5</v>
      </c>
    </row>
    <row r="4269" spans="1:4" x14ac:dyDescent="0.25">
      <c r="A4269" s="5">
        <f t="shared" si="141"/>
        <v>9</v>
      </c>
      <c r="B4269" s="5">
        <f t="shared" si="142"/>
        <v>2024</v>
      </c>
      <c r="C4269" s="9">
        <v>45542</v>
      </c>
      <c r="D4269">
        <v>10.5</v>
      </c>
    </row>
    <row r="4270" spans="1:4" x14ac:dyDescent="0.25">
      <c r="A4270" s="5">
        <f t="shared" si="141"/>
        <v>9</v>
      </c>
      <c r="B4270" s="5">
        <f t="shared" si="142"/>
        <v>2024</v>
      </c>
      <c r="C4270" s="9">
        <v>45543</v>
      </c>
      <c r="D4270">
        <v>10.5</v>
      </c>
    </row>
    <row r="4271" spans="1:4" x14ac:dyDescent="0.25">
      <c r="A4271" s="5">
        <f t="shared" si="141"/>
        <v>9</v>
      </c>
      <c r="B4271" s="5">
        <f t="shared" si="142"/>
        <v>2024</v>
      </c>
      <c r="C4271" s="9">
        <v>45544</v>
      </c>
      <c r="D4271">
        <v>10.5</v>
      </c>
    </row>
    <row r="4272" spans="1:4" x14ac:dyDescent="0.25">
      <c r="A4272" s="5">
        <f t="shared" si="141"/>
        <v>9</v>
      </c>
      <c r="B4272" s="5">
        <f t="shared" si="142"/>
        <v>2024</v>
      </c>
      <c r="C4272" s="9">
        <v>45545</v>
      </c>
      <c r="D4272">
        <v>10.5</v>
      </c>
    </row>
    <row r="4273" spans="1:4" x14ac:dyDescent="0.25">
      <c r="A4273" s="5">
        <f t="shared" si="141"/>
        <v>9</v>
      </c>
      <c r="B4273" s="5">
        <f t="shared" si="142"/>
        <v>2024</v>
      </c>
      <c r="C4273" s="9">
        <v>45546</v>
      </c>
      <c r="D4273">
        <v>10.5</v>
      </c>
    </row>
    <row r="4274" spans="1:4" x14ac:dyDescent="0.25">
      <c r="A4274" s="5">
        <f t="shared" si="141"/>
        <v>9</v>
      </c>
      <c r="B4274" s="5">
        <f t="shared" si="142"/>
        <v>2024</v>
      </c>
      <c r="C4274" s="9">
        <v>45547</v>
      </c>
      <c r="D4274">
        <v>10.5</v>
      </c>
    </row>
    <row r="4275" spans="1:4" x14ac:dyDescent="0.25">
      <c r="A4275" s="5">
        <f t="shared" si="141"/>
        <v>9</v>
      </c>
      <c r="B4275" s="5">
        <f t="shared" si="142"/>
        <v>2024</v>
      </c>
      <c r="C4275" s="9">
        <v>45548</v>
      </c>
      <c r="D4275">
        <v>10.5</v>
      </c>
    </row>
    <row r="4276" spans="1:4" x14ac:dyDescent="0.25">
      <c r="A4276" s="5">
        <f t="shared" si="141"/>
        <v>9</v>
      </c>
      <c r="B4276" s="5">
        <f t="shared" si="142"/>
        <v>2024</v>
      </c>
      <c r="C4276" s="9">
        <v>45549</v>
      </c>
      <c r="D4276">
        <v>10.5</v>
      </c>
    </row>
    <row r="4277" spans="1:4" x14ac:dyDescent="0.25">
      <c r="A4277" s="5">
        <f t="shared" si="141"/>
        <v>9</v>
      </c>
      <c r="B4277" s="5">
        <f t="shared" si="142"/>
        <v>2024</v>
      </c>
      <c r="C4277" s="9">
        <v>45550</v>
      </c>
      <c r="D4277">
        <v>10.5</v>
      </c>
    </row>
    <row r="4278" spans="1:4" x14ac:dyDescent="0.25">
      <c r="A4278" s="5">
        <f t="shared" si="141"/>
        <v>9</v>
      </c>
      <c r="B4278" s="5">
        <f t="shared" si="142"/>
        <v>2024</v>
      </c>
      <c r="C4278" s="9">
        <v>45551</v>
      </c>
      <c r="D4278">
        <v>10.5</v>
      </c>
    </row>
    <row r="4279" spans="1:4" x14ac:dyDescent="0.25">
      <c r="A4279" s="5">
        <f t="shared" si="141"/>
        <v>9</v>
      </c>
      <c r="B4279" s="5">
        <f t="shared" si="142"/>
        <v>2024</v>
      </c>
      <c r="C4279" s="9">
        <v>45552</v>
      </c>
      <c r="D4279">
        <v>10.5</v>
      </c>
    </row>
    <row r="4280" spans="1:4" x14ac:dyDescent="0.25">
      <c r="A4280" s="5">
        <f t="shared" si="141"/>
        <v>9</v>
      </c>
      <c r="B4280" s="5">
        <f t="shared" si="142"/>
        <v>2024</v>
      </c>
      <c r="C4280" s="9">
        <v>45553</v>
      </c>
      <c r="D4280">
        <v>10.5</v>
      </c>
    </row>
    <row r="4281" spans="1:4" x14ac:dyDescent="0.25">
      <c r="A4281" s="5">
        <f t="shared" si="141"/>
        <v>9</v>
      </c>
      <c r="B4281" s="5">
        <f t="shared" si="142"/>
        <v>2024</v>
      </c>
      <c r="C4281" s="9">
        <v>45554</v>
      </c>
      <c r="D4281">
        <v>10.75</v>
      </c>
    </row>
    <row r="4282" spans="1:4" x14ac:dyDescent="0.25">
      <c r="A4282" s="5">
        <f t="shared" si="141"/>
        <v>9</v>
      </c>
      <c r="B4282" s="5">
        <f t="shared" si="142"/>
        <v>2024</v>
      </c>
      <c r="C4282" s="9">
        <v>45555</v>
      </c>
      <c r="D4282">
        <v>10.75</v>
      </c>
    </row>
    <row r="4283" spans="1:4" x14ac:dyDescent="0.25">
      <c r="A4283" s="5">
        <f t="shared" si="141"/>
        <v>9</v>
      </c>
      <c r="B4283" s="5">
        <f t="shared" si="142"/>
        <v>2024</v>
      </c>
      <c r="C4283" s="9">
        <v>45556</v>
      </c>
      <c r="D4283">
        <v>10.75</v>
      </c>
    </row>
    <row r="4284" spans="1:4" x14ac:dyDescent="0.25">
      <c r="A4284" s="5">
        <f t="shared" si="141"/>
        <v>9</v>
      </c>
      <c r="B4284" s="5">
        <f t="shared" si="142"/>
        <v>2024</v>
      </c>
      <c r="C4284" s="9">
        <v>45557</v>
      </c>
      <c r="D4284">
        <v>10.75</v>
      </c>
    </row>
    <row r="4285" spans="1:4" x14ac:dyDescent="0.25">
      <c r="A4285" s="5">
        <f t="shared" si="141"/>
        <v>9</v>
      </c>
      <c r="B4285" s="5">
        <f t="shared" si="142"/>
        <v>2024</v>
      </c>
      <c r="C4285" s="9">
        <v>45558</v>
      </c>
      <c r="D4285">
        <v>10.75</v>
      </c>
    </row>
    <row r="4286" spans="1:4" x14ac:dyDescent="0.25">
      <c r="A4286" s="5">
        <f t="shared" si="141"/>
        <v>9</v>
      </c>
      <c r="B4286" s="5">
        <f t="shared" si="142"/>
        <v>2024</v>
      </c>
      <c r="C4286" s="9">
        <v>45559</v>
      </c>
      <c r="D4286">
        <v>10.75</v>
      </c>
    </row>
    <row r="4287" spans="1:4" x14ac:dyDescent="0.25">
      <c r="A4287" s="5">
        <f t="shared" si="141"/>
        <v>9</v>
      </c>
      <c r="B4287" s="5">
        <f t="shared" si="142"/>
        <v>2024</v>
      </c>
      <c r="C4287" s="9">
        <v>45560</v>
      </c>
      <c r="D4287">
        <v>10.75</v>
      </c>
    </row>
    <row r="4288" spans="1:4" x14ac:dyDescent="0.25">
      <c r="A4288" s="5">
        <f t="shared" si="141"/>
        <v>9</v>
      </c>
      <c r="B4288" s="5">
        <f t="shared" si="142"/>
        <v>2024</v>
      </c>
      <c r="C4288" s="9">
        <v>45561</v>
      </c>
      <c r="D4288">
        <v>10.75</v>
      </c>
    </row>
    <row r="4289" spans="1:4" x14ac:dyDescent="0.25">
      <c r="A4289" s="5">
        <f t="shared" si="141"/>
        <v>9</v>
      </c>
      <c r="B4289" s="5">
        <f t="shared" si="142"/>
        <v>2024</v>
      </c>
      <c r="C4289" s="9">
        <v>45562</v>
      </c>
      <c r="D4289">
        <v>10.75</v>
      </c>
    </row>
    <row r="4290" spans="1:4" x14ac:dyDescent="0.25">
      <c r="A4290" s="5">
        <f t="shared" si="141"/>
        <v>9</v>
      </c>
      <c r="B4290" s="5">
        <f t="shared" si="142"/>
        <v>2024</v>
      </c>
      <c r="C4290" s="9">
        <v>45563</v>
      </c>
      <c r="D4290">
        <v>10.75</v>
      </c>
    </row>
    <row r="4291" spans="1:4" x14ac:dyDescent="0.25">
      <c r="A4291" s="5">
        <f t="shared" ref="A4291:A4354" si="143">MONTH(C4291)</f>
        <v>9</v>
      </c>
      <c r="B4291" s="5">
        <f t="shared" ref="B4291:B4354" si="144">YEAR(C4291)</f>
        <v>2024</v>
      </c>
      <c r="C4291" s="9">
        <v>45564</v>
      </c>
      <c r="D4291">
        <v>10.75</v>
      </c>
    </row>
    <row r="4292" spans="1:4" x14ac:dyDescent="0.25">
      <c r="A4292" s="5">
        <f t="shared" si="143"/>
        <v>9</v>
      </c>
      <c r="B4292" s="5">
        <f t="shared" si="144"/>
        <v>2024</v>
      </c>
      <c r="C4292" s="9">
        <v>45565</v>
      </c>
      <c r="D4292">
        <v>10.75</v>
      </c>
    </row>
    <row r="4293" spans="1:4" x14ac:dyDescent="0.25">
      <c r="A4293" s="5">
        <f t="shared" si="143"/>
        <v>10</v>
      </c>
      <c r="B4293" s="5">
        <f t="shared" si="144"/>
        <v>2024</v>
      </c>
      <c r="C4293" s="9">
        <v>45566</v>
      </c>
      <c r="D4293">
        <v>10.75</v>
      </c>
    </row>
    <row r="4294" spans="1:4" x14ac:dyDescent="0.25">
      <c r="A4294" s="5">
        <f t="shared" si="143"/>
        <v>10</v>
      </c>
      <c r="B4294" s="5">
        <f t="shared" si="144"/>
        <v>2024</v>
      </c>
      <c r="C4294" s="9">
        <v>45567</v>
      </c>
      <c r="D4294">
        <v>10.75</v>
      </c>
    </row>
    <row r="4295" spans="1:4" x14ac:dyDescent="0.25">
      <c r="A4295" s="5">
        <f t="shared" si="143"/>
        <v>10</v>
      </c>
      <c r="B4295" s="5">
        <f t="shared" si="144"/>
        <v>2024</v>
      </c>
      <c r="C4295" s="9">
        <v>45568</v>
      </c>
      <c r="D4295">
        <v>10.75</v>
      </c>
    </row>
    <row r="4296" spans="1:4" x14ac:dyDescent="0.25">
      <c r="A4296" s="5">
        <f t="shared" si="143"/>
        <v>10</v>
      </c>
      <c r="B4296" s="5">
        <f t="shared" si="144"/>
        <v>2024</v>
      </c>
      <c r="C4296" s="9">
        <v>45569</v>
      </c>
      <c r="D4296">
        <v>10.75</v>
      </c>
    </row>
    <row r="4297" spans="1:4" x14ac:dyDescent="0.25">
      <c r="A4297" s="5">
        <f t="shared" si="143"/>
        <v>10</v>
      </c>
      <c r="B4297" s="5">
        <f t="shared" si="144"/>
        <v>2024</v>
      </c>
      <c r="C4297" s="9">
        <v>45570</v>
      </c>
      <c r="D4297">
        <v>10.75</v>
      </c>
    </row>
    <row r="4298" spans="1:4" x14ac:dyDescent="0.25">
      <c r="A4298" s="5">
        <f t="shared" si="143"/>
        <v>10</v>
      </c>
      <c r="B4298" s="5">
        <f t="shared" si="144"/>
        <v>2024</v>
      </c>
      <c r="C4298" s="9">
        <v>45571</v>
      </c>
      <c r="D4298">
        <v>10.75</v>
      </c>
    </row>
    <row r="4299" spans="1:4" x14ac:dyDescent="0.25">
      <c r="A4299" s="5">
        <f t="shared" si="143"/>
        <v>10</v>
      </c>
      <c r="B4299" s="5">
        <f t="shared" si="144"/>
        <v>2024</v>
      </c>
      <c r="C4299" s="9">
        <v>45572</v>
      </c>
      <c r="D4299">
        <v>10.75</v>
      </c>
    </row>
    <row r="4300" spans="1:4" x14ac:dyDescent="0.25">
      <c r="A4300" s="5">
        <f t="shared" si="143"/>
        <v>10</v>
      </c>
      <c r="B4300" s="5">
        <f t="shared" si="144"/>
        <v>2024</v>
      </c>
      <c r="C4300" s="9">
        <v>45573</v>
      </c>
      <c r="D4300">
        <v>10.75</v>
      </c>
    </row>
    <row r="4301" spans="1:4" x14ac:dyDescent="0.25">
      <c r="A4301" s="5">
        <f t="shared" si="143"/>
        <v>10</v>
      </c>
      <c r="B4301" s="5">
        <f t="shared" si="144"/>
        <v>2024</v>
      </c>
      <c r="C4301" s="9">
        <v>45574</v>
      </c>
      <c r="D4301">
        <v>10.75</v>
      </c>
    </row>
    <row r="4302" spans="1:4" x14ac:dyDescent="0.25">
      <c r="A4302" s="5">
        <f t="shared" si="143"/>
        <v>10</v>
      </c>
      <c r="B4302" s="5">
        <f t="shared" si="144"/>
        <v>2024</v>
      </c>
      <c r="C4302" s="9">
        <v>45575</v>
      </c>
      <c r="D4302">
        <v>10.75</v>
      </c>
    </row>
    <row r="4303" spans="1:4" x14ac:dyDescent="0.25">
      <c r="A4303" s="5">
        <f t="shared" si="143"/>
        <v>10</v>
      </c>
      <c r="B4303" s="5">
        <f t="shared" si="144"/>
        <v>2024</v>
      </c>
      <c r="C4303" s="9">
        <v>45576</v>
      </c>
      <c r="D4303">
        <v>10.75</v>
      </c>
    </row>
    <row r="4304" spans="1:4" x14ac:dyDescent="0.25">
      <c r="A4304" s="5">
        <f t="shared" si="143"/>
        <v>10</v>
      </c>
      <c r="B4304" s="5">
        <f t="shared" si="144"/>
        <v>2024</v>
      </c>
      <c r="C4304" s="9">
        <v>45577</v>
      </c>
      <c r="D4304">
        <v>10.75</v>
      </c>
    </row>
    <row r="4305" spans="1:4" x14ac:dyDescent="0.25">
      <c r="A4305" s="5">
        <f t="shared" si="143"/>
        <v>10</v>
      </c>
      <c r="B4305" s="5">
        <f t="shared" si="144"/>
        <v>2024</v>
      </c>
      <c r="C4305" s="9">
        <v>45578</v>
      </c>
      <c r="D4305">
        <v>10.75</v>
      </c>
    </row>
    <row r="4306" spans="1:4" x14ac:dyDescent="0.25">
      <c r="A4306" s="5">
        <f t="shared" si="143"/>
        <v>10</v>
      </c>
      <c r="B4306" s="5">
        <f t="shared" si="144"/>
        <v>2024</v>
      </c>
      <c r="C4306" s="9">
        <v>45579</v>
      </c>
      <c r="D4306">
        <v>10.75</v>
      </c>
    </row>
    <row r="4307" spans="1:4" x14ac:dyDescent="0.25">
      <c r="A4307" s="5">
        <f t="shared" si="143"/>
        <v>10</v>
      </c>
      <c r="B4307" s="5">
        <f t="shared" si="144"/>
        <v>2024</v>
      </c>
      <c r="C4307" s="9">
        <v>45580</v>
      </c>
      <c r="D4307">
        <v>10.75</v>
      </c>
    </row>
    <row r="4308" spans="1:4" x14ac:dyDescent="0.25">
      <c r="A4308" s="5">
        <f t="shared" si="143"/>
        <v>10</v>
      </c>
      <c r="B4308" s="5">
        <f t="shared" si="144"/>
        <v>2024</v>
      </c>
      <c r="C4308" s="9">
        <v>45581</v>
      </c>
      <c r="D4308">
        <v>10.75</v>
      </c>
    </row>
    <row r="4309" spans="1:4" x14ac:dyDescent="0.25">
      <c r="A4309" s="5">
        <f t="shared" si="143"/>
        <v>10</v>
      </c>
      <c r="B4309" s="5">
        <f t="shared" si="144"/>
        <v>2024</v>
      </c>
      <c r="C4309" s="9">
        <v>45582</v>
      </c>
      <c r="D4309">
        <v>10.75</v>
      </c>
    </row>
    <row r="4310" spans="1:4" x14ac:dyDescent="0.25">
      <c r="A4310" s="5">
        <f t="shared" si="143"/>
        <v>10</v>
      </c>
      <c r="B4310" s="5">
        <f t="shared" si="144"/>
        <v>2024</v>
      </c>
      <c r="C4310" s="9">
        <v>45583</v>
      </c>
      <c r="D4310">
        <v>10.75</v>
      </c>
    </row>
    <row r="4311" spans="1:4" x14ac:dyDescent="0.25">
      <c r="A4311" s="5">
        <f t="shared" si="143"/>
        <v>10</v>
      </c>
      <c r="B4311" s="5">
        <f t="shared" si="144"/>
        <v>2024</v>
      </c>
      <c r="C4311" s="9">
        <v>45584</v>
      </c>
      <c r="D4311">
        <v>10.75</v>
      </c>
    </row>
    <row r="4312" spans="1:4" x14ac:dyDescent="0.25">
      <c r="A4312" s="5">
        <f t="shared" si="143"/>
        <v>10</v>
      </c>
      <c r="B4312" s="5">
        <f t="shared" si="144"/>
        <v>2024</v>
      </c>
      <c r="C4312" s="9">
        <v>45585</v>
      </c>
      <c r="D4312">
        <v>10.75</v>
      </c>
    </row>
    <row r="4313" spans="1:4" x14ac:dyDescent="0.25">
      <c r="A4313" s="5">
        <f t="shared" si="143"/>
        <v>10</v>
      </c>
      <c r="B4313" s="5">
        <f t="shared" si="144"/>
        <v>2024</v>
      </c>
      <c r="C4313" s="9">
        <v>45586</v>
      </c>
      <c r="D4313">
        <v>10.75</v>
      </c>
    </row>
    <row r="4314" spans="1:4" x14ac:dyDescent="0.25">
      <c r="A4314" s="5">
        <f t="shared" si="143"/>
        <v>10</v>
      </c>
      <c r="B4314" s="5">
        <f t="shared" si="144"/>
        <v>2024</v>
      </c>
      <c r="C4314" s="9">
        <v>45587</v>
      </c>
      <c r="D4314">
        <v>10.75</v>
      </c>
    </row>
    <row r="4315" spans="1:4" x14ac:dyDescent="0.25">
      <c r="A4315" s="5">
        <f t="shared" si="143"/>
        <v>10</v>
      </c>
      <c r="B4315" s="5">
        <f t="shared" si="144"/>
        <v>2024</v>
      </c>
      <c r="C4315" s="9">
        <v>45588</v>
      </c>
      <c r="D4315">
        <v>10.75</v>
      </c>
    </row>
    <row r="4316" spans="1:4" x14ac:dyDescent="0.25">
      <c r="A4316" s="5">
        <f t="shared" si="143"/>
        <v>10</v>
      </c>
      <c r="B4316" s="5">
        <f t="shared" si="144"/>
        <v>2024</v>
      </c>
      <c r="C4316" s="9">
        <v>45589</v>
      </c>
      <c r="D4316">
        <v>10.75</v>
      </c>
    </row>
    <row r="4317" spans="1:4" x14ac:dyDescent="0.25">
      <c r="A4317" s="5">
        <f t="shared" si="143"/>
        <v>10</v>
      </c>
      <c r="B4317" s="5">
        <f t="shared" si="144"/>
        <v>2024</v>
      </c>
      <c r="C4317" s="9">
        <v>45590</v>
      </c>
      <c r="D4317">
        <v>10.75</v>
      </c>
    </row>
    <row r="4318" spans="1:4" x14ac:dyDescent="0.25">
      <c r="A4318" s="5">
        <f t="shared" si="143"/>
        <v>10</v>
      </c>
      <c r="B4318" s="5">
        <f t="shared" si="144"/>
        <v>2024</v>
      </c>
      <c r="C4318" s="9">
        <v>45591</v>
      </c>
      <c r="D4318">
        <v>10.75</v>
      </c>
    </row>
    <row r="4319" spans="1:4" x14ac:dyDescent="0.25">
      <c r="A4319" s="5">
        <f t="shared" si="143"/>
        <v>10</v>
      </c>
      <c r="B4319" s="5">
        <f t="shared" si="144"/>
        <v>2024</v>
      </c>
      <c r="C4319" s="9">
        <v>45592</v>
      </c>
      <c r="D4319">
        <v>10.75</v>
      </c>
    </row>
    <row r="4320" spans="1:4" x14ac:dyDescent="0.25">
      <c r="A4320" s="5">
        <f t="shared" si="143"/>
        <v>10</v>
      </c>
      <c r="B4320" s="5">
        <f t="shared" si="144"/>
        <v>2024</v>
      </c>
      <c r="C4320" s="9">
        <v>45593</v>
      </c>
      <c r="D4320">
        <v>10.75</v>
      </c>
    </row>
    <row r="4321" spans="1:4" x14ac:dyDescent="0.25">
      <c r="A4321" s="5">
        <f t="shared" si="143"/>
        <v>10</v>
      </c>
      <c r="B4321" s="5">
        <f t="shared" si="144"/>
        <v>2024</v>
      </c>
      <c r="C4321" s="9">
        <v>45594</v>
      </c>
      <c r="D4321">
        <v>10.75</v>
      </c>
    </row>
    <row r="4322" spans="1:4" x14ac:dyDescent="0.25">
      <c r="A4322" s="5">
        <f t="shared" si="143"/>
        <v>10</v>
      </c>
      <c r="B4322" s="5">
        <f t="shared" si="144"/>
        <v>2024</v>
      </c>
      <c r="C4322" s="9">
        <v>45595</v>
      </c>
      <c r="D4322">
        <v>10.75</v>
      </c>
    </row>
    <row r="4323" spans="1:4" x14ac:dyDescent="0.25">
      <c r="A4323" s="5">
        <f t="shared" si="143"/>
        <v>10</v>
      </c>
      <c r="B4323" s="5">
        <f t="shared" si="144"/>
        <v>2024</v>
      </c>
      <c r="C4323" s="9">
        <v>45596</v>
      </c>
      <c r="D4323">
        <v>10.75</v>
      </c>
    </row>
    <row r="4324" spans="1:4" x14ac:dyDescent="0.25">
      <c r="A4324" s="5">
        <f t="shared" si="143"/>
        <v>11</v>
      </c>
      <c r="B4324" s="5">
        <f t="shared" si="144"/>
        <v>2024</v>
      </c>
      <c r="C4324" s="9">
        <v>45597</v>
      </c>
      <c r="D4324">
        <v>10.75</v>
      </c>
    </row>
    <row r="4325" spans="1:4" x14ac:dyDescent="0.25">
      <c r="A4325" s="5">
        <f t="shared" si="143"/>
        <v>11</v>
      </c>
      <c r="B4325" s="5">
        <f t="shared" si="144"/>
        <v>2024</v>
      </c>
      <c r="C4325" s="9">
        <v>45598</v>
      </c>
      <c r="D4325">
        <v>10.75</v>
      </c>
    </row>
    <row r="4326" spans="1:4" x14ac:dyDescent="0.25">
      <c r="A4326" s="5">
        <f t="shared" si="143"/>
        <v>11</v>
      </c>
      <c r="B4326" s="5">
        <f t="shared" si="144"/>
        <v>2024</v>
      </c>
      <c r="C4326" s="9">
        <v>45599</v>
      </c>
      <c r="D4326">
        <v>10.75</v>
      </c>
    </row>
    <row r="4327" spans="1:4" x14ac:dyDescent="0.25">
      <c r="A4327" s="5">
        <f t="shared" si="143"/>
        <v>11</v>
      </c>
      <c r="B4327" s="5">
        <f t="shared" si="144"/>
        <v>2024</v>
      </c>
      <c r="C4327" s="9">
        <v>45600</v>
      </c>
      <c r="D4327">
        <v>10.75</v>
      </c>
    </row>
    <row r="4328" spans="1:4" x14ac:dyDescent="0.25">
      <c r="A4328" s="5">
        <f t="shared" si="143"/>
        <v>11</v>
      </c>
      <c r="B4328" s="5">
        <f t="shared" si="144"/>
        <v>2024</v>
      </c>
      <c r="C4328" s="9">
        <v>45601</v>
      </c>
      <c r="D4328">
        <v>10.75</v>
      </c>
    </row>
    <row r="4329" spans="1:4" x14ac:dyDescent="0.25">
      <c r="A4329" s="5">
        <f t="shared" si="143"/>
        <v>11</v>
      </c>
      <c r="B4329" s="5">
        <f t="shared" si="144"/>
        <v>2024</v>
      </c>
      <c r="C4329" s="9">
        <v>45602</v>
      </c>
      <c r="D4329">
        <v>10.75</v>
      </c>
    </row>
    <row r="4330" spans="1:4" x14ac:dyDescent="0.25">
      <c r="A4330" s="5">
        <f t="shared" si="143"/>
        <v>11</v>
      </c>
      <c r="B4330" s="5">
        <f t="shared" si="144"/>
        <v>2024</v>
      </c>
      <c r="C4330" s="9">
        <v>45603</v>
      </c>
      <c r="D4330">
        <v>11.25</v>
      </c>
    </row>
    <row r="4331" spans="1:4" x14ac:dyDescent="0.25">
      <c r="A4331" s="5">
        <f t="shared" si="143"/>
        <v>11</v>
      </c>
      <c r="B4331" s="5">
        <f t="shared" si="144"/>
        <v>2024</v>
      </c>
      <c r="C4331" s="9">
        <v>45604</v>
      </c>
      <c r="D4331">
        <v>11.25</v>
      </c>
    </row>
    <row r="4332" spans="1:4" x14ac:dyDescent="0.25">
      <c r="A4332" s="5">
        <f t="shared" si="143"/>
        <v>11</v>
      </c>
      <c r="B4332" s="5">
        <f t="shared" si="144"/>
        <v>2024</v>
      </c>
      <c r="C4332" s="9">
        <v>45605</v>
      </c>
      <c r="D4332">
        <v>11.25</v>
      </c>
    </row>
    <row r="4333" spans="1:4" x14ac:dyDescent="0.25">
      <c r="A4333" s="5">
        <f t="shared" si="143"/>
        <v>11</v>
      </c>
      <c r="B4333" s="5">
        <f t="shared" si="144"/>
        <v>2024</v>
      </c>
      <c r="C4333" s="9">
        <v>45606</v>
      </c>
      <c r="D4333">
        <v>11.25</v>
      </c>
    </row>
    <row r="4334" spans="1:4" x14ac:dyDescent="0.25">
      <c r="A4334" s="5">
        <f t="shared" si="143"/>
        <v>11</v>
      </c>
      <c r="B4334" s="5">
        <f t="shared" si="144"/>
        <v>2024</v>
      </c>
      <c r="C4334" s="9">
        <v>45607</v>
      </c>
      <c r="D4334">
        <v>11.25</v>
      </c>
    </row>
    <row r="4335" spans="1:4" x14ac:dyDescent="0.25">
      <c r="A4335" s="5">
        <f t="shared" si="143"/>
        <v>11</v>
      </c>
      <c r="B4335" s="5">
        <f t="shared" si="144"/>
        <v>2024</v>
      </c>
      <c r="C4335" s="9">
        <v>45608</v>
      </c>
      <c r="D4335">
        <v>11.25</v>
      </c>
    </row>
    <row r="4336" spans="1:4" x14ac:dyDescent="0.25">
      <c r="A4336" s="5">
        <f t="shared" si="143"/>
        <v>11</v>
      </c>
      <c r="B4336" s="5">
        <f t="shared" si="144"/>
        <v>2024</v>
      </c>
      <c r="C4336" s="9">
        <v>45609</v>
      </c>
      <c r="D4336">
        <v>11.25</v>
      </c>
    </row>
    <row r="4337" spans="1:4" x14ac:dyDescent="0.25">
      <c r="A4337" s="5">
        <f t="shared" si="143"/>
        <v>11</v>
      </c>
      <c r="B4337" s="5">
        <f t="shared" si="144"/>
        <v>2024</v>
      </c>
      <c r="C4337" s="9">
        <v>45610</v>
      </c>
      <c r="D4337">
        <v>11.25</v>
      </c>
    </row>
    <row r="4338" spans="1:4" x14ac:dyDescent="0.25">
      <c r="A4338" s="5">
        <f t="shared" si="143"/>
        <v>11</v>
      </c>
      <c r="B4338" s="5">
        <f t="shared" si="144"/>
        <v>2024</v>
      </c>
      <c r="C4338" s="9">
        <v>45611</v>
      </c>
      <c r="D4338">
        <v>11.25</v>
      </c>
    </row>
    <row r="4339" spans="1:4" x14ac:dyDescent="0.25">
      <c r="A4339" s="5">
        <f t="shared" si="143"/>
        <v>11</v>
      </c>
      <c r="B4339" s="5">
        <f t="shared" si="144"/>
        <v>2024</v>
      </c>
      <c r="C4339" s="9">
        <v>45612</v>
      </c>
      <c r="D4339">
        <v>11.25</v>
      </c>
    </row>
    <row r="4340" spans="1:4" x14ac:dyDescent="0.25">
      <c r="A4340" s="5">
        <f t="shared" si="143"/>
        <v>11</v>
      </c>
      <c r="B4340" s="5">
        <f t="shared" si="144"/>
        <v>2024</v>
      </c>
      <c r="C4340" s="9">
        <v>45613</v>
      </c>
      <c r="D4340">
        <v>11.25</v>
      </c>
    </row>
    <row r="4341" spans="1:4" x14ac:dyDescent="0.25">
      <c r="A4341" s="5">
        <f t="shared" si="143"/>
        <v>11</v>
      </c>
      <c r="B4341" s="5">
        <f t="shared" si="144"/>
        <v>2024</v>
      </c>
      <c r="C4341" s="9">
        <v>45614</v>
      </c>
      <c r="D4341">
        <v>11.25</v>
      </c>
    </row>
    <row r="4342" spans="1:4" x14ac:dyDescent="0.25">
      <c r="A4342" s="5">
        <f t="shared" si="143"/>
        <v>11</v>
      </c>
      <c r="B4342" s="5">
        <f t="shared" si="144"/>
        <v>2024</v>
      </c>
      <c r="C4342" s="9">
        <v>45615</v>
      </c>
      <c r="D4342">
        <v>11.25</v>
      </c>
    </row>
    <row r="4343" spans="1:4" x14ac:dyDescent="0.25">
      <c r="A4343" s="5">
        <f t="shared" si="143"/>
        <v>11</v>
      </c>
      <c r="B4343" s="5">
        <f t="shared" si="144"/>
        <v>2024</v>
      </c>
      <c r="C4343" s="9">
        <v>45616</v>
      </c>
      <c r="D4343">
        <v>11.25</v>
      </c>
    </row>
    <row r="4344" spans="1:4" x14ac:dyDescent="0.25">
      <c r="A4344" s="5">
        <f t="shared" si="143"/>
        <v>11</v>
      </c>
      <c r="B4344" s="5">
        <f t="shared" si="144"/>
        <v>2024</v>
      </c>
      <c r="C4344" s="9">
        <v>45617</v>
      </c>
      <c r="D4344">
        <v>11.25</v>
      </c>
    </row>
    <row r="4345" spans="1:4" x14ac:dyDescent="0.25">
      <c r="A4345" s="5">
        <f t="shared" si="143"/>
        <v>11</v>
      </c>
      <c r="B4345" s="5">
        <f t="shared" si="144"/>
        <v>2024</v>
      </c>
      <c r="C4345" s="9">
        <v>45618</v>
      </c>
      <c r="D4345">
        <v>11.25</v>
      </c>
    </row>
    <row r="4346" spans="1:4" x14ac:dyDescent="0.25">
      <c r="A4346" s="5">
        <f t="shared" si="143"/>
        <v>11</v>
      </c>
      <c r="B4346" s="5">
        <f t="shared" si="144"/>
        <v>2024</v>
      </c>
      <c r="C4346" s="9">
        <v>45619</v>
      </c>
      <c r="D4346">
        <v>11.25</v>
      </c>
    </row>
    <row r="4347" spans="1:4" x14ac:dyDescent="0.25">
      <c r="A4347" s="5">
        <f t="shared" si="143"/>
        <v>11</v>
      </c>
      <c r="B4347" s="5">
        <f t="shared" si="144"/>
        <v>2024</v>
      </c>
      <c r="C4347" s="9">
        <v>45620</v>
      </c>
      <c r="D4347">
        <v>11.25</v>
      </c>
    </row>
    <row r="4348" spans="1:4" x14ac:dyDescent="0.25">
      <c r="A4348" s="5">
        <f t="shared" si="143"/>
        <v>11</v>
      </c>
      <c r="B4348" s="5">
        <f t="shared" si="144"/>
        <v>2024</v>
      </c>
      <c r="C4348" s="9">
        <v>45621</v>
      </c>
      <c r="D4348">
        <v>11.25</v>
      </c>
    </row>
    <row r="4349" spans="1:4" x14ac:dyDescent="0.25">
      <c r="A4349" s="5">
        <f t="shared" si="143"/>
        <v>11</v>
      </c>
      <c r="B4349" s="5">
        <f t="shared" si="144"/>
        <v>2024</v>
      </c>
      <c r="C4349" s="9">
        <v>45622</v>
      </c>
      <c r="D4349">
        <v>11.25</v>
      </c>
    </row>
    <row r="4350" spans="1:4" x14ac:dyDescent="0.25">
      <c r="A4350" s="5">
        <f t="shared" si="143"/>
        <v>11</v>
      </c>
      <c r="B4350" s="5">
        <f t="shared" si="144"/>
        <v>2024</v>
      </c>
      <c r="C4350" s="9">
        <v>45623</v>
      </c>
      <c r="D4350">
        <v>11.25</v>
      </c>
    </row>
    <row r="4351" spans="1:4" x14ac:dyDescent="0.25">
      <c r="A4351" s="5">
        <f t="shared" si="143"/>
        <v>11</v>
      </c>
      <c r="B4351" s="5">
        <f t="shared" si="144"/>
        <v>2024</v>
      </c>
      <c r="C4351" s="9">
        <v>45624</v>
      </c>
      <c r="D4351">
        <v>11.25</v>
      </c>
    </row>
    <row r="4352" spans="1:4" x14ac:dyDescent="0.25">
      <c r="A4352" s="5">
        <f t="shared" si="143"/>
        <v>11</v>
      </c>
      <c r="B4352" s="5">
        <f t="shared" si="144"/>
        <v>2024</v>
      </c>
      <c r="C4352" s="9">
        <v>45625</v>
      </c>
      <c r="D4352">
        <v>11.25</v>
      </c>
    </row>
    <row r="4353" spans="1:4" x14ac:dyDescent="0.25">
      <c r="A4353" s="5">
        <f t="shared" si="143"/>
        <v>11</v>
      </c>
      <c r="B4353" s="5">
        <f t="shared" si="144"/>
        <v>2024</v>
      </c>
      <c r="C4353" s="9">
        <v>45626</v>
      </c>
      <c r="D4353">
        <v>11.25</v>
      </c>
    </row>
    <row r="4354" spans="1:4" x14ac:dyDescent="0.25">
      <c r="A4354" s="5">
        <f t="shared" si="143"/>
        <v>12</v>
      </c>
      <c r="B4354" s="5">
        <f t="shared" si="144"/>
        <v>2024</v>
      </c>
      <c r="C4354" s="9">
        <v>45627</v>
      </c>
      <c r="D4354">
        <v>11.25</v>
      </c>
    </row>
    <row r="4355" spans="1:4" x14ac:dyDescent="0.25">
      <c r="A4355" s="5">
        <f t="shared" ref="A4355:A4418" si="145">MONTH(C4355)</f>
        <v>12</v>
      </c>
      <c r="B4355" s="5">
        <f t="shared" ref="B4355:B4418" si="146">YEAR(C4355)</f>
        <v>2024</v>
      </c>
      <c r="C4355" s="9">
        <v>45628</v>
      </c>
      <c r="D4355">
        <v>11.25</v>
      </c>
    </row>
    <row r="4356" spans="1:4" x14ac:dyDescent="0.25">
      <c r="A4356" s="5">
        <f t="shared" si="145"/>
        <v>12</v>
      </c>
      <c r="B4356" s="5">
        <f t="shared" si="146"/>
        <v>2024</v>
      </c>
      <c r="C4356" s="9">
        <v>45629</v>
      </c>
      <c r="D4356">
        <v>11.25</v>
      </c>
    </row>
    <row r="4357" spans="1:4" x14ac:dyDescent="0.25">
      <c r="A4357" s="5">
        <f t="shared" si="145"/>
        <v>12</v>
      </c>
      <c r="B4357" s="5">
        <f t="shared" si="146"/>
        <v>2024</v>
      </c>
      <c r="C4357" s="9">
        <v>45630</v>
      </c>
      <c r="D4357">
        <v>11.25</v>
      </c>
    </row>
    <row r="4358" spans="1:4" x14ac:dyDescent="0.25">
      <c r="A4358" s="5">
        <f t="shared" si="145"/>
        <v>12</v>
      </c>
      <c r="B4358" s="5">
        <f t="shared" si="146"/>
        <v>2024</v>
      </c>
      <c r="C4358" s="9">
        <v>45631</v>
      </c>
      <c r="D4358">
        <v>11.25</v>
      </c>
    </row>
    <row r="4359" spans="1:4" x14ac:dyDescent="0.25">
      <c r="A4359" s="5">
        <f t="shared" si="145"/>
        <v>12</v>
      </c>
      <c r="B4359" s="5">
        <f t="shared" si="146"/>
        <v>2024</v>
      </c>
      <c r="C4359" s="9">
        <v>45632</v>
      </c>
      <c r="D4359">
        <v>11.25</v>
      </c>
    </row>
    <row r="4360" spans="1:4" x14ac:dyDescent="0.25">
      <c r="A4360" s="5">
        <f t="shared" si="145"/>
        <v>12</v>
      </c>
      <c r="B4360" s="5">
        <f t="shared" si="146"/>
        <v>2024</v>
      </c>
      <c r="C4360" s="9">
        <v>45633</v>
      </c>
      <c r="D4360">
        <v>11.25</v>
      </c>
    </row>
    <row r="4361" spans="1:4" x14ac:dyDescent="0.25">
      <c r="A4361" s="5">
        <f t="shared" si="145"/>
        <v>12</v>
      </c>
      <c r="B4361" s="5">
        <f t="shared" si="146"/>
        <v>2024</v>
      </c>
      <c r="C4361" s="9">
        <v>45634</v>
      </c>
      <c r="D4361">
        <v>11.25</v>
      </c>
    </row>
    <row r="4362" spans="1:4" x14ac:dyDescent="0.25">
      <c r="A4362" s="5">
        <f t="shared" si="145"/>
        <v>12</v>
      </c>
      <c r="B4362" s="5">
        <f t="shared" si="146"/>
        <v>2024</v>
      </c>
      <c r="C4362" s="9">
        <v>45635</v>
      </c>
      <c r="D4362">
        <v>11.25</v>
      </c>
    </row>
    <row r="4363" spans="1:4" x14ac:dyDescent="0.25">
      <c r="A4363" s="5">
        <f t="shared" si="145"/>
        <v>12</v>
      </c>
      <c r="B4363" s="5">
        <f t="shared" si="146"/>
        <v>2024</v>
      </c>
      <c r="C4363" s="9">
        <v>45636</v>
      </c>
      <c r="D4363">
        <v>11.25</v>
      </c>
    </row>
    <row r="4364" spans="1:4" x14ac:dyDescent="0.25">
      <c r="A4364" s="5">
        <f t="shared" si="145"/>
        <v>12</v>
      </c>
      <c r="B4364" s="5">
        <f t="shared" si="146"/>
        <v>2024</v>
      </c>
      <c r="C4364" s="9">
        <v>45637</v>
      </c>
      <c r="D4364">
        <v>11.25</v>
      </c>
    </row>
    <row r="4365" spans="1:4" x14ac:dyDescent="0.25">
      <c r="A4365" s="5">
        <f t="shared" si="145"/>
        <v>12</v>
      </c>
      <c r="B4365" s="5">
        <f t="shared" si="146"/>
        <v>2024</v>
      </c>
      <c r="C4365" s="9">
        <v>45638</v>
      </c>
      <c r="D4365">
        <v>12.25</v>
      </c>
    </row>
    <row r="4366" spans="1:4" x14ac:dyDescent="0.25">
      <c r="A4366" s="5">
        <f t="shared" si="145"/>
        <v>12</v>
      </c>
      <c r="B4366" s="5">
        <f t="shared" si="146"/>
        <v>2024</v>
      </c>
      <c r="C4366" s="9">
        <v>45639</v>
      </c>
      <c r="D4366">
        <v>12.25</v>
      </c>
    </row>
    <row r="4367" spans="1:4" x14ac:dyDescent="0.25">
      <c r="A4367" s="5">
        <f t="shared" si="145"/>
        <v>12</v>
      </c>
      <c r="B4367" s="5">
        <f t="shared" si="146"/>
        <v>2024</v>
      </c>
      <c r="C4367" s="9">
        <v>45640</v>
      </c>
      <c r="D4367">
        <v>12.25</v>
      </c>
    </row>
    <row r="4368" spans="1:4" x14ac:dyDescent="0.25">
      <c r="A4368" s="5">
        <f t="shared" si="145"/>
        <v>12</v>
      </c>
      <c r="B4368" s="5">
        <f t="shared" si="146"/>
        <v>2024</v>
      </c>
      <c r="C4368" s="9">
        <v>45641</v>
      </c>
      <c r="D4368">
        <v>12.25</v>
      </c>
    </row>
    <row r="4369" spans="1:4" x14ac:dyDescent="0.25">
      <c r="A4369" s="5">
        <f t="shared" si="145"/>
        <v>12</v>
      </c>
      <c r="B4369" s="5">
        <f t="shared" si="146"/>
        <v>2024</v>
      </c>
      <c r="C4369" s="9">
        <v>45642</v>
      </c>
      <c r="D4369">
        <v>12.25</v>
      </c>
    </row>
    <row r="4370" spans="1:4" x14ac:dyDescent="0.25">
      <c r="A4370" s="5">
        <f t="shared" si="145"/>
        <v>12</v>
      </c>
      <c r="B4370" s="5">
        <f t="shared" si="146"/>
        <v>2024</v>
      </c>
      <c r="C4370" s="9">
        <v>45643</v>
      </c>
      <c r="D4370">
        <v>12.25</v>
      </c>
    </row>
    <row r="4371" spans="1:4" x14ac:dyDescent="0.25">
      <c r="A4371" s="5">
        <f t="shared" si="145"/>
        <v>12</v>
      </c>
      <c r="B4371" s="5">
        <f t="shared" si="146"/>
        <v>2024</v>
      </c>
      <c r="C4371" s="9">
        <v>45644</v>
      </c>
      <c r="D4371">
        <v>12.25</v>
      </c>
    </row>
    <row r="4372" spans="1:4" x14ac:dyDescent="0.25">
      <c r="A4372" s="5">
        <f t="shared" si="145"/>
        <v>12</v>
      </c>
      <c r="B4372" s="5">
        <f t="shared" si="146"/>
        <v>2024</v>
      </c>
      <c r="C4372" s="9">
        <v>45645</v>
      </c>
      <c r="D4372">
        <v>12.25</v>
      </c>
    </row>
    <row r="4373" spans="1:4" x14ac:dyDescent="0.25">
      <c r="A4373" s="5">
        <f t="shared" si="145"/>
        <v>12</v>
      </c>
      <c r="B4373" s="5">
        <f t="shared" si="146"/>
        <v>2024</v>
      </c>
      <c r="C4373" s="9">
        <v>45646</v>
      </c>
      <c r="D4373">
        <v>12.25</v>
      </c>
    </row>
    <row r="4374" spans="1:4" x14ac:dyDescent="0.25">
      <c r="A4374" s="5">
        <f t="shared" si="145"/>
        <v>12</v>
      </c>
      <c r="B4374" s="5">
        <f t="shared" si="146"/>
        <v>2024</v>
      </c>
      <c r="C4374" s="9">
        <v>45647</v>
      </c>
      <c r="D4374">
        <v>12.25</v>
      </c>
    </row>
    <row r="4375" spans="1:4" x14ac:dyDescent="0.25">
      <c r="A4375" s="5">
        <f t="shared" si="145"/>
        <v>12</v>
      </c>
      <c r="B4375" s="5">
        <f t="shared" si="146"/>
        <v>2024</v>
      </c>
      <c r="C4375" s="9">
        <v>45648</v>
      </c>
      <c r="D4375">
        <v>12.25</v>
      </c>
    </row>
    <row r="4376" spans="1:4" x14ac:dyDescent="0.25">
      <c r="A4376" s="5">
        <f t="shared" si="145"/>
        <v>12</v>
      </c>
      <c r="B4376" s="5">
        <f t="shared" si="146"/>
        <v>2024</v>
      </c>
      <c r="C4376" s="9">
        <v>45649</v>
      </c>
      <c r="D4376">
        <v>12.25</v>
      </c>
    </row>
    <row r="4377" spans="1:4" x14ac:dyDescent="0.25">
      <c r="A4377" s="5">
        <f t="shared" si="145"/>
        <v>12</v>
      </c>
      <c r="B4377" s="5">
        <f t="shared" si="146"/>
        <v>2024</v>
      </c>
      <c r="C4377" s="9">
        <v>45650</v>
      </c>
      <c r="D4377">
        <v>12.25</v>
      </c>
    </row>
    <row r="4378" spans="1:4" x14ac:dyDescent="0.25">
      <c r="A4378" s="5">
        <f t="shared" si="145"/>
        <v>12</v>
      </c>
      <c r="B4378" s="5">
        <f t="shared" si="146"/>
        <v>2024</v>
      </c>
      <c r="C4378" s="9">
        <v>45651</v>
      </c>
      <c r="D4378">
        <v>12.25</v>
      </c>
    </row>
    <row r="4379" spans="1:4" x14ac:dyDescent="0.25">
      <c r="A4379" s="5">
        <f t="shared" si="145"/>
        <v>12</v>
      </c>
      <c r="B4379" s="5">
        <f t="shared" si="146"/>
        <v>2024</v>
      </c>
      <c r="C4379" s="9">
        <v>45652</v>
      </c>
      <c r="D4379">
        <v>12.25</v>
      </c>
    </row>
    <row r="4380" spans="1:4" x14ac:dyDescent="0.25">
      <c r="A4380" s="5">
        <f t="shared" si="145"/>
        <v>12</v>
      </c>
      <c r="B4380" s="5">
        <f t="shared" si="146"/>
        <v>2024</v>
      </c>
      <c r="C4380" s="9">
        <v>45653</v>
      </c>
      <c r="D4380">
        <v>12.25</v>
      </c>
    </row>
    <row r="4381" spans="1:4" x14ac:dyDescent="0.25">
      <c r="A4381" s="5">
        <f t="shared" si="145"/>
        <v>12</v>
      </c>
      <c r="B4381" s="5">
        <f t="shared" si="146"/>
        <v>2024</v>
      </c>
      <c r="C4381" s="9">
        <v>45654</v>
      </c>
      <c r="D4381">
        <v>12.25</v>
      </c>
    </row>
    <row r="4382" spans="1:4" x14ac:dyDescent="0.25">
      <c r="A4382" s="5">
        <f t="shared" si="145"/>
        <v>12</v>
      </c>
      <c r="B4382" s="5">
        <f t="shared" si="146"/>
        <v>2024</v>
      </c>
      <c r="C4382" s="9">
        <v>45655</v>
      </c>
      <c r="D4382">
        <v>12.25</v>
      </c>
    </row>
    <row r="4383" spans="1:4" x14ac:dyDescent="0.25">
      <c r="A4383" s="5">
        <f t="shared" si="145"/>
        <v>12</v>
      </c>
      <c r="B4383" s="5">
        <f t="shared" si="146"/>
        <v>2024</v>
      </c>
      <c r="C4383" s="9">
        <v>45656</v>
      </c>
      <c r="D4383">
        <v>12.25</v>
      </c>
    </row>
    <row r="4384" spans="1:4" x14ac:dyDescent="0.25">
      <c r="A4384" s="5">
        <f t="shared" si="145"/>
        <v>12</v>
      </c>
      <c r="B4384" s="5">
        <f t="shared" si="146"/>
        <v>2024</v>
      </c>
      <c r="C4384" s="9">
        <v>45657</v>
      </c>
      <c r="D4384">
        <v>12.25</v>
      </c>
    </row>
    <row r="4385" spans="1:4" x14ac:dyDescent="0.25">
      <c r="A4385" s="5">
        <f t="shared" si="145"/>
        <v>1</v>
      </c>
      <c r="B4385" s="5">
        <f t="shared" si="146"/>
        <v>2025</v>
      </c>
      <c r="C4385" s="9">
        <v>45658</v>
      </c>
      <c r="D4385">
        <v>12.25</v>
      </c>
    </row>
    <row r="4386" spans="1:4" x14ac:dyDescent="0.25">
      <c r="A4386" s="5">
        <f t="shared" si="145"/>
        <v>1</v>
      </c>
      <c r="B4386" s="5">
        <f t="shared" si="146"/>
        <v>2025</v>
      </c>
      <c r="C4386" s="9">
        <v>45659</v>
      </c>
      <c r="D4386">
        <v>12.25</v>
      </c>
    </row>
    <row r="4387" spans="1:4" x14ac:dyDescent="0.25">
      <c r="A4387" s="5">
        <f t="shared" si="145"/>
        <v>1</v>
      </c>
      <c r="B4387" s="5">
        <f t="shared" si="146"/>
        <v>2025</v>
      </c>
      <c r="C4387" s="9">
        <v>45660</v>
      </c>
      <c r="D4387">
        <v>12.25</v>
      </c>
    </row>
    <row r="4388" spans="1:4" x14ac:dyDescent="0.25">
      <c r="A4388" s="5">
        <f t="shared" si="145"/>
        <v>1</v>
      </c>
      <c r="B4388" s="5">
        <f t="shared" si="146"/>
        <v>2025</v>
      </c>
      <c r="C4388" s="9">
        <v>45661</v>
      </c>
      <c r="D4388">
        <v>12.25</v>
      </c>
    </row>
    <row r="4389" spans="1:4" x14ac:dyDescent="0.25">
      <c r="A4389" s="5">
        <f t="shared" si="145"/>
        <v>1</v>
      </c>
      <c r="B4389" s="5">
        <f t="shared" si="146"/>
        <v>2025</v>
      </c>
      <c r="C4389" s="9">
        <v>45662</v>
      </c>
      <c r="D4389">
        <v>12.25</v>
      </c>
    </row>
    <row r="4390" spans="1:4" x14ac:dyDescent="0.25">
      <c r="A4390" s="5">
        <f t="shared" si="145"/>
        <v>1</v>
      </c>
      <c r="B4390" s="5">
        <f t="shared" si="146"/>
        <v>2025</v>
      </c>
      <c r="C4390" s="9">
        <v>45663</v>
      </c>
      <c r="D4390">
        <v>12.25</v>
      </c>
    </row>
    <row r="4391" spans="1:4" x14ac:dyDescent="0.25">
      <c r="A4391" s="5">
        <f t="shared" si="145"/>
        <v>1</v>
      </c>
      <c r="B4391" s="5">
        <f t="shared" si="146"/>
        <v>2025</v>
      </c>
      <c r="C4391" s="9">
        <v>45664</v>
      </c>
      <c r="D4391">
        <v>12.25</v>
      </c>
    </row>
    <row r="4392" spans="1:4" x14ac:dyDescent="0.25">
      <c r="A4392" s="5">
        <f t="shared" si="145"/>
        <v>1</v>
      </c>
      <c r="B4392" s="5">
        <f t="shared" si="146"/>
        <v>2025</v>
      </c>
      <c r="C4392" s="9">
        <v>45665</v>
      </c>
      <c r="D4392">
        <v>12.25</v>
      </c>
    </row>
    <row r="4393" spans="1:4" x14ac:dyDescent="0.25">
      <c r="A4393" s="5">
        <f t="shared" si="145"/>
        <v>1</v>
      </c>
      <c r="B4393" s="5">
        <f t="shared" si="146"/>
        <v>2025</v>
      </c>
      <c r="C4393" s="9">
        <v>45666</v>
      </c>
      <c r="D4393">
        <v>12.25</v>
      </c>
    </row>
    <row r="4394" spans="1:4" x14ac:dyDescent="0.25">
      <c r="A4394" s="5">
        <f t="shared" si="145"/>
        <v>1</v>
      </c>
      <c r="B4394" s="5">
        <f t="shared" si="146"/>
        <v>2025</v>
      </c>
      <c r="C4394" s="9">
        <v>45667</v>
      </c>
      <c r="D4394">
        <v>12.25</v>
      </c>
    </row>
    <row r="4395" spans="1:4" x14ac:dyDescent="0.25">
      <c r="A4395" s="5">
        <f t="shared" si="145"/>
        <v>1</v>
      </c>
      <c r="B4395" s="5">
        <f t="shared" si="146"/>
        <v>2025</v>
      </c>
      <c r="C4395" s="9">
        <v>45668</v>
      </c>
      <c r="D4395">
        <v>12.25</v>
      </c>
    </row>
    <row r="4396" spans="1:4" x14ac:dyDescent="0.25">
      <c r="A4396" s="5">
        <f t="shared" si="145"/>
        <v>1</v>
      </c>
      <c r="B4396" s="5">
        <f t="shared" si="146"/>
        <v>2025</v>
      </c>
      <c r="C4396" s="9">
        <v>45669</v>
      </c>
      <c r="D4396">
        <v>12.25</v>
      </c>
    </row>
    <row r="4397" spans="1:4" x14ac:dyDescent="0.25">
      <c r="A4397" s="5">
        <f t="shared" si="145"/>
        <v>1</v>
      </c>
      <c r="B4397" s="5">
        <f t="shared" si="146"/>
        <v>2025</v>
      </c>
      <c r="C4397" s="9">
        <v>45670</v>
      </c>
      <c r="D4397">
        <v>12.25</v>
      </c>
    </row>
    <row r="4398" spans="1:4" x14ac:dyDescent="0.25">
      <c r="A4398" s="5">
        <f t="shared" si="145"/>
        <v>1</v>
      </c>
      <c r="B4398" s="5">
        <f t="shared" si="146"/>
        <v>2025</v>
      </c>
      <c r="C4398" s="9">
        <v>45671</v>
      </c>
      <c r="D4398">
        <v>12.25</v>
      </c>
    </row>
    <row r="4399" spans="1:4" x14ac:dyDescent="0.25">
      <c r="A4399" s="5">
        <f t="shared" si="145"/>
        <v>1</v>
      </c>
      <c r="B4399" s="5">
        <f t="shared" si="146"/>
        <v>2025</v>
      </c>
      <c r="C4399" s="9">
        <v>45672</v>
      </c>
      <c r="D4399">
        <v>12.25</v>
      </c>
    </row>
    <row r="4400" spans="1:4" x14ac:dyDescent="0.25">
      <c r="A4400" s="5">
        <f t="shared" si="145"/>
        <v>1</v>
      </c>
      <c r="B4400" s="5">
        <f t="shared" si="146"/>
        <v>2025</v>
      </c>
      <c r="C4400" s="9">
        <v>45673</v>
      </c>
      <c r="D4400">
        <v>12.25</v>
      </c>
    </row>
    <row r="4401" spans="1:4" x14ac:dyDescent="0.25">
      <c r="A4401" s="5">
        <f t="shared" si="145"/>
        <v>1</v>
      </c>
      <c r="B4401" s="5">
        <f t="shared" si="146"/>
        <v>2025</v>
      </c>
      <c r="C4401" s="9">
        <v>45674</v>
      </c>
      <c r="D4401">
        <v>12.25</v>
      </c>
    </row>
    <row r="4402" spans="1:4" x14ac:dyDescent="0.25">
      <c r="A4402" s="5">
        <f t="shared" si="145"/>
        <v>1</v>
      </c>
      <c r="B4402" s="5">
        <f t="shared" si="146"/>
        <v>2025</v>
      </c>
      <c r="C4402" s="9">
        <v>45675</v>
      </c>
      <c r="D4402">
        <v>12.25</v>
      </c>
    </row>
    <row r="4403" spans="1:4" x14ac:dyDescent="0.25">
      <c r="A4403" s="5">
        <f t="shared" si="145"/>
        <v>1</v>
      </c>
      <c r="B4403" s="5">
        <f t="shared" si="146"/>
        <v>2025</v>
      </c>
      <c r="C4403" s="9">
        <v>45676</v>
      </c>
      <c r="D4403">
        <v>12.25</v>
      </c>
    </row>
    <row r="4404" spans="1:4" x14ac:dyDescent="0.25">
      <c r="A4404" s="5">
        <f t="shared" si="145"/>
        <v>1</v>
      </c>
      <c r="B4404" s="5">
        <f t="shared" si="146"/>
        <v>2025</v>
      </c>
      <c r="C4404" s="9">
        <v>45677</v>
      </c>
      <c r="D4404">
        <v>12.25</v>
      </c>
    </row>
    <row r="4405" spans="1:4" x14ac:dyDescent="0.25">
      <c r="A4405" s="5">
        <f t="shared" si="145"/>
        <v>1</v>
      </c>
      <c r="B4405" s="5">
        <f t="shared" si="146"/>
        <v>2025</v>
      </c>
      <c r="C4405" s="9">
        <v>45678</v>
      </c>
      <c r="D4405">
        <v>12.25</v>
      </c>
    </row>
    <row r="4406" spans="1:4" x14ac:dyDescent="0.25">
      <c r="A4406" s="5">
        <f t="shared" si="145"/>
        <v>1</v>
      </c>
      <c r="B4406" s="5">
        <f t="shared" si="146"/>
        <v>2025</v>
      </c>
      <c r="C4406" s="9">
        <v>45679</v>
      </c>
      <c r="D4406">
        <v>12.25</v>
      </c>
    </row>
    <row r="4407" spans="1:4" x14ac:dyDescent="0.25">
      <c r="A4407" s="5">
        <f t="shared" si="145"/>
        <v>1</v>
      </c>
      <c r="B4407" s="5">
        <f t="shared" si="146"/>
        <v>2025</v>
      </c>
      <c r="C4407" s="9">
        <v>45680</v>
      </c>
      <c r="D4407">
        <v>12.25</v>
      </c>
    </row>
    <row r="4408" spans="1:4" x14ac:dyDescent="0.25">
      <c r="A4408" s="5">
        <f t="shared" si="145"/>
        <v>1</v>
      </c>
      <c r="B4408" s="5">
        <f t="shared" si="146"/>
        <v>2025</v>
      </c>
      <c r="C4408" s="9">
        <v>45681</v>
      </c>
      <c r="D4408">
        <v>12.25</v>
      </c>
    </row>
    <row r="4409" spans="1:4" x14ac:dyDescent="0.25">
      <c r="A4409" s="5">
        <f t="shared" si="145"/>
        <v>1</v>
      </c>
      <c r="B4409" s="5">
        <f t="shared" si="146"/>
        <v>2025</v>
      </c>
      <c r="C4409" s="9">
        <v>45682</v>
      </c>
      <c r="D4409">
        <v>12.25</v>
      </c>
    </row>
    <row r="4410" spans="1:4" x14ac:dyDescent="0.25">
      <c r="A4410" s="5">
        <f t="shared" si="145"/>
        <v>1</v>
      </c>
      <c r="B4410" s="5">
        <f t="shared" si="146"/>
        <v>2025</v>
      </c>
      <c r="C4410" s="9">
        <v>45683</v>
      </c>
      <c r="D4410">
        <v>12.25</v>
      </c>
    </row>
    <row r="4411" spans="1:4" x14ac:dyDescent="0.25">
      <c r="A4411" s="5">
        <f t="shared" si="145"/>
        <v>1</v>
      </c>
      <c r="B4411" s="5">
        <f t="shared" si="146"/>
        <v>2025</v>
      </c>
      <c r="C4411" s="9">
        <v>45684</v>
      </c>
      <c r="D4411">
        <v>12.25</v>
      </c>
    </row>
    <row r="4412" spans="1:4" x14ac:dyDescent="0.25">
      <c r="A4412" s="5">
        <f t="shared" si="145"/>
        <v>1</v>
      </c>
      <c r="B4412" s="5">
        <f t="shared" si="146"/>
        <v>2025</v>
      </c>
      <c r="C4412" s="9">
        <v>45685</v>
      </c>
      <c r="D4412">
        <v>12.25</v>
      </c>
    </row>
    <row r="4413" spans="1:4" x14ac:dyDescent="0.25">
      <c r="A4413" s="5">
        <f t="shared" si="145"/>
        <v>1</v>
      </c>
      <c r="B4413" s="5">
        <f t="shared" si="146"/>
        <v>2025</v>
      </c>
      <c r="C4413" s="9">
        <v>45686</v>
      </c>
      <c r="D4413">
        <v>12.25</v>
      </c>
    </row>
    <row r="4414" spans="1:4" x14ac:dyDescent="0.25">
      <c r="A4414" s="5">
        <f t="shared" si="145"/>
        <v>1</v>
      </c>
      <c r="B4414" s="5">
        <f t="shared" si="146"/>
        <v>2025</v>
      </c>
      <c r="C4414" s="9">
        <v>45687</v>
      </c>
      <c r="D4414">
        <v>13.25</v>
      </c>
    </row>
    <row r="4415" spans="1:4" x14ac:dyDescent="0.25">
      <c r="A4415" s="5">
        <f t="shared" si="145"/>
        <v>1</v>
      </c>
      <c r="B4415" s="5">
        <f t="shared" si="146"/>
        <v>2025</v>
      </c>
      <c r="C4415" s="9">
        <v>45688</v>
      </c>
      <c r="D4415">
        <v>13.25</v>
      </c>
    </row>
    <row r="4416" spans="1:4" x14ac:dyDescent="0.25">
      <c r="A4416" s="5">
        <f t="shared" si="145"/>
        <v>2</v>
      </c>
      <c r="B4416" s="5">
        <f t="shared" si="146"/>
        <v>2025</v>
      </c>
      <c r="C4416" s="9">
        <v>45689</v>
      </c>
      <c r="D4416">
        <v>13.25</v>
      </c>
    </row>
    <row r="4417" spans="1:4" x14ac:dyDescent="0.25">
      <c r="A4417" s="5">
        <f t="shared" si="145"/>
        <v>2</v>
      </c>
      <c r="B4417" s="5">
        <f t="shared" si="146"/>
        <v>2025</v>
      </c>
      <c r="C4417" s="9">
        <v>45690</v>
      </c>
      <c r="D4417">
        <v>13.25</v>
      </c>
    </row>
    <row r="4418" spans="1:4" x14ac:dyDescent="0.25">
      <c r="A4418" s="5">
        <f t="shared" si="145"/>
        <v>2</v>
      </c>
      <c r="B4418" s="5">
        <f t="shared" si="146"/>
        <v>2025</v>
      </c>
      <c r="C4418" s="9">
        <v>45691</v>
      </c>
      <c r="D4418">
        <v>13.25</v>
      </c>
    </row>
    <row r="4419" spans="1:4" x14ac:dyDescent="0.25">
      <c r="A4419" s="5">
        <f t="shared" ref="A4419:A4482" si="147">MONTH(C4419)</f>
        <v>2</v>
      </c>
      <c r="B4419" s="5">
        <f t="shared" ref="B4419:B4482" si="148">YEAR(C4419)</f>
        <v>2025</v>
      </c>
      <c r="C4419" s="9">
        <v>45692</v>
      </c>
      <c r="D4419">
        <v>13.25</v>
      </c>
    </row>
    <row r="4420" spans="1:4" x14ac:dyDescent="0.25">
      <c r="A4420" s="5">
        <f t="shared" si="147"/>
        <v>2</v>
      </c>
      <c r="B4420" s="5">
        <f t="shared" si="148"/>
        <v>2025</v>
      </c>
      <c r="C4420" s="9">
        <v>45693</v>
      </c>
      <c r="D4420">
        <v>13.25</v>
      </c>
    </row>
    <row r="4421" spans="1:4" x14ac:dyDescent="0.25">
      <c r="A4421" s="5">
        <f t="shared" si="147"/>
        <v>2</v>
      </c>
      <c r="B4421" s="5">
        <f t="shared" si="148"/>
        <v>2025</v>
      </c>
      <c r="C4421" s="9">
        <v>45694</v>
      </c>
      <c r="D4421">
        <v>13.25</v>
      </c>
    </row>
    <row r="4422" spans="1:4" x14ac:dyDescent="0.25">
      <c r="A4422" s="5">
        <f t="shared" si="147"/>
        <v>2</v>
      </c>
      <c r="B4422" s="5">
        <f t="shared" si="148"/>
        <v>2025</v>
      </c>
      <c r="C4422" s="9">
        <v>45695</v>
      </c>
      <c r="D4422">
        <v>13.25</v>
      </c>
    </row>
    <row r="4423" spans="1:4" x14ac:dyDescent="0.25">
      <c r="A4423" s="5">
        <f t="shared" si="147"/>
        <v>2</v>
      </c>
      <c r="B4423" s="5">
        <f t="shared" si="148"/>
        <v>2025</v>
      </c>
      <c r="C4423" s="9">
        <v>45696</v>
      </c>
      <c r="D4423">
        <v>13.25</v>
      </c>
    </row>
    <row r="4424" spans="1:4" x14ac:dyDescent="0.25">
      <c r="A4424" s="5">
        <f t="shared" si="147"/>
        <v>2</v>
      </c>
      <c r="B4424" s="5">
        <f t="shared" si="148"/>
        <v>2025</v>
      </c>
      <c r="C4424" s="9">
        <v>45697</v>
      </c>
      <c r="D4424">
        <v>13.25</v>
      </c>
    </row>
    <row r="4425" spans="1:4" x14ac:dyDescent="0.25">
      <c r="A4425" s="5">
        <f t="shared" si="147"/>
        <v>2</v>
      </c>
      <c r="B4425" s="5">
        <f t="shared" si="148"/>
        <v>2025</v>
      </c>
      <c r="C4425" s="9">
        <v>45698</v>
      </c>
      <c r="D4425">
        <v>13.25</v>
      </c>
    </row>
    <row r="4426" spans="1:4" x14ac:dyDescent="0.25">
      <c r="A4426" s="5">
        <f t="shared" si="147"/>
        <v>2</v>
      </c>
      <c r="B4426" s="5">
        <f t="shared" si="148"/>
        <v>2025</v>
      </c>
      <c r="C4426" s="9">
        <v>45699</v>
      </c>
      <c r="D4426">
        <v>13.25</v>
      </c>
    </row>
    <row r="4427" spans="1:4" x14ac:dyDescent="0.25">
      <c r="A4427" s="5">
        <f t="shared" si="147"/>
        <v>2</v>
      </c>
      <c r="B4427" s="5">
        <f t="shared" si="148"/>
        <v>2025</v>
      </c>
      <c r="C4427" s="9">
        <v>45700</v>
      </c>
      <c r="D4427">
        <v>13.25</v>
      </c>
    </row>
    <row r="4428" spans="1:4" x14ac:dyDescent="0.25">
      <c r="A4428" s="5">
        <f t="shared" si="147"/>
        <v>2</v>
      </c>
      <c r="B4428" s="5">
        <f t="shared" si="148"/>
        <v>2025</v>
      </c>
      <c r="C4428" s="9">
        <v>45701</v>
      </c>
      <c r="D4428">
        <v>13.25</v>
      </c>
    </row>
    <row r="4429" spans="1:4" x14ac:dyDescent="0.25">
      <c r="A4429" s="5">
        <f t="shared" si="147"/>
        <v>2</v>
      </c>
      <c r="B4429" s="5">
        <f t="shared" si="148"/>
        <v>2025</v>
      </c>
      <c r="C4429" s="9">
        <v>45702</v>
      </c>
      <c r="D4429">
        <v>13.25</v>
      </c>
    </row>
    <row r="4430" spans="1:4" x14ac:dyDescent="0.25">
      <c r="A4430" s="5">
        <f t="shared" si="147"/>
        <v>2</v>
      </c>
      <c r="B4430" s="5">
        <f t="shared" si="148"/>
        <v>2025</v>
      </c>
      <c r="C4430" s="9">
        <v>45703</v>
      </c>
      <c r="D4430">
        <v>13.25</v>
      </c>
    </row>
    <row r="4431" spans="1:4" x14ac:dyDescent="0.25">
      <c r="A4431" s="5">
        <f t="shared" si="147"/>
        <v>2</v>
      </c>
      <c r="B4431" s="5">
        <f t="shared" si="148"/>
        <v>2025</v>
      </c>
      <c r="C4431" s="9">
        <v>45704</v>
      </c>
      <c r="D4431">
        <v>13.25</v>
      </c>
    </row>
    <row r="4432" spans="1:4" x14ac:dyDescent="0.25">
      <c r="A4432" s="5">
        <f t="shared" si="147"/>
        <v>2</v>
      </c>
      <c r="B4432" s="5">
        <f t="shared" si="148"/>
        <v>2025</v>
      </c>
      <c r="C4432" s="9">
        <v>45705</v>
      </c>
      <c r="D4432">
        <v>13.25</v>
      </c>
    </row>
    <row r="4433" spans="1:4" x14ac:dyDescent="0.25">
      <c r="A4433" s="5">
        <f t="shared" si="147"/>
        <v>2</v>
      </c>
      <c r="B4433" s="5">
        <f t="shared" si="148"/>
        <v>2025</v>
      </c>
      <c r="C4433" s="9">
        <v>45706</v>
      </c>
      <c r="D4433">
        <v>13.25</v>
      </c>
    </row>
    <row r="4434" spans="1:4" x14ac:dyDescent="0.25">
      <c r="A4434" s="5">
        <f t="shared" si="147"/>
        <v>2</v>
      </c>
      <c r="B4434" s="5">
        <f t="shared" si="148"/>
        <v>2025</v>
      </c>
      <c r="C4434" s="9">
        <v>45707</v>
      </c>
      <c r="D4434">
        <v>13.25</v>
      </c>
    </row>
    <row r="4435" spans="1:4" x14ac:dyDescent="0.25">
      <c r="A4435" s="5">
        <f t="shared" si="147"/>
        <v>2</v>
      </c>
      <c r="B4435" s="5">
        <f t="shared" si="148"/>
        <v>2025</v>
      </c>
      <c r="C4435" s="9">
        <v>45708</v>
      </c>
      <c r="D4435">
        <v>13.25</v>
      </c>
    </row>
    <row r="4436" spans="1:4" x14ac:dyDescent="0.25">
      <c r="A4436" s="5">
        <f t="shared" si="147"/>
        <v>2</v>
      </c>
      <c r="B4436" s="5">
        <f t="shared" si="148"/>
        <v>2025</v>
      </c>
      <c r="C4436" s="9">
        <v>45709</v>
      </c>
      <c r="D4436">
        <v>13.25</v>
      </c>
    </row>
    <row r="4437" spans="1:4" x14ac:dyDescent="0.25">
      <c r="A4437" s="5">
        <f t="shared" si="147"/>
        <v>2</v>
      </c>
      <c r="B4437" s="5">
        <f t="shared" si="148"/>
        <v>2025</v>
      </c>
      <c r="C4437" s="9">
        <v>45710</v>
      </c>
      <c r="D4437">
        <v>13.25</v>
      </c>
    </row>
    <row r="4438" spans="1:4" x14ac:dyDescent="0.25">
      <c r="A4438" s="5">
        <f t="shared" si="147"/>
        <v>2</v>
      </c>
      <c r="B4438" s="5">
        <f t="shared" si="148"/>
        <v>2025</v>
      </c>
      <c r="C4438" s="9">
        <v>45711</v>
      </c>
      <c r="D4438">
        <v>13.25</v>
      </c>
    </row>
    <row r="4439" spans="1:4" x14ac:dyDescent="0.25">
      <c r="A4439" s="5">
        <f t="shared" si="147"/>
        <v>2</v>
      </c>
      <c r="B4439" s="5">
        <f t="shared" si="148"/>
        <v>2025</v>
      </c>
      <c r="C4439" s="9">
        <v>45712</v>
      </c>
      <c r="D4439">
        <v>13.25</v>
      </c>
    </row>
    <row r="4440" spans="1:4" x14ac:dyDescent="0.25">
      <c r="A4440" s="5">
        <f t="shared" si="147"/>
        <v>2</v>
      </c>
      <c r="B4440" s="5">
        <f t="shared" si="148"/>
        <v>2025</v>
      </c>
      <c r="C4440" s="9">
        <v>45713</v>
      </c>
      <c r="D4440">
        <v>13.25</v>
      </c>
    </row>
    <row r="4441" spans="1:4" x14ac:dyDescent="0.25">
      <c r="A4441" s="5">
        <f t="shared" si="147"/>
        <v>2</v>
      </c>
      <c r="B4441" s="5">
        <f t="shared" si="148"/>
        <v>2025</v>
      </c>
      <c r="C4441" s="9">
        <v>45714</v>
      </c>
      <c r="D4441">
        <v>13.25</v>
      </c>
    </row>
    <row r="4442" spans="1:4" x14ac:dyDescent="0.25">
      <c r="A4442" s="5">
        <f t="shared" si="147"/>
        <v>2</v>
      </c>
      <c r="B4442" s="5">
        <f t="shared" si="148"/>
        <v>2025</v>
      </c>
      <c r="C4442" s="9">
        <v>45715</v>
      </c>
      <c r="D4442">
        <v>13.25</v>
      </c>
    </row>
    <row r="4443" spans="1:4" x14ac:dyDescent="0.25">
      <c r="A4443" s="5">
        <f t="shared" si="147"/>
        <v>2</v>
      </c>
      <c r="B4443" s="5">
        <f t="shared" si="148"/>
        <v>2025</v>
      </c>
      <c r="C4443" s="9">
        <v>45716</v>
      </c>
      <c r="D4443">
        <v>13.25</v>
      </c>
    </row>
    <row r="4444" spans="1:4" x14ac:dyDescent="0.25">
      <c r="A4444" s="5">
        <f t="shared" si="147"/>
        <v>3</v>
      </c>
      <c r="B4444" s="5">
        <f t="shared" si="148"/>
        <v>2025</v>
      </c>
      <c r="C4444" s="9">
        <v>45717</v>
      </c>
      <c r="D4444">
        <v>13.25</v>
      </c>
    </row>
    <row r="4445" spans="1:4" x14ac:dyDescent="0.25">
      <c r="A4445" s="5">
        <f t="shared" si="147"/>
        <v>3</v>
      </c>
      <c r="B4445" s="5">
        <f t="shared" si="148"/>
        <v>2025</v>
      </c>
      <c r="C4445" s="9">
        <v>45718</v>
      </c>
      <c r="D4445">
        <v>13.25</v>
      </c>
    </row>
    <row r="4446" spans="1:4" x14ac:dyDescent="0.25">
      <c r="A4446" s="5">
        <f t="shared" si="147"/>
        <v>3</v>
      </c>
      <c r="B4446" s="5">
        <f t="shared" si="148"/>
        <v>2025</v>
      </c>
      <c r="C4446" s="9">
        <v>45719</v>
      </c>
      <c r="D4446">
        <v>13.25</v>
      </c>
    </row>
    <row r="4447" spans="1:4" x14ac:dyDescent="0.25">
      <c r="A4447" s="5">
        <f t="shared" si="147"/>
        <v>3</v>
      </c>
      <c r="B4447" s="5">
        <f t="shared" si="148"/>
        <v>2025</v>
      </c>
      <c r="C4447" s="9">
        <v>45720</v>
      </c>
      <c r="D4447">
        <v>13.25</v>
      </c>
    </row>
    <row r="4448" spans="1:4" x14ac:dyDescent="0.25">
      <c r="A4448" s="5">
        <f t="shared" si="147"/>
        <v>3</v>
      </c>
      <c r="B4448" s="5">
        <f t="shared" si="148"/>
        <v>2025</v>
      </c>
      <c r="C4448" s="9">
        <v>45721</v>
      </c>
      <c r="D4448">
        <v>13.25</v>
      </c>
    </row>
    <row r="4449" spans="1:4" x14ac:dyDescent="0.25">
      <c r="A4449" s="5">
        <f t="shared" si="147"/>
        <v>3</v>
      </c>
      <c r="B4449" s="5">
        <f t="shared" si="148"/>
        <v>2025</v>
      </c>
      <c r="C4449" s="9">
        <v>45722</v>
      </c>
      <c r="D4449">
        <v>13.25</v>
      </c>
    </row>
    <row r="4450" spans="1:4" x14ac:dyDescent="0.25">
      <c r="A4450" s="5">
        <f t="shared" si="147"/>
        <v>3</v>
      </c>
      <c r="B4450" s="5">
        <f t="shared" si="148"/>
        <v>2025</v>
      </c>
      <c r="C4450" s="9">
        <v>45723</v>
      </c>
      <c r="D4450">
        <v>13.25</v>
      </c>
    </row>
    <row r="4451" spans="1:4" x14ac:dyDescent="0.25">
      <c r="A4451" s="5">
        <f t="shared" si="147"/>
        <v>3</v>
      </c>
      <c r="B4451" s="5">
        <f t="shared" si="148"/>
        <v>2025</v>
      </c>
      <c r="C4451" s="9">
        <v>45724</v>
      </c>
      <c r="D4451">
        <v>13.25</v>
      </c>
    </row>
    <row r="4452" spans="1:4" x14ac:dyDescent="0.25">
      <c r="A4452" s="5">
        <f t="shared" si="147"/>
        <v>3</v>
      </c>
      <c r="B4452" s="5">
        <f t="shared" si="148"/>
        <v>2025</v>
      </c>
      <c r="C4452" s="9">
        <v>45725</v>
      </c>
      <c r="D4452">
        <v>13.25</v>
      </c>
    </row>
    <row r="4453" spans="1:4" x14ac:dyDescent="0.25">
      <c r="A4453" s="5">
        <f t="shared" si="147"/>
        <v>3</v>
      </c>
      <c r="B4453" s="5">
        <f t="shared" si="148"/>
        <v>2025</v>
      </c>
      <c r="C4453" s="9">
        <v>45726</v>
      </c>
      <c r="D4453">
        <v>13.25</v>
      </c>
    </row>
    <row r="4454" spans="1:4" x14ac:dyDescent="0.25">
      <c r="A4454" s="5">
        <f t="shared" si="147"/>
        <v>3</v>
      </c>
      <c r="B4454" s="5">
        <f t="shared" si="148"/>
        <v>2025</v>
      </c>
      <c r="C4454" s="9">
        <v>45727</v>
      </c>
      <c r="D4454">
        <v>13.25</v>
      </c>
    </row>
    <row r="4455" spans="1:4" x14ac:dyDescent="0.25">
      <c r="A4455" s="5">
        <f t="shared" si="147"/>
        <v>3</v>
      </c>
      <c r="B4455" s="5">
        <f t="shared" si="148"/>
        <v>2025</v>
      </c>
      <c r="C4455" s="9">
        <v>45728</v>
      </c>
      <c r="D4455">
        <v>13.25</v>
      </c>
    </row>
    <row r="4456" spans="1:4" x14ac:dyDescent="0.25">
      <c r="A4456" s="5">
        <f t="shared" si="147"/>
        <v>3</v>
      </c>
      <c r="B4456" s="5">
        <f t="shared" si="148"/>
        <v>2025</v>
      </c>
      <c r="C4456" s="9">
        <v>45729</v>
      </c>
      <c r="D4456">
        <v>13.25</v>
      </c>
    </row>
    <row r="4457" spans="1:4" x14ac:dyDescent="0.25">
      <c r="A4457" s="5">
        <f t="shared" si="147"/>
        <v>3</v>
      </c>
      <c r="B4457" s="5">
        <f t="shared" si="148"/>
        <v>2025</v>
      </c>
      <c r="C4457" s="9">
        <v>45730</v>
      </c>
      <c r="D4457">
        <v>13.25</v>
      </c>
    </row>
    <row r="4458" spans="1:4" x14ac:dyDescent="0.25">
      <c r="A4458" s="5">
        <f t="shared" si="147"/>
        <v>3</v>
      </c>
      <c r="B4458" s="5">
        <f t="shared" si="148"/>
        <v>2025</v>
      </c>
      <c r="C4458" s="9">
        <v>45731</v>
      </c>
      <c r="D4458">
        <v>13.25</v>
      </c>
    </row>
    <row r="4459" spans="1:4" x14ac:dyDescent="0.25">
      <c r="A4459" s="5">
        <f t="shared" si="147"/>
        <v>3</v>
      </c>
      <c r="B4459" s="5">
        <f t="shared" si="148"/>
        <v>2025</v>
      </c>
      <c r="C4459" s="9">
        <v>45732</v>
      </c>
      <c r="D4459">
        <v>13.25</v>
      </c>
    </row>
    <row r="4460" spans="1:4" x14ac:dyDescent="0.25">
      <c r="A4460" s="5">
        <f t="shared" si="147"/>
        <v>3</v>
      </c>
      <c r="B4460" s="5">
        <f t="shared" si="148"/>
        <v>2025</v>
      </c>
      <c r="C4460" s="9">
        <v>45733</v>
      </c>
      <c r="D4460">
        <v>13.25</v>
      </c>
    </row>
    <row r="4461" spans="1:4" x14ac:dyDescent="0.25">
      <c r="A4461" s="5">
        <f t="shared" si="147"/>
        <v>3</v>
      </c>
      <c r="B4461" s="5">
        <f t="shared" si="148"/>
        <v>2025</v>
      </c>
      <c r="C4461" s="9">
        <v>45734</v>
      </c>
      <c r="D4461">
        <v>13.25</v>
      </c>
    </row>
    <row r="4462" spans="1:4" x14ac:dyDescent="0.25">
      <c r="A4462" s="5">
        <f t="shared" si="147"/>
        <v>3</v>
      </c>
      <c r="B4462" s="5">
        <f t="shared" si="148"/>
        <v>2025</v>
      </c>
      <c r="C4462" s="9">
        <v>45735</v>
      </c>
      <c r="D4462">
        <v>13.25</v>
      </c>
    </row>
    <row r="4463" spans="1:4" x14ac:dyDescent="0.25">
      <c r="A4463" s="5">
        <f t="shared" si="147"/>
        <v>3</v>
      </c>
      <c r="B4463" s="5">
        <f t="shared" si="148"/>
        <v>2025</v>
      </c>
      <c r="C4463" s="9">
        <v>45736</v>
      </c>
      <c r="D4463">
        <v>14.25</v>
      </c>
    </row>
    <row r="4464" spans="1:4" x14ac:dyDescent="0.25">
      <c r="A4464" s="5">
        <f t="shared" si="147"/>
        <v>3</v>
      </c>
      <c r="B4464" s="5">
        <f t="shared" si="148"/>
        <v>2025</v>
      </c>
      <c r="C4464" s="9">
        <v>45737</v>
      </c>
      <c r="D4464">
        <v>14.25</v>
      </c>
    </row>
    <row r="4465" spans="1:4" x14ac:dyDescent="0.25">
      <c r="A4465" s="5">
        <f t="shared" si="147"/>
        <v>3</v>
      </c>
      <c r="B4465" s="5">
        <f t="shared" si="148"/>
        <v>2025</v>
      </c>
      <c r="C4465" s="9">
        <v>45738</v>
      </c>
      <c r="D4465">
        <v>14.25</v>
      </c>
    </row>
    <row r="4466" spans="1:4" x14ac:dyDescent="0.25">
      <c r="A4466" s="5">
        <f t="shared" si="147"/>
        <v>3</v>
      </c>
      <c r="B4466" s="5">
        <f t="shared" si="148"/>
        <v>2025</v>
      </c>
      <c r="C4466" s="9">
        <v>45739</v>
      </c>
      <c r="D4466">
        <v>14.25</v>
      </c>
    </row>
    <row r="4467" spans="1:4" x14ac:dyDescent="0.25">
      <c r="A4467" s="5">
        <f t="shared" si="147"/>
        <v>3</v>
      </c>
      <c r="B4467" s="5">
        <f t="shared" si="148"/>
        <v>2025</v>
      </c>
      <c r="C4467" s="9">
        <v>45740</v>
      </c>
      <c r="D4467">
        <v>14.25</v>
      </c>
    </row>
    <row r="4468" spans="1:4" x14ac:dyDescent="0.25">
      <c r="A4468" s="5">
        <f t="shared" si="147"/>
        <v>3</v>
      </c>
      <c r="B4468" s="5">
        <f t="shared" si="148"/>
        <v>2025</v>
      </c>
      <c r="C4468" s="9">
        <v>45741</v>
      </c>
      <c r="D4468">
        <v>14.25</v>
      </c>
    </row>
    <row r="4469" spans="1:4" x14ac:dyDescent="0.25">
      <c r="A4469" s="5">
        <f t="shared" si="147"/>
        <v>3</v>
      </c>
      <c r="B4469" s="5">
        <f t="shared" si="148"/>
        <v>2025</v>
      </c>
      <c r="C4469" s="9">
        <v>45742</v>
      </c>
      <c r="D4469">
        <v>14.25</v>
      </c>
    </row>
    <row r="4470" spans="1:4" x14ac:dyDescent="0.25">
      <c r="A4470" s="5">
        <f t="shared" si="147"/>
        <v>3</v>
      </c>
      <c r="B4470" s="5">
        <f t="shared" si="148"/>
        <v>2025</v>
      </c>
      <c r="C4470" s="9">
        <v>45743</v>
      </c>
      <c r="D4470">
        <v>14.25</v>
      </c>
    </row>
    <row r="4471" spans="1:4" x14ac:dyDescent="0.25">
      <c r="A4471" s="5">
        <f t="shared" si="147"/>
        <v>3</v>
      </c>
      <c r="B4471" s="5">
        <f t="shared" si="148"/>
        <v>2025</v>
      </c>
      <c r="C4471" s="9">
        <v>45744</v>
      </c>
      <c r="D4471">
        <v>14.25</v>
      </c>
    </row>
    <row r="4472" spans="1:4" x14ac:dyDescent="0.25">
      <c r="A4472" s="5">
        <f t="shared" si="147"/>
        <v>3</v>
      </c>
      <c r="B4472" s="5">
        <f t="shared" si="148"/>
        <v>2025</v>
      </c>
      <c r="C4472" s="9">
        <v>45745</v>
      </c>
      <c r="D4472">
        <v>14.25</v>
      </c>
    </row>
    <row r="4473" spans="1:4" x14ac:dyDescent="0.25">
      <c r="A4473" s="5">
        <f t="shared" si="147"/>
        <v>3</v>
      </c>
      <c r="B4473" s="5">
        <f t="shared" si="148"/>
        <v>2025</v>
      </c>
      <c r="C4473" s="9">
        <v>45746</v>
      </c>
      <c r="D4473">
        <v>14.25</v>
      </c>
    </row>
    <row r="4474" spans="1:4" x14ac:dyDescent="0.25">
      <c r="A4474" s="5">
        <f t="shared" si="147"/>
        <v>3</v>
      </c>
      <c r="B4474" s="5">
        <f t="shared" si="148"/>
        <v>2025</v>
      </c>
      <c r="C4474" s="9">
        <v>45747</v>
      </c>
      <c r="D4474">
        <v>14.25</v>
      </c>
    </row>
    <row r="4475" spans="1:4" x14ac:dyDescent="0.25">
      <c r="A4475" s="5">
        <f t="shared" si="147"/>
        <v>4</v>
      </c>
      <c r="B4475" s="5">
        <f t="shared" si="148"/>
        <v>2025</v>
      </c>
      <c r="C4475" s="9">
        <v>45748</v>
      </c>
      <c r="D4475">
        <v>14.25</v>
      </c>
    </row>
    <row r="4476" spans="1:4" x14ac:dyDescent="0.25">
      <c r="A4476" s="5">
        <f t="shared" si="147"/>
        <v>4</v>
      </c>
      <c r="B4476" s="5">
        <f t="shared" si="148"/>
        <v>2025</v>
      </c>
      <c r="C4476" s="9">
        <v>45749</v>
      </c>
      <c r="D4476">
        <v>14.25</v>
      </c>
    </row>
    <row r="4477" spans="1:4" x14ac:dyDescent="0.25">
      <c r="A4477" s="5">
        <f t="shared" si="147"/>
        <v>4</v>
      </c>
      <c r="B4477" s="5">
        <f t="shared" si="148"/>
        <v>2025</v>
      </c>
      <c r="C4477" s="9">
        <v>45750</v>
      </c>
      <c r="D4477">
        <v>14.25</v>
      </c>
    </row>
    <row r="4478" spans="1:4" x14ac:dyDescent="0.25">
      <c r="A4478" s="5">
        <f t="shared" si="147"/>
        <v>4</v>
      </c>
      <c r="B4478" s="5">
        <f t="shared" si="148"/>
        <v>2025</v>
      </c>
      <c r="C4478" s="9">
        <v>45751</v>
      </c>
      <c r="D4478">
        <v>14.25</v>
      </c>
    </row>
    <row r="4479" spans="1:4" x14ac:dyDescent="0.25">
      <c r="A4479" s="5">
        <f t="shared" si="147"/>
        <v>4</v>
      </c>
      <c r="B4479" s="5">
        <f t="shared" si="148"/>
        <v>2025</v>
      </c>
      <c r="C4479" s="9">
        <v>45752</v>
      </c>
      <c r="D4479">
        <v>14.25</v>
      </c>
    </row>
    <row r="4480" spans="1:4" x14ac:dyDescent="0.25">
      <c r="A4480" s="5">
        <f t="shared" si="147"/>
        <v>4</v>
      </c>
      <c r="B4480" s="5">
        <f t="shared" si="148"/>
        <v>2025</v>
      </c>
      <c r="C4480" s="9">
        <v>45753</v>
      </c>
      <c r="D4480">
        <v>14.25</v>
      </c>
    </row>
    <row r="4481" spans="1:4" x14ac:dyDescent="0.25">
      <c r="A4481" s="5">
        <f t="shared" si="147"/>
        <v>4</v>
      </c>
      <c r="B4481" s="5">
        <f t="shared" si="148"/>
        <v>2025</v>
      </c>
      <c r="C4481" s="9">
        <v>45754</v>
      </c>
      <c r="D4481">
        <v>14.25</v>
      </c>
    </row>
    <row r="4482" spans="1:4" x14ac:dyDescent="0.25">
      <c r="A4482" s="5">
        <f t="shared" si="147"/>
        <v>4</v>
      </c>
      <c r="B4482" s="5">
        <f t="shared" si="148"/>
        <v>2025</v>
      </c>
      <c r="C4482" s="9">
        <v>45755</v>
      </c>
      <c r="D4482">
        <v>14.25</v>
      </c>
    </row>
    <row r="4483" spans="1:4" x14ac:dyDescent="0.25">
      <c r="A4483" s="5">
        <f t="shared" ref="A4483:A4546" si="149">MONTH(C4483)</f>
        <v>4</v>
      </c>
      <c r="B4483" s="5">
        <f t="shared" ref="B4483:B4546" si="150">YEAR(C4483)</f>
        <v>2025</v>
      </c>
      <c r="C4483" s="9">
        <v>45756</v>
      </c>
      <c r="D4483">
        <v>14.25</v>
      </c>
    </row>
    <row r="4484" spans="1:4" x14ac:dyDescent="0.25">
      <c r="A4484" s="5">
        <f t="shared" si="149"/>
        <v>4</v>
      </c>
      <c r="B4484" s="5">
        <f t="shared" si="150"/>
        <v>2025</v>
      </c>
      <c r="C4484" s="9">
        <v>45757</v>
      </c>
      <c r="D4484">
        <v>14.25</v>
      </c>
    </row>
    <row r="4485" spans="1:4" x14ac:dyDescent="0.25">
      <c r="A4485" s="5">
        <f t="shared" si="149"/>
        <v>4</v>
      </c>
      <c r="B4485" s="5">
        <f t="shared" si="150"/>
        <v>2025</v>
      </c>
      <c r="C4485" s="9">
        <v>45758</v>
      </c>
      <c r="D4485">
        <v>14.25</v>
      </c>
    </row>
    <row r="4486" spans="1:4" x14ac:dyDescent="0.25">
      <c r="A4486" s="5">
        <f t="shared" si="149"/>
        <v>4</v>
      </c>
      <c r="B4486" s="5">
        <f t="shared" si="150"/>
        <v>2025</v>
      </c>
      <c r="C4486" s="9">
        <v>45759</v>
      </c>
      <c r="D4486">
        <v>14.25</v>
      </c>
    </row>
    <row r="4487" spans="1:4" x14ac:dyDescent="0.25">
      <c r="A4487" s="5">
        <f t="shared" si="149"/>
        <v>4</v>
      </c>
      <c r="B4487" s="5">
        <f t="shared" si="150"/>
        <v>2025</v>
      </c>
      <c r="C4487" s="9">
        <v>45760</v>
      </c>
      <c r="D4487">
        <v>14.25</v>
      </c>
    </row>
    <row r="4488" spans="1:4" x14ac:dyDescent="0.25">
      <c r="A4488" s="5">
        <f t="shared" si="149"/>
        <v>4</v>
      </c>
      <c r="B4488" s="5">
        <f t="shared" si="150"/>
        <v>2025</v>
      </c>
      <c r="C4488" s="9">
        <v>45761</v>
      </c>
      <c r="D4488">
        <v>14.25</v>
      </c>
    </row>
    <row r="4489" spans="1:4" x14ac:dyDescent="0.25">
      <c r="A4489" s="5">
        <f t="shared" si="149"/>
        <v>4</v>
      </c>
      <c r="B4489" s="5">
        <f t="shared" si="150"/>
        <v>2025</v>
      </c>
      <c r="C4489" s="9">
        <v>45762</v>
      </c>
      <c r="D4489">
        <v>14.25</v>
      </c>
    </row>
    <row r="4490" spans="1:4" x14ac:dyDescent="0.25">
      <c r="A4490" s="5">
        <f t="shared" si="149"/>
        <v>4</v>
      </c>
      <c r="B4490" s="5">
        <f t="shared" si="150"/>
        <v>2025</v>
      </c>
      <c r="C4490" s="9">
        <v>45763</v>
      </c>
      <c r="D4490">
        <v>14.25</v>
      </c>
    </row>
    <row r="4491" spans="1:4" x14ac:dyDescent="0.25">
      <c r="A4491" s="5">
        <f t="shared" si="149"/>
        <v>4</v>
      </c>
      <c r="B4491" s="5">
        <f t="shared" si="150"/>
        <v>2025</v>
      </c>
      <c r="C4491" s="9">
        <v>45764</v>
      </c>
      <c r="D4491">
        <v>14.25</v>
      </c>
    </row>
    <row r="4492" spans="1:4" x14ac:dyDescent="0.25">
      <c r="A4492" s="5">
        <f t="shared" si="149"/>
        <v>4</v>
      </c>
      <c r="B4492" s="5">
        <f t="shared" si="150"/>
        <v>2025</v>
      </c>
      <c r="C4492" s="9">
        <v>45765</v>
      </c>
      <c r="D4492">
        <v>14.25</v>
      </c>
    </row>
    <row r="4493" spans="1:4" x14ac:dyDescent="0.25">
      <c r="A4493" s="5">
        <f t="shared" si="149"/>
        <v>4</v>
      </c>
      <c r="B4493" s="5">
        <f t="shared" si="150"/>
        <v>2025</v>
      </c>
      <c r="C4493" s="9">
        <v>45766</v>
      </c>
      <c r="D4493">
        <v>14.25</v>
      </c>
    </row>
    <row r="4494" spans="1:4" x14ac:dyDescent="0.25">
      <c r="A4494" s="5">
        <f t="shared" si="149"/>
        <v>4</v>
      </c>
      <c r="B4494" s="5">
        <f t="shared" si="150"/>
        <v>2025</v>
      </c>
      <c r="C4494" s="9">
        <v>45767</v>
      </c>
      <c r="D4494">
        <v>14.25</v>
      </c>
    </row>
    <row r="4495" spans="1:4" x14ac:dyDescent="0.25">
      <c r="A4495" s="5">
        <f t="shared" si="149"/>
        <v>4</v>
      </c>
      <c r="B4495" s="5">
        <f t="shared" si="150"/>
        <v>2025</v>
      </c>
      <c r="C4495" s="9">
        <v>45768</v>
      </c>
      <c r="D4495">
        <v>14.25</v>
      </c>
    </row>
    <row r="4496" spans="1:4" x14ac:dyDescent="0.25">
      <c r="A4496" s="5">
        <f t="shared" si="149"/>
        <v>4</v>
      </c>
      <c r="B4496" s="5">
        <f t="shared" si="150"/>
        <v>2025</v>
      </c>
      <c r="C4496" s="9">
        <v>45769</v>
      </c>
      <c r="D4496">
        <v>14.25</v>
      </c>
    </row>
    <row r="4497" spans="1:4" x14ac:dyDescent="0.25">
      <c r="A4497" s="5">
        <f t="shared" si="149"/>
        <v>4</v>
      </c>
      <c r="B4497" s="5">
        <f t="shared" si="150"/>
        <v>2025</v>
      </c>
      <c r="C4497" s="9">
        <v>45770</v>
      </c>
      <c r="D4497">
        <v>14.25</v>
      </c>
    </row>
    <row r="4498" spans="1:4" x14ac:dyDescent="0.25">
      <c r="A4498" s="5">
        <f t="shared" si="149"/>
        <v>4</v>
      </c>
      <c r="B4498" s="5">
        <f t="shared" si="150"/>
        <v>2025</v>
      </c>
      <c r="C4498" s="9">
        <v>45771</v>
      </c>
      <c r="D4498">
        <v>14.25</v>
      </c>
    </row>
    <row r="4499" spans="1:4" x14ac:dyDescent="0.25">
      <c r="A4499" s="5">
        <f t="shared" si="149"/>
        <v>4</v>
      </c>
      <c r="B4499" s="5">
        <f t="shared" si="150"/>
        <v>2025</v>
      </c>
      <c r="C4499" s="9">
        <v>45772</v>
      </c>
      <c r="D4499">
        <v>14.25</v>
      </c>
    </row>
    <row r="4500" spans="1:4" x14ac:dyDescent="0.25">
      <c r="A4500" s="5">
        <f t="shared" si="149"/>
        <v>4</v>
      </c>
      <c r="B4500" s="5">
        <f t="shared" si="150"/>
        <v>2025</v>
      </c>
      <c r="C4500" s="9">
        <v>45773</v>
      </c>
      <c r="D4500">
        <v>14.25</v>
      </c>
    </row>
    <row r="4501" spans="1:4" x14ac:dyDescent="0.25">
      <c r="A4501" s="5">
        <f t="shared" si="149"/>
        <v>4</v>
      </c>
      <c r="B4501" s="5">
        <f t="shared" si="150"/>
        <v>2025</v>
      </c>
      <c r="C4501" s="9">
        <v>45774</v>
      </c>
      <c r="D4501">
        <v>14.25</v>
      </c>
    </row>
    <row r="4502" spans="1:4" x14ac:dyDescent="0.25">
      <c r="A4502" s="5">
        <f t="shared" si="149"/>
        <v>4</v>
      </c>
      <c r="B4502" s="5">
        <f t="shared" si="150"/>
        <v>2025</v>
      </c>
      <c r="C4502" s="9">
        <v>45775</v>
      </c>
      <c r="D4502">
        <v>14.25</v>
      </c>
    </row>
    <row r="4503" spans="1:4" x14ac:dyDescent="0.25">
      <c r="A4503" s="5">
        <f t="shared" si="149"/>
        <v>4</v>
      </c>
      <c r="B4503" s="5">
        <f t="shared" si="150"/>
        <v>2025</v>
      </c>
      <c r="C4503" s="9">
        <v>45776</v>
      </c>
      <c r="D4503">
        <v>14.25</v>
      </c>
    </row>
    <row r="4504" spans="1:4" x14ac:dyDescent="0.25">
      <c r="A4504" s="5">
        <f t="shared" si="149"/>
        <v>4</v>
      </c>
      <c r="B4504" s="5">
        <f t="shared" si="150"/>
        <v>2025</v>
      </c>
      <c r="C4504" s="9">
        <v>45777</v>
      </c>
      <c r="D4504">
        <v>14.25</v>
      </c>
    </row>
    <row r="4505" spans="1:4" x14ac:dyDescent="0.25">
      <c r="A4505" s="5">
        <f t="shared" si="149"/>
        <v>5</v>
      </c>
      <c r="B4505" s="5">
        <f t="shared" si="150"/>
        <v>2025</v>
      </c>
      <c r="C4505" s="9">
        <v>45778</v>
      </c>
      <c r="D4505">
        <v>14.25</v>
      </c>
    </row>
    <row r="4506" spans="1:4" x14ac:dyDescent="0.25">
      <c r="A4506" s="5">
        <f t="shared" si="149"/>
        <v>5</v>
      </c>
      <c r="B4506" s="5">
        <f t="shared" si="150"/>
        <v>2025</v>
      </c>
      <c r="C4506" s="9">
        <v>45779</v>
      </c>
      <c r="D4506">
        <v>14.25</v>
      </c>
    </row>
    <row r="4507" spans="1:4" x14ac:dyDescent="0.25">
      <c r="A4507" s="5">
        <f t="shared" si="149"/>
        <v>5</v>
      </c>
      <c r="B4507" s="5">
        <f t="shared" si="150"/>
        <v>2025</v>
      </c>
      <c r="C4507" s="9">
        <v>45780</v>
      </c>
      <c r="D4507">
        <v>14.25</v>
      </c>
    </row>
    <row r="4508" spans="1:4" x14ac:dyDescent="0.25">
      <c r="A4508" s="5">
        <f t="shared" si="149"/>
        <v>5</v>
      </c>
      <c r="B4508" s="5">
        <f t="shared" si="150"/>
        <v>2025</v>
      </c>
      <c r="C4508" s="9">
        <v>45781</v>
      </c>
      <c r="D4508">
        <v>14.25</v>
      </c>
    </row>
    <row r="4509" spans="1:4" x14ac:dyDescent="0.25">
      <c r="A4509" s="5">
        <f t="shared" si="149"/>
        <v>5</v>
      </c>
      <c r="B4509" s="5">
        <f t="shared" si="150"/>
        <v>2025</v>
      </c>
      <c r="C4509" s="9">
        <v>45782</v>
      </c>
      <c r="D4509">
        <v>14.25</v>
      </c>
    </row>
    <row r="4510" spans="1:4" x14ac:dyDescent="0.25">
      <c r="A4510" s="5">
        <f t="shared" si="149"/>
        <v>5</v>
      </c>
      <c r="B4510" s="5">
        <f t="shared" si="150"/>
        <v>2025</v>
      </c>
      <c r="C4510" s="9">
        <v>45783</v>
      </c>
      <c r="D4510">
        <v>14.25</v>
      </c>
    </row>
    <row r="4511" spans="1:4" x14ac:dyDescent="0.25">
      <c r="A4511" s="5">
        <f t="shared" si="149"/>
        <v>5</v>
      </c>
      <c r="B4511" s="5">
        <f t="shared" si="150"/>
        <v>2025</v>
      </c>
      <c r="C4511" s="9">
        <v>45784</v>
      </c>
      <c r="D4511">
        <v>14.25</v>
      </c>
    </row>
    <row r="4512" spans="1:4" x14ac:dyDescent="0.25">
      <c r="A4512" s="5">
        <f t="shared" si="149"/>
        <v>5</v>
      </c>
      <c r="B4512" s="5">
        <f t="shared" si="150"/>
        <v>2025</v>
      </c>
      <c r="C4512" s="9">
        <v>45785</v>
      </c>
      <c r="D4512">
        <v>14.75</v>
      </c>
    </row>
    <row r="4513" spans="1:4" x14ac:dyDescent="0.25">
      <c r="A4513" s="5">
        <f t="shared" si="149"/>
        <v>5</v>
      </c>
      <c r="B4513" s="5">
        <f t="shared" si="150"/>
        <v>2025</v>
      </c>
      <c r="C4513" s="9">
        <v>45786</v>
      </c>
      <c r="D4513">
        <v>14.75</v>
      </c>
    </row>
    <row r="4514" spans="1:4" x14ac:dyDescent="0.25">
      <c r="A4514" s="5">
        <f t="shared" si="149"/>
        <v>5</v>
      </c>
      <c r="B4514" s="5">
        <f t="shared" si="150"/>
        <v>2025</v>
      </c>
      <c r="C4514" s="9">
        <v>45787</v>
      </c>
      <c r="D4514">
        <v>14.75</v>
      </c>
    </row>
    <row r="4515" spans="1:4" x14ac:dyDescent="0.25">
      <c r="A4515" s="5">
        <f t="shared" si="149"/>
        <v>5</v>
      </c>
      <c r="B4515" s="5">
        <f t="shared" si="150"/>
        <v>2025</v>
      </c>
      <c r="C4515" s="9">
        <v>45788</v>
      </c>
      <c r="D4515">
        <v>14.75</v>
      </c>
    </row>
    <row r="4516" spans="1:4" x14ac:dyDescent="0.25">
      <c r="A4516" s="5">
        <f t="shared" si="149"/>
        <v>5</v>
      </c>
      <c r="B4516" s="5">
        <f t="shared" si="150"/>
        <v>2025</v>
      </c>
      <c r="C4516" s="9">
        <v>45789</v>
      </c>
      <c r="D4516">
        <v>14.75</v>
      </c>
    </row>
    <row r="4517" spans="1:4" x14ac:dyDescent="0.25">
      <c r="A4517" s="5">
        <f t="shared" si="149"/>
        <v>5</v>
      </c>
      <c r="B4517" s="5">
        <f t="shared" si="150"/>
        <v>2025</v>
      </c>
      <c r="C4517" s="9">
        <v>45790</v>
      </c>
      <c r="D4517">
        <v>14.75</v>
      </c>
    </row>
    <row r="4518" spans="1:4" x14ac:dyDescent="0.25">
      <c r="A4518" s="5">
        <f t="shared" si="149"/>
        <v>5</v>
      </c>
      <c r="B4518" s="5">
        <f t="shared" si="150"/>
        <v>2025</v>
      </c>
      <c r="C4518" s="9">
        <v>45791</v>
      </c>
      <c r="D4518">
        <v>14.75</v>
      </c>
    </row>
    <row r="4519" spans="1:4" x14ac:dyDescent="0.25">
      <c r="A4519" s="5">
        <f t="shared" si="149"/>
        <v>5</v>
      </c>
      <c r="B4519" s="5">
        <f t="shared" si="150"/>
        <v>2025</v>
      </c>
      <c r="C4519" s="9">
        <v>45792</v>
      </c>
      <c r="D4519">
        <v>14.75</v>
      </c>
    </row>
    <row r="4520" spans="1:4" x14ac:dyDescent="0.25">
      <c r="A4520" s="5">
        <f t="shared" si="149"/>
        <v>5</v>
      </c>
      <c r="B4520" s="5">
        <f t="shared" si="150"/>
        <v>2025</v>
      </c>
      <c r="C4520" s="9">
        <v>45793</v>
      </c>
      <c r="D4520">
        <v>14.75</v>
      </c>
    </row>
    <row r="4521" spans="1:4" x14ac:dyDescent="0.25">
      <c r="A4521" s="5">
        <f t="shared" si="149"/>
        <v>5</v>
      </c>
      <c r="B4521" s="5">
        <f t="shared" si="150"/>
        <v>2025</v>
      </c>
      <c r="C4521" s="9">
        <v>45794</v>
      </c>
      <c r="D4521">
        <v>14.75</v>
      </c>
    </row>
    <row r="4522" spans="1:4" x14ac:dyDescent="0.25">
      <c r="A4522" s="5">
        <f t="shared" si="149"/>
        <v>5</v>
      </c>
      <c r="B4522" s="5">
        <f t="shared" si="150"/>
        <v>2025</v>
      </c>
      <c r="C4522" s="9">
        <v>45795</v>
      </c>
      <c r="D4522">
        <v>14.75</v>
      </c>
    </row>
    <row r="4523" spans="1:4" x14ac:dyDescent="0.25">
      <c r="A4523" s="5">
        <f t="shared" si="149"/>
        <v>5</v>
      </c>
      <c r="B4523" s="5">
        <f t="shared" si="150"/>
        <v>2025</v>
      </c>
      <c r="C4523" s="9">
        <v>45796</v>
      </c>
      <c r="D4523">
        <v>14.75</v>
      </c>
    </row>
    <row r="4524" spans="1:4" x14ac:dyDescent="0.25">
      <c r="A4524" s="5">
        <f t="shared" si="149"/>
        <v>5</v>
      </c>
      <c r="B4524" s="5">
        <f t="shared" si="150"/>
        <v>2025</v>
      </c>
      <c r="C4524" s="9">
        <v>45797</v>
      </c>
      <c r="D4524">
        <v>14.75</v>
      </c>
    </row>
    <row r="4525" spans="1:4" x14ac:dyDescent="0.25">
      <c r="A4525" s="5">
        <f t="shared" si="149"/>
        <v>5</v>
      </c>
      <c r="B4525" s="5">
        <f t="shared" si="150"/>
        <v>2025</v>
      </c>
      <c r="C4525" s="9">
        <v>45798</v>
      </c>
      <c r="D4525">
        <v>14.75</v>
      </c>
    </row>
    <row r="4526" spans="1:4" x14ac:dyDescent="0.25">
      <c r="A4526" s="5">
        <f t="shared" si="149"/>
        <v>5</v>
      </c>
      <c r="B4526" s="5">
        <f t="shared" si="150"/>
        <v>2025</v>
      </c>
      <c r="C4526" s="9">
        <v>45799</v>
      </c>
      <c r="D4526">
        <v>14.75</v>
      </c>
    </row>
    <row r="4527" spans="1:4" x14ac:dyDescent="0.25">
      <c r="A4527" s="5">
        <f t="shared" si="149"/>
        <v>5</v>
      </c>
      <c r="B4527" s="5">
        <f t="shared" si="150"/>
        <v>2025</v>
      </c>
      <c r="C4527" s="9">
        <v>45800</v>
      </c>
      <c r="D4527">
        <v>14.75</v>
      </c>
    </row>
    <row r="4528" spans="1:4" x14ac:dyDescent="0.25">
      <c r="A4528" s="5">
        <f t="shared" si="149"/>
        <v>5</v>
      </c>
      <c r="B4528" s="5">
        <f t="shared" si="150"/>
        <v>2025</v>
      </c>
      <c r="C4528" s="9">
        <v>45801</v>
      </c>
      <c r="D4528">
        <v>14.75</v>
      </c>
    </row>
    <row r="4529" spans="1:4" x14ac:dyDescent="0.25">
      <c r="A4529" s="5">
        <f t="shared" si="149"/>
        <v>5</v>
      </c>
      <c r="B4529" s="5">
        <f t="shared" si="150"/>
        <v>2025</v>
      </c>
      <c r="C4529" s="9">
        <v>45802</v>
      </c>
      <c r="D4529">
        <v>14.75</v>
      </c>
    </row>
    <row r="4530" spans="1:4" x14ac:dyDescent="0.25">
      <c r="A4530" s="5">
        <f t="shared" si="149"/>
        <v>5</v>
      </c>
      <c r="B4530" s="5">
        <f t="shared" si="150"/>
        <v>2025</v>
      </c>
      <c r="C4530" s="9">
        <v>45803</v>
      </c>
      <c r="D4530">
        <v>14.75</v>
      </c>
    </row>
    <row r="4531" spans="1:4" x14ac:dyDescent="0.25">
      <c r="A4531" s="5">
        <f t="shared" si="149"/>
        <v>5</v>
      </c>
      <c r="B4531" s="5">
        <f t="shared" si="150"/>
        <v>2025</v>
      </c>
      <c r="C4531" s="9">
        <v>45804</v>
      </c>
      <c r="D4531">
        <v>14.75</v>
      </c>
    </row>
    <row r="4532" spans="1:4" x14ac:dyDescent="0.25">
      <c r="A4532" s="5">
        <f t="shared" si="149"/>
        <v>5</v>
      </c>
      <c r="B4532" s="5">
        <f t="shared" si="150"/>
        <v>2025</v>
      </c>
      <c r="C4532" s="9">
        <v>45805</v>
      </c>
      <c r="D4532">
        <v>14.75</v>
      </c>
    </row>
    <row r="4533" spans="1:4" x14ac:dyDescent="0.25">
      <c r="A4533" s="5">
        <f t="shared" si="149"/>
        <v>5</v>
      </c>
      <c r="B4533" s="5">
        <f t="shared" si="150"/>
        <v>2025</v>
      </c>
      <c r="C4533" s="9">
        <v>45806</v>
      </c>
      <c r="D4533">
        <v>14.75</v>
      </c>
    </row>
    <row r="4534" spans="1:4" x14ac:dyDescent="0.25">
      <c r="A4534" s="5">
        <f t="shared" si="149"/>
        <v>5</v>
      </c>
      <c r="B4534" s="5">
        <f t="shared" si="150"/>
        <v>2025</v>
      </c>
      <c r="C4534" s="9">
        <v>45807</v>
      </c>
      <c r="D4534">
        <v>14.75</v>
      </c>
    </row>
    <row r="4535" spans="1:4" x14ac:dyDescent="0.25">
      <c r="A4535" s="5">
        <f t="shared" si="149"/>
        <v>5</v>
      </c>
      <c r="B4535" s="5">
        <f t="shared" si="150"/>
        <v>2025</v>
      </c>
      <c r="C4535" s="9">
        <v>45808</v>
      </c>
      <c r="D4535">
        <v>14.75</v>
      </c>
    </row>
    <row r="4536" spans="1:4" x14ac:dyDescent="0.25">
      <c r="A4536" s="5">
        <f t="shared" si="149"/>
        <v>6</v>
      </c>
      <c r="B4536" s="5">
        <f t="shared" si="150"/>
        <v>2025</v>
      </c>
      <c r="C4536" s="9">
        <v>45809</v>
      </c>
      <c r="D4536">
        <v>14.75</v>
      </c>
    </row>
    <row r="4537" spans="1:4" x14ac:dyDescent="0.25">
      <c r="A4537" s="5">
        <f t="shared" si="149"/>
        <v>6</v>
      </c>
      <c r="B4537" s="5">
        <f t="shared" si="150"/>
        <v>2025</v>
      </c>
      <c r="C4537" s="9">
        <v>45810</v>
      </c>
      <c r="D4537">
        <v>14.75</v>
      </c>
    </row>
    <row r="4538" spans="1:4" x14ac:dyDescent="0.25">
      <c r="A4538" s="5">
        <f t="shared" si="149"/>
        <v>6</v>
      </c>
      <c r="B4538" s="5">
        <f t="shared" si="150"/>
        <v>2025</v>
      </c>
      <c r="C4538" s="9">
        <v>45811</v>
      </c>
      <c r="D4538">
        <v>14.75</v>
      </c>
    </row>
    <row r="4539" spans="1:4" x14ac:dyDescent="0.25">
      <c r="A4539" s="5">
        <f t="shared" si="149"/>
        <v>6</v>
      </c>
      <c r="B4539" s="5">
        <f t="shared" si="150"/>
        <v>2025</v>
      </c>
      <c r="C4539" s="9">
        <v>45812</v>
      </c>
      <c r="D4539">
        <v>14.75</v>
      </c>
    </row>
    <row r="4540" spans="1:4" x14ac:dyDescent="0.25">
      <c r="A4540" s="5">
        <f t="shared" si="149"/>
        <v>6</v>
      </c>
      <c r="B4540" s="5">
        <f t="shared" si="150"/>
        <v>2025</v>
      </c>
      <c r="C4540" s="9">
        <v>45813</v>
      </c>
      <c r="D4540">
        <v>14.75</v>
      </c>
    </row>
    <row r="4541" spans="1:4" x14ac:dyDescent="0.25">
      <c r="A4541" s="5">
        <f t="shared" si="149"/>
        <v>6</v>
      </c>
      <c r="B4541" s="5">
        <f t="shared" si="150"/>
        <v>2025</v>
      </c>
      <c r="C4541" s="9">
        <v>45814</v>
      </c>
      <c r="D4541">
        <v>14.75</v>
      </c>
    </row>
    <row r="4542" spans="1:4" x14ac:dyDescent="0.25">
      <c r="A4542" s="5">
        <f t="shared" si="149"/>
        <v>6</v>
      </c>
      <c r="B4542" s="5">
        <f t="shared" si="150"/>
        <v>2025</v>
      </c>
      <c r="C4542" s="9">
        <v>45815</v>
      </c>
      <c r="D4542">
        <v>14.75</v>
      </c>
    </row>
    <row r="4543" spans="1:4" x14ac:dyDescent="0.25">
      <c r="A4543" s="5">
        <f t="shared" si="149"/>
        <v>6</v>
      </c>
      <c r="B4543" s="5">
        <f t="shared" si="150"/>
        <v>2025</v>
      </c>
      <c r="C4543" s="9">
        <v>45816</v>
      </c>
      <c r="D4543">
        <v>14.75</v>
      </c>
    </row>
    <row r="4544" spans="1:4" x14ac:dyDescent="0.25">
      <c r="A4544" s="5">
        <f t="shared" si="149"/>
        <v>6</v>
      </c>
      <c r="B4544" s="5">
        <f t="shared" si="150"/>
        <v>2025</v>
      </c>
      <c r="C4544" s="9">
        <v>45817</v>
      </c>
      <c r="D4544">
        <v>14.75</v>
      </c>
    </row>
    <row r="4545" spans="1:4" x14ac:dyDescent="0.25">
      <c r="A4545" s="5">
        <f t="shared" si="149"/>
        <v>6</v>
      </c>
      <c r="B4545" s="5">
        <f t="shared" si="150"/>
        <v>2025</v>
      </c>
      <c r="C4545" s="9">
        <v>45818</v>
      </c>
      <c r="D4545">
        <v>14.75</v>
      </c>
    </row>
    <row r="4546" spans="1:4" x14ac:dyDescent="0.25">
      <c r="A4546" s="5">
        <f t="shared" si="149"/>
        <v>6</v>
      </c>
      <c r="B4546" s="5">
        <f t="shared" si="150"/>
        <v>2025</v>
      </c>
      <c r="C4546" s="9">
        <v>45819</v>
      </c>
      <c r="D4546">
        <v>14.75</v>
      </c>
    </row>
    <row r="4547" spans="1:4" x14ac:dyDescent="0.25">
      <c r="A4547" s="5">
        <f t="shared" ref="A4547:A4610" si="151">MONTH(C4547)</f>
        <v>6</v>
      </c>
      <c r="B4547" s="5">
        <f t="shared" ref="B4547:B4610" si="152">YEAR(C4547)</f>
        <v>2025</v>
      </c>
      <c r="C4547" s="9">
        <v>45820</v>
      </c>
      <c r="D4547">
        <v>14.75</v>
      </c>
    </row>
    <row r="4548" spans="1:4" x14ac:dyDescent="0.25">
      <c r="A4548" s="5">
        <f t="shared" si="151"/>
        <v>6</v>
      </c>
      <c r="B4548" s="5">
        <f t="shared" si="152"/>
        <v>2025</v>
      </c>
      <c r="C4548" s="9">
        <v>45821</v>
      </c>
      <c r="D4548">
        <v>14.75</v>
      </c>
    </row>
    <row r="4549" spans="1:4" x14ac:dyDescent="0.25">
      <c r="A4549" s="5">
        <f t="shared" si="151"/>
        <v>6</v>
      </c>
      <c r="B4549" s="5">
        <f t="shared" si="152"/>
        <v>2025</v>
      </c>
      <c r="C4549" s="9">
        <v>45822</v>
      </c>
      <c r="D4549">
        <v>14.75</v>
      </c>
    </row>
    <row r="4550" spans="1:4" x14ac:dyDescent="0.25">
      <c r="A4550" s="5">
        <f t="shared" si="151"/>
        <v>6</v>
      </c>
      <c r="B4550" s="5">
        <f t="shared" si="152"/>
        <v>2025</v>
      </c>
      <c r="C4550" s="9">
        <v>45823</v>
      </c>
      <c r="D4550">
        <v>14.75</v>
      </c>
    </row>
    <row r="4551" spans="1:4" x14ac:dyDescent="0.25">
      <c r="A4551" s="5">
        <f t="shared" si="151"/>
        <v>6</v>
      </c>
      <c r="B4551" s="5">
        <f t="shared" si="152"/>
        <v>2025</v>
      </c>
      <c r="C4551" s="9">
        <v>45824</v>
      </c>
      <c r="D4551">
        <v>14.75</v>
      </c>
    </row>
    <row r="4552" spans="1:4" x14ac:dyDescent="0.25">
      <c r="A4552" s="5">
        <f t="shared" si="151"/>
        <v>6</v>
      </c>
      <c r="B4552" s="5">
        <f t="shared" si="152"/>
        <v>2025</v>
      </c>
      <c r="C4552" s="9">
        <v>45825</v>
      </c>
      <c r="D4552">
        <v>14.75</v>
      </c>
    </row>
    <row r="4553" spans="1:4" x14ac:dyDescent="0.25">
      <c r="A4553" s="5">
        <f t="shared" si="151"/>
        <v>6</v>
      </c>
      <c r="B4553" s="5">
        <f t="shared" si="152"/>
        <v>2025</v>
      </c>
      <c r="C4553" s="9">
        <v>45826</v>
      </c>
      <c r="D4553">
        <v>14.75</v>
      </c>
    </row>
    <row r="4554" spans="1:4" x14ac:dyDescent="0.25">
      <c r="A4554" s="5">
        <f t="shared" si="151"/>
        <v>6</v>
      </c>
      <c r="B4554" s="5">
        <f t="shared" si="152"/>
        <v>2025</v>
      </c>
      <c r="C4554" s="9">
        <v>45827</v>
      </c>
      <c r="D4554">
        <v>15</v>
      </c>
    </row>
    <row r="4555" spans="1:4" x14ac:dyDescent="0.25">
      <c r="A4555" s="5">
        <f t="shared" si="151"/>
        <v>6</v>
      </c>
      <c r="B4555" s="5">
        <f t="shared" si="152"/>
        <v>2025</v>
      </c>
      <c r="C4555" s="9">
        <v>45828</v>
      </c>
      <c r="D4555">
        <v>15</v>
      </c>
    </row>
    <row r="4556" spans="1:4" x14ac:dyDescent="0.25">
      <c r="A4556" s="5">
        <f t="shared" si="151"/>
        <v>6</v>
      </c>
      <c r="B4556" s="5">
        <f t="shared" si="152"/>
        <v>2025</v>
      </c>
      <c r="C4556" s="9">
        <v>45829</v>
      </c>
      <c r="D4556">
        <v>15</v>
      </c>
    </row>
    <row r="4557" spans="1:4" x14ac:dyDescent="0.25">
      <c r="A4557" s="5">
        <f t="shared" si="151"/>
        <v>6</v>
      </c>
      <c r="B4557" s="5">
        <f t="shared" si="152"/>
        <v>2025</v>
      </c>
      <c r="C4557" s="9">
        <v>45830</v>
      </c>
      <c r="D4557">
        <v>15</v>
      </c>
    </row>
    <row r="4558" spans="1:4" x14ac:dyDescent="0.25">
      <c r="A4558" s="5">
        <f t="shared" si="151"/>
        <v>6</v>
      </c>
      <c r="B4558" s="5">
        <f t="shared" si="152"/>
        <v>2025</v>
      </c>
      <c r="C4558" s="9">
        <v>45831</v>
      </c>
      <c r="D4558">
        <v>15</v>
      </c>
    </row>
    <row r="4559" spans="1:4" x14ac:dyDescent="0.25">
      <c r="A4559" s="5">
        <f t="shared" si="151"/>
        <v>6</v>
      </c>
      <c r="B4559" s="5">
        <f t="shared" si="152"/>
        <v>2025</v>
      </c>
      <c r="C4559" s="9">
        <v>45832</v>
      </c>
      <c r="D4559">
        <v>15</v>
      </c>
    </row>
    <row r="4560" spans="1:4" x14ac:dyDescent="0.25">
      <c r="A4560" s="5">
        <f t="shared" si="151"/>
        <v>6</v>
      </c>
      <c r="B4560" s="5">
        <f t="shared" si="152"/>
        <v>2025</v>
      </c>
      <c r="C4560" s="9">
        <v>45833</v>
      </c>
      <c r="D4560">
        <v>15</v>
      </c>
    </row>
    <row r="4561" spans="1:4" x14ac:dyDescent="0.25">
      <c r="A4561" s="5">
        <f t="shared" si="151"/>
        <v>6</v>
      </c>
      <c r="B4561" s="5">
        <f t="shared" si="152"/>
        <v>2025</v>
      </c>
      <c r="C4561" s="9">
        <v>45834</v>
      </c>
      <c r="D4561">
        <v>15</v>
      </c>
    </row>
    <row r="4562" spans="1:4" x14ac:dyDescent="0.25">
      <c r="A4562" s="5">
        <f t="shared" si="151"/>
        <v>6</v>
      </c>
      <c r="B4562" s="5">
        <f t="shared" si="152"/>
        <v>2025</v>
      </c>
      <c r="C4562" s="9">
        <v>45835</v>
      </c>
      <c r="D4562">
        <v>15</v>
      </c>
    </row>
    <row r="4563" spans="1:4" x14ac:dyDescent="0.25">
      <c r="A4563" s="5">
        <f t="shared" si="151"/>
        <v>6</v>
      </c>
      <c r="B4563" s="5">
        <f t="shared" si="152"/>
        <v>2025</v>
      </c>
      <c r="C4563" s="9">
        <v>45836</v>
      </c>
      <c r="D4563">
        <v>15</v>
      </c>
    </row>
    <row r="4564" spans="1:4" x14ac:dyDescent="0.25">
      <c r="A4564" s="5">
        <f t="shared" si="151"/>
        <v>6</v>
      </c>
      <c r="B4564" s="5">
        <f t="shared" si="152"/>
        <v>2025</v>
      </c>
      <c r="C4564" s="9">
        <v>45837</v>
      </c>
      <c r="D4564">
        <v>15</v>
      </c>
    </row>
    <row r="4565" spans="1:4" x14ac:dyDescent="0.25">
      <c r="A4565" s="5">
        <f t="shared" si="151"/>
        <v>6</v>
      </c>
      <c r="B4565" s="5">
        <f t="shared" si="152"/>
        <v>2025</v>
      </c>
      <c r="C4565" s="9">
        <v>45838</v>
      </c>
      <c r="D4565">
        <v>15</v>
      </c>
    </row>
    <row r="4566" spans="1:4" x14ac:dyDescent="0.25">
      <c r="A4566" s="5">
        <f t="shared" si="151"/>
        <v>7</v>
      </c>
      <c r="B4566" s="5">
        <f t="shared" si="152"/>
        <v>2025</v>
      </c>
      <c r="C4566" s="9">
        <v>45839</v>
      </c>
      <c r="D4566">
        <v>15</v>
      </c>
    </row>
    <row r="4567" spans="1:4" x14ac:dyDescent="0.25">
      <c r="A4567" s="5">
        <f t="shared" si="151"/>
        <v>7</v>
      </c>
      <c r="B4567" s="5">
        <f t="shared" si="152"/>
        <v>2025</v>
      </c>
      <c r="C4567" s="9">
        <v>45840</v>
      </c>
      <c r="D4567">
        <v>15</v>
      </c>
    </row>
    <row r="4568" spans="1:4" x14ac:dyDescent="0.25">
      <c r="A4568" s="5">
        <f t="shared" si="151"/>
        <v>7</v>
      </c>
      <c r="B4568" s="5">
        <f t="shared" si="152"/>
        <v>2025</v>
      </c>
      <c r="C4568" s="9">
        <v>45841</v>
      </c>
      <c r="D4568">
        <v>15</v>
      </c>
    </row>
    <row r="4569" spans="1:4" x14ac:dyDescent="0.25">
      <c r="A4569" s="5">
        <f t="shared" si="151"/>
        <v>7</v>
      </c>
      <c r="B4569" s="5">
        <f t="shared" si="152"/>
        <v>2025</v>
      </c>
      <c r="C4569" s="9">
        <v>45842</v>
      </c>
      <c r="D4569">
        <v>15</v>
      </c>
    </row>
    <row r="4570" spans="1:4" x14ac:dyDescent="0.25">
      <c r="A4570" s="5">
        <f t="shared" si="151"/>
        <v>7</v>
      </c>
      <c r="B4570" s="5">
        <f t="shared" si="152"/>
        <v>2025</v>
      </c>
      <c r="C4570" s="9">
        <v>45843</v>
      </c>
      <c r="D4570">
        <v>15</v>
      </c>
    </row>
    <row r="4571" spans="1:4" x14ac:dyDescent="0.25">
      <c r="A4571" s="5">
        <f t="shared" si="151"/>
        <v>7</v>
      </c>
      <c r="B4571" s="5">
        <f t="shared" si="152"/>
        <v>2025</v>
      </c>
      <c r="C4571" s="9">
        <v>45844</v>
      </c>
      <c r="D4571">
        <v>15</v>
      </c>
    </row>
    <row r="4572" spans="1:4" x14ac:dyDescent="0.25">
      <c r="A4572" s="5">
        <f t="shared" si="151"/>
        <v>7</v>
      </c>
      <c r="B4572" s="5">
        <f t="shared" si="152"/>
        <v>2025</v>
      </c>
      <c r="C4572" s="9">
        <v>45845</v>
      </c>
      <c r="D4572">
        <v>15</v>
      </c>
    </row>
    <row r="4573" spans="1:4" x14ac:dyDescent="0.25">
      <c r="A4573" s="5">
        <f t="shared" si="151"/>
        <v>7</v>
      </c>
      <c r="B4573" s="5">
        <f t="shared" si="152"/>
        <v>2025</v>
      </c>
      <c r="C4573" s="9">
        <v>45846</v>
      </c>
      <c r="D4573">
        <v>15</v>
      </c>
    </row>
    <row r="4574" spans="1:4" x14ac:dyDescent="0.25">
      <c r="A4574" s="5">
        <f t="shared" si="151"/>
        <v>7</v>
      </c>
      <c r="B4574" s="5">
        <f t="shared" si="152"/>
        <v>2025</v>
      </c>
      <c r="C4574" s="9">
        <v>45847</v>
      </c>
      <c r="D4574">
        <v>15</v>
      </c>
    </row>
    <row r="4575" spans="1:4" x14ac:dyDescent="0.25">
      <c r="A4575" s="5">
        <f t="shared" si="151"/>
        <v>7</v>
      </c>
      <c r="B4575" s="5">
        <f t="shared" si="152"/>
        <v>2025</v>
      </c>
      <c r="C4575" s="9">
        <v>45848</v>
      </c>
      <c r="D4575">
        <v>15</v>
      </c>
    </row>
    <row r="4576" spans="1:4" x14ac:dyDescent="0.25">
      <c r="A4576" s="5">
        <f t="shared" si="151"/>
        <v>7</v>
      </c>
      <c r="B4576" s="5">
        <f t="shared" si="152"/>
        <v>2025</v>
      </c>
      <c r="C4576" s="9">
        <v>45849</v>
      </c>
      <c r="D4576">
        <v>15</v>
      </c>
    </row>
    <row r="4577" spans="1:4" x14ac:dyDescent="0.25">
      <c r="A4577" s="5">
        <f t="shared" si="151"/>
        <v>7</v>
      </c>
      <c r="B4577" s="5">
        <f t="shared" si="152"/>
        <v>2025</v>
      </c>
      <c r="C4577" s="9">
        <v>45850</v>
      </c>
      <c r="D4577">
        <v>15</v>
      </c>
    </row>
    <row r="4578" spans="1:4" x14ac:dyDescent="0.25">
      <c r="A4578" s="5">
        <f t="shared" si="151"/>
        <v>7</v>
      </c>
      <c r="B4578" s="5">
        <f t="shared" si="152"/>
        <v>2025</v>
      </c>
      <c r="C4578" s="9">
        <v>45851</v>
      </c>
      <c r="D4578">
        <v>15</v>
      </c>
    </row>
    <row r="4579" spans="1:4" x14ac:dyDescent="0.25">
      <c r="A4579" s="5">
        <f t="shared" si="151"/>
        <v>7</v>
      </c>
      <c r="B4579" s="5">
        <f t="shared" si="152"/>
        <v>2025</v>
      </c>
      <c r="C4579" s="9">
        <v>45852</v>
      </c>
      <c r="D4579">
        <v>15</v>
      </c>
    </row>
    <row r="4580" spans="1:4" x14ac:dyDescent="0.25">
      <c r="A4580" s="5">
        <f t="shared" si="151"/>
        <v>7</v>
      </c>
      <c r="B4580" s="5">
        <f t="shared" si="152"/>
        <v>2025</v>
      </c>
      <c r="C4580" s="9">
        <v>45853</v>
      </c>
      <c r="D4580">
        <v>15</v>
      </c>
    </row>
    <row r="4581" spans="1:4" x14ac:dyDescent="0.25">
      <c r="A4581" s="5">
        <f t="shared" si="151"/>
        <v>7</v>
      </c>
      <c r="B4581" s="5">
        <f t="shared" si="152"/>
        <v>2025</v>
      </c>
      <c r="C4581" s="9">
        <v>45854</v>
      </c>
      <c r="D4581">
        <v>15</v>
      </c>
    </row>
    <row r="4582" spans="1:4" x14ac:dyDescent="0.25">
      <c r="A4582" s="5">
        <f t="shared" si="151"/>
        <v>7</v>
      </c>
      <c r="B4582" s="5">
        <f t="shared" si="152"/>
        <v>2025</v>
      </c>
      <c r="C4582" s="9">
        <v>45855</v>
      </c>
      <c r="D4582">
        <v>15</v>
      </c>
    </row>
    <row r="4583" spans="1:4" x14ac:dyDescent="0.25">
      <c r="A4583" s="5">
        <f t="shared" si="151"/>
        <v>7</v>
      </c>
      <c r="B4583" s="5">
        <f t="shared" si="152"/>
        <v>2025</v>
      </c>
      <c r="C4583" s="9">
        <v>45856</v>
      </c>
      <c r="D4583">
        <v>15</v>
      </c>
    </row>
    <row r="4584" spans="1:4" x14ac:dyDescent="0.25">
      <c r="A4584" s="5">
        <f t="shared" si="151"/>
        <v>7</v>
      </c>
      <c r="B4584" s="5">
        <f t="shared" si="152"/>
        <v>2025</v>
      </c>
      <c r="C4584" s="9">
        <v>45857</v>
      </c>
      <c r="D4584">
        <v>15</v>
      </c>
    </row>
    <row r="4585" spans="1:4" x14ac:dyDescent="0.25">
      <c r="A4585" s="5">
        <f t="shared" si="151"/>
        <v>7</v>
      </c>
      <c r="B4585" s="5">
        <f t="shared" si="152"/>
        <v>2025</v>
      </c>
      <c r="C4585" s="9">
        <v>45858</v>
      </c>
      <c r="D4585">
        <v>15</v>
      </c>
    </row>
    <row r="4586" spans="1:4" x14ac:dyDescent="0.25">
      <c r="A4586" s="5">
        <f t="shared" si="151"/>
        <v>7</v>
      </c>
      <c r="B4586" s="5">
        <f t="shared" si="152"/>
        <v>2025</v>
      </c>
      <c r="C4586" s="9">
        <v>45859</v>
      </c>
      <c r="D4586">
        <v>15</v>
      </c>
    </row>
    <row r="4587" spans="1:4" x14ac:dyDescent="0.25">
      <c r="A4587" s="5">
        <f t="shared" si="151"/>
        <v>7</v>
      </c>
      <c r="B4587" s="5">
        <f t="shared" si="152"/>
        <v>2025</v>
      </c>
      <c r="C4587" s="9">
        <v>45860</v>
      </c>
      <c r="D4587">
        <v>15</v>
      </c>
    </row>
    <row r="4588" spans="1:4" x14ac:dyDescent="0.25">
      <c r="A4588" s="5">
        <f t="shared" si="151"/>
        <v>7</v>
      </c>
      <c r="B4588" s="5">
        <f t="shared" si="152"/>
        <v>2025</v>
      </c>
      <c r="C4588" s="9">
        <v>45861</v>
      </c>
      <c r="D4588">
        <v>15</v>
      </c>
    </row>
    <row r="4589" spans="1:4" x14ac:dyDescent="0.25">
      <c r="A4589" s="5">
        <f t="shared" si="151"/>
        <v>7</v>
      </c>
      <c r="B4589" s="5">
        <f t="shared" si="152"/>
        <v>2025</v>
      </c>
      <c r="C4589" s="9">
        <v>45862</v>
      </c>
      <c r="D4589">
        <v>15</v>
      </c>
    </row>
    <row r="4590" spans="1:4" x14ac:dyDescent="0.25">
      <c r="A4590" s="5">
        <f t="shared" si="151"/>
        <v>7</v>
      </c>
      <c r="B4590" s="5">
        <f t="shared" si="152"/>
        <v>2025</v>
      </c>
      <c r="C4590" s="9">
        <v>45863</v>
      </c>
      <c r="D4590">
        <v>15</v>
      </c>
    </row>
    <row r="4591" spans="1:4" x14ac:dyDescent="0.25">
      <c r="A4591" s="5">
        <f t="shared" si="151"/>
        <v>7</v>
      </c>
      <c r="B4591" s="5">
        <f t="shared" si="152"/>
        <v>2025</v>
      </c>
      <c r="C4591" s="9">
        <v>45864</v>
      </c>
      <c r="D4591">
        <v>15</v>
      </c>
    </row>
    <row r="4592" spans="1:4" x14ac:dyDescent="0.25">
      <c r="A4592" s="5">
        <f t="shared" si="151"/>
        <v>7</v>
      </c>
      <c r="B4592" s="5">
        <f t="shared" si="152"/>
        <v>2025</v>
      </c>
      <c r="C4592" s="9">
        <v>45865</v>
      </c>
      <c r="D4592">
        <v>15</v>
      </c>
    </row>
    <row r="4593" spans="1:4" x14ac:dyDescent="0.25">
      <c r="A4593" s="5">
        <f t="shared" si="151"/>
        <v>7</v>
      </c>
      <c r="B4593" s="5">
        <f t="shared" si="152"/>
        <v>2025</v>
      </c>
      <c r="C4593" s="9">
        <v>45866</v>
      </c>
      <c r="D4593">
        <v>15</v>
      </c>
    </row>
    <row r="4594" spans="1:4" x14ac:dyDescent="0.25">
      <c r="A4594" s="5">
        <f t="shared" si="151"/>
        <v>7</v>
      </c>
      <c r="B4594" s="5">
        <f t="shared" si="152"/>
        <v>2025</v>
      </c>
      <c r="C4594" s="9">
        <v>45867</v>
      </c>
      <c r="D4594">
        <v>15</v>
      </c>
    </row>
    <row r="4595" spans="1:4" x14ac:dyDescent="0.25">
      <c r="A4595" s="5">
        <f t="shared" si="151"/>
        <v>7</v>
      </c>
      <c r="B4595" s="5">
        <f t="shared" si="152"/>
        <v>2025</v>
      </c>
      <c r="C4595" s="9">
        <v>45868</v>
      </c>
      <c r="D4595">
        <v>15</v>
      </c>
    </row>
    <row r="4596" spans="1:4" x14ac:dyDescent="0.25">
      <c r="A4596" s="5">
        <f t="shared" si="151"/>
        <v>7</v>
      </c>
      <c r="B4596" s="5">
        <f t="shared" si="152"/>
        <v>2025</v>
      </c>
      <c r="C4596" s="9">
        <v>45869</v>
      </c>
      <c r="D4596">
        <v>15</v>
      </c>
    </row>
    <row r="4597" spans="1:4" x14ac:dyDescent="0.25">
      <c r="A4597" s="5">
        <f t="shared" si="151"/>
        <v>8</v>
      </c>
      <c r="B4597" s="5">
        <f t="shared" si="152"/>
        <v>2025</v>
      </c>
      <c r="C4597" s="9">
        <v>45870</v>
      </c>
      <c r="D4597">
        <v>15</v>
      </c>
    </row>
    <row r="4598" spans="1:4" x14ac:dyDescent="0.25">
      <c r="A4598" s="5">
        <f t="shared" si="151"/>
        <v>8</v>
      </c>
      <c r="B4598" s="5">
        <f t="shared" si="152"/>
        <v>2025</v>
      </c>
      <c r="C4598" s="9">
        <v>45871</v>
      </c>
      <c r="D4598">
        <v>15</v>
      </c>
    </row>
    <row r="4599" spans="1:4" x14ac:dyDescent="0.25">
      <c r="A4599" s="5">
        <f t="shared" si="151"/>
        <v>8</v>
      </c>
      <c r="B4599" s="5">
        <f t="shared" si="152"/>
        <v>2025</v>
      </c>
      <c r="C4599" s="9">
        <v>45872</v>
      </c>
      <c r="D4599">
        <v>15</v>
      </c>
    </row>
    <row r="4600" spans="1:4" x14ac:dyDescent="0.25">
      <c r="A4600" s="5">
        <f t="shared" si="151"/>
        <v>8</v>
      </c>
      <c r="B4600" s="5">
        <f t="shared" si="152"/>
        <v>2025</v>
      </c>
      <c r="C4600" s="9">
        <v>45873</v>
      </c>
      <c r="D4600">
        <v>15</v>
      </c>
    </row>
    <row r="4601" spans="1:4" x14ac:dyDescent="0.25">
      <c r="A4601" s="5">
        <f t="shared" si="151"/>
        <v>8</v>
      </c>
      <c r="B4601" s="5">
        <f t="shared" si="152"/>
        <v>2025</v>
      </c>
      <c r="C4601" s="9">
        <v>45874</v>
      </c>
      <c r="D4601">
        <v>15</v>
      </c>
    </row>
    <row r="4602" spans="1:4" x14ac:dyDescent="0.25">
      <c r="A4602" s="5">
        <f t="shared" si="151"/>
        <v>8</v>
      </c>
      <c r="B4602" s="5">
        <f t="shared" si="152"/>
        <v>2025</v>
      </c>
      <c r="C4602" s="9">
        <v>45875</v>
      </c>
      <c r="D4602">
        <v>15</v>
      </c>
    </row>
    <row r="4603" spans="1:4" x14ac:dyDescent="0.25">
      <c r="A4603" s="5">
        <f t="shared" si="151"/>
        <v>8</v>
      </c>
      <c r="B4603" s="5">
        <f t="shared" si="152"/>
        <v>2025</v>
      </c>
      <c r="C4603" s="9">
        <v>45876</v>
      </c>
      <c r="D4603">
        <v>15</v>
      </c>
    </row>
    <row r="4604" spans="1:4" x14ac:dyDescent="0.25">
      <c r="A4604" s="5">
        <f t="shared" si="151"/>
        <v>8</v>
      </c>
      <c r="B4604" s="5">
        <f t="shared" si="152"/>
        <v>2025</v>
      </c>
      <c r="C4604" s="9">
        <v>45877</v>
      </c>
      <c r="D4604">
        <v>15</v>
      </c>
    </row>
    <row r="4605" spans="1:4" x14ac:dyDescent="0.25">
      <c r="A4605" s="5">
        <f t="shared" si="151"/>
        <v>8</v>
      </c>
      <c r="B4605" s="5">
        <f t="shared" si="152"/>
        <v>2025</v>
      </c>
      <c r="C4605" s="9">
        <v>45878</v>
      </c>
      <c r="D4605">
        <v>15</v>
      </c>
    </row>
    <row r="4606" spans="1:4" x14ac:dyDescent="0.25">
      <c r="A4606" s="5">
        <f t="shared" si="151"/>
        <v>8</v>
      </c>
      <c r="B4606" s="5">
        <f t="shared" si="152"/>
        <v>2025</v>
      </c>
      <c r="C4606" s="9">
        <v>45879</v>
      </c>
      <c r="D4606">
        <v>15</v>
      </c>
    </row>
    <row r="4607" spans="1:4" x14ac:dyDescent="0.25">
      <c r="A4607" s="5">
        <f t="shared" si="151"/>
        <v>8</v>
      </c>
      <c r="B4607" s="5">
        <f t="shared" si="152"/>
        <v>2025</v>
      </c>
      <c r="C4607" s="9">
        <v>45880</v>
      </c>
      <c r="D4607">
        <v>15</v>
      </c>
    </row>
    <row r="4608" spans="1:4" x14ac:dyDescent="0.25">
      <c r="A4608" s="5">
        <f t="shared" si="151"/>
        <v>8</v>
      </c>
      <c r="B4608" s="5">
        <f t="shared" si="152"/>
        <v>2025</v>
      </c>
      <c r="C4608" s="9">
        <v>45881</v>
      </c>
      <c r="D4608">
        <v>15</v>
      </c>
    </row>
    <row r="4609" spans="1:4" x14ac:dyDescent="0.25">
      <c r="A4609" s="5">
        <f t="shared" si="151"/>
        <v>8</v>
      </c>
      <c r="B4609" s="5">
        <f t="shared" si="152"/>
        <v>2025</v>
      </c>
      <c r="C4609" s="9">
        <v>45882</v>
      </c>
      <c r="D4609">
        <v>15</v>
      </c>
    </row>
    <row r="4610" spans="1:4" x14ac:dyDescent="0.25">
      <c r="A4610" s="5">
        <f t="shared" si="151"/>
        <v>8</v>
      </c>
      <c r="B4610" s="5">
        <f t="shared" si="152"/>
        <v>2025</v>
      </c>
      <c r="C4610" s="9">
        <v>45883</v>
      </c>
      <c r="D4610">
        <v>15</v>
      </c>
    </row>
    <row r="4611" spans="1:4" x14ac:dyDescent="0.25">
      <c r="A4611" s="5">
        <f t="shared" ref="A4611:A4674" si="153">MONTH(C4611)</f>
        <v>8</v>
      </c>
      <c r="B4611" s="5">
        <f t="shared" ref="B4611:B4674" si="154">YEAR(C4611)</f>
        <v>2025</v>
      </c>
      <c r="C4611" s="9">
        <v>45884</v>
      </c>
      <c r="D4611">
        <v>15</v>
      </c>
    </row>
    <row r="4612" spans="1:4" x14ac:dyDescent="0.25">
      <c r="A4612" s="5">
        <f t="shared" si="153"/>
        <v>8</v>
      </c>
      <c r="B4612" s="5">
        <f t="shared" si="154"/>
        <v>2025</v>
      </c>
      <c r="C4612" s="9">
        <v>45885</v>
      </c>
      <c r="D4612">
        <v>15</v>
      </c>
    </row>
    <row r="4613" spans="1:4" x14ac:dyDescent="0.25">
      <c r="A4613" s="5">
        <f t="shared" si="153"/>
        <v>8</v>
      </c>
      <c r="B4613" s="5">
        <f t="shared" si="154"/>
        <v>2025</v>
      </c>
      <c r="C4613" s="9">
        <v>45886</v>
      </c>
      <c r="D4613">
        <v>15</v>
      </c>
    </row>
    <row r="4614" spans="1:4" x14ac:dyDescent="0.25">
      <c r="A4614" s="5">
        <f t="shared" si="153"/>
        <v>8</v>
      </c>
      <c r="B4614" s="5">
        <f t="shared" si="154"/>
        <v>2025</v>
      </c>
      <c r="C4614" s="9">
        <v>45887</v>
      </c>
      <c r="D4614">
        <v>15</v>
      </c>
    </row>
    <row r="4615" spans="1:4" x14ac:dyDescent="0.25">
      <c r="A4615" s="5">
        <f t="shared" si="153"/>
        <v>8</v>
      </c>
      <c r="B4615" s="5">
        <f t="shared" si="154"/>
        <v>2025</v>
      </c>
      <c r="C4615" s="9">
        <v>45888</v>
      </c>
      <c r="D4615">
        <v>15</v>
      </c>
    </row>
    <row r="4616" spans="1:4" x14ac:dyDescent="0.25">
      <c r="A4616" s="5">
        <f t="shared" si="153"/>
        <v>8</v>
      </c>
      <c r="B4616" s="5">
        <f t="shared" si="154"/>
        <v>2025</v>
      </c>
      <c r="C4616" s="9">
        <v>45889</v>
      </c>
      <c r="D4616">
        <v>15</v>
      </c>
    </row>
    <row r="4617" spans="1:4" x14ac:dyDescent="0.25">
      <c r="A4617" s="5">
        <f t="shared" si="153"/>
        <v>8</v>
      </c>
      <c r="B4617" s="5">
        <f t="shared" si="154"/>
        <v>2025</v>
      </c>
      <c r="C4617" s="9">
        <v>45890</v>
      </c>
      <c r="D4617">
        <v>15</v>
      </c>
    </row>
    <row r="4618" spans="1:4" x14ac:dyDescent="0.25">
      <c r="A4618" s="5">
        <f t="shared" si="153"/>
        <v>8</v>
      </c>
      <c r="B4618" s="5">
        <f t="shared" si="154"/>
        <v>2025</v>
      </c>
      <c r="C4618" s="9">
        <v>45891</v>
      </c>
      <c r="D4618">
        <v>15</v>
      </c>
    </row>
    <row r="4619" spans="1:4" x14ac:dyDescent="0.25">
      <c r="A4619" s="5">
        <f t="shared" si="153"/>
        <v>8</v>
      </c>
      <c r="B4619" s="5">
        <f t="shared" si="154"/>
        <v>2025</v>
      </c>
      <c r="C4619" s="9">
        <v>45892</v>
      </c>
      <c r="D4619">
        <v>15</v>
      </c>
    </row>
    <row r="4620" spans="1:4" x14ac:dyDescent="0.25">
      <c r="A4620" s="5">
        <f t="shared" si="153"/>
        <v>8</v>
      </c>
      <c r="B4620" s="5">
        <f t="shared" si="154"/>
        <v>2025</v>
      </c>
      <c r="C4620" s="9">
        <v>45893</v>
      </c>
      <c r="D4620">
        <v>15</v>
      </c>
    </row>
    <row r="4621" spans="1:4" x14ac:dyDescent="0.25">
      <c r="A4621" s="5">
        <f t="shared" si="153"/>
        <v>8</v>
      </c>
      <c r="B4621" s="5">
        <f t="shared" si="154"/>
        <v>2025</v>
      </c>
      <c r="C4621" s="9">
        <v>45894</v>
      </c>
      <c r="D4621">
        <v>15</v>
      </c>
    </row>
    <row r="4622" spans="1:4" x14ac:dyDescent="0.25">
      <c r="A4622" s="5">
        <f t="shared" si="153"/>
        <v>8</v>
      </c>
      <c r="B4622" s="5">
        <f t="shared" si="154"/>
        <v>2025</v>
      </c>
      <c r="C4622" s="9">
        <v>45895</v>
      </c>
      <c r="D4622">
        <v>15</v>
      </c>
    </row>
    <row r="4623" spans="1:4" x14ac:dyDescent="0.25">
      <c r="A4623" s="5">
        <f t="shared" si="153"/>
        <v>8</v>
      </c>
      <c r="B4623" s="5">
        <f t="shared" si="154"/>
        <v>2025</v>
      </c>
      <c r="C4623" s="9">
        <v>45896</v>
      </c>
      <c r="D4623">
        <v>15</v>
      </c>
    </row>
    <row r="4624" spans="1:4" x14ac:dyDescent="0.25">
      <c r="A4624" s="5">
        <f t="shared" si="153"/>
        <v>8</v>
      </c>
      <c r="B4624" s="5">
        <f t="shared" si="154"/>
        <v>2025</v>
      </c>
      <c r="C4624" s="9">
        <v>45897</v>
      </c>
      <c r="D4624">
        <v>15</v>
      </c>
    </row>
    <row r="4625" spans="1:4" x14ac:dyDescent="0.25">
      <c r="A4625" s="5">
        <f t="shared" si="153"/>
        <v>8</v>
      </c>
      <c r="B4625" s="5">
        <f t="shared" si="154"/>
        <v>2025</v>
      </c>
      <c r="C4625" s="9">
        <v>45898</v>
      </c>
      <c r="D4625">
        <v>15</v>
      </c>
    </row>
    <row r="4626" spans="1:4" x14ac:dyDescent="0.25">
      <c r="A4626" s="5">
        <f t="shared" si="153"/>
        <v>8</v>
      </c>
      <c r="B4626" s="5">
        <f t="shared" si="154"/>
        <v>2025</v>
      </c>
      <c r="C4626" s="9">
        <v>45899</v>
      </c>
      <c r="D4626">
        <v>15</v>
      </c>
    </row>
    <row r="4627" spans="1:4" x14ac:dyDescent="0.25">
      <c r="A4627" s="5">
        <f t="shared" si="153"/>
        <v>8</v>
      </c>
      <c r="B4627" s="5">
        <f t="shared" si="154"/>
        <v>2025</v>
      </c>
      <c r="C4627" s="9">
        <v>45900</v>
      </c>
      <c r="D4627">
        <v>15</v>
      </c>
    </row>
    <row r="4628" spans="1:4" x14ac:dyDescent="0.25">
      <c r="A4628" s="5">
        <f t="shared" si="153"/>
        <v>9</v>
      </c>
      <c r="B4628" s="5">
        <f t="shared" si="154"/>
        <v>2025</v>
      </c>
      <c r="C4628" s="9">
        <v>45901</v>
      </c>
      <c r="D4628">
        <v>15</v>
      </c>
    </row>
    <row r="4629" spans="1:4" x14ac:dyDescent="0.25">
      <c r="A4629" s="5">
        <f t="shared" si="153"/>
        <v>9</v>
      </c>
      <c r="B4629" s="5">
        <f t="shared" si="154"/>
        <v>2025</v>
      </c>
      <c r="C4629" s="9">
        <v>45902</v>
      </c>
      <c r="D4629">
        <v>15</v>
      </c>
    </row>
    <row r="4630" spans="1:4" x14ac:dyDescent="0.25">
      <c r="A4630" s="5">
        <f t="shared" si="153"/>
        <v>9</v>
      </c>
      <c r="B4630" s="5">
        <f t="shared" si="154"/>
        <v>2025</v>
      </c>
      <c r="C4630" s="9">
        <v>45903</v>
      </c>
      <c r="D4630">
        <v>15</v>
      </c>
    </row>
    <row r="4631" spans="1:4" x14ac:dyDescent="0.25">
      <c r="A4631" s="5">
        <f t="shared" si="153"/>
        <v>9</v>
      </c>
      <c r="B4631" s="5">
        <f t="shared" si="154"/>
        <v>2025</v>
      </c>
      <c r="C4631" s="9">
        <v>45904</v>
      </c>
      <c r="D4631">
        <v>15</v>
      </c>
    </row>
    <row r="4632" spans="1:4" x14ac:dyDescent="0.25">
      <c r="A4632" s="5">
        <f t="shared" si="153"/>
        <v>9</v>
      </c>
      <c r="B4632" s="5">
        <f t="shared" si="154"/>
        <v>2025</v>
      </c>
      <c r="C4632" s="9">
        <v>45905</v>
      </c>
      <c r="D4632">
        <v>15</v>
      </c>
    </row>
    <row r="4633" spans="1:4" x14ac:dyDescent="0.25">
      <c r="A4633" s="5">
        <f t="shared" si="153"/>
        <v>9</v>
      </c>
      <c r="B4633" s="5">
        <f t="shared" si="154"/>
        <v>2025</v>
      </c>
      <c r="C4633" s="9">
        <v>45906</v>
      </c>
      <c r="D4633">
        <v>15</v>
      </c>
    </row>
    <row r="4634" spans="1:4" x14ac:dyDescent="0.25">
      <c r="A4634" s="5">
        <f t="shared" si="153"/>
        <v>9</v>
      </c>
      <c r="B4634" s="5">
        <f t="shared" si="154"/>
        <v>2025</v>
      </c>
      <c r="C4634" s="9">
        <v>45907</v>
      </c>
      <c r="D4634">
        <v>15</v>
      </c>
    </row>
    <row r="4635" spans="1:4" x14ac:dyDescent="0.25">
      <c r="A4635" s="5">
        <f t="shared" si="153"/>
        <v>9</v>
      </c>
      <c r="B4635" s="5">
        <f t="shared" si="154"/>
        <v>2025</v>
      </c>
      <c r="C4635" s="9">
        <v>45908</v>
      </c>
      <c r="D4635">
        <v>15</v>
      </c>
    </row>
    <row r="4636" spans="1:4" x14ac:dyDescent="0.25">
      <c r="A4636" s="5">
        <f t="shared" si="153"/>
        <v>9</v>
      </c>
      <c r="B4636" s="5">
        <f t="shared" si="154"/>
        <v>2025</v>
      </c>
      <c r="C4636" s="9">
        <v>45909</v>
      </c>
      <c r="D4636">
        <v>15</v>
      </c>
    </row>
    <row r="4637" spans="1:4" x14ac:dyDescent="0.25">
      <c r="A4637" s="5">
        <f t="shared" si="153"/>
        <v>9</v>
      </c>
      <c r="B4637" s="5">
        <f t="shared" si="154"/>
        <v>2025</v>
      </c>
      <c r="C4637" s="9">
        <v>45910</v>
      </c>
      <c r="D4637">
        <v>15</v>
      </c>
    </row>
    <row r="4638" spans="1:4" x14ac:dyDescent="0.25">
      <c r="A4638" s="5">
        <f t="shared" si="153"/>
        <v>9</v>
      </c>
      <c r="B4638" s="5">
        <f t="shared" si="154"/>
        <v>2025</v>
      </c>
      <c r="C4638" s="9">
        <v>45911</v>
      </c>
      <c r="D4638">
        <v>15</v>
      </c>
    </row>
    <row r="4639" spans="1:4" x14ac:dyDescent="0.25">
      <c r="A4639" s="5">
        <f t="shared" si="153"/>
        <v>9</v>
      </c>
      <c r="B4639" s="5">
        <f t="shared" si="154"/>
        <v>2025</v>
      </c>
      <c r="C4639" s="9">
        <v>45912</v>
      </c>
      <c r="D4639">
        <v>15</v>
      </c>
    </row>
    <row r="4640" spans="1:4" x14ac:dyDescent="0.25">
      <c r="A4640" s="5">
        <f t="shared" si="153"/>
        <v>9</v>
      </c>
      <c r="B4640" s="5">
        <f t="shared" si="154"/>
        <v>2025</v>
      </c>
      <c r="C4640" s="9">
        <v>45913</v>
      </c>
      <c r="D4640">
        <v>15</v>
      </c>
    </row>
    <row r="4641" spans="1:4" x14ac:dyDescent="0.25">
      <c r="A4641" s="5">
        <f t="shared" si="153"/>
        <v>9</v>
      </c>
      <c r="B4641" s="5">
        <f t="shared" si="154"/>
        <v>2025</v>
      </c>
      <c r="C4641" s="9">
        <v>45914</v>
      </c>
      <c r="D4641">
        <v>15</v>
      </c>
    </row>
    <row r="4642" spans="1:4" x14ac:dyDescent="0.25">
      <c r="A4642" s="5">
        <f t="shared" si="153"/>
        <v>9</v>
      </c>
      <c r="B4642" s="5">
        <f t="shared" si="154"/>
        <v>2025</v>
      </c>
      <c r="C4642" s="9">
        <v>45915</v>
      </c>
      <c r="D4642">
        <v>15</v>
      </c>
    </row>
    <row r="4643" spans="1:4" x14ac:dyDescent="0.25">
      <c r="A4643" s="5">
        <f t="shared" si="153"/>
        <v>9</v>
      </c>
      <c r="B4643" s="5">
        <f t="shared" si="154"/>
        <v>2025</v>
      </c>
      <c r="C4643" s="9">
        <v>45916</v>
      </c>
      <c r="D4643">
        <v>15</v>
      </c>
    </row>
    <row r="4644" spans="1:4" x14ac:dyDescent="0.25">
      <c r="A4644" s="5">
        <f t="shared" si="153"/>
        <v>9</v>
      </c>
      <c r="B4644" s="5">
        <f t="shared" si="154"/>
        <v>2025</v>
      </c>
      <c r="C4644" s="9">
        <v>45917</v>
      </c>
      <c r="D4644">
        <v>15</v>
      </c>
    </row>
    <row r="4645" spans="1:4" x14ac:dyDescent="0.25">
      <c r="A4645" s="5">
        <f t="shared" si="153"/>
        <v>9</v>
      </c>
      <c r="B4645" s="5">
        <f t="shared" si="154"/>
        <v>2025</v>
      </c>
      <c r="C4645" s="9">
        <v>45918</v>
      </c>
      <c r="D4645">
        <v>15</v>
      </c>
    </row>
    <row r="4646" spans="1:4" x14ac:dyDescent="0.25">
      <c r="A4646" s="5">
        <f t="shared" si="153"/>
        <v>9</v>
      </c>
      <c r="B4646" s="5">
        <f t="shared" si="154"/>
        <v>2025</v>
      </c>
      <c r="C4646" s="9">
        <v>45919</v>
      </c>
      <c r="D4646">
        <v>15</v>
      </c>
    </row>
    <row r="4647" spans="1:4" x14ac:dyDescent="0.25">
      <c r="A4647" s="5">
        <f t="shared" si="153"/>
        <v>9</v>
      </c>
      <c r="B4647" s="5">
        <f t="shared" si="154"/>
        <v>2025</v>
      </c>
      <c r="C4647" s="9">
        <v>45920</v>
      </c>
      <c r="D4647">
        <v>15</v>
      </c>
    </row>
    <row r="4648" spans="1:4" x14ac:dyDescent="0.25">
      <c r="A4648" s="5">
        <f t="shared" si="153"/>
        <v>9</v>
      </c>
      <c r="B4648" s="5">
        <f t="shared" si="154"/>
        <v>2025</v>
      </c>
      <c r="C4648" s="9">
        <v>45921</v>
      </c>
      <c r="D4648">
        <v>15</v>
      </c>
    </row>
    <row r="4649" spans="1:4" x14ac:dyDescent="0.25">
      <c r="A4649" s="5">
        <f t="shared" si="153"/>
        <v>9</v>
      </c>
      <c r="B4649" s="5">
        <f t="shared" si="154"/>
        <v>2025</v>
      </c>
      <c r="C4649" s="9">
        <v>45922</v>
      </c>
      <c r="D4649">
        <v>15</v>
      </c>
    </row>
    <row r="4650" spans="1:4" x14ac:dyDescent="0.25">
      <c r="A4650" s="5">
        <f t="shared" si="153"/>
        <v>9</v>
      </c>
      <c r="B4650" s="5">
        <f t="shared" si="154"/>
        <v>2025</v>
      </c>
      <c r="C4650" s="9">
        <v>45923</v>
      </c>
      <c r="D4650">
        <v>15</v>
      </c>
    </row>
    <row r="4651" spans="1:4" x14ac:dyDescent="0.25">
      <c r="A4651" s="5">
        <f t="shared" si="153"/>
        <v>9</v>
      </c>
      <c r="B4651" s="5">
        <f t="shared" si="154"/>
        <v>2025</v>
      </c>
      <c r="C4651" s="9">
        <v>45924</v>
      </c>
      <c r="D4651">
        <v>15</v>
      </c>
    </row>
    <row r="4652" spans="1:4" x14ac:dyDescent="0.25">
      <c r="A4652" s="5">
        <f t="shared" si="153"/>
        <v>9</v>
      </c>
      <c r="B4652" s="5">
        <f t="shared" si="154"/>
        <v>2025</v>
      </c>
      <c r="C4652" s="9">
        <v>45925</v>
      </c>
      <c r="D4652">
        <v>15</v>
      </c>
    </row>
    <row r="4653" spans="1:4" x14ac:dyDescent="0.25">
      <c r="A4653" s="5">
        <f t="shared" si="153"/>
        <v>9</v>
      </c>
      <c r="B4653" s="5">
        <f t="shared" si="154"/>
        <v>2025</v>
      </c>
      <c r="C4653" s="9">
        <v>45926</v>
      </c>
      <c r="D4653">
        <v>15</v>
      </c>
    </row>
    <row r="4654" spans="1:4" x14ac:dyDescent="0.25">
      <c r="A4654" s="5">
        <f t="shared" si="153"/>
        <v>9</v>
      </c>
      <c r="B4654" s="5">
        <f t="shared" si="154"/>
        <v>2025</v>
      </c>
      <c r="C4654" s="9">
        <v>45927</v>
      </c>
      <c r="D4654">
        <v>15</v>
      </c>
    </row>
    <row r="4655" spans="1:4" x14ac:dyDescent="0.25">
      <c r="A4655" s="5">
        <f t="shared" si="153"/>
        <v>9</v>
      </c>
      <c r="B4655" s="5">
        <f t="shared" si="154"/>
        <v>2025</v>
      </c>
      <c r="C4655" s="9">
        <v>45928</v>
      </c>
      <c r="D4655">
        <v>15</v>
      </c>
    </row>
    <row r="4656" spans="1:4" x14ac:dyDescent="0.25">
      <c r="A4656" s="5">
        <f t="shared" si="153"/>
        <v>9</v>
      </c>
      <c r="B4656" s="5">
        <f t="shared" si="154"/>
        <v>2025</v>
      </c>
      <c r="C4656" s="9">
        <v>45929</v>
      </c>
      <c r="D4656">
        <v>15</v>
      </c>
    </row>
    <row r="4657" spans="1:4" x14ac:dyDescent="0.25">
      <c r="A4657" s="5">
        <f t="shared" si="153"/>
        <v>9</v>
      </c>
      <c r="B4657" s="5">
        <f t="shared" si="154"/>
        <v>2025</v>
      </c>
      <c r="C4657" s="9">
        <v>45930</v>
      </c>
      <c r="D4657">
        <v>15</v>
      </c>
    </row>
    <row r="4658" spans="1:4" x14ac:dyDescent="0.25">
      <c r="A4658" s="5">
        <f t="shared" si="153"/>
        <v>10</v>
      </c>
      <c r="B4658" s="5">
        <f t="shared" si="154"/>
        <v>2025</v>
      </c>
      <c r="C4658" s="9">
        <v>45931</v>
      </c>
      <c r="D4658">
        <v>15</v>
      </c>
    </row>
    <row r="4659" spans="1:4" x14ac:dyDescent="0.25">
      <c r="A4659" s="5">
        <f t="shared" si="153"/>
        <v>10</v>
      </c>
      <c r="B4659" s="5">
        <f t="shared" si="154"/>
        <v>2025</v>
      </c>
      <c r="C4659" s="9">
        <v>45932</v>
      </c>
      <c r="D4659">
        <v>15</v>
      </c>
    </row>
    <row r="4660" spans="1:4" x14ac:dyDescent="0.25">
      <c r="A4660" s="5">
        <f t="shared" si="153"/>
        <v>10</v>
      </c>
      <c r="B4660" s="5">
        <f t="shared" si="154"/>
        <v>2025</v>
      </c>
      <c r="C4660" s="9">
        <v>45933</v>
      </c>
      <c r="D4660">
        <v>15</v>
      </c>
    </row>
    <row r="4661" spans="1:4" x14ac:dyDescent="0.25">
      <c r="A4661" s="5">
        <f t="shared" si="153"/>
        <v>10</v>
      </c>
      <c r="B4661" s="5">
        <f t="shared" si="154"/>
        <v>2025</v>
      </c>
      <c r="C4661" s="9">
        <v>45934</v>
      </c>
      <c r="D4661">
        <v>15</v>
      </c>
    </row>
    <row r="4662" spans="1:4" x14ac:dyDescent="0.25">
      <c r="A4662" s="5">
        <f t="shared" si="153"/>
        <v>10</v>
      </c>
      <c r="B4662" s="5">
        <f t="shared" si="154"/>
        <v>2025</v>
      </c>
      <c r="C4662" s="9">
        <v>45935</v>
      </c>
      <c r="D4662">
        <v>15</v>
      </c>
    </row>
    <row r="4663" spans="1:4" x14ac:dyDescent="0.25">
      <c r="A4663" s="5">
        <f t="shared" si="153"/>
        <v>10</v>
      </c>
      <c r="B4663" s="5">
        <f t="shared" si="154"/>
        <v>2025</v>
      </c>
      <c r="C4663" s="9">
        <v>45936</v>
      </c>
      <c r="D4663">
        <v>15</v>
      </c>
    </row>
    <row r="4664" spans="1:4" x14ac:dyDescent="0.25">
      <c r="A4664" s="5">
        <f t="shared" si="153"/>
        <v>10</v>
      </c>
      <c r="B4664" s="5">
        <f t="shared" si="154"/>
        <v>2025</v>
      </c>
      <c r="C4664" s="9">
        <v>45937</v>
      </c>
      <c r="D4664">
        <v>15</v>
      </c>
    </row>
    <row r="4665" spans="1:4" x14ac:dyDescent="0.25">
      <c r="A4665" s="5">
        <f t="shared" si="153"/>
        <v>10</v>
      </c>
      <c r="B4665" s="5">
        <f t="shared" si="154"/>
        <v>2025</v>
      </c>
      <c r="C4665" s="9">
        <v>45938</v>
      </c>
      <c r="D4665">
        <v>15</v>
      </c>
    </row>
    <row r="4666" spans="1:4" x14ac:dyDescent="0.25">
      <c r="A4666" s="5">
        <f t="shared" si="153"/>
        <v>10</v>
      </c>
      <c r="B4666" s="5">
        <f t="shared" si="154"/>
        <v>2025</v>
      </c>
      <c r="C4666" s="9">
        <v>45939</v>
      </c>
      <c r="D4666">
        <v>15</v>
      </c>
    </row>
    <row r="4667" spans="1:4" x14ac:dyDescent="0.25">
      <c r="A4667" s="5">
        <f t="shared" si="153"/>
        <v>10</v>
      </c>
      <c r="B4667" s="5">
        <f t="shared" si="154"/>
        <v>2025</v>
      </c>
      <c r="C4667" s="9">
        <v>45940</v>
      </c>
      <c r="D4667">
        <v>15</v>
      </c>
    </row>
    <row r="4668" spans="1:4" x14ac:dyDescent="0.25">
      <c r="A4668" s="5">
        <f t="shared" si="153"/>
        <v>10</v>
      </c>
      <c r="B4668" s="5">
        <f t="shared" si="154"/>
        <v>2025</v>
      </c>
      <c r="C4668" s="9">
        <v>45941</v>
      </c>
      <c r="D4668">
        <v>15</v>
      </c>
    </row>
    <row r="4669" spans="1:4" x14ac:dyDescent="0.25">
      <c r="A4669" s="5">
        <f t="shared" si="153"/>
        <v>10</v>
      </c>
      <c r="B4669" s="5">
        <f t="shared" si="154"/>
        <v>2025</v>
      </c>
      <c r="C4669" s="9">
        <v>45942</v>
      </c>
      <c r="D4669">
        <v>15</v>
      </c>
    </row>
    <row r="4670" spans="1:4" x14ac:dyDescent="0.25">
      <c r="A4670" s="5">
        <f t="shared" si="153"/>
        <v>10</v>
      </c>
      <c r="B4670" s="5">
        <f t="shared" si="154"/>
        <v>2025</v>
      </c>
      <c r="C4670" s="9">
        <v>45943</v>
      </c>
      <c r="D4670">
        <v>15</v>
      </c>
    </row>
    <row r="4671" spans="1:4" x14ac:dyDescent="0.25">
      <c r="A4671" s="5">
        <f t="shared" si="153"/>
        <v>10</v>
      </c>
      <c r="B4671" s="5">
        <f t="shared" si="154"/>
        <v>2025</v>
      </c>
      <c r="C4671" s="9">
        <v>45944</v>
      </c>
      <c r="D4671">
        <v>15</v>
      </c>
    </row>
    <row r="4672" spans="1:4" x14ac:dyDescent="0.25">
      <c r="A4672" s="5">
        <f t="shared" si="153"/>
        <v>10</v>
      </c>
      <c r="B4672" s="5">
        <f t="shared" si="154"/>
        <v>2025</v>
      </c>
      <c r="C4672" s="9">
        <v>45945</v>
      </c>
      <c r="D4672">
        <v>15</v>
      </c>
    </row>
    <row r="4673" spans="1:4" x14ac:dyDescent="0.25">
      <c r="A4673" s="5">
        <f t="shared" si="153"/>
        <v>10</v>
      </c>
      <c r="B4673" s="5">
        <f t="shared" si="154"/>
        <v>2025</v>
      </c>
      <c r="C4673" s="9">
        <v>45946</v>
      </c>
      <c r="D4673">
        <v>15</v>
      </c>
    </row>
    <row r="4674" spans="1:4" x14ac:dyDescent="0.25">
      <c r="A4674" s="5">
        <f t="shared" si="153"/>
        <v>10</v>
      </c>
      <c r="B4674" s="5">
        <f t="shared" si="154"/>
        <v>2025</v>
      </c>
      <c r="C4674" s="9">
        <v>45947</v>
      </c>
      <c r="D4674">
        <v>15</v>
      </c>
    </row>
    <row r="4675" spans="1:4" x14ac:dyDescent="0.25">
      <c r="A4675" s="5">
        <f t="shared" ref="A4675:A4738" si="155">MONTH(C4675)</f>
        <v>10</v>
      </c>
      <c r="B4675" s="5">
        <f t="shared" ref="B4675:B4738" si="156">YEAR(C4675)</f>
        <v>2025</v>
      </c>
      <c r="C4675" s="9">
        <v>45948</v>
      </c>
      <c r="D4675">
        <v>15</v>
      </c>
    </row>
    <row r="4676" spans="1:4" x14ac:dyDescent="0.25">
      <c r="A4676" s="5">
        <f t="shared" si="155"/>
        <v>10</v>
      </c>
      <c r="B4676" s="5">
        <f t="shared" si="156"/>
        <v>2025</v>
      </c>
      <c r="C4676" s="9">
        <v>45949</v>
      </c>
      <c r="D4676">
        <v>15</v>
      </c>
    </row>
    <row r="4677" spans="1:4" x14ac:dyDescent="0.25">
      <c r="A4677" s="5">
        <f t="shared" si="155"/>
        <v>10</v>
      </c>
      <c r="B4677" s="5">
        <f t="shared" si="156"/>
        <v>2025</v>
      </c>
      <c r="C4677" s="9">
        <v>45950</v>
      </c>
      <c r="D4677">
        <v>15</v>
      </c>
    </row>
    <row r="4678" spans="1:4" x14ac:dyDescent="0.25">
      <c r="A4678" s="5">
        <f t="shared" si="155"/>
        <v>10</v>
      </c>
      <c r="B4678" s="5">
        <f t="shared" si="156"/>
        <v>2025</v>
      </c>
      <c r="C4678" s="9">
        <v>45951</v>
      </c>
      <c r="D4678">
        <v>15</v>
      </c>
    </row>
    <row r="4679" spans="1:4" x14ac:dyDescent="0.25">
      <c r="A4679" s="5">
        <f t="shared" si="155"/>
        <v>10</v>
      </c>
      <c r="B4679" s="5">
        <f t="shared" si="156"/>
        <v>2025</v>
      </c>
      <c r="C4679" s="9">
        <v>45952</v>
      </c>
      <c r="D4679">
        <v>15</v>
      </c>
    </row>
    <row r="4680" spans="1:4" x14ac:dyDescent="0.25">
      <c r="A4680" s="5">
        <f t="shared" si="155"/>
        <v>10</v>
      </c>
      <c r="B4680" s="5">
        <f t="shared" si="156"/>
        <v>2025</v>
      </c>
      <c r="C4680" s="9">
        <v>45953</v>
      </c>
      <c r="D4680">
        <v>15</v>
      </c>
    </row>
    <row r="4681" spans="1:4" x14ac:dyDescent="0.25">
      <c r="A4681" s="5">
        <f t="shared" si="155"/>
        <v>10</v>
      </c>
      <c r="B4681" s="5">
        <f t="shared" si="156"/>
        <v>2025</v>
      </c>
      <c r="C4681" s="9">
        <v>45954</v>
      </c>
      <c r="D4681">
        <v>15</v>
      </c>
    </row>
    <row r="4682" spans="1:4" x14ac:dyDescent="0.25">
      <c r="A4682" s="5">
        <f t="shared" si="155"/>
        <v>10</v>
      </c>
      <c r="B4682" s="5">
        <f t="shared" si="156"/>
        <v>2025</v>
      </c>
      <c r="C4682" s="9">
        <v>45955</v>
      </c>
      <c r="D4682">
        <v>15</v>
      </c>
    </row>
    <row r="4683" spans="1:4" x14ac:dyDescent="0.25">
      <c r="A4683" s="5">
        <f t="shared" si="155"/>
        <v>10</v>
      </c>
      <c r="B4683" s="5">
        <f t="shared" si="156"/>
        <v>2025</v>
      </c>
      <c r="C4683" s="9">
        <v>45956</v>
      </c>
      <c r="D4683">
        <v>15</v>
      </c>
    </row>
    <row r="4684" spans="1:4" x14ac:dyDescent="0.25">
      <c r="A4684" s="5">
        <f t="shared" si="155"/>
        <v>10</v>
      </c>
      <c r="B4684" s="5">
        <f t="shared" si="156"/>
        <v>2025</v>
      </c>
      <c r="C4684" s="9">
        <v>45957</v>
      </c>
      <c r="D4684">
        <v>15</v>
      </c>
    </row>
    <row r="4685" spans="1:4" x14ac:dyDescent="0.25">
      <c r="A4685" s="5">
        <f t="shared" si="155"/>
        <v>10</v>
      </c>
      <c r="B4685" s="5">
        <f t="shared" si="156"/>
        <v>2025</v>
      </c>
      <c r="C4685" s="9">
        <v>45958</v>
      </c>
      <c r="D4685">
        <v>15</v>
      </c>
    </row>
    <row r="4686" spans="1:4" x14ac:dyDescent="0.25">
      <c r="A4686" s="5">
        <f t="shared" si="155"/>
        <v>10</v>
      </c>
      <c r="B4686" s="5">
        <f t="shared" si="156"/>
        <v>2025</v>
      </c>
      <c r="C4686" s="9">
        <v>45959</v>
      </c>
      <c r="D4686">
        <v>15</v>
      </c>
    </row>
    <row r="4687" spans="1:4" x14ac:dyDescent="0.25">
      <c r="A4687" s="5">
        <f t="shared" si="155"/>
        <v>10</v>
      </c>
      <c r="B4687" s="5">
        <f t="shared" si="156"/>
        <v>2025</v>
      </c>
      <c r="C4687" s="9">
        <v>45960</v>
      </c>
      <c r="D4687">
        <v>15</v>
      </c>
    </row>
    <row r="4688" spans="1:4" x14ac:dyDescent="0.25">
      <c r="A4688" s="5">
        <f t="shared" si="155"/>
        <v>10</v>
      </c>
      <c r="B4688" s="5">
        <f t="shared" si="156"/>
        <v>2025</v>
      </c>
      <c r="C4688" s="9">
        <v>45961</v>
      </c>
      <c r="D4688">
        <v>15</v>
      </c>
    </row>
    <row r="4689" spans="1:4" x14ac:dyDescent="0.25">
      <c r="A4689" s="5">
        <f t="shared" si="155"/>
        <v>11</v>
      </c>
      <c r="B4689" s="5">
        <f t="shared" si="156"/>
        <v>2025</v>
      </c>
      <c r="C4689" s="9">
        <v>45962</v>
      </c>
      <c r="D4689">
        <v>15</v>
      </c>
    </row>
    <row r="4690" spans="1:4" x14ac:dyDescent="0.25">
      <c r="A4690" s="5">
        <f t="shared" si="155"/>
        <v>11</v>
      </c>
      <c r="B4690" s="5">
        <f t="shared" si="156"/>
        <v>2025</v>
      </c>
      <c r="C4690" s="9">
        <v>45963</v>
      </c>
      <c r="D4690">
        <v>15</v>
      </c>
    </row>
    <row r="4691" spans="1:4" x14ac:dyDescent="0.25">
      <c r="A4691" s="5">
        <f t="shared" si="155"/>
        <v>11</v>
      </c>
      <c r="B4691" s="5">
        <f t="shared" si="156"/>
        <v>2025</v>
      </c>
      <c r="C4691" s="9">
        <v>45964</v>
      </c>
      <c r="D4691">
        <v>15</v>
      </c>
    </row>
    <row r="4692" spans="1:4" x14ac:dyDescent="0.25">
      <c r="A4692" s="5">
        <f t="shared" si="155"/>
        <v>11</v>
      </c>
      <c r="B4692" s="5">
        <f t="shared" si="156"/>
        <v>2025</v>
      </c>
      <c r="C4692" s="9">
        <v>45965</v>
      </c>
      <c r="D4692">
        <v>15</v>
      </c>
    </row>
    <row r="4693" spans="1:4" x14ac:dyDescent="0.25">
      <c r="A4693" s="5">
        <f t="shared" si="155"/>
        <v>11</v>
      </c>
      <c r="B4693" s="5">
        <f t="shared" si="156"/>
        <v>2025</v>
      </c>
      <c r="C4693" s="9">
        <v>45966</v>
      </c>
      <c r="D4693">
        <v>15</v>
      </c>
    </row>
    <row r="4694" spans="1:4" x14ac:dyDescent="0.25">
      <c r="A4694" s="5">
        <f t="shared" si="155"/>
        <v>11</v>
      </c>
      <c r="B4694" s="5">
        <f t="shared" si="156"/>
        <v>2025</v>
      </c>
      <c r="C4694" s="9">
        <v>45967</v>
      </c>
      <c r="D4694">
        <v>15</v>
      </c>
    </row>
    <row r="4695" spans="1:4" x14ac:dyDescent="0.25">
      <c r="A4695" s="5">
        <f t="shared" si="155"/>
        <v>11</v>
      </c>
      <c r="B4695" s="5">
        <f t="shared" si="156"/>
        <v>2025</v>
      </c>
      <c r="C4695" s="9">
        <v>45968</v>
      </c>
      <c r="D4695">
        <v>15</v>
      </c>
    </row>
    <row r="4696" spans="1:4" x14ac:dyDescent="0.25">
      <c r="A4696" s="5">
        <f t="shared" si="155"/>
        <v>11</v>
      </c>
      <c r="B4696" s="5">
        <f t="shared" si="156"/>
        <v>2025</v>
      </c>
      <c r="C4696" s="9">
        <v>45969</v>
      </c>
      <c r="D4696">
        <v>15</v>
      </c>
    </row>
    <row r="4697" spans="1:4" x14ac:dyDescent="0.25">
      <c r="A4697" s="5">
        <f t="shared" si="155"/>
        <v>11</v>
      </c>
      <c r="B4697" s="5">
        <f t="shared" si="156"/>
        <v>2025</v>
      </c>
      <c r="C4697" s="9">
        <v>45970</v>
      </c>
      <c r="D4697">
        <v>15</v>
      </c>
    </row>
    <row r="4698" spans="1:4" x14ac:dyDescent="0.25">
      <c r="A4698" s="5">
        <f t="shared" si="155"/>
        <v>11</v>
      </c>
      <c r="B4698" s="5">
        <f t="shared" si="156"/>
        <v>2025</v>
      </c>
      <c r="C4698" s="9">
        <v>45971</v>
      </c>
      <c r="D4698">
        <v>15</v>
      </c>
    </row>
    <row r="4699" spans="1:4" x14ac:dyDescent="0.25">
      <c r="A4699" s="5">
        <f t="shared" si="155"/>
        <v>11</v>
      </c>
      <c r="B4699" s="5">
        <f t="shared" si="156"/>
        <v>2025</v>
      </c>
      <c r="C4699" s="9">
        <v>45972</v>
      </c>
      <c r="D4699">
        <v>15</v>
      </c>
    </row>
    <row r="4700" spans="1:4" x14ac:dyDescent="0.25">
      <c r="A4700" s="5">
        <f t="shared" si="155"/>
        <v>11</v>
      </c>
      <c r="B4700" s="5">
        <f t="shared" si="156"/>
        <v>2025</v>
      </c>
      <c r="C4700" s="9">
        <v>45973</v>
      </c>
      <c r="D4700">
        <v>15</v>
      </c>
    </row>
    <row r="4701" spans="1:4" x14ac:dyDescent="0.25">
      <c r="A4701" s="5">
        <f t="shared" si="155"/>
        <v>11</v>
      </c>
      <c r="B4701" s="5">
        <f t="shared" si="156"/>
        <v>2025</v>
      </c>
      <c r="C4701" s="9">
        <v>45974</v>
      </c>
      <c r="D4701">
        <v>15</v>
      </c>
    </row>
    <row r="4702" spans="1:4" x14ac:dyDescent="0.25">
      <c r="A4702" s="5">
        <f t="shared" si="155"/>
        <v>11</v>
      </c>
      <c r="B4702" s="5">
        <f t="shared" si="156"/>
        <v>2025</v>
      </c>
      <c r="C4702" s="9">
        <v>45975</v>
      </c>
      <c r="D4702">
        <v>15</v>
      </c>
    </row>
    <row r="4703" spans="1:4" x14ac:dyDescent="0.25">
      <c r="A4703" s="5">
        <f t="shared" si="155"/>
        <v>11</v>
      </c>
      <c r="B4703" s="5">
        <f t="shared" si="156"/>
        <v>2025</v>
      </c>
      <c r="C4703" s="9">
        <v>45976</v>
      </c>
      <c r="D4703">
        <v>15</v>
      </c>
    </row>
    <row r="4704" spans="1:4" x14ac:dyDescent="0.25">
      <c r="A4704" s="5">
        <f t="shared" si="155"/>
        <v>11</v>
      </c>
      <c r="B4704" s="5">
        <f t="shared" si="156"/>
        <v>2025</v>
      </c>
      <c r="C4704" s="9">
        <v>45977</v>
      </c>
      <c r="D4704">
        <v>15</v>
      </c>
    </row>
    <row r="4705" spans="1:4" x14ac:dyDescent="0.25">
      <c r="A4705" s="5">
        <f t="shared" si="155"/>
        <v>11</v>
      </c>
      <c r="B4705" s="5">
        <f t="shared" si="156"/>
        <v>2025</v>
      </c>
      <c r="C4705" s="9">
        <v>45978</v>
      </c>
      <c r="D4705">
        <v>15</v>
      </c>
    </row>
    <row r="4706" spans="1:4" x14ac:dyDescent="0.25">
      <c r="A4706" s="5">
        <f t="shared" si="155"/>
        <v>11</v>
      </c>
      <c r="B4706" s="5">
        <f t="shared" si="156"/>
        <v>2025</v>
      </c>
      <c r="C4706" s="9">
        <v>45979</v>
      </c>
      <c r="D4706">
        <v>15</v>
      </c>
    </row>
    <row r="4707" spans="1:4" x14ac:dyDescent="0.25">
      <c r="A4707" s="5">
        <f t="shared" si="155"/>
        <v>11</v>
      </c>
      <c r="B4707" s="5">
        <f t="shared" si="156"/>
        <v>2025</v>
      </c>
      <c r="C4707" s="9">
        <v>45980</v>
      </c>
      <c r="D4707">
        <v>15</v>
      </c>
    </row>
    <row r="4708" spans="1:4" x14ac:dyDescent="0.25">
      <c r="A4708" s="5">
        <f t="shared" si="155"/>
        <v>11</v>
      </c>
      <c r="B4708" s="5">
        <f t="shared" si="156"/>
        <v>2025</v>
      </c>
      <c r="C4708" s="9">
        <v>45981</v>
      </c>
      <c r="D4708">
        <v>15</v>
      </c>
    </row>
    <row r="4709" spans="1:4" x14ac:dyDescent="0.25">
      <c r="A4709" s="5">
        <f t="shared" si="155"/>
        <v>11</v>
      </c>
      <c r="B4709" s="5">
        <f t="shared" si="156"/>
        <v>2025</v>
      </c>
      <c r="C4709" s="9">
        <v>45982</v>
      </c>
      <c r="D4709">
        <v>15</v>
      </c>
    </row>
    <row r="4710" spans="1:4" x14ac:dyDescent="0.25">
      <c r="A4710" s="5">
        <f t="shared" si="155"/>
        <v>11</v>
      </c>
      <c r="B4710" s="5">
        <f t="shared" si="156"/>
        <v>2025</v>
      </c>
      <c r="C4710" s="9">
        <v>45983</v>
      </c>
      <c r="D4710">
        <v>15</v>
      </c>
    </row>
    <row r="4711" spans="1:4" x14ac:dyDescent="0.25">
      <c r="A4711" s="5">
        <f t="shared" si="155"/>
        <v>11</v>
      </c>
      <c r="B4711" s="5">
        <f t="shared" si="156"/>
        <v>2025</v>
      </c>
      <c r="C4711" s="9">
        <v>45984</v>
      </c>
      <c r="D4711">
        <v>15</v>
      </c>
    </row>
    <row r="4712" spans="1:4" x14ac:dyDescent="0.25">
      <c r="A4712" s="5">
        <f t="shared" si="155"/>
        <v>11</v>
      </c>
      <c r="B4712" s="5">
        <f t="shared" si="156"/>
        <v>2025</v>
      </c>
      <c r="C4712" s="9">
        <v>45985</v>
      </c>
      <c r="D4712">
        <v>15</v>
      </c>
    </row>
    <row r="4713" spans="1:4" x14ac:dyDescent="0.25">
      <c r="A4713" s="5">
        <f t="shared" si="155"/>
        <v>11</v>
      </c>
      <c r="B4713" s="5">
        <f t="shared" si="156"/>
        <v>2025</v>
      </c>
      <c r="C4713" s="9">
        <v>45986</v>
      </c>
      <c r="D4713">
        <v>15</v>
      </c>
    </row>
    <row r="4714" spans="1:4" x14ac:dyDescent="0.25">
      <c r="A4714" s="5">
        <f t="shared" si="155"/>
        <v>11</v>
      </c>
      <c r="B4714" s="5">
        <f t="shared" si="156"/>
        <v>2025</v>
      </c>
      <c r="C4714" s="9">
        <v>45987</v>
      </c>
      <c r="D4714">
        <v>15</v>
      </c>
    </row>
    <row r="4715" spans="1:4" x14ac:dyDescent="0.25">
      <c r="A4715" s="5">
        <f t="shared" si="155"/>
        <v>11</v>
      </c>
      <c r="B4715" s="5">
        <f t="shared" si="156"/>
        <v>2025</v>
      </c>
      <c r="C4715" s="9">
        <v>45988</v>
      </c>
      <c r="D4715">
        <v>15</v>
      </c>
    </row>
    <row r="4716" spans="1:4" x14ac:dyDescent="0.25">
      <c r="A4716" s="5">
        <f t="shared" si="155"/>
        <v>11</v>
      </c>
      <c r="B4716" s="5">
        <f t="shared" si="156"/>
        <v>2025</v>
      </c>
      <c r="C4716" s="9">
        <v>45989</v>
      </c>
      <c r="D4716">
        <v>15</v>
      </c>
    </row>
    <row r="4717" spans="1:4" x14ac:dyDescent="0.25">
      <c r="A4717" s="5">
        <f t="shared" si="155"/>
        <v>11</v>
      </c>
      <c r="B4717" s="5">
        <f t="shared" si="156"/>
        <v>2025</v>
      </c>
      <c r="C4717" s="9">
        <v>45990</v>
      </c>
      <c r="D4717">
        <v>15</v>
      </c>
    </row>
    <row r="4718" spans="1:4" x14ac:dyDescent="0.25">
      <c r="A4718" s="5">
        <f t="shared" si="155"/>
        <v>11</v>
      </c>
      <c r="B4718" s="5">
        <f t="shared" si="156"/>
        <v>2025</v>
      </c>
      <c r="C4718" s="9">
        <v>45991</v>
      </c>
      <c r="D4718">
        <v>15</v>
      </c>
    </row>
    <row r="4719" spans="1:4" x14ac:dyDescent="0.25">
      <c r="A4719" s="5">
        <f t="shared" si="155"/>
        <v>12</v>
      </c>
      <c r="B4719" s="5">
        <f t="shared" si="156"/>
        <v>2025</v>
      </c>
      <c r="C4719" s="9">
        <v>45992</v>
      </c>
      <c r="D4719">
        <v>15</v>
      </c>
    </row>
    <row r="4720" spans="1:4" x14ac:dyDescent="0.25">
      <c r="A4720" s="5">
        <f t="shared" si="155"/>
        <v>12</v>
      </c>
      <c r="B4720" s="5">
        <f t="shared" si="156"/>
        <v>2025</v>
      </c>
      <c r="C4720" s="9">
        <v>45993</v>
      </c>
      <c r="D4720">
        <v>15</v>
      </c>
    </row>
    <row r="4721" spans="1:4" x14ac:dyDescent="0.25">
      <c r="A4721" s="5">
        <f t="shared" si="155"/>
        <v>12</v>
      </c>
      <c r="B4721" s="5">
        <f t="shared" si="156"/>
        <v>2025</v>
      </c>
      <c r="C4721" s="9">
        <v>45994</v>
      </c>
      <c r="D4721">
        <v>15</v>
      </c>
    </row>
    <row r="4722" spans="1:4" x14ac:dyDescent="0.25">
      <c r="A4722" s="5">
        <f t="shared" si="155"/>
        <v>12</v>
      </c>
      <c r="B4722" s="5">
        <f t="shared" si="156"/>
        <v>2025</v>
      </c>
      <c r="C4722" s="9">
        <v>45995</v>
      </c>
      <c r="D4722">
        <v>15</v>
      </c>
    </row>
    <row r="4723" spans="1:4" x14ac:dyDescent="0.25">
      <c r="A4723" s="5">
        <f t="shared" si="155"/>
        <v>12</v>
      </c>
      <c r="B4723" s="5">
        <f t="shared" si="156"/>
        <v>2025</v>
      </c>
      <c r="C4723" s="9">
        <v>45996</v>
      </c>
      <c r="D4723">
        <v>15</v>
      </c>
    </row>
    <row r="4724" spans="1:4" x14ac:dyDescent="0.25">
      <c r="A4724" s="5">
        <f t="shared" si="155"/>
        <v>12</v>
      </c>
      <c r="B4724" s="5">
        <f t="shared" si="156"/>
        <v>2025</v>
      </c>
      <c r="C4724" s="9">
        <v>45997</v>
      </c>
      <c r="D4724">
        <v>15</v>
      </c>
    </row>
    <row r="4725" spans="1:4" x14ac:dyDescent="0.25">
      <c r="A4725" s="5">
        <f t="shared" si="155"/>
        <v>12</v>
      </c>
      <c r="B4725" s="5">
        <f t="shared" si="156"/>
        <v>2025</v>
      </c>
      <c r="C4725" s="9">
        <v>45998</v>
      </c>
      <c r="D4725">
        <v>15</v>
      </c>
    </row>
    <row r="4726" spans="1:4" x14ac:dyDescent="0.25">
      <c r="A4726" s="5">
        <f t="shared" si="155"/>
        <v>12</v>
      </c>
      <c r="B4726" s="5">
        <f t="shared" si="156"/>
        <v>2025</v>
      </c>
      <c r="C4726" s="9">
        <v>45999</v>
      </c>
      <c r="D4726">
        <v>15</v>
      </c>
    </row>
    <row r="4727" spans="1:4" x14ac:dyDescent="0.25">
      <c r="A4727" s="5">
        <f t="shared" si="155"/>
        <v>12</v>
      </c>
      <c r="B4727" s="5">
        <f t="shared" si="156"/>
        <v>2025</v>
      </c>
      <c r="C4727" s="9">
        <v>46000</v>
      </c>
      <c r="D4727">
        <v>15</v>
      </c>
    </row>
    <row r="4728" spans="1:4" x14ac:dyDescent="0.25">
      <c r="A4728" s="5">
        <f t="shared" si="155"/>
        <v>12</v>
      </c>
      <c r="B4728" s="5">
        <f t="shared" si="156"/>
        <v>2025</v>
      </c>
      <c r="C4728" s="9">
        <v>46001</v>
      </c>
      <c r="D4728">
        <v>15</v>
      </c>
    </row>
    <row r="4729" spans="1:4" x14ac:dyDescent="0.25">
      <c r="A4729" s="5">
        <f t="shared" si="155"/>
        <v>12</v>
      </c>
      <c r="B4729" s="5">
        <f t="shared" si="156"/>
        <v>2025</v>
      </c>
      <c r="C4729" s="9">
        <v>46002</v>
      </c>
      <c r="D4729">
        <v>15</v>
      </c>
    </row>
    <row r="4730" spans="1:4" x14ac:dyDescent="0.25">
      <c r="A4730" s="5">
        <f t="shared" si="155"/>
        <v>12</v>
      </c>
      <c r="B4730" s="5">
        <f t="shared" si="156"/>
        <v>2025</v>
      </c>
      <c r="C4730" s="9">
        <v>46003</v>
      </c>
      <c r="D4730">
        <v>15</v>
      </c>
    </row>
    <row r="4731" spans="1:4" x14ac:dyDescent="0.25">
      <c r="A4731" s="5">
        <f t="shared" si="155"/>
        <v>12</v>
      </c>
      <c r="B4731" s="5">
        <f t="shared" si="156"/>
        <v>2025</v>
      </c>
      <c r="C4731" s="9">
        <v>46004</v>
      </c>
      <c r="D4731">
        <v>15</v>
      </c>
    </row>
    <row r="4732" spans="1:4" x14ac:dyDescent="0.25">
      <c r="A4732" s="5">
        <f t="shared" si="155"/>
        <v>12</v>
      </c>
      <c r="B4732" s="5">
        <f t="shared" si="156"/>
        <v>2025</v>
      </c>
      <c r="C4732" s="9">
        <v>46005</v>
      </c>
      <c r="D4732">
        <v>15</v>
      </c>
    </row>
    <row r="4733" spans="1:4" x14ac:dyDescent="0.25">
      <c r="A4733" s="5">
        <f t="shared" si="155"/>
        <v>12</v>
      </c>
      <c r="B4733" s="5">
        <f t="shared" si="156"/>
        <v>2025</v>
      </c>
      <c r="C4733" s="9">
        <v>46006</v>
      </c>
      <c r="D4733">
        <v>15</v>
      </c>
    </row>
    <row r="4734" spans="1:4" x14ac:dyDescent="0.25">
      <c r="A4734" s="5">
        <f t="shared" si="155"/>
        <v>12</v>
      </c>
      <c r="B4734" s="5">
        <f t="shared" si="156"/>
        <v>2025</v>
      </c>
      <c r="C4734" s="9">
        <v>46007</v>
      </c>
      <c r="D4734">
        <v>15</v>
      </c>
    </row>
    <row r="4735" spans="1:4" x14ac:dyDescent="0.25">
      <c r="A4735" s="5">
        <f t="shared" si="155"/>
        <v>12</v>
      </c>
      <c r="B4735" s="5">
        <f t="shared" si="156"/>
        <v>2025</v>
      </c>
      <c r="C4735" s="9">
        <v>46008</v>
      </c>
      <c r="D4735">
        <v>15</v>
      </c>
    </row>
    <row r="4736" spans="1:4" x14ac:dyDescent="0.25">
      <c r="A4736" s="5">
        <f t="shared" si="155"/>
        <v>12</v>
      </c>
      <c r="B4736" s="5">
        <f t="shared" si="156"/>
        <v>2025</v>
      </c>
      <c r="C4736" s="9">
        <v>46009</v>
      </c>
      <c r="D4736">
        <v>15</v>
      </c>
    </row>
    <row r="4737" spans="1:4" x14ac:dyDescent="0.25">
      <c r="A4737" s="5">
        <f t="shared" si="155"/>
        <v>12</v>
      </c>
      <c r="B4737" s="5">
        <f t="shared" si="156"/>
        <v>2025</v>
      </c>
      <c r="C4737" s="9">
        <v>46010</v>
      </c>
      <c r="D4737">
        <v>15</v>
      </c>
    </row>
    <row r="4738" spans="1:4" x14ac:dyDescent="0.25">
      <c r="A4738" s="5">
        <f t="shared" si="155"/>
        <v>12</v>
      </c>
      <c r="B4738" s="5">
        <f t="shared" si="156"/>
        <v>2025</v>
      </c>
      <c r="C4738" s="9">
        <v>46011</v>
      </c>
      <c r="D4738">
        <v>15</v>
      </c>
    </row>
    <row r="4739" spans="1:4" x14ac:dyDescent="0.25">
      <c r="A4739" s="5">
        <f t="shared" ref="A4739:A4802" si="157">MONTH(C4739)</f>
        <v>12</v>
      </c>
      <c r="B4739" s="5">
        <f t="shared" ref="B4739:B4802" si="158">YEAR(C4739)</f>
        <v>2025</v>
      </c>
      <c r="C4739" s="9">
        <v>46012</v>
      </c>
      <c r="D4739">
        <v>15</v>
      </c>
    </row>
    <row r="4740" spans="1:4" x14ac:dyDescent="0.25">
      <c r="A4740" s="5">
        <f t="shared" si="157"/>
        <v>12</v>
      </c>
      <c r="B4740" s="5">
        <f t="shared" si="158"/>
        <v>2025</v>
      </c>
      <c r="C4740" s="9">
        <v>46013</v>
      </c>
      <c r="D4740">
        <v>15</v>
      </c>
    </row>
    <row r="4741" spans="1:4" x14ac:dyDescent="0.25">
      <c r="A4741" s="5">
        <f t="shared" si="157"/>
        <v>12</v>
      </c>
      <c r="B4741" s="5">
        <f t="shared" si="158"/>
        <v>2025</v>
      </c>
      <c r="C4741" s="9">
        <v>46014</v>
      </c>
      <c r="D4741">
        <v>15</v>
      </c>
    </row>
    <row r="4742" spans="1:4" x14ac:dyDescent="0.25">
      <c r="A4742" s="5">
        <f t="shared" si="157"/>
        <v>12</v>
      </c>
      <c r="B4742" s="5">
        <f t="shared" si="158"/>
        <v>2025</v>
      </c>
      <c r="C4742" s="9">
        <v>46015</v>
      </c>
      <c r="D4742">
        <v>15</v>
      </c>
    </row>
    <row r="4743" spans="1:4" x14ac:dyDescent="0.25">
      <c r="A4743" s="5">
        <f t="shared" si="157"/>
        <v>12</v>
      </c>
      <c r="B4743" s="5">
        <f t="shared" si="158"/>
        <v>2025</v>
      </c>
      <c r="C4743" s="9">
        <v>46016</v>
      </c>
      <c r="D4743">
        <v>15</v>
      </c>
    </row>
    <row r="4744" spans="1:4" x14ac:dyDescent="0.25">
      <c r="A4744" s="5">
        <f t="shared" si="157"/>
        <v>12</v>
      </c>
      <c r="B4744" s="5">
        <f t="shared" si="158"/>
        <v>2025</v>
      </c>
      <c r="C4744" s="9">
        <v>46017</v>
      </c>
      <c r="D4744">
        <v>15</v>
      </c>
    </row>
    <row r="4745" spans="1:4" x14ac:dyDescent="0.25">
      <c r="A4745" s="5">
        <f t="shared" si="157"/>
        <v>12</v>
      </c>
      <c r="B4745" s="5">
        <f t="shared" si="158"/>
        <v>2025</v>
      </c>
      <c r="C4745" s="9">
        <v>46018</v>
      </c>
      <c r="D4745">
        <v>15</v>
      </c>
    </row>
    <row r="4746" spans="1:4" x14ac:dyDescent="0.25">
      <c r="A4746" s="5">
        <f t="shared" si="157"/>
        <v>12</v>
      </c>
      <c r="B4746" s="5">
        <f t="shared" si="158"/>
        <v>2025</v>
      </c>
      <c r="C4746" s="9">
        <v>46019</v>
      </c>
      <c r="D4746">
        <v>15</v>
      </c>
    </row>
    <row r="4747" spans="1:4" x14ac:dyDescent="0.25">
      <c r="A4747" s="5">
        <f t="shared" si="157"/>
        <v>12</v>
      </c>
      <c r="B4747" s="5">
        <f t="shared" si="158"/>
        <v>2025</v>
      </c>
      <c r="C4747" s="9">
        <v>46020</v>
      </c>
      <c r="D4747">
        <v>15</v>
      </c>
    </row>
    <row r="4748" spans="1:4" x14ac:dyDescent="0.25">
      <c r="A4748" s="5">
        <f t="shared" si="157"/>
        <v>12</v>
      </c>
      <c r="B4748" s="5">
        <f t="shared" si="158"/>
        <v>2025</v>
      </c>
      <c r="C4748" s="9">
        <v>46021</v>
      </c>
      <c r="D4748">
        <v>15</v>
      </c>
    </row>
    <row r="4749" spans="1:4" x14ac:dyDescent="0.25">
      <c r="A4749" s="5">
        <f t="shared" si="157"/>
        <v>12</v>
      </c>
      <c r="B4749" s="5">
        <f t="shared" si="158"/>
        <v>2025</v>
      </c>
      <c r="C4749" s="9">
        <v>46022</v>
      </c>
      <c r="D4749">
        <v>15</v>
      </c>
    </row>
    <row r="4750" spans="1:4" x14ac:dyDescent="0.25">
      <c r="A4750" s="5">
        <f t="shared" si="157"/>
        <v>1</v>
      </c>
      <c r="B4750" s="5">
        <f t="shared" si="158"/>
        <v>2026</v>
      </c>
      <c r="C4750" s="9">
        <v>46023</v>
      </c>
      <c r="D4750">
        <v>15</v>
      </c>
    </row>
    <row r="4751" spans="1:4" x14ac:dyDescent="0.25">
      <c r="A4751" s="5">
        <f t="shared" si="157"/>
        <v>1</v>
      </c>
      <c r="B4751" s="5">
        <f t="shared" si="158"/>
        <v>2026</v>
      </c>
      <c r="C4751" s="9">
        <v>46024</v>
      </c>
      <c r="D4751">
        <v>15</v>
      </c>
    </row>
    <row r="4752" spans="1:4" x14ac:dyDescent="0.25">
      <c r="A4752" s="5">
        <f t="shared" si="157"/>
        <v>1</v>
      </c>
      <c r="B4752" s="5">
        <f t="shared" si="158"/>
        <v>2026</v>
      </c>
      <c r="C4752" s="9">
        <v>46025</v>
      </c>
      <c r="D4752">
        <v>15</v>
      </c>
    </row>
    <row r="4753" spans="1:4" x14ac:dyDescent="0.25">
      <c r="A4753" s="5">
        <f t="shared" si="157"/>
        <v>1</v>
      </c>
      <c r="B4753" s="5">
        <f t="shared" si="158"/>
        <v>2026</v>
      </c>
      <c r="C4753" s="9">
        <v>46026</v>
      </c>
      <c r="D4753">
        <v>15</v>
      </c>
    </row>
    <row r="4754" spans="1:4" x14ac:dyDescent="0.25">
      <c r="A4754" s="5">
        <f t="shared" si="157"/>
        <v>1</v>
      </c>
      <c r="B4754" s="5">
        <f t="shared" si="158"/>
        <v>2026</v>
      </c>
      <c r="C4754" s="9">
        <v>46027</v>
      </c>
      <c r="D4754">
        <v>15</v>
      </c>
    </row>
    <row r="4755" spans="1:4" x14ac:dyDescent="0.25">
      <c r="A4755" s="5">
        <f t="shared" si="157"/>
        <v>1</v>
      </c>
      <c r="B4755" s="5">
        <f t="shared" si="158"/>
        <v>2026</v>
      </c>
      <c r="C4755" s="9">
        <v>46028</v>
      </c>
      <c r="D4755">
        <v>15</v>
      </c>
    </row>
    <row r="4756" spans="1:4" x14ac:dyDescent="0.25">
      <c r="A4756" s="5">
        <f t="shared" si="157"/>
        <v>1</v>
      </c>
      <c r="B4756" s="5">
        <f t="shared" si="158"/>
        <v>2026</v>
      </c>
      <c r="C4756" s="9">
        <v>46029</v>
      </c>
      <c r="D4756">
        <v>15</v>
      </c>
    </row>
    <row r="4757" spans="1:4" x14ac:dyDescent="0.25">
      <c r="A4757" s="5">
        <f t="shared" si="157"/>
        <v>1</v>
      </c>
      <c r="B4757" s="5">
        <f t="shared" si="158"/>
        <v>2026</v>
      </c>
      <c r="C4757" s="9">
        <v>46030</v>
      </c>
      <c r="D4757">
        <v>15</v>
      </c>
    </row>
    <row r="4758" spans="1:4" x14ac:dyDescent="0.25">
      <c r="A4758" s="5">
        <f t="shared" si="157"/>
        <v>1</v>
      </c>
      <c r="B4758" s="5">
        <f t="shared" si="158"/>
        <v>2026</v>
      </c>
      <c r="C4758" s="9">
        <v>46031</v>
      </c>
      <c r="D4758">
        <v>15</v>
      </c>
    </row>
    <row r="4759" spans="1:4" x14ac:dyDescent="0.25">
      <c r="A4759" s="5">
        <f t="shared" si="157"/>
        <v>1</v>
      </c>
      <c r="B4759" s="5">
        <f t="shared" si="158"/>
        <v>2026</v>
      </c>
      <c r="C4759" s="9">
        <v>46032</v>
      </c>
      <c r="D4759">
        <v>15</v>
      </c>
    </row>
    <row r="4760" spans="1:4" x14ac:dyDescent="0.25">
      <c r="A4760" s="5">
        <f t="shared" si="157"/>
        <v>1</v>
      </c>
      <c r="B4760" s="5">
        <f t="shared" si="158"/>
        <v>2026</v>
      </c>
      <c r="C4760" s="9">
        <v>46033</v>
      </c>
      <c r="D4760">
        <v>15</v>
      </c>
    </row>
    <row r="4761" spans="1:4" x14ac:dyDescent="0.25">
      <c r="A4761" s="5">
        <f t="shared" si="157"/>
        <v>1</v>
      </c>
      <c r="B4761" s="5">
        <f t="shared" si="158"/>
        <v>2026</v>
      </c>
      <c r="C4761" s="9">
        <v>46034</v>
      </c>
      <c r="D4761">
        <v>15</v>
      </c>
    </row>
    <row r="4762" spans="1:4" x14ac:dyDescent="0.25">
      <c r="A4762" s="5">
        <f t="shared" si="157"/>
        <v>1</v>
      </c>
      <c r="B4762" s="5">
        <f t="shared" si="158"/>
        <v>2026</v>
      </c>
      <c r="C4762" s="9">
        <v>46035</v>
      </c>
      <c r="D4762">
        <v>15</v>
      </c>
    </row>
    <row r="4763" spans="1:4" x14ac:dyDescent="0.25">
      <c r="A4763" s="5">
        <f t="shared" si="157"/>
        <v>1</v>
      </c>
      <c r="B4763" s="5">
        <f t="shared" si="158"/>
        <v>2026</v>
      </c>
      <c r="C4763" s="9">
        <v>46036</v>
      </c>
      <c r="D4763">
        <v>15</v>
      </c>
    </row>
    <row r="4764" spans="1:4" x14ac:dyDescent="0.25">
      <c r="A4764" s="5">
        <f t="shared" si="157"/>
        <v>1</v>
      </c>
      <c r="B4764" s="5">
        <f t="shared" si="158"/>
        <v>2026</v>
      </c>
      <c r="C4764" s="9">
        <v>46037</v>
      </c>
      <c r="D4764">
        <v>15</v>
      </c>
    </row>
    <row r="4765" spans="1:4" x14ac:dyDescent="0.25">
      <c r="A4765" s="5">
        <f t="shared" si="157"/>
        <v>1</v>
      </c>
      <c r="B4765" s="5">
        <f t="shared" si="158"/>
        <v>2026</v>
      </c>
      <c r="C4765" s="9">
        <v>46038</v>
      </c>
      <c r="D4765">
        <v>15</v>
      </c>
    </row>
    <row r="4766" spans="1:4" x14ac:dyDescent="0.25">
      <c r="A4766" s="5">
        <f t="shared" si="157"/>
        <v>1</v>
      </c>
      <c r="B4766" s="5">
        <f t="shared" si="158"/>
        <v>2026</v>
      </c>
      <c r="C4766" s="9">
        <v>46039</v>
      </c>
      <c r="D4766">
        <v>15</v>
      </c>
    </row>
    <row r="4767" spans="1:4" x14ac:dyDescent="0.25">
      <c r="A4767" s="5">
        <f t="shared" si="157"/>
        <v>1</v>
      </c>
      <c r="B4767" s="5">
        <f t="shared" si="158"/>
        <v>2026</v>
      </c>
      <c r="C4767" s="9">
        <v>46040</v>
      </c>
      <c r="D4767">
        <v>15</v>
      </c>
    </row>
    <row r="4768" spans="1:4" x14ac:dyDescent="0.25">
      <c r="A4768" s="5">
        <f t="shared" si="157"/>
        <v>1</v>
      </c>
      <c r="B4768" s="5">
        <f t="shared" si="158"/>
        <v>2026</v>
      </c>
      <c r="C4768" s="9">
        <v>46041</v>
      </c>
      <c r="D4768">
        <v>15</v>
      </c>
    </row>
    <row r="4769" spans="1:4" x14ac:dyDescent="0.25">
      <c r="A4769" s="5">
        <f t="shared" si="157"/>
        <v>1</v>
      </c>
      <c r="B4769" s="5">
        <f t="shared" si="158"/>
        <v>2026</v>
      </c>
      <c r="C4769" s="9">
        <v>46042</v>
      </c>
      <c r="D4769">
        <v>15</v>
      </c>
    </row>
    <row r="4770" spans="1:4" x14ac:dyDescent="0.25">
      <c r="A4770" s="5">
        <f t="shared" si="157"/>
        <v>1</v>
      </c>
      <c r="B4770" s="5">
        <f t="shared" si="158"/>
        <v>2026</v>
      </c>
      <c r="C4770" s="9">
        <v>46043</v>
      </c>
      <c r="D4770">
        <v>15</v>
      </c>
    </row>
    <row r="4771" spans="1:4" x14ac:dyDescent="0.25">
      <c r="A4771" s="5">
        <f t="shared" si="157"/>
        <v>1</v>
      </c>
      <c r="B4771" s="5">
        <f t="shared" si="158"/>
        <v>2026</v>
      </c>
      <c r="C4771" s="9">
        <v>46044</v>
      </c>
      <c r="D4771">
        <v>15</v>
      </c>
    </row>
    <row r="4772" spans="1:4" x14ac:dyDescent="0.25">
      <c r="A4772" s="5">
        <f t="shared" si="157"/>
        <v>1</v>
      </c>
      <c r="B4772" s="5">
        <f t="shared" si="158"/>
        <v>2026</v>
      </c>
      <c r="C4772" s="9">
        <v>46045</v>
      </c>
      <c r="D4772">
        <v>15</v>
      </c>
    </row>
    <row r="4773" spans="1:4" x14ac:dyDescent="0.25">
      <c r="A4773" s="5">
        <f t="shared" si="157"/>
        <v>1</v>
      </c>
      <c r="B4773" s="5">
        <f t="shared" si="158"/>
        <v>2026</v>
      </c>
      <c r="C4773" s="9">
        <v>46046</v>
      </c>
      <c r="D4773">
        <v>15</v>
      </c>
    </row>
    <row r="4774" spans="1:4" x14ac:dyDescent="0.25">
      <c r="A4774" s="5">
        <f t="shared" si="157"/>
        <v>1</v>
      </c>
      <c r="B4774" s="5">
        <f t="shared" si="158"/>
        <v>2026</v>
      </c>
      <c r="C4774" s="9">
        <v>46047</v>
      </c>
      <c r="D4774">
        <v>15</v>
      </c>
    </row>
    <row r="4775" spans="1:4" x14ac:dyDescent="0.25">
      <c r="A4775" s="5">
        <f t="shared" si="157"/>
        <v>1</v>
      </c>
      <c r="B4775" s="5">
        <f t="shared" si="158"/>
        <v>2026</v>
      </c>
      <c r="C4775" s="9">
        <v>46048</v>
      </c>
      <c r="D4775">
        <v>15</v>
      </c>
    </row>
    <row r="4776" spans="1:4" x14ac:dyDescent="0.25">
      <c r="A4776" s="5">
        <f t="shared" si="157"/>
        <v>1</v>
      </c>
      <c r="B4776" s="5">
        <f t="shared" si="158"/>
        <v>2026</v>
      </c>
      <c r="C4776" s="9">
        <v>46049</v>
      </c>
      <c r="D4776">
        <v>15</v>
      </c>
    </row>
    <row r="4777" spans="1:4" x14ac:dyDescent="0.25">
      <c r="A4777" s="5">
        <f t="shared" si="157"/>
        <v>1</v>
      </c>
      <c r="B4777" s="5">
        <f t="shared" si="158"/>
        <v>2026</v>
      </c>
      <c r="C4777" s="9">
        <v>46050</v>
      </c>
      <c r="D4777">
        <v>15</v>
      </c>
    </row>
    <row r="4778" spans="1:4" x14ac:dyDescent="0.25">
      <c r="A4778" s="5">
        <f t="shared" si="157"/>
        <v>1</v>
      </c>
      <c r="B4778" s="5">
        <f t="shared" si="158"/>
        <v>2026</v>
      </c>
      <c r="C4778" s="9">
        <v>46051</v>
      </c>
      <c r="D4778">
        <v>15</v>
      </c>
    </row>
    <row r="4779" spans="1:4" x14ac:dyDescent="0.25">
      <c r="A4779" s="5">
        <f t="shared" si="157"/>
        <v>1</v>
      </c>
      <c r="B4779" s="5">
        <f t="shared" si="158"/>
        <v>2026</v>
      </c>
      <c r="C4779" s="9">
        <v>46052</v>
      </c>
      <c r="D4779">
        <v>15</v>
      </c>
    </row>
    <row r="4780" spans="1:4" x14ac:dyDescent="0.25">
      <c r="A4780" s="5">
        <f t="shared" si="157"/>
        <v>1</v>
      </c>
      <c r="B4780" s="5">
        <f t="shared" si="158"/>
        <v>2026</v>
      </c>
      <c r="C4780" s="9">
        <v>46053</v>
      </c>
      <c r="D4780">
        <v>15</v>
      </c>
    </row>
    <row r="4781" spans="1:4" x14ac:dyDescent="0.25">
      <c r="A4781" s="5">
        <f t="shared" si="157"/>
        <v>2</v>
      </c>
      <c r="B4781" s="5">
        <f t="shared" si="158"/>
        <v>2026</v>
      </c>
      <c r="C4781" s="9">
        <v>46054</v>
      </c>
      <c r="D4781">
        <v>15</v>
      </c>
    </row>
    <row r="4782" spans="1:4" x14ac:dyDescent="0.25">
      <c r="A4782" s="5">
        <f t="shared" si="157"/>
        <v>2</v>
      </c>
      <c r="B4782" s="5">
        <f t="shared" si="158"/>
        <v>2026</v>
      </c>
      <c r="C4782" s="9">
        <v>46055</v>
      </c>
      <c r="D4782">
        <v>15</v>
      </c>
    </row>
    <row r="4783" spans="1:4" x14ac:dyDescent="0.25">
      <c r="A4783" s="5">
        <f t="shared" si="157"/>
        <v>2</v>
      </c>
      <c r="B4783" s="5">
        <f t="shared" si="158"/>
        <v>2026</v>
      </c>
      <c r="C4783" s="9">
        <v>46056</v>
      </c>
      <c r="D4783">
        <v>15</v>
      </c>
    </row>
    <row r="4784" spans="1:4" x14ac:dyDescent="0.25">
      <c r="A4784" s="5">
        <f t="shared" si="157"/>
        <v>2</v>
      </c>
      <c r="B4784" s="5">
        <f t="shared" si="158"/>
        <v>2026</v>
      </c>
      <c r="C4784" s="9">
        <v>46057</v>
      </c>
      <c r="D4784">
        <v>15</v>
      </c>
    </row>
    <row r="4785" spans="1:4" x14ac:dyDescent="0.25">
      <c r="A4785" s="5">
        <f t="shared" si="157"/>
        <v>2</v>
      </c>
      <c r="B4785" s="5">
        <f t="shared" si="158"/>
        <v>2026</v>
      </c>
      <c r="C4785" s="9">
        <v>46058</v>
      </c>
      <c r="D4785">
        <v>15</v>
      </c>
    </row>
    <row r="4786" spans="1:4" x14ac:dyDescent="0.25">
      <c r="A4786" s="5">
        <f t="shared" si="157"/>
        <v>2</v>
      </c>
      <c r="B4786" s="5">
        <f t="shared" si="158"/>
        <v>2026</v>
      </c>
      <c r="C4786" s="9">
        <v>46059</v>
      </c>
      <c r="D4786">
        <v>15</v>
      </c>
    </row>
    <row r="4787" spans="1:4" x14ac:dyDescent="0.25">
      <c r="A4787" s="5">
        <f t="shared" si="157"/>
        <v>2</v>
      </c>
      <c r="B4787" s="5">
        <f t="shared" si="158"/>
        <v>2026</v>
      </c>
      <c r="C4787" s="9">
        <v>46060</v>
      </c>
      <c r="D4787">
        <v>15</v>
      </c>
    </row>
    <row r="4788" spans="1:4" x14ac:dyDescent="0.25">
      <c r="A4788" s="5">
        <f t="shared" si="157"/>
        <v>2</v>
      </c>
      <c r="B4788" s="5">
        <f t="shared" si="158"/>
        <v>2026</v>
      </c>
      <c r="C4788" s="9">
        <v>46061</v>
      </c>
      <c r="D4788">
        <v>15</v>
      </c>
    </row>
    <row r="4789" spans="1:4" x14ac:dyDescent="0.25">
      <c r="A4789" s="5">
        <f t="shared" si="157"/>
        <v>2</v>
      </c>
      <c r="B4789" s="5">
        <f t="shared" si="158"/>
        <v>2026</v>
      </c>
      <c r="C4789" s="9">
        <v>46062</v>
      </c>
      <c r="D4789">
        <v>15</v>
      </c>
    </row>
    <row r="4790" spans="1:4" x14ac:dyDescent="0.25">
      <c r="A4790" s="5">
        <f t="shared" si="157"/>
        <v>2</v>
      </c>
      <c r="B4790" s="5">
        <f t="shared" si="158"/>
        <v>2026</v>
      </c>
      <c r="C4790" s="9">
        <v>46063</v>
      </c>
      <c r="D4790">
        <v>15</v>
      </c>
    </row>
    <row r="4791" spans="1:4" x14ac:dyDescent="0.25">
      <c r="A4791" s="5">
        <f t="shared" si="157"/>
        <v>2</v>
      </c>
      <c r="B4791" s="5">
        <f t="shared" si="158"/>
        <v>2026</v>
      </c>
      <c r="C4791" s="9">
        <v>46064</v>
      </c>
      <c r="D4791">
        <v>15</v>
      </c>
    </row>
    <row r="4792" spans="1:4" x14ac:dyDescent="0.25">
      <c r="A4792" s="5">
        <f t="shared" si="157"/>
        <v>2</v>
      </c>
      <c r="B4792" s="5">
        <f t="shared" si="158"/>
        <v>2026</v>
      </c>
      <c r="C4792" s="9">
        <v>46065</v>
      </c>
      <c r="D4792">
        <v>15</v>
      </c>
    </row>
    <row r="4793" spans="1:4" x14ac:dyDescent="0.25">
      <c r="A4793" s="5">
        <f t="shared" si="157"/>
        <v>2</v>
      </c>
      <c r="B4793" s="5">
        <f t="shared" si="158"/>
        <v>2026</v>
      </c>
      <c r="C4793" s="9">
        <v>46066</v>
      </c>
      <c r="D4793">
        <v>15</v>
      </c>
    </row>
    <row r="4794" spans="1:4" x14ac:dyDescent="0.25">
      <c r="A4794" s="5">
        <f t="shared" si="157"/>
        <v>2</v>
      </c>
      <c r="B4794" s="5">
        <f t="shared" si="158"/>
        <v>2026</v>
      </c>
      <c r="C4794" s="9">
        <v>46067</v>
      </c>
      <c r="D4794">
        <v>15</v>
      </c>
    </row>
    <row r="4795" spans="1:4" x14ac:dyDescent="0.25">
      <c r="A4795" s="5">
        <f t="shared" si="157"/>
        <v>2</v>
      </c>
      <c r="B4795" s="5">
        <f t="shared" si="158"/>
        <v>2026</v>
      </c>
      <c r="C4795" s="9">
        <v>46068</v>
      </c>
      <c r="D4795">
        <v>15</v>
      </c>
    </row>
    <row r="4796" spans="1:4" x14ac:dyDescent="0.25">
      <c r="A4796" s="5">
        <f t="shared" si="157"/>
        <v>2</v>
      </c>
      <c r="B4796" s="5">
        <f t="shared" si="158"/>
        <v>2026</v>
      </c>
      <c r="C4796" s="9">
        <v>46069</v>
      </c>
      <c r="D4796">
        <v>15</v>
      </c>
    </row>
    <row r="4797" spans="1:4" x14ac:dyDescent="0.25">
      <c r="A4797" s="5">
        <f t="shared" si="157"/>
        <v>2</v>
      </c>
      <c r="B4797" s="5">
        <f t="shared" si="158"/>
        <v>2026</v>
      </c>
      <c r="C4797" s="9">
        <v>46070</v>
      </c>
      <c r="D4797">
        <v>15</v>
      </c>
    </row>
    <row r="4798" spans="1:4" x14ac:dyDescent="0.25">
      <c r="A4798" s="5">
        <f t="shared" si="157"/>
        <v>2</v>
      </c>
      <c r="B4798" s="5">
        <f t="shared" si="158"/>
        <v>2026</v>
      </c>
      <c r="C4798" s="9">
        <v>46071</v>
      </c>
      <c r="D4798">
        <v>15</v>
      </c>
    </row>
    <row r="4799" spans="1:4" x14ac:dyDescent="0.25">
      <c r="A4799" s="5">
        <f t="shared" si="157"/>
        <v>2</v>
      </c>
      <c r="B4799" s="5">
        <f t="shared" si="158"/>
        <v>2026</v>
      </c>
      <c r="C4799" s="9">
        <v>46072</v>
      </c>
      <c r="D4799">
        <v>15</v>
      </c>
    </row>
    <row r="4800" spans="1:4" x14ac:dyDescent="0.25">
      <c r="A4800" s="5">
        <f t="shared" si="157"/>
        <v>2</v>
      </c>
      <c r="B4800" s="5">
        <f t="shared" si="158"/>
        <v>2026</v>
      </c>
      <c r="C4800" s="9">
        <v>46073</v>
      </c>
      <c r="D4800">
        <v>15</v>
      </c>
    </row>
    <row r="4801" spans="1:4" x14ac:dyDescent="0.25">
      <c r="A4801" s="5">
        <f t="shared" si="157"/>
        <v>2</v>
      </c>
      <c r="B4801" s="5">
        <f t="shared" si="158"/>
        <v>2026</v>
      </c>
      <c r="C4801" s="9">
        <v>46074</v>
      </c>
      <c r="D4801">
        <v>15</v>
      </c>
    </row>
    <row r="4802" spans="1:4" x14ac:dyDescent="0.25">
      <c r="A4802" s="5">
        <f t="shared" si="157"/>
        <v>2</v>
      </c>
      <c r="B4802" s="5">
        <f t="shared" si="158"/>
        <v>2026</v>
      </c>
      <c r="C4802" s="9">
        <v>46075</v>
      </c>
      <c r="D4802">
        <v>15</v>
      </c>
    </row>
    <row r="4803" spans="1:4" x14ac:dyDescent="0.25">
      <c r="A4803" s="5">
        <f t="shared" ref="A4803:A4866" si="159">MONTH(C4803)</f>
        <v>2</v>
      </c>
      <c r="B4803" s="5">
        <f t="shared" ref="B4803:B4866" si="160">YEAR(C4803)</f>
        <v>2026</v>
      </c>
      <c r="C4803" s="9">
        <v>46076</v>
      </c>
      <c r="D4803">
        <v>15</v>
      </c>
    </row>
    <row r="4804" spans="1:4" x14ac:dyDescent="0.25">
      <c r="A4804" s="5">
        <f t="shared" si="159"/>
        <v>2</v>
      </c>
      <c r="B4804" s="5">
        <f t="shared" si="160"/>
        <v>2026</v>
      </c>
      <c r="C4804" s="9">
        <v>46077</v>
      </c>
      <c r="D4804">
        <v>15</v>
      </c>
    </row>
    <row r="4805" spans="1:4" x14ac:dyDescent="0.25">
      <c r="A4805" s="5">
        <f t="shared" si="159"/>
        <v>2</v>
      </c>
      <c r="B4805" s="5">
        <f t="shared" si="160"/>
        <v>2026</v>
      </c>
      <c r="C4805" s="9">
        <v>46078</v>
      </c>
      <c r="D4805">
        <v>15</v>
      </c>
    </row>
    <row r="4806" spans="1:4" x14ac:dyDescent="0.25">
      <c r="A4806" s="5">
        <f t="shared" si="159"/>
        <v>2</v>
      </c>
      <c r="B4806" s="5">
        <f t="shared" si="160"/>
        <v>2026</v>
      </c>
      <c r="C4806" s="9">
        <v>46079</v>
      </c>
      <c r="D4806">
        <v>15</v>
      </c>
    </row>
    <row r="4807" spans="1:4" x14ac:dyDescent="0.25">
      <c r="A4807" s="5">
        <f t="shared" si="159"/>
        <v>2</v>
      </c>
      <c r="B4807" s="5">
        <f t="shared" si="160"/>
        <v>2026</v>
      </c>
      <c r="C4807" s="9">
        <v>46080</v>
      </c>
      <c r="D4807">
        <v>15</v>
      </c>
    </row>
    <row r="4808" spans="1:4" x14ac:dyDescent="0.25">
      <c r="A4808" s="5">
        <f t="shared" si="159"/>
        <v>2</v>
      </c>
      <c r="B4808" s="5">
        <f t="shared" si="160"/>
        <v>2026</v>
      </c>
      <c r="C4808" s="9">
        <v>46081</v>
      </c>
      <c r="D4808">
        <v>15</v>
      </c>
    </row>
    <row r="4809" spans="1:4" x14ac:dyDescent="0.25">
      <c r="A4809" s="5">
        <f t="shared" si="159"/>
        <v>3</v>
      </c>
      <c r="B4809" s="5">
        <f t="shared" si="160"/>
        <v>2026</v>
      </c>
      <c r="C4809" s="9">
        <v>46082</v>
      </c>
      <c r="D4809">
        <v>15</v>
      </c>
    </row>
    <row r="4810" spans="1:4" x14ac:dyDescent="0.25">
      <c r="A4810" s="5">
        <f t="shared" si="159"/>
        <v>3</v>
      </c>
      <c r="B4810" s="5">
        <f t="shared" si="160"/>
        <v>2026</v>
      </c>
      <c r="C4810" s="9">
        <v>46083</v>
      </c>
      <c r="D4810">
        <v>15</v>
      </c>
    </row>
    <row r="4811" spans="1:4" x14ac:dyDescent="0.25">
      <c r="A4811" s="5">
        <f t="shared" si="159"/>
        <v>3</v>
      </c>
      <c r="B4811" s="5">
        <f t="shared" si="160"/>
        <v>2026</v>
      </c>
      <c r="C4811" s="9">
        <v>46084</v>
      </c>
      <c r="D4811">
        <v>15</v>
      </c>
    </row>
    <row r="4812" spans="1:4" x14ac:dyDescent="0.25">
      <c r="A4812" s="5">
        <f t="shared" si="159"/>
        <v>3</v>
      </c>
      <c r="B4812" s="5">
        <f t="shared" si="160"/>
        <v>2026</v>
      </c>
      <c r="C4812" s="9">
        <v>46085</v>
      </c>
      <c r="D4812">
        <v>15</v>
      </c>
    </row>
    <row r="4813" spans="1:4" x14ac:dyDescent="0.25">
      <c r="A4813" s="5">
        <f t="shared" si="159"/>
        <v>3</v>
      </c>
      <c r="B4813" s="5">
        <f t="shared" si="160"/>
        <v>2026</v>
      </c>
      <c r="C4813" s="9">
        <v>46086</v>
      </c>
      <c r="D4813">
        <v>15</v>
      </c>
    </row>
    <row r="4814" spans="1:4" x14ac:dyDescent="0.25">
      <c r="A4814" s="5">
        <f t="shared" si="159"/>
        <v>3</v>
      </c>
      <c r="B4814" s="5">
        <f t="shared" si="160"/>
        <v>2026</v>
      </c>
      <c r="C4814" s="9">
        <v>46087</v>
      </c>
      <c r="D4814">
        <v>15</v>
      </c>
    </row>
    <row r="4815" spans="1:4" x14ac:dyDescent="0.25">
      <c r="A4815" s="5">
        <f t="shared" si="159"/>
        <v>3</v>
      </c>
      <c r="B4815" s="5">
        <f t="shared" si="160"/>
        <v>2026</v>
      </c>
      <c r="C4815" s="9">
        <v>46088</v>
      </c>
      <c r="D4815">
        <v>15</v>
      </c>
    </row>
    <row r="4816" spans="1:4" x14ac:dyDescent="0.25">
      <c r="A4816" s="5">
        <f t="shared" si="159"/>
        <v>3</v>
      </c>
      <c r="B4816" s="5">
        <f t="shared" si="160"/>
        <v>2026</v>
      </c>
      <c r="C4816" s="9">
        <v>46089</v>
      </c>
      <c r="D4816">
        <v>15</v>
      </c>
    </row>
    <row r="4817" spans="1:4" x14ac:dyDescent="0.25">
      <c r="A4817" s="5">
        <f t="shared" si="159"/>
        <v>3</v>
      </c>
      <c r="B4817" s="5">
        <f t="shared" si="160"/>
        <v>2026</v>
      </c>
      <c r="C4817" s="9">
        <v>46090</v>
      </c>
      <c r="D4817">
        <v>15</v>
      </c>
    </row>
    <row r="4818" spans="1:4" x14ac:dyDescent="0.25">
      <c r="A4818" s="5">
        <f t="shared" si="159"/>
        <v>3</v>
      </c>
      <c r="B4818" s="5">
        <f t="shared" si="160"/>
        <v>2026</v>
      </c>
      <c r="C4818" s="9">
        <v>46091</v>
      </c>
      <c r="D4818">
        <v>15</v>
      </c>
    </row>
    <row r="4819" spans="1:4" x14ac:dyDescent="0.25">
      <c r="A4819" s="5">
        <f t="shared" si="159"/>
        <v>3</v>
      </c>
      <c r="B4819" s="5">
        <f t="shared" si="160"/>
        <v>2026</v>
      </c>
      <c r="C4819" s="9">
        <v>46092</v>
      </c>
      <c r="D4819">
        <v>15</v>
      </c>
    </row>
    <row r="4820" spans="1:4" x14ac:dyDescent="0.25">
      <c r="A4820" s="5">
        <f t="shared" si="159"/>
        <v>3</v>
      </c>
      <c r="B4820" s="5">
        <f t="shared" si="160"/>
        <v>2026</v>
      </c>
      <c r="C4820" s="9">
        <v>46093</v>
      </c>
      <c r="D4820">
        <v>15</v>
      </c>
    </row>
    <row r="4821" spans="1:4" x14ac:dyDescent="0.25">
      <c r="A4821" s="5">
        <f t="shared" si="159"/>
        <v>3</v>
      </c>
      <c r="B4821" s="5">
        <f t="shared" si="160"/>
        <v>2026</v>
      </c>
      <c r="C4821" s="9">
        <v>46094</v>
      </c>
      <c r="D4821">
        <v>15</v>
      </c>
    </row>
    <row r="4822" spans="1:4" x14ac:dyDescent="0.25">
      <c r="A4822" s="5">
        <f t="shared" si="159"/>
        <v>3</v>
      </c>
      <c r="B4822" s="5">
        <f t="shared" si="160"/>
        <v>2026</v>
      </c>
      <c r="C4822" s="9">
        <v>46095</v>
      </c>
      <c r="D4822">
        <v>15</v>
      </c>
    </row>
    <row r="4823" spans="1:4" x14ac:dyDescent="0.25">
      <c r="A4823" s="5">
        <f t="shared" si="159"/>
        <v>3</v>
      </c>
      <c r="B4823" s="5">
        <f t="shared" si="160"/>
        <v>2026</v>
      </c>
      <c r="C4823" s="9">
        <v>46096</v>
      </c>
      <c r="D4823">
        <v>15</v>
      </c>
    </row>
    <row r="4824" spans="1:4" x14ac:dyDescent="0.25">
      <c r="A4824" s="5">
        <f t="shared" si="159"/>
        <v>3</v>
      </c>
      <c r="B4824" s="5">
        <f t="shared" si="160"/>
        <v>2026</v>
      </c>
      <c r="C4824" s="9">
        <v>46097</v>
      </c>
      <c r="D4824">
        <v>15</v>
      </c>
    </row>
    <row r="4825" spans="1:4" x14ac:dyDescent="0.25">
      <c r="A4825" s="5">
        <f t="shared" si="159"/>
        <v>3</v>
      </c>
      <c r="B4825" s="5">
        <f t="shared" si="160"/>
        <v>2026</v>
      </c>
      <c r="C4825" s="9">
        <v>46098</v>
      </c>
      <c r="D4825">
        <v>15</v>
      </c>
    </row>
    <row r="4826" spans="1:4" x14ac:dyDescent="0.25">
      <c r="A4826" s="5">
        <f t="shared" si="159"/>
        <v>3</v>
      </c>
      <c r="B4826" s="5">
        <f t="shared" si="160"/>
        <v>2026</v>
      </c>
      <c r="C4826" s="9">
        <v>46099</v>
      </c>
      <c r="D4826">
        <v>15</v>
      </c>
    </row>
    <row r="4827" spans="1:4" x14ac:dyDescent="0.25">
      <c r="A4827" s="5">
        <f t="shared" si="159"/>
        <v>3</v>
      </c>
      <c r="B4827" s="5">
        <f t="shared" si="160"/>
        <v>2026</v>
      </c>
      <c r="C4827" s="9">
        <v>46100</v>
      </c>
      <c r="D4827">
        <v>14.75</v>
      </c>
    </row>
    <row r="4828" spans="1:4" x14ac:dyDescent="0.25">
      <c r="A4828" s="5">
        <f t="shared" si="159"/>
        <v>3</v>
      </c>
      <c r="B4828" s="5">
        <f t="shared" si="160"/>
        <v>2026</v>
      </c>
      <c r="C4828" s="9">
        <v>46101</v>
      </c>
      <c r="D4828">
        <v>14.75</v>
      </c>
    </row>
    <row r="4829" spans="1:4" x14ac:dyDescent="0.25">
      <c r="A4829" s="5">
        <f t="shared" si="159"/>
        <v>3</v>
      </c>
      <c r="B4829" s="5">
        <f t="shared" si="160"/>
        <v>2026</v>
      </c>
      <c r="C4829" s="9">
        <v>46102</v>
      </c>
      <c r="D4829">
        <v>14.75</v>
      </c>
    </row>
    <row r="4830" spans="1:4" x14ac:dyDescent="0.25">
      <c r="A4830" s="5">
        <f t="shared" si="159"/>
        <v>3</v>
      </c>
      <c r="B4830" s="5">
        <f t="shared" si="160"/>
        <v>2026</v>
      </c>
      <c r="C4830" s="9">
        <v>46103</v>
      </c>
      <c r="D4830">
        <v>14.75</v>
      </c>
    </row>
    <row r="4831" spans="1:4" x14ac:dyDescent="0.25">
      <c r="A4831" s="5">
        <f t="shared" si="159"/>
        <v>3</v>
      </c>
      <c r="B4831" s="5">
        <f t="shared" si="160"/>
        <v>2026</v>
      </c>
      <c r="C4831" s="9">
        <v>46104</v>
      </c>
      <c r="D4831">
        <v>14.75</v>
      </c>
    </row>
    <row r="4832" spans="1:4" x14ac:dyDescent="0.25">
      <c r="A4832" s="5">
        <f t="shared" si="159"/>
        <v>3</v>
      </c>
      <c r="B4832" s="5">
        <f t="shared" si="160"/>
        <v>2026</v>
      </c>
      <c r="C4832" s="9">
        <v>46105</v>
      </c>
      <c r="D4832">
        <v>14.75</v>
      </c>
    </row>
    <row r="4833" spans="1:4" x14ac:dyDescent="0.25">
      <c r="A4833" s="5">
        <f t="shared" si="159"/>
        <v>3</v>
      </c>
      <c r="B4833" s="5">
        <f t="shared" si="160"/>
        <v>2026</v>
      </c>
      <c r="C4833" s="9">
        <v>46106</v>
      </c>
      <c r="D4833">
        <v>14.75</v>
      </c>
    </row>
    <row r="4834" spans="1:4" x14ac:dyDescent="0.25">
      <c r="A4834" s="5">
        <f t="shared" si="159"/>
        <v>3</v>
      </c>
      <c r="B4834" s="5">
        <f t="shared" si="160"/>
        <v>2026</v>
      </c>
      <c r="C4834" s="9">
        <v>46107</v>
      </c>
      <c r="D4834">
        <v>14.75</v>
      </c>
    </row>
    <row r="4835" spans="1:4" x14ac:dyDescent="0.25">
      <c r="A4835" s="5">
        <f t="shared" si="159"/>
        <v>3</v>
      </c>
      <c r="B4835" s="5">
        <f t="shared" si="160"/>
        <v>2026</v>
      </c>
      <c r="C4835" s="9">
        <v>46108</v>
      </c>
      <c r="D4835">
        <v>14.75</v>
      </c>
    </row>
    <row r="4836" spans="1:4" x14ac:dyDescent="0.25">
      <c r="A4836" s="5">
        <f t="shared" si="159"/>
        <v>3</v>
      </c>
      <c r="B4836" s="5">
        <f t="shared" si="160"/>
        <v>2026</v>
      </c>
      <c r="C4836" s="9">
        <v>46109</v>
      </c>
      <c r="D4836">
        <v>14.75</v>
      </c>
    </row>
    <row r="4837" spans="1:4" x14ac:dyDescent="0.25">
      <c r="A4837" s="5">
        <f t="shared" si="159"/>
        <v>3</v>
      </c>
      <c r="B4837" s="5">
        <f t="shared" si="160"/>
        <v>2026</v>
      </c>
      <c r="C4837" s="9">
        <v>46110</v>
      </c>
      <c r="D4837">
        <v>14.75</v>
      </c>
    </row>
    <row r="4838" spans="1:4" x14ac:dyDescent="0.25">
      <c r="A4838" s="5">
        <f t="shared" si="159"/>
        <v>3</v>
      </c>
      <c r="B4838" s="5">
        <f t="shared" si="160"/>
        <v>2026</v>
      </c>
      <c r="C4838" s="9">
        <v>46111</v>
      </c>
      <c r="D4838">
        <v>14.75</v>
      </c>
    </row>
    <row r="4839" spans="1:4" x14ac:dyDescent="0.25">
      <c r="A4839" s="5">
        <f t="shared" si="159"/>
        <v>3</v>
      </c>
      <c r="B4839" s="5">
        <f t="shared" si="160"/>
        <v>2026</v>
      </c>
      <c r="C4839" s="9">
        <v>46112</v>
      </c>
      <c r="D4839">
        <v>14.75</v>
      </c>
    </row>
    <row r="4840" spans="1:4" x14ac:dyDescent="0.25">
      <c r="A4840" s="5">
        <f t="shared" si="159"/>
        <v>4</v>
      </c>
      <c r="B4840" s="5">
        <f t="shared" si="160"/>
        <v>2026</v>
      </c>
      <c r="C4840" s="9">
        <v>46113</v>
      </c>
      <c r="D4840">
        <v>14.75</v>
      </c>
    </row>
    <row r="4841" spans="1:4" x14ac:dyDescent="0.25">
      <c r="A4841" s="5">
        <f t="shared" si="159"/>
        <v>4</v>
      </c>
      <c r="B4841" s="5">
        <f t="shared" si="160"/>
        <v>2026</v>
      </c>
      <c r="C4841" s="9">
        <v>46114</v>
      </c>
      <c r="D4841">
        <v>14.75</v>
      </c>
    </row>
    <row r="4842" spans="1:4" x14ac:dyDescent="0.25">
      <c r="A4842" s="5">
        <f t="shared" si="159"/>
        <v>4</v>
      </c>
      <c r="B4842" s="5">
        <f t="shared" si="160"/>
        <v>2026</v>
      </c>
      <c r="C4842" s="9">
        <v>46115</v>
      </c>
      <c r="D4842">
        <v>14.75</v>
      </c>
    </row>
    <row r="4843" spans="1:4" x14ac:dyDescent="0.25">
      <c r="A4843" s="5">
        <f t="shared" si="159"/>
        <v>4</v>
      </c>
      <c r="B4843" s="5">
        <f t="shared" si="160"/>
        <v>2026</v>
      </c>
      <c r="C4843" s="9">
        <v>46116</v>
      </c>
      <c r="D4843">
        <v>14.75</v>
      </c>
    </row>
    <row r="4844" spans="1:4" x14ac:dyDescent="0.25">
      <c r="A4844" s="5">
        <f t="shared" si="159"/>
        <v>4</v>
      </c>
      <c r="B4844" s="5">
        <f t="shared" si="160"/>
        <v>2026</v>
      </c>
      <c r="C4844" s="9">
        <v>46117</v>
      </c>
      <c r="D4844">
        <v>14.75</v>
      </c>
    </row>
    <row r="4845" spans="1:4" x14ac:dyDescent="0.25">
      <c r="A4845" s="5">
        <f t="shared" si="159"/>
        <v>4</v>
      </c>
      <c r="B4845" s="5">
        <f t="shared" si="160"/>
        <v>2026</v>
      </c>
      <c r="C4845" s="9">
        <v>46118</v>
      </c>
      <c r="D4845">
        <v>14.75</v>
      </c>
    </row>
    <row r="4846" spans="1:4" x14ac:dyDescent="0.25">
      <c r="A4846" s="5">
        <f t="shared" si="159"/>
        <v>4</v>
      </c>
      <c r="B4846" s="5">
        <f t="shared" si="160"/>
        <v>2026</v>
      </c>
      <c r="C4846" s="9">
        <v>46119</v>
      </c>
      <c r="D4846">
        <v>14.75</v>
      </c>
    </row>
    <row r="4847" spans="1:4" x14ac:dyDescent="0.25">
      <c r="A4847" s="5">
        <f t="shared" si="159"/>
        <v>4</v>
      </c>
      <c r="B4847" s="5">
        <f t="shared" si="160"/>
        <v>2026</v>
      </c>
      <c r="C4847" s="9">
        <v>46120</v>
      </c>
      <c r="D4847">
        <v>14.75</v>
      </c>
    </row>
    <row r="4848" spans="1:4" x14ac:dyDescent="0.25">
      <c r="A4848" s="5">
        <f t="shared" si="159"/>
        <v>4</v>
      </c>
      <c r="B4848" s="5">
        <f t="shared" si="160"/>
        <v>2026</v>
      </c>
      <c r="C4848" s="9">
        <v>46121</v>
      </c>
      <c r="D4848">
        <v>14.75</v>
      </c>
    </row>
    <row r="4849" spans="1:4" x14ac:dyDescent="0.25">
      <c r="A4849" s="5">
        <f t="shared" si="159"/>
        <v>4</v>
      </c>
      <c r="B4849" s="5">
        <f t="shared" si="160"/>
        <v>2026</v>
      </c>
      <c r="C4849" s="9">
        <v>46122</v>
      </c>
      <c r="D4849">
        <v>14.75</v>
      </c>
    </row>
    <row r="4850" spans="1:4" x14ac:dyDescent="0.25">
      <c r="A4850" s="5">
        <f t="shared" si="159"/>
        <v>4</v>
      </c>
      <c r="B4850" s="5">
        <f t="shared" si="160"/>
        <v>2026</v>
      </c>
      <c r="C4850" s="9">
        <v>46123</v>
      </c>
      <c r="D4850">
        <v>14.75</v>
      </c>
    </row>
    <row r="4851" spans="1:4" x14ac:dyDescent="0.25">
      <c r="A4851" s="5">
        <f t="shared" si="159"/>
        <v>4</v>
      </c>
      <c r="B4851" s="5">
        <f t="shared" si="160"/>
        <v>2026</v>
      </c>
      <c r="C4851" s="9">
        <v>46124</v>
      </c>
      <c r="D4851">
        <v>14.75</v>
      </c>
    </row>
    <row r="4852" spans="1:4" x14ac:dyDescent="0.25">
      <c r="A4852" s="5">
        <f t="shared" si="159"/>
        <v>4</v>
      </c>
      <c r="B4852" s="5">
        <f t="shared" si="160"/>
        <v>2026</v>
      </c>
      <c r="C4852" s="9">
        <v>46125</v>
      </c>
      <c r="D4852">
        <v>14.75</v>
      </c>
    </row>
    <row r="4853" spans="1:4" x14ac:dyDescent="0.25">
      <c r="A4853" s="5">
        <f t="shared" si="159"/>
        <v>4</v>
      </c>
      <c r="B4853" s="5">
        <f t="shared" si="160"/>
        <v>2026</v>
      </c>
      <c r="C4853" s="9">
        <v>46126</v>
      </c>
      <c r="D4853">
        <v>14.75</v>
      </c>
    </row>
    <row r="4854" spans="1:4" x14ac:dyDescent="0.25">
      <c r="A4854" s="5">
        <f t="shared" si="159"/>
        <v>4</v>
      </c>
      <c r="B4854" s="5">
        <f t="shared" si="160"/>
        <v>2026</v>
      </c>
      <c r="C4854" s="9">
        <v>46127</v>
      </c>
      <c r="D4854">
        <v>14.75</v>
      </c>
    </row>
    <row r="4855" spans="1:4" x14ac:dyDescent="0.25">
      <c r="A4855" s="5">
        <f t="shared" si="159"/>
        <v>4</v>
      </c>
      <c r="B4855" s="5">
        <f t="shared" si="160"/>
        <v>2026</v>
      </c>
      <c r="C4855" s="9">
        <v>46128</v>
      </c>
      <c r="D4855">
        <v>14.75</v>
      </c>
    </row>
    <row r="4856" spans="1:4" x14ac:dyDescent="0.25">
      <c r="A4856" s="5">
        <f t="shared" si="159"/>
        <v>4</v>
      </c>
      <c r="B4856" s="5">
        <f t="shared" si="160"/>
        <v>2026</v>
      </c>
      <c r="C4856" s="9">
        <v>46129</v>
      </c>
      <c r="D4856">
        <v>14.75</v>
      </c>
    </row>
    <row r="4857" spans="1:4" x14ac:dyDescent="0.25">
      <c r="A4857" s="5">
        <f t="shared" si="159"/>
        <v>4</v>
      </c>
      <c r="B4857" s="5">
        <f t="shared" si="160"/>
        <v>2026</v>
      </c>
      <c r="C4857" s="9">
        <v>46130</v>
      </c>
      <c r="D4857">
        <v>14.75</v>
      </c>
    </row>
    <row r="4858" spans="1:4" x14ac:dyDescent="0.25">
      <c r="A4858" s="5">
        <f t="shared" si="159"/>
        <v>4</v>
      </c>
      <c r="B4858" s="5">
        <f t="shared" si="160"/>
        <v>2026</v>
      </c>
      <c r="C4858" s="9">
        <v>46131</v>
      </c>
      <c r="D4858">
        <v>14.75</v>
      </c>
    </row>
    <row r="4859" spans="1:4" x14ac:dyDescent="0.25">
      <c r="A4859" s="5">
        <f t="shared" si="159"/>
        <v>4</v>
      </c>
      <c r="B4859" s="5">
        <f t="shared" si="160"/>
        <v>2026</v>
      </c>
      <c r="C4859" s="9">
        <v>46132</v>
      </c>
      <c r="D4859">
        <v>14.75</v>
      </c>
    </row>
    <row r="4860" spans="1:4" x14ac:dyDescent="0.25">
      <c r="A4860" s="5">
        <f t="shared" si="159"/>
        <v>4</v>
      </c>
      <c r="B4860" s="5">
        <f t="shared" si="160"/>
        <v>2026</v>
      </c>
      <c r="C4860" s="9">
        <v>46133</v>
      </c>
      <c r="D4860">
        <v>14.75</v>
      </c>
    </row>
    <row r="4861" spans="1:4" x14ac:dyDescent="0.25">
      <c r="A4861" s="5">
        <f t="shared" si="159"/>
        <v>4</v>
      </c>
      <c r="B4861" s="5">
        <f t="shared" si="160"/>
        <v>2026</v>
      </c>
      <c r="C4861" s="9">
        <v>46134</v>
      </c>
      <c r="D4861">
        <v>14.75</v>
      </c>
    </row>
    <row r="4862" spans="1:4" x14ac:dyDescent="0.25">
      <c r="A4862" s="5">
        <f t="shared" si="159"/>
        <v>4</v>
      </c>
      <c r="B4862" s="5">
        <f t="shared" si="160"/>
        <v>2026</v>
      </c>
      <c r="C4862" s="9">
        <v>46135</v>
      </c>
      <c r="D4862">
        <v>14.75</v>
      </c>
    </row>
    <row r="4863" spans="1:4" x14ac:dyDescent="0.25">
      <c r="A4863" s="5">
        <f t="shared" si="159"/>
        <v>4</v>
      </c>
      <c r="B4863" s="5">
        <f t="shared" si="160"/>
        <v>2026</v>
      </c>
      <c r="C4863" s="9">
        <v>46136</v>
      </c>
      <c r="D4863">
        <v>14.75</v>
      </c>
    </row>
    <row r="4864" spans="1:4" x14ac:dyDescent="0.25">
      <c r="A4864" s="5">
        <f t="shared" si="159"/>
        <v>4</v>
      </c>
      <c r="B4864" s="5">
        <f t="shared" si="160"/>
        <v>2026</v>
      </c>
      <c r="C4864" s="9">
        <v>46137</v>
      </c>
      <c r="D4864">
        <v>14.75</v>
      </c>
    </row>
    <row r="4865" spans="1:4" x14ac:dyDescent="0.25">
      <c r="A4865" s="5">
        <f t="shared" si="159"/>
        <v>4</v>
      </c>
      <c r="B4865" s="5">
        <f t="shared" si="160"/>
        <v>2026</v>
      </c>
      <c r="C4865" s="9">
        <v>46138</v>
      </c>
      <c r="D4865">
        <v>14.75</v>
      </c>
    </row>
    <row r="4866" spans="1:4" x14ac:dyDescent="0.25">
      <c r="A4866" s="5">
        <f t="shared" si="159"/>
        <v>4</v>
      </c>
      <c r="B4866" s="5">
        <f t="shared" si="160"/>
        <v>2026</v>
      </c>
      <c r="C4866" s="9">
        <v>46139</v>
      </c>
      <c r="D4866">
        <v>14.75</v>
      </c>
    </row>
    <row r="4867" spans="1:4" x14ac:dyDescent="0.25">
      <c r="A4867" s="5">
        <f t="shared" ref="A4867:A4930" si="161">MONTH(C4867)</f>
        <v>4</v>
      </c>
      <c r="B4867" s="5">
        <f t="shared" ref="B4867:B4930" si="162">YEAR(C4867)</f>
        <v>2026</v>
      </c>
      <c r="C4867" s="9">
        <v>46140</v>
      </c>
      <c r="D4867">
        <v>14.75</v>
      </c>
    </row>
    <row r="4868" spans="1:4" x14ac:dyDescent="0.25">
      <c r="A4868" s="5">
        <f t="shared" si="161"/>
        <v>4</v>
      </c>
      <c r="B4868" s="5">
        <f t="shared" si="162"/>
        <v>2026</v>
      </c>
      <c r="C4868" s="9">
        <v>46141</v>
      </c>
      <c r="D4868">
        <v>14.75</v>
      </c>
    </row>
    <row r="4869" spans="1:4" x14ac:dyDescent="0.25">
      <c r="A4869" s="5">
        <f t="shared" si="161"/>
        <v>4</v>
      </c>
      <c r="B4869" s="5">
        <f t="shared" si="162"/>
        <v>2026</v>
      </c>
      <c r="C4869" s="9">
        <v>46142</v>
      </c>
      <c r="D4869">
        <v>14.5</v>
      </c>
    </row>
    <row r="4870" spans="1:4" x14ac:dyDescent="0.25">
      <c r="A4870" s="5">
        <f t="shared" si="161"/>
        <v>5</v>
      </c>
      <c r="B4870" s="5">
        <f t="shared" si="162"/>
        <v>2026</v>
      </c>
      <c r="C4870" s="9">
        <v>46143</v>
      </c>
      <c r="D4870">
        <v>14.5</v>
      </c>
    </row>
    <row r="4871" spans="1:4" x14ac:dyDescent="0.25">
      <c r="A4871" s="5">
        <f t="shared" si="161"/>
        <v>5</v>
      </c>
      <c r="B4871" s="5">
        <f t="shared" si="162"/>
        <v>2026</v>
      </c>
      <c r="C4871" s="9">
        <v>46144</v>
      </c>
      <c r="D4871">
        <v>14.5</v>
      </c>
    </row>
    <row r="4872" spans="1:4" x14ac:dyDescent="0.25">
      <c r="A4872" s="5">
        <f t="shared" si="161"/>
        <v>5</v>
      </c>
      <c r="B4872" s="5">
        <f t="shared" si="162"/>
        <v>2026</v>
      </c>
      <c r="C4872" s="9">
        <v>46145</v>
      </c>
      <c r="D4872">
        <v>14.5</v>
      </c>
    </row>
    <row r="4873" spans="1:4" x14ac:dyDescent="0.25">
      <c r="A4873" s="5">
        <f t="shared" si="161"/>
        <v>5</v>
      </c>
      <c r="B4873" s="5">
        <f t="shared" si="162"/>
        <v>2026</v>
      </c>
      <c r="C4873" s="9">
        <v>46146</v>
      </c>
      <c r="D4873">
        <v>14.5</v>
      </c>
    </row>
    <row r="4874" spans="1:4" x14ac:dyDescent="0.25">
      <c r="A4874" s="5">
        <f t="shared" si="161"/>
        <v>5</v>
      </c>
      <c r="B4874" s="5">
        <f t="shared" si="162"/>
        <v>2026</v>
      </c>
      <c r="C4874" s="9">
        <v>46147</v>
      </c>
      <c r="D4874">
        <v>14.5</v>
      </c>
    </row>
    <row r="4875" spans="1:4" x14ac:dyDescent="0.25">
      <c r="A4875" s="5">
        <f t="shared" si="161"/>
        <v>5</v>
      </c>
      <c r="B4875" s="5">
        <f t="shared" si="162"/>
        <v>2026</v>
      </c>
      <c r="C4875" s="9">
        <v>46148</v>
      </c>
      <c r="D4875">
        <v>14.5</v>
      </c>
    </row>
    <row r="4876" spans="1:4" x14ac:dyDescent="0.25">
      <c r="A4876" s="5">
        <f t="shared" si="161"/>
        <v>5</v>
      </c>
      <c r="B4876" s="5">
        <f t="shared" si="162"/>
        <v>2026</v>
      </c>
      <c r="C4876" s="9">
        <v>46149</v>
      </c>
      <c r="D4876">
        <v>14.5</v>
      </c>
    </row>
    <row r="4877" spans="1:4" x14ac:dyDescent="0.25">
      <c r="A4877" s="5">
        <f t="shared" si="161"/>
        <v>5</v>
      </c>
      <c r="B4877" s="5">
        <f t="shared" si="162"/>
        <v>2026</v>
      </c>
      <c r="C4877" s="9">
        <v>46150</v>
      </c>
      <c r="D4877">
        <v>14.5</v>
      </c>
    </row>
    <row r="4878" spans="1:4" x14ac:dyDescent="0.25">
      <c r="A4878" s="5">
        <f t="shared" si="161"/>
        <v>5</v>
      </c>
      <c r="B4878" s="5">
        <f t="shared" si="162"/>
        <v>2026</v>
      </c>
      <c r="C4878" s="9">
        <v>46151</v>
      </c>
      <c r="D4878">
        <v>14.5</v>
      </c>
    </row>
    <row r="4879" spans="1:4" x14ac:dyDescent="0.25">
      <c r="A4879" s="5">
        <f t="shared" si="161"/>
        <v>5</v>
      </c>
      <c r="B4879" s="5">
        <f t="shared" si="162"/>
        <v>2026</v>
      </c>
      <c r="C4879" s="9">
        <v>46152</v>
      </c>
      <c r="D4879">
        <v>14.5</v>
      </c>
    </row>
    <row r="4880" spans="1:4" x14ac:dyDescent="0.25">
      <c r="A4880" s="5">
        <f t="shared" si="161"/>
        <v>5</v>
      </c>
      <c r="B4880" s="5">
        <f t="shared" si="162"/>
        <v>2026</v>
      </c>
      <c r="C4880" s="9">
        <v>46153</v>
      </c>
      <c r="D4880">
        <v>14.5</v>
      </c>
    </row>
    <row r="4881" spans="1:4" x14ac:dyDescent="0.25">
      <c r="A4881" s="5">
        <f t="shared" si="161"/>
        <v>5</v>
      </c>
      <c r="B4881" s="5">
        <f t="shared" si="162"/>
        <v>2026</v>
      </c>
      <c r="C4881" s="9">
        <v>46154</v>
      </c>
      <c r="D4881">
        <v>14.5</v>
      </c>
    </row>
    <row r="4882" spans="1:4" x14ac:dyDescent="0.25">
      <c r="A4882" s="5">
        <f t="shared" si="161"/>
        <v>5</v>
      </c>
      <c r="B4882" s="5">
        <f t="shared" si="162"/>
        <v>2026</v>
      </c>
      <c r="C4882" s="9">
        <v>46155</v>
      </c>
      <c r="D4882">
        <v>14.5</v>
      </c>
    </row>
    <row r="4883" spans="1:4" x14ac:dyDescent="0.25">
      <c r="A4883" s="5">
        <f t="shared" si="161"/>
        <v>5</v>
      </c>
      <c r="B4883" s="5">
        <f t="shared" si="162"/>
        <v>2026</v>
      </c>
      <c r="C4883" s="9">
        <v>46156</v>
      </c>
      <c r="D4883">
        <v>14.5</v>
      </c>
    </row>
    <row r="4884" spans="1:4" x14ac:dyDescent="0.25">
      <c r="A4884" s="5">
        <f t="shared" si="161"/>
        <v>5</v>
      </c>
      <c r="B4884" s="5">
        <f t="shared" si="162"/>
        <v>2026</v>
      </c>
      <c r="C4884" s="9">
        <v>46157</v>
      </c>
      <c r="D4884">
        <v>14.5</v>
      </c>
    </row>
    <row r="4885" spans="1:4" x14ac:dyDescent="0.25">
      <c r="A4885" s="5">
        <f t="shared" si="161"/>
        <v>5</v>
      </c>
      <c r="B4885" s="5">
        <f t="shared" si="162"/>
        <v>2026</v>
      </c>
      <c r="C4885" s="9">
        <v>46158</v>
      </c>
      <c r="D4885">
        <v>14.5</v>
      </c>
    </row>
    <row r="4886" spans="1:4" x14ac:dyDescent="0.25">
      <c r="A4886" s="5">
        <f t="shared" si="161"/>
        <v>5</v>
      </c>
      <c r="B4886" s="5">
        <f t="shared" si="162"/>
        <v>2026</v>
      </c>
      <c r="C4886" s="9">
        <v>46159</v>
      </c>
      <c r="D4886">
        <v>14.5</v>
      </c>
    </row>
    <row r="4887" spans="1:4" x14ac:dyDescent="0.25">
      <c r="A4887" s="5">
        <f t="shared" si="161"/>
        <v>5</v>
      </c>
      <c r="B4887" s="5">
        <f t="shared" si="162"/>
        <v>2026</v>
      </c>
      <c r="C4887" s="9">
        <v>46160</v>
      </c>
      <c r="D4887">
        <v>14.5</v>
      </c>
    </row>
    <row r="4888" spans="1:4" x14ac:dyDescent="0.25">
      <c r="A4888" s="5">
        <f t="shared" si="161"/>
        <v>5</v>
      </c>
      <c r="B4888" s="5">
        <f t="shared" si="162"/>
        <v>2026</v>
      </c>
      <c r="C4888" s="9">
        <v>46161</v>
      </c>
      <c r="D4888">
        <v>14.5</v>
      </c>
    </row>
    <row r="4889" spans="1:4" x14ac:dyDescent="0.25">
      <c r="A4889" s="5">
        <f t="shared" si="161"/>
        <v>5</v>
      </c>
      <c r="B4889" s="5">
        <f t="shared" si="162"/>
        <v>2026</v>
      </c>
      <c r="C4889" s="9">
        <v>46162</v>
      </c>
      <c r="D4889">
        <v>14.5</v>
      </c>
    </row>
    <row r="4890" spans="1:4" x14ac:dyDescent="0.25">
      <c r="A4890" s="5">
        <f t="shared" si="161"/>
        <v>5</v>
      </c>
      <c r="B4890" s="5">
        <f t="shared" si="162"/>
        <v>2026</v>
      </c>
      <c r="C4890" s="9">
        <v>46163</v>
      </c>
      <c r="D4890">
        <v>14.5</v>
      </c>
    </row>
    <row r="4891" spans="1:4" x14ac:dyDescent="0.25">
      <c r="A4891" s="5">
        <f t="shared" si="161"/>
        <v>5</v>
      </c>
      <c r="B4891" s="5">
        <f t="shared" si="162"/>
        <v>2026</v>
      </c>
      <c r="C4891" s="9">
        <v>46164</v>
      </c>
      <c r="D4891">
        <v>14.5</v>
      </c>
    </row>
    <row r="4892" spans="1:4" x14ac:dyDescent="0.25">
      <c r="A4892" s="5">
        <f t="shared" si="161"/>
        <v>5</v>
      </c>
      <c r="B4892" s="5">
        <f t="shared" si="162"/>
        <v>2026</v>
      </c>
      <c r="C4892" s="9">
        <v>46165</v>
      </c>
      <c r="D4892">
        <v>14.5</v>
      </c>
    </row>
    <row r="4893" spans="1:4" x14ac:dyDescent="0.25">
      <c r="A4893" s="5">
        <f t="shared" si="161"/>
        <v>5</v>
      </c>
      <c r="B4893" s="5">
        <f t="shared" si="162"/>
        <v>2026</v>
      </c>
      <c r="C4893" s="9">
        <v>46166</v>
      </c>
      <c r="D4893">
        <v>14.5</v>
      </c>
    </row>
    <row r="4894" spans="1:4" x14ac:dyDescent="0.25">
      <c r="A4894" s="5">
        <f t="shared" si="161"/>
        <v>5</v>
      </c>
      <c r="B4894" s="5">
        <f t="shared" si="162"/>
        <v>2026</v>
      </c>
      <c r="C4894" s="9">
        <v>46167</v>
      </c>
      <c r="D4894">
        <v>14.5</v>
      </c>
    </row>
    <row r="4895" spans="1:4" x14ac:dyDescent="0.25">
      <c r="A4895" s="5">
        <f t="shared" si="161"/>
        <v>5</v>
      </c>
      <c r="B4895" s="5">
        <f t="shared" si="162"/>
        <v>2026</v>
      </c>
      <c r="C4895" s="9">
        <v>46168</v>
      </c>
      <c r="D4895">
        <v>14.5</v>
      </c>
    </row>
    <row r="4896" spans="1:4" x14ac:dyDescent="0.25">
      <c r="A4896" s="5">
        <f t="shared" si="161"/>
        <v>5</v>
      </c>
      <c r="B4896" s="5">
        <f t="shared" si="162"/>
        <v>2026</v>
      </c>
      <c r="C4896" s="9">
        <v>46169</v>
      </c>
      <c r="D4896">
        <v>14.5</v>
      </c>
    </row>
    <row r="4897" spans="1:4" x14ac:dyDescent="0.25">
      <c r="A4897" s="5">
        <f t="shared" si="161"/>
        <v>5</v>
      </c>
      <c r="B4897" s="5">
        <f t="shared" si="162"/>
        <v>2026</v>
      </c>
      <c r="C4897" s="9">
        <v>46170</v>
      </c>
      <c r="D4897">
        <v>14.5</v>
      </c>
    </row>
    <row r="4898" spans="1:4" x14ac:dyDescent="0.25">
      <c r="A4898" s="5">
        <f t="shared" si="161"/>
        <v>5</v>
      </c>
      <c r="B4898" s="5">
        <f t="shared" si="162"/>
        <v>2026</v>
      </c>
      <c r="C4898" s="9">
        <v>46171</v>
      </c>
      <c r="D4898">
        <v>14.5</v>
      </c>
    </row>
    <row r="4899" spans="1:4" x14ac:dyDescent="0.25">
      <c r="A4899" s="5">
        <f t="shared" si="161"/>
        <v>5</v>
      </c>
      <c r="B4899" s="5">
        <f t="shared" si="162"/>
        <v>2026</v>
      </c>
      <c r="C4899" s="9">
        <v>46172</v>
      </c>
      <c r="D4899">
        <v>14.5</v>
      </c>
    </row>
    <row r="4900" spans="1:4" x14ac:dyDescent="0.25">
      <c r="A4900" s="5">
        <f t="shared" si="161"/>
        <v>5</v>
      </c>
      <c r="B4900" s="5">
        <f t="shared" si="162"/>
        <v>2026</v>
      </c>
      <c r="C4900" s="9">
        <v>46173</v>
      </c>
      <c r="D4900">
        <v>14.5</v>
      </c>
    </row>
    <row r="4901" spans="1:4" x14ac:dyDescent="0.25">
      <c r="A4901" s="5">
        <f t="shared" si="161"/>
        <v>6</v>
      </c>
      <c r="B4901" s="5">
        <f t="shared" si="162"/>
        <v>2026</v>
      </c>
      <c r="C4901" s="9">
        <v>46174</v>
      </c>
      <c r="D4901">
        <v>14.5</v>
      </c>
    </row>
    <row r="4902" spans="1:4" x14ac:dyDescent="0.25">
      <c r="A4902" s="5">
        <f t="shared" si="161"/>
        <v>6</v>
      </c>
      <c r="B4902" s="5">
        <f t="shared" si="162"/>
        <v>2026</v>
      </c>
      <c r="C4902" s="9">
        <v>46175</v>
      </c>
      <c r="D4902">
        <v>14.5</v>
      </c>
    </row>
    <row r="4903" spans="1:4" x14ac:dyDescent="0.25">
      <c r="A4903" s="5">
        <f t="shared" si="161"/>
        <v>6</v>
      </c>
      <c r="B4903" s="5">
        <f t="shared" si="162"/>
        <v>2026</v>
      </c>
      <c r="C4903" s="9">
        <v>46176</v>
      </c>
      <c r="D4903">
        <v>14.5</v>
      </c>
    </row>
    <row r="4904" spans="1:4" x14ac:dyDescent="0.25">
      <c r="A4904" s="5">
        <f t="shared" si="161"/>
        <v>6</v>
      </c>
      <c r="B4904" s="5">
        <f t="shared" si="162"/>
        <v>2026</v>
      </c>
      <c r="C4904" s="9">
        <v>46177</v>
      </c>
      <c r="D4904">
        <v>14.5</v>
      </c>
    </row>
    <row r="4905" spans="1:4" x14ac:dyDescent="0.25">
      <c r="A4905" s="5">
        <f t="shared" si="161"/>
        <v>6</v>
      </c>
      <c r="B4905" s="5">
        <f t="shared" si="162"/>
        <v>2026</v>
      </c>
      <c r="C4905" s="9">
        <v>46178</v>
      </c>
      <c r="D4905">
        <v>14.5</v>
      </c>
    </row>
    <row r="4906" spans="1:4" x14ac:dyDescent="0.25">
      <c r="A4906" s="5">
        <f t="shared" si="161"/>
        <v>6</v>
      </c>
      <c r="B4906" s="5">
        <f t="shared" si="162"/>
        <v>2026</v>
      </c>
      <c r="C4906" s="9">
        <v>46179</v>
      </c>
      <c r="D4906">
        <v>14.5</v>
      </c>
    </row>
    <row r="4907" spans="1:4" x14ac:dyDescent="0.25">
      <c r="A4907" s="5">
        <f t="shared" si="161"/>
        <v>6</v>
      </c>
      <c r="B4907" s="5">
        <f t="shared" si="162"/>
        <v>2026</v>
      </c>
      <c r="C4907" s="9">
        <v>46180</v>
      </c>
      <c r="D4907">
        <v>14.5</v>
      </c>
    </row>
    <row r="4908" spans="1:4" x14ac:dyDescent="0.25">
      <c r="A4908" s="5">
        <f t="shared" si="161"/>
        <v>6</v>
      </c>
      <c r="B4908" s="5">
        <f t="shared" si="162"/>
        <v>2026</v>
      </c>
      <c r="C4908" s="9">
        <v>46181</v>
      </c>
      <c r="D4908">
        <v>14.5</v>
      </c>
    </row>
    <row r="4909" spans="1:4" x14ac:dyDescent="0.25">
      <c r="A4909" s="5">
        <f t="shared" si="161"/>
        <v>6</v>
      </c>
      <c r="B4909" s="5">
        <f t="shared" si="162"/>
        <v>2026</v>
      </c>
      <c r="C4909" s="9">
        <v>46182</v>
      </c>
      <c r="D4909">
        <v>14.5</v>
      </c>
    </row>
    <row r="4910" spans="1:4" x14ac:dyDescent="0.25">
      <c r="A4910" s="5">
        <f t="shared" si="161"/>
        <v>6</v>
      </c>
      <c r="B4910" s="5">
        <f t="shared" si="162"/>
        <v>2026</v>
      </c>
      <c r="C4910" s="9">
        <v>46183</v>
      </c>
      <c r="D4910">
        <v>14.5</v>
      </c>
    </row>
    <row r="4911" spans="1:4" x14ac:dyDescent="0.25">
      <c r="A4911" s="5">
        <f t="shared" si="161"/>
        <v>6</v>
      </c>
      <c r="B4911" s="5">
        <f t="shared" si="162"/>
        <v>2026</v>
      </c>
      <c r="C4911" s="9">
        <v>46184</v>
      </c>
      <c r="D4911">
        <v>14.5</v>
      </c>
    </row>
    <row r="4912" spans="1:4" x14ac:dyDescent="0.25">
      <c r="A4912" s="5">
        <f t="shared" si="161"/>
        <v>6</v>
      </c>
      <c r="B4912" s="5">
        <f t="shared" si="162"/>
        <v>2026</v>
      </c>
      <c r="C4912" s="9">
        <v>46185</v>
      </c>
      <c r="D4912">
        <v>14.5</v>
      </c>
    </row>
    <row r="4913" spans="1:4" x14ac:dyDescent="0.25">
      <c r="A4913" s="5">
        <f t="shared" si="161"/>
        <v>6</v>
      </c>
      <c r="B4913" s="5">
        <f t="shared" si="162"/>
        <v>2026</v>
      </c>
      <c r="C4913" s="9">
        <v>46186</v>
      </c>
      <c r="D4913">
        <v>14.5</v>
      </c>
    </row>
    <row r="4914" spans="1:4" x14ac:dyDescent="0.25">
      <c r="A4914" s="5">
        <f t="shared" si="161"/>
        <v>6</v>
      </c>
      <c r="B4914" s="5">
        <f t="shared" si="162"/>
        <v>2026</v>
      </c>
      <c r="C4914" s="9">
        <v>46187</v>
      </c>
      <c r="D4914">
        <v>14.5</v>
      </c>
    </row>
    <row r="4915" spans="1:4" x14ac:dyDescent="0.25">
      <c r="A4915" s="5">
        <f t="shared" si="161"/>
        <v>6</v>
      </c>
      <c r="B4915" s="5">
        <f t="shared" si="162"/>
        <v>2026</v>
      </c>
      <c r="C4915" s="9">
        <v>46188</v>
      </c>
      <c r="D4915">
        <v>14.5</v>
      </c>
    </row>
    <row r="4916" spans="1:4" x14ac:dyDescent="0.25">
      <c r="A4916" s="5">
        <f t="shared" si="161"/>
        <v>6</v>
      </c>
      <c r="B4916" s="5">
        <f t="shared" si="162"/>
        <v>2026</v>
      </c>
      <c r="C4916" s="9">
        <v>46189</v>
      </c>
      <c r="D4916">
        <v>14.5</v>
      </c>
    </row>
    <row r="4917" spans="1:4" x14ac:dyDescent="0.25">
      <c r="A4917" s="5">
        <f t="shared" si="161"/>
        <v>6</v>
      </c>
      <c r="B4917" s="5">
        <f t="shared" si="162"/>
        <v>2026</v>
      </c>
      <c r="C4917" s="9">
        <v>46190</v>
      </c>
      <c r="D4917">
        <v>14.5</v>
      </c>
    </row>
    <row r="4918" spans="1:4" x14ac:dyDescent="0.25">
      <c r="A4918" s="5">
        <f t="shared" si="161"/>
        <v>6</v>
      </c>
      <c r="B4918" s="5">
        <f t="shared" si="162"/>
        <v>2026</v>
      </c>
      <c r="C4918" s="9">
        <v>46191</v>
      </c>
      <c r="D4918">
        <v>14.25</v>
      </c>
    </row>
    <row r="4919" spans="1:4" x14ac:dyDescent="0.25">
      <c r="A4919" s="5">
        <f t="shared" si="161"/>
        <v>6</v>
      </c>
      <c r="B4919" s="5">
        <f t="shared" si="162"/>
        <v>2026</v>
      </c>
      <c r="C4919" s="9">
        <v>46192</v>
      </c>
      <c r="D4919">
        <v>14.25</v>
      </c>
    </row>
    <row r="4920" spans="1:4" x14ac:dyDescent="0.25">
      <c r="A4920" s="5">
        <f t="shared" si="161"/>
        <v>6</v>
      </c>
      <c r="B4920" s="5">
        <f t="shared" si="162"/>
        <v>2026</v>
      </c>
      <c r="C4920" s="9">
        <v>46193</v>
      </c>
      <c r="D4920">
        <v>14.25</v>
      </c>
    </row>
    <row r="4921" spans="1:4" x14ac:dyDescent="0.25">
      <c r="A4921" s="5">
        <f t="shared" si="161"/>
        <v>6</v>
      </c>
      <c r="B4921" s="5">
        <f t="shared" si="162"/>
        <v>2026</v>
      </c>
      <c r="C4921" s="9">
        <v>46194</v>
      </c>
      <c r="D4921">
        <v>14.25</v>
      </c>
    </row>
    <row r="4922" spans="1:4" x14ac:dyDescent="0.25">
      <c r="A4922" s="5">
        <f t="shared" si="161"/>
        <v>6</v>
      </c>
      <c r="B4922" s="5">
        <f t="shared" si="162"/>
        <v>2026</v>
      </c>
      <c r="C4922" s="9">
        <v>46195</v>
      </c>
      <c r="D4922">
        <v>14.25</v>
      </c>
    </row>
    <row r="4923" spans="1:4" x14ac:dyDescent="0.25">
      <c r="A4923" s="5">
        <f t="shared" si="161"/>
        <v>6</v>
      </c>
      <c r="B4923" s="5">
        <f t="shared" si="162"/>
        <v>2026</v>
      </c>
      <c r="C4923" s="9">
        <v>46196</v>
      </c>
      <c r="D4923">
        <v>14.25</v>
      </c>
    </row>
    <row r="4924" spans="1:4" x14ac:dyDescent="0.25">
      <c r="A4924" s="5">
        <f t="shared" si="161"/>
        <v>6</v>
      </c>
      <c r="B4924" s="5">
        <f t="shared" si="162"/>
        <v>2026</v>
      </c>
      <c r="C4924" s="9">
        <v>46197</v>
      </c>
      <c r="D4924">
        <v>14.25</v>
      </c>
    </row>
    <row r="4925" spans="1:4" x14ac:dyDescent="0.25">
      <c r="A4925" s="5">
        <f t="shared" si="161"/>
        <v>6</v>
      </c>
      <c r="B4925" s="5">
        <f t="shared" si="162"/>
        <v>2026</v>
      </c>
      <c r="C4925" s="9">
        <v>46198</v>
      </c>
      <c r="D4925">
        <v>14.25</v>
      </c>
    </row>
    <row r="4926" spans="1:4" x14ac:dyDescent="0.25">
      <c r="A4926" s="5">
        <f t="shared" si="161"/>
        <v>6</v>
      </c>
      <c r="B4926" s="5">
        <f t="shared" si="162"/>
        <v>2026</v>
      </c>
      <c r="C4926" s="9">
        <v>46199</v>
      </c>
      <c r="D4926">
        <v>14.25</v>
      </c>
    </row>
    <row r="4927" spans="1:4" x14ac:dyDescent="0.25">
      <c r="A4927" s="5">
        <f t="shared" si="161"/>
        <v>6</v>
      </c>
      <c r="B4927" s="5">
        <f t="shared" si="162"/>
        <v>2026</v>
      </c>
      <c r="C4927" s="9">
        <v>46200</v>
      </c>
      <c r="D4927">
        <v>14.25</v>
      </c>
    </row>
    <row r="4928" spans="1:4" x14ac:dyDescent="0.25">
      <c r="A4928" s="5">
        <f t="shared" si="161"/>
        <v>6</v>
      </c>
      <c r="B4928" s="5">
        <f t="shared" si="162"/>
        <v>2026</v>
      </c>
      <c r="C4928" s="9">
        <v>46201</v>
      </c>
      <c r="D4928">
        <v>14.25</v>
      </c>
    </row>
    <row r="4929" spans="1:4" x14ac:dyDescent="0.25">
      <c r="A4929" s="5">
        <f t="shared" si="161"/>
        <v>6</v>
      </c>
      <c r="B4929" s="5">
        <f t="shared" si="162"/>
        <v>2026</v>
      </c>
      <c r="C4929" s="9">
        <v>46202</v>
      </c>
      <c r="D4929">
        <v>14.25</v>
      </c>
    </row>
    <row r="4930" spans="1:4" x14ac:dyDescent="0.25">
      <c r="A4930" s="5">
        <f t="shared" si="161"/>
        <v>6</v>
      </c>
      <c r="B4930" s="5">
        <f t="shared" si="162"/>
        <v>2026</v>
      </c>
      <c r="C4930" s="9">
        <v>46203</v>
      </c>
      <c r="D4930">
        <v>14.25</v>
      </c>
    </row>
    <row r="4931" spans="1:4" x14ac:dyDescent="0.25">
      <c r="A4931" s="5">
        <f t="shared" ref="A4931:A4994" si="163">MONTH(C4931)</f>
        <v>7</v>
      </c>
      <c r="B4931" s="5">
        <f t="shared" ref="B4931:B4994" si="164">YEAR(C4931)</f>
        <v>2026</v>
      </c>
      <c r="C4931" s="9">
        <v>46204</v>
      </c>
      <c r="D4931">
        <v>14.25</v>
      </c>
    </row>
    <row r="4932" spans="1:4" x14ac:dyDescent="0.25">
      <c r="A4932" s="5">
        <f t="shared" si="163"/>
        <v>7</v>
      </c>
      <c r="B4932" s="5">
        <f t="shared" si="164"/>
        <v>2026</v>
      </c>
      <c r="C4932" s="9">
        <v>46205</v>
      </c>
      <c r="D4932">
        <v>14.25</v>
      </c>
    </row>
    <row r="4933" spans="1:4" x14ac:dyDescent="0.25">
      <c r="A4933" s="5">
        <f t="shared" si="163"/>
        <v>7</v>
      </c>
      <c r="B4933" s="5">
        <f t="shared" si="164"/>
        <v>2026</v>
      </c>
      <c r="C4933" s="9">
        <v>46206</v>
      </c>
      <c r="D4933">
        <v>14.25</v>
      </c>
    </row>
    <row r="4934" spans="1:4" x14ac:dyDescent="0.25">
      <c r="A4934" s="5">
        <f t="shared" si="163"/>
        <v>7</v>
      </c>
      <c r="B4934" s="5">
        <f t="shared" si="164"/>
        <v>2026</v>
      </c>
      <c r="C4934" s="9">
        <v>46207</v>
      </c>
      <c r="D4934">
        <v>14.25</v>
      </c>
    </row>
    <row r="4935" spans="1:4" x14ac:dyDescent="0.25">
      <c r="A4935" s="5">
        <f t="shared" si="163"/>
        <v>7</v>
      </c>
      <c r="B4935" s="5">
        <f t="shared" si="164"/>
        <v>2026</v>
      </c>
      <c r="C4935" s="9">
        <v>46208</v>
      </c>
      <c r="D4935">
        <v>14.25</v>
      </c>
    </row>
    <row r="4936" spans="1:4" x14ac:dyDescent="0.25">
      <c r="A4936" s="5">
        <f t="shared" si="163"/>
        <v>7</v>
      </c>
      <c r="B4936" s="5">
        <f t="shared" si="164"/>
        <v>2026</v>
      </c>
      <c r="C4936" s="9">
        <v>46209</v>
      </c>
      <c r="D4936">
        <v>14.25</v>
      </c>
    </row>
    <row r="4937" spans="1:4" x14ac:dyDescent="0.25">
      <c r="A4937" s="5">
        <f t="shared" si="163"/>
        <v>7</v>
      </c>
      <c r="B4937" s="5">
        <f t="shared" si="164"/>
        <v>2026</v>
      </c>
      <c r="C4937" s="9">
        <v>46210</v>
      </c>
      <c r="D4937">
        <v>14.25</v>
      </c>
    </row>
    <row r="4938" spans="1:4" x14ac:dyDescent="0.25">
      <c r="A4938" s="5">
        <f t="shared" si="163"/>
        <v>7</v>
      </c>
      <c r="B4938" s="5">
        <f t="shared" si="164"/>
        <v>2026</v>
      </c>
      <c r="C4938" s="9">
        <v>46211</v>
      </c>
      <c r="D4938">
        <v>14.25</v>
      </c>
    </row>
    <row r="4939" spans="1:4" x14ac:dyDescent="0.25">
      <c r="A4939" s="5">
        <f t="shared" si="163"/>
        <v>7</v>
      </c>
      <c r="B4939" s="5">
        <f t="shared" si="164"/>
        <v>2026</v>
      </c>
      <c r="C4939" s="9">
        <v>46212</v>
      </c>
      <c r="D4939">
        <v>14.25</v>
      </c>
    </row>
    <row r="4940" spans="1:4" x14ac:dyDescent="0.25">
      <c r="A4940" s="5">
        <f t="shared" si="163"/>
        <v>7</v>
      </c>
      <c r="B4940" s="5">
        <f t="shared" si="164"/>
        <v>2026</v>
      </c>
      <c r="C4940" s="9">
        <v>46213</v>
      </c>
      <c r="D4940">
        <v>14.25</v>
      </c>
    </row>
    <row r="4941" spans="1:4" x14ac:dyDescent="0.25">
      <c r="A4941" s="5">
        <f t="shared" si="163"/>
        <v>7</v>
      </c>
      <c r="B4941" s="5">
        <f t="shared" si="164"/>
        <v>2026</v>
      </c>
      <c r="C4941" s="9">
        <v>46214</v>
      </c>
      <c r="D4941">
        <v>14.25</v>
      </c>
    </row>
    <row r="4942" spans="1:4" x14ac:dyDescent="0.25">
      <c r="A4942" s="5">
        <f t="shared" si="163"/>
        <v>7</v>
      </c>
      <c r="B4942" s="5">
        <f t="shared" si="164"/>
        <v>2026</v>
      </c>
      <c r="C4942" s="9">
        <v>46215</v>
      </c>
      <c r="D4942">
        <v>14.25</v>
      </c>
    </row>
    <row r="4943" spans="1:4" x14ac:dyDescent="0.25">
      <c r="A4943" s="5">
        <f t="shared" si="163"/>
        <v>7</v>
      </c>
      <c r="B4943" s="5">
        <f t="shared" si="164"/>
        <v>2026</v>
      </c>
      <c r="C4943" s="9">
        <v>46216</v>
      </c>
      <c r="D4943">
        <v>14.25</v>
      </c>
    </row>
    <row r="4944" spans="1:4" x14ac:dyDescent="0.25">
      <c r="A4944" s="5">
        <f t="shared" si="163"/>
        <v>7</v>
      </c>
      <c r="B4944" s="5">
        <f t="shared" si="164"/>
        <v>2026</v>
      </c>
      <c r="C4944" s="9">
        <v>46217</v>
      </c>
      <c r="D4944">
        <v>14.25</v>
      </c>
    </row>
    <row r="4945" spans="1:4" x14ac:dyDescent="0.25">
      <c r="A4945" s="5">
        <f t="shared" si="163"/>
        <v>7</v>
      </c>
      <c r="B4945" s="5">
        <f t="shared" si="164"/>
        <v>2026</v>
      </c>
      <c r="C4945" s="9">
        <v>46218</v>
      </c>
      <c r="D4945">
        <v>14.25</v>
      </c>
    </row>
    <row r="4946" spans="1:4" x14ac:dyDescent="0.25">
      <c r="A4946" s="5">
        <f t="shared" si="163"/>
        <v>7</v>
      </c>
      <c r="B4946" s="5">
        <f t="shared" si="164"/>
        <v>2026</v>
      </c>
      <c r="C4946" s="9">
        <v>46219</v>
      </c>
      <c r="D4946">
        <v>14.25</v>
      </c>
    </row>
    <row r="4947" spans="1:4" x14ac:dyDescent="0.25">
      <c r="A4947" s="5">
        <f t="shared" si="163"/>
        <v>7</v>
      </c>
      <c r="B4947" s="5">
        <f t="shared" si="164"/>
        <v>2026</v>
      </c>
      <c r="C4947" s="9">
        <v>46220</v>
      </c>
      <c r="D4947">
        <v>14.25</v>
      </c>
    </row>
    <row r="4948" spans="1:4" x14ac:dyDescent="0.25">
      <c r="A4948" s="5">
        <f t="shared" si="163"/>
        <v>7</v>
      </c>
      <c r="B4948" s="5">
        <f t="shared" si="164"/>
        <v>2026</v>
      </c>
      <c r="C4948" s="9">
        <v>46221</v>
      </c>
      <c r="D4948">
        <v>14.25</v>
      </c>
    </row>
    <row r="4949" spans="1:4" x14ac:dyDescent="0.25">
      <c r="A4949" s="5">
        <f t="shared" si="163"/>
        <v>7</v>
      </c>
      <c r="B4949" s="5">
        <f t="shared" si="164"/>
        <v>2026</v>
      </c>
      <c r="C4949" s="9">
        <v>46222</v>
      </c>
      <c r="D4949">
        <v>14.25</v>
      </c>
    </row>
    <row r="4950" spans="1:4" x14ac:dyDescent="0.25">
      <c r="A4950" s="5">
        <f t="shared" si="163"/>
        <v>7</v>
      </c>
      <c r="B4950" s="5">
        <f t="shared" si="164"/>
        <v>2026</v>
      </c>
      <c r="C4950" s="9">
        <v>46223</v>
      </c>
      <c r="D4950">
        <v>14.25</v>
      </c>
    </row>
    <row r="4951" spans="1:4" x14ac:dyDescent="0.25">
      <c r="A4951" s="5">
        <f t="shared" si="163"/>
        <v>7</v>
      </c>
      <c r="B4951" s="5">
        <f t="shared" si="164"/>
        <v>2026</v>
      </c>
      <c r="C4951" s="9">
        <v>46224</v>
      </c>
      <c r="D4951">
        <v>14.25</v>
      </c>
    </row>
    <row r="4952" spans="1:4" x14ac:dyDescent="0.25">
      <c r="A4952" s="5">
        <f t="shared" si="163"/>
        <v>7</v>
      </c>
      <c r="B4952" s="5">
        <f t="shared" si="164"/>
        <v>2026</v>
      </c>
      <c r="C4952" s="9">
        <v>46225</v>
      </c>
      <c r="D4952">
        <v>14.25</v>
      </c>
    </row>
    <row r="4953" spans="1:4" x14ac:dyDescent="0.25">
      <c r="A4953" s="5">
        <f t="shared" si="163"/>
        <v>7</v>
      </c>
      <c r="B4953" s="5">
        <f t="shared" si="164"/>
        <v>2026</v>
      </c>
      <c r="C4953" s="9">
        <v>46226</v>
      </c>
      <c r="D4953">
        <v>14.25</v>
      </c>
    </row>
    <row r="4954" spans="1:4" x14ac:dyDescent="0.25">
      <c r="A4954" s="5">
        <f t="shared" si="163"/>
        <v>7</v>
      </c>
      <c r="B4954" s="5">
        <f t="shared" si="164"/>
        <v>2026</v>
      </c>
      <c r="C4954" s="9">
        <v>46227</v>
      </c>
      <c r="D4954">
        <v>14.25</v>
      </c>
    </row>
    <row r="4955" spans="1:4" x14ac:dyDescent="0.25">
      <c r="A4955" s="5">
        <f t="shared" si="163"/>
        <v>7</v>
      </c>
      <c r="B4955" s="5">
        <f t="shared" si="164"/>
        <v>2026</v>
      </c>
      <c r="C4955" s="9">
        <v>46228</v>
      </c>
      <c r="D4955">
        <v>14.25</v>
      </c>
    </row>
    <row r="4956" spans="1:4" x14ac:dyDescent="0.25">
      <c r="A4956" s="5">
        <f t="shared" si="163"/>
        <v>7</v>
      </c>
      <c r="B4956" s="5">
        <f t="shared" si="164"/>
        <v>2026</v>
      </c>
      <c r="C4956" s="9">
        <v>46229</v>
      </c>
      <c r="D4956">
        <v>14.25</v>
      </c>
    </row>
    <row r="4957" spans="1:4" x14ac:dyDescent="0.25">
      <c r="A4957" s="5">
        <f t="shared" si="163"/>
        <v>7</v>
      </c>
      <c r="B4957" s="5">
        <f t="shared" si="164"/>
        <v>2026</v>
      </c>
      <c r="C4957" s="9">
        <v>46230</v>
      </c>
      <c r="D4957">
        <v>14.25</v>
      </c>
    </row>
    <row r="4958" spans="1:4" x14ac:dyDescent="0.25">
      <c r="A4958" s="5">
        <f t="shared" si="163"/>
        <v>7</v>
      </c>
      <c r="B4958" s="5">
        <f t="shared" si="164"/>
        <v>2026</v>
      </c>
      <c r="C4958" s="9">
        <v>46231</v>
      </c>
      <c r="D4958">
        <v>14.25</v>
      </c>
    </row>
    <row r="4959" spans="1:4" x14ac:dyDescent="0.25">
      <c r="A4959" s="5">
        <f t="shared" si="163"/>
        <v>7</v>
      </c>
      <c r="B4959" s="5">
        <f t="shared" si="164"/>
        <v>2026</v>
      </c>
      <c r="C4959" s="9">
        <v>46232</v>
      </c>
      <c r="D4959">
        <v>14.25</v>
      </c>
    </row>
    <row r="4960" spans="1:4" x14ac:dyDescent="0.25">
      <c r="A4960" s="5">
        <f t="shared" si="163"/>
        <v>7</v>
      </c>
      <c r="B4960" s="5">
        <f t="shared" si="164"/>
        <v>2026</v>
      </c>
      <c r="C4960" s="9">
        <v>46233</v>
      </c>
      <c r="D4960">
        <v>14.25</v>
      </c>
    </row>
    <row r="4961" spans="1:4" x14ac:dyDescent="0.25">
      <c r="A4961" s="5">
        <f t="shared" si="163"/>
        <v>7</v>
      </c>
      <c r="B4961" s="5">
        <f t="shared" si="164"/>
        <v>2026</v>
      </c>
      <c r="C4961" s="9">
        <v>46234</v>
      </c>
      <c r="D4961">
        <v>14.25</v>
      </c>
    </row>
    <row r="4962" spans="1:4" x14ac:dyDescent="0.25">
      <c r="A4962" s="5">
        <f t="shared" si="163"/>
        <v>8</v>
      </c>
      <c r="B4962" s="5">
        <f t="shared" si="164"/>
        <v>2026</v>
      </c>
      <c r="C4962" s="9">
        <v>46235</v>
      </c>
      <c r="D4962">
        <v>14.25</v>
      </c>
    </row>
    <row r="4963" spans="1:4" x14ac:dyDescent="0.25">
      <c r="A4963" s="5">
        <f t="shared" si="163"/>
        <v>8</v>
      </c>
      <c r="B4963" s="5">
        <f t="shared" si="164"/>
        <v>2026</v>
      </c>
      <c r="C4963" s="9">
        <v>46236</v>
      </c>
      <c r="D4963">
        <v>14.25</v>
      </c>
    </row>
    <row r="4964" spans="1:4" x14ac:dyDescent="0.25">
      <c r="A4964" s="5">
        <f t="shared" si="163"/>
        <v>8</v>
      </c>
      <c r="B4964" s="5">
        <f t="shared" si="164"/>
        <v>2026</v>
      </c>
      <c r="C4964" s="9">
        <v>46237</v>
      </c>
      <c r="D4964">
        <v>14.25</v>
      </c>
    </row>
    <row r="4965" spans="1:4" x14ac:dyDescent="0.25">
      <c r="A4965" s="5">
        <f t="shared" si="163"/>
        <v>8</v>
      </c>
      <c r="B4965" s="5">
        <f t="shared" si="164"/>
        <v>2026</v>
      </c>
      <c r="C4965" s="9">
        <v>46238</v>
      </c>
      <c r="D4965">
        <v>14.25</v>
      </c>
    </row>
    <row r="4966" spans="1:4" x14ac:dyDescent="0.25">
      <c r="A4966" s="5">
        <f t="shared" si="163"/>
        <v>8</v>
      </c>
      <c r="B4966" s="5">
        <f t="shared" si="164"/>
        <v>2026</v>
      </c>
      <c r="C4966" s="9">
        <v>46239</v>
      </c>
      <c r="D4966">
        <v>14.25</v>
      </c>
    </row>
    <row r="4967" spans="1:4" x14ac:dyDescent="0.25">
      <c r="A4967" s="5">
        <f t="shared" si="163"/>
        <v>8</v>
      </c>
      <c r="B4967" s="5">
        <f t="shared" si="164"/>
        <v>2026</v>
      </c>
      <c r="C4967" s="9">
        <v>46240</v>
      </c>
      <c r="D4967">
        <v>14</v>
      </c>
    </row>
    <row r="4968" spans="1:4" x14ac:dyDescent="0.25">
      <c r="A4968" s="5">
        <f t="shared" si="163"/>
        <v>8</v>
      </c>
      <c r="B4968" s="5">
        <f t="shared" si="164"/>
        <v>2026</v>
      </c>
      <c r="C4968" s="9">
        <v>46241</v>
      </c>
      <c r="D4968">
        <v>14</v>
      </c>
    </row>
    <row r="4969" spans="1:4" x14ac:dyDescent="0.25">
      <c r="A4969" s="5">
        <f t="shared" si="163"/>
        <v>8</v>
      </c>
      <c r="B4969" s="5">
        <f t="shared" si="164"/>
        <v>2026</v>
      </c>
      <c r="C4969" s="9">
        <v>46242</v>
      </c>
      <c r="D4969">
        <v>14</v>
      </c>
    </row>
    <row r="4970" spans="1:4" x14ac:dyDescent="0.25">
      <c r="A4970" s="5">
        <f t="shared" si="163"/>
        <v>8</v>
      </c>
      <c r="B4970" s="5">
        <f t="shared" si="164"/>
        <v>2026</v>
      </c>
      <c r="C4970" s="9">
        <v>46243</v>
      </c>
      <c r="D4970">
        <v>14</v>
      </c>
    </row>
    <row r="4971" spans="1:4" x14ac:dyDescent="0.25">
      <c r="A4971" s="5">
        <f t="shared" si="163"/>
        <v>8</v>
      </c>
      <c r="B4971" s="5">
        <f t="shared" si="164"/>
        <v>2026</v>
      </c>
      <c r="C4971" s="9">
        <v>46244</v>
      </c>
      <c r="D4971">
        <v>14</v>
      </c>
    </row>
    <row r="4972" spans="1:4" x14ac:dyDescent="0.25">
      <c r="A4972" s="5">
        <f t="shared" si="163"/>
        <v>8</v>
      </c>
      <c r="B4972" s="5">
        <f t="shared" si="164"/>
        <v>2026</v>
      </c>
      <c r="C4972" s="9">
        <v>46245</v>
      </c>
      <c r="D4972">
        <v>14</v>
      </c>
    </row>
    <row r="4973" spans="1:4" x14ac:dyDescent="0.25">
      <c r="A4973" s="5">
        <f t="shared" si="163"/>
        <v>8</v>
      </c>
      <c r="B4973" s="5">
        <f t="shared" si="164"/>
        <v>2026</v>
      </c>
      <c r="C4973" s="9">
        <v>46246</v>
      </c>
      <c r="D4973">
        <v>14</v>
      </c>
    </row>
    <row r="4974" spans="1:4" x14ac:dyDescent="0.25">
      <c r="A4974" s="5">
        <f t="shared" si="163"/>
        <v>8</v>
      </c>
      <c r="B4974" s="5">
        <f t="shared" si="164"/>
        <v>2026</v>
      </c>
      <c r="C4974" s="9">
        <v>46247</v>
      </c>
      <c r="D4974">
        <v>14</v>
      </c>
    </row>
    <row r="4975" spans="1:4" x14ac:dyDescent="0.25">
      <c r="A4975" s="5">
        <f t="shared" si="163"/>
        <v>8</v>
      </c>
      <c r="B4975" s="5">
        <f t="shared" si="164"/>
        <v>2026</v>
      </c>
      <c r="C4975" s="9">
        <v>46248</v>
      </c>
      <c r="D4975">
        <v>14</v>
      </c>
    </row>
    <row r="4976" spans="1:4" x14ac:dyDescent="0.25">
      <c r="A4976" s="5">
        <f t="shared" si="163"/>
        <v>8</v>
      </c>
      <c r="B4976" s="5">
        <f t="shared" si="164"/>
        <v>2026</v>
      </c>
      <c r="C4976" s="9">
        <v>46249</v>
      </c>
      <c r="D4976">
        <v>14</v>
      </c>
    </row>
    <row r="4977" spans="1:4" x14ac:dyDescent="0.25">
      <c r="A4977" s="5">
        <f t="shared" si="163"/>
        <v>8</v>
      </c>
      <c r="B4977" s="5">
        <f t="shared" si="164"/>
        <v>2026</v>
      </c>
      <c r="C4977" s="9">
        <v>46250</v>
      </c>
      <c r="D4977">
        <v>14</v>
      </c>
    </row>
    <row r="4978" spans="1:4" x14ac:dyDescent="0.25">
      <c r="A4978" s="5">
        <f t="shared" si="163"/>
        <v>8</v>
      </c>
      <c r="B4978" s="5">
        <f t="shared" si="164"/>
        <v>2026</v>
      </c>
      <c r="C4978" s="9">
        <v>46251</v>
      </c>
      <c r="D4978">
        <v>14</v>
      </c>
    </row>
    <row r="4979" spans="1:4" x14ac:dyDescent="0.25">
      <c r="A4979" s="5">
        <f t="shared" si="163"/>
        <v>8</v>
      </c>
      <c r="B4979" s="5">
        <f t="shared" si="164"/>
        <v>2026</v>
      </c>
      <c r="C4979" s="9">
        <v>46252</v>
      </c>
      <c r="D4979">
        <v>14</v>
      </c>
    </row>
    <row r="4980" spans="1:4" x14ac:dyDescent="0.25">
      <c r="A4980" s="5">
        <f t="shared" si="163"/>
        <v>8</v>
      </c>
      <c r="B4980" s="5">
        <f t="shared" si="164"/>
        <v>2026</v>
      </c>
      <c r="C4980" s="9">
        <v>46253</v>
      </c>
      <c r="D4980">
        <v>14</v>
      </c>
    </row>
    <row r="4981" spans="1:4" x14ac:dyDescent="0.25">
      <c r="A4981" s="5">
        <f t="shared" si="163"/>
        <v>8</v>
      </c>
      <c r="B4981" s="5">
        <f t="shared" si="164"/>
        <v>2026</v>
      </c>
      <c r="C4981" s="9">
        <v>46254</v>
      </c>
      <c r="D4981">
        <v>14</v>
      </c>
    </row>
    <row r="4982" spans="1:4" x14ac:dyDescent="0.25">
      <c r="A4982" s="5">
        <f t="shared" si="163"/>
        <v>8</v>
      </c>
      <c r="B4982" s="5">
        <f t="shared" si="164"/>
        <v>2026</v>
      </c>
      <c r="C4982" s="9">
        <v>46255</v>
      </c>
      <c r="D4982">
        <v>14</v>
      </c>
    </row>
    <row r="4983" spans="1:4" x14ac:dyDescent="0.25">
      <c r="A4983" s="5">
        <f t="shared" si="163"/>
        <v>8</v>
      </c>
      <c r="B4983" s="5">
        <f t="shared" si="164"/>
        <v>2026</v>
      </c>
      <c r="C4983" s="9">
        <v>46256</v>
      </c>
      <c r="D4983">
        <v>14</v>
      </c>
    </row>
    <row r="4984" spans="1:4" x14ac:dyDescent="0.25">
      <c r="A4984" s="5">
        <f t="shared" si="163"/>
        <v>8</v>
      </c>
      <c r="B4984" s="5">
        <f t="shared" si="164"/>
        <v>2026</v>
      </c>
      <c r="C4984" s="9">
        <v>46257</v>
      </c>
      <c r="D4984">
        <v>14</v>
      </c>
    </row>
    <row r="4985" spans="1:4" x14ac:dyDescent="0.25">
      <c r="A4985" s="5">
        <f t="shared" si="163"/>
        <v>8</v>
      </c>
      <c r="B4985" s="5">
        <f t="shared" si="164"/>
        <v>2026</v>
      </c>
      <c r="C4985" s="9">
        <v>46258</v>
      </c>
      <c r="D4985">
        <v>14</v>
      </c>
    </row>
    <row r="4986" spans="1:4" x14ac:dyDescent="0.25">
      <c r="A4986" s="5">
        <f t="shared" si="163"/>
        <v>8</v>
      </c>
      <c r="B4986" s="5">
        <f t="shared" si="164"/>
        <v>2026</v>
      </c>
      <c r="C4986" s="9">
        <v>46259</v>
      </c>
      <c r="D4986">
        <v>14</v>
      </c>
    </row>
    <row r="4987" spans="1:4" x14ac:dyDescent="0.25">
      <c r="A4987" s="5">
        <f t="shared" si="163"/>
        <v>8</v>
      </c>
      <c r="B4987" s="5">
        <f t="shared" si="164"/>
        <v>2026</v>
      </c>
      <c r="C4987" s="9">
        <v>46260</v>
      </c>
      <c r="D4987">
        <v>14</v>
      </c>
    </row>
    <row r="4988" spans="1:4" x14ac:dyDescent="0.25">
      <c r="A4988" s="5">
        <f t="shared" si="163"/>
        <v>8</v>
      </c>
      <c r="B4988" s="5">
        <f t="shared" si="164"/>
        <v>2026</v>
      </c>
      <c r="C4988" s="9">
        <v>46261</v>
      </c>
      <c r="D4988">
        <v>14</v>
      </c>
    </row>
    <row r="4989" spans="1:4" x14ac:dyDescent="0.25">
      <c r="A4989" s="5">
        <f t="shared" si="163"/>
        <v>8</v>
      </c>
      <c r="B4989" s="5">
        <f t="shared" si="164"/>
        <v>2026</v>
      </c>
      <c r="C4989" s="9">
        <v>46262</v>
      </c>
      <c r="D4989">
        <v>14</v>
      </c>
    </row>
    <row r="4990" spans="1:4" x14ac:dyDescent="0.25">
      <c r="A4990" s="5">
        <f t="shared" si="163"/>
        <v>8</v>
      </c>
      <c r="B4990" s="5">
        <f t="shared" si="164"/>
        <v>2026</v>
      </c>
      <c r="C4990" s="9">
        <v>46263</v>
      </c>
      <c r="D4990">
        <v>14</v>
      </c>
    </row>
    <row r="4991" spans="1:4" x14ac:dyDescent="0.25">
      <c r="A4991" s="5">
        <f t="shared" si="163"/>
        <v>8</v>
      </c>
      <c r="B4991" s="5">
        <f t="shared" si="164"/>
        <v>2026</v>
      </c>
      <c r="C4991" s="9">
        <v>46264</v>
      </c>
      <c r="D4991">
        <v>14</v>
      </c>
    </row>
    <row r="4992" spans="1:4" x14ac:dyDescent="0.25">
      <c r="A4992" s="5">
        <f t="shared" si="163"/>
        <v>8</v>
      </c>
      <c r="B4992" s="5">
        <f t="shared" si="164"/>
        <v>2026</v>
      </c>
      <c r="C4992" s="9">
        <v>46265</v>
      </c>
      <c r="D4992">
        <v>14</v>
      </c>
    </row>
    <row r="4993" spans="1:4" x14ac:dyDescent="0.25">
      <c r="A4993" s="5">
        <f t="shared" si="163"/>
        <v>9</v>
      </c>
      <c r="B4993" s="5">
        <f t="shared" si="164"/>
        <v>2026</v>
      </c>
      <c r="C4993" s="9">
        <v>46266</v>
      </c>
      <c r="D4993">
        <v>14</v>
      </c>
    </row>
    <row r="4994" spans="1:4" x14ac:dyDescent="0.25">
      <c r="A4994" s="5">
        <f t="shared" si="163"/>
        <v>9</v>
      </c>
      <c r="B4994" s="5">
        <f t="shared" si="164"/>
        <v>2026</v>
      </c>
      <c r="C4994" s="9">
        <v>46267</v>
      </c>
      <c r="D4994">
        <v>14</v>
      </c>
    </row>
    <row r="4995" spans="1:4" x14ac:dyDescent="0.25">
      <c r="A4995" s="5">
        <f t="shared" ref="A4995:A5005" si="165">MONTH(C4995)</f>
        <v>9</v>
      </c>
      <c r="B4995" s="5">
        <f t="shared" ref="B4995:B5005" si="166">YEAR(C4995)</f>
        <v>2026</v>
      </c>
      <c r="C4995" s="9">
        <v>46268</v>
      </c>
      <c r="D4995">
        <v>14</v>
      </c>
    </row>
    <row r="4996" spans="1:4" x14ac:dyDescent="0.25">
      <c r="A4996" s="5">
        <f t="shared" si="165"/>
        <v>9</v>
      </c>
      <c r="B4996" s="5">
        <f t="shared" si="166"/>
        <v>2026</v>
      </c>
      <c r="C4996" s="9">
        <v>46269</v>
      </c>
      <c r="D4996">
        <v>14</v>
      </c>
    </row>
    <row r="4997" spans="1:4" x14ac:dyDescent="0.25">
      <c r="A4997" s="5">
        <f t="shared" si="165"/>
        <v>9</v>
      </c>
      <c r="B4997" s="5">
        <f t="shared" si="166"/>
        <v>2026</v>
      </c>
      <c r="C4997" s="9">
        <v>46270</v>
      </c>
      <c r="D4997">
        <v>14</v>
      </c>
    </row>
    <row r="4998" spans="1:4" x14ac:dyDescent="0.25">
      <c r="A4998" s="5">
        <f t="shared" si="165"/>
        <v>9</v>
      </c>
      <c r="B4998" s="5">
        <f t="shared" si="166"/>
        <v>2026</v>
      </c>
      <c r="C4998" s="9">
        <v>46271</v>
      </c>
      <c r="D4998">
        <v>14</v>
      </c>
    </row>
    <row r="4999" spans="1:4" x14ac:dyDescent="0.25">
      <c r="A4999" s="5">
        <f t="shared" si="165"/>
        <v>9</v>
      </c>
      <c r="B4999" s="5">
        <f t="shared" si="166"/>
        <v>2026</v>
      </c>
      <c r="C4999" s="9">
        <v>46272</v>
      </c>
      <c r="D4999">
        <v>14</v>
      </c>
    </row>
    <row r="5000" spans="1:4" x14ac:dyDescent="0.25">
      <c r="A5000" s="5">
        <f t="shared" si="165"/>
        <v>9</v>
      </c>
      <c r="B5000" s="5">
        <f t="shared" si="166"/>
        <v>2026</v>
      </c>
      <c r="C5000" s="9">
        <v>46273</v>
      </c>
      <c r="D5000">
        <v>14</v>
      </c>
    </row>
    <row r="5001" spans="1:4" x14ac:dyDescent="0.25">
      <c r="A5001" s="5">
        <f t="shared" si="165"/>
        <v>9</v>
      </c>
      <c r="B5001" s="5">
        <f t="shared" si="166"/>
        <v>2026</v>
      </c>
      <c r="C5001" s="9">
        <v>46274</v>
      </c>
      <c r="D5001">
        <v>14</v>
      </c>
    </row>
    <row r="5002" spans="1:4" x14ac:dyDescent="0.25">
      <c r="A5002" s="5">
        <f t="shared" si="165"/>
        <v>9</v>
      </c>
      <c r="B5002" s="5">
        <f t="shared" si="166"/>
        <v>2026</v>
      </c>
      <c r="C5002" s="9">
        <v>46275</v>
      </c>
      <c r="D5002">
        <v>14</v>
      </c>
    </row>
    <row r="5003" spans="1:4" x14ac:dyDescent="0.25">
      <c r="A5003" s="5">
        <f t="shared" si="165"/>
        <v>9</v>
      </c>
      <c r="B5003" s="5">
        <f t="shared" si="166"/>
        <v>2026</v>
      </c>
      <c r="C5003" s="9">
        <v>46276</v>
      </c>
      <c r="D5003">
        <v>14</v>
      </c>
    </row>
    <row r="5004" spans="1:4" x14ac:dyDescent="0.25">
      <c r="A5004" s="5">
        <f t="shared" si="165"/>
        <v>9</v>
      </c>
      <c r="B5004" s="5">
        <f t="shared" si="166"/>
        <v>2026</v>
      </c>
      <c r="C5004" s="9">
        <v>46277</v>
      </c>
      <c r="D5004">
        <v>14</v>
      </c>
    </row>
    <row r="5005" spans="1:4" x14ac:dyDescent="0.25">
      <c r="A5005" s="5" t="e">
        <f t="shared" si="165"/>
        <v>#VALUE!</v>
      </c>
      <c r="B5005" s="5" t="e">
        <f t="shared" si="166"/>
        <v>#VALUE!</v>
      </c>
      <c r="C5005" t="s">
        <v>13</v>
      </c>
      <c r="D5005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B382-5DDF-461F-9365-295E09C956E3}">
  <sheetPr>
    <tabColor theme="5"/>
  </sheetPr>
  <dimension ref="A1:L157"/>
  <sheetViews>
    <sheetView workbookViewId="0">
      <selection activeCell="K6" sqref="K6"/>
    </sheetView>
  </sheetViews>
  <sheetFormatPr defaultRowHeight="15" x14ac:dyDescent="0.25"/>
  <cols>
    <col min="1" max="1" width="10.42578125" bestFit="1" customWidth="1"/>
    <col min="6" max="6" width="10.42578125" bestFit="1" customWidth="1"/>
    <col min="11" max="12" width="12.5703125" bestFit="1" customWidth="1"/>
  </cols>
  <sheetData>
    <row r="1" spans="1:12" x14ac:dyDescent="0.25">
      <c r="B1" t="s">
        <v>21</v>
      </c>
      <c r="C1" t="s">
        <v>22</v>
      </c>
      <c r="D1" t="s">
        <v>23</v>
      </c>
      <c r="G1" t="s">
        <v>24</v>
      </c>
      <c r="H1" t="s">
        <v>25</v>
      </c>
      <c r="J1" t="s">
        <v>27</v>
      </c>
      <c r="K1" t="s">
        <v>24</v>
      </c>
      <c r="L1" t="s">
        <v>25</v>
      </c>
    </row>
    <row r="2" spans="1:12" x14ac:dyDescent="0.25">
      <c r="A2" s="9">
        <v>41275</v>
      </c>
      <c r="B2">
        <f>VLOOKUP(A2,BCB_selic!I:J,2,0)</f>
        <v>7.25</v>
      </c>
      <c r="C2">
        <f>VLOOKUP(A2,BCB_expec_IPCA!I:J,2,0)</f>
        <v>5.6436363636363636</v>
      </c>
      <c r="D2">
        <f>VLOOKUP(A2,BCB_ipca_acum12m!A:B,2,0)</f>
        <v>6.15</v>
      </c>
      <c r="F2" s="9">
        <v>41275</v>
      </c>
      <c r="G2">
        <f>B2-C2</f>
        <v>1.6063636363636364</v>
      </c>
      <c r="H2">
        <f>B2-D2</f>
        <v>1.0999999999999996</v>
      </c>
      <c r="J2" s="9" t="s">
        <v>26</v>
      </c>
      <c r="K2" s="15">
        <f>AVERAGE(G:G)</f>
        <v>5.0318263756014545</v>
      </c>
      <c r="L2" s="15">
        <f>AVERAGE(H:H)</f>
        <v>4.0210808602625905</v>
      </c>
    </row>
    <row r="3" spans="1:12" x14ac:dyDescent="0.25">
      <c r="A3" s="9">
        <v>41306</v>
      </c>
      <c r="B3">
        <f>VLOOKUP(A3,BCB_selic!I:J,2,0)</f>
        <v>7.25</v>
      </c>
      <c r="C3">
        <f>VLOOKUP(A3,BCB_expec_IPCA!I:J,2,0)</f>
        <v>5.4972222222222218</v>
      </c>
      <c r="D3">
        <f>VLOOKUP(A3,BCB_ipca_acum12m!A:B,2,0)</f>
        <v>6.31</v>
      </c>
      <c r="F3" s="9">
        <v>41306</v>
      </c>
      <c r="G3">
        <f t="shared" ref="G3:G66" si="0">B3-C3</f>
        <v>1.7527777777777782</v>
      </c>
      <c r="H3">
        <f t="shared" ref="H3:H66" si="1">B3-D3</f>
        <v>0.94000000000000039</v>
      </c>
    </row>
    <row r="4" spans="1:12" x14ac:dyDescent="0.25">
      <c r="A4" s="9">
        <v>41334</v>
      </c>
      <c r="B4">
        <f>VLOOKUP(A4,BCB_selic!I:J,2,0)</f>
        <v>7.25</v>
      </c>
      <c r="C4">
        <f>VLOOKUP(A4,BCB_expec_IPCA!I:J,2,0)</f>
        <v>5.4490000000000007</v>
      </c>
      <c r="D4">
        <f>VLOOKUP(A4,BCB_ipca_acum12m!A:B,2,0)</f>
        <v>6.59</v>
      </c>
      <c r="F4" s="9">
        <v>41334</v>
      </c>
      <c r="G4">
        <f t="shared" si="0"/>
        <v>1.8009999999999993</v>
      </c>
      <c r="H4">
        <f t="shared" si="1"/>
        <v>0.66000000000000014</v>
      </c>
    </row>
    <row r="5" spans="1:12" x14ac:dyDescent="0.25">
      <c r="A5" s="9">
        <v>41365</v>
      </c>
      <c r="B5">
        <f>VLOOKUP(A5,BCB_selic!I:J,2,0)</f>
        <v>7.3583333333333334</v>
      </c>
      <c r="C5">
        <f>VLOOKUP(A5,BCB_expec_IPCA!I:J,2,0)</f>
        <v>5.461363636363636</v>
      </c>
      <c r="D5">
        <f>VLOOKUP(A5,BCB_ipca_acum12m!A:B,2,0)</f>
        <v>6.49</v>
      </c>
      <c r="F5" s="9">
        <v>41365</v>
      </c>
      <c r="G5">
        <f t="shared" si="0"/>
        <v>1.8969696969696974</v>
      </c>
      <c r="H5">
        <f t="shared" si="1"/>
        <v>0.86833333333333318</v>
      </c>
    </row>
    <row r="6" spans="1:12" x14ac:dyDescent="0.25">
      <c r="A6" s="9">
        <v>41395</v>
      </c>
      <c r="B6">
        <f>VLOOKUP(A6,BCB_selic!I:J,2,0)</f>
        <v>7.532258064516129</v>
      </c>
      <c r="C6">
        <f>VLOOKUP(A6,BCB_expec_IPCA!I:J,2,0)</f>
        <v>5.588571428571429</v>
      </c>
      <c r="D6">
        <f>VLOOKUP(A6,BCB_ipca_acum12m!A:B,2,0)</f>
        <v>6.5</v>
      </c>
      <c r="F6" s="9">
        <v>41395</v>
      </c>
      <c r="G6">
        <f t="shared" si="0"/>
        <v>1.9436866359447</v>
      </c>
      <c r="H6">
        <f t="shared" si="1"/>
        <v>1.032258064516129</v>
      </c>
    </row>
    <row r="7" spans="1:12" x14ac:dyDescent="0.25">
      <c r="A7" s="9">
        <v>41426</v>
      </c>
      <c r="B7">
        <f>VLOOKUP(A7,BCB_selic!I:J,2,0)</f>
        <v>8</v>
      </c>
      <c r="C7">
        <f>VLOOKUP(A7,BCB_expec_IPCA!I:J,2,0)</f>
        <v>5.6944999999999988</v>
      </c>
      <c r="D7">
        <f>VLOOKUP(A7,BCB_ipca_acum12m!A:B,2,0)</f>
        <v>6.7</v>
      </c>
      <c r="F7" s="9">
        <v>41426</v>
      </c>
      <c r="G7">
        <f t="shared" si="0"/>
        <v>2.3055000000000012</v>
      </c>
      <c r="H7">
        <f t="shared" si="1"/>
        <v>1.2999999999999998</v>
      </c>
    </row>
    <row r="8" spans="1:12" x14ac:dyDescent="0.25">
      <c r="A8" s="9">
        <v>41456</v>
      </c>
      <c r="B8">
        <f>VLOOKUP(A8,BCB_selic!I:J,2,0)</f>
        <v>8.3387096774193541</v>
      </c>
      <c r="C8">
        <f>VLOOKUP(A8,BCB_expec_IPCA!I:J,2,0)</f>
        <v>5.6482608695652186</v>
      </c>
      <c r="D8">
        <f>VLOOKUP(A8,BCB_ipca_acum12m!A:B,2,0)</f>
        <v>6.27</v>
      </c>
      <c r="F8" s="9">
        <v>41456</v>
      </c>
      <c r="G8">
        <f t="shared" si="0"/>
        <v>2.6904488078541355</v>
      </c>
      <c r="H8">
        <f t="shared" si="1"/>
        <v>2.0687096774193545</v>
      </c>
    </row>
    <row r="9" spans="1:12" x14ac:dyDescent="0.25">
      <c r="A9" s="9">
        <v>41487</v>
      </c>
      <c r="B9">
        <f>VLOOKUP(A9,BCB_selic!I:J,2,0)</f>
        <v>8.5483870967741939</v>
      </c>
      <c r="C9">
        <f>VLOOKUP(A9,BCB_expec_IPCA!I:J,2,0)</f>
        <v>5.9313636363636366</v>
      </c>
      <c r="D9">
        <f>VLOOKUP(A9,BCB_ipca_acum12m!A:B,2,0)</f>
        <v>6.09</v>
      </c>
      <c r="F9" s="9">
        <v>41487</v>
      </c>
      <c r="G9">
        <f t="shared" si="0"/>
        <v>2.6170234604105573</v>
      </c>
      <c r="H9">
        <f t="shared" si="1"/>
        <v>2.4583870967741941</v>
      </c>
    </row>
    <row r="10" spans="1:12" x14ac:dyDescent="0.25">
      <c r="A10" s="9">
        <v>41518</v>
      </c>
      <c r="B10">
        <f>VLOOKUP(A10,BCB_selic!I:J,2,0)</f>
        <v>9</v>
      </c>
      <c r="C10">
        <f>VLOOKUP(A10,BCB_expec_IPCA!I:J,2,0)</f>
        <v>6.1799999999999988</v>
      </c>
      <c r="D10">
        <f>VLOOKUP(A10,BCB_ipca_acum12m!A:B,2,0)</f>
        <v>5.86</v>
      </c>
      <c r="F10" s="9">
        <v>41518</v>
      </c>
      <c r="G10">
        <f t="shared" si="0"/>
        <v>2.8200000000000012</v>
      </c>
      <c r="H10">
        <f t="shared" si="1"/>
        <v>3.1399999999999997</v>
      </c>
    </row>
    <row r="11" spans="1:12" x14ac:dyDescent="0.25">
      <c r="A11" s="9">
        <v>41548</v>
      </c>
      <c r="B11">
        <f>VLOOKUP(A11,BCB_selic!I:J,2,0)</f>
        <v>9.3548387096774199</v>
      </c>
      <c r="C11">
        <f>VLOOKUP(A11,BCB_expec_IPCA!I:J,2,0)</f>
        <v>6.2482608695652173</v>
      </c>
      <c r="D11">
        <f>VLOOKUP(A11,BCB_ipca_acum12m!A:B,2,0)</f>
        <v>5.84</v>
      </c>
      <c r="F11" s="9">
        <v>41548</v>
      </c>
      <c r="G11">
        <f t="shared" si="0"/>
        <v>3.1065778401122026</v>
      </c>
      <c r="H11">
        <f t="shared" si="1"/>
        <v>3.5148387096774201</v>
      </c>
    </row>
    <row r="12" spans="1:12" x14ac:dyDescent="0.25">
      <c r="A12" s="9">
        <v>41579</v>
      </c>
      <c r="B12">
        <f>VLOOKUP(A12,BCB_selic!I:J,2,0)</f>
        <v>9.5500000000000007</v>
      </c>
      <c r="C12">
        <f>VLOOKUP(A12,BCB_expec_IPCA!I:J,2,0)</f>
        <v>6.1995000000000022</v>
      </c>
      <c r="D12">
        <f>VLOOKUP(A12,BCB_ipca_acum12m!A:B,2,0)</f>
        <v>5.77</v>
      </c>
      <c r="F12" s="9">
        <v>41579</v>
      </c>
      <c r="G12">
        <f t="shared" si="0"/>
        <v>3.3504999999999985</v>
      </c>
      <c r="H12">
        <f t="shared" si="1"/>
        <v>3.7800000000000011</v>
      </c>
    </row>
    <row r="13" spans="1:12" x14ac:dyDescent="0.25">
      <c r="A13" s="9">
        <v>41609</v>
      </c>
      <c r="B13">
        <f>VLOOKUP(A13,BCB_selic!I:J,2,0)</f>
        <v>10</v>
      </c>
      <c r="C13">
        <f>VLOOKUP(A13,BCB_expec_IPCA!I:J,2,0)</f>
        <v>6.1057142857142859</v>
      </c>
      <c r="D13">
        <f>VLOOKUP(A13,BCB_ipca_acum12m!A:B,2,0)</f>
        <v>5.91</v>
      </c>
      <c r="F13" s="9">
        <v>41609</v>
      </c>
      <c r="G13">
        <f t="shared" si="0"/>
        <v>3.8942857142857141</v>
      </c>
      <c r="H13">
        <f t="shared" si="1"/>
        <v>4.09</v>
      </c>
    </row>
    <row r="14" spans="1:12" x14ac:dyDescent="0.25">
      <c r="A14" s="9">
        <v>41640</v>
      </c>
      <c r="B14">
        <f>VLOOKUP(A14,BCB_selic!I:J,2,0)</f>
        <v>10.258064516129032</v>
      </c>
      <c r="C14">
        <f>VLOOKUP(A14,BCB_expec_IPCA!I:J,2,0)</f>
        <v>6.0440909090909107</v>
      </c>
      <c r="D14">
        <f>VLOOKUP(A14,BCB_ipca_acum12m!A:B,2,0)</f>
        <v>5.59</v>
      </c>
      <c r="F14" s="9">
        <v>41640</v>
      </c>
      <c r="G14">
        <f t="shared" si="0"/>
        <v>4.2139736070381213</v>
      </c>
      <c r="H14">
        <f t="shared" si="1"/>
        <v>4.6680645161290322</v>
      </c>
    </row>
    <row r="15" spans="1:12" x14ac:dyDescent="0.25">
      <c r="A15" s="9">
        <v>41671</v>
      </c>
      <c r="B15">
        <f>VLOOKUP(A15,BCB_selic!I:J,2,0)</f>
        <v>10.517857142857142</v>
      </c>
      <c r="C15">
        <f>VLOOKUP(A15,BCB_expec_IPCA!I:J,2,0)</f>
        <v>6.0694999999999997</v>
      </c>
      <c r="D15">
        <f>VLOOKUP(A15,BCB_ipca_acum12m!A:B,2,0)</f>
        <v>5.68</v>
      </c>
      <c r="F15" s="9">
        <v>41671</v>
      </c>
      <c r="G15">
        <f t="shared" si="0"/>
        <v>4.4483571428571427</v>
      </c>
      <c r="H15">
        <f t="shared" si="1"/>
        <v>4.8378571428571426</v>
      </c>
    </row>
    <row r="16" spans="1:12" x14ac:dyDescent="0.25">
      <c r="A16" s="9">
        <v>41699</v>
      </c>
      <c r="B16">
        <f>VLOOKUP(A16,BCB_selic!I:J,2,0)</f>
        <v>10.75</v>
      </c>
      <c r="C16">
        <f>VLOOKUP(A16,BCB_expec_IPCA!I:J,2,0)</f>
        <v>6.2305263157894721</v>
      </c>
      <c r="D16">
        <f>VLOOKUP(A16,BCB_ipca_acum12m!A:B,2,0)</f>
        <v>6.15</v>
      </c>
      <c r="F16" s="9">
        <v>41699</v>
      </c>
      <c r="G16">
        <f t="shared" si="0"/>
        <v>4.5194736842105279</v>
      </c>
      <c r="H16">
        <f t="shared" si="1"/>
        <v>4.5999999999999996</v>
      </c>
    </row>
    <row r="17" spans="1:8" x14ac:dyDescent="0.25">
      <c r="A17" s="9">
        <v>41730</v>
      </c>
      <c r="B17">
        <f>VLOOKUP(A17,BCB_selic!I:J,2,0)</f>
        <v>10.983333333333333</v>
      </c>
      <c r="C17">
        <f>VLOOKUP(A17,BCB_expec_IPCA!I:J,2,0)</f>
        <v>6.2055000000000007</v>
      </c>
      <c r="D17">
        <f>VLOOKUP(A17,BCB_ipca_acum12m!A:B,2,0)</f>
        <v>6.28</v>
      </c>
      <c r="F17" s="9">
        <v>41730</v>
      </c>
      <c r="G17">
        <f t="shared" si="0"/>
        <v>4.7778333333333318</v>
      </c>
      <c r="H17">
        <f t="shared" si="1"/>
        <v>4.7033333333333323</v>
      </c>
    </row>
    <row r="18" spans="1:8" x14ac:dyDescent="0.25">
      <c r="A18" s="9">
        <v>41760</v>
      </c>
      <c r="B18">
        <f>VLOOKUP(A18,BCB_selic!I:J,2,0)</f>
        <v>11</v>
      </c>
      <c r="C18">
        <f>VLOOKUP(A18,BCB_expec_IPCA!I:J,2,0)</f>
        <v>6.0038095238095242</v>
      </c>
      <c r="D18">
        <f>VLOOKUP(A18,BCB_ipca_acum12m!A:B,2,0)</f>
        <v>6.37</v>
      </c>
      <c r="F18" s="9">
        <v>41760</v>
      </c>
      <c r="G18">
        <f t="shared" si="0"/>
        <v>4.9961904761904758</v>
      </c>
      <c r="H18">
        <f t="shared" si="1"/>
        <v>4.63</v>
      </c>
    </row>
    <row r="19" spans="1:8" x14ac:dyDescent="0.25">
      <c r="A19" s="9">
        <v>41791</v>
      </c>
      <c r="B19">
        <f>VLOOKUP(A19,BCB_selic!I:J,2,0)</f>
        <v>11</v>
      </c>
      <c r="C19">
        <f>VLOOKUP(A19,BCB_expec_IPCA!I:J,2,0)</f>
        <v>5.9569999999999972</v>
      </c>
      <c r="D19">
        <f>VLOOKUP(A19,BCB_ipca_acum12m!A:B,2,0)</f>
        <v>6.52</v>
      </c>
      <c r="F19" s="9">
        <v>41791</v>
      </c>
      <c r="G19">
        <f t="shared" si="0"/>
        <v>5.0430000000000028</v>
      </c>
      <c r="H19">
        <f t="shared" si="1"/>
        <v>4.4800000000000004</v>
      </c>
    </row>
    <row r="20" spans="1:8" x14ac:dyDescent="0.25">
      <c r="A20" s="9">
        <v>41821</v>
      </c>
      <c r="B20">
        <f>VLOOKUP(A20,BCB_selic!I:J,2,0)</f>
        <v>11</v>
      </c>
      <c r="C20">
        <f>VLOOKUP(A20,BCB_expec_IPCA!I:J,2,0)</f>
        <v>5.8956521739130405</v>
      </c>
      <c r="D20">
        <f>VLOOKUP(A20,BCB_ipca_acum12m!A:B,2,0)</f>
        <v>6.5</v>
      </c>
      <c r="F20" s="9">
        <v>41821</v>
      </c>
      <c r="G20">
        <f t="shared" si="0"/>
        <v>5.1043478260869595</v>
      </c>
      <c r="H20">
        <f t="shared" si="1"/>
        <v>4.5</v>
      </c>
    </row>
    <row r="21" spans="1:8" x14ac:dyDescent="0.25">
      <c r="A21" s="9">
        <v>41852</v>
      </c>
      <c r="B21">
        <f>VLOOKUP(A21,BCB_selic!I:J,2,0)</f>
        <v>11</v>
      </c>
      <c r="C21">
        <f>VLOOKUP(A21,BCB_expec_IPCA!I:J,2,0)</f>
        <v>6.093809523809524</v>
      </c>
      <c r="D21">
        <f>VLOOKUP(A21,BCB_ipca_acum12m!A:B,2,0)</f>
        <v>6.51</v>
      </c>
      <c r="F21" s="9">
        <v>41852</v>
      </c>
      <c r="G21">
        <f t="shared" si="0"/>
        <v>4.906190476190476</v>
      </c>
      <c r="H21">
        <f t="shared" si="1"/>
        <v>4.49</v>
      </c>
    </row>
    <row r="22" spans="1:8" x14ac:dyDescent="0.25">
      <c r="A22" s="9">
        <v>41883</v>
      </c>
      <c r="B22">
        <f>VLOOKUP(A22,BCB_selic!I:J,2,0)</f>
        <v>11</v>
      </c>
      <c r="C22">
        <f>VLOOKUP(A22,BCB_expec_IPCA!I:J,2,0)</f>
        <v>6.2822727272727263</v>
      </c>
      <c r="D22">
        <f>VLOOKUP(A22,BCB_ipca_acum12m!A:B,2,0)</f>
        <v>6.75</v>
      </c>
      <c r="F22" s="9">
        <v>41883</v>
      </c>
      <c r="G22">
        <f t="shared" si="0"/>
        <v>4.7177272727272737</v>
      </c>
      <c r="H22">
        <f t="shared" si="1"/>
        <v>4.25</v>
      </c>
    </row>
    <row r="23" spans="1:8" x14ac:dyDescent="0.25">
      <c r="A23" s="9">
        <v>41913</v>
      </c>
      <c r="B23">
        <f>VLOOKUP(A23,BCB_selic!I:J,2,0)</f>
        <v>11.016129032258064</v>
      </c>
      <c r="C23">
        <f>VLOOKUP(A23,BCB_expec_IPCA!I:J,2,0)</f>
        <v>6.3795652173913027</v>
      </c>
      <c r="D23">
        <f>VLOOKUP(A23,BCB_ipca_acum12m!A:B,2,0)</f>
        <v>6.59</v>
      </c>
      <c r="F23" s="9">
        <v>41913</v>
      </c>
      <c r="G23">
        <f t="shared" si="0"/>
        <v>4.6365638148667614</v>
      </c>
      <c r="H23">
        <f t="shared" si="1"/>
        <v>4.4261290322580642</v>
      </c>
    </row>
    <row r="24" spans="1:8" x14ac:dyDescent="0.25">
      <c r="A24" s="9">
        <v>41944</v>
      </c>
      <c r="B24">
        <f>VLOOKUP(A24,BCB_selic!I:J,2,0)</f>
        <v>11.25</v>
      </c>
      <c r="C24">
        <f>VLOOKUP(A24,BCB_expec_IPCA!I:J,2,0)</f>
        <v>6.4804999999999993</v>
      </c>
      <c r="D24">
        <f>VLOOKUP(A24,BCB_ipca_acum12m!A:B,2,0)</f>
        <v>6.56</v>
      </c>
      <c r="F24" s="9">
        <v>41944</v>
      </c>
      <c r="G24">
        <f t="shared" si="0"/>
        <v>4.7695000000000007</v>
      </c>
      <c r="H24">
        <f t="shared" si="1"/>
        <v>4.6900000000000004</v>
      </c>
    </row>
    <row r="25" spans="1:8" x14ac:dyDescent="0.25">
      <c r="A25" s="9">
        <v>41974</v>
      </c>
      <c r="B25">
        <f>VLOOKUP(A25,BCB_selic!I:J,2,0)</f>
        <v>11.701612903225806</v>
      </c>
      <c r="C25">
        <f>VLOOKUP(A25,BCB_expec_IPCA!I:J,2,0)</f>
        <v>6.6468181818181797</v>
      </c>
      <c r="D25">
        <f>VLOOKUP(A25,BCB_ipca_acum12m!A:B,2,0)</f>
        <v>6.41</v>
      </c>
      <c r="F25" s="9">
        <v>41974</v>
      </c>
      <c r="G25">
        <f t="shared" si="0"/>
        <v>5.0547947214076263</v>
      </c>
      <c r="H25">
        <f t="shared" si="1"/>
        <v>5.2916129032258059</v>
      </c>
    </row>
    <row r="26" spans="1:8" x14ac:dyDescent="0.25">
      <c r="A26" s="9">
        <v>42005</v>
      </c>
      <c r="B26">
        <f>VLOOKUP(A26,BCB_selic!I:J,2,0)</f>
        <v>11.911290322580646</v>
      </c>
      <c r="C26">
        <f>VLOOKUP(A26,BCB_expec_IPCA!I:J,2,0)</f>
        <v>6.79142857142857</v>
      </c>
      <c r="D26">
        <f>VLOOKUP(A26,BCB_ipca_acum12m!A:B,2,0)</f>
        <v>7.14</v>
      </c>
      <c r="F26" s="9">
        <v>42005</v>
      </c>
      <c r="G26">
        <f t="shared" si="0"/>
        <v>5.1198617511520759</v>
      </c>
      <c r="H26">
        <f t="shared" si="1"/>
        <v>4.7712903225806462</v>
      </c>
    </row>
    <row r="27" spans="1:8" x14ac:dyDescent="0.25">
      <c r="A27" s="9">
        <v>42036</v>
      </c>
      <c r="B27">
        <f>VLOOKUP(A27,BCB_selic!I:J,2,0)</f>
        <v>12.25</v>
      </c>
      <c r="C27">
        <f>VLOOKUP(A27,BCB_expec_IPCA!I:J,2,0)</f>
        <v>6.8061111111111128</v>
      </c>
      <c r="D27">
        <f>VLOOKUP(A27,BCB_ipca_acum12m!A:B,2,0)</f>
        <v>7.7</v>
      </c>
      <c r="F27" s="9">
        <v>42036</v>
      </c>
      <c r="G27">
        <f t="shared" si="0"/>
        <v>5.4438888888888872</v>
      </c>
      <c r="H27">
        <f t="shared" si="1"/>
        <v>4.55</v>
      </c>
    </row>
    <row r="28" spans="1:8" x14ac:dyDescent="0.25">
      <c r="A28" s="9">
        <v>42064</v>
      </c>
      <c r="B28">
        <f>VLOOKUP(A28,BCB_selic!I:J,2,0)</f>
        <v>12.685483870967742</v>
      </c>
      <c r="C28">
        <f>VLOOKUP(A28,BCB_expec_IPCA!I:J,2,0)</f>
        <v>6.8395454545454548</v>
      </c>
      <c r="D28">
        <f>VLOOKUP(A28,BCB_ipca_acum12m!A:B,2,0)</f>
        <v>8.1300000000000008</v>
      </c>
      <c r="F28" s="9">
        <v>42064</v>
      </c>
      <c r="G28">
        <f t="shared" si="0"/>
        <v>5.8459384164222872</v>
      </c>
      <c r="H28">
        <f t="shared" si="1"/>
        <v>4.5554838709677412</v>
      </c>
    </row>
    <row r="29" spans="1:8" x14ac:dyDescent="0.25">
      <c r="A29" s="9">
        <v>42095</v>
      </c>
      <c r="B29">
        <f>VLOOKUP(A29,BCB_selic!I:J,2,0)</f>
        <v>12.766666666666667</v>
      </c>
      <c r="C29">
        <f>VLOOKUP(A29,BCB_expec_IPCA!I:J,2,0)</f>
        <v>6.2609999999999975</v>
      </c>
      <c r="D29">
        <f>VLOOKUP(A29,BCB_ipca_acum12m!A:B,2,0)</f>
        <v>8.17</v>
      </c>
      <c r="F29" s="9">
        <v>42095</v>
      </c>
      <c r="G29">
        <f t="shared" si="0"/>
        <v>6.50566666666667</v>
      </c>
      <c r="H29">
        <f t="shared" si="1"/>
        <v>4.5966666666666676</v>
      </c>
    </row>
    <row r="30" spans="1:8" x14ac:dyDescent="0.25">
      <c r="A30" s="9">
        <v>42125</v>
      </c>
      <c r="B30">
        <f>VLOOKUP(A30,BCB_selic!I:J,2,0)</f>
        <v>13.25</v>
      </c>
      <c r="C30">
        <f>VLOOKUP(A30,BCB_expec_IPCA!I:J,2,0)</f>
        <v>6.0510000000000002</v>
      </c>
      <c r="D30">
        <f>VLOOKUP(A30,BCB_ipca_acum12m!A:B,2,0)</f>
        <v>8.4700000000000006</v>
      </c>
      <c r="F30" s="9">
        <v>42125</v>
      </c>
      <c r="G30">
        <f t="shared" si="0"/>
        <v>7.1989999999999998</v>
      </c>
      <c r="H30">
        <f t="shared" si="1"/>
        <v>4.7799999999999994</v>
      </c>
    </row>
    <row r="31" spans="1:8" x14ac:dyDescent="0.25">
      <c r="A31" s="9">
        <v>42156</v>
      </c>
      <c r="B31">
        <f>VLOOKUP(A31,BCB_selic!I:J,2,0)</f>
        <v>13.7</v>
      </c>
      <c r="C31">
        <f>VLOOKUP(A31,BCB_expec_IPCA!I:J,2,0)</f>
        <v>6.2057142857142864</v>
      </c>
      <c r="D31">
        <f>VLOOKUP(A31,BCB_ipca_acum12m!A:B,2,0)</f>
        <v>8.89</v>
      </c>
      <c r="F31" s="9">
        <v>42156</v>
      </c>
      <c r="G31">
        <f t="shared" si="0"/>
        <v>7.4942857142857129</v>
      </c>
      <c r="H31">
        <f t="shared" si="1"/>
        <v>4.8099999999999987</v>
      </c>
    </row>
    <row r="32" spans="1:8" x14ac:dyDescent="0.25">
      <c r="A32" s="9">
        <v>42186</v>
      </c>
      <c r="B32">
        <f>VLOOKUP(A32,BCB_selic!I:J,2,0)</f>
        <v>13.78225806451613</v>
      </c>
      <c r="C32">
        <f>VLOOKUP(A32,BCB_expec_IPCA!I:J,2,0)</f>
        <v>6.0200000000000005</v>
      </c>
      <c r="D32">
        <f>VLOOKUP(A32,BCB_ipca_acum12m!A:B,2,0)</f>
        <v>9.56</v>
      </c>
      <c r="F32" s="9">
        <v>42186</v>
      </c>
      <c r="G32">
        <f t="shared" si="0"/>
        <v>7.7622580645161294</v>
      </c>
      <c r="H32">
        <f t="shared" si="1"/>
        <v>4.2222580645161294</v>
      </c>
    </row>
    <row r="33" spans="1:8" x14ac:dyDescent="0.25">
      <c r="A33" s="9">
        <v>42217</v>
      </c>
      <c r="B33">
        <f>VLOOKUP(A33,BCB_selic!I:J,2,0)</f>
        <v>14.25</v>
      </c>
      <c r="C33">
        <f>VLOOKUP(A33,BCB_expec_IPCA!I:J,2,0)</f>
        <v>5.6942857142857122</v>
      </c>
      <c r="D33">
        <f>VLOOKUP(A33,BCB_ipca_acum12m!A:B,2,0)</f>
        <v>9.5299999999999994</v>
      </c>
      <c r="F33" s="9">
        <v>42217</v>
      </c>
      <c r="G33">
        <f t="shared" si="0"/>
        <v>8.5557142857142878</v>
      </c>
      <c r="H33">
        <f t="shared" si="1"/>
        <v>4.7200000000000006</v>
      </c>
    </row>
    <row r="34" spans="1:8" x14ac:dyDescent="0.25">
      <c r="A34" s="9">
        <v>42248</v>
      </c>
      <c r="B34">
        <f>VLOOKUP(A34,BCB_selic!I:J,2,0)</f>
        <v>14.25</v>
      </c>
      <c r="C34">
        <f>VLOOKUP(A34,BCB_expec_IPCA!I:J,2,0)</f>
        <v>5.8642857142857121</v>
      </c>
      <c r="D34">
        <f>VLOOKUP(A34,BCB_ipca_acum12m!A:B,2,0)</f>
        <v>9.49</v>
      </c>
      <c r="F34" s="9">
        <v>42248</v>
      </c>
      <c r="G34">
        <f t="shared" si="0"/>
        <v>8.3857142857142879</v>
      </c>
      <c r="H34">
        <f t="shared" si="1"/>
        <v>4.76</v>
      </c>
    </row>
    <row r="35" spans="1:8" x14ac:dyDescent="0.25">
      <c r="A35" s="9">
        <v>42278</v>
      </c>
      <c r="B35">
        <f>VLOOKUP(A35,BCB_selic!I:J,2,0)</f>
        <v>14.25</v>
      </c>
      <c r="C35">
        <f>VLOOKUP(A35,BCB_expec_IPCA!I:J,2,0)</f>
        <v>6.43047619047619</v>
      </c>
      <c r="D35">
        <f>VLOOKUP(A35,BCB_ipca_acum12m!A:B,2,0)</f>
        <v>9.93</v>
      </c>
      <c r="F35" s="9">
        <v>42278</v>
      </c>
      <c r="G35">
        <f t="shared" si="0"/>
        <v>7.81952380952381</v>
      </c>
      <c r="H35">
        <f t="shared" si="1"/>
        <v>4.32</v>
      </c>
    </row>
    <row r="36" spans="1:8" x14ac:dyDescent="0.25">
      <c r="A36" s="9">
        <v>42309</v>
      </c>
      <c r="B36">
        <f>VLOOKUP(A36,BCB_selic!I:J,2,0)</f>
        <v>14.25</v>
      </c>
      <c r="C36">
        <f>VLOOKUP(A36,BCB_expec_IPCA!I:J,2,0)</f>
        <v>6.9839999999999991</v>
      </c>
      <c r="D36">
        <f>VLOOKUP(A36,BCB_ipca_acum12m!A:B,2,0)</f>
        <v>10.48</v>
      </c>
      <c r="F36" s="9">
        <v>42309</v>
      </c>
      <c r="G36">
        <f t="shared" si="0"/>
        <v>7.2660000000000009</v>
      </c>
      <c r="H36">
        <f t="shared" si="1"/>
        <v>3.7699999999999996</v>
      </c>
    </row>
    <row r="37" spans="1:8" x14ac:dyDescent="0.25">
      <c r="A37" s="9">
        <v>42339</v>
      </c>
      <c r="B37">
        <f>VLOOKUP(A37,BCB_selic!I:J,2,0)</f>
        <v>14.25</v>
      </c>
      <c r="C37">
        <f>VLOOKUP(A37,BCB_expec_IPCA!I:J,2,0)</f>
        <v>7.1409090909090915</v>
      </c>
      <c r="D37">
        <f>VLOOKUP(A37,BCB_ipca_acum12m!A:B,2,0)</f>
        <v>10.67</v>
      </c>
      <c r="F37" s="9">
        <v>42339</v>
      </c>
      <c r="G37">
        <f t="shared" si="0"/>
        <v>7.1090909090909085</v>
      </c>
      <c r="H37">
        <f t="shared" si="1"/>
        <v>3.58</v>
      </c>
    </row>
    <row r="38" spans="1:8" x14ac:dyDescent="0.25">
      <c r="A38" s="9">
        <v>42370</v>
      </c>
      <c r="B38">
        <f>VLOOKUP(A38,BCB_selic!I:J,2,0)</f>
        <v>14.25</v>
      </c>
      <c r="C38">
        <f>VLOOKUP(A38,BCB_expec_IPCA!I:J,2,0)</f>
        <v>7.1380000000000008</v>
      </c>
      <c r="D38">
        <f>VLOOKUP(A38,BCB_ipca_acum12m!A:B,2,0)</f>
        <v>10.71</v>
      </c>
      <c r="F38" s="9">
        <v>42370</v>
      </c>
      <c r="G38">
        <f t="shared" si="0"/>
        <v>7.1119999999999992</v>
      </c>
      <c r="H38">
        <f t="shared" si="1"/>
        <v>3.5399999999999991</v>
      </c>
    </row>
    <row r="39" spans="1:8" x14ac:dyDescent="0.25">
      <c r="A39" s="9">
        <v>42401</v>
      </c>
      <c r="B39">
        <f>VLOOKUP(A39,BCB_selic!I:J,2,0)</f>
        <v>14.25</v>
      </c>
      <c r="C39">
        <f>VLOOKUP(A39,BCB_expec_IPCA!I:J,2,0)</f>
        <v>7.011052631578945</v>
      </c>
      <c r="D39">
        <f>VLOOKUP(A39,BCB_ipca_acum12m!A:B,2,0)</f>
        <v>10.36</v>
      </c>
      <c r="F39" s="9">
        <v>42401</v>
      </c>
      <c r="G39">
        <f t="shared" si="0"/>
        <v>7.238947368421055</v>
      </c>
      <c r="H39">
        <f t="shared" si="1"/>
        <v>3.8900000000000006</v>
      </c>
    </row>
    <row r="40" spans="1:8" x14ac:dyDescent="0.25">
      <c r="A40" s="9">
        <v>42430</v>
      </c>
      <c r="B40">
        <f>VLOOKUP(A40,BCB_selic!I:J,2,0)</f>
        <v>14.25</v>
      </c>
      <c r="C40">
        <f>VLOOKUP(A40,BCB_expec_IPCA!I:J,2,0)</f>
        <v>6.7318181818181815</v>
      </c>
      <c r="D40">
        <f>VLOOKUP(A40,BCB_ipca_acum12m!A:B,2,0)</f>
        <v>9.39</v>
      </c>
      <c r="F40" s="9">
        <v>42430</v>
      </c>
      <c r="G40">
        <f t="shared" si="0"/>
        <v>7.5181818181818185</v>
      </c>
      <c r="H40">
        <f t="shared" si="1"/>
        <v>4.8599999999999994</v>
      </c>
    </row>
    <row r="41" spans="1:8" x14ac:dyDescent="0.25">
      <c r="A41" s="9">
        <v>42461</v>
      </c>
      <c r="B41">
        <f>VLOOKUP(A41,BCB_selic!I:J,2,0)</f>
        <v>14.25</v>
      </c>
      <c r="C41">
        <f>VLOOKUP(A41,BCB_expec_IPCA!I:J,2,0)</f>
        <v>6.3480000000000008</v>
      </c>
      <c r="D41">
        <f>VLOOKUP(A41,BCB_ipca_acum12m!A:B,2,0)</f>
        <v>9.2799999999999994</v>
      </c>
      <c r="F41" s="9">
        <v>42461</v>
      </c>
      <c r="G41">
        <f t="shared" si="0"/>
        <v>7.9019999999999992</v>
      </c>
      <c r="H41">
        <f t="shared" si="1"/>
        <v>4.9700000000000006</v>
      </c>
    </row>
    <row r="42" spans="1:8" x14ac:dyDescent="0.25">
      <c r="A42" s="9">
        <v>42491</v>
      </c>
      <c r="B42">
        <f>VLOOKUP(A42,BCB_selic!I:J,2,0)</f>
        <v>14.25</v>
      </c>
      <c r="C42">
        <f>VLOOKUP(A42,BCB_expec_IPCA!I:J,2,0)</f>
        <v>6.1519047619047615</v>
      </c>
      <c r="D42">
        <f>VLOOKUP(A42,BCB_ipca_acum12m!A:B,2,0)</f>
        <v>9.32</v>
      </c>
      <c r="F42" s="9">
        <v>42491</v>
      </c>
      <c r="G42">
        <f t="shared" si="0"/>
        <v>8.0980952380952385</v>
      </c>
      <c r="H42">
        <f t="shared" si="1"/>
        <v>4.93</v>
      </c>
    </row>
    <row r="43" spans="1:8" x14ac:dyDescent="0.25">
      <c r="A43" s="9">
        <v>42522</v>
      </c>
      <c r="B43">
        <f>VLOOKUP(A43,BCB_selic!I:J,2,0)</f>
        <v>14.25</v>
      </c>
      <c r="C43">
        <f>VLOOKUP(A43,BCB_expec_IPCA!I:J,2,0)</f>
        <v>6.0195454545454536</v>
      </c>
      <c r="D43">
        <f>VLOOKUP(A43,BCB_ipca_acum12m!A:B,2,0)</f>
        <v>8.84</v>
      </c>
      <c r="F43" s="9">
        <v>42522</v>
      </c>
      <c r="G43">
        <f t="shared" si="0"/>
        <v>8.2304545454545455</v>
      </c>
      <c r="H43">
        <f t="shared" si="1"/>
        <v>5.41</v>
      </c>
    </row>
    <row r="44" spans="1:8" x14ac:dyDescent="0.25">
      <c r="A44" s="9">
        <v>42552</v>
      </c>
      <c r="B44">
        <f>VLOOKUP(A44,BCB_selic!I:J,2,0)</f>
        <v>14.25</v>
      </c>
      <c r="C44">
        <f>VLOOKUP(A44,BCB_expec_IPCA!I:J,2,0)</f>
        <v>5.8061904761904763</v>
      </c>
      <c r="D44">
        <f>VLOOKUP(A44,BCB_ipca_acum12m!A:B,2,0)</f>
        <v>8.74</v>
      </c>
      <c r="F44" s="9">
        <v>42552</v>
      </c>
      <c r="G44">
        <f t="shared" si="0"/>
        <v>8.4438095238095237</v>
      </c>
      <c r="H44">
        <f t="shared" si="1"/>
        <v>5.51</v>
      </c>
    </row>
    <row r="45" spans="1:8" x14ac:dyDescent="0.25">
      <c r="A45" s="9">
        <v>42583</v>
      </c>
      <c r="B45">
        <f>VLOOKUP(A45,BCB_selic!I:J,2,0)</f>
        <v>14.25</v>
      </c>
      <c r="C45">
        <f>VLOOKUP(A45,BCB_expec_IPCA!I:J,2,0)</f>
        <v>5.4873913043478275</v>
      </c>
      <c r="D45">
        <f>VLOOKUP(A45,BCB_ipca_acum12m!A:B,2,0)</f>
        <v>8.9700000000000006</v>
      </c>
      <c r="F45" s="9">
        <v>42583</v>
      </c>
      <c r="G45">
        <f t="shared" si="0"/>
        <v>8.7626086956521725</v>
      </c>
      <c r="H45">
        <f t="shared" si="1"/>
        <v>5.2799999999999994</v>
      </c>
    </row>
    <row r="46" spans="1:8" x14ac:dyDescent="0.25">
      <c r="A46" s="9">
        <v>42614</v>
      </c>
      <c r="B46">
        <f>VLOOKUP(A46,BCB_selic!I:J,2,0)</f>
        <v>14.25</v>
      </c>
      <c r="C46">
        <f>VLOOKUP(A46,BCB_expec_IPCA!I:J,2,0)</f>
        <v>5.2266666666666666</v>
      </c>
      <c r="D46">
        <f>VLOOKUP(A46,BCB_ipca_acum12m!A:B,2,0)</f>
        <v>8.48</v>
      </c>
      <c r="F46" s="9">
        <v>42614</v>
      </c>
      <c r="G46">
        <f t="shared" si="0"/>
        <v>9.0233333333333334</v>
      </c>
      <c r="H46">
        <f t="shared" si="1"/>
        <v>5.77</v>
      </c>
    </row>
    <row r="47" spans="1:8" x14ac:dyDescent="0.25">
      <c r="A47" s="9">
        <v>42644</v>
      </c>
      <c r="B47">
        <f>VLOOKUP(A47,BCB_selic!I:J,2,0)</f>
        <v>14.153225806451612</v>
      </c>
      <c r="C47">
        <f>VLOOKUP(A47,BCB_expec_IPCA!I:J,2,0)</f>
        <v>4.966499999999999</v>
      </c>
      <c r="D47">
        <f>VLOOKUP(A47,BCB_ipca_acum12m!A:B,2,0)</f>
        <v>7.87</v>
      </c>
      <c r="F47" s="9">
        <v>42644</v>
      </c>
      <c r="G47">
        <f t="shared" si="0"/>
        <v>9.1867258064516122</v>
      </c>
      <c r="H47">
        <f t="shared" si="1"/>
        <v>6.283225806451612</v>
      </c>
    </row>
    <row r="48" spans="1:8" x14ac:dyDescent="0.25">
      <c r="A48" s="9">
        <v>42675</v>
      </c>
      <c r="B48">
        <f>VLOOKUP(A48,BCB_selic!I:J,2,0)</f>
        <v>14</v>
      </c>
      <c r="C48">
        <f>VLOOKUP(A48,BCB_expec_IPCA!I:J,2,0)</f>
        <v>4.8695000000000004</v>
      </c>
      <c r="D48">
        <f>VLOOKUP(A48,BCB_ipca_acum12m!A:B,2,0)</f>
        <v>6.99</v>
      </c>
      <c r="F48" s="9">
        <v>42675</v>
      </c>
      <c r="G48">
        <f t="shared" si="0"/>
        <v>9.1304999999999996</v>
      </c>
      <c r="H48">
        <f t="shared" si="1"/>
        <v>7.01</v>
      </c>
    </row>
    <row r="49" spans="1:8" x14ac:dyDescent="0.25">
      <c r="A49" s="9">
        <v>42705</v>
      </c>
      <c r="B49">
        <f>VLOOKUP(A49,BCB_selic!I:J,2,0)</f>
        <v>13.75</v>
      </c>
      <c r="C49">
        <f>VLOOKUP(A49,BCB_expec_IPCA!I:J,2,0)</f>
        <v>4.7768181818181823</v>
      </c>
      <c r="D49">
        <f>VLOOKUP(A49,BCB_ipca_acum12m!A:B,2,0)</f>
        <v>6.29</v>
      </c>
      <c r="F49" s="9">
        <v>42705</v>
      </c>
      <c r="G49">
        <f t="shared" si="0"/>
        <v>8.9731818181818177</v>
      </c>
      <c r="H49">
        <f t="shared" si="1"/>
        <v>7.46</v>
      </c>
    </row>
    <row r="50" spans="1:8" x14ac:dyDescent="0.25">
      <c r="A50" s="9">
        <v>42736</v>
      </c>
      <c r="B50">
        <f>VLOOKUP(A50,BCB_selic!I:J,2,0)</f>
        <v>13.266129032258064</v>
      </c>
      <c r="C50">
        <f>VLOOKUP(A50,BCB_expec_IPCA!I:J,2,0)</f>
        <v>4.7227272727272727</v>
      </c>
      <c r="D50">
        <f>VLOOKUP(A50,BCB_ipca_acum12m!A:B,2,0)</f>
        <v>5.35</v>
      </c>
      <c r="F50" s="9">
        <v>42736</v>
      </c>
      <c r="G50">
        <f t="shared" si="0"/>
        <v>8.5434017595307914</v>
      </c>
      <c r="H50">
        <f t="shared" si="1"/>
        <v>7.9161290322580644</v>
      </c>
    </row>
    <row r="51" spans="1:8" x14ac:dyDescent="0.25">
      <c r="A51" s="9">
        <v>42767</v>
      </c>
      <c r="B51">
        <f>VLOOKUP(A51,BCB_selic!I:J,2,0)</f>
        <v>12.839285714285714</v>
      </c>
      <c r="C51">
        <f>VLOOKUP(A51,BCB_expec_IPCA!I:J,2,0)</f>
        <v>4.6294444444444443</v>
      </c>
      <c r="D51">
        <f>VLOOKUP(A51,BCB_ipca_acum12m!A:B,2,0)</f>
        <v>4.76</v>
      </c>
      <c r="F51" s="9">
        <v>42767</v>
      </c>
      <c r="G51">
        <f t="shared" si="0"/>
        <v>8.2098412698412702</v>
      </c>
      <c r="H51">
        <f t="shared" si="1"/>
        <v>8.0792857142857137</v>
      </c>
    </row>
    <row r="52" spans="1:8" x14ac:dyDescent="0.25">
      <c r="A52" s="9">
        <v>42795</v>
      </c>
      <c r="B52">
        <f>VLOOKUP(A52,BCB_selic!I:J,2,0)</f>
        <v>12.25</v>
      </c>
      <c r="C52">
        <f>VLOOKUP(A52,BCB_expec_IPCA!I:J,2,0)</f>
        <v>4.5065217391304344</v>
      </c>
      <c r="D52">
        <f>VLOOKUP(A52,BCB_ipca_acum12m!A:B,2,0)</f>
        <v>4.57</v>
      </c>
      <c r="F52" s="9">
        <v>42795</v>
      </c>
      <c r="G52">
        <f t="shared" si="0"/>
        <v>7.7434782608695656</v>
      </c>
      <c r="H52">
        <f t="shared" si="1"/>
        <v>7.68</v>
      </c>
    </row>
    <row r="53" spans="1:8" x14ac:dyDescent="0.25">
      <c r="A53" s="9">
        <v>42826</v>
      </c>
      <c r="B53">
        <f>VLOOKUP(A53,BCB_selic!I:J,2,0)</f>
        <v>11.65</v>
      </c>
      <c r="C53">
        <f>VLOOKUP(A53,BCB_expec_IPCA!I:J,2,0)</f>
        <v>4.5344444444444445</v>
      </c>
      <c r="D53">
        <f>VLOOKUP(A53,BCB_ipca_acum12m!A:B,2,0)</f>
        <v>4.08</v>
      </c>
      <c r="F53" s="9">
        <v>42826</v>
      </c>
      <c r="G53">
        <f t="shared" si="0"/>
        <v>7.1155555555555559</v>
      </c>
      <c r="H53">
        <f t="shared" si="1"/>
        <v>7.57</v>
      </c>
    </row>
    <row r="54" spans="1:8" x14ac:dyDescent="0.25">
      <c r="A54" s="9">
        <v>42856</v>
      </c>
      <c r="B54">
        <f>VLOOKUP(A54,BCB_selic!I:J,2,0)</f>
        <v>11.25</v>
      </c>
      <c r="C54">
        <f>VLOOKUP(A54,BCB_expec_IPCA!I:J,2,0)</f>
        <v>4.6554545454545453</v>
      </c>
      <c r="D54">
        <f>VLOOKUP(A54,BCB_ipca_acum12m!A:B,2,0)</f>
        <v>3.6</v>
      </c>
      <c r="F54" s="9">
        <v>42856</v>
      </c>
      <c r="G54">
        <f t="shared" si="0"/>
        <v>6.5945454545454547</v>
      </c>
      <c r="H54">
        <f t="shared" si="1"/>
        <v>7.65</v>
      </c>
    </row>
    <row r="55" spans="1:8" x14ac:dyDescent="0.25">
      <c r="A55" s="9">
        <v>42887</v>
      </c>
      <c r="B55">
        <f>VLOOKUP(A55,BCB_selic!I:J,2,0)</f>
        <v>10.25</v>
      </c>
      <c r="C55">
        <f>VLOOKUP(A55,BCB_expec_IPCA!I:J,2,0)</f>
        <v>4.3952380952380947</v>
      </c>
      <c r="D55">
        <f>VLOOKUP(A55,BCB_ipca_acum12m!A:B,2,0)</f>
        <v>3</v>
      </c>
      <c r="F55" s="9">
        <v>42887</v>
      </c>
      <c r="G55">
        <f t="shared" si="0"/>
        <v>5.8547619047619053</v>
      </c>
      <c r="H55">
        <f t="shared" si="1"/>
        <v>7.25</v>
      </c>
    </row>
    <row r="56" spans="1:8" x14ac:dyDescent="0.25">
      <c r="A56" s="9">
        <v>42917</v>
      </c>
      <c r="B56">
        <f>VLOOKUP(A56,BCB_selic!I:J,2,0)</f>
        <v>10.088709677419354</v>
      </c>
      <c r="C56">
        <f>VLOOKUP(A56,BCB_expec_IPCA!I:J,2,0)</f>
        <v>4.3604761904761906</v>
      </c>
      <c r="D56">
        <f>VLOOKUP(A56,BCB_ipca_acum12m!A:B,2,0)</f>
        <v>2.71</v>
      </c>
      <c r="F56" s="9">
        <v>42917</v>
      </c>
      <c r="G56">
        <f t="shared" si="0"/>
        <v>5.7282334869431635</v>
      </c>
      <c r="H56">
        <f t="shared" si="1"/>
        <v>7.3787096774193541</v>
      </c>
    </row>
    <row r="57" spans="1:8" x14ac:dyDescent="0.25">
      <c r="A57" s="9">
        <v>42948</v>
      </c>
      <c r="B57">
        <f>VLOOKUP(A57,BCB_selic!I:J,2,0)</f>
        <v>9.25</v>
      </c>
      <c r="C57">
        <f>VLOOKUP(A57,BCB_expec_IPCA!I:J,2,0)</f>
        <v>4.5082608695652171</v>
      </c>
      <c r="D57">
        <f>VLOOKUP(A57,BCB_ipca_acum12m!A:B,2,0)</f>
        <v>2.46</v>
      </c>
      <c r="F57" s="9">
        <v>42948</v>
      </c>
      <c r="G57">
        <f t="shared" si="0"/>
        <v>4.7417391304347829</v>
      </c>
      <c r="H57">
        <f t="shared" si="1"/>
        <v>6.79</v>
      </c>
    </row>
    <row r="58" spans="1:8" x14ac:dyDescent="0.25">
      <c r="A58" s="9">
        <v>42979</v>
      </c>
      <c r="B58">
        <f>VLOOKUP(A58,BCB_selic!I:J,2,0)</f>
        <v>8.4833333333333325</v>
      </c>
      <c r="C58">
        <f>VLOOKUP(A58,BCB_expec_IPCA!I:J,2,0)</f>
        <v>4.0264999999999995</v>
      </c>
      <c r="D58">
        <f>VLOOKUP(A58,BCB_ipca_acum12m!A:B,2,0)</f>
        <v>2.54</v>
      </c>
      <c r="F58" s="9">
        <v>42979</v>
      </c>
      <c r="G58">
        <f t="shared" si="0"/>
        <v>4.456833333333333</v>
      </c>
      <c r="H58">
        <f t="shared" si="1"/>
        <v>5.9433333333333325</v>
      </c>
    </row>
    <row r="59" spans="1:8" x14ac:dyDescent="0.25">
      <c r="A59" s="9">
        <v>43009</v>
      </c>
      <c r="B59">
        <f>VLOOKUP(A59,BCB_selic!I:J,2,0)</f>
        <v>8.1048387096774199</v>
      </c>
      <c r="C59">
        <f>VLOOKUP(A59,BCB_expec_IPCA!I:J,2,0)</f>
        <v>4.0247619047619043</v>
      </c>
      <c r="D59">
        <f>VLOOKUP(A59,BCB_ipca_acum12m!A:B,2,0)</f>
        <v>2.7</v>
      </c>
      <c r="F59" s="9">
        <v>43009</v>
      </c>
      <c r="G59">
        <f t="shared" si="0"/>
        <v>4.0800768049155156</v>
      </c>
      <c r="H59">
        <f t="shared" si="1"/>
        <v>5.4048387096774198</v>
      </c>
    </row>
    <row r="60" spans="1:8" x14ac:dyDescent="0.25">
      <c r="A60" s="9">
        <v>43040</v>
      </c>
      <c r="B60">
        <f>VLOOKUP(A60,BCB_selic!I:J,2,0)</f>
        <v>7.5</v>
      </c>
      <c r="C60">
        <f>VLOOKUP(A60,BCB_expec_IPCA!I:J,2,0)</f>
        <v>4.0639999999999983</v>
      </c>
      <c r="D60">
        <f>VLOOKUP(A60,BCB_ipca_acum12m!A:B,2,0)</f>
        <v>2.8</v>
      </c>
      <c r="F60" s="9">
        <v>43040</v>
      </c>
      <c r="G60">
        <f t="shared" si="0"/>
        <v>3.4360000000000017</v>
      </c>
      <c r="H60">
        <f t="shared" si="1"/>
        <v>4.7</v>
      </c>
    </row>
    <row r="61" spans="1:8" x14ac:dyDescent="0.25">
      <c r="A61" s="9">
        <v>43070</v>
      </c>
      <c r="B61">
        <f>VLOOKUP(A61,BCB_selic!I:J,2,0)</f>
        <v>7.096774193548387</v>
      </c>
      <c r="C61">
        <f>VLOOKUP(A61,BCB_expec_IPCA!I:J,2,0)</f>
        <v>3.8629999999999995</v>
      </c>
      <c r="D61">
        <f>VLOOKUP(A61,BCB_ipca_acum12m!A:B,2,0)</f>
        <v>2.95</v>
      </c>
      <c r="F61" s="9">
        <v>43070</v>
      </c>
      <c r="G61">
        <f t="shared" si="0"/>
        <v>3.2337741935483875</v>
      </c>
      <c r="H61">
        <f t="shared" si="1"/>
        <v>4.1467741935483868</v>
      </c>
    </row>
    <row r="62" spans="1:8" x14ac:dyDescent="0.25">
      <c r="A62" s="9">
        <v>43101</v>
      </c>
      <c r="B62">
        <f>VLOOKUP(A62,BCB_selic!I:J,2,0)</f>
        <v>7</v>
      </c>
      <c r="C62">
        <f>VLOOKUP(A62,BCB_expec_IPCA!I:J,2,0)</f>
        <v>3.9000000000000017</v>
      </c>
      <c r="D62">
        <f>VLOOKUP(A62,BCB_ipca_acum12m!A:B,2,0)</f>
        <v>2.86</v>
      </c>
      <c r="F62" s="9">
        <v>43101</v>
      </c>
      <c r="G62">
        <f t="shared" si="0"/>
        <v>3.0999999999999983</v>
      </c>
      <c r="H62">
        <f t="shared" si="1"/>
        <v>4.1400000000000006</v>
      </c>
    </row>
    <row r="63" spans="1:8" x14ac:dyDescent="0.25">
      <c r="A63" s="9">
        <v>43132</v>
      </c>
      <c r="B63">
        <f>VLOOKUP(A63,BCB_selic!I:J,2,0)</f>
        <v>6.8125</v>
      </c>
      <c r="C63">
        <f>VLOOKUP(A63,BCB_expec_IPCA!I:J,2,0)</f>
        <v>3.9761111111111114</v>
      </c>
      <c r="D63">
        <f>VLOOKUP(A63,BCB_ipca_acum12m!A:B,2,0)</f>
        <v>2.84</v>
      </c>
      <c r="F63" s="9">
        <v>43132</v>
      </c>
      <c r="G63">
        <f t="shared" si="0"/>
        <v>2.8363888888888886</v>
      </c>
      <c r="H63">
        <f t="shared" si="1"/>
        <v>3.9725000000000001</v>
      </c>
    </row>
    <row r="64" spans="1:8" x14ac:dyDescent="0.25">
      <c r="A64" s="9">
        <v>43160</v>
      </c>
      <c r="B64">
        <f>VLOOKUP(A64,BCB_selic!I:J,2,0)</f>
        <v>6.669354838709677</v>
      </c>
      <c r="C64">
        <f>VLOOKUP(A64,BCB_expec_IPCA!I:J,2,0)</f>
        <v>3.9128571428571428</v>
      </c>
      <c r="D64">
        <f>VLOOKUP(A64,BCB_ipca_acum12m!A:B,2,0)</f>
        <v>2.68</v>
      </c>
      <c r="F64" s="9">
        <v>43160</v>
      </c>
      <c r="G64">
        <f t="shared" si="0"/>
        <v>2.7564976958525342</v>
      </c>
      <c r="H64">
        <f t="shared" si="1"/>
        <v>3.9893548387096769</v>
      </c>
    </row>
    <row r="65" spans="1:8" x14ac:dyDescent="0.25">
      <c r="A65" s="9">
        <v>43191</v>
      </c>
      <c r="B65">
        <f>VLOOKUP(A65,BCB_selic!I:J,2,0)</f>
        <v>6.5</v>
      </c>
      <c r="C65">
        <f>VLOOKUP(A65,BCB_expec_IPCA!I:J,2,0)</f>
        <v>3.9780952380952392</v>
      </c>
      <c r="D65">
        <f>VLOOKUP(A65,BCB_ipca_acum12m!A:B,2,0)</f>
        <v>2.76</v>
      </c>
      <c r="F65" s="9">
        <v>43191</v>
      </c>
      <c r="G65">
        <f t="shared" si="0"/>
        <v>2.5219047619047608</v>
      </c>
      <c r="H65">
        <f t="shared" si="1"/>
        <v>3.74</v>
      </c>
    </row>
    <row r="66" spans="1:8" x14ac:dyDescent="0.25">
      <c r="A66" s="9">
        <v>43221</v>
      </c>
      <c r="B66">
        <f>VLOOKUP(A66,BCB_selic!I:J,2,0)</f>
        <v>6.5</v>
      </c>
      <c r="C66">
        <f>VLOOKUP(A66,BCB_expec_IPCA!I:J,2,0)</f>
        <v>4.2190476190476192</v>
      </c>
      <c r="D66">
        <f>VLOOKUP(A66,BCB_ipca_acum12m!A:B,2,0)</f>
        <v>2.86</v>
      </c>
      <c r="F66" s="9">
        <v>43221</v>
      </c>
      <c r="G66">
        <f t="shared" si="0"/>
        <v>2.2809523809523808</v>
      </c>
      <c r="H66">
        <f t="shared" si="1"/>
        <v>3.64</v>
      </c>
    </row>
    <row r="67" spans="1:8" x14ac:dyDescent="0.25">
      <c r="A67" s="9">
        <v>43252</v>
      </c>
      <c r="B67">
        <f>VLOOKUP(A67,BCB_selic!I:J,2,0)</f>
        <v>6.5</v>
      </c>
      <c r="C67">
        <f>VLOOKUP(A67,BCB_expec_IPCA!I:J,2,0)</f>
        <v>4.548571428571428</v>
      </c>
      <c r="D67">
        <f>VLOOKUP(A67,BCB_ipca_acum12m!A:B,2,0)</f>
        <v>4.3899999999999997</v>
      </c>
      <c r="F67" s="9">
        <v>43252</v>
      </c>
      <c r="G67">
        <f t="shared" ref="G67:G130" si="2">B67-C67</f>
        <v>1.951428571428572</v>
      </c>
      <c r="H67">
        <f t="shared" ref="H67:H130" si="3">B67-D67</f>
        <v>2.1100000000000003</v>
      </c>
    </row>
    <row r="68" spans="1:8" x14ac:dyDescent="0.25">
      <c r="A68" s="9">
        <v>43282</v>
      </c>
      <c r="B68">
        <f>VLOOKUP(A68,BCB_selic!I:J,2,0)</f>
        <v>6.5</v>
      </c>
      <c r="C68">
        <f>VLOOKUP(A68,BCB_expec_IPCA!I:J,2,0)</f>
        <v>3.936363636363637</v>
      </c>
      <c r="D68">
        <f>VLOOKUP(A68,BCB_ipca_acum12m!A:B,2,0)</f>
        <v>4.4800000000000004</v>
      </c>
      <c r="F68" s="9">
        <v>43282</v>
      </c>
      <c r="G68">
        <f t="shared" si="2"/>
        <v>2.563636363636363</v>
      </c>
      <c r="H68">
        <f t="shared" si="3"/>
        <v>2.0199999999999996</v>
      </c>
    </row>
    <row r="69" spans="1:8" x14ac:dyDescent="0.25">
      <c r="A69" s="9">
        <v>43313</v>
      </c>
      <c r="B69">
        <f>VLOOKUP(A69,BCB_selic!I:J,2,0)</f>
        <v>6.5</v>
      </c>
      <c r="C69">
        <f>VLOOKUP(A69,BCB_expec_IPCA!I:J,2,0)</f>
        <v>3.655652173913043</v>
      </c>
      <c r="D69">
        <f>VLOOKUP(A69,BCB_ipca_acum12m!A:B,2,0)</f>
        <v>4.1900000000000004</v>
      </c>
      <c r="F69" s="9">
        <v>43313</v>
      </c>
      <c r="G69">
        <f t="shared" si="2"/>
        <v>2.844347826086957</v>
      </c>
      <c r="H69">
        <f t="shared" si="3"/>
        <v>2.3099999999999996</v>
      </c>
    </row>
    <row r="70" spans="1:8" x14ac:dyDescent="0.25">
      <c r="A70" s="9">
        <v>43344</v>
      </c>
      <c r="B70">
        <f>VLOOKUP(A70,BCB_selic!I:J,2,0)</f>
        <v>6.5</v>
      </c>
      <c r="C70">
        <f>VLOOKUP(A70,BCB_expec_IPCA!I:J,2,0)</f>
        <v>3.9294736842105253</v>
      </c>
      <c r="D70">
        <f>VLOOKUP(A70,BCB_ipca_acum12m!A:B,2,0)</f>
        <v>4.53</v>
      </c>
      <c r="F70" s="9">
        <v>43344</v>
      </c>
      <c r="G70">
        <f t="shared" si="2"/>
        <v>2.5705263157894747</v>
      </c>
      <c r="H70">
        <f t="shared" si="3"/>
        <v>1.9699999999999998</v>
      </c>
    </row>
    <row r="71" spans="1:8" x14ac:dyDescent="0.25">
      <c r="A71" s="9">
        <v>43374</v>
      </c>
      <c r="B71">
        <f>VLOOKUP(A71,BCB_selic!I:J,2,0)</f>
        <v>6.5</v>
      </c>
      <c r="C71">
        <f>VLOOKUP(A71,BCB_expec_IPCA!I:J,2,0)</f>
        <v>4.0618181818181816</v>
      </c>
      <c r="D71">
        <f>VLOOKUP(A71,BCB_ipca_acum12m!A:B,2,0)</f>
        <v>4.5599999999999996</v>
      </c>
      <c r="F71" s="9">
        <v>43374</v>
      </c>
      <c r="G71">
        <f t="shared" si="2"/>
        <v>2.4381818181818184</v>
      </c>
      <c r="H71">
        <f t="shared" si="3"/>
        <v>1.9400000000000004</v>
      </c>
    </row>
    <row r="72" spans="1:8" x14ac:dyDescent="0.25">
      <c r="A72" s="9">
        <v>43405</v>
      </c>
      <c r="B72">
        <f>VLOOKUP(A72,BCB_selic!I:J,2,0)</f>
        <v>6.5</v>
      </c>
      <c r="C72">
        <f>VLOOKUP(A72,BCB_expec_IPCA!I:J,2,0)</f>
        <v>3.6565000000000003</v>
      </c>
      <c r="D72">
        <f>VLOOKUP(A72,BCB_ipca_acum12m!A:B,2,0)</f>
        <v>4.05</v>
      </c>
      <c r="F72" s="9">
        <v>43405</v>
      </c>
      <c r="G72">
        <f t="shared" si="2"/>
        <v>2.8434999999999997</v>
      </c>
      <c r="H72">
        <f t="shared" si="3"/>
        <v>2.4500000000000002</v>
      </c>
    </row>
    <row r="73" spans="1:8" x14ac:dyDescent="0.25">
      <c r="A73" s="9">
        <v>43435</v>
      </c>
      <c r="B73">
        <f>VLOOKUP(A73,BCB_selic!I:J,2,0)</f>
        <v>6.5</v>
      </c>
      <c r="C73">
        <f>VLOOKUP(A73,BCB_expec_IPCA!I:J,2,0)</f>
        <v>3.6385000000000005</v>
      </c>
      <c r="D73">
        <f>VLOOKUP(A73,BCB_ipca_acum12m!A:B,2,0)</f>
        <v>3.75</v>
      </c>
      <c r="F73" s="9">
        <v>43435</v>
      </c>
      <c r="G73">
        <f t="shared" si="2"/>
        <v>2.8614999999999995</v>
      </c>
      <c r="H73">
        <f t="shared" si="3"/>
        <v>2.75</v>
      </c>
    </row>
    <row r="74" spans="1:8" x14ac:dyDescent="0.25">
      <c r="A74" s="9">
        <v>43466</v>
      </c>
      <c r="B74">
        <f>VLOOKUP(A74,BCB_selic!I:J,2,0)</f>
        <v>6.5</v>
      </c>
      <c r="C74">
        <f>VLOOKUP(A74,BCB_expec_IPCA!I:J,2,0)</f>
        <v>3.8949999999999991</v>
      </c>
      <c r="D74">
        <f>VLOOKUP(A74,BCB_ipca_acum12m!A:B,2,0)</f>
        <v>3.78</v>
      </c>
      <c r="F74" s="9">
        <v>43466</v>
      </c>
      <c r="G74">
        <f t="shared" si="2"/>
        <v>2.6050000000000009</v>
      </c>
      <c r="H74">
        <f t="shared" si="3"/>
        <v>2.72</v>
      </c>
    </row>
    <row r="75" spans="1:8" x14ac:dyDescent="0.25">
      <c r="A75" s="9">
        <v>43497</v>
      </c>
      <c r="B75">
        <f>VLOOKUP(A75,BCB_selic!I:J,2,0)</f>
        <v>6.5</v>
      </c>
      <c r="C75">
        <f>VLOOKUP(A75,BCB_expec_IPCA!I:J,2,0)</f>
        <v>3.9730000000000003</v>
      </c>
      <c r="D75">
        <f>VLOOKUP(A75,BCB_ipca_acum12m!A:B,2,0)</f>
        <v>3.89</v>
      </c>
      <c r="F75" s="9">
        <v>43497</v>
      </c>
      <c r="G75">
        <f t="shared" si="2"/>
        <v>2.5269999999999997</v>
      </c>
      <c r="H75">
        <f t="shared" si="3"/>
        <v>2.61</v>
      </c>
    </row>
    <row r="76" spans="1:8" x14ac:dyDescent="0.25">
      <c r="A76" s="9">
        <v>43525</v>
      </c>
      <c r="B76">
        <f>VLOOKUP(A76,BCB_selic!I:J,2,0)</f>
        <v>6.5</v>
      </c>
      <c r="C76">
        <f>VLOOKUP(A76,BCB_expec_IPCA!I:J,2,0)</f>
        <v>4.007894736842105</v>
      </c>
      <c r="D76">
        <f>VLOOKUP(A76,BCB_ipca_acum12m!A:B,2,0)</f>
        <v>4.58</v>
      </c>
      <c r="F76" s="9">
        <v>43525</v>
      </c>
      <c r="G76">
        <f t="shared" si="2"/>
        <v>2.492105263157895</v>
      </c>
      <c r="H76">
        <f t="shared" si="3"/>
        <v>1.92</v>
      </c>
    </row>
    <row r="77" spans="1:8" x14ac:dyDescent="0.25">
      <c r="A77" s="9">
        <v>43556</v>
      </c>
      <c r="B77">
        <f>VLOOKUP(A77,BCB_selic!I:J,2,0)</f>
        <v>6.5</v>
      </c>
      <c r="C77">
        <f>VLOOKUP(A77,BCB_expec_IPCA!I:J,2,0)</f>
        <v>3.8223809523809522</v>
      </c>
      <c r="D77">
        <f>VLOOKUP(A77,BCB_ipca_acum12m!A:B,2,0)</f>
        <v>4.9400000000000004</v>
      </c>
      <c r="F77" s="9">
        <v>43556</v>
      </c>
      <c r="G77">
        <f t="shared" si="2"/>
        <v>2.6776190476190478</v>
      </c>
      <c r="H77">
        <f t="shared" si="3"/>
        <v>1.5599999999999996</v>
      </c>
    </row>
    <row r="78" spans="1:8" x14ac:dyDescent="0.25">
      <c r="A78" s="9">
        <v>43586</v>
      </c>
      <c r="B78">
        <f>VLOOKUP(A78,BCB_selic!I:J,2,0)</f>
        <v>6.5</v>
      </c>
      <c r="C78">
        <f>VLOOKUP(A78,BCB_expec_IPCA!I:J,2,0)</f>
        <v>3.6145454545454543</v>
      </c>
      <c r="D78">
        <f>VLOOKUP(A78,BCB_ipca_acum12m!A:B,2,0)</f>
        <v>4.66</v>
      </c>
      <c r="F78" s="9">
        <v>43586</v>
      </c>
      <c r="G78">
        <f t="shared" si="2"/>
        <v>2.8854545454545457</v>
      </c>
      <c r="H78">
        <f t="shared" si="3"/>
        <v>1.8399999999999999</v>
      </c>
    </row>
    <row r="79" spans="1:8" x14ac:dyDescent="0.25">
      <c r="A79" s="9">
        <v>43617</v>
      </c>
      <c r="B79">
        <f>VLOOKUP(A79,BCB_selic!I:J,2,0)</f>
        <v>6.5</v>
      </c>
      <c r="C79">
        <f>VLOOKUP(A79,BCB_expec_IPCA!I:J,2,0)</f>
        <v>3.5263157894736841</v>
      </c>
      <c r="D79">
        <f>VLOOKUP(A79,BCB_ipca_acum12m!A:B,2,0)</f>
        <v>3.37</v>
      </c>
      <c r="F79" s="9">
        <v>43617</v>
      </c>
      <c r="G79">
        <f t="shared" si="2"/>
        <v>2.9736842105263159</v>
      </c>
      <c r="H79">
        <f t="shared" si="3"/>
        <v>3.13</v>
      </c>
    </row>
    <row r="80" spans="1:8" x14ac:dyDescent="0.25">
      <c r="A80" s="9">
        <v>43647</v>
      </c>
      <c r="B80">
        <f>VLOOKUP(A80,BCB_selic!I:J,2,0)</f>
        <v>6.5</v>
      </c>
      <c r="C80">
        <f>VLOOKUP(A80,BCB_expec_IPCA!I:J,2,0)</f>
        <v>3.6295652173913044</v>
      </c>
      <c r="D80">
        <f>VLOOKUP(A80,BCB_ipca_acum12m!A:B,2,0)</f>
        <v>3.22</v>
      </c>
      <c r="F80" s="9">
        <v>43647</v>
      </c>
      <c r="G80">
        <f t="shared" si="2"/>
        <v>2.8704347826086956</v>
      </c>
      <c r="H80">
        <f t="shared" si="3"/>
        <v>3.28</v>
      </c>
    </row>
    <row r="81" spans="1:8" x14ac:dyDescent="0.25">
      <c r="A81" s="9">
        <v>43678</v>
      </c>
      <c r="B81">
        <f>VLOOKUP(A81,BCB_selic!I:J,2,0)</f>
        <v>6</v>
      </c>
      <c r="C81">
        <f>VLOOKUP(A81,BCB_expec_IPCA!I:J,2,0)</f>
        <v>3.6118181818181814</v>
      </c>
      <c r="D81">
        <f>VLOOKUP(A81,BCB_ipca_acum12m!A:B,2,0)</f>
        <v>3.43</v>
      </c>
      <c r="F81" s="9">
        <v>43678</v>
      </c>
      <c r="G81">
        <f t="shared" si="2"/>
        <v>2.3881818181818186</v>
      </c>
      <c r="H81">
        <f t="shared" si="3"/>
        <v>2.57</v>
      </c>
    </row>
    <row r="82" spans="1:8" x14ac:dyDescent="0.25">
      <c r="A82" s="9">
        <v>43709</v>
      </c>
      <c r="B82">
        <f>VLOOKUP(A82,BCB_selic!I:J,2,0)</f>
        <v>5.8</v>
      </c>
      <c r="C82">
        <f>VLOOKUP(A82,BCB_expec_IPCA!I:J,2,0)</f>
        <v>3.4176190476190476</v>
      </c>
      <c r="D82">
        <f>VLOOKUP(A82,BCB_ipca_acum12m!A:B,2,0)</f>
        <v>2.89</v>
      </c>
      <c r="F82" s="9">
        <v>43709</v>
      </c>
      <c r="G82">
        <f t="shared" si="2"/>
        <v>2.3823809523809523</v>
      </c>
      <c r="H82">
        <f t="shared" si="3"/>
        <v>2.9099999999999997</v>
      </c>
    </row>
    <row r="83" spans="1:8" x14ac:dyDescent="0.25">
      <c r="A83" s="9">
        <v>43739</v>
      </c>
      <c r="B83">
        <f>VLOOKUP(A83,BCB_selic!I:J,2,0)</f>
        <v>5.4838709677419351</v>
      </c>
      <c r="C83">
        <f>VLOOKUP(A83,BCB_expec_IPCA!I:J,2,0)</f>
        <v>3.3808695652173921</v>
      </c>
      <c r="D83">
        <f>VLOOKUP(A83,BCB_ipca_acum12m!A:B,2,0)</f>
        <v>2.54</v>
      </c>
      <c r="F83" s="9">
        <v>43739</v>
      </c>
      <c r="G83">
        <f t="shared" si="2"/>
        <v>2.1030014025245429</v>
      </c>
      <c r="H83">
        <f t="shared" si="3"/>
        <v>2.943870967741935</v>
      </c>
    </row>
    <row r="84" spans="1:8" x14ac:dyDescent="0.25">
      <c r="A84" s="9">
        <v>43770</v>
      </c>
      <c r="B84">
        <f>VLOOKUP(A84,BCB_selic!I:J,2,0)</f>
        <v>5</v>
      </c>
      <c r="C84">
        <f>VLOOKUP(A84,BCB_expec_IPCA!I:J,2,0)</f>
        <v>3.6325000000000003</v>
      </c>
      <c r="D84">
        <f>VLOOKUP(A84,BCB_ipca_acum12m!A:B,2,0)</f>
        <v>3.27</v>
      </c>
      <c r="F84" s="9">
        <v>43770</v>
      </c>
      <c r="G84">
        <f t="shared" si="2"/>
        <v>1.3674999999999997</v>
      </c>
      <c r="H84">
        <f t="shared" si="3"/>
        <v>1.73</v>
      </c>
    </row>
    <row r="85" spans="1:8" x14ac:dyDescent="0.25">
      <c r="A85" s="9">
        <v>43800</v>
      </c>
      <c r="B85">
        <f>VLOOKUP(A85,BCB_selic!I:J,2,0)</f>
        <v>4.67741935483871</v>
      </c>
      <c r="C85">
        <f>VLOOKUP(A85,BCB_expec_IPCA!I:J,2,0)</f>
        <v>3.9857142857142853</v>
      </c>
      <c r="D85">
        <f>VLOOKUP(A85,BCB_ipca_acum12m!A:B,2,0)</f>
        <v>4.3099999999999996</v>
      </c>
      <c r="F85" s="9">
        <v>43800</v>
      </c>
      <c r="G85">
        <f t="shared" si="2"/>
        <v>0.69170506912442464</v>
      </c>
      <c r="H85">
        <f t="shared" si="3"/>
        <v>0.36741935483871035</v>
      </c>
    </row>
    <row r="86" spans="1:8" x14ac:dyDescent="0.25">
      <c r="A86" s="9">
        <v>43831</v>
      </c>
      <c r="B86">
        <f>VLOOKUP(A86,BCB_selic!I:J,2,0)</f>
        <v>4.5</v>
      </c>
      <c r="C86">
        <f>VLOOKUP(A86,BCB_expec_IPCA!I:J,2,0)</f>
        <v>3.6986363636363646</v>
      </c>
      <c r="D86">
        <f>VLOOKUP(A86,BCB_ipca_acum12m!A:B,2,0)</f>
        <v>4.1900000000000004</v>
      </c>
      <c r="F86" s="9">
        <v>43831</v>
      </c>
      <c r="G86">
        <f t="shared" si="2"/>
        <v>0.80136363636363539</v>
      </c>
      <c r="H86">
        <f t="shared" si="3"/>
        <v>0.30999999999999961</v>
      </c>
    </row>
    <row r="87" spans="1:8" x14ac:dyDescent="0.25">
      <c r="A87" s="9">
        <v>43862</v>
      </c>
      <c r="B87">
        <f>VLOOKUP(A87,BCB_selic!I:J,2,0)</f>
        <v>4.2931034482758621</v>
      </c>
      <c r="C87">
        <f>VLOOKUP(A87,BCB_expec_IPCA!I:J,2,0)</f>
        <v>3.4099999999999993</v>
      </c>
      <c r="D87">
        <f>VLOOKUP(A87,BCB_ipca_acum12m!A:B,2,0)</f>
        <v>4.01</v>
      </c>
      <c r="F87" s="9">
        <v>43862</v>
      </c>
      <c r="G87">
        <f t="shared" si="2"/>
        <v>0.88310344827586285</v>
      </c>
      <c r="H87">
        <f t="shared" si="3"/>
        <v>0.28310344827586231</v>
      </c>
    </row>
    <row r="88" spans="1:8" x14ac:dyDescent="0.25">
      <c r="A88" s="9">
        <v>43891</v>
      </c>
      <c r="B88">
        <f>VLOOKUP(A88,BCB_selic!I:J,2,0)</f>
        <v>4.040322580645161</v>
      </c>
      <c r="C88">
        <f>VLOOKUP(A88,BCB_expec_IPCA!I:J,2,0)</f>
        <v>3.4140909090909091</v>
      </c>
      <c r="D88">
        <f>VLOOKUP(A88,BCB_ipca_acum12m!A:B,2,0)</f>
        <v>3.3</v>
      </c>
      <c r="F88" s="9">
        <v>43891</v>
      </c>
      <c r="G88">
        <f t="shared" si="2"/>
        <v>0.62623167155425197</v>
      </c>
      <c r="H88">
        <f t="shared" si="3"/>
        <v>0.74032258064516121</v>
      </c>
    </row>
    <row r="89" spans="1:8" x14ac:dyDescent="0.25">
      <c r="A89" s="9">
        <v>43922</v>
      </c>
      <c r="B89">
        <f>VLOOKUP(A89,BCB_selic!I:J,2,0)</f>
        <v>3.75</v>
      </c>
      <c r="C89">
        <f>VLOOKUP(A89,BCB_expec_IPCA!I:J,2,0)</f>
        <v>2.8360000000000003</v>
      </c>
      <c r="D89">
        <f>VLOOKUP(A89,BCB_ipca_acum12m!A:B,2,0)</f>
        <v>2.4</v>
      </c>
      <c r="F89" s="9">
        <v>43922</v>
      </c>
      <c r="G89">
        <f t="shared" si="2"/>
        <v>0.9139999999999997</v>
      </c>
      <c r="H89">
        <f t="shared" si="3"/>
        <v>1.35</v>
      </c>
    </row>
    <row r="90" spans="1:8" x14ac:dyDescent="0.25">
      <c r="A90" s="9">
        <v>43952</v>
      </c>
      <c r="B90">
        <f>VLOOKUP(A90,BCB_selic!I:J,2,0)</f>
        <v>3.1451612903225805</v>
      </c>
      <c r="C90">
        <f>VLOOKUP(A90,BCB_expec_IPCA!I:J,2,0)</f>
        <v>2.6789999999999998</v>
      </c>
      <c r="D90">
        <f>VLOOKUP(A90,BCB_ipca_acum12m!A:B,2,0)</f>
        <v>1.88</v>
      </c>
      <c r="F90" s="9">
        <v>43952</v>
      </c>
      <c r="G90">
        <f t="shared" si="2"/>
        <v>0.46616129032258069</v>
      </c>
      <c r="H90">
        <f t="shared" si="3"/>
        <v>1.2651612903225806</v>
      </c>
    </row>
    <row r="91" spans="1:8" x14ac:dyDescent="0.25">
      <c r="A91" s="9">
        <v>43983</v>
      </c>
      <c r="B91">
        <f>VLOOKUP(A91,BCB_selic!I:J,2,0)</f>
        <v>2.6749999999999998</v>
      </c>
      <c r="C91">
        <f>VLOOKUP(A91,BCB_expec_IPCA!I:J,2,0)</f>
        <v>3.0038095238095233</v>
      </c>
      <c r="D91">
        <f>VLOOKUP(A91,BCB_ipca_acum12m!A:B,2,0)</f>
        <v>2.13</v>
      </c>
      <c r="F91" s="9">
        <v>43983</v>
      </c>
      <c r="G91">
        <f t="shared" si="2"/>
        <v>-0.32880952380952344</v>
      </c>
      <c r="H91">
        <f t="shared" si="3"/>
        <v>0.54499999999999993</v>
      </c>
    </row>
    <row r="92" spans="1:8" x14ac:dyDescent="0.25">
      <c r="A92" s="9">
        <v>44013</v>
      </c>
      <c r="B92">
        <f>VLOOKUP(A92,BCB_selic!I:J,2,0)</f>
        <v>2.25</v>
      </c>
      <c r="C92">
        <f>VLOOKUP(A92,BCB_expec_IPCA!I:J,2,0)</f>
        <v>3.238695652173913</v>
      </c>
      <c r="D92">
        <f>VLOOKUP(A92,BCB_ipca_acum12m!A:B,2,0)</f>
        <v>2.31</v>
      </c>
      <c r="F92" s="9">
        <v>44013</v>
      </c>
      <c r="G92">
        <f t="shared" si="2"/>
        <v>-0.98869565217391298</v>
      </c>
      <c r="H92">
        <f t="shared" si="3"/>
        <v>-6.0000000000000053E-2</v>
      </c>
    </row>
    <row r="93" spans="1:8" x14ac:dyDescent="0.25">
      <c r="A93" s="9">
        <v>44044</v>
      </c>
      <c r="B93">
        <f>VLOOKUP(A93,BCB_selic!I:J,2,0)</f>
        <v>2.0403225806451615</v>
      </c>
      <c r="C93">
        <f>VLOOKUP(A93,BCB_expec_IPCA!I:J,2,0)</f>
        <v>3.0061904761904765</v>
      </c>
      <c r="D93">
        <f>VLOOKUP(A93,BCB_ipca_acum12m!A:B,2,0)</f>
        <v>2.44</v>
      </c>
      <c r="F93" s="9">
        <v>44044</v>
      </c>
      <c r="G93">
        <f t="shared" si="2"/>
        <v>-0.96586789554531505</v>
      </c>
      <c r="H93">
        <f t="shared" si="3"/>
        <v>-0.39967741935483847</v>
      </c>
    </row>
    <row r="94" spans="1:8" x14ac:dyDescent="0.25">
      <c r="A94" s="9">
        <v>44075</v>
      </c>
      <c r="B94">
        <f>VLOOKUP(A94,BCB_selic!I:J,2,0)</f>
        <v>2</v>
      </c>
      <c r="C94">
        <f>VLOOKUP(A94,BCB_expec_IPCA!I:J,2,0)</f>
        <v>3.1819047619047618</v>
      </c>
      <c r="D94">
        <f>VLOOKUP(A94,BCB_ipca_acum12m!A:B,2,0)</f>
        <v>3.14</v>
      </c>
      <c r="F94" s="9">
        <v>44075</v>
      </c>
      <c r="G94">
        <f t="shared" si="2"/>
        <v>-1.1819047619047618</v>
      </c>
      <c r="H94">
        <f t="shared" si="3"/>
        <v>-1.1400000000000001</v>
      </c>
    </row>
    <row r="95" spans="1:8" x14ac:dyDescent="0.25">
      <c r="A95" s="9">
        <v>44105</v>
      </c>
      <c r="B95">
        <f>VLOOKUP(A95,BCB_selic!I:J,2,0)</f>
        <v>2</v>
      </c>
      <c r="C95">
        <f>VLOOKUP(A95,BCB_expec_IPCA!I:J,2,0)</f>
        <v>3.5638095238095246</v>
      </c>
      <c r="D95">
        <f>VLOOKUP(A95,BCB_ipca_acum12m!A:B,2,0)</f>
        <v>3.92</v>
      </c>
      <c r="F95" s="9">
        <v>44105</v>
      </c>
      <c r="G95">
        <f t="shared" si="2"/>
        <v>-1.5638095238095246</v>
      </c>
      <c r="H95">
        <f t="shared" si="3"/>
        <v>-1.92</v>
      </c>
    </row>
    <row r="96" spans="1:8" x14ac:dyDescent="0.25">
      <c r="A96" s="9">
        <v>44136</v>
      </c>
      <c r="B96">
        <f>VLOOKUP(A96,BCB_selic!I:J,2,0)</f>
        <v>2</v>
      </c>
      <c r="C96">
        <f>VLOOKUP(A96,BCB_expec_IPCA!I:J,2,0)</f>
        <v>3.8179999999999992</v>
      </c>
      <c r="D96">
        <f>VLOOKUP(A96,BCB_ipca_acum12m!A:B,2,0)</f>
        <v>4.3099999999999996</v>
      </c>
      <c r="F96" s="9">
        <v>44136</v>
      </c>
      <c r="G96">
        <f t="shared" si="2"/>
        <v>-1.8179999999999992</v>
      </c>
      <c r="H96">
        <f t="shared" si="3"/>
        <v>-2.3099999999999996</v>
      </c>
    </row>
    <row r="97" spans="1:8" x14ac:dyDescent="0.25">
      <c r="A97" s="9">
        <v>44166</v>
      </c>
      <c r="B97">
        <f>VLOOKUP(A97,BCB_selic!I:J,2,0)</f>
        <v>2</v>
      </c>
      <c r="C97">
        <f>VLOOKUP(A97,BCB_expec_IPCA!I:J,2,0)</f>
        <v>4.1513636363636355</v>
      </c>
      <c r="D97">
        <f>VLOOKUP(A97,BCB_ipca_acum12m!A:B,2,0)</f>
        <v>4.5199999999999996</v>
      </c>
      <c r="F97" s="9">
        <v>44166</v>
      </c>
      <c r="G97">
        <f t="shared" si="2"/>
        <v>-2.1513636363636355</v>
      </c>
      <c r="H97">
        <f t="shared" si="3"/>
        <v>-2.5199999999999996</v>
      </c>
    </row>
    <row r="98" spans="1:8" x14ac:dyDescent="0.25">
      <c r="A98" s="9">
        <v>44197</v>
      </c>
      <c r="B98">
        <f>VLOOKUP(A98,BCB_selic!I:J,2,0)</f>
        <v>2</v>
      </c>
      <c r="C98">
        <f>VLOOKUP(A98,BCB_expec_IPCA!I:J,2,0)</f>
        <v>3.6420000000000003</v>
      </c>
      <c r="D98">
        <f>VLOOKUP(A98,BCB_ipca_acum12m!A:B,2,0)</f>
        <v>4.5599999999999996</v>
      </c>
      <c r="F98" s="9">
        <v>44197</v>
      </c>
      <c r="G98">
        <f t="shared" si="2"/>
        <v>-1.6420000000000003</v>
      </c>
      <c r="H98">
        <f t="shared" si="3"/>
        <v>-2.5599999999999996</v>
      </c>
    </row>
    <row r="99" spans="1:8" x14ac:dyDescent="0.25">
      <c r="A99" s="9">
        <v>44228</v>
      </c>
      <c r="B99">
        <f>VLOOKUP(A99,BCB_selic!I:J,2,0)</f>
        <v>2</v>
      </c>
      <c r="C99">
        <f>VLOOKUP(A99,BCB_expec_IPCA!I:J,2,0)</f>
        <v>3.775555555555556</v>
      </c>
      <c r="D99">
        <f>VLOOKUP(A99,BCB_ipca_acum12m!A:B,2,0)</f>
        <v>5.2</v>
      </c>
      <c r="F99" s="9">
        <v>44228</v>
      </c>
      <c r="G99">
        <f t="shared" si="2"/>
        <v>-1.775555555555556</v>
      </c>
      <c r="H99">
        <f t="shared" si="3"/>
        <v>-3.2</v>
      </c>
    </row>
    <row r="100" spans="1:8" x14ac:dyDescent="0.25">
      <c r="A100" s="9">
        <v>44256</v>
      </c>
      <c r="B100">
        <f>VLOOKUP(A100,BCB_selic!I:J,2,0)</f>
        <v>2.338709677419355</v>
      </c>
      <c r="C100">
        <f>VLOOKUP(A100,BCB_expec_IPCA!I:J,2,0)</f>
        <v>4.2554260869565219</v>
      </c>
      <c r="D100">
        <f>VLOOKUP(A100,BCB_ipca_acum12m!A:B,2,0)</f>
        <v>6.1</v>
      </c>
      <c r="F100" s="9">
        <v>44256</v>
      </c>
      <c r="G100">
        <f t="shared" si="2"/>
        <v>-1.9167164095371669</v>
      </c>
      <c r="H100">
        <f t="shared" si="3"/>
        <v>-3.7612903225806447</v>
      </c>
    </row>
    <row r="101" spans="1:8" x14ac:dyDescent="0.25">
      <c r="A101" s="9">
        <v>44287</v>
      </c>
      <c r="B101">
        <f>VLOOKUP(A101,BCB_selic!I:J,2,0)</f>
        <v>2.75</v>
      </c>
      <c r="C101">
        <f>VLOOKUP(A101,BCB_expec_IPCA!I:J,2,0)</f>
        <v>4.1066700000000012</v>
      </c>
      <c r="D101">
        <f>VLOOKUP(A101,BCB_ipca_acum12m!A:B,2,0)</f>
        <v>6.76</v>
      </c>
      <c r="F101" s="9">
        <v>44287</v>
      </c>
      <c r="G101">
        <f t="shared" si="2"/>
        <v>-1.3566700000000012</v>
      </c>
      <c r="H101">
        <f t="shared" si="3"/>
        <v>-4.01</v>
      </c>
    </row>
    <row r="102" spans="1:8" x14ac:dyDescent="0.25">
      <c r="A102" s="9">
        <v>44317</v>
      </c>
      <c r="B102">
        <f>VLOOKUP(A102,BCB_selic!I:J,2,0)</f>
        <v>3.379032258064516</v>
      </c>
      <c r="C102">
        <f>VLOOKUP(A102,BCB_expec_IPCA!I:J,2,0)</f>
        <v>4.2223619047619056</v>
      </c>
      <c r="D102">
        <f>VLOOKUP(A102,BCB_ipca_acum12m!A:B,2,0)</f>
        <v>8.06</v>
      </c>
      <c r="F102" s="9">
        <v>44317</v>
      </c>
      <c r="G102">
        <f t="shared" si="2"/>
        <v>-0.84332964669738963</v>
      </c>
      <c r="H102">
        <f t="shared" si="3"/>
        <v>-4.6809677419354845</v>
      </c>
    </row>
    <row r="103" spans="1:8" x14ac:dyDescent="0.25">
      <c r="A103" s="9">
        <v>44348</v>
      </c>
      <c r="B103">
        <f>VLOOKUP(A103,BCB_selic!I:J,2,0)</f>
        <v>3.85</v>
      </c>
      <c r="C103">
        <f>VLOOKUP(A103,BCB_expec_IPCA!I:J,2,0)</f>
        <v>4.4135333333333344</v>
      </c>
      <c r="D103">
        <f>VLOOKUP(A103,BCB_ipca_acum12m!A:B,2,0)</f>
        <v>8.35</v>
      </c>
      <c r="F103" s="9">
        <v>44348</v>
      </c>
      <c r="G103">
        <f t="shared" si="2"/>
        <v>-0.56353333333333433</v>
      </c>
      <c r="H103">
        <f t="shared" si="3"/>
        <v>-4.5</v>
      </c>
    </row>
    <row r="104" spans="1:8" x14ac:dyDescent="0.25">
      <c r="A104" s="9">
        <v>44378</v>
      </c>
      <c r="B104">
        <f>VLOOKUP(A104,BCB_selic!I:J,2,0)</f>
        <v>4.25</v>
      </c>
      <c r="C104">
        <f>VLOOKUP(A104,BCB_expec_IPCA!I:J,2,0)</f>
        <v>4.5285954545454548</v>
      </c>
      <c r="D104">
        <f>VLOOKUP(A104,BCB_ipca_acum12m!A:B,2,0)</f>
        <v>8.99</v>
      </c>
      <c r="F104" s="9">
        <v>44378</v>
      </c>
      <c r="G104">
        <f t="shared" si="2"/>
        <v>-0.27859545454545476</v>
      </c>
      <c r="H104">
        <f t="shared" si="3"/>
        <v>-4.74</v>
      </c>
    </row>
    <row r="105" spans="1:8" x14ac:dyDescent="0.25">
      <c r="A105" s="9">
        <v>44409</v>
      </c>
      <c r="B105">
        <f>VLOOKUP(A105,BCB_selic!I:J,2,0)</f>
        <v>5.120967741935484</v>
      </c>
      <c r="C105">
        <f>VLOOKUP(A105,BCB_expec_IPCA!I:J,2,0)</f>
        <v>4.6515136363636351</v>
      </c>
      <c r="D105">
        <f>VLOOKUP(A105,BCB_ipca_acum12m!A:B,2,0)</f>
        <v>9.68</v>
      </c>
      <c r="F105" s="9">
        <v>44409</v>
      </c>
      <c r="G105">
        <f t="shared" si="2"/>
        <v>0.46945410557184886</v>
      </c>
      <c r="H105">
        <f t="shared" si="3"/>
        <v>-4.5590322580645157</v>
      </c>
    </row>
    <row r="106" spans="1:8" x14ac:dyDescent="0.25">
      <c r="A106" s="9">
        <v>44440</v>
      </c>
      <c r="B106">
        <f>VLOOKUP(A106,BCB_selic!I:J,2,0)</f>
        <v>5.5166666666666666</v>
      </c>
      <c r="C106">
        <f>VLOOKUP(A106,BCB_expec_IPCA!I:J,2,0)</f>
        <v>5.0790333333333324</v>
      </c>
      <c r="D106">
        <f>VLOOKUP(A106,BCB_ipca_acum12m!A:B,2,0)</f>
        <v>10.25</v>
      </c>
      <c r="F106" s="9">
        <v>44440</v>
      </c>
      <c r="G106">
        <f t="shared" si="2"/>
        <v>0.43763333333333421</v>
      </c>
      <c r="H106">
        <f t="shared" si="3"/>
        <v>-4.7333333333333334</v>
      </c>
    </row>
    <row r="107" spans="1:8" x14ac:dyDescent="0.25">
      <c r="A107" s="9">
        <v>44470</v>
      </c>
      <c r="B107">
        <f>VLOOKUP(A107,BCB_selic!I:J,2,0)</f>
        <v>6.443548387096774</v>
      </c>
      <c r="C107">
        <f>VLOOKUP(A107,BCB_expec_IPCA!I:J,2,0)</f>
        <v>5.0323249999999993</v>
      </c>
      <c r="D107">
        <f>VLOOKUP(A107,BCB_ipca_acum12m!A:B,2,0)</f>
        <v>10.67</v>
      </c>
      <c r="F107" s="9">
        <v>44470</v>
      </c>
      <c r="G107">
        <f t="shared" si="2"/>
        <v>1.4112233870967748</v>
      </c>
      <c r="H107">
        <f t="shared" si="3"/>
        <v>-4.2264516129032259</v>
      </c>
    </row>
    <row r="108" spans="1:8" x14ac:dyDescent="0.25">
      <c r="A108" s="9">
        <v>44501</v>
      </c>
      <c r="B108">
        <f>VLOOKUP(A108,BCB_selic!I:J,2,0)</f>
        <v>7.75</v>
      </c>
      <c r="C108">
        <f>VLOOKUP(A108,BCB_expec_IPCA!I:J,2,0)</f>
        <v>5.6197249999999999</v>
      </c>
      <c r="D108">
        <f>VLOOKUP(A108,BCB_ipca_acum12m!A:B,2,0)</f>
        <v>10.74</v>
      </c>
      <c r="F108" s="9">
        <v>44501</v>
      </c>
      <c r="G108">
        <f t="shared" si="2"/>
        <v>2.1302750000000001</v>
      </c>
      <c r="H108">
        <f t="shared" si="3"/>
        <v>-2.99</v>
      </c>
    </row>
    <row r="109" spans="1:8" x14ac:dyDescent="0.25">
      <c r="A109" s="9">
        <v>44531</v>
      </c>
      <c r="B109">
        <f>VLOOKUP(A109,BCB_selic!I:J,2,0)</f>
        <v>8.862903225806452</v>
      </c>
      <c r="C109">
        <f>VLOOKUP(A109,BCB_expec_IPCA!I:J,2,0)</f>
        <v>5.4153043478260869</v>
      </c>
      <c r="D109">
        <f>VLOOKUP(A109,BCB_ipca_acum12m!A:B,2,0)</f>
        <v>10.06</v>
      </c>
      <c r="F109" s="9">
        <v>44531</v>
      </c>
      <c r="G109">
        <f t="shared" si="2"/>
        <v>3.447598877980365</v>
      </c>
      <c r="H109">
        <f t="shared" si="3"/>
        <v>-1.1970967741935485</v>
      </c>
    </row>
    <row r="110" spans="1:8" x14ac:dyDescent="0.25">
      <c r="A110" s="9">
        <v>44562</v>
      </c>
      <c r="B110">
        <f>VLOOKUP(A110,BCB_selic!I:J,2,0)</f>
        <v>9.25</v>
      </c>
      <c r="C110">
        <f>VLOOKUP(A110,BCB_expec_IPCA!I:J,2,0)</f>
        <v>5.1536333333333335</v>
      </c>
      <c r="D110">
        <f>VLOOKUP(A110,BCB_ipca_acum12m!A:B,2,0)</f>
        <v>10.38</v>
      </c>
      <c r="F110" s="9">
        <v>44562</v>
      </c>
      <c r="G110">
        <f t="shared" si="2"/>
        <v>4.0963666666666665</v>
      </c>
      <c r="H110">
        <f t="shared" si="3"/>
        <v>-1.1300000000000008</v>
      </c>
    </row>
    <row r="111" spans="1:8" x14ac:dyDescent="0.25">
      <c r="A111" s="9">
        <v>44593</v>
      </c>
      <c r="B111">
        <f>VLOOKUP(A111,BCB_selic!I:J,2,0)</f>
        <v>10.642857142857142</v>
      </c>
      <c r="C111">
        <f>VLOOKUP(A111,BCB_expec_IPCA!I:J,2,0)</f>
        <v>5.3749052631578955</v>
      </c>
      <c r="D111">
        <f>VLOOKUP(A111,BCB_ipca_acum12m!A:B,2,0)</f>
        <v>10.54</v>
      </c>
      <c r="F111" s="9">
        <v>44593</v>
      </c>
      <c r="G111">
        <f t="shared" si="2"/>
        <v>5.2679518796992468</v>
      </c>
      <c r="H111">
        <f t="shared" si="3"/>
        <v>0.1028571428571432</v>
      </c>
    </row>
    <row r="112" spans="1:8" x14ac:dyDescent="0.25">
      <c r="A112" s="9">
        <v>44621</v>
      </c>
      <c r="B112">
        <f>VLOOKUP(A112,BCB_selic!I:J,2,0)</f>
        <v>11.233870967741936</v>
      </c>
      <c r="C112">
        <f>VLOOKUP(A112,BCB_expec_IPCA!I:J,2,0)</f>
        <v>5.8422590909090903</v>
      </c>
      <c r="D112">
        <f>VLOOKUP(A112,BCB_ipca_acum12m!A:B,2,0)</f>
        <v>11.3</v>
      </c>
      <c r="F112" s="9">
        <v>44621</v>
      </c>
      <c r="G112">
        <f t="shared" si="2"/>
        <v>5.3916118768328456</v>
      </c>
      <c r="H112">
        <f t="shared" si="3"/>
        <v>-6.6129032258064768E-2</v>
      </c>
    </row>
    <row r="113" spans="1:8" x14ac:dyDescent="0.25">
      <c r="A113" s="9">
        <v>44652</v>
      </c>
      <c r="B113">
        <f>VLOOKUP(A113,BCB_selic!I:J,2,0)</f>
        <v>11.75</v>
      </c>
      <c r="C113">
        <f>VLOOKUP(A113,BCB_expec_IPCA!I:J,2,0)</f>
        <v>5.7883894736842114</v>
      </c>
      <c r="D113">
        <f>VLOOKUP(A113,BCB_ipca_acum12m!A:B,2,0)</f>
        <v>12.13</v>
      </c>
      <c r="F113" s="9">
        <v>44652</v>
      </c>
      <c r="G113">
        <f t="shared" si="2"/>
        <v>5.9616105263157886</v>
      </c>
      <c r="H113">
        <f t="shared" si="3"/>
        <v>-0.38000000000000078</v>
      </c>
    </row>
    <row r="114" spans="1:8" x14ac:dyDescent="0.25">
      <c r="A114" s="9">
        <v>44682</v>
      </c>
      <c r="B114">
        <f>VLOOKUP(A114,BCB_selic!I:J,2,0)</f>
        <v>12.620967741935484</v>
      </c>
      <c r="C114">
        <f>VLOOKUP(A114,BCB_expec_IPCA!I:J,2,0)</f>
        <v>5.9261772727272728</v>
      </c>
      <c r="D114">
        <f>VLOOKUP(A114,BCB_ipca_acum12m!A:B,2,0)</f>
        <v>11.73</v>
      </c>
      <c r="F114" s="9">
        <v>44682</v>
      </c>
      <c r="G114">
        <f t="shared" si="2"/>
        <v>6.6947904692082112</v>
      </c>
      <c r="H114">
        <f t="shared" si="3"/>
        <v>0.89096774193548356</v>
      </c>
    </row>
    <row r="115" spans="1:8" x14ac:dyDescent="0.25">
      <c r="A115" s="9">
        <v>44713</v>
      </c>
      <c r="B115">
        <f>VLOOKUP(A115,BCB_selic!I:J,2,0)</f>
        <v>13</v>
      </c>
      <c r="C115">
        <f>VLOOKUP(A115,BCB_expec_IPCA!I:J,2,0)</f>
        <v>6.0052142857142856</v>
      </c>
      <c r="D115">
        <f>VLOOKUP(A115,BCB_ipca_acum12m!A:B,2,0)</f>
        <v>11.89</v>
      </c>
      <c r="F115" s="9">
        <v>44713</v>
      </c>
      <c r="G115">
        <f t="shared" si="2"/>
        <v>6.9947857142857144</v>
      </c>
      <c r="H115">
        <f t="shared" si="3"/>
        <v>1.1099999999999994</v>
      </c>
    </row>
    <row r="116" spans="1:8" x14ac:dyDescent="0.25">
      <c r="A116" s="9">
        <v>44743</v>
      </c>
      <c r="B116">
        <f>VLOOKUP(A116,BCB_selic!I:J,2,0)</f>
        <v>13.25</v>
      </c>
      <c r="C116">
        <f>VLOOKUP(A116,BCB_expec_IPCA!I:J,2,0)</f>
        <v>5.1659666666666677</v>
      </c>
      <c r="D116">
        <f>VLOOKUP(A116,BCB_ipca_acum12m!A:B,2,0)</f>
        <v>10.07</v>
      </c>
      <c r="F116" s="9">
        <v>44743</v>
      </c>
      <c r="G116">
        <f t="shared" si="2"/>
        <v>8.0840333333333323</v>
      </c>
      <c r="H116">
        <f t="shared" si="3"/>
        <v>3.1799999999999997</v>
      </c>
    </row>
    <row r="117" spans="1:8" x14ac:dyDescent="0.25">
      <c r="A117" s="9">
        <v>44774</v>
      </c>
      <c r="B117">
        <f>VLOOKUP(A117,BCB_selic!I:J,2,0)</f>
        <v>13.701612903225806</v>
      </c>
      <c r="C117">
        <f>VLOOKUP(A117,BCB_expec_IPCA!I:J,2,0)</f>
        <v>5.2781391304347833</v>
      </c>
      <c r="D117">
        <f>VLOOKUP(A117,BCB_ipca_acum12m!A:B,2,0)</f>
        <v>8.73</v>
      </c>
      <c r="F117" s="9">
        <v>44774</v>
      </c>
      <c r="G117">
        <f t="shared" si="2"/>
        <v>8.4234737727910236</v>
      </c>
      <c r="H117">
        <f t="shared" si="3"/>
        <v>4.9716129032258056</v>
      </c>
    </row>
    <row r="118" spans="1:8" x14ac:dyDescent="0.25">
      <c r="A118" s="9">
        <v>44805</v>
      </c>
      <c r="B118">
        <f>VLOOKUP(A118,BCB_selic!I:J,2,0)</f>
        <v>13.75</v>
      </c>
      <c r="C118">
        <f>VLOOKUP(A118,BCB_expec_IPCA!I:J,2,0)</f>
        <v>5.0410666666666675</v>
      </c>
      <c r="D118">
        <f>VLOOKUP(A118,BCB_ipca_acum12m!A:B,2,0)</f>
        <v>7.17</v>
      </c>
      <c r="F118" s="9">
        <v>44805</v>
      </c>
      <c r="G118">
        <f t="shared" si="2"/>
        <v>8.7089333333333325</v>
      </c>
      <c r="H118">
        <f t="shared" si="3"/>
        <v>6.58</v>
      </c>
    </row>
    <row r="119" spans="1:8" x14ac:dyDescent="0.25">
      <c r="A119" s="9">
        <v>44835</v>
      </c>
      <c r="B119">
        <f>VLOOKUP(A119,BCB_selic!I:J,2,0)</f>
        <v>13.75</v>
      </c>
      <c r="C119">
        <f>VLOOKUP(A119,BCB_expec_IPCA!I:J,2,0)</f>
        <v>5.0084750000000016</v>
      </c>
      <c r="D119">
        <f>VLOOKUP(A119,BCB_ipca_acum12m!A:B,2,0)</f>
        <v>6.47</v>
      </c>
      <c r="F119" s="9">
        <v>44835</v>
      </c>
      <c r="G119">
        <f t="shared" si="2"/>
        <v>8.7415249999999993</v>
      </c>
      <c r="H119">
        <f t="shared" si="3"/>
        <v>7.28</v>
      </c>
    </row>
    <row r="120" spans="1:8" x14ac:dyDescent="0.25">
      <c r="A120" s="9">
        <v>44866</v>
      </c>
      <c r="B120">
        <f>VLOOKUP(A120,BCB_selic!I:J,2,0)</f>
        <v>13.75</v>
      </c>
      <c r="C120">
        <f>VLOOKUP(A120,BCB_expec_IPCA!I:J,2,0)</f>
        <v>5.2319500000000012</v>
      </c>
      <c r="D120">
        <f>VLOOKUP(A120,BCB_ipca_acum12m!A:B,2,0)</f>
        <v>5.9</v>
      </c>
      <c r="F120" s="9">
        <v>44866</v>
      </c>
      <c r="G120">
        <f t="shared" si="2"/>
        <v>8.5180499999999988</v>
      </c>
      <c r="H120">
        <f t="shared" si="3"/>
        <v>7.85</v>
      </c>
    </row>
    <row r="121" spans="1:8" x14ac:dyDescent="0.25">
      <c r="A121" s="9">
        <v>44896</v>
      </c>
      <c r="B121">
        <f>VLOOKUP(A121,BCB_selic!I:J,2,0)</f>
        <v>13.75</v>
      </c>
      <c r="C121">
        <f>VLOOKUP(A121,BCB_expec_IPCA!I:J,2,0)</f>
        <v>5.3034636363636372</v>
      </c>
      <c r="D121">
        <f>VLOOKUP(A121,BCB_ipca_acum12m!A:B,2,0)</f>
        <v>5.79</v>
      </c>
      <c r="F121" s="9">
        <v>44896</v>
      </c>
      <c r="G121">
        <f t="shared" si="2"/>
        <v>8.446536363636362</v>
      </c>
      <c r="H121">
        <f t="shared" si="3"/>
        <v>7.96</v>
      </c>
    </row>
    <row r="122" spans="1:8" x14ac:dyDescent="0.25">
      <c r="A122" s="9">
        <v>44927</v>
      </c>
      <c r="B122">
        <f>VLOOKUP(A122,BCB_selic!I:J,2,0)</f>
        <v>13.75</v>
      </c>
      <c r="C122">
        <f>VLOOKUP(A122,BCB_expec_IPCA!I:J,2,0)</f>
        <v>5.4388499999999995</v>
      </c>
      <c r="D122">
        <f>VLOOKUP(A122,BCB_ipca_acum12m!A:B,2,0)</f>
        <v>5.77</v>
      </c>
      <c r="F122" s="9">
        <v>44927</v>
      </c>
      <c r="G122">
        <f t="shared" si="2"/>
        <v>8.3111500000000014</v>
      </c>
      <c r="H122">
        <f t="shared" si="3"/>
        <v>7.98</v>
      </c>
    </row>
    <row r="123" spans="1:8" x14ac:dyDescent="0.25">
      <c r="A123" s="9">
        <v>44958</v>
      </c>
      <c r="B123">
        <f>VLOOKUP(A123,BCB_selic!I:J,2,0)</f>
        <v>13.75</v>
      </c>
      <c r="C123">
        <f>VLOOKUP(A123,BCB_expec_IPCA!I:J,2,0)</f>
        <v>5.7636833333333337</v>
      </c>
      <c r="D123">
        <f>VLOOKUP(A123,BCB_ipca_acum12m!A:B,2,0)</f>
        <v>5.6</v>
      </c>
      <c r="F123" s="9">
        <v>44958</v>
      </c>
      <c r="G123">
        <f t="shared" si="2"/>
        <v>7.9863166666666663</v>
      </c>
      <c r="H123">
        <f t="shared" si="3"/>
        <v>8.15</v>
      </c>
    </row>
    <row r="124" spans="1:8" x14ac:dyDescent="0.25">
      <c r="A124" s="9">
        <v>44986</v>
      </c>
      <c r="B124">
        <f>VLOOKUP(A124,BCB_selic!I:J,2,0)</f>
        <v>13.75</v>
      </c>
      <c r="C124">
        <f>VLOOKUP(A124,BCB_expec_IPCA!I:J,2,0)</f>
        <v>5.6175478260869562</v>
      </c>
      <c r="D124">
        <f>VLOOKUP(A124,BCB_ipca_acum12m!A:B,2,0)</f>
        <v>4.6500000000000004</v>
      </c>
      <c r="F124" s="9">
        <v>44986</v>
      </c>
      <c r="G124">
        <f t="shared" si="2"/>
        <v>8.1324521739130446</v>
      </c>
      <c r="H124">
        <f t="shared" si="3"/>
        <v>9.1</v>
      </c>
    </row>
    <row r="125" spans="1:8" x14ac:dyDescent="0.25">
      <c r="A125" s="9">
        <v>45017</v>
      </c>
      <c r="B125">
        <f>VLOOKUP(A125,BCB_selic!I:J,2,0)</f>
        <v>13.75</v>
      </c>
      <c r="C125">
        <f>VLOOKUP(A125,BCB_expec_IPCA!I:J,2,0)</f>
        <v>5.3426333333333345</v>
      </c>
      <c r="D125">
        <f>VLOOKUP(A125,BCB_ipca_acum12m!A:B,2,0)</f>
        <v>4.18</v>
      </c>
      <c r="F125" s="9">
        <v>45017</v>
      </c>
      <c r="G125">
        <f t="shared" si="2"/>
        <v>8.4073666666666647</v>
      </c>
      <c r="H125">
        <f t="shared" si="3"/>
        <v>9.57</v>
      </c>
    </row>
    <row r="126" spans="1:8" x14ac:dyDescent="0.25">
      <c r="A126" s="9">
        <v>45047</v>
      </c>
      <c r="B126">
        <f>VLOOKUP(A126,BCB_selic!I:J,2,0)</f>
        <v>13.75</v>
      </c>
      <c r="C126">
        <f>VLOOKUP(A126,BCB_expec_IPCA!I:J,2,0)</f>
        <v>5.0159545454545453</v>
      </c>
      <c r="D126">
        <f>VLOOKUP(A126,BCB_ipca_acum12m!A:B,2,0)</f>
        <v>3.94</v>
      </c>
      <c r="F126" s="9">
        <v>45047</v>
      </c>
      <c r="G126">
        <f t="shared" si="2"/>
        <v>8.7340454545454556</v>
      </c>
      <c r="H126">
        <f t="shared" si="3"/>
        <v>9.81</v>
      </c>
    </row>
    <row r="127" spans="1:8" x14ac:dyDescent="0.25">
      <c r="A127" s="9">
        <v>45078</v>
      </c>
      <c r="B127">
        <f>VLOOKUP(A127,BCB_selic!I:J,2,0)</f>
        <v>13.75</v>
      </c>
      <c r="C127">
        <f>VLOOKUP(A127,BCB_expec_IPCA!I:J,2,0)</f>
        <v>4.2629142857142854</v>
      </c>
      <c r="D127">
        <f>VLOOKUP(A127,BCB_ipca_acum12m!A:B,2,0)</f>
        <v>3.16</v>
      </c>
      <c r="F127" s="9">
        <v>45078</v>
      </c>
      <c r="G127">
        <f t="shared" si="2"/>
        <v>9.4870857142857155</v>
      </c>
      <c r="H127">
        <f t="shared" si="3"/>
        <v>10.59</v>
      </c>
    </row>
    <row r="128" spans="1:8" x14ac:dyDescent="0.25">
      <c r="A128" s="9">
        <v>45108</v>
      </c>
      <c r="B128">
        <f>VLOOKUP(A128,BCB_selic!I:J,2,0)</f>
        <v>13.75</v>
      </c>
      <c r="C128">
        <f>VLOOKUP(A128,BCB_expec_IPCA!I:J,2,0)</f>
        <v>4.0913095238095236</v>
      </c>
      <c r="D128">
        <f>VLOOKUP(A128,BCB_ipca_acum12m!A:B,2,0)</f>
        <v>3.99</v>
      </c>
      <c r="F128" s="9">
        <v>45108</v>
      </c>
      <c r="G128">
        <f t="shared" si="2"/>
        <v>9.6586904761904755</v>
      </c>
      <c r="H128">
        <f t="shared" si="3"/>
        <v>9.76</v>
      </c>
    </row>
    <row r="129" spans="1:8" x14ac:dyDescent="0.25">
      <c r="A129" s="9">
        <v>45139</v>
      </c>
      <c r="B129">
        <f>VLOOKUP(A129,BCB_selic!I:J,2,0)</f>
        <v>13.28225806451613</v>
      </c>
      <c r="C129">
        <f>VLOOKUP(A129,BCB_expec_IPCA!I:J,2,0)</f>
        <v>4.126734782608696</v>
      </c>
      <c r="D129">
        <f>VLOOKUP(A129,BCB_ipca_acum12m!A:B,2,0)</f>
        <v>4.6100000000000003</v>
      </c>
      <c r="F129" s="9">
        <v>45139</v>
      </c>
      <c r="G129">
        <f t="shared" si="2"/>
        <v>9.1555232819074348</v>
      </c>
      <c r="H129">
        <f t="shared" si="3"/>
        <v>8.6722580645161287</v>
      </c>
    </row>
    <row r="130" spans="1:8" x14ac:dyDescent="0.25">
      <c r="A130" s="9">
        <v>45170</v>
      </c>
      <c r="B130">
        <f>VLOOKUP(A130,BCB_selic!I:J,2,0)</f>
        <v>13.083333333333334</v>
      </c>
      <c r="C130">
        <f>VLOOKUP(A130,BCB_expec_IPCA!I:J,2,0)</f>
        <v>4.1264249999999993</v>
      </c>
      <c r="D130">
        <f>VLOOKUP(A130,BCB_ipca_acum12m!A:B,2,0)</f>
        <v>5.19</v>
      </c>
      <c r="F130" s="9">
        <v>45170</v>
      </c>
      <c r="G130">
        <f t="shared" si="2"/>
        <v>8.9569083333333346</v>
      </c>
      <c r="H130">
        <f t="shared" si="3"/>
        <v>7.8933333333333335</v>
      </c>
    </row>
    <row r="131" spans="1:8" x14ac:dyDescent="0.25">
      <c r="A131" s="9">
        <v>45200</v>
      </c>
      <c r="B131">
        <f>VLOOKUP(A131,BCB_selic!I:J,2,0)</f>
        <v>12.75</v>
      </c>
      <c r="C131">
        <f>VLOOKUP(A131,BCB_expec_IPCA!I:J,2,0)</f>
        <v>3.9899952380952382</v>
      </c>
      <c r="D131">
        <f>VLOOKUP(A131,BCB_ipca_acum12m!A:B,2,0)</f>
        <v>4.82</v>
      </c>
      <c r="F131" s="9">
        <v>45200</v>
      </c>
      <c r="G131">
        <f t="shared" ref="G131:G157" si="4">B131-C131</f>
        <v>8.7600047619047618</v>
      </c>
      <c r="H131">
        <f t="shared" ref="H131:H157" si="5">B131-D131</f>
        <v>7.93</v>
      </c>
    </row>
    <row r="132" spans="1:8" x14ac:dyDescent="0.25">
      <c r="A132" s="9">
        <v>45231</v>
      </c>
      <c r="B132">
        <f>VLOOKUP(A132,BCB_selic!I:J,2,0)</f>
        <v>12.266666666666667</v>
      </c>
      <c r="C132">
        <f>VLOOKUP(A132,BCB_expec_IPCA!I:J,2,0)</f>
        <v>3.9193649999999991</v>
      </c>
      <c r="D132">
        <f>VLOOKUP(A132,BCB_ipca_acum12m!A:B,2,0)</f>
        <v>4.68</v>
      </c>
      <c r="F132" s="9">
        <v>45231</v>
      </c>
      <c r="G132">
        <f t="shared" si="4"/>
        <v>8.3473016666666684</v>
      </c>
      <c r="H132">
        <f t="shared" si="5"/>
        <v>7.5866666666666678</v>
      </c>
    </row>
    <row r="133" spans="1:8" x14ac:dyDescent="0.25">
      <c r="A133" s="9">
        <v>45261</v>
      </c>
      <c r="B133">
        <f>VLOOKUP(A133,BCB_selic!I:J,2,0)</f>
        <v>11.959677419354838</v>
      </c>
      <c r="C133">
        <f>VLOOKUP(A133,BCB_expec_IPCA!I:J,2,0)</f>
        <v>3.8853099999999996</v>
      </c>
      <c r="D133">
        <f>VLOOKUP(A133,BCB_ipca_acum12m!A:B,2,0)</f>
        <v>4.62</v>
      </c>
      <c r="F133" s="9">
        <v>45261</v>
      </c>
      <c r="G133">
        <f t="shared" si="4"/>
        <v>8.0743674193548394</v>
      </c>
      <c r="H133">
        <f t="shared" si="5"/>
        <v>7.339677419354838</v>
      </c>
    </row>
    <row r="134" spans="1:8" x14ac:dyDescent="0.25">
      <c r="A134" s="9">
        <v>45292</v>
      </c>
      <c r="B134">
        <f>VLOOKUP(A134,BCB_selic!I:J,2,0)</f>
        <v>11.75</v>
      </c>
      <c r="C134">
        <f>VLOOKUP(A134,BCB_expec_IPCA!I:J,2,0)</f>
        <v>3.8413818181818185</v>
      </c>
      <c r="D134">
        <f>VLOOKUP(A134,BCB_ipca_acum12m!A:B,2,0)</f>
        <v>4.51</v>
      </c>
      <c r="F134" s="9">
        <v>45292</v>
      </c>
      <c r="G134">
        <f t="shared" si="4"/>
        <v>7.9086181818181815</v>
      </c>
      <c r="H134">
        <f t="shared" si="5"/>
        <v>7.24</v>
      </c>
    </row>
    <row r="135" spans="1:8" x14ac:dyDescent="0.25">
      <c r="A135" s="9">
        <v>45323</v>
      </c>
      <c r="B135">
        <f>VLOOKUP(A135,BCB_selic!I:J,2,0)</f>
        <v>11.25</v>
      </c>
      <c r="C135">
        <f>VLOOKUP(A135,BCB_expec_IPCA!I:J,2,0)</f>
        <v>3.7874842105263165</v>
      </c>
      <c r="D135">
        <f>VLOOKUP(A135,BCB_ipca_acum12m!A:B,2,0)</f>
        <v>4.5</v>
      </c>
      <c r="F135" s="9">
        <v>45323</v>
      </c>
      <c r="G135">
        <f t="shared" si="4"/>
        <v>7.4625157894736835</v>
      </c>
      <c r="H135">
        <f t="shared" si="5"/>
        <v>6.75</v>
      </c>
    </row>
    <row r="136" spans="1:8" x14ac:dyDescent="0.25">
      <c r="A136" s="9">
        <v>45352</v>
      </c>
      <c r="B136">
        <f>VLOOKUP(A136,BCB_selic!I:J,2,0)</f>
        <v>11.07258064516129</v>
      </c>
      <c r="C136">
        <f>VLOOKUP(A136,BCB_expec_IPCA!I:J,2,0)</f>
        <v>3.5431599999999994</v>
      </c>
      <c r="D136">
        <f>VLOOKUP(A136,BCB_ipca_acum12m!A:B,2,0)</f>
        <v>3.93</v>
      </c>
      <c r="F136" s="9">
        <v>45352</v>
      </c>
      <c r="G136">
        <f t="shared" si="4"/>
        <v>7.5294206451612906</v>
      </c>
      <c r="H136">
        <f t="shared" si="5"/>
        <v>7.1425806451612903</v>
      </c>
    </row>
    <row r="137" spans="1:8" x14ac:dyDescent="0.25">
      <c r="A137" s="9">
        <v>45383</v>
      </c>
      <c r="B137">
        <f>VLOOKUP(A137,BCB_selic!I:J,2,0)</f>
        <v>10.75</v>
      </c>
      <c r="C137">
        <f>VLOOKUP(A137,BCB_expec_IPCA!I:J,2,0)</f>
        <v>3.5117318181818176</v>
      </c>
      <c r="D137">
        <f>VLOOKUP(A137,BCB_ipca_acum12m!A:B,2,0)</f>
        <v>3.69</v>
      </c>
      <c r="F137" s="9">
        <v>45383</v>
      </c>
      <c r="G137">
        <f t="shared" si="4"/>
        <v>7.2382681818181824</v>
      </c>
      <c r="H137">
        <f t="shared" si="5"/>
        <v>7.0600000000000005</v>
      </c>
    </row>
    <row r="138" spans="1:8" x14ac:dyDescent="0.25">
      <c r="A138" s="9">
        <v>45413</v>
      </c>
      <c r="B138">
        <f>VLOOKUP(A138,BCB_selic!I:J,2,0)</f>
        <v>10.564516129032258</v>
      </c>
      <c r="C138">
        <f>VLOOKUP(A138,BCB_expec_IPCA!I:J,2,0)</f>
        <v>3.650152380952381</v>
      </c>
      <c r="D138">
        <f>VLOOKUP(A138,BCB_ipca_acum12m!A:B,2,0)</f>
        <v>3.93</v>
      </c>
      <c r="F138" s="9">
        <v>45413</v>
      </c>
      <c r="G138">
        <f t="shared" si="4"/>
        <v>6.914363748079877</v>
      </c>
      <c r="H138">
        <f t="shared" si="5"/>
        <v>6.6345161290322583</v>
      </c>
    </row>
    <row r="139" spans="1:8" x14ac:dyDescent="0.25">
      <c r="A139" s="9">
        <v>45444</v>
      </c>
      <c r="B139">
        <f>VLOOKUP(A139,BCB_selic!I:J,2,0)</f>
        <v>10.5</v>
      </c>
      <c r="C139">
        <f>VLOOKUP(A139,BCB_expec_IPCA!I:J,2,0)</f>
        <v>3.6485449999999999</v>
      </c>
      <c r="D139">
        <f>VLOOKUP(A139,BCB_ipca_acum12m!A:B,2,0)</f>
        <v>4.2300000000000004</v>
      </c>
      <c r="F139" s="9">
        <v>45444</v>
      </c>
      <c r="G139">
        <f t="shared" si="4"/>
        <v>6.8514549999999996</v>
      </c>
      <c r="H139">
        <f t="shared" si="5"/>
        <v>6.27</v>
      </c>
    </row>
    <row r="140" spans="1:8" x14ac:dyDescent="0.25">
      <c r="A140" s="9">
        <v>45474</v>
      </c>
      <c r="B140">
        <f>VLOOKUP(A140,BCB_selic!I:J,2,0)</f>
        <v>10.5</v>
      </c>
      <c r="C140">
        <f>VLOOKUP(A140,BCB_expec_IPCA!I:J,2,0)</f>
        <v>3.7192608695652183</v>
      </c>
      <c r="D140">
        <f>VLOOKUP(A140,BCB_ipca_acum12m!A:B,2,0)</f>
        <v>4.5</v>
      </c>
      <c r="F140" s="9">
        <v>45474</v>
      </c>
      <c r="G140">
        <f t="shared" si="4"/>
        <v>6.7807391304347817</v>
      </c>
      <c r="H140">
        <f t="shared" si="5"/>
        <v>6</v>
      </c>
    </row>
    <row r="141" spans="1:8" x14ac:dyDescent="0.25">
      <c r="A141" s="9">
        <v>45505</v>
      </c>
      <c r="B141">
        <f>VLOOKUP(A141,BCB_selic!I:J,2,0)</f>
        <v>10.5</v>
      </c>
      <c r="C141">
        <f>VLOOKUP(A141,BCB_expec_IPCA!I:J,2,0)</f>
        <v>3.7712090909090894</v>
      </c>
      <c r="D141">
        <f>VLOOKUP(A141,BCB_ipca_acum12m!A:B,2,0)</f>
        <v>4.24</v>
      </c>
      <c r="F141" s="9">
        <v>45505</v>
      </c>
      <c r="G141">
        <f t="shared" si="4"/>
        <v>6.728790909090911</v>
      </c>
      <c r="H141">
        <f t="shared" si="5"/>
        <v>6.26</v>
      </c>
    </row>
    <row r="142" spans="1:8" x14ac:dyDescent="0.25">
      <c r="A142" s="9">
        <v>45536</v>
      </c>
      <c r="B142">
        <f>VLOOKUP(A142,BCB_selic!I:J,2,0)</f>
        <v>10.6</v>
      </c>
      <c r="C142">
        <f>VLOOKUP(A142,BCB_expec_IPCA!I:J,2,0)</f>
        <v>4.0134809523809523</v>
      </c>
      <c r="D142">
        <f>VLOOKUP(A142,BCB_ipca_acum12m!A:B,2,0)</f>
        <v>4.42</v>
      </c>
      <c r="F142" s="9">
        <v>45536</v>
      </c>
      <c r="G142">
        <f t="shared" si="4"/>
        <v>6.5865190476190474</v>
      </c>
      <c r="H142">
        <f t="shared" si="5"/>
        <v>6.18</v>
      </c>
    </row>
    <row r="143" spans="1:8" x14ac:dyDescent="0.25">
      <c r="A143" s="9">
        <v>45566</v>
      </c>
      <c r="B143">
        <f>VLOOKUP(A143,BCB_selic!I:J,2,0)</f>
        <v>10.75</v>
      </c>
      <c r="C143">
        <f>VLOOKUP(A143,BCB_expec_IPCA!I:J,2,0)</f>
        <v>4.0766217391304362</v>
      </c>
      <c r="D143">
        <f>VLOOKUP(A143,BCB_ipca_acum12m!A:B,2,0)</f>
        <v>4.76</v>
      </c>
      <c r="F143" s="9">
        <v>45566</v>
      </c>
      <c r="G143">
        <f t="shared" si="4"/>
        <v>6.6733782608695638</v>
      </c>
      <c r="H143">
        <f t="shared" si="5"/>
        <v>5.99</v>
      </c>
    </row>
    <row r="144" spans="1:8" x14ac:dyDescent="0.25">
      <c r="A144" s="9">
        <v>45597</v>
      </c>
      <c r="B144">
        <f>VLOOKUP(A144,BCB_selic!I:J,2,0)</f>
        <v>11.15</v>
      </c>
      <c r="C144">
        <f>VLOOKUP(A144,BCB_expec_IPCA!I:J,2,0)</f>
        <v>4.2304684210526302</v>
      </c>
      <c r="D144">
        <f>VLOOKUP(A144,BCB_ipca_acum12m!A:B,2,0)</f>
        <v>4.87</v>
      </c>
      <c r="F144" s="9">
        <v>45597</v>
      </c>
      <c r="G144">
        <f t="shared" si="4"/>
        <v>6.9195315789473701</v>
      </c>
      <c r="H144">
        <f t="shared" si="5"/>
        <v>6.28</v>
      </c>
    </row>
    <row r="145" spans="1:8" x14ac:dyDescent="0.25">
      <c r="A145" s="9">
        <v>45627</v>
      </c>
      <c r="B145">
        <f>VLOOKUP(A145,BCB_selic!I:J,2,0)</f>
        <v>11.89516129032258</v>
      </c>
      <c r="C145">
        <f>VLOOKUP(A145,BCB_expec_IPCA!I:J,2,0)</f>
        <v>4.7350047619047624</v>
      </c>
      <c r="D145">
        <f>VLOOKUP(A145,BCB_ipca_acum12m!A:B,2,0)</f>
        <v>4.83</v>
      </c>
      <c r="F145" s="9">
        <v>45627</v>
      </c>
      <c r="G145">
        <f t="shared" si="4"/>
        <v>7.1601565284178177</v>
      </c>
      <c r="H145">
        <f t="shared" si="5"/>
        <v>7.06516129032258</v>
      </c>
    </row>
    <row r="146" spans="1:8" x14ac:dyDescent="0.25">
      <c r="A146" s="9">
        <v>45658</v>
      </c>
      <c r="B146">
        <f>VLOOKUP(A146,BCB_selic!I:J,2,0)</f>
        <v>12.314516129032258</v>
      </c>
      <c r="C146">
        <f>VLOOKUP(A146,BCB_expec_IPCA!I:J,2,0)</f>
        <v>5.1725181818181829</v>
      </c>
      <c r="D146">
        <f>VLOOKUP(A146,BCB_ipca_acum12m!A:B,2,0)</f>
        <v>4.5599999999999996</v>
      </c>
      <c r="F146" s="9">
        <v>45658</v>
      </c>
      <c r="G146">
        <f t="shared" si="4"/>
        <v>7.1419979472140751</v>
      </c>
      <c r="H146">
        <f t="shared" si="5"/>
        <v>7.7545161290322584</v>
      </c>
    </row>
    <row r="147" spans="1:8" x14ac:dyDescent="0.25">
      <c r="A147" s="9">
        <v>45689</v>
      </c>
      <c r="B147">
        <f>VLOOKUP(A147,BCB_selic!I:J,2,0)</f>
        <v>13.25</v>
      </c>
      <c r="C147">
        <f>VLOOKUP(A147,BCB_expec_IPCA!I:J,2,0)</f>
        <v>5.8119350000000001</v>
      </c>
      <c r="D147">
        <f>VLOOKUP(A147,BCB_ipca_acum12m!A:B,2,0)</f>
        <v>5.0599999999999996</v>
      </c>
      <c r="F147" s="9">
        <v>45689</v>
      </c>
      <c r="G147">
        <f t="shared" si="4"/>
        <v>7.4380649999999999</v>
      </c>
      <c r="H147">
        <f t="shared" si="5"/>
        <v>8.1900000000000013</v>
      </c>
    </row>
    <row r="148" spans="1:8" x14ac:dyDescent="0.25">
      <c r="A148" s="9">
        <v>45717</v>
      </c>
      <c r="B148">
        <f>VLOOKUP(A148,BCB_selic!I:J,2,0)</f>
        <v>13.637096774193548</v>
      </c>
      <c r="C148">
        <f>VLOOKUP(A148,BCB_expec_IPCA!I:J,2,0)</f>
        <v>5.4310789473684222</v>
      </c>
      <c r="D148">
        <f>VLOOKUP(A148,BCB_ipca_acum12m!A:B,2,0)</f>
        <v>5.48</v>
      </c>
      <c r="F148" s="9">
        <v>45717</v>
      </c>
      <c r="G148">
        <f t="shared" si="4"/>
        <v>8.2060178268251249</v>
      </c>
      <c r="H148">
        <f t="shared" si="5"/>
        <v>8.1570967741935476</v>
      </c>
    </row>
    <row r="149" spans="1:8" x14ac:dyDescent="0.25">
      <c r="A149" s="9">
        <v>45748</v>
      </c>
      <c r="B149">
        <f>VLOOKUP(A149,BCB_selic!I:J,2,0)</f>
        <v>14.25</v>
      </c>
      <c r="C149">
        <f>VLOOKUP(A149,BCB_expec_IPCA!I:J,2,0)</f>
        <v>5.0863950000000013</v>
      </c>
      <c r="D149">
        <f>VLOOKUP(A149,BCB_ipca_acum12m!A:B,2,0)</f>
        <v>5.53</v>
      </c>
      <c r="F149" s="9">
        <v>45748</v>
      </c>
      <c r="G149">
        <f t="shared" si="4"/>
        <v>9.1636049999999987</v>
      </c>
      <c r="H149">
        <f t="shared" si="5"/>
        <v>8.7199999999999989</v>
      </c>
    </row>
    <row r="150" spans="1:8" x14ac:dyDescent="0.25">
      <c r="A150" s="9">
        <v>45778</v>
      </c>
      <c r="B150">
        <f>VLOOKUP(A150,BCB_selic!I:J,2,0)</f>
        <v>14.637096774193548</v>
      </c>
      <c r="C150">
        <f>VLOOKUP(A150,BCB_expec_IPCA!I:J,2,0)</f>
        <v>4.9267999999999992</v>
      </c>
      <c r="D150">
        <f>VLOOKUP(A150,BCB_ipca_acum12m!A:B,2,0)</f>
        <v>5.32</v>
      </c>
      <c r="F150" s="9">
        <v>45778</v>
      </c>
      <c r="G150">
        <f t="shared" si="4"/>
        <v>9.710296774193548</v>
      </c>
      <c r="H150">
        <f t="shared" si="5"/>
        <v>9.3170967741935478</v>
      </c>
    </row>
    <row r="151" spans="1:8" x14ac:dyDescent="0.25">
      <c r="A151" s="9">
        <v>45809</v>
      </c>
      <c r="B151">
        <f>VLOOKUP(A151,BCB_selic!I:J,2,0)</f>
        <v>14.85</v>
      </c>
      <c r="C151">
        <f>VLOOKUP(A151,BCB_expec_IPCA!I:J,2,0)</f>
        <v>4.7472949999999994</v>
      </c>
      <c r="D151">
        <f>VLOOKUP(A151,BCB_ipca_acum12m!A:B,2,0)</f>
        <v>5.35</v>
      </c>
      <c r="F151" s="9">
        <v>45809</v>
      </c>
      <c r="G151">
        <f t="shared" si="4"/>
        <v>10.102705</v>
      </c>
      <c r="H151">
        <f t="shared" si="5"/>
        <v>9.5</v>
      </c>
    </row>
    <row r="152" spans="1:8" x14ac:dyDescent="0.25">
      <c r="A152" s="9">
        <v>45839</v>
      </c>
      <c r="B152">
        <f>VLOOKUP(A152,BCB_selic!I:J,2,0)</f>
        <v>15</v>
      </c>
      <c r="C152">
        <f>VLOOKUP(A152,BCB_expec_IPCA!I:J,2,0)</f>
        <v>4.588095652173914</v>
      </c>
      <c r="D152">
        <f>VLOOKUP(A152,BCB_ipca_acum12m!A:B,2,0)</f>
        <v>5.23</v>
      </c>
      <c r="F152" s="9">
        <v>45839</v>
      </c>
      <c r="G152">
        <f t="shared" si="4"/>
        <v>10.411904347826086</v>
      </c>
      <c r="H152">
        <f t="shared" si="5"/>
        <v>9.77</v>
      </c>
    </row>
    <row r="153" spans="1:8" x14ac:dyDescent="0.25">
      <c r="A153" s="9">
        <v>45870</v>
      </c>
      <c r="B153">
        <f>VLOOKUP(A153,BCB_selic!I:J,2,0)</f>
        <v>15</v>
      </c>
      <c r="C153">
        <f>VLOOKUP(A153,BCB_expec_IPCA!I:J,2,0)</f>
        <v>4.340009523809524</v>
      </c>
      <c r="D153">
        <f>VLOOKUP(A153,BCB_ipca_acum12m!A:B,2,0)</f>
        <v>5.13</v>
      </c>
      <c r="F153" s="9">
        <v>45870</v>
      </c>
      <c r="G153">
        <f t="shared" si="4"/>
        <v>10.659990476190476</v>
      </c>
      <c r="H153">
        <f t="shared" si="5"/>
        <v>9.870000000000001</v>
      </c>
    </row>
    <row r="154" spans="1:8" x14ac:dyDescent="0.25">
      <c r="A154" s="9">
        <v>45901</v>
      </c>
      <c r="B154">
        <f>VLOOKUP(A154,BCB_selic!I:J,2,0)</f>
        <v>15</v>
      </c>
      <c r="C154">
        <f>VLOOKUP(A154,BCB_expec_IPCA!I:J,2,0)</f>
        <v>4.3600000000000012</v>
      </c>
      <c r="D154">
        <f>VLOOKUP(A154,BCB_ipca_acum12m!A:B,2,0)</f>
        <v>5.17</v>
      </c>
      <c r="F154" s="9">
        <v>45901</v>
      </c>
      <c r="G154">
        <f t="shared" si="4"/>
        <v>10.639999999999999</v>
      </c>
      <c r="H154">
        <f t="shared" si="5"/>
        <v>9.83</v>
      </c>
    </row>
    <row r="155" spans="1:8" x14ac:dyDescent="0.25">
      <c r="A155" s="9">
        <v>45931</v>
      </c>
      <c r="B155">
        <f>VLOOKUP(A155,BCB_selic!I:J,2,0)</f>
        <v>15</v>
      </c>
      <c r="C155">
        <f>VLOOKUP(A155,BCB_expec_IPCA!I:J,2,0)</f>
        <v>4.1523695652173913</v>
      </c>
      <c r="D155">
        <f>VLOOKUP(A155,BCB_ipca_acum12m!A:B,2,0)</f>
        <v>4.68</v>
      </c>
      <c r="F155" s="9">
        <v>45931</v>
      </c>
      <c r="G155">
        <f t="shared" si="4"/>
        <v>10.847630434782609</v>
      </c>
      <c r="H155">
        <f t="shared" si="5"/>
        <v>10.32</v>
      </c>
    </row>
    <row r="156" spans="1:8" x14ac:dyDescent="0.25">
      <c r="A156" s="9">
        <v>45962</v>
      </c>
      <c r="B156">
        <f>VLOOKUP(A156,BCB_selic!I:J,2,0)</f>
        <v>15</v>
      </c>
      <c r="C156">
        <f>VLOOKUP(A156,BCB_expec_IPCA!I:J,2,0)</f>
        <v>4.0359789473684211</v>
      </c>
      <c r="D156">
        <f>VLOOKUP(A156,BCB_ipca_acum12m!A:B,2,0)</f>
        <v>4.46</v>
      </c>
      <c r="F156" s="9">
        <v>45962</v>
      </c>
      <c r="G156">
        <f t="shared" si="4"/>
        <v>10.96402105263158</v>
      </c>
      <c r="H156">
        <f t="shared" si="5"/>
        <v>10.54</v>
      </c>
    </row>
    <row r="157" spans="1:8" x14ac:dyDescent="0.25">
      <c r="A157" s="9">
        <v>45992</v>
      </c>
      <c r="B157">
        <f>VLOOKUP(A157,BCB_selic!I:J,2,0)</f>
        <v>15</v>
      </c>
      <c r="C157">
        <f>VLOOKUP(A157,BCB_expec_IPCA!I:J,2,0)</f>
        <v>3.9991909090909088</v>
      </c>
      <c r="D157">
        <f>VLOOKUP(A157,BCB_ipca_acum12m!A:B,2,0)</f>
        <v>4.26</v>
      </c>
      <c r="F157" s="9">
        <v>45992</v>
      </c>
      <c r="G157">
        <f t="shared" si="4"/>
        <v>11.00080909090909</v>
      </c>
      <c r="H157">
        <f t="shared" si="5"/>
        <v>10.74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0414A-900C-441B-994C-5C7A8F9B281D}">
  <sheetPr>
    <tabColor theme="5" tint="0.79998168889431442"/>
  </sheetPr>
  <dimension ref="A1:J164"/>
  <sheetViews>
    <sheetView workbookViewId="0">
      <selection activeCell="G17" sqref="G17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16.5703125" bestFit="1" customWidth="1"/>
    <col min="4" max="4" width="12" bestFit="1" customWidth="1"/>
    <col min="5" max="5" width="10.42578125" bestFit="1" customWidth="1"/>
    <col min="6" max="8" width="9.140625" style="16"/>
    <col min="9" max="9" width="15.85546875" bestFit="1" customWidth="1"/>
  </cols>
  <sheetData>
    <row r="1" spans="1:10" x14ac:dyDescent="0.25">
      <c r="A1" t="s">
        <v>28</v>
      </c>
      <c r="B1" t="s">
        <v>29</v>
      </c>
      <c r="C1" t="s">
        <v>30</v>
      </c>
      <c r="E1" t="s">
        <v>28</v>
      </c>
      <c r="I1" t="s">
        <v>31</v>
      </c>
      <c r="J1" s="17">
        <f>AVERAGE(G:G)</f>
        <v>0.78927363371232573</v>
      </c>
    </row>
    <row r="2" spans="1:10" x14ac:dyDescent="0.25">
      <c r="A2" s="9">
        <v>41275</v>
      </c>
      <c r="B2">
        <v>56448</v>
      </c>
      <c r="C2">
        <v>6795.4406546948649</v>
      </c>
      <c r="E2" s="9">
        <v>41275</v>
      </c>
    </row>
    <row r="3" spans="1:10" x14ac:dyDescent="0.25">
      <c r="A3" s="9">
        <v>41306</v>
      </c>
      <c r="B3">
        <v>58497</v>
      </c>
      <c r="C3">
        <v>7295.2401476194209</v>
      </c>
      <c r="E3" s="9">
        <v>41306</v>
      </c>
      <c r="F3" s="16">
        <f>rotativo_[[#This Row],[AMORTIZACAO]]/B2</f>
        <v>0.12923823957659122</v>
      </c>
      <c r="G3" s="16">
        <f>(1-(1-F3)^12)</f>
        <v>0.8099831192866056</v>
      </c>
    </row>
    <row r="4" spans="1:10" x14ac:dyDescent="0.25">
      <c r="A4" s="9">
        <v>41334</v>
      </c>
      <c r="B4">
        <v>58023</v>
      </c>
      <c r="C4">
        <v>7086.6996200865988</v>
      </c>
      <c r="E4" s="9">
        <v>41334</v>
      </c>
      <c r="F4" s="16">
        <f>rotativo_[[#This Row],[AMORTIZACAO]]/B3</f>
        <v>0.12114637708064685</v>
      </c>
      <c r="G4" s="16">
        <f t="shared" ref="G4:G67" si="0">(1-(1-F4)^12)</f>
        <v>0.78767625368478844</v>
      </c>
    </row>
    <row r="5" spans="1:10" x14ac:dyDescent="0.25">
      <c r="A5" s="9">
        <v>41365</v>
      </c>
      <c r="B5">
        <v>58696</v>
      </c>
      <c r="C5">
        <v>7124.455558846772</v>
      </c>
      <c r="E5" s="9">
        <v>41365</v>
      </c>
      <c r="F5" s="16">
        <f>rotativo_[[#This Row],[AMORTIZACAO]]/B4</f>
        <v>0.12278674937260693</v>
      </c>
      <c r="G5" s="16">
        <f t="shared" si="0"/>
        <v>0.79238334063711346</v>
      </c>
    </row>
    <row r="6" spans="1:10" x14ac:dyDescent="0.25">
      <c r="A6" s="9">
        <v>41395</v>
      </c>
      <c r="B6">
        <v>58448</v>
      </c>
      <c r="C6">
        <v>7052.7901543187218</v>
      </c>
      <c r="E6" s="9">
        <v>41395</v>
      </c>
      <c r="F6" s="16">
        <f>rotativo_[[#This Row],[AMORTIZACAO]]/B5</f>
        <v>0.12015793502655585</v>
      </c>
      <c r="G6" s="16">
        <f t="shared" si="0"/>
        <v>0.78479286818839844</v>
      </c>
    </row>
    <row r="7" spans="1:10" x14ac:dyDescent="0.25">
      <c r="A7" s="9">
        <v>41426</v>
      </c>
      <c r="B7">
        <v>58312</v>
      </c>
      <c r="C7">
        <v>7158.9924458915693</v>
      </c>
      <c r="E7" s="9">
        <v>41426</v>
      </c>
      <c r="F7" s="16">
        <f>rotativo_[[#This Row],[AMORTIZACAO]]/B6</f>
        <v>0.122484814636798</v>
      </c>
      <c r="G7" s="16">
        <f t="shared" si="0"/>
        <v>0.79152418140183267</v>
      </c>
    </row>
    <row r="8" spans="1:10" x14ac:dyDescent="0.25">
      <c r="A8" s="9">
        <v>41456</v>
      </c>
      <c r="B8">
        <v>58335</v>
      </c>
      <c r="C8">
        <v>7023.3228893699397</v>
      </c>
      <c r="E8" s="9">
        <v>41456</v>
      </c>
      <c r="F8" s="16">
        <f>rotativo_[[#This Row],[AMORTIZACAO]]/B7</f>
        <v>0.12044386900414905</v>
      </c>
      <c r="G8" s="16">
        <f t="shared" si="0"/>
        <v>0.78563063438979031</v>
      </c>
    </row>
    <row r="9" spans="1:10" x14ac:dyDescent="0.25">
      <c r="A9" s="9">
        <v>41487</v>
      </c>
      <c r="B9">
        <v>58901</v>
      </c>
      <c r="C9">
        <v>7125.9032742450308</v>
      </c>
      <c r="E9" s="9">
        <v>41487</v>
      </c>
      <c r="F9" s="16">
        <f>rotativo_[[#This Row],[AMORTIZACAO]]/B8</f>
        <v>0.12215485170558037</v>
      </c>
      <c r="G9" s="16">
        <f t="shared" si="0"/>
        <v>0.79058154151838245</v>
      </c>
    </row>
    <row r="10" spans="1:10" x14ac:dyDescent="0.25">
      <c r="A10" s="9">
        <v>41518</v>
      </c>
      <c r="B10">
        <v>60605</v>
      </c>
      <c r="C10">
        <v>7389.7849468554195</v>
      </c>
      <c r="E10" s="9">
        <v>41518</v>
      </c>
      <c r="F10" s="16">
        <f>rotativo_[[#This Row],[AMORTIZACAO]]/B9</f>
        <v>0.12546111181228536</v>
      </c>
      <c r="G10" s="16">
        <f t="shared" si="0"/>
        <v>0.79985280287195815</v>
      </c>
    </row>
    <row r="11" spans="1:10" x14ac:dyDescent="0.25">
      <c r="A11" s="9">
        <v>41548</v>
      </c>
      <c r="B11">
        <v>59980</v>
      </c>
      <c r="C11">
        <v>7181.5396311209397</v>
      </c>
      <c r="E11" s="9">
        <v>41548</v>
      </c>
      <c r="F11" s="16">
        <f>rotativo_[[#This Row],[AMORTIZACAO]]/B10</f>
        <v>0.11849747761935385</v>
      </c>
      <c r="G11" s="16">
        <f t="shared" si="0"/>
        <v>0.77986823678531914</v>
      </c>
    </row>
    <row r="12" spans="1:10" x14ac:dyDescent="0.25">
      <c r="A12" s="9">
        <v>41579</v>
      </c>
      <c r="B12">
        <v>59710</v>
      </c>
      <c r="C12">
        <v>7296.1503660956405</v>
      </c>
      <c r="E12" s="9">
        <v>41579</v>
      </c>
      <c r="F12" s="16">
        <f>rotativo_[[#This Row],[AMORTIZACAO]]/B11</f>
        <v>0.12164305378618941</v>
      </c>
      <c r="G12" s="16">
        <f t="shared" si="0"/>
        <v>0.78911170211934933</v>
      </c>
    </row>
    <row r="13" spans="1:10" x14ac:dyDescent="0.25">
      <c r="A13" s="9">
        <v>41609</v>
      </c>
      <c r="B13">
        <v>57843</v>
      </c>
      <c r="C13">
        <v>7045.7462391032004</v>
      </c>
      <c r="E13" s="9">
        <v>41609</v>
      </c>
      <c r="F13" s="16">
        <f>rotativo_[[#This Row],[AMORTIZACAO]]/B12</f>
        <v>0.11799943458555016</v>
      </c>
      <c r="G13" s="16">
        <f t="shared" si="0"/>
        <v>0.77837111452625363</v>
      </c>
    </row>
    <row r="14" spans="1:10" x14ac:dyDescent="0.25">
      <c r="A14" s="9">
        <v>41640</v>
      </c>
      <c r="B14">
        <v>60204</v>
      </c>
      <c r="C14">
        <v>7304.84131225495</v>
      </c>
      <c r="E14" s="9">
        <v>41640</v>
      </c>
      <c r="F14" s="16">
        <f>rotativo_[[#This Row],[AMORTIZACAO]]/B13</f>
        <v>0.12628738675820669</v>
      </c>
      <c r="G14" s="16">
        <f t="shared" si="0"/>
        <v>0.80211026599976731</v>
      </c>
    </row>
    <row r="15" spans="1:10" ht="14.25" customHeight="1" x14ac:dyDescent="0.25">
      <c r="A15" s="9">
        <v>41671</v>
      </c>
      <c r="B15">
        <v>64421</v>
      </c>
      <c r="C15">
        <v>8088.7153530646701</v>
      </c>
      <c r="E15" s="9">
        <v>41671</v>
      </c>
      <c r="F15" s="16">
        <f>rotativo_[[#This Row],[AMORTIZACAO]]/B14</f>
        <v>0.13435511515953541</v>
      </c>
      <c r="G15" s="16">
        <f t="shared" si="0"/>
        <v>0.82295763390155052</v>
      </c>
    </row>
    <row r="16" spans="1:10" x14ac:dyDescent="0.25">
      <c r="A16" s="9">
        <v>41699</v>
      </c>
      <c r="B16">
        <v>65806</v>
      </c>
      <c r="C16">
        <v>8018.0371013550994</v>
      </c>
      <c r="E16" s="9">
        <v>41699</v>
      </c>
      <c r="F16" s="16">
        <f>rotativo_[[#This Row],[AMORTIZACAO]]/B15</f>
        <v>0.12446309590591731</v>
      </c>
      <c r="G16" s="16">
        <f t="shared" si="0"/>
        <v>0.79709465987300643</v>
      </c>
    </row>
    <row r="17" spans="1:7" x14ac:dyDescent="0.25">
      <c r="A17" s="9">
        <v>41730</v>
      </c>
      <c r="B17">
        <v>67389</v>
      </c>
      <c r="C17">
        <v>8279.2475359744603</v>
      </c>
      <c r="E17" s="9">
        <v>41730</v>
      </c>
      <c r="F17" s="16">
        <f>rotativo_[[#This Row],[AMORTIZACAO]]/B16</f>
        <v>0.12581295833167888</v>
      </c>
      <c r="G17" s="16">
        <f t="shared" si="0"/>
        <v>0.80081695179927659</v>
      </c>
    </row>
    <row r="18" spans="1:7" x14ac:dyDescent="0.25">
      <c r="A18" s="9">
        <v>41760</v>
      </c>
      <c r="B18">
        <v>67073</v>
      </c>
      <c r="C18">
        <v>8183.0699506840001</v>
      </c>
      <c r="E18" s="9">
        <v>41760</v>
      </c>
      <c r="F18" s="16">
        <f>rotativo_[[#This Row],[AMORTIZACAO]]/B17</f>
        <v>0.12143035140281055</v>
      </c>
      <c r="G18" s="16">
        <f t="shared" si="0"/>
        <v>0.78849806227353925</v>
      </c>
    </row>
    <row r="19" spans="1:7" x14ac:dyDescent="0.25">
      <c r="A19" s="9">
        <v>41791</v>
      </c>
      <c r="B19">
        <v>69107</v>
      </c>
      <c r="C19">
        <v>8512.3435907810308</v>
      </c>
      <c r="E19" s="9">
        <v>41791</v>
      </c>
      <c r="F19" s="16">
        <f>rotativo_[[#This Row],[AMORTIZACAO]]/B18</f>
        <v>0.12691162749215079</v>
      </c>
      <c r="G19" s="16">
        <f t="shared" si="0"/>
        <v>0.8038002481855353</v>
      </c>
    </row>
    <row r="20" spans="1:7" x14ac:dyDescent="0.25">
      <c r="A20" s="9">
        <v>41821</v>
      </c>
      <c r="B20">
        <v>67469</v>
      </c>
      <c r="C20">
        <v>8217.7454447441596</v>
      </c>
      <c r="E20" s="9">
        <v>41821</v>
      </c>
      <c r="F20" s="16">
        <f>rotativo_[[#This Row],[AMORTIZACAO]]/B19</f>
        <v>0.11891335819445439</v>
      </c>
      <c r="G20" s="16">
        <f t="shared" si="0"/>
        <v>0.78111126912499551</v>
      </c>
    </row>
    <row r="21" spans="1:7" x14ac:dyDescent="0.25">
      <c r="A21" s="9">
        <v>41852</v>
      </c>
      <c r="B21">
        <v>67445</v>
      </c>
      <c r="C21">
        <v>8305.1659953297894</v>
      </c>
      <c r="E21" s="9">
        <v>41852</v>
      </c>
      <c r="F21" s="16">
        <f>rotativo_[[#This Row],[AMORTIZACAO]]/B20</f>
        <v>0.12309602921830455</v>
      </c>
      <c r="G21" s="16">
        <f t="shared" si="0"/>
        <v>0.79326003436029291</v>
      </c>
    </row>
    <row r="22" spans="1:7" x14ac:dyDescent="0.25">
      <c r="A22" s="9">
        <v>41883</v>
      </c>
      <c r="B22">
        <v>68419</v>
      </c>
      <c r="C22">
        <v>8443.1426191096798</v>
      </c>
      <c r="E22" s="9">
        <v>41883</v>
      </c>
      <c r="F22" s="16">
        <f>rotativo_[[#This Row],[AMORTIZACAO]]/B21</f>
        <v>0.1251855974365732</v>
      </c>
      <c r="G22" s="16">
        <f t="shared" si="0"/>
        <v>0.7990948389315542</v>
      </c>
    </row>
    <row r="23" spans="1:7" x14ac:dyDescent="0.25">
      <c r="A23" s="9">
        <v>41913</v>
      </c>
      <c r="B23">
        <v>68209</v>
      </c>
      <c r="C23">
        <v>8418.1790180473599</v>
      </c>
      <c r="E23" s="9">
        <v>41913</v>
      </c>
      <c r="F23" s="16">
        <f>rotativo_[[#This Row],[AMORTIZACAO]]/B22</f>
        <v>0.123038615268381</v>
      </c>
      <c r="G23" s="16">
        <f t="shared" si="0"/>
        <v>0.7930975440483079</v>
      </c>
    </row>
    <row r="24" spans="1:7" x14ac:dyDescent="0.25">
      <c r="A24" s="9">
        <v>41944</v>
      </c>
      <c r="B24">
        <v>67337</v>
      </c>
      <c r="C24">
        <v>8470.9058064982019</v>
      </c>
      <c r="E24" s="9">
        <v>41944</v>
      </c>
      <c r="F24" s="16">
        <f>rotativo_[[#This Row],[AMORTIZACAO]]/B23</f>
        <v>0.12419044123939953</v>
      </c>
      <c r="G24" s="16">
        <f t="shared" si="0"/>
        <v>0.79633510844065258</v>
      </c>
    </row>
    <row r="25" spans="1:7" x14ac:dyDescent="0.25">
      <c r="A25" s="9">
        <v>41974</v>
      </c>
      <c r="B25">
        <v>64870</v>
      </c>
      <c r="C25">
        <v>8049.6963651297301</v>
      </c>
      <c r="E25" s="9">
        <v>41974</v>
      </c>
      <c r="F25" s="16">
        <f>rotativo_[[#This Row],[AMORTIZACAO]]/B24</f>
        <v>0.11954343622569658</v>
      </c>
      <c r="G25" s="16">
        <f t="shared" si="0"/>
        <v>0.78298226549925443</v>
      </c>
    </row>
    <row r="26" spans="1:7" x14ac:dyDescent="0.25">
      <c r="A26" s="9">
        <v>42005</v>
      </c>
      <c r="B26">
        <v>68097</v>
      </c>
      <c r="C26">
        <v>8503.6816229283995</v>
      </c>
      <c r="E26" s="9">
        <v>42005</v>
      </c>
      <c r="F26" s="16">
        <f>rotativo_[[#This Row],[AMORTIZACAO]]/B25</f>
        <v>0.13108804721640818</v>
      </c>
      <c r="G26" s="16">
        <f t="shared" si="0"/>
        <v>0.81477088266254238</v>
      </c>
    </row>
    <row r="27" spans="1:7" x14ac:dyDescent="0.25">
      <c r="A27" s="9">
        <v>42036</v>
      </c>
      <c r="B27">
        <v>70665</v>
      </c>
      <c r="C27">
        <v>9221.0896911789096</v>
      </c>
      <c r="E27" s="9">
        <v>42036</v>
      </c>
      <c r="F27" s="16">
        <f>rotativo_[[#This Row],[AMORTIZACAO]]/B26</f>
        <v>0.13541110021262184</v>
      </c>
      <c r="G27" s="16">
        <f t="shared" si="0"/>
        <v>0.82553196673927909</v>
      </c>
    </row>
    <row r="28" spans="1:7" x14ac:dyDescent="0.25">
      <c r="A28" s="9">
        <v>42064</v>
      </c>
      <c r="B28">
        <v>70245</v>
      </c>
      <c r="C28">
        <v>8757.3945875282698</v>
      </c>
      <c r="E28" s="9">
        <v>42064</v>
      </c>
      <c r="F28" s="16">
        <f>rotativo_[[#This Row],[AMORTIZACAO]]/B27</f>
        <v>0.12392831794421948</v>
      </c>
      <c r="G28" s="16">
        <f t="shared" si="0"/>
        <v>0.79560243849795897</v>
      </c>
    </row>
    <row r="29" spans="1:7" x14ac:dyDescent="0.25">
      <c r="A29" s="9">
        <v>42095</v>
      </c>
      <c r="B29">
        <v>71538</v>
      </c>
      <c r="C29">
        <v>9001.7830308014309</v>
      </c>
      <c r="E29" s="9">
        <v>42095</v>
      </c>
      <c r="F29" s="16">
        <f>rotativo_[[#This Row],[AMORTIZACAO]]/B28</f>
        <v>0.12814838110614893</v>
      </c>
      <c r="G29" s="16">
        <f t="shared" si="0"/>
        <v>0.80710945522185862</v>
      </c>
    </row>
    <row r="30" spans="1:7" x14ac:dyDescent="0.25">
      <c r="A30" s="9">
        <v>42125</v>
      </c>
      <c r="B30">
        <v>71804</v>
      </c>
      <c r="C30">
        <v>9053.2826720058201</v>
      </c>
      <c r="E30" s="9">
        <v>42125</v>
      </c>
      <c r="F30" s="16">
        <f>rotativo_[[#This Row],[AMORTIZACAO]]/B29</f>
        <v>0.12655207962210041</v>
      </c>
      <c r="G30" s="16">
        <f t="shared" si="0"/>
        <v>0.80282848126151385</v>
      </c>
    </row>
    <row r="31" spans="1:7" x14ac:dyDescent="0.25">
      <c r="A31" s="9">
        <v>42156</v>
      </c>
      <c r="B31">
        <v>72351</v>
      </c>
      <c r="C31">
        <v>9058.4952046282087</v>
      </c>
      <c r="E31" s="9">
        <v>42156</v>
      </c>
      <c r="F31" s="16">
        <f>rotativo_[[#This Row],[AMORTIZACAO]]/B30</f>
        <v>0.12615585767684542</v>
      </c>
      <c r="G31" s="16">
        <f t="shared" si="0"/>
        <v>0.80175248497166995</v>
      </c>
    </row>
    <row r="32" spans="1:7" x14ac:dyDescent="0.25">
      <c r="A32" s="9">
        <v>42186</v>
      </c>
      <c r="B32">
        <v>71758</v>
      </c>
      <c r="C32">
        <v>8971.93852332407</v>
      </c>
      <c r="E32" s="9">
        <v>42186</v>
      </c>
      <c r="F32" s="16">
        <f>rotativo_[[#This Row],[AMORTIZACAO]]/B31</f>
        <v>0.12400572933786776</v>
      </c>
      <c r="G32" s="16">
        <f t="shared" si="0"/>
        <v>0.7958190647809168</v>
      </c>
    </row>
    <row r="33" spans="1:7" x14ac:dyDescent="0.25">
      <c r="A33" s="9">
        <v>42217</v>
      </c>
      <c r="B33">
        <v>72774</v>
      </c>
      <c r="C33">
        <v>9096.5261548355502</v>
      </c>
      <c r="E33" s="9">
        <v>42217</v>
      </c>
      <c r="F33" s="16">
        <f>rotativo_[[#This Row],[AMORTIZACAO]]/B32</f>
        <v>0.12676671806398659</v>
      </c>
      <c r="G33" s="16">
        <f t="shared" si="0"/>
        <v>0.80340912404343734</v>
      </c>
    </row>
    <row r="34" spans="1:7" x14ac:dyDescent="0.25">
      <c r="A34" s="9">
        <v>42248</v>
      </c>
      <c r="B34">
        <v>73212</v>
      </c>
      <c r="C34">
        <v>9244.1677645004511</v>
      </c>
      <c r="E34" s="9">
        <v>42248</v>
      </c>
      <c r="F34" s="16">
        <f>rotativo_[[#This Row],[AMORTIZACAO]]/B33</f>
        <v>0.12702569275428657</v>
      </c>
      <c r="G34" s="16">
        <f t="shared" si="0"/>
        <v>0.80410761916353868</v>
      </c>
    </row>
    <row r="35" spans="1:7" x14ac:dyDescent="0.25">
      <c r="A35" s="9">
        <v>42278</v>
      </c>
      <c r="B35">
        <v>73892</v>
      </c>
      <c r="C35">
        <v>9317.7886609804918</v>
      </c>
      <c r="E35" s="9">
        <v>42278</v>
      </c>
      <c r="F35" s="16">
        <f>rotativo_[[#This Row],[AMORTIZACAO]]/B34</f>
        <v>0.12727133066956908</v>
      </c>
      <c r="G35" s="16">
        <f t="shared" si="0"/>
        <v>0.80476803994528401</v>
      </c>
    </row>
    <row r="36" spans="1:7" x14ac:dyDescent="0.25">
      <c r="A36" s="9">
        <v>42309</v>
      </c>
      <c r="B36">
        <v>75057</v>
      </c>
      <c r="C36">
        <v>9602.2161576867402</v>
      </c>
      <c r="E36" s="9">
        <v>42309</v>
      </c>
      <c r="F36" s="16">
        <f>rotativo_[[#This Row],[AMORTIZACAO]]/B35</f>
        <v>0.12994933359073702</v>
      </c>
      <c r="G36" s="16">
        <f t="shared" si="0"/>
        <v>0.81183687031896101</v>
      </c>
    </row>
    <row r="37" spans="1:7" x14ac:dyDescent="0.25">
      <c r="A37" s="9">
        <v>42339</v>
      </c>
      <c r="B37">
        <v>70755</v>
      </c>
      <c r="C37">
        <v>9067.1018584327012</v>
      </c>
      <c r="E37" s="9">
        <v>42339</v>
      </c>
      <c r="F37" s="16">
        <f>rotativo_[[#This Row],[AMORTIZACAO]]/B36</f>
        <v>0.12080288125601478</v>
      </c>
      <c r="G37" s="16">
        <f t="shared" si="0"/>
        <v>0.78667828130214501</v>
      </c>
    </row>
    <row r="38" spans="1:7" x14ac:dyDescent="0.25">
      <c r="A38" s="9">
        <v>42370</v>
      </c>
      <c r="B38">
        <v>73244</v>
      </c>
      <c r="C38">
        <v>9335.7962002001004</v>
      </c>
      <c r="E38" s="9">
        <v>42370</v>
      </c>
      <c r="F38" s="16">
        <f>rotativo_[[#This Row],[AMORTIZACAO]]/B37</f>
        <v>0.13194539184792736</v>
      </c>
      <c r="G38" s="16">
        <f t="shared" si="0"/>
        <v>0.81695217915726359</v>
      </c>
    </row>
    <row r="39" spans="1:7" x14ac:dyDescent="0.25">
      <c r="A39" s="9">
        <v>42401</v>
      </c>
      <c r="B39">
        <v>76020</v>
      </c>
      <c r="C39">
        <v>9838.9011376220587</v>
      </c>
      <c r="E39" s="9">
        <v>42401</v>
      </c>
      <c r="F39" s="16">
        <f>rotativo_[[#This Row],[AMORTIZACAO]]/B38</f>
        <v>0.13433047263423706</v>
      </c>
      <c r="G39" s="16">
        <f t="shared" si="0"/>
        <v>0.82289714552986215</v>
      </c>
    </row>
    <row r="40" spans="1:7" x14ac:dyDescent="0.25">
      <c r="A40" s="9">
        <v>42430</v>
      </c>
      <c r="B40">
        <v>75026</v>
      </c>
      <c r="C40">
        <v>9679.4211454464694</v>
      </c>
      <c r="E40" s="9">
        <v>42430</v>
      </c>
      <c r="F40" s="16">
        <f>rotativo_[[#This Row],[AMORTIZACAO]]/B39</f>
        <v>0.12732729736183201</v>
      </c>
      <c r="G40" s="16">
        <f t="shared" si="0"/>
        <v>0.80491822592261442</v>
      </c>
    </row>
    <row r="41" spans="1:7" x14ac:dyDescent="0.25">
      <c r="A41" s="9">
        <v>42461</v>
      </c>
      <c r="B41">
        <v>74944</v>
      </c>
      <c r="C41">
        <v>9728.15057151572</v>
      </c>
      <c r="E41" s="9">
        <v>42461</v>
      </c>
      <c r="F41" s="16">
        <f>rotativo_[[#This Row],[AMORTIZACAO]]/B40</f>
        <v>0.12966372419582173</v>
      </c>
      <c r="G41" s="16">
        <f t="shared" si="0"/>
        <v>0.81109431643235541</v>
      </c>
    </row>
    <row r="42" spans="1:7" x14ac:dyDescent="0.25">
      <c r="A42" s="9">
        <v>42491</v>
      </c>
      <c r="B42">
        <v>75919</v>
      </c>
      <c r="C42">
        <v>9741.5468946156998</v>
      </c>
      <c r="E42" s="9">
        <v>42491</v>
      </c>
      <c r="F42" s="16">
        <f>rotativo_[[#This Row],[AMORTIZACAO]]/B41</f>
        <v>0.1299843469072334</v>
      </c>
      <c r="G42" s="16">
        <f t="shared" si="0"/>
        <v>0.81192771685177179</v>
      </c>
    </row>
    <row r="43" spans="1:7" x14ac:dyDescent="0.25">
      <c r="A43" s="9">
        <v>42522</v>
      </c>
      <c r="B43">
        <v>76159</v>
      </c>
      <c r="C43">
        <v>9757.1470239957307</v>
      </c>
      <c r="E43" s="9">
        <v>42522</v>
      </c>
      <c r="F43" s="16">
        <f>rotativo_[[#This Row],[AMORTIZACAO]]/B42</f>
        <v>0.1285204892582322</v>
      </c>
      <c r="G43" s="16">
        <f t="shared" si="0"/>
        <v>0.80809505268712933</v>
      </c>
    </row>
    <row r="44" spans="1:7" x14ac:dyDescent="0.25">
      <c r="A44" s="9">
        <v>42552</v>
      </c>
      <c r="B44">
        <v>75364</v>
      </c>
      <c r="C44">
        <v>9667.0441110751108</v>
      </c>
      <c r="E44" s="9">
        <v>42552</v>
      </c>
      <c r="F44" s="16">
        <f>rotativo_[[#This Row],[AMORTIZACAO]]/B43</f>
        <v>0.12693239290267874</v>
      </c>
      <c r="G44" s="16">
        <f t="shared" si="0"/>
        <v>0.80385623750733348</v>
      </c>
    </row>
    <row r="45" spans="1:7" x14ac:dyDescent="0.25">
      <c r="A45" s="9">
        <v>42583</v>
      </c>
      <c r="B45">
        <v>75985</v>
      </c>
      <c r="C45">
        <v>9753.8486391026381</v>
      </c>
      <c r="E45" s="9">
        <v>42583</v>
      </c>
      <c r="F45" s="16">
        <f>rotativo_[[#This Row],[AMORTIZACAO]]/B44</f>
        <v>0.12942318134789341</v>
      </c>
      <c r="G45" s="16">
        <f t="shared" si="0"/>
        <v>0.81046684796606527</v>
      </c>
    </row>
    <row r="46" spans="1:7" x14ac:dyDescent="0.25">
      <c r="A46" s="9">
        <v>42614</v>
      </c>
      <c r="B46">
        <v>76754</v>
      </c>
      <c r="C46">
        <v>9882.2697285462109</v>
      </c>
      <c r="E46" s="9">
        <v>42614</v>
      </c>
      <c r="F46" s="16">
        <f>rotativo_[[#This Row],[AMORTIZACAO]]/B45</f>
        <v>0.13005553370462869</v>
      </c>
      <c r="G46" s="16">
        <f t="shared" si="0"/>
        <v>0.81211229615325831</v>
      </c>
    </row>
    <row r="47" spans="1:7" x14ac:dyDescent="0.25">
      <c r="A47" s="9">
        <v>42644</v>
      </c>
      <c r="B47">
        <v>77478</v>
      </c>
      <c r="C47">
        <v>9949.3016296940004</v>
      </c>
      <c r="E47" s="9">
        <v>42644</v>
      </c>
      <c r="F47" s="16">
        <f>rotativo_[[#This Row],[AMORTIZACAO]]/B46</f>
        <v>0.12962583877965969</v>
      </c>
      <c r="G47" s="16">
        <f t="shared" si="0"/>
        <v>0.8109956168702398</v>
      </c>
    </row>
    <row r="48" spans="1:7" x14ac:dyDescent="0.25">
      <c r="A48" s="9">
        <v>42675</v>
      </c>
      <c r="B48">
        <v>76798</v>
      </c>
      <c r="C48">
        <v>9836.5242417403897</v>
      </c>
      <c r="E48" s="9">
        <v>42675</v>
      </c>
      <c r="F48" s="16">
        <f>rotativo_[[#This Row],[AMORTIZACAO]]/B47</f>
        <v>0.12695893339709841</v>
      </c>
      <c r="G48" s="16">
        <f t="shared" si="0"/>
        <v>0.80392777673892901</v>
      </c>
    </row>
    <row r="49" spans="1:7" x14ac:dyDescent="0.25">
      <c r="A49" s="9">
        <v>42705</v>
      </c>
      <c r="B49">
        <v>72706</v>
      </c>
      <c r="C49">
        <v>9357.2262143950593</v>
      </c>
      <c r="E49" s="9">
        <v>42705</v>
      </c>
      <c r="F49" s="16">
        <f>rotativo_[[#This Row],[AMORTIZACAO]]/B48</f>
        <v>0.12184205597014322</v>
      </c>
      <c r="G49" s="16">
        <f t="shared" si="0"/>
        <v>0.78968433915323188</v>
      </c>
    </row>
    <row r="50" spans="1:7" x14ac:dyDescent="0.25">
      <c r="A50" s="9">
        <v>42736</v>
      </c>
      <c r="B50">
        <v>75627</v>
      </c>
      <c r="C50">
        <v>9647.6469653470904</v>
      </c>
      <c r="E50" s="9">
        <v>42736</v>
      </c>
      <c r="F50" s="16">
        <f>rotativo_[[#This Row],[AMORTIZACAO]]/B49</f>
        <v>0.13269395875645876</v>
      </c>
      <c r="G50" s="16">
        <f t="shared" si="0"/>
        <v>0.81883743631296035</v>
      </c>
    </row>
    <row r="51" spans="1:7" x14ac:dyDescent="0.25">
      <c r="A51" s="9">
        <v>42767</v>
      </c>
      <c r="B51">
        <v>76627</v>
      </c>
      <c r="C51">
        <v>10238.676380130519</v>
      </c>
      <c r="E51" s="9">
        <v>42767</v>
      </c>
      <c r="F51" s="16">
        <f>rotativo_[[#This Row],[AMORTIZACAO]]/B50</f>
        <v>0.13538387586616576</v>
      </c>
      <c r="G51" s="16">
        <f t="shared" si="0"/>
        <v>0.82546603111330086</v>
      </c>
    </row>
    <row r="52" spans="1:7" x14ac:dyDescent="0.25">
      <c r="A52" s="9">
        <v>42795</v>
      </c>
      <c r="B52">
        <v>75518</v>
      </c>
      <c r="C52">
        <v>9773.8425023394502</v>
      </c>
      <c r="E52" s="9">
        <v>42795</v>
      </c>
      <c r="F52" s="16">
        <f>rotativo_[[#This Row],[AMORTIZACAO]]/B51</f>
        <v>0.12755089592884297</v>
      </c>
      <c r="G52" s="16">
        <f t="shared" si="0"/>
        <v>0.80551719394909982</v>
      </c>
    </row>
    <row r="53" spans="1:7" x14ac:dyDescent="0.25">
      <c r="A53" s="9">
        <v>42826</v>
      </c>
      <c r="B53">
        <v>76021</v>
      </c>
      <c r="C53">
        <v>9867.4229757490193</v>
      </c>
      <c r="E53" s="9">
        <v>42826</v>
      </c>
      <c r="F53" s="16">
        <f>rotativo_[[#This Row],[AMORTIZACAO]]/B52</f>
        <v>0.13066319256003892</v>
      </c>
      <c r="G53" s="16">
        <f t="shared" si="0"/>
        <v>0.81368114148125492</v>
      </c>
    </row>
    <row r="54" spans="1:7" x14ac:dyDescent="0.25">
      <c r="A54" s="9">
        <v>42856</v>
      </c>
      <c r="B54">
        <v>75968</v>
      </c>
      <c r="C54">
        <v>9514.3023501320604</v>
      </c>
      <c r="E54" s="9">
        <v>42856</v>
      </c>
      <c r="F54" s="16">
        <f>rotativo_[[#This Row],[AMORTIZACAO]]/B53</f>
        <v>0.1251536068998311</v>
      </c>
      <c r="G54" s="16">
        <f t="shared" si="0"/>
        <v>0.79900665990671704</v>
      </c>
    </row>
    <row r="55" spans="1:7" x14ac:dyDescent="0.25">
      <c r="A55" s="9">
        <v>42887</v>
      </c>
      <c r="B55">
        <v>75192</v>
      </c>
      <c r="C55">
        <v>9469.8453148219996</v>
      </c>
      <c r="E55" s="9">
        <v>42887</v>
      </c>
      <c r="F55" s="16">
        <f>rotativo_[[#This Row],[AMORTIZACAO]]/B54</f>
        <v>0.12465571444321293</v>
      </c>
      <c r="G55" s="16">
        <f t="shared" si="0"/>
        <v>0.79762968344594731</v>
      </c>
    </row>
    <row r="56" spans="1:7" x14ac:dyDescent="0.25">
      <c r="A56" s="9">
        <v>42917</v>
      </c>
      <c r="B56">
        <v>75564</v>
      </c>
      <c r="C56">
        <v>9375.3362815551809</v>
      </c>
      <c r="E56" s="9">
        <v>42917</v>
      </c>
      <c r="F56" s="16">
        <f>rotativo_[[#This Row],[AMORTIZACAO]]/B55</f>
        <v>0.12468528941317136</v>
      </c>
      <c r="G56" s="16">
        <f t="shared" si="0"/>
        <v>0.7977117172340138</v>
      </c>
    </row>
    <row r="57" spans="1:7" x14ac:dyDescent="0.25">
      <c r="A57" s="9">
        <v>42948</v>
      </c>
      <c r="B57">
        <v>74903</v>
      </c>
      <c r="C57">
        <v>9378.1535218403587</v>
      </c>
      <c r="E57" s="9">
        <v>42948</v>
      </c>
      <c r="F57" s="16">
        <f>rotativo_[[#This Row],[AMORTIZACAO]]/B56</f>
        <v>0.12410874916415698</v>
      </c>
      <c r="G57" s="16">
        <f t="shared" si="0"/>
        <v>0.79610702672172473</v>
      </c>
    </row>
    <row r="58" spans="1:7" x14ac:dyDescent="0.25">
      <c r="A58" s="9">
        <v>42979</v>
      </c>
      <c r="B58">
        <v>74030</v>
      </c>
      <c r="C58">
        <v>9347.2548924766597</v>
      </c>
      <c r="E58" s="9">
        <v>42979</v>
      </c>
      <c r="F58" s="16">
        <f>rotativo_[[#This Row],[AMORTIZACAO]]/B57</f>
        <v>0.12479146219078888</v>
      </c>
      <c r="G58" s="16">
        <f t="shared" si="0"/>
        <v>0.79800596367219723</v>
      </c>
    </row>
    <row r="59" spans="1:7" x14ac:dyDescent="0.25">
      <c r="A59" s="9">
        <v>43009</v>
      </c>
      <c r="B59">
        <v>75863</v>
      </c>
      <c r="C59">
        <v>9599.6745826024398</v>
      </c>
      <c r="E59" s="9">
        <v>43009</v>
      </c>
      <c r="F59" s="16">
        <f>rotativo_[[#This Row],[AMORTIZACAO]]/B58</f>
        <v>0.12967276215861731</v>
      </c>
      <c r="G59" s="16">
        <f t="shared" si="0"/>
        <v>0.81111785526548907</v>
      </c>
    </row>
    <row r="60" spans="1:7" x14ac:dyDescent="0.25">
      <c r="A60" s="9">
        <v>43040</v>
      </c>
      <c r="B60">
        <v>75936</v>
      </c>
      <c r="C60">
        <v>9601.9083743279098</v>
      </c>
      <c r="E60" s="9">
        <v>43040</v>
      </c>
      <c r="F60" s="16">
        <f>rotativo_[[#This Row],[AMORTIZACAO]]/B59</f>
        <v>0.12656905704134966</v>
      </c>
      <c r="G60" s="16">
        <f t="shared" si="0"/>
        <v>0.80287446599337065</v>
      </c>
    </row>
    <row r="61" spans="1:7" x14ac:dyDescent="0.25">
      <c r="A61" s="9">
        <v>43070</v>
      </c>
      <c r="B61">
        <v>71674</v>
      </c>
      <c r="C61">
        <v>9275.2828713139006</v>
      </c>
      <c r="E61" s="9">
        <v>43070</v>
      </c>
      <c r="F61" s="16">
        <f>rotativo_[[#This Row],[AMORTIZACAO]]/B60</f>
        <v>0.12214605551140303</v>
      </c>
      <c r="G61" s="16">
        <f t="shared" si="0"/>
        <v>0.79055635912326538</v>
      </c>
    </row>
    <row r="62" spans="1:7" x14ac:dyDescent="0.25">
      <c r="A62" s="9">
        <v>43101</v>
      </c>
      <c r="B62">
        <v>74444</v>
      </c>
      <c r="C62">
        <v>9504.8995077662112</v>
      </c>
      <c r="E62" s="9">
        <v>43101</v>
      </c>
      <c r="F62" s="16">
        <f>rotativo_[[#This Row],[AMORTIZACAO]]/B61</f>
        <v>0.13261293506384758</v>
      </c>
      <c r="G62" s="16">
        <f t="shared" si="0"/>
        <v>0.81863424154489317</v>
      </c>
    </row>
    <row r="63" spans="1:7" x14ac:dyDescent="0.25">
      <c r="A63" s="9">
        <v>43132</v>
      </c>
      <c r="B63">
        <v>77052</v>
      </c>
      <c r="C63">
        <v>9983.9054550249493</v>
      </c>
      <c r="E63" s="9">
        <v>43132</v>
      </c>
      <c r="F63" s="16">
        <f>rotativo_[[#This Row],[AMORTIZACAO]]/B62</f>
        <v>0.13411296350310231</v>
      </c>
      <c r="G63" s="16">
        <f t="shared" si="0"/>
        <v>0.82236241814531497</v>
      </c>
    </row>
    <row r="64" spans="1:7" x14ac:dyDescent="0.25">
      <c r="A64" s="9">
        <v>43160</v>
      </c>
      <c r="B64">
        <v>75216</v>
      </c>
      <c r="C64">
        <v>9494.4772363017109</v>
      </c>
      <c r="E64" s="9">
        <v>43160</v>
      </c>
      <c r="F64" s="16">
        <f>rotativo_[[#This Row],[AMORTIZACAO]]/B63</f>
        <v>0.12322168452865222</v>
      </c>
      <c r="G64" s="16">
        <f t="shared" si="0"/>
        <v>0.79361525013939849</v>
      </c>
    </row>
    <row r="65" spans="1:7" x14ac:dyDescent="0.25">
      <c r="A65" s="9">
        <v>43191</v>
      </c>
      <c r="B65">
        <v>76871</v>
      </c>
      <c r="C65">
        <v>9732.7900161639009</v>
      </c>
      <c r="E65" s="9">
        <v>43191</v>
      </c>
      <c r="F65" s="16">
        <f>rotativo_[[#This Row],[AMORTIZACAO]]/B64</f>
        <v>0.12939786768990508</v>
      </c>
      <c r="G65" s="16">
        <f t="shared" si="0"/>
        <v>0.81040070499555916</v>
      </c>
    </row>
    <row r="66" spans="1:7" x14ac:dyDescent="0.25">
      <c r="A66" s="9">
        <v>43221</v>
      </c>
      <c r="B66">
        <v>76106</v>
      </c>
      <c r="C66">
        <v>9558.6461320580602</v>
      </c>
      <c r="E66" s="9">
        <v>43221</v>
      </c>
      <c r="F66" s="16">
        <f>rotativo_[[#This Row],[AMORTIZACAO]]/B65</f>
        <v>0.12434658235300777</v>
      </c>
      <c r="G66" s="16">
        <f t="shared" si="0"/>
        <v>0.79677039895595525</v>
      </c>
    </row>
    <row r="67" spans="1:7" x14ac:dyDescent="0.25">
      <c r="A67" s="9">
        <v>43252</v>
      </c>
      <c r="B67">
        <v>76627</v>
      </c>
      <c r="C67">
        <v>9698.224916454561</v>
      </c>
      <c r="E67" s="9">
        <v>43252</v>
      </c>
      <c r="F67" s="16">
        <f>rotativo_[[#This Row],[AMORTIZACAO]]/B66</f>
        <v>0.12743049058490213</v>
      </c>
      <c r="G67" s="16">
        <f t="shared" si="0"/>
        <v>0.80519486612543512</v>
      </c>
    </row>
    <row r="68" spans="1:7" x14ac:dyDescent="0.25">
      <c r="A68" s="9">
        <v>43282</v>
      </c>
      <c r="B68">
        <v>76014</v>
      </c>
      <c r="C68">
        <v>9482.8580163157294</v>
      </c>
      <c r="E68" s="9">
        <v>43282</v>
      </c>
      <c r="F68" s="16">
        <f>rotativo_[[#This Row],[AMORTIZACAO]]/B67</f>
        <v>0.1237534813618663</v>
      </c>
      <c r="G68" s="16">
        <f t="shared" ref="G68:G131" si="1">(1-(1-F68)^12)</f>
        <v>0.79511240431965247</v>
      </c>
    </row>
    <row r="69" spans="1:7" x14ac:dyDescent="0.25">
      <c r="A69" s="9">
        <v>43313</v>
      </c>
      <c r="B69">
        <v>75843</v>
      </c>
      <c r="C69">
        <v>9459.4535097225307</v>
      </c>
      <c r="E69" s="9">
        <v>43313</v>
      </c>
      <c r="F69" s="16">
        <f>rotativo_[[#This Row],[AMORTIZACAO]]/B68</f>
        <v>0.12444356973350344</v>
      </c>
      <c r="G69" s="16">
        <f t="shared" si="1"/>
        <v>0.79704035101657955</v>
      </c>
    </row>
    <row r="70" spans="1:7" x14ac:dyDescent="0.25">
      <c r="A70" s="9">
        <v>43344</v>
      </c>
      <c r="B70">
        <v>75676</v>
      </c>
      <c r="C70">
        <v>9574.7718979327401</v>
      </c>
      <c r="E70" s="9">
        <v>43344</v>
      </c>
      <c r="F70" s="16">
        <f>rotativo_[[#This Row],[AMORTIZACAO]]/B69</f>
        <v>0.12624463560160779</v>
      </c>
      <c r="G70" s="16">
        <f t="shared" si="1"/>
        <v>0.80199404070569913</v>
      </c>
    </row>
    <row r="71" spans="1:7" x14ac:dyDescent="0.25">
      <c r="A71" s="9">
        <v>43374</v>
      </c>
      <c r="B71">
        <v>77739</v>
      </c>
      <c r="C71">
        <v>9590.9998190770402</v>
      </c>
      <c r="E71" s="9">
        <v>43374</v>
      </c>
      <c r="F71" s="16">
        <f>rotativo_[[#This Row],[AMORTIZACAO]]/B70</f>
        <v>0.12673766873350917</v>
      </c>
      <c r="G71" s="16">
        <f t="shared" si="1"/>
        <v>0.80333063122678783</v>
      </c>
    </row>
    <row r="72" spans="1:7" x14ac:dyDescent="0.25">
      <c r="A72" s="9">
        <v>43405</v>
      </c>
      <c r="B72">
        <v>79175</v>
      </c>
      <c r="C72">
        <v>9912.1233172017201</v>
      </c>
      <c r="E72" s="9">
        <v>43405</v>
      </c>
      <c r="F72" s="16">
        <f>rotativo_[[#This Row],[AMORTIZACAO]]/B71</f>
        <v>0.1275051559346238</v>
      </c>
      <c r="G72" s="16">
        <f t="shared" si="1"/>
        <v>0.80539480458038182</v>
      </c>
    </row>
    <row r="73" spans="1:7" x14ac:dyDescent="0.25">
      <c r="A73" s="9">
        <v>43435</v>
      </c>
      <c r="B73">
        <v>76546</v>
      </c>
      <c r="C73">
        <v>9612.8441073755112</v>
      </c>
      <c r="E73" s="9">
        <v>43435</v>
      </c>
      <c r="F73" s="16">
        <f>rotativo_[[#This Row],[AMORTIZACAO]]/B72</f>
        <v>0.12141261897537747</v>
      </c>
      <c r="G73" s="16">
        <f t="shared" si="1"/>
        <v>0.78844683092322476</v>
      </c>
    </row>
    <row r="74" spans="1:7" x14ac:dyDescent="0.25">
      <c r="A74" s="9">
        <v>43466</v>
      </c>
      <c r="B74">
        <v>80093</v>
      </c>
      <c r="C74">
        <v>10020.674935933759</v>
      </c>
      <c r="E74" s="9">
        <v>43466</v>
      </c>
      <c r="F74" s="16">
        <f>rotativo_[[#This Row],[AMORTIZACAO]]/B73</f>
        <v>0.13091049742551877</v>
      </c>
      <c r="G74" s="16">
        <f t="shared" si="1"/>
        <v>0.81431618467133071</v>
      </c>
    </row>
    <row r="75" spans="1:7" x14ac:dyDescent="0.25">
      <c r="A75" s="9">
        <v>43497</v>
      </c>
      <c r="B75">
        <v>83070</v>
      </c>
      <c r="C75">
        <v>10614.25886027788</v>
      </c>
      <c r="E75" s="9">
        <v>43497</v>
      </c>
      <c r="F75" s="16">
        <f>rotativo_[[#This Row],[AMORTIZACAO]]/B74</f>
        <v>0.13252417639841035</v>
      </c>
      <c r="G75" s="16">
        <f t="shared" si="1"/>
        <v>0.81841140890579045</v>
      </c>
    </row>
    <row r="76" spans="1:7" x14ac:dyDescent="0.25">
      <c r="A76" s="9">
        <v>43525</v>
      </c>
      <c r="B76">
        <v>82769</v>
      </c>
      <c r="C76">
        <v>10302.575635872081</v>
      </c>
      <c r="E76" s="9">
        <v>43525</v>
      </c>
      <c r="F76" s="16">
        <f>rotativo_[[#This Row],[AMORTIZACAO]]/B75</f>
        <v>0.12402281974084604</v>
      </c>
      <c r="G76" s="16">
        <f t="shared" si="1"/>
        <v>0.79586686180651989</v>
      </c>
    </row>
    <row r="77" spans="1:7" x14ac:dyDescent="0.25">
      <c r="A77" s="9">
        <v>43556</v>
      </c>
      <c r="B77">
        <v>85583</v>
      </c>
      <c r="C77">
        <v>10645.96190745784</v>
      </c>
      <c r="E77" s="9">
        <v>43556</v>
      </c>
      <c r="F77" s="16">
        <f>rotativo_[[#This Row],[AMORTIZACAO]]/B76</f>
        <v>0.12862257496717178</v>
      </c>
      <c r="G77" s="16">
        <f t="shared" si="1"/>
        <v>0.80836463748594112</v>
      </c>
    </row>
    <row r="78" spans="1:7" x14ac:dyDescent="0.25">
      <c r="A78" s="9">
        <v>43586</v>
      </c>
      <c r="B78">
        <v>86400</v>
      </c>
      <c r="C78">
        <v>10632.211232877238</v>
      </c>
      <c r="E78" s="9">
        <v>43586</v>
      </c>
      <c r="F78" s="16">
        <f>rotativo_[[#This Row],[AMORTIZACAO]]/B77</f>
        <v>0.1242327475418861</v>
      </c>
      <c r="G78" s="16">
        <f t="shared" si="1"/>
        <v>0.79645313436919685</v>
      </c>
    </row>
    <row r="79" spans="1:7" x14ac:dyDescent="0.25">
      <c r="A79" s="9">
        <v>43617</v>
      </c>
      <c r="B79">
        <v>88223</v>
      </c>
      <c r="C79">
        <v>11097.81424823216</v>
      </c>
      <c r="E79" s="9">
        <v>43617</v>
      </c>
      <c r="F79" s="16">
        <f>rotativo_[[#This Row],[AMORTIZACAO]]/B78</f>
        <v>0.12844692416935372</v>
      </c>
      <c r="G79" s="16">
        <f t="shared" si="1"/>
        <v>0.80790056879241889</v>
      </c>
    </row>
    <row r="80" spans="1:7" x14ac:dyDescent="0.25">
      <c r="A80" s="9">
        <v>43647</v>
      </c>
      <c r="B80">
        <v>88776</v>
      </c>
      <c r="C80">
        <v>10972.39583333333</v>
      </c>
      <c r="E80" s="9">
        <v>43647</v>
      </c>
      <c r="F80" s="16">
        <f>rotativo_[[#This Row],[AMORTIZACAO]]/B79</f>
        <v>0.12437114849113418</v>
      </c>
      <c r="G80" s="16">
        <f t="shared" si="1"/>
        <v>0.79683880679037777</v>
      </c>
    </row>
    <row r="81" spans="1:7" x14ac:dyDescent="0.25">
      <c r="A81" s="9">
        <v>43678</v>
      </c>
      <c r="B81">
        <v>90841</v>
      </c>
      <c r="C81">
        <v>11334.146508605581</v>
      </c>
      <c r="E81" s="9">
        <v>43678</v>
      </c>
      <c r="F81" s="16">
        <f>rotativo_[[#This Row],[AMORTIZACAO]]/B80</f>
        <v>0.12767129076107936</v>
      </c>
      <c r="G81" s="16">
        <f t="shared" si="1"/>
        <v>0.80583900474436387</v>
      </c>
    </row>
    <row r="82" spans="1:7" x14ac:dyDescent="0.25">
      <c r="A82" s="9">
        <v>43709</v>
      </c>
      <c r="B82">
        <v>92340</v>
      </c>
      <c r="C82">
        <v>11595.535781843861</v>
      </c>
      <c r="E82" s="9">
        <v>43709</v>
      </c>
      <c r="F82" s="16">
        <f>rotativo_[[#This Row],[AMORTIZACAO]]/B81</f>
        <v>0.12764650082940368</v>
      </c>
      <c r="G82" s="16">
        <f t="shared" si="1"/>
        <v>0.80577278213629622</v>
      </c>
    </row>
    <row r="83" spans="1:7" x14ac:dyDescent="0.25">
      <c r="A83" s="9">
        <v>43739</v>
      </c>
      <c r="B83">
        <v>92054</v>
      </c>
      <c r="C83">
        <v>11446.26495653462</v>
      </c>
      <c r="E83" s="9">
        <v>43739</v>
      </c>
      <c r="F83" s="16">
        <f>rotativo_[[#This Row],[AMORTIZACAO]]/B82</f>
        <v>0.12395781845933095</v>
      </c>
      <c r="G83" s="16">
        <f t="shared" si="1"/>
        <v>0.79568501690124094</v>
      </c>
    </row>
    <row r="84" spans="1:7" x14ac:dyDescent="0.25">
      <c r="A84" s="9">
        <v>43770</v>
      </c>
      <c r="B84">
        <v>91989</v>
      </c>
      <c r="C84">
        <v>11543.77876287676</v>
      </c>
      <c r="E84" s="9">
        <v>43770</v>
      </c>
      <c r="F84" s="16">
        <f>rotativo_[[#This Row],[AMORTIZACAO]]/B83</f>
        <v>0.12540225044948355</v>
      </c>
      <c r="G84" s="16">
        <f t="shared" si="1"/>
        <v>0.79969109069657351</v>
      </c>
    </row>
    <row r="85" spans="1:7" x14ac:dyDescent="0.25">
      <c r="A85" s="9">
        <v>43800</v>
      </c>
      <c r="B85">
        <v>89960</v>
      </c>
      <c r="C85">
        <v>11407.177831848781</v>
      </c>
      <c r="E85" s="9">
        <v>43800</v>
      </c>
      <c r="F85" s="16">
        <f>rotativo_[[#This Row],[AMORTIZACAO]]/B84</f>
        <v>0.12400589018087795</v>
      </c>
      <c r="G85" s="16">
        <f t="shared" si="1"/>
        <v>0.7958195146611613</v>
      </c>
    </row>
    <row r="86" spans="1:7" x14ac:dyDescent="0.25">
      <c r="A86" s="9">
        <v>43831</v>
      </c>
      <c r="B86">
        <v>92581</v>
      </c>
      <c r="C86">
        <v>11655.537864021901</v>
      </c>
      <c r="E86" s="9">
        <v>43831</v>
      </c>
      <c r="F86" s="16">
        <f>rotativo_[[#This Row],[AMORTIZACAO]]/B85</f>
        <v>0.12956356007138617</v>
      </c>
      <c r="G86" s="16">
        <f t="shared" si="1"/>
        <v>0.81083326486733265</v>
      </c>
    </row>
    <row r="87" spans="1:7" x14ac:dyDescent="0.25">
      <c r="A87" s="9">
        <v>43862</v>
      </c>
      <c r="B87">
        <v>95559</v>
      </c>
      <c r="C87">
        <v>12164.16332619386</v>
      </c>
      <c r="E87" s="9">
        <v>43862</v>
      </c>
      <c r="F87" s="16">
        <f>rotativo_[[#This Row],[AMORTIZACAO]]/B86</f>
        <v>0.13138941387751116</v>
      </c>
      <c r="G87" s="16">
        <f t="shared" si="1"/>
        <v>0.81554033488034583</v>
      </c>
    </row>
    <row r="88" spans="1:7" x14ac:dyDescent="0.25">
      <c r="A88" s="9">
        <v>43891</v>
      </c>
      <c r="B88">
        <v>96406</v>
      </c>
      <c r="C88">
        <v>12314.715458187751</v>
      </c>
      <c r="E88" s="9">
        <v>43891</v>
      </c>
      <c r="F88" s="16">
        <f>rotativo_[[#This Row],[AMORTIZACAO]]/B87</f>
        <v>0.12887028388940602</v>
      </c>
      <c r="G88" s="16">
        <f t="shared" si="1"/>
        <v>0.80901733707155621</v>
      </c>
    </row>
    <row r="89" spans="1:7" x14ac:dyDescent="0.25">
      <c r="A89" s="9">
        <v>43922</v>
      </c>
      <c r="B89">
        <v>97083</v>
      </c>
      <c r="C89">
        <v>12549.384231478569</v>
      </c>
      <c r="E89" s="9">
        <v>43922</v>
      </c>
      <c r="F89" s="16">
        <f>rotativo_[[#This Row],[AMORTIZACAO]]/B88</f>
        <v>0.13017223234527486</v>
      </c>
      <c r="G89" s="16">
        <f t="shared" si="1"/>
        <v>0.812414523303567</v>
      </c>
    </row>
    <row r="90" spans="1:7" x14ac:dyDescent="0.25">
      <c r="A90" s="9">
        <v>43952</v>
      </c>
      <c r="B90">
        <v>92408</v>
      </c>
      <c r="C90">
        <v>11842.21193560847</v>
      </c>
      <c r="E90" s="9">
        <v>43952</v>
      </c>
      <c r="F90" s="16">
        <f>rotativo_[[#This Row],[AMORTIZACAO]]/B89</f>
        <v>0.12198028424758681</v>
      </c>
      <c r="G90" s="16">
        <f t="shared" si="1"/>
        <v>0.7900812574961138</v>
      </c>
    </row>
    <row r="91" spans="1:7" x14ac:dyDescent="0.25">
      <c r="A91" s="9">
        <v>43983</v>
      </c>
      <c r="B91">
        <v>89009</v>
      </c>
      <c r="C91">
        <v>11328.756803906059</v>
      </c>
      <c r="E91" s="9">
        <v>43983</v>
      </c>
      <c r="F91" s="16">
        <f>rotativo_[[#This Row],[AMORTIZACAO]]/B90</f>
        <v>0.12259497883198488</v>
      </c>
      <c r="G91" s="16">
        <f t="shared" si="1"/>
        <v>0.79183803196431435</v>
      </c>
    </row>
    <row r="92" spans="1:7" x14ac:dyDescent="0.25">
      <c r="A92" s="9">
        <v>44013</v>
      </c>
      <c r="B92">
        <v>85216</v>
      </c>
      <c r="C92">
        <v>10665.95443566163</v>
      </c>
      <c r="E92" s="9">
        <v>44013</v>
      </c>
      <c r="F92" s="16">
        <f>rotativo_[[#This Row],[AMORTIZACAO]]/B91</f>
        <v>0.11983006702312833</v>
      </c>
      <c r="G92" s="16">
        <f t="shared" si="1"/>
        <v>0.78382854520342549</v>
      </c>
    </row>
    <row r="93" spans="1:7" x14ac:dyDescent="0.25">
      <c r="A93" s="9">
        <v>44044</v>
      </c>
      <c r="B93">
        <v>82502</v>
      </c>
      <c r="C93">
        <v>10303.103189725131</v>
      </c>
      <c r="E93" s="9">
        <v>44044</v>
      </c>
      <c r="F93" s="16">
        <f>rotativo_[[#This Row],[AMORTIZACAO]]/B92</f>
        <v>0.1209057358914421</v>
      </c>
      <c r="G93" s="16">
        <f t="shared" si="1"/>
        <v>0.78697755911042588</v>
      </c>
    </row>
    <row r="94" spans="1:7" x14ac:dyDescent="0.25">
      <c r="A94" s="9">
        <v>44075</v>
      </c>
      <c r="B94">
        <v>80326</v>
      </c>
      <c r="C94">
        <v>10116.00497512437</v>
      </c>
      <c r="E94" s="9">
        <v>44075</v>
      </c>
      <c r="F94" s="16">
        <f>rotativo_[[#This Row],[AMORTIZACAO]]/B93</f>
        <v>0.12261526963133464</v>
      </c>
      <c r="G94" s="16">
        <f t="shared" si="1"/>
        <v>0.79189579186446546</v>
      </c>
    </row>
    <row r="95" spans="1:7" x14ac:dyDescent="0.25">
      <c r="A95" s="9">
        <v>44105</v>
      </c>
      <c r="B95">
        <v>79310</v>
      </c>
      <c r="C95">
        <v>9910.1311936320999</v>
      </c>
      <c r="E95" s="9">
        <v>44105</v>
      </c>
      <c r="F95" s="16">
        <f>rotativo_[[#This Row],[AMORTIZACAO]]/B94</f>
        <v>0.12337389131329955</v>
      </c>
      <c r="G95" s="16">
        <f t="shared" si="1"/>
        <v>0.79404477513655358</v>
      </c>
    </row>
    <row r="96" spans="1:7" x14ac:dyDescent="0.25">
      <c r="A96" s="9">
        <v>44136</v>
      </c>
      <c r="B96">
        <v>79566</v>
      </c>
      <c r="C96">
        <v>9946.8388260506908</v>
      </c>
      <c r="E96" s="9">
        <v>44136</v>
      </c>
      <c r="F96" s="16">
        <f>rotativo_[[#This Row],[AMORTIZACAO]]/B95</f>
        <v>0.12541720875111198</v>
      </c>
      <c r="G96" s="16">
        <f t="shared" si="1"/>
        <v>0.79973219758372571</v>
      </c>
    </row>
    <row r="97" spans="1:7" x14ac:dyDescent="0.25">
      <c r="A97" s="9">
        <v>44166</v>
      </c>
      <c r="B97">
        <v>74512</v>
      </c>
      <c r="C97">
        <v>9143.0553940255395</v>
      </c>
      <c r="E97" s="9">
        <v>44166</v>
      </c>
      <c r="F97" s="16">
        <f>rotativo_[[#This Row],[AMORTIZACAO]]/B96</f>
        <v>0.11491158778907498</v>
      </c>
      <c r="G97" s="16">
        <f t="shared" si="1"/>
        <v>0.76887876006184275</v>
      </c>
    </row>
    <row r="98" spans="1:7" x14ac:dyDescent="0.25">
      <c r="A98" s="9">
        <v>44197</v>
      </c>
      <c r="B98">
        <v>77396</v>
      </c>
      <c r="C98">
        <v>9520.63915818852</v>
      </c>
      <c r="E98" s="9">
        <v>44197</v>
      </c>
      <c r="F98" s="16">
        <f>rotativo_[[#This Row],[AMORTIZACAO]]/B97</f>
        <v>0.12777323328039134</v>
      </c>
      <c r="G98" s="16">
        <f t="shared" si="1"/>
        <v>0.80611111149162029</v>
      </c>
    </row>
    <row r="99" spans="1:7" x14ac:dyDescent="0.25">
      <c r="A99" s="9">
        <v>44228</v>
      </c>
      <c r="B99">
        <v>80726</v>
      </c>
      <c r="C99">
        <v>10100.68296507728</v>
      </c>
      <c r="E99" s="9">
        <v>44228</v>
      </c>
      <c r="F99" s="16">
        <f>rotativo_[[#This Row],[AMORTIZACAO]]/B98</f>
        <v>0.13050652443378571</v>
      </c>
      <c r="G99" s="16">
        <f t="shared" si="1"/>
        <v>0.81327781089814544</v>
      </c>
    </row>
    <row r="100" spans="1:7" x14ac:dyDescent="0.25">
      <c r="A100" s="9">
        <v>44256</v>
      </c>
      <c r="B100">
        <v>80641</v>
      </c>
      <c r="C100">
        <v>9819.7667845095712</v>
      </c>
      <c r="E100" s="9">
        <v>44256</v>
      </c>
      <c r="F100" s="16">
        <f>rotativo_[[#This Row],[AMORTIZACAO]]/B99</f>
        <v>0.12164317301129217</v>
      </c>
      <c r="G100" s="16">
        <f t="shared" si="1"/>
        <v>0.78911204562198067</v>
      </c>
    </row>
    <row r="101" spans="1:7" x14ac:dyDescent="0.25">
      <c r="A101" s="9">
        <v>44287</v>
      </c>
      <c r="B101">
        <v>81998</v>
      </c>
      <c r="C101">
        <v>9905.9939495568906</v>
      </c>
      <c r="E101" s="9">
        <v>44287</v>
      </c>
      <c r="F101" s="16">
        <f>rotativo_[[#This Row],[AMORTIZACAO]]/B100</f>
        <v>0.12284066355274477</v>
      </c>
      <c r="G101" s="16">
        <f t="shared" si="1"/>
        <v>0.79253641218218196</v>
      </c>
    </row>
    <row r="102" spans="1:7" x14ac:dyDescent="0.25">
      <c r="A102" s="9">
        <v>44317</v>
      </c>
      <c r="B102">
        <v>84443</v>
      </c>
      <c r="C102">
        <v>10140.266509821071</v>
      </c>
      <c r="E102" s="9">
        <v>44317</v>
      </c>
      <c r="F102" s="16">
        <f>rotativo_[[#This Row],[AMORTIZACAO]]/B101</f>
        <v>0.12366480291984037</v>
      </c>
      <c r="G102" s="16">
        <f t="shared" si="1"/>
        <v>0.79486344384119045</v>
      </c>
    </row>
    <row r="103" spans="1:7" x14ac:dyDescent="0.25">
      <c r="A103" s="9">
        <v>44348</v>
      </c>
      <c r="B103">
        <v>85952</v>
      </c>
      <c r="C103">
        <v>10379.27369544324</v>
      </c>
      <c r="E103" s="9">
        <v>44348</v>
      </c>
      <c r="F103" s="16">
        <f>rotativo_[[#This Row],[AMORTIZACAO]]/B102</f>
        <v>0.12291455414235923</v>
      </c>
      <c r="G103" s="16">
        <f t="shared" si="1"/>
        <v>0.79274603211047623</v>
      </c>
    </row>
    <row r="104" spans="1:7" x14ac:dyDescent="0.25">
      <c r="A104" s="9">
        <v>44378</v>
      </c>
      <c r="B104">
        <v>85979</v>
      </c>
      <c r="C104">
        <v>10299.083907386141</v>
      </c>
      <c r="E104" s="9">
        <v>44378</v>
      </c>
      <c r="F104" s="16">
        <f>rotativo_[[#This Row],[AMORTIZACAO]]/B103</f>
        <v>0.11982366794706512</v>
      </c>
      <c r="G104" s="16">
        <f t="shared" si="1"/>
        <v>0.78380968494231407</v>
      </c>
    </row>
    <row r="105" spans="1:7" x14ac:dyDescent="0.25">
      <c r="A105" s="9">
        <v>44409</v>
      </c>
      <c r="B105">
        <v>89389</v>
      </c>
      <c r="C105">
        <v>10729.917197398219</v>
      </c>
      <c r="E105" s="9">
        <v>44409</v>
      </c>
      <c r="F105" s="16">
        <f>rotativo_[[#This Row],[AMORTIZACAO]]/B104</f>
        <v>0.12479695271401411</v>
      </c>
      <c r="G105" s="16">
        <f t="shared" si="1"/>
        <v>0.79802116939244827</v>
      </c>
    </row>
    <row r="106" spans="1:7" x14ac:dyDescent="0.25">
      <c r="A106" s="9">
        <v>44440</v>
      </c>
      <c r="B106">
        <v>93530</v>
      </c>
      <c r="C106">
        <v>11236.776717125449</v>
      </c>
      <c r="E106" s="9">
        <v>44440</v>
      </c>
      <c r="F106" s="16">
        <f>rotativo_[[#This Row],[AMORTIZACAO]]/B105</f>
        <v>0.12570648197345813</v>
      </c>
      <c r="G106" s="16">
        <f t="shared" si="1"/>
        <v>0.80052562972062624</v>
      </c>
    </row>
    <row r="107" spans="1:7" x14ac:dyDescent="0.25">
      <c r="A107" s="9">
        <v>44470</v>
      </c>
      <c r="B107">
        <v>97469</v>
      </c>
      <c r="C107">
        <v>11686.91893098609</v>
      </c>
      <c r="E107" s="9">
        <v>44470</v>
      </c>
      <c r="F107" s="16">
        <f>rotativo_[[#This Row],[AMORTIZACAO]]/B106</f>
        <v>0.12495369326404458</v>
      </c>
      <c r="G107" s="16">
        <f t="shared" si="1"/>
        <v>0.79845481196326717</v>
      </c>
    </row>
    <row r="108" spans="1:7" x14ac:dyDescent="0.25">
      <c r="A108" s="9">
        <v>44501</v>
      </c>
      <c r="B108">
        <v>103646</v>
      </c>
      <c r="C108">
        <v>12608.052541580832</v>
      </c>
      <c r="E108" s="9">
        <v>44501</v>
      </c>
      <c r="F108" s="16">
        <f>rotativo_[[#This Row],[AMORTIZACAO]]/B107</f>
        <v>0.12935448749428877</v>
      </c>
      <c r="G108" s="16">
        <f t="shared" si="1"/>
        <v>0.8102873061151199</v>
      </c>
    </row>
    <row r="109" spans="1:7" x14ac:dyDescent="0.25">
      <c r="A109" s="9">
        <v>44531</v>
      </c>
      <c r="B109">
        <v>103215</v>
      </c>
      <c r="C109">
        <v>12538.56754071113</v>
      </c>
      <c r="E109" s="9">
        <v>44531</v>
      </c>
      <c r="F109" s="16">
        <f>rotativo_[[#This Row],[AMORTIZACAO]]/B108</f>
        <v>0.12097492947833134</v>
      </c>
      <c r="G109" s="16">
        <f t="shared" si="1"/>
        <v>0.78717867621170501</v>
      </c>
    </row>
    <row r="110" spans="1:7" x14ac:dyDescent="0.25">
      <c r="A110" s="9">
        <v>44562</v>
      </c>
      <c r="B110">
        <v>112031</v>
      </c>
      <c r="C110">
        <v>13584.939772959331</v>
      </c>
      <c r="E110" s="9">
        <v>44562</v>
      </c>
      <c r="F110" s="16">
        <f>rotativo_[[#This Row],[AMORTIZACAO]]/B109</f>
        <v>0.13161788279764891</v>
      </c>
      <c r="G110" s="16">
        <f t="shared" si="1"/>
        <v>0.81612171007168621</v>
      </c>
    </row>
    <row r="111" spans="1:7" x14ac:dyDescent="0.25">
      <c r="A111" s="9">
        <v>44593</v>
      </c>
      <c r="B111">
        <v>118531</v>
      </c>
      <c r="C111">
        <v>14632.28967798158</v>
      </c>
      <c r="E111" s="9">
        <v>44593</v>
      </c>
      <c r="F111" s="16">
        <f>rotativo_[[#This Row],[AMORTIZACAO]]/B110</f>
        <v>0.13060929276701611</v>
      </c>
      <c r="G111" s="16">
        <f t="shared" si="1"/>
        <v>0.81354247062642893</v>
      </c>
    </row>
    <row r="112" spans="1:7" x14ac:dyDescent="0.25">
      <c r="A112" s="9">
        <v>44621</v>
      </c>
      <c r="B112">
        <v>120980</v>
      </c>
      <c r="C112">
        <v>14627.88097361084</v>
      </c>
      <c r="E112" s="9">
        <v>44621</v>
      </c>
      <c r="F112" s="16">
        <f>rotativo_[[#This Row],[AMORTIZACAO]]/B111</f>
        <v>0.12340974912563667</v>
      </c>
      <c r="G112" s="16">
        <f t="shared" si="1"/>
        <v>0.79414584594657345</v>
      </c>
    </row>
    <row r="113" spans="1:7" x14ac:dyDescent="0.25">
      <c r="A113" s="9">
        <v>44652</v>
      </c>
      <c r="B113">
        <v>126029</v>
      </c>
      <c r="C113">
        <v>15391.65524445246</v>
      </c>
      <c r="E113" s="9">
        <v>44652</v>
      </c>
      <c r="F113" s="16">
        <f>rotativo_[[#This Row],[AMORTIZACAO]]/B112</f>
        <v>0.12722479124196115</v>
      </c>
      <c r="G113" s="16">
        <f t="shared" si="1"/>
        <v>0.80464307122127121</v>
      </c>
    </row>
    <row r="114" spans="1:7" x14ac:dyDescent="0.25">
      <c r="A114" s="9">
        <v>44682</v>
      </c>
      <c r="B114">
        <v>130187</v>
      </c>
      <c r="C114">
        <v>15634.17233684518</v>
      </c>
      <c r="E114" s="9">
        <v>44682</v>
      </c>
      <c r="F114" s="16">
        <f>rotativo_[[#This Row],[AMORTIZACAO]]/B113</f>
        <v>0.12405218113962009</v>
      </c>
      <c r="G114" s="16">
        <f t="shared" si="1"/>
        <v>0.79594895339241845</v>
      </c>
    </row>
    <row r="115" spans="1:7" x14ac:dyDescent="0.25">
      <c r="A115" s="9">
        <v>44713</v>
      </c>
      <c r="B115">
        <v>133541</v>
      </c>
      <c r="C115">
        <v>16067.30967901335</v>
      </c>
      <c r="E115" s="9">
        <v>44713</v>
      </c>
      <c r="F115" s="16">
        <f>rotativo_[[#This Row],[AMORTIZACAO]]/B114</f>
        <v>0.12341715900215344</v>
      </c>
      <c r="G115" s="16">
        <f t="shared" si="1"/>
        <v>0.79416672616438466</v>
      </c>
    </row>
    <row r="116" spans="1:7" x14ac:dyDescent="0.25">
      <c r="A116" s="9">
        <v>44743</v>
      </c>
      <c r="B116">
        <v>137006</v>
      </c>
      <c r="C116">
        <v>16538.664809621499</v>
      </c>
      <c r="E116" s="9">
        <v>44743</v>
      </c>
      <c r="F116" s="16">
        <f>rotativo_[[#This Row],[AMORTIZACAO]]/B115</f>
        <v>0.12384709422290907</v>
      </c>
      <c r="G116" s="16">
        <f t="shared" si="1"/>
        <v>0.79537491740449817</v>
      </c>
    </row>
    <row r="117" spans="1:7" x14ac:dyDescent="0.25">
      <c r="A117" s="9">
        <v>44774</v>
      </c>
      <c r="B117">
        <v>140441</v>
      </c>
      <c r="C117">
        <v>16846.27875419721</v>
      </c>
      <c r="E117" s="9">
        <v>44774</v>
      </c>
      <c r="F117" s="16">
        <f>rotativo_[[#This Row],[AMORTIZACAO]]/B116</f>
        <v>0.12296015323560436</v>
      </c>
      <c r="G117" s="16">
        <f t="shared" si="1"/>
        <v>0.79287529510811838</v>
      </c>
    </row>
    <row r="118" spans="1:7" x14ac:dyDescent="0.25">
      <c r="A118" s="9">
        <v>44805</v>
      </c>
      <c r="B118">
        <v>146261</v>
      </c>
      <c r="C118">
        <v>17560.848927448369</v>
      </c>
      <c r="E118" s="9">
        <v>44805</v>
      </c>
      <c r="F118" s="16">
        <f>rotativo_[[#This Row],[AMORTIZACAO]]/B117</f>
        <v>0.12504075681210167</v>
      </c>
      <c r="G118" s="16">
        <f t="shared" si="1"/>
        <v>0.79869531544125494</v>
      </c>
    </row>
    <row r="119" spans="1:7" x14ac:dyDescent="0.25">
      <c r="A119" s="9">
        <v>44835</v>
      </c>
      <c r="B119">
        <v>151727</v>
      </c>
      <c r="C119">
        <v>18148.24986531895</v>
      </c>
      <c r="E119" s="9">
        <v>44835</v>
      </c>
      <c r="F119" s="16">
        <f>rotativo_[[#This Row],[AMORTIZACAO]]/B118</f>
        <v>0.12408126476175434</v>
      </c>
      <c r="G119" s="16">
        <f t="shared" si="1"/>
        <v>0.79603023850735155</v>
      </c>
    </row>
    <row r="120" spans="1:7" x14ac:dyDescent="0.25">
      <c r="A120" s="9">
        <v>44866</v>
      </c>
      <c r="B120">
        <v>154936</v>
      </c>
      <c r="C120">
        <v>18568.470201775079</v>
      </c>
      <c r="E120" s="9">
        <v>44866</v>
      </c>
      <c r="F120" s="16">
        <f>rotativo_[[#This Row],[AMORTIZACAO]]/B119</f>
        <v>0.12238079051042385</v>
      </c>
      <c r="G120" s="16">
        <f t="shared" si="1"/>
        <v>0.79122742537599888</v>
      </c>
    </row>
    <row r="121" spans="1:7" x14ac:dyDescent="0.25">
      <c r="A121" s="9">
        <v>44896</v>
      </c>
      <c r="B121">
        <v>151435</v>
      </c>
      <c r="C121">
        <v>18170.067014456359</v>
      </c>
      <c r="E121" s="9">
        <v>44896</v>
      </c>
      <c r="F121" s="16">
        <f>rotativo_[[#This Row],[AMORTIZACAO]]/B120</f>
        <v>0.11727466188914364</v>
      </c>
      <c r="G121" s="16">
        <f t="shared" si="1"/>
        <v>0.77617576170525904</v>
      </c>
    </row>
    <row r="122" spans="1:7" x14ac:dyDescent="0.25">
      <c r="A122" s="9">
        <v>44927</v>
      </c>
      <c r="B122">
        <v>156945</v>
      </c>
      <c r="C122">
        <v>18599.232245960822</v>
      </c>
      <c r="E122" s="9">
        <v>44927</v>
      </c>
      <c r="F122" s="16">
        <f>rotativo_[[#This Row],[AMORTIZACAO]]/B121</f>
        <v>0.12281990455284988</v>
      </c>
      <c r="G122" s="16">
        <f t="shared" si="1"/>
        <v>0.79247748609596658</v>
      </c>
    </row>
    <row r="123" spans="1:7" x14ac:dyDescent="0.25">
      <c r="A123" s="9">
        <v>44958</v>
      </c>
      <c r="B123">
        <v>163196</v>
      </c>
      <c r="C123">
        <v>19961.912193051412</v>
      </c>
      <c r="E123" s="9">
        <v>44958</v>
      </c>
      <c r="F123" s="16">
        <f>rotativo_[[#This Row],[AMORTIZACAO]]/B122</f>
        <v>0.12719049471503655</v>
      </c>
      <c r="G123" s="16">
        <f t="shared" si="1"/>
        <v>0.80455093048638771</v>
      </c>
    </row>
    <row r="124" spans="1:7" x14ac:dyDescent="0.25">
      <c r="A124" s="9">
        <v>44986</v>
      </c>
      <c r="B124">
        <v>163689</v>
      </c>
      <c r="C124">
        <v>19107.578418517631</v>
      </c>
      <c r="E124" s="9">
        <v>44986</v>
      </c>
      <c r="F124" s="16">
        <f>rotativo_[[#This Row],[AMORTIZACAO]]/B123</f>
        <v>0.11708361981002985</v>
      </c>
      <c r="G124" s="16">
        <f t="shared" si="1"/>
        <v>0.77559378068473361</v>
      </c>
    </row>
    <row r="125" spans="1:7" x14ac:dyDescent="0.25">
      <c r="A125" s="9">
        <v>45017</v>
      </c>
      <c r="B125">
        <v>166280</v>
      </c>
      <c r="C125">
        <v>18201.373048280569</v>
      </c>
      <c r="E125" s="9">
        <v>45017</v>
      </c>
      <c r="F125" s="16">
        <f>rotativo_[[#This Row],[AMORTIZACAO]]/B124</f>
        <v>0.11119484539755616</v>
      </c>
      <c r="G125" s="16">
        <f t="shared" si="1"/>
        <v>0.756959429792331</v>
      </c>
    </row>
    <row r="126" spans="1:7" x14ac:dyDescent="0.25">
      <c r="A126" s="9">
        <v>45047</v>
      </c>
      <c r="B126">
        <v>167745</v>
      </c>
      <c r="C126">
        <v>18222.529029109937</v>
      </c>
      <c r="E126" s="9">
        <v>45047</v>
      </c>
      <c r="F126" s="16">
        <f>rotativo_[[#This Row],[AMORTIZACAO]]/B125</f>
        <v>0.10958942163284784</v>
      </c>
      <c r="G126" s="16">
        <f t="shared" si="1"/>
        <v>0.75163881060508619</v>
      </c>
    </row>
    <row r="127" spans="1:7" x14ac:dyDescent="0.25">
      <c r="A127" s="9">
        <v>45078</v>
      </c>
      <c r="B127">
        <v>165132</v>
      </c>
      <c r="C127">
        <v>17867.547215157167</v>
      </c>
      <c r="E127" s="9">
        <v>45078</v>
      </c>
      <c r="F127" s="16">
        <f>rotativo_[[#This Row],[AMORTIZACAO]]/B126</f>
        <v>0.10651612396886445</v>
      </c>
      <c r="G127" s="16">
        <f t="shared" si="1"/>
        <v>0.74115449078514173</v>
      </c>
    </row>
    <row r="128" spans="1:7" x14ac:dyDescent="0.25">
      <c r="A128" s="9">
        <v>45108</v>
      </c>
      <c r="B128">
        <v>164038</v>
      </c>
      <c r="C128">
        <v>17623.110010181648</v>
      </c>
      <c r="E128" s="9">
        <v>45108</v>
      </c>
      <c r="F128" s="16">
        <f>rotativo_[[#This Row],[AMORTIZACAO]]/B127</f>
        <v>0.10672135025423085</v>
      </c>
      <c r="G128" s="16">
        <f t="shared" si="1"/>
        <v>0.74186704772105261</v>
      </c>
    </row>
    <row r="129" spans="1:7" x14ac:dyDescent="0.25">
      <c r="A129" s="9">
        <v>45139</v>
      </c>
      <c r="B129">
        <v>165955</v>
      </c>
      <c r="C129">
        <v>17655.693626935732</v>
      </c>
      <c r="E129" s="9">
        <v>45139</v>
      </c>
      <c r="F129" s="16">
        <f>rotativo_[[#This Row],[AMORTIZACAO]]/B128</f>
        <v>0.10763172939767451</v>
      </c>
      <c r="G129" s="16">
        <f t="shared" si="1"/>
        <v>0.7450063066845326</v>
      </c>
    </row>
    <row r="130" spans="1:7" x14ac:dyDescent="0.25">
      <c r="A130" s="9">
        <v>45170</v>
      </c>
      <c r="B130">
        <v>161689</v>
      </c>
      <c r="C130">
        <v>17264.339080842292</v>
      </c>
      <c r="E130" s="9">
        <v>45170</v>
      </c>
      <c r="F130" s="16">
        <f>rotativo_[[#This Row],[AMORTIZACAO]]/B129</f>
        <v>0.10403024362533393</v>
      </c>
      <c r="G130" s="16">
        <f t="shared" si="1"/>
        <v>0.73237899170520926</v>
      </c>
    </row>
    <row r="131" spans="1:7" x14ac:dyDescent="0.25">
      <c r="A131" s="9">
        <v>45200</v>
      </c>
      <c r="B131">
        <v>164122</v>
      </c>
      <c r="C131">
        <v>17349.01955500276</v>
      </c>
      <c r="E131" s="9">
        <v>45200</v>
      </c>
      <c r="F131" s="16">
        <f>rotativo_[[#This Row],[AMORTIZACAO]]/B130</f>
        <v>0.107298700313582</v>
      </c>
      <c r="G131" s="16">
        <f t="shared" si="1"/>
        <v>0.74386200549919756</v>
      </c>
    </row>
    <row r="132" spans="1:7" x14ac:dyDescent="0.25">
      <c r="A132" s="9">
        <v>45231</v>
      </c>
      <c r="B132">
        <v>165971</v>
      </c>
      <c r="C132">
        <v>17491.631936255522</v>
      </c>
      <c r="E132" s="9">
        <v>45231</v>
      </c>
      <c r="F132" s="16">
        <f>rotativo_[[#This Row],[AMORTIZACAO]]/B131</f>
        <v>0.10657700939700664</v>
      </c>
      <c r="G132" s="16">
        <f t="shared" ref="G132:G164" si="2">(1-(1-F132)^12)</f>
        <v>0.74136607621700201</v>
      </c>
    </row>
    <row r="133" spans="1:7" x14ac:dyDescent="0.25">
      <c r="A133" s="9">
        <v>45261</v>
      </c>
      <c r="B133">
        <v>160515</v>
      </c>
      <c r="C133">
        <v>17215.199004975118</v>
      </c>
      <c r="E133" s="9">
        <v>45261</v>
      </c>
      <c r="F133" s="16">
        <f>rotativo_[[#This Row],[AMORTIZACAO]]/B132</f>
        <v>0.10372413858430159</v>
      </c>
      <c r="G133" s="16">
        <f t="shared" si="2"/>
        <v>0.7312797459263074</v>
      </c>
    </row>
    <row r="134" spans="1:7" x14ac:dyDescent="0.25">
      <c r="A134" s="9">
        <v>45292</v>
      </c>
      <c r="B134">
        <v>164908</v>
      </c>
      <c r="C134">
        <v>17440.121456305249</v>
      </c>
      <c r="E134" s="9">
        <v>45292</v>
      </c>
      <c r="F134" s="16">
        <f>rotativo_[[#This Row],[AMORTIZACAO]]/B133</f>
        <v>0.10865103857150578</v>
      </c>
      <c r="G134" s="16">
        <f t="shared" si="2"/>
        <v>0.74847963561785957</v>
      </c>
    </row>
    <row r="135" spans="1:7" x14ac:dyDescent="0.25">
      <c r="A135" s="9">
        <v>45323</v>
      </c>
      <c r="B135">
        <v>168476</v>
      </c>
      <c r="C135">
        <v>18089.518038659971</v>
      </c>
      <c r="E135" s="9">
        <v>45323</v>
      </c>
      <c r="F135" s="16">
        <f>rotativo_[[#This Row],[AMORTIZACAO]]/B134</f>
        <v>0.10969460571142681</v>
      </c>
      <c r="G135" s="16">
        <f t="shared" si="2"/>
        <v>0.75199064842832453</v>
      </c>
    </row>
    <row r="136" spans="1:7" x14ac:dyDescent="0.25">
      <c r="A136" s="9">
        <v>45352</v>
      </c>
      <c r="B136">
        <v>167752</v>
      </c>
      <c r="C136">
        <v>18276.36312445761</v>
      </c>
      <c r="E136" s="9">
        <v>45352</v>
      </c>
      <c r="F136" s="16">
        <f>rotativo_[[#This Row],[AMORTIZACAO]]/B135</f>
        <v>0.10848051428368201</v>
      </c>
      <c r="G136" s="16">
        <f t="shared" si="2"/>
        <v>0.74790160625566127</v>
      </c>
    </row>
    <row r="137" spans="1:7" x14ac:dyDescent="0.25">
      <c r="A137" s="9">
        <v>45383</v>
      </c>
      <c r="B137">
        <v>171457</v>
      </c>
      <c r="C137">
        <v>18642.06673924272</v>
      </c>
      <c r="E137" s="9">
        <v>45383</v>
      </c>
      <c r="F137" s="16">
        <f>rotativo_[[#This Row],[AMORTIZACAO]]/B136</f>
        <v>0.11112873014475369</v>
      </c>
      <c r="G137" s="16">
        <f t="shared" si="2"/>
        <v>0.75674239327650872</v>
      </c>
    </row>
    <row r="138" spans="1:7" x14ac:dyDescent="0.25">
      <c r="A138" s="9">
        <v>45413</v>
      </c>
      <c r="B138">
        <v>168833</v>
      </c>
      <c r="C138">
        <v>18210.933488416151</v>
      </c>
      <c r="E138" s="9">
        <v>45413</v>
      </c>
      <c r="F138" s="16">
        <f>rotativo_[[#This Row],[AMORTIZACAO]]/B137</f>
        <v>0.10621283172116712</v>
      </c>
      <c r="G138" s="16">
        <f t="shared" si="2"/>
        <v>0.74009814173538147</v>
      </c>
    </row>
    <row r="139" spans="1:7" x14ac:dyDescent="0.25">
      <c r="A139" s="9">
        <v>45444</v>
      </c>
      <c r="B139">
        <v>168099</v>
      </c>
      <c r="C139">
        <v>18849.707159468919</v>
      </c>
      <c r="E139" s="9">
        <v>45444</v>
      </c>
      <c r="F139" s="16">
        <f>rotativo_[[#This Row],[AMORTIZACAO]]/B138</f>
        <v>0.11164705454187818</v>
      </c>
      <c r="G139" s="16">
        <f t="shared" si="2"/>
        <v>0.75843914408381197</v>
      </c>
    </row>
    <row r="140" spans="1:7" x14ac:dyDescent="0.25">
      <c r="A140" s="9">
        <v>45474</v>
      </c>
      <c r="B140">
        <v>168797</v>
      </c>
      <c r="C140">
        <v>18528.11280521964</v>
      </c>
      <c r="E140" s="9">
        <v>45474</v>
      </c>
      <c r="F140" s="16">
        <f>rotativo_[[#This Row],[AMORTIZACAO]]/B139</f>
        <v>0.11022143382899148</v>
      </c>
      <c r="G140" s="16">
        <f t="shared" si="2"/>
        <v>0.75374600881622</v>
      </c>
    </row>
    <row r="141" spans="1:7" x14ac:dyDescent="0.25">
      <c r="A141" s="9">
        <v>45505</v>
      </c>
      <c r="B141">
        <v>169337</v>
      </c>
      <c r="C141">
        <v>18410.361476014699</v>
      </c>
      <c r="E141" s="9">
        <v>45505</v>
      </c>
      <c r="F141" s="16">
        <f>rotativo_[[#This Row],[AMORTIZACAO]]/B140</f>
        <v>0.10906806090164339</v>
      </c>
      <c r="G141" s="16">
        <f t="shared" si="2"/>
        <v>0.74988810926032679</v>
      </c>
    </row>
    <row r="142" spans="1:7" x14ac:dyDescent="0.25">
      <c r="A142" s="9">
        <v>45536</v>
      </c>
      <c r="B142">
        <v>170562</v>
      </c>
      <c r="C142">
        <v>18961.666925787722</v>
      </c>
      <c r="E142" s="9">
        <v>45536</v>
      </c>
      <c r="F142" s="16">
        <f>rotativo_[[#This Row],[AMORTIZACAO]]/B141</f>
        <v>0.11197592331143059</v>
      </c>
      <c r="G142" s="16">
        <f t="shared" si="2"/>
        <v>0.75951007341957044</v>
      </c>
    </row>
    <row r="143" spans="1:7" x14ac:dyDescent="0.25">
      <c r="A143" s="9">
        <v>45566</v>
      </c>
      <c r="B143">
        <v>169463</v>
      </c>
      <c r="C143">
        <v>18577.728049349302</v>
      </c>
      <c r="E143" s="9">
        <v>45566</v>
      </c>
      <c r="F143" s="16">
        <f>rotativo_[[#This Row],[AMORTIZACAO]]/B142</f>
        <v>0.10892067429643942</v>
      </c>
      <c r="G143" s="16">
        <f t="shared" si="2"/>
        <v>0.74939114602707035</v>
      </c>
    </row>
    <row r="144" spans="1:7" x14ac:dyDescent="0.25">
      <c r="A144" s="9">
        <v>45597</v>
      </c>
      <c r="B144">
        <v>169838</v>
      </c>
      <c r="C144">
        <v>19176.083957149229</v>
      </c>
      <c r="E144" s="9">
        <v>45597</v>
      </c>
      <c r="F144" s="16">
        <f>rotativo_[[#This Row],[AMORTIZACAO]]/B143</f>
        <v>0.11315793982845358</v>
      </c>
      <c r="G144" s="16">
        <f t="shared" si="2"/>
        <v>0.76332336494673636</v>
      </c>
    </row>
    <row r="145" spans="1:7" x14ac:dyDescent="0.25">
      <c r="A145" s="9">
        <v>45627</v>
      </c>
      <c r="B145">
        <v>167809</v>
      </c>
      <c r="C145">
        <v>19115.574075555571</v>
      </c>
      <c r="E145" s="9">
        <v>45627</v>
      </c>
      <c r="F145" s="16">
        <f>rotativo_[[#This Row],[AMORTIZACAO]]/B144</f>
        <v>0.11255180863855893</v>
      </c>
      <c r="G145" s="16">
        <f t="shared" si="2"/>
        <v>0.7613749108189265</v>
      </c>
    </row>
    <row r="146" spans="1:7" x14ac:dyDescent="0.25">
      <c r="A146" s="9">
        <v>45658</v>
      </c>
      <c r="B146">
        <v>177225</v>
      </c>
      <c r="C146">
        <v>20011.512867367142</v>
      </c>
      <c r="E146" s="9">
        <v>45658</v>
      </c>
      <c r="F146" s="16">
        <f>rotativo_[[#This Row],[AMORTIZACAO]]/B145</f>
        <v>0.11925172587505523</v>
      </c>
      <c r="G146" s="16">
        <f t="shared" si="2"/>
        <v>0.78211787115053644</v>
      </c>
    </row>
    <row r="147" spans="1:7" x14ac:dyDescent="0.25">
      <c r="A147" s="9">
        <v>45689</v>
      </c>
      <c r="B147">
        <v>181477</v>
      </c>
      <c r="C147">
        <v>20977.43462945889</v>
      </c>
      <c r="E147" s="9">
        <v>45689</v>
      </c>
      <c r="F147" s="16">
        <f>rotativo_[[#This Row],[AMORTIZACAO]]/B146</f>
        <v>0.11836611442775506</v>
      </c>
      <c r="G147" s="16">
        <f t="shared" si="2"/>
        <v>0.77947426050273272</v>
      </c>
    </row>
    <row r="148" spans="1:7" x14ac:dyDescent="0.25">
      <c r="A148" s="9">
        <v>45717</v>
      </c>
      <c r="B148">
        <v>188992</v>
      </c>
      <c r="C148">
        <v>20308.212918836169</v>
      </c>
      <c r="E148" s="9">
        <v>45717</v>
      </c>
      <c r="F148" s="16">
        <f>rotativo_[[#This Row],[AMORTIZACAO]]/B147</f>
        <v>0.11190516108838128</v>
      </c>
      <c r="G148" s="16">
        <f t="shared" si="2"/>
        <v>0.75928001125096234</v>
      </c>
    </row>
    <row r="149" spans="1:7" x14ac:dyDescent="0.25">
      <c r="A149" s="9">
        <v>45748</v>
      </c>
      <c r="B149">
        <v>194504</v>
      </c>
      <c r="C149">
        <v>21256.319763856263</v>
      </c>
      <c r="E149" s="9">
        <v>45748</v>
      </c>
      <c r="F149" s="16">
        <f>rotativo_[[#This Row],[AMORTIZACAO]]/B148</f>
        <v>0.11247206106002509</v>
      </c>
      <c r="G149" s="16">
        <f t="shared" si="2"/>
        <v>0.76111746460896168</v>
      </c>
    </row>
    <row r="150" spans="1:7" x14ac:dyDescent="0.25">
      <c r="A150" s="9">
        <v>45778</v>
      </c>
      <c r="B150">
        <v>196130</v>
      </c>
      <c r="C150">
        <v>21269.250432682649</v>
      </c>
      <c r="E150" s="9">
        <v>45778</v>
      </c>
      <c r="F150" s="16">
        <f>rotativo_[[#This Row],[AMORTIZACAO]]/B149</f>
        <v>0.10935122379325181</v>
      </c>
      <c r="G150" s="16">
        <f t="shared" si="2"/>
        <v>0.75084035352784773</v>
      </c>
    </row>
    <row r="151" spans="1:7" x14ac:dyDescent="0.25">
      <c r="A151" s="9">
        <v>45809</v>
      </c>
      <c r="B151">
        <v>197460</v>
      </c>
      <c r="C151">
        <v>21712.804235352211</v>
      </c>
      <c r="E151" s="9">
        <v>45809</v>
      </c>
      <c r="F151" s="16">
        <f>rotativo_[[#This Row],[AMORTIZACAO]]/B150</f>
        <v>0.11070618587341156</v>
      </c>
      <c r="G151" s="16">
        <f t="shared" si="2"/>
        <v>0.75535110597395472</v>
      </c>
    </row>
    <row r="152" spans="1:7" x14ac:dyDescent="0.25">
      <c r="A152" s="9">
        <v>45839</v>
      </c>
      <c r="B152">
        <v>196883</v>
      </c>
      <c r="C152">
        <v>21603.717117485001</v>
      </c>
      <c r="E152" s="9">
        <v>45839</v>
      </c>
      <c r="F152" s="16">
        <f>rotativo_[[#This Row],[AMORTIZACAO]]/B151</f>
        <v>0.10940806805168136</v>
      </c>
      <c r="G152" s="16">
        <f t="shared" si="2"/>
        <v>0.75103111323081528</v>
      </c>
    </row>
    <row r="153" spans="1:7" x14ac:dyDescent="0.25">
      <c r="A153" s="9">
        <v>45870</v>
      </c>
      <c r="B153">
        <v>200483</v>
      </c>
      <c r="C153">
        <v>22254.105928085519</v>
      </c>
      <c r="E153" s="9">
        <v>45870</v>
      </c>
      <c r="F153" s="16">
        <f>rotativo_[[#This Row],[AMORTIZACAO]]/B152</f>
        <v>0.11303213547175489</v>
      </c>
      <c r="G153" s="16">
        <f t="shared" si="2"/>
        <v>0.76292016088291059</v>
      </c>
    </row>
    <row r="154" spans="1:7" x14ac:dyDescent="0.25">
      <c r="A154" s="9">
        <v>45901</v>
      </c>
      <c r="B154">
        <v>204200</v>
      </c>
      <c r="C154">
        <v>22701.590966571148</v>
      </c>
      <c r="E154" s="9">
        <v>45901</v>
      </c>
      <c r="F154" s="16">
        <f>rotativo_[[#This Row],[AMORTIZACAO]]/B153</f>
        <v>0.11323449353097843</v>
      </c>
      <c r="G154" s="16">
        <f t="shared" si="2"/>
        <v>0.76356841250018381</v>
      </c>
    </row>
    <row r="155" spans="1:7" x14ac:dyDescent="0.25">
      <c r="A155" s="9">
        <v>45931</v>
      </c>
      <c r="B155">
        <v>210650</v>
      </c>
      <c r="C155">
        <v>23465.282275894428</v>
      </c>
      <c r="E155" s="9">
        <v>45931</v>
      </c>
      <c r="F155" s="16">
        <f>rotativo_[[#This Row],[AMORTIZACAO]]/B154</f>
        <v>0.11491323347646634</v>
      </c>
      <c r="G155" s="16">
        <f t="shared" si="2"/>
        <v>0.76888391682695989</v>
      </c>
    </row>
    <row r="156" spans="1:7" x14ac:dyDescent="0.25">
      <c r="A156" s="9">
        <v>45962</v>
      </c>
      <c r="B156">
        <v>211590</v>
      </c>
      <c r="C156">
        <v>23718.160345634653</v>
      </c>
      <c r="E156" s="9">
        <v>45962</v>
      </c>
      <c r="F156" s="16">
        <f>rotativo_[[#This Row],[AMORTIZACAO]]/B155</f>
        <v>0.11259511201345669</v>
      </c>
      <c r="G156" s="16">
        <f t="shared" si="2"/>
        <v>0.76151459895929086</v>
      </c>
    </row>
    <row r="157" spans="1:7" x14ac:dyDescent="0.25">
      <c r="A157" s="9">
        <v>45992</v>
      </c>
      <c r="B157">
        <v>208980</v>
      </c>
      <c r="C157">
        <v>23261.502774034219</v>
      </c>
      <c r="E157" s="9">
        <v>45992</v>
      </c>
      <c r="F157" s="16">
        <f>rotativo_[[#This Row],[AMORTIZACAO]]/B156</f>
        <v>0.10993668308537369</v>
      </c>
      <c r="G157" s="16">
        <f t="shared" si="2"/>
        <v>0.75279865543365521</v>
      </c>
    </row>
    <row r="158" spans="1:7" x14ac:dyDescent="0.25">
      <c r="A158" s="9">
        <v>46023</v>
      </c>
      <c r="B158">
        <v>217892</v>
      </c>
      <c r="C158">
        <v>24502.12699373646</v>
      </c>
      <c r="E158" s="9">
        <v>46023</v>
      </c>
      <c r="F158" s="16">
        <f>rotativo_[[#This Row],[AMORTIZACAO]]/B157</f>
        <v>0.11724627712573672</v>
      </c>
      <c r="G158" s="16">
        <f t="shared" si="2"/>
        <v>0.77608937938673694</v>
      </c>
    </row>
    <row r="159" spans="1:7" x14ac:dyDescent="0.25">
      <c r="A159" s="9">
        <v>46054</v>
      </c>
      <c r="B159">
        <v>224844</v>
      </c>
      <c r="C159">
        <v>25920.620450785831</v>
      </c>
      <c r="E159" s="9">
        <v>46054</v>
      </c>
      <c r="F159" s="16">
        <f>rotativo_[[#This Row],[AMORTIZACAO]]/B158</f>
        <v>0.11896086341300199</v>
      </c>
      <c r="G159" s="16">
        <f t="shared" si="2"/>
        <v>0.78125284803696549</v>
      </c>
    </row>
    <row r="160" spans="1:7" x14ac:dyDescent="0.25">
      <c r="A160" s="9">
        <v>46082</v>
      </c>
      <c r="B160">
        <v>226003</v>
      </c>
      <c r="C160">
        <v>25489.456038060067</v>
      </c>
      <c r="E160" s="9">
        <v>46082</v>
      </c>
      <c r="F160" s="16">
        <f>rotativo_[[#This Row],[AMORTIZACAO]]/B159</f>
        <v>0.11336507106287055</v>
      </c>
      <c r="G160" s="16">
        <f t="shared" si="2"/>
        <v>0.76398585312401701</v>
      </c>
    </row>
    <row r="161" spans="1:7" x14ac:dyDescent="0.25">
      <c r="A161" s="9">
        <v>46113</v>
      </c>
      <c r="B161">
        <v>229979</v>
      </c>
      <c r="C161">
        <v>26032.086368159173</v>
      </c>
      <c r="E161" s="9">
        <v>46113</v>
      </c>
      <c r="F161" s="16">
        <f>rotativo_[[#This Row],[AMORTIZACAO]]/B160</f>
        <v>0.11518469386759987</v>
      </c>
      <c r="G161" s="16">
        <f t="shared" si="2"/>
        <v>0.76973309645692534</v>
      </c>
    </row>
    <row r="162" spans="1:7" x14ac:dyDescent="0.25">
      <c r="A162" s="9">
        <v>46143</v>
      </c>
      <c r="B162">
        <v>228671</v>
      </c>
      <c r="C162">
        <v>25949.58098772791</v>
      </c>
      <c r="E162" s="9">
        <v>46143</v>
      </c>
      <c r="F162" s="16">
        <f>rotativo_[[#This Row],[AMORTIZACAO]]/B161</f>
        <v>0.11283456745062771</v>
      </c>
      <c r="G162" s="16">
        <f t="shared" si="2"/>
        <v>0.76228568260565965</v>
      </c>
    </row>
    <row r="163" spans="1:7" x14ac:dyDescent="0.25">
      <c r="A163" s="9">
        <v>46174</v>
      </c>
      <c r="B163">
        <v>226344</v>
      </c>
      <c r="C163">
        <v>25758.784390083682</v>
      </c>
      <c r="E163" s="9">
        <v>46174</v>
      </c>
      <c r="F163" s="16">
        <f>rotativo_[[#This Row],[AMORTIZACAO]]/B162</f>
        <v>0.11264561046255836</v>
      </c>
      <c r="G163" s="16">
        <f t="shared" si="2"/>
        <v>0.76167740231294501</v>
      </c>
    </row>
    <row r="164" spans="1:7" x14ac:dyDescent="0.25">
      <c r="A164" s="9">
        <v>46204</v>
      </c>
      <c r="B164">
        <v>226011</v>
      </c>
      <c r="C164">
        <v>25420.262076769781</v>
      </c>
      <c r="E164" s="9">
        <v>46204</v>
      </c>
      <c r="F164" s="16">
        <f>rotativo_[[#This Row],[AMORTIZACAO]]/B163</f>
        <v>0.11230808891231833</v>
      </c>
      <c r="G164" s="16">
        <f t="shared" si="2"/>
        <v>0.76058731914929334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A7DD-2E21-437C-8DF1-F6EE439CA5A2}">
  <sheetPr>
    <tabColor theme="5" tint="0.79998168889431442"/>
  </sheetPr>
  <dimension ref="A1:J164"/>
  <sheetViews>
    <sheetView workbookViewId="0">
      <selection activeCell="I1" sqref="I1:J1"/>
    </sheetView>
  </sheetViews>
  <sheetFormatPr defaultRowHeight="15" x14ac:dyDescent="0.25"/>
  <cols>
    <col min="1" max="1" width="10.42578125" bestFit="1" customWidth="1"/>
    <col min="2" max="2" width="9.42578125" bestFit="1" customWidth="1"/>
    <col min="3" max="3" width="16.5703125" bestFit="1" customWidth="1"/>
    <col min="4" max="4" width="12" bestFit="1" customWidth="1"/>
    <col min="5" max="5" width="10.42578125" bestFit="1" customWidth="1"/>
    <col min="6" max="8" width="9.140625" style="16"/>
    <col min="9" max="9" width="15.85546875" bestFit="1" customWidth="1"/>
  </cols>
  <sheetData>
    <row r="1" spans="1:10" x14ac:dyDescent="0.25">
      <c r="A1" t="s">
        <v>28</v>
      </c>
      <c r="B1" t="s">
        <v>29</v>
      </c>
      <c r="C1" t="s">
        <v>30</v>
      </c>
      <c r="E1" t="s">
        <v>28</v>
      </c>
      <c r="I1" t="s">
        <v>31</v>
      </c>
      <c r="J1" s="17">
        <f>AVERAGE(G:G)</f>
        <v>4.3218078721796761E-2</v>
      </c>
    </row>
    <row r="2" spans="1:10" x14ac:dyDescent="0.25">
      <c r="A2" s="9">
        <v>41275</v>
      </c>
      <c r="B2">
        <v>263172</v>
      </c>
      <c r="C2">
        <v>1141.6837834910771</v>
      </c>
      <c r="E2" s="9">
        <v>41275</v>
      </c>
    </row>
    <row r="3" spans="1:10" x14ac:dyDescent="0.25">
      <c r="A3" s="9">
        <v>41306</v>
      </c>
      <c r="B3">
        <v>268517</v>
      </c>
      <c r="C3">
        <v>1161.4155746080539</v>
      </c>
      <c r="E3" s="9">
        <v>41306</v>
      </c>
      <c r="F3" s="16">
        <f>imobiliario[[#This Row],[AMORTIZACAO]]/B2</f>
        <v>4.4131426390651507E-3</v>
      </c>
      <c r="G3" s="16">
        <f>(1-(1-F3)^12)</f>
        <v>5.1691029498952545E-2</v>
      </c>
    </row>
    <row r="4" spans="1:10" x14ac:dyDescent="0.25">
      <c r="A4" s="9">
        <v>41334</v>
      </c>
      <c r="B4">
        <v>275996</v>
      </c>
      <c r="C4">
        <v>1188.859560237634</v>
      </c>
      <c r="E4" s="9">
        <v>41334</v>
      </c>
      <c r="F4" s="16">
        <f>imobiliario[[#This Row],[AMORTIZACAO]]/B3</f>
        <v>4.4275020212412395E-3</v>
      </c>
      <c r="G4" s="16">
        <f t="shared" ref="G4:G67" si="0">(1-(1-F4)^12)</f>
        <v>5.1855146379498174E-2</v>
      </c>
    </row>
    <row r="5" spans="1:10" x14ac:dyDescent="0.25">
      <c r="A5" s="9">
        <v>41365</v>
      </c>
      <c r="B5">
        <v>283580</v>
      </c>
      <c r="C5">
        <v>1212.0339310348982</v>
      </c>
      <c r="E5" s="9">
        <v>41365</v>
      </c>
      <c r="F5" s="16">
        <f>imobiliario[[#This Row],[AMORTIZACAO]]/B4</f>
        <v>4.3914909311544301E-3</v>
      </c>
      <c r="G5" s="16">
        <f t="shared" si="0"/>
        <v>5.1443517614225831E-2</v>
      </c>
    </row>
    <row r="6" spans="1:10" x14ac:dyDescent="0.25">
      <c r="A6" s="9">
        <v>41395</v>
      </c>
      <c r="B6">
        <v>292042</v>
      </c>
      <c r="C6">
        <v>1241.4544808736391</v>
      </c>
      <c r="E6" s="9">
        <v>41395</v>
      </c>
      <c r="F6" s="16">
        <f>imobiliario[[#This Row],[AMORTIZACAO]]/B5</f>
        <v>4.3777927952381663E-3</v>
      </c>
      <c r="G6" s="16">
        <f t="shared" si="0"/>
        <v>5.1286896547351746E-2</v>
      </c>
    </row>
    <row r="7" spans="1:10" x14ac:dyDescent="0.25">
      <c r="A7" s="9">
        <v>41426</v>
      </c>
      <c r="B7">
        <v>300962</v>
      </c>
      <c r="C7">
        <v>1267.1468239947471</v>
      </c>
      <c r="E7" s="9">
        <v>41426</v>
      </c>
      <c r="F7" s="16">
        <f>imobiliario[[#This Row],[AMORTIZACAO]]/B6</f>
        <v>4.3389198265822966E-3</v>
      </c>
      <c r="G7" s="16">
        <f t="shared" si="0"/>
        <v>5.0842303628351404E-2</v>
      </c>
    </row>
    <row r="8" spans="1:10" x14ac:dyDescent="0.25">
      <c r="A8" s="9">
        <v>41456</v>
      </c>
      <c r="B8">
        <v>309231</v>
      </c>
      <c r="C8">
        <v>1287.912090822276</v>
      </c>
      <c r="E8" s="9">
        <v>41456</v>
      </c>
      <c r="F8" s="16">
        <f>imobiliario[[#This Row],[AMORTIZACAO]]/B7</f>
        <v>4.279317956493763E-3</v>
      </c>
      <c r="G8" s="16">
        <f t="shared" si="0"/>
        <v>5.0160261867975731E-2</v>
      </c>
    </row>
    <row r="9" spans="1:10" x14ac:dyDescent="0.25">
      <c r="A9" s="9">
        <v>41487</v>
      </c>
      <c r="B9">
        <v>317820</v>
      </c>
      <c r="C9">
        <v>1316.7721376587681</v>
      </c>
      <c r="E9" s="9">
        <v>41487</v>
      </c>
      <c r="F9" s="16">
        <f>imobiliario[[#This Row],[AMORTIZACAO]]/B8</f>
        <v>4.2582151778404109E-3</v>
      </c>
      <c r="G9" s="16">
        <f t="shared" si="0"/>
        <v>4.9918668882504957E-2</v>
      </c>
    </row>
    <row r="10" spans="1:10" x14ac:dyDescent="0.25">
      <c r="A10" s="9">
        <v>41518</v>
      </c>
      <c r="B10">
        <v>322542</v>
      </c>
      <c r="C10">
        <v>1325.9655193524741</v>
      </c>
      <c r="E10" s="9">
        <v>41518</v>
      </c>
      <c r="F10" s="16">
        <f>imobiliario[[#This Row],[AMORTIZACAO]]/B9</f>
        <v>4.172064436953225E-3</v>
      </c>
      <c r="G10" s="16">
        <f t="shared" si="0"/>
        <v>4.8931796519518067E-2</v>
      </c>
    </row>
    <row r="11" spans="1:10" x14ac:dyDescent="0.25">
      <c r="A11" s="9">
        <v>41548</v>
      </c>
      <c r="B11">
        <v>325399</v>
      </c>
      <c r="C11">
        <v>1387.5084266970809</v>
      </c>
      <c r="E11" s="9">
        <v>41548</v>
      </c>
      <c r="F11" s="16">
        <f>imobiliario[[#This Row],[AMORTIZACAO]]/B10</f>
        <v>4.3017914773799413E-3</v>
      </c>
      <c r="G11" s="16">
        <f t="shared" si="0"/>
        <v>5.0417485733456613E-2</v>
      </c>
    </row>
    <row r="12" spans="1:10" x14ac:dyDescent="0.25">
      <c r="A12" s="9">
        <v>41579</v>
      </c>
      <c r="B12">
        <v>333018</v>
      </c>
      <c r="C12">
        <v>1409.9445013785821</v>
      </c>
      <c r="E12" s="9">
        <v>41579</v>
      </c>
      <c r="F12" s="16">
        <f>imobiliario[[#This Row],[AMORTIZACAO]]/B11</f>
        <v>4.3329712180387222E-3</v>
      </c>
      <c r="G12" s="16">
        <f t="shared" si="0"/>
        <v>5.0774252120899366E-2</v>
      </c>
    </row>
    <row r="13" spans="1:10" x14ac:dyDescent="0.25">
      <c r="A13" s="9">
        <v>41609</v>
      </c>
      <c r="B13">
        <v>340707</v>
      </c>
      <c r="C13">
        <v>1438.1521056158722</v>
      </c>
      <c r="E13" s="9">
        <v>41609</v>
      </c>
      <c r="F13" s="16">
        <f>imobiliario[[#This Row],[AMORTIZACAO]]/B12</f>
        <v>4.3185416572553799E-3</v>
      </c>
      <c r="G13" s="16">
        <f t="shared" si="0"/>
        <v>5.0609160755585081E-2</v>
      </c>
    </row>
    <row r="14" spans="1:10" x14ac:dyDescent="0.25">
      <c r="A14" s="9">
        <v>41640</v>
      </c>
      <c r="B14">
        <v>347394</v>
      </c>
      <c r="C14">
        <v>1464.7605707748171</v>
      </c>
      <c r="E14" s="9">
        <v>41640</v>
      </c>
      <c r="F14" s="16">
        <f>imobiliario[[#This Row],[AMORTIZACAO]]/B13</f>
        <v>4.2991795612500388E-3</v>
      </c>
      <c r="G14" s="16">
        <f t="shared" si="0"/>
        <v>5.0387593957230692E-2</v>
      </c>
    </row>
    <row r="15" spans="1:10" x14ac:dyDescent="0.25">
      <c r="A15" s="9">
        <v>41671</v>
      </c>
      <c r="B15">
        <v>354726</v>
      </c>
      <c r="C15">
        <v>1491.7203975656651</v>
      </c>
      <c r="E15" s="9">
        <v>41671</v>
      </c>
      <c r="F15" s="16">
        <f>imobiliario[[#This Row],[AMORTIZACAO]]/B14</f>
        <v>4.2940304022685049E-3</v>
      </c>
      <c r="G15" s="16">
        <f t="shared" si="0"/>
        <v>5.032866246823986E-2</v>
      </c>
    </row>
    <row r="16" spans="1:10" x14ac:dyDescent="0.25">
      <c r="A16" s="9">
        <v>41699</v>
      </c>
      <c r="B16">
        <v>361344</v>
      </c>
      <c r="C16">
        <v>1515.555868344363</v>
      </c>
      <c r="E16" s="9">
        <v>41699</v>
      </c>
      <c r="F16" s="16">
        <f>imobiliario[[#This Row],[AMORTIZACAO]]/B15</f>
        <v>4.2724690841504792E-3</v>
      </c>
      <c r="G16" s="16">
        <f t="shared" si="0"/>
        <v>5.0081859432387632E-2</v>
      </c>
    </row>
    <row r="17" spans="1:7" x14ac:dyDescent="0.25">
      <c r="A17" s="9">
        <v>41730</v>
      </c>
      <c r="B17">
        <v>368630</v>
      </c>
      <c r="C17">
        <v>1541.5810155911201</v>
      </c>
      <c r="E17" s="9">
        <v>41730</v>
      </c>
      <c r="F17" s="16">
        <f>imobiliario[[#This Row],[AMORTIZACAO]]/B16</f>
        <v>4.2662421836010015E-3</v>
      </c>
      <c r="G17" s="16">
        <f t="shared" si="0"/>
        <v>5.0010571867553866E-2</v>
      </c>
    </row>
    <row r="18" spans="1:7" x14ac:dyDescent="0.25">
      <c r="A18" s="9">
        <v>41760</v>
      </c>
      <c r="B18">
        <v>377971</v>
      </c>
      <c r="C18">
        <v>1572.8243542805139</v>
      </c>
      <c r="E18" s="9">
        <v>41760</v>
      </c>
      <c r="F18" s="16">
        <f>imobiliario[[#This Row],[AMORTIZACAO]]/B17</f>
        <v>4.2666748617326694E-3</v>
      </c>
      <c r="G18" s="16">
        <f t="shared" si="0"/>
        <v>5.0015525464821575E-2</v>
      </c>
    </row>
    <row r="19" spans="1:7" x14ac:dyDescent="0.25">
      <c r="A19" s="9">
        <v>41791</v>
      </c>
      <c r="B19">
        <v>386395</v>
      </c>
      <c r="C19">
        <v>1604.3813323605029</v>
      </c>
      <c r="E19" s="9">
        <v>41791</v>
      </c>
      <c r="F19" s="16">
        <f>imobiliario[[#This Row],[AMORTIZACAO]]/B18</f>
        <v>4.2447207123311129E-3</v>
      </c>
      <c r="G19" s="16">
        <f t="shared" si="0"/>
        <v>4.9764149360048915E-2</v>
      </c>
    </row>
    <row r="20" spans="1:7" x14ac:dyDescent="0.25">
      <c r="A20" s="9">
        <v>41821</v>
      </c>
      <c r="B20">
        <v>395296</v>
      </c>
      <c r="C20">
        <v>1636.4592709460139</v>
      </c>
      <c r="E20" s="9">
        <v>41821</v>
      </c>
      <c r="F20" s="16">
        <f>imobiliario[[#This Row],[AMORTIZACAO]]/B19</f>
        <v>4.2351978440352848E-3</v>
      </c>
      <c r="G20" s="16">
        <f t="shared" si="0"/>
        <v>4.9655093084561952E-2</v>
      </c>
    </row>
    <row r="21" spans="1:7" x14ac:dyDescent="0.25">
      <c r="A21" s="9">
        <v>41852</v>
      </c>
      <c r="B21">
        <v>403781</v>
      </c>
      <c r="C21">
        <v>1666.6788549264991</v>
      </c>
      <c r="E21" s="9">
        <v>41852</v>
      </c>
      <c r="F21" s="16">
        <f>imobiliario[[#This Row],[AMORTIZACAO]]/B20</f>
        <v>4.2162805971385975E-3</v>
      </c>
      <c r="G21" s="16">
        <f t="shared" si="0"/>
        <v>4.9438417968681536E-2</v>
      </c>
    </row>
    <row r="22" spans="1:7" x14ac:dyDescent="0.25">
      <c r="A22" s="9">
        <v>41883</v>
      </c>
      <c r="B22">
        <v>410128</v>
      </c>
      <c r="C22">
        <v>1688.209942649273</v>
      </c>
      <c r="E22" s="9">
        <v>41883</v>
      </c>
      <c r="F22" s="16">
        <f>imobiliario[[#This Row],[AMORTIZACAO]]/B21</f>
        <v>4.1810039170968247E-3</v>
      </c>
      <c r="G22" s="16">
        <f t="shared" si="0"/>
        <v>4.9034243561898228E-2</v>
      </c>
    </row>
    <row r="23" spans="1:7" x14ac:dyDescent="0.25">
      <c r="A23" s="9">
        <v>41913</v>
      </c>
      <c r="B23">
        <v>419473</v>
      </c>
      <c r="C23">
        <v>1719.469789162931</v>
      </c>
      <c r="E23" s="9">
        <v>41913</v>
      </c>
      <c r="F23" s="16">
        <f>imobiliario[[#This Row],[AMORTIZACAO]]/B22</f>
        <v>4.1925198698038926E-3</v>
      </c>
      <c r="G23" s="16">
        <f t="shared" si="0"/>
        <v>4.9166202243614565E-2</v>
      </c>
    </row>
    <row r="24" spans="1:7" x14ac:dyDescent="0.25">
      <c r="A24" s="9">
        <v>41944</v>
      </c>
      <c r="B24">
        <v>427842</v>
      </c>
      <c r="C24">
        <v>1749.8059715820409</v>
      </c>
      <c r="E24" s="9">
        <v>41944</v>
      </c>
      <c r="F24" s="16">
        <f>imobiliario[[#This Row],[AMORTIZACAO]]/B23</f>
        <v>4.1714388568085212E-3</v>
      </c>
      <c r="G24" s="16">
        <f t="shared" si="0"/>
        <v>4.8924626950333283E-2</v>
      </c>
    </row>
    <row r="25" spans="1:7" x14ac:dyDescent="0.25">
      <c r="A25" s="9">
        <v>41974</v>
      </c>
      <c r="B25">
        <v>437006</v>
      </c>
      <c r="C25">
        <v>1772.713013510697</v>
      </c>
      <c r="E25" s="9">
        <v>41974</v>
      </c>
      <c r="F25" s="16">
        <f>imobiliario[[#This Row],[AMORTIZACAO]]/B24</f>
        <v>4.1433824017059967E-3</v>
      </c>
      <c r="G25" s="16">
        <f t="shared" si="0"/>
        <v>4.8603030164234173E-2</v>
      </c>
    </row>
    <row r="26" spans="1:7" x14ac:dyDescent="0.25">
      <c r="A26" s="9">
        <v>42005</v>
      </c>
      <c r="B26">
        <v>445174</v>
      </c>
      <c r="C26">
        <v>1793.7990420735289</v>
      </c>
      <c r="E26" s="9">
        <v>42005</v>
      </c>
      <c r="F26" s="16">
        <f>imobiliario[[#This Row],[AMORTIZACAO]]/B25</f>
        <v>4.1047469418578437E-3</v>
      </c>
      <c r="G26" s="16">
        <f t="shared" si="0"/>
        <v>4.8160008510993335E-2</v>
      </c>
    </row>
    <row r="27" spans="1:7" x14ac:dyDescent="0.25">
      <c r="A27" s="9">
        <v>42036</v>
      </c>
      <c r="B27">
        <v>450448</v>
      </c>
      <c r="C27">
        <v>1809.9521123657019</v>
      </c>
      <c r="E27" s="9">
        <v>42036</v>
      </c>
      <c r="F27" s="16">
        <f>imobiliario[[#This Row],[AMORTIZACAO]]/B26</f>
        <v>4.0657183761084468E-3</v>
      </c>
      <c r="G27" s="16">
        <f t="shared" si="0"/>
        <v>4.7712287233765749E-2</v>
      </c>
    </row>
    <row r="28" spans="1:7" x14ac:dyDescent="0.25">
      <c r="A28" s="9">
        <v>42064</v>
      </c>
      <c r="B28">
        <v>457699</v>
      </c>
      <c r="C28">
        <v>1829.1567140538789</v>
      </c>
      <c r="E28" s="9">
        <v>42064</v>
      </c>
      <c r="F28" s="16">
        <f>imobiliario[[#This Row],[AMORTIZACAO]]/B27</f>
        <v>4.060749995679588E-3</v>
      </c>
      <c r="G28" s="16">
        <f t="shared" si="0"/>
        <v>4.7655277960676035E-2</v>
      </c>
    </row>
    <row r="29" spans="1:7" x14ac:dyDescent="0.25">
      <c r="A29" s="9">
        <v>42095</v>
      </c>
      <c r="B29">
        <v>465745</v>
      </c>
      <c r="C29">
        <v>1855.128620386929</v>
      </c>
      <c r="E29" s="9">
        <v>42095</v>
      </c>
      <c r="F29" s="16">
        <f>imobiliario[[#This Row],[AMORTIZACAO]]/B28</f>
        <v>4.0531629310680793E-3</v>
      </c>
      <c r="G29" s="16">
        <f t="shared" si="0"/>
        <v>4.7568214774592943E-2</v>
      </c>
    </row>
    <row r="30" spans="1:7" x14ac:dyDescent="0.25">
      <c r="A30" s="9">
        <v>42125</v>
      </c>
      <c r="B30">
        <v>470953</v>
      </c>
      <c r="C30">
        <v>1864.5073317495251</v>
      </c>
      <c r="E30" s="9">
        <v>42125</v>
      </c>
      <c r="F30" s="16">
        <f>imobiliario[[#This Row],[AMORTIZACAO]]/B29</f>
        <v>4.0032793304265743E-3</v>
      </c>
      <c r="G30" s="16">
        <f t="shared" si="0"/>
        <v>4.6995608101495834E-2</v>
      </c>
    </row>
    <row r="31" spans="1:7" x14ac:dyDescent="0.25">
      <c r="A31" s="9">
        <v>42156</v>
      </c>
      <c r="B31">
        <v>476358</v>
      </c>
      <c r="C31">
        <v>1871.6228758726052</v>
      </c>
      <c r="E31" s="9">
        <v>42156</v>
      </c>
      <c r="F31" s="16">
        <f>imobiliario[[#This Row],[AMORTIZACAO]]/B30</f>
        <v>3.9741181728805324E-3</v>
      </c>
      <c r="G31" s="16">
        <f t="shared" si="0"/>
        <v>4.666072523000786E-2</v>
      </c>
    </row>
    <row r="32" spans="1:7" x14ac:dyDescent="0.25">
      <c r="A32" s="9">
        <v>42186</v>
      </c>
      <c r="B32">
        <v>482224</v>
      </c>
      <c r="C32">
        <v>1885.1836663256861</v>
      </c>
      <c r="E32" s="9">
        <v>42186</v>
      </c>
      <c r="F32" s="16">
        <f>imobiliario[[#This Row],[AMORTIZACAO]]/B31</f>
        <v>3.9574934530871445E-3</v>
      </c>
      <c r="G32" s="16">
        <f t="shared" si="0"/>
        <v>4.6469760874984112E-2</v>
      </c>
    </row>
    <row r="33" spans="1:7" x14ac:dyDescent="0.25">
      <c r="A33" s="9">
        <v>42217</v>
      </c>
      <c r="B33">
        <v>487490</v>
      </c>
      <c r="C33">
        <v>1904.315041924262</v>
      </c>
      <c r="E33" s="9">
        <v>42217</v>
      </c>
      <c r="F33" s="16">
        <f>imobiliario[[#This Row],[AMORTIZACAO]]/B32</f>
        <v>3.9490258508997102E-3</v>
      </c>
      <c r="G33" s="16">
        <f t="shared" si="0"/>
        <v>4.6372481987188907E-2</v>
      </c>
    </row>
    <row r="34" spans="1:7" x14ac:dyDescent="0.25">
      <c r="A34" s="9">
        <v>42248</v>
      </c>
      <c r="B34">
        <v>491917</v>
      </c>
      <c r="C34">
        <v>1918.2991650105362</v>
      </c>
      <c r="E34" s="9">
        <v>42248</v>
      </c>
      <c r="F34" s="16">
        <f>imobiliario[[#This Row],[AMORTIZACAO]]/B33</f>
        <v>3.9350533652188482E-3</v>
      </c>
      <c r="G34" s="16">
        <f t="shared" si="0"/>
        <v>4.6211941108044385E-2</v>
      </c>
    </row>
    <row r="35" spans="1:7" x14ac:dyDescent="0.25">
      <c r="A35" s="9">
        <v>42278</v>
      </c>
      <c r="B35">
        <v>496447</v>
      </c>
      <c r="C35">
        <v>1935.344489092507</v>
      </c>
      <c r="E35" s="9">
        <v>42278</v>
      </c>
      <c r="F35" s="16">
        <f>imobiliario[[#This Row],[AMORTIZACAO]]/B34</f>
        <v>3.9342907219968148E-3</v>
      </c>
      <c r="G35" s="16">
        <f t="shared" si="0"/>
        <v>4.6203177787171201E-2</v>
      </c>
    </row>
    <row r="36" spans="1:7" x14ac:dyDescent="0.25">
      <c r="A36" s="9">
        <v>42309</v>
      </c>
      <c r="B36">
        <v>500686</v>
      </c>
      <c r="C36">
        <v>1948.8915797193461</v>
      </c>
      <c r="E36" s="9">
        <v>42309</v>
      </c>
      <c r="F36" s="16">
        <f>imobiliario[[#This Row],[AMORTIZACAO]]/B35</f>
        <v>3.9256790346589784E-3</v>
      </c>
      <c r="G36" s="16">
        <f t="shared" si="0"/>
        <v>4.6104218163979804E-2</v>
      </c>
    </row>
    <row r="37" spans="1:7" x14ac:dyDescent="0.25">
      <c r="A37" s="9">
        <v>42339</v>
      </c>
      <c r="B37">
        <v>505304</v>
      </c>
      <c r="C37">
        <v>1965.586732012734</v>
      </c>
      <c r="E37" s="9">
        <v>42339</v>
      </c>
      <c r="F37" s="16">
        <f>imobiliario[[#This Row],[AMORTIZACAO]]/B36</f>
        <v>3.9257872838719954E-3</v>
      </c>
      <c r="G37" s="16">
        <f t="shared" si="0"/>
        <v>4.6105462148334886E-2</v>
      </c>
    </row>
    <row r="38" spans="1:7" x14ac:dyDescent="0.25">
      <c r="A38" s="9">
        <v>42370</v>
      </c>
      <c r="B38">
        <v>508432</v>
      </c>
      <c r="C38">
        <v>1976.7253314621848</v>
      </c>
      <c r="E38" s="9">
        <v>42370</v>
      </c>
      <c r="F38" s="16">
        <f>imobiliario[[#This Row],[AMORTIZACAO]]/B37</f>
        <v>3.9119526690114962E-3</v>
      </c>
      <c r="G38" s="16">
        <f t="shared" si="0"/>
        <v>4.5946464697767087E-2</v>
      </c>
    </row>
    <row r="39" spans="1:7" x14ac:dyDescent="0.25">
      <c r="A39" s="9">
        <v>42401</v>
      </c>
      <c r="B39">
        <v>510799</v>
      </c>
      <c r="C39">
        <v>1985.581348599419</v>
      </c>
      <c r="E39" s="9">
        <v>42401</v>
      </c>
      <c r="F39" s="16">
        <f>imobiliario[[#This Row],[AMORTIZACAO]]/B38</f>
        <v>3.905303656338348E-3</v>
      </c>
      <c r="G39" s="16">
        <f t="shared" si="0"/>
        <v>4.5870040767655218E-2</v>
      </c>
    </row>
    <row r="40" spans="1:7" x14ac:dyDescent="0.25">
      <c r="A40" s="9">
        <v>42430</v>
      </c>
      <c r="B40">
        <v>514896</v>
      </c>
      <c r="C40">
        <v>2001.046854859195</v>
      </c>
      <c r="E40" s="9">
        <v>42430</v>
      </c>
      <c r="F40" s="16">
        <f>imobiliario[[#This Row],[AMORTIZACAO]]/B39</f>
        <v>3.9174838926058879E-3</v>
      </c>
      <c r="G40" s="16">
        <f t="shared" si="0"/>
        <v>4.6010036454583014E-2</v>
      </c>
    </row>
    <row r="41" spans="1:7" x14ac:dyDescent="0.25">
      <c r="A41" s="9">
        <v>42461</v>
      </c>
      <c r="B41">
        <v>515541</v>
      </c>
      <c r="C41">
        <v>1998.3823694129251</v>
      </c>
      <c r="E41" s="9">
        <v>42461</v>
      </c>
      <c r="F41" s="16">
        <f>imobiliario[[#This Row],[AMORTIZACAO]]/B40</f>
        <v>3.8811378791307857E-3</v>
      </c>
      <c r="G41" s="16">
        <f t="shared" si="0"/>
        <v>4.559223141130464E-2</v>
      </c>
    </row>
    <row r="42" spans="1:7" x14ac:dyDescent="0.25">
      <c r="A42" s="9">
        <v>42491</v>
      </c>
      <c r="B42">
        <v>518804</v>
      </c>
      <c r="C42">
        <v>2010.7998562776311</v>
      </c>
      <c r="E42" s="9">
        <v>42491</v>
      </c>
      <c r="F42" s="16">
        <f>imobiliario[[#This Row],[AMORTIZACAO]]/B41</f>
        <v>3.9003684600790842E-3</v>
      </c>
      <c r="G42" s="16">
        <f t="shared" si="0"/>
        <v>4.5813311860972039E-2</v>
      </c>
    </row>
    <row r="43" spans="1:7" x14ac:dyDescent="0.25">
      <c r="A43" s="9">
        <v>42522</v>
      </c>
      <c r="B43">
        <v>522514</v>
      </c>
      <c r="C43">
        <v>2022.6996908762669</v>
      </c>
      <c r="E43" s="9">
        <v>42522</v>
      </c>
      <c r="F43" s="16">
        <f>imobiliario[[#This Row],[AMORTIZACAO]]/B42</f>
        <v>3.8987742786799388E-3</v>
      </c>
      <c r="G43" s="16">
        <f t="shared" si="0"/>
        <v>4.5794986464461673E-2</v>
      </c>
    </row>
    <row r="44" spans="1:7" x14ac:dyDescent="0.25">
      <c r="A44" s="9">
        <v>42552</v>
      </c>
      <c r="B44">
        <v>526714</v>
      </c>
      <c r="C44">
        <v>2037.7385865845222</v>
      </c>
      <c r="E44" s="9">
        <v>42552</v>
      </c>
      <c r="F44" s="16">
        <f>imobiliario[[#This Row],[AMORTIZACAO]]/B43</f>
        <v>3.8998736619201058E-3</v>
      </c>
      <c r="G44" s="16">
        <f t="shared" si="0"/>
        <v>4.5807624103343603E-2</v>
      </c>
    </row>
    <row r="45" spans="1:7" x14ac:dyDescent="0.25">
      <c r="A45" s="9">
        <v>42583</v>
      </c>
      <c r="B45">
        <v>530797</v>
      </c>
      <c r="C45">
        <v>2053.3741975264288</v>
      </c>
      <c r="E45" s="9">
        <v>42583</v>
      </c>
      <c r="F45" s="16">
        <f>imobiliario[[#This Row],[AMORTIZACAO]]/B44</f>
        <v>3.8984613994054247E-3</v>
      </c>
      <c r="G45" s="16">
        <f t="shared" si="0"/>
        <v>4.5791389824115347E-2</v>
      </c>
    </row>
    <row r="46" spans="1:7" x14ac:dyDescent="0.25">
      <c r="A46" s="9">
        <v>42614</v>
      </c>
      <c r="B46">
        <v>534190</v>
      </c>
      <c r="C46">
        <v>2066.734583169286</v>
      </c>
      <c r="E46" s="9">
        <v>42614</v>
      </c>
      <c r="F46" s="16">
        <f>imobiliario[[#This Row],[AMORTIZACAO]]/B45</f>
        <v>3.8936440544488494E-3</v>
      </c>
      <c r="G46" s="16">
        <f t="shared" si="0"/>
        <v>4.5736011441944391E-2</v>
      </c>
    </row>
    <row r="47" spans="1:7" x14ac:dyDescent="0.25">
      <c r="A47" s="9">
        <v>42644</v>
      </c>
      <c r="B47">
        <v>530897</v>
      </c>
      <c r="C47">
        <v>2049.0368557329161</v>
      </c>
      <c r="E47" s="9">
        <v>42644</v>
      </c>
      <c r="F47" s="16">
        <f>imobiliario[[#This Row],[AMORTIZACAO]]/B46</f>
        <v>3.8357828782510268E-3</v>
      </c>
      <c r="G47" s="16">
        <f t="shared" si="0"/>
        <v>4.5070630923974897E-2</v>
      </c>
    </row>
    <row r="48" spans="1:7" x14ac:dyDescent="0.25">
      <c r="A48" s="9">
        <v>42675</v>
      </c>
      <c r="B48">
        <v>534592</v>
      </c>
      <c r="C48">
        <v>2062.1879978792363</v>
      </c>
      <c r="E48" s="9">
        <v>42675</v>
      </c>
      <c r="F48" s="16">
        <f>imobiliario[[#This Row],[AMORTIZACAO]]/B47</f>
        <v>3.8843466771882988E-3</v>
      </c>
      <c r="G48" s="16">
        <f t="shared" si="0"/>
        <v>4.5629123966827279E-2</v>
      </c>
    </row>
    <row r="49" spans="1:7" x14ac:dyDescent="0.25">
      <c r="A49" s="9">
        <v>42705</v>
      </c>
      <c r="B49">
        <v>540012</v>
      </c>
      <c r="C49">
        <v>2080.9696207365291</v>
      </c>
      <c r="E49" s="9">
        <v>42705</v>
      </c>
      <c r="F49" s="16">
        <f>imobiliario[[#This Row],[AMORTIZACAO]]/B48</f>
        <v>3.8926314287092384E-3</v>
      </c>
      <c r="G49" s="16">
        <f t="shared" si="0"/>
        <v>4.5724370303333428E-2</v>
      </c>
    </row>
    <row r="50" spans="1:7" x14ac:dyDescent="0.25">
      <c r="A50" s="9">
        <v>42736</v>
      </c>
      <c r="B50">
        <v>542372</v>
      </c>
      <c r="C50">
        <v>2090.7208585999488</v>
      </c>
      <c r="E50" s="9">
        <v>42736</v>
      </c>
      <c r="F50" s="16">
        <f>imobiliario[[#This Row],[AMORTIZACAO]]/B49</f>
        <v>3.8716192577201041E-3</v>
      </c>
      <c r="G50" s="16">
        <f t="shared" si="0"/>
        <v>4.5482785150971816E-2</v>
      </c>
    </row>
    <row r="51" spans="1:7" x14ac:dyDescent="0.25">
      <c r="A51" s="9">
        <v>42767</v>
      </c>
      <c r="B51">
        <v>545299</v>
      </c>
      <c r="C51">
        <v>2102.4142994576728</v>
      </c>
      <c r="E51" s="9">
        <v>42767</v>
      </c>
      <c r="F51" s="16">
        <f>imobiliario[[#This Row],[AMORTIZACAO]]/B50</f>
        <v>3.8763326636656625E-3</v>
      </c>
      <c r="G51" s="16">
        <f t="shared" si="0"/>
        <v>4.5536981900543116E-2</v>
      </c>
    </row>
    <row r="52" spans="1:7" x14ac:dyDescent="0.25">
      <c r="A52" s="9">
        <v>42795</v>
      </c>
      <c r="B52">
        <v>547899</v>
      </c>
      <c r="C52">
        <v>2112.2444618514451</v>
      </c>
      <c r="E52" s="9">
        <v>42795</v>
      </c>
      <c r="F52" s="16">
        <f>imobiliario[[#This Row],[AMORTIZACAO]]/B51</f>
        <v>3.8735527881977503E-3</v>
      </c>
      <c r="G52" s="16">
        <f t="shared" si="0"/>
        <v>4.5505018049371904E-2</v>
      </c>
    </row>
    <row r="53" spans="1:7" x14ac:dyDescent="0.25">
      <c r="A53" s="9">
        <v>42826</v>
      </c>
      <c r="B53">
        <v>550885</v>
      </c>
      <c r="C53">
        <v>2123.8986540172859</v>
      </c>
      <c r="E53" s="9">
        <v>42826</v>
      </c>
      <c r="F53" s="16">
        <f>imobiliario[[#This Row],[AMORTIZACAO]]/B52</f>
        <v>3.8764419245468341E-3</v>
      </c>
      <c r="G53" s="16">
        <f t="shared" si="0"/>
        <v>4.5538238195248826E-2</v>
      </c>
    </row>
    <row r="54" spans="1:7" x14ac:dyDescent="0.25">
      <c r="A54" s="9">
        <v>42856</v>
      </c>
      <c r="B54">
        <v>553887</v>
      </c>
      <c r="C54">
        <v>2134.2684589731789</v>
      </c>
      <c r="E54" s="9">
        <v>42856</v>
      </c>
      <c r="F54" s="16">
        <f>imobiliario[[#This Row],[AMORTIZACAO]]/B53</f>
        <v>3.8742540802039968E-3</v>
      </c>
      <c r="G54" s="16">
        <f t="shared" si="0"/>
        <v>4.5513081810081846E-2</v>
      </c>
    </row>
    <row r="55" spans="1:7" x14ac:dyDescent="0.25">
      <c r="A55" s="9">
        <v>42887</v>
      </c>
      <c r="B55">
        <v>557363</v>
      </c>
      <c r="C55">
        <v>2146.539738835389</v>
      </c>
      <c r="E55" s="9">
        <v>42887</v>
      </c>
      <c r="F55" s="16">
        <f>imobiliario[[#This Row],[AMORTIZACAO]]/B54</f>
        <v>3.8754109391182481E-3</v>
      </c>
      <c r="G55" s="16">
        <f t="shared" si="0"/>
        <v>4.5526383740902565E-2</v>
      </c>
    </row>
    <row r="56" spans="1:7" x14ac:dyDescent="0.25">
      <c r="A56" s="9">
        <v>42917</v>
      </c>
      <c r="B56">
        <v>561086</v>
      </c>
      <c r="C56">
        <v>2161.0133887538141</v>
      </c>
      <c r="E56" s="9">
        <v>42917</v>
      </c>
      <c r="F56" s="16">
        <f>imobiliario[[#This Row],[AMORTIZACAO]]/B55</f>
        <v>3.8772099847923418E-3</v>
      </c>
      <c r="G56" s="16">
        <f t="shared" si="0"/>
        <v>4.5547069401220885E-2</v>
      </c>
    </row>
    <row r="57" spans="1:7" x14ac:dyDescent="0.25">
      <c r="A57" s="9">
        <v>42948</v>
      </c>
      <c r="B57">
        <v>564177</v>
      </c>
      <c r="C57">
        <v>2171.5709457971798</v>
      </c>
      <c r="E57" s="9">
        <v>42948</v>
      </c>
      <c r="F57" s="16">
        <f>imobiliario[[#This Row],[AMORTIZACAO]]/B56</f>
        <v>3.8702996435433781E-3</v>
      </c>
      <c r="G57" s="16">
        <f t="shared" si="0"/>
        <v>4.5467611159540455E-2</v>
      </c>
    </row>
    <row r="58" spans="1:7" x14ac:dyDescent="0.25">
      <c r="A58" s="9">
        <v>42979</v>
      </c>
      <c r="B58">
        <v>566106</v>
      </c>
      <c r="C58">
        <v>2179.0433461581028</v>
      </c>
      <c r="E58" s="9">
        <v>42979</v>
      </c>
      <c r="F58" s="16">
        <f>imobiliario[[#This Row],[AMORTIZACAO]]/B57</f>
        <v>3.862339914881505E-3</v>
      </c>
      <c r="G58" s="16">
        <f t="shared" si="0"/>
        <v>4.537607907008856E-2</v>
      </c>
    </row>
    <row r="59" spans="1:7" x14ac:dyDescent="0.25">
      <c r="A59" s="9">
        <v>43009</v>
      </c>
      <c r="B59">
        <v>567428</v>
      </c>
      <c r="C59">
        <v>2185.1199570927029</v>
      </c>
      <c r="E59" s="9">
        <v>43009</v>
      </c>
      <c r="F59" s="16">
        <f>imobiliario[[#This Row],[AMORTIZACAO]]/B58</f>
        <v>3.8599130853456823E-3</v>
      </c>
      <c r="G59" s="16">
        <f t="shared" si="0"/>
        <v>4.5348170390448139E-2</v>
      </c>
    </row>
    <row r="60" spans="1:7" x14ac:dyDescent="0.25">
      <c r="A60" s="9">
        <v>43040</v>
      </c>
      <c r="B60">
        <v>569375</v>
      </c>
      <c r="C60">
        <v>2192.3476417526522</v>
      </c>
      <c r="E60" s="9">
        <v>43040</v>
      </c>
      <c r="F60" s="16">
        <f>imobiliario[[#This Row],[AMORTIZACAO]]/B59</f>
        <v>3.863657841616297E-3</v>
      </c>
      <c r="G60" s="16">
        <f t="shared" si="0"/>
        <v>4.5391234990188822E-2</v>
      </c>
    </row>
    <row r="61" spans="1:7" x14ac:dyDescent="0.25">
      <c r="A61" s="9">
        <v>43070</v>
      </c>
      <c r="B61">
        <v>571016</v>
      </c>
      <c r="C61">
        <v>2198.7595590297869</v>
      </c>
      <c r="E61" s="9">
        <v>43070</v>
      </c>
      <c r="F61" s="16">
        <f>imobiliario[[#This Row],[AMORTIZACAO]]/B60</f>
        <v>3.8617072386911734E-3</v>
      </c>
      <c r="G61" s="16">
        <f t="shared" si="0"/>
        <v>4.5368803329482343E-2</v>
      </c>
    </row>
    <row r="62" spans="1:7" x14ac:dyDescent="0.25">
      <c r="A62" s="9">
        <v>43101</v>
      </c>
      <c r="B62">
        <v>571142</v>
      </c>
      <c r="C62">
        <v>2203.6046837016752</v>
      </c>
      <c r="E62" s="9">
        <v>43101</v>
      </c>
      <c r="F62" s="16">
        <f>imobiliario[[#This Row],[AMORTIZACAO]]/B61</f>
        <v>3.8590944626799863E-3</v>
      </c>
      <c r="G62" s="16">
        <f t="shared" si="0"/>
        <v>4.533875601387749E-2</v>
      </c>
    </row>
    <row r="63" spans="1:7" x14ac:dyDescent="0.25">
      <c r="A63" s="9">
        <v>43132</v>
      </c>
      <c r="B63">
        <v>572645</v>
      </c>
      <c r="C63">
        <v>2209.1256467915059</v>
      </c>
      <c r="E63" s="9">
        <v>43132</v>
      </c>
      <c r="F63" s="16">
        <f>imobiliario[[#This Row],[AMORTIZACAO]]/B62</f>
        <v>3.8679096385688776E-3</v>
      </c>
      <c r="G63" s="16">
        <f t="shared" si="0"/>
        <v>4.5440128385819567E-2</v>
      </c>
    </row>
    <row r="64" spans="1:7" x14ac:dyDescent="0.25">
      <c r="A64" s="9">
        <v>43160</v>
      </c>
      <c r="B64">
        <v>574804</v>
      </c>
      <c r="C64">
        <v>2217.9658986082368</v>
      </c>
      <c r="E64" s="9">
        <v>43160</v>
      </c>
      <c r="F64" s="16">
        <f>imobiliario[[#This Row],[AMORTIZACAO]]/B63</f>
        <v>3.8731952581586094E-3</v>
      </c>
      <c r="G64" s="16">
        <f t="shared" si="0"/>
        <v>4.5500906989340728E-2</v>
      </c>
    </row>
    <row r="65" spans="1:7" x14ac:dyDescent="0.25">
      <c r="A65" s="9">
        <v>43191</v>
      </c>
      <c r="B65">
        <v>576886</v>
      </c>
      <c r="C65">
        <v>2225.5999011529848</v>
      </c>
      <c r="E65" s="9">
        <v>43191</v>
      </c>
      <c r="F65" s="16">
        <f>imobiliario[[#This Row],[AMORTIZACAO]]/B64</f>
        <v>3.8719283462762696E-3</v>
      </c>
      <c r="G65" s="16">
        <f t="shared" si="0"/>
        <v>4.5486339269296461E-2</v>
      </c>
    </row>
    <row r="66" spans="1:7" x14ac:dyDescent="0.25">
      <c r="A66" s="9">
        <v>43221</v>
      </c>
      <c r="B66">
        <v>579145</v>
      </c>
      <c r="C66">
        <v>2233.778858060457</v>
      </c>
      <c r="E66" s="9">
        <v>43221</v>
      </c>
      <c r="F66" s="16">
        <f>imobiliario[[#This Row],[AMORTIZACAO]]/B65</f>
        <v>3.8721322030010382E-3</v>
      </c>
      <c r="G66" s="16">
        <f t="shared" si="0"/>
        <v>4.5488683351129544E-2</v>
      </c>
    </row>
    <row r="67" spans="1:7" x14ac:dyDescent="0.25">
      <c r="A67" s="9">
        <v>43252</v>
      </c>
      <c r="B67">
        <v>581956</v>
      </c>
      <c r="C67">
        <v>2242.0081337072279</v>
      </c>
      <c r="E67" s="9">
        <v>43252</v>
      </c>
      <c r="F67" s="16">
        <f>imobiliario[[#This Row],[AMORTIZACAO]]/B66</f>
        <v>3.8712380037939165E-3</v>
      </c>
      <c r="G67" s="16">
        <f t="shared" si="0"/>
        <v>4.5478401207591612E-2</v>
      </c>
    </row>
    <row r="68" spans="1:7" x14ac:dyDescent="0.25">
      <c r="A68" s="9">
        <v>43282</v>
      </c>
      <c r="B68">
        <v>583772</v>
      </c>
      <c r="C68">
        <v>2239.9936063895548</v>
      </c>
      <c r="E68" s="9">
        <v>43282</v>
      </c>
      <c r="F68" s="16">
        <f>imobiliario[[#This Row],[AMORTIZACAO]]/B67</f>
        <v>3.849077260805894E-3</v>
      </c>
      <c r="G68" s="16">
        <f t="shared" ref="G68:G131" si="1">(1-(1-F68)^12)</f>
        <v>4.5223548657813306E-2</v>
      </c>
    </row>
    <row r="69" spans="1:7" x14ac:dyDescent="0.25">
      <c r="A69" s="9">
        <v>43313</v>
      </c>
      <c r="B69">
        <v>584965</v>
      </c>
      <c r="C69">
        <v>2243.801102627212</v>
      </c>
      <c r="E69" s="9">
        <v>43313</v>
      </c>
      <c r="F69" s="16">
        <f>imobiliario[[#This Row],[AMORTIZACAO]]/B68</f>
        <v>3.8436257693538092E-3</v>
      </c>
      <c r="G69" s="16">
        <f t="shared" si="1"/>
        <v>4.5160845962331053E-2</v>
      </c>
    </row>
    <row r="70" spans="1:7" x14ac:dyDescent="0.25">
      <c r="A70" s="9">
        <v>43344</v>
      </c>
      <c r="B70">
        <v>589954</v>
      </c>
      <c r="C70">
        <v>2260.610384013924</v>
      </c>
      <c r="E70" s="9">
        <v>43344</v>
      </c>
      <c r="F70" s="16">
        <f>imobiliario[[#This Row],[AMORTIZACAO]]/B69</f>
        <v>3.8645224654704539E-3</v>
      </c>
      <c r="G70" s="16">
        <f t="shared" si="1"/>
        <v>4.5401177888980571E-2</v>
      </c>
    </row>
    <row r="71" spans="1:7" x14ac:dyDescent="0.25">
      <c r="A71" s="9">
        <v>43374</v>
      </c>
      <c r="B71">
        <v>592611</v>
      </c>
      <c r="C71">
        <v>2269.7340203280278</v>
      </c>
      <c r="E71" s="9">
        <v>43374</v>
      </c>
      <c r="F71" s="16">
        <f>imobiliario[[#This Row],[AMORTIZACAO]]/B70</f>
        <v>3.8473067736264654E-3</v>
      </c>
      <c r="G71" s="16">
        <f t="shared" si="1"/>
        <v>4.5203185044804139E-2</v>
      </c>
    </row>
    <row r="72" spans="1:7" x14ac:dyDescent="0.25">
      <c r="A72" s="9">
        <v>43405</v>
      </c>
      <c r="B72">
        <v>595382</v>
      </c>
      <c r="C72">
        <v>2278.112996213194</v>
      </c>
      <c r="E72" s="9">
        <v>43405</v>
      </c>
      <c r="F72" s="16">
        <f>imobiliario[[#This Row],[AMORTIZACAO]]/B71</f>
        <v>3.8441962707631045E-3</v>
      </c>
      <c r="G72" s="16">
        <f t="shared" si="1"/>
        <v>4.5167408008788712E-2</v>
      </c>
    </row>
    <row r="73" spans="1:7" x14ac:dyDescent="0.25">
      <c r="A73" s="9">
        <v>43435</v>
      </c>
      <c r="B73">
        <v>598331</v>
      </c>
      <c r="C73">
        <v>2287.3254380007588</v>
      </c>
      <c r="E73" s="9">
        <v>43435</v>
      </c>
      <c r="F73" s="16">
        <f>imobiliario[[#This Row],[AMORTIZACAO]]/B72</f>
        <v>3.8417779476046621E-3</v>
      </c>
      <c r="G73" s="16">
        <f t="shared" si="1"/>
        <v>4.5139591581769278E-2</v>
      </c>
    </row>
    <row r="74" spans="1:7" x14ac:dyDescent="0.25">
      <c r="A74" s="9">
        <v>43466</v>
      </c>
      <c r="B74">
        <v>598348</v>
      </c>
      <c r="C74">
        <v>2291.2872051717291</v>
      </c>
      <c r="E74" s="9">
        <v>43466</v>
      </c>
      <c r="F74" s="16">
        <f>imobiliario[[#This Row],[AMORTIZACAO]]/B73</f>
        <v>3.8294643018191086E-3</v>
      </c>
      <c r="G74" s="16">
        <f t="shared" si="1"/>
        <v>4.4997944056474171E-2</v>
      </c>
    </row>
    <row r="75" spans="1:7" x14ac:dyDescent="0.25">
      <c r="A75" s="9">
        <v>43497</v>
      </c>
      <c r="B75">
        <v>602171</v>
      </c>
      <c r="C75">
        <v>2303.2238479498851</v>
      </c>
      <c r="E75" s="9">
        <v>43497</v>
      </c>
      <c r="F75" s="16">
        <f>imobiliario[[#This Row],[AMORTIZACAO]]/B74</f>
        <v>3.8493048325554443E-3</v>
      </c>
      <c r="G75" s="16">
        <f t="shared" si="1"/>
        <v>4.5226166091009601E-2</v>
      </c>
    </row>
    <row r="76" spans="1:7" x14ac:dyDescent="0.25">
      <c r="A76" s="9">
        <v>43525</v>
      </c>
      <c r="B76">
        <v>605213</v>
      </c>
      <c r="C76">
        <v>2314.0683853719793</v>
      </c>
      <c r="E76" s="9">
        <v>43525</v>
      </c>
      <c r="F76" s="16">
        <f>imobiliario[[#This Row],[AMORTIZACAO]]/B75</f>
        <v>3.8428758365513772E-3</v>
      </c>
      <c r="G76" s="16">
        <f t="shared" si="1"/>
        <v>4.5152219989308851E-2</v>
      </c>
    </row>
    <row r="77" spans="1:7" x14ac:dyDescent="0.25">
      <c r="A77" s="9">
        <v>43556</v>
      </c>
      <c r="B77">
        <v>607563</v>
      </c>
      <c r="C77">
        <v>2322.6643355824999</v>
      </c>
      <c r="E77" s="9">
        <v>43556</v>
      </c>
      <c r="F77" s="16">
        <f>imobiliario[[#This Row],[AMORTIZACAO]]/B76</f>
        <v>3.8377634577950242E-3</v>
      </c>
      <c r="G77" s="16">
        <f t="shared" si="1"/>
        <v>4.5093413828964812E-2</v>
      </c>
    </row>
    <row r="78" spans="1:7" x14ac:dyDescent="0.25">
      <c r="A78" s="9">
        <v>43586</v>
      </c>
      <c r="B78">
        <v>610528</v>
      </c>
      <c r="C78">
        <v>2332.7708899898203</v>
      </c>
      <c r="E78" s="9">
        <v>43586</v>
      </c>
      <c r="F78" s="16">
        <f>imobiliario[[#This Row],[AMORTIZACAO]]/B77</f>
        <v>3.8395539063271139E-3</v>
      </c>
      <c r="G78" s="16">
        <f t="shared" si="1"/>
        <v>4.5114009199456739E-2</v>
      </c>
    </row>
    <row r="79" spans="1:7" x14ac:dyDescent="0.25">
      <c r="A79" s="9">
        <v>43617</v>
      </c>
      <c r="B79">
        <v>614880</v>
      </c>
      <c r="C79">
        <v>2347.8473665965921</v>
      </c>
      <c r="E79" s="9">
        <v>43617</v>
      </c>
      <c r="F79" s="16">
        <f>imobiliario[[#This Row],[AMORTIZACAO]]/B78</f>
        <v>3.845601457421432E-3</v>
      </c>
      <c r="G79" s="16">
        <f t="shared" si="1"/>
        <v>4.5183570632402081E-2</v>
      </c>
    </row>
    <row r="80" spans="1:7" x14ac:dyDescent="0.25">
      <c r="A80" s="9">
        <v>43647</v>
      </c>
      <c r="B80">
        <v>618101</v>
      </c>
      <c r="C80">
        <v>2358.179120388972</v>
      </c>
      <c r="E80" s="9">
        <v>43647</v>
      </c>
      <c r="F80" s="16">
        <f>imobiliario[[#This Row],[AMORTIZACAO]]/B79</f>
        <v>3.8351859230890124E-3</v>
      </c>
      <c r="G80" s="16">
        <f t="shared" si="1"/>
        <v>4.5063763961054604E-2</v>
      </c>
    </row>
    <row r="81" spans="1:7" x14ac:dyDescent="0.25">
      <c r="A81" s="9">
        <v>43678</v>
      </c>
      <c r="B81">
        <v>620225</v>
      </c>
      <c r="C81">
        <v>2363.2697479094741</v>
      </c>
      <c r="E81" s="9">
        <v>43678</v>
      </c>
      <c r="F81" s="16">
        <f>imobiliario[[#This Row],[AMORTIZACAO]]/B80</f>
        <v>3.8234362149704888E-3</v>
      </c>
      <c r="G81" s="16">
        <f t="shared" si="1"/>
        <v>4.4928594160287272E-2</v>
      </c>
    </row>
    <row r="82" spans="1:7" x14ac:dyDescent="0.25">
      <c r="A82" s="9">
        <v>43709</v>
      </c>
      <c r="B82">
        <v>624421</v>
      </c>
      <c r="C82">
        <v>2381.9014497916069</v>
      </c>
      <c r="E82" s="9">
        <v>43709</v>
      </c>
      <c r="F82" s="16">
        <f>imobiliario[[#This Row],[AMORTIZACAO]]/B81</f>
        <v>3.8403828445993096E-3</v>
      </c>
      <c r="G82" s="16">
        <f t="shared" si="1"/>
        <v>4.5123544264903948E-2</v>
      </c>
    </row>
    <row r="83" spans="1:7" x14ac:dyDescent="0.25">
      <c r="A83" s="9">
        <v>43739</v>
      </c>
      <c r="B83">
        <v>629061</v>
      </c>
      <c r="C83">
        <v>2392.6747873855829</v>
      </c>
      <c r="E83" s="9">
        <v>43739</v>
      </c>
      <c r="F83" s="16">
        <f>imobiliario[[#This Row],[AMORTIZACAO]]/B82</f>
        <v>3.8318294666348234E-3</v>
      </c>
      <c r="G83" s="16">
        <f t="shared" si="1"/>
        <v>4.5025152744369468E-2</v>
      </c>
    </row>
    <row r="84" spans="1:7" x14ac:dyDescent="0.25">
      <c r="A84" s="9">
        <v>43770</v>
      </c>
      <c r="B84">
        <v>633599</v>
      </c>
      <c r="C84">
        <v>2404.1345662530321</v>
      </c>
      <c r="E84" s="9">
        <v>43770</v>
      </c>
      <c r="F84" s="16">
        <f>imobiliario[[#This Row],[AMORTIZACAO]]/B83</f>
        <v>3.821782889502023E-3</v>
      </c>
      <c r="G84" s="16">
        <f t="shared" si="1"/>
        <v>4.4909572733554115E-2</v>
      </c>
    </row>
    <row r="85" spans="1:7" x14ac:dyDescent="0.25">
      <c r="A85" s="9">
        <v>43800</v>
      </c>
      <c r="B85">
        <v>638138</v>
      </c>
      <c r="C85">
        <v>2407.1929481114521</v>
      </c>
      <c r="E85" s="9">
        <v>43800</v>
      </c>
      <c r="F85" s="16">
        <f>imobiliario[[#This Row],[AMORTIZACAO]]/B84</f>
        <v>3.7992372906387986E-3</v>
      </c>
      <c r="G85" s="16">
        <f t="shared" si="1"/>
        <v>4.4650152089572792E-2</v>
      </c>
    </row>
    <row r="86" spans="1:7" x14ac:dyDescent="0.25">
      <c r="A86" s="9">
        <v>43831</v>
      </c>
      <c r="B86">
        <v>640355</v>
      </c>
      <c r="C86">
        <v>2412.426888245704</v>
      </c>
      <c r="E86" s="9">
        <v>43831</v>
      </c>
      <c r="F86" s="16">
        <f>imobiliario[[#This Row],[AMORTIZACAO]]/B85</f>
        <v>3.7804156596938344E-3</v>
      </c>
      <c r="G86" s="16">
        <f t="shared" si="1"/>
        <v>4.4433531767042012E-2</v>
      </c>
    </row>
    <row r="87" spans="1:7" x14ac:dyDescent="0.25">
      <c r="A87" s="9">
        <v>43862</v>
      </c>
      <c r="B87">
        <v>643191</v>
      </c>
      <c r="C87">
        <v>2414.2990740931909</v>
      </c>
      <c r="E87" s="9">
        <v>43862</v>
      </c>
      <c r="F87" s="16">
        <f>imobiliario[[#This Row],[AMORTIZACAO]]/B86</f>
        <v>3.7702509921733896E-3</v>
      </c>
      <c r="G87" s="16">
        <f t="shared" si="1"/>
        <v>4.4316526712883553E-2</v>
      </c>
    </row>
    <row r="88" spans="1:7" x14ac:dyDescent="0.25">
      <c r="A88" s="9">
        <v>43891</v>
      </c>
      <c r="B88">
        <v>647763</v>
      </c>
      <c r="C88">
        <v>2425.576893435617</v>
      </c>
      <c r="E88" s="9">
        <v>43891</v>
      </c>
      <c r="F88" s="16">
        <f>imobiliario[[#This Row],[AMORTIZACAO]]/B87</f>
        <v>3.7711611223347607E-3</v>
      </c>
      <c r="G88" s="16">
        <f t="shared" si="1"/>
        <v>4.4327003717620883E-2</v>
      </c>
    </row>
    <row r="89" spans="1:7" x14ac:dyDescent="0.25">
      <c r="A89" s="9">
        <v>43922</v>
      </c>
      <c r="B89">
        <v>653820</v>
      </c>
      <c r="C89">
        <v>2420.4433353543741</v>
      </c>
      <c r="E89" s="9">
        <v>43922</v>
      </c>
      <c r="F89" s="16">
        <f>imobiliario[[#This Row],[AMORTIZACAO]]/B88</f>
        <v>3.7366186944212221E-3</v>
      </c>
      <c r="G89" s="16">
        <f t="shared" si="1"/>
        <v>4.3929293147271675E-2</v>
      </c>
    </row>
    <row r="90" spans="1:7" x14ac:dyDescent="0.25">
      <c r="A90" s="9">
        <v>43952</v>
      </c>
      <c r="B90">
        <v>660112</v>
      </c>
      <c r="C90">
        <v>2438.5176419606519</v>
      </c>
      <c r="E90" s="9">
        <v>43952</v>
      </c>
      <c r="F90" s="16">
        <f>imobiliario[[#This Row],[AMORTIZACAO]]/B89</f>
        <v>3.7296467559277046E-3</v>
      </c>
      <c r="G90" s="16">
        <f t="shared" si="1"/>
        <v>4.3849002057352093E-2</v>
      </c>
    </row>
    <row r="91" spans="1:7" x14ac:dyDescent="0.25">
      <c r="A91" s="9">
        <v>43983</v>
      </c>
      <c r="B91">
        <v>667005</v>
      </c>
      <c r="C91">
        <v>2463.7335176616489</v>
      </c>
      <c r="E91" s="9">
        <v>43983</v>
      </c>
      <c r="F91" s="16">
        <f>imobiliario[[#This Row],[AMORTIZACAO]]/B90</f>
        <v>3.732296212857286E-3</v>
      </c>
      <c r="G91" s="16">
        <f t="shared" si="1"/>
        <v>4.3879514785061136E-2</v>
      </c>
    </row>
    <row r="92" spans="1:7" x14ac:dyDescent="0.25">
      <c r="A92" s="9">
        <v>44013</v>
      </c>
      <c r="B92">
        <v>674164</v>
      </c>
      <c r="C92">
        <v>2469.966252520177</v>
      </c>
      <c r="E92" s="9">
        <v>44013</v>
      </c>
      <c r="F92" s="16">
        <f>imobiliario[[#This Row],[AMORTIZACAO]]/B91</f>
        <v>3.7030700707193754E-3</v>
      </c>
      <c r="G92" s="16">
        <f t="shared" si="1"/>
        <v>4.3542879696212511E-2</v>
      </c>
    </row>
    <row r="93" spans="1:7" x14ac:dyDescent="0.25">
      <c r="A93" s="9">
        <v>44044</v>
      </c>
      <c r="B93">
        <v>682347</v>
      </c>
      <c r="C93">
        <v>2322.365412480639</v>
      </c>
      <c r="E93" s="9">
        <v>44044</v>
      </c>
      <c r="F93" s="16">
        <f>imobiliario[[#This Row],[AMORTIZACAO]]/B92</f>
        <v>3.4448078100887008E-3</v>
      </c>
      <c r="G93" s="16">
        <f t="shared" si="1"/>
        <v>4.0563415413347625E-2</v>
      </c>
    </row>
    <row r="94" spans="1:7" x14ac:dyDescent="0.25">
      <c r="A94" s="9">
        <v>44075</v>
      </c>
      <c r="B94">
        <v>689898</v>
      </c>
      <c r="C94">
        <v>2341.5857767686507</v>
      </c>
      <c r="E94" s="9">
        <v>44075</v>
      </c>
      <c r="F94" s="16">
        <f>imobiliario[[#This Row],[AMORTIZACAO]]/B93</f>
        <v>3.4316642071682748E-3</v>
      </c>
      <c r="G94" s="16">
        <f t="shared" si="1"/>
        <v>4.0411555866868287E-2</v>
      </c>
    </row>
    <row r="95" spans="1:7" x14ac:dyDescent="0.25">
      <c r="A95" s="9">
        <v>44105</v>
      </c>
      <c r="B95">
        <v>697502</v>
      </c>
      <c r="C95">
        <v>2360.5953318622919</v>
      </c>
      <c r="E95" s="9">
        <v>44105</v>
      </c>
      <c r="F95" s="16">
        <f>imobiliario[[#This Row],[AMORTIZACAO]]/B94</f>
        <v>3.4216584652547069E-3</v>
      </c>
      <c r="G95" s="16">
        <f t="shared" si="1"/>
        <v>4.0295936003934885E-2</v>
      </c>
    </row>
    <row r="96" spans="1:7" x14ac:dyDescent="0.25">
      <c r="A96" s="9">
        <v>44136</v>
      </c>
      <c r="B96">
        <v>705339</v>
      </c>
      <c r="C96">
        <v>2369.3999212588778</v>
      </c>
      <c r="E96" s="9">
        <v>44136</v>
      </c>
      <c r="F96" s="16">
        <f>imobiliario[[#This Row],[AMORTIZACAO]]/B95</f>
        <v>3.3969793939786237E-3</v>
      </c>
      <c r="G96" s="16">
        <f t="shared" si="1"/>
        <v>4.0010706070952473E-2</v>
      </c>
    </row>
    <row r="97" spans="1:7" x14ac:dyDescent="0.25">
      <c r="A97" s="9">
        <v>44166</v>
      </c>
      <c r="B97">
        <v>713536</v>
      </c>
      <c r="C97">
        <v>2393.6654405511431</v>
      </c>
      <c r="E97" s="9">
        <v>44166</v>
      </c>
      <c r="F97" s="16">
        <f>imobiliario[[#This Row],[AMORTIZACAO]]/B96</f>
        <v>3.3936382938574827E-3</v>
      </c>
      <c r="G97" s="16">
        <f t="shared" si="1"/>
        <v>3.997208512253636E-2</v>
      </c>
    </row>
    <row r="98" spans="1:7" x14ac:dyDescent="0.25">
      <c r="A98" s="9">
        <v>44197</v>
      </c>
      <c r="B98">
        <v>718184</v>
      </c>
      <c r="C98">
        <v>2404.3835071083881</v>
      </c>
      <c r="E98" s="9">
        <v>44197</v>
      </c>
      <c r="F98" s="16">
        <f>imobiliario[[#This Row],[AMORTIZACAO]]/B97</f>
        <v>3.3696737194877178E-3</v>
      </c>
      <c r="G98" s="16">
        <f t="shared" si="1"/>
        <v>3.9695028452456982E-2</v>
      </c>
    </row>
    <row r="99" spans="1:7" x14ac:dyDescent="0.25">
      <c r="A99" s="9">
        <v>44228</v>
      </c>
      <c r="B99">
        <v>724472</v>
      </c>
      <c r="C99">
        <v>2421.2884132846229</v>
      </c>
      <c r="E99" s="9">
        <v>44228</v>
      </c>
      <c r="F99" s="16">
        <f>imobiliario[[#This Row],[AMORTIZACAO]]/B98</f>
        <v>3.3714040041056652E-3</v>
      </c>
      <c r="G99" s="16">
        <f t="shared" si="1"/>
        <v>3.9715034888273992E-2</v>
      </c>
    </row>
    <row r="100" spans="1:7" x14ac:dyDescent="0.25">
      <c r="A100" s="9">
        <v>44256</v>
      </c>
      <c r="B100">
        <v>732879</v>
      </c>
      <c r="C100">
        <v>2443.2792204334528</v>
      </c>
      <c r="E100" s="9">
        <v>44256</v>
      </c>
      <c r="F100" s="16">
        <f>imobiliario[[#This Row],[AMORTIZACAO]]/B99</f>
        <v>3.3724964117777538E-3</v>
      </c>
      <c r="G100" s="16">
        <f t="shared" si="1"/>
        <v>3.9727665667805612E-2</v>
      </c>
    </row>
    <row r="101" spans="1:7" x14ac:dyDescent="0.25">
      <c r="A101" s="9">
        <v>44287</v>
      </c>
      <c r="B101">
        <v>741131</v>
      </c>
      <c r="C101">
        <v>2465.2365196545079</v>
      </c>
      <c r="E101" s="9">
        <v>44287</v>
      </c>
      <c r="F101" s="16">
        <f>imobiliario[[#This Row],[AMORTIZACAO]]/B100</f>
        <v>3.3637701716852414E-3</v>
      </c>
      <c r="G101" s="16">
        <f t="shared" si="1"/>
        <v>3.9626765737296954E-2</v>
      </c>
    </row>
    <row r="102" spans="1:7" x14ac:dyDescent="0.25">
      <c r="A102" s="9">
        <v>44317</v>
      </c>
      <c r="B102">
        <v>750506</v>
      </c>
      <c r="C102">
        <v>2490.8276539469343</v>
      </c>
      <c r="E102" s="9">
        <v>44317</v>
      </c>
      <c r="F102" s="16">
        <f>imobiliario[[#This Row],[AMORTIZACAO]]/B101</f>
        <v>3.3608466707598715E-3</v>
      </c>
      <c r="G102" s="16">
        <f t="shared" si="1"/>
        <v>3.9592959653358295E-2</v>
      </c>
    </row>
    <row r="103" spans="1:7" x14ac:dyDescent="0.25">
      <c r="A103" s="9">
        <v>44348</v>
      </c>
      <c r="B103">
        <v>759823</v>
      </c>
      <c r="C103">
        <v>2516.3826622866027</v>
      </c>
      <c r="E103" s="9">
        <v>44348</v>
      </c>
      <c r="F103" s="16">
        <f>imobiliario[[#This Row],[AMORTIZACAO]]/B102</f>
        <v>3.352914783208399E-3</v>
      </c>
      <c r="G103" s="16">
        <f t="shared" si="1"/>
        <v>3.9501233285801129E-2</v>
      </c>
    </row>
    <row r="104" spans="1:7" x14ac:dyDescent="0.25">
      <c r="A104" s="9">
        <v>44378</v>
      </c>
      <c r="B104">
        <v>769562</v>
      </c>
      <c r="C104">
        <v>2537.4572135356811</v>
      </c>
      <c r="E104" s="9">
        <v>44378</v>
      </c>
      <c r="F104" s="16">
        <f>imobiliario[[#This Row],[AMORTIZACAO]]/B103</f>
        <v>3.3395372521438297E-3</v>
      </c>
      <c r="G104" s="16">
        <f t="shared" si="1"/>
        <v>3.9346513916503678E-2</v>
      </c>
    </row>
    <row r="105" spans="1:7" x14ac:dyDescent="0.25">
      <c r="A105" s="9">
        <v>44409</v>
      </c>
      <c r="B105">
        <v>780429</v>
      </c>
      <c r="C105">
        <v>2569.9012891656312</v>
      </c>
      <c r="E105" s="9">
        <v>44409</v>
      </c>
      <c r="F105" s="16">
        <f>imobiliario[[#This Row],[AMORTIZACAO]]/B104</f>
        <v>3.3394337157573156E-3</v>
      </c>
      <c r="G105" s="16">
        <f t="shared" si="1"/>
        <v>3.934531636546712E-2</v>
      </c>
    </row>
    <row r="106" spans="1:7" x14ac:dyDescent="0.25">
      <c r="A106" s="9">
        <v>44440</v>
      </c>
      <c r="B106">
        <v>790205</v>
      </c>
      <c r="C106">
        <v>2597.7790359600958</v>
      </c>
      <c r="E106" s="9">
        <v>44440</v>
      </c>
      <c r="F106" s="16">
        <f>imobiliario[[#This Row],[AMORTIZACAO]]/B105</f>
        <v>3.328655183187831E-3</v>
      </c>
      <c r="G106" s="16">
        <f t="shared" si="1"/>
        <v>3.9220639250030831E-2</v>
      </c>
    </row>
    <row r="107" spans="1:7" x14ac:dyDescent="0.25">
      <c r="A107" s="9">
        <v>44470</v>
      </c>
      <c r="B107">
        <v>799502</v>
      </c>
      <c r="C107">
        <v>2627.159402062995</v>
      </c>
      <c r="E107" s="9">
        <v>44470</v>
      </c>
      <c r="F107" s="16">
        <f>imobiliario[[#This Row],[AMORTIZACAO]]/B106</f>
        <v>3.3246555033984789E-3</v>
      </c>
      <c r="G107" s="16">
        <f t="shared" si="1"/>
        <v>3.9174370502005895E-2</v>
      </c>
    </row>
    <row r="108" spans="1:7" x14ac:dyDescent="0.25">
      <c r="A108" s="9">
        <v>44501</v>
      </c>
      <c r="B108">
        <v>808606</v>
      </c>
      <c r="C108">
        <v>2653.7720787151352</v>
      </c>
      <c r="E108" s="9">
        <v>44501</v>
      </c>
      <c r="F108" s="16">
        <f>imobiliario[[#This Row],[AMORTIZACAO]]/B107</f>
        <v>3.3192813510349384E-3</v>
      </c>
      <c r="G108" s="16">
        <f t="shared" si="1"/>
        <v>3.9112198483882699E-2</v>
      </c>
    </row>
    <row r="109" spans="1:7" x14ac:dyDescent="0.25">
      <c r="A109" s="9">
        <v>44531</v>
      </c>
      <c r="B109">
        <v>816283</v>
      </c>
      <c r="C109">
        <v>2675.5174806391437</v>
      </c>
      <c r="E109" s="9">
        <v>44531</v>
      </c>
      <c r="F109" s="16">
        <f>imobiliario[[#This Row],[AMORTIZACAO]]/B108</f>
        <v>3.3088024088853457E-3</v>
      </c>
      <c r="G109" s="16">
        <f t="shared" si="1"/>
        <v>3.8990960019776422E-2</v>
      </c>
    </row>
    <row r="110" spans="1:7" x14ac:dyDescent="0.25">
      <c r="A110" s="9">
        <v>44562</v>
      </c>
      <c r="B110">
        <v>822505</v>
      </c>
      <c r="C110">
        <v>2697.3455956149869</v>
      </c>
      <c r="E110" s="9">
        <v>44562</v>
      </c>
      <c r="F110" s="16">
        <f>imobiliario[[#This Row],[AMORTIZACAO]]/B109</f>
        <v>3.3044245630681848E-3</v>
      </c>
      <c r="G110" s="16">
        <f t="shared" si="1"/>
        <v>3.894030540112392E-2</v>
      </c>
    </row>
    <row r="111" spans="1:7" x14ac:dyDescent="0.25">
      <c r="A111" s="9">
        <v>44593</v>
      </c>
      <c r="B111">
        <v>829827</v>
      </c>
      <c r="C111">
        <v>2719.5132145380148</v>
      </c>
      <c r="E111" s="9">
        <v>44593</v>
      </c>
      <c r="F111" s="16">
        <f>imobiliario[[#This Row],[AMORTIZACAO]]/B110</f>
        <v>3.3063789454629636E-3</v>
      </c>
      <c r="G111" s="16">
        <f t="shared" si="1"/>
        <v>3.8962919221476988E-2</v>
      </c>
    </row>
    <row r="112" spans="1:7" x14ac:dyDescent="0.25">
      <c r="A112" s="9">
        <v>44621</v>
      </c>
      <c r="B112">
        <v>841772</v>
      </c>
      <c r="C112">
        <v>2755.2310058811299</v>
      </c>
      <c r="E112" s="9">
        <v>44621</v>
      </c>
      <c r="F112" s="16">
        <f>imobiliario[[#This Row],[AMORTIZACAO]]/B111</f>
        <v>3.3202474803557007E-3</v>
      </c>
      <c r="G112" s="16">
        <f t="shared" si="1"/>
        <v>3.9123375627122314E-2</v>
      </c>
    </row>
    <row r="113" spans="1:7" x14ac:dyDescent="0.25">
      <c r="A113" s="9">
        <v>44652</v>
      </c>
      <c r="B113">
        <v>845088</v>
      </c>
      <c r="C113">
        <v>2756.761521593352</v>
      </c>
      <c r="E113" s="9">
        <v>44652</v>
      </c>
      <c r="F113" s="16">
        <f>imobiliario[[#This Row],[AMORTIZACAO]]/B112</f>
        <v>3.2749503685004394E-3</v>
      </c>
      <c r="G113" s="16">
        <f t="shared" si="1"/>
        <v>3.8599205445380425E-2</v>
      </c>
    </row>
    <row r="114" spans="1:7" x14ac:dyDescent="0.25">
      <c r="A114" s="9">
        <v>44682</v>
      </c>
      <c r="B114">
        <v>858722</v>
      </c>
      <c r="C114">
        <v>2796.132113865578</v>
      </c>
      <c r="E114" s="9">
        <v>44682</v>
      </c>
      <c r="F114" s="16">
        <f>imobiliario[[#This Row],[AMORTIZACAO]]/B113</f>
        <v>3.3086875140406419E-3</v>
      </c>
      <c r="G114" s="16">
        <f t="shared" si="1"/>
        <v>3.8989630640470674E-2</v>
      </c>
    </row>
    <row r="115" spans="1:7" x14ac:dyDescent="0.25">
      <c r="A115" s="9">
        <v>44713</v>
      </c>
      <c r="B115">
        <v>869329</v>
      </c>
      <c r="C115">
        <v>2835.2835203126119</v>
      </c>
      <c r="E115" s="9">
        <v>44713</v>
      </c>
      <c r="F115" s="16">
        <f>imobiliario[[#This Row],[AMORTIZACAO]]/B114</f>
        <v>3.3017478535691549E-3</v>
      </c>
      <c r="G115" s="16">
        <f t="shared" si="1"/>
        <v>3.8909332867386959E-2</v>
      </c>
    </row>
    <row r="116" spans="1:7" x14ac:dyDescent="0.25">
      <c r="A116" s="9">
        <v>44743</v>
      </c>
      <c r="B116">
        <v>881188</v>
      </c>
      <c r="C116">
        <v>2872.1893911437937</v>
      </c>
      <c r="E116" s="9">
        <v>44743</v>
      </c>
      <c r="F116" s="16">
        <f>imobiliario[[#This Row],[AMORTIZACAO]]/B115</f>
        <v>3.3039153084088919E-3</v>
      </c>
      <c r="G116" s="16">
        <f t="shared" si="1"/>
        <v>3.8934412823513065E-2</v>
      </c>
    </row>
    <row r="117" spans="1:7" x14ac:dyDescent="0.25">
      <c r="A117" s="9">
        <v>44774</v>
      </c>
      <c r="B117">
        <v>889581</v>
      </c>
      <c r="C117">
        <v>2901.1983045462594</v>
      </c>
      <c r="E117" s="9">
        <v>44774</v>
      </c>
      <c r="F117" s="16">
        <f>imobiliario[[#This Row],[AMORTIZACAO]]/B116</f>
        <v>3.2923715535688857E-3</v>
      </c>
      <c r="G117" s="16">
        <f t="shared" si="1"/>
        <v>3.8800831334340091E-2</v>
      </c>
    </row>
    <row r="118" spans="1:7" x14ac:dyDescent="0.25">
      <c r="A118" s="9">
        <v>44805</v>
      </c>
      <c r="B118">
        <v>900670</v>
      </c>
      <c r="C118">
        <v>2936.3444941405551</v>
      </c>
      <c r="E118" s="9">
        <v>44805</v>
      </c>
      <c r="F118" s="16">
        <f>imobiliario[[#This Row],[AMORTIZACAO]]/B117</f>
        <v>3.3008174569157333E-3</v>
      </c>
      <c r="G118" s="16">
        <f t="shared" si="1"/>
        <v>3.8898566919364885E-2</v>
      </c>
    </row>
    <row r="119" spans="1:7" x14ac:dyDescent="0.25">
      <c r="A119" s="9">
        <v>44835</v>
      </c>
      <c r="B119">
        <v>910509</v>
      </c>
      <c r="C119">
        <v>2971.0589217407019</v>
      </c>
      <c r="E119" s="9">
        <v>44835</v>
      </c>
      <c r="F119" s="16">
        <f>imobiliario[[#This Row],[AMORTIZACAO]]/B118</f>
        <v>3.2987208652899527E-3</v>
      </c>
      <c r="G119" s="16">
        <f t="shared" si="1"/>
        <v>3.8874306112520407E-2</v>
      </c>
    </row>
    <row r="120" spans="1:7" x14ac:dyDescent="0.25">
      <c r="A120" s="9">
        <v>44866</v>
      </c>
      <c r="B120">
        <v>921705</v>
      </c>
      <c r="C120">
        <v>3006.7519642829288</v>
      </c>
      <c r="E120" s="9">
        <v>44866</v>
      </c>
      <c r="F120" s="16">
        <f>imobiliario[[#This Row],[AMORTIZACAO]]/B119</f>
        <v>3.30227594047168E-3</v>
      </c>
      <c r="G120" s="16">
        <f t="shared" si="1"/>
        <v>3.8915443498122038E-2</v>
      </c>
    </row>
    <row r="121" spans="1:7" x14ac:dyDescent="0.25">
      <c r="A121" s="9">
        <v>44896</v>
      </c>
      <c r="B121">
        <v>931014</v>
      </c>
      <c r="C121">
        <v>3037.691395982114</v>
      </c>
      <c r="E121" s="9">
        <v>44896</v>
      </c>
      <c r="F121" s="16">
        <f>imobiliario[[#This Row],[AMORTIZACAO]]/B120</f>
        <v>3.2957306252891262E-3</v>
      </c>
      <c r="G121" s="16">
        <f t="shared" si="1"/>
        <v>3.8839703440934348E-2</v>
      </c>
    </row>
    <row r="122" spans="1:7" x14ac:dyDescent="0.25">
      <c r="A122" s="9">
        <v>44927</v>
      </c>
      <c r="B122">
        <v>938541</v>
      </c>
      <c r="C122">
        <v>3066.3322655858587</v>
      </c>
      <c r="E122" s="9">
        <v>44927</v>
      </c>
      <c r="F122" s="16">
        <f>imobiliario[[#This Row],[AMORTIZACAO]]/B121</f>
        <v>3.2935404468524198E-3</v>
      </c>
      <c r="G122" s="16">
        <f t="shared" si="1"/>
        <v>3.8814358254050552E-2</v>
      </c>
    </row>
    <row r="123" spans="1:7" x14ac:dyDescent="0.25">
      <c r="A123" s="9">
        <v>44958</v>
      </c>
      <c r="B123">
        <v>945457</v>
      </c>
      <c r="C123">
        <v>3088.1958960008528</v>
      </c>
      <c r="E123" s="9">
        <v>44958</v>
      </c>
      <c r="F123" s="16">
        <f>imobiliario[[#This Row],[AMORTIZACAO]]/B122</f>
        <v>3.2904219378810866E-3</v>
      </c>
      <c r="G123" s="16">
        <f t="shared" si="1"/>
        <v>3.8778269181680591E-2</v>
      </c>
    </row>
    <row r="124" spans="1:7" x14ac:dyDescent="0.25">
      <c r="A124" s="9">
        <v>44986</v>
      </c>
      <c r="B124">
        <v>956838</v>
      </c>
      <c r="C124">
        <v>3130.1533991481151</v>
      </c>
      <c r="E124" s="9">
        <v>44986</v>
      </c>
      <c r="F124" s="16">
        <f>imobiliario[[#This Row],[AMORTIZACAO]]/B123</f>
        <v>3.3107305770099698E-3</v>
      </c>
      <c r="G124" s="16">
        <f t="shared" si="1"/>
        <v>3.9013269444645005E-2</v>
      </c>
    </row>
    <row r="125" spans="1:7" x14ac:dyDescent="0.25">
      <c r="A125" s="9">
        <v>45017</v>
      </c>
      <c r="B125">
        <v>965601</v>
      </c>
      <c r="C125">
        <v>3161.278354857644</v>
      </c>
      <c r="E125" s="9">
        <v>45017</v>
      </c>
      <c r="F125" s="16">
        <f>imobiliario[[#This Row],[AMORTIZACAO]]/B124</f>
        <v>3.303880442517588E-3</v>
      </c>
      <c r="G125" s="16">
        <f t="shared" si="1"/>
        <v>3.893400938962488E-2</v>
      </c>
    </row>
    <row r="126" spans="1:7" x14ac:dyDescent="0.25">
      <c r="A126" s="9">
        <v>45047</v>
      </c>
      <c r="B126">
        <v>974865</v>
      </c>
      <c r="C126">
        <v>3197.0048037112097</v>
      </c>
      <c r="E126" s="9">
        <v>45047</v>
      </c>
      <c r="F126" s="16">
        <f>imobiliario[[#This Row],[AMORTIZACAO]]/B125</f>
        <v>3.3108963264445765E-3</v>
      </c>
      <c r="G126" s="16">
        <f t="shared" si="1"/>
        <v>3.9015187188115474E-2</v>
      </c>
    </row>
    <row r="127" spans="1:7" x14ac:dyDescent="0.25">
      <c r="A127" s="9">
        <v>45078</v>
      </c>
      <c r="B127">
        <v>983640</v>
      </c>
      <c r="C127">
        <v>3229.0049818697303</v>
      </c>
      <c r="E127" s="9">
        <v>45078</v>
      </c>
      <c r="F127" s="16">
        <f>imobiliario[[#This Row],[AMORTIZACAO]]/B126</f>
        <v>3.312258601826643E-3</v>
      </c>
      <c r="G127" s="16">
        <f t="shared" si="1"/>
        <v>3.9030948766409224E-2</v>
      </c>
    </row>
    <row r="128" spans="1:7" x14ac:dyDescent="0.25">
      <c r="A128" s="9">
        <v>45108</v>
      </c>
      <c r="B128">
        <v>992763</v>
      </c>
      <c r="C128">
        <v>3265.4517483704913</v>
      </c>
      <c r="E128" s="9">
        <v>45108</v>
      </c>
      <c r="F128" s="16">
        <f>imobiliario[[#This Row],[AMORTIZACAO]]/B127</f>
        <v>3.3197630722322101E-3</v>
      </c>
      <c r="G128" s="16">
        <f t="shared" si="1"/>
        <v>3.9117771527884648E-2</v>
      </c>
    </row>
    <row r="129" spans="1:7" x14ac:dyDescent="0.25">
      <c r="A129" s="9">
        <v>45139</v>
      </c>
      <c r="B129">
        <v>1002140</v>
      </c>
      <c r="C129">
        <v>3302.2258803442041</v>
      </c>
      <c r="E129" s="9">
        <v>45139</v>
      </c>
      <c r="F129" s="16">
        <f>imobiliario[[#This Row],[AMORTIZACAO]]/B128</f>
        <v>3.326298301149624E-3</v>
      </c>
      <c r="G129" s="16">
        <f t="shared" si="1"/>
        <v>3.919337481930274E-2</v>
      </c>
    </row>
    <row r="130" spans="1:7" x14ac:dyDescent="0.25">
      <c r="A130" s="9">
        <v>45170</v>
      </c>
      <c r="B130">
        <v>1012868</v>
      </c>
      <c r="C130">
        <v>3339.1848331945653</v>
      </c>
      <c r="E130" s="9">
        <v>45170</v>
      </c>
      <c r="F130" s="16">
        <f>imobiliario[[#This Row],[AMORTIZACAO]]/B129</f>
        <v>3.3320542371271132E-3</v>
      </c>
      <c r="G130" s="16">
        <f t="shared" si="1"/>
        <v>3.9259958284925012E-2</v>
      </c>
    </row>
    <row r="131" spans="1:7" x14ac:dyDescent="0.25">
      <c r="A131" s="9">
        <v>45200</v>
      </c>
      <c r="B131">
        <v>1022315</v>
      </c>
      <c r="C131">
        <v>3345.7535310832623</v>
      </c>
      <c r="E131" s="9">
        <v>45200</v>
      </c>
      <c r="F131" s="16">
        <f>imobiliario[[#This Row],[AMORTIZACAO]]/B130</f>
        <v>3.3032473442573588E-3</v>
      </c>
      <c r="G131" s="16">
        <f t="shared" si="1"/>
        <v>3.8926683770667658E-2</v>
      </c>
    </row>
    <row r="132" spans="1:7" x14ac:dyDescent="0.25">
      <c r="A132" s="9">
        <v>45231</v>
      </c>
      <c r="B132">
        <v>1030974</v>
      </c>
      <c r="C132">
        <v>3375.54815172299</v>
      </c>
      <c r="E132" s="9">
        <v>45231</v>
      </c>
      <c r="F132" s="16">
        <f>imobiliario[[#This Row],[AMORTIZACAO]]/B131</f>
        <v>3.3018669898446074E-3</v>
      </c>
      <c r="G132" s="16">
        <f t="shared" ref="G132:G164" si="2">(1-(1-F132)^12)</f>
        <v>3.8910711427289302E-2</v>
      </c>
    </row>
    <row r="133" spans="1:7" x14ac:dyDescent="0.25">
      <c r="A133" s="9">
        <v>45261</v>
      </c>
      <c r="B133">
        <v>1040749</v>
      </c>
      <c r="C133">
        <v>3400.5191795608921</v>
      </c>
      <c r="E133" s="9">
        <v>45261</v>
      </c>
      <c r="F133" s="16">
        <f>imobiliario[[#This Row],[AMORTIZACAO]]/B132</f>
        <v>3.2983559037966935E-3</v>
      </c>
      <c r="G133" s="16">
        <f t="shared" si="2"/>
        <v>3.8870082886378055E-2</v>
      </c>
    </row>
    <row r="134" spans="1:7" x14ac:dyDescent="0.25">
      <c r="A134" s="9">
        <v>45292</v>
      </c>
      <c r="B134">
        <v>1045757</v>
      </c>
      <c r="C134">
        <v>3421.6776203592522</v>
      </c>
      <c r="E134" s="9">
        <v>45292</v>
      </c>
      <c r="F134" s="16">
        <f>imobiliario[[#This Row],[AMORTIZACAO]]/B133</f>
        <v>3.2877068537747836E-3</v>
      </c>
      <c r="G134" s="16">
        <f t="shared" si="2"/>
        <v>3.8746847748567737E-2</v>
      </c>
    </row>
    <row r="135" spans="1:7" x14ac:dyDescent="0.25">
      <c r="A135" s="9">
        <v>45323</v>
      </c>
      <c r="B135">
        <v>1053419</v>
      </c>
      <c r="C135">
        <v>3442.7503036096323</v>
      </c>
      <c r="E135" s="9">
        <v>45323</v>
      </c>
      <c r="F135" s="16">
        <f>imobiliario[[#This Row],[AMORTIZACAO]]/B134</f>
        <v>3.2921130851714425E-3</v>
      </c>
      <c r="G135" s="16">
        <f t="shared" si="2"/>
        <v>3.8797840206879819E-2</v>
      </c>
    </row>
    <row r="136" spans="1:7" x14ac:dyDescent="0.25">
      <c r="A136" s="9">
        <v>45352</v>
      </c>
      <c r="B136">
        <v>1063198</v>
      </c>
      <c r="C136">
        <v>3470.9406663568498</v>
      </c>
      <c r="E136" s="9">
        <v>45352</v>
      </c>
      <c r="F136" s="16">
        <f>imobiliario[[#This Row],[AMORTIZACAO]]/B135</f>
        <v>3.2949288615041592E-3</v>
      </c>
      <c r="G136" s="16">
        <f t="shared" si="2"/>
        <v>3.8830425339691277E-2</v>
      </c>
    </row>
    <row r="137" spans="1:7" x14ac:dyDescent="0.25">
      <c r="A137" s="9">
        <v>45383</v>
      </c>
      <c r="B137">
        <v>1073208</v>
      </c>
      <c r="C137">
        <v>3500.1518530081062</v>
      </c>
      <c r="E137" s="9">
        <v>45383</v>
      </c>
      <c r="F137" s="16">
        <f>imobiliario[[#This Row],[AMORTIZACAO]]/B136</f>
        <v>3.2920978529005006E-3</v>
      </c>
      <c r="G137" s="16">
        <f t="shared" si="2"/>
        <v>3.8797663931045223E-2</v>
      </c>
    </row>
    <row r="138" spans="1:7" x14ac:dyDescent="0.25">
      <c r="A138" s="9">
        <v>45413</v>
      </c>
      <c r="B138">
        <v>1085714</v>
      </c>
      <c r="C138">
        <v>3538.5702536148628</v>
      </c>
      <c r="E138" s="9">
        <v>45413</v>
      </c>
      <c r="F138" s="16">
        <f>imobiliario[[#This Row],[AMORTIZACAO]]/B137</f>
        <v>3.2971895975569161E-3</v>
      </c>
      <c r="G138" s="16">
        <f t="shared" si="2"/>
        <v>3.8856586622486589E-2</v>
      </c>
    </row>
    <row r="139" spans="1:7" x14ac:dyDescent="0.25">
      <c r="A139" s="9">
        <v>45444</v>
      </c>
      <c r="B139">
        <v>1098295</v>
      </c>
      <c r="C139">
        <v>3572.3018592525532</v>
      </c>
      <c r="E139" s="9">
        <v>45444</v>
      </c>
      <c r="F139" s="16">
        <f>imobiliario[[#This Row],[AMORTIZACAO]]/B138</f>
        <v>3.2902788941217976E-3</v>
      </c>
      <c r="G139" s="16">
        <f t="shared" si="2"/>
        <v>3.8776613772144031E-2</v>
      </c>
    </row>
    <row r="140" spans="1:7" x14ac:dyDescent="0.25">
      <c r="A140" s="9">
        <v>45474</v>
      </c>
      <c r="B140">
        <v>1110408</v>
      </c>
      <c r="C140">
        <v>3610.0073815088322</v>
      </c>
      <c r="E140" s="9">
        <v>45474</v>
      </c>
      <c r="F140" s="16">
        <f>imobiliario[[#This Row],[AMORTIZACAO]]/B139</f>
        <v>3.2869196176881733E-3</v>
      </c>
      <c r="G140" s="16">
        <f t="shared" si="2"/>
        <v>3.8737736957470958E-2</v>
      </c>
    </row>
    <row r="141" spans="1:7" x14ac:dyDescent="0.25">
      <c r="A141" s="9">
        <v>45505</v>
      </c>
      <c r="B141">
        <v>1123337</v>
      </c>
      <c r="C141">
        <v>3645.5886964737319</v>
      </c>
      <c r="E141" s="9">
        <v>45505</v>
      </c>
      <c r="F141" s="16">
        <f>imobiliario[[#This Row],[AMORTIZACAO]]/B140</f>
        <v>3.2831073771746348E-3</v>
      </c>
      <c r="G141" s="16">
        <f t="shared" si="2"/>
        <v>3.8693616255866869E-2</v>
      </c>
    </row>
    <row r="142" spans="1:7" x14ac:dyDescent="0.25">
      <c r="A142" s="9">
        <v>45536</v>
      </c>
      <c r="B142">
        <v>1135829</v>
      </c>
      <c r="C142">
        <v>3682.4683299804938</v>
      </c>
      <c r="E142" s="9">
        <v>45536</v>
      </c>
      <c r="F142" s="16">
        <f>imobiliario[[#This Row],[AMORTIZACAO]]/B141</f>
        <v>3.2781510178873248E-3</v>
      </c>
      <c r="G142" s="16">
        <f t="shared" si="2"/>
        <v>3.8636251399259081E-2</v>
      </c>
    </row>
    <row r="143" spans="1:7" x14ac:dyDescent="0.25">
      <c r="A143" s="9">
        <v>45566</v>
      </c>
      <c r="B143">
        <v>1147127</v>
      </c>
      <c r="C143">
        <v>3712.566301607581</v>
      </c>
      <c r="E143" s="9">
        <v>45566</v>
      </c>
      <c r="F143" s="16">
        <f>imobiliario[[#This Row],[AMORTIZACAO]]/B142</f>
        <v>3.2685961545334563E-3</v>
      </c>
      <c r="G143" s="16">
        <f t="shared" si="2"/>
        <v>3.8525654643444041E-2</v>
      </c>
    </row>
    <row r="144" spans="1:7" x14ac:dyDescent="0.25">
      <c r="A144" s="9">
        <v>45597</v>
      </c>
      <c r="B144">
        <v>1157670</v>
      </c>
      <c r="C144">
        <v>3760.357742314337</v>
      </c>
      <c r="E144" s="9">
        <v>45597</v>
      </c>
      <c r="F144" s="16">
        <f>imobiliario[[#This Row],[AMORTIZACAO]]/B143</f>
        <v>3.2780657610834169E-3</v>
      </c>
      <c r="G144" s="16">
        <f t="shared" si="2"/>
        <v>3.8635264610346498E-2</v>
      </c>
    </row>
    <row r="145" spans="1:7" x14ac:dyDescent="0.25">
      <c r="A145" s="9">
        <v>45627</v>
      </c>
      <c r="B145">
        <v>1167195</v>
      </c>
      <c r="C145">
        <v>3786.7821678618693</v>
      </c>
      <c r="E145" s="9">
        <v>45627</v>
      </c>
      <c r="F145" s="16">
        <f>imobiliario[[#This Row],[AMORTIZACAO]]/B144</f>
        <v>3.2710376600083523E-3</v>
      </c>
      <c r="G145" s="16">
        <f t="shared" si="2"/>
        <v>3.8553915977366571E-2</v>
      </c>
    </row>
    <row r="146" spans="1:7" x14ac:dyDescent="0.25">
      <c r="A146" s="9">
        <v>45658</v>
      </c>
      <c r="B146">
        <v>1176882</v>
      </c>
      <c r="C146">
        <v>3816.1403885657191</v>
      </c>
      <c r="E146" s="9">
        <v>45658</v>
      </c>
      <c r="F146" s="16">
        <f>imobiliario[[#This Row],[AMORTIZACAO]]/B145</f>
        <v>3.2694968609064631E-3</v>
      </c>
      <c r="G146" s="16">
        <f t="shared" si="2"/>
        <v>3.8536080743349133E-2</v>
      </c>
    </row>
    <row r="147" spans="1:7" x14ac:dyDescent="0.25">
      <c r="A147" s="9">
        <v>45689</v>
      </c>
      <c r="B147">
        <v>1187950</v>
      </c>
      <c r="C147">
        <v>3839.154426579862</v>
      </c>
      <c r="E147" s="9">
        <v>45689</v>
      </c>
      <c r="F147" s="16">
        <f>imobiliario[[#This Row],[AMORTIZACAO]]/B146</f>
        <v>3.2621404920628082E-3</v>
      </c>
      <c r="G147" s="16">
        <f t="shared" si="2"/>
        <v>3.8450924280544641E-2</v>
      </c>
    </row>
    <row r="148" spans="1:7" x14ac:dyDescent="0.25">
      <c r="A148" s="9">
        <v>45717</v>
      </c>
      <c r="B148">
        <v>1199665</v>
      </c>
      <c r="C148">
        <v>3873.6279614814871</v>
      </c>
      <c r="E148" s="9">
        <v>45717</v>
      </c>
      <c r="F148" s="16">
        <f>imobiliario[[#This Row],[AMORTIZACAO]]/B147</f>
        <v>3.2607668348680393E-3</v>
      </c>
      <c r="G148" s="16">
        <f t="shared" si="2"/>
        <v>3.8435022219975412E-2</v>
      </c>
    </row>
    <row r="149" spans="1:7" x14ac:dyDescent="0.25">
      <c r="A149" s="9">
        <v>45748</v>
      </c>
      <c r="B149">
        <v>1211400</v>
      </c>
      <c r="C149">
        <v>3901.786293262609</v>
      </c>
      <c r="E149" s="9">
        <v>45748</v>
      </c>
      <c r="F149" s="16">
        <f>imobiliario[[#This Row],[AMORTIZACAO]]/B148</f>
        <v>3.2523965384191494E-3</v>
      </c>
      <c r="G149" s="16">
        <f t="shared" si="2"/>
        <v>3.833811877237292E-2</v>
      </c>
    </row>
    <row r="150" spans="1:7" x14ac:dyDescent="0.25">
      <c r="A150" s="9">
        <v>45778</v>
      </c>
      <c r="B150">
        <v>1223480</v>
      </c>
      <c r="C150">
        <v>3934.2910209021288</v>
      </c>
      <c r="E150" s="9">
        <v>45778</v>
      </c>
      <c r="F150" s="16">
        <f>imobiliario[[#This Row],[AMORTIZACAO]]/B149</f>
        <v>3.2477224871240952E-3</v>
      </c>
      <c r="G150" s="16">
        <f t="shared" si="2"/>
        <v>3.828400309203317E-2</v>
      </c>
    </row>
    <row r="151" spans="1:7" x14ac:dyDescent="0.25">
      <c r="A151" s="9">
        <v>45809</v>
      </c>
      <c r="B151">
        <v>1233638</v>
      </c>
      <c r="C151">
        <v>3976.1664520775166</v>
      </c>
      <c r="E151" s="9">
        <v>45809</v>
      </c>
      <c r="F151" s="16">
        <f>imobiliario[[#This Row],[AMORTIZACAO]]/B150</f>
        <v>3.2498826724405112E-3</v>
      </c>
      <c r="G151" s="16">
        <f t="shared" si="2"/>
        <v>3.8309013840148065E-2</v>
      </c>
    </row>
    <row r="152" spans="1:7" x14ac:dyDescent="0.25">
      <c r="A152" s="9">
        <v>45839</v>
      </c>
      <c r="B152">
        <v>1244608</v>
      </c>
      <c r="C152">
        <v>3993.981177282938</v>
      </c>
      <c r="E152" s="9">
        <v>45839</v>
      </c>
      <c r="F152" s="16">
        <f>imobiliario[[#This Row],[AMORTIZACAO]]/B151</f>
        <v>3.2375633510664699E-3</v>
      </c>
      <c r="G152" s="16">
        <f t="shared" si="2"/>
        <v>3.8166372042573227E-2</v>
      </c>
    </row>
    <row r="153" spans="1:7" x14ac:dyDescent="0.25">
      <c r="A153" s="9">
        <v>45870</v>
      </c>
      <c r="B153">
        <v>1256772</v>
      </c>
      <c r="C153">
        <v>4030.5737288309429</v>
      </c>
      <c r="E153" s="9">
        <v>45870</v>
      </c>
      <c r="F153" s="16">
        <f>imobiliario[[#This Row],[AMORTIZACAO]]/B152</f>
        <v>3.2384282672383133E-3</v>
      </c>
      <c r="G153" s="16">
        <f t="shared" si="2"/>
        <v>3.8176387285425717E-2</v>
      </c>
    </row>
    <row r="154" spans="1:7" x14ac:dyDescent="0.25">
      <c r="A154" s="9">
        <v>45901</v>
      </c>
      <c r="B154">
        <v>1269554</v>
      </c>
      <c r="C154">
        <v>4062.7140599571521</v>
      </c>
      <c r="E154" s="9">
        <v>45901</v>
      </c>
      <c r="F154" s="16">
        <f>imobiliario[[#This Row],[AMORTIZACAO]]/B153</f>
        <v>3.2326579999850031E-3</v>
      </c>
      <c r="G154" s="16">
        <f t="shared" si="2"/>
        <v>3.8109569027189094E-2</v>
      </c>
    </row>
    <row r="155" spans="1:7" x14ac:dyDescent="0.25">
      <c r="A155" s="9">
        <v>45931</v>
      </c>
      <c r="B155">
        <v>1284171</v>
      </c>
      <c r="C155">
        <v>4109.2523952000365</v>
      </c>
      <c r="E155" s="9">
        <v>45931</v>
      </c>
      <c r="F155" s="16">
        <f>imobiliario[[#This Row],[AMORTIZACAO]]/B154</f>
        <v>3.2367684991737545E-3</v>
      </c>
      <c r="G155" s="16">
        <f t="shared" si="2"/>
        <v>3.8157168020374388E-2</v>
      </c>
    </row>
    <row r="156" spans="1:7" x14ac:dyDescent="0.25">
      <c r="A156" s="9">
        <v>45962</v>
      </c>
      <c r="B156">
        <v>1297715</v>
      </c>
      <c r="C156">
        <v>4158.3829618746422</v>
      </c>
      <c r="E156" s="9">
        <v>45962</v>
      </c>
      <c r="F156" s="16">
        <f>imobiliario[[#This Row],[AMORTIZACAO]]/B155</f>
        <v>3.2381847603431646E-3</v>
      </c>
      <c r="G156" s="16">
        <f t="shared" si="2"/>
        <v>3.8173567622193816E-2</v>
      </c>
    </row>
    <row r="157" spans="1:7" x14ac:dyDescent="0.25">
      <c r="A157" s="9">
        <v>45992</v>
      </c>
      <c r="B157">
        <v>1311348</v>
      </c>
      <c r="C157">
        <v>4199.0309319043308</v>
      </c>
      <c r="E157" s="9">
        <v>45992</v>
      </c>
      <c r="F157" s="16">
        <f>imobiliario[[#This Row],[AMORTIZACAO]]/B156</f>
        <v>3.2357111784207864E-3</v>
      </c>
      <c r="G157" s="16">
        <f t="shared" si="2"/>
        <v>3.8144924603421781E-2</v>
      </c>
    </row>
    <row r="158" spans="1:7" x14ac:dyDescent="0.25">
      <c r="A158" s="9">
        <v>46023</v>
      </c>
      <c r="B158">
        <v>1321809</v>
      </c>
      <c r="C158">
        <v>4233.926657058033</v>
      </c>
      <c r="E158" s="9">
        <v>46023</v>
      </c>
      <c r="F158" s="16">
        <f>imobiliario[[#This Row],[AMORTIZACAO]]/B157</f>
        <v>3.2286827425351875E-3</v>
      </c>
      <c r="G158" s="16">
        <f t="shared" si="2"/>
        <v>3.8063534060169824E-2</v>
      </c>
    </row>
    <row r="159" spans="1:7" x14ac:dyDescent="0.25">
      <c r="A159" s="9">
        <v>46054</v>
      </c>
      <c r="B159">
        <v>1332870</v>
      </c>
      <c r="C159">
        <v>4260.4750745902784</v>
      </c>
      <c r="E159" s="9">
        <v>46054</v>
      </c>
      <c r="F159" s="16">
        <f>imobiliario[[#This Row],[AMORTIZACAO]]/B158</f>
        <v>3.2232153621213643E-3</v>
      </c>
      <c r="G159" s="16">
        <f t="shared" si="2"/>
        <v>3.800021645260887E-2</v>
      </c>
    </row>
    <row r="160" spans="1:7" x14ac:dyDescent="0.25">
      <c r="A160" s="9">
        <v>46082</v>
      </c>
      <c r="B160">
        <v>1349025</v>
      </c>
      <c r="C160">
        <v>4300.2844004677836</v>
      </c>
      <c r="E160" s="9">
        <v>46082</v>
      </c>
      <c r="F160" s="16">
        <f>imobiliario[[#This Row],[AMORTIZACAO]]/B159</f>
        <v>3.2263344515727592E-3</v>
      </c>
      <c r="G160" s="16">
        <f t="shared" si="2"/>
        <v>3.8036339024275168E-2</v>
      </c>
    </row>
    <row r="161" spans="1:7" x14ac:dyDescent="0.25">
      <c r="A161" s="9">
        <v>46113</v>
      </c>
      <c r="B161">
        <v>1362188</v>
      </c>
      <c r="C161">
        <v>4337.1019141075421</v>
      </c>
      <c r="E161" s="9">
        <v>46113</v>
      </c>
      <c r="F161" s="16">
        <f>imobiliario[[#This Row],[AMORTIZACAO]]/B160</f>
        <v>3.2149900217620445E-3</v>
      </c>
      <c r="G161" s="16">
        <f t="shared" si="2"/>
        <v>3.7904951776662421E-2</v>
      </c>
    </row>
    <row r="162" spans="1:7" x14ac:dyDescent="0.25">
      <c r="A162" s="9">
        <v>46143</v>
      </c>
      <c r="B162">
        <v>1378100</v>
      </c>
      <c r="C162">
        <v>4383.1289535422011</v>
      </c>
      <c r="E162" s="9">
        <v>46143</v>
      </c>
      <c r="F162" s="16">
        <f>imobiliario[[#This Row],[AMORTIZACAO]]/B161</f>
        <v>3.2177122053212927E-3</v>
      </c>
      <c r="G162" s="16">
        <f t="shared" si="2"/>
        <v>3.793648066153088E-2</v>
      </c>
    </row>
    <row r="163" spans="1:7" x14ac:dyDescent="0.25">
      <c r="A163" s="9">
        <v>46174</v>
      </c>
      <c r="B163">
        <v>1395367</v>
      </c>
      <c r="C163">
        <v>4432.2503737349525</v>
      </c>
      <c r="E163" s="9">
        <v>46174</v>
      </c>
      <c r="F163" s="16">
        <f>imobiliario[[#This Row],[AMORTIZACAO]]/B162</f>
        <v>3.2162037397394619E-3</v>
      </c>
      <c r="G163" s="16">
        <f t="shared" si="2"/>
        <v>3.7919009422684002E-2</v>
      </c>
    </row>
    <row r="164" spans="1:7" x14ac:dyDescent="0.25">
      <c r="A164" s="9">
        <v>46204</v>
      </c>
      <c r="B164">
        <v>1414648</v>
      </c>
      <c r="C164">
        <v>4488.0776511900767</v>
      </c>
      <c r="E164" s="9">
        <v>46204</v>
      </c>
      <c r="F164" s="16">
        <f>imobiliario[[#This Row],[AMORTIZACAO]]/B163</f>
        <v>3.2164137830334792E-3</v>
      </c>
      <c r="G164" s="16">
        <f t="shared" si="2"/>
        <v>3.7921442188067811E-2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36BFD-BC0E-4745-BC27-73321A9F4413}">
  <sheetPr>
    <tabColor theme="5" tint="-0.249977111117893"/>
  </sheetPr>
  <dimension ref="A1:H164"/>
  <sheetViews>
    <sheetView workbookViewId="0">
      <selection sqref="A1:A1048576"/>
    </sheetView>
  </sheetViews>
  <sheetFormatPr defaultRowHeight="15" x14ac:dyDescent="0.25"/>
  <cols>
    <col min="1" max="1" width="10.42578125" bestFit="1" customWidth="1"/>
    <col min="2" max="2" width="11.140625" bestFit="1" customWidth="1"/>
    <col min="7" max="7" width="65.42578125" bestFit="1" customWidth="1"/>
  </cols>
  <sheetData>
    <row r="1" spans="1:8" x14ac:dyDescent="0.25">
      <c r="A1" t="s">
        <v>28</v>
      </c>
      <c r="B1" t="s">
        <v>32</v>
      </c>
      <c r="C1" t="s">
        <v>33</v>
      </c>
      <c r="F1" t="s">
        <v>34</v>
      </c>
      <c r="G1" t="s">
        <v>39</v>
      </c>
      <c r="H1" t="s">
        <v>26</v>
      </c>
    </row>
    <row r="2" spans="1:8" x14ac:dyDescent="0.25">
      <c r="A2" s="9">
        <v>41275</v>
      </c>
      <c r="B2" s="16"/>
      <c r="F2" t="s">
        <v>35</v>
      </c>
      <c r="G2" t="s">
        <v>37</v>
      </c>
      <c r="H2" s="3">
        <f>AVERAGE(B:B)</f>
        <v>0.78927363371232573</v>
      </c>
    </row>
    <row r="3" spans="1:8" x14ac:dyDescent="0.25">
      <c r="A3" s="9">
        <v>41306</v>
      </c>
      <c r="B3" s="16">
        <f>VLOOKUP(A3,PAIM_B!E:G,3,0)</f>
        <v>0.8099831192866056</v>
      </c>
      <c r="C3">
        <f>VLOOKUP(A3,PAIM_Z!E:G,3,0)</f>
        <v>5.1691029498952545E-2</v>
      </c>
      <c r="F3" t="s">
        <v>36</v>
      </c>
      <c r="G3" t="s">
        <v>38</v>
      </c>
      <c r="H3" s="3">
        <f>AVERAGE(C:C)</f>
        <v>4.3218078721796761E-2</v>
      </c>
    </row>
    <row r="4" spans="1:8" x14ac:dyDescent="0.25">
      <c r="A4" s="9">
        <v>41334</v>
      </c>
      <c r="B4" s="16">
        <f>VLOOKUP(A4,PAIM_B!E:G,3,0)</f>
        <v>0.78767625368478844</v>
      </c>
      <c r="C4">
        <f>VLOOKUP(A4,PAIM_Z!E:G,3,0)</f>
        <v>5.1855146379498174E-2</v>
      </c>
    </row>
    <row r="5" spans="1:8" x14ac:dyDescent="0.25">
      <c r="A5" s="9">
        <v>41365</v>
      </c>
      <c r="B5" s="16">
        <f>VLOOKUP(A5,PAIM_B!E:G,3,0)</f>
        <v>0.79238334063711346</v>
      </c>
      <c r="C5">
        <f>VLOOKUP(A5,PAIM_Z!E:G,3,0)</f>
        <v>5.1443517614225831E-2</v>
      </c>
    </row>
    <row r="6" spans="1:8" x14ac:dyDescent="0.25">
      <c r="A6" s="9">
        <v>41395</v>
      </c>
      <c r="B6" s="16">
        <f>VLOOKUP(A6,PAIM_B!E:G,3,0)</f>
        <v>0.78479286818839844</v>
      </c>
      <c r="C6">
        <f>VLOOKUP(A6,PAIM_Z!E:G,3,0)</f>
        <v>5.1286896547351746E-2</v>
      </c>
    </row>
    <row r="7" spans="1:8" x14ac:dyDescent="0.25">
      <c r="A7" s="9">
        <v>41426</v>
      </c>
      <c r="B7" s="16">
        <f>VLOOKUP(A7,PAIM_B!E:G,3,0)</f>
        <v>0.79152418140183267</v>
      </c>
      <c r="C7">
        <f>VLOOKUP(A7,PAIM_Z!E:G,3,0)</f>
        <v>5.0842303628351404E-2</v>
      </c>
    </row>
    <row r="8" spans="1:8" x14ac:dyDescent="0.25">
      <c r="A8" s="9">
        <v>41456</v>
      </c>
      <c r="B8" s="16">
        <f>VLOOKUP(A8,PAIM_B!E:G,3,0)</f>
        <v>0.78563063438979031</v>
      </c>
      <c r="C8">
        <f>VLOOKUP(A8,PAIM_Z!E:G,3,0)</f>
        <v>5.0160261867975731E-2</v>
      </c>
    </row>
    <row r="9" spans="1:8" x14ac:dyDescent="0.25">
      <c r="A9" s="9">
        <v>41487</v>
      </c>
      <c r="B9" s="16">
        <f>VLOOKUP(A9,PAIM_B!E:G,3,0)</f>
        <v>0.79058154151838245</v>
      </c>
      <c r="C9">
        <f>VLOOKUP(A9,PAIM_Z!E:G,3,0)</f>
        <v>4.9918668882504957E-2</v>
      </c>
    </row>
    <row r="10" spans="1:8" x14ac:dyDescent="0.25">
      <c r="A10" s="9">
        <v>41518</v>
      </c>
      <c r="B10" s="16">
        <f>VLOOKUP(A10,PAIM_B!E:G,3,0)</f>
        <v>0.79985280287195815</v>
      </c>
      <c r="C10">
        <f>VLOOKUP(A10,PAIM_Z!E:G,3,0)</f>
        <v>4.8931796519518067E-2</v>
      </c>
    </row>
    <row r="11" spans="1:8" x14ac:dyDescent="0.25">
      <c r="A11" s="9">
        <v>41548</v>
      </c>
      <c r="B11" s="16">
        <f>VLOOKUP(A11,PAIM_B!E:G,3,0)</f>
        <v>0.77986823678531914</v>
      </c>
      <c r="C11">
        <f>VLOOKUP(A11,PAIM_Z!E:G,3,0)</f>
        <v>5.0417485733456613E-2</v>
      </c>
    </row>
    <row r="12" spans="1:8" x14ac:dyDescent="0.25">
      <c r="A12" s="9">
        <v>41579</v>
      </c>
      <c r="B12" s="16">
        <f>VLOOKUP(A12,PAIM_B!E:G,3,0)</f>
        <v>0.78911170211934933</v>
      </c>
      <c r="C12">
        <f>VLOOKUP(A12,PAIM_Z!E:G,3,0)</f>
        <v>5.0774252120899366E-2</v>
      </c>
    </row>
    <row r="13" spans="1:8" x14ac:dyDescent="0.25">
      <c r="A13" s="9">
        <v>41609</v>
      </c>
      <c r="B13" s="16">
        <f>VLOOKUP(A13,PAIM_B!E:G,3,0)</f>
        <v>0.77837111452625363</v>
      </c>
      <c r="C13">
        <f>VLOOKUP(A13,PAIM_Z!E:G,3,0)</f>
        <v>5.0609160755585081E-2</v>
      </c>
    </row>
    <row r="14" spans="1:8" x14ac:dyDescent="0.25">
      <c r="A14" s="9">
        <v>41640</v>
      </c>
      <c r="B14" s="16">
        <f>VLOOKUP(A14,PAIM_B!E:G,3,0)</f>
        <v>0.80211026599976731</v>
      </c>
      <c r="C14">
        <f>VLOOKUP(A14,PAIM_Z!E:G,3,0)</f>
        <v>5.0387593957230692E-2</v>
      </c>
    </row>
    <row r="15" spans="1:8" x14ac:dyDescent="0.25">
      <c r="A15" s="9">
        <v>41671</v>
      </c>
      <c r="B15" s="16">
        <f>VLOOKUP(A15,PAIM_B!E:G,3,0)</f>
        <v>0.82295763390155052</v>
      </c>
      <c r="C15">
        <f>VLOOKUP(A15,PAIM_Z!E:G,3,0)</f>
        <v>5.032866246823986E-2</v>
      </c>
    </row>
    <row r="16" spans="1:8" x14ac:dyDescent="0.25">
      <c r="A16" s="9">
        <v>41699</v>
      </c>
      <c r="B16" s="16">
        <f>VLOOKUP(A16,PAIM_B!E:G,3,0)</f>
        <v>0.79709465987300643</v>
      </c>
      <c r="C16">
        <f>VLOOKUP(A16,PAIM_Z!E:G,3,0)</f>
        <v>5.0081859432387632E-2</v>
      </c>
    </row>
    <row r="17" spans="1:3" x14ac:dyDescent="0.25">
      <c r="A17" s="9">
        <v>41730</v>
      </c>
      <c r="B17" s="16">
        <f>VLOOKUP(A17,PAIM_B!E:G,3,0)</f>
        <v>0.80081695179927659</v>
      </c>
      <c r="C17">
        <f>VLOOKUP(A17,PAIM_Z!E:G,3,0)</f>
        <v>5.0010571867553866E-2</v>
      </c>
    </row>
    <row r="18" spans="1:3" x14ac:dyDescent="0.25">
      <c r="A18" s="9">
        <v>41760</v>
      </c>
      <c r="B18" s="16">
        <f>VLOOKUP(A18,PAIM_B!E:G,3,0)</f>
        <v>0.78849806227353925</v>
      </c>
      <c r="C18">
        <f>VLOOKUP(A18,PAIM_Z!E:G,3,0)</f>
        <v>5.0015525464821575E-2</v>
      </c>
    </row>
    <row r="19" spans="1:3" x14ac:dyDescent="0.25">
      <c r="A19" s="9">
        <v>41791</v>
      </c>
      <c r="B19" s="16">
        <f>VLOOKUP(A19,PAIM_B!E:G,3,0)</f>
        <v>0.8038002481855353</v>
      </c>
      <c r="C19">
        <f>VLOOKUP(A19,PAIM_Z!E:G,3,0)</f>
        <v>4.9764149360048915E-2</v>
      </c>
    </row>
    <row r="20" spans="1:3" x14ac:dyDescent="0.25">
      <c r="A20" s="9">
        <v>41821</v>
      </c>
      <c r="B20" s="16">
        <f>VLOOKUP(A20,PAIM_B!E:G,3,0)</f>
        <v>0.78111126912499551</v>
      </c>
      <c r="C20">
        <f>VLOOKUP(A20,PAIM_Z!E:G,3,0)</f>
        <v>4.9655093084561952E-2</v>
      </c>
    </row>
    <row r="21" spans="1:3" x14ac:dyDescent="0.25">
      <c r="A21" s="9">
        <v>41852</v>
      </c>
      <c r="B21" s="16">
        <f>VLOOKUP(A21,PAIM_B!E:G,3,0)</f>
        <v>0.79326003436029291</v>
      </c>
      <c r="C21">
        <f>VLOOKUP(A21,PAIM_Z!E:G,3,0)</f>
        <v>4.9438417968681536E-2</v>
      </c>
    </row>
    <row r="22" spans="1:3" x14ac:dyDescent="0.25">
      <c r="A22" s="9">
        <v>41883</v>
      </c>
      <c r="B22" s="16">
        <f>VLOOKUP(A22,PAIM_B!E:G,3,0)</f>
        <v>0.7990948389315542</v>
      </c>
      <c r="C22">
        <f>VLOOKUP(A22,PAIM_Z!E:G,3,0)</f>
        <v>4.9034243561898228E-2</v>
      </c>
    </row>
    <row r="23" spans="1:3" x14ac:dyDescent="0.25">
      <c r="A23" s="9">
        <v>41913</v>
      </c>
      <c r="B23" s="16">
        <f>VLOOKUP(A23,PAIM_B!E:G,3,0)</f>
        <v>0.7930975440483079</v>
      </c>
      <c r="C23">
        <f>VLOOKUP(A23,PAIM_Z!E:G,3,0)</f>
        <v>4.9166202243614565E-2</v>
      </c>
    </row>
    <row r="24" spans="1:3" x14ac:dyDescent="0.25">
      <c r="A24" s="9">
        <v>41944</v>
      </c>
      <c r="B24" s="16">
        <f>VLOOKUP(A24,PAIM_B!E:G,3,0)</f>
        <v>0.79633510844065258</v>
      </c>
      <c r="C24">
        <f>VLOOKUP(A24,PAIM_Z!E:G,3,0)</f>
        <v>4.8924626950333283E-2</v>
      </c>
    </row>
    <row r="25" spans="1:3" x14ac:dyDescent="0.25">
      <c r="A25" s="9">
        <v>41974</v>
      </c>
      <c r="B25" s="16">
        <f>VLOOKUP(A25,PAIM_B!E:G,3,0)</f>
        <v>0.78298226549925443</v>
      </c>
      <c r="C25">
        <f>VLOOKUP(A25,PAIM_Z!E:G,3,0)</f>
        <v>4.8603030164234173E-2</v>
      </c>
    </row>
    <row r="26" spans="1:3" x14ac:dyDescent="0.25">
      <c r="A26" s="9">
        <v>42005</v>
      </c>
      <c r="B26" s="16">
        <f>VLOOKUP(A26,PAIM_B!E:G,3,0)</f>
        <v>0.81477088266254238</v>
      </c>
      <c r="C26">
        <f>VLOOKUP(A26,PAIM_Z!E:G,3,0)</f>
        <v>4.8160008510993335E-2</v>
      </c>
    </row>
    <row r="27" spans="1:3" x14ac:dyDescent="0.25">
      <c r="A27" s="9">
        <v>42036</v>
      </c>
      <c r="B27" s="16">
        <f>VLOOKUP(A27,PAIM_B!E:G,3,0)</f>
        <v>0.82553196673927909</v>
      </c>
      <c r="C27">
        <f>VLOOKUP(A27,PAIM_Z!E:G,3,0)</f>
        <v>4.7712287233765749E-2</v>
      </c>
    </row>
    <row r="28" spans="1:3" x14ac:dyDescent="0.25">
      <c r="A28" s="9">
        <v>42064</v>
      </c>
      <c r="B28" s="16">
        <f>VLOOKUP(A28,PAIM_B!E:G,3,0)</f>
        <v>0.79560243849795897</v>
      </c>
      <c r="C28">
        <f>VLOOKUP(A28,PAIM_Z!E:G,3,0)</f>
        <v>4.7655277960676035E-2</v>
      </c>
    </row>
    <row r="29" spans="1:3" x14ac:dyDescent="0.25">
      <c r="A29" s="9">
        <v>42095</v>
      </c>
      <c r="B29" s="16">
        <f>VLOOKUP(A29,PAIM_B!E:G,3,0)</f>
        <v>0.80710945522185862</v>
      </c>
      <c r="C29">
        <f>VLOOKUP(A29,PAIM_Z!E:G,3,0)</f>
        <v>4.7568214774592943E-2</v>
      </c>
    </row>
    <row r="30" spans="1:3" x14ac:dyDescent="0.25">
      <c r="A30" s="9">
        <v>42125</v>
      </c>
      <c r="B30" s="16">
        <f>VLOOKUP(A30,PAIM_B!E:G,3,0)</f>
        <v>0.80282848126151385</v>
      </c>
      <c r="C30">
        <f>VLOOKUP(A30,PAIM_Z!E:G,3,0)</f>
        <v>4.6995608101495834E-2</v>
      </c>
    </row>
    <row r="31" spans="1:3" x14ac:dyDescent="0.25">
      <c r="A31" s="9">
        <v>42156</v>
      </c>
      <c r="B31" s="16">
        <f>VLOOKUP(A31,PAIM_B!E:G,3,0)</f>
        <v>0.80175248497166995</v>
      </c>
      <c r="C31">
        <f>VLOOKUP(A31,PAIM_Z!E:G,3,0)</f>
        <v>4.666072523000786E-2</v>
      </c>
    </row>
    <row r="32" spans="1:3" x14ac:dyDescent="0.25">
      <c r="A32" s="9">
        <v>42186</v>
      </c>
      <c r="B32" s="16">
        <f>VLOOKUP(A32,PAIM_B!E:G,3,0)</f>
        <v>0.7958190647809168</v>
      </c>
      <c r="C32">
        <f>VLOOKUP(A32,PAIM_Z!E:G,3,0)</f>
        <v>4.6469760874984112E-2</v>
      </c>
    </row>
    <row r="33" spans="1:3" x14ac:dyDescent="0.25">
      <c r="A33" s="9">
        <v>42217</v>
      </c>
      <c r="B33" s="16">
        <f>VLOOKUP(A33,PAIM_B!E:G,3,0)</f>
        <v>0.80340912404343734</v>
      </c>
      <c r="C33">
        <f>VLOOKUP(A33,PAIM_Z!E:G,3,0)</f>
        <v>4.6372481987188907E-2</v>
      </c>
    </row>
    <row r="34" spans="1:3" x14ac:dyDescent="0.25">
      <c r="A34" s="9">
        <v>42248</v>
      </c>
      <c r="B34" s="16">
        <f>VLOOKUP(A34,PAIM_B!E:G,3,0)</f>
        <v>0.80410761916353868</v>
      </c>
      <c r="C34">
        <f>VLOOKUP(A34,PAIM_Z!E:G,3,0)</f>
        <v>4.6211941108044385E-2</v>
      </c>
    </row>
    <row r="35" spans="1:3" x14ac:dyDescent="0.25">
      <c r="A35" s="9">
        <v>42278</v>
      </c>
      <c r="B35" s="16">
        <f>VLOOKUP(A35,PAIM_B!E:G,3,0)</f>
        <v>0.80476803994528401</v>
      </c>
      <c r="C35">
        <f>VLOOKUP(A35,PAIM_Z!E:G,3,0)</f>
        <v>4.6203177787171201E-2</v>
      </c>
    </row>
    <row r="36" spans="1:3" x14ac:dyDescent="0.25">
      <c r="A36" s="9">
        <v>42309</v>
      </c>
      <c r="B36" s="16">
        <f>VLOOKUP(A36,PAIM_B!E:G,3,0)</f>
        <v>0.81183687031896101</v>
      </c>
      <c r="C36">
        <f>VLOOKUP(A36,PAIM_Z!E:G,3,0)</f>
        <v>4.6104218163979804E-2</v>
      </c>
    </row>
    <row r="37" spans="1:3" x14ac:dyDescent="0.25">
      <c r="A37" s="9">
        <v>42339</v>
      </c>
      <c r="B37" s="16">
        <f>VLOOKUP(A37,PAIM_B!E:G,3,0)</f>
        <v>0.78667828130214501</v>
      </c>
      <c r="C37">
        <f>VLOOKUP(A37,PAIM_Z!E:G,3,0)</f>
        <v>4.6105462148334886E-2</v>
      </c>
    </row>
    <row r="38" spans="1:3" x14ac:dyDescent="0.25">
      <c r="A38" s="9">
        <v>42370</v>
      </c>
      <c r="B38" s="16">
        <f>VLOOKUP(A38,PAIM_B!E:G,3,0)</f>
        <v>0.81695217915726359</v>
      </c>
      <c r="C38">
        <f>VLOOKUP(A38,PAIM_Z!E:G,3,0)</f>
        <v>4.5946464697767087E-2</v>
      </c>
    </row>
    <row r="39" spans="1:3" x14ac:dyDescent="0.25">
      <c r="A39" s="9">
        <v>42401</v>
      </c>
      <c r="B39" s="16">
        <f>VLOOKUP(A39,PAIM_B!E:G,3,0)</f>
        <v>0.82289714552986215</v>
      </c>
      <c r="C39">
        <f>VLOOKUP(A39,PAIM_Z!E:G,3,0)</f>
        <v>4.5870040767655218E-2</v>
      </c>
    </row>
    <row r="40" spans="1:3" x14ac:dyDescent="0.25">
      <c r="A40" s="9">
        <v>42430</v>
      </c>
      <c r="B40" s="16">
        <f>VLOOKUP(A40,PAIM_B!E:G,3,0)</f>
        <v>0.80491822592261442</v>
      </c>
      <c r="C40">
        <f>VLOOKUP(A40,PAIM_Z!E:G,3,0)</f>
        <v>4.6010036454583014E-2</v>
      </c>
    </row>
    <row r="41" spans="1:3" x14ac:dyDescent="0.25">
      <c r="A41" s="9">
        <v>42461</v>
      </c>
      <c r="B41" s="16">
        <f>VLOOKUP(A41,PAIM_B!E:G,3,0)</f>
        <v>0.81109431643235541</v>
      </c>
      <c r="C41">
        <f>VLOOKUP(A41,PAIM_Z!E:G,3,0)</f>
        <v>4.559223141130464E-2</v>
      </c>
    </row>
    <row r="42" spans="1:3" x14ac:dyDescent="0.25">
      <c r="A42" s="9">
        <v>42491</v>
      </c>
      <c r="B42" s="16">
        <f>VLOOKUP(A42,PAIM_B!E:G,3,0)</f>
        <v>0.81192771685177179</v>
      </c>
      <c r="C42">
        <f>VLOOKUP(A42,PAIM_Z!E:G,3,0)</f>
        <v>4.5813311860972039E-2</v>
      </c>
    </row>
    <row r="43" spans="1:3" x14ac:dyDescent="0.25">
      <c r="A43" s="9">
        <v>42522</v>
      </c>
      <c r="B43" s="16">
        <f>VLOOKUP(A43,PAIM_B!E:G,3,0)</f>
        <v>0.80809505268712933</v>
      </c>
      <c r="C43">
        <f>VLOOKUP(A43,PAIM_Z!E:G,3,0)</f>
        <v>4.5794986464461673E-2</v>
      </c>
    </row>
    <row r="44" spans="1:3" x14ac:dyDescent="0.25">
      <c r="A44" s="9">
        <v>42552</v>
      </c>
      <c r="B44" s="16">
        <f>VLOOKUP(A44,PAIM_B!E:G,3,0)</f>
        <v>0.80385623750733348</v>
      </c>
      <c r="C44">
        <f>VLOOKUP(A44,PAIM_Z!E:G,3,0)</f>
        <v>4.5807624103343603E-2</v>
      </c>
    </row>
    <row r="45" spans="1:3" x14ac:dyDescent="0.25">
      <c r="A45" s="9">
        <v>42583</v>
      </c>
      <c r="B45" s="16">
        <f>VLOOKUP(A45,PAIM_B!E:G,3,0)</f>
        <v>0.81046684796606527</v>
      </c>
      <c r="C45">
        <f>VLOOKUP(A45,PAIM_Z!E:G,3,0)</f>
        <v>4.5791389824115347E-2</v>
      </c>
    </row>
    <row r="46" spans="1:3" x14ac:dyDescent="0.25">
      <c r="A46" s="9">
        <v>42614</v>
      </c>
      <c r="B46" s="16">
        <f>VLOOKUP(A46,PAIM_B!E:G,3,0)</f>
        <v>0.81211229615325831</v>
      </c>
      <c r="C46">
        <f>VLOOKUP(A46,PAIM_Z!E:G,3,0)</f>
        <v>4.5736011441944391E-2</v>
      </c>
    </row>
    <row r="47" spans="1:3" x14ac:dyDescent="0.25">
      <c r="A47" s="9">
        <v>42644</v>
      </c>
      <c r="B47" s="16">
        <f>VLOOKUP(A47,PAIM_B!E:G,3,0)</f>
        <v>0.8109956168702398</v>
      </c>
      <c r="C47">
        <f>VLOOKUP(A47,PAIM_Z!E:G,3,0)</f>
        <v>4.5070630923974897E-2</v>
      </c>
    </row>
    <row r="48" spans="1:3" x14ac:dyDescent="0.25">
      <c r="A48" s="9">
        <v>42675</v>
      </c>
      <c r="B48" s="16">
        <f>VLOOKUP(A48,PAIM_B!E:G,3,0)</f>
        <v>0.80392777673892901</v>
      </c>
      <c r="C48">
        <f>VLOOKUP(A48,PAIM_Z!E:G,3,0)</f>
        <v>4.5629123966827279E-2</v>
      </c>
    </row>
    <row r="49" spans="1:3" x14ac:dyDescent="0.25">
      <c r="A49" s="9">
        <v>42705</v>
      </c>
      <c r="B49" s="16">
        <f>VLOOKUP(A49,PAIM_B!E:G,3,0)</f>
        <v>0.78968433915323188</v>
      </c>
      <c r="C49">
        <f>VLOOKUP(A49,PAIM_Z!E:G,3,0)</f>
        <v>4.5724370303333428E-2</v>
      </c>
    </row>
    <row r="50" spans="1:3" x14ac:dyDescent="0.25">
      <c r="A50" s="9">
        <v>42736</v>
      </c>
      <c r="B50" s="16">
        <f>VLOOKUP(A50,PAIM_B!E:G,3,0)</f>
        <v>0.81883743631296035</v>
      </c>
      <c r="C50">
        <f>VLOOKUP(A50,PAIM_Z!E:G,3,0)</f>
        <v>4.5482785150971816E-2</v>
      </c>
    </row>
    <row r="51" spans="1:3" x14ac:dyDescent="0.25">
      <c r="A51" s="9">
        <v>42767</v>
      </c>
      <c r="B51" s="16">
        <f>VLOOKUP(A51,PAIM_B!E:G,3,0)</f>
        <v>0.82546603111330086</v>
      </c>
      <c r="C51">
        <f>VLOOKUP(A51,PAIM_Z!E:G,3,0)</f>
        <v>4.5536981900543116E-2</v>
      </c>
    </row>
    <row r="52" spans="1:3" x14ac:dyDescent="0.25">
      <c r="A52" s="9">
        <v>42795</v>
      </c>
      <c r="B52" s="16">
        <f>VLOOKUP(A52,PAIM_B!E:G,3,0)</f>
        <v>0.80551719394909982</v>
      </c>
      <c r="C52">
        <f>VLOOKUP(A52,PAIM_Z!E:G,3,0)</f>
        <v>4.5505018049371904E-2</v>
      </c>
    </row>
    <row r="53" spans="1:3" x14ac:dyDescent="0.25">
      <c r="A53" s="9">
        <v>42826</v>
      </c>
      <c r="B53" s="16">
        <f>VLOOKUP(A53,PAIM_B!E:G,3,0)</f>
        <v>0.81368114148125492</v>
      </c>
      <c r="C53">
        <f>VLOOKUP(A53,PAIM_Z!E:G,3,0)</f>
        <v>4.5538238195248826E-2</v>
      </c>
    </row>
    <row r="54" spans="1:3" x14ac:dyDescent="0.25">
      <c r="A54" s="9">
        <v>42856</v>
      </c>
      <c r="B54" s="16">
        <f>VLOOKUP(A54,PAIM_B!E:G,3,0)</f>
        <v>0.79900665990671704</v>
      </c>
      <c r="C54">
        <f>VLOOKUP(A54,PAIM_Z!E:G,3,0)</f>
        <v>4.5513081810081846E-2</v>
      </c>
    </row>
    <row r="55" spans="1:3" x14ac:dyDescent="0.25">
      <c r="A55" s="9">
        <v>42887</v>
      </c>
      <c r="B55" s="16">
        <f>VLOOKUP(A55,PAIM_B!E:G,3,0)</f>
        <v>0.79762968344594731</v>
      </c>
      <c r="C55">
        <f>VLOOKUP(A55,PAIM_Z!E:G,3,0)</f>
        <v>4.5526383740902565E-2</v>
      </c>
    </row>
    <row r="56" spans="1:3" x14ac:dyDescent="0.25">
      <c r="A56" s="9">
        <v>42917</v>
      </c>
      <c r="B56" s="16">
        <f>VLOOKUP(A56,PAIM_B!E:G,3,0)</f>
        <v>0.7977117172340138</v>
      </c>
      <c r="C56">
        <f>VLOOKUP(A56,PAIM_Z!E:G,3,0)</f>
        <v>4.5547069401220885E-2</v>
      </c>
    </row>
    <row r="57" spans="1:3" x14ac:dyDescent="0.25">
      <c r="A57" s="9">
        <v>42948</v>
      </c>
      <c r="B57" s="16">
        <f>VLOOKUP(A57,PAIM_B!E:G,3,0)</f>
        <v>0.79610702672172473</v>
      </c>
      <c r="C57">
        <f>VLOOKUP(A57,PAIM_Z!E:G,3,0)</f>
        <v>4.5467611159540455E-2</v>
      </c>
    </row>
    <row r="58" spans="1:3" x14ac:dyDescent="0.25">
      <c r="A58" s="9">
        <v>42979</v>
      </c>
      <c r="B58" s="16">
        <f>VLOOKUP(A58,PAIM_B!E:G,3,0)</f>
        <v>0.79800596367219723</v>
      </c>
      <c r="C58">
        <f>VLOOKUP(A58,PAIM_Z!E:G,3,0)</f>
        <v>4.537607907008856E-2</v>
      </c>
    </row>
    <row r="59" spans="1:3" x14ac:dyDescent="0.25">
      <c r="A59" s="9">
        <v>43009</v>
      </c>
      <c r="B59" s="16">
        <f>VLOOKUP(A59,PAIM_B!E:G,3,0)</f>
        <v>0.81111785526548907</v>
      </c>
      <c r="C59">
        <f>VLOOKUP(A59,PAIM_Z!E:G,3,0)</f>
        <v>4.5348170390448139E-2</v>
      </c>
    </row>
    <row r="60" spans="1:3" x14ac:dyDescent="0.25">
      <c r="A60" s="9">
        <v>43040</v>
      </c>
      <c r="B60" s="16">
        <f>VLOOKUP(A60,PAIM_B!E:G,3,0)</f>
        <v>0.80287446599337065</v>
      </c>
      <c r="C60">
        <f>VLOOKUP(A60,PAIM_Z!E:G,3,0)</f>
        <v>4.5391234990188822E-2</v>
      </c>
    </row>
    <row r="61" spans="1:3" x14ac:dyDescent="0.25">
      <c r="A61" s="9">
        <v>43070</v>
      </c>
      <c r="B61" s="16">
        <f>VLOOKUP(A61,PAIM_B!E:G,3,0)</f>
        <v>0.79055635912326538</v>
      </c>
      <c r="C61">
        <f>VLOOKUP(A61,PAIM_Z!E:G,3,0)</f>
        <v>4.5368803329482343E-2</v>
      </c>
    </row>
    <row r="62" spans="1:3" x14ac:dyDescent="0.25">
      <c r="A62" s="9">
        <v>43101</v>
      </c>
      <c r="B62" s="16">
        <f>VLOOKUP(A62,PAIM_B!E:G,3,0)</f>
        <v>0.81863424154489317</v>
      </c>
      <c r="C62">
        <f>VLOOKUP(A62,PAIM_Z!E:G,3,0)</f>
        <v>4.533875601387749E-2</v>
      </c>
    </row>
    <row r="63" spans="1:3" x14ac:dyDescent="0.25">
      <c r="A63" s="9">
        <v>43132</v>
      </c>
      <c r="B63" s="16">
        <f>VLOOKUP(A63,PAIM_B!E:G,3,0)</f>
        <v>0.82236241814531497</v>
      </c>
      <c r="C63">
        <f>VLOOKUP(A63,PAIM_Z!E:G,3,0)</f>
        <v>4.5440128385819567E-2</v>
      </c>
    </row>
    <row r="64" spans="1:3" x14ac:dyDescent="0.25">
      <c r="A64" s="9">
        <v>43160</v>
      </c>
      <c r="B64" s="16">
        <f>VLOOKUP(A64,PAIM_B!E:G,3,0)</f>
        <v>0.79361525013939849</v>
      </c>
      <c r="C64">
        <f>VLOOKUP(A64,PAIM_Z!E:G,3,0)</f>
        <v>4.5500906989340728E-2</v>
      </c>
    </row>
    <row r="65" spans="1:3" x14ac:dyDescent="0.25">
      <c r="A65" s="9">
        <v>43191</v>
      </c>
      <c r="B65" s="16">
        <f>VLOOKUP(A65,PAIM_B!E:G,3,0)</f>
        <v>0.81040070499555916</v>
      </c>
      <c r="C65">
        <f>VLOOKUP(A65,PAIM_Z!E:G,3,0)</f>
        <v>4.5486339269296461E-2</v>
      </c>
    </row>
    <row r="66" spans="1:3" x14ac:dyDescent="0.25">
      <c r="A66" s="9">
        <v>43221</v>
      </c>
      <c r="B66" s="16">
        <f>VLOOKUP(A66,PAIM_B!E:G,3,0)</f>
        <v>0.79677039895595525</v>
      </c>
      <c r="C66">
        <f>VLOOKUP(A66,PAIM_Z!E:G,3,0)</f>
        <v>4.5488683351129544E-2</v>
      </c>
    </row>
    <row r="67" spans="1:3" x14ac:dyDescent="0.25">
      <c r="A67" s="9">
        <v>43252</v>
      </c>
      <c r="B67" s="16">
        <f>VLOOKUP(A67,PAIM_B!E:G,3,0)</f>
        <v>0.80519486612543512</v>
      </c>
      <c r="C67">
        <f>VLOOKUP(A67,PAIM_Z!E:G,3,0)</f>
        <v>4.5478401207591612E-2</v>
      </c>
    </row>
    <row r="68" spans="1:3" x14ac:dyDescent="0.25">
      <c r="A68" s="9">
        <v>43282</v>
      </c>
      <c r="B68" s="16">
        <f>VLOOKUP(A68,PAIM_B!E:G,3,0)</f>
        <v>0.79511240431965247</v>
      </c>
      <c r="C68">
        <f>VLOOKUP(A68,PAIM_Z!E:G,3,0)</f>
        <v>4.5223548657813306E-2</v>
      </c>
    </row>
    <row r="69" spans="1:3" x14ac:dyDescent="0.25">
      <c r="A69" s="9">
        <v>43313</v>
      </c>
      <c r="B69" s="16">
        <f>VLOOKUP(A69,PAIM_B!E:G,3,0)</f>
        <v>0.79704035101657955</v>
      </c>
      <c r="C69">
        <f>VLOOKUP(A69,PAIM_Z!E:G,3,0)</f>
        <v>4.5160845962331053E-2</v>
      </c>
    </row>
    <row r="70" spans="1:3" x14ac:dyDescent="0.25">
      <c r="A70" s="9">
        <v>43344</v>
      </c>
      <c r="B70" s="16">
        <f>VLOOKUP(A70,PAIM_B!E:G,3,0)</f>
        <v>0.80199404070569913</v>
      </c>
      <c r="C70">
        <f>VLOOKUP(A70,PAIM_Z!E:G,3,0)</f>
        <v>4.5401177888980571E-2</v>
      </c>
    </row>
    <row r="71" spans="1:3" x14ac:dyDescent="0.25">
      <c r="A71" s="9">
        <v>43374</v>
      </c>
      <c r="B71" s="16">
        <f>VLOOKUP(A71,PAIM_B!E:G,3,0)</f>
        <v>0.80333063122678783</v>
      </c>
      <c r="C71">
        <f>VLOOKUP(A71,PAIM_Z!E:G,3,0)</f>
        <v>4.5203185044804139E-2</v>
      </c>
    </row>
    <row r="72" spans="1:3" x14ac:dyDescent="0.25">
      <c r="A72" s="9">
        <v>43405</v>
      </c>
      <c r="B72" s="16">
        <f>VLOOKUP(A72,PAIM_B!E:G,3,0)</f>
        <v>0.80539480458038182</v>
      </c>
      <c r="C72">
        <f>VLOOKUP(A72,PAIM_Z!E:G,3,0)</f>
        <v>4.5167408008788712E-2</v>
      </c>
    </row>
    <row r="73" spans="1:3" x14ac:dyDescent="0.25">
      <c r="A73" s="9">
        <v>43435</v>
      </c>
      <c r="B73" s="16">
        <f>VLOOKUP(A73,PAIM_B!E:G,3,0)</f>
        <v>0.78844683092322476</v>
      </c>
      <c r="C73">
        <f>VLOOKUP(A73,PAIM_Z!E:G,3,0)</f>
        <v>4.5139591581769278E-2</v>
      </c>
    </row>
    <row r="74" spans="1:3" x14ac:dyDescent="0.25">
      <c r="A74" s="9">
        <v>43466</v>
      </c>
      <c r="B74" s="16">
        <f>VLOOKUP(A74,PAIM_B!E:G,3,0)</f>
        <v>0.81431618467133071</v>
      </c>
      <c r="C74">
        <f>VLOOKUP(A74,PAIM_Z!E:G,3,0)</f>
        <v>4.4997944056474171E-2</v>
      </c>
    </row>
    <row r="75" spans="1:3" x14ac:dyDescent="0.25">
      <c r="A75" s="9">
        <v>43497</v>
      </c>
      <c r="B75" s="16">
        <f>VLOOKUP(A75,PAIM_B!E:G,3,0)</f>
        <v>0.81841140890579045</v>
      </c>
      <c r="C75">
        <f>VLOOKUP(A75,PAIM_Z!E:G,3,0)</f>
        <v>4.5226166091009601E-2</v>
      </c>
    </row>
    <row r="76" spans="1:3" x14ac:dyDescent="0.25">
      <c r="A76" s="9">
        <v>43525</v>
      </c>
      <c r="B76" s="16">
        <f>VLOOKUP(A76,PAIM_B!E:G,3,0)</f>
        <v>0.79586686180651989</v>
      </c>
      <c r="C76">
        <f>VLOOKUP(A76,PAIM_Z!E:G,3,0)</f>
        <v>4.5152219989308851E-2</v>
      </c>
    </row>
    <row r="77" spans="1:3" x14ac:dyDescent="0.25">
      <c r="A77" s="9">
        <v>43556</v>
      </c>
      <c r="B77" s="16">
        <f>VLOOKUP(A77,PAIM_B!E:G,3,0)</f>
        <v>0.80836463748594112</v>
      </c>
      <c r="C77">
        <f>VLOOKUP(A77,PAIM_Z!E:G,3,0)</f>
        <v>4.5093413828964812E-2</v>
      </c>
    </row>
    <row r="78" spans="1:3" x14ac:dyDescent="0.25">
      <c r="A78" s="9">
        <v>43586</v>
      </c>
      <c r="B78" s="16">
        <f>VLOOKUP(A78,PAIM_B!E:G,3,0)</f>
        <v>0.79645313436919685</v>
      </c>
      <c r="C78">
        <f>VLOOKUP(A78,PAIM_Z!E:G,3,0)</f>
        <v>4.5114009199456739E-2</v>
      </c>
    </row>
    <row r="79" spans="1:3" x14ac:dyDescent="0.25">
      <c r="A79" s="9">
        <v>43617</v>
      </c>
      <c r="B79" s="16">
        <f>VLOOKUP(A79,PAIM_B!E:G,3,0)</f>
        <v>0.80790056879241889</v>
      </c>
      <c r="C79">
        <f>VLOOKUP(A79,PAIM_Z!E:G,3,0)</f>
        <v>4.5183570632402081E-2</v>
      </c>
    </row>
    <row r="80" spans="1:3" x14ac:dyDescent="0.25">
      <c r="A80" s="9">
        <v>43647</v>
      </c>
      <c r="B80" s="16">
        <f>VLOOKUP(A80,PAIM_B!E:G,3,0)</f>
        <v>0.79683880679037777</v>
      </c>
      <c r="C80">
        <f>VLOOKUP(A80,PAIM_Z!E:G,3,0)</f>
        <v>4.5063763961054604E-2</v>
      </c>
    </row>
    <row r="81" spans="1:3" x14ac:dyDescent="0.25">
      <c r="A81" s="9">
        <v>43678</v>
      </c>
      <c r="B81" s="16">
        <f>VLOOKUP(A81,PAIM_B!E:G,3,0)</f>
        <v>0.80583900474436387</v>
      </c>
      <c r="C81">
        <f>VLOOKUP(A81,PAIM_Z!E:G,3,0)</f>
        <v>4.4928594160287272E-2</v>
      </c>
    </row>
    <row r="82" spans="1:3" x14ac:dyDescent="0.25">
      <c r="A82" s="9">
        <v>43709</v>
      </c>
      <c r="B82" s="16">
        <f>VLOOKUP(A82,PAIM_B!E:G,3,0)</f>
        <v>0.80577278213629622</v>
      </c>
      <c r="C82">
        <f>VLOOKUP(A82,PAIM_Z!E:G,3,0)</f>
        <v>4.5123544264903948E-2</v>
      </c>
    </row>
    <row r="83" spans="1:3" x14ac:dyDescent="0.25">
      <c r="A83" s="9">
        <v>43739</v>
      </c>
      <c r="B83" s="16">
        <f>VLOOKUP(A83,PAIM_B!E:G,3,0)</f>
        <v>0.79568501690124094</v>
      </c>
      <c r="C83">
        <f>VLOOKUP(A83,PAIM_Z!E:G,3,0)</f>
        <v>4.5025152744369468E-2</v>
      </c>
    </row>
    <row r="84" spans="1:3" x14ac:dyDescent="0.25">
      <c r="A84" s="9">
        <v>43770</v>
      </c>
      <c r="B84" s="16">
        <f>VLOOKUP(A84,PAIM_B!E:G,3,0)</f>
        <v>0.79969109069657351</v>
      </c>
      <c r="C84">
        <f>VLOOKUP(A84,PAIM_Z!E:G,3,0)</f>
        <v>4.4909572733554115E-2</v>
      </c>
    </row>
    <row r="85" spans="1:3" x14ac:dyDescent="0.25">
      <c r="A85" s="9">
        <v>43800</v>
      </c>
      <c r="B85" s="16">
        <f>VLOOKUP(A85,PAIM_B!E:G,3,0)</f>
        <v>0.7958195146611613</v>
      </c>
      <c r="C85">
        <f>VLOOKUP(A85,PAIM_Z!E:G,3,0)</f>
        <v>4.4650152089572792E-2</v>
      </c>
    </row>
    <row r="86" spans="1:3" x14ac:dyDescent="0.25">
      <c r="A86" s="9">
        <v>43831</v>
      </c>
      <c r="B86" s="16">
        <f>VLOOKUP(A86,PAIM_B!E:G,3,0)</f>
        <v>0.81083326486733265</v>
      </c>
      <c r="C86">
        <f>VLOOKUP(A86,PAIM_Z!E:G,3,0)</f>
        <v>4.4433531767042012E-2</v>
      </c>
    </row>
    <row r="87" spans="1:3" x14ac:dyDescent="0.25">
      <c r="A87" s="9">
        <v>43862</v>
      </c>
      <c r="B87" s="16">
        <f>VLOOKUP(A87,PAIM_B!E:G,3,0)</f>
        <v>0.81554033488034583</v>
      </c>
      <c r="C87">
        <f>VLOOKUP(A87,PAIM_Z!E:G,3,0)</f>
        <v>4.4316526712883553E-2</v>
      </c>
    </row>
    <row r="88" spans="1:3" x14ac:dyDescent="0.25">
      <c r="A88" s="9">
        <v>43891</v>
      </c>
      <c r="B88" s="16">
        <f>VLOOKUP(A88,PAIM_B!E:G,3,0)</f>
        <v>0.80901733707155621</v>
      </c>
      <c r="C88">
        <f>VLOOKUP(A88,PAIM_Z!E:G,3,0)</f>
        <v>4.4327003717620883E-2</v>
      </c>
    </row>
    <row r="89" spans="1:3" x14ac:dyDescent="0.25">
      <c r="A89" s="9">
        <v>43922</v>
      </c>
      <c r="B89" s="16">
        <f>VLOOKUP(A89,PAIM_B!E:G,3,0)</f>
        <v>0.812414523303567</v>
      </c>
      <c r="C89">
        <f>VLOOKUP(A89,PAIM_Z!E:G,3,0)</f>
        <v>4.3929293147271675E-2</v>
      </c>
    </row>
    <row r="90" spans="1:3" x14ac:dyDescent="0.25">
      <c r="A90" s="9">
        <v>43952</v>
      </c>
      <c r="B90" s="16">
        <f>VLOOKUP(A90,PAIM_B!E:G,3,0)</f>
        <v>0.7900812574961138</v>
      </c>
      <c r="C90">
        <f>VLOOKUP(A90,PAIM_Z!E:G,3,0)</f>
        <v>4.3849002057352093E-2</v>
      </c>
    </row>
    <row r="91" spans="1:3" x14ac:dyDescent="0.25">
      <c r="A91" s="9">
        <v>43983</v>
      </c>
      <c r="B91" s="16">
        <f>VLOOKUP(A91,PAIM_B!E:G,3,0)</f>
        <v>0.79183803196431435</v>
      </c>
      <c r="C91">
        <f>VLOOKUP(A91,PAIM_Z!E:G,3,0)</f>
        <v>4.3879514785061136E-2</v>
      </c>
    </row>
    <row r="92" spans="1:3" x14ac:dyDescent="0.25">
      <c r="A92" s="9">
        <v>44013</v>
      </c>
      <c r="B92" s="16">
        <f>VLOOKUP(A92,PAIM_B!E:G,3,0)</f>
        <v>0.78382854520342549</v>
      </c>
      <c r="C92">
        <f>VLOOKUP(A92,PAIM_Z!E:G,3,0)</f>
        <v>4.3542879696212511E-2</v>
      </c>
    </row>
    <row r="93" spans="1:3" x14ac:dyDescent="0.25">
      <c r="A93" s="9">
        <v>44044</v>
      </c>
      <c r="B93" s="16">
        <f>VLOOKUP(A93,PAIM_B!E:G,3,0)</f>
        <v>0.78697755911042588</v>
      </c>
      <c r="C93">
        <f>VLOOKUP(A93,PAIM_Z!E:G,3,0)</f>
        <v>4.0563415413347625E-2</v>
      </c>
    </row>
    <row r="94" spans="1:3" x14ac:dyDescent="0.25">
      <c r="A94" s="9">
        <v>44075</v>
      </c>
      <c r="B94" s="16">
        <f>VLOOKUP(A94,PAIM_B!E:G,3,0)</f>
        <v>0.79189579186446546</v>
      </c>
      <c r="C94">
        <f>VLOOKUP(A94,PAIM_Z!E:G,3,0)</f>
        <v>4.0411555866868287E-2</v>
      </c>
    </row>
    <row r="95" spans="1:3" x14ac:dyDescent="0.25">
      <c r="A95" s="9">
        <v>44105</v>
      </c>
      <c r="B95" s="16">
        <f>VLOOKUP(A95,PAIM_B!E:G,3,0)</f>
        <v>0.79404477513655358</v>
      </c>
      <c r="C95">
        <f>VLOOKUP(A95,PAIM_Z!E:G,3,0)</f>
        <v>4.0295936003934885E-2</v>
      </c>
    </row>
    <row r="96" spans="1:3" x14ac:dyDescent="0.25">
      <c r="A96" s="9">
        <v>44136</v>
      </c>
      <c r="B96" s="16">
        <f>VLOOKUP(A96,PAIM_B!E:G,3,0)</f>
        <v>0.79973219758372571</v>
      </c>
      <c r="C96">
        <f>VLOOKUP(A96,PAIM_Z!E:G,3,0)</f>
        <v>4.0010706070952473E-2</v>
      </c>
    </row>
    <row r="97" spans="1:3" x14ac:dyDescent="0.25">
      <c r="A97" s="9">
        <v>44166</v>
      </c>
      <c r="B97" s="16">
        <f>VLOOKUP(A97,PAIM_B!E:G,3,0)</f>
        <v>0.76887876006184275</v>
      </c>
      <c r="C97">
        <f>VLOOKUP(A97,PAIM_Z!E:G,3,0)</f>
        <v>3.997208512253636E-2</v>
      </c>
    </row>
    <row r="98" spans="1:3" x14ac:dyDescent="0.25">
      <c r="A98" s="9">
        <v>44197</v>
      </c>
      <c r="B98" s="16">
        <f>VLOOKUP(A98,PAIM_B!E:G,3,0)</f>
        <v>0.80611111149162029</v>
      </c>
      <c r="C98">
        <f>VLOOKUP(A98,PAIM_Z!E:G,3,0)</f>
        <v>3.9695028452456982E-2</v>
      </c>
    </row>
    <row r="99" spans="1:3" x14ac:dyDescent="0.25">
      <c r="A99" s="9">
        <v>44228</v>
      </c>
      <c r="B99" s="16">
        <f>VLOOKUP(A99,PAIM_B!E:G,3,0)</f>
        <v>0.81327781089814544</v>
      </c>
      <c r="C99">
        <f>VLOOKUP(A99,PAIM_Z!E:G,3,0)</f>
        <v>3.9715034888273992E-2</v>
      </c>
    </row>
    <row r="100" spans="1:3" x14ac:dyDescent="0.25">
      <c r="A100" s="9">
        <v>44256</v>
      </c>
      <c r="B100" s="16">
        <f>VLOOKUP(A100,PAIM_B!E:G,3,0)</f>
        <v>0.78911204562198067</v>
      </c>
      <c r="C100">
        <f>VLOOKUP(A100,PAIM_Z!E:G,3,0)</f>
        <v>3.9727665667805612E-2</v>
      </c>
    </row>
    <row r="101" spans="1:3" x14ac:dyDescent="0.25">
      <c r="A101" s="9">
        <v>44287</v>
      </c>
      <c r="B101" s="16">
        <f>VLOOKUP(A101,PAIM_B!E:G,3,0)</f>
        <v>0.79253641218218196</v>
      </c>
      <c r="C101">
        <f>VLOOKUP(A101,PAIM_Z!E:G,3,0)</f>
        <v>3.9626765737296954E-2</v>
      </c>
    </row>
    <row r="102" spans="1:3" x14ac:dyDescent="0.25">
      <c r="A102" s="9">
        <v>44317</v>
      </c>
      <c r="B102" s="16">
        <f>VLOOKUP(A102,PAIM_B!E:G,3,0)</f>
        <v>0.79486344384119045</v>
      </c>
      <c r="C102">
        <f>VLOOKUP(A102,PAIM_Z!E:G,3,0)</f>
        <v>3.9592959653358295E-2</v>
      </c>
    </row>
    <row r="103" spans="1:3" x14ac:dyDescent="0.25">
      <c r="A103" s="9">
        <v>44348</v>
      </c>
      <c r="B103" s="16">
        <f>VLOOKUP(A103,PAIM_B!E:G,3,0)</f>
        <v>0.79274603211047623</v>
      </c>
      <c r="C103">
        <f>VLOOKUP(A103,PAIM_Z!E:G,3,0)</f>
        <v>3.9501233285801129E-2</v>
      </c>
    </row>
    <row r="104" spans="1:3" x14ac:dyDescent="0.25">
      <c r="A104" s="9">
        <v>44378</v>
      </c>
      <c r="B104" s="16">
        <f>VLOOKUP(A104,PAIM_B!E:G,3,0)</f>
        <v>0.78380968494231407</v>
      </c>
      <c r="C104">
        <f>VLOOKUP(A104,PAIM_Z!E:G,3,0)</f>
        <v>3.9346513916503678E-2</v>
      </c>
    </row>
    <row r="105" spans="1:3" x14ac:dyDescent="0.25">
      <c r="A105" s="9">
        <v>44409</v>
      </c>
      <c r="B105" s="16">
        <f>VLOOKUP(A105,PAIM_B!E:G,3,0)</f>
        <v>0.79802116939244827</v>
      </c>
      <c r="C105">
        <f>VLOOKUP(A105,PAIM_Z!E:G,3,0)</f>
        <v>3.934531636546712E-2</v>
      </c>
    </row>
    <row r="106" spans="1:3" x14ac:dyDescent="0.25">
      <c r="A106" s="9">
        <v>44440</v>
      </c>
      <c r="B106" s="16">
        <f>VLOOKUP(A106,PAIM_B!E:G,3,0)</f>
        <v>0.80052562972062624</v>
      </c>
      <c r="C106">
        <f>VLOOKUP(A106,PAIM_Z!E:G,3,0)</f>
        <v>3.9220639250030831E-2</v>
      </c>
    </row>
    <row r="107" spans="1:3" x14ac:dyDescent="0.25">
      <c r="A107" s="9">
        <v>44470</v>
      </c>
      <c r="B107" s="16">
        <f>VLOOKUP(A107,PAIM_B!E:G,3,0)</f>
        <v>0.79845481196326717</v>
      </c>
      <c r="C107">
        <f>VLOOKUP(A107,PAIM_Z!E:G,3,0)</f>
        <v>3.9174370502005895E-2</v>
      </c>
    </row>
    <row r="108" spans="1:3" x14ac:dyDescent="0.25">
      <c r="A108" s="9">
        <v>44501</v>
      </c>
      <c r="B108" s="16">
        <f>VLOOKUP(A108,PAIM_B!E:G,3,0)</f>
        <v>0.8102873061151199</v>
      </c>
      <c r="C108">
        <f>VLOOKUP(A108,PAIM_Z!E:G,3,0)</f>
        <v>3.9112198483882699E-2</v>
      </c>
    </row>
    <row r="109" spans="1:3" x14ac:dyDescent="0.25">
      <c r="A109" s="9">
        <v>44531</v>
      </c>
      <c r="B109" s="16">
        <f>VLOOKUP(A109,PAIM_B!E:G,3,0)</f>
        <v>0.78717867621170501</v>
      </c>
      <c r="C109">
        <f>VLOOKUP(A109,PAIM_Z!E:G,3,0)</f>
        <v>3.8990960019776422E-2</v>
      </c>
    </row>
    <row r="110" spans="1:3" x14ac:dyDescent="0.25">
      <c r="A110" s="9">
        <v>44562</v>
      </c>
      <c r="B110" s="16">
        <f>VLOOKUP(A110,PAIM_B!E:G,3,0)</f>
        <v>0.81612171007168621</v>
      </c>
      <c r="C110">
        <f>VLOOKUP(A110,PAIM_Z!E:G,3,0)</f>
        <v>3.894030540112392E-2</v>
      </c>
    </row>
    <row r="111" spans="1:3" x14ac:dyDescent="0.25">
      <c r="A111" s="9">
        <v>44593</v>
      </c>
      <c r="B111" s="16">
        <f>VLOOKUP(A111,PAIM_B!E:G,3,0)</f>
        <v>0.81354247062642893</v>
      </c>
      <c r="C111">
        <f>VLOOKUP(A111,PAIM_Z!E:G,3,0)</f>
        <v>3.8962919221476988E-2</v>
      </c>
    </row>
    <row r="112" spans="1:3" x14ac:dyDescent="0.25">
      <c r="A112" s="9">
        <v>44621</v>
      </c>
      <c r="B112" s="16">
        <f>VLOOKUP(A112,PAIM_B!E:G,3,0)</f>
        <v>0.79414584594657345</v>
      </c>
      <c r="C112">
        <f>VLOOKUP(A112,PAIM_Z!E:G,3,0)</f>
        <v>3.9123375627122314E-2</v>
      </c>
    </row>
    <row r="113" spans="1:3" x14ac:dyDescent="0.25">
      <c r="A113" s="9">
        <v>44652</v>
      </c>
      <c r="B113" s="16">
        <f>VLOOKUP(A113,PAIM_B!E:G,3,0)</f>
        <v>0.80464307122127121</v>
      </c>
      <c r="C113">
        <f>VLOOKUP(A113,PAIM_Z!E:G,3,0)</f>
        <v>3.8599205445380425E-2</v>
      </c>
    </row>
    <row r="114" spans="1:3" x14ac:dyDescent="0.25">
      <c r="A114" s="9">
        <v>44682</v>
      </c>
      <c r="B114" s="16">
        <f>VLOOKUP(A114,PAIM_B!E:G,3,0)</f>
        <v>0.79594895339241845</v>
      </c>
      <c r="C114">
        <f>VLOOKUP(A114,PAIM_Z!E:G,3,0)</f>
        <v>3.8989630640470674E-2</v>
      </c>
    </row>
    <row r="115" spans="1:3" x14ac:dyDescent="0.25">
      <c r="A115" s="9">
        <v>44713</v>
      </c>
      <c r="B115" s="16">
        <f>VLOOKUP(A115,PAIM_B!E:G,3,0)</f>
        <v>0.79416672616438466</v>
      </c>
      <c r="C115">
        <f>VLOOKUP(A115,PAIM_Z!E:G,3,0)</f>
        <v>3.8909332867386959E-2</v>
      </c>
    </row>
    <row r="116" spans="1:3" x14ac:dyDescent="0.25">
      <c r="A116" s="9">
        <v>44743</v>
      </c>
      <c r="B116" s="16">
        <f>VLOOKUP(A116,PAIM_B!E:G,3,0)</f>
        <v>0.79537491740449817</v>
      </c>
      <c r="C116">
        <f>VLOOKUP(A116,PAIM_Z!E:G,3,0)</f>
        <v>3.8934412823513065E-2</v>
      </c>
    </row>
    <row r="117" spans="1:3" x14ac:dyDescent="0.25">
      <c r="A117" s="9">
        <v>44774</v>
      </c>
      <c r="B117" s="16">
        <f>VLOOKUP(A117,PAIM_B!E:G,3,0)</f>
        <v>0.79287529510811838</v>
      </c>
      <c r="C117">
        <f>VLOOKUP(A117,PAIM_Z!E:G,3,0)</f>
        <v>3.8800831334340091E-2</v>
      </c>
    </row>
    <row r="118" spans="1:3" x14ac:dyDescent="0.25">
      <c r="A118" s="9">
        <v>44805</v>
      </c>
      <c r="B118" s="16">
        <f>VLOOKUP(A118,PAIM_B!E:G,3,0)</f>
        <v>0.79869531544125494</v>
      </c>
      <c r="C118">
        <f>VLOOKUP(A118,PAIM_Z!E:G,3,0)</f>
        <v>3.8898566919364885E-2</v>
      </c>
    </row>
    <row r="119" spans="1:3" x14ac:dyDescent="0.25">
      <c r="A119" s="9">
        <v>44835</v>
      </c>
      <c r="B119" s="16">
        <f>VLOOKUP(A119,PAIM_B!E:G,3,0)</f>
        <v>0.79603023850735155</v>
      </c>
      <c r="C119">
        <f>VLOOKUP(A119,PAIM_Z!E:G,3,0)</f>
        <v>3.8874306112520407E-2</v>
      </c>
    </row>
    <row r="120" spans="1:3" x14ac:dyDescent="0.25">
      <c r="A120" s="9">
        <v>44866</v>
      </c>
      <c r="B120" s="16">
        <f>VLOOKUP(A120,PAIM_B!E:G,3,0)</f>
        <v>0.79122742537599888</v>
      </c>
      <c r="C120">
        <f>VLOOKUP(A120,PAIM_Z!E:G,3,0)</f>
        <v>3.8915443498122038E-2</v>
      </c>
    </row>
    <row r="121" spans="1:3" x14ac:dyDescent="0.25">
      <c r="A121" s="9">
        <v>44896</v>
      </c>
      <c r="B121" s="16">
        <f>VLOOKUP(A121,PAIM_B!E:G,3,0)</f>
        <v>0.77617576170525904</v>
      </c>
      <c r="C121">
        <f>VLOOKUP(A121,PAIM_Z!E:G,3,0)</f>
        <v>3.8839703440934348E-2</v>
      </c>
    </row>
    <row r="122" spans="1:3" x14ac:dyDescent="0.25">
      <c r="A122" s="9">
        <v>44927</v>
      </c>
      <c r="B122" s="16">
        <f>VLOOKUP(A122,PAIM_B!E:G,3,0)</f>
        <v>0.79247748609596658</v>
      </c>
      <c r="C122">
        <f>VLOOKUP(A122,PAIM_Z!E:G,3,0)</f>
        <v>3.8814358254050552E-2</v>
      </c>
    </row>
    <row r="123" spans="1:3" x14ac:dyDescent="0.25">
      <c r="A123" s="9">
        <v>44958</v>
      </c>
      <c r="B123" s="16">
        <f>VLOOKUP(A123,PAIM_B!E:G,3,0)</f>
        <v>0.80455093048638771</v>
      </c>
      <c r="C123">
        <f>VLOOKUP(A123,PAIM_Z!E:G,3,0)</f>
        <v>3.8778269181680591E-2</v>
      </c>
    </row>
    <row r="124" spans="1:3" x14ac:dyDescent="0.25">
      <c r="A124" s="9">
        <v>44986</v>
      </c>
      <c r="B124" s="16">
        <f>VLOOKUP(A124,PAIM_B!E:G,3,0)</f>
        <v>0.77559378068473361</v>
      </c>
      <c r="C124">
        <f>VLOOKUP(A124,PAIM_Z!E:G,3,0)</f>
        <v>3.9013269444645005E-2</v>
      </c>
    </row>
    <row r="125" spans="1:3" x14ac:dyDescent="0.25">
      <c r="A125" s="9">
        <v>45017</v>
      </c>
      <c r="B125" s="16">
        <f>VLOOKUP(A125,PAIM_B!E:G,3,0)</f>
        <v>0.756959429792331</v>
      </c>
      <c r="C125">
        <f>VLOOKUP(A125,PAIM_Z!E:G,3,0)</f>
        <v>3.893400938962488E-2</v>
      </c>
    </row>
    <row r="126" spans="1:3" x14ac:dyDescent="0.25">
      <c r="A126" s="9">
        <v>45047</v>
      </c>
      <c r="B126" s="16">
        <f>VLOOKUP(A126,PAIM_B!E:G,3,0)</f>
        <v>0.75163881060508619</v>
      </c>
      <c r="C126">
        <f>VLOOKUP(A126,PAIM_Z!E:G,3,0)</f>
        <v>3.9015187188115474E-2</v>
      </c>
    </row>
    <row r="127" spans="1:3" x14ac:dyDescent="0.25">
      <c r="A127" s="9">
        <v>45078</v>
      </c>
      <c r="B127" s="16">
        <f>VLOOKUP(A127,PAIM_B!E:G,3,0)</f>
        <v>0.74115449078514173</v>
      </c>
      <c r="C127">
        <f>VLOOKUP(A127,PAIM_Z!E:G,3,0)</f>
        <v>3.9030948766409224E-2</v>
      </c>
    </row>
    <row r="128" spans="1:3" x14ac:dyDescent="0.25">
      <c r="A128" s="9">
        <v>45108</v>
      </c>
      <c r="B128" s="16">
        <f>VLOOKUP(A128,PAIM_B!E:G,3,0)</f>
        <v>0.74186704772105261</v>
      </c>
      <c r="C128">
        <f>VLOOKUP(A128,PAIM_Z!E:G,3,0)</f>
        <v>3.9117771527884648E-2</v>
      </c>
    </row>
    <row r="129" spans="1:3" x14ac:dyDescent="0.25">
      <c r="A129" s="9">
        <v>45139</v>
      </c>
      <c r="B129" s="16">
        <f>VLOOKUP(A129,PAIM_B!E:G,3,0)</f>
        <v>0.7450063066845326</v>
      </c>
      <c r="C129">
        <f>VLOOKUP(A129,PAIM_Z!E:G,3,0)</f>
        <v>3.919337481930274E-2</v>
      </c>
    </row>
    <row r="130" spans="1:3" x14ac:dyDescent="0.25">
      <c r="A130" s="9">
        <v>45170</v>
      </c>
      <c r="B130" s="16">
        <f>VLOOKUP(A130,PAIM_B!E:G,3,0)</f>
        <v>0.73237899170520926</v>
      </c>
      <c r="C130">
        <f>VLOOKUP(A130,PAIM_Z!E:G,3,0)</f>
        <v>3.9259958284925012E-2</v>
      </c>
    </row>
    <row r="131" spans="1:3" x14ac:dyDescent="0.25">
      <c r="A131" s="9">
        <v>45200</v>
      </c>
      <c r="B131" s="16">
        <f>VLOOKUP(A131,PAIM_B!E:G,3,0)</f>
        <v>0.74386200549919756</v>
      </c>
      <c r="C131">
        <f>VLOOKUP(A131,PAIM_Z!E:G,3,0)</f>
        <v>3.8926683770667658E-2</v>
      </c>
    </row>
    <row r="132" spans="1:3" x14ac:dyDescent="0.25">
      <c r="A132" s="9">
        <v>45231</v>
      </c>
      <c r="B132" s="16">
        <f>VLOOKUP(A132,PAIM_B!E:G,3,0)</f>
        <v>0.74136607621700201</v>
      </c>
      <c r="C132">
        <f>VLOOKUP(A132,PAIM_Z!E:G,3,0)</f>
        <v>3.8910711427289302E-2</v>
      </c>
    </row>
    <row r="133" spans="1:3" x14ac:dyDescent="0.25">
      <c r="A133" s="9">
        <v>45261</v>
      </c>
      <c r="B133" s="16">
        <f>VLOOKUP(A133,PAIM_B!E:G,3,0)</f>
        <v>0.7312797459263074</v>
      </c>
      <c r="C133">
        <f>VLOOKUP(A133,PAIM_Z!E:G,3,0)</f>
        <v>3.8870082886378055E-2</v>
      </c>
    </row>
    <row r="134" spans="1:3" x14ac:dyDescent="0.25">
      <c r="A134" s="9">
        <v>45292</v>
      </c>
      <c r="B134" s="16">
        <f>VLOOKUP(A134,PAIM_B!E:G,3,0)</f>
        <v>0.74847963561785957</v>
      </c>
      <c r="C134">
        <f>VLOOKUP(A134,PAIM_Z!E:G,3,0)</f>
        <v>3.8746847748567737E-2</v>
      </c>
    </row>
    <row r="135" spans="1:3" x14ac:dyDescent="0.25">
      <c r="A135" s="9">
        <v>45323</v>
      </c>
      <c r="B135" s="16">
        <f>VLOOKUP(A135,PAIM_B!E:G,3,0)</f>
        <v>0.75199064842832453</v>
      </c>
      <c r="C135">
        <f>VLOOKUP(A135,PAIM_Z!E:G,3,0)</f>
        <v>3.8797840206879819E-2</v>
      </c>
    </row>
    <row r="136" spans="1:3" x14ac:dyDescent="0.25">
      <c r="A136" s="9">
        <v>45352</v>
      </c>
      <c r="B136" s="16">
        <f>VLOOKUP(A136,PAIM_B!E:G,3,0)</f>
        <v>0.74790160625566127</v>
      </c>
      <c r="C136">
        <f>VLOOKUP(A136,PAIM_Z!E:G,3,0)</f>
        <v>3.8830425339691277E-2</v>
      </c>
    </row>
    <row r="137" spans="1:3" x14ac:dyDescent="0.25">
      <c r="A137" s="9">
        <v>45383</v>
      </c>
      <c r="B137" s="16">
        <f>VLOOKUP(A137,PAIM_B!E:G,3,0)</f>
        <v>0.75674239327650872</v>
      </c>
      <c r="C137">
        <f>VLOOKUP(A137,PAIM_Z!E:G,3,0)</f>
        <v>3.8797663931045223E-2</v>
      </c>
    </row>
    <row r="138" spans="1:3" x14ac:dyDescent="0.25">
      <c r="A138" s="9">
        <v>45413</v>
      </c>
      <c r="B138" s="16">
        <f>VLOOKUP(A138,PAIM_B!E:G,3,0)</f>
        <v>0.74009814173538147</v>
      </c>
      <c r="C138">
        <f>VLOOKUP(A138,PAIM_Z!E:G,3,0)</f>
        <v>3.8856586622486589E-2</v>
      </c>
    </row>
    <row r="139" spans="1:3" x14ac:dyDescent="0.25">
      <c r="A139" s="9">
        <v>45444</v>
      </c>
      <c r="B139" s="16">
        <f>VLOOKUP(A139,PAIM_B!E:G,3,0)</f>
        <v>0.75843914408381197</v>
      </c>
      <c r="C139">
        <f>VLOOKUP(A139,PAIM_Z!E:G,3,0)</f>
        <v>3.8776613772144031E-2</v>
      </c>
    </row>
    <row r="140" spans="1:3" x14ac:dyDescent="0.25">
      <c r="A140" s="9">
        <v>45474</v>
      </c>
      <c r="B140" s="16">
        <f>VLOOKUP(A140,PAIM_B!E:G,3,0)</f>
        <v>0.75374600881622</v>
      </c>
      <c r="C140">
        <f>VLOOKUP(A140,PAIM_Z!E:G,3,0)</f>
        <v>3.8737736957470958E-2</v>
      </c>
    </row>
    <row r="141" spans="1:3" x14ac:dyDescent="0.25">
      <c r="A141" s="9">
        <v>45505</v>
      </c>
      <c r="B141" s="16">
        <f>VLOOKUP(A141,PAIM_B!E:G,3,0)</f>
        <v>0.74988810926032679</v>
      </c>
      <c r="C141">
        <f>VLOOKUP(A141,PAIM_Z!E:G,3,0)</f>
        <v>3.8693616255866869E-2</v>
      </c>
    </row>
    <row r="142" spans="1:3" x14ac:dyDescent="0.25">
      <c r="A142" s="9">
        <v>45536</v>
      </c>
      <c r="B142" s="16">
        <f>VLOOKUP(A142,PAIM_B!E:G,3,0)</f>
        <v>0.75951007341957044</v>
      </c>
      <c r="C142">
        <f>VLOOKUP(A142,PAIM_Z!E:G,3,0)</f>
        <v>3.8636251399259081E-2</v>
      </c>
    </row>
    <row r="143" spans="1:3" x14ac:dyDescent="0.25">
      <c r="A143" s="9">
        <v>45566</v>
      </c>
      <c r="B143" s="16">
        <f>VLOOKUP(A143,PAIM_B!E:G,3,0)</f>
        <v>0.74939114602707035</v>
      </c>
      <c r="C143">
        <f>VLOOKUP(A143,PAIM_Z!E:G,3,0)</f>
        <v>3.8525654643444041E-2</v>
      </c>
    </row>
    <row r="144" spans="1:3" x14ac:dyDescent="0.25">
      <c r="A144" s="9">
        <v>45597</v>
      </c>
      <c r="B144" s="16">
        <f>VLOOKUP(A144,PAIM_B!E:G,3,0)</f>
        <v>0.76332336494673636</v>
      </c>
      <c r="C144">
        <f>VLOOKUP(A144,PAIM_Z!E:G,3,0)</f>
        <v>3.8635264610346498E-2</v>
      </c>
    </row>
    <row r="145" spans="1:3" x14ac:dyDescent="0.25">
      <c r="A145" s="9">
        <v>45627</v>
      </c>
      <c r="B145" s="16">
        <f>VLOOKUP(A145,PAIM_B!E:G,3,0)</f>
        <v>0.7613749108189265</v>
      </c>
      <c r="C145">
        <f>VLOOKUP(A145,PAIM_Z!E:G,3,0)</f>
        <v>3.8553915977366571E-2</v>
      </c>
    </row>
    <row r="146" spans="1:3" x14ac:dyDescent="0.25">
      <c r="A146" s="9">
        <v>45658</v>
      </c>
      <c r="B146" s="16">
        <f>VLOOKUP(A146,PAIM_B!E:G,3,0)</f>
        <v>0.78211787115053644</v>
      </c>
      <c r="C146">
        <f>VLOOKUP(A146,PAIM_Z!E:G,3,0)</f>
        <v>3.8536080743349133E-2</v>
      </c>
    </row>
    <row r="147" spans="1:3" x14ac:dyDescent="0.25">
      <c r="A147" s="9">
        <v>45689</v>
      </c>
      <c r="B147" s="16">
        <f>VLOOKUP(A147,PAIM_B!E:G,3,0)</f>
        <v>0.77947426050273272</v>
      </c>
      <c r="C147">
        <f>VLOOKUP(A147,PAIM_Z!E:G,3,0)</f>
        <v>3.8450924280544641E-2</v>
      </c>
    </row>
    <row r="148" spans="1:3" x14ac:dyDescent="0.25">
      <c r="A148" s="9">
        <v>45717</v>
      </c>
      <c r="B148" s="16">
        <f>VLOOKUP(A148,PAIM_B!E:G,3,0)</f>
        <v>0.75928001125096234</v>
      </c>
      <c r="C148">
        <f>VLOOKUP(A148,PAIM_Z!E:G,3,0)</f>
        <v>3.8435022219975412E-2</v>
      </c>
    </row>
    <row r="149" spans="1:3" x14ac:dyDescent="0.25">
      <c r="A149" s="9">
        <v>45748</v>
      </c>
      <c r="B149" s="16">
        <f>VLOOKUP(A149,PAIM_B!E:G,3,0)</f>
        <v>0.76111746460896168</v>
      </c>
      <c r="C149">
        <f>VLOOKUP(A149,PAIM_Z!E:G,3,0)</f>
        <v>3.833811877237292E-2</v>
      </c>
    </row>
    <row r="150" spans="1:3" x14ac:dyDescent="0.25">
      <c r="A150" s="9">
        <v>45778</v>
      </c>
      <c r="B150" s="16">
        <f>VLOOKUP(A150,PAIM_B!E:G,3,0)</f>
        <v>0.75084035352784773</v>
      </c>
      <c r="C150">
        <f>VLOOKUP(A150,PAIM_Z!E:G,3,0)</f>
        <v>3.828400309203317E-2</v>
      </c>
    </row>
    <row r="151" spans="1:3" x14ac:dyDescent="0.25">
      <c r="A151" s="9">
        <v>45809</v>
      </c>
      <c r="B151" s="16">
        <f>VLOOKUP(A151,PAIM_B!E:G,3,0)</f>
        <v>0.75535110597395472</v>
      </c>
      <c r="C151">
        <f>VLOOKUP(A151,PAIM_Z!E:G,3,0)</f>
        <v>3.8309013840148065E-2</v>
      </c>
    </row>
    <row r="152" spans="1:3" x14ac:dyDescent="0.25">
      <c r="A152" s="9">
        <v>45839</v>
      </c>
      <c r="B152" s="16">
        <f>VLOOKUP(A152,PAIM_B!E:G,3,0)</f>
        <v>0.75103111323081528</v>
      </c>
      <c r="C152">
        <f>VLOOKUP(A152,PAIM_Z!E:G,3,0)</f>
        <v>3.8166372042573227E-2</v>
      </c>
    </row>
    <row r="153" spans="1:3" x14ac:dyDescent="0.25">
      <c r="A153" s="9">
        <v>45870</v>
      </c>
      <c r="B153" s="16">
        <f>VLOOKUP(A153,PAIM_B!E:G,3,0)</f>
        <v>0.76292016088291059</v>
      </c>
      <c r="C153">
        <f>VLOOKUP(A153,PAIM_Z!E:G,3,0)</f>
        <v>3.8176387285425717E-2</v>
      </c>
    </row>
    <row r="154" spans="1:3" x14ac:dyDescent="0.25">
      <c r="A154" s="9">
        <v>45901</v>
      </c>
      <c r="B154" s="16">
        <f>VLOOKUP(A154,PAIM_B!E:G,3,0)</f>
        <v>0.76356841250018381</v>
      </c>
      <c r="C154">
        <f>VLOOKUP(A154,PAIM_Z!E:G,3,0)</f>
        <v>3.8109569027189094E-2</v>
      </c>
    </row>
    <row r="155" spans="1:3" x14ac:dyDescent="0.25">
      <c r="A155" s="9">
        <v>45931</v>
      </c>
      <c r="B155" s="16">
        <f>VLOOKUP(A155,PAIM_B!E:G,3,0)</f>
        <v>0.76888391682695989</v>
      </c>
      <c r="C155">
        <f>VLOOKUP(A155,PAIM_Z!E:G,3,0)</f>
        <v>3.8157168020374388E-2</v>
      </c>
    </row>
    <row r="156" spans="1:3" x14ac:dyDescent="0.25">
      <c r="A156" s="9">
        <v>45962</v>
      </c>
      <c r="B156" s="16">
        <f>VLOOKUP(A156,PAIM_B!E:G,3,0)</f>
        <v>0.76151459895929086</v>
      </c>
      <c r="C156">
        <f>VLOOKUP(A156,PAIM_Z!E:G,3,0)</f>
        <v>3.8173567622193816E-2</v>
      </c>
    </row>
    <row r="157" spans="1:3" x14ac:dyDescent="0.25">
      <c r="A157" s="9">
        <v>45992</v>
      </c>
      <c r="B157" s="16">
        <f>VLOOKUP(A157,PAIM_B!E:G,3,0)</f>
        <v>0.75279865543365521</v>
      </c>
      <c r="C157">
        <f>VLOOKUP(A157,PAIM_Z!E:G,3,0)</f>
        <v>3.8144924603421781E-2</v>
      </c>
    </row>
    <row r="158" spans="1:3" x14ac:dyDescent="0.25">
      <c r="A158" s="9">
        <v>46023</v>
      </c>
      <c r="B158" s="16">
        <f>VLOOKUP(A158,PAIM_B!E:G,3,0)</f>
        <v>0.77608937938673694</v>
      </c>
      <c r="C158">
        <f>VLOOKUP(A158,PAIM_Z!E:G,3,0)</f>
        <v>3.8063534060169824E-2</v>
      </c>
    </row>
    <row r="159" spans="1:3" x14ac:dyDescent="0.25">
      <c r="A159" s="9">
        <v>46054</v>
      </c>
      <c r="B159" s="16">
        <f>VLOOKUP(A159,PAIM_B!E:G,3,0)</f>
        <v>0.78125284803696549</v>
      </c>
      <c r="C159">
        <f>VLOOKUP(A159,PAIM_Z!E:G,3,0)</f>
        <v>3.800021645260887E-2</v>
      </c>
    </row>
    <row r="160" spans="1:3" x14ac:dyDescent="0.25">
      <c r="A160" s="9">
        <v>46082</v>
      </c>
      <c r="B160" s="16">
        <f>VLOOKUP(A160,PAIM_B!E:G,3,0)</f>
        <v>0.76398585312401701</v>
      </c>
      <c r="C160">
        <f>VLOOKUP(A160,PAIM_Z!E:G,3,0)</f>
        <v>3.8036339024275168E-2</v>
      </c>
    </row>
    <row r="161" spans="1:3" x14ac:dyDescent="0.25">
      <c r="A161" s="9">
        <v>46113</v>
      </c>
      <c r="B161" s="16">
        <f>VLOOKUP(A161,PAIM_B!E:G,3,0)</f>
        <v>0.76973309645692534</v>
      </c>
      <c r="C161">
        <f>VLOOKUP(A161,PAIM_Z!E:G,3,0)</f>
        <v>3.7904951776662421E-2</v>
      </c>
    </row>
    <row r="162" spans="1:3" x14ac:dyDescent="0.25">
      <c r="A162" s="9">
        <v>46143</v>
      </c>
      <c r="B162" s="16">
        <f>VLOOKUP(A162,PAIM_B!E:G,3,0)</f>
        <v>0.76228568260565965</v>
      </c>
      <c r="C162">
        <f>VLOOKUP(A162,PAIM_Z!E:G,3,0)</f>
        <v>3.793648066153088E-2</v>
      </c>
    </row>
    <row r="163" spans="1:3" x14ac:dyDescent="0.25">
      <c r="A163" s="9">
        <v>46174</v>
      </c>
      <c r="B163" s="16">
        <f>VLOOKUP(A163,PAIM_B!E:G,3,0)</f>
        <v>0.76167740231294501</v>
      </c>
      <c r="C163">
        <f>VLOOKUP(A163,PAIM_Z!E:G,3,0)</f>
        <v>3.7919009422684002E-2</v>
      </c>
    </row>
    <row r="164" spans="1:3" x14ac:dyDescent="0.25">
      <c r="A164" s="9">
        <v>46204</v>
      </c>
      <c r="B164" s="16">
        <f>VLOOKUP(A164,PAIM_B!E:G,3,0)</f>
        <v>0.76058731914929334</v>
      </c>
      <c r="C164">
        <f>VLOOKUP(A164,PAIM_Z!E:G,3,0)</f>
        <v>3.7921442188067811E-2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16455-1F45-49CD-9879-6E321A40CC0E}">
  <sheetPr>
    <tabColor theme="5" tint="0.79998168889431442"/>
  </sheetPr>
  <dimension ref="A1:V165"/>
  <sheetViews>
    <sheetView topLeftCell="K1" zoomScale="85" zoomScaleNormal="85" workbookViewId="0">
      <selection activeCell="E1" sqref="E1"/>
    </sheetView>
  </sheetViews>
  <sheetFormatPr defaultRowHeight="15" x14ac:dyDescent="0.25"/>
  <cols>
    <col min="2" max="8" width="21.85546875" customWidth="1"/>
    <col min="9" max="11" width="9.140625" style="24"/>
    <col min="12" max="12" width="21.85546875" style="24" customWidth="1"/>
    <col min="13" max="13" width="2.42578125" style="22" customWidth="1"/>
    <col min="15" max="17" width="21.85546875" customWidth="1"/>
    <col min="18" max="19" width="21.85546875" style="18" customWidth="1"/>
    <col min="20" max="22" width="9.140625" style="24"/>
  </cols>
  <sheetData>
    <row r="1" spans="1:22" s="1" customFormat="1" ht="315" x14ac:dyDescent="0.25">
      <c r="A1" s="1" t="s">
        <v>0</v>
      </c>
      <c r="B1" s="1" t="s">
        <v>40</v>
      </c>
      <c r="C1" s="1" t="s">
        <v>41</v>
      </c>
      <c r="D1" s="1" t="s">
        <v>42</v>
      </c>
      <c r="E1" s="1" t="s">
        <v>49</v>
      </c>
      <c r="F1" s="1" t="s">
        <v>46</v>
      </c>
      <c r="G1" s="1" t="s">
        <v>47</v>
      </c>
      <c r="H1" s="1" t="s">
        <v>48</v>
      </c>
      <c r="I1" s="23" t="s">
        <v>54</v>
      </c>
      <c r="J1" s="23" t="s">
        <v>55</v>
      </c>
      <c r="K1" s="23" t="s">
        <v>56</v>
      </c>
      <c r="L1" s="23" t="s">
        <v>59</v>
      </c>
      <c r="M1" s="21"/>
      <c r="N1" s="1" t="s">
        <v>0</v>
      </c>
      <c r="O1" s="1" t="s">
        <v>43</v>
      </c>
      <c r="P1" s="1" t="s">
        <v>44</v>
      </c>
      <c r="Q1" s="1" t="s">
        <v>50</v>
      </c>
      <c r="R1" s="20" t="s">
        <v>51</v>
      </c>
      <c r="S1" s="20" t="s">
        <v>52</v>
      </c>
      <c r="T1" s="23" t="s">
        <v>57</v>
      </c>
      <c r="U1" s="23" t="s">
        <v>58</v>
      </c>
      <c r="V1" s="23" t="s">
        <v>59</v>
      </c>
    </row>
    <row r="2" spans="1:22" x14ac:dyDescent="0.25">
      <c r="A2" s="2">
        <v>41275</v>
      </c>
      <c r="B2" s="19">
        <v>21957</v>
      </c>
      <c r="C2" s="19">
        <v>24591</v>
      </c>
      <c r="D2" s="19">
        <v>9900</v>
      </c>
      <c r="E2" s="19">
        <f t="shared" ref="E2:E60" si="0">SUM(B2:D2)</f>
        <v>56448</v>
      </c>
      <c r="F2" s="18">
        <f t="shared" ref="F2:F60" si="1">B2/$E2</f>
        <v>0.38897746598639454</v>
      </c>
      <c r="G2" s="18">
        <f t="shared" ref="G2:G60" si="2">C2/$E2</f>
        <v>0.43563988095238093</v>
      </c>
      <c r="H2" s="18">
        <f t="shared" ref="H2:H60" si="3">D2/$E2</f>
        <v>0.1753826530612245</v>
      </c>
      <c r="I2" s="24">
        <v>122.4</v>
      </c>
      <c r="J2" s="24">
        <v>250.18</v>
      </c>
      <c r="K2" s="24">
        <v>107.18</v>
      </c>
      <c r="L2" s="24">
        <f t="shared" ref="L2:L33" si="4">F2*I2+G2*J2+H2*K2</f>
        <v>175.3967400085034</v>
      </c>
      <c r="N2" s="2">
        <v>41275</v>
      </c>
      <c r="O2" s="19">
        <v>38185</v>
      </c>
      <c r="P2" s="19">
        <v>224987</v>
      </c>
      <c r="Q2" s="19">
        <f t="shared" ref="Q2:Q60" si="5">SUM(O2:P2)</f>
        <v>263172</v>
      </c>
      <c r="R2" s="18">
        <f t="shared" ref="R2:R33" si="6">O2/$Q2</f>
        <v>0.14509522289605278</v>
      </c>
      <c r="S2" s="18">
        <f t="shared" ref="S2:S33" si="7">P2/$Q2</f>
        <v>0.85490477710394719</v>
      </c>
      <c r="T2" s="24">
        <v>12.88</v>
      </c>
      <c r="U2" s="24">
        <v>7.1</v>
      </c>
      <c r="V2" s="24">
        <f t="shared" ref="V2:V33" si="8">R2*T2+S2*U2</f>
        <v>7.9386503883391848</v>
      </c>
    </row>
    <row r="3" spans="1:22" x14ac:dyDescent="0.25">
      <c r="A3" s="2">
        <v>41306</v>
      </c>
      <c r="B3" s="19">
        <v>22635</v>
      </c>
      <c r="C3" s="19">
        <v>25963</v>
      </c>
      <c r="D3" s="19">
        <v>9899</v>
      </c>
      <c r="E3" s="19">
        <f t="shared" si="0"/>
        <v>58497</v>
      </c>
      <c r="F3" s="18">
        <f t="shared" si="1"/>
        <v>0.38694292014975129</v>
      </c>
      <c r="G3" s="18">
        <f t="shared" si="2"/>
        <v>0.44383472656717438</v>
      </c>
      <c r="H3" s="18">
        <f t="shared" si="3"/>
        <v>0.16922235328307433</v>
      </c>
      <c r="I3" s="24">
        <v>122.58</v>
      </c>
      <c r="J3" s="24">
        <v>254.45</v>
      </c>
      <c r="K3" s="24">
        <v>106.42</v>
      </c>
      <c r="L3" s="24">
        <f t="shared" si="4"/>
        <v>178.37385216335881</v>
      </c>
      <c r="N3" s="2">
        <v>41306</v>
      </c>
      <c r="O3" s="19">
        <v>39142</v>
      </c>
      <c r="P3" s="19">
        <v>229375</v>
      </c>
      <c r="Q3" s="19">
        <f t="shared" si="5"/>
        <v>268517</v>
      </c>
      <c r="R3" s="18">
        <f t="shared" si="6"/>
        <v>0.14577103125686641</v>
      </c>
      <c r="S3" s="18">
        <f t="shared" si="7"/>
        <v>0.85422896874313359</v>
      </c>
      <c r="T3" s="24">
        <v>12.67</v>
      </c>
      <c r="U3" s="24">
        <v>6.84</v>
      </c>
      <c r="V3" s="24">
        <f t="shared" si="8"/>
        <v>7.6898451122275313</v>
      </c>
    </row>
    <row r="4" spans="1:22" x14ac:dyDescent="0.25">
      <c r="A4" s="2">
        <v>41334</v>
      </c>
      <c r="B4" s="19">
        <v>22058</v>
      </c>
      <c r="C4" s="19">
        <v>26057</v>
      </c>
      <c r="D4" s="19">
        <v>9908</v>
      </c>
      <c r="E4" s="19">
        <f t="shared" si="0"/>
        <v>58023</v>
      </c>
      <c r="F4" s="18">
        <f t="shared" si="1"/>
        <v>0.38015959188597626</v>
      </c>
      <c r="G4" s="18">
        <f t="shared" si="2"/>
        <v>0.44908053702841977</v>
      </c>
      <c r="H4" s="18">
        <f t="shared" si="3"/>
        <v>0.17075987108560398</v>
      </c>
      <c r="I4" s="24">
        <v>122.09</v>
      </c>
      <c r="J4" s="24">
        <v>252.63</v>
      </c>
      <c r="K4" s="24">
        <v>105.17</v>
      </c>
      <c r="L4" s="24">
        <f t="shared" si="4"/>
        <v>177.82371628492152</v>
      </c>
      <c r="N4" s="2">
        <v>41334</v>
      </c>
      <c r="O4" s="19">
        <v>40573</v>
      </c>
      <c r="P4" s="19">
        <v>235423</v>
      </c>
      <c r="Q4" s="19">
        <f t="shared" si="5"/>
        <v>275996</v>
      </c>
      <c r="R4" s="18">
        <f t="shared" si="6"/>
        <v>0.14700575370657545</v>
      </c>
      <c r="S4" s="18">
        <f t="shared" si="7"/>
        <v>0.85299424629342457</v>
      </c>
      <c r="T4" s="24">
        <v>12.28</v>
      </c>
      <c r="U4" s="24">
        <v>6.91</v>
      </c>
      <c r="V4" s="24">
        <f t="shared" si="8"/>
        <v>7.6994208974043108</v>
      </c>
    </row>
    <row r="5" spans="1:22" x14ac:dyDescent="0.25">
      <c r="A5" s="2">
        <v>41365</v>
      </c>
      <c r="B5" s="19">
        <v>22953</v>
      </c>
      <c r="C5" s="19">
        <v>25725</v>
      </c>
      <c r="D5" s="19">
        <v>10018</v>
      </c>
      <c r="E5" s="19">
        <f t="shared" si="0"/>
        <v>58696</v>
      </c>
      <c r="F5" s="18">
        <f t="shared" si="1"/>
        <v>0.39104879378492574</v>
      </c>
      <c r="G5" s="18">
        <f t="shared" si="2"/>
        <v>0.43827518059152243</v>
      </c>
      <c r="H5" s="18">
        <f t="shared" si="3"/>
        <v>0.17067602562355186</v>
      </c>
      <c r="I5" s="24">
        <v>121.62</v>
      </c>
      <c r="J5" s="24">
        <v>254.85</v>
      </c>
      <c r="K5" s="24">
        <v>100.13</v>
      </c>
      <c r="L5" s="24">
        <f t="shared" si="4"/>
        <v>176.34357451955842</v>
      </c>
      <c r="N5" s="2">
        <v>41365</v>
      </c>
      <c r="O5" s="19">
        <v>42167</v>
      </c>
      <c r="P5" s="19">
        <v>241413</v>
      </c>
      <c r="Q5" s="19">
        <f t="shared" si="5"/>
        <v>283580</v>
      </c>
      <c r="R5" s="18">
        <f t="shared" si="6"/>
        <v>0.14869525354397348</v>
      </c>
      <c r="S5" s="18">
        <f t="shared" si="7"/>
        <v>0.8513047464560265</v>
      </c>
      <c r="T5" s="24">
        <v>12.24</v>
      </c>
      <c r="U5" s="24">
        <v>7.08</v>
      </c>
      <c r="V5" s="24">
        <f t="shared" si="8"/>
        <v>7.8472675082869028</v>
      </c>
    </row>
    <row r="6" spans="1:22" x14ac:dyDescent="0.25">
      <c r="A6" s="2">
        <v>41395</v>
      </c>
      <c r="B6" s="19">
        <v>22784</v>
      </c>
      <c r="C6" s="19">
        <v>25742</v>
      </c>
      <c r="D6" s="19">
        <v>9922</v>
      </c>
      <c r="E6" s="19">
        <f t="shared" si="0"/>
        <v>58448</v>
      </c>
      <c r="F6" s="18">
        <f t="shared" si="1"/>
        <v>0.38981658910484535</v>
      </c>
      <c r="G6" s="18">
        <f t="shared" si="2"/>
        <v>0.44042567752532163</v>
      </c>
      <c r="H6" s="18">
        <f t="shared" si="3"/>
        <v>0.16975773336983302</v>
      </c>
      <c r="I6" s="24">
        <v>121.13</v>
      </c>
      <c r="J6" s="24">
        <v>254.53</v>
      </c>
      <c r="K6" s="24">
        <v>105.36</v>
      </c>
      <c r="L6" s="24">
        <f t="shared" si="4"/>
        <v>177.20570592663563</v>
      </c>
      <c r="N6" s="2">
        <v>41395</v>
      </c>
      <c r="O6" s="19">
        <v>43951</v>
      </c>
      <c r="P6" s="19">
        <v>248091</v>
      </c>
      <c r="Q6" s="19">
        <f t="shared" si="5"/>
        <v>292042</v>
      </c>
      <c r="R6" s="18">
        <f t="shared" si="6"/>
        <v>0.15049547667801208</v>
      </c>
      <c r="S6" s="18">
        <f t="shared" si="7"/>
        <v>0.84950452332198789</v>
      </c>
      <c r="T6" s="24">
        <v>11.99</v>
      </c>
      <c r="U6" s="24">
        <v>7.05</v>
      </c>
      <c r="V6" s="24">
        <f t="shared" si="8"/>
        <v>7.7934476547893796</v>
      </c>
    </row>
    <row r="7" spans="1:22" x14ac:dyDescent="0.25">
      <c r="A7" s="2">
        <v>41426</v>
      </c>
      <c r="B7" s="19">
        <v>22054</v>
      </c>
      <c r="C7" s="19">
        <v>26401</v>
      </c>
      <c r="D7" s="19">
        <v>9857</v>
      </c>
      <c r="E7" s="19">
        <f t="shared" si="0"/>
        <v>58312</v>
      </c>
      <c r="F7" s="18">
        <f t="shared" si="1"/>
        <v>0.37820688709013583</v>
      </c>
      <c r="G7" s="18">
        <f t="shared" si="2"/>
        <v>0.45275415008917547</v>
      </c>
      <c r="H7" s="18">
        <f t="shared" si="3"/>
        <v>0.1690389628206887</v>
      </c>
      <c r="I7" s="24">
        <v>121.77</v>
      </c>
      <c r="J7" s="24">
        <v>255.35</v>
      </c>
      <c r="K7" s="24">
        <v>105.94</v>
      </c>
      <c r="L7" s="24">
        <f t="shared" si="4"/>
        <v>179.57301258746054</v>
      </c>
      <c r="N7" s="2">
        <v>41426</v>
      </c>
      <c r="O7" s="19">
        <v>45827</v>
      </c>
      <c r="P7" s="19">
        <v>255135</v>
      </c>
      <c r="Q7" s="19">
        <f t="shared" si="5"/>
        <v>300962</v>
      </c>
      <c r="R7" s="18">
        <f t="shared" si="6"/>
        <v>0.15226839268744891</v>
      </c>
      <c r="S7" s="18">
        <f t="shared" si="7"/>
        <v>0.84773160731255104</v>
      </c>
      <c r="T7" s="24">
        <v>11.93</v>
      </c>
      <c r="U7" s="24">
        <v>7.07</v>
      </c>
      <c r="V7" s="24">
        <f t="shared" si="8"/>
        <v>7.8100243884610023</v>
      </c>
    </row>
    <row r="8" spans="1:22" x14ac:dyDescent="0.25">
      <c r="A8" s="2">
        <v>41456</v>
      </c>
      <c r="B8" s="19">
        <v>22440</v>
      </c>
      <c r="C8" s="19">
        <v>25973</v>
      </c>
      <c r="D8" s="19">
        <v>9922</v>
      </c>
      <c r="E8" s="19">
        <f t="shared" si="0"/>
        <v>58335</v>
      </c>
      <c r="F8" s="18">
        <f t="shared" si="1"/>
        <v>0.38467472357932631</v>
      </c>
      <c r="G8" s="18">
        <f t="shared" si="2"/>
        <v>0.44523870746550098</v>
      </c>
      <c r="H8" s="18">
        <f t="shared" si="3"/>
        <v>0.17008656895517271</v>
      </c>
      <c r="I8" s="24">
        <v>121.96</v>
      </c>
      <c r="J8" s="24">
        <v>260.52</v>
      </c>
      <c r="K8" s="24">
        <v>103.44</v>
      </c>
      <c r="L8" s="24">
        <f t="shared" si="4"/>
        <v>180.50227204936999</v>
      </c>
      <c r="N8" s="2">
        <v>41456</v>
      </c>
      <c r="O8" s="19">
        <v>47539</v>
      </c>
      <c r="P8" s="19">
        <v>261692</v>
      </c>
      <c r="Q8" s="19">
        <f t="shared" si="5"/>
        <v>309231</v>
      </c>
      <c r="R8" s="18">
        <f t="shared" si="6"/>
        <v>0.15373296985101753</v>
      </c>
      <c r="S8" s="18">
        <f t="shared" si="7"/>
        <v>0.84626703014898252</v>
      </c>
      <c r="T8" s="24">
        <v>12.34</v>
      </c>
      <c r="U8" s="24">
        <v>7.17</v>
      </c>
      <c r="V8" s="24">
        <f t="shared" si="8"/>
        <v>7.9647994541297606</v>
      </c>
    </row>
    <row r="9" spans="1:22" x14ac:dyDescent="0.25">
      <c r="A9" s="2">
        <v>41487</v>
      </c>
      <c r="B9" s="19">
        <v>22555</v>
      </c>
      <c r="C9" s="19">
        <v>25871</v>
      </c>
      <c r="D9" s="19">
        <v>10475</v>
      </c>
      <c r="E9" s="19">
        <f t="shared" si="0"/>
        <v>58901</v>
      </c>
      <c r="F9" s="18">
        <f t="shared" si="1"/>
        <v>0.38293068029405275</v>
      </c>
      <c r="G9" s="18">
        <f t="shared" si="2"/>
        <v>0.43922853601806422</v>
      </c>
      <c r="H9" s="18">
        <f t="shared" si="3"/>
        <v>0.17784078368788306</v>
      </c>
      <c r="I9" s="24">
        <v>122.64</v>
      </c>
      <c r="J9" s="24">
        <v>260.74</v>
      </c>
      <c r="K9" s="24">
        <v>106.07</v>
      </c>
      <c r="L9" s="24">
        <f t="shared" si="4"/>
        <v>180.35063903838645</v>
      </c>
      <c r="N9" s="2">
        <v>41487</v>
      </c>
      <c r="O9" s="19">
        <v>49456</v>
      </c>
      <c r="P9" s="19">
        <v>268364</v>
      </c>
      <c r="Q9" s="19">
        <f t="shared" si="5"/>
        <v>317820</v>
      </c>
      <c r="R9" s="18">
        <f t="shared" si="6"/>
        <v>0.15561009376376567</v>
      </c>
      <c r="S9" s="18">
        <f t="shared" si="7"/>
        <v>0.84438990623623433</v>
      </c>
      <c r="T9" s="24">
        <v>12.34</v>
      </c>
      <c r="U9" s="24">
        <v>7.29</v>
      </c>
      <c r="V9" s="24">
        <f t="shared" si="8"/>
        <v>8.0758309735070171</v>
      </c>
    </row>
    <row r="10" spans="1:22" x14ac:dyDescent="0.25">
      <c r="A10" s="2">
        <v>41518</v>
      </c>
      <c r="B10" s="19">
        <v>23460</v>
      </c>
      <c r="C10" s="19">
        <v>26471</v>
      </c>
      <c r="D10" s="19">
        <v>10674</v>
      </c>
      <c r="E10" s="19">
        <f t="shared" si="0"/>
        <v>60605</v>
      </c>
      <c r="F10" s="18">
        <f t="shared" si="1"/>
        <v>0.38709677419354838</v>
      </c>
      <c r="G10" s="18">
        <f t="shared" si="2"/>
        <v>0.43677914363501363</v>
      </c>
      <c r="H10" s="18">
        <f t="shared" si="3"/>
        <v>0.17612408217143799</v>
      </c>
      <c r="I10" s="24">
        <v>125.51</v>
      </c>
      <c r="J10" s="24">
        <v>263.23</v>
      </c>
      <c r="K10" s="24">
        <v>101.49</v>
      </c>
      <c r="L10" s="24">
        <f t="shared" si="4"/>
        <v>181.43272320765615</v>
      </c>
      <c r="N10" s="2">
        <v>41518</v>
      </c>
      <c r="O10" s="19">
        <v>50960</v>
      </c>
      <c r="P10" s="19">
        <v>271582</v>
      </c>
      <c r="Q10" s="19">
        <f t="shared" si="5"/>
        <v>322542</v>
      </c>
      <c r="R10" s="18">
        <f t="shared" si="6"/>
        <v>0.15799492779234953</v>
      </c>
      <c r="S10" s="18">
        <f t="shared" si="7"/>
        <v>0.84200507220765053</v>
      </c>
      <c r="T10" s="24">
        <v>12.57</v>
      </c>
      <c r="U10" s="24">
        <v>7.55</v>
      </c>
      <c r="V10" s="24">
        <f t="shared" si="8"/>
        <v>8.3431345375175958</v>
      </c>
    </row>
    <row r="11" spans="1:22" x14ac:dyDescent="0.25">
      <c r="A11" s="2">
        <v>41548</v>
      </c>
      <c r="B11" s="19">
        <v>23420</v>
      </c>
      <c r="C11" s="19">
        <v>25876</v>
      </c>
      <c r="D11" s="19">
        <v>10684</v>
      </c>
      <c r="E11" s="19">
        <f t="shared" si="0"/>
        <v>59980</v>
      </c>
      <c r="F11" s="18">
        <f t="shared" si="1"/>
        <v>0.39046348782927642</v>
      </c>
      <c r="G11" s="18">
        <f t="shared" si="2"/>
        <v>0.43141047015671891</v>
      </c>
      <c r="H11" s="18">
        <f t="shared" si="3"/>
        <v>0.17812604201400467</v>
      </c>
      <c r="I11" s="24">
        <v>126.35</v>
      </c>
      <c r="J11" s="24">
        <v>267.23</v>
      </c>
      <c r="K11" s="24">
        <v>102.46</v>
      </c>
      <c r="L11" s="24">
        <f t="shared" si="4"/>
        <v>182.871675891964</v>
      </c>
      <c r="N11" s="2">
        <v>41548</v>
      </c>
      <c r="O11" s="19">
        <v>50422</v>
      </c>
      <c r="P11" s="19">
        <v>274977</v>
      </c>
      <c r="Q11" s="19">
        <f t="shared" si="5"/>
        <v>325399</v>
      </c>
      <c r="R11" s="18">
        <f t="shared" si="6"/>
        <v>0.15495437908536905</v>
      </c>
      <c r="S11" s="18">
        <f t="shared" si="7"/>
        <v>0.84504562091463098</v>
      </c>
      <c r="T11" s="24">
        <v>12.84</v>
      </c>
      <c r="U11" s="24">
        <v>7.91</v>
      </c>
      <c r="V11" s="24">
        <f t="shared" si="8"/>
        <v>8.6739250888908703</v>
      </c>
    </row>
    <row r="12" spans="1:22" x14ac:dyDescent="0.25">
      <c r="A12" s="2">
        <v>41579</v>
      </c>
      <c r="B12" s="19">
        <v>22600</v>
      </c>
      <c r="C12" s="19">
        <v>26538</v>
      </c>
      <c r="D12" s="19">
        <v>10572</v>
      </c>
      <c r="E12" s="19">
        <f t="shared" si="0"/>
        <v>59710</v>
      </c>
      <c r="F12" s="18">
        <f t="shared" si="1"/>
        <v>0.37849606431083571</v>
      </c>
      <c r="G12" s="18">
        <f t="shared" si="2"/>
        <v>0.4444481661363256</v>
      </c>
      <c r="H12" s="18">
        <f t="shared" si="3"/>
        <v>0.17705576955283872</v>
      </c>
      <c r="I12" s="24">
        <v>127.46</v>
      </c>
      <c r="J12" s="24">
        <v>272.64</v>
      </c>
      <c r="K12" s="24">
        <v>105.6</v>
      </c>
      <c r="L12" s="24">
        <f t="shared" si="4"/>
        <v>188.11454563724669</v>
      </c>
      <c r="N12" s="2">
        <v>41579</v>
      </c>
      <c r="O12" s="19">
        <v>51707</v>
      </c>
      <c r="P12" s="19">
        <v>281311</v>
      </c>
      <c r="Q12" s="19">
        <f t="shared" si="5"/>
        <v>333018</v>
      </c>
      <c r="R12" s="18">
        <f t="shared" si="6"/>
        <v>0.15526788341771317</v>
      </c>
      <c r="S12" s="18">
        <f t="shared" si="7"/>
        <v>0.84473211658228686</v>
      </c>
      <c r="T12" s="24">
        <v>14</v>
      </c>
      <c r="U12" s="24">
        <v>7.84</v>
      </c>
      <c r="V12" s="24">
        <f t="shared" si="8"/>
        <v>8.7964501618531123</v>
      </c>
    </row>
    <row r="13" spans="1:22" x14ac:dyDescent="0.25">
      <c r="A13" s="2">
        <v>41609</v>
      </c>
      <c r="B13" s="19">
        <v>21623</v>
      </c>
      <c r="C13" s="19">
        <v>25563</v>
      </c>
      <c r="D13" s="19">
        <v>10657</v>
      </c>
      <c r="E13" s="19">
        <f t="shared" si="0"/>
        <v>57843</v>
      </c>
      <c r="F13" s="18">
        <f t="shared" si="1"/>
        <v>0.37382224296803418</v>
      </c>
      <c r="G13" s="18">
        <f t="shared" si="2"/>
        <v>0.44193765883512265</v>
      </c>
      <c r="H13" s="18">
        <f t="shared" si="3"/>
        <v>0.18424009819684317</v>
      </c>
      <c r="I13" s="24">
        <v>129.18</v>
      </c>
      <c r="J13" s="24">
        <v>285.95</v>
      </c>
      <c r="K13" s="24">
        <v>103.96</v>
      </c>
      <c r="L13" s="24">
        <f t="shared" si="4"/>
        <v>193.8160314990578</v>
      </c>
      <c r="N13" s="2">
        <v>41609</v>
      </c>
      <c r="O13" s="19">
        <v>52752</v>
      </c>
      <c r="P13" s="19">
        <v>287955</v>
      </c>
      <c r="Q13" s="19">
        <f t="shared" si="5"/>
        <v>340707</v>
      </c>
      <c r="R13" s="18">
        <f t="shared" si="6"/>
        <v>0.15483098380720089</v>
      </c>
      <c r="S13" s="18">
        <f t="shared" si="7"/>
        <v>0.84516901619279905</v>
      </c>
      <c r="T13" s="24">
        <v>13.91</v>
      </c>
      <c r="U13" s="24">
        <v>7.89</v>
      </c>
      <c r="V13" s="24">
        <f t="shared" si="8"/>
        <v>8.8220825225193487</v>
      </c>
    </row>
    <row r="14" spans="1:22" x14ac:dyDescent="0.25">
      <c r="A14" s="2">
        <v>41640</v>
      </c>
      <c r="B14" s="19">
        <v>23101</v>
      </c>
      <c r="C14" s="19">
        <v>26220</v>
      </c>
      <c r="D14" s="19">
        <v>10883</v>
      </c>
      <c r="E14" s="19">
        <f t="shared" si="0"/>
        <v>60204</v>
      </c>
      <c r="F14" s="18">
        <f t="shared" si="1"/>
        <v>0.3837120457112484</v>
      </c>
      <c r="G14" s="18">
        <f t="shared" si="2"/>
        <v>0.43551923460235198</v>
      </c>
      <c r="H14" s="18">
        <f t="shared" si="3"/>
        <v>0.18076871968639957</v>
      </c>
      <c r="I14" s="24">
        <v>134.9</v>
      </c>
      <c r="J14" s="24">
        <v>282.22000000000003</v>
      </c>
      <c r="K14" s="24">
        <v>106.45</v>
      </c>
      <c r="L14" s="24">
        <f t="shared" si="4"/>
        <v>193.91782356654042</v>
      </c>
      <c r="N14" s="2">
        <v>41640</v>
      </c>
      <c r="O14" s="19">
        <v>53582</v>
      </c>
      <c r="P14" s="19">
        <v>293812</v>
      </c>
      <c r="Q14" s="19">
        <f t="shared" si="5"/>
        <v>347394</v>
      </c>
      <c r="R14" s="18">
        <f t="shared" si="6"/>
        <v>0.15423985445920194</v>
      </c>
      <c r="S14" s="18">
        <f t="shared" si="7"/>
        <v>0.84576014554079804</v>
      </c>
      <c r="T14" s="24">
        <v>15.16</v>
      </c>
      <c r="U14" s="24">
        <v>8.49</v>
      </c>
      <c r="V14" s="24">
        <f t="shared" si="8"/>
        <v>9.5187798292428774</v>
      </c>
    </row>
    <row r="15" spans="1:22" x14ac:dyDescent="0.25">
      <c r="A15" s="2">
        <v>41671</v>
      </c>
      <c r="B15" s="19">
        <v>25250</v>
      </c>
      <c r="C15" s="19">
        <v>28056</v>
      </c>
      <c r="D15" s="19">
        <v>11115</v>
      </c>
      <c r="E15" s="19">
        <f t="shared" si="0"/>
        <v>64421</v>
      </c>
      <c r="F15" s="18">
        <f t="shared" si="1"/>
        <v>0.39195293460207076</v>
      </c>
      <c r="G15" s="18">
        <f t="shared" si="2"/>
        <v>0.43551015973052265</v>
      </c>
      <c r="H15" s="18">
        <f t="shared" si="3"/>
        <v>0.17253690566740659</v>
      </c>
      <c r="I15" s="24">
        <v>137.07</v>
      </c>
      <c r="J15" s="24">
        <v>292.85000000000002</v>
      </c>
      <c r="K15" s="24">
        <v>105.83</v>
      </c>
      <c r="L15" s="24">
        <f t="shared" si="4"/>
        <v>199.52371974977106</v>
      </c>
      <c r="N15" s="2">
        <v>41671</v>
      </c>
      <c r="O15" s="19">
        <v>54767</v>
      </c>
      <c r="P15" s="19">
        <v>299959</v>
      </c>
      <c r="Q15" s="19">
        <f t="shared" si="5"/>
        <v>354726</v>
      </c>
      <c r="R15" s="18">
        <f t="shared" si="6"/>
        <v>0.15439240427823164</v>
      </c>
      <c r="S15" s="18">
        <f t="shared" si="7"/>
        <v>0.84560759572176836</v>
      </c>
      <c r="T15" s="24">
        <v>14.48</v>
      </c>
      <c r="U15" s="24">
        <v>7.7</v>
      </c>
      <c r="V15" s="24">
        <f t="shared" si="8"/>
        <v>8.7467805010064108</v>
      </c>
    </row>
    <row r="16" spans="1:22" x14ac:dyDescent="0.25">
      <c r="A16" s="2">
        <v>41699</v>
      </c>
      <c r="B16" s="19">
        <v>26600</v>
      </c>
      <c r="C16" s="19">
        <v>27922</v>
      </c>
      <c r="D16" s="19">
        <v>11284</v>
      </c>
      <c r="E16" s="19">
        <f t="shared" si="0"/>
        <v>65806</v>
      </c>
      <c r="F16" s="18">
        <f t="shared" si="1"/>
        <v>0.40421846032276693</v>
      </c>
      <c r="G16" s="18">
        <f t="shared" si="2"/>
        <v>0.42430781387715405</v>
      </c>
      <c r="H16" s="18">
        <f t="shared" si="3"/>
        <v>0.17147372580007902</v>
      </c>
      <c r="I16" s="24">
        <v>139.33000000000001</v>
      </c>
      <c r="J16" s="24">
        <v>290.64</v>
      </c>
      <c r="K16" s="24">
        <v>104.77</v>
      </c>
      <c r="L16" s="24">
        <f t="shared" si="4"/>
        <v>197.60588335410145</v>
      </c>
      <c r="N16" s="2">
        <v>41699</v>
      </c>
      <c r="O16" s="19">
        <v>55765</v>
      </c>
      <c r="P16" s="19">
        <v>305579</v>
      </c>
      <c r="Q16" s="19">
        <f t="shared" si="5"/>
        <v>361344</v>
      </c>
      <c r="R16" s="18">
        <f t="shared" si="6"/>
        <v>0.15432662504427913</v>
      </c>
      <c r="S16" s="18">
        <f t="shared" si="7"/>
        <v>0.84567337495572081</v>
      </c>
      <c r="T16" s="24">
        <v>16.68</v>
      </c>
      <c r="U16" s="24">
        <v>8.5299999999999994</v>
      </c>
      <c r="V16" s="24">
        <f t="shared" si="8"/>
        <v>9.7877619941108733</v>
      </c>
    </row>
    <row r="17" spans="1:22" x14ac:dyDescent="0.25">
      <c r="A17" s="2">
        <v>41730</v>
      </c>
      <c r="B17" s="19">
        <v>27187</v>
      </c>
      <c r="C17" s="19">
        <v>28539</v>
      </c>
      <c r="D17" s="19">
        <v>11663</v>
      </c>
      <c r="E17" s="19">
        <f t="shared" si="0"/>
        <v>67389</v>
      </c>
      <c r="F17" s="18">
        <f t="shared" si="1"/>
        <v>0.40343379483298464</v>
      </c>
      <c r="G17" s="18">
        <f t="shared" si="2"/>
        <v>0.42349641632907448</v>
      </c>
      <c r="H17" s="18">
        <f t="shared" si="3"/>
        <v>0.17306978883794091</v>
      </c>
      <c r="I17" s="24">
        <v>141.43</v>
      </c>
      <c r="J17" s="24">
        <v>277.44</v>
      </c>
      <c r="K17" s="24">
        <v>104.71</v>
      </c>
      <c r="L17" s="24">
        <f t="shared" si="4"/>
        <v>192.67462493878824</v>
      </c>
      <c r="N17" s="2">
        <v>41730</v>
      </c>
      <c r="O17" s="19">
        <v>56834</v>
      </c>
      <c r="P17" s="19">
        <v>311796</v>
      </c>
      <c r="Q17" s="19">
        <f t="shared" si="5"/>
        <v>368630</v>
      </c>
      <c r="R17" s="18">
        <f t="shared" si="6"/>
        <v>0.15417627431299677</v>
      </c>
      <c r="S17" s="18">
        <f t="shared" si="7"/>
        <v>0.84582372568700326</v>
      </c>
      <c r="T17" s="24">
        <v>15.69</v>
      </c>
      <c r="U17" s="24">
        <v>8</v>
      </c>
      <c r="V17" s="24">
        <f t="shared" si="8"/>
        <v>9.1856155494669451</v>
      </c>
    </row>
    <row r="18" spans="1:22" x14ac:dyDescent="0.25">
      <c r="A18" s="2">
        <v>41760</v>
      </c>
      <c r="B18" s="19">
        <v>26936</v>
      </c>
      <c r="C18" s="19">
        <v>28258</v>
      </c>
      <c r="D18" s="19">
        <v>11879</v>
      </c>
      <c r="E18" s="19">
        <f t="shared" si="0"/>
        <v>67073</v>
      </c>
      <c r="F18" s="18">
        <f t="shared" si="1"/>
        <v>0.40159229496220533</v>
      </c>
      <c r="G18" s="18">
        <f t="shared" si="2"/>
        <v>0.42130216331459752</v>
      </c>
      <c r="H18" s="18">
        <f t="shared" si="3"/>
        <v>0.17710554172319712</v>
      </c>
      <c r="I18" s="24">
        <v>147.68</v>
      </c>
      <c r="J18" s="24">
        <v>280.27</v>
      </c>
      <c r="K18" s="24">
        <v>105.92</v>
      </c>
      <c r="L18" s="24">
        <f t="shared" si="4"/>
        <v>196.14452641152175</v>
      </c>
      <c r="N18" s="2">
        <v>41760</v>
      </c>
      <c r="O18" s="19">
        <v>58191</v>
      </c>
      <c r="P18" s="19">
        <v>319780</v>
      </c>
      <c r="Q18" s="19">
        <f t="shared" si="5"/>
        <v>377971</v>
      </c>
      <c r="R18" s="18">
        <f t="shared" si="6"/>
        <v>0.15395625590323067</v>
      </c>
      <c r="S18" s="18">
        <f t="shared" si="7"/>
        <v>0.8460437440967693</v>
      </c>
      <c r="T18" s="24">
        <v>14.19</v>
      </c>
      <c r="U18" s="24">
        <v>8.68</v>
      </c>
      <c r="V18" s="24">
        <f t="shared" si="8"/>
        <v>9.5282989700267997</v>
      </c>
    </row>
    <row r="19" spans="1:22" x14ac:dyDescent="0.25">
      <c r="A19" s="2">
        <v>41791</v>
      </c>
      <c r="B19" s="19">
        <v>27676</v>
      </c>
      <c r="C19" s="19">
        <v>29475</v>
      </c>
      <c r="D19" s="19">
        <v>11956</v>
      </c>
      <c r="E19" s="19">
        <f t="shared" si="0"/>
        <v>69107</v>
      </c>
      <c r="F19" s="18">
        <f t="shared" si="1"/>
        <v>0.40048041442979726</v>
      </c>
      <c r="G19" s="18">
        <f t="shared" si="2"/>
        <v>0.4265125095865831</v>
      </c>
      <c r="H19" s="18">
        <f t="shared" si="3"/>
        <v>0.17300707598361961</v>
      </c>
      <c r="I19" s="24">
        <v>150.47999999999999</v>
      </c>
      <c r="J19" s="24">
        <v>286.08</v>
      </c>
      <c r="K19" s="24">
        <v>106.09</v>
      </c>
      <c r="L19" s="24">
        <f t="shared" si="4"/>
        <v>200.63531219702776</v>
      </c>
      <c r="N19" s="2">
        <v>41791</v>
      </c>
      <c r="O19" s="19">
        <v>59254</v>
      </c>
      <c r="P19" s="19">
        <v>327141</v>
      </c>
      <c r="Q19" s="19">
        <f t="shared" si="5"/>
        <v>386395</v>
      </c>
      <c r="R19" s="18">
        <f t="shared" si="6"/>
        <v>0.1533508456372365</v>
      </c>
      <c r="S19" s="18">
        <f t="shared" si="7"/>
        <v>0.84664915436276345</v>
      </c>
      <c r="T19" s="24">
        <v>13.73</v>
      </c>
      <c r="U19" s="24">
        <v>8.41</v>
      </c>
      <c r="V19" s="24">
        <f t="shared" si="8"/>
        <v>9.2258264987900986</v>
      </c>
    </row>
    <row r="20" spans="1:22" x14ac:dyDescent="0.25">
      <c r="A20" s="2">
        <v>41821</v>
      </c>
      <c r="B20" s="19">
        <v>26794</v>
      </c>
      <c r="C20" s="19">
        <v>28575</v>
      </c>
      <c r="D20" s="19">
        <v>12100</v>
      </c>
      <c r="E20" s="19">
        <f t="shared" si="0"/>
        <v>67469</v>
      </c>
      <c r="F20" s="18">
        <f t="shared" si="1"/>
        <v>0.39713053402303278</v>
      </c>
      <c r="G20" s="18">
        <f t="shared" si="2"/>
        <v>0.4235278424165172</v>
      </c>
      <c r="H20" s="18">
        <f t="shared" si="3"/>
        <v>0.17934162356045</v>
      </c>
      <c r="I20" s="24">
        <v>152.44</v>
      </c>
      <c r="J20" s="24">
        <v>285.81</v>
      </c>
      <c r="K20" s="24">
        <v>105.56</v>
      </c>
      <c r="L20" s="24">
        <f t="shared" si="4"/>
        <v>200.51837303057701</v>
      </c>
      <c r="N20" s="2">
        <v>41821</v>
      </c>
      <c r="O20" s="19">
        <v>60383</v>
      </c>
      <c r="P20" s="19">
        <v>334913</v>
      </c>
      <c r="Q20" s="19">
        <f t="shared" si="5"/>
        <v>395296</v>
      </c>
      <c r="R20" s="18">
        <f t="shared" si="6"/>
        <v>0.15275388569578241</v>
      </c>
      <c r="S20" s="18">
        <f t="shared" si="7"/>
        <v>0.84724611430421759</v>
      </c>
      <c r="T20" s="24">
        <v>14.21</v>
      </c>
      <c r="U20" s="24">
        <v>8.8800000000000008</v>
      </c>
      <c r="V20" s="24">
        <f t="shared" si="8"/>
        <v>9.6941782107585208</v>
      </c>
    </row>
    <row r="21" spans="1:22" x14ac:dyDescent="0.25">
      <c r="A21" s="2">
        <v>41852</v>
      </c>
      <c r="B21" s="19">
        <v>26542</v>
      </c>
      <c r="C21" s="19">
        <v>28660</v>
      </c>
      <c r="D21" s="19">
        <v>12243</v>
      </c>
      <c r="E21" s="19">
        <f t="shared" si="0"/>
        <v>67445</v>
      </c>
      <c r="F21" s="18">
        <f t="shared" si="1"/>
        <v>0.39353547334865446</v>
      </c>
      <c r="G21" s="18">
        <f t="shared" si="2"/>
        <v>0.42493883905404406</v>
      </c>
      <c r="H21" s="18">
        <f t="shared" si="3"/>
        <v>0.1815256875973015</v>
      </c>
      <c r="I21" s="24">
        <v>153.24</v>
      </c>
      <c r="J21" s="24">
        <v>293.26</v>
      </c>
      <c r="K21" s="24">
        <v>106.68</v>
      </c>
      <c r="L21" s="24">
        <f t="shared" si="4"/>
        <v>204.28810022981691</v>
      </c>
      <c r="N21" s="2">
        <v>41852</v>
      </c>
      <c r="O21" s="19">
        <v>61566</v>
      </c>
      <c r="P21" s="19">
        <v>342215</v>
      </c>
      <c r="Q21" s="19">
        <f t="shared" si="5"/>
        <v>403781</v>
      </c>
      <c r="R21" s="18">
        <f t="shared" si="6"/>
        <v>0.15247374195417812</v>
      </c>
      <c r="S21" s="18">
        <f t="shared" si="7"/>
        <v>0.84752625804582182</v>
      </c>
      <c r="T21" s="24">
        <v>13.89</v>
      </c>
      <c r="U21" s="24">
        <v>8.82</v>
      </c>
      <c r="V21" s="24">
        <f t="shared" si="8"/>
        <v>9.5930418717076833</v>
      </c>
    </row>
    <row r="22" spans="1:22" x14ac:dyDescent="0.25">
      <c r="A22" s="2">
        <v>41883</v>
      </c>
      <c r="B22" s="19">
        <v>27038</v>
      </c>
      <c r="C22" s="19">
        <v>29244</v>
      </c>
      <c r="D22" s="19">
        <v>12137</v>
      </c>
      <c r="E22" s="19">
        <f t="shared" si="0"/>
        <v>68419</v>
      </c>
      <c r="F22" s="18">
        <f t="shared" si="1"/>
        <v>0.39518262470951054</v>
      </c>
      <c r="G22" s="18">
        <f t="shared" si="2"/>
        <v>0.4274251304462211</v>
      </c>
      <c r="H22" s="18">
        <f t="shared" si="3"/>
        <v>0.17739224484426841</v>
      </c>
      <c r="I22" s="24">
        <v>159.80000000000001</v>
      </c>
      <c r="J22" s="24">
        <v>284.51</v>
      </c>
      <c r="K22" s="24">
        <v>107.57</v>
      </c>
      <c r="L22" s="24">
        <f t="shared" si="4"/>
        <v>203.83899106973212</v>
      </c>
      <c r="N22" s="2">
        <v>41883</v>
      </c>
      <c r="O22" s="19">
        <v>62486</v>
      </c>
      <c r="P22" s="19">
        <v>347642</v>
      </c>
      <c r="Q22" s="19">
        <f t="shared" si="5"/>
        <v>410128</v>
      </c>
      <c r="R22" s="18">
        <f t="shared" si="6"/>
        <v>0.15235731283891857</v>
      </c>
      <c r="S22" s="18">
        <f t="shared" si="7"/>
        <v>0.84764268716108138</v>
      </c>
      <c r="T22" s="24">
        <v>13.52</v>
      </c>
      <c r="U22" s="24">
        <v>8.7200000000000006</v>
      </c>
      <c r="V22" s="24">
        <f t="shared" si="8"/>
        <v>9.4513151016268093</v>
      </c>
    </row>
    <row r="23" spans="1:22" x14ac:dyDescent="0.25">
      <c r="A23" s="2">
        <v>41913</v>
      </c>
      <c r="B23" s="19">
        <v>26870</v>
      </c>
      <c r="C23" s="19">
        <v>29458</v>
      </c>
      <c r="D23" s="19">
        <v>11881</v>
      </c>
      <c r="E23" s="19">
        <f t="shared" si="0"/>
        <v>68209</v>
      </c>
      <c r="F23" s="18">
        <f t="shared" si="1"/>
        <v>0.39393628406808484</v>
      </c>
      <c r="G23" s="18">
        <f t="shared" si="2"/>
        <v>0.43187849110821153</v>
      </c>
      <c r="H23" s="18">
        <f t="shared" si="3"/>
        <v>0.1741852248237036</v>
      </c>
      <c r="I23" s="24">
        <v>163.16999999999999</v>
      </c>
      <c r="J23" s="24">
        <v>300.66000000000003</v>
      </c>
      <c r="K23" s="24">
        <v>106.85</v>
      </c>
      <c r="L23" s="24">
        <f t="shared" si="4"/>
        <v>212.738861880397</v>
      </c>
      <c r="N23" s="2">
        <v>41913</v>
      </c>
      <c r="O23" s="19">
        <v>64015</v>
      </c>
      <c r="P23" s="19">
        <v>355458</v>
      </c>
      <c r="Q23" s="19">
        <f t="shared" si="5"/>
        <v>419473</v>
      </c>
      <c r="R23" s="18">
        <f t="shared" si="6"/>
        <v>0.15260815356411497</v>
      </c>
      <c r="S23" s="18">
        <f t="shared" si="7"/>
        <v>0.84739184643588505</v>
      </c>
      <c r="T23" s="24">
        <v>13.33</v>
      </c>
      <c r="U23" s="24">
        <v>8.76</v>
      </c>
      <c r="V23" s="24">
        <f t="shared" si="8"/>
        <v>9.4574192617880044</v>
      </c>
    </row>
    <row r="24" spans="1:22" x14ac:dyDescent="0.25">
      <c r="A24" s="2">
        <v>41944</v>
      </c>
      <c r="B24" s="19">
        <v>25877</v>
      </c>
      <c r="C24" s="19">
        <v>29662</v>
      </c>
      <c r="D24" s="19">
        <v>11798</v>
      </c>
      <c r="E24" s="19">
        <f t="shared" si="0"/>
        <v>67337</v>
      </c>
      <c r="F24" s="18">
        <f t="shared" si="1"/>
        <v>0.38429095445297534</v>
      </c>
      <c r="G24" s="18">
        <f t="shared" si="2"/>
        <v>0.44050076480983708</v>
      </c>
      <c r="H24" s="18">
        <f t="shared" si="3"/>
        <v>0.17520828073718758</v>
      </c>
      <c r="I24" s="24">
        <v>166.31</v>
      </c>
      <c r="J24" s="24">
        <v>312.83</v>
      </c>
      <c r="K24" s="24">
        <v>106.99</v>
      </c>
      <c r="L24" s="24">
        <f t="shared" si="4"/>
        <v>220.45881684660736</v>
      </c>
      <c r="N24" s="2">
        <v>41944</v>
      </c>
      <c r="O24" s="19">
        <v>65152</v>
      </c>
      <c r="P24" s="19">
        <v>362690</v>
      </c>
      <c r="Q24" s="19">
        <f t="shared" si="5"/>
        <v>427842</v>
      </c>
      <c r="R24" s="18">
        <f t="shared" si="6"/>
        <v>0.15228051476947096</v>
      </c>
      <c r="S24" s="18">
        <f t="shared" si="7"/>
        <v>0.84771948523052898</v>
      </c>
      <c r="T24" s="24">
        <v>13.33</v>
      </c>
      <c r="U24" s="24">
        <v>8.56</v>
      </c>
      <c r="V24" s="24">
        <f t="shared" si="8"/>
        <v>9.2863780554503759</v>
      </c>
    </row>
    <row r="25" spans="1:22" x14ac:dyDescent="0.25">
      <c r="A25" s="2">
        <v>41974</v>
      </c>
      <c r="B25" s="19">
        <v>24578</v>
      </c>
      <c r="C25" s="19">
        <v>28510</v>
      </c>
      <c r="D25" s="19">
        <v>11782</v>
      </c>
      <c r="E25" s="19">
        <f t="shared" si="0"/>
        <v>64870</v>
      </c>
      <c r="F25" s="18">
        <f t="shared" si="1"/>
        <v>0.37888083860027749</v>
      </c>
      <c r="G25" s="18">
        <f t="shared" si="2"/>
        <v>0.43949437336210884</v>
      </c>
      <c r="H25" s="18">
        <f t="shared" si="3"/>
        <v>0.1816247880376137</v>
      </c>
      <c r="I25" s="24">
        <v>174.61</v>
      </c>
      <c r="J25" s="24">
        <v>320.55</v>
      </c>
      <c r="K25" s="24">
        <v>104.11</v>
      </c>
      <c r="L25" s="24">
        <f t="shared" si="4"/>
        <v>225.94526129181443</v>
      </c>
      <c r="N25" s="2">
        <v>41974</v>
      </c>
      <c r="O25" s="19">
        <v>66670</v>
      </c>
      <c r="P25" s="19">
        <v>370336</v>
      </c>
      <c r="Q25" s="19">
        <f t="shared" si="5"/>
        <v>437006</v>
      </c>
      <c r="R25" s="18">
        <f t="shared" si="6"/>
        <v>0.15256083440501961</v>
      </c>
      <c r="S25" s="18">
        <f t="shared" si="7"/>
        <v>0.84743916559498034</v>
      </c>
      <c r="T25" s="24">
        <v>12.15</v>
      </c>
      <c r="U25" s="24">
        <v>8.39</v>
      </c>
      <c r="V25" s="24">
        <f t="shared" si="8"/>
        <v>8.9636287373628729</v>
      </c>
    </row>
    <row r="26" spans="1:22" x14ac:dyDescent="0.25">
      <c r="A26" s="2">
        <v>42005</v>
      </c>
      <c r="B26" s="19">
        <v>26535</v>
      </c>
      <c r="C26" s="19">
        <v>29636</v>
      </c>
      <c r="D26" s="19">
        <v>11926</v>
      </c>
      <c r="E26" s="19">
        <f t="shared" si="0"/>
        <v>68097</v>
      </c>
      <c r="F26" s="18">
        <f t="shared" si="1"/>
        <v>0.38966474294021763</v>
      </c>
      <c r="G26" s="18">
        <f t="shared" si="2"/>
        <v>0.43520272552388506</v>
      </c>
      <c r="H26" s="18">
        <f t="shared" si="3"/>
        <v>0.17513253153589733</v>
      </c>
      <c r="I26" s="24">
        <v>181.34</v>
      </c>
      <c r="J26" s="24">
        <v>326.74</v>
      </c>
      <c r="K26" s="24">
        <v>106.34</v>
      </c>
      <c r="L26" s="24">
        <f t="shared" si="4"/>
        <v>231.48353642598056</v>
      </c>
      <c r="N26" s="2">
        <v>42005</v>
      </c>
      <c r="O26" s="19">
        <v>67815</v>
      </c>
      <c r="P26" s="19">
        <v>377359</v>
      </c>
      <c r="Q26" s="19">
        <f t="shared" si="5"/>
        <v>445174</v>
      </c>
      <c r="R26" s="18">
        <f t="shared" si="6"/>
        <v>0.15233369424090357</v>
      </c>
      <c r="S26" s="18">
        <f t="shared" si="7"/>
        <v>0.84766630575909641</v>
      </c>
      <c r="T26" s="24">
        <v>12.47</v>
      </c>
      <c r="U26" s="24">
        <v>8.81</v>
      </c>
      <c r="V26" s="24">
        <f t="shared" si="8"/>
        <v>9.367541320921708</v>
      </c>
    </row>
    <row r="27" spans="1:22" x14ac:dyDescent="0.25">
      <c r="A27" s="2">
        <v>42036</v>
      </c>
      <c r="B27" s="19">
        <v>26849</v>
      </c>
      <c r="C27" s="19">
        <v>31717</v>
      </c>
      <c r="D27" s="19">
        <v>12099</v>
      </c>
      <c r="E27" s="19">
        <f t="shared" si="0"/>
        <v>70665</v>
      </c>
      <c r="F27" s="18">
        <f t="shared" si="1"/>
        <v>0.37994764027453476</v>
      </c>
      <c r="G27" s="18">
        <f t="shared" si="2"/>
        <v>0.44883605745418526</v>
      </c>
      <c r="H27" s="18">
        <f t="shared" si="3"/>
        <v>0.17121630227127999</v>
      </c>
      <c r="I27" s="24">
        <v>185.97</v>
      </c>
      <c r="J27" s="24">
        <v>333.69</v>
      </c>
      <c r="K27" s="24">
        <v>112.07</v>
      </c>
      <c r="L27" s="24">
        <f t="shared" si="4"/>
        <v>239.61917766928465</v>
      </c>
      <c r="N27" s="2">
        <v>42036</v>
      </c>
      <c r="O27" s="19">
        <v>68476</v>
      </c>
      <c r="P27" s="19">
        <v>381972</v>
      </c>
      <c r="Q27" s="19">
        <f t="shared" si="5"/>
        <v>450448</v>
      </c>
      <c r="R27" s="18">
        <f t="shared" si="6"/>
        <v>0.15201754697545555</v>
      </c>
      <c r="S27" s="18">
        <f t="shared" si="7"/>
        <v>0.84798245302454445</v>
      </c>
      <c r="T27" s="24">
        <v>12.96</v>
      </c>
      <c r="U27" s="24">
        <v>8.1</v>
      </c>
      <c r="V27" s="24">
        <f t="shared" si="8"/>
        <v>8.8388052783007147</v>
      </c>
    </row>
    <row r="28" spans="1:22" x14ac:dyDescent="0.25">
      <c r="A28" s="2">
        <v>42064</v>
      </c>
      <c r="B28" s="19">
        <v>27284</v>
      </c>
      <c r="C28" s="19">
        <v>30646</v>
      </c>
      <c r="D28" s="19">
        <v>12315</v>
      </c>
      <c r="E28" s="19">
        <f t="shared" si="0"/>
        <v>70245</v>
      </c>
      <c r="F28" s="18">
        <f t="shared" si="1"/>
        <v>0.38841198661826465</v>
      </c>
      <c r="G28" s="18">
        <f t="shared" si="2"/>
        <v>0.43627304434479325</v>
      </c>
      <c r="H28" s="18">
        <f t="shared" si="3"/>
        <v>0.17531496903694213</v>
      </c>
      <c r="I28" s="24">
        <v>191.29</v>
      </c>
      <c r="J28" s="24">
        <v>335.58</v>
      </c>
      <c r="K28" s="24">
        <v>111.48</v>
      </c>
      <c r="L28" s="24">
        <f t="shared" si="4"/>
        <v>240.24794988967187</v>
      </c>
      <c r="N28" s="2">
        <v>42064</v>
      </c>
      <c r="O28" s="19">
        <v>68961</v>
      </c>
      <c r="P28" s="19">
        <v>388738</v>
      </c>
      <c r="Q28" s="19">
        <f t="shared" si="5"/>
        <v>457699</v>
      </c>
      <c r="R28" s="18">
        <f t="shared" si="6"/>
        <v>0.15066888937926454</v>
      </c>
      <c r="S28" s="18">
        <f t="shared" si="7"/>
        <v>0.84933111062073541</v>
      </c>
      <c r="T28" s="24">
        <v>13.33</v>
      </c>
      <c r="U28" s="24">
        <v>9.24</v>
      </c>
      <c r="V28" s="24">
        <f t="shared" si="8"/>
        <v>9.8562357575611905</v>
      </c>
    </row>
    <row r="29" spans="1:22" x14ac:dyDescent="0.25">
      <c r="A29" s="2">
        <v>42095</v>
      </c>
      <c r="B29" s="19">
        <v>27528</v>
      </c>
      <c r="C29" s="19">
        <v>31593</v>
      </c>
      <c r="D29" s="19">
        <v>12417</v>
      </c>
      <c r="E29" s="19">
        <f t="shared" si="0"/>
        <v>71538</v>
      </c>
      <c r="F29" s="18">
        <f t="shared" si="1"/>
        <v>0.38480248259666189</v>
      </c>
      <c r="G29" s="18">
        <f t="shared" si="2"/>
        <v>0.44162542984148284</v>
      </c>
      <c r="H29" s="18">
        <f t="shared" si="3"/>
        <v>0.17357208756185524</v>
      </c>
      <c r="I29" s="24">
        <v>196.5</v>
      </c>
      <c r="J29" s="24">
        <v>335.99</v>
      </c>
      <c r="K29" s="24">
        <v>114.52</v>
      </c>
      <c r="L29" s="24">
        <f t="shared" si="4"/>
        <v>243.87289147026755</v>
      </c>
      <c r="N29" s="2">
        <v>42095</v>
      </c>
      <c r="O29" s="19">
        <v>69396</v>
      </c>
      <c r="P29" s="19">
        <v>396349</v>
      </c>
      <c r="Q29" s="19">
        <f t="shared" si="5"/>
        <v>465745</v>
      </c>
      <c r="R29" s="18">
        <f t="shared" si="6"/>
        <v>0.14899998926451169</v>
      </c>
      <c r="S29" s="18">
        <f t="shared" si="7"/>
        <v>0.85100001073548825</v>
      </c>
      <c r="T29" s="24">
        <v>13.08</v>
      </c>
      <c r="U29" s="24">
        <v>9.1999999999999993</v>
      </c>
      <c r="V29" s="24">
        <f t="shared" si="8"/>
        <v>9.7781199583463039</v>
      </c>
    </row>
    <row r="30" spans="1:22" x14ac:dyDescent="0.25">
      <c r="A30" s="2">
        <v>42125</v>
      </c>
      <c r="B30" s="19">
        <v>27083</v>
      </c>
      <c r="C30" s="19">
        <v>32345</v>
      </c>
      <c r="D30" s="19">
        <v>12376</v>
      </c>
      <c r="E30" s="19">
        <f t="shared" si="0"/>
        <v>71804</v>
      </c>
      <c r="F30" s="18">
        <f t="shared" si="1"/>
        <v>0.37717954431507994</v>
      </c>
      <c r="G30" s="18">
        <f t="shared" si="2"/>
        <v>0.45046236978441312</v>
      </c>
      <c r="H30" s="18">
        <f t="shared" si="3"/>
        <v>0.17235808590050694</v>
      </c>
      <c r="I30" s="24">
        <v>202.34</v>
      </c>
      <c r="J30" s="24">
        <v>355.11</v>
      </c>
      <c r="K30" s="24">
        <v>115.85</v>
      </c>
      <c r="L30" s="24">
        <f t="shared" si="4"/>
        <v>256.24988538242997</v>
      </c>
      <c r="N30" s="2">
        <v>42125</v>
      </c>
      <c r="O30" s="19">
        <v>69816</v>
      </c>
      <c r="P30" s="19">
        <v>401137</v>
      </c>
      <c r="Q30" s="19">
        <f t="shared" si="5"/>
        <v>470953</v>
      </c>
      <c r="R30" s="18">
        <f t="shared" si="6"/>
        <v>0.14824409229795754</v>
      </c>
      <c r="S30" s="18">
        <f t="shared" si="7"/>
        <v>0.85175590770204246</v>
      </c>
      <c r="T30" s="24">
        <v>14.16</v>
      </c>
      <c r="U30" s="24">
        <v>9.4499999999999993</v>
      </c>
      <c r="V30" s="24">
        <f t="shared" si="8"/>
        <v>10.148229674723378</v>
      </c>
    </row>
    <row r="31" spans="1:22" x14ac:dyDescent="0.25">
      <c r="A31" s="2">
        <v>42156</v>
      </c>
      <c r="B31" s="19">
        <v>27683</v>
      </c>
      <c r="C31" s="19">
        <v>31949</v>
      </c>
      <c r="D31" s="19">
        <v>12719</v>
      </c>
      <c r="E31" s="19">
        <f t="shared" si="0"/>
        <v>72351</v>
      </c>
      <c r="F31" s="18">
        <f t="shared" si="1"/>
        <v>0.38262083454271539</v>
      </c>
      <c r="G31" s="18">
        <f t="shared" si="2"/>
        <v>0.44158339207474673</v>
      </c>
      <c r="H31" s="18">
        <f t="shared" si="3"/>
        <v>0.17579577338253791</v>
      </c>
      <c r="I31" s="24">
        <v>209.69</v>
      </c>
      <c r="J31" s="24">
        <v>376.25</v>
      </c>
      <c r="K31" s="24">
        <v>119.6</v>
      </c>
      <c r="L31" s="24">
        <f t="shared" si="4"/>
        <v>267.40268855993696</v>
      </c>
      <c r="N31" s="2">
        <v>42156</v>
      </c>
      <c r="O31" s="19">
        <v>70395</v>
      </c>
      <c r="P31" s="19">
        <v>405963</v>
      </c>
      <c r="Q31" s="19">
        <f t="shared" si="5"/>
        <v>476358</v>
      </c>
      <c r="R31" s="18">
        <f t="shared" si="6"/>
        <v>0.14777751187132368</v>
      </c>
      <c r="S31" s="18">
        <f t="shared" si="7"/>
        <v>0.85222248812867629</v>
      </c>
      <c r="T31" s="24">
        <v>14.7</v>
      </c>
      <c r="U31" s="24">
        <v>9.73</v>
      </c>
      <c r="V31" s="24">
        <f t="shared" si="8"/>
        <v>10.464454234000479</v>
      </c>
    </row>
    <row r="32" spans="1:22" x14ac:dyDescent="0.25">
      <c r="A32" s="2">
        <v>42186</v>
      </c>
      <c r="B32" s="19">
        <v>27039</v>
      </c>
      <c r="C32" s="19">
        <v>31959</v>
      </c>
      <c r="D32" s="19">
        <v>12760</v>
      </c>
      <c r="E32" s="19">
        <f t="shared" si="0"/>
        <v>71758</v>
      </c>
      <c r="F32" s="18">
        <f t="shared" si="1"/>
        <v>0.37680816076256307</v>
      </c>
      <c r="G32" s="18">
        <f t="shared" si="2"/>
        <v>0.44537194459154378</v>
      </c>
      <c r="H32" s="18">
        <f t="shared" si="3"/>
        <v>0.17781989464589315</v>
      </c>
      <c r="I32" s="24">
        <v>213.84</v>
      </c>
      <c r="J32" s="24">
        <v>398.09</v>
      </c>
      <c r="K32" s="24">
        <v>120.65</v>
      </c>
      <c r="L32" s="24">
        <f t="shared" si="4"/>
        <v>279.32874480894111</v>
      </c>
      <c r="N32" s="2">
        <v>42186</v>
      </c>
      <c r="O32" s="19">
        <v>70915</v>
      </c>
      <c r="P32" s="19">
        <v>411309</v>
      </c>
      <c r="Q32" s="19">
        <f t="shared" si="5"/>
        <v>482224</v>
      </c>
      <c r="R32" s="18">
        <f t="shared" si="6"/>
        <v>0.14705821361027241</v>
      </c>
      <c r="S32" s="18">
        <f t="shared" si="7"/>
        <v>0.85294178638972762</v>
      </c>
      <c r="T32" s="24">
        <v>14.87</v>
      </c>
      <c r="U32" s="24">
        <v>10.08</v>
      </c>
      <c r="V32" s="24">
        <f t="shared" si="8"/>
        <v>10.784408843193205</v>
      </c>
    </row>
    <row r="33" spans="1:22" x14ac:dyDescent="0.25">
      <c r="A33" s="2">
        <v>42217</v>
      </c>
      <c r="B33" s="19">
        <v>27725</v>
      </c>
      <c r="C33" s="19">
        <v>32381</v>
      </c>
      <c r="D33" s="19">
        <v>12668</v>
      </c>
      <c r="E33" s="19">
        <f t="shared" si="0"/>
        <v>72774</v>
      </c>
      <c r="F33" s="18">
        <f t="shared" si="1"/>
        <v>0.38097397422156265</v>
      </c>
      <c r="G33" s="18">
        <f t="shared" si="2"/>
        <v>0.4449528677824498</v>
      </c>
      <c r="H33" s="18">
        <f t="shared" si="3"/>
        <v>0.17407315799598758</v>
      </c>
      <c r="I33" s="24">
        <v>218.92</v>
      </c>
      <c r="J33" s="24">
        <v>401.41</v>
      </c>
      <c r="K33" s="24">
        <v>129.16</v>
      </c>
      <c r="L33" s="24">
        <f t="shared" si="4"/>
        <v>284.49464217989947</v>
      </c>
      <c r="N33" s="2">
        <v>42217</v>
      </c>
      <c r="O33" s="19">
        <v>71370</v>
      </c>
      <c r="P33" s="19">
        <v>416120</v>
      </c>
      <c r="Q33" s="19">
        <f t="shared" si="5"/>
        <v>487490</v>
      </c>
      <c r="R33" s="18">
        <f t="shared" si="6"/>
        <v>0.14640300313852592</v>
      </c>
      <c r="S33" s="18">
        <f t="shared" si="7"/>
        <v>0.85359699686147406</v>
      </c>
      <c r="T33" s="24">
        <v>14.59</v>
      </c>
      <c r="U33" s="24">
        <v>9.86</v>
      </c>
      <c r="V33" s="24">
        <f t="shared" si="8"/>
        <v>10.552486204845227</v>
      </c>
    </row>
    <row r="34" spans="1:22" x14ac:dyDescent="0.25">
      <c r="A34" s="2">
        <v>42248</v>
      </c>
      <c r="B34" s="19">
        <v>27531</v>
      </c>
      <c r="C34" s="19">
        <v>33153</v>
      </c>
      <c r="D34" s="19">
        <v>12528</v>
      </c>
      <c r="E34" s="19">
        <f t="shared" si="0"/>
        <v>73212</v>
      </c>
      <c r="F34" s="18">
        <f t="shared" si="1"/>
        <v>0.37604491067038193</v>
      </c>
      <c r="G34" s="18">
        <f t="shared" si="2"/>
        <v>0.45283560072119322</v>
      </c>
      <c r="H34" s="18">
        <f t="shared" si="3"/>
        <v>0.17111948860842485</v>
      </c>
      <c r="I34" s="24">
        <v>228.91</v>
      </c>
      <c r="J34" s="24">
        <v>414.97</v>
      </c>
      <c r="K34" s="24">
        <v>129.03</v>
      </c>
      <c r="L34" s="24">
        <f t="shared" ref="L34:L65" si="9">F34*I34+G34*J34+H34*K34</f>
        <v>296.07317734797573</v>
      </c>
      <c r="N34" s="2">
        <v>42248</v>
      </c>
      <c r="O34" s="19">
        <v>71856</v>
      </c>
      <c r="P34" s="19">
        <v>420061</v>
      </c>
      <c r="Q34" s="19">
        <f t="shared" si="5"/>
        <v>491917</v>
      </c>
      <c r="R34" s="18">
        <f t="shared" ref="R34:R60" si="10">O34/$Q34</f>
        <v>0.14607342295549858</v>
      </c>
      <c r="S34" s="18">
        <f t="shared" ref="S34:S60" si="11">P34/$Q34</f>
        <v>0.85392657704450137</v>
      </c>
      <c r="T34" s="24">
        <v>14.97</v>
      </c>
      <c r="U34" s="24">
        <v>9.65</v>
      </c>
      <c r="V34" s="24">
        <f t="shared" ref="V34:V65" si="12">R34*T34+S34*U34</f>
        <v>10.427110610123252</v>
      </c>
    </row>
    <row r="35" spans="1:22" x14ac:dyDescent="0.25">
      <c r="A35" s="2">
        <v>42278</v>
      </c>
      <c r="B35" s="19">
        <v>27568</v>
      </c>
      <c r="C35" s="19">
        <v>34056</v>
      </c>
      <c r="D35" s="19">
        <v>12268</v>
      </c>
      <c r="E35" s="19">
        <f t="shared" si="0"/>
        <v>73892</v>
      </c>
      <c r="F35" s="18">
        <f t="shared" si="1"/>
        <v>0.37308504303578194</v>
      </c>
      <c r="G35" s="18">
        <f t="shared" si="2"/>
        <v>0.46088886482975155</v>
      </c>
      <c r="H35" s="18">
        <f t="shared" si="3"/>
        <v>0.16602609213446651</v>
      </c>
      <c r="I35" s="24">
        <v>241.5</v>
      </c>
      <c r="J35" s="24">
        <v>399.97</v>
      </c>
      <c r="K35" s="24">
        <v>131.31</v>
      </c>
      <c r="L35" s="24">
        <f t="shared" si="9"/>
        <v>296.24264331727386</v>
      </c>
      <c r="N35" s="2">
        <v>42278</v>
      </c>
      <c r="O35" s="19">
        <v>72477</v>
      </c>
      <c r="P35" s="19">
        <v>423970</v>
      </c>
      <c r="Q35" s="19">
        <f t="shared" si="5"/>
        <v>496447</v>
      </c>
      <c r="R35" s="18">
        <f t="shared" si="10"/>
        <v>0.14599141499495413</v>
      </c>
      <c r="S35" s="18">
        <f t="shared" si="11"/>
        <v>0.85400858500504584</v>
      </c>
      <c r="T35" s="24">
        <v>14.98</v>
      </c>
      <c r="U35" s="24">
        <v>9.73</v>
      </c>
      <c r="V35" s="24">
        <f t="shared" si="12"/>
        <v>10.496454928723509</v>
      </c>
    </row>
    <row r="36" spans="1:22" x14ac:dyDescent="0.25">
      <c r="A36" s="2">
        <v>42309</v>
      </c>
      <c r="B36" s="19">
        <v>27254</v>
      </c>
      <c r="C36" s="19">
        <v>35838</v>
      </c>
      <c r="D36" s="19">
        <v>11965</v>
      </c>
      <c r="E36" s="19">
        <f t="shared" si="0"/>
        <v>75057</v>
      </c>
      <c r="F36" s="18">
        <f t="shared" si="1"/>
        <v>0.3631107025327418</v>
      </c>
      <c r="G36" s="18">
        <f t="shared" si="2"/>
        <v>0.47747711739078302</v>
      </c>
      <c r="H36" s="18">
        <f t="shared" si="3"/>
        <v>0.1594121800764752</v>
      </c>
      <c r="I36" s="24">
        <v>247.79</v>
      </c>
      <c r="J36" s="24">
        <v>422.49</v>
      </c>
      <c r="K36" s="24">
        <v>134.84</v>
      </c>
      <c r="L36" s="24">
        <f t="shared" si="9"/>
        <v>313.1996466685319</v>
      </c>
      <c r="N36" s="2">
        <v>42309</v>
      </c>
      <c r="O36" s="19">
        <v>72742</v>
      </c>
      <c r="P36" s="19">
        <v>427944</v>
      </c>
      <c r="Q36" s="19">
        <f t="shared" si="5"/>
        <v>500686</v>
      </c>
      <c r="R36" s="18">
        <f t="shared" si="10"/>
        <v>0.14528466943353718</v>
      </c>
      <c r="S36" s="18">
        <f t="shared" si="11"/>
        <v>0.85471533056646276</v>
      </c>
      <c r="T36" s="24">
        <v>15.12</v>
      </c>
      <c r="U36" s="24">
        <v>9.83</v>
      </c>
      <c r="V36" s="24">
        <f t="shared" si="12"/>
        <v>10.598555901303412</v>
      </c>
    </row>
    <row r="37" spans="1:22" x14ac:dyDescent="0.25">
      <c r="A37" s="2">
        <v>42339</v>
      </c>
      <c r="B37" s="19">
        <v>24645</v>
      </c>
      <c r="C37" s="19">
        <v>34507</v>
      </c>
      <c r="D37" s="19">
        <v>11603</v>
      </c>
      <c r="E37" s="19">
        <f t="shared" si="0"/>
        <v>70755</v>
      </c>
      <c r="F37" s="18">
        <f t="shared" si="1"/>
        <v>0.34831460674157305</v>
      </c>
      <c r="G37" s="18">
        <f t="shared" si="2"/>
        <v>0.48769698254540317</v>
      </c>
      <c r="H37" s="18">
        <f t="shared" si="3"/>
        <v>0.16398841071302381</v>
      </c>
      <c r="I37" s="24">
        <v>251.08</v>
      </c>
      <c r="J37" s="24">
        <v>430.83</v>
      </c>
      <c r="K37" s="24">
        <v>136.21</v>
      </c>
      <c r="L37" s="24">
        <f t="shared" si="9"/>
        <v>319.90618387393118</v>
      </c>
      <c r="N37" s="2">
        <v>42339</v>
      </c>
      <c r="O37" s="19">
        <v>72631</v>
      </c>
      <c r="P37" s="19">
        <v>432673</v>
      </c>
      <c r="Q37" s="19">
        <f t="shared" si="5"/>
        <v>505304</v>
      </c>
      <c r="R37" s="18">
        <f t="shared" si="10"/>
        <v>0.14373723540680461</v>
      </c>
      <c r="S37" s="18">
        <f t="shared" si="11"/>
        <v>0.85626276459319539</v>
      </c>
      <c r="T37" s="24">
        <v>14.21</v>
      </c>
      <c r="U37" s="24">
        <v>9.4</v>
      </c>
      <c r="V37" s="24">
        <f t="shared" si="12"/>
        <v>10.091376102306731</v>
      </c>
    </row>
    <row r="38" spans="1:22" x14ac:dyDescent="0.25">
      <c r="A38" s="2">
        <v>42370</v>
      </c>
      <c r="B38" s="19">
        <v>26020</v>
      </c>
      <c r="C38" s="19">
        <v>35833</v>
      </c>
      <c r="D38" s="19">
        <v>11391</v>
      </c>
      <c r="E38" s="19">
        <f t="shared" si="0"/>
        <v>73244</v>
      </c>
      <c r="F38" s="18">
        <f t="shared" si="1"/>
        <v>0.35525094205668722</v>
      </c>
      <c r="G38" s="18">
        <f t="shared" si="2"/>
        <v>0.48922778657637483</v>
      </c>
      <c r="H38" s="18">
        <f t="shared" si="3"/>
        <v>0.15552127136693791</v>
      </c>
      <c r="I38" s="24">
        <v>255.95</v>
      </c>
      <c r="J38" s="24">
        <v>447.78</v>
      </c>
      <c r="K38" s="24">
        <v>144.44999999999999</v>
      </c>
      <c r="L38" s="24">
        <f t="shared" si="9"/>
        <v>332.45794454153236</v>
      </c>
      <c r="N38" s="2">
        <v>42370</v>
      </c>
      <c r="O38" s="19">
        <v>73339</v>
      </c>
      <c r="P38" s="19">
        <v>435093</v>
      </c>
      <c r="Q38" s="19">
        <f t="shared" si="5"/>
        <v>508432</v>
      </c>
      <c r="R38" s="18">
        <f t="shared" si="10"/>
        <v>0.14424544481857948</v>
      </c>
      <c r="S38" s="18">
        <f t="shared" si="11"/>
        <v>0.85575455518142052</v>
      </c>
      <c r="T38" s="24">
        <v>15.14</v>
      </c>
      <c r="U38" s="24">
        <v>9.7100000000000009</v>
      </c>
      <c r="V38" s="24">
        <f t="shared" si="12"/>
        <v>10.493252765364888</v>
      </c>
    </row>
    <row r="39" spans="1:22" x14ac:dyDescent="0.25">
      <c r="A39" s="2">
        <v>42401</v>
      </c>
      <c r="B39" s="19">
        <v>27611</v>
      </c>
      <c r="C39" s="19">
        <v>37051</v>
      </c>
      <c r="D39" s="19">
        <v>11358</v>
      </c>
      <c r="E39" s="19">
        <f t="shared" si="0"/>
        <v>76020</v>
      </c>
      <c r="F39" s="18">
        <f t="shared" si="1"/>
        <v>0.36320705077611154</v>
      </c>
      <c r="G39" s="18">
        <f t="shared" si="2"/>
        <v>0.48738489871086554</v>
      </c>
      <c r="H39" s="18">
        <f t="shared" si="3"/>
        <v>0.14940805051302289</v>
      </c>
      <c r="I39" s="24">
        <v>255.87</v>
      </c>
      <c r="J39" s="24">
        <v>454.3</v>
      </c>
      <c r="K39" s="24">
        <v>146.08000000000001</v>
      </c>
      <c r="L39" s="24">
        <f t="shared" si="9"/>
        <v>336.17827558537232</v>
      </c>
      <c r="N39" s="2">
        <v>42401</v>
      </c>
      <c r="O39" s="19">
        <v>73298</v>
      </c>
      <c r="P39" s="19">
        <v>437501</v>
      </c>
      <c r="Q39" s="19">
        <f t="shared" si="5"/>
        <v>510799</v>
      </c>
      <c r="R39" s="18">
        <f t="shared" si="10"/>
        <v>0.14349675704141943</v>
      </c>
      <c r="S39" s="18">
        <f t="shared" si="11"/>
        <v>0.8565032429585806</v>
      </c>
      <c r="T39" s="24">
        <v>14.74</v>
      </c>
      <c r="U39" s="24">
        <v>9.3699999999999992</v>
      </c>
      <c r="V39" s="24">
        <f t="shared" si="12"/>
        <v>10.140577585312421</v>
      </c>
    </row>
    <row r="40" spans="1:22" x14ac:dyDescent="0.25">
      <c r="A40" s="2">
        <v>42430</v>
      </c>
      <c r="B40" s="19">
        <v>27209</v>
      </c>
      <c r="C40" s="19">
        <v>36388</v>
      </c>
      <c r="D40" s="19">
        <v>11429</v>
      </c>
      <c r="E40" s="19">
        <f t="shared" si="0"/>
        <v>75026</v>
      </c>
      <c r="F40" s="18">
        <f t="shared" si="1"/>
        <v>0.36266094420600858</v>
      </c>
      <c r="G40" s="18">
        <f t="shared" si="2"/>
        <v>0.48500519819795807</v>
      </c>
      <c r="H40" s="18">
        <f t="shared" si="3"/>
        <v>0.15233385759603338</v>
      </c>
      <c r="I40" s="24">
        <v>263</v>
      </c>
      <c r="J40" s="24">
        <v>457.87</v>
      </c>
      <c r="K40" s="24">
        <v>145.91</v>
      </c>
      <c r="L40" s="24">
        <f t="shared" si="9"/>
        <v>339.67619158691656</v>
      </c>
      <c r="N40" s="2">
        <v>42430</v>
      </c>
      <c r="O40" s="19">
        <v>73428</v>
      </c>
      <c r="P40" s="19">
        <v>441468</v>
      </c>
      <c r="Q40" s="19">
        <f t="shared" si="5"/>
        <v>514896</v>
      </c>
      <c r="R40" s="18">
        <f t="shared" si="10"/>
        <v>0.14260743917218235</v>
      </c>
      <c r="S40" s="18">
        <f t="shared" si="11"/>
        <v>0.85739256082781767</v>
      </c>
      <c r="T40" s="24">
        <v>15.3</v>
      </c>
      <c r="U40" s="24">
        <v>10</v>
      </c>
      <c r="V40" s="24">
        <f t="shared" si="12"/>
        <v>10.755819427612568</v>
      </c>
    </row>
    <row r="41" spans="1:22" x14ac:dyDescent="0.25">
      <c r="A41" s="2">
        <v>42461</v>
      </c>
      <c r="B41" s="19">
        <v>26335</v>
      </c>
      <c r="C41" s="19">
        <v>37175</v>
      </c>
      <c r="D41" s="19">
        <v>11434</v>
      </c>
      <c r="E41" s="19">
        <f t="shared" si="0"/>
        <v>74944</v>
      </c>
      <c r="F41" s="18">
        <f t="shared" si="1"/>
        <v>0.35139570879590093</v>
      </c>
      <c r="G41" s="18">
        <f t="shared" si="2"/>
        <v>0.4960370409906063</v>
      </c>
      <c r="H41" s="18">
        <f t="shared" si="3"/>
        <v>0.15256725021349274</v>
      </c>
      <c r="I41" s="24">
        <v>268.98</v>
      </c>
      <c r="J41" s="24">
        <v>463.14</v>
      </c>
      <c r="K41" s="24">
        <v>150.41</v>
      </c>
      <c r="L41" s="24">
        <f t="shared" si="9"/>
        <v>347.20065302092223</v>
      </c>
      <c r="N41" s="2">
        <v>42461</v>
      </c>
      <c r="O41" s="19">
        <v>73590</v>
      </c>
      <c r="P41" s="19">
        <v>441951</v>
      </c>
      <c r="Q41" s="19">
        <f t="shared" si="5"/>
        <v>515541</v>
      </c>
      <c r="R41" s="18">
        <f t="shared" si="10"/>
        <v>0.14274325417377084</v>
      </c>
      <c r="S41" s="18">
        <f t="shared" si="11"/>
        <v>0.85725674582622913</v>
      </c>
      <c r="T41" s="24">
        <v>14.98</v>
      </c>
      <c r="U41" s="24">
        <v>9.83</v>
      </c>
      <c r="V41" s="24">
        <f t="shared" si="12"/>
        <v>10.565127758994919</v>
      </c>
    </row>
    <row r="42" spans="1:22" x14ac:dyDescent="0.25">
      <c r="A42" s="2">
        <v>42491</v>
      </c>
      <c r="B42" s="19">
        <v>26781</v>
      </c>
      <c r="C42" s="19">
        <v>37354</v>
      </c>
      <c r="D42" s="19">
        <v>11784</v>
      </c>
      <c r="E42" s="19">
        <f t="shared" si="0"/>
        <v>75919</v>
      </c>
      <c r="F42" s="18">
        <f t="shared" si="1"/>
        <v>0.35275754422476585</v>
      </c>
      <c r="G42" s="18">
        <f t="shared" si="2"/>
        <v>0.4920243944203691</v>
      </c>
      <c r="H42" s="18">
        <f t="shared" si="3"/>
        <v>0.15521806135486504</v>
      </c>
      <c r="I42" s="24">
        <v>270.24</v>
      </c>
      <c r="J42" s="24">
        <v>474.71</v>
      </c>
      <c r="K42" s="24">
        <v>148.99</v>
      </c>
      <c r="L42" s="24">
        <f t="shared" si="9"/>
        <v>352.02403798785548</v>
      </c>
      <c r="N42" s="2">
        <v>42491</v>
      </c>
      <c r="O42" s="19">
        <v>73627</v>
      </c>
      <c r="P42" s="19">
        <v>445177</v>
      </c>
      <c r="Q42" s="19">
        <f t="shared" si="5"/>
        <v>518804</v>
      </c>
      <c r="R42" s="18">
        <f t="shared" si="10"/>
        <v>0.14191679323983625</v>
      </c>
      <c r="S42" s="18">
        <f t="shared" si="11"/>
        <v>0.85808320676016381</v>
      </c>
      <c r="T42" s="24">
        <v>15.76</v>
      </c>
      <c r="U42" s="24">
        <v>10.4</v>
      </c>
      <c r="V42" s="24">
        <f t="shared" si="12"/>
        <v>11.160674011765522</v>
      </c>
    </row>
    <row r="43" spans="1:22" x14ac:dyDescent="0.25">
      <c r="A43" s="2">
        <v>42522</v>
      </c>
      <c r="B43" s="19">
        <v>26273</v>
      </c>
      <c r="C43" s="19">
        <v>38013</v>
      </c>
      <c r="D43" s="19">
        <v>11873</v>
      </c>
      <c r="E43" s="19">
        <f t="shared" si="0"/>
        <v>76159</v>
      </c>
      <c r="F43" s="18">
        <f t="shared" si="1"/>
        <v>0.34497564306254019</v>
      </c>
      <c r="G43" s="18">
        <f t="shared" si="2"/>
        <v>0.49912682677030951</v>
      </c>
      <c r="H43" s="18">
        <f t="shared" si="3"/>
        <v>0.1558975301671503</v>
      </c>
      <c r="I43" s="24">
        <v>273.16000000000003</v>
      </c>
      <c r="J43" s="24">
        <v>470.62</v>
      </c>
      <c r="K43" s="24">
        <v>149.5</v>
      </c>
      <c r="L43" s="24">
        <f t="shared" si="9"/>
        <v>352.43929463359552</v>
      </c>
      <c r="N43" s="2">
        <v>42522</v>
      </c>
      <c r="O43" s="19">
        <v>73640</v>
      </c>
      <c r="P43" s="19">
        <v>448874</v>
      </c>
      <c r="Q43" s="19">
        <f t="shared" si="5"/>
        <v>522514</v>
      </c>
      <c r="R43" s="18">
        <f t="shared" si="10"/>
        <v>0.14093402282044118</v>
      </c>
      <c r="S43" s="18">
        <f t="shared" si="11"/>
        <v>0.85906597717955879</v>
      </c>
      <c r="T43" s="24">
        <v>15.73</v>
      </c>
      <c r="U43" s="24">
        <v>10.53</v>
      </c>
      <c r="V43" s="24">
        <f t="shared" si="12"/>
        <v>11.262856918666294</v>
      </c>
    </row>
    <row r="44" spans="1:22" x14ac:dyDescent="0.25">
      <c r="A44" s="2">
        <v>42552</v>
      </c>
      <c r="B44" s="19">
        <v>25466</v>
      </c>
      <c r="C44" s="19">
        <v>38229</v>
      </c>
      <c r="D44" s="19">
        <v>11669</v>
      </c>
      <c r="E44" s="19">
        <f t="shared" si="0"/>
        <v>75364</v>
      </c>
      <c r="F44" s="18">
        <f t="shared" si="1"/>
        <v>0.33790669285069797</v>
      </c>
      <c r="G44" s="18">
        <f t="shared" si="2"/>
        <v>0.50725810731914445</v>
      </c>
      <c r="H44" s="18">
        <f t="shared" si="3"/>
        <v>0.15483519983015764</v>
      </c>
      <c r="I44" s="24">
        <v>276.82</v>
      </c>
      <c r="J44" s="24">
        <v>469.76</v>
      </c>
      <c r="K44" s="24">
        <v>151.35</v>
      </c>
      <c r="L44" s="24">
        <f t="shared" si="9"/>
        <v>355.26320670346581</v>
      </c>
      <c r="N44" s="2">
        <v>42552</v>
      </c>
      <c r="O44" s="19">
        <v>74332</v>
      </c>
      <c r="P44" s="19">
        <v>452382</v>
      </c>
      <c r="Q44" s="19">
        <f t="shared" si="5"/>
        <v>526714</v>
      </c>
      <c r="R44" s="18">
        <f t="shared" si="10"/>
        <v>0.14112402556225959</v>
      </c>
      <c r="S44" s="18">
        <f t="shared" si="11"/>
        <v>0.85887597443774044</v>
      </c>
      <c r="T44" s="24">
        <v>15.89</v>
      </c>
      <c r="U44" s="24">
        <v>10.67</v>
      </c>
      <c r="V44" s="24">
        <f t="shared" si="12"/>
        <v>11.406667413434995</v>
      </c>
    </row>
    <row r="45" spans="1:22" x14ac:dyDescent="0.25">
      <c r="A45" s="2">
        <v>42583</v>
      </c>
      <c r="B45" s="19">
        <v>26060</v>
      </c>
      <c r="C45" s="19">
        <v>38361</v>
      </c>
      <c r="D45" s="19">
        <v>11564</v>
      </c>
      <c r="E45" s="19">
        <f t="shared" si="0"/>
        <v>75985</v>
      </c>
      <c r="F45" s="18">
        <f t="shared" si="1"/>
        <v>0.34296242679476213</v>
      </c>
      <c r="G45" s="18">
        <f t="shared" si="2"/>
        <v>0.5048496413765875</v>
      </c>
      <c r="H45" s="18">
        <f t="shared" si="3"/>
        <v>0.1521879318286504</v>
      </c>
      <c r="I45" s="24">
        <v>281.47000000000003</v>
      </c>
      <c r="J45" s="24">
        <v>482.74</v>
      </c>
      <c r="K45" s="24">
        <v>152.19999999999999</v>
      </c>
      <c r="L45" s="24">
        <f t="shared" si="9"/>
        <v>363.40775337237619</v>
      </c>
      <c r="N45" s="2">
        <v>42583</v>
      </c>
      <c r="O45" s="19">
        <v>74387</v>
      </c>
      <c r="P45" s="19">
        <v>456410</v>
      </c>
      <c r="Q45" s="19">
        <f t="shared" si="5"/>
        <v>530797</v>
      </c>
      <c r="R45" s="18">
        <f t="shared" si="10"/>
        <v>0.14014208821828308</v>
      </c>
      <c r="S45" s="18">
        <f t="shared" si="11"/>
        <v>0.85985791178171689</v>
      </c>
      <c r="T45" s="24">
        <v>15.73</v>
      </c>
      <c r="U45" s="24">
        <v>10.5</v>
      </c>
      <c r="V45" s="24">
        <f t="shared" si="12"/>
        <v>11.23294312138162</v>
      </c>
    </row>
    <row r="46" spans="1:22" x14ac:dyDescent="0.25">
      <c r="A46" s="2">
        <v>42614</v>
      </c>
      <c r="B46" s="19">
        <v>26276</v>
      </c>
      <c r="C46" s="19">
        <v>39057</v>
      </c>
      <c r="D46" s="19">
        <v>11421</v>
      </c>
      <c r="E46" s="19">
        <f t="shared" si="0"/>
        <v>76754</v>
      </c>
      <c r="F46" s="18">
        <f t="shared" si="1"/>
        <v>0.34234046434062071</v>
      </c>
      <c r="G46" s="18">
        <f t="shared" si="2"/>
        <v>0.50885947312192203</v>
      </c>
      <c r="H46" s="18">
        <f t="shared" si="3"/>
        <v>0.14880006253745734</v>
      </c>
      <c r="I46" s="24">
        <v>281.41000000000003</v>
      </c>
      <c r="J46" s="24">
        <v>491.25</v>
      </c>
      <c r="K46" s="24">
        <v>154.85</v>
      </c>
      <c r="L46" s="24">
        <f t="shared" si="9"/>
        <v>369.3569359251635</v>
      </c>
      <c r="N46" s="2">
        <v>42614</v>
      </c>
      <c r="O46" s="19">
        <v>74508</v>
      </c>
      <c r="P46" s="19">
        <v>459682</v>
      </c>
      <c r="Q46" s="19">
        <f t="shared" si="5"/>
        <v>534190</v>
      </c>
      <c r="R46" s="18">
        <f t="shared" si="10"/>
        <v>0.13947846271925721</v>
      </c>
      <c r="S46" s="18">
        <f t="shared" si="11"/>
        <v>0.86052153728074277</v>
      </c>
      <c r="T46" s="24">
        <v>15.62</v>
      </c>
      <c r="U46" s="24">
        <v>10.31</v>
      </c>
      <c r="V46" s="24">
        <f t="shared" si="12"/>
        <v>11.050630637039255</v>
      </c>
    </row>
    <row r="47" spans="1:22" x14ac:dyDescent="0.25">
      <c r="A47" s="2">
        <v>42644</v>
      </c>
      <c r="B47" s="19">
        <v>26907</v>
      </c>
      <c r="C47" s="19">
        <v>39134</v>
      </c>
      <c r="D47" s="19">
        <v>11437</v>
      </c>
      <c r="E47" s="19">
        <f t="shared" si="0"/>
        <v>77478</v>
      </c>
      <c r="F47" s="18">
        <f t="shared" si="1"/>
        <v>0.34728568109656938</v>
      </c>
      <c r="G47" s="18">
        <f t="shared" si="2"/>
        <v>0.50509822143059968</v>
      </c>
      <c r="H47" s="18">
        <f t="shared" si="3"/>
        <v>0.147616097472831</v>
      </c>
      <c r="I47" s="24">
        <v>285.17</v>
      </c>
      <c r="J47" s="24">
        <v>483.97</v>
      </c>
      <c r="K47" s="24">
        <v>156.13999999999999</v>
      </c>
      <c r="L47" s="24">
        <f t="shared" si="9"/>
        <v>366.53662136348385</v>
      </c>
      <c r="N47" s="2">
        <v>42644</v>
      </c>
      <c r="O47" s="19">
        <v>74451</v>
      </c>
      <c r="P47" s="19">
        <v>456446</v>
      </c>
      <c r="Q47" s="19">
        <f t="shared" si="5"/>
        <v>530897</v>
      </c>
      <c r="R47" s="18">
        <f t="shared" si="10"/>
        <v>0.14023624168153145</v>
      </c>
      <c r="S47" s="18">
        <f t="shared" si="11"/>
        <v>0.85976375831846852</v>
      </c>
      <c r="T47" s="24">
        <v>14.91</v>
      </c>
      <c r="U47" s="24">
        <v>10.029999999999999</v>
      </c>
      <c r="V47" s="24">
        <f t="shared" si="12"/>
        <v>10.714352859405873</v>
      </c>
    </row>
    <row r="48" spans="1:22" x14ac:dyDescent="0.25">
      <c r="A48" s="2">
        <v>42675</v>
      </c>
      <c r="B48" s="19">
        <v>26087</v>
      </c>
      <c r="C48" s="19">
        <v>39432</v>
      </c>
      <c r="D48" s="19">
        <v>11279</v>
      </c>
      <c r="E48" s="19">
        <f t="shared" si="0"/>
        <v>76798</v>
      </c>
      <c r="F48" s="18">
        <f t="shared" si="1"/>
        <v>0.33968332508659077</v>
      </c>
      <c r="G48" s="18">
        <f t="shared" si="2"/>
        <v>0.51345087111643528</v>
      </c>
      <c r="H48" s="18">
        <f t="shared" si="3"/>
        <v>0.14686580379697389</v>
      </c>
      <c r="I48" s="24">
        <v>284.62</v>
      </c>
      <c r="J48" s="24">
        <v>494.82</v>
      </c>
      <c r="K48" s="24">
        <v>155.43</v>
      </c>
      <c r="L48" s="24">
        <f t="shared" si="9"/>
        <v>373.57377991614362</v>
      </c>
      <c r="N48" s="2">
        <v>42675</v>
      </c>
      <c r="O48" s="19">
        <v>74440</v>
      </c>
      <c r="P48" s="19">
        <v>460152</v>
      </c>
      <c r="Q48" s="19">
        <f t="shared" si="5"/>
        <v>534592</v>
      </c>
      <c r="R48" s="18">
        <f t="shared" si="10"/>
        <v>0.13924637854662994</v>
      </c>
      <c r="S48" s="18">
        <f t="shared" si="11"/>
        <v>0.86075362145337009</v>
      </c>
      <c r="T48" s="24">
        <v>15.6</v>
      </c>
      <c r="U48" s="24">
        <v>9.92</v>
      </c>
      <c r="V48" s="24">
        <f t="shared" si="12"/>
        <v>10.710919430144859</v>
      </c>
    </row>
    <row r="49" spans="1:22" x14ac:dyDescent="0.25">
      <c r="A49" s="2">
        <v>42705</v>
      </c>
      <c r="B49" s="19">
        <v>23359</v>
      </c>
      <c r="C49" s="19">
        <v>38138</v>
      </c>
      <c r="D49" s="19">
        <v>11209</v>
      </c>
      <c r="E49" s="19">
        <f t="shared" si="0"/>
        <v>72706</v>
      </c>
      <c r="F49" s="18">
        <f t="shared" si="1"/>
        <v>0.32128022446565618</v>
      </c>
      <c r="G49" s="18">
        <f t="shared" si="2"/>
        <v>0.52455093114736062</v>
      </c>
      <c r="H49" s="18">
        <f t="shared" si="3"/>
        <v>0.15416884438698319</v>
      </c>
      <c r="I49" s="24">
        <v>282.57</v>
      </c>
      <c r="J49" s="24">
        <v>497.73</v>
      </c>
      <c r="K49" s="24">
        <v>153.75</v>
      </c>
      <c r="L49" s="24">
        <f t="shared" si="9"/>
        <v>375.57234781173497</v>
      </c>
      <c r="N49" s="2">
        <v>42705</v>
      </c>
      <c r="O49" s="19">
        <v>74319</v>
      </c>
      <c r="P49" s="19">
        <v>465693</v>
      </c>
      <c r="Q49" s="19">
        <f t="shared" si="5"/>
        <v>540012</v>
      </c>
      <c r="R49" s="18">
        <f t="shared" si="10"/>
        <v>0.13762471945067886</v>
      </c>
      <c r="S49" s="18">
        <f t="shared" si="11"/>
        <v>0.86237528054932111</v>
      </c>
      <c r="T49" s="24">
        <v>15.39</v>
      </c>
      <c r="U49" s="24">
        <v>10.210000000000001</v>
      </c>
      <c r="V49" s="24">
        <f t="shared" si="12"/>
        <v>10.922896046754516</v>
      </c>
    </row>
    <row r="50" spans="1:22" x14ac:dyDescent="0.25">
      <c r="A50" s="2">
        <v>42736</v>
      </c>
      <c r="B50" s="19">
        <v>25536</v>
      </c>
      <c r="C50" s="19">
        <v>38909</v>
      </c>
      <c r="D50" s="19">
        <v>11182</v>
      </c>
      <c r="E50" s="19">
        <f t="shared" si="0"/>
        <v>75627</v>
      </c>
      <c r="F50" s="18">
        <f t="shared" si="1"/>
        <v>0.33765718592566146</v>
      </c>
      <c r="G50" s="18">
        <f t="shared" si="2"/>
        <v>0.51448556732383932</v>
      </c>
      <c r="H50" s="18">
        <f t="shared" si="3"/>
        <v>0.14785724675049916</v>
      </c>
      <c r="I50" s="24">
        <v>281.94</v>
      </c>
      <c r="J50" s="24">
        <v>497.5</v>
      </c>
      <c r="K50" s="24">
        <v>161.91999999999999</v>
      </c>
      <c r="L50" s="24">
        <f t="shared" si="9"/>
        <v>375.09668213733187</v>
      </c>
      <c r="N50" s="2">
        <v>42736</v>
      </c>
      <c r="O50" s="19">
        <v>74110</v>
      </c>
      <c r="P50" s="19">
        <v>468262</v>
      </c>
      <c r="Q50" s="19">
        <f t="shared" si="5"/>
        <v>542372</v>
      </c>
      <c r="R50" s="18">
        <f t="shared" si="10"/>
        <v>0.13664053454086864</v>
      </c>
      <c r="S50" s="18">
        <f t="shared" si="11"/>
        <v>0.86335946545913134</v>
      </c>
      <c r="T50" s="24">
        <v>15.37</v>
      </c>
      <c r="U50" s="24">
        <v>10.210000000000001</v>
      </c>
      <c r="V50" s="24">
        <f t="shared" si="12"/>
        <v>10.915065158230883</v>
      </c>
    </row>
    <row r="51" spans="1:22" x14ac:dyDescent="0.25">
      <c r="A51" s="2">
        <v>42767</v>
      </c>
      <c r="B51" s="19">
        <v>24128</v>
      </c>
      <c r="C51" s="19">
        <v>41326</v>
      </c>
      <c r="D51" s="19">
        <v>11173</v>
      </c>
      <c r="E51" s="19">
        <f t="shared" si="0"/>
        <v>76627</v>
      </c>
      <c r="F51" s="18">
        <f t="shared" si="1"/>
        <v>0.31487595756065095</v>
      </c>
      <c r="G51" s="18">
        <f t="shared" si="2"/>
        <v>0.5393138188889034</v>
      </c>
      <c r="H51" s="18">
        <f t="shared" si="3"/>
        <v>0.14581022355044568</v>
      </c>
      <c r="I51" s="24">
        <v>279.18</v>
      </c>
      <c r="J51" s="24">
        <v>487.77</v>
      </c>
      <c r="K51" s="24">
        <v>163.47999999999999</v>
      </c>
      <c r="L51" s="24">
        <f t="shared" si="9"/>
        <v>374.80522661724979</v>
      </c>
      <c r="N51" s="2">
        <v>42767</v>
      </c>
      <c r="O51" s="19">
        <v>73449</v>
      </c>
      <c r="P51" s="19">
        <v>471850</v>
      </c>
      <c r="Q51" s="19">
        <f t="shared" si="5"/>
        <v>545299</v>
      </c>
      <c r="R51" s="18">
        <f t="shared" si="10"/>
        <v>0.13469491049864385</v>
      </c>
      <c r="S51" s="18">
        <f t="shared" si="11"/>
        <v>0.8653050895013561</v>
      </c>
      <c r="T51" s="24">
        <v>15.05</v>
      </c>
      <c r="U51" s="24">
        <v>8.3000000000000007</v>
      </c>
      <c r="V51" s="24">
        <f t="shared" si="12"/>
        <v>9.2091906458658457</v>
      </c>
    </row>
    <row r="52" spans="1:22" x14ac:dyDescent="0.25">
      <c r="A52" s="2">
        <v>42795</v>
      </c>
      <c r="B52" s="19">
        <v>25306</v>
      </c>
      <c r="C52" s="19">
        <v>38871</v>
      </c>
      <c r="D52" s="19">
        <v>11341</v>
      </c>
      <c r="E52" s="19">
        <f t="shared" si="0"/>
        <v>75518</v>
      </c>
      <c r="F52" s="18">
        <f t="shared" si="1"/>
        <v>0.3350989168145343</v>
      </c>
      <c r="G52" s="18">
        <f t="shared" si="2"/>
        <v>0.51472496623321595</v>
      </c>
      <c r="H52" s="18">
        <f t="shared" si="3"/>
        <v>0.15017611695224981</v>
      </c>
      <c r="I52" s="24">
        <v>282.54000000000002</v>
      </c>
      <c r="J52" s="24">
        <v>490.33</v>
      </c>
      <c r="K52" s="24">
        <v>158.46</v>
      </c>
      <c r="L52" s="24">
        <f t="shared" si="9"/>
        <v>370.8608481421648</v>
      </c>
      <c r="N52" s="2">
        <v>42795</v>
      </c>
      <c r="O52" s="19">
        <v>73483</v>
      </c>
      <c r="P52" s="19">
        <v>474416</v>
      </c>
      <c r="Q52" s="19">
        <f t="shared" si="5"/>
        <v>547899</v>
      </c>
      <c r="R52" s="18">
        <f t="shared" si="10"/>
        <v>0.13411778448217646</v>
      </c>
      <c r="S52" s="18">
        <f t="shared" si="11"/>
        <v>0.86588221551782352</v>
      </c>
      <c r="T52" s="24">
        <v>14.51</v>
      </c>
      <c r="U52" s="24">
        <v>9.1300000000000008</v>
      </c>
      <c r="V52" s="24">
        <f t="shared" si="12"/>
        <v>9.85155368051411</v>
      </c>
    </row>
    <row r="53" spans="1:22" x14ac:dyDescent="0.25">
      <c r="A53" s="2">
        <v>42826</v>
      </c>
      <c r="B53" s="19">
        <v>24847</v>
      </c>
      <c r="C53" s="19">
        <v>38785</v>
      </c>
      <c r="D53" s="19">
        <v>12389</v>
      </c>
      <c r="E53" s="19">
        <f t="shared" si="0"/>
        <v>76021</v>
      </c>
      <c r="F53" s="18">
        <f t="shared" si="1"/>
        <v>0.32684389839649569</v>
      </c>
      <c r="G53" s="18">
        <f t="shared" si="2"/>
        <v>0.51018797437550145</v>
      </c>
      <c r="H53" s="18">
        <f t="shared" si="3"/>
        <v>0.1629681272280028</v>
      </c>
      <c r="I53" s="24">
        <v>282.33999999999997</v>
      </c>
      <c r="J53" s="24">
        <v>424.36</v>
      </c>
      <c r="K53" s="24">
        <v>162.16</v>
      </c>
      <c r="L53" s="24">
        <f t="shared" si="9"/>
        <v>335.21138659054731</v>
      </c>
      <c r="N53" s="2">
        <v>42826</v>
      </c>
      <c r="O53" s="19">
        <v>73182</v>
      </c>
      <c r="P53" s="19">
        <v>477703</v>
      </c>
      <c r="Q53" s="19">
        <f t="shared" si="5"/>
        <v>550885</v>
      </c>
      <c r="R53" s="18">
        <f t="shared" si="10"/>
        <v>0.13284442306470498</v>
      </c>
      <c r="S53" s="18">
        <f t="shared" si="11"/>
        <v>0.86715557693529499</v>
      </c>
      <c r="T53" s="24">
        <v>13.74</v>
      </c>
      <c r="U53" s="24">
        <v>8.36</v>
      </c>
      <c r="V53" s="24">
        <f t="shared" si="12"/>
        <v>9.0747029960881118</v>
      </c>
    </row>
    <row r="54" spans="1:22" x14ac:dyDescent="0.25">
      <c r="A54" s="2">
        <v>42856</v>
      </c>
      <c r="B54" s="19">
        <v>25019</v>
      </c>
      <c r="C54" s="19">
        <v>36222</v>
      </c>
      <c r="D54" s="19">
        <v>14727</v>
      </c>
      <c r="E54" s="19">
        <f t="shared" si="0"/>
        <v>75968</v>
      </c>
      <c r="F54" s="18">
        <f t="shared" si="1"/>
        <v>0.32933603622577928</v>
      </c>
      <c r="G54" s="18">
        <f t="shared" si="2"/>
        <v>0.47680602358887952</v>
      </c>
      <c r="H54" s="18">
        <f t="shared" si="3"/>
        <v>0.19385794018534119</v>
      </c>
      <c r="I54" s="24">
        <v>279.64</v>
      </c>
      <c r="J54" s="24">
        <v>358.76</v>
      </c>
      <c r="K54" s="24">
        <v>159.59</v>
      </c>
      <c r="L54" s="24">
        <f t="shared" si="9"/>
        <v>294.09224686710195</v>
      </c>
      <c r="N54" s="2">
        <v>42856</v>
      </c>
      <c r="O54" s="19">
        <v>72600</v>
      </c>
      <c r="P54" s="19">
        <v>481287</v>
      </c>
      <c r="Q54" s="19">
        <f t="shared" si="5"/>
        <v>553887</v>
      </c>
      <c r="R54" s="18">
        <f t="shared" si="10"/>
        <v>0.13107366665041786</v>
      </c>
      <c r="S54" s="18">
        <f t="shared" si="11"/>
        <v>0.86892633334958214</v>
      </c>
      <c r="T54" s="24">
        <v>14.72</v>
      </c>
      <c r="U54" s="24">
        <v>9.24</v>
      </c>
      <c r="V54" s="24">
        <f t="shared" si="12"/>
        <v>9.9582836932442902</v>
      </c>
    </row>
    <row r="55" spans="1:22" x14ac:dyDescent="0.25">
      <c r="A55" s="2">
        <v>42887</v>
      </c>
      <c r="B55" s="19">
        <v>24661</v>
      </c>
      <c r="C55" s="19">
        <v>34909</v>
      </c>
      <c r="D55" s="19">
        <v>15622</v>
      </c>
      <c r="E55" s="19">
        <f t="shared" si="0"/>
        <v>75192</v>
      </c>
      <c r="F55" s="18">
        <f t="shared" si="1"/>
        <v>0.32797372060857538</v>
      </c>
      <c r="G55" s="18">
        <f t="shared" si="2"/>
        <v>0.46426481540589426</v>
      </c>
      <c r="H55" s="18">
        <f t="shared" si="3"/>
        <v>0.20776146398553039</v>
      </c>
      <c r="I55" s="24">
        <v>276.83</v>
      </c>
      <c r="J55" s="24">
        <v>383.16</v>
      </c>
      <c r="K55" s="24">
        <v>157.88999999999999</v>
      </c>
      <c r="L55" s="24">
        <f t="shared" si="9"/>
        <v>301.48412929566979</v>
      </c>
      <c r="N55" s="2">
        <v>42887</v>
      </c>
      <c r="O55" s="19">
        <v>72079</v>
      </c>
      <c r="P55" s="19">
        <v>485284</v>
      </c>
      <c r="Q55" s="19">
        <f t="shared" si="5"/>
        <v>557363</v>
      </c>
      <c r="R55" s="18">
        <f t="shared" si="10"/>
        <v>0.12932146554399915</v>
      </c>
      <c r="S55" s="18">
        <f t="shared" si="11"/>
        <v>0.87067853445600085</v>
      </c>
      <c r="T55" s="24">
        <v>13.26</v>
      </c>
      <c r="U55" s="24">
        <v>8.6999999999999993</v>
      </c>
      <c r="V55" s="24">
        <f t="shared" si="12"/>
        <v>9.2897058828806358</v>
      </c>
    </row>
    <row r="56" spans="1:22" x14ac:dyDescent="0.25">
      <c r="A56" s="2">
        <v>42917</v>
      </c>
      <c r="B56" s="19">
        <v>24627</v>
      </c>
      <c r="C56" s="19">
        <v>34530</v>
      </c>
      <c r="D56" s="19">
        <v>16407</v>
      </c>
      <c r="E56" s="19">
        <f t="shared" si="0"/>
        <v>75564</v>
      </c>
      <c r="F56" s="18">
        <f t="shared" si="1"/>
        <v>0.32590916309353662</v>
      </c>
      <c r="G56" s="18">
        <f t="shared" si="2"/>
        <v>0.45696363347625851</v>
      </c>
      <c r="H56" s="18">
        <f t="shared" si="3"/>
        <v>0.21712720343020486</v>
      </c>
      <c r="I56" s="24">
        <v>275.5</v>
      </c>
      <c r="J56" s="24">
        <v>424.87</v>
      </c>
      <c r="K56" s="24">
        <v>159.63999999999999</v>
      </c>
      <c r="L56" s="24">
        <f t="shared" si="9"/>
        <v>318.60030014292522</v>
      </c>
      <c r="N56" s="2">
        <v>42917</v>
      </c>
      <c r="O56" s="19">
        <v>71699</v>
      </c>
      <c r="P56" s="19">
        <v>489387</v>
      </c>
      <c r="Q56" s="19">
        <f t="shared" si="5"/>
        <v>561086</v>
      </c>
      <c r="R56" s="18">
        <f t="shared" si="10"/>
        <v>0.12778611478454283</v>
      </c>
      <c r="S56" s="18">
        <f t="shared" si="11"/>
        <v>0.87221388521545717</v>
      </c>
      <c r="T56" s="24">
        <v>12.98</v>
      </c>
      <c r="U56" s="24">
        <v>8.76</v>
      </c>
      <c r="V56" s="24">
        <f t="shared" si="12"/>
        <v>9.2992574043907705</v>
      </c>
    </row>
    <row r="57" spans="1:22" x14ac:dyDescent="0.25">
      <c r="A57" s="2">
        <v>42948</v>
      </c>
      <c r="B57" s="19">
        <v>24550</v>
      </c>
      <c r="C57" s="19">
        <v>33814</v>
      </c>
      <c r="D57" s="19">
        <v>16539</v>
      </c>
      <c r="E57" s="19">
        <f t="shared" si="0"/>
        <v>74903</v>
      </c>
      <c r="F57" s="18">
        <f t="shared" si="1"/>
        <v>0.32775723268760931</v>
      </c>
      <c r="G57" s="18">
        <f t="shared" si="2"/>
        <v>0.45143719210178496</v>
      </c>
      <c r="H57" s="18">
        <f t="shared" si="3"/>
        <v>0.2208055752106057</v>
      </c>
      <c r="I57" s="24">
        <v>272.35000000000002</v>
      </c>
      <c r="J57" s="24">
        <v>428.02</v>
      </c>
      <c r="K57" s="24">
        <v>160.93</v>
      </c>
      <c r="L57" s="24">
        <f t="shared" si="9"/>
        <v>318.02307050451913</v>
      </c>
      <c r="N57" s="2">
        <v>42948</v>
      </c>
      <c r="O57" s="19">
        <v>71181</v>
      </c>
      <c r="P57" s="19">
        <v>492996</v>
      </c>
      <c r="Q57" s="19">
        <f t="shared" si="5"/>
        <v>564177</v>
      </c>
      <c r="R57" s="18">
        <f t="shared" si="10"/>
        <v>0.12616785157849397</v>
      </c>
      <c r="S57" s="18">
        <f t="shared" si="11"/>
        <v>0.87383214842150603</v>
      </c>
      <c r="T57" s="24">
        <v>11.77</v>
      </c>
      <c r="U57" s="24">
        <v>8.14</v>
      </c>
      <c r="V57" s="24">
        <f t="shared" si="12"/>
        <v>8.5979893012299335</v>
      </c>
    </row>
    <row r="58" spans="1:22" x14ac:dyDescent="0.25">
      <c r="A58" s="2">
        <v>42979</v>
      </c>
      <c r="B58" s="19">
        <v>23852</v>
      </c>
      <c r="C58" s="19">
        <v>33663</v>
      </c>
      <c r="D58" s="19">
        <v>16515</v>
      </c>
      <c r="E58" s="19">
        <f t="shared" si="0"/>
        <v>74030</v>
      </c>
      <c r="F58" s="18">
        <f t="shared" si="1"/>
        <v>0.32219370525462648</v>
      </c>
      <c r="G58" s="18">
        <f t="shared" si="2"/>
        <v>0.45472105903012294</v>
      </c>
      <c r="H58" s="18">
        <f t="shared" si="3"/>
        <v>0.22308523571525057</v>
      </c>
      <c r="I58" s="24">
        <v>276.36</v>
      </c>
      <c r="J58" s="24">
        <v>348.73</v>
      </c>
      <c r="K58" s="24">
        <v>165.29</v>
      </c>
      <c r="L58" s="24">
        <f t="shared" si="9"/>
        <v>284.49008591111715</v>
      </c>
      <c r="N58" s="2">
        <v>42979</v>
      </c>
      <c r="O58" s="19">
        <v>70788</v>
      </c>
      <c r="P58" s="19">
        <v>495318</v>
      </c>
      <c r="Q58" s="19">
        <f t="shared" si="5"/>
        <v>566106</v>
      </c>
      <c r="R58" s="18">
        <f t="shared" si="10"/>
        <v>0.12504371972740089</v>
      </c>
      <c r="S58" s="18">
        <f t="shared" si="11"/>
        <v>0.87495628027259909</v>
      </c>
      <c r="T58" s="24">
        <v>12.07</v>
      </c>
      <c r="U58" s="24">
        <v>8.0299999999999994</v>
      </c>
      <c r="V58" s="24">
        <f t="shared" si="12"/>
        <v>8.5351766276986982</v>
      </c>
    </row>
    <row r="59" spans="1:22" x14ac:dyDescent="0.25">
      <c r="A59" s="2">
        <v>43009</v>
      </c>
      <c r="B59" s="19">
        <v>25264</v>
      </c>
      <c r="C59" s="19">
        <v>34007</v>
      </c>
      <c r="D59" s="19">
        <v>16592</v>
      </c>
      <c r="E59" s="19">
        <f t="shared" si="0"/>
        <v>75863</v>
      </c>
      <c r="F59" s="18">
        <f t="shared" si="1"/>
        <v>0.33302136746503563</v>
      </c>
      <c r="G59" s="18">
        <f t="shared" si="2"/>
        <v>0.44826858943094788</v>
      </c>
      <c r="H59" s="18">
        <f t="shared" si="3"/>
        <v>0.21871004310401645</v>
      </c>
      <c r="I59" s="24">
        <v>277.43</v>
      </c>
      <c r="J59" s="24">
        <v>354.88</v>
      </c>
      <c r="K59" s="24">
        <v>166.97</v>
      </c>
      <c r="L59" s="24">
        <f t="shared" si="9"/>
        <v>287.98969089015725</v>
      </c>
      <c r="N59" s="2">
        <v>43009</v>
      </c>
      <c r="O59" s="19">
        <v>70311</v>
      </c>
      <c r="P59" s="19">
        <v>497117</v>
      </c>
      <c r="Q59" s="19">
        <f t="shared" si="5"/>
        <v>567428</v>
      </c>
      <c r="R59" s="18">
        <f t="shared" si="10"/>
        <v>0.12391175620519256</v>
      </c>
      <c r="S59" s="18">
        <f t="shared" si="11"/>
        <v>0.87608824379480743</v>
      </c>
      <c r="T59" s="24">
        <v>11.94</v>
      </c>
      <c r="U59" s="24">
        <v>8.16</v>
      </c>
      <c r="V59" s="24">
        <f t="shared" si="12"/>
        <v>8.6283864384556281</v>
      </c>
    </row>
    <row r="60" spans="1:22" x14ac:dyDescent="0.25">
      <c r="A60" s="2">
        <v>43040</v>
      </c>
      <c r="B60" s="19">
        <v>24689</v>
      </c>
      <c r="C60" s="19">
        <v>34592</v>
      </c>
      <c r="D60" s="19">
        <v>16655</v>
      </c>
      <c r="E60" s="19">
        <f t="shared" si="0"/>
        <v>75936</v>
      </c>
      <c r="F60" s="18">
        <f t="shared" si="1"/>
        <v>0.32512905604719766</v>
      </c>
      <c r="G60" s="18">
        <f t="shared" si="2"/>
        <v>0.45554150863885379</v>
      </c>
      <c r="H60" s="18">
        <f t="shared" si="3"/>
        <v>0.21932943531394858</v>
      </c>
      <c r="I60" s="24">
        <v>276.42</v>
      </c>
      <c r="J60" s="24">
        <v>359.17</v>
      </c>
      <c r="K60" s="24">
        <v>168.45</v>
      </c>
      <c r="L60" s="24">
        <f t="shared" si="9"/>
        <v>290.4350607090181</v>
      </c>
      <c r="N60" s="2">
        <v>43040</v>
      </c>
      <c r="O60" s="19">
        <v>69855</v>
      </c>
      <c r="P60" s="19">
        <v>499520</v>
      </c>
      <c r="Q60" s="19">
        <f t="shared" si="5"/>
        <v>569375</v>
      </c>
      <c r="R60" s="18">
        <f t="shared" si="10"/>
        <v>0.12268715697036224</v>
      </c>
      <c r="S60" s="18">
        <f t="shared" si="11"/>
        <v>0.87731284302963775</v>
      </c>
      <c r="T60" s="24">
        <v>12.03</v>
      </c>
      <c r="U60" s="24">
        <v>7.35</v>
      </c>
      <c r="V60" s="24">
        <f t="shared" si="12"/>
        <v>7.9241758946212943</v>
      </c>
    </row>
    <row r="61" spans="1:22" x14ac:dyDescent="0.25">
      <c r="A61" s="2">
        <v>43070</v>
      </c>
      <c r="B61" s="19">
        <v>21763</v>
      </c>
      <c r="C61" s="19">
        <v>33066</v>
      </c>
      <c r="D61" s="19">
        <v>16845</v>
      </c>
      <c r="E61" s="19">
        <f t="shared" ref="E61:E124" si="13">SUM(B61:D61)</f>
        <v>71674</v>
      </c>
      <c r="F61" s="18">
        <f t="shared" ref="F61:F124" si="14">B61/$E61</f>
        <v>0.30363869743561123</v>
      </c>
      <c r="G61" s="18">
        <f t="shared" ref="G61:G124" si="15">C61/$E61</f>
        <v>0.46133883974663059</v>
      </c>
      <c r="H61" s="18">
        <f t="shared" ref="H61:H124" si="16">D61/$E61</f>
        <v>0.23502246281775818</v>
      </c>
      <c r="I61" s="24">
        <v>273.2</v>
      </c>
      <c r="J61" s="24">
        <v>352.7</v>
      </c>
      <c r="K61" s="24">
        <v>169.11</v>
      </c>
      <c r="L61" s="24">
        <f t="shared" si="9"/>
        <v>285.41294960515665</v>
      </c>
      <c r="N61" s="2">
        <v>43070</v>
      </c>
      <c r="O61" s="19">
        <v>69300</v>
      </c>
      <c r="P61" s="19">
        <v>501716</v>
      </c>
      <c r="Q61" s="19">
        <f t="shared" ref="Q61:Q124" si="17">SUM(O61:P61)</f>
        <v>571016</v>
      </c>
      <c r="R61" s="18">
        <f t="shared" ref="R61:R124" si="18">O61/$Q61</f>
        <v>0.12136262381439399</v>
      </c>
      <c r="S61" s="18">
        <f t="shared" ref="S61:S124" si="19">P61/$Q61</f>
        <v>0.878637376185606</v>
      </c>
      <c r="T61" s="24">
        <v>11.01</v>
      </c>
      <c r="U61" s="24">
        <v>7.66</v>
      </c>
      <c r="V61" s="24">
        <f t="shared" si="12"/>
        <v>8.0665647897782193</v>
      </c>
    </row>
    <row r="62" spans="1:22" x14ac:dyDescent="0.25">
      <c r="A62" s="2">
        <v>43101</v>
      </c>
      <c r="B62" s="19">
        <v>24372</v>
      </c>
      <c r="C62" s="19">
        <v>33390</v>
      </c>
      <c r="D62" s="19">
        <v>16682</v>
      </c>
      <c r="E62" s="19">
        <f t="shared" si="13"/>
        <v>74444</v>
      </c>
      <c r="F62" s="18">
        <f t="shared" si="14"/>
        <v>0.32738702917629359</v>
      </c>
      <c r="G62" s="18">
        <f t="shared" si="15"/>
        <v>0.44852506582128848</v>
      </c>
      <c r="H62" s="18">
        <f t="shared" si="16"/>
        <v>0.22408790500241793</v>
      </c>
      <c r="I62" s="24">
        <v>276.07</v>
      </c>
      <c r="J62" s="24">
        <v>341.8</v>
      </c>
      <c r="K62" s="24">
        <v>167.89</v>
      </c>
      <c r="L62" s="24">
        <f t="shared" si="9"/>
        <v>281.30972301327171</v>
      </c>
      <c r="N62" s="2">
        <v>43101</v>
      </c>
      <c r="O62" s="19">
        <v>68061</v>
      </c>
      <c r="P62" s="19">
        <v>503081</v>
      </c>
      <c r="Q62" s="19">
        <f t="shared" si="17"/>
        <v>571142</v>
      </c>
      <c r="R62" s="18">
        <f t="shared" si="18"/>
        <v>0.1191665120057709</v>
      </c>
      <c r="S62" s="18">
        <f t="shared" si="19"/>
        <v>0.88083348799422911</v>
      </c>
      <c r="T62" s="24">
        <v>11.33</v>
      </c>
      <c r="U62" s="24">
        <v>7.93</v>
      </c>
      <c r="V62" s="24">
        <f t="shared" si="12"/>
        <v>8.33516614081962</v>
      </c>
    </row>
    <row r="63" spans="1:22" x14ac:dyDescent="0.25">
      <c r="A63" s="2">
        <v>43132</v>
      </c>
      <c r="B63" s="19">
        <v>25203</v>
      </c>
      <c r="C63" s="19">
        <v>35080</v>
      </c>
      <c r="D63" s="19">
        <v>16769</v>
      </c>
      <c r="E63" s="19">
        <f t="shared" si="13"/>
        <v>77052</v>
      </c>
      <c r="F63" s="18">
        <f t="shared" si="14"/>
        <v>0.32709079582619532</v>
      </c>
      <c r="G63" s="18">
        <f t="shared" si="15"/>
        <v>0.45527695582204225</v>
      </c>
      <c r="H63" s="18">
        <f t="shared" si="16"/>
        <v>0.21763224835176245</v>
      </c>
      <c r="I63" s="24">
        <v>274.54000000000002</v>
      </c>
      <c r="J63" s="24">
        <v>347.13</v>
      </c>
      <c r="K63" s="24">
        <v>175.41</v>
      </c>
      <c r="L63" s="24">
        <f t="shared" si="9"/>
        <v>286.01466944401182</v>
      </c>
      <c r="N63" s="2">
        <v>43132</v>
      </c>
      <c r="O63" s="19">
        <v>67705</v>
      </c>
      <c r="P63" s="19">
        <v>504940</v>
      </c>
      <c r="Q63" s="19">
        <f t="shared" si="17"/>
        <v>572645</v>
      </c>
      <c r="R63" s="18">
        <f t="shared" si="18"/>
        <v>0.11823206349483537</v>
      </c>
      <c r="S63" s="18">
        <f t="shared" si="19"/>
        <v>0.88176793650516461</v>
      </c>
      <c r="T63" s="24">
        <v>11.07</v>
      </c>
      <c r="U63" s="24">
        <v>7.92</v>
      </c>
      <c r="V63" s="24">
        <f t="shared" si="12"/>
        <v>8.2924310000087313</v>
      </c>
    </row>
    <row r="64" spans="1:22" x14ac:dyDescent="0.25">
      <c r="A64" s="2">
        <v>43160</v>
      </c>
      <c r="B64" s="19">
        <v>24132</v>
      </c>
      <c r="C64" s="19">
        <v>33870</v>
      </c>
      <c r="D64" s="19">
        <v>17214</v>
      </c>
      <c r="E64" s="19">
        <f t="shared" si="13"/>
        <v>75216</v>
      </c>
      <c r="F64" s="18">
        <f t="shared" si="14"/>
        <v>0.3208359923420549</v>
      </c>
      <c r="G64" s="18">
        <f t="shared" si="15"/>
        <v>0.45030312699425656</v>
      </c>
      <c r="H64" s="18">
        <f t="shared" si="16"/>
        <v>0.22886088066368857</v>
      </c>
      <c r="I64" s="24">
        <v>276.12</v>
      </c>
      <c r="J64" s="24">
        <v>348.59</v>
      </c>
      <c r="K64" s="24">
        <v>170.37</v>
      </c>
      <c r="L64" s="24">
        <f t="shared" si="9"/>
        <v>284.55142948308873</v>
      </c>
      <c r="N64" s="2">
        <v>43160</v>
      </c>
      <c r="O64" s="19">
        <v>67396</v>
      </c>
      <c r="P64" s="19">
        <v>507408</v>
      </c>
      <c r="Q64" s="19">
        <f t="shared" si="17"/>
        <v>574804</v>
      </c>
      <c r="R64" s="18">
        <f t="shared" si="18"/>
        <v>0.11725040187611777</v>
      </c>
      <c r="S64" s="18">
        <f t="shared" si="19"/>
        <v>0.88274959812388221</v>
      </c>
      <c r="T64" s="24">
        <v>10.78</v>
      </c>
      <c r="U64" s="24">
        <v>7.83</v>
      </c>
      <c r="V64" s="24">
        <f t="shared" si="12"/>
        <v>8.175888685534547</v>
      </c>
    </row>
    <row r="65" spans="1:22" x14ac:dyDescent="0.25">
      <c r="A65" s="2">
        <v>43191</v>
      </c>
      <c r="B65" s="19">
        <v>24619</v>
      </c>
      <c r="C65" s="19">
        <v>34871</v>
      </c>
      <c r="D65" s="19">
        <v>17381</v>
      </c>
      <c r="E65" s="19">
        <f t="shared" si="13"/>
        <v>76871</v>
      </c>
      <c r="F65" s="18">
        <f t="shared" si="14"/>
        <v>0.3202638186051957</v>
      </c>
      <c r="G65" s="18">
        <f t="shared" si="15"/>
        <v>0.45363010758283356</v>
      </c>
      <c r="H65" s="18">
        <f t="shared" si="16"/>
        <v>0.2261060738119707</v>
      </c>
      <c r="I65" s="24">
        <v>274.08999999999997</v>
      </c>
      <c r="J65" s="24">
        <v>349.69</v>
      </c>
      <c r="K65" s="24">
        <v>171.85</v>
      </c>
      <c r="L65" s="24">
        <f t="shared" si="9"/>
        <v>285.2673511467263</v>
      </c>
      <c r="N65" s="2">
        <v>43191</v>
      </c>
      <c r="O65" s="19">
        <v>67079</v>
      </c>
      <c r="P65" s="19">
        <v>509807</v>
      </c>
      <c r="Q65" s="19">
        <f t="shared" si="17"/>
        <v>576886</v>
      </c>
      <c r="R65" s="18">
        <f t="shared" si="18"/>
        <v>0.11627773944938861</v>
      </c>
      <c r="S65" s="18">
        <f t="shared" si="19"/>
        <v>0.88372226055061143</v>
      </c>
      <c r="T65" s="24">
        <v>10.76</v>
      </c>
      <c r="U65" s="24">
        <v>7.83</v>
      </c>
      <c r="V65" s="24">
        <f t="shared" si="12"/>
        <v>8.1706937765867096</v>
      </c>
    </row>
    <row r="66" spans="1:22" x14ac:dyDescent="0.25">
      <c r="A66" s="2">
        <v>43221</v>
      </c>
      <c r="B66" s="19">
        <v>24199</v>
      </c>
      <c r="C66" s="19">
        <v>34209</v>
      </c>
      <c r="D66" s="19">
        <v>17698</v>
      </c>
      <c r="E66" s="19">
        <f t="shared" si="13"/>
        <v>76106</v>
      </c>
      <c r="F66" s="18">
        <f t="shared" si="14"/>
        <v>0.31796441804851128</v>
      </c>
      <c r="G66" s="18">
        <f t="shared" si="15"/>
        <v>0.4494914986991827</v>
      </c>
      <c r="H66" s="18">
        <f t="shared" si="16"/>
        <v>0.23254408325230599</v>
      </c>
      <c r="I66" s="24">
        <v>266.29000000000002</v>
      </c>
      <c r="J66" s="24">
        <v>315.35000000000002</v>
      </c>
      <c r="K66" s="24">
        <v>165.49</v>
      </c>
      <c r="L66" s="24">
        <f t="shared" ref="L66:L97" si="20">F66*I66+G66*J66+H66*K66</f>
        <v>264.90160933434947</v>
      </c>
      <c r="N66" s="2">
        <v>43221</v>
      </c>
      <c r="O66" s="19">
        <v>66692</v>
      </c>
      <c r="P66" s="19">
        <v>512453</v>
      </c>
      <c r="Q66" s="19">
        <f t="shared" si="17"/>
        <v>579145</v>
      </c>
      <c r="R66" s="18">
        <f t="shared" si="18"/>
        <v>0.11515596266910705</v>
      </c>
      <c r="S66" s="18">
        <f t="shared" si="19"/>
        <v>0.88484403733089301</v>
      </c>
      <c r="T66" s="24">
        <v>10.39</v>
      </c>
      <c r="U66" s="24">
        <v>7.75</v>
      </c>
      <c r="V66" s="24">
        <f t="shared" ref="V66:V97" si="21">R66*T66+S66*U66</f>
        <v>8.0540117414464429</v>
      </c>
    </row>
    <row r="67" spans="1:22" x14ac:dyDescent="0.25">
      <c r="A67" s="2">
        <v>43252</v>
      </c>
      <c r="B67" s="19">
        <v>23963</v>
      </c>
      <c r="C67" s="19">
        <v>34646</v>
      </c>
      <c r="D67" s="19">
        <v>18018</v>
      </c>
      <c r="E67" s="19">
        <f t="shared" si="13"/>
        <v>76627</v>
      </c>
      <c r="F67" s="18">
        <f t="shared" si="14"/>
        <v>0.31272266955511763</v>
      </c>
      <c r="G67" s="18">
        <f t="shared" si="15"/>
        <v>0.45213828024064623</v>
      </c>
      <c r="H67" s="18">
        <f t="shared" si="16"/>
        <v>0.23513905020423612</v>
      </c>
      <c r="I67" s="24">
        <v>260.44</v>
      </c>
      <c r="J67" s="24">
        <v>297.91000000000003</v>
      </c>
      <c r="K67" s="24">
        <v>168.13</v>
      </c>
      <c r="L67" s="24">
        <f t="shared" si="20"/>
        <v>255.67593563626397</v>
      </c>
      <c r="N67" s="2">
        <v>43252</v>
      </c>
      <c r="O67" s="19">
        <v>66537</v>
      </c>
      <c r="P67" s="19">
        <v>515419</v>
      </c>
      <c r="Q67" s="19">
        <f t="shared" si="17"/>
        <v>581956</v>
      </c>
      <c r="R67" s="18">
        <f t="shared" si="18"/>
        <v>0.11433338602918433</v>
      </c>
      <c r="S67" s="18">
        <f t="shared" si="19"/>
        <v>0.8856666139708157</v>
      </c>
      <c r="T67" s="24">
        <v>10.06</v>
      </c>
      <c r="U67" s="24">
        <v>7.78</v>
      </c>
      <c r="V67" s="24">
        <f t="shared" si="21"/>
        <v>8.0406801201465399</v>
      </c>
    </row>
    <row r="68" spans="1:22" x14ac:dyDescent="0.25">
      <c r="A68" s="2">
        <v>43282</v>
      </c>
      <c r="B68" s="19">
        <v>23925</v>
      </c>
      <c r="C68" s="19">
        <v>33735</v>
      </c>
      <c r="D68" s="19">
        <v>18354</v>
      </c>
      <c r="E68" s="19">
        <f t="shared" si="13"/>
        <v>76014</v>
      </c>
      <c r="F68" s="18">
        <f t="shared" si="14"/>
        <v>0.31474465230089194</v>
      </c>
      <c r="G68" s="18">
        <f t="shared" si="15"/>
        <v>0.44379982634777804</v>
      </c>
      <c r="H68" s="18">
        <f t="shared" si="16"/>
        <v>0.24145552135133003</v>
      </c>
      <c r="I68" s="24">
        <v>258.27999999999997</v>
      </c>
      <c r="J68" s="24">
        <v>279.97000000000003</v>
      </c>
      <c r="K68" s="24">
        <v>167.13</v>
      </c>
      <c r="L68" s="24">
        <f t="shared" si="20"/>
        <v>245.8973474623096</v>
      </c>
      <c r="N68" s="2">
        <v>43282</v>
      </c>
      <c r="O68" s="19">
        <v>66856</v>
      </c>
      <c r="P68" s="19">
        <v>516916</v>
      </c>
      <c r="Q68" s="19">
        <f t="shared" si="17"/>
        <v>583772</v>
      </c>
      <c r="R68" s="18">
        <f t="shared" si="18"/>
        <v>0.11452416354330115</v>
      </c>
      <c r="S68" s="18">
        <f t="shared" si="19"/>
        <v>0.88547583645669881</v>
      </c>
      <c r="T68" s="24">
        <v>9.93</v>
      </c>
      <c r="U68" s="24">
        <v>7.75</v>
      </c>
      <c r="V68" s="24">
        <f t="shared" si="21"/>
        <v>7.9996626765243963</v>
      </c>
    </row>
    <row r="69" spans="1:22" x14ac:dyDescent="0.25">
      <c r="A69" s="2">
        <v>43313</v>
      </c>
      <c r="B69" s="19">
        <v>23422</v>
      </c>
      <c r="C69" s="19">
        <v>33657</v>
      </c>
      <c r="D69" s="19">
        <v>18764</v>
      </c>
      <c r="E69" s="19">
        <f t="shared" si="13"/>
        <v>75843</v>
      </c>
      <c r="F69" s="18">
        <f t="shared" si="14"/>
        <v>0.30882217211871893</v>
      </c>
      <c r="G69" s="18">
        <f t="shared" si="15"/>
        <v>0.44377200268976702</v>
      </c>
      <c r="H69" s="18">
        <f t="shared" si="16"/>
        <v>0.24740582519151405</v>
      </c>
      <c r="I69" s="24">
        <v>257.54000000000002</v>
      </c>
      <c r="J69" s="24">
        <v>283.38</v>
      </c>
      <c r="K69" s="24">
        <v>166.73</v>
      </c>
      <c r="L69" s="24">
        <f t="shared" si="20"/>
        <v>246.54014556386221</v>
      </c>
      <c r="N69" s="2">
        <v>43313</v>
      </c>
      <c r="O69" s="19">
        <v>66552</v>
      </c>
      <c r="P69" s="19">
        <v>518413</v>
      </c>
      <c r="Q69" s="19">
        <f t="shared" si="17"/>
        <v>584965</v>
      </c>
      <c r="R69" s="18">
        <f t="shared" si="18"/>
        <v>0.1137709093706461</v>
      </c>
      <c r="S69" s="18">
        <f t="shared" si="19"/>
        <v>0.88622909062935384</v>
      </c>
      <c r="T69" s="24">
        <v>9.73</v>
      </c>
      <c r="U69" s="24">
        <v>7.76</v>
      </c>
      <c r="V69" s="24">
        <f t="shared" si="21"/>
        <v>7.9841286914601728</v>
      </c>
    </row>
    <row r="70" spans="1:22" x14ac:dyDescent="0.25">
      <c r="A70" s="2">
        <v>43344</v>
      </c>
      <c r="B70" s="19">
        <v>22747</v>
      </c>
      <c r="C70" s="19">
        <v>33614</v>
      </c>
      <c r="D70" s="19">
        <v>19315</v>
      </c>
      <c r="E70" s="19">
        <f t="shared" si="13"/>
        <v>75676</v>
      </c>
      <c r="F70" s="18">
        <f t="shared" si="14"/>
        <v>0.30058406892541889</v>
      </c>
      <c r="G70" s="18">
        <f t="shared" si="15"/>
        <v>0.44418309635815845</v>
      </c>
      <c r="H70" s="18">
        <f t="shared" si="16"/>
        <v>0.25523283471642266</v>
      </c>
      <c r="I70" s="24">
        <v>255.45</v>
      </c>
      <c r="J70" s="24">
        <v>284.22000000000003</v>
      </c>
      <c r="K70" s="24">
        <v>164.5</v>
      </c>
      <c r="L70" s="24">
        <f t="shared" si="20"/>
        <v>245.01572136476557</v>
      </c>
      <c r="N70" s="2">
        <v>43344</v>
      </c>
      <c r="O70" s="19">
        <v>68453</v>
      </c>
      <c r="P70" s="19">
        <v>521501</v>
      </c>
      <c r="Q70" s="19">
        <f t="shared" si="17"/>
        <v>589954</v>
      </c>
      <c r="R70" s="18">
        <f t="shared" si="18"/>
        <v>0.11603108038931849</v>
      </c>
      <c r="S70" s="18">
        <f t="shared" si="19"/>
        <v>0.88396891961068147</v>
      </c>
      <c r="T70" s="24">
        <v>9.56</v>
      </c>
      <c r="U70" s="24">
        <v>7.47</v>
      </c>
      <c r="V70" s="24">
        <f t="shared" si="21"/>
        <v>7.7125049580136755</v>
      </c>
    </row>
    <row r="71" spans="1:22" x14ac:dyDescent="0.25">
      <c r="A71" s="2">
        <v>43374</v>
      </c>
      <c r="B71" s="19">
        <v>24368</v>
      </c>
      <c r="C71" s="19">
        <v>33622</v>
      </c>
      <c r="D71" s="19">
        <v>19749</v>
      </c>
      <c r="E71" s="19">
        <f t="shared" si="13"/>
        <v>77739</v>
      </c>
      <c r="F71" s="18">
        <f t="shared" si="14"/>
        <v>0.31345913891354404</v>
      </c>
      <c r="G71" s="18">
        <f t="shared" si="15"/>
        <v>0.43249848853213957</v>
      </c>
      <c r="H71" s="18">
        <f t="shared" si="16"/>
        <v>0.25404237255431639</v>
      </c>
      <c r="I71" s="24">
        <v>257.37</v>
      </c>
      <c r="J71" s="24">
        <v>282.56</v>
      </c>
      <c r="K71" s="24">
        <v>166.06</v>
      </c>
      <c r="L71" s="24">
        <f t="shared" si="20"/>
        <v>245.06802788818996</v>
      </c>
      <c r="N71" s="2">
        <v>43374</v>
      </c>
      <c r="O71" s="19">
        <v>68290</v>
      </c>
      <c r="P71" s="19">
        <v>524321</v>
      </c>
      <c r="Q71" s="19">
        <f t="shared" si="17"/>
        <v>592611</v>
      </c>
      <c r="R71" s="18">
        <f t="shared" si="18"/>
        <v>0.11523579548810266</v>
      </c>
      <c r="S71" s="18">
        <f t="shared" si="19"/>
        <v>0.8847642045118973</v>
      </c>
      <c r="T71" s="24">
        <v>9.4499999999999993</v>
      </c>
      <c r="U71" s="24">
        <v>7.57</v>
      </c>
      <c r="V71" s="24">
        <f t="shared" si="21"/>
        <v>7.7866432955176332</v>
      </c>
    </row>
    <row r="72" spans="1:22" x14ac:dyDescent="0.25">
      <c r="A72" s="2">
        <v>43405</v>
      </c>
      <c r="B72" s="19">
        <v>24029</v>
      </c>
      <c r="C72" s="19">
        <v>35028</v>
      </c>
      <c r="D72" s="19">
        <v>20118</v>
      </c>
      <c r="E72" s="19">
        <f t="shared" si="13"/>
        <v>79175</v>
      </c>
      <c r="F72" s="18">
        <f t="shared" si="14"/>
        <v>0.30349226397221346</v>
      </c>
      <c r="G72" s="18">
        <f t="shared" si="15"/>
        <v>0.44241237764445845</v>
      </c>
      <c r="H72" s="18">
        <f t="shared" si="16"/>
        <v>0.25409535838332808</v>
      </c>
      <c r="I72" s="24">
        <v>261.27999999999997</v>
      </c>
      <c r="J72" s="24">
        <v>288.37</v>
      </c>
      <c r="K72" s="24">
        <v>161.56</v>
      </c>
      <c r="L72" s="24">
        <f t="shared" si="20"/>
        <v>247.9265621724029</v>
      </c>
      <c r="N72" s="2">
        <v>43405</v>
      </c>
      <c r="O72" s="19">
        <v>67891</v>
      </c>
      <c r="P72" s="19">
        <v>527491</v>
      </c>
      <c r="Q72" s="19">
        <f t="shared" si="17"/>
        <v>595382</v>
      </c>
      <c r="R72" s="18">
        <f t="shared" si="18"/>
        <v>0.11402931227346477</v>
      </c>
      <c r="S72" s="18">
        <f t="shared" si="19"/>
        <v>0.8859706877265352</v>
      </c>
      <c r="T72" s="24">
        <v>9.5</v>
      </c>
      <c r="U72" s="24">
        <v>7.65</v>
      </c>
      <c r="V72" s="24">
        <f t="shared" si="21"/>
        <v>7.8609542277059106</v>
      </c>
    </row>
    <row r="73" spans="1:22" x14ac:dyDescent="0.25">
      <c r="A73" s="2">
        <v>43435</v>
      </c>
      <c r="B73" s="19">
        <v>21974</v>
      </c>
      <c r="C73" s="19">
        <v>34366</v>
      </c>
      <c r="D73" s="19">
        <v>20206</v>
      </c>
      <c r="E73" s="19">
        <f t="shared" si="13"/>
        <v>76546</v>
      </c>
      <c r="F73" s="18">
        <f t="shared" si="14"/>
        <v>0.28706921328351581</v>
      </c>
      <c r="G73" s="18">
        <f t="shared" si="15"/>
        <v>0.44895879601808064</v>
      </c>
      <c r="H73" s="18">
        <f t="shared" si="16"/>
        <v>0.26397199069840355</v>
      </c>
      <c r="I73" s="24">
        <v>261.83</v>
      </c>
      <c r="J73" s="24">
        <v>292.86</v>
      </c>
      <c r="K73" s="24">
        <v>158.91</v>
      </c>
      <c r="L73" s="24">
        <f t="shared" si="20"/>
        <v>248.59319415776133</v>
      </c>
      <c r="N73" s="2">
        <v>43435</v>
      </c>
      <c r="O73" s="19">
        <v>67269</v>
      </c>
      <c r="P73" s="19">
        <v>531062</v>
      </c>
      <c r="Q73" s="19">
        <f t="shared" si="17"/>
        <v>598331</v>
      </c>
      <c r="R73" s="18">
        <f t="shared" si="18"/>
        <v>0.11242773648699465</v>
      </c>
      <c r="S73" s="18">
        <f t="shared" si="19"/>
        <v>0.88757226351300533</v>
      </c>
      <c r="T73" s="24">
        <v>9.52</v>
      </c>
      <c r="U73" s="24">
        <v>7.64</v>
      </c>
      <c r="V73" s="24">
        <f t="shared" si="21"/>
        <v>7.8513641445955491</v>
      </c>
    </row>
    <row r="74" spans="1:22" x14ac:dyDescent="0.25">
      <c r="A74" s="2">
        <v>43466</v>
      </c>
      <c r="B74" s="19">
        <v>24156</v>
      </c>
      <c r="C74" s="19">
        <v>35279</v>
      </c>
      <c r="D74" s="19">
        <v>20658</v>
      </c>
      <c r="E74" s="19">
        <f t="shared" si="13"/>
        <v>80093</v>
      </c>
      <c r="F74" s="18">
        <f t="shared" si="14"/>
        <v>0.30159939070830161</v>
      </c>
      <c r="G74" s="18">
        <f t="shared" si="15"/>
        <v>0.44047544729252242</v>
      </c>
      <c r="H74" s="18">
        <f t="shared" si="16"/>
        <v>0.25792516199917598</v>
      </c>
      <c r="I74" s="24">
        <v>267.25</v>
      </c>
      <c r="J74" s="24">
        <v>288.58</v>
      </c>
      <c r="K74" s="24">
        <v>163.07</v>
      </c>
      <c r="L74" s="24">
        <f t="shared" si="20"/>
        <v>249.77469791367534</v>
      </c>
      <c r="N74" s="2">
        <v>43466</v>
      </c>
      <c r="O74" s="19">
        <v>66596</v>
      </c>
      <c r="P74" s="19">
        <v>531752</v>
      </c>
      <c r="Q74" s="19">
        <f t="shared" si="17"/>
        <v>598348</v>
      </c>
      <c r="R74" s="18">
        <f t="shared" si="18"/>
        <v>0.11129977872408699</v>
      </c>
      <c r="S74" s="18">
        <f t="shared" si="19"/>
        <v>0.88870022127591297</v>
      </c>
      <c r="T74" s="24">
        <v>9.27</v>
      </c>
      <c r="U74" s="24">
        <v>8.19</v>
      </c>
      <c r="V74" s="24">
        <f t="shared" si="21"/>
        <v>8.310203761022013</v>
      </c>
    </row>
    <row r="75" spans="1:22" x14ac:dyDescent="0.25">
      <c r="A75" s="2">
        <v>43497</v>
      </c>
      <c r="B75" s="19">
        <v>24860</v>
      </c>
      <c r="C75" s="19">
        <v>36909</v>
      </c>
      <c r="D75" s="19">
        <v>21301</v>
      </c>
      <c r="E75" s="19">
        <f t="shared" si="13"/>
        <v>83070</v>
      </c>
      <c r="F75" s="18">
        <f t="shared" si="14"/>
        <v>0.29926567954736971</v>
      </c>
      <c r="G75" s="18">
        <f t="shared" si="15"/>
        <v>0.44431202600216685</v>
      </c>
      <c r="H75" s="18">
        <f t="shared" si="16"/>
        <v>0.25642229445046344</v>
      </c>
      <c r="I75" s="24">
        <v>265.57</v>
      </c>
      <c r="J75" s="24">
        <v>297.11</v>
      </c>
      <c r="K75" s="24">
        <v>170.47</v>
      </c>
      <c r="L75" s="24">
        <f t="shared" si="20"/>
        <v>255.19784109786929</v>
      </c>
      <c r="N75" s="2">
        <v>43497</v>
      </c>
      <c r="O75" s="19">
        <v>66326</v>
      </c>
      <c r="P75" s="19">
        <v>535845</v>
      </c>
      <c r="Q75" s="19">
        <f t="shared" si="17"/>
        <v>602171</v>
      </c>
      <c r="R75" s="18">
        <f t="shared" si="18"/>
        <v>0.11014479275820324</v>
      </c>
      <c r="S75" s="18">
        <f t="shared" si="19"/>
        <v>0.88985520724179679</v>
      </c>
      <c r="T75" s="24">
        <v>9.4499999999999993</v>
      </c>
      <c r="U75" s="24">
        <v>7.5</v>
      </c>
      <c r="V75" s="24">
        <f t="shared" si="21"/>
        <v>7.714782345878497</v>
      </c>
    </row>
    <row r="76" spans="1:22" x14ac:dyDescent="0.25">
      <c r="A76" s="2">
        <v>43525</v>
      </c>
      <c r="B76" s="19">
        <v>24469</v>
      </c>
      <c r="C76" s="19">
        <v>36243</v>
      </c>
      <c r="D76" s="19">
        <v>22057</v>
      </c>
      <c r="E76" s="19">
        <f t="shared" si="13"/>
        <v>82769</v>
      </c>
      <c r="F76" s="18">
        <f t="shared" si="14"/>
        <v>0.29563000640336357</v>
      </c>
      <c r="G76" s="18">
        <f t="shared" si="15"/>
        <v>0.437881332382897</v>
      </c>
      <c r="H76" s="18">
        <f t="shared" si="16"/>
        <v>0.26648866121373943</v>
      </c>
      <c r="I76" s="24">
        <v>271.74</v>
      </c>
      <c r="J76" s="24">
        <v>301.08</v>
      </c>
      <c r="K76" s="24">
        <v>178.46</v>
      </c>
      <c r="L76" s="24">
        <f t="shared" si="20"/>
        <v>259.72937597409657</v>
      </c>
      <c r="N76" s="2">
        <v>43525</v>
      </c>
      <c r="O76" s="19">
        <v>65982</v>
      </c>
      <c r="P76" s="19">
        <v>539231</v>
      </c>
      <c r="Q76" s="19">
        <f t="shared" si="17"/>
        <v>605213</v>
      </c>
      <c r="R76" s="18">
        <f t="shared" si="18"/>
        <v>0.10902277380029841</v>
      </c>
      <c r="S76" s="18">
        <f t="shared" si="19"/>
        <v>0.89097722619970154</v>
      </c>
      <c r="T76" s="24">
        <v>9.4499999999999993</v>
      </c>
      <c r="U76" s="24">
        <v>7.6</v>
      </c>
      <c r="V76" s="24">
        <f t="shared" si="21"/>
        <v>7.801692131530551</v>
      </c>
    </row>
    <row r="77" spans="1:22" x14ac:dyDescent="0.25">
      <c r="A77" s="2">
        <v>43556</v>
      </c>
      <c r="B77" s="19">
        <v>25681</v>
      </c>
      <c r="C77" s="19">
        <v>37304</v>
      </c>
      <c r="D77" s="19">
        <v>22598</v>
      </c>
      <c r="E77" s="19">
        <f t="shared" si="13"/>
        <v>85583</v>
      </c>
      <c r="F77" s="18">
        <f t="shared" si="14"/>
        <v>0.3000712758374911</v>
      </c>
      <c r="G77" s="18">
        <f t="shared" si="15"/>
        <v>0.43588095766682633</v>
      </c>
      <c r="H77" s="18">
        <f t="shared" si="16"/>
        <v>0.26404776649568257</v>
      </c>
      <c r="I77" s="24">
        <v>275.14999999999998</v>
      </c>
      <c r="J77" s="24">
        <v>298.17</v>
      </c>
      <c r="K77" s="24">
        <v>170.84</v>
      </c>
      <c r="L77" s="24">
        <f t="shared" si="20"/>
        <v>257.64115712232569</v>
      </c>
      <c r="N77" s="2">
        <v>43556</v>
      </c>
      <c r="O77" s="19">
        <v>65159</v>
      </c>
      <c r="P77" s="19">
        <v>542404</v>
      </c>
      <c r="Q77" s="19">
        <f t="shared" si="17"/>
        <v>607563</v>
      </c>
      <c r="R77" s="18">
        <f t="shared" si="18"/>
        <v>0.10724649131036616</v>
      </c>
      <c r="S77" s="18">
        <f t="shared" si="19"/>
        <v>0.89275350868963388</v>
      </c>
      <c r="T77" s="24">
        <v>9.34</v>
      </c>
      <c r="U77" s="24">
        <v>7.64</v>
      </c>
      <c r="V77" s="24">
        <f t="shared" si="21"/>
        <v>7.822319035227622</v>
      </c>
    </row>
    <row r="78" spans="1:22" x14ac:dyDescent="0.25">
      <c r="A78" s="2">
        <v>43586</v>
      </c>
      <c r="B78" s="19">
        <v>25431</v>
      </c>
      <c r="C78" s="19">
        <v>37486</v>
      </c>
      <c r="D78" s="19">
        <v>23483</v>
      </c>
      <c r="E78" s="19">
        <f t="shared" si="13"/>
        <v>86400</v>
      </c>
      <c r="F78" s="18">
        <f t="shared" si="14"/>
        <v>0.29434027777777777</v>
      </c>
      <c r="G78" s="18">
        <f t="shared" si="15"/>
        <v>0.43386574074074075</v>
      </c>
      <c r="H78" s="18">
        <f t="shared" si="16"/>
        <v>0.27179398148148148</v>
      </c>
      <c r="I78" s="24">
        <v>272.64999999999998</v>
      </c>
      <c r="J78" s="24">
        <v>299.81</v>
      </c>
      <c r="K78" s="24">
        <v>174.11</v>
      </c>
      <c r="L78" s="24">
        <f t="shared" si="20"/>
        <v>257.65121458333334</v>
      </c>
      <c r="N78" s="2">
        <v>43586</v>
      </c>
      <c r="O78" s="19">
        <v>64541</v>
      </c>
      <c r="P78" s="19">
        <v>545987</v>
      </c>
      <c r="Q78" s="19">
        <f t="shared" si="17"/>
        <v>610528</v>
      </c>
      <c r="R78" s="18">
        <f t="shared" si="18"/>
        <v>0.10571341527333718</v>
      </c>
      <c r="S78" s="18">
        <f t="shared" si="19"/>
        <v>0.89428658472666278</v>
      </c>
      <c r="T78" s="24">
        <v>9.27</v>
      </c>
      <c r="U78" s="24">
        <v>7.69</v>
      </c>
      <c r="V78" s="24">
        <f t="shared" si="21"/>
        <v>7.8570271961318721</v>
      </c>
    </row>
    <row r="79" spans="1:22" x14ac:dyDescent="0.25">
      <c r="A79" s="2">
        <v>43617</v>
      </c>
      <c r="B79" s="19">
        <v>25804</v>
      </c>
      <c r="C79" s="19">
        <v>38457</v>
      </c>
      <c r="D79" s="19">
        <v>23962</v>
      </c>
      <c r="E79" s="19">
        <f t="shared" si="13"/>
        <v>88223</v>
      </c>
      <c r="F79" s="18">
        <f t="shared" si="14"/>
        <v>0.2924860863947043</v>
      </c>
      <c r="G79" s="18">
        <f t="shared" si="15"/>
        <v>0.4359067363385965</v>
      </c>
      <c r="H79" s="18">
        <f t="shared" si="16"/>
        <v>0.27160717726669914</v>
      </c>
      <c r="I79" s="24">
        <v>272.51</v>
      </c>
      <c r="J79" s="24">
        <v>300.56</v>
      </c>
      <c r="K79" s="24">
        <v>175.58</v>
      </c>
      <c r="L79" s="24">
        <f t="shared" si="20"/>
        <v>258.41030026183648</v>
      </c>
      <c r="N79" s="2">
        <v>43617</v>
      </c>
      <c r="O79" s="19">
        <v>64142</v>
      </c>
      <c r="P79" s="19">
        <v>550738</v>
      </c>
      <c r="Q79" s="19">
        <f t="shared" si="17"/>
        <v>614880</v>
      </c>
      <c r="R79" s="18">
        <f t="shared" si="18"/>
        <v>0.10431628935727297</v>
      </c>
      <c r="S79" s="18">
        <f t="shared" si="19"/>
        <v>0.895683710642727</v>
      </c>
      <c r="T79" s="24">
        <v>9.1999999999999993</v>
      </c>
      <c r="U79" s="24">
        <v>7.57</v>
      </c>
      <c r="V79" s="24">
        <f t="shared" si="21"/>
        <v>7.7400355516523547</v>
      </c>
    </row>
    <row r="80" spans="1:22" x14ac:dyDescent="0.25">
      <c r="A80" s="2">
        <v>43647</v>
      </c>
      <c r="B80" s="19">
        <v>26124</v>
      </c>
      <c r="C80" s="19">
        <v>38257</v>
      </c>
      <c r="D80" s="19">
        <v>24395</v>
      </c>
      <c r="E80" s="19">
        <f t="shared" si="13"/>
        <v>88776</v>
      </c>
      <c r="F80" s="18">
        <f t="shared" si="14"/>
        <v>0.29426872127602055</v>
      </c>
      <c r="G80" s="18">
        <f t="shared" si="15"/>
        <v>0.4309385419482743</v>
      </c>
      <c r="H80" s="18">
        <f t="shared" si="16"/>
        <v>0.27479273677570515</v>
      </c>
      <c r="I80" s="24">
        <v>269.56</v>
      </c>
      <c r="J80" s="24">
        <v>300.41000000000003</v>
      </c>
      <c r="K80" s="24">
        <v>175.24</v>
      </c>
      <c r="L80" s="24">
        <f t="shared" si="20"/>
        <v>256.93600308641976</v>
      </c>
      <c r="N80" s="2">
        <v>43647</v>
      </c>
      <c r="O80" s="19">
        <v>63536</v>
      </c>
      <c r="P80" s="19">
        <v>554565</v>
      </c>
      <c r="Q80" s="19">
        <f t="shared" si="17"/>
        <v>618101</v>
      </c>
      <c r="R80" s="18">
        <f t="shared" si="18"/>
        <v>0.10279226210603122</v>
      </c>
      <c r="S80" s="18">
        <f t="shared" si="19"/>
        <v>0.89720773789396879</v>
      </c>
      <c r="T80" s="24">
        <v>9.17</v>
      </c>
      <c r="U80" s="24">
        <v>7.66</v>
      </c>
      <c r="V80" s="24">
        <f t="shared" si="21"/>
        <v>7.8152163157801073</v>
      </c>
    </row>
    <row r="81" spans="1:22" x14ac:dyDescent="0.25">
      <c r="A81" s="2">
        <v>43678</v>
      </c>
      <c r="B81" s="19">
        <v>26144</v>
      </c>
      <c r="C81" s="19">
        <v>39897</v>
      </c>
      <c r="D81" s="19">
        <v>24800</v>
      </c>
      <c r="E81" s="19">
        <f t="shared" si="13"/>
        <v>90841</v>
      </c>
      <c r="F81" s="18">
        <f t="shared" si="14"/>
        <v>0.28779956187184202</v>
      </c>
      <c r="G81" s="18">
        <f t="shared" si="15"/>
        <v>0.43919595777237153</v>
      </c>
      <c r="H81" s="18">
        <f t="shared" si="16"/>
        <v>0.27300448035578651</v>
      </c>
      <c r="I81" s="24">
        <v>255.42</v>
      </c>
      <c r="J81" s="24">
        <v>306.20999999999998</v>
      </c>
      <c r="K81" s="24">
        <v>177.29</v>
      </c>
      <c r="L81" s="24">
        <f t="shared" si="20"/>
        <v>256.39692264506118</v>
      </c>
      <c r="N81" s="2">
        <v>43678</v>
      </c>
      <c r="O81" s="19">
        <v>63048</v>
      </c>
      <c r="P81" s="19">
        <v>557177</v>
      </c>
      <c r="Q81" s="19">
        <f t="shared" si="17"/>
        <v>620225</v>
      </c>
      <c r="R81" s="18">
        <f t="shared" si="18"/>
        <v>0.10165343222217743</v>
      </c>
      <c r="S81" s="18">
        <f t="shared" si="19"/>
        <v>0.89834656777782251</v>
      </c>
      <c r="T81" s="24">
        <v>8.8699999999999992</v>
      </c>
      <c r="U81" s="24">
        <v>8.24</v>
      </c>
      <c r="V81" s="24">
        <f t="shared" si="21"/>
        <v>8.3040416622999711</v>
      </c>
    </row>
    <row r="82" spans="1:22" x14ac:dyDescent="0.25">
      <c r="A82" s="2">
        <v>43709</v>
      </c>
      <c r="B82" s="19">
        <v>26368</v>
      </c>
      <c r="C82" s="19">
        <v>41109</v>
      </c>
      <c r="D82" s="19">
        <v>24863</v>
      </c>
      <c r="E82" s="19">
        <f t="shared" si="13"/>
        <v>92340</v>
      </c>
      <c r="F82" s="18">
        <f t="shared" si="14"/>
        <v>0.28555338964695692</v>
      </c>
      <c r="G82" s="18">
        <f t="shared" si="15"/>
        <v>0.44519168291098116</v>
      </c>
      <c r="H82" s="18">
        <f t="shared" si="16"/>
        <v>0.26925492744206192</v>
      </c>
      <c r="I82" s="24">
        <v>245.65</v>
      </c>
      <c r="J82" s="24">
        <v>306.99</v>
      </c>
      <c r="K82" s="24">
        <v>178.24</v>
      </c>
      <c r="L82" s="24">
        <f t="shared" si="20"/>
        <v>254.80758317089021</v>
      </c>
      <c r="N82" s="2">
        <v>43709</v>
      </c>
      <c r="O82" s="19">
        <v>62678</v>
      </c>
      <c r="P82" s="19">
        <v>561743</v>
      </c>
      <c r="Q82" s="19">
        <f t="shared" si="17"/>
        <v>624421</v>
      </c>
      <c r="R82" s="18">
        <f t="shared" si="18"/>
        <v>0.10037778998464177</v>
      </c>
      <c r="S82" s="18">
        <f t="shared" si="19"/>
        <v>0.89962221001535825</v>
      </c>
      <c r="T82" s="24">
        <v>8.6999999999999993</v>
      </c>
      <c r="U82" s="24">
        <v>7.53</v>
      </c>
      <c r="V82" s="24">
        <f t="shared" si="21"/>
        <v>7.6474420142820314</v>
      </c>
    </row>
    <row r="83" spans="1:22" x14ac:dyDescent="0.25">
      <c r="A83" s="2">
        <v>43739</v>
      </c>
      <c r="B83" s="19">
        <v>26382</v>
      </c>
      <c r="C83" s="19">
        <v>40662</v>
      </c>
      <c r="D83" s="19">
        <v>25010</v>
      </c>
      <c r="E83" s="19">
        <f t="shared" si="13"/>
        <v>92054</v>
      </c>
      <c r="F83" s="18">
        <f t="shared" si="14"/>
        <v>0.2865926521389619</v>
      </c>
      <c r="G83" s="18">
        <f t="shared" si="15"/>
        <v>0.4417189910270059</v>
      </c>
      <c r="H83" s="18">
        <f t="shared" si="16"/>
        <v>0.2716883568340322</v>
      </c>
      <c r="I83" s="24">
        <v>260.41000000000003</v>
      </c>
      <c r="J83" s="24">
        <v>315.48</v>
      </c>
      <c r="K83" s="24">
        <v>173.58</v>
      </c>
      <c r="L83" s="24">
        <f t="shared" si="20"/>
        <v>261.14476481195823</v>
      </c>
      <c r="N83" s="2">
        <v>43739</v>
      </c>
      <c r="O83" s="19">
        <v>62223</v>
      </c>
      <c r="P83" s="19">
        <v>566838</v>
      </c>
      <c r="Q83" s="19">
        <f t="shared" si="17"/>
        <v>629061</v>
      </c>
      <c r="R83" s="18">
        <f t="shared" si="18"/>
        <v>9.8914095771316296E-2</v>
      </c>
      <c r="S83" s="18">
        <f t="shared" si="19"/>
        <v>0.90108590422868373</v>
      </c>
      <c r="T83" s="24">
        <v>8.52</v>
      </c>
      <c r="U83" s="24">
        <v>7.28</v>
      </c>
      <c r="V83" s="24">
        <f t="shared" si="21"/>
        <v>7.4026534787564326</v>
      </c>
    </row>
    <row r="84" spans="1:22" x14ac:dyDescent="0.25">
      <c r="A84" s="2">
        <v>43770</v>
      </c>
      <c r="B84" s="19">
        <v>25500</v>
      </c>
      <c r="C84" s="19">
        <v>41569</v>
      </c>
      <c r="D84" s="19">
        <v>24920</v>
      </c>
      <c r="E84" s="19">
        <f t="shared" si="13"/>
        <v>91989</v>
      </c>
      <c r="F84" s="18">
        <f t="shared" si="14"/>
        <v>0.27720705736555457</v>
      </c>
      <c r="G84" s="18">
        <f t="shared" si="15"/>
        <v>0.45189098696583285</v>
      </c>
      <c r="H84" s="18">
        <f t="shared" si="16"/>
        <v>0.27090195566861253</v>
      </c>
      <c r="I84" s="24">
        <v>263.98</v>
      </c>
      <c r="J84" s="24">
        <v>315.93</v>
      </c>
      <c r="K84" s="24">
        <v>177.77</v>
      </c>
      <c r="L84" s="24">
        <f t="shared" si="20"/>
        <v>264.1012791746839</v>
      </c>
      <c r="N84" s="2">
        <v>43770</v>
      </c>
      <c r="O84" s="19">
        <v>61650</v>
      </c>
      <c r="P84" s="19">
        <v>571949</v>
      </c>
      <c r="Q84" s="19">
        <f t="shared" si="17"/>
        <v>633599</v>
      </c>
      <c r="R84" s="18">
        <f t="shared" si="18"/>
        <v>9.7301289932591434E-2</v>
      </c>
      <c r="S84" s="18">
        <f t="shared" si="19"/>
        <v>0.90269871006740854</v>
      </c>
      <c r="T84" s="24">
        <v>8.19</v>
      </c>
      <c r="U84" s="24">
        <v>7.13</v>
      </c>
      <c r="V84" s="24">
        <f t="shared" si="21"/>
        <v>7.2331393673285467</v>
      </c>
    </row>
    <row r="85" spans="1:22" x14ac:dyDescent="0.25">
      <c r="A85" s="2">
        <v>43800</v>
      </c>
      <c r="B85" s="19">
        <v>24151</v>
      </c>
      <c r="C85" s="19">
        <v>41267</v>
      </c>
      <c r="D85" s="19">
        <v>24542</v>
      </c>
      <c r="E85" s="19">
        <f t="shared" si="13"/>
        <v>89960</v>
      </c>
      <c r="F85" s="18">
        <f t="shared" si="14"/>
        <v>0.26846376167185415</v>
      </c>
      <c r="G85" s="18">
        <f t="shared" si="15"/>
        <v>0.45872610048910628</v>
      </c>
      <c r="H85" s="18">
        <f t="shared" si="16"/>
        <v>0.27281013783903957</v>
      </c>
      <c r="I85" s="24">
        <v>247.56</v>
      </c>
      <c r="J85" s="24">
        <v>316.91000000000003</v>
      </c>
      <c r="K85" s="24">
        <v>175.81</v>
      </c>
      <c r="L85" s="24">
        <f t="shared" si="20"/>
        <v>259.79852767896847</v>
      </c>
      <c r="N85" s="2">
        <v>43800</v>
      </c>
      <c r="O85" s="19">
        <v>61320</v>
      </c>
      <c r="P85" s="19">
        <v>576818</v>
      </c>
      <c r="Q85" s="19">
        <f t="shared" si="17"/>
        <v>638138</v>
      </c>
      <c r="R85" s="18">
        <f t="shared" si="18"/>
        <v>9.6092067859929978E-2</v>
      </c>
      <c r="S85" s="18">
        <f t="shared" si="19"/>
        <v>0.90390793214007004</v>
      </c>
      <c r="T85" s="24">
        <v>7.96</v>
      </c>
      <c r="U85" s="24">
        <v>7.18</v>
      </c>
      <c r="V85" s="24">
        <f t="shared" si="21"/>
        <v>7.2549518129307451</v>
      </c>
    </row>
    <row r="86" spans="1:22" x14ac:dyDescent="0.25">
      <c r="A86" s="2">
        <v>43831</v>
      </c>
      <c r="B86" s="19">
        <v>25671</v>
      </c>
      <c r="C86" s="19">
        <v>42254</v>
      </c>
      <c r="D86" s="19">
        <v>24656</v>
      </c>
      <c r="E86" s="19">
        <f t="shared" si="13"/>
        <v>92581</v>
      </c>
      <c r="F86" s="18">
        <f t="shared" si="14"/>
        <v>0.27728151564575887</v>
      </c>
      <c r="G86" s="18">
        <f t="shared" si="15"/>
        <v>0.4564003413227336</v>
      </c>
      <c r="H86" s="18">
        <f t="shared" si="16"/>
        <v>0.26631814303150753</v>
      </c>
      <c r="I86" s="24">
        <v>140.82</v>
      </c>
      <c r="J86" s="24">
        <v>314.58999999999997</v>
      </c>
      <c r="K86" s="24">
        <v>184.08</v>
      </c>
      <c r="L86" s="24">
        <f t="shared" si="20"/>
        <v>231.64961017919441</v>
      </c>
      <c r="N86" s="2">
        <v>43831</v>
      </c>
      <c r="O86" s="19">
        <v>60811</v>
      </c>
      <c r="P86" s="19">
        <v>579544</v>
      </c>
      <c r="Q86" s="19">
        <f t="shared" si="17"/>
        <v>640355</v>
      </c>
      <c r="R86" s="18">
        <f t="shared" si="18"/>
        <v>9.4964511872320828E-2</v>
      </c>
      <c r="S86" s="18">
        <f t="shared" si="19"/>
        <v>0.9050354881276792</v>
      </c>
      <c r="T86" s="24">
        <v>7.96</v>
      </c>
      <c r="U86" s="24">
        <v>7.35</v>
      </c>
      <c r="V86" s="24">
        <f t="shared" si="21"/>
        <v>7.4079283522421155</v>
      </c>
    </row>
    <row r="87" spans="1:22" x14ac:dyDescent="0.25">
      <c r="A87" s="2">
        <v>43862</v>
      </c>
      <c r="B87" s="19">
        <v>26630</v>
      </c>
      <c r="C87" s="19">
        <v>43787</v>
      </c>
      <c r="D87" s="19">
        <v>25142</v>
      </c>
      <c r="E87" s="19">
        <f t="shared" si="13"/>
        <v>95559</v>
      </c>
      <c r="F87" s="18">
        <f t="shared" si="14"/>
        <v>0.27867600121390973</v>
      </c>
      <c r="G87" s="18">
        <f t="shared" si="15"/>
        <v>0.45821952929603699</v>
      </c>
      <c r="H87" s="18">
        <f t="shared" si="16"/>
        <v>0.26310446949005328</v>
      </c>
      <c r="I87" s="24">
        <v>130.6</v>
      </c>
      <c r="J87" s="24">
        <v>321.67</v>
      </c>
      <c r="K87" s="24">
        <v>186.69</v>
      </c>
      <c r="L87" s="24">
        <f t="shared" si="20"/>
        <v>232.90953515629087</v>
      </c>
      <c r="N87" s="2">
        <v>43862</v>
      </c>
      <c r="O87" s="19">
        <v>60042</v>
      </c>
      <c r="P87" s="19">
        <v>583149</v>
      </c>
      <c r="Q87" s="19">
        <f t="shared" si="17"/>
        <v>643191</v>
      </c>
      <c r="R87" s="18">
        <f t="shared" si="18"/>
        <v>9.3350186802986984E-2</v>
      </c>
      <c r="S87" s="18">
        <f t="shared" si="19"/>
        <v>0.90664981319701299</v>
      </c>
      <c r="T87" s="24">
        <v>7.92</v>
      </c>
      <c r="U87" s="24">
        <v>7.28</v>
      </c>
      <c r="V87" s="24">
        <f t="shared" si="21"/>
        <v>7.3397441195539121</v>
      </c>
    </row>
    <row r="88" spans="1:22" x14ac:dyDescent="0.25">
      <c r="A88" s="2">
        <v>43891</v>
      </c>
      <c r="B88" s="19">
        <v>25897</v>
      </c>
      <c r="C88" s="19">
        <v>41002</v>
      </c>
      <c r="D88" s="19">
        <v>29507</v>
      </c>
      <c r="E88" s="19">
        <f t="shared" si="13"/>
        <v>96406</v>
      </c>
      <c r="F88" s="18">
        <f t="shared" si="14"/>
        <v>0.26862435947970043</v>
      </c>
      <c r="G88" s="18">
        <f t="shared" si="15"/>
        <v>0.42530547891210091</v>
      </c>
      <c r="H88" s="18">
        <f t="shared" si="16"/>
        <v>0.30607016160819867</v>
      </c>
      <c r="I88" s="24">
        <v>130.61000000000001</v>
      </c>
      <c r="J88" s="24">
        <v>327.26</v>
      </c>
      <c r="K88" s="24">
        <v>188.94</v>
      </c>
      <c r="L88" s="24">
        <f t="shared" si="20"/>
        <v>232.09939495467086</v>
      </c>
      <c r="N88" s="2">
        <v>43891</v>
      </c>
      <c r="O88" s="19">
        <v>60062</v>
      </c>
      <c r="P88" s="19">
        <v>587701</v>
      </c>
      <c r="Q88" s="19">
        <f t="shared" si="17"/>
        <v>647763</v>
      </c>
      <c r="R88" s="18">
        <f t="shared" si="18"/>
        <v>9.2722183885155532E-2</v>
      </c>
      <c r="S88" s="18">
        <f t="shared" si="19"/>
        <v>0.90727781611484448</v>
      </c>
      <c r="T88" s="24">
        <v>8.0500000000000007</v>
      </c>
      <c r="U88" s="24">
        <v>7.06</v>
      </c>
      <c r="V88" s="24">
        <f t="shared" si="21"/>
        <v>7.1517949620463037</v>
      </c>
    </row>
    <row r="89" spans="1:22" x14ac:dyDescent="0.25">
      <c r="A89" s="2">
        <v>43922</v>
      </c>
      <c r="B89" s="19">
        <v>24649</v>
      </c>
      <c r="C89" s="19">
        <v>41954</v>
      </c>
      <c r="D89" s="19">
        <v>30480</v>
      </c>
      <c r="E89" s="19">
        <f t="shared" si="13"/>
        <v>97083</v>
      </c>
      <c r="F89" s="18">
        <f t="shared" si="14"/>
        <v>0.25389615071639732</v>
      </c>
      <c r="G89" s="18">
        <f t="shared" si="15"/>
        <v>0.43214568977060863</v>
      </c>
      <c r="H89" s="18">
        <f t="shared" si="16"/>
        <v>0.31395815951299405</v>
      </c>
      <c r="I89" s="24">
        <v>119.56</v>
      </c>
      <c r="J89" s="24">
        <v>313.45999999999998</v>
      </c>
      <c r="K89" s="24">
        <v>148.79</v>
      </c>
      <c r="L89" s="24">
        <f t="shared" si="20"/>
        <v>212.53004624908584</v>
      </c>
      <c r="N89" s="2">
        <v>43922</v>
      </c>
      <c r="O89" s="19">
        <v>60185</v>
      </c>
      <c r="P89" s="19">
        <v>593635</v>
      </c>
      <c r="Q89" s="19">
        <f t="shared" si="17"/>
        <v>653820</v>
      </c>
      <c r="R89" s="18">
        <f t="shared" si="18"/>
        <v>9.2051329111988003E-2</v>
      </c>
      <c r="S89" s="18">
        <f t="shared" si="19"/>
        <v>0.90794867088801201</v>
      </c>
      <c r="T89" s="24">
        <v>7.89</v>
      </c>
      <c r="U89" s="24">
        <v>7.15</v>
      </c>
      <c r="V89" s="24">
        <f t="shared" si="21"/>
        <v>7.2181179835428715</v>
      </c>
    </row>
    <row r="90" spans="1:22" x14ac:dyDescent="0.25">
      <c r="A90" s="2">
        <v>43952</v>
      </c>
      <c r="B90" s="19">
        <v>22236</v>
      </c>
      <c r="C90" s="19">
        <v>39797</v>
      </c>
      <c r="D90" s="19">
        <v>30375</v>
      </c>
      <c r="E90" s="19">
        <f t="shared" si="13"/>
        <v>92408</v>
      </c>
      <c r="F90" s="18">
        <f t="shared" si="14"/>
        <v>0.24062851701151416</v>
      </c>
      <c r="G90" s="18">
        <f t="shared" si="15"/>
        <v>0.43066617608865032</v>
      </c>
      <c r="H90" s="18">
        <f t="shared" si="16"/>
        <v>0.32870530689983551</v>
      </c>
      <c r="I90" s="24">
        <v>116.22</v>
      </c>
      <c r="J90" s="24">
        <v>302.5</v>
      </c>
      <c r="K90" s="24">
        <v>138.38999999999999</v>
      </c>
      <c r="L90" s="24">
        <f t="shared" si="20"/>
        <v>203.73189193576309</v>
      </c>
      <c r="N90" s="2">
        <v>43952</v>
      </c>
      <c r="O90" s="19">
        <v>60184</v>
      </c>
      <c r="P90" s="19">
        <v>599928</v>
      </c>
      <c r="Q90" s="19">
        <f t="shared" si="17"/>
        <v>660112</v>
      </c>
      <c r="R90" s="18">
        <f t="shared" si="18"/>
        <v>9.1172407106672806E-2</v>
      </c>
      <c r="S90" s="18">
        <f t="shared" si="19"/>
        <v>0.90882759289332715</v>
      </c>
      <c r="T90" s="24">
        <v>7.93</v>
      </c>
      <c r="U90" s="24">
        <v>7.09</v>
      </c>
      <c r="V90" s="24">
        <f t="shared" si="21"/>
        <v>7.1665848219696047</v>
      </c>
    </row>
    <row r="91" spans="1:22" x14ac:dyDescent="0.25">
      <c r="A91" s="2">
        <v>43983</v>
      </c>
      <c r="B91" s="19">
        <v>21565</v>
      </c>
      <c r="C91" s="19">
        <v>38204</v>
      </c>
      <c r="D91" s="19">
        <v>29240</v>
      </c>
      <c r="E91" s="19">
        <f t="shared" si="13"/>
        <v>89009</v>
      </c>
      <c r="F91" s="18">
        <f t="shared" si="14"/>
        <v>0.24227887067599907</v>
      </c>
      <c r="G91" s="18">
        <f t="shared" si="15"/>
        <v>0.42921502319990112</v>
      </c>
      <c r="H91" s="18">
        <f t="shared" si="16"/>
        <v>0.32850610612409981</v>
      </c>
      <c r="I91" s="24">
        <v>112.64</v>
      </c>
      <c r="J91" s="24">
        <v>288.19</v>
      </c>
      <c r="K91" s="24">
        <v>118.15</v>
      </c>
      <c r="L91" s="24">
        <f t="shared" si="20"/>
        <v>189.79876596748642</v>
      </c>
      <c r="N91" s="2">
        <v>43983</v>
      </c>
      <c r="O91" s="19">
        <v>60039</v>
      </c>
      <c r="P91" s="19">
        <v>606966</v>
      </c>
      <c r="Q91" s="19">
        <f t="shared" si="17"/>
        <v>667005</v>
      </c>
      <c r="R91" s="18">
        <f t="shared" si="18"/>
        <v>9.0012818494613983E-2</v>
      </c>
      <c r="S91" s="18">
        <f t="shared" si="19"/>
        <v>0.90998718150538604</v>
      </c>
      <c r="T91" s="24">
        <v>7.9</v>
      </c>
      <c r="U91" s="24">
        <v>7.1</v>
      </c>
      <c r="V91" s="24">
        <f t="shared" si="21"/>
        <v>7.1720102547956905</v>
      </c>
    </row>
    <row r="92" spans="1:22" x14ac:dyDescent="0.25">
      <c r="A92" s="2">
        <v>44013</v>
      </c>
      <c r="B92" s="19">
        <v>19955</v>
      </c>
      <c r="C92" s="19">
        <v>36995</v>
      </c>
      <c r="D92" s="19">
        <v>28266</v>
      </c>
      <c r="E92" s="19">
        <f t="shared" si="13"/>
        <v>85216</v>
      </c>
      <c r="F92" s="18">
        <f t="shared" si="14"/>
        <v>0.23416963950431843</v>
      </c>
      <c r="G92" s="18">
        <f t="shared" si="15"/>
        <v>0.43413208787082236</v>
      </c>
      <c r="H92" s="18">
        <f t="shared" si="16"/>
        <v>0.33169827262485918</v>
      </c>
      <c r="I92" s="24">
        <v>111.73</v>
      </c>
      <c r="J92" s="24">
        <v>307.94</v>
      </c>
      <c r="K92" s="24">
        <v>129.88</v>
      </c>
      <c r="L92" s="24">
        <f t="shared" si="20"/>
        <v>202.93138060927524</v>
      </c>
      <c r="N92" s="2">
        <v>44013</v>
      </c>
      <c r="O92" s="19">
        <v>59575</v>
      </c>
      <c r="P92" s="19">
        <v>614589</v>
      </c>
      <c r="Q92" s="19">
        <f t="shared" si="17"/>
        <v>674164</v>
      </c>
      <c r="R92" s="18">
        <f t="shared" si="18"/>
        <v>8.8368705537524989E-2</v>
      </c>
      <c r="S92" s="18">
        <f t="shared" si="19"/>
        <v>0.91163129446247504</v>
      </c>
      <c r="T92" s="24">
        <v>7.76</v>
      </c>
      <c r="U92" s="24">
        <v>7.1</v>
      </c>
      <c r="V92" s="24">
        <f t="shared" si="21"/>
        <v>7.1583233456547664</v>
      </c>
    </row>
    <row r="93" spans="1:22" x14ac:dyDescent="0.25">
      <c r="A93" s="2">
        <v>44044</v>
      </c>
      <c r="B93" s="19">
        <v>19825</v>
      </c>
      <c r="C93" s="19">
        <v>35392</v>
      </c>
      <c r="D93" s="19">
        <v>27285</v>
      </c>
      <c r="E93" s="19">
        <f t="shared" si="13"/>
        <v>82502</v>
      </c>
      <c r="F93" s="18">
        <f t="shared" si="14"/>
        <v>0.24029720491624446</v>
      </c>
      <c r="G93" s="18">
        <f t="shared" si="15"/>
        <v>0.42898353979297471</v>
      </c>
      <c r="H93" s="18">
        <f t="shared" si="16"/>
        <v>0.33071925529078083</v>
      </c>
      <c r="I93" s="24">
        <v>112.17</v>
      </c>
      <c r="J93" s="24">
        <v>305.64999999999998</v>
      </c>
      <c r="K93" s="24">
        <v>137.79</v>
      </c>
      <c r="L93" s="24">
        <f t="shared" si="20"/>
        <v>203.64276259969455</v>
      </c>
      <c r="N93" s="2">
        <v>44044</v>
      </c>
      <c r="O93" s="19">
        <v>59757</v>
      </c>
      <c r="P93" s="19">
        <v>622590</v>
      </c>
      <c r="Q93" s="19">
        <f t="shared" si="17"/>
        <v>682347</v>
      </c>
      <c r="R93" s="18">
        <f t="shared" si="18"/>
        <v>8.7575676305457484E-2</v>
      </c>
      <c r="S93" s="18">
        <f t="shared" si="19"/>
        <v>0.91242432369454252</v>
      </c>
      <c r="T93" s="24">
        <v>7.59</v>
      </c>
      <c r="U93" s="24">
        <v>7.12</v>
      </c>
      <c r="V93" s="24">
        <f t="shared" si="21"/>
        <v>7.1611605678635648</v>
      </c>
    </row>
    <row r="94" spans="1:22" x14ac:dyDescent="0.25">
      <c r="A94" s="2">
        <v>44075</v>
      </c>
      <c r="B94" s="19">
        <v>19443</v>
      </c>
      <c r="C94" s="19">
        <v>34353</v>
      </c>
      <c r="D94" s="19">
        <v>26530</v>
      </c>
      <c r="E94" s="19">
        <f t="shared" si="13"/>
        <v>80326</v>
      </c>
      <c r="F94" s="18">
        <f t="shared" si="14"/>
        <v>0.24205114159798821</v>
      </c>
      <c r="G94" s="18">
        <f t="shared" si="15"/>
        <v>0.42766974578592237</v>
      </c>
      <c r="H94" s="18">
        <f t="shared" si="16"/>
        <v>0.33027911261608944</v>
      </c>
      <c r="I94" s="24">
        <v>114.04</v>
      </c>
      <c r="J94" s="24">
        <v>306.98</v>
      </c>
      <c r="K94" s="24">
        <v>142.03</v>
      </c>
      <c r="L94" s="24">
        <f t="shared" si="20"/>
        <v>205.79911311406022</v>
      </c>
      <c r="N94" s="2">
        <v>44075</v>
      </c>
      <c r="O94" s="19">
        <v>59850</v>
      </c>
      <c r="P94" s="19">
        <v>630048</v>
      </c>
      <c r="Q94" s="19">
        <f t="shared" si="17"/>
        <v>689898</v>
      </c>
      <c r="R94" s="18">
        <f t="shared" si="18"/>
        <v>8.6751954636772391E-2</v>
      </c>
      <c r="S94" s="18">
        <f t="shared" si="19"/>
        <v>0.91324804536322757</v>
      </c>
      <c r="T94" s="24">
        <v>7.6</v>
      </c>
      <c r="U94" s="24">
        <v>7.11</v>
      </c>
      <c r="V94" s="24">
        <f t="shared" si="21"/>
        <v>7.1525084577720186</v>
      </c>
    </row>
    <row r="95" spans="1:22" x14ac:dyDescent="0.25">
      <c r="A95" s="2">
        <v>44105</v>
      </c>
      <c r="B95" s="19">
        <v>19517</v>
      </c>
      <c r="C95" s="19">
        <v>33422</v>
      </c>
      <c r="D95" s="19">
        <v>26371</v>
      </c>
      <c r="E95" s="19">
        <f t="shared" si="13"/>
        <v>79310</v>
      </c>
      <c r="F95" s="18">
        <f t="shared" si="14"/>
        <v>0.24608498297818687</v>
      </c>
      <c r="G95" s="18">
        <f t="shared" si="15"/>
        <v>0.4214096583028622</v>
      </c>
      <c r="H95" s="18">
        <f t="shared" si="16"/>
        <v>0.33250535871895093</v>
      </c>
      <c r="I95" s="24">
        <v>112.28</v>
      </c>
      <c r="J95" s="24">
        <v>314.92</v>
      </c>
      <c r="K95" s="24">
        <v>148.62</v>
      </c>
      <c r="L95" s="24">
        <f t="shared" si="20"/>
        <v>209.75769789433866</v>
      </c>
      <c r="N95" s="2">
        <v>44105</v>
      </c>
      <c r="O95" s="19">
        <v>59372</v>
      </c>
      <c r="P95" s="19">
        <v>638130</v>
      </c>
      <c r="Q95" s="19">
        <f t="shared" si="17"/>
        <v>697502</v>
      </c>
      <c r="R95" s="18">
        <f t="shared" si="18"/>
        <v>8.512090287913153E-2</v>
      </c>
      <c r="S95" s="18">
        <f t="shared" si="19"/>
        <v>0.91487909712086846</v>
      </c>
      <c r="T95" s="24">
        <v>7.67</v>
      </c>
      <c r="U95" s="24">
        <v>7.01</v>
      </c>
      <c r="V95" s="24">
        <f t="shared" si="21"/>
        <v>7.0661797959002266</v>
      </c>
    </row>
    <row r="96" spans="1:22" x14ac:dyDescent="0.25">
      <c r="A96" s="2">
        <v>44136</v>
      </c>
      <c r="B96" s="19">
        <v>19382</v>
      </c>
      <c r="C96" s="19">
        <v>33676</v>
      </c>
      <c r="D96" s="19">
        <v>26508</v>
      </c>
      <c r="E96" s="19">
        <f t="shared" si="13"/>
        <v>79566</v>
      </c>
      <c r="F96" s="18">
        <f t="shared" si="14"/>
        <v>0.24359651107256869</v>
      </c>
      <c r="G96" s="18">
        <f t="shared" si="15"/>
        <v>0.42324611014755048</v>
      </c>
      <c r="H96" s="18">
        <f t="shared" si="16"/>
        <v>0.33315737877988083</v>
      </c>
      <c r="I96" s="24">
        <v>113.48</v>
      </c>
      <c r="J96" s="24">
        <v>320.75</v>
      </c>
      <c r="K96" s="24">
        <v>146.84</v>
      </c>
      <c r="L96" s="24">
        <f t="shared" si="20"/>
        <v>212.32035140637961</v>
      </c>
      <c r="N96" s="2">
        <v>44136</v>
      </c>
      <c r="O96" s="19">
        <v>60154</v>
      </c>
      <c r="P96" s="19">
        <v>645185</v>
      </c>
      <c r="Q96" s="19">
        <f t="shared" si="17"/>
        <v>705339</v>
      </c>
      <c r="R96" s="18">
        <f t="shared" si="18"/>
        <v>8.5283813882402651E-2</v>
      </c>
      <c r="S96" s="18">
        <f t="shared" si="19"/>
        <v>0.91471618611759731</v>
      </c>
      <c r="T96" s="24">
        <v>7.78</v>
      </c>
      <c r="U96" s="24">
        <v>6.97</v>
      </c>
      <c r="V96" s="24">
        <f t="shared" si="21"/>
        <v>7.0390798892447455</v>
      </c>
    </row>
    <row r="97" spans="1:22" x14ac:dyDescent="0.25">
      <c r="A97" s="2">
        <v>44166</v>
      </c>
      <c r="B97" s="19">
        <v>17819</v>
      </c>
      <c r="C97" s="19">
        <v>30844</v>
      </c>
      <c r="D97" s="19">
        <v>25849</v>
      </c>
      <c r="E97" s="19">
        <f t="shared" si="13"/>
        <v>74512</v>
      </c>
      <c r="F97" s="18">
        <f t="shared" si="14"/>
        <v>0.23914268842602535</v>
      </c>
      <c r="G97" s="18">
        <f t="shared" si="15"/>
        <v>0.41394674683272492</v>
      </c>
      <c r="H97" s="18">
        <f t="shared" si="16"/>
        <v>0.34691056474124971</v>
      </c>
      <c r="I97" s="24">
        <v>115.59</v>
      </c>
      <c r="J97" s="24">
        <v>328.18</v>
      </c>
      <c r="K97" s="24">
        <v>148.88999999999999</v>
      </c>
      <c r="L97" s="24">
        <f t="shared" si="20"/>
        <v>215.14306071505263</v>
      </c>
      <c r="N97" s="2">
        <v>44166</v>
      </c>
      <c r="O97" s="19">
        <v>60457</v>
      </c>
      <c r="P97" s="19">
        <v>653079</v>
      </c>
      <c r="Q97" s="19">
        <f t="shared" si="17"/>
        <v>713536</v>
      </c>
      <c r="R97" s="18">
        <f t="shared" si="18"/>
        <v>8.4728731276347655E-2</v>
      </c>
      <c r="S97" s="18">
        <f t="shared" si="19"/>
        <v>0.91527126872365239</v>
      </c>
      <c r="T97" s="24">
        <v>7.77</v>
      </c>
      <c r="U97" s="24">
        <v>6.97</v>
      </c>
      <c r="V97" s="24">
        <f t="shared" si="21"/>
        <v>7.0377829850210789</v>
      </c>
    </row>
    <row r="98" spans="1:22" x14ac:dyDescent="0.25">
      <c r="A98" s="2">
        <v>44197</v>
      </c>
      <c r="B98" s="19">
        <v>19505</v>
      </c>
      <c r="C98" s="19">
        <v>31467</v>
      </c>
      <c r="D98" s="19">
        <v>26424</v>
      </c>
      <c r="E98" s="19">
        <f t="shared" si="13"/>
        <v>77396</v>
      </c>
      <c r="F98" s="18">
        <f t="shared" si="14"/>
        <v>0.25201560804175926</v>
      </c>
      <c r="G98" s="18">
        <f t="shared" si="15"/>
        <v>0.40657139903871004</v>
      </c>
      <c r="H98" s="18">
        <f t="shared" si="16"/>
        <v>0.3414129929195307</v>
      </c>
      <c r="I98" s="24">
        <v>120.29</v>
      </c>
      <c r="J98" s="24">
        <v>329.71</v>
      </c>
      <c r="K98" s="24">
        <v>161.52000000000001</v>
      </c>
      <c r="L98" s="24">
        <f t="shared" ref="L98:L129" si="22">F98*I98+G98*J98+H98*K98</f>
        <v>219.5106400847589</v>
      </c>
      <c r="N98" s="2">
        <v>44197</v>
      </c>
      <c r="O98" s="19">
        <v>60688</v>
      </c>
      <c r="P98" s="19">
        <v>657496</v>
      </c>
      <c r="Q98" s="19">
        <f t="shared" si="17"/>
        <v>718184</v>
      </c>
      <c r="R98" s="18">
        <f t="shared" si="18"/>
        <v>8.4502021766009822E-2</v>
      </c>
      <c r="S98" s="18">
        <f t="shared" si="19"/>
        <v>0.91549797823399015</v>
      </c>
      <c r="T98" s="24">
        <v>7.45</v>
      </c>
      <c r="U98" s="24">
        <v>6.96</v>
      </c>
      <c r="V98" s="24">
        <f t="shared" ref="V98:V129" si="23">R98*T98+S98*U98</f>
        <v>7.0014059906653445</v>
      </c>
    </row>
    <row r="99" spans="1:22" x14ac:dyDescent="0.25">
      <c r="A99" s="2">
        <v>44228</v>
      </c>
      <c r="B99" s="19">
        <v>20274</v>
      </c>
      <c r="C99" s="19">
        <v>33225</v>
      </c>
      <c r="D99" s="19">
        <v>27227</v>
      </c>
      <c r="E99" s="19">
        <f t="shared" si="13"/>
        <v>80726</v>
      </c>
      <c r="F99" s="18">
        <f t="shared" si="14"/>
        <v>0.25114585139855811</v>
      </c>
      <c r="G99" s="18">
        <f t="shared" si="15"/>
        <v>0.41157743477937714</v>
      </c>
      <c r="H99" s="18">
        <f t="shared" si="16"/>
        <v>0.33727671382206476</v>
      </c>
      <c r="I99" s="24">
        <v>125.52</v>
      </c>
      <c r="J99" s="24">
        <v>327.04000000000002</v>
      </c>
      <c r="K99" s="24">
        <v>167.06</v>
      </c>
      <c r="L99" s="24">
        <f t="shared" si="22"/>
        <v>222.47155934890867</v>
      </c>
      <c r="N99" s="2">
        <v>44228</v>
      </c>
      <c r="O99" s="19">
        <v>61027</v>
      </c>
      <c r="P99" s="19">
        <v>663445</v>
      </c>
      <c r="Q99" s="19">
        <f t="shared" si="17"/>
        <v>724472</v>
      </c>
      <c r="R99" s="18">
        <f t="shared" si="18"/>
        <v>8.4236519837895735E-2</v>
      </c>
      <c r="S99" s="18">
        <f t="shared" si="19"/>
        <v>0.91576348016210429</v>
      </c>
      <c r="T99" s="24">
        <v>7.54</v>
      </c>
      <c r="U99" s="24">
        <v>6.94</v>
      </c>
      <c r="V99" s="24">
        <f t="shared" si="23"/>
        <v>6.9905419119027385</v>
      </c>
    </row>
    <row r="100" spans="1:22" x14ac:dyDescent="0.25">
      <c r="A100" s="2">
        <v>44256</v>
      </c>
      <c r="B100" s="19">
        <v>20486</v>
      </c>
      <c r="C100" s="19">
        <v>31364</v>
      </c>
      <c r="D100" s="19">
        <v>28791</v>
      </c>
      <c r="E100" s="19">
        <f t="shared" si="13"/>
        <v>80641</v>
      </c>
      <c r="F100" s="18">
        <f t="shared" si="14"/>
        <v>0.25403950843863543</v>
      </c>
      <c r="G100" s="18">
        <f t="shared" si="15"/>
        <v>0.38893366897731924</v>
      </c>
      <c r="H100" s="18">
        <f t="shared" si="16"/>
        <v>0.35702682258404533</v>
      </c>
      <c r="I100" s="24">
        <v>122.28</v>
      </c>
      <c r="J100" s="24">
        <v>335.85</v>
      </c>
      <c r="K100" s="24">
        <v>167.55</v>
      </c>
      <c r="L100" s="24">
        <f t="shared" si="22"/>
        <v>221.50716794186582</v>
      </c>
      <c r="N100" s="2">
        <v>44256</v>
      </c>
      <c r="O100" s="19">
        <v>61420</v>
      </c>
      <c r="P100" s="19">
        <v>671459</v>
      </c>
      <c r="Q100" s="19">
        <f t="shared" si="17"/>
        <v>732879</v>
      </c>
      <c r="R100" s="18">
        <f t="shared" si="18"/>
        <v>8.3806467370466334E-2</v>
      </c>
      <c r="S100" s="18">
        <f t="shared" si="19"/>
        <v>0.91619353262953362</v>
      </c>
      <c r="T100" s="24">
        <v>7.86</v>
      </c>
      <c r="U100" s="24">
        <v>6.8</v>
      </c>
      <c r="V100" s="24">
        <f t="shared" si="23"/>
        <v>6.8888348554126937</v>
      </c>
    </row>
    <row r="101" spans="1:22" x14ac:dyDescent="0.25">
      <c r="A101" s="2">
        <v>44287</v>
      </c>
      <c r="B101" s="19">
        <v>20858</v>
      </c>
      <c r="C101" s="19">
        <v>32097</v>
      </c>
      <c r="D101" s="19">
        <v>29043</v>
      </c>
      <c r="E101" s="19">
        <f t="shared" si="13"/>
        <v>81998</v>
      </c>
      <c r="F101" s="18">
        <f t="shared" si="14"/>
        <v>0.25437205785506961</v>
      </c>
      <c r="G101" s="18">
        <f t="shared" si="15"/>
        <v>0.39143637649698776</v>
      </c>
      <c r="H101" s="18">
        <f t="shared" si="16"/>
        <v>0.35419156564794263</v>
      </c>
      <c r="I101" s="24">
        <v>124.34</v>
      </c>
      <c r="J101" s="24">
        <v>336.42</v>
      </c>
      <c r="K101" s="24">
        <v>165.65</v>
      </c>
      <c r="L101" s="24">
        <f t="shared" si="22"/>
        <v>221.98748030439768</v>
      </c>
      <c r="N101" s="2">
        <v>44287</v>
      </c>
      <c r="O101" s="19">
        <v>62032</v>
      </c>
      <c r="P101" s="19">
        <v>679099</v>
      </c>
      <c r="Q101" s="19">
        <f t="shared" si="17"/>
        <v>741131</v>
      </c>
      <c r="R101" s="18">
        <f t="shared" si="18"/>
        <v>8.3699103127517271E-2</v>
      </c>
      <c r="S101" s="18">
        <f t="shared" si="19"/>
        <v>0.91630089687248273</v>
      </c>
      <c r="T101" s="24">
        <v>7.48</v>
      </c>
      <c r="U101" s="24">
        <v>6.61</v>
      </c>
      <c r="V101" s="24">
        <f t="shared" si="23"/>
        <v>6.6828182197209403</v>
      </c>
    </row>
    <row r="102" spans="1:22" x14ac:dyDescent="0.25">
      <c r="A102" s="2">
        <v>44317</v>
      </c>
      <c r="B102" s="19">
        <v>21841</v>
      </c>
      <c r="C102" s="19">
        <v>32949</v>
      </c>
      <c r="D102" s="19">
        <v>29653</v>
      </c>
      <c r="E102" s="19">
        <f t="shared" si="13"/>
        <v>84443</v>
      </c>
      <c r="F102" s="18">
        <f t="shared" si="14"/>
        <v>0.25864784529209051</v>
      </c>
      <c r="G102" s="18">
        <f t="shared" si="15"/>
        <v>0.39019220065606386</v>
      </c>
      <c r="H102" s="18">
        <f t="shared" si="16"/>
        <v>0.35115995405184564</v>
      </c>
      <c r="I102" s="24">
        <v>123.02</v>
      </c>
      <c r="J102" s="24">
        <v>329.92</v>
      </c>
      <c r="K102" s="24">
        <v>164.44</v>
      </c>
      <c r="L102" s="24">
        <f t="shared" si="22"/>
        <v>218.29581161256706</v>
      </c>
      <c r="N102" s="2">
        <v>44317</v>
      </c>
      <c r="O102" s="19">
        <v>62964</v>
      </c>
      <c r="P102" s="19">
        <v>687542</v>
      </c>
      <c r="Q102" s="19">
        <f t="shared" si="17"/>
        <v>750506</v>
      </c>
      <c r="R102" s="18">
        <f t="shared" si="18"/>
        <v>8.389539857109736E-2</v>
      </c>
      <c r="S102" s="18">
        <f t="shared" si="19"/>
        <v>0.9161046014289026</v>
      </c>
      <c r="T102" s="24">
        <v>7.57</v>
      </c>
      <c r="U102" s="24">
        <v>6.56</v>
      </c>
      <c r="V102" s="24">
        <f t="shared" si="23"/>
        <v>6.6447343525568083</v>
      </c>
    </row>
    <row r="103" spans="1:22" x14ac:dyDescent="0.25">
      <c r="A103" s="2">
        <v>44348</v>
      </c>
      <c r="B103" s="19">
        <v>21896</v>
      </c>
      <c r="C103" s="19">
        <v>33996</v>
      </c>
      <c r="D103" s="19">
        <v>30060</v>
      </c>
      <c r="E103" s="19">
        <f t="shared" si="13"/>
        <v>85952</v>
      </c>
      <c r="F103" s="18">
        <f t="shared" si="14"/>
        <v>0.254746835443038</v>
      </c>
      <c r="G103" s="18">
        <f t="shared" si="15"/>
        <v>0.39552308265078184</v>
      </c>
      <c r="H103" s="18">
        <f t="shared" si="16"/>
        <v>0.34973008190618021</v>
      </c>
      <c r="I103" s="24">
        <v>125.61</v>
      </c>
      <c r="J103" s="24">
        <v>329.1</v>
      </c>
      <c r="K103" s="24">
        <v>164.49</v>
      </c>
      <c r="L103" s="24">
        <f t="shared" si="22"/>
        <v>219.6924976731199</v>
      </c>
      <c r="N103" s="2">
        <v>44348</v>
      </c>
      <c r="O103" s="19">
        <v>64036</v>
      </c>
      <c r="P103" s="19">
        <v>695787</v>
      </c>
      <c r="Q103" s="19">
        <f t="shared" si="17"/>
        <v>759823</v>
      </c>
      <c r="R103" s="18">
        <f t="shared" si="18"/>
        <v>8.427752252827303E-2</v>
      </c>
      <c r="S103" s="18">
        <f t="shared" si="19"/>
        <v>0.91572247747172697</v>
      </c>
      <c r="T103" s="24">
        <v>7.64</v>
      </c>
      <c r="U103" s="24">
        <v>6.62</v>
      </c>
      <c r="V103" s="24">
        <f t="shared" si="23"/>
        <v>6.7059630729788378</v>
      </c>
    </row>
    <row r="104" spans="1:22" x14ac:dyDescent="0.25">
      <c r="A104" s="2">
        <v>44378</v>
      </c>
      <c r="B104" s="19">
        <v>21561</v>
      </c>
      <c r="C104" s="19">
        <v>33927</v>
      </c>
      <c r="D104" s="19">
        <v>30491</v>
      </c>
      <c r="E104" s="19">
        <f t="shared" si="13"/>
        <v>85979</v>
      </c>
      <c r="F104" s="18">
        <f t="shared" si="14"/>
        <v>0.25077053699159096</v>
      </c>
      <c r="G104" s="18">
        <f t="shared" si="15"/>
        <v>0.39459635492387674</v>
      </c>
      <c r="H104" s="18">
        <f t="shared" si="16"/>
        <v>0.35463310808453224</v>
      </c>
      <c r="I104" s="24">
        <v>124.02</v>
      </c>
      <c r="J104" s="24">
        <v>331.17</v>
      </c>
      <c r="K104" s="24">
        <v>163.66999999999999</v>
      </c>
      <c r="L104" s="24">
        <f t="shared" si="22"/>
        <v>219.82183765803273</v>
      </c>
      <c r="N104" s="2">
        <v>44378</v>
      </c>
      <c r="O104" s="19">
        <v>64823</v>
      </c>
      <c r="P104" s="19">
        <v>704739</v>
      </c>
      <c r="Q104" s="19">
        <f t="shared" si="17"/>
        <v>769562</v>
      </c>
      <c r="R104" s="18">
        <f t="shared" si="18"/>
        <v>8.4233628999352883E-2</v>
      </c>
      <c r="S104" s="18">
        <f t="shared" si="19"/>
        <v>0.91576637100064717</v>
      </c>
      <c r="T104" s="24">
        <v>7.6</v>
      </c>
      <c r="U104" s="24">
        <v>6.76</v>
      </c>
      <c r="V104" s="24">
        <f t="shared" si="23"/>
        <v>6.8307562483594566</v>
      </c>
    </row>
    <row r="105" spans="1:22" x14ac:dyDescent="0.25">
      <c r="A105" s="2">
        <v>44409</v>
      </c>
      <c r="B105" s="19">
        <v>22397</v>
      </c>
      <c r="C105" s="19">
        <v>35588</v>
      </c>
      <c r="D105" s="19">
        <v>31404</v>
      </c>
      <c r="E105" s="19">
        <f t="shared" si="13"/>
        <v>89389</v>
      </c>
      <c r="F105" s="18">
        <f t="shared" si="14"/>
        <v>0.25055655617581579</v>
      </c>
      <c r="G105" s="18">
        <f t="shared" si="15"/>
        <v>0.3981250489433823</v>
      </c>
      <c r="H105" s="18">
        <f t="shared" si="16"/>
        <v>0.35131839488080191</v>
      </c>
      <c r="I105" s="24">
        <v>125.1</v>
      </c>
      <c r="J105" s="24">
        <v>335.46</v>
      </c>
      <c r="K105" s="24">
        <v>163.62</v>
      </c>
      <c r="L105" s="24">
        <f t="shared" si="22"/>
        <v>222.3823698665384</v>
      </c>
      <c r="N105" s="2">
        <v>44409</v>
      </c>
      <c r="O105" s="19">
        <v>66291</v>
      </c>
      <c r="P105" s="19">
        <v>714138</v>
      </c>
      <c r="Q105" s="19">
        <f t="shared" si="17"/>
        <v>780429</v>
      </c>
      <c r="R105" s="18">
        <f t="shared" si="18"/>
        <v>8.4941743579492815E-2</v>
      </c>
      <c r="S105" s="18">
        <f t="shared" si="19"/>
        <v>0.9150582564205072</v>
      </c>
      <c r="T105" s="24">
        <v>7.69</v>
      </c>
      <c r="U105" s="24">
        <v>6.88</v>
      </c>
      <c r="V105" s="24">
        <f t="shared" si="23"/>
        <v>6.9488028122993892</v>
      </c>
    </row>
    <row r="106" spans="1:22" x14ac:dyDescent="0.25">
      <c r="A106" s="2">
        <v>44440</v>
      </c>
      <c r="B106" s="19">
        <v>23433</v>
      </c>
      <c r="C106" s="19">
        <v>37595</v>
      </c>
      <c r="D106" s="19">
        <v>32502</v>
      </c>
      <c r="E106" s="19">
        <f t="shared" si="13"/>
        <v>93530</v>
      </c>
      <c r="F106" s="18">
        <f t="shared" si="14"/>
        <v>0.25053993371110872</v>
      </c>
      <c r="G106" s="18">
        <f t="shared" si="15"/>
        <v>0.40195659146797819</v>
      </c>
      <c r="H106" s="18">
        <f t="shared" si="16"/>
        <v>0.34750347482091309</v>
      </c>
      <c r="I106" s="24">
        <v>129.62</v>
      </c>
      <c r="J106" s="24">
        <v>338.68</v>
      </c>
      <c r="K106" s="24">
        <v>168.66</v>
      </c>
      <c r="L106" s="24">
        <f t="shared" si="22"/>
        <v>227.21958066930398</v>
      </c>
      <c r="N106" s="2">
        <v>44440</v>
      </c>
      <c r="O106" s="19">
        <v>67438</v>
      </c>
      <c r="P106" s="19">
        <v>722767</v>
      </c>
      <c r="Q106" s="19">
        <f t="shared" si="17"/>
        <v>790205</v>
      </c>
      <c r="R106" s="18">
        <f t="shared" si="18"/>
        <v>8.5342411146474645E-2</v>
      </c>
      <c r="S106" s="18">
        <f t="shared" si="19"/>
        <v>0.91465758885352533</v>
      </c>
      <c r="T106" s="24">
        <v>7.93</v>
      </c>
      <c r="U106" s="24">
        <v>7.11</v>
      </c>
      <c r="V106" s="24">
        <f t="shared" si="23"/>
        <v>7.1799807771401092</v>
      </c>
    </row>
    <row r="107" spans="1:22" x14ac:dyDescent="0.25">
      <c r="A107" s="2">
        <v>44470</v>
      </c>
      <c r="B107" s="19">
        <v>23457</v>
      </c>
      <c r="C107" s="19">
        <v>40146</v>
      </c>
      <c r="D107" s="19">
        <v>33866</v>
      </c>
      <c r="E107" s="19">
        <f t="shared" si="13"/>
        <v>97469</v>
      </c>
      <c r="F107" s="18">
        <f t="shared" si="14"/>
        <v>0.24066113328340294</v>
      </c>
      <c r="G107" s="18">
        <f t="shared" si="15"/>
        <v>0.41188480439934749</v>
      </c>
      <c r="H107" s="18">
        <f t="shared" si="16"/>
        <v>0.34745406231724957</v>
      </c>
      <c r="I107" s="24">
        <v>128.19</v>
      </c>
      <c r="J107" s="24">
        <v>342.22</v>
      </c>
      <c r="K107" s="24">
        <v>172.62</v>
      </c>
      <c r="L107" s="24">
        <f t="shared" si="22"/>
        <v>231.78308867434777</v>
      </c>
      <c r="N107" s="2">
        <v>44470</v>
      </c>
      <c r="O107" s="19">
        <v>68839</v>
      </c>
      <c r="P107" s="19">
        <v>730663</v>
      </c>
      <c r="Q107" s="19">
        <f t="shared" si="17"/>
        <v>799502</v>
      </c>
      <c r="R107" s="18">
        <f t="shared" si="18"/>
        <v>8.6102348712073271E-2</v>
      </c>
      <c r="S107" s="18">
        <f t="shared" si="19"/>
        <v>0.91389765128792677</v>
      </c>
      <c r="T107" s="24">
        <v>8.23</v>
      </c>
      <c r="U107" s="24">
        <v>7.41</v>
      </c>
      <c r="V107" s="24">
        <f t="shared" si="23"/>
        <v>7.4806039259439006</v>
      </c>
    </row>
    <row r="108" spans="1:22" x14ac:dyDescent="0.25">
      <c r="A108" s="2">
        <v>44501</v>
      </c>
      <c r="B108" s="19">
        <v>24725</v>
      </c>
      <c r="C108" s="19">
        <v>43641</v>
      </c>
      <c r="D108" s="19">
        <v>35280</v>
      </c>
      <c r="E108" s="19">
        <f t="shared" si="13"/>
        <v>103646</v>
      </c>
      <c r="F108" s="18">
        <f t="shared" si="14"/>
        <v>0.23855238021727804</v>
      </c>
      <c r="G108" s="18">
        <f t="shared" si="15"/>
        <v>0.42105821739382127</v>
      </c>
      <c r="H108" s="18">
        <f t="shared" si="16"/>
        <v>0.3403894023889007</v>
      </c>
      <c r="I108" s="24">
        <v>129.66999999999999</v>
      </c>
      <c r="J108" s="24">
        <v>343.71</v>
      </c>
      <c r="K108" s="24">
        <v>167.44</v>
      </c>
      <c r="L108" s="24">
        <f t="shared" si="22"/>
        <v>232.64980857920227</v>
      </c>
      <c r="N108" s="2">
        <v>44501</v>
      </c>
      <c r="O108" s="19">
        <v>69881</v>
      </c>
      <c r="P108" s="19">
        <v>738725</v>
      </c>
      <c r="Q108" s="19">
        <f t="shared" si="17"/>
        <v>808606</v>
      </c>
      <c r="R108" s="18">
        <f t="shared" si="18"/>
        <v>8.6421569961143002E-2</v>
      </c>
      <c r="S108" s="18">
        <f t="shared" si="19"/>
        <v>0.91357843003885697</v>
      </c>
      <c r="T108" s="24">
        <v>8.6300000000000008</v>
      </c>
      <c r="U108" s="24">
        <v>7.7</v>
      </c>
      <c r="V108" s="24">
        <f t="shared" si="23"/>
        <v>7.7803720600638631</v>
      </c>
    </row>
    <row r="109" spans="1:22" x14ac:dyDescent="0.25">
      <c r="A109" s="2">
        <v>44531</v>
      </c>
      <c r="B109" s="19">
        <v>22810</v>
      </c>
      <c r="C109" s="19">
        <v>44294</v>
      </c>
      <c r="D109" s="19">
        <v>36111</v>
      </c>
      <c r="E109" s="19">
        <f t="shared" si="13"/>
        <v>103215</v>
      </c>
      <c r="F109" s="18">
        <f t="shared" si="14"/>
        <v>0.22099501041515285</v>
      </c>
      <c r="G109" s="18">
        <f t="shared" si="15"/>
        <v>0.42914305091314248</v>
      </c>
      <c r="H109" s="18">
        <f t="shared" si="16"/>
        <v>0.34986193867170468</v>
      </c>
      <c r="I109" s="24">
        <v>127.94</v>
      </c>
      <c r="J109" s="24">
        <v>347.38</v>
      </c>
      <c r="K109" s="24">
        <v>168.41</v>
      </c>
      <c r="L109" s="24">
        <f t="shared" si="22"/>
        <v>236.27006375042387</v>
      </c>
      <c r="N109" s="2">
        <v>44531</v>
      </c>
      <c r="O109" s="19">
        <v>69590</v>
      </c>
      <c r="P109" s="19">
        <v>746693</v>
      </c>
      <c r="Q109" s="19">
        <f t="shared" si="17"/>
        <v>816283</v>
      </c>
      <c r="R109" s="18">
        <f t="shared" si="18"/>
        <v>8.5252296078688394E-2</v>
      </c>
      <c r="S109" s="18">
        <f t="shared" si="19"/>
        <v>0.91474770392131155</v>
      </c>
      <c r="T109" s="24">
        <v>9.49</v>
      </c>
      <c r="U109" s="24">
        <v>8.7899999999999991</v>
      </c>
      <c r="V109" s="24">
        <f t="shared" si="23"/>
        <v>8.8496766072550805</v>
      </c>
    </row>
    <row r="110" spans="1:22" x14ac:dyDescent="0.25">
      <c r="A110" s="2">
        <v>44562</v>
      </c>
      <c r="B110" s="19">
        <v>26047</v>
      </c>
      <c r="C110" s="19">
        <v>48504</v>
      </c>
      <c r="D110" s="19">
        <v>37480</v>
      </c>
      <c r="E110" s="19">
        <f t="shared" si="13"/>
        <v>112031</v>
      </c>
      <c r="F110" s="18">
        <f t="shared" si="14"/>
        <v>0.23249814783408163</v>
      </c>
      <c r="G110" s="18">
        <f t="shared" si="15"/>
        <v>0.43295159375529985</v>
      </c>
      <c r="H110" s="18">
        <f t="shared" si="16"/>
        <v>0.33455025841061847</v>
      </c>
      <c r="I110" s="24">
        <v>125.65</v>
      </c>
      <c r="J110" s="24">
        <v>346.28</v>
      </c>
      <c r="K110" s="24">
        <v>172.46</v>
      </c>
      <c r="L110" s="24">
        <f t="shared" si="22"/>
        <v>236.83240772643285</v>
      </c>
      <c r="N110" s="2">
        <v>44562</v>
      </c>
      <c r="O110" s="19">
        <v>70194</v>
      </c>
      <c r="P110" s="19">
        <v>752311</v>
      </c>
      <c r="Q110" s="19">
        <f t="shared" si="17"/>
        <v>822505</v>
      </c>
      <c r="R110" s="18">
        <f t="shared" si="18"/>
        <v>8.5341730445407632E-2</v>
      </c>
      <c r="S110" s="18">
        <f t="shared" si="19"/>
        <v>0.9146582695545924</v>
      </c>
      <c r="T110" s="24">
        <v>9.92</v>
      </c>
      <c r="U110" s="24">
        <v>9.34</v>
      </c>
      <c r="V110" s="24">
        <f t="shared" si="23"/>
        <v>9.3894982036583361</v>
      </c>
    </row>
    <row r="111" spans="1:22" x14ac:dyDescent="0.25">
      <c r="A111" s="2">
        <v>44593</v>
      </c>
      <c r="B111" s="19">
        <v>25571</v>
      </c>
      <c r="C111" s="19">
        <v>53717</v>
      </c>
      <c r="D111" s="19">
        <v>39243</v>
      </c>
      <c r="E111" s="19">
        <f t="shared" si="13"/>
        <v>118531</v>
      </c>
      <c r="F111" s="18">
        <f t="shared" si="14"/>
        <v>0.21573259316128271</v>
      </c>
      <c r="G111" s="18">
        <f t="shared" si="15"/>
        <v>0.45318946098489005</v>
      </c>
      <c r="H111" s="18">
        <f t="shared" si="16"/>
        <v>0.33107794585382727</v>
      </c>
      <c r="I111" s="24">
        <v>132.49</v>
      </c>
      <c r="J111" s="24">
        <v>355.19</v>
      </c>
      <c r="K111" s="24">
        <v>174.32</v>
      </c>
      <c r="L111" s="24">
        <f t="shared" si="22"/>
        <v>247.2642834364006</v>
      </c>
      <c r="N111" s="2">
        <v>44593</v>
      </c>
      <c r="O111" s="19">
        <v>72248</v>
      </c>
      <c r="P111" s="19">
        <v>757579</v>
      </c>
      <c r="Q111" s="19">
        <f t="shared" si="17"/>
        <v>829827</v>
      </c>
      <c r="R111" s="18">
        <f t="shared" si="18"/>
        <v>8.7063930192678718E-2</v>
      </c>
      <c r="S111" s="18">
        <f t="shared" si="19"/>
        <v>0.91293606980732134</v>
      </c>
      <c r="T111" s="24">
        <v>8.86</v>
      </c>
      <c r="U111" s="24">
        <v>8.07</v>
      </c>
      <c r="V111" s="24">
        <f t="shared" si="23"/>
        <v>8.1387805048522175</v>
      </c>
    </row>
    <row r="112" spans="1:22" x14ac:dyDescent="0.25">
      <c r="A112" s="2">
        <v>44621</v>
      </c>
      <c r="B112" s="19">
        <v>27121</v>
      </c>
      <c r="C112" s="19">
        <v>52458</v>
      </c>
      <c r="D112" s="19">
        <v>41401</v>
      </c>
      <c r="E112" s="19">
        <f t="shared" si="13"/>
        <v>120980</v>
      </c>
      <c r="F112" s="18">
        <f t="shared" si="14"/>
        <v>0.22417755000826584</v>
      </c>
      <c r="G112" s="18">
        <f t="shared" si="15"/>
        <v>0.43360886096875517</v>
      </c>
      <c r="H112" s="18">
        <f t="shared" si="16"/>
        <v>0.34221358902297899</v>
      </c>
      <c r="I112" s="24">
        <v>127.84</v>
      </c>
      <c r="J112" s="24">
        <v>359.07</v>
      </c>
      <c r="K112" s="24">
        <v>172.49</v>
      </c>
      <c r="L112" s="24">
        <f t="shared" si="22"/>
        <v>243.38321367168126</v>
      </c>
      <c r="N112" s="2">
        <v>44621</v>
      </c>
      <c r="O112" s="19">
        <v>73960</v>
      </c>
      <c r="P112" s="19">
        <v>767812</v>
      </c>
      <c r="Q112" s="19">
        <f t="shared" si="17"/>
        <v>841772</v>
      </c>
      <c r="R112" s="18">
        <f t="shared" si="18"/>
        <v>8.7862271493943725E-2</v>
      </c>
      <c r="S112" s="18">
        <f t="shared" si="19"/>
        <v>0.91213772850605623</v>
      </c>
      <c r="T112" s="24">
        <v>10.28</v>
      </c>
      <c r="U112" s="24">
        <v>9.31</v>
      </c>
      <c r="V112" s="24">
        <f t="shared" si="23"/>
        <v>9.3952264033491257</v>
      </c>
    </row>
    <row r="113" spans="1:22" x14ac:dyDescent="0.25">
      <c r="A113" s="2">
        <v>44652</v>
      </c>
      <c r="B113" s="19">
        <v>27574</v>
      </c>
      <c r="C113" s="19">
        <v>55676</v>
      </c>
      <c r="D113" s="19">
        <v>42779</v>
      </c>
      <c r="E113" s="19">
        <f t="shared" si="13"/>
        <v>126029</v>
      </c>
      <c r="F113" s="18">
        <f t="shared" si="14"/>
        <v>0.21879091320251687</v>
      </c>
      <c r="G113" s="18">
        <f t="shared" si="15"/>
        <v>0.44177133834276239</v>
      </c>
      <c r="H113" s="18">
        <f t="shared" si="16"/>
        <v>0.33943774845472074</v>
      </c>
      <c r="I113" s="24">
        <v>132.69</v>
      </c>
      <c r="J113" s="24">
        <v>363.97</v>
      </c>
      <c r="K113" s="24">
        <v>175.49</v>
      </c>
      <c r="L113" s="24">
        <f t="shared" si="22"/>
        <v>249.39081076577617</v>
      </c>
      <c r="N113" s="2">
        <v>44652</v>
      </c>
      <c r="O113" s="19">
        <v>75102</v>
      </c>
      <c r="P113" s="19">
        <v>769986</v>
      </c>
      <c r="Q113" s="19">
        <f t="shared" si="17"/>
        <v>845088</v>
      </c>
      <c r="R113" s="18">
        <f t="shared" si="18"/>
        <v>8.8868851527888218E-2</v>
      </c>
      <c r="S113" s="18">
        <f t="shared" si="19"/>
        <v>0.91113114847211174</v>
      </c>
      <c r="T113" s="24">
        <v>10.27</v>
      </c>
      <c r="U113" s="24">
        <v>9.33</v>
      </c>
      <c r="V113" s="24">
        <f t="shared" si="23"/>
        <v>9.4135367204362144</v>
      </c>
    </row>
    <row r="114" spans="1:22" x14ac:dyDescent="0.25">
      <c r="A114" s="2">
        <v>44682</v>
      </c>
      <c r="B114" s="19">
        <v>28496</v>
      </c>
      <c r="C114" s="19">
        <v>57885</v>
      </c>
      <c r="D114" s="19">
        <v>43806</v>
      </c>
      <c r="E114" s="19">
        <f t="shared" si="13"/>
        <v>130187</v>
      </c>
      <c r="F114" s="18">
        <f t="shared" si="14"/>
        <v>0.2188851421416885</v>
      </c>
      <c r="G114" s="18">
        <f t="shared" si="15"/>
        <v>0.44462964812154826</v>
      </c>
      <c r="H114" s="18">
        <f t="shared" si="16"/>
        <v>0.33648520973676327</v>
      </c>
      <c r="I114" s="24">
        <v>127.85</v>
      </c>
      <c r="J114" s="24">
        <v>368.84</v>
      </c>
      <c r="K114" s="24">
        <v>172.73</v>
      </c>
      <c r="L114" s="24">
        <f t="shared" si="22"/>
        <v>250.10275511379785</v>
      </c>
      <c r="N114" s="2">
        <v>44682</v>
      </c>
      <c r="O114" s="19">
        <v>76311</v>
      </c>
      <c r="P114" s="19">
        <v>782411</v>
      </c>
      <c r="Q114" s="19">
        <f t="shared" si="17"/>
        <v>858722</v>
      </c>
      <c r="R114" s="18">
        <f t="shared" si="18"/>
        <v>8.8865779612028101E-2</v>
      </c>
      <c r="S114" s="18">
        <f t="shared" si="19"/>
        <v>0.91113422038797187</v>
      </c>
      <c r="T114" s="24">
        <v>10.94</v>
      </c>
      <c r="U114" s="24">
        <v>10.02</v>
      </c>
      <c r="V114" s="24">
        <f t="shared" si="23"/>
        <v>10.101756517243064</v>
      </c>
    </row>
    <row r="115" spans="1:22" x14ac:dyDescent="0.25">
      <c r="A115" s="2">
        <v>44713</v>
      </c>
      <c r="B115" s="19">
        <v>28685</v>
      </c>
      <c r="C115" s="19">
        <v>59759</v>
      </c>
      <c r="D115" s="19">
        <v>45097</v>
      </c>
      <c r="E115" s="19">
        <f t="shared" si="13"/>
        <v>133541</v>
      </c>
      <c r="F115" s="18">
        <f t="shared" si="14"/>
        <v>0.21480294441407508</v>
      </c>
      <c r="G115" s="18">
        <f t="shared" si="15"/>
        <v>0.44749552571869311</v>
      </c>
      <c r="H115" s="18">
        <f t="shared" si="16"/>
        <v>0.33770152986723179</v>
      </c>
      <c r="I115" s="24">
        <v>129.16</v>
      </c>
      <c r="J115" s="24">
        <v>370.35</v>
      </c>
      <c r="K115" s="24">
        <v>173.19</v>
      </c>
      <c r="L115" s="24">
        <f t="shared" si="22"/>
        <v>251.96044420814582</v>
      </c>
      <c r="N115" s="2">
        <v>44713</v>
      </c>
      <c r="O115" s="19">
        <v>77738</v>
      </c>
      <c r="P115" s="19">
        <v>791591</v>
      </c>
      <c r="Q115" s="19">
        <f t="shared" si="17"/>
        <v>869329</v>
      </c>
      <c r="R115" s="18">
        <f t="shared" si="18"/>
        <v>8.9422991755710432E-2</v>
      </c>
      <c r="S115" s="18">
        <f t="shared" si="19"/>
        <v>0.91057700824428955</v>
      </c>
      <c r="T115" s="24">
        <v>11.07</v>
      </c>
      <c r="U115" s="24">
        <v>9.98</v>
      </c>
      <c r="V115" s="24">
        <f t="shared" si="23"/>
        <v>10.077471061013725</v>
      </c>
    </row>
    <row r="116" spans="1:22" x14ac:dyDescent="0.25">
      <c r="A116" s="2">
        <v>44743</v>
      </c>
      <c r="B116" s="19">
        <v>28456</v>
      </c>
      <c r="C116" s="19">
        <v>62090</v>
      </c>
      <c r="D116" s="19">
        <v>46460</v>
      </c>
      <c r="E116" s="19">
        <f t="shared" si="13"/>
        <v>137006</v>
      </c>
      <c r="F116" s="18">
        <f t="shared" si="14"/>
        <v>0.20769893289344993</v>
      </c>
      <c r="G116" s="18">
        <f t="shared" si="15"/>
        <v>0.45319183101470006</v>
      </c>
      <c r="H116" s="18">
        <f t="shared" si="16"/>
        <v>0.33910923609185001</v>
      </c>
      <c r="I116" s="24">
        <v>127.42</v>
      </c>
      <c r="J116" s="24">
        <v>394.93</v>
      </c>
      <c r="K116" s="24">
        <v>181.7</v>
      </c>
      <c r="L116" s="24">
        <f t="shared" si="22"/>
        <v>267.06019604980804</v>
      </c>
      <c r="N116" s="2">
        <v>44743</v>
      </c>
      <c r="O116" s="19">
        <v>79517</v>
      </c>
      <c r="P116" s="19">
        <v>801671</v>
      </c>
      <c r="Q116" s="19">
        <f t="shared" si="17"/>
        <v>881188</v>
      </c>
      <c r="R116" s="18">
        <f t="shared" si="18"/>
        <v>9.0238405425402984E-2</v>
      </c>
      <c r="S116" s="18">
        <f t="shared" si="19"/>
        <v>0.90976159457459704</v>
      </c>
      <c r="T116" s="24">
        <v>11.48</v>
      </c>
      <c r="U116" s="24">
        <v>10.58</v>
      </c>
      <c r="V116" s="24">
        <f t="shared" si="23"/>
        <v>10.661214564882863</v>
      </c>
    </row>
    <row r="117" spans="1:22" x14ac:dyDescent="0.25">
      <c r="A117" s="2">
        <v>44774</v>
      </c>
      <c r="B117" s="19">
        <v>29678</v>
      </c>
      <c r="C117" s="19">
        <v>65175</v>
      </c>
      <c r="D117" s="19">
        <v>45588</v>
      </c>
      <c r="E117" s="19">
        <f t="shared" si="13"/>
        <v>140441</v>
      </c>
      <c r="F117" s="18">
        <f t="shared" si="14"/>
        <v>0.21132005610897103</v>
      </c>
      <c r="G117" s="18">
        <f t="shared" si="15"/>
        <v>0.46407388155880408</v>
      </c>
      <c r="H117" s="18">
        <f t="shared" si="16"/>
        <v>0.32460606233222494</v>
      </c>
      <c r="I117" s="24">
        <v>128.44</v>
      </c>
      <c r="J117" s="24">
        <v>399.61</v>
      </c>
      <c r="K117" s="24">
        <v>186.84</v>
      </c>
      <c r="L117" s="24">
        <f t="shared" si="22"/>
        <v>273.23990850250283</v>
      </c>
      <c r="N117" s="2">
        <v>44774</v>
      </c>
      <c r="O117" s="19">
        <v>80013</v>
      </c>
      <c r="P117" s="19">
        <v>809568</v>
      </c>
      <c r="Q117" s="19">
        <f t="shared" si="17"/>
        <v>889581</v>
      </c>
      <c r="R117" s="18">
        <f t="shared" si="18"/>
        <v>8.9944591892137979E-2</v>
      </c>
      <c r="S117" s="18">
        <f t="shared" si="19"/>
        <v>0.91005540810786201</v>
      </c>
      <c r="T117" s="24">
        <v>11.55</v>
      </c>
      <c r="U117" s="24">
        <v>10.37</v>
      </c>
      <c r="V117" s="24">
        <f t="shared" si="23"/>
        <v>10.476134618432722</v>
      </c>
    </row>
    <row r="118" spans="1:22" x14ac:dyDescent="0.25">
      <c r="A118" s="2">
        <v>44805</v>
      </c>
      <c r="B118" s="19">
        <v>29838</v>
      </c>
      <c r="C118" s="19">
        <v>69006</v>
      </c>
      <c r="D118" s="19">
        <v>47417</v>
      </c>
      <c r="E118" s="19">
        <f t="shared" si="13"/>
        <v>146261</v>
      </c>
      <c r="F118" s="18">
        <f t="shared" si="14"/>
        <v>0.20400516884200162</v>
      </c>
      <c r="G118" s="18">
        <f t="shared" si="15"/>
        <v>0.4718004115929742</v>
      </c>
      <c r="H118" s="18">
        <f t="shared" si="16"/>
        <v>0.32419441956502415</v>
      </c>
      <c r="I118" s="24">
        <v>134.30000000000001</v>
      </c>
      <c r="J118" s="24">
        <v>390.87</v>
      </c>
      <c r="K118" s="24">
        <v>185.55</v>
      </c>
      <c r="L118" s="24">
        <f t="shared" si="22"/>
        <v>271.96479560511688</v>
      </c>
      <c r="N118" s="2">
        <v>44805</v>
      </c>
      <c r="O118" s="19">
        <v>81966</v>
      </c>
      <c r="P118" s="19">
        <v>818704</v>
      </c>
      <c r="Q118" s="19">
        <f t="shared" si="17"/>
        <v>900670</v>
      </c>
      <c r="R118" s="18">
        <f t="shared" si="18"/>
        <v>9.1005584731366648E-2</v>
      </c>
      <c r="S118" s="18">
        <f t="shared" si="19"/>
        <v>0.90899441526863334</v>
      </c>
      <c r="T118" s="24">
        <v>11.14</v>
      </c>
      <c r="U118" s="24">
        <v>10.029999999999999</v>
      </c>
      <c r="V118" s="24">
        <f t="shared" si="23"/>
        <v>10.131016199051817</v>
      </c>
    </row>
    <row r="119" spans="1:22" x14ac:dyDescent="0.25">
      <c r="A119" s="2">
        <v>44835</v>
      </c>
      <c r="B119" s="19">
        <v>31115</v>
      </c>
      <c r="C119" s="19">
        <v>70758</v>
      </c>
      <c r="D119" s="19">
        <v>49854</v>
      </c>
      <c r="E119" s="19">
        <f t="shared" si="13"/>
        <v>151727</v>
      </c>
      <c r="F119" s="18">
        <f t="shared" si="14"/>
        <v>0.2050722679549454</v>
      </c>
      <c r="G119" s="18">
        <f t="shared" si="15"/>
        <v>0.46635074838361001</v>
      </c>
      <c r="H119" s="18">
        <f t="shared" si="16"/>
        <v>0.32857698366144455</v>
      </c>
      <c r="I119" s="24">
        <v>133.38</v>
      </c>
      <c r="J119" s="24">
        <v>409.49</v>
      </c>
      <c r="K119" s="24">
        <v>184.98</v>
      </c>
      <c r="L119" s="24">
        <f t="shared" si="22"/>
        <v>279.09867749312912</v>
      </c>
      <c r="N119" s="2">
        <v>44835</v>
      </c>
      <c r="O119" s="19">
        <v>83181</v>
      </c>
      <c r="P119" s="19">
        <v>827328</v>
      </c>
      <c r="Q119" s="19">
        <f t="shared" si="17"/>
        <v>910509</v>
      </c>
      <c r="R119" s="18">
        <f t="shared" si="18"/>
        <v>9.1356592850812018E-2</v>
      </c>
      <c r="S119" s="18">
        <f t="shared" si="19"/>
        <v>0.90864340714918801</v>
      </c>
      <c r="T119" s="24">
        <v>10.98</v>
      </c>
      <c r="U119" s="24">
        <v>9.86</v>
      </c>
      <c r="V119" s="24">
        <f t="shared" si="23"/>
        <v>9.9623193839929076</v>
      </c>
    </row>
    <row r="120" spans="1:22" x14ac:dyDescent="0.25">
      <c r="A120" s="2">
        <v>44866</v>
      </c>
      <c r="B120" s="19">
        <v>30764</v>
      </c>
      <c r="C120" s="19">
        <v>73656</v>
      </c>
      <c r="D120" s="19">
        <v>50516</v>
      </c>
      <c r="E120" s="19">
        <f t="shared" si="13"/>
        <v>154936</v>
      </c>
      <c r="F120" s="18">
        <f t="shared" si="14"/>
        <v>0.19855940517374915</v>
      </c>
      <c r="G120" s="18">
        <f t="shared" si="15"/>
        <v>0.47539629266277689</v>
      </c>
      <c r="H120" s="18">
        <f t="shared" si="16"/>
        <v>0.32604430216347396</v>
      </c>
      <c r="I120" s="24">
        <v>133.75</v>
      </c>
      <c r="J120" s="24">
        <v>396.3</v>
      </c>
      <c r="K120" s="24">
        <v>180.66</v>
      </c>
      <c r="L120" s="24">
        <f t="shared" si="22"/>
        <v>273.86003485310061</v>
      </c>
      <c r="N120" s="2">
        <v>44866</v>
      </c>
      <c r="O120" s="19">
        <v>85272</v>
      </c>
      <c r="P120" s="19">
        <v>836433</v>
      </c>
      <c r="Q120" s="19">
        <f t="shared" si="17"/>
        <v>921705</v>
      </c>
      <c r="R120" s="18">
        <f t="shared" si="18"/>
        <v>9.2515501163604408E-2</v>
      </c>
      <c r="S120" s="18">
        <f t="shared" si="19"/>
        <v>0.90748449883639559</v>
      </c>
      <c r="T120" s="24">
        <v>11.15</v>
      </c>
      <c r="U120" s="24">
        <v>10.16</v>
      </c>
      <c r="V120" s="24">
        <f t="shared" si="23"/>
        <v>10.25159034615197</v>
      </c>
    </row>
    <row r="121" spans="1:22" x14ac:dyDescent="0.25">
      <c r="A121" s="2">
        <v>44896</v>
      </c>
      <c r="B121" s="19">
        <v>28589</v>
      </c>
      <c r="C121" s="19">
        <v>72434</v>
      </c>
      <c r="D121" s="19">
        <v>50412</v>
      </c>
      <c r="E121" s="19">
        <f t="shared" si="13"/>
        <v>151435</v>
      </c>
      <c r="F121" s="18">
        <f t="shared" si="14"/>
        <v>0.188787268465018</v>
      </c>
      <c r="G121" s="18">
        <f t="shared" si="15"/>
        <v>0.47831742992042792</v>
      </c>
      <c r="H121" s="18">
        <f t="shared" si="16"/>
        <v>0.33289530161455411</v>
      </c>
      <c r="I121" s="24">
        <v>132.12</v>
      </c>
      <c r="J121" s="24">
        <v>411.93</v>
      </c>
      <c r="K121" s="24">
        <v>181.44</v>
      </c>
      <c r="L121" s="24">
        <f t="shared" si="22"/>
        <v>282.37639634166476</v>
      </c>
      <c r="N121" s="2">
        <v>44896</v>
      </c>
      <c r="O121" s="19">
        <v>86332</v>
      </c>
      <c r="P121" s="19">
        <v>844682</v>
      </c>
      <c r="Q121" s="19">
        <f t="shared" si="17"/>
        <v>931014</v>
      </c>
      <c r="R121" s="18">
        <f t="shared" si="18"/>
        <v>9.2729003001028987E-2</v>
      </c>
      <c r="S121" s="18">
        <f t="shared" si="19"/>
        <v>0.90727099699897107</v>
      </c>
      <c r="T121" s="24">
        <v>11.75</v>
      </c>
      <c r="U121" s="24">
        <v>10.35</v>
      </c>
      <c r="V121" s="24">
        <f t="shared" si="23"/>
        <v>10.479820604201441</v>
      </c>
    </row>
    <row r="122" spans="1:22" x14ac:dyDescent="0.25">
      <c r="A122" s="2">
        <v>44927</v>
      </c>
      <c r="B122" s="19">
        <v>31756</v>
      </c>
      <c r="C122" s="19">
        <v>73490</v>
      </c>
      <c r="D122" s="19">
        <v>51699</v>
      </c>
      <c r="E122" s="19">
        <f t="shared" si="13"/>
        <v>156945</v>
      </c>
      <c r="F122" s="18">
        <f t="shared" si="14"/>
        <v>0.20233839880212814</v>
      </c>
      <c r="G122" s="18">
        <f t="shared" si="15"/>
        <v>0.46825320972315143</v>
      </c>
      <c r="H122" s="18">
        <f t="shared" si="16"/>
        <v>0.32940839147472045</v>
      </c>
      <c r="I122" s="24">
        <v>131.1</v>
      </c>
      <c r="J122" s="24">
        <v>415.69</v>
      </c>
      <c r="K122" s="24">
        <v>183.12</v>
      </c>
      <c r="L122" s="24">
        <f t="shared" si="22"/>
        <v>281.49600547962666</v>
      </c>
      <c r="N122" s="2">
        <v>44927</v>
      </c>
      <c r="O122" s="19">
        <v>87476</v>
      </c>
      <c r="P122" s="19">
        <v>851065</v>
      </c>
      <c r="Q122" s="19">
        <f t="shared" si="17"/>
        <v>938541</v>
      </c>
      <c r="R122" s="18">
        <f t="shared" si="18"/>
        <v>9.3204239345963572E-2</v>
      </c>
      <c r="S122" s="18">
        <f t="shared" si="19"/>
        <v>0.90679576065403644</v>
      </c>
      <c r="T122" s="24">
        <v>11.93</v>
      </c>
      <c r="U122" s="24">
        <v>10.63</v>
      </c>
      <c r="V122" s="24">
        <f t="shared" si="23"/>
        <v>10.751165511149754</v>
      </c>
    </row>
    <row r="123" spans="1:22" x14ac:dyDescent="0.25">
      <c r="A123" s="2">
        <v>44958</v>
      </c>
      <c r="B123" s="19">
        <v>33125</v>
      </c>
      <c r="C123" s="19">
        <v>77202</v>
      </c>
      <c r="D123" s="19">
        <v>52869</v>
      </c>
      <c r="E123" s="19">
        <f t="shared" si="13"/>
        <v>163196</v>
      </c>
      <c r="F123" s="18">
        <f t="shared" si="14"/>
        <v>0.20297678864678056</v>
      </c>
      <c r="G123" s="18">
        <f t="shared" si="15"/>
        <v>0.47306306527120762</v>
      </c>
      <c r="H123" s="18">
        <f t="shared" si="16"/>
        <v>0.32396014608201179</v>
      </c>
      <c r="I123" s="24">
        <v>134.66</v>
      </c>
      <c r="J123" s="24">
        <v>420.42</v>
      </c>
      <c r="K123" s="24">
        <v>191.83</v>
      </c>
      <c r="L123" s="24">
        <f t="shared" si="22"/>
        <v>288.36330308340888</v>
      </c>
      <c r="N123" s="2">
        <v>44958</v>
      </c>
      <c r="O123" s="19">
        <v>88417</v>
      </c>
      <c r="P123" s="19">
        <v>857040</v>
      </c>
      <c r="Q123" s="19">
        <f t="shared" si="17"/>
        <v>945457</v>
      </c>
      <c r="R123" s="18">
        <f t="shared" si="18"/>
        <v>9.3517737982795626E-2</v>
      </c>
      <c r="S123" s="18">
        <f t="shared" si="19"/>
        <v>0.90648226201720439</v>
      </c>
      <c r="T123" s="24">
        <v>10.83</v>
      </c>
      <c r="U123" s="24">
        <v>9.3000000000000007</v>
      </c>
      <c r="V123" s="24">
        <f t="shared" si="23"/>
        <v>9.4430821391136774</v>
      </c>
    </row>
    <row r="124" spans="1:22" x14ac:dyDescent="0.25">
      <c r="A124" s="2">
        <v>44986</v>
      </c>
      <c r="B124" s="19">
        <v>31945</v>
      </c>
      <c r="C124" s="19">
        <v>72445</v>
      </c>
      <c r="D124" s="19">
        <v>59299</v>
      </c>
      <c r="E124" s="19">
        <f t="shared" si="13"/>
        <v>163689</v>
      </c>
      <c r="F124" s="18">
        <f t="shared" si="14"/>
        <v>0.19515666904923359</v>
      </c>
      <c r="G124" s="18">
        <f t="shared" si="15"/>
        <v>0.44257708214968627</v>
      </c>
      <c r="H124" s="18">
        <f t="shared" si="16"/>
        <v>0.3622662488010801</v>
      </c>
      <c r="I124" s="24">
        <v>130.35</v>
      </c>
      <c r="J124" s="24">
        <v>433.33</v>
      </c>
      <c r="K124" s="24">
        <v>193.16</v>
      </c>
      <c r="L124" s="24">
        <f t="shared" si="22"/>
        <v>287.19594743690777</v>
      </c>
      <c r="N124" s="2">
        <v>44986</v>
      </c>
      <c r="O124" s="19">
        <v>90101</v>
      </c>
      <c r="P124" s="19">
        <v>866737</v>
      </c>
      <c r="Q124" s="19">
        <f t="shared" si="17"/>
        <v>956838</v>
      </c>
      <c r="R124" s="18">
        <f t="shared" si="18"/>
        <v>9.4165365505968615E-2</v>
      </c>
      <c r="S124" s="18">
        <f t="shared" si="19"/>
        <v>0.90583463449403134</v>
      </c>
      <c r="T124" s="24">
        <v>11.97</v>
      </c>
      <c r="U124" s="24">
        <v>10.44</v>
      </c>
      <c r="V124" s="24">
        <f t="shared" si="23"/>
        <v>10.584073009224131</v>
      </c>
    </row>
    <row r="125" spans="1:22" x14ac:dyDescent="0.25">
      <c r="A125" s="2">
        <v>45017</v>
      </c>
      <c r="B125" s="19">
        <v>32255</v>
      </c>
      <c r="C125" s="19">
        <v>74371</v>
      </c>
      <c r="D125" s="19">
        <v>59654</v>
      </c>
      <c r="E125" s="19">
        <f t="shared" ref="E125:E165" si="24">SUM(B125:D125)</f>
        <v>166280</v>
      </c>
      <c r="F125" s="18">
        <f t="shared" ref="F125:F165" si="25">B125/$E125</f>
        <v>0.19398003367813327</v>
      </c>
      <c r="G125" s="18">
        <f t="shared" ref="G125:G165" si="26">C125/$E125</f>
        <v>0.44726365167187876</v>
      </c>
      <c r="H125" s="18">
        <f t="shared" ref="H125:H165" si="27">D125/$E125</f>
        <v>0.35875631464998797</v>
      </c>
      <c r="I125" s="24">
        <v>133.5</v>
      </c>
      <c r="J125" s="24">
        <v>447.33</v>
      </c>
      <c r="K125" s="24">
        <v>200.54</v>
      </c>
      <c r="L125" s="24">
        <f t="shared" si="22"/>
        <v>297.9157751383209</v>
      </c>
      <c r="N125" s="2">
        <v>45017</v>
      </c>
      <c r="O125" s="19">
        <v>91362</v>
      </c>
      <c r="P125" s="19">
        <v>874239</v>
      </c>
      <c r="Q125" s="19">
        <f t="shared" ref="Q125:Q165" si="28">SUM(O125:P125)</f>
        <v>965601</v>
      </c>
      <c r="R125" s="18">
        <f t="shared" ref="R125:R165" si="29">O125/$Q125</f>
        <v>9.461672057091905E-2</v>
      </c>
      <c r="S125" s="18">
        <f t="shared" ref="S125:S165" si="30">P125/$Q125</f>
        <v>0.90538327942908092</v>
      </c>
      <c r="T125" s="24">
        <v>11.95</v>
      </c>
      <c r="U125" s="24">
        <v>10.07</v>
      </c>
      <c r="V125" s="24">
        <f t="shared" si="23"/>
        <v>10.247879434673328</v>
      </c>
    </row>
    <row r="126" spans="1:22" x14ac:dyDescent="0.25">
      <c r="A126" s="2">
        <v>45047</v>
      </c>
      <c r="B126" s="19">
        <v>33493</v>
      </c>
      <c r="C126" s="19">
        <v>74364</v>
      </c>
      <c r="D126" s="19">
        <v>59888</v>
      </c>
      <c r="E126" s="19">
        <f t="shared" si="24"/>
        <v>167745</v>
      </c>
      <c r="F126" s="18">
        <f t="shared" si="25"/>
        <v>0.19966615994515485</v>
      </c>
      <c r="G126" s="18">
        <f t="shared" si="26"/>
        <v>0.44331574711615845</v>
      </c>
      <c r="H126" s="18">
        <f t="shared" si="27"/>
        <v>0.35701809293868669</v>
      </c>
      <c r="I126" s="24">
        <v>130.75</v>
      </c>
      <c r="J126" s="24">
        <v>453.97</v>
      </c>
      <c r="K126" s="24">
        <v>194.2</v>
      </c>
      <c r="L126" s="24">
        <f t="shared" si="22"/>
        <v>296.69131377984439</v>
      </c>
      <c r="N126" s="2">
        <v>45047</v>
      </c>
      <c r="O126" s="19">
        <v>93063</v>
      </c>
      <c r="P126" s="19">
        <v>881802</v>
      </c>
      <c r="Q126" s="19">
        <f t="shared" si="28"/>
        <v>974865</v>
      </c>
      <c r="R126" s="18">
        <f t="shared" si="29"/>
        <v>9.5462448646735698E-2</v>
      </c>
      <c r="S126" s="18">
        <f t="shared" si="30"/>
        <v>0.9045375513532643</v>
      </c>
      <c r="T126" s="24">
        <v>12.77</v>
      </c>
      <c r="U126" s="24">
        <v>11.09</v>
      </c>
      <c r="V126" s="24">
        <f t="shared" si="23"/>
        <v>11.250376913726516</v>
      </c>
    </row>
    <row r="127" spans="1:22" x14ac:dyDescent="0.25">
      <c r="A127" s="2">
        <v>45078</v>
      </c>
      <c r="B127" s="19">
        <v>32742</v>
      </c>
      <c r="C127" s="19">
        <v>72127</v>
      </c>
      <c r="D127" s="19">
        <v>60263</v>
      </c>
      <c r="E127" s="19">
        <f t="shared" si="24"/>
        <v>165132</v>
      </c>
      <c r="F127" s="18">
        <f t="shared" si="25"/>
        <v>0.19827774144320906</v>
      </c>
      <c r="G127" s="18">
        <f t="shared" si="26"/>
        <v>0.43678390620836666</v>
      </c>
      <c r="H127" s="18">
        <f t="shared" si="27"/>
        <v>0.36493835234842431</v>
      </c>
      <c r="I127" s="24">
        <v>134.56</v>
      </c>
      <c r="J127" s="24">
        <v>435.84</v>
      </c>
      <c r="K127" s="24">
        <v>196.07</v>
      </c>
      <c r="L127" s="24">
        <f t="shared" si="22"/>
        <v>288.60161331540826</v>
      </c>
      <c r="N127" s="2">
        <v>45078</v>
      </c>
      <c r="O127" s="19">
        <v>93938</v>
      </c>
      <c r="P127" s="19">
        <v>889702</v>
      </c>
      <c r="Q127" s="19">
        <f t="shared" si="28"/>
        <v>983640</v>
      </c>
      <c r="R127" s="18">
        <f t="shared" si="29"/>
        <v>9.5500386320198444E-2</v>
      </c>
      <c r="S127" s="18">
        <f t="shared" si="30"/>
        <v>0.90449961367980158</v>
      </c>
      <c r="T127" s="24">
        <v>12.73</v>
      </c>
      <c r="U127" s="24">
        <v>10.89</v>
      </c>
      <c r="V127" s="24">
        <f t="shared" si="23"/>
        <v>11.065720710829165</v>
      </c>
    </row>
    <row r="128" spans="1:22" x14ac:dyDescent="0.25">
      <c r="A128" s="2">
        <v>45108</v>
      </c>
      <c r="B128" s="19">
        <v>32765</v>
      </c>
      <c r="C128" s="19">
        <v>70609</v>
      </c>
      <c r="D128" s="19">
        <v>60664</v>
      </c>
      <c r="E128" s="19">
        <f t="shared" si="24"/>
        <v>164038</v>
      </c>
      <c r="F128" s="18">
        <f t="shared" si="25"/>
        <v>0.19974030407588486</v>
      </c>
      <c r="G128" s="18">
        <f t="shared" si="26"/>
        <v>0.43044294614662454</v>
      </c>
      <c r="H128" s="18">
        <f t="shared" si="27"/>
        <v>0.36981674977749057</v>
      </c>
      <c r="I128" s="24">
        <v>132.04</v>
      </c>
      <c r="J128" s="24">
        <v>441.33</v>
      </c>
      <c r="K128" s="24">
        <v>198.2</v>
      </c>
      <c r="L128" s="24">
        <f t="shared" si="22"/>
        <v>289.63877497896829</v>
      </c>
      <c r="N128" s="2">
        <v>45108</v>
      </c>
      <c r="O128" s="19">
        <v>95216</v>
      </c>
      <c r="P128" s="19">
        <v>897547</v>
      </c>
      <c r="Q128" s="19">
        <f t="shared" si="28"/>
        <v>992763</v>
      </c>
      <c r="R128" s="18">
        <f t="shared" si="29"/>
        <v>9.5910101403859735E-2</v>
      </c>
      <c r="S128" s="18">
        <f t="shared" si="30"/>
        <v>0.90408989859614031</v>
      </c>
      <c r="T128" s="24">
        <v>13.01</v>
      </c>
      <c r="U128" s="24">
        <v>11.26</v>
      </c>
      <c r="V128" s="24">
        <f t="shared" si="23"/>
        <v>11.427842677456754</v>
      </c>
    </row>
    <row r="129" spans="1:22" x14ac:dyDescent="0.25">
      <c r="A129" s="2">
        <v>45139</v>
      </c>
      <c r="B129" s="19">
        <v>34348</v>
      </c>
      <c r="C129" s="19">
        <v>70161</v>
      </c>
      <c r="D129" s="19">
        <v>61446</v>
      </c>
      <c r="E129" s="19">
        <f t="shared" si="24"/>
        <v>165955</v>
      </c>
      <c r="F129" s="18">
        <f t="shared" si="25"/>
        <v>0.2069717694555753</v>
      </c>
      <c r="G129" s="18">
        <f t="shared" si="26"/>
        <v>0.42277123316561721</v>
      </c>
      <c r="H129" s="18">
        <f t="shared" si="27"/>
        <v>0.37025699737880752</v>
      </c>
      <c r="I129" s="24">
        <v>131.88999999999999</v>
      </c>
      <c r="J129" s="24">
        <v>445.51</v>
      </c>
      <c r="K129" s="24">
        <v>194.58</v>
      </c>
      <c r="L129" s="24">
        <f t="shared" si="22"/>
        <v>287.69092531107833</v>
      </c>
      <c r="N129" s="2">
        <v>45139</v>
      </c>
      <c r="O129" s="19">
        <v>96515</v>
      </c>
      <c r="P129" s="19">
        <v>905625</v>
      </c>
      <c r="Q129" s="19">
        <f t="shared" si="28"/>
        <v>1002140</v>
      </c>
      <c r="R129" s="18">
        <f t="shared" si="29"/>
        <v>9.6308898956233666E-2</v>
      </c>
      <c r="S129" s="18">
        <f t="shared" si="30"/>
        <v>0.90369110104376638</v>
      </c>
      <c r="T129" s="24">
        <v>12.6</v>
      </c>
      <c r="U129" s="24">
        <v>10.69</v>
      </c>
      <c r="V129" s="24">
        <f t="shared" si="23"/>
        <v>10.873949997006406</v>
      </c>
    </row>
    <row r="130" spans="1:22" x14ac:dyDescent="0.25">
      <c r="A130" s="2">
        <v>45170</v>
      </c>
      <c r="B130" s="19">
        <v>34141</v>
      </c>
      <c r="C130" s="19">
        <v>67946</v>
      </c>
      <c r="D130" s="19">
        <v>59602</v>
      </c>
      <c r="E130" s="19">
        <f t="shared" si="24"/>
        <v>161689</v>
      </c>
      <c r="F130" s="18">
        <f t="shared" si="25"/>
        <v>0.21115227380959745</v>
      </c>
      <c r="G130" s="18">
        <f t="shared" si="26"/>
        <v>0.42022648417641273</v>
      </c>
      <c r="H130" s="18">
        <f t="shared" si="27"/>
        <v>0.36862124201398982</v>
      </c>
      <c r="I130" s="24">
        <v>133.94</v>
      </c>
      <c r="J130" s="24">
        <v>441.11</v>
      </c>
      <c r="K130" s="24">
        <v>193.79</v>
      </c>
      <c r="L130" s="24">
        <f t="shared" ref="L130:L161" si="31">F130*I130+G130*J130+H130*K130</f>
        <v>285.082950479006</v>
      </c>
      <c r="N130" s="2">
        <v>45170</v>
      </c>
      <c r="O130" s="19">
        <v>97859</v>
      </c>
      <c r="P130" s="19">
        <v>915009</v>
      </c>
      <c r="Q130" s="19">
        <f t="shared" si="28"/>
        <v>1012868</v>
      </c>
      <c r="R130" s="18">
        <f t="shared" si="29"/>
        <v>9.661574854768834E-2</v>
      </c>
      <c r="S130" s="18">
        <f t="shared" si="30"/>
        <v>0.9033842514523116</v>
      </c>
      <c r="T130" s="24">
        <v>12.04</v>
      </c>
      <c r="U130" s="24">
        <v>10.029999999999999</v>
      </c>
      <c r="V130" s="24">
        <f t="shared" ref="V130:V161" si="32">R130*T130+S130*U130</f>
        <v>10.224197654580852</v>
      </c>
    </row>
    <row r="131" spans="1:22" x14ac:dyDescent="0.25">
      <c r="A131" s="2">
        <v>45200</v>
      </c>
      <c r="B131" s="19">
        <v>34573</v>
      </c>
      <c r="C131" s="19">
        <v>65640</v>
      </c>
      <c r="D131" s="19">
        <v>63909</v>
      </c>
      <c r="E131" s="19">
        <f t="shared" si="24"/>
        <v>164122</v>
      </c>
      <c r="F131" s="18">
        <f t="shared" si="25"/>
        <v>0.21065426938496973</v>
      </c>
      <c r="G131" s="18">
        <f t="shared" si="26"/>
        <v>0.39994638135045879</v>
      </c>
      <c r="H131" s="18">
        <f t="shared" si="27"/>
        <v>0.38939934926457148</v>
      </c>
      <c r="I131" s="24">
        <v>131.57</v>
      </c>
      <c r="J131" s="24">
        <v>444.92</v>
      </c>
      <c r="K131" s="24">
        <v>195.93</v>
      </c>
      <c r="L131" s="24">
        <f t="shared" si="31"/>
        <v>281.95494071483409</v>
      </c>
      <c r="N131" s="2">
        <v>45200</v>
      </c>
      <c r="O131" s="19">
        <v>99156</v>
      </c>
      <c r="P131" s="19">
        <v>923159</v>
      </c>
      <c r="Q131" s="19">
        <f t="shared" si="28"/>
        <v>1022315</v>
      </c>
      <c r="R131" s="18">
        <f t="shared" si="29"/>
        <v>9.699163173777163E-2</v>
      </c>
      <c r="S131" s="18">
        <f t="shared" si="30"/>
        <v>0.90300836826222841</v>
      </c>
      <c r="T131" s="24">
        <v>11.78</v>
      </c>
      <c r="U131" s="24">
        <v>9.77</v>
      </c>
      <c r="V131" s="24">
        <f t="shared" si="32"/>
        <v>9.9649531797929214</v>
      </c>
    </row>
    <row r="132" spans="1:22" x14ac:dyDescent="0.25">
      <c r="A132" s="2">
        <v>45231</v>
      </c>
      <c r="B132" s="19">
        <v>34041</v>
      </c>
      <c r="C132" s="19">
        <v>64575</v>
      </c>
      <c r="D132" s="19">
        <v>67355</v>
      </c>
      <c r="E132" s="19">
        <f t="shared" si="24"/>
        <v>165971</v>
      </c>
      <c r="F132" s="18">
        <f t="shared" si="25"/>
        <v>0.20510209614932728</v>
      </c>
      <c r="G132" s="18">
        <f t="shared" si="26"/>
        <v>0.38907399485452276</v>
      </c>
      <c r="H132" s="18">
        <f t="shared" si="27"/>
        <v>0.40582390899614995</v>
      </c>
      <c r="I132" s="24">
        <v>132.49</v>
      </c>
      <c r="J132" s="24">
        <v>434.84</v>
      </c>
      <c r="K132" s="24">
        <v>195.69</v>
      </c>
      <c r="L132" s="24">
        <f t="shared" si="31"/>
        <v>275.7745933928216</v>
      </c>
      <c r="N132" s="2">
        <v>45231</v>
      </c>
      <c r="O132" s="19">
        <v>100297</v>
      </c>
      <c r="P132" s="19">
        <v>930677</v>
      </c>
      <c r="Q132" s="19">
        <f t="shared" si="28"/>
        <v>1030974</v>
      </c>
      <c r="R132" s="18">
        <f t="shared" si="29"/>
        <v>9.7283733634407857E-2</v>
      </c>
      <c r="S132" s="18">
        <f t="shared" si="30"/>
        <v>0.9027162663655921</v>
      </c>
      <c r="T132" s="24">
        <v>11.95</v>
      </c>
      <c r="U132" s="24">
        <v>9.8000000000000007</v>
      </c>
      <c r="V132" s="24">
        <f t="shared" si="32"/>
        <v>10.009160027313978</v>
      </c>
    </row>
    <row r="133" spans="1:22" x14ac:dyDescent="0.25">
      <c r="A133" s="2">
        <v>45261</v>
      </c>
      <c r="B133" s="19">
        <v>31164</v>
      </c>
      <c r="C133" s="19">
        <v>62851</v>
      </c>
      <c r="D133" s="19">
        <v>66500</v>
      </c>
      <c r="E133" s="19">
        <f t="shared" si="24"/>
        <v>160515</v>
      </c>
      <c r="F133" s="18">
        <f t="shared" si="25"/>
        <v>0.1941500794318288</v>
      </c>
      <c r="G133" s="18">
        <f t="shared" si="26"/>
        <v>0.39155842133133972</v>
      </c>
      <c r="H133" s="18">
        <f t="shared" si="27"/>
        <v>0.41429149923683145</v>
      </c>
      <c r="I133" s="24">
        <v>128.11000000000001</v>
      </c>
      <c r="J133" s="24">
        <v>442.1</v>
      </c>
      <c r="K133" s="24">
        <v>196.91</v>
      </c>
      <c r="L133" s="24">
        <f t="shared" si="31"/>
        <v>279.55868386132136</v>
      </c>
      <c r="N133" s="2">
        <v>45261</v>
      </c>
      <c r="O133" s="19">
        <v>101573</v>
      </c>
      <c r="P133" s="19">
        <v>939176</v>
      </c>
      <c r="Q133" s="19">
        <f t="shared" si="28"/>
        <v>1040749</v>
      </c>
      <c r="R133" s="18">
        <f t="shared" si="29"/>
        <v>9.7596058223452534E-2</v>
      </c>
      <c r="S133" s="18">
        <f t="shared" si="30"/>
        <v>0.90240394177654748</v>
      </c>
      <c r="T133" s="24">
        <v>11.45</v>
      </c>
      <c r="U133" s="24">
        <v>8.9499999999999993</v>
      </c>
      <c r="V133" s="24">
        <f t="shared" si="32"/>
        <v>9.1939901455586313</v>
      </c>
    </row>
    <row r="134" spans="1:22" x14ac:dyDescent="0.25">
      <c r="A134" s="2">
        <v>45292</v>
      </c>
      <c r="B134" s="19">
        <v>34635</v>
      </c>
      <c r="C134" s="19">
        <v>61884</v>
      </c>
      <c r="D134" s="19">
        <v>68389</v>
      </c>
      <c r="E134" s="19">
        <f t="shared" si="24"/>
        <v>164908</v>
      </c>
      <c r="F134" s="18">
        <f t="shared" si="25"/>
        <v>0.21002619642467316</v>
      </c>
      <c r="G134" s="18">
        <f t="shared" si="26"/>
        <v>0.37526378344288935</v>
      </c>
      <c r="H134" s="18">
        <f t="shared" si="27"/>
        <v>0.41471002013243746</v>
      </c>
      <c r="I134" s="24">
        <v>125.76</v>
      </c>
      <c r="J134" s="24">
        <v>419.18</v>
      </c>
      <c r="K134" s="24">
        <v>188.44</v>
      </c>
      <c r="L134" s="24">
        <f t="shared" si="31"/>
        <v>261.86392339971377</v>
      </c>
      <c r="N134" s="2">
        <v>45292</v>
      </c>
      <c r="O134" s="19">
        <v>102284</v>
      </c>
      <c r="P134" s="19">
        <v>943473</v>
      </c>
      <c r="Q134" s="19">
        <f t="shared" si="28"/>
        <v>1045757</v>
      </c>
      <c r="R134" s="18">
        <f t="shared" si="29"/>
        <v>9.7808573119759185E-2</v>
      </c>
      <c r="S134" s="18">
        <f t="shared" si="30"/>
        <v>0.90219142688024079</v>
      </c>
      <c r="T134" s="24">
        <v>11.54</v>
      </c>
      <c r="U134" s="24">
        <v>9.02</v>
      </c>
      <c r="V134" s="24">
        <f t="shared" si="32"/>
        <v>9.2664776042617927</v>
      </c>
    </row>
    <row r="135" spans="1:22" x14ac:dyDescent="0.25">
      <c r="A135" s="2">
        <v>45323</v>
      </c>
      <c r="B135" s="19">
        <v>35777</v>
      </c>
      <c r="C135" s="19">
        <v>62310</v>
      </c>
      <c r="D135" s="19">
        <v>70389</v>
      </c>
      <c r="E135" s="19">
        <f t="shared" si="24"/>
        <v>168476</v>
      </c>
      <c r="F135" s="18">
        <f t="shared" si="25"/>
        <v>0.21235665614093402</v>
      </c>
      <c r="G135" s="18">
        <f t="shared" si="26"/>
        <v>0.3698449630807949</v>
      </c>
      <c r="H135" s="18">
        <f t="shared" si="27"/>
        <v>0.41779838077827108</v>
      </c>
      <c r="I135" s="24">
        <v>132.09</v>
      </c>
      <c r="J135" s="24">
        <v>412.05</v>
      </c>
      <c r="K135" s="24">
        <v>188.86</v>
      </c>
      <c r="L135" s="24">
        <f t="shared" si="31"/>
        <v>259.35020994088177</v>
      </c>
      <c r="N135" s="2">
        <v>45323</v>
      </c>
      <c r="O135" s="19">
        <v>103079</v>
      </c>
      <c r="P135" s="19">
        <v>950340</v>
      </c>
      <c r="Q135" s="19">
        <f t="shared" si="28"/>
        <v>1053419</v>
      </c>
      <c r="R135" s="18">
        <f t="shared" si="29"/>
        <v>9.7851851922169622E-2</v>
      </c>
      <c r="S135" s="18">
        <f t="shared" si="30"/>
        <v>0.90214814807783039</v>
      </c>
      <c r="T135" s="24">
        <v>11.17</v>
      </c>
      <c r="U135" s="24">
        <v>8.66</v>
      </c>
      <c r="V135" s="24">
        <f t="shared" si="32"/>
        <v>8.9056081483246459</v>
      </c>
    </row>
    <row r="136" spans="1:22" x14ac:dyDescent="0.25">
      <c r="A136" s="2">
        <v>45352</v>
      </c>
      <c r="B136" s="19">
        <v>34978</v>
      </c>
      <c r="C136" s="19">
        <v>61518</v>
      </c>
      <c r="D136" s="19">
        <v>71256</v>
      </c>
      <c r="E136" s="19">
        <f t="shared" si="24"/>
        <v>167752</v>
      </c>
      <c r="F136" s="18">
        <f t="shared" si="25"/>
        <v>0.2085101816967905</v>
      </c>
      <c r="G136" s="18">
        <f t="shared" si="26"/>
        <v>0.36671991988173019</v>
      </c>
      <c r="H136" s="18">
        <f t="shared" si="27"/>
        <v>0.42476989842147933</v>
      </c>
      <c r="I136" s="24">
        <v>128.12</v>
      </c>
      <c r="J136" s="24">
        <v>421.27</v>
      </c>
      <c r="K136" s="24">
        <v>190.67</v>
      </c>
      <c r="L136" s="24">
        <f t="shared" si="31"/>
        <v>262.19330165959275</v>
      </c>
      <c r="N136" s="2">
        <v>45352</v>
      </c>
      <c r="O136" s="19">
        <v>104355</v>
      </c>
      <c r="P136" s="19">
        <v>958843</v>
      </c>
      <c r="Q136" s="19">
        <f t="shared" si="28"/>
        <v>1063198</v>
      </c>
      <c r="R136" s="18">
        <f t="shared" si="29"/>
        <v>9.8151990504120587E-2</v>
      </c>
      <c r="S136" s="18">
        <f t="shared" si="30"/>
        <v>0.9018480094958794</v>
      </c>
      <c r="T136" s="24">
        <v>11.6</v>
      </c>
      <c r="U136" s="24">
        <v>9.02</v>
      </c>
      <c r="V136" s="24">
        <f t="shared" si="32"/>
        <v>9.2732321355006295</v>
      </c>
    </row>
    <row r="137" spans="1:22" x14ac:dyDescent="0.25">
      <c r="A137" s="2">
        <v>45383</v>
      </c>
      <c r="B137" s="19">
        <v>35987</v>
      </c>
      <c r="C137" s="19">
        <v>62292</v>
      </c>
      <c r="D137" s="19">
        <v>73178</v>
      </c>
      <c r="E137" s="19">
        <f t="shared" si="24"/>
        <v>171457</v>
      </c>
      <c r="F137" s="18">
        <f t="shared" si="25"/>
        <v>0.20988936001446426</v>
      </c>
      <c r="G137" s="18">
        <f t="shared" si="26"/>
        <v>0.36330975113293712</v>
      </c>
      <c r="H137" s="18">
        <f t="shared" si="27"/>
        <v>0.42680088885259859</v>
      </c>
      <c r="I137" s="24">
        <v>130.63999999999999</v>
      </c>
      <c r="J137" s="24">
        <v>423.44</v>
      </c>
      <c r="K137" s="24">
        <v>181.97</v>
      </c>
      <c r="L137" s="24">
        <f t="shared" si="31"/>
        <v>258.92478475652786</v>
      </c>
      <c r="N137" s="2">
        <v>45383</v>
      </c>
      <c r="O137" s="19">
        <v>105461</v>
      </c>
      <c r="P137" s="19">
        <v>967747</v>
      </c>
      <c r="Q137" s="19">
        <f t="shared" si="28"/>
        <v>1073208</v>
      </c>
      <c r="R137" s="18">
        <f t="shared" si="29"/>
        <v>9.8267064725570438E-2</v>
      </c>
      <c r="S137" s="18">
        <f t="shared" si="30"/>
        <v>0.90173293527442955</v>
      </c>
      <c r="T137" s="24">
        <v>11.37</v>
      </c>
      <c r="U137" s="24">
        <v>9.1300000000000008</v>
      </c>
      <c r="V137" s="24">
        <f t="shared" si="32"/>
        <v>9.3501182249852768</v>
      </c>
    </row>
    <row r="138" spans="1:22" x14ac:dyDescent="0.25">
      <c r="A138" s="2">
        <v>45413</v>
      </c>
      <c r="B138" s="19">
        <v>35172</v>
      </c>
      <c r="C138" s="19">
        <v>60849</v>
      </c>
      <c r="D138" s="19">
        <v>72812</v>
      </c>
      <c r="E138" s="19">
        <f t="shared" si="24"/>
        <v>168833</v>
      </c>
      <c r="F138" s="18">
        <f t="shared" si="25"/>
        <v>0.20832420202211652</v>
      </c>
      <c r="G138" s="18">
        <f t="shared" si="26"/>
        <v>0.36040939863652249</v>
      </c>
      <c r="H138" s="18">
        <f t="shared" si="27"/>
        <v>0.43126639934136102</v>
      </c>
      <c r="I138" s="24">
        <v>131.88</v>
      </c>
      <c r="J138" s="24">
        <v>422.41</v>
      </c>
      <c r="K138" s="24">
        <v>185.86</v>
      </c>
      <c r="L138" s="24">
        <f t="shared" si="31"/>
        <v>259.86950282231555</v>
      </c>
      <c r="N138" s="2">
        <v>45413</v>
      </c>
      <c r="O138" s="19">
        <v>107201</v>
      </c>
      <c r="P138" s="19">
        <v>978513</v>
      </c>
      <c r="Q138" s="19">
        <f t="shared" si="28"/>
        <v>1085714</v>
      </c>
      <c r="R138" s="18">
        <f t="shared" si="29"/>
        <v>9.8737789141523452E-2</v>
      </c>
      <c r="S138" s="18">
        <f t="shared" si="30"/>
        <v>0.90126221085847658</v>
      </c>
      <c r="T138" s="24">
        <v>11.47</v>
      </c>
      <c r="U138" s="24">
        <v>9.16</v>
      </c>
      <c r="V138" s="24">
        <f t="shared" si="32"/>
        <v>9.3880842929169201</v>
      </c>
    </row>
    <row r="139" spans="1:22" x14ac:dyDescent="0.25">
      <c r="A139" s="2">
        <v>45444</v>
      </c>
      <c r="B139" s="19">
        <v>33872</v>
      </c>
      <c r="C139" s="19">
        <v>62542</v>
      </c>
      <c r="D139" s="19">
        <v>71685</v>
      </c>
      <c r="E139" s="19">
        <f t="shared" si="24"/>
        <v>168099</v>
      </c>
      <c r="F139" s="18">
        <f t="shared" si="25"/>
        <v>0.2015003063670813</v>
      </c>
      <c r="G139" s="18">
        <f t="shared" si="26"/>
        <v>0.3720545630848488</v>
      </c>
      <c r="H139" s="18">
        <f t="shared" si="27"/>
        <v>0.42644513054806987</v>
      </c>
      <c r="I139" s="24">
        <v>131.28</v>
      </c>
      <c r="J139" s="24">
        <v>428.68</v>
      </c>
      <c r="K139" s="24">
        <v>182.45</v>
      </c>
      <c r="L139" s="24">
        <f t="shared" si="31"/>
        <v>263.7502243915788</v>
      </c>
      <c r="N139" s="2">
        <v>45444</v>
      </c>
      <c r="O139" s="19">
        <v>108915</v>
      </c>
      <c r="P139" s="19">
        <v>989380</v>
      </c>
      <c r="Q139" s="19">
        <f t="shared" si="28"/>
        <v>1098295</v>
      </c>
      <c r="R139" s="18">
        <f t="shared" si="29"/>
        <v>9.9167345749548164E-2</v>
      </c>
      <c r="S139" s="18">
        <f t="shared" si="30"/>
        <v>0.90083265425045189</v>
      </c>
      <c r="T139" s="24">
        <v>11.61</v>
      </c>
      <c r="U139" s="24">
        <v>9.3699999999999992</v>
      </c>
      <c r="V139" s="24">
        <f t="shared" si="32"/>
        <v>9.5921348544789868</v>
      </c>
    </row>
    <row r="140" spans="1:22" x14ac:dyDescent="0.25">
      <c r="A140" s="2">
        <v>45474</v>
      </c>
      <c r="B140" s="19">
        <v>34735</v>
      </c>
      <c r="C140" s="19">
        <v>60453</v>
      </c>
      <c r="D140" s="19">
        <v>73609</v>
      </c>
      <c r="E140" s="19">
        <f t="shared" si="24"/>
        <v>168797</v>
      </c>
      <c r="F140" s="18">
        <f t="shared" si="25"/>
        <v>0.20577972357328625</v>
      </c>
      <c r="G140" s="18">
        <f t="shared" si="26"/>
        <v>0.35814025130778393</v>
      </c>
      <c r="H140" s="18">
        <f t="shared" si="27"/>
        <v>0.43608002511892985</v>
      </c>
      <c r="I140" s="24">
        <v>131.59</v>
      </c>
      <c r="J140" s="24">
        <v>432.19</v>
      </c>
      <c r="K140" s="24">
        <v>178.09</v>
      </c>
      <c r="L140" s="24">
        <f t="shared" si="31"/>
        <v>259.52468071115004</v>
      </c>
      <c r="N140" s="2">
        <v>45474</v>
      </c>
      <c r="O140" s="19">
        <v>110641</v>
      </c>
      <c r="P140" s="19">
        <v>999767</v>
      </c>
      <c r="Q140" s="19">
        <f t="shared" si="28"/>
        <v>1110408</v>
      </c>
      <c r="R140" s="18">
        <f t="shared" si="29"/>
        <v>9.963995216172794E-2</v>
      </c>
      <c r="S140" s="18">
        <f t="shared" si="30"/>
        <v>0.90036004783827206</v>
      </c>
      <c r="T140" s="24">
        <v>11.44</v>
      </c>
      <c r="U140" s="24">
        <v>9.26</v>
      </c>
      <c r="V140" s="24">
        <f t="shared" si="32"/>
        <v>9.477215095712566</v>
      </c>
    </row>
    <row r="141" spans="1:22" x14ac:dyDescent="0.25">
      <c r="A141" s="2">
        <v>45505</v>
      </c>
      <c r="B141" s="19">
        <v>34912</v>
      </c>
      <c r="C141" s="19">
        <v>61087</v>
      </c>
      <c r="D141" s="19">
        <v>73338</v>
      </c>
      <c r="E141" s="19">
        <f t="shared" si="24"/>
        <v>169337</v>
      </c>
      <c r="F141" s="18">
        <f t="shared" si="25"/>
        <v>0.2061687640621955</v>
      </c>
      <c r="G141" s="18">
        <f t="shared" si="26"/>
        <v>0.3607421886533953</v>
      </c>
      <c r="H141" s="18">
        <f t="shared" si="27"/>
        <v>0.43308904728440922</v>
      </c>
      <c r="I141" s="24">
        <v>132.91999999999999</v>
      </c>
      <c r="J141" s="24">
        <v>426.9</v>
      </c>
      <c r="K141" s="24">
        <v>182.32</v>
      </c>
      <c r="L141" s="24">
        <f t="shared" si="31"/>
        <v>260.36558755617494</v>
      </c>
      <c r="N141" s="2">
        <v>45505</v>
      </c>
      <c r="O141" s="19">
        <v>112271</v>
      </c>
      <c r="P141" s="19">
        <v>1011066</v>
      </c>
      <c r="Q141" s="19">
        <f t="shared" si="28"/>
        <v>1123337</v>
      </c>
      <c r="R141" s="18">
        <f t="shared" si="29"/>
        <v>9.9944184158449328E-2</v>
      </c>
      <c r="S141" s="18">
        <f t="shared" si="30"/>
        <v>0.9000558158415507</v>
      </c>
      <c r="T141" s="24">
        <v>11.45</v>
      </c>
      <c r="U141" s="24">
        <v>9.27</v>
      </c>
      <c r="V141" s="24">
        <f t="shared" si="32"/>
        <v>9.4878783214654181</v>
      </c>
    </row>
    <row r="142" spans="1:22" x14ac:dyDescent="0.25">
      <c r="A142" s="2">
        <v>45536</v>
      </c>
      <c r="B142" s="19">
        <v>36670</v>
      </c>
      <c r="C142" s="19">
        <v>62238</v>
      </c>
      <c r="D142" s="19">
        <v>71654</v>
      </c>
      <c r="E142" s="19">
        <f t="shared" si="24"/>
        <v>170562</v>
      </c>
      <c r="F142" s="18">
        <f t="shared" si="25"/>
        <v>0.21499513373436052</v>
      </c>
      <c r="G142" s="18">
        <f t="shared" si="26"/>
        <v>0.36489956731276602</v>
      </c>
      <c r="H142" s="18">
        <f t="shared" si="27"/>
        <v>0.42010529895287346</v>
      </c>
      <c r="I142" s="24">
        <v>136.29</v>
      </c>
      <c r="J142" s="24">
        <v>438.42</v>
      </c>
      <c r="K142" s="24">
        <v>185.77</v>
      </c>
      <c r="L142" s="24">
        <f t="shared" si="31"/>
        <v>267.32391646439419</v>
      </c>
      <c r="N142" s="2">
        <v>45536</v>
      </c>
      <c r="O142" s="19">
        <v>113819</v>
      </c>
      <c r="P142" s="19">
        <v>1022010</v>
      </c>
      <c r="Q142" s="19">
        <f t="shared" si="28"/>
        <v>1135829</v>
      </c>
      <c r="R142" s="18">
        <f t="shared" si="29"/>
        <v>0.10020786579670003</v>
      </c>
      <c r="S142" s="18">
        <f t="shared" si="30"/>
        <v>0.89979213420329995</v>
      </c>
      <c r="T142" s="24">
        <v>11.41</v>
      </c>
      <c r="U142" s="24">
        <v>9.2799999999999994</v>
      </c>
      <c r="V142" s="24">
        <f t="shared" si="32"/>
        <v>9.4934427541469706</v>
      </c>
    </row>
    <row r="143" spans="1:22" x14ac:dyDescent="0.25">
      <c r="A143" s="2">
        <v>45566</v>
      </c>
      <c r="B143" s="19">
        <v>36838</v>
      </c>
      <c r="C143" s="19">
        <v>60552</v>
      </c>
      <c r="D143" s="19">
        <v>72073</v>
      </c>
      <c r="E143" s="19">
        <f t="shared" si="24"/>
        <v>169463</v>
      </c>
      <c r="F143" s="18">
        <f t="shared" si="25"/>
        <v>0.21738078518614684</v>
      </c>
      <c r="G143" s="18">
        <f t="shared" si="26"/>
        <v>0.35731693644040291</v>
      </c>
      <c r="H143" s="18">
        <f t="shared" si="27"/>
        <v>0.42530227837345025</v>
      </c>
      <c r="I143" s="24">
        <v>135.46</v>
      </c>
      <c r="J143" s="24">
        <v>438.92</v>
      </c>
      <c r="K143" s="24">
        <v>179.96</v>
      </c>
      <c r="L143" s="24">
        <f t="shared" si="31"/>
        <v>262.81734891982319</v>
      </c>
      <c r="N143" s="2">
        <v>45566</v>
      </c>
      <c r="O143" s="19">
        <v>115736</v>
      </c>
      <c r="P143" s="19">
        <v>1031391</v>
      </c>
      <c r="Q143" s="19">
        <f t="shared" si="28"/>
        <v>1147127</v>
      </c>
      <c r="R143" s="18">
        <f t="shared" si="29"/>
        <v>0.10089205467223769</v>
      </c>
      <c r="S143" s="18">
        <f t="shared" si="30"/>
        <v>0.89910794532776228</v>
      </c>
      <c r="T143" s="24">
        <v>11.61</v>
      </c>
      <c r="U143" s="24">
        <v>9.5</v>
      </c>
      <c r="V143" s="24">
        <f t="shared" si="32"/>
        <v>9.7128822353584212</v>
      </c>
    </row>
    <row r="144" spans="1:22" x14ac:dyDescent="0.25">
      <c r="A144" s="2">
        <v>45597</v>
      </c>
      <c r="B144" s="19">
        <v>36131</v>
      </c>
      <c r="C144" s="19">
        <v>61227</v>
      </c>
      <c r="D144" s="19">
        <v>72480</v>
      </c>
      <c r="E144" s="19">
        <f t="shared" si="24"/>
        <v>169838</v>
      </c>
      <c r="F144" s="18">
        <f t="shared" si="25"/>
        <v>0.21273802093759936</v>
      </c>
      <c r="G144" s="18">
        <f t="shared" si="26"/>
        <v>0.36050236107349354</v>
      </c>
      <c r="H144" s="18">
        <f t="shared" si="27"/>
        <v>0.4267596179889071</v>
      </c>
      <c r="I144" s="24">
        <v>138.16</v>
      </c>
      <c r="J144" s="24">
        <v>445.9</v>
      </c>
      <c r="K144" s="24">
        <v>183.18</v>
      </c>
      <c r="L144" s="24">
        <f t="shared" si="31"/>
        <v>268.31371459861748</v>
      </c>
      <c r="N144" s="2">
        <v>45597</v>
      </c>
      <c r="O144" s="19">
        <v>117490</v>
      </c>
      <c r="P144" s="19">
        <v>1040180</v>
      </c>
      <c r="Q144" s="19">
        <f t="shared" si="28"/>
        <v>1157670</v>
      </c>
      <c r="R144" s="18">
        <f t="shared" si="29"/>
        <v>0.10148833432670795</v>
      </c>
      <c r="S144" s="18">
        <f t="shared" si="30"/>
        <v>0.89851166567329199</v>
      </c>
      <c r="T144" s="24">
        <v>11.61</v>
      </c>
      <c r="U144" s="24">
        <v>9.2899999999999991</v>
      </c>
      <c r="V144" s="24">
        <f t="shared" si="32"/>
        <v>9.5254529356379614</v>
      </c>
    </row>
    <row r="145" spans="1:22" x14ac:dyDescent="0.25">
      <c r="A145" s="2">
        <v>45627</v>
      </c>
      <c r="B145" s="19">
        <v>35124</v>
      </c>
      <c r="C145" s="19">
        <v>60743</v>
      </c>
      <c r="D145" s="19">
        <v>71942</v>
      </c>
      <c r="E145" s="19">
        <f t="shared" si="24"/>
        <v>167809</v>
      </c>
      <c r="F145" s="18">
        <f t="shared" si="25"/>
        <v>0.20930939341751634</v>
      </c>
      <c r="G145" s="18">
        <f t="shared" si="26"/>
        <v>0.36197700957636358</v>
      </c>
      <c r="H145" s="18">
        <f t="shared" si="27"/>
        <v>0.42871359700612005</v>
      </c>
      <c r="I145" s="24">
        <v>134.83000000000001</v>
      </c>
      <c r="J145" s="24">
        <v>451.6</v>
      </c>
      <c r="K145" s="24">
        <v>171.14</v>
      </c>
      <c r="L145" s="24">
        <f t="shared" si="31"/>
        <v>265.06004803079691</v>
      </c>
      <c r="N145" s="2">
        <v>45627</v>
      </c>
      <c r="O145" s="19">
        <v>119036</v>
      </c>
      <c r="P145" s="19">
        <v>1048159</v>
      </c>
      <c r="Q145" s="19">
        <f t="shared" si="28"/>
        <v>1167195</v>
      </c>
      <c r="R145" s="18">
        <f t="shared" si="29"/>
        <v>0.1019846726553832</v>
      </c>
      <c r="S145" s="18">
        <f t="shared" si="30"/>
        <v>0.89801532734461675</v>
      </c>
      <c r="T145" s="24">
        <v>12.09</v>
      </c>
      <c r="U145" s="24">
        <v>9.64</v>
      </c>
      <c r="V145" s="24">
        <f t="shared" si="32"/>
        <v>9.8898624480056885</v>
      </c>
    </row>
    <row r="146" spans="1:22" x14ac:dyDescent="0.25">
      <c r="A146" s="2">
        <v>45658</v>
      </c>
      <c r="B146" s="19">
        <v>38325</v>
      </c>
      <c r="C146" s="19">
        <v>64588</v>
      </c>
      <c r="D146" s="19">
        <v>74312</v>
      </c>
      <c r="E146" s="19">
        <f t="shared" si="24"/>
        <v>177225</v>
      </c>
      <c r="F146" s="18">
        <f t="shared" si="25"/>
        <v>0.21625052898857386</v>
      </c>
      <c r="G146" s="18">
        <f t="shared" si="26"/>
        <v>0.3644406827479193</v>
      </c>
      <c r="H146" s="18">
        <f t="shared" si="27"/>
        <v>0.41930878826350682</v>
      </c>
      <c r="I146" s="24">
        <v>135.54</v>
      </c>
      <c r="J146" s="24">
        <v>450.74</v>
      </c>
      <c r="K146" s="24">
        <v>176.16</v>
      </c>
      <c r="L146" s="24">
        <f t="shared" si="31"/>
        <v>267.44402618140782</v>
      </c>
      <c r="N146" s="2">
        <v>45658</v>
      </c>
      <c r="O146" s="19">
        <v>120803</v>
      </c>
      <c r="P146" s="19">
        <v>1056079</v>
      </c>
      <c r="Q146" s="19">
        <f t="shared" si="28"/>
        <v>1176882</v>
      </c>
      <c r="R146" s="18">
        <f t="shared" si="29"/>
        <v>0.10264665446493361</v>
      </c>
      <c r="S146" s="18">
        <f t="shared" si="30"/>
        <v>0.8973533455350664</v>
      </c>
      <c r="T146" s="24">
        <v>13.22</v>
      </c>
      <c r="U146" s="24">
        <v>10.82</v>
      </c>
      <c r="V146" s="24">
        <f t="shared" si="32"/>
        <v>11.066351970715841</v>
      </c>
    </row>
    <row r="147" spans="1:22" x14ac:dyDescent="0.25">
      <c r="A147" s="2">
        <v>45689</v>
      </c>
      <c r="B147" s="19">
        <v>38691</v>
      </c>
      <c r="C147" s="19">
        <v>66545</v>
      </c>
      <c r="D147" s="19">
        <v>76241</v>
      </c>
      <c r="E147" s="19">
        <f t="shared" si="24"/>
        <v>181477</v>
      </c>
      <c r="F147" s="18">
        <f t="shared" si="25"/>
        <v>0.21320057087123989</v>
      </c>
      <c r="G147" s="18">
        <f t="shared" si="26"/>
        <v>0.36668558550119301</v>
      </c>
      <c r="H147" s="18">
        <f t="shared" si="27"/>
        <v>0.42011384362756715</v>
      </c>
      <c r="I147" s="24">
        <v>142.18</v>
      </c>
      <c r="J147" s="24">
        <v>455.66</v>
      </c>
      <c r="K147" s="24">
        <v>186.27</v>
      </c>
      <c r="L147" s="24">
        <f t="shared" si="31"/>
        <v>275.65141670845344</v>
      </c>
      <c r="N147" s="2">
        <v>45689</v>
      </c>
      <c r="O147" s="19">
        <v>123556</v>
      </c>
      <c r="P147" s="19">
        <v>1064394</v>
      </c>
      <c r="Q147" s="19">
        <f t="shared" si="28"/>
        <v>1187950</v>
      </c>
      <c r="R147" s="18">
        <f t="shared" si="29"/>
        <v>0.10400774443368829</v>
      </c>
      <c r="S147" s="18">
        <f t="shared" si="30"/>
        <v>0.89599225556631168</v>
      </c>
      <c r="T147" s="24">
        <v>12.72</v>
      </c>
      <c r="U147" s="24">
        <v>9.7200000000000006</v>
      </c>
      <c r="V147" s="24">
        <f t="shared" si="32"/>
        <v>10.032023233301064</v>
      </c>
    </row>
    <row r="148" spans="1:22" x14ac:dyDescent="0.25">
      <c r="A148" s="2">
        <v>45717</v>
      </c>
      <c r="B148" s="19">
        <v>40065</v>
      </c>
      <c r="C148" s="19">
        <v>71011</v>
      </c>
      <c r="D148" s="19">
        <v>77916</v>
      </c>
      <c r="E148" s="19">
        <f t="shared" si="24"/>
        <v>188992</v>
      </c>
      <c r="F148" s="18">
        <f t="shared" si="25"/>
        <v>0.21199310023704707</v>
      </c>
      <c r="G148" s="18">
        <f t="shared" si="26"/>
        <v>0.37573548086691499</v>
      </c>
      <c r="H148" s="18">
        <f t="shared" si="27"/>
        <v>0.41227141889603791</v>
      </c>
      <c r="I148" s="24">
        <v>132.21</v>
      </c>
      <c r="J148" s="24">
        <v>457.48</v>
      </c>
      <c r="K148" s="24">
        <v>187.6</v>
      </c>
      <c r="L148" s="24">
        <f t="shared" si="31"/>
        <v>277.26119375423298</v>
      </c>
      <c r="N148" s="2">
        <v>45717</v>
      </c>
      <c r="O148" s="19">
        <v>127162</v>
      </c>
      <c r="P148" s="19">
        <v>1072503</v>
      </c>
      <c r="Q148" s="19">
        <f t="shared" si="28"/>
        <v>1199665</v>
      </c>
      <c r="R148" s="18">
        <f t="shared" si="29"/>
        <v>0.10599792442056741</v>
      </c>
      <c r="S148" s="18">
        <f t="shared" si="30"/>
        <v>0.89400207557943256</v>
      </c>
      <c r="T148" s="24">
        <v>14.13</v>
      </c>
      <c r="U148" s="24">
        <v>10.59</v>
      </c>
      <c r="V148" s="24">
        <f t="shared" si="32"/>
        <v>10.965232652448808</v>
      </c>
    </row>
    <row r="149" spans="1:22" x14ac:dyDescent="0.25">
      <c r="A149" s="2">
        <v>45748</v>
      </c>
      <c r="B149" s="19">
        <v>40942</v>
      </c>
      <c r="C149" s="19">
        <v>74566</v>
      </c>
      <c r="D149" s="19">
        <v>78996</v>
      </c>
      <c r="E149" s="19">
        <f t="shared" si="24"/>
        <v>194504</v>
      </c>
      <c r="F149" s="18">
        <f t="shared" si="25"/>
        <v>0.21049438571957388</v>
      </c>
      <c r="G149" s="18">
        <f t="shared" si="26"/>
        <v>0.38336486653230784</v>
      </c>
      <c r="H149" s="18">
        <f t="shared" si="27"/>
        <v>0.40614074774811831</v>
      </c>
      <c r="I149" s="24">
        <v>137.36000000000001</v>
      </c>
      <c r="J149" s="24">
        <v>456.94</v>
      </c>
      <c r="K149" s="24">
        <v>184.54</v>
      </c>
      <c r="L149" s="24">
        <f t="shared" si="31"/>
        <v>279.03746452515117</v>
      </c>
      <c r="N149" s="2">
        <v>45748</v>
      </c>
      <c r="O149" s="19">
        <v>130351</v>
      </c>
      <c r="P149" s="19">
        <v>1081049</v>
      </c>
      <c r="Q149" s="19">
        <f t="shared" si="28"/>
        <v>1211400</v>
      </c>
      <c r="R149" s="18">
        <f t="shared" si="29"/>
        <v>0.10760359914148919</v>
      </c>
      <c r="S149" s="18">
        <f t="shared" si="30"/>
        <v>0.8923964008585108</v>
      </c>
      <c r="T149" s="24">
        <v>14.18</v>
      </c>
      <c r="U149" s="24">
        <v>10.24</v>
      </c>
      <c r="V149" s="24">
        <f t="shared" si="32"/>
        <v>10.663958180617467</v>
      </c>
    </row>
    <row r="150" spans="1:22" x14ac:dyDescent="0.25">
      <c r="A150" s="2">
        <v>45778</v>
      </c>
      <c r="B150" s="19">
        <v>40675</v>
      </c>
      <c r="C150" s="19">
        <v>75294</v>
      </c>
      <c r="D150" s="19">
        <v>80161</v>
      </c>
      <c r="E150" s="19">
        <f t="shared" si="24"/>
        <v>196130</v>
      </c>
      <c r="F150" s="18">
        <f t="shared" si="25"/>
        <v>0.2073879569673176</v>
      </c>
      <c r="G150" s="18">
        <f t="shared" si="26"/>
        <v>0.38389843471167084</v>
      </c>
      <c r="H150" s="18">
        <f t="shared" si="27"/>
        <v>0.40871360832101156</v>
      </c>
      <c r="I150" s="24">
        <v>134.9</v>
      </c>
      <c r="J150" s="24">
        <v>459.84</v>
      </c>
      <c r="K150" s="24">
        <v>186.51</v>
      </c>
      <c r="L150" s="24">
        <f t="shared" si="31"/>
        <v>280.73766670065771</v>
      </c>
      <c r="N150" s="2">
        <v>45778</v>
      </c>
      <c r="O150" s="19">
        <v>133854</v>
      </c>
      <c r="P150" s="19">
        <v>1089626</v>
      </c>
      <c r="Q150" s="19">
        <f t="shared" si="28"/>
        <v>1223480</v>
      </c>
      <c r="R150" s="18">
        <f t="shared" si="29"/>
        <v>0.10940432209762317</v>
      </c>
      <c r="S150" s="18">
        <f t="shared" si="30"/>
        <v>0.89059567790237681</v>
      </c>
      <c r="T150" s="24">
        <v>14.63</v>
      </c>
      <c r="U150" s="24">
        <v>10.32</v>
      </c>
      <c r="V150" s="24">
        <f t="shared" si="32"/>
        <v>10.791532628240756</v>
      </c>
    </row>
    <row r="151" spans="1:22" x14ac:dyDescent="0.25">
      <c r="A151" s="2">
        <v>45809</v>
      </c>
      <c r="B151" s="19">
        <v>41226</v>
      </c>
      <c r="C151" s="19">
        <v>77171</v>
      </c>
      <c r="D151" s="19">
        <v>79063</v>
      </c>
      <c r="E151" s="19">
        <f t="shared" si="24"/>
        <v>197460</v>
      </c>
      <c r="F151" s="18">
        <f t="shared" si="25"/>
        <v>0.2087815253722273</v>
      </c>
      <c r="G151" s="18">
        <f t="shared" si="26"/>
        <v>0.39081839359870352</v>
      </c>
      <c r="H151" s="18">
        <f t="shared" si="27"/>
        <v>0.40040008102906915</v>
      </c>
      <c r="I151" s="24">
        <v>135.74</v>
      </c>
      <c r="J151" s="24">
        <v>454.19</v>
      </c>
      <c r="K151" s="24">
        <v>189.04</v>
      </c>
      <c r="L151" s="24">
        <f t="shared" si="31"/>
        <v>281.5374417603565</v>
      </c>
      <c r="N151" s="2">
        <v>45809</v>
      </c>
      <c r="O151" s="19">
        <v>135560</v>
      </c>
      <c r="P151" s="19">
        <v>1098078</v>
      </c>
      <c r="Q151" s="19">
        <f t="shared" si="28"/>
        <v>1233638</v>
      </c>
      <c r="R151" s="18">
        <f t="shared" si="29"/>
        <v>0.10988636861056485</v>
      </c>
      <c r="S151" s="18">
        <f t="shared" si="30"/>
        <v>0.89011363138943511</v>
      </c>
      <c r="T151" s="24">
        <v>14.73</v>
      </c>
      <c r="U151" s="24">
        <v>10</v>
      </c>
      <c r="V151" s="24">
        <f t="shared" si="32"/>
        <v>10.519762523527971</v>
      </c>
    </row>
    <row r="152" spans="1:22" x14ac:dyDescent="0.25">
      <c r="A152" s="2">
        <v>45839</v>
      </c>
      <c r="B152" s="19">
        <v>40878</v>
      </c>
      <c r="C152" s="19">
        <v>76810</v>
      </c>
      <c r="D152" s="19">
        <v>79195</v>
      </c>
      <c r="E152" s="19">
        <f t="shared" si="24"/>
        <v>196883</v>
      </c>
      <c r="F152" s="18">
        <f t="shared" si="25"/>
        <v>0.20762584885439575</v>
      </c>
      <c r="G152" s="18">
        <f t="shared" si="26"/>
        <v>0.39013017883717743</v>
      </c>
      <c r="H152" s="18">
        <f t="shared" si="27"/>
        <v>0.40224397230842684</v>
      </c>
      <c r="I152" s="24">
        <v>138.19</v>
      </c>
      <c r="J152" s="24">
        <v>452.67</v>
      </c>
      <c r="K152" s="24">
        <v>187.92</v>
      </c>
      <c r="L152" s="24">
        <f t="shared" si="31"/>
        <v>280.88173138361361</v>
      </c>
      <c r="N152" s="2">
        <v>45839</v>
      </c>
      <c r="O152" s="19">
        <v>138894</v>
      </c>
      <c r="P152" s="19">
        <v>1105714</v>
      </c>
      <c r="Q152" s="19">
        <f t="shared" si="28"/>
        <v>1244608</v>
      </c>
      <c r="R152" s="18">
        <f t="shared" si="29"/>
        <v>0.11159658302051731</v>
      </c>
      <c r="S152" s="18">
        <f t="shared" si="30"/>
        <v>0.88840341697948266</v>
      </c>
      <c r="T152" s="24">
        <v>14.88</v>
      </c>
      <c r="U152" s="24">
        <v>10.02</v>
      </c>
      <c r="V152" s="24">
        <f t="shared" si="32"/>
        <v>10.562359393479714</v>
      </c>
    </row>
    <row r="153" spans="1:22" x14ac:dyDescent="0.25">
      <c r="A153" s="2">
        <v>45870</v>
      </c>
      <c r="B153" s="19">
        <v>41160</v>
      </c>
      <c r="C153" s="19">
        <v>79462</v>
      </c>
      <c r="D153" s="19">
        <v>79861</v>
      </c>
      <c r="E153" s="19">
        <f t="shared" si="24"/>
        <v>200483</v>
      </c>
      <c r="F153" s="18">
        <f t="shared" si="25"/>
        <v>0.20530419038023173</v>
      </c>
      <c r="G153" s="18">
        <f t="shared" si="26"/>
        <v>0.39635280796875544</v>
      </c>
      <c r="H153" s="18">
        <f t="shared" si="27"/>
        <v>0.39834300165101283</v>
      </c>
      <c r="I153" s="24">
        <v>138.19</v>
      </c>
      <c r="J153" s="24">
        <v>453.64</v>
      </c>
      <c r="K153" s="24">
        <v>185.14</v>
      </c>
      <c r="L153" s="24">
        <f t="shared" si="31"/>
        <v>281.92169720125889</v>
      </c>
      <c r="N153" s="2">
        <v>45870</v>
      </c>
      <c r="O153" s="19">
        <v>142288</v>
      </c>
      <c r="P153" s="19">
        <v>1114484</v>
      </c>
      <c r="Q153" s="19">
        <f t="shared" si="28"/>
        <v>1256772</v>
      </c>
      <c r="R153" s="18">
        <f t="shared" si="29"/>
        <v>0.11321703538907614</v>
      </c>
      <c r="S153" s="18">
        <f t="shared" si="30"/>
        <v>0.88678296461092387</v>
      </c>
      <c r="T153" s="24">
        <v>14.87</v>
      </c>
      <c r="U153" s="24">
        <v>9.9600000000000009</v>
      </c>
      <c r="V153" s="24">
        <f t="shared" si="32"/>
        <v>10.515895643760365</v>
      </c>
    </row>
    <row r="154" spans="1:22" x14ac:dyDescent="0.25">
      <c r="A154" s="2">
        <v>45901</v>
      </c>
      <c r="B154" s="19">
        <v>42561</v>
      </c>
      <c r="C154" s="19">
        <v>80509</v>
      </c>
      <c r="D154" s="19">
        <v>81130</v>
      </c>
      <c r="E154" s="19">
        <f t="shared" si="24"/>
        <v>204200</v>
      </c>
      <c r="F154" s="18">
        <f t="shared" si="25"/>
        <v>0.20842801175318315</v>
      </c>
      <c r="G154" s="18">
        <f t="shared" si="26"/>
        <v>0.39426542605288933</v>
      </c>
      <c r="H154" s="18">
        <f t="shared" si="27"/>
        <v>0.39730656219392751</v>
      </c>
      <c r="I154" s="24">
        <v>140.72999999999999</v>
      </c>
      <c r="J154" s="24">
        <v>448.06</v>
      </c>
      <c r="K154" s="24">
        <v>182.93</v>
      </c>
      <c r="L154" s="24">
        <f t="shared" si="31"/>
        <v>278.66593031341824</v>
      </c>
      <c r="N154" s="2">
        <v>45901</v>
      </c>
      <c r="O154" s="19">
        <v>146169</v>
      </c>
      <c r="P154" s="19">
        <v>1123385</v>
      </c>
      <c r="Q154" s="19">
        <f t="shared" si="28"/>
        <v>1269554</v>
      </c>
      <c r="R154" s="18">
        <f t="shared" si="29"/>
        <v>0.11513413371940068</v>
      </c>
      <c r="S154" s="18">
        <f t="shared" si="30"/>
        <v>0.88486586628059938</v>
      </c>
      <c r="T154" s="24">
        <v>14.88</v>
      </c>
      <c r="U154" s="24">
        <v>9.82</v>
      </c>
      <c r="V154" s="24">
        <f t="shared" si="32"/>
        <v>10.402578716620168</v>
      </c>
    </row>
    <row r="155" spans="1:22" x14ac:dyDescent="0.25">
      <c r="A155" s="2">
        <v>45931</v>
      </c>
      <c r="B155" s="19">
        <v>42949</v>
      </c>
      <c r="C155" s="19">
        <v>82906</v>
      </c>
      <c r="D155" s="19">
        <v>84795</v>
      </c>
      <c r="E155" s="19">
        <f t="shared" si="24"/>
        <v>210650</v>
      </c>
      <c r="F155" s="18">
        <f t="shared" si="25"/>
        <v>0.2038879658200807</v>
      </c>
      <c r="G155" s="18">
        <f t="shared" si="26"/>
        <v>0.39357227628768099</v>
      </c>
      <c r="H155" s="18">
        <f t="shared" si="27"/>
        <v>0.40253975789223834</v>
      </c>
      <c r="I155" s="24">
        <v>139.11000000000001</v>
      </c>
      <c r="J155" s="24">
        <v>447.09</v>
      </c>
      <c r="K155" s="24">
        <v>187.4</v>
      </c>
      <c r="L155" s="24">
        <f t="shared" si="31"/>
        <v>279.76103455969616</v>
      </c>
      <c r="N155" s="2">
        <v>45931</v>
      </c>
      <c r="O155" s="19">
        <v>150129</v>
      </c>
      <c r="P155" s="19">
        <v>1134042</v>
      </c>
      <c r="Q155" s="19">
        <f t="shared" si="28"/>
        <v>1284171</v>
      </c>
      <c r="R155" s="18">
        <f t="shared" si="29"/>
        <v>0.11690732776242416</v>
      </c>
      <c r="S155" s="18">
        <f t="shared" si="30"/>
        <v>0.88309267223757582</v>
      </c>
      <c r="T155" s="24">
        <v>14.85</v>
      </c>
      <c r="U155" s="24">
        <v>9.86</v>
      </c>
      <c r="V155" s="24">
        <f t="shared" si="32"/>
        <v>10.443367565534496</v>
      </c>
    </row>
    <row r="156" spans="1:22" x14ac:dyDescent="0.25">
      <c r="A156" s="2">
        <v>45962</v>
      </c>
      <c r="B156" s="19">
        <v>42308</v>
      </c>
      <c r="C156" s="19">
        <v>83567</v>
      </c>
      <c r="D156" s="19">
        <v>85715</v>
      </c>
      <c r="E156" s="19">
        <f t="shared" si="24"/>
        <v>211590</v>
      </c>
      <c r="F156" s="18">
        <f t="shared" si="25"/>
        <v>0.19995273878727729</v>
      </c>
      <c r="G156" s="18">
        <f t="shared" si="26"/>
        <v>0.39494777635994138</v>
      </c>
      <c r="H156" s="18">
        <f t="shared" si="27"/>
        <v>0.4050994848527813</v>
      </c>
      <c r="I156" s="24">
        <v>140.58000000000001</v>
      </c>
      <c r="J156" s="24">
        <v>448.37</v>
      </c>
      <c r="K156" s="24">
        <v>190.63</v>
      </c>
      <c r="L156" s="24">
        <f t="shared" si="31"/>
        <v>282.41620530270808</v>
      </c>
      <c r="N156" s="2">
        <v>45962</v>
      </c>
      <c r="O156" s="19">
        <v>153653</v>
      </c>
      <c r="P156" s="19">
        <v>1144062</v>
      </c>
      <c r="Q156" s="19">
        <f t="shared" si="28"/>
        <v>1297715</v>
      </c>
      <c r="R156" s="18">
        <f t="shared" si="29"/>
        <v>0.11840273095402304</v>
      </c>
      <c r="S156" s="18">
        <f t="shared" si="30"/>
        <v>0.88159726904597702</v>
      </c>
      <c r="T156" s="24">
        <v>14.74</v>
      </c>
      <c r="U156" s="24">
        <v>9.7899999999999991</v>
      </c>
      <c r="V156" s="24">
        <f t="shared" si="32"/>
        <v>10.376093518222413</v>
      </c>
    </row>
    <row r="157" spans="1:22" x14ac:dyDescent="0.25">
      <c r="A157" s="2">
        <v>45992</v>
      </c>
      <c r="B157" s="19">
        <v>40651</v>
      </c>
      <c r="C157" s="19">
        <v>81523</v>
      </c>
      <c r="D157" s="19">
        <v>86806</v>
      </c>
      <c r="E157" s="19">
        <f t="shared" si="24"/>
        <v>208980</v>
      </c>
      <c r="F157" s="18">
        <f t="shared" si="25"/>
        <v>0.19452100679490861</v>
      </c>
      <c r="G157" s="18">
        <f t="shared" si="26"/>
        <v>0.39009953105560341</v>
      </c>
      <c r="H157" s="18">
        <f t="shared" si="27"/>
        <v>0.41537946214948801</v>
      </c>
      <c r="I157" s="24">
        <v>138.88999999999999</v>
      </c>
      <c r="J157" s="24">
        <v>442.41</v>
      </c>
      <c r="K157" s="24">
        <v>192.45</v>
      </c>
      <c r="L157" s="24">
        <f t="shared" si="31"/>
        <v>279.54073365872335</v>
      </c>
      <c r="N157" s="2">
        <v>45992</v>
      </c>
      <c r="O157" s="19">
        <v>155867</v>
      </c>
      <c r="P157" s="19">
        <v>1155481</v>
      </c>
      <c r="Q157" s="19">
        <f t="shared" si="28"/>
        <v>1311348</v>
      </c>
      <c r="R157" s="18">
        <f t="shared" si="29"/>
        <v>0.11886013476209213</v>
      </c>
      <c r="S157" s="18">
        <f t="shared" si="30"/>
        <v>0.88113986523790788</v>
      </c>
      <c r="T157" s="24">
        <v>14.7</v>
      </c>
      <c r="U157" s="24">
        <v>10.28</v>
      </c>
      <c r="V157" s="24">
        <f t="shared" si="32"/>
        <v>10.805361795648446</v>
      </c>
    </row>
    <row r="158" spans="1:22" x14ac:dyDescent="0.25">
      <c r="A158" s="2">
        <v>46023</v>
      </c>
      <c r="B158" s="19">
        <v>44136</v>
      </c>
      <c r="C158" s="19">
        <v>84836</v>
      </c>
      <c r="D158" s="19">
        <v>88920</v>
      </c>
      <c r="E158" s="19">
        <f t="shared" si="24"/>
        <v>217892</v>
      </c>
      <c r="F158" s="18">
        <f t="shared" si="25"/>
        <v>0.20255906595928258</v>
      </c>
      <c r="G158" s="18">
        <f t="shared" si="26"/>
        <v>0.38934885172470768</v>
      </c>
      <c r="H158" s="18">
        <f t="shared" si="27"/>
        <v>0.40809208231600974</v>
      </c>
      <c r="I158" s="24">
        <v>137.44</v>
      </c>
      <c r="J158" s="24">
        <v>429.42</v>
      </c>
      <c r="K158" s="24">
        <v>194.87</v>
      </c>
      <c r="L158" s="24">
        <f t="shared" si="31"/>
        <v>274.5588060139886</v>
      </c>
      <c r="N158" s="2">
        <v>46023</v>
      </c>
      <c r="O158" s="19">
        <v>157663</v>
      </c>
      <c r="P158" s="19">
        <v>1164146</v>
      </c>
      <c r="Q158" s="19">
        <f t="shared" si="28"/>
        <v>1321809</v>
      </c>
      <c r="R158" s="18">
        <f t="shared" si="29"/>
        <v>0.11927820131350293</v>
      </c>
      <c r="S158" s="18">
        <f t="shared" si="30"/>
        <v>0.88072179868649703</v>
      </c>
      <c r="T158" s="24">
        <v>14.6</v>
      </c>
      <c r="U158" s="24">
        <v>10.51</v>
      </c>
      <c r="V158" s="24">
        <f t="shared" si="32"/>
        <v>10.997847843372227</v>
      </c>
    </row>
    <row r="159" spans="1:22" x14ac:dyDescent="0.25">
      <c r="A159" s="2">
        <v>46054</v>
      </c>
      <c r="B159" s="19">
        <v>44555</v>
      </c>
      <c r="C159" s="19">
        <v>88489</v>
      </c>
      <c r="D159" s="19">
        <v>91800</v>
      </c>
      <c r="E159" s="19">
        <f t="shared" si="24"/>
        <v>224844</v>
      </c>
      <c r="F159" s="18">
        <f t="shared" si="25"/>
        <v>0.1981596128871573</v>
      </c>
      <c r="G159" s="18">
        <f t="shared" si="26"/>
        <v>0.39355731084663143</v>
      </c>
      <c r="H159" s="18">
        <f t="shared" si="27"/>
        <v>0.40828307626621124</v>
      </c>
      <c r="I159" s="24">
        <v>146.30000000000001</v>
      </c>
      <c r="J159" s="24">
        <v>442.26</v>
      </c>
      <c r="K159" s="24">
        <v>196.5</v>
      </c>
      <c r="L159" s="24">
        <f t="shared" si="31"/>
        <v>283.27303214673282</v>
      </c>
      <c r="N159" s="2">
        <v>46054</v>
      </c>
      <c r="O159" s="19">
        <v>159409</v>
      </c>
      <c r="P159" s="19">
        <v>1173461</v>
      </c>
      <c r="Q159" s="19">
        <f t="shared" si="28"/>
        <v>1332870</v>
      </c>
      <c r="R159" s="18">
        <f t="shared" si="29"/>
        <v>0.11959831041286847</v>
      </c>
      <c r="S159" s="18">
        <f t="shared" si="30"/>
        <v>0.8804016895871315</v>
      </c>
      <c r="T159" s="24">
        <v>14.09</v>
      </c>
      <c r="U159" s="24">
        <v>10.24</v>
      </c>
      <c r="V159" s="24">
        <f t="shared" si="32"/>
        <v>10.700453495089544</v>
      </c>
    </row>
    <row r="160" spans="1:22" x14ac:dyDescent="0.25">
      <c r="A160" s="2">
        <v>46082</v>
      </c>
      <c r="B160" s="19">
        <v>45377</v>
      </c>
      <c r="C160" s="19">
        <v>87107</v>
      </c>
      <c r="D160" s="19">
        <v>93519</v>
      </c>
      <c r="E160" s="19">
        <f t="shared" si="24"/>
        <v>226003</v>
      </c>
      <c r="F160" s="18">
        <f t="shared" si="25"/>
        <v>0.20078052061255824</v>
      </c>
      <c r="G160" s="18">
        <f t="shared" si="26"/>
        <v>0.38542408729087668</v>
      </c>
      <c r="H160" s="18">
        <f t="shared" si="27"/>
        <v>0.41379539209656507</v>
      </c>
      <c r="I160" s="24">
        <v>138.9</v>
      </c>
      <c r="J160" s="24">
        <v>433.06</v>
      </c>
      <c r="K160" s="24">
        <v>192.07</v>
      </c>
      <c r="L160" s="24">
        <f t="shared" si="31"/>
        <v>274.27785051525865</v>
      </c>
      <c r="N160" s="2">
        <v>46082</v>
      </c>
      <c r="O160" s="19">
        <v>161362</v>
      </c>
      <c r="P160" s="19">
        <v>1187663</v>
      </c>
      <c r="Q160" s="19">
        <f t="shared" si="28"/>
        <v>1349025</v>
      </c>
      <c r="R160" s="18">
        <f t="shared" si="29"/>
        <v>0.11961379514834788</v>
      </c>
      <c r="S160" s="18">
        <f t="shared" si="30"/>
        <v>0.88038620485165209</v>
      </c>
      <c r="T160" s="24">
        <v>14.32</v>
      </c>
      <c r="U160" s="24">
        <v>11.21</v>
      </c>
      <c r="V160" s="24">
        <f t="shared" si="32"/>
        <v>11.581998902911362</v>
      </c>
    </row>
    <row r="161" spans="1:22" x14ac:dyDescent="0.25">
      <c r="A161" s="2">
        <v>46113</v>
      </c>
      <c r="B161" s="19">
        <v>44952</v>
      </c>
      <c r="C161" s="19">
        <v>90035</v>
      </c>
      <c r="D161" s="19">
        <v>94992</v>
      </c>
      <c r="E161" s="19">
        <f t="shared" si="24"/>
        <v>229979</v>
      </c>
      <c r="F161" s="18">
        <f t="shared" si="25"/>
        <v>0.19546132472964922</v>
      </c>
      <c r="G161" s="18">
        <f t="shared" si="26"/>
        <v>0.39149226668521908</v>
      </c>
      <c r="H161" s="18">
        <f t="shared" si="27"/>
        <v>0.4130464085851317</v>
      </c>
      <c r="I161" s="24">
        <v>140.93</v>
      </c>
      <c r="J161" s="24">
        <v>431.97</v>
      </c>
      <c r="K161" s="24">
        <v>188.06</v>
      </c>
      <c r="L161" s="24">
        <f t="shared" si="31"/>
        <v>274.33678653268339</v>
      </c>
      <c r="N161" s="2">
        <v>46113</v>
      </c>
      <c r="O161" s="19">
        <v>162845</v>
      </c>
      <c r="P161" s="19">
        <v>1199343</v>
      </c>
      <c r="Q161" s="19">
        <f t="shared" si="28"/>
        <v>1362188</v>
      </c>
      <c r="R161" s="18">
        <f t="shared" si="29"/>
        <v>0.11954664113910855</v>
      </c>
      <c r="S161" s="18">
        <f t="shared" si="30"/>
        <v>0.88045335886089149</v>
      </c>
      <c r="T161" s="24">
        <v>14.26</v>
      </c>
      <c r="U161" s="24">
        <v>10.72</v>
      </c>
      <c r="V161" s="24">
        <f t="shared" si="32"/>
        <v>11.143195109632446</v>
      </c>
    </row>
    <row r="162" spans="1:22" x14ac:dyDescent="0.25">
      <c r="A162" s="2">
        <v>46143</v>
      </c>
      <c r="B162" s="19">
        <v>43816</v>
      </c>
      <c r="C162" s="19">
        <v>90436</v>
      </c>
      <c r="D162" s="19">
        <v>94419</v>
      </c>
      <c r="E162" s="19">
        <f t="shared" si="24"/>
        <v>228671</v>
      </c>
      <c r="F162" s="18">
        <f t="shared" si="25"/>
        <v>0.19161152922758024</v>
      </c>
      <c r="G162" s="18">
        <f t="shared" si="26"/>
        <v>0.39548521675245224</v>
      </c>
      <c r="H162" s="18">
        <f t="shared" si="27"/>
        <v>0.41290325401996752</v>
      </c>
      <c r="I162" s="24">
        <v>137.25</v>
      </c>
      <c r="J162" s="24">
        <v>440.38</v>
      </c>
      <c r="K162" s="24">
        <v>189.55</v>
      </c>
      <c r="L162" s="24">
        <f t="shared" ref="L162:L165" si="33">F162*I162+G162*J162+H162*K162</f>
        <v>278.72827393941515</v>
      </c>
      <c r="N162" s="2">
        <v>46143</v>
      </c>
      <c r="O162" s="19">
        <v>164305</v>
      </c>
      <c r="P162" s="19">
        <v>1213795</v>
      </c>
      <c r="Q162" s="19">
        <f t="shared" si="28"/>
        <v>1378100</v>
      </c>
      <c r="R162" s="18">
        <f t="shared" si="29"/>
        <v>0.11922574559175676</v>
      </c>
      <c r="S162" s="18">
        <f t="shared" si="30"/>
        <v>0.8807742544082432</v>
      </c>
      <c r="T162" s="24">
        <v>14.33</v>
      </c>
      <c r="U162" s="24">
        <v>10.83</v>
      </c>
      <c r="V162" s="24">
        <f t="shared" ref="V162:V165" si="34">R162*T162+S162*U162</f>
        <v>11.24729010957115</v>
      </c>
    </row>
    <row r="163" spans="1:22" x14ac:dyDescent="0.25">
      <c r="A163" s="2">
        <v>46174</v>
      </c>
      <c r="B163" s="19">
        <v>44842</v>
      </c>
      <c r="C163" s="19">
        <v>90505</v>
      </c>
      <c r="D163" s="19">
        <v>90997</v>
      </c>
      <c r="E163" s="19">
        <f t="shared" si="24"/>
        <v>226344</v>
      </c>
      <c r="F163" s="18">
        <f t="shared" si="25"/>
        <v>0.19811437458028489</v>
      </c>
      <c r="G163" s="18">
        <f t="shared" si="26"/>
        <v>0.39985597144169938</v>
      </c>
      <c r="H163" s="18">
        <f t="shared" si="27"/>
        <v>0.40202965397801577</v>
      </c>
      <c r="I163" s="24">
        <v>139.9</v>
      </c>
      <c r="J163" s="24">
        <v>442.44</v>
      </c>
      <c r="K163" s="24">
        <v>191.42</v>
      </c>
      <c r="L163" s="24">
        <f t="shared" si="33"/>
        <v>281.58499337291909</v>
      </c>
      <c r="N163" s="2">
        <v>46174</v>
      </c>
      <c r="O163" s="19">
        <v>165850</v>
      </c>
      <c r="P163" s="19">
        <v>1229517</v>
      </c>
      <c r="Q163" s="19">
        <f t="shared" si="28"/>
        <v>1395367</v>
      </c>
      <c r="R163" s="18">
        <f t="shared" si="29"/>
        <v>0.11885761953665236</v>
      </c>
      <c r="S163" s="18">
        <f t="shared" si="30"/>
        <v>0.88114238046334759</v>
      </c>
      <c r="T163" s="24">
        <v>14.31</v>
      </c>
      <c r="U163" s="24">
        <v>10.82</v>
      </c>
      <c r="V163" s="24">
        <f t="shared" si="34"/>
        <v>11.234813092182916</v>
      </c>
    </row>
    <row r="164" spans="1:22" x14ac:dyDescent="0.25">
      <c r="A164" s="2">
        <v>46204</v>
      </c>
      <c r="B164" s="19">
        <v>44929</v>
      </c>
      <c r="C164" s="19">
        <v>92761</v>
      </c>
      <c r="D164" s="19">
        <v>88321</v>
      </c>
      <c r="E164" s="19">
        <f t="shared" si="24"/>
        <v>226011</v>
      </c>
      <c r="F164" s="18">
        <f t="shared" si="25"/>
        <v>0.19879120927742455</v>
      </c>
      <c r="G164" s="18">
        <f t="shared" si="26"/>
        <v>0.41042692612306481</v>
      </c>
      <c r="H164" s="18">
        <f t="shared" si="27"/>
        <v>0.39078186459951064</v>
      </c>
      <c r="I164" s="24">
        <v>137.30000000000001</v>
      </c>
      <c r="J164" s="24">
        <v>436.15</v>
      </c>
      <c r="K164" s="24">
        <v>189.28</v>
      </c>
      <c r="L164" s="24">
        <f t="shared" si="33"/>
        <v>280.26892819376047</v>
      </c>
      <c r="N164" s="2">
        <v>46204</v>
      </c>
      <c r="O164" s="19">
        <v>167767</v>
      </c>
      <c r="P164" s="19">
        <v>1246881</v>
      </c>
      <c r="Q164" s="19">
        <f t="shared" si="28"/>
        <v>1414648</v>
      </c>
      <c r="R164" s="18">
        <f t="shared" si="29"/>
        <v>0.11859275240201096</v>
      </c>
      <c r="S164" s="18">
        <f t="shared" si="30"/>
        <v>0.88140724759798905</v>
      </c>
      <c r="T164" s="24">
        <v>14.28</v>
      </c>
      <c r="U164" s="24">
        <v>10.92</v>
      </c>
      <c r="V164" s="24">
        <f t="shared" si="34"/>
        <v>11.318471648070757</v>
      </c>
    </row>
    <row r="165" spans="1:22" x14ac:dyDescent="0.25">
      <c r="A165" t="s">
        <v>13</v>
      </c>
      <c r="B165" t="s">
        <v>45</v>
      </c>
      <c r="C165" t="s">
        <v>45</v>
      </c>
      <c r="D165" t="s">
        <v>45</v>
      </c>
      <c r="E165" s="19">
        <f t="shared" si="24"/>
        <v>0</v>
      </c>
      <c r="F165" s="18" t="e">
        <f t="shared" si="25"/>
        <v>#VALUE!</v>
      </c>
      <c r="G165" s="18" t="e">
        <f t="shared" si="26"/>
        <v>#VALUE!</v>
      </c>
      <c r="H165" s="18" t="e">
        <f t="shared" si="27"/>
        <v>#VALUE!</v>
      </c>
      <c r="I165" s="24" t="s">
        <v>45</v>
      </c>
      <c r="J165" s="24" t="s">
        <v>45</v>
      </c>
      <c r="K165" s="24" t="s">
        <v>45</v>
      </c>
      <c r="L165" s="24" t="e">
        <f t="shared" si="33"/>
        <v>#VALUE!</v>
      </c>
      <c r="N165" t="s">
        <v>13</v>
      </c>
      <c r="O165" t="s">
        <v>45</v>
      </c>
      <c r="P165" t="s">
        <v>45</v>
      </c>
      <c r="Q165" s="19">
        <f t="shared" si="28"/>
        <v>0</v>
      </c>
      <c r="R165" s="18" t="e">
        <f t="shared" si="29"/>
        <v>#VALUE!</v>
      </c>
      <c r="S165" s="18" t="e">
        <f t="shared" si="30"/>
        <v>#VALUE!</v>
      </c>
      <c r="T165" s="24" t="s">
        <v>45</v>
      </c>
      <c r="U165" s="24" t="s">
        <v>45</v>
      </c>
      <c r="V165" s="24" t="e">
        <f t="shared" si="34"/>
        <v>#VALUE!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CCA90-C5BA-4E9F-B5B0-9F3B90BBE03F}">
  <sheetPr>
    <tabColor theme="5"/>
  </sheetPr>
  <dimension ref="A1:P164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7" sqref="G7"/>
    </sheetView>
  </sheetViews>
  <sheetFormatPr defaultRowHeight="15" x14ac:dyDescent="0.25"/>
  <cols>
    <col min="1" max="1" width="10.42578125" bestFit="1" customWidth="1"/>
    <col min="2" max="4" width="16.140625" customWidth="1"/>
    <col min="14" max="14" width="15.42578125" bestFit="1" customWidth="1"/>
  </cols>
  <sheetData>
    <row r="1" spans="1:16" x14ac:dyDescent="0.25">
      <c r="A1" t="s">
        <v>28</v>
      </c>
      <c r="B1" t="s">
        <v>60</v>
      </c>
      <c r="C1" t="s">
        <v>61</v>
      </c>
      <c r="E1" t="s">
        <v>53</v>
      </c>
      <c r="G1" t="s">
        <v>62</v>
      </c>
      <c r="H1" t="s">
        <v>64</v>
      </c>
      <c r="K1" t="s">
        <v>63</v>
      </c>
    </row>
    <row r="2" spans="1:16" x14ac:dyDescent="0.25">
      <c r="A2" s="9">
        <v>41275</v>
      </c>
      <c r="B2">
        <f>VLOOKUP(A2,BCB_TX_JUROS!A:L,12,0)</f>
        <v>175.3967400085034</v>
      </c>
      <c r="C2">
        <f>VLOOKUP(A2,BCB_TX_JUROS!N:V,9,0)</f>
        <v>7.9386503883391848</v>
      </c>
      <c r="E2">
        <f>VLOOKUP(A2,BCB_selic!I:J,2,0)</f>
        <v>7.25</v>
      </c>
      <c r="G2">
        <f t="shared" ref="G2:G33" si="0">B2/E2</f>
        <v>24.192653794276332</v>
      </c>
      <c r="K2">
        <f t="shared" ref="K2:K33" si="1">C2/E2</f>
        <v>1.0949862604605771</v>
      </c>
      <c r="N2" t="s">
        <v>64</v>
      </c>
      <c r="O2">
        <f>AVERAGE(G2:G85)</f>
        <v>28.718944876033827</v>
      </c>
      <c r="P2">
        <f>AVERAGE(K2:K85)</f>
        <v>0.970563917189463</v>
      </c>
    </row>
    <row r="3" spans="1:16" x14ac:dyDescent="0.25">
      <c r="A3" s="9">
        <v>41306</v>
      </c>
      <c r="B3">
        <f>VLOOKUP(A3,BCB_TX_JUROS!A:L,12,0)</f>
        <v>178.37385216335881</v>
      </c>
      <c r="C3">
        <f>VLOOKUP(A3,BCB_TX_JUROS!N:V,9,0)</f>
        <v>7.6898451122275313</v>
      </c>
      <c r="E3">
        <f>VLOOKUP(A3,BCB_selic!I:J,2,0)</f>
        <v>7.25</v>
      </c>
      <c r="G3">
        <f t="shared" si="0"/>
        <v>24.603289953566733</v>
      </c>
      <c r="K3">
        <f t="shared" si="1"/>
        <v>1.0606682913417285</v>
      </c>
      <c r="N3" t="s">
        <v>65</v>
      </c>
      <c r="O3">
        <f>AVERAGE(G86:G109)</f>
        <v>71.42370513443764</v>
      </c>
      <c r="P3">
        <f>AVERAGE(K86:K109)</f>
        <v>2.3482742006947817</v>
      </c>
    </row>
    <row r="4" spans="1:16" x14ac:dyDescent="0.25">
      <c r="A4" s="9">
        <v>41334</v>
      </c>
      <c r="B4">
        <f>VLOOKUP(A4,BCB_TX_JUROS!A:L,12,0)</f>
        <v>177.82371628492152</v>
      </c>
      <c r="C4">
        <f>VLOOKUP(A4,BCB_TX_JUROS!N:V,9,0)</f>
        <v>7.6994208974043108</v>
      </c>
      <c r="E4">
        <f>VLOOKUP(A4,BCB_selic!I:J,2,0)</f>
        <v>7.25</v>
      </c>
      <c r="G4">
        <f t="shared" si="0"/>
        <v>24.527409142747796</v>
      </c>
      <c r="K4">
        <f t="shared" si="1"/>
        <v>1.0619890892971464</v>
      </c>
      <c r="N4" t="s">
        <v>66</v>
      </c>
      <c r="O4">
        <f>AVERAGE(G110:G157)</f>
        <v>21.494554693720669</v>
      </c>
      <c r="P4">
        <f>AVERAGE(K110:K157)</f>
        <v>0.79535567114885186</v>
      </c>
    </row>
    <row r="5" spans="1:16" x14ac:dyDescent="0.25">
      <c r="A5" s="9">
        <v>41365</v>
      </c>
      <c r="B5">
        <f>VLOOKUP(A5,BCB_TX_JUROS!A:L,12,0)</f>
        <v>176.34357451955842</v>
      </c>
      <c r="C5">
        <f>VLOOKUP(A5,BCB_TX_JUROS!N:V,9,0)</f>
        <v>7.8472675082869028</v>
      </c>
      <c r="E5">
        <f>VLOOKUP(A5,BCB_selic!I:J,2,0)</f>
        <v>7.3583333333333334</v>
      </c>
      <c r="G5">
        <f t="shared" si="0"/>
        <v>23.965151690087215</v>
      </c>
      <c r="K5">
        <f t="shared" si="1"/>
        <v>1.0664463204919914</v>
      </c>
    </row>
    <row r="6" spans="1:16" x14ac:dyDescent="0.25">
      <c r="A6" s="9">
        <v>41395</v>
      </c>
      <c r="B6">
        <f>VLOOKUP(A6,BCB_TX_JUROS!A:L,12,0)</f>
        <v>177.20570592663563</v>
      </c>
      <c r="C6">
        <f>VLOOKUP(A6,BCB_TX_JUROS!N:V,9,0)</f>
        <v>7.7934476547893796</v>
      </c>
      <c r="E6">
        <f>VLOOKUP(A6,BCB_selic!I:J,2,0)</f>
        <v>7.532258064516129</v>
      </c>
      <c r="G6">
        <f t="shared" si="0"/>
        <v>23.52623933073107</v>
      </c>
      <c r="K6">
        <f t="shared" si="1"/>
        <v>1.0346761340405601</v>
      </c>
    </row>
    <row r="7" spans="1:16" x14ac:dyDescent="0.25">
      <c r="A7" s="9">
        <v>41426</v>
      </c>
      <c r="B7">
        <f>VLOOKUP(A7,BCB_TX_JUROS!A:L,12,0)</f>
        <v>179.57301258746054</v>
      </c>
      <c r="C7">
        <f>VLOOKUP(A7,BCB_TX_JUROS!N:V,9,0)</f>
        <v>7.8100243884610023</v>
      </c>
      <c r="E7">
        <f>VLOOKUP(A7,BCB_selic!I:J,2,0)</f>
        <v>8</v>
      </c>
      <c r="G7">
        <f t="shared" si="0"/>
        <v>22.446626573432567</v>
      </c>
      <c r="K7">
        <f t="shared" si="1"/>
        <v>0.97625304855762529</v>
      </c>
    </row>
    <row r="8" spans="1:16" x14ac:dyDescent="0.25">
      <c r="A8" s="9">
        <v>41456</v>
      </c>
      <c r="B8">
        <f>VLOOKUP(A8,BCB_TX_JUROS!A:L,12,0)</f>
        <v>180.50227204936999</v>
      </c>
      <c r="C8">
        <f>VLOOKUP(A8,BCB_TX_JUROS!N:V,9,0)</f>
        <v>7.9647994541297606</v>
      </c>
      <c r="E8">
        <f>VLOOKUP(A8,BCB_selic!I:J,2,0)</f>
        <v>8.3387096774193541</v>
      </c>
      <c r="G8">
        <f t="shared" si="0"/>
        <v>21.646307286384797</v>
      </c>
      <c r="K8">
        <f t="shared" si="1"/>
        <v>0.95515970242948778</v>
      </c>
    </row>
    <row r="9" spans="1:16" x14ac:dyDescent="0.25">
      <c r="A9" s="9">
        <v>41487</v>
      </c>
      <c r="B9">
        <f>VLOOKUP(A9,BCB_TX_JUROS!A:L,12,0)</f>
        <v>180.35063903838645</v>
      </c>
      <c r="C9">
        <f>VLOOKUP(A9,BCB_TX_JUROS!N:V,9,0)</f>
        <v>8.0758309735070171</v>
      </c>
      <c r="E9">
        <f>VLOOKUP(A9,BCB_selic!I:J,2,0)</f>
        <v>8.5483870967741939</v>
      </c>
      <c r="G9">
        <f t="shared" si="0"/>
        <v>21.097621925245207</v>
      </c>
      <c r="K9">
        <f t="shared" si="1"/>
        <v>0.94471984973100953</v>
      </c>
    </row>
    <row r="10" spans="1:16" x14ac:dyDescent="0.25">
      <c r="A10" s="9">
        <v>41518</v>
      </c>
      <c r="B10">
        <f>VLOOKUP(A10,BCB_TX_JUROS!A:L,12,0)</f>
        <v>181.43272320765615</v>
      </c>
      <c r="C10">
        <f>VLOOKUP(A10,BCB_TX_JUROS!N:V,9,0)</f>
        <v>8.3431345375175958</v>
      </c>
      <c r="E10">
        <f>VLOOKUP(A10,BCB_selic!I:J,2,0)</f>
        <v>9</v>
      </c>
      <c r="G10">
        <f t="shared" si="0"/>
        <v>20.159191467517349</v>
      </c>
      <c r="K10">
        <f t="shared" si="1"/>
        <v>0.92701494861306621</v>
      </c>
    </row>
    <row r="11" spans="1:16" x14ac:dyDescent="0.25">
      <c r="A11" s="9">
        <v>41548</v>
      </c>
      <c r="B11">
        <f>VLOOKUP(A11,BCB_TX_JUROS!A:L,12,0)</f>
        <v>182.871675891964</v>
      </c>
      <c r="C11">
        <f>VLOOKUP(A11,BCB_TX_JUROS!N:V,9,0)</f>
        <v>8.6739250888908703</v>
      </c>
      <c r="E11">
        <f>VLOOKUP(A11,BCB_selic!I:J,2,0)</f>
        <v>9.3548387096774199</v>
      </c>
      <c r="G11">
        <f t="shared" si="0"/>
        <v>19.548351560865115</v>
      </c>
      <c r="K11">
        <f t="shared" si="1"/>
        <v>0.92721268191592054</v>
      </c>
    </row>
    <row r="12" spans="1:16" x14ac:dyDescent="0.25">
      <c r="A12" s="9">
        <v>41579</v>
      </c>
      <c r="B12">
        <f>VLOOKUP(A12,BCB_TX_JUROS!A:L,12,0)</f>
        <v>188.11454563724669</v>
      </c>
      <c r="C12">
        <f>VLOOKUP(A12,BCB_TX_JUROS!N:V,9,0)</f>
        <v>8.7964501618531123</v>
      </c>
      <c r="E12">
        <f>VLOOKUP(A12,BCB_selic!I:J,2,0)</f>
        <v>9.5500000000000007</v>
      </c>
      <c r="G12">
        <f t="shared" si="0"/>
        <v>19.697858181910647</v>
      </c>
      <c r="K12">
        <f t="shared" si="1"/>
        <v>0.92109425778566612</v>
      </c>
    </row>
    <row r="13" spans="1:16" x14ac:dyDescent="0.25">
      <c r="A13" s="9">
        <v>41609</v>
      </c>
      <c r="B13">
        <f>VLOOKUP(A13,BCB_TX_JUROS!A:L,12,0)</f>
        <v>193.8160314990578</v>
      </c>
      <c r="C13">
        <f>VLOOKUP(A13,BCB_TX_JUROS!N:V,9,0)</f>
        <v>8.8220825225193487</v>
      </c>
      <c r="E13">
        <f>VLOOKUP(A13,BCB_selic!I:J,2,0)</f>
        <v>10</v>
      </c>
      <c r="G13">
        <f t="shared" si="0"/>
        <v>19.381603149905779</v>
      </c>
      <c r="K13">
        <f t="shared" si="1"/>
        <v>0.88220825225193489</v>
      </c>
    </row>
    <row r="14" spans="1:16" x14ac:dyDescent="0.25">
      <c r="A14" s="9">
        <v>41640</v>
      </c>
      <c r="B14">
        <f>VLOOKUP(A14,BCB_TX_JUROS!A:L,12,0)</f>
        <v>193.91782356654042</v>
      </c>
      <c r="C14">
        <f>VLOOKUP(A14,BCB_TX_JUROS!N:V,9,0)</f>
        <v>9.5187798292428774</v>
      </c>
      <c r="E14">
        <f>VLOOKUP(A14,BCB_selic!I:J,2,0)</f>
        <v>10.258064516129032</v>
      </c>
      <c r="G14">
        <f t="shared" si="0"/>
        <v>18.903938775354568</v>
      </c>
      <c r="K14">
        <f t="shared" si="1"/>
        <v>0.92793136700166412</v>
      </c>
    </row>
    <row r="15" spans="1:16" x14ac:dyDescent="0.25">
      <c r="A15" s="9">
        <v>41671</v>
      </c>
      <c r="B15">
        <f>VLOOKUP(A15,BCB_TX_JUROS!A:L,12,0)</f>
        <v>199.52371974977106</v>
      </c>
      <c r="C15">
        <f>VLOOKUP(A15,BCB_TX_JUROS!N:V,9,0)</f>
        <v>8.7467805010064108</v>
      </c>
      <c r="E15">
        <f>VLOOKUP(A15,BCB_selic!I:J,2,0)</f>
        <v>10.517857142857142</v>
      </c>
      <c r="G15">
        <f t="shared" si="0"/>
        <v>18.969997123917114</v>
      </c>
      <c r="K15">
        <f t="shared" si="1"/>
        <v>0.83161240756597454</v>
      </c>
    </row>
    <row r="16" spans="1:16" x14ac:dyDescent="0.25">
      <c r="A16" s="9">
        <v>41699</v>
      </c>
      <c r="B16">
        <f>VLOOKUP(A16,BCB_TX_JUROS!A:L,12,0)</f>
        <v>197.60588335410145</v>
      </c>
      <c r="C16">
        <f>VLOOKUP(A16,BCB_TX_JUROS!N:V,9,0)</f>
        <v>9.7877619941108733</v>
      </c>
      <c r="E16">
        <f>VLOOKUP(A16,BCB_selic!I:J,2,0)</f>
        <v>10.75</v>
      </c>
      <c r="G16">
        <f t="shared" si="0"/>
        <v>18.381942637590832</v>
      </c>
      <c r="K16">
        <f t="shared" si="1"/>
        <v>0.91048948782426731</v>
      </c>
    </row>
    <row r="17" spans="1:11" x14ac:dyDescent="0.25">
      <c r="A17" s="9">
        <v>41730</v>
      </c>
      <c r="B17">
        <f>VLOOKUP(A17,BCB_TX_JUROS!A:L,12,0)</f>
        <v>192.67462493878824</v>
      </c>
      <c r="C17">
        <f>VLOOKUP(A17,BCB_TX_JUROS!N:V,9,0)</f>
        <v>9.1856155494669451</v>
      </c>
      <c r="E17">
        <f>VLOOKUP(A17,BCB_selic!I:J,2,0)</f>
        <v>10.983333333333333</v>
      </c>
      <c r="G17">
        <f t="shared" si="0"/>
        <v>17.542454470906367</v>
      </c>
      <c r="K17">
        <f t="shared" si="1"/>
        <v>0.83632311527771885</v>
      </c>
    </row>
    <row r="18" spans="1:11" x14ac:dyDescent="0.25">
      <c r="A18" s="9">
        <v>41760</v>
      </c>
      <c r="B18">
        <f>VLOOKUP(A18,BCB_TX_JUROS!A:L,12,0)</f>
        <v>196.14452641152175</v>
      </c>
      <c r="C18">
        <f>VLOOKUP(A18,BCB_TX_JUROS!N:V,9,0)</f>
        <v>9.5282989700267997</v>
      </c>
      <c r="E18">
        <f>VLOOKUP(A18,BCB_selic!I:J,2,0)</f>
        <v>11</v>
      </c>
      <c r="G18">
        <f t="shared" si="0"/>
        <v>17.831320582865615</v>
      </c>
      <c r="K18">
        <f t="shared" si="1"/>
        <v>0.86620899727516365</v>
      </c>
    </row>
    <row r="19" spans="1:11" x14ac:dyDescent="0.25">
      <c r="A19" s="9">
        <v>41791</v>
      </c>
      <c r="B19">
        <f>VLOOKUP(A19,BCB_TX_JUROS!A:L,12,0)</f>
        <v>200.63531219702776</v>
      </c>
      <c r="C19">
        <f>VLOOKUP(A19,BCB_TX_JUROS!N:V,9,0)</f>
        <v>9.2258264987900986</v>
      </c>
      <c r="E19">
        <f>VLOOKUP(A19,BCB_selic!I:J,2,0)</f>
        <v>11</v>
      </c>
      <c r="G19">
        <f t="shared" si="0"/>
        <v>18.239573836093431</v>
      </c>
      <c r="K19">
        <f t="shared" si="1"/>
        <v>0.83871149989000893</v>
      </c>
    </row>
    <row r="20" spans="1:11" x14ac:dyDescent="0.25">
      <c r="A20" s="9">
        <v>41821</v>
      </c>
      <c r="B20">
        <f>VLOOKUP(A20,BCB_TX_JUROS!A:L,12,0)</f>
        <v>200.51837303057701</v>
      </c>
      <c r="C20">
        <f>VLOOKUP(A20,BCB_TX_JUROS!N:V,9,0)</f>
        <v>9.6941782107585208</v>
      </c>
      <c r="E20">
        <f>VLOOKUP(A20,BCB_selic!I:J,2,0)</f>
        <v>11</v>
      </c>
      <c r="G20">
        <f t="shared" si="0"/>
        <v>18.228943002779729</v>
      </c>
      <c r="K20">
        <f t="shared" si="1"/>
        <v>0.88128892825077465</v>
      </c>
    </row>
    <row r="21" spans="1:11" x14ac:dyDescent="0.25">
      <c r="A21" s="9">
        <v>41852</v>
      </c>
      <c r="B21">
        <f>VLOOKUP(A21,BCB_TX_JUROS!A:L,12,0)</f>
        <v>204.28810022981691</v>
      </c>
      <c r="C21">
        <f>VLOOKUP(A21,BCB_TX_JUROS!N:V,9,0)</f>
        <v>9.5930418717076833</v>
      </c>
      <c r="E21">
        <f>VLOOKUP(A21,BCB_selic!I:J,2,0)</f>
        <v>11</v>
      </c>
      <c r="G21">
        <f t="shared" si="0"/>
        <v>18.571645475437901</v>
      </c>
      <c r="K21">
        <f t="shared" si="1"/>
        <v>0.87209471560978935</v>
      </c>
    </row>
    <row r="22" spans="1:11" x14ac:dyDescent="0.25">
      <c r="A22" s="9">
        <v>41883</v>
      </c>
      <c r="B22">
        <f>VLOOKUP(A22,BCB_TX_JUROS!A:L,12,0)</f>
        <v>203.83899106973212</v>
      </c>
      <c r="C22">
        <f>VLOOKUP(A22,BCB_TX_JUROS!N:V,9,0)</f>
        <v>9.4513151016268093</v>
      </c>
      <c r="E22">
        <f>VLOOKUP(A22,BCB_selic!I:J,2,0)</f>
        <v>11</v>
      </c>
      <c r="G22">
        <f t="shared" si="0"/>
        <v>18.530817369975647</v>
      </c>
      <c r="K22">
        <f t="shared" si="1"/>
        <v>0.85921046378425536</v>
      </c>
    </row>
    <row r="23" spans="1:11" x14ac:dyDescent="0.25">
      <c r="A23" s="9">
        <v>41913</v>
      </c>
      <c r="B23">
        <f>VLOOKUP(A23,BCB_TX_JUROS!A:L,12,0)</f>
        <v>212.738861880397</v>
      </c>
      <c r="C23">
        <f>VLOOKUP(A23,BCB_TX_JUROS!N:V,9,0)</f>
        <v>9.4574192617880044</v>
      </c>
      <c r="E23">
        <f>VLOOKUP(A23,BCB_selic!I:J,2,0)</f>
        <v>11.016129032258064</v>
      </c>
      <c r="G23">
        <f t="shared" si="0"/>
        <v>19.311580434238088</v>
      </c>
      <c r="K23">
        <f t="shared" si="1"/>
        <v>0.85850658013302528</v>
      </c>
    </row>
    <row r="24" spans="1:11" x14ac:dyDescent="0.25">
      <c r="A24" s="9">
        <v>41944</v>
      </c>
      <c r="B24">
        <f>VLOOKUP(A24,BCB_TX_JUROS!A:L,12,0)</f>
        <v>220.45881684660736</v>
      </c>
      <c r="C24">
        <f>VLOOKUP(A24,BCB_TX_JUROS!N:V,9,0)</f>
        <v>9.2863780554503759</v>
      </c>
      <c r="E24">
        <f>VLOOKUP(A24,BCB_selic!I:J,2,0)</f>
        <v>11.25</v>
      </c>
      <c r="G24">
        <f t="shared" si="0"/>
        <v>19.596339275253989</v>
      </c>
      <c r="K24">
        <f t="shared" si="1"/>
        <v>0.82545582715114452</v>
      </c>
    </row>
    <row r="25" spans="1:11" x14ac:dyDescent="0.25">
      <c r="A25" s="9">
        <v>41974</v>
      </c>
      <c r="B25">
        <f>VLOOKUP(A25,BCB_TX_JUROS!A:L,12,0)</f>
        <v>225.94526129181443</v>
      </c>
      <c r="C25">
        <f>VLOOKUP(A25,BCB_TX_JUROS!N:V,9,0)</f>
        <v>8.9636287373628729</v>
      </c>
      <c r="E25">
        <f>VLOOKUP(A25,BCB_selic!I:J,2,0)</f>
        <v>11.701612903225806</v>
      </c>
      <c r="G25">
        <f t="shared" si="0"/>
        <v>19.308898966357678</v>
      </c>
      <c r="K25">
        <f t="shared" si="1"/>
        <v>0.76601651511577962</v>
      </c>
    </row>
    <row r="26" spans="1:11" x14ac:dyDescent="0.25">
      <c r="A26" s="9">
        <v>42005</v>
      </c>
      <c r="B26">
        <f>VLOOKUP(A26,BCB_TX_JUROS!A:L,12,0)</f>
        <v>231.48353642598056</v>
      </c>
      <c r="C26">
        <f>VLOOKUP(A26,BCB_TX_JUROS!N:V,9,0)</f>
        <v>9.367541320921708</v>
      </c>
      <c r="E26">
        <f>VLOOKUP(A26,BCB_selic!I:J,2,0)</f>
        <v>11.911290322580646</v>
      </c>
      <c r="G26">
        <f t="shared" si="0"/>
        <v>19.433959727028835</v>
      </c>
      <c r="K26">
        <f t="shared" si="1"/>
        <v>0.78644219620466604</v>
      </c>
    </row>
    <row r="27" spans="1:11" x14ac:dyDescent="0.25">
      <c r="A27" s="9">
        <v>42036</v>
      </c>
      <c r="B27">
        <f>VLOOKUP(A27,BCB_TX_JUROS!A:L,12,0)</f>
        <v>239.61917766928465</v>
      </c>
      <c r="C27">
        <f>VLOOKUP(A27,BCB_TX_JUROS!N:V,9,0)</f>
        <v>8.8388052783007147</v>
      </c>
      <c r="E27">
        <f>VLOOKUP(A27,BCB_selic!I:J,2,0)</f>
        <v>12.25</v>
      </c>
      <c r="G27">
        <f t="shared" si="0"/>
        <v>19.560749197492626</v>
      </c>
      <c r="K27">
        <f t="shared" si="1"/>
        <v>0.72153512475924197</v>
      </c>
    </row>
    <row r="28" spans="1:11" x14ac:dyDescent="0.25">
      <c r="A28" s="9">
        <v>42064</v>
      </c>
      <c r="B28">
        <f>VLOOKUP(A28,BCB_TX_JUROS!A:L,12,0)</f>
        <v>240.24794988967187</v>
      </c>
      <c r="C28">
        <f>VLOOKUP(A28,BCB_TX_JUROS!N:V,9,0)</f>
        <v>9.8562357575611905</v>
      </c>
      <c r="E28">
        <f>VLOOKUP(A28,BCB_selic!I:J,2,0)</f>
        <v>12.685483870967742</v>
      </c>
      <c r="G28">
        <f t="shared" si="0"/>
        <v>18.938808510056777</v>
      </c>
      <c r="K28">
        <f t="shared" si="1"/>
        <v>0.77696963378104744</v>
      </c>
    </row>
    <row r="29" spans="1:11" x14ac:dyDescent="0.25">
      <c r="A29" s="9">
        <v>42095</v>
      </c>
      <c r="B29">
        <f>VLOOKUP(A29,BCB_TX_JUROS!A:L,12,0)</f>
        <v>243.87289147026755</v>
      </c>
      <c r="C29">
        <f>VLOOKUP(A29,BCB_TX_JUROS!N:V,9,0)</f>
        <v>9.7781199583463039</v>
      </c>
      <c r="E29">
        <f>VLOOKUP(A29,BCB_selic!I:J,2,0)</f>
        <v>12.766666666666667</v>
      </c>
      <c r="G29">
        <f t="shared" si="0"/>
        <v>19.102315258767693</v>
      </c>
      <c r="K29">
        <f t="shared" si="1"/>
        <v>0.76591017950493234</v>
      </c>
    </row>
    <row r="30" spans="1:11" x14ac:dyDescent="0.25">
      <c r="A30" s="9">
        <v>42125</v>
      </c>
      <c r="B30">
        <f>VLOOKUP(A30,BCB_TX_JUROS!A:L,12,0)</f>
        <v>256.24988538242997</v>
      </c>
      <c r="C30">
        <f>VLOOKUP(A30,BCB_TX_JUROS!N:V,9,0)</f>
        <v>10.148229674723378</v>
      </c>
      <c r="E30">
        <f>VLOOKUP(A30,BCB_selic!I:J,2,0)</f>
        <v>13.25</v>
      </c>
      <c r="G30">
        <f t="shared" si="0"/>
        <v>19.339613991126789</v>
      </c>
      <c r="K30">
        <f t="shared" si="1"/>
        <v>0.76590412639421723</v>
      </c>
    </row>
    <row r="31" spans="1:11" x14ac:dyDescent="0.25">
      <c r="A31" s="9">
        <v>42156</v>
      </c>
      <c r="B31">
        <f>VLOOKUP(A31,BCB_TX_JUROS!A:L,12,0)</f>
        <v>267.40268855993696</v>
      </c>
      <c r="C31">
        <f>VLOOKUP(A31,BCB_TX_JUROS!N:V,9,0)</f>
        <v>10.464454234000479</v>
      </c>
      <c r="E31">
        <f>VLOOKUP(A31,BCB_selic!I:J,2,0)</f>
        <v>13.7</v>
      </c>
      <c r="G31">
        <f t="shared" si="0"/>
        <v>19.518444420433354</v>
      </c>
      <c r="K31">
        <f t="shared" si="1"/>
        <v>0.76382877620441458</v>
      </c>
    </row>
    <row r="32" spans="1:11" x14ac:dyDescent="0.25">
      <c r="A32" s="9">
        <v>42186</v>
      </c>
      <c r="B32">
        <f>VLOOKUP(A32,BCB_TX_JUROS!A:L,12,0)</f>
        <v>279.32874480894111</v>
      </c>
      <c r="C32">
        <f>VLOOKUP(A32,BCB_TX_JUROS!N:V,9,0)</f>
        <v>10.784408843193205</v>
      </c>
      <c r="E32">
        <f>VLOOKUP(A32,BCB_selic!I:J,2,0)</f>
        <v>13.78225806451613</v>
      </c>
      <c r="G32">
        <f t="shared" si="0"/>
        <v>20.267269956880455</v>
      </c>
      <c r="K32">
        <f t="shared" si="1"/>
        <v>0.78248490143707272</v>
      </c>
    </row>
    <row r="33" spans="1:11" x14ac:dyDescent="0.25">
      <c r="A33" s="9">
        <v>42217</v>
      </c>
      <c r="B33">
        <f>VLOOKUP(A33,BCB_TX_JUROS!A:L,12,0)</f>
        <v>284.49464217989947</v>
      </c>
      <c r="C33">
        <f>VLOOKUP(A33,BCB_TX_JUROS!N:V,9,0)</f>
        <v>10.552486204845227</v>
      </c>
      <c r="E33">
        <f>VLOOKUP(A33,BCB_selic!I:J,2,0)</f>
        <v>14.25</v>
      </c>
      <c r="G33">
        <f t="shared" si="0"/>
        <v>19.96453629332628</v>
      </c>
      <c r="K33">
        <f t="shared" si="1"/>
        <v>0.74052534770843703</v>
      </c>
    </row>
    <row r="34" spans="1:11" x14ac:dyDescent="0.25">
      <c r="A34" s="9">
        <v>42248</v>
      </c>
      <c r="B34">
        <f>VLOOKUP(A34,BCB_TX_JUROS!A:L,12,0)</f>
        <v>296.07317734797573</v>
      </c>
      <c r="C34">
        <f>VLOOKUP(A34,BCB_TX_JUROS!N:V,9,0)</f>
        <v>10.427110610123252</v>
      </c>
      <c r="E34">
        <f>VLOOKUP(A34,BCB_selic!I:J,2,0)</f>
        <v>14.25</v>
      </c>
      <c r="G34">
        <f t="shared" ref="G34:G65" si="2">B34/E34</f>
        <v>20.777065077050928</v>
      </c>
      <c r="K34">
        <f t="shared" ref="K34:K65" si="3">C34/E34</f>
        <v>0.7317270603595265</v>
      </c>
    </row>
    <row r="35" spans="1:11" x14ac:dyDescent="0.25">
      <c r="A35" s="9">
        <v>42278</v>
      </c>
      <c r="B35">
        <f>VLOOKUP(A35,BCB_TX_JUROS!A:L,12,0)</f>
        <v>296.24264331727386</v>
      </c>
      <c r="C35">
        <f>VLOOKUP(A35,BCB_TX_JUROS!N:V,9,0)</f>
        <v>10.496454928723509</v>
      </c>
      <c r="E35">
        <f>VLOOKUP(A35,BCB_selic!I:J,2,0)</f>
        <v>14.25</v>
      </c>
      <c r="G35">
        <f t="shared" si="2"/>
        <v>20.788957425773603</v>
      </c>
      <c r="K35">
        <f t="shared" si="3"/>
        <v>0.73659332833147428</v>
      </c>
    </row>
    <row r="36" spans="1:11" x14ac:dyDescent="0.25">
      <c r="A36" s="9">
        <v>42309</v>
      </c>
      <c r="B36">
        <f>VLOOKUP(A36,BCB_TX_JUROS!A:L,12,0)</f>
        <v>313.1996466685319</v>
      </c>
      <c r="C36">
        <f>VLOOKUP(A36,BCB_TX_JUROS!N:V,9,0)</f>
        <v>10.598555901303412</v>
      </c>
      <c r="E36">
        <f>VLOOKUP(A36,BCB_selic!I:J,2,0)</f>
        <v>14.25</v>
      </c>
      <c r="G36">
        <f t="shared" si="2"/>
        <v>21.97892257323031</v>
      </c>
      <c r="K36">
        <f t="shared" si="3"/>
        <v>0.74375830886339733</v>
      </c>
    </row>
    <row r="37" spans="1:11" x14ac:dyDescent="0.25">
      <c r="A37" s="9">
        <v>42339</v>
      </c>
      <c r="B37">
        <f>VLOOKUP(A37,BCB_TX_JUROS!A:L,12,0)</f>
        <v>319.90618387393118</v>
      </c>
      <c r="C37">
        <f>VLOOKUP(A37,BCB_TX_JUROS!N:V,9,0)</f>
        <v>10.091376102306731</v>
      </c>
      <c r="E37">
        <f>VLOOKUP(A37,BCB_selic!I:J,2,0)</f>
        <v>14.25</v>
      </c>
      <c r="G37">
        <f t="shared" si="2"/>
        <v>22.449556763082889</v>
      </c>
      <c r="K37">
        <f t="shared" si="3"/>
        <v>0.70816674402152491</v>
      </c>
    </row>
    <row r="38" spans="1:11" x14ac:dyDescent="0.25">
      <c r="A38" s="9">
        <v>42370</v>
      </c>
      <c r="B38">
        <f>VLOOKUP(A38,BCB_TX_JUROS!A:L,12,0)</f>
        <v>332.45794454153236</v>
      </c>
      <c r="C38">
        <f>VLOOKUP(A38,BCB_TX_JUROS!N:V,9,0)</f>
        <v>10.493252765364888</v>
      </c>
      <c r="E38">
        <f>VLOOKUP(A38,BCB_selic!I:J,2,0)</f>
        <v>14.25</v>
      </c>
      <c r="G38">
        <f t="shared" si="2"/>
        <v>23.330382073089989</v>
      </c>
      <c r="K38">
        <f t="shared" si="3"/>
        <v>0.73636861511332552</v>
      </c>
    </row>
    <row r="39" spans="1:11" x14ac:dyDescent="0.25">
      <c r="A39" s="9">
        <v>42401</v>
      </c>
      <c r="B39">
        <f>VLOOKUP(A39,BCB_TX_JUROS!A:L,12,0)</f>
        <v>336.17827558537232</v>
      </c>
      <c r="C39">
        <f>VLOOKUP(A39,BCB_TX_JUROS!N:V,9,0)</f>
        <v>10.140577585312421</v>
      </c>
      <c r="E39">
        <f>VLOOKUP(A39,BCB_selic!I:J,2,0)</f>
        <v>14.25</v>
      </c>
      <c r="G39">
        <f t="shared" si="2"/>
        <v>23.591457935815601</v>
      </c>
      <c r="K39">
        <f t="shared" si="3"/>
        <v>0.71161947967104711</v>
      </c>
    </row>
    <row r="40" spans="1:11" x14ac:dyDescent="0.25">
      <c r="A40" s="9">
        <v>42430</v>
      </c>
      <c r="B40">
        <f>VLOOKUP(A40,BCB_TX_JUROS!A:L,12,0)</f>
        <v>339.67619158691656</v>
      </c>
      <c r="C40">
        <f>VLOOKUP(A40,BCB_TX_JUROS!N:V,9,0)</f>
        <v>10.755819427612568</v>
      </c>
      <c r="E40">
        <f>VLOOKUP(A40,BCB_selic!I:J,2,0)</f>
        <v>14.25</v>
      </c>
      <c r="G40">
        <f t="shared" si="2"/>
        <v>23.836925725397652</v>
      </c>
      <c r="K40">
        <f t="shared" si="3"/>
        <v>0.75479434579737326</v>
      </c>
    </row>
    <row r="41" spans="1:11" x14ac:dyDescent="0.25">
      <c r="A41" s="9">
        <v>42461</v>
      </c>
      <c r="B41">
        <f>VLOOKUP(A41,BCB_TX_JUROS!A:L,12,0)</f>
        <v>347.20065302092223</v>
      </c>
      <c r="C41">
        <f>VLOOKUP(A41,BCB_TX_JUROS!N:V,9,0)</f>
        <v>10.565127758994919</v>
      </c>
      <c r="E41">
        <f>VLOOKUP(A41,BCB_selic!I:J,2,0)</f>
        <v>14.25</v>
      </c>
      <c r="G41">
        <f t="shared" si="2"/>
        <v>24.364958106731386</v>
      </c>
      <c r="K41">
        <f t="shared" si="3"/>
        <v>0.74141247431543289</v>
      </c>
    </row>
    <row r="42" spans="1:11" x14ac:dyDescent="0.25">
      <c r="A42" s="9">
        <v>42491</v>
      </c>
      <c r="B42">
        <f>VLOOKUP(A42,BCB_TX_JUROS!A:L,12,0)</f>
        <v>352.02403798785548</v>
      </c>
      <c r="C42">
        <f>VLOOKUP(A42,BCB_TX_JUROS!N:V,9,0)</f>
        <v>11.160674011765522</v>
      </c>
      <c r="E42">
        <f>VLOOKUP(A42,BCB_selic!I:J,2,0)</f>
        <v>14.25</v>
      </c>
      <c r="G42">
        <f t="shared" si="2"/>
        <v>24.703441262305649</v>
      </c>
      <c r="K42">
        <f t="shared" si="3"/>
        <v>0.78320519380810683</v>
      </c>
    </row>
    <row r="43" spans="1:11" x14ac:dyDescent="0.25">
      <c r="A43" s="9">
        <v>42522</v>
      </c>
      <c r="B43">
        <f>VLOOKUP(A43,BCB_TX_JUROS!A:L,12,0)</f>
        <v>352.43929463359552</v>
      </c>
      <c r="C43">
        <f>VLOOKUP(A43,BCB_TX_JUROS!N:V,9,0)</f>
        <v>11.262856918666294</v>
      </c>
      <c r="E43">
        <f>VLOOKUP(A43,BCB_selic!I:J,2,0)</f>
        <v>14.25</v>
      </c>
      <c r="G43">
        <f t="shared" si="2"/>
        <v>24.732582079550564</v>
      </c>
      <c r="K43">
        <f t="shared" si="3"/>
        <v>0.79037592411693292</v>
      </c>
    </row>
    <row r="44" spans="1:11" x14ac:dyDescent="0.25">
      <c r="A44" s="9">
        <v>42552</v>
      </c>
      <c r="B44">
        <f>VLOOKUP(A44,BCB_TX_JUROS!A:L,12,0)</f>
        <v>355.26320670346581</v>
      </c>
      <c r="C44">
        <f>VLOOKUP(A44,BCB_TX_JUROS!N:V,9,0)</f>
        <v>11.406667413434995</v>
      </c>
      <c r="E44">
        <f>VLOOKUP(A44,BCB_selic!I:J,2,0)</f>
        <v>14.25</v>
      </c>
      <c r="G44">
        <f t="shared" si="2"/>
        <v>24.930751347611636</v>
      </c>
      <c r="K44">
        <f t="shared" si="3"/>
        <v>0.80046788866210494</v>
      </c>
    </row>
    <row r="45" spans="1:11" x14ac:dyDescent="0.25">
      <c r="A45" s="9">
        <v>42583</v>
      </c>
      <c r="B45">
        <f>VLOOKUP(A45,BCB_TX_JUROS!A:L,12,0)</f>
        <v>363.40775337237619</v>
      </c>
      <c r="C45">
        <f>VLOOKUP(A45,BCB_TX_JUROS!N:V,9,0)</f>
        <v>11.23294312138162</v>
      </c>
      <c r="E45">
        <f>VLOOKUP(A45,BCB_selic!I:J,2,0)</f>
        <v>14.25</v>
      </c>
      <c r="G45">
        <f t="shared" si="2"/>
        <v>25.502298482272014</v>
      </c>
      <c r="K45">
        <f t="shared" si="3"/>
        <v>0.78827671027239443</v>
      </c>
    </row>
    <row r="46" spans="1:11" x14ac:dyDescent="0.25">
      <c r="A46" s="9">
        <v>42614</v>
      </c>
      <c r="B46">
        <f>VLOOKUP(A46,BCB_TX_JUROS!A:L,12,0)</f>
        <v>369.3569359251635</v>
      </c>
      <c r="C46">
        <f>VLOOKUP(A46,BCB_TX_JUROS!N:V,9,0)</f>
        <v>11.050630637039255</v>
      </c>
      <c r="E46">
        <f>VLOOKUP(A46,BCB_selic!I:J,2,0)</f>
        <v>14.25</v>
      </c>
      <c r="G46">
        <f t="shared" si="2"/>
        <v>25.919784977204458</v>
      </c>
      <c r="K46">
        <f t="shared" si="3"/>
        <v>0.775482851722053</v>
      </c>
    </row>
    <row r="47" spans="1:11" x14ac:dyDescent="0.25">
      <c r="A47" s="9">
        <v>42644</v>
      </c>
      <c r="B47">
        <f>VLOOKUP(A47,BCB_TX_JUROS!A:L,12,0)</f>
        <v>366.53662136348385</v>
      </c>
      <c r="C47">
        <f>VLOOKUP(A47,BCB_TX_JUROS!N:V,9,0)</f>
        <v>10.714352859405873</v>
      </c>
      <c r="E47">
        <f>VLOOKUP(A47,BCB_selic!I:J,2,0)</f>
        <v>14.153225806451612</v>
      </c>
      <c r="G47">
        <f t="shared" si="2"/>
        <v>25.897744187505413</v>
      </c>
      <c r="K47">
        <f t="shared" si="3"/>
        <v>0.75702550117739498</v>
      </c>
    </row>
    <row r="48" spans="1:11" x14ac:dyDescent="0.25">
      <c r="A48" s="9">
        <v>42675</v>
      </c>
      <c r="B48">
        <f>VLOOKUP(A48,BCB_TX_JUROS!A:L,12,0)</f>
        <v>373.57377991614362</v>
      </c>
      <c r="C48">
        <f>VLOOKUP(A48,BCB_TX_JUROS!N:V,9,0)</f>
        <v>10.710919430144859</v>
      </c>
      <c r="E48">
        <f>VLOOKUP(A48,BCB_selic!I:J,2,0)</f>
        <v>14</v>
      </c>
      <c r="G48">
        <f t="shared" si="2"/>
        <v>26.683841422581686</v>
      </c>
      <c r="K48">
        <f t="shared" si="3"/>
        <v>0.76506567358177568</v>
      </c>
    </row>
    <row r="49" spans="1:11" x14ac:dyDescent="0.25">
      <c r="A49" s="9">
        <v>42705</v>
      </c>
      <c r="B49">
        <f>VLOOKUP(A49,BCB_TX_JUROS!A:L,12,0)</f>
        <v>375.57234781173497</v>
      </c>
      <c r="C49">
        <f>VLOOKUP(A49,BCB_TX_JUROS!N:V,9,0)</f>
        <v>10.922896046754516</v>
      </c>
      <c r="E49">
        <f>VLOOKUP(A49,BCB_selic!I:J,2,0)</f>
        <v>13.75</v>
      </c>
      <c r="G49">
        <f t="shared" si="2"/>
        <v>27.314352568126179</v>
      </c>
      <c r="K49">
        <f t="shared" si="3"/>
        <v>0.79439243976396479</v>
      </c>
    </row>
    <row r="50" spans="1:11" x14ac:dyDescent="0.25">
      <c r="A50" s="9">
        <v>42736</v>
      </c>
      <c r="B50">
        <f>VLOOKUP(A50,BCB_TX_JUROS!A:L,12,0)</f>
        <v>375.09668213733187</v>
      </c>
      <c r="C50">
        <f>VLOOKUP(A50,BCB_TX_JUROS!N:V,9,0)</f>
        <v>10.915065158230883</v>
      </c>
      <c r="E50">
        <f>VLOOKUP(A50,BCB_selic!I:J,2,0)</f>
        <v>13.266129032258064</v>
      </c>
      <c r="G50">
        <f t="shared" si="2"/>
        <v>28.27476509728216</v>
      </c>
      <c r="K50">
        <f t="shared" si="3"/>
        <v>0.82277694809764712</v>
      </c>
    </row>
    <row r="51" spans="1:11" x14ac:dyDescent="0.25">
      <c r="A51" s="9">
        <v>42767</v>
      </c>
      <c r="B51">
        <f>VLOOKUP(A51,BCB_TX_JUROS!A:L,12,0)</f>
        <v>374.80522661724979</v>
      </c>
      <c r="C51">
        <f>VLOOKUP(A51,BCB_TX_JUROS!N:V,9,0)</f>
        <v>9.2091906458658457</v>
      </c>
      <c r="E51">
        <f>VLOOKUP(A51,BCB_selic!I:J,2,0)</f>
        <v>12.839285714285714</v>
      </c>
      <c r="G51">
        <f t="shared" si="2"/>
        <v>29.192062156559096</v>
      </c>
      <c r="K51">
        <f t="shared" si="3"/>
        <v>0.71726658716062219</v>
      </c>
    </row>
    <row r="52" spans="1:11" x14ac:dyDescent="0.25">
      <c r="A52" s="9">
        <v>42795</v>
      </c>
      <c r="B52">
        <f>VLOOKUP(A52,BCB_TX_JUROS!A:L,12,0)</f>
        <v>370.8608481421648</v>
      </c>
      <c r="C52">
        <f>VLOOKUP(A52,BCB_TX_JUROS!N:V,9,0)</f>
        <v>9.85155368051411</v>
      </c>
      <c r="E52">
        <f>VLOOKUP(A52,BCB_selic!I:J,2,0)</f>
        <v>12.25</v>
      </c>
      <c r="G52">
        <f t="shared" si="2"/>
        <v>30.2743549503808</v>
      </c>
      <c r="K52">
        <f t="shared" si="3"/>
        <v>0.80420846371543753</v>
      </c>
    </row>
    <row r="53" spans="1:11" x14ac:dyDescent="0.25">
      <c r="A53" s="9">
        <v>42826</v>
      </c>
      <c r="B53">
        <f>VLOOKUP(A53,BCB_TX_JUROS!A:L,12,0)</f>
        <v>335.21138659054731</v>
      </c>
      <c r="C53">
        <f>VLOOKUP(A53,BCB_TX_JUROS!N:V,9,0)</f>
        <v>9.0747029960881118</v>
      </c>
      <c r="E53">
        <f>VLOOKUP(A53,BCB_selic!I:J,2,0)</f>
        <v>11.65</v>
      </c>
      <c r="G53">
        <f t="shared" si="2"/>
        <v>28.773509578587749</v>
      </c>
      <c r="K53">
        <f t="shared" si="3"/>
        <v>0.77894446318352883</v>
      </c>
    </row>
    <row r="54" spans="1:11" x14ac:dyDescent="0.25">
      <c r="A54" s="9">
        <v>42856</v>
      </c>
      <c r="B54">
        <f>VLOOKUP(A54,BCB_TX_JUROS!A:L,12,0)</f>
        <v>294.09224686710195</v>
      </c>
      <c r="C54">
        <f>VLOOKUP(A54,BCB_TX_JUROS!N:V,9,0)</f>
        <v>9.9582836932442902</v>
      </c>
      <c r="E54">
        <f>VLOOKUP(A54,BCB_selic!I:J,2,0)</f>
        <v>11.25</v>
      </c>
      <c r="G54">
        <f t="shared" si="2"/>
        <v>26.141533054853507</v>
      </c>
      <c r="K54">
        <f t="shared" si="3"/>
        <v>0.8851807727328258</v>
      </c>
    </row>
    <row r="55" spans="1:11" x14ac:dyDescent="0.25">
      <c r="A55" s="9">
        <v>42887</v>
      </c>
      <c r="B55">
        <f>VLOOKUP(A55,BCB_TX_JUROS!A:L,12,0)</f>
        <v>301.48412929566979</v>
      </c>
      <c r="C55">
        <f>VLOOKUP(A55,BCB_TX_JUROS!N:V,9,0)</f>
        <v>9.2897058828806358</v>
      </c>
      <c r="E55">
        <f>VLOOKUP(A55,BCB_selic!I:J,2,0)</f>
        <v>10.25</v>
      </c>
      <c r="G55">
        <f t="shared" si="2"/>
        <v>29.413085784943394</v>
      </c>
      <c r="K55">
        <f t="shared" si="3"/>
        <v>0.90631276906152547</v>
      </c>
    </row>
    <row r="56" spans="1:11" x14ac:dyDescent="0.25">
      <c r="A56" s="9">
        <v>42917</v>
      </c>
      <c r="B56">
        <f>VLOOKUP(A56,BCB_TX_JUROS!A:L,12,0)</f>
        <v>318.60030014292522</v>
      </c>
      <c r="C56">
        <f>VLOOKUP(A56,BCB_TX_JUROS!N:V,9,0)</f>
        <v>9.2992574043907705</v>
      </c>
      <c r="E56">
        <f>VLOOKUP(A56,BCB_selic!I:J,2,0)</f>
        <v>10.088709677419354</v>
      </c>
      <c r="G56">
        <f t="shared" si="2"/>
        <v>31.579885865485796</v>
      </c>
      <c r="K56">
        <f t="shared" si="3"/>
        <v>0.92174893536727065</v>
      </c>
    </row>
    <row r="57" spans="1:11" x14ac:dyDescent="0.25">
      <c r="A57" s="9">
        <v>42948</v>
      </c>
      <c r="B57">
        <f>VLOOKUP(A57,BCB_TX_JUROS!A:L,12,0)</f>
        <v>318.02307050451913</v>
      </c>
      <c r="C57">
        <f>VLOOKUP(A57,BCB_TX_JUROS!N:V,9,0)</f>
        <v>8.5979893012299335</v>
      </c>
      <c r="E57">
        <f>VLOOKUP(A57,BCB_selic!I:J,2,0)</f>
        <v>9.25</v>
      </c>
      <c r="G57">
        <f t="shared" si="2"/>
        <v>34.380872486975044</v>
      </c>
      <c r="K57">
        <f t="shared" si="3"/>
        <v>0.92951235688972256</v>
      </c>
    </row>
    <row r="58" spans="1:11" x14ac:dyDescent="0.25">
      <c r="A58" s="9">
        <v>42979</v>
      </c>
      <c r="B58">
        <f>VLOOKUP(A58,BCB_TX_JUROS!A:L,12,0)</f>
        <v>284.49008591111715</v>
      </c>
      <c r="C58">
        <f>VLOOKUP(A58,BCB_TX_JUROS!N:V,9,0)</f>
        <v>8.5351766276986982</v>
      </c>
      <c r="E58">
        <f>VLOOKUP(A58,BCB_selic!I:J,2,0)</f>
        <v>8.4833333333333325</v>
      </c>
      <c r="G58">
        <f t="shared" si="2"/>
        <v>33.535177121153303</v>
      </c>
      <c r="K58">
        <f t="shared" si="3"/>
        <v>1.0061111938348173</v>
      </c>
    </row>
    <row r="59" spans="1:11" x14ac:dyDescent="0.25">
      <c r="A59" s="9">
        <v>43009</v>
      </c>
      <c r="B59">
        <f>VLOOKUP(A59,BCB_TX_JUROS!A:L,12,0)</f>
        <v>287.98969089015725</v>
      </c>
      <c r="C59">
        <f>VLOOKUP(A59,BCB_TX_JUROS!N:V,9,0)</f>
        <v>8.6283864384556281</v>
      </c>
      <c r="E59">
        <f>VLOOKUP(A59,BCB_selic!I:J,2,0)</f>
        <v>8.1048387096774199</v>
      </c>
      <c r="G59">
        <f t="shared" si="2"/>
        <v>35.533056388437309</v>
      </c>
      <c r="K59">
        <f t="shared" si="3"/>
        <v>1.0645969336999979</v>
      </c>
    </row>
    <row r="60" spans="1:11" x14ac:dyDescent="0.25">
      <c r="A60" s="9">
        <v>43040</v>
      </c>
      <c r="B60">
        <f>VLOOKUP(A60,BCB_TX_JUROS!A:L,12,0)</f>
        <v>290.4350607090181</v>
      </c>
      <c r="C60">
        <f>VLOOKUP(A60,BCB_TX_JUROS!N:V,9,0)</f>
        <v>7.9241758946212943</v>
      </c>
      <c r="E60">
        <f>VLOOKUP(A60,BCB_selic!I:J,2,0)</f>
        <v>7.5</v>
      </c>
      <c r="G60">
        <f t="shared" si="2"/>
        <v>38.724674761202415</v>
      </c>
      <c r="K60">
        <f t="shared" si="3"/>
        <v>1.056556785949506</v>
      </c>
    </row>
    <row r="61" spans="1:11" x14ac:dyDescent="0.25">
      <c r="A61" s="9">
        <v>43070</v>
      </c>
      <c r="B61">
        <f>VLOOKUP(A61,BCB_TX_JUROS!A:L,12,0)</f>
        <v>285.41294960515665</v>
      </c>
      <c r="C61">
        <f>VLOOKUP(A61,BCB_TX_JUROS!N:V,9,0)</f>
        <v>8.0665647897782193</v>
      </c>
      <c r="E61">
        <f>VLOOKUP(A61,BCB_selic!I:J,2,0)</f>
        <v>7.096774193548387</v>
      </c>
      <c r="G61">
        <f t="shared" si="2"/>
        <v>40.2172792625448</v>
      </c>
      <c r="K61">
        <f t="shared" si="3"/>
        <v>1.1366523112869309</v>
      </c>
    </row>
    <row r="62" spans="1:11" x14ac:dyDescent="0.25">
      <c r="A62" s="9">
        <v>43101</v>
      </c>
      <c r="B62">
        <f>VLOOKUP(A62,BCB_TX_JUROS!A:L,12,0)</f>
        <v>281.30972301327171</v>
      </c>
      <c r="C62">
        <f>VLOOKUP(A62,BCB_TX_JUROS!N:V,9,0)</f>
        <v>8.33516614081962</v>
      </c>
      <c r="E62">
        <f>VLOOKUP(A62,BCB_selic!I:J,2,0)</f>
        <v>7</v>
      </c>
      <c r="G62">
        <f t="shared" si="2"/>
        <v>40.187103287610242</v>
      </c>
      <c r="K62">
        <f t="shared" si="3"/>
        <v>1.1907380201170885</v>
      </c>
    </row>
    <row r="63" spans="1:11" x14ac:dyDescent="0.25">
      <c r="A63" s="9">
        <v>43132</v>
      </c>
      <c r="B63">
        <f>VLOOKUP(A63,BCB_TX_JUROS!A:L,12,0)</f>
        <v>286.01466944401182</v>
      </c>
      <c r="C63">
        <f>VLOOKUP(A63,BCB_TX_JUROS!N:V,9,0)</f>
        <v>8.2924310000087313</v>
      </c>
      <c r="E63">
        <f>VLOOKUP(A63,BCB_selic!I:J,2,0)</f>
        <v>6.8125</v>
      </c>
      <c r="G63">
        <f t="shared" si="2"/>
        <v>41.983804689029256</v>
      </c>
      <c r="K63">
        <f t="shared" si="3"/>
        <v>1.217237577982933</v>
      </c>
    </row>
    <row r="64" spans="1:11" x14ac:dyDescent="0.25">
      <c r="A64" s="9">
        <v>43160</v>
      </c>
      <c r="B64">
        <f>VLOOKUP(A64,BCB_TX_JUROS!A:L,12,0)</f>
        <v>284.55142948308873</v>
      </c>
      <c r="C64">
        <f>VLOOKUP(A64,BCB_TX_JUROS!N:V,9,0)</f>
        <v>8.175888685534547</v>
      </c>
      <c r="E64">
        <f>VLOOKUP(A64,BCB_selic!I:J,2,0)</f>
        <v>6.669354838709677</v>
      </c>
      <c r="G64">
        <f t="shared" si="2"/>
        <v>42.66551058754898</v>
      </c>
      <c r="K64">
        <f t="shared" si="3"/>
        <v>1.2258889927524594</v>
      </c>
    </row>
    <row r="65" spans="1:11" x14ac:dyDescent="0.25">
      <c r="A65" s="9">
        <v>43191</v>
      </c>
      <c r="B65">
        <f>VLOOKUP(A65,BCB_TX_JUROS!A:L,12,0)</f>
        <v>285.2673511467263</v>
      </c>
      <c r="C65">
        <f>VLOOKUP(A65,BCB_TX_JUROS!N:V,9,0)</f>
        <v>8.1706937765867096</v>
      </c>
      <c r="E65">
        <f>VLOOKUP(A65,BCB_selic!I:J,2,0)</f>
        <v>6.5</v>
      </c>
      <c r="G65">
        <f t="shared" si="2"/>
        <v>43.887284791804049</v>
      </c>
      <c r="K65">
        <f t="shared" si="3"/>
        <v>1.2570298117825707</v>
      </c>
    </row>
    <row r="66" spans="1:11" x14ac:dyDescent="0.25">
      <c r="A66" s="9">
        <v>43221</v>
      </c>
      <c r="B66">
        <f>VLOOKUP(A66,BCB_TX_JUROS!A:L,12,0)</f>
        <v>264.90160933434947</v>
      </c>
      <c r="C66">
        <f>VLOOKUP(A66,BCB_TX_JUROS!N:V,9,0)</f>
        <v>8.0540117414464429</v>
      </c>
      <c r="E66">
        <f>VLOOKUP(A66,BCB_selic!I:J,2,0)</f>
        <v>6.5</v>
      </c>
      <c r="G66">
        <f t="shared" ref="G66:G97" si="4">B66/E66</f>
        <v>40.754093743746076</v>
      </c>
      <c r="K66">
        <f t="shared" ref="K66:K97" si="5">C66/E66</f>
        <v>1.239078729453299</v>
      </c>
    </row>
    <row r="67" spans="1:11" x14ac:dyDescent="0.25">
      <c r="A67" s="9">
        <v>43252</v>
      </c>
      <c r="B67">
        <f>VLOOKUP(A67,BCB_TX_JUROS!A:L,12,0)</f>
        <v>255.67593563626397</v>
      </c>
      <c r="C67">
        <f>VLOOKUP(A67,BCB_TX_JUROS!N:V,9,0)</f>
        <v>8.0406801201465399</v>
      </c>
      <c r="E67">
        <f>VLOOKUP(A67,BCB_selic!I:J,2,0)</f>
        <v>6.5</v>
      </c>
      <c r="G67">
        <f t="shared" si="4"/>
        <v>39.334759328655998</v>
      </c>
      <c r="K67">
        <f t="shared" si="5"/>
        <v>1.2370277107917753</v>
      </c>
    </row>
    <row r="68" spans="1:11" x14ac:dyDescent="0.25">
      <c r="A68" s="9">
        <v>43282</v>
      </c>
      <c r="B68">
        <f>VLOOKUP(A68,BCB_TX_JUROS!A:L,12,0)</f>
        <v>245.8973474623096</v>
      </c>
      <c r="C68">
        <f>VLOOKUP(A68,BCB_TX_JUROS!N:V,9,0)</f>
        <v>7.9996626765243963</v>
      </c>
      <c r="E68">
        <f>VLOOKUP(A68,BCB_selic!I:J,2,0)</f>
        <v>6.5</v>
      </c>
      <c r="G68">
        <f t="shared" si="4"/>
        <v>37.830361148047629</v>
      </c>
      <c r="K68">
        <f t="shared" si="5"/>
        <v>1.2307173348499072</v>
      </c>
    </row>
    <row r="69" spans="1:11" x14ac:dyDescent="0.25">
      <c r="A69" s="9">
        <v>43313</v>
      </c>
      <c r="B69">
        <f>VLOOKUP(A69,BCB_TX_JUROS!A:L,12,0)</f>
        <v>246.54014556386221</v>
      </c>
      <c r="C69">
        <f>VLOOKUP(A69,BCB_TX_JUROS!N:V,9,0)</f>
        <v>7.9841286914601728</v>
      </c>
      <c r="E69">
        <f>VLOOKUP(A69,BCB_selic!I:J,2,0)</f>
        <v>6.5</v>
      </c>
      <c r="G69">
        <f t="shared" si="4"/>
        <v>37.929253163671106</v>
      </c>
      <c r="K69">
        <f t="shared" si="5"/>
        <v>1.2283274909938728</v>
      </c>
    </row>
    <row r="70" spans="1:11" x14ac:dyDescent="0.25">
      <c r="A70" s="9">
        <v>43344</v>
      </c>
      <c r="B70">
        <f>VLOOKUP(A70,BCB_TX_JUROS!A:L,12,0)</f>
        <v>245.01572136476557</v>
      </c>
      <c r="C70">
        <f>VLOOKUP(A70,BCB_TX_JUROS!N:V,9,0)</f>
        <v>7.7125049580136755</v>
      </c>
      <c r="E70">
        <f>VLOOKUP(A70,BCB_selic!I:J,2,0)</f>
        <v>6.5</v>
      </c>
      <c r="G70">
        <f t="shared" si="4"/>
        <v>37.694726363810091</v>
      </c>
      <c r="K70">
        <f t="shared" si="5"/>
        <v>1.1865392243097963</v>
      </c>
    </row>
    <row r="71" spans="1:11" x14ac:dyDescent="0.25">
      <c r="A71" s="9">
        <v>43374</v>
      </c>
      <c r="B71">
        <f>VLOOKUP(A71,BCB_TX_JUROS!A:L,12,0)</f>
        <v>245.06802788818996</v>
      </c>
      <c r="C71">
        <f>VLOOKUP(A71,BCB_TX_JUROS!N:V,9,0)</f>
        <v>7.7866432955176332</v>
      </c>
      <c r="E71">
        <f>VLOOKUP(A71,BCB_selic!I:J,2,0)</f>
        <v>6.5</v>
      </c>
      <c r="G71">
        <f t="shared" si="4"/>
        <v>37.702773521259992</v>
      </c>
      <c r="K71">
        <f t="shared" si="5"/>
        <v>1.1979451223873281</v>
      </c>
    </row>
    <row r="72" spans="1:11" x14ac:dyDescent="0.25">
      <c r="A72" s="9">
        <v>43405</v>
      </c>
      <c r="B72">
        <f>VLOOKUP(A72,BCB_TX_JUROS!A:L,12,0)</f>
        <v>247.9265621724029</v>
      </c>
      <c r="C72">
        <f>VLOOKUP(A72,BCB_TX_JUROS!N:V,9,0)</f>
        <v>7.8609542277059106</v>
      </c>
      <c r="E72">
        <f>VLOOKUP(A72,BCB_selic!I:J,2,0)</f>
        <v>6.5</v>
      </c>
      <c r="G72">
        <f t="shared" si="4"/>
        <v>38.142548026523521</v>
      </c>
      <c r="K72">
        <f t="shared" si="5"/>
        <v>1.2093775734932171</v>
      </c>
    </row>
    <row r="73" spans="1:11" x14ac:dyDescent="0.25">
      <c r="A73" s="9">
        <v>43435</v>
      </c>
      <c r="B73">
        <f>VLOOKUP(A73,BCB_TX_JUROS!A:L,12,0)</f>
        <v>248.59319415776133</v>
      </c>
      <c r="C73">
        <f>VLOOKUP(A73,BCB_TX_JUROS!N:V,9,0)</f>
        <v>7.8513641445955491</v>
      </c>
      <c r="E73">
        <f>VLOOKUP(A73,BCB_selic!I:J,2,0)</f>
        <v>6.5</v>
      </c>
      <c r="G73">
        <f t="shared" si="4"/>
        <v>38.245106793501741</v>
      </c>
      <c r="K73">
        <f t="shared" si="5"/>
        <v>1.2079021760916229</v>
      </c>
    </row>
    <row r="74" spans="1:11" x14ac:dyDescent="0.25">
      <c r="A74" s="9">
        <v>43466</v>
      </c>
      <c r="B74">
        <f>VLOOKUP(A74,BCB_TX_JUROS!A:L,12,0)</f>
        <v>249.77469791367534</v>
      </c>
      <c r="C74">
        <f>VLOOKUP(A74,BCB_TX_JUROS!N:V,9,0)</f>
        <v>8.310203761022013</v>
      </c>
      <c r="E74">
        <f>VLOOKUP(A74,BCB_selic!I:J,2,0)</f>
        <v>6.5</v>
      </c>
      <c r="G74">
        <f t="shared" si="4"/>
        <v>38.426876602103896</v>
      </c>
      <c r="K74">
        <f t="shared" si="5"/>
        <v>1.2784928863110789</v>
      </c>
    </row>
    <row r="75" spans="1:11" x14ac:dyDescent="0.25">
      <c r="A75" s="9">
        <v>43497</v>
      </c>
      <c r="B75">
        <f>VLOOKUP(A75,BCB_TX_JUROS!A:L,12,0)</f>
        <v>255.19784109786929</v>
      </c>
      <c r="C75">
        <f>VLOOKUP(A75,BCB_TX_JUROS!N:V,9,0)</f>
        <v>7.714782345878497</v>
      </c>
      <c r="E75">
        <f>VLOOKUP(A75,BCB_selic!I:J,2,0)</f>
        <v>6.5</v>
      </c>
      <c r="G75">
        <f t="shared" si="4"/>
        <v>39.261206322749118</v>
      </c>
      <c r="K75">
        <f t="shared" si="5"/>
        <v>1.1868895916736149</v>
      </c>
    </row>
    <row r="76" spans="1:11" x14ac:dyDescent="0.25">
      <c r="A76" s="9">
        <v>43525</v>
      </c>
      <c r="B76">
        <f>VLOOKUP(A76,BCB_TX_JUROS!A:L,12,0)</f>
        <v>259.72937597409657</v>
      </c>
      <c r="C76">
        <f>VLOOKUP(A76,BCB_TX_JUROS!N:V,9,0)</f>
        <v>7.801692131530551</v>
      </c>
      <c r="E76">
        <f>VLOOKUP(A76,BCB_selic!I:J,2,0)</f>
        <v>6.5</v>
      </c>
      <c r="G76">
        <f t="shared" si="4"/>
        <v>39.958365534476393</v>
      </c>
      <c r="K76">
        <f t="shared" si="5"/>
        <v>1.200260327927777</v>
      </c>
    </row>
    <row r="77" spans="1:11" x14ac:dyDescent="0.25">
      <c r="A77" s="9">
        <v>43556</v>
      </c>
      <c r="B77">
        <f>VLOOKUP(A77,BCB_TX_JUROS!A:L,12,0)</f>
        <v>257.64115712232569</v>
      </c>
      <c r="C77">
        <f>VLOOKUP(A77,BCB_TX_JUROS!N:V,9,0)</f>
        <v>7.822319035227622</v>
      </c>
      <c r="E77">
        <f>VLOOKUP(A77,BCB_selic!I:J,2,0)</f>
        <v>6.5</v>
      </c>
      <c r="G77">
        <f t="shared" si="4"/>
        <v>39.637101095742416</v>
      </c>
      <c r="K77">
        <f t="shared" si="5"/>
        <v>1.2034336977273266</v>
      </c>
    </row>
    <row r="78" spans="1:11" x14ac:dyDescent="0.25">
      <c r="A78" s="9">
        <v>43586</v>
      </c>
      <c r="B78">
        <f>VLOOKUP(A78,BCB_TX_JUROS!A:L,12,0)</f>
        <v>257.65121458333334</v>
      </c>
      <c r="C78">
        <f>VLOOKUP(A78,BCB_TX_JUROS!N:V,9,0)</f>
        <v>7.8570271961318721</v>
      </c>
      <c r="E78">
        <f>VLOOKUP(A78,BCB_selic!I:J,2,0)</f>
        <v>6.5</v>
      </c>
      <c r="G78">
        <f t="shared" si="4"/>
        <v>39.638648397435901</v>
      </c>
      <c r="K78">
        <f t="shared" si="5"/>
        <v>1.2087734147895188</v>
      </c>
    </row>
    <row r="79" spans="1:11" x14ac:dyDescent="0.25">
      <c r="A79" s="9">
        <v>43617</v>
      </c>
      <c r="B79">
        <f>VLOOKUP(A79,BCB_TX_JUROS!A:L,12,0)</f>
        <v>258.41030026183648</v>
      </c>
      <c r="C79">
        <f>VLOOKUP(A79,BCB_TX_JUROS!N:V,9,0)</f>
        <v>7.7400355516523547</v>
      </c>
      <c r="E79">
        <f>VLOOKUP(A79,BCB_selic!I:J,2,0)</f>
        <v>6.5</v>
      </c>
      <c r="G79">
        <f t="shared" si="4"/>
        <v>39.755430809513307</v>
      </c>
      <c r="K79">
        <f t="shared" si="5"/>
        <v>1.1907747002542084</v>
      </c>
    </row>
    <row r="80" spans="1:11" x14ac:dyDescent="0.25">
      <c r="A80" s="9">
        <v>43647</v>
      </c>
      <c r="B80">
        <f>VLOOKUP(A80,BCB_TX_JUROS!A:L,12,0)</f>
        <v>256.93600308641976</v>
      </c>
      <c r="C80">
        <f>VLOOKUP(A80,BCB_TX_JUROS!N:V,9,0)</f>
        <v>7.8152163157801073</v>
      </c>
      <c r="E80">
        <f>VLOOKUP(A80,BCB_selic!I:J,2,0)</f>
        <v>6.5</v>
      </c>
      <c r="G80">
        <f t="shared" si="4"/>
        <v>39.528615859449197</v>
      </c>
      <c r="K80">
        <f t="shared" si="5"/>
        <v>1.2023409716584781</v>
      </c>
    </row>
    <row r="81" spans="1:11" x14ac:dyDescent="0.25">
      <c r="A81" s="9">
        <v>43678</v>
      </c>
      <c r="B81">
        <f>VLOOKUP(A81,BCB_TX_JUROS!A:L,12,0)</f>
        <v>256.39692264506118</v>
      </c>
      <c r="C81">
        <f>VLOOKUP(A81,BCB_TX_JUROS!N:V,9,0)</f>
        <v>8.3040416622999711</v>
      </c>
      <c r="E81">
        <f>VLOOKUP(A81,BCB_selic!I:J,2,0)</f>
        <v>6</v>
      </c>
      <c r="G81">
        <f t="shared" si="4"/>
        <v>42.732820440843533</v>
      </c>
      <c r="K81">
        <f t="shared" si="5"/>
        <v>1.3840069437166618</v>
      </c>
    </row>
    <row r="82" spans="1:11" x14ac:dyDescent="0.25">
      <c r="A82" s="9">
        <v>43709</v>
      </c>
      <c r="B82">
        <f>VLOOKUP(A82,BCB_TX_JUROS!A:L,12,0)</f>
        <v>254.80758317089021</v>
      </c>
      <c r="C82">
        <f>VLOOKUP(A82,BCB_TX_JUROS!N:V,9,0)</f>
        <v>7.6474420142820314</v>
      </c>
      <c r="E82">
        <f>VLOOKUP(A82,BCB_selic!I:J,2,0)</f>
        <v>5.8</v>
      </c>
      <c r="G82">
        <f t="shared" si="4"/>
        <v>43.932341926015553</v>
      </c>
      <c r="K82">
        <f t="shared" si="5"/>
        <v>1.31852448522104</v>
      </c>
    </row>
    <row r="83" spans="1:11" x14ac:dyDescent="0.25">
      <c r="A83" s="9">
        <v>43739</v>
      </c>
      <c r="B83">
        <f>VLOOKUP(A83,BCB_TX_JUROS!A:L,12,0)</f>
        <v>261.14476481195823</v>
      </c>
      <c r="C83">
        <f>VLOOKUP(A83,BCB_TX_JUROS!N:V,9,0)</f>
        <v>7.4026534787564326</v>
      </c>
      <c r="E83">
        <f>VLOOKUP(A83,BCB_selic!I:J,2,0)</f>
        <v>5.4838709677419351</v>
      </c>
      <c r="G83">
        <f t="shared" si="4"/>
        <v>47.620515936298268</v>
      </c>
      <c r="K83">
        <f t="shared" si="5"/>
        <v>1.3498956343614672</v>
      </c>
    </row>
    <row r="84" spans="1:11" x14ac:dyDescent="0.25">
      <c r="A84" s="9">
        <v>43770</v>
      </c>
      <c r="B84">
        <f>VLOOKUP(A84,BCB_TX_JUROS!A:L,12,0)</f>
        <v>264.1012791746839</v>
      </c>
      <c r="C84">
        <f>VLOOKUP(A84,BCB_TX_JUROS!N:V,9,0)</f>
        <v>7.2331393673285467</v>
      </c>
      <c r="E84">
        <f>VLOOKUP(A84,BCB_selic!I:J,2,0)</f>
        <v>5</v>
      </c>
      <c r="G84">
        <f t="shared" si="4"/>
        <v>52.820255834936781</v>
      </c>
      <c r="K84">
        <f t="shared" si="5"/>
        <v>1.4466278734657094</v>
      </c>
    </row>
    <row r="85" spans="1:11" x14ac:dyDescent="0.25">
      <c r="A85" s="9">
        <v>43800</v>
      </c>
      <c r="B85">
        <f>VLOOKUP(A85,BCB_TX_JUROS!A:L,12,0)</f>
        <v>259.79852767896847</v>
      </c>
      <c r="C85">
        <f>VLOOKUP(A85,BCB_TX_JUROS!N:V,9,0)</f>
        <v>7.2549518129307451</v>
      </c>
      <c r="E85">
        <f>VLOOKUP(A85,BCB_selic!I:J,2,0)</f>
        <v>4.67741935483871</v>
      </c>
      <c r="G85">
        <f t="shared" si="4"/>
        <v>55.543133503779465</v>
      </c>
      <c r="K85">
        <f t="shared" si="5"/>
        <v>1.5510586634541592</v>
      </c>
    </row>
    <row r="86" spans="1:11" x14ac:dyDescent="0.25">
      <c r="A86" s="9">
        <v>43831</v>
      </c>
      <c r="B86">
        <f>VLOOKUP(A86,BCB_TX_JUROS!A:L,12,0)</f>
        <v>231.64961017919441</v>
      </c>
      <c r="C86">
        <f>VLOOKUP(A86,BCB_TX_JUROS!N:V,9,0)</f>
        <v>7.4079283522421155</v>
      </c>
      <c r="E86">
        <f>VLOOKUP(A86,BCB_selic!I:J,2,0)</f>
        <v>4.5</v>
      </c>
      <c r="G86">
        <f t="shared" si="4"/>
        <v>51.477691150932088</v>
      </c>
      <c r="K86">
        <f t="shared" si="5"/>
        <v>1.6462063004982479</v>
      </c>
    </row>
    <row r="87" spans="1:11" x14ac:dyDescent="0.25">
      <c r="A87" s="9">
        <v>43862</v>
      </c>
      <c r="B87">
        <f>VLOOKUP(A87,BCB_TX_JUROS!A:L,12,0)</f>
        <v>232.90953515629087</v>
      </c>
      <c r="C87">
        <f>VLOOKUP(A87,BCB_TX_JUROS!N:V,9,0)</f>
        <v>7.3397441195539121</v>
      </c>
      <c r="E87">
        <f>VLOOKUP(A87,BCB_selic!I:J,2,0)</f>
        <v>4.2931034482758621</v>
      </c>
      <c r="G87">
        <f t="shared" si="4"/>
        <v>54.252020237208313</v>
      </c>
      <c r="K87">
        <f t="shared" si="5"/>
        <v>1.7096592728278188</v>
      </c>
    </row>
    <row r="88" spans="1:11" x14ac:dyDescent="0.25">
      <c r="A88" s="9">
        <v>43891</v>
      </c>
      <c r="B88">
        <f>VLOOKUP(A88,BCB_TX_JUROS!A:L,12,0)</f>
        <v>232.09939495467086</v>
      </c>
      <c r="C88">
        <f>VLOOKUP(A88,BCB_TX_JUROS!N:V,9,0)</f>
        <v>7.1517949620463037</v>
      </c>
      <c r="E88">
        <f>VLOOKUP(A88,BCB_selic!I:J,2,0)</f>
        <v>4.040322580645161</v>
      </c>
      <c r="G88">
        <f t="shared" si="4"/>
        <v>57.445758431894589</v>
      </c>
      <c r="K88">
        <f t="shared" si="5"/>
        <v>1.7701049407060714</v>
      </c>
    </row>
    <row r="89" spans="1:11" x14ac:dyDescent="0.25">
      <c r="A89" s="9">
        <v>43922</v>
      </c>
      <c r="B89">
        <f>VLOOKUP(A89,BCB_TX_JUROS!A:L,12,0)</f>
        <v>212.53004624908584</v>
      </c>
      <c r="C89">
        <f>VLOOKUP(A89,BCB_TX_JUROS!N:V,9,0)</f>
        <v>7.2181179835428715</v>
      </c>
      <c r="E89">
        <f>VLOOKUP(A89,BCB_selic!I:J,2,0)</f>
        <v>3.75</v>
      </c>
      <c r="G89">
        <f t="shared" si="4"/>
        <v>56.674678999756225</v>
      </c>
      <c r="K89">
        <f t="shared" si="5"/>
        <v>1.9248314622780991</v>
      </c>
    </row>
    <row r="90" spans="1:11" x14ac:dyDescent="0.25">
      <c r="A90" s="9">
        <v>43952</v>
      </c>
      <c r="B90">
        <f>VLOOKUP(A90,BCB_TX_JUROS!A:L,12,0)</f>
        <v>203.73189193576309</v>
      </c>
      <c r="C90">
        <f>VLOOKUP(A90,BCB_TX_JUROS!N:V,9,0)</f>
        <v>7.1665848219696047</v>
      </c>
      <c r="E90">
        <f>VLOOKUP(A90,BCB_selic!I:J,2,0)</f>
        <v>3.1451612903225805</v>
      </c>
      <c r="G90">
        <f t="shared" si="4"/>
        <v>64.776293846242623</v>
      </c>
      <c r="K90">
        <f t="shared" si="5"/>
        <v>2.2786064562159769</v>
      </c>
    </row>
    <row r="91" spans="1:11" x14ac:dyDescent="0.25">
      <c r="A91" s="9">
        <v>43983</v>
      </c>
      <c r="B91">
        <f>VLOOKUP(A91,BCB_TX_JUROS!A:L,12,0)</f>
        <v>189.79876596748642</v>
      </c>
      <c r="C91">
        <f>VLOOKUP(A91,BCB_TX_JUROS!N:V,9,0)</f>
        <v>7.1720102547956905</v>
      </c>
      <c r="E91">
        <f>VLOOKUP(A91,BCB_selic!I:J,2,0)</f>
        <v>2.6749999999999998</v>
      </c>
      <c r="G91">
        <f t="shared" si="4"/>
        <v>70.952809707471559</v>
      </c>
      <c r="K91">
        <f t="shared" si="5"/>
        <v>2.6811253288955856</v>
      </c>
    </row>
    <row r="92" spans="1:11" x14ac:dyDescent="0.25">
      <c r="A92" s="9">
        <v>44013</v>
      </c>
      <c r="B92">
        <f>VLOOKUP(A92,BCB_TX_JUROS!A:L,12,0)</f>
        <v>202.93138060927524</v>
      </c>
      <c r="C92">
        <f>VLOOKUP(A92,BCB_TX_JUROS!N:V,9,0)</f>
        <v>7.1583233456547664</v>
      </c>
      <c r="E92">
        <f>VLOOKUP(A92,BCB_selic!I:J,2,0)</f>
        <v>2.25</v>
      </c>
      <c r="G92">
        <f t="shared" si="4"/>
        <v>90.191724715233434</v>
      </c>
      <c r="K92">
        <f t="shared" si="5"/>
        <v>3.1814770425132295</v>
      </c>
    </row>
    <row r="93" spans="1:11" x14ac:dyDescent="0.25">
      <c r="A93" s="9">
        <v>44044</v>
      </c>
      <c r="B93">
        <f>VLOOKUP(A93,BCB_TX_JUROS!A:L,12,0)</f>
        <v>203.64276259969455</v>
      </c>
      <c r="C93">
        <f>VLOOKUP(A93,BCB_TX_JUROS!N:V,9,0)</f>
        <v>7.1611605678635648</v>
      </c>
      <c r="E93">
        <f>VLOOKUP(A93,BCB_selic!I:J,2,0)</f>
        <v>2.0403225806451615</v>
      </c>
      <c r="G93">
        <f t="shared" si="4"/>
        <v>99.809101037004439</v>
      </c>
      <c r="K93">
        <f t="shared" si="5"/>
        <v>3.5098178277275967</v>
      </c>
    </row>
    <row r="94" spans="1:11" x14ac:dyDescent="0.25">
      <c r="A94" s="9">
        <v>44075</v>
      </c>
      <c r="B94">
        <f>VLOOKUP(A94,BCB_TX_JUROS!A:L,12,0)</f>
        <v>205.79911311406022</v>
      </c>
      <c r="C94">
        <f>VLOOKUP(A94,BCB_TX_JUROS!N:V,9,0)</f>
        <v>7.1525084577720186</v>
      </c>
      <c r="E94">
        <f>VLOOKUP(A94,BCB_selic!I:J,2,0)</f>
        <v>2</v>
      </c>
      <c r="G94">
        <f t="shared" si="4"/>
        <v>102.89955655703011</v>
      </c>
      <c r="K94">
        <f t="shared" si="5"/>
        <v>3.5762542288860093</v>
      </c>
    </row>
    <row r="95" spans="1:11" x14ac:dyDescent="0.25">
      <c r="A95" s="9">
        <v>44105</v>
      </c>
      <c r="B95">
        <f>VLOOKUP(A95,BCB_TX_JUROS!A:L,12,0)</f>
        <v>209.75769789433866</v>
      </c>
      <c r="C95">
        <f>VLOOKUP(A95,BCB_TX_JUROS!N:V,9,0)</f>
        <v>7.0661797959002266</v>
      </c>
      <c r="E95">
        <f>VLOOKUP(A95,BCB_selic!I:J,2,0)</f>
        <v>2</v>
      </c>
      <c r="G95">
        <f t="shared" si="4"/>
        <v>104.87884894716933</v>
      </c>
      <c r="K95">
        <f t="shared" si="5"/>
        <v>3.5330898979501133</v>
      </c>
    </row>
    <row r="96" spans="1:11" x14ac:dyDescent="0.25">
      <c r="A96" s="9">
        <v>44136</v>
      </c>
      <c r="B96">
        <f>VLOOKUP(A96,BCB_TX_JUROS!A:L,12,0)</f>
        <v>212.32035140637961</v>
      </c>
      <c r="C96">
        <f>VLOOKUP(A96,BCB_TX_JUROS!N:V,9,0)</f>
        <v>7.0390798892447455</v>
      </c>
      <c r="E96">
        <f>VLOOKUP(A96,BCB_selic!I:J,2,0)</f>
        <v>2</v>
      </c>
      <c r="G96">
        <f t="shared" si="4"/>
        <v>106.16017570318981</v>
      </c>
      <c r="K96">
        <f t="shared" si="5"/>
        <v>3.5195399446223727</v>
      </c>
    </row>
    <row r="97" spans="1:11" x14ac:dyDescent="0.25">
      <c r="A97" s="9">
        <v>44166</v>
      </c>
      <c r="B97">
        <f>VLOOKUP(A97,BCB_TX_JUROS!A:L,12,0)</f>
        <v>215.14306071505263</v>
      </c>
      <c r="C97">
        <f>VLOOKUP(A97,BCB_TX_JUROS!N:V,9,0)</f>
        <v>7.0377829850210789</v>
      </c>
      <c r="E97">
        <f>VLOOKUP(A97,BCB_selic!I:J,2,0)</f>
        <v>2</v>
      </c>
      <c r="G97">
        <f t="shared" si="4"/>
        <v>107.57153035752631</v>
      </c>
      <c r="K97">
        <f t="shared" si="5"/>
        <v>3.5188914925105395</v>
      </c>
    </row>
    <row r="98" spans="1:11" x14ac:dyDescent="0.25">
      <c r="A98" s="9">
        <v>44197</v>
      </c>
      <c r="B98">
        <f>VLOOKUP(A98,BCB_TX_JUROS!A:L,12,0)</f>
        <v>219.5106400847589</v>
      </c>
      <c r="C98">
        <f>VLOOKUP(A98,BCB_TX_JUROS!N:V,9,0)</f>
        <v>7.0014059906653445</v>
      </c>
      <c r="E98">
        <f>VLOOKUP(A98,BCB_selic!I:J,2,0)</f>
        <v>2</v>
      </c>
      <c r="G98">
        <f t="shared" ref="G98:G129" si="6">B98/E98</f>
        <v>109.75532004237945</v>
      </c>
      <c r="K98">
        <f t="shared" ref="K98:K129" si="7">C98/E98</f>
        <v>3.5007029953326723</v>
      </c>
    </row>
    <row r="99" spans="1:11" x14ac:dyDescent="0.25">
      <c r="A99" s="9">
        <v>44228</v>
      </c>
      <c r="B99">
        <f>VLOOKUP(A99,BCB_TX_JUROS!A:L,12,0)</f>
        <v>222.47155934890867</v>
      </c>
      <c r="C99">
        <f>VLOOKUP(A99,BCB_TX_JUROS!N:V,9,0)</f>
        <v>6.9905419119027385</v>
      </c>
      <c r="E99">
        <f>VLOOKUP(A99,BCB_selic!I:J,2,0)</f>
        <v>2</v>
      </c>
      <c r="G99">
        <f t="shared" si="6"/>
        <v>111.23577967445434</v>
      </c>
      <c r="K99">
        <f t="shared" si="7"/>
        <v>3.4952709559513693</v>
      </c>
    </row>
    <row r="100" spans="1:11" x14ac:dyDescent="0.25">
      <c r="A100" s="9">
        <v>44256</v>
      </c>
      <c r="B100">
        <f>VLOOKUP(A100,BCB_TX_JUROS!A:L,12,0)</f>
        <v>221.50716794186582</v>
      </c>
      <c r="C100">
        <f>VLOOKUP(A100,BCB_TX_JUROS!N:V,9,0)</f>
        <v>6.8888348554126937</v>
      </c>
      <c r="E100">
        <f>VLOOKUP(A100,BCB_selic!I:J,2,0)</f>
        <v>2.338709677419355</v>
      </c>
      <c r="G100">
        <f t="shared" si="6"/>
        <v>94.713409740659856</v>
      </c>
      <c r="K100">
        <f t="shared" si="7"/>
        <v>2.9455707657626689</v>
      </c>
    </row>
    <row r="101" spans="1:11" x14ac:dyDescent="0.25">
      <c r="A101" s="9">
        <v>44287</v>
      </c>
      <c r="B101">
        <f>VLOOKUP(A101,BCB_TX_JUROS!A:L,12,0)</f>
        <v>221.98748030439768</v>
      </c>
      <c r="C101">
        <f>VLOOKUP(A101,BCB_TX_JUROS!N:V,9,0)</f>
        <v>6.6828182197209403</v>
      </c>
      <c r="E101">
        <f>VLOOKUP(A101,BCB_selic!I:J,2,0)</f>
        <v>2.75</v>
      </c>
      <c r="G101">
        <f t="shared" si="6"/>
        <v>80.722720110690062</v>
      </c>
      <c r="K101">
        <f t="shared" si="7"/>
        <v>2.4301157162621601</v>
      </c>
    </row>
    <row r="102" spans="1:11" x14ac:dyDescent="0.25">
      <c r="A102" s="9">
        <v>44317</v>
      </c>
      <c r="B102">
        <f>VLOOKUP(A102,BCB_TX_JUROS!A:L,12,0)</f>
        <v>218.29581161256706</v>
      </c>
      <c r="C102">
        <f>VLOOKUP(A102,BCB_TX_JUROS!N:V,9,0)</f>
        <v>6.6447343525568083</v>
      </c>
      <c r="E102">
        <f>VLOOKUP(A102,BCB_selic!I:J,2,0)</f>
        <v>3.379032258064516</v>
      </c>
      <c r="G102">
        <f t="shared" si="6"/>
        <v>64.603056419948246</v>
      </c>
      <c r="K102">
        <f t="shared" si="7"/>
        <v>1.9664607630478383</v>
      </c>
    </row>
    <row r="103" spans="1:11" x14ac:dyDescent="0.25">
      <c r="A103" s="9">
        <v>44348</v>
      </c>
      <c r="B103">
        <f>VLOOKUP(A103,BCB_TX_JUROS!A:L,12,0)</f>
        <v>219.6924976731199</v>
      </c>
      <c r="C103">
        <f>VLOOKUP(A103,BCB_TX_JUROS!N:V,9,0)</f>
        <v>6.7059630729788378</v>
      </c>
      <c r="E103">
        <f>VLOOKUP(A103,BCB_selic!I:J,2,0)</f>
        <v>3.85</v>
      </c>
      <c r="G103">
        <f t="shared" si="6"/>
        <v>57.062986408602569</v>
      </c>
      <c r="K103">
        <f t="shared" si="7"/>
        <v>1.7418085903841136</v>
      </c>
    </row>
    <row r="104" spans="1:11" x14ac:dyDescent="0.25">
      <c r="A104" s="9">
        <v>44378</v>
      </c>
      <c r="B104">
        <f>VLOOKUP(A104,BCB_TX_JUROS!A:L,12,0)</f>
        <v>219.82183765803273</v>
      </c>
      <c r="C104">
        <f>VLOOKUP(A104,BCB_TX_JUROS!N:V,9,0)</f>
        <v>6.8307562483594566</v>
      </c>
      <c r="E104">
        <f>VLOOKUP(A104,BCB_selic!I:J,2,0)</f>
        <v>4.25</v>
      </c>
      <c r="G104">
        <f t="shared" si="6"/>
        <v>51.722785331301822</v>
      </c>
      <c r="K104">
        <f t="shared" si="7"/>
        <v>1.6072367643198722</v>
      </c>
    </row>
    <row r="105" spans="1:11" x14ac:dyDescent="0.25">
      <c r="A105" s="9">
        <v>44409</v>
      </c>
      <c r="B105">
        <f>VLOOKUP(A105,BCB_TX_JUROS!A:L,12,0)</f>
        <v>222.3823698665384</v>
      </c>
      <c r="C105">
        <f>VLOOKUP(A105,BCB_TX_JUROS!N:V,9,0)</f>
        <v>6.9488028122993892</v>
      </c>
      <c r="E105">
        <f>VLOOKUP(A105,BCB_selic!I:J,2,0)</f>
        <v>5.120967741935484</v>
      </c>
      <c r="G105">
        <f t="shared" si="6"/>
        <v>43.425848603859464</v>
      </c>
      <c r="K105">
        <f t="shared" si="7"/>
        <v>1.3569315727954712</v>
      </c>
    </row>
    <row r="106" spans="1:11" x14ac:dyDescent="0.25">
      <c r="A106" s="9">
        <v>44440</v>
      </c>
      <c r="B106">
        <f>VLOOKUP(A106,BCB_TX_JUROS!A:L,12,0)</f>
        <v>227.21958066930398</v>
      </c>
      <c r="C106">
        <f>VLOOKUP(A106,BCB_TX_JUROS!N:V,9,0)</f>
        <v>7.1799807771401092</v>
      </c>
      <c r="E106">
        <f>VLOOKUP(A106,BCB_selic!I:J,2,0)</f>
        <v>5.5166666666666666</v>
      </c>
      <c r="G106">
        <f t="shared" si="6"/>
        <v>41.187839396248457</v>
      </c>
      <c r="K106">
        <f t="shared" si="7"/>
        <v>1.3015070895118024</v>
      </c>
    </row>
    <row r="107" spans="1:11" x14ac:dyDescent="0.25">
      <c r="A107" s="9">
        <v>44470</v>
      </c>
      <c r="B107">
        <f>VLOOKUP(A107,BCB_TX_JUROS!A:L,12,0)</f>
        <v>231.78308867434777</v>
      </c>
      <c r="C107">
        <f>VLOOKUP(A107,BCB_TX_JUROS!N:V,9,0)</f>
        <v>7.4806039259439006</v>
      </c>
      <c r="E107">
        <f>VLOOKUP(A107,BCB_selic!I:J,2,0)</f>
        <v>6.443548387096774</v>
      </c>
      <c r="G107">
        <f t="shared" si="6"/>
        <v>35.971342923177879</v>
      </c>
      <c r="K107">
        <f t="shared" si="7"/>
        <v>1.1609447895081899</v>
      </c>
    </row>
    <row r="108" spans="1:11" x14ac:dyDescent="0.25">
      <c r="A108" s="9">
        <v>44501</v>
      </c>
      <c r="B108">
        <f>VLOOKUP(A108,BCB_TX_JUROS!A:L,12,0)</f>
        <v>232.64980857920227</v>
      </c>
      <c r="C108">
        <f>VLOOKUP(A108,BCB_TX_JUROS!N:V,9,0)</f>
        <v>7.7803720600638631</v>
      </c>
      <c r="E108">
        <f>VLOOKUP(A108,BCB_selic!I:J,2,0)</f>
        <v>7.75</v>
      </c>
      <c r="G108">
        <f t="shared" si="6"/>
        <v>30.019330139251906</v>
      </c>
      <c r="K108">
        <f t="shared" si="7"/>
        <v>1.0039189754921114</v>
      </c>
    </row>
    <row r="109" spans="1:11" x14ac:dyDescent="0.25">
      <c r="A109" s="9">
        <v>44531</v>
      </c>
      <c r="B109">
        <f>VLOOKUP(A109,BCB_TX_JUROS!A:L,12,0)</f>
        <v>236.27006375042387</v>
      </c>
      <c r="C109">
        <f>VLOOKUP(A109,BCB_TX_JUROS!N:V,9,0)</f>
        <v>8.8496766072550805</v>
      </c>
      <c r="E109">
        <f>VLOOKUP(A109,BCB_selic!I:J,2,0)</f>
        <v>8.862903225806452</v>
      </c>
      <c r="G109">
        <f t="shared" si="6"/>
        <v>26.658314745270754</v>
      </c>
      <c r="K109">
        <f t="shared" si="7"/>
        <v>0.9985076426748225</v>
      </c>
    </row>
    <row r="110" spans="1:11" x14ac:dyDescent="0.25">
      <c r="A110" s="9">
        <v>44562</v>
      </c>
      <c r="B110">
        <f>VLOOKUP(A110,BCB_TX_JUROS!A:L,12,0)</f>
        <v>236.83240772643285</v>
      </c>
      <c r="C110">
        <f>VLOOKUP(A110,BCB_TX_JUROS!N:V,9,0)</f>
        <v>9.3894982036583361</v>
      </c>
      <c r="E110">
        <f>VLOOKUP(A110,BCB_selic!I:J,2,0)</f>
        <v>9.25</v>
      </c>
      <c r="G110">
        <f t="shared" si="6"/>
        <v>25.60350353799274</v>
      </c>
      <c r="K110">
        <f t="shared" si="7"/>
        <v>1.0150808868819823</v>
      </c>
    </row>
    <row r="111" spans="1:11" x14ac:dyDescent="0.25">
      <c r="A111" s="9">
        <v>44593</v>
      </c>
      <c r="B111">
        <f>VLOOKUP(A111,BCB_TX_JUROS!A:L,12,0)</f>
        <v>247.2642834364006</v>
      </c>
      <c r="C111">
        <f>VLOOKUP(A111,BCB_TX_JUROS!N:V,9,0)</f>
        <v>8.1387805048522175</v>
      </c>
      <c r="E111">
        <f>VLOOKUP(A111,BCB_selic!I:J,2,0)</f>
        <v>10.642857142857142</v>
      </c>
      <c r="G111">
        <f t="shared" si="6"/>
        <v>23.232885692010797</v>
      </c>
      <c r="K111">
        <f t="shared" si="7"/>
        <v>0.76471763132839632</v>
      </c>
    </row>
    <row r="112" spans="1:11" x14ac:dyDescent="0.25">
      <c r="A112" s="9">
        <v>44621</v>
      </c>
      <c r="B112">
        <f>VLOOKUP(A112,BCB_TX_JUROS!A:L,12,0)</f>
        <v>243.38321367168126</v>
      </c>
      <c r="C112">
        <f>VLOOKUP(A112,BCB_TX_JUROS!N:V,9,0)</f>
        <v>9.3952264033491257</v>
      </c>
      <c r="E112">
        <f>VLOOKUP(A112,BCB_selic!I:J,2,0)</f>
        <v>11.233870967741936</v>
      </c>
      <c r="G112">
        <f t="shared" si="6"/>
        <v>21.665124547945783</v>
      </c>
      <c r="K112">
        <f t="shared" si="7"/>
        <v>0.83633027567501184</v>
      </c>
    </row>
    <row r="113" spans="1:11" x14ac:dyDescent="0.25">
      <c r="A113" s="9">
        <v>44652</v>
      </c>
      <c r="B113">
        <f>VLOOKUP(A113,BCB_TX_JUROS!A:L,12,0)</f>
        <v>249.39081076577617</v>
      </c>
      <c r="C113">
        <f>VLOOKUP(A113,BCB_TX_JUROS!N:V,9,0)</f>
        <v>9.4135367204362144</v>
      </c>
      <c r="E113">
        <f>VLOOKUP(A113,BCB_selic!I:J,2,0)</f>
        <v>11.75</v>
      </c>
      <c r="G113">
        <f t="shared" si="6"/>
        <v>21.224749852406482</v>
      </c>
      <c r="K113">
        <f t="shared" si="7"/>
        <v>0.80115206131372041</v>
      </c>
    </row>
    <row r="114" spans="1:11" x14ac:dyDescent="0.25">
      <c r="A114" s="9">
        <v>44682</v>
      </c>
      <c r="B114">
        <f>VLOOKUP(A114,BCB_TX_JUROS!A:L,12,0)</f>
        <v>250.10275511379785</v>
      </c>
      <c r="C114">
        <f>VLOOKUP(A114,BCB_TX_JUROS!N:V,9,0)</f>
        <v>10.101756517243064</v>
      </c>
      <c r="E114">
        <f>VLOOKUP(A114,BCB_selic!I:J,2,0)</f>
        <v>12.620967741935484</v>
      </c>
      <c r="G114">
        <f t="shared" si="6"/>
        <v>19.816448328505388</v>
      </c>
      <c r="K114">
        <f t="shared" si="7"/>
        <v>0.800394765583476</v>
      </c>
    </row>
    <row r="115" spans="1:11" x14ac:dyDescent="0.25">
      <c r="A115" s="9">
        <v>44713</v>
      </c>
      <c r="B115">
        <f>VLOOKUP(A115,BCB_TX_JUROS!A:L,12,0)</f>
        <v>251.96044420814582</v>
      </c>
      <c r="C115">
        <f>VLOOKUP(A115,BCB_TX_JUROS!N:V,9,0)</f>
        <v>10.077471061013725</v>
      </c>
      <c r="E115">
        <f>VLOOKUP(A115,BCB_selic!I:J,2,0)</f>
        <v>13</v>
      </c>
      <c r="G115">
        <f t="shared" si="6"/>
        <v>19.381572631395834</v>
      </c>
      <c r="K115">
        <f t="shared" si="7"/>
        <v>0.77519008161644032</v>
      </c>
    </row>
    <row r="116" spans="1:11" x14ac:dyDescent="0.25">
      <c r="A116" s="9">
        <v>44743</v>
      </c>
      <c r="B116">
        <f>VLOOKUP(A116,BCB_TX_JUROS!A:L,12,0)</f>
        <v>267.06019604980804</v>
      </c>
      <c r="C116">
        <f>VLOOKUP(A116,BCB_TX_JUROS!N:V,9,0)</f>
        <v>10.661214564882863</v>
      </c>
      <c r="E116">
        <f>VLOOKUP(A116,BCB_selic!I:J,2,0)</f>
        <v>13.25</v>
      </c>
      <c r="G116">
        <f t="shared" si="6"/>
        <v>20.155486494325135</v>
      </c>
      <c r="K116">
        <f t="shared" si="7"/>
        <v>0.80461996716097084</v>
      </c>
    </row>
    <row r="117" spans="1:11" x14ac:dyDescent="0.25">
      <c r="A117" s="9">
        <v>44774</v>
      </c>
      <c r="B117">
        <f>VLOOKUP(A117,BCB_TX_JUROS!A:L,12,0)</f>
        <v>273.23990850250283</v>
      </c>
      <c r="C117">
        <f>VLOOKUP(A117,BCB_TX_JUROS!N:V,9,0)</f>
        <v>10.476134618432722</v>
      </c>
      <c r="E117">
        <f>VLOOKUP(A117,BCB_selic!I:J,2,0)</f>
        <v>13.701612903225806</v>
      </c>
      <c r="G117">
        <f t="shared" si="6"/>
        <v>19.942171073755357</v>
      </c>
      <c r="K117">
        <f t="shared" si="7"/>
        <v>0.76459134354659064</v>
      </c>
    </row>
    <row r="118" spans="1:11" x14ac:dyDescent="0.25">
      <c r="A118" s="9">
        <v>44805</v>
      </c>
      <c r="B118">
        <f>VLOOKUP(A118,BCB_TX_JUROS!A:L,12,0)</f>
        <v>271.96479560511688</v>
      </c>
      <c r="C118">
        <f>VLOOKUP(A118,BCB_TX_JUROS!N:V,9,0)</f>
        <v>10.131016199051817</v>
      </c>
      <c r="E118">
        <f>VLOOKUP(A118,BCB_selic!I:J,2,0)</f>
        <v>13.75</v>
      </c>
      <c r="G118">
        <f t="shared" si="6"/>
        <v>19.779257862190317</v>
      </c>
      <c r="K118">
        <f t="shared" si="7"/>
        <v>0.7368011781128595</v>
      </c>
    </row>
    <row r="119" spans="1:11" x14ac:dyDescent="0.25">
      <c r="A119" s="9">
        <v>44835</v>
      </c>
      <c r="B119">
        <f>VLOOKUP(A119,BCB_TX_JUROS!A:L,12,0)</f>
        <v>279.09867749312912</v>
      </c>
      <c r="C119">
        <f>VLOOKUP(A119,BCB_TX_JUROS!N:V,9,0)</f>
        <v>9.9623193839929076</v>
      </c>
      <c r="E119">
        <f>VLOOKUP(A119,BCB_selic!I:J,2,0)</f>
        <v>13.75</v>
      </c>
      <c r="G119">
        <f t="shared" si="6"/>
        <v>20.298085635863934</v>
      </c>
      <c r="K119">
        <f t="shared" si="7"/>
        <v>0.72453231883584779</v>
      </c>
    </row>
    <row r="120" spans="1:11" x14ac:dyDescent="0.25">
      <c r="A120" s="9">
        <v>44866</v>
      </c>
      <c r="B120">
        <f>VLOOKUP(A120,BCB_TX_JUROS!A:L,12,0)</f>
        <v>273.86003485310061</v>
      </c>
      <c r="C120">
        <f>VLOOKUP(A120,BCB_TX_JUROS!N:V,9,0)</f>
        <v>10.25159034615197</v>
      </c>
      <c r="E120">
        <f>VLOOKUP(A120,BCB_selic!I:J,2,0)</f>
        <v>13.75</v>
      </c>
      <c r="G120">
        <f t="shared" si="6"/>
        <v>19.917093443861862</v>
      </c>
      <c r="K120">
        <f t="shared" si="7"/>
        <v>0.74557020699287047</v>
      </c>
    </row>
    <row r="121" spans="1:11" x14ac:dyDescent="0.25">
      <c r="A121" s="9">
        <v>44896</v>
      </c>
      <c r="B121">
        <f>VLOOKUP(A121,BCB_TX_JUROS!A:L,12,0)</f>
        <v>282.37639634166476</v>
      </c>
      <c r="C121">
        <f>VLOOKUP(A121,BCB_TX_JUROS!N:V,9,0)</f>
        <v>10.479820604201441</v>
      </c>
      <c r="E121">
        <f>VLOOKUP(A121,BCB_selic!I:J,2,0)</f>
        <v>13.75</v>
      </c>
      <c r="G121">
        <f t="shared" si="6"/>
        <v>20.536465188484708</v>
      </c>
      <c r="K121">
        <f t="shared" si="7"/>
        <v>0.76216877121465021</v>
      </c>
    </row>
    <row r="122" spans="1:11" x14ac:dyDescent="0.25">
      <c r="A122" s="9">
        <v>44927</v>
      </c>
      <c r="B122">
        <f>VLOOKUP(A122,BCB_TX_JUROS!A:L,12,0)</f>
        <v>281.49600547962666</v>
      </c>
      <c r="C122">
        <f>VLOOKUP(A122,BCB_TX_JUROS!N:V,9,0)</f>
        <v>10.751165511149754</v>
      </c>
      <c r="E122">
        <f>VLOOKUP(A122,BCB_selic!I:J,2,0)</f>
        <v>13.75</v>
      </c>
      <c r="G122">
        <f t="shared" si="6"/>
        <v>20.472436762154665</v>
      </c>
      <c r="K122">
        <f t="shared" si="7"/>
        <v>0.78190294626543666</v>
      </c>
    </row>
    <row r="123" spans="1:11" x14ac:dyDescent="0.25">
      <c r="A123" s="9">
        <v>44958</v>
      </c>
      <c r="B123">
        <f>VLOOKUP(A123,BCB_TX_JUROS!A:L,12,0)</f>
        <v>288.36330308340888</v>
      </c>
      <c r="C123">
        <f>VLOOKUP(A123,BCB_TX_JUROS!N:V,9,0)</f>
        <v>9.4430821391136774</v>
      </c>
      <c r="E123">
        <f>VLOOKUP(A123,BCB_selic!I:J,2,0)</f>
        <v>13.75</v>
      </c>
      <c r="G123">
        <f t="shared" si="6"/>
        <v>20.971876587884282</v>
      </c>
      <c r="K123">
        <f t="shared" si="7"/>
        <v>0.68676961011735838</v>
      </c>
    </row>
    <row r="124" spans="1:11" x14ac:dyDescent="0.25">
      <c r="A124" s="9">
        <v>44986</v>
      </c>
      <c r="B124">
        <f>VLOOKUP(A124,BCB_TX_JUROS!A:L,12,0)</f>
        <v>287.19594743690777</v>
      </c>
      <c r="C124">
        <f>VLOOKUP(A124,BCB_TX_JUROS!N:V,9,0)</f>
        <v>10.584073009224131</v>
      </c>
      <c r="E124">
        <f>VLOOKUP(A124,BCB_selic!I:J,2,0)</f>
        <v>13.75</v>
      </c>
      <c r="G124">
        <f t="shared" si="6"/>
        <v>20.886977995411474</v>
      </c>
      <c r="K124">
        <f t="shared" si="7"/>
        <v>0.76975076430720957</v>
      </c>
    </row>
    <row r="125" spans="1:11" x14ac:dyDescent="0.25">
      <c r="A125" s="9">
        <v>45017</v>
      </c>
      <c r="B125">
        <f>VLOOKUP(A125,BCB_TX_JUROS!A:L,12,0)</f>
        <v>297.9157751383209</v>
      </c>
      <c r="C125">
        <f>VLOOKUP(A125,BCB_TX_JUROS!N:V,9,0)</f>
        <v>10.247879434673328</v>
      </c>
      <c r="E125">
        <f>VLOOKUP(A125,BCB_selic!I:J,2,0)</f>
        <v>13.75</v>
      </c>
      <c r="G125">
        <f t="shared" si="6"/>
        <v>21.666601828241518</v>
      </c>
      <c r="K125">
        <f t="shared" si="7"/>
        <v>0.74530032252169653</v>
      </c>
    </row>
    <row r="126" spans="1:11" x14ac:dyDescent="0.25">
      <c r="A126" s="9">
        <v>45047</v>
      </c>
      <c r="B126">
        <f>VLOOKUP(A126,BCB_TX_JUROS!A:L,12,0)</f>
        <v>296.69131377984439</v>
      </c>
      <c r="C126">
        <f>VLOOKUP(A126,BCB_TX_JUROS!N:V,9,0)</f>
        <v>11.250376913726516</v>
      </c>
      <c r="E126">
        <f>VLOOKUP(A126,BCB_selic!I:J,2,0)</f>
        <v>13.75</v>
      </c>
      <c r="G126">
        <f t="shared" si="6"/>
        <v>21.577550093079591</v>
      </c>
      <c r="K126">
        <f t="shared" si="7"/>
        <v>0.81820923008920121</v>
      </c>
    </row>
    <row r="127" spans="1:11" x14ac:dyDescent="0.25">
      <c r="A127" s="9">
        <v>45078</v>
      </c>
      <c r="B127">
        <f>VLOOKUP(A127,BCB_TX_JUROS!A:L,12,0)</f>
        <v>288.60161331540826</v>
      </c>
      <c r="C127">
        <f>VLOOKUP(A127,BCB_TX_JUROS!N:V,9,0)</f>
        <v>11.065720710829165</v>
      </c>
      <c r="E127">
        <f>VLOOKUP(A127,BCB_selic!I:J,2,0)</f>
        <v>13.75</v>
      </c>
      <c r="G127">
        <f t="shared" si="6"/>
        <v>20.9892082411206</v>
      </c>
      <c r="K127">
        <f t="shared" si="7"/>
        <v>0.80477968806030287</v>
      </c>
    </row>
    <row r="128" spans="1:11" x14ac:dyDescent="0.25">
      <c r="A128" s="9">
        <v>45108</v>
      </c>
      <c r="B128">
        <f>VLOOKUP(A128,BCB_TX_JUROS!A:L,12,0)</f>
        <v>289.63877497896829</v>
      </c>
      <c r="C128">
        <f>VLOOKUP(A128,BCB_TX_JUROS!N:V,9,0)</f>
        <v>11.427842677456754</v>
      </c>
      <c r="E128">
        <f>VLOOKUP(A128,BCB_selic!I:J,2,0)</f>
        <v>13.75</v>
      </c>
      <c r="G128">
        <f t="shared" si="6"/>
        <v>21.064638180288604</v>
      </c>
      <c r="K128">
        <f t="shared" si="7"/>
        <v>0.83111583108776388</v>
      </c>
    </row>
    <row r="129" spans="1:11" x14ac:dyDescent="0.25">
      <c r="A129" s="9">
        <v>45139</v>
      </c>
      <c r="B129">
        <f>VLOOKUP(A129,BCB_TX_JUROS!A:L,12,0)</f>
        <v>287.69092531107833</v>
      </c>
      <c r="C129">
        <f>VLOOKUP(A129,BCB_TX_JUROS!N:V,9,0)</f>
        <v>10.873949997006406</v>
      </c>
      <c r="E129">
        <f>VLOOKUP(A129,BCB_selic!I:J,2,0)</f>
        <v>13.28225806451613</v>
      </c>
      <c r="G129">
        <f t="shared" si="6"/>
        <v>21.659790369504378</v>
      </c>
      <c r="K129">
        <f t="shared" si="7"/>
        <v>0.81868233128645673</v>
      </c>
    </row>
    <row r="130" spans="1:11" x14ac:dyDescent="0.25">
      <c r="A130" s="9">
        <v>45170</v>
      </c>
      <c r="B130">
        <f>VLOOKUP(A130,BCB_TX_JUROS!A:L,12,0)</f>
        <v>285.082950479006</v>
      </c>
      <c r="C130">
        <f>VLOOKUP(A130,BCB_TX_JUROS!N:V,9,0)</f>
        <v>10.224197654580852</v>
      </c>
      <c r="E130">
        <f>VLOOKUP(A130,BCB_selic!I:J,2,0)</f>
        <v>13.083333333333334</v>
      </c>
      <c r="G130">
        <f t="shared" ref="G130:G157" si="8">B130/E130</f>
        <v>21.789779654446317</v>
      </c>
      <c r="K130">
        <f t="shared" ref="K130:K157" si="9">C130/E130</f>
        <v>0.78146733665586121</v>
      </c>
    </row>
    <row r="131" spans="1:11" x14ac:dyDescent="0.25">
      <c r="A131" s="9">
        <v>45200</v>
      </c>
      <c r="B131">
        <f>VLOOKUP(A131,BCB_TX_JUROS!A:L,12,0)</f>
        <v>281.95494071483409</v>
      </c>
      <c r="C131">
        <f>VLOOKUP(A131,BCB_TX_JUROS!N:V,9,0)</f>
        <v>9.9649531797929214</v>
      </c>
      <c r="E131">
        <f>VLOOKUP(A131,BCB_selic!I:J,2,0)</f>
        <v>12.75</v>
      </c>
      <c r="G131">
        <f t="shared" si="8"/>
        <v>22.11411299724189</v>
      </c>
      <c r="K131">
        <f t="shared" si="9"/>
        <v>0.78156495527787617</v>
      </c>
    </row>
    <row r="132" spans="1:11" x14ac:dyDescent="0.25">
      <c r="A132" s="9">
        <v>45231</v>
      </c>
      <c r="B132">
        <f>VLOOKUP(A132,BCB_TX_JUROS!A:L,12,0)</f>
        <v>275.7745933928216</v>
      </c>
      <c r="C132">
        <f>VLOOKUP(A132,BCB_TX_JUROS!N:V,9,0)</f>
        <v>10.009160027313978</v>
      </c>
      <c r="E132">
        <f>VLOOKUP(A132,BCB_selic!I:J,2,0)</f>
        <v>12.266666666666667</v>
      </c>
      <c r="G132">
        <f t="shared" si="8"/>
        <v>22.481624461371325</v>
      </c>
      <c r="K132">
        <f t="shared" si="9"/>
        <v>0.81596413266146561</v>
      </c>
    </row>
    <row r="133" spans="1:11" x14ac:dyDescent="0.25">
      <c r="A133" s="9">
        <v>45261</v>
      </c>
      <c r="B133">
        <f>VLOOKUP(A133,BCB_TX_JUROS!A:L,12,0)</f>
        <v>279.55868386132136</v>
      </c>
      <c r="C133">
        <f>VLOOKUP(A133,BCB_TX_JUROS!N:V,9,0)</f>
        <v>9.1939901455586313</v>
      </c>
      <c r="E133">
        <f>VLOOKUP(A133,BCB_selic!I:J,2,0)</f>
        <v>11.959677419354838</v>
      </c>
      <c r="G133">
        <f t="shared" si="8"/>
        <v>23.375102359274344</v>
      </c>
      <c r="K133">
        <f t="shared" si="9"/>
        <v>0.76874900745062058</v>
      </c>
    </row>
    <row r="134" spans="1:11" x14ac:dyDescent="0.25">
      <c r="A134" s="9">
        <v>45292</v>
      </c>
      <c r="B134">
        <f>VLOOKUP(A134,BCB_TX_JUROS!A:L,12,0)</f>
        <v>261.86392339971377</v>
      </c>
      <c r="C134">
        <f>VLOOKUP(A134,BCB_TX_JUROS!N:V,9,0)</f>
        <v>9.2664776042617927</v>
      </c>
      <c r="E134">
        <f>VLOOKUP(A134,BCB_selic!I:J,2,0)</f>
        <v>11.75</v>
      </c>
      <c r="G134">
        <f t="shared" si="8"/>
        <v>22.28629135316713</v>
      </c>
      <c r="K134">
        <f t="shared" si="9"/>
        <v>0.78863639185206746</v>
      </c>
    </row>
    <row r="135" spans="1:11" x14ac:dyDescent="0.25">
      <c r="A135" s="9">
        <v>45323</v>
      </c>
      <c r="B135">
        <f>VLOOKUP(A135,BCB_TX_JUROS!A:L,12,0)</f>
        <v>259.35020994088177</v>
      </c>
      <c r="C135">
        <f>VLOOKUP(A135,BCB_TX_JUROS!N:V,9,0)</f>
        <v>8.9056081483246459</v>
      </c>
      <c r="E135">
        <f>VLOOKUP(A135,BCB_selic!I:J,2,0)</f>
        <v>11.25</v>
      </c>
      <c r="G135">
        <f t="shared" si="8"/>
        <v>23.053351994745046</v>
      </c>
      <c r="K135">
        <f t="shared" si="9"/>
        <v>0.79160961318441292</v>
      </c>
    </row>
    <row r="136" spans="1:11" x14ac:dyDescent="0.25">
      <c r="A136" s="9">
        <v>45352</v>
      </c>
      <c r="B136">
        <f>VLOOKUP(A136,BCB_TX_JUROS!A:L,12,0)</f>
        <v>262.19330165959275</v>
      </c>
      <c r="C136">
        <f>VLOOKUP(A136,BCB_TX_JUROS!N:V,9,0)</f>
        <v>9.2732321355006295</v>
      </c>
      <c r="E136">
        <f>VLOOKUP(A136,BCB_selic!I:J,2,0)</f>
        <v>11.07258064516129</v>
      </c>
      <c r="G136">
        <f t="shared" si="8"/>
        <v>23.67951158469738</v>
      </c>
      <c r="K136">
        <f t="shared" si="9"/>
        <v>0.83749510910566505</v>
      </c>
    </row>
    <row r="137" spans="1:11" x14ac:dyDescent="0.25">
      <c r="A137" s="9">
        <v>45383</v>
      </c>
      <c r="B137">
        <f>VLOOKUP(A137,BCB_TX_JUROS!A:L,12,0)</f>
        <v>258.92478475652786</v>
      </c>
      <c r="C137">
        <f>VLOOKUP(A137,BCB_TX_JUROS!N:V,9,0)</f>
        <v>9.3501182249852768</v>
      </c>
      <c r="E137">
        <f>VLOOKUP(A137,BCB_selic!I:J,2,0)</f>
        <v>10.75</v>
      </c>
      <c r="G137">
        <f t="shared" si="8"/>
        <v>24.086026488979336</v>
      </c>
      <c r="K137">
        <f t="shared" si="9"/>
        <v>0.86977843953351408</v>
      </c>
    </row>
    <row r="138" spans="1:11" x14ac:dyDescent="0.25">
      <c r="A138" s="9">
        <v>45413</v>
      </c>
      <c r="B138">
        <f>VLOOKUP(A138,BCB_TX_JUROS!A:L,12,0)</f>
        <v>259.86950282231555</v>
      </c>
      <c r="C138">
        <f>VLOOKUP(A138,BCB_TX_JUROS!N:V,9,0)</f>
        <v>9.3880842929169201</v>
      </c>
      <c r="E138">
        <f>VLOOKUP(A138,BCB_selic!I:J,2,0)</f>
        <v>10.564516129032258</v>
      </c>
      <c r="G138">
        <f t="shared" si="8"/>
        <v>24.598334618295517</v>
      </c>
      <c r="K138">
        <f t="shared" si="9"/>
        <v>0.88864309337534209</v>
      </c>
    </row>
    <row r="139" spans="1:11" x14ac:dyDescent="0.25">
      <c r="A139" s="9">
        <v>45444</v>
      </c>
      <c r="B139">
        <f>VLOOKUP(A139,BCB_TX_JUROS!A:L,12,0)</f>
        <v>263.7502243915788</v>
      </c>
      <c r="C139">
        <f>VLOOKUP(A139,BCB_TX_JUROS!N:V,9,0)</f>
        <v>9.5921348544789868</v>
      </c>
      <c r="E139">
        <f>VLOOKUP(A139,BCB_selic!I:J,2,0)</f>
        <v>10.5</v>
      </c>
      <c r="G139">
        <f t="shared" si="8"/>
        <v>25.119068989674172</v>
      </c>
      <c r="K139">
        <f t="shared" si="9"/>
        <v>0.91353665280752261</v>
      </c>
    </row>
    <row r="140" spans="1:11" x14ac:dyDescent="0.25">
      <c r="A140" s="9">
        <v>45474</v>
      </c>
      <c r="B140">
        <f>VLOOKUP(A140,BCB_TX_JUROS!A:L,12,0)</f>
        <v>259.52468071115004</v>
      </c>
      <c r="C140">
        <f>VLOOKUP(A140,BCB_TX_JUROS!N:V,9,0)</f>
        <v>9.477215095712566</v>
      </c>
      <c r="E140">
        <f>VLOOKUP(A140,BCB_selic!I:J,2,0)</f>
        <v>10.5</v>
      </c>
      <c r="G140">
        <f t="shared" si="8"/>
        <v>24.716636258204765</v>
      </c>
      <c r="K140">
        <f t="shared" si="9"/>
        <v>0.90259191387738724</v>
      </c>
    </row>
    <row r="141" spans="1:11" x14ac:dyDescent="0.25">
      <c r="A141" s="9">
        <v>45505</v>
      </c>
      <c r="B141">
        <f>VLOOKUP(A141,BCB_TX_JUROS!A:L,12,0)</f>
        <v>260.36558755617494</v>
      </c>
      <c r="C141">
        <f>VLOOKUP(A141,BCB_TX_JUROS!N:V,9,0)</f>
        <v>9.4878783214654181</v>
      </c>
      <c r="E141">
        <f>VLOOKUP(A141,BCB_selic!I:J,2,0)</f>
        <v>10.5</v>
      </c>
      <c r="G141">
        <f t="shared" si="8"/>
        <v>24.796722624397614</v>
      </c>
      <c r="K141">
        <f t="shared" si="9"/>
        <v>0.90360745918718266</v>
      </c>
    </row>
    <row r="142" spans="1:11" x14ac:dyDescent="0.25">
      <c r="A142" s="9">
        <v>45536</v>
      </c>
      <c r="B142">
        <f>VLOOKUP(A142,BCB_TX_JUROS!A:L,12,0)</f>
        <v>267.32391646439419</v>
      </c>
      <c r="C142">
        <f>VLOOKUP(A142,BCB_TX_JUROS!N:V,9,0)</f>
        <v>9.4934427541469706</v>
      </c>
      <c r="E142">
        <f>VLOOKUP(A142,BCB_selic!I:J,2,0)</f>
        <v>10.6</v>
      </c>
      <c r="G142">
        <f t="shared" si="8"/>
        <v>25.219237402301339</v>
      </c>
      <c r="K142">
        <f t="shared" si="9"/>
        <v>0.8956078069949972</v>
      </c>
    </row>
    <row r="143" spans="1:11" x14ac:dyDescent="0.25">
      <c r="A143" s="9">
        <v>45566</v>
      </c>
      <c r="B143">
        <f>VLOOKUP(A143,BCB_TX_JUROS!A:L,12,0)</f>
        <v>262.81734891982319</v>
      </c>
      <c r="C143">
        <f>VLOOKUP(A143,BCB_TX_JUROS!N:V,9,0)</f>
        <v>9.7128822353584212</v>
      </c>
      <c r="E143">
        <f>VLOOKUP(A143,BCB_selic!I:J,2,0)</f>
        <v>10.75</v>
      </c>
      <c r="G143">
        <f t="shared" si="8"/>
        <v>24.448125480913784</v>
      </c>
      <c r="K143">
        <f t="shared" si="9"/>
        <v>0.90352392887055077</v>
      </c>
    </row>
    <row r="144" spans="1:11" x14ac:dyDescent="0.25">
      <c r="A144" s="9">
        <v>45597</v>
      </c>
      <c r="B144">
        <f>VLOOKUP(A144,BCB_TX_JUROS!A:L,12,0)</f>
        <v>268.31371459861748</v>
      </c>
      <c r="C144">
        <f>VLOOKUP(A144,BCB_TX_JUROS!N:V,9,0)</f>
        <v>9.5254529356379614</v>
      </c>
      <c r="E144">
        <f>VLOOKUP(A144,BCB_selic!I:J,2,0)</f>
        <v>11.15</v>
      </c>
      <c r="G144">
        <f t="shared" si="8"/>
        <v>24.064010277902913</v>
      </c>
      <c r="K144">
        <f t="shared" si="9"/>
        <v>0.85430071171640909</v>
      </c>
    </row>
    <row r="145" spans="1:11" x14ac:dyDescent="0.25">
      <c r="A145" s="9">
        <v>45627</v>
      </c>
      <c r="B145">
        <f>VLOOKUP(A145,BCB_TX_JUROS!A:L,12,0)</f>
        <v>265.06004803079691</v>
      </c>
      <c r="C145">
        <f>VLOOKUP(A145,BCB_TX_JUROS!N:V,9,0)</f>
        <v>9.8898624480056885</v>
      </c>
      <c r="E145">
        <f>VLOOKUP(A145,BCB_selic!I:J,2,0)</f>
        <v>11.89516129032258</v>
      </c>
      <c r="G145">
        <f t="shared" si="8"/>
        <v>22.283014207334791</v>
      </c>
      <c r="K145">
        <f t="shared" si="9"/>
        <v>0.83141894478149525</v>
      </c>
    </row>
    <row r="146" spans="1:11" x14ac:dyDescent="0.25">
      <c r="A146" s="9">
        <v>45658</v>
      </c>
      <c r="B146">
        <f>VLOOKUP(A146,BCB_TX_JUROS!A:L,12,0)</f>
        <v>267.44402618140782</v>
      </c>
      <c r="C146">
        <f>VLOOKUP(A146,BCB_TX_JUROS!N:V,9,0)</f>
        <v>11.066351970715841</v>
      </c>
      <c r="E146">
        <f>VLOOKUP(A146,BCB_selic!I:J,2,0)</f>
        <v>12.314516129032258</v>
      </c>
      <c r="G146">
        <f t="shared" si="8"/>
        <v>21.717786016040975</v>
      </c>
      <c r="K146">
        <f t="shared" si="9"/>
        <v>0.8986428581327861</v>
      </c>
    </row>
    <row r="147" spans="1:11" x14ac:dyDescent="0.25">
      <c r="A147" s="9">
        <v>45689</v>
      </c>
      <c r="B147">
        <f>VLOOKUP(A147,BCB_TX_JUROS!A:L,12,0)</f>
        <v>275.65141670845344</v>
      </c>
      <c r="C147">
        <f>VLOOKUP(A147,BCB_TX_JUROS!N:V,9,0)</f>
        <v>10.032023233301064</v>
      </c>
      <c r="E147">
        <f>VLOOKUP(A147,BCB_selic!I:J,2,0)</f>
        <v>13.25</v>
      </c>
      <c r="G147">
        <f t="shared" si="8"/>
        <v>20.803880506298373</v>
      </c>
      <c r="K147">
        <f t="shared" si="9"/>
        <v>0.75713382892838221</v>
      </c>
    </row>
    <row r="148" spans="1:11" x14ac:dyDescent="0.25">
      <c r="A148" s="9">
        <v>45717</v>
      </c>
      <c r="B148">
        <f>VLOOKUP(A148,BCB_TX_JUROS!A:L,12,0)</f>
        <v>277.26119375423298</v>
      </c>
      <c r="C148">
        <f>VLOOKUP(A148,BCB_TX_JUROS!N:V,9,0)</f>
        <v>10.965232652448808</v>
      </c>
      <c r="E148">
        <f>VLOOKUP(A148,BCB_selic!I:J,2,0)</f>
        <v>13.637096774193548</v>
      </c>
      <c r="G148">
        <f t="shared" si="8"/>
        <v>20.33139445625363</v>
      </c>
      <c r="K148">
        <f t="shared" si="9"/>
        <v>0.80407383140369737</v>
      </c>
    </row>
    <row r="149" spans="1:11" x14ac:dyDescent="0.25">
      <c r="A149" s="9">
        <v>45748</v>
      </c>
      <c r="B149">
        <f>VLOOKUP(A149,BCB_TX_JUROS!A:L,12,0)</f>
        <v>279.03746452515117</v>
      </c>
      <c r="C149">
        <f>VLOOKUP(A149,BCB_TX_JUROS!N:V,9,0)</f>
        <v>10.663958180617467</v>
      </c>
      <c r="E149">
        <f>VLOOKUP(A149,BCB_selic!I:J,2,0)</f>
        <v>14.25</v>
      </c>
      <c r="G149">
        <f t="shared" si="8"/>
        <v>19.581576457905346</v>
      </c>
      <c r="K149">
        <f t="shared" si="9"/>
        <v>0.74834794249947134</v>
      </c>
    </row>
    <row r="150" spans="1:11" x14ac:dyDescent="0.25">
      <c r="A150" s="9">
        <v>45778</v>
      </c>
      <c r="B150">
        <f>VLOOKUP(A150,BCB_TX_JUROS!A:L,12,0)</f>
        <v>280.73766670065771</v>
      </c>
      <c r="C150">
        <f>VLOOKUP(A150,BCB_TX_JUROS!N:V,9,0)</f>
        <v>10.791532628240756</v>
      </c>
      <c r="E150">
        <f>VLOOKUP(A150,BCB_selic!I:J,2,0)</f>
        <v>14.637096774193548</v>
      </c>
      <c r="G150">
        <f t="shared" si="8"/>
        <v>19.179873647868625</v>
      </c>
      <c r="K150">
        <f t="shared" si="9"/>
        <v>0.73727275256300484</v>
      </c>
    </row>
    <row r="151" spans="1:11" x14ac:dyDescent="0.25">
      <c r="A151" s="9">
        <v>45809</v>
      </c>
      <c r="B151">
        <f>VLOOKUP(A151,BCB_TX_JUROS!A:L,12,0)</f>
        <v>281.5374417603565</v>
      </c>
      <c r="C151">
        <f>VLOOKUP(A151,BCB_TX_JUROS!N:V,9,0)</f>
        <v>10.519762523527971</v>
      </c>
      <c r="E151">
        <f>VLOOKUP(A151,BCB_selic!I:J,2,0)</f>
        <v>14.85</v>
      </c>
      <c r="G151">
        <f t="shared" si="8"/>
        <v>18.958750286892695</v>
      </c>
      <c r="K151">
        <f t="shared" si="9"/>
        <v>0.70840151673589036</v>
      </c>
    </row>
    <row r="152" spans="1:11" x14ac:dyDescent="0.25">
      <c r="A152" s="9">
        <v>45839</v>
      </c>
      <c r="B152">
        <f>VLOOKUP(A152,BCB_TX_JUROS!A:L,12,0)</f>
        <v>280.88173138361361</v>
      </c>
      <c r="C152">
        <f>VLOOKUP(A152,BCB_TX_JUROS!N:V,9,0)</f>
        <v>10.562359393479714</v>
      </c>
      <c r="E152">
        <f>VLOOKUP(A152,BCB_selic!I:J,2,0)</f>
        <v>15</v>
      </c>
      <c r="G152">
        <f t="shared" si="8"/>
        <v>18.725448758907575</v>
      </c>
      <c r="K152">
        <f t="shared" si="9"/>
        <v>0.70415729289864759</v>
      </c>
    </row>
    <row r="153" spans="1:11" x14ac:dyDescent="0.25">
      <c r="A153" s="9">
        <v>45870</v>
      </c>
      <c r="B153">
        <f>VLOOKUP(A153,BCB_TX_JUROS!A:L,12,0)</f>
        <v>281.92169720125889</v>
      </c>
      <c r="C153">
        <f>VLOOKUP(A153,BCB_TX_JUROS!N:V,9,0)</f>
        <v>10.515895643760365</v>
      </c>
      <c r="E153">
        <f>VLOOKUP(A153,BCB_selic!I:J,2,0)</f>
        <v>15</v>
      </c>
      <c r="G153">
        <f t="shared" si="8"/>
        <v>18.794779813417261</v>
      </c>
      <c r="K153">
        <f t="shared" si="9"/>
        <v>0.7010597095840243</v>
      </c>
    </row>
    <row r="154" spans="1:11" x14ac:dyDescent="0.25">
      <c r="A154" s="9">
        <v>45901</v>
      </c>
      <c r="B154">
        <f>VLOOKUP(A154,BCB_TX_JUROS!A:L,12,0)</f>
        <v>278.66593031341824</v>
      </c>
      <c r="C154">
        <f>VLOOKUP(A154,BCB_TX_JUROS!N:V,9,0)</f>
        <v>10.402578716620168</v>
      </c>
      <c r="E154">
        <f>VLOOKUP(A154,BCB_selic!I:J,2,0)</f>
        <v>15</v>
      </c>
      <c r="G154">
        <f t="shared" si="8"/>
        <v>18.577728687561216</v>
      </c>
      <c r="K154">
        <f t="shared" si="9"/>
        <v>0.69350524777467781</v>
      </c>
    </row>
    <row r="155" spans="1:11" x14ac:dyDescent="0.25">
      <c r="A155" s="9">
        <v>45931</v>
      </c>
      <c r="B155">
        <f>VLOOKUP(A155,BCB_TX_JUROS!A:L,12,0)</f>
        <v>279.76103455969616</v>
      </c>
      <c r="C155">
        <f>VLOOKUP(A155,BCB_TX_JUROS!N:V,9,0)</f>
        <v>10.443367565534496</v>
      </c>
      <c r="E155">
        <f>VLOOKUP(A155,BCB_selic!I:J,2,0)</f>
        <v>15</v>
      </c>
      <c r="G155">
        <f t="shared" si="8"/>
        <v>18.650735637313076</v>
      </c>
      <c r="K155">
        <f t="shared" si="9"/>
        <v>0.69622450436896643</v>
      </c>
    </row>
    <row r="156" spans="1:11" x14ac:dyDescent="0.25">
      <c r="A156" s="9">
        <v>45962</v>
      </c>
      <c r="B156">
        <f>VLOOKUP(A156,BCB_TX_JUROS!A:L,12,0)</f>
        <v>282.41620530270808</v>
      </c>
      <c r="C156">
        <f>VLOOKUP(A156,BCB_TX_JUROS!N:V,9,0)</f>
        <v>10.376093518222413</v>
      </c>
      <c r="E156">
        <f>VLOOKUP(A156,BCB_selic!I:J,2,0)</f>
        <v>15</v>
      </c>
      <c r="G156">
        <f t="shared" si="8"/>
        <v>18.827747020180539</v>
      </c>
      <c r="K156">
        <f t="shared" si="9"/>
        <v>0.69173956788149427</v>
      </c>
    </row>
    <row r="157" spans="1:11" x14ac:dyDescent="0.25">
      <c r="A157" s="9">
        <v>45992</v>
      </c>
      <c r="B157">
        <f>VLOOKUP(A157,BCB_TX_JUROS!A:L,12,0)</f>
        <v>279.54073365872335</v>
      </c>
      <c r="C157">
        <f>VLOOKUP(A157,BCB_TX_JUROS!N:V,9,0)</f>
        <v>10.805361795648446</v>
      </c>
      <c r="E157">
        <f>VLOOKUP(A157,BCB_selic!I:J,2,0)</f>
        <v>15</v>
      </c>
      <c r="G157">
        <f t="shared" si="8"/>
        <v>18.636048910581557</v>
      </c>
      <c r="K157">
        <f t="shared" si="9"/>
        <v>0.72035745304322973</v>
      </c>
    </row>
    <row r="158" spans="1:11" x14ac:dyDescent="0.25">
      <c r="A158" s="9"/>
    </row>
    <row r="159" spans="1:11" x14ac:dyDescent="0.25">
      <c r="A159" s="9"/>
    </row>
    <row r="160" spans="1:11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BA3D4-1CEE-495B-967D-8BE2172CA5B5}">
  <sheetPr>
    <tabColor theme="5"/>
  </sheetPr>
  <dimension ref="A1:X164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9" sqref="Q9"/>
    </sheetView>
  </sheetViews>
  <sheetFormatPr defaultRowHeight="15" x14ac:dyDescent="0.25"/>
  <cols>
    <col min="1" max="1" width="10.42578125" bestFit="1" customWidth="1"/>
    <col min="2" max="7" width="16.140625" customWidth="1"/>
    <col min="8" max="12" width="16.140625" style="25" customWidth="1"/>
    <col min="22" max="22" width="15.42578125" bestFit="1" customWidth="1"/>
  </cols>
  <sheetData>
    <row r="1" spans="1:24" x14ac:dyDescent="0.25">
      <c r="A1" t="s">
        <v>28</v>
      </c>
      <c r="B1" t="s">
        <v>60</v>
      </c>
      <c r="C1" t="s">
        <v>61</v>
      </c>
      <c r="E1" t="s">
        <v>67</v>
      </c>
      <c r="F1" t="s">
        <v>68</v>
      </c>
      <c r="G1" t="s">
        <v>69</v>
      </c>
      <c r="I1" t="s">
        <v>62</v>
      </c>
      <c r="J1" t="s">
        <v>63</v>
      </c>
      <c r="K1" s="25">
        <f>AVERAGE(F:F)</f>
        <v>253.91868017954934</v>
      </c>
      <c r="L1" s="25">
        <f>AVERAGE(G:G)</f>
        <v>3.2323683107319336</v>
      </c>
      <c r="M1" t="s">
        <v>53</v>
      </c>
      <c r="O1" t="s">
        <v>62</v>
      </c>
      <c r="P1" t="s">
        <v>64</v>
      </c>
      <c r="S1" t="s">
        <v>63</v>
      </c>
    </row>
    <row r="2" spans="1:24" x14ac:dyDescent="0.25">
      <c r="A2" s="9">
        <v>41275</v>
      </c>
      <c r="B2">
        <f>VLOOKUP(A2,BCB_TX_JUROS!A:L,12,0)</f>
        <v>175.3967400085034</v>
      </c>
      <c r="C2">
        <f>VLOOKUP(A2,BCB_TX_JUROS!N:V,9,0)</f>
        <v>7.9386503883391848</v>
      </c>
      <c r="E2">
        <f>VLOOKUP(A2,BCB_ipca_acum12m!A:B,2,0)</f>
        <v>6.15</v>
      </c>
      <c r="F2">
        <f>B2-E2</f>
        <v>169.24674000850339</v>
      </c>
      <c r="G2">
        <f>C2-E2</f>
        <v>1.7886503883391844</v>
      </c>
      <c r="H2" s="25">
        <f>M2-E2</f>
        <v>1.0999999999999996</v>
      </c>
      <c r="I2" s="25">
        <f>F2/H2</f>
        <v>153.86067273500313</v>
      </c>
      <c r="J2" s="25">
        <f>G2/H2</f>
        <v>1.6260458075810773</v>
      </c>
      <c r="M2">
        <f>VLOOKUP(A2,BCB_selic!I:J,2,0)</f>
        <v>7.25</v>
      </c>
      <c r="O2">
        <f t="shared" ref="O2:O65" si="0">B2/M2</f>
        <v>24.192653794276332</v>
      </c>
      <c r="S2">
        <f t="shared" ref="S2:S65" si="1">C2/M2</f>
        <v>1.0949862604605771</v>
      </c>
      <c r="V2" t="s">
        <v>64</v>
      </c>
      <c r="W2">
        <f>AVERAGE(O2:O85)</f>
        <v>28.718944876033827</v>
      </c>
      <c r="X2">
        <f>AVERAGE(S2:S85)</f>
        <v>0.970563917189463</v>
      </c>
    </row>
    <row r="3" spans="1:24" x14ac:dyDescent="0.25">
      <c r="A3" s="9">
        <v>41306</v>
      </c>
      <c r="B3">
        <f>VLOOKUP(A3,BCB_TX_JUROS!A:L,12,0)</f>
        <v>178.37385216335881</v>
      </c>
      <c r="C3">
        <f>VLOOKUP(A3,BCB_TX_JUROS!N:V,9,0)</f>
        <v>7.6898451122275313</v>
      </c>
      <c r="E3">
        <f>VLOOKUP(A3,BCB_ipca_acum12m!A:B,2,0)</f>
        <v>6.31</v>
      </c>
      <c r="F3">
        <f t="shared" ref="F3:F66" si="2">B3-E3</f>
        <v>172.0638521633588</v>
      </c>
      <c r="G3">
        <f t="shared" ref="G3:G66" si="3">C3-E3</f>
        <v>1.3798451122275317</v>
      </c>
      <c r="H3" s="25">
        <f t="shared" ref="H3:H66" si="4">M3-E3</f>
        <v>0.94000000000000039</v>
      </c>
      <c r="I3" s="25">
        <f t="shared" ref="I3:I66" si="5">F3/H3</f>
        <v>183.04665123761566</v>
      </c>
      <c r="J3" s="25">
        <f t="shared" ref="J3:J66" si="6">G3/H3</f>
        <v>1.4679203321569481</v>
      </c>
      <c r="K3" s="25">
        <f>K1/5</f>
        <v>50.783736035909868</v>
      </c>
      <c r="L3" s="25">
        <f>L1/5</f>
        <v>0.64647366214638669</v>
      </c>
      <c r="M3">
        <f>VLOOKUP(A3,BCB_selic!I:J,2,0)</f>
        <v>7.25</v>
      </c>
      <c r="O3">
        <f t="shared" si="0"/>
        <v>24.603289953566733</v>
      </c>
      <c r="S3">
        <f t="shared" si="1"/>
        <v>1.0606682913417285</v>
      </c>
      <c r="V3" t="s">
        <v>65</v>
      </c>
      <c r="W3">
        <f>AVERAGE(O86:O109)</f>
        <v>71.42370513443764</v>
      </c>
      <c r="X3">
        <f>AVERAGE(S86:S109)</f>
        <v>2.3482742006947817</v>
      </c>
    </row>
    <row r="4" spans="1:24" x14ac:dyDescent="0.25">
      <c r="A4" s="9">
        <v>41334</v>
      </c>
      <c r="B4">
        <f>VLOOKUP(A4,BCB_TX_JUROS!A:L,12,0)</f>
        <v>177.82371628492152</v>
      </c>
      <c r="C4">
        <f>VLOOKUP(A4,BCB_TX_JUROS!N:V,9,0)</f>
        <v>7.6994208974043108</v>
      </c>
      <c r="E4">
        <f>VLOOKUP(A4,BCB_ipca_acum12m!A:B,2,0)</f>
        <v>6.59</v>
      </c>
      <c r="F4">
        <f t="shared" si="2"/>
        <v>171.23371628492151</v>
      </c>
      <c r="G4">
        <f t="shared" si="3"/>
        <v>1.1094208974043109</v>
      </c>
      <c r="H4" s="25">
        <f t="shared" si="4"/>
        <v>0.66000000000000014</v>
      </c>
      <c r="I4" s="25">
        <f t="shared" si="5"/>
        <v>259.44502467412343</v>
      </c>
      <c r="J4" s="25">
        <f t="shared" si="6"/>
        <v>1.6809407536428951</v>
      </c>
      <c r="M4">
        <f>VLOOKUP(A4,BCB_selic!I:J,2,0)</f>
        <v>7.25</v>
      </c>
      <c r="O4">
        <f t="shared" si="0"/>
        <v>24.527409142747796</v>
      </c>
      <c r="S4">
        <f t="shared" si="1"/>
        <v>1.0619890892971464</v>
      </c>
      <c r="V4" t="s">
        <v>66</v>
      </c>
      <c r="W4">
        <f>AVERAGE(O110:O157)</f>
        <v>21.494554693720669</v>
      </c>
      <c r="X4">
        <f>AVERAGE(S110:S157)</f>
        <v>0.79535567114885186</v>
      </c>
    </row>
    <row r="5" spans="1:24" x14ac:dyDescent="0.25">
      <c r="A5" s="9">
        <v>41365</v>
      </c>
      <c r="B5">
        <f>VLOOKUP(A5,BCB_TX_JUROS!A:L,12,0)</f>
        <v>176.34357451955842</v>
      </c>
      <c r="C5">
        <f>VLOOKUP(A5,BCB_TX_JUROS!N:V,9,0)</f>
        <v>7.8472675082869028</v>
      </c>
      <c r="E5">
        <f>VLOOKUP(A5,BCB_ipca_acum12m!A:B,2,0)</f>
        <v>6.49</v>
      </c>
      <c r="F5">
        <f t="shared" si="2"/>
        <v>169.85357451955841</v>
      </c>
      <c r="G5">
        <f t="shared" si="3"/>
        <v>1.3572675082869026</v>
      </c>
      <c r="H5" s="25">
        <f t="shared" si="4"/>
        <v>0.86833333333333318</v>
      </c>
      <c r="I5" s="25">
        <f t="shared" si="5"/>
        <v>195.60872305515366</v>
      </c>
      <c r="J5" s="25">
        <f t="shared" si="6"/>
        <v>1.5630719865108287</v>
      </c>
      <c r="M5">
        <f>VLOOKUP(A5,BCB_selic!I:J,2,0)</f>
        <v>7.3583333333333334</v>
      </c>
      <c r="O5">
        <f t="shared" si="0"/>
        <v>23.965151690087215</v>
      </c>
      <c r="S5">
        <f t="shared" si="1"/>
        <v>1.0664463204919914</v>
      </c>
    </row>
    <row r="6" spans="1:24" x14ac:dyDescent="0.25">
      <c r="A6" s="9">
        <v>41395</v>
      </c>
      <c r="B6">
        <f>VLOOKUP(A6,BCB_TX_JUROS!A:L,12,0)</f>
        <v>177.20570592663563</v>
      </c>
      <c r="C6">
        <f>VLOOKUP(A6,BCB_TX_JUROS!N:V,9,0)</f>
        <v>7.7934476547893796</v>
      </c>
      <c r="E6">
        <f>VLOOKUP(A6,BCB_ipca_acum12m!A:B,2,0)</f>
        <v>6.5</v>
      </c>
      <c r="F6">
        <f t="shared" si="2"/>
        <v>170.70570592663563</v>
      </c>
      <c r="G6">
        <f t="shared" si="3"/>
        <v>1.2934476547893796</v>
      </c>
      <c r="H6" s="25">
        <f t="shared" si="4"/>
        <v>1.032258064516129</v>
      </c>
      <c r="I6" s="25">
        <f t="shared" si="5"/>
        <v>165.37115261642828</v>
      </c>
      <c r="J6" s="25">
        <f t="shared" si="6"/>
        <v>1.2530274155772116</v>
      </c>
      <c r="M6">
        <f>VLOOKUP(A6,BCB_selic!I:J,2,0)</f>
        <v>7.532258064516129</v>
      </c>
      <c r="O6">
        <f t="shared" si="0"/>
        <v>23.52623933073107</v>
      </c>
      <c r="S6">
        <f t="shared" si="1"/>
        <v>1.0346761340405601</v>
      </c>
    </row>
    <row r="7" spans="1:24" x14ac:dyDescent="0.25">
      <c r="A7" s="9">
        <v>41426</v>
      </c>
      <c r="B7">
        <f>VLOOKUP(A7,BCB_TX_JUROS!A:L,12,0)</f>
        <v>179.57301258746054</v>
      </c>
      <c r="C7">
        <f>VLOOKUP(A7,BCB_TX_JUROS!N:V,9,0)</f>
        <v>7.8100243884610023</v>
      </c>
      <c r="E7">
        <f>VLOOKUP(A7,BCB_ipca_acum12m!A:B,2,0)</f>
        <v>6.7</v>
      </c>
      <c r="F7">
        <f t="shared" si="2"/>
        <v>172.87301258746055</v>
      </c>
      <c r="G7">
        <f t="shared" si="3"/>
        <v>1.1100243884610022</v>
      </c>
      <c r="H7" s="25">
        <f t="shared" si="4"/>
        <v>1.2999999999999998</v>
      </c>
      <c r="I7" s="25">
        <f t="shared" si="5"/>
        <v>132.97924045189274</v>
      </c>
      <c r="J7" s="25">
        <f t="shared" si="6"/>
        <v>0.85386491420077104</v>
      </c>
      <c r="M7">
        <f>VLOOKUP(A7,BCB_selic!I:J,2,0)</f>
        <v>8</v>
      </c>
      <c r="O7">
        <f t="shared" si="0"/>
        <v>22.446626573432567</v>
      </c>
      <c r="S7">
        <f t="shared" si="1"/>
        <v>0.97625304855762529</v>
      </c>
    </row>
    <row r="8" spans="1:24" x14ac:dyDescent="0.25">
      <c r="A8" s="9">
        <v>41456</v>
      </c>
      <c r="B8">
        <f>VLOOKUP(A8,BCB_TX_JUROS!A:L,12,0)</f>
        <v>180.50227204936999</v>
      </c>
      <c r="C8">
        <f>VLOOKUP(A8,BCB_TX_JUROS!N:V,9,0)</f>
        <v>7.9647994541297606</v>
      </c>
      <c r="E8">
        <f>VLOOKUP(A8,BCB_ipca_acum12m!A:B,2,0)</f>
        <v>6.27</v>
      </c>
      <c r="F8">
        <f t="shared" si="2"/>
        <v>174.23227204936998</v>
      </c>
      <c r="G8">
        <f t="shared" si="3"/>
        <v>1.6947994541297611</v>
      </c>
      <c r="H8" s="25">
        <f t="shared" si="4"/>
        <v>2.0687096774193545</v>
      </c>
      <c r="I8" s="25">
        <f t="shared" si="5"/>
        <v>84.222679456268054</v>
      </c>
      <c r="J8" s="25">
        <f t="shared" si="6"/>
        <v>0.81925437514459065</v>
      </c>
      <c r="M8">
        <f>VLOOKUP(A8,BCB_selic!I:J,2,0)</f>
        <v>8.3387096774193541</v>
      </c>
      <c r="O8">
        <f t="shared" si="0"/>
        <v>21.646307286384797</v>
      </c>
      <c r="S8">
        <f t="shared" si="1"/>
        <v>0.95515970242948778</v>
      </c>
    </row>
    <row r="9" spans="1:24" x14ac:dyDescent="0.25">
      <c r="A9" s="9">
        <v>41487</v>
      </c>
      <c r="B9">
        <f>VLOOKUP(A9,BCB_TX_JUROS!A:L,12,0)</f>
        <v>180.35063903838645</v>
      </c>
      <c r="C9">
        <f>VLOOKUP(A9,BCB_TX_JUROS!N:V,9,0)</f>
        <v>8.0758309735070171</v>
      </c>
      <c r="E9">
        <f>VLOOKUP(A9,BCB_ipca_acum12m!A:B,2,0)</f>
        <v>6.09</v>
      </c>
      <c r="F9">
        <f t="shared" si="2"/>
        <v>174.26063903838644</v>
      </c>
      <c r="G9">
        <f t="shared" si="3"/>
        <v>1.9858309735070172</v>
      </c>
      <c r="H9" s="25">
        <f t="shared" si="4"/>
        <v>2.4583870967741941</v>
      </c>
      <c r="I9" s="25">
        <f t="shared" si="5"/>
        <v>70.884133449547022</v>
      </c>
      <c r="J9" s="25">
        <f t="shared" si="6"/>
        <v>0.8077779842372067</v>
      </c>
      <c r="M9">
        <f>VLOOKUP(A9,BCB_selic!I:J,2,0)</f>
        <v>8.5483870967741939</v>
      </c>
      <c r="O9">
        <f t="shared" si="0"/>
        <v>21.097621925245207</v>
      </c>
      <c r="S9">
        <f t="shared" si="1"/>
        <v>0.94471984973100953</v>
      </c>
    </row>
    <row r="10" spans="1:24" x14ac:dyDescent="0.25">
      <c r="A10" s="9">
        <v>41518</v>
      </c>
      <c r="B10">
        <f>VLOOKUP(A10,BCB_TX_JUROS!A:L,12,0)</f>
        <v>181.43272320765615</v>
      </c>
      <c r="C10">
        <f>VLOOKUP(A10,BCB_TX_JUROS!N:V,9,0)</f>
        <v>8.3431345375175958</v>
      </c>
      <c r="E10">
        <f>VLOOKUP(A10,BCB_ipca_acum12m!A:B,2,0)</f>
        <v>5.86</v>
      </c>
      <c r="F10">
        <f t="shared" si="2"/>
        <v>175.57272320765614</v>
      </c>
      <c r="G10">
        <f t="shared" si="3"/>
        <v>2.4831345375175955</v>
      </c>
      <c r="H10" s="25">
        <f t="shared" si="4"/>
        <v>3.1399999999999997</v>
      </c>
      <c r="I10" s="25">
        <f t="shared" si="5"/>
        <v>55.914880002438267</v>
      </c>
      <c r="J10" s="25">
        <f t="shared" si="6"/>
        <v>0.79080717755337449</v>
      </c>
      <c r="M10">
        <f>VLOOKUP(A10,BCB_selic!I:J,2,0)</f>
        <v>9</v>
      </c>
      <c r="O10">
        <f t="shared" si="0"/>
        <v>20.159191467517349</v>
      </c>
      <c r="S10">
        <f t="shared" si="1"/>
        <v>0.92701494861306621</v>
      </c>
    </row>
    <row r="11" spans="1:24" x14ac:dyDescent="0.25">
      <c r="A11" s="9">
        <v>41548</v>
      </c>
      <c r="B11">
        <f>VLOOKUP(A11,BCB_TX_JUROS!A:L,12,0)</f>
        <v>182.871675891964</v>
      </c>
      <c r="C11">
        <f>VLOOKUP(A11,BCB_TX_JUROS!N:V,9,0)</f>
        <v>8.6739250888908703</v>
      </c>
      <c r="E11">
        <f>VLOOKUP(A11,BCB_ipca_acum12m!A:B,2,0)</f>
        <v>5.84</v>
      </c>
      <c r="F11">
        <f t="shared" si="2"/>
        <v>177.031675891964</v>
      </c>
      <c r="G11">
        <f t="shared" si="3"/>
        <v>2.8339250888908705</v>
      </c>
      <c r="H11" s="25">
        <f t="shared" si="4"/>
        <v>3.5148387096774201</v>
      </c>
      <c r="I11" s="25">
        <f t="shared" si="5"/>
        <v>50.366941562508103</v>
      </c>
      <c r="J11" s="25">
        <f t="shared" si="6"/>
        <v>0.80627457558385618</v>
      </c>
      <c r="M11">
        <f>VLOOKUP(A11,BCB_selic!I:J,2,0)</f>
        <v>9.3548387096774199</v>
      </c>
      <c r="O11">
        <f t="shared" si="0"/>
        <v>19.548351560865115</v>
      </c>
      <c r="S11">
        <f t="shared" si="1"/>
        <v>0.92721268191592054</v>
      </c>
    </row>
    <row r="12" spans="1:24" x14ac:dyDescent="0.25">
      <c r="A12" s="9">
        <v>41579</v>
      </c>
      <c r="B12">
        <f>VLOOKUP(A12,BCB_TX_JUROS!A:L,12,0)</f>
        <v>188.11454563724669</v>
      </c>
      <c r="C12">
        <f>VLOOKUP(A12,BCB_TX_JUROS!N:V,9,0)</f>
        <v>8.7964501618531123</v>
      </c>
      <c r="E12">
        <f>VLOOKUP(A12,BCB_ipca_acum12m!A:B,2,0)</f>
        <v>5.77</v>
      </c>
      <c r="F12">
        <f t="shared" si="2"/>
        <v>182.34454563724668</v>
      </c>
      <c r="G12">
        <f t="shared" si="3"/>
        <v>3.0264501618531128</v>
      </c>
      <c r="H12" s="25">
        <f t="shared" si="4"/>
        <v>3.7800000000000011</v>
      </c>
      <c r="I12" s="25">
        <f t="shared" si="5"/>
        <v>48.239297787631386</v>
      </c>
      <c r="J12" s="25">
        <f t="shared" si="6"/>
        <v>0.80064819096643169</v>
      </c>
      <c r="M12">
        <f>VLOOKUP(A12,BCB_selic!I:J,2,0)</f>
        <v>9.5500000000000007</v>
      </c>
      <c r="O12">
        <f t="shared" si="0"/>
        <v>19.697858181910647</v>
      </c>
      <c r="S12">
        <f t="shared" si="1"/>
        <v>0.92109425778566612</v>
      </c>
    </row>
    <row r="13" spans="1:24" x14ac:dyDescent="0.25">
      <c r="A13" s="9">
        <v>41609</v>
      </c>
      <c r="B13">
        <f>VLOOKUP(A13,BCB_TX_JUROS!A:L,12,0)</f>
        <v>193.8160314990578</v>
      </c>
      <c r="C13">
        <f>VLOOKUP(A13,BCB_TX_JUROS!N:V,9,0)</f>
        <v>8.8220825225193487</v>
      </c>
      <c r="E13">
        <f>VLOOKUP(A13,BCB_ipca_acum12m!A:B,2,0)</f>
        <v>5.91</v>
      </c>
      <c r="F13">
        <f t="shared" si="2"/>
        <v>187.9060314990578</v>
      </c>
      <c r="G13">
        <f t="shared" si="3"/>
        <v>2.9120825225193485</v>
      </c>
      <c r="H13" s="25">
        <f t="shared" si="4"/>
        <v>4.09</v>
      </c>
      <c r="I13" s="25">
        <f t="shared" si="5"/>
        <v>45.942794987544694</v>
      </c>
      <c r="J13" s="25">
        <f t="shared" si="6"/>
        <v>0.71200061675289694</v>
      </c>
      <c r="M13">
        <f>VLOOKUP(A13,BCB_selic!I:J,2,0)</f>
        <v>10</v>
      </c>
      <c r="O13">
        <f t="shared" si="0"/>
        <v>19.381603149905779</v>
      </c>
      <c r="S13">
        <f t="shared" si="1"/>
        <v>0.88220825225193489</v>
      </c>
    </row>
    <row r="14" spans="1:24" x14ac:dyDescent="0.25">
      <c r="A14" s="9">
        <v>41640</v>
      </c>
      <c r="B14">
        <f>VLOOKUP(A14,BCB_TX_JUROS!A:L,12,0)</f>
        <v>193.91782356654042</v>
      </c>
      <c r="C14">
        <f>VLOOKUP(A14,BCB_TX_JUROS!N:V,9,0)</f>
        <v>9.5187798292428774</v>
      </c>
      <c r="E14">
        <f>VLOOKUP(A14,BCB_ipca_acum12m!A:B,2,0)</f>
        <v>5.59</v>
      </c>
      <c r="F14">
        <f t="shared" si="2"/>
        <v>188.32782356654042</v>
      </c>
      <c r="G14">
        <f t="shared" si="3"/>
        <v>3.9287798292428775</v>
      </c>
      <c r="H14" s="25">
        <f t="shared" si="4"/>
        <v>4.6680645161290322</v>
      </c>
      <c r="I14" s="25">
        <f t="shared" si="5"/>
        <v>40.343877621192405</v>
      </c>
      <c r="J14" s="25">
        <f t="shared" si="6"/>
        <v>0.84162929104090389</v>
      </c>
      <c r="M14">
        <f>VLOOKUP(A14,BCB_selic!I:J,2,0)</f>
        <v>10.258064516129032</v>
      </c>
      <c r="O14">
        <f t="shared" si="0"/>
        <v>18.903938775354568</v>
      </c>
      <c r="S14">
        <f t="shared" si="1"/>
        <v>0.92793136700166412</v>
      </c>
    </row>
    <row r="15" spans="1:24" x14ac:dyDescent="0.25">
      <c r="A15" s="9">
        <v>41671</v>
      </c>
      <c r="B15">
        <f>VLOOKUP(A15,BCB_TX_JUROS!A:L,12,0)</f>
        <v>199.52371974977106</v>
      </c>
      <c r="C15">
        <f>VLOOKUP(A15,BCB_TX_JUROS!N:V,9,0)</f>
        <v>8.7467805010064108</v>
      </c>
      <c r="E15">
        <f>VLOOKUP(A15,BCB_ipca_acum12m!A:B,2,0)</f>
        <v>5.68</v>
      </c>
      <c r="F15">
        <f t="shared" si="2"/>
        <v>193.84371974977105</v>
      </c>
      <c r="G15">
        <f t="shared" si="3"/>
        <v>3.0667805010064111</v>
      </c>
      <c r="H15" s="25">
        <f t="shared" si="4"/>
        <v>4.8378571428571426</v>
      </c>
      <c r="I15" s="25">
        <f t="shared" si="5"/>
        <v>40.068095031696366</v>
      </c>
      <c r="J15" s="25">
        <f t="shared" si="6"/>
        <v>0.6339129929734203</v>
      </c>
      <c r="M15">
        <f>VLOOKUP(A15,BCB_selic!I:J,2,0)</f>
        <v>10.517857142857142</v>
      </c>
      <c r="O15">
        <f t="shared" si="0"/>
        <v>18.969997123917114</v>
      </c>
      <c r="S15">
        <f t="shared" si="1"/>
        <v>0.83161240756597454</v>
      </c>
    </row>
    <row r="16" spans="1:24" x14ac:dyDescent="0.25">
      <c r="A16" s="9">
        <v>41699</v>
      </c>
      <c r="B16">
        <f>VLOOKUP(A16,BCB_TX_JUROS!A:L,12,0)</f>
        <v>197.60588335410145</v>
      </c>
      <c r="C16">
        <f>VLOOKUP(A16,BCB_TX_JUROS!N:V,9,0)</f>
        <v>9.7877619941108733</v>
      </c>
      <c r="E16">
        <f>VLOOKUP(A16,BCB_ipca_acum12m!A:B,2,0)</f>
        <v>6.15</v>
      </c>
      <c r="F16">
        <f t="shared" si="2"/>
        <v>191.45588335410145</v>
      </c>
      <c r="G16">
        <f t="shared" si="3"/>
        <v>3.637761994110873</v>
      </c>
      <c r="H16" s="25">
        <f t="shared" si="4"/>
        <v>4.5999999999999996</v>
      </c>
      <c r="I16" s="25">
        <f t="shared" si="5"/>
        <v>41.620844207413363</v>
      </c>
      <c r="J16" s="25">
        <f t="shared" si="6"/>
        <v>0.79081782480671159</v>
      </c>
      <c r="M16">
        <f>VLOOKUP(A16,BCB_selic!I:J,2,0)</f>
        <v>10.75</v>
      </c>
      <c r="O16">
        <f t="shared" si="0"/>
        <v>18.381942637590832</v>
      </c>
      <c r="S16">
        <f t="shared" si="1"/>
        <v>0.91048948782426731</v>
      </c>
    </row>
    <row r="17" spans="1:19" x14ac:dyDescent="0.25">
      <c r="A17" s="9">
        <v>41730</v>
      </c>
      <c r="B17">
        <f>VLOOKUP(A17,BCB_TX_JUROS!A:L,12,0)</f>
        <v>192.67462493878824</v>
      </c>
      <c r="C17">
        <f>VLOOKUP(A17,BCB_TX_JUROS!N:V,9,0)</f>
        <v>9.1856155494669451</v>
      </c>
      <c r="E17">
        <f>VLOOKUP(A17,BCB_ipca_acum12m!A:B,2,0)</f>
        <v>6.28</v>
      </c>
      <c r="F17">
        <f t="shared" si="2"/>
        <v>186.39462493878824</v>
      </c>
      <c r="G17">
        <f t="shared" si="3"/>
        <v>2.9056155494669449</v>
      </c>
      <c r="H17" s="25">
        <f t="shared" si="4"/>
        <v>4.7033333333333323</v>
      </c>
      <c r="I17" s="25">
        <f t="shared" si="5"/>
        <v>39.63032422511445</v>
      </c>
      <c r="J17" s="25">
        <f t="shared" si="6"/>
        <v>0.61777793397596292</v>
      </c>
      <c r="M17">
        <f>VLOOKUP(A17,BCB_selic!I:J,2,0)</f>
        <v>10.983333333333333</v>
      </c>
      <c r="O17">
        <f t="shared" si="0"/>
        <v>17.542454470906367</v>
      </c>
      <c r="S17">
        <f t="shared" si="1"/>
        <v>0.83632311527771885</v>
      </c>
    </row>
    <row r="18" spans="1:19" x14ac:dyDescent="0.25">
      <c r="A18" s="9">
        <v>41760</v>
      </c>
      <c r="B18">
        <f>VLOOKUP(A18,BCB_TX_JUROS!A:L,12,0)</f>
        <v>196.14452641152175</v>
      </c>
      <c r="C18">
        <f>VLOOKUP(A18,BCB_TX_JUROS!N:V,9,0)</f>
        <v>9.5282989700267997</v>
      </c>
      <c r="E18">
        <f>VLOOKUP(A18,BCB_ipca_acum12m!A:B,2,0)</f>
        <v>6.37</v>
      </c>
      <c r="F18">
        <f t="shared" si="2"/>
        <v>189.77452641152175</v>
      </c>
      <c r="G18">
        <f t="shared" si="3"/>
        <v>3.1582989700267996</v>
      </c>
      <c r="H18" s="25">
        <f t="shared" si="4"/>
        <v>4.63</v>
      </c>
      <c r="I18" s="25">
        <f t="shared" si="5"/>
        <v>40.988018663395628</v>
      </c>
      <c r="J18" s="25">
        <f t="shared" si="6"/>
        <v>0.6821380064852699</v>
      </c>
      <c r="M18">
        <f>VLOOKUP(A18,BCB_selic!I:J,2,0)</f>
        <v>11</v>
      </c>
      <c r="O18">
        <f t="shared" si="0"/>
        <v>17.831320582865615</v>
      </c>
      <c r="S18">
        <f t="shared" si="1"/>
        <v>0.86620899727516365</v>
      </c>
    </row>
    <row r="19" spans="1:19" x14ac:dyDescent="0.25">
      <c r="A19" s="9">
        <v>41791</v>
      </c>
      <c r="B19">
        <f>VLOOKUP(A19,BCB_TX_JUROS!A:L,12,0)</f>
        <v>200.63531219702776</v>
      </c>
      <c r="C19">
        <f>VLOOKUP(A19,BCB_TX_JUROS!N:V,9,0)</f>
        <v>9.2258264987900986</v>
      </c>
      <c r="E19">
        <f>VLOOKUP(A19,BCB_ipca_acum12m!A:B,2,0)</f>
        <v>6.52</v>
      </c>
      <c r="F19">
        <f t="shared" si="2"/>
        <v>194.11531219702775</v>
      </c>
      <c r="G19">
        <f t="shared" si="3"/>
        <v>2.7058264987900991</v>
      </c>
      <c r="H19" s="25">
        <f t="shared" si="4"/>
        <v>4.4800000000000004</v>
      </c>
      <c r="I19" s="25">
        <f t="shared" si="5"/>
        <v>43.329310758265116</v>
      </c>
      <c r="J19" s="25">
        <f t="shared" si="6"/>
        <v>0.60397912919421848</v>
      </c>
      <c r="M19">
        <f>VLOOKUP(A19,BCB_selic!I:J,2,0)</f>
        <v>11</v>
      </c>
      <c r="O19">
        <f t="shared" si="0"/>
        <v>18.239573836093431</v>
      </c>
      <c r="S19">
        <f t="shared" si="1"/>
        <v>0.83871149989000893</v>
      </c>
    </row>
    <row r="20" spans="1:19" x14ac:dyDescent="0.25">
      <c r="A20" s="9">
        <v>41821</v>
      </c>
      <c r="B20">
        <f>VLOOKUP(A20,BCB_TX_JUROS!A:L,12,0)</f>
        <v>200.51837303057701</v>
      </c>
      <c r="C20">
        <f>VLOOKUP(A20,BCB_TX_JUROS!N:V,9,0)</f>
        <v>9.6941782107585208</v>
      </c>
      <c r="E20">
        <f>VLOOKUP(A20,BCB_ipca_acum12m!A:B,2,0)</f>
        <v>6.5</v>
      </c>
      <c r="F20">
        <f t="shared" si="2"/>
        <v>194.01837303057701</v>
      </c>
      <c r="G20">
        <f t="shared" si="3"/>
        <v>3.1941782107585208</v>
      </c>
      <c r="H20" s="25">
        <f t="shared" si="4"/>
        <v>4.5</v>
      </c>
      <c r="I20" s="25">
        <f t="shared" si="5"/>
        <v>43.115194006794894</v>
      </c>
      <c r="J20" s="25">
        <f t="shared" si="6"/>
        <v>0.70981738016856022</v>
      </c>
      <c r="M20">
        <f>VLOOKUP(A20,BCB_selic!I:J,2,0)</f>
        <v>11</v>
      </c>
      <c r="O20">
        <f t="shared" si="0"/>
        <v>18.228943002779729</v>
      </c>
      <c r="S20">
        <f t="shared" si="1"/>
        <v>0.88128892825077465</v>
      </c>
    </row>
    <row r="21" spans="1:19" x14ac:dyDescent="0.25">
      <c r="A21" s="9">
        <v>41852</v>
      </c>
      <c r="B21">
        <f>VLOOKUP(A21,BCB_TX_JUROS!A:L,12,0)</f>
        <v>204.28810022981691</v>
      </c>
      <c r="C21">
        <f>VLOOKUP(A21,BCB_TX_JUROS!N:V,9,0)</f>
        <v>9.5930418717076833</v>
      </c>
      <c r="E21">
        <f>VLOOKUP(A21,BCB_ipca_acum12m!A:B,2,0)</f>
        <v>6.51</v>
      </c>
      <c r="F21">
        <f t="shared" si="2"/>
        <v>197.77810022981691</v>
      </c>
      <c r="G21">
        <f t="shared" si="3"/>
        <v>3.0830418717076835</v>
      </c>
      <c r="H21" s="25">
        <f t="shared" si="4"/>
        <v>4.49</v>
      </c>
      <c r="I21" s="25">
        <f t="shared" si="5"/>
        <v>44.048574661429157</v>
      </c>
      <c r="J21" s="25">
        <f t="shared" si="6"/>
        <v>0.68664629659413878</v>
      </c>
      <c r="M21">
        <f>VLOOKUP(A21,BCB_selic!I:J,2,0)</f>
        <v>11</v>
      </c>
      <c r="O21">
        <f t="shared" si="0"/>
        <v>18.571645475437901</v>
      </c>
      <c r="S21">
        <f t="shared" si="1"/>
        <v>0.87209471560978935</v>
      </c>
    </row>
    <row r="22" spans="1:19" x14ac:dyDescent="0.25">
      <c r="A22" s="9">
        <v>41883</v>
      </c>
      <c r="B22">
        <f>VLOOKUP(A22,BCB_TX_JUROS!A:L,12,0)</f>
        <v>203.83899106973212</v>
      </c>
      <c r="C22">
        <f>VLOOKUP(A22,BCB_TX_JUROS!N:V,9,0)</f>
        <v>9.4513151016268093</v>
      </c>
      <c r="E22">
        <f>VLOOKUP(A22,BCB_ipca_acum12m!A:B,2,0)</f>
        <v>6.75</v>
      </c>
      <c r="F22">
        <f t="shared" si="2"/>
        <v>197.08899106973212</v>
      </c>
      <c r="G22">
        <f t="shared" si="3"/>
        <v>2.7013151016268093</v>
      </c>
      <c r="H22" s="25">
        <f t="shared" si="4"/>
        <v>4.25</v>
      </c>
      <c r="I22" s="25">
        <f t="shared" si="5"/>
        <v>46.373880251701678</v>
      </c>
      <c r="J22" s="25">
        <f t="shared" si="6"/>
        <v>0.63560355332395513</v>
      </c>
      <c r="M22">
        <f>VLOOKUP(A22,BCB_selic!I:J,2,0)</f>
        <v>11</v>
      </c>
      <c r="O22">
        <f t="shared" si="0"/>
        <v>18.530817369975647</v>
      </c>
      <c r="S22">
        <f t="shared" si="1"/>
        <v>0.85921046378425536</v>
      </c>
    </row>
    <row r="23" spans="1:19" x14ac:dyDescent="0.25">
      <c r="A23" s="9">
        <v>41913</v>
      </c>
      <c r="B23">
        <f>VLOOKUP(A23,BCB_TX_JUROS!A:L,12,0)</f>
        <v>212.738861880397</v>
      </c>
      <c r="C23">
        <f>VLOOKUP(A23,BCB_TX_JUROS!N:V,9,0)</f>
        <v>9.4574192617880044</v>
      </c>
      <c r="E23">
        <f>VLOOKUP(A23,BCB_ipca_acum12m!A:B,2,0)</f>
        <v>6.59</v>
      </c>
      <c r="F23">
        <f t="shared" si="2"/>
        <v>206.14886188039699</v>
      </c>
      <c r="G23">
        <f t="shared" si="3"/>
        <v>2.8674192617880045</v>
      </c>
      <c r="H23" s="25">
        <f t="shared" si="4"/>
        <v>4.4261290322580642</v>
      </c>
      <c r="I23" s="25">
        <f t="shared" si="5"/>
        <v>46.575429766724781</v>
      </c>
      <c r="J23" s="25">
        <f t="shared" si="6"/>
        <v>0.64783905776130124</v>
      </c>
      <c r="M23">
        <f>VLOOKUP(A23,BCB_selic!I:J,2,0)</f>
        <v>11.016129032258064</v>
      </c>
      <c r="O23">
        <f t="shared" si="0"/>
        <v>19.311580434238088</v>
      </c>
      <c r="S23">
        <f t="shared" si="1"/>
        <v>0.85850658013302528</v>
      </c>
    </row>
    <row r="24" spans="1:19" x14ac:dyDescent="0.25">
      <c r="A24" s="9">
        <v>41944</v>
      </c>
      <c r="B24">
        <f>VLOOKUP(A24,BCB_TX_JUROS!A:L,12,0)</f>
        <v>220.45881684660736</v>
      </c>
      <c r="C24">
        <f>VLOOKUP(A24,BCB_TX_JUROS!N:V,9,0)</f>
        <v>9.2863780554503759</v>
      </c>
      <c r="E24">
        <f>VLOOKUP(A24,BCB_ipca_acum12m!A:B,2,0)</f>
        <v>6.56</v>
      </c>
      <c r="F24">
        <f t="shared" si="2"/>
        <v>213.89881684660736</v>
      </c>
      <c r="G24">
        <f t="shared" si="3"/>
        <v>2.7263780554503763</v>
      </c>
      <c r="H24" s="25">
        <f t="shared" si="4"/>
        <v>4.6900000000000004</v>
      </c>
      <c r="I24" s="25">
        <f t="shared" si="5"/>
        <v>45.607423634671072</v>
      </c>
      <c r="J24" s="25">
        <f t="shared" si="6"/>
        <v>0.58131728261202043</v>
      </c>
      <c r="M24">
        <f>VLOOKUP(A24,BCB_selic!I:J,2,0)</f>
        <v>11.25</v>
      </c>
      <c r="O24">
        <f t="shared" si="0"/>
        <v>19.596339275253989</v>
      </c>
      <c r="S24">
        <f t="shared" si="1"/>
        <v>0.82545582715114452</v>
      </c>
    </row>
    <row r="25" spans="1:19" x14ac:dyDescent="0.25">
      <c r="A25" s="9">
        <v>41974</v>
      </c>
      <c r="B25">
        <f>VLOOKUP(A25,BCB_TX_JUROS!A:L,12,0)</f>
        <v>225.94526129181443</v>
      </c>
      <c r="C25">
        <f>VLOOKUP(A25,BCB_TX_JUROS!N:V,9,0)</f>
        <v>8.9636287373628729</v>
      </c>
      <c r="E25">
        <f>VLOOKUP(A25,BCB_ipca_acum12m!A:B,2,0)</f>
        <v>6.41</v>
      </c>
      <c r="F25">
        <f t="shared" si="2"/>
        <v>219.53526129181444</v>
      </c>
      <c r="G25">
        <f t="shared" si="3"/>
        <v>2.5536287373628728</v>
      </c>
      <c r="H25" s="25">
        <f t="shared" si="4"/>
        <v>5.2916129032258059</v>
      </c>
      <c r="I25" s="25">
        <f t="shared" si="5"/>
        <v>41.487400024666229</v>
      </c>
      <c r="J25" s="25">
        <f t="shared" si="6"/>
        <v>0.48258041244970168</v>
      </c>
      <c r="M25">
        <f>VLOOKUP(A25,BCB_selic!I:J,2,0)</f>
        <v>11.701612903225806</v>
      </c>
      <c r="O25">
        <f t="shared" si="0"/>
        <v>19.308898966357678</v>
      </c>
      <c r="S25">
        <f t="shared" si="1"/>
        <v>0.76601651511577962</v>
      </c>
    </row>
    <row r="26" spans="1:19" x14ac:dyDescent="0.25">
      <c r="A26" s="9">
        <v>42005</v>
      </c>
      <c r="B26">
        <f>VLOOKUP(A26,BCB_TX_JUROS!A:L,12,0)</f>
        <v>231.48353642598056</v>
      </c>
      <c r="C26">
        <f>VLOOKUP(A26,BCB_TX_JUROS!N:V,9,0)</f>
        <v>9.367541320921708</v>
      </c>
      <c r="E26">
        <f>VLOOKUP(A26,BCB_ipca_acum12m!A:B,2,0)</f>
        <v>7.14</v>
      </c>
      <c r="F26">
        <f t="shared" si="2"/>
        <v>224.34353642598057</v>
      </c>
      <c r="G26">
        <f t="shared" si="3"/>
        <v>2.2275413209217083</v>
      </c>
      <c r="H26" s="25">
        <f t="shared" si="4"/>
        <v>4.7712903225806462</v>
      </c>
      <c r="I26" s="25">
        <f t="shared" si="5"/>
        <v>47.019468793221527</v>
      </c>
      <c r="J26" s="25">
        <f t="shared" si="6"/>
        <v>0.46686350448632913</v>
      </c>
      <c r="M26">
        <f>VLOOKUP(A26,BCB_selic!I:J,2,0)</f>
        <v>11.911290322580646</v>
      </c>
      <c r="O26">
        <f t="shared" si="0"/>
        <v>19.433959727028835</v>
      </c>
      <c r="S26">
        <f t="shared" si="1"/>
        <v>0.78644219620466604</v>
      </c>
    </row>
    <row r="27" spans="1:19" x14ac:dyDescent="0.25">
      <c r="A27" s="9">
        <v>42036</v>
      </c>
      <c r="B27">
        <f>VLOOKUP(A27,BCB_TX_JUROS!A:L,12,0)</f>
        <v>239.61917766928465</v>
      </c>
      <c r="C27">
        <f>VLOOKUP(A27,BCB_TX_JUROS!N:V,9,0)</f>
        <v>8.8388052783007147</v>
      </c>
      <c r="E27">
        <f>VLOOKUP(A27,BCB_ipca_acum12m!A:B,2,0)</f>
        <v>7.7</v>
      </c>
      <c r="F27">
        <f t="shared" si="2"/>
        <v>231.91917766928466</v>
      </c>
      <c r="G27">
        <f t="shared" si="3"/>
        <v>1.1388052783007145</v>
      </c>
      <c r="H27" s="25">
        <f t="shared" si="4"/>
        <v>4.55</v>
      </c>
      <c r="I27" s="25">
        <f t="shared" si="5"/>
        <v>50.971247839403226</v>
      </c>
      <c r="J27" s="25">
        <f t="shared" si="6"/>
        <v>0.25028687435180541</v>
      </c>
      <c r="M27">
        <f>VLOOKUP(A27,BCB_selic!I:J,2,0)</f>
        <v>12.25</v>
      </c>
      <c r="O27">
        <f t="shared" si="0"/>
        <v>19.560749197492626</v>
      </c>
      <c r="S27">
        <f t="shared" si="1"/>
        <v>0.72153512475924197</v>
      </c>
    </row>
    <row r="28" spans="1:19" x14ac:dyDescent="0.25">
      <c r="A28" s="9">
        <v>42064</v>
      </c>
      <c r="B28">
        <f>VLOOKUP(A28,BCB_TX_JUROS!A:L,12,0)</f>
        <v>240.24794988967187</v>
      </c>
      <c r="C28">
        <f>VLOOKUP(A28,BCB_TX_JUROS!N:V,9,0)</f>
        <v>9.8562357575611905</v>
      </c>
      <c r="E28">
        <f>VLOOKUP(A28,BCB_ipca_acum12m!A:B,2,0)</f>
        <v>8.1300000000000008</v>
      </c>
      <c r="F28">
        <f t="shared" si="2"/>
        <v>232.11794988967188</v>
      </c>
      <c r="G28">
        <f t="shared" si="3"/>
        <v>1.7262357575611897</v>
      </c>
      <c r="H28" s="25">
        <f t="shared" si="4"/>
        <v>4.5554838709677412</v>
      </c>
      <c r="I28" s="25">
        <f t="shared" si="5"/>
        <v>50.953522493838193</v>
      </c>
      <c r="J28" s="25">
        <f t="shared" si="6"/>
        <v>0.37893576323747974</v>
      </c>
      <c r="M28">
        <f>VLOOKUP(A28,BCB_selic!I:J,2,0)</f>
        <v>12.685483870967742</v>
      </c>
      <c r="O28">
        <f t="shared" si="0"/>
        <v>18.938808510056777</v>
      </c>
      <c r="S28">
        <f t="shared" si="1"/>
        <v>0.77696963378104744</v>
      </c>
    </row>
    <row r="29" spans="1:19" x14ac:dyDescent="0.25">
      <c r="A29" s="9">
        <v>42095</v>
      </c>
      <c r="B29">
        <f>VLOOKUP(A29,BCB_TX_JUROS!A:L,12,0)</f>
        <v>243.87289147026755</v>
      </c>
      <c r="C29">
        <f>VLOOKUP(A29,BCB_TX_JUROS!N:V,9,0)</f>
        <v>9.7781199583463039</v>
      </c>
      <c r="E29">
        <f>VLOOKUP(A29,BCB_ipca_acum12m!A:B,2,0)</f>
        <v>8.17</v>
      </c>
      <c r="F29">
        <f t="shared" si="2"/>
        <v>235.70289147026756</v>
      </c>
      <c r="G29">
        <f t="shared" si="3"/>
        <v>1.6081199583463039</v>
      </c>
      <c r="H29" s="25">
        <f t="shared" si="4"/>
        <v>4.5966666666666676</v>
      </c>
      <c r="I29" s="25">
        <f t="shared" si="5"/>
        <v>51.27691620092839</v>
      </c>
      <c r="J29" s="25">
        <f t="shared" si="6"/>
        <v>0.34984480602167589</v>
      </c>
      <c r="M29">
        <f>VLOOKUP(A29,BCB_selic!I:J,2,0)</f>
        <v>12.766666666666667</v>
      </c>
      <c r="O29">
        <f t="shared" si="0"/>
        <v>19.102315258767693</v>
      </c>
      <c r="S29">
        <f t="shared" si="1"/>
        <v>0.76591017950493234</v>
      </c>
    </row>
    <row r="30" spans="1:19" x14ac:dyDescent="0.25">
      <c r="A30" s="9">
        <v>42125</v>
      </c>
      <c r="B30">
        <f>VLOOKUP(A30,BCB_TX_JUROS!A:L,12,0)</f>
        <v>256.24988538242997</v>
      </c>
      <c r="C30">
        <f>VLOOKUP(A30,BCB_TX_JUROS!N:V,9,0)</f>
        <v>10.148229674723378</v>
      </c>
      <c r="E30">
        <f>VLOOKUP(A30,BCB_ipca_acum12m!A:B,2,0)</f>
        <v>8.4700000000000006</v>
      </c>
      <c r="F30">
        <f t="shared" si="2"/>
        <v>247.77988538242997</v>
      </c>
      <c r="G30">
        <f t="shared" si="3"/>
        <v>1.6782296747233776</v>
      </c>
      <c r="H30" s="25">
        <f t="shared" si="4"/>
        <v>4.7799999999999994</v>
      </c>
      <c r="I30" s="25">
        <f t="shared" si="5"/>
        <v>51.836796105110878</v>
      </c>
      <c r="J30" s="25">
        <f t="shared" si="6"/>
        <v>0.35109407420991168</v>
      </c>
      <c r="M30">
        <f>VLOOKUP(A30,BCB_selic!I:J,2,0)</f>
        <v>13.25</v>
      </c>
      <c r="O30">
        <f t="shared" si="0"/>
        <v>19.339613991126789</v>
      </c>
      <c r="S30">
        <f t="shared" si="1"/>
        <v>0.76590412639421723</v>
      </c>
    </row>
    <row r="31" spans="1:19" x14ac:dyDescent="0.25">
      <c r="A31" s="9">
        <v>42156</v>
      </c>
      <c r="B31">
        <f>VLOOKUP(A31,BCB_TX_JUROS!A:L,12,0)</f>
        <v>267.40268855993696</v>
      </c>
      <c r="C31">
        <f>VLOOKUP(A31,BCB_TX_JUROS!N:V,9,0)</f>
        <v>10.464454234000479</v>
      </c>
      <c r="E31">
        <f>VLOOKUP(A31,BCB_ipca_acum12m!A:B,2,0)</f>
        <v>8.89</v>
      </c>
      <c r="F31">
        <f t="shared" si="2"/>
        <v>258.51268855993698</v>
      </c>
      <c r="G31">
        <f t="shared" si="3"/>
        <v>1.5744542340004788</v>
      </c>
      <c r="H31" s="25">
        <f t="shared" si="4"/>
        <v>4.8099999999999987</v>
      </c>
      <c r="I31" s="25">
        <f t="shared" si="5"/>
        <v>53.74484169645261</v>
      </c>
      <c r="J31" s="25">
        <f t="shared" si="6"/>
        <v>0.32732936257806222</v>
      </c>
      <c r="M31">
        <f>VLOOKUP(A31,BCB_selic!I:J,2,0)</f>
        <v>13.7</v>
      </c>
      <c r="O31">
        <f t="shared" si="0"/>
        <v>19.518444420433354</v>
      </c>
      <c r="S31">
        <f t="shared" si="1"/>
        <v>0.76382877620441458</v>
      </c>
    </row>
    <row r="32" spans="1:19" x14ac:dyDescent="0.25">
      <c r="A32" s="9">
        <v>42186</v>
      </c>
      <c r="B32">
        <f>VLOOKUP(A32,BCB_TX_JUROS!A:L,12,0)</f>
        <v>279.32874480894111</v>
      </c>
      <c r="C32">
        <f>VLOOKUP(A32,BCB_TX_JUROS!N:V,9,0)</f>
        <v>10.784408843193205</v>
      </c>
      <c r="E32">
        <f>VLOOKUP(A32,BCB_ipca_acum12m!A:B,2,0)</f>
        <v>9.56</v>
      </c>
      <c r="F32">
        <f t="shared" si="2"/>
        <v>269.76874480894111</v>
      </c>
      <c r="G32">
        <f t="shared" si="3"/>
        <v>1.2244088431932045</v>
      </c>
      <c r="H32" s="25">
        <f t="shared" si="4"/>
        <v>4.2222580645161294</v>
      </c>
      <c r="I32" s="25">
        <f t="shared" si="5"/>
        <v>63.892055077371637</v>
      </c>
      <c r="J32" s="25">
        <f t="shared" si="6"/>
        <v>0.28998910641752113</v>
      </c>
      <c r="M32">
        <f>VLOOKUP(A32,BCB_selic!I:J,2,0)</f>
        <v>13.78225806451613</v>
      </c>
      <c r="O32">
        <f t="shared" si="0"/>
        <v>20.267269956880455</v>
      </c>
      <c r="S32">
        <f t="shared" si="1"/>
        <v>0.78248490143707272</v>
      </c>
    </row>
    <row r="33" spans="1:19" x14ac:dyDescent="0.25">
      <c r="A33" s="9">
        <v>42217</v>
      </c>
      <c r="B33">
        <f>VLOOKUP(A33,BCB_TX_JUROS!A:L,12,0)</f>
        <v>284.49464217989947</v>
      </c>
      <c r="C33">
        <f>VLOOKUP(A33,BCB_TX_JUROS!N:V,9,0)</f>
        <v>10.552486204845227</v>
      </c>
      <c r="E33">
        <f>VLOOKUP(A33,BCB_ipca_acum12m!A:B,2,0)</f>
        <v>9.5299999999999994</v>
      </c>
      <c r="F33">
        <f t="shared" si="2"/>
        <v>274.9646421798995</v>
      </c>
      <c r="G33">
        <f t="shared" si="3"/>
        <v>1.0224862048452277</v>
      </c>
      <c r="H33" s="25">
        <f t="shared" si="4"/>
        <v>4.7200000000000006</v>
      </c>
      <c r="I33" s="25">
        <f t="shared" si="5"/>
        <v>58.255220800826159</v>
      </c>
      <c r="J33" s="25">
        <f t="shared" si="6"/>
        <v>0.21662843322992109</v>
      </c>
      <c r="M33">
        <f>VLOOKUP(A33,BCB_selic!I:J,2,0)</f>
        <v>14.25</v>
      </c>
      <c r="O33">
        <f t="shared" si="0"/>
        <v>19.96453629332628</v>
      </c>
      <c r="S33">
        <f t="shared" si="1"/>
        <v>0.74052534770843703</v>
      </c>
    </row>
    <row r="34" spans="1:19" x14ac:dyDescent="0.25">
      <c r="A34" s="9">
        <v>42248</v>
      </c>
      <c r="B34">
        <f>VLOOKUP(A34,BCB_TX_JUROS!A:L,12,0)</f>
        <v>296.07317734797573</v>
      </c>
      <c r="C34">
        <f>VLOOKUP(A34,BCB_TX_JUROS!N:V,9,0)</f>
        <v>10.427110610123252</v>
      </c>
      <c r="E34">
        <f>VLOOKUP(A34,BCB_ipca_acum12m!A:B,2,0)</f>
        <v>9.49</v>
      </c>
      <c r="F34">
        <f t="shared" si="2"/>
        <v>286.58317734797572</v>
      </c>
      <c r="G34">
        <f t="shared" si="3"/>
        <v>0.93711061012325203</v>
      </c>
      <c r="H34" s="25">
        <f t="shared" si="4"/>
        <v>4.76</v>
      </c>
      <c r="I34" s="25">
        <f t="shared" si="5"/>
        <v>60.206549863020115</v>
      </c>
      <c r="J34" s="25">
        <f t="shared" si="6"/>
        <v>0.19687197691664959</v>
      </c>
      <c r="M34">
        <f>VLOOKUP(A34,BCB_selic!I:J,2,0)</f>
        <v>14.25</v>
      </c>
      <c r="O34">
        <f t="shared" si="0"/>
        <v>20.777065077050928</v>
      </c>
      <c r="S34">
        <f t="shared" si="1"/>
        <v>0.7317270603595265</v>
      </c>
    </row>
    <row r="35" spans="1:19" x14ac:dyDescent="0.25">
      <c r="A35" s="9">
        <v>42278</v>
      </c>
      <c r="B35">
        <f>VLOOKUP(A35,BCB_TX_JUROS!A:L,12,0)</f>
        <v>296.24264331727386</v>
      </c>
      <c r="C35">
        <f>VLOOKUP(A35,BCB_TX_JUROS!N:V,9,0)</f>
        <v>10.496454928723509</v>
      </c>
      <c r="E35">
        <f>VLOOKUP(A35,BCB_ipca_acum12m!A:B,2,0)</f>
        <v>9.93</v>
      </c>
      <c r="F35">
        <f t="shared" si="2"/>
        <v>286.31264331727385</v>
      </c>
      <c r="G35">
        <f t="shared" si="3"/>
        <v>0.566454928723509</v>
      </c>
      <c r="H35" s="25">
        <f t="shared" si="4"/>
        <v>4.32</v>
      </c>
      <c r="I35" s="25">
        <f t="shared" si="5"/>
        <v>66.276074841961531</v>
      </c>
      <c r="J35" s="25">
        <f t="shared" si="6"/>
        <v>0.13112382609340487</v>
      </c>
      <c r="M35">
        <f>VLOOKUP(A35,BCB_selic!I:J,2,0)</f>
        <v>14.25</v>
      </c>
      <c r="O35">
        <f t="shared" si="0"/>
        <v>20.788957425773603</v>
      </c>
      <c r="S35">
        <f t="shared" si="1"/>
        <v>0.73659332833147428</v>
      </c>
    </row>
    <row r="36" spans="1:19" x14ac:dyDescent="0.25">
      <c r="A36" s="9">
        <v>42309</v>
      </c>
      <c r="B36">
        <f>VLOOKUP(A36,BCB_TX_JUROS!A:L,12,0)</f>
        <v>313.1996466685319</v>
      </c>
      <c r="C36">
        <f>VLOOKUP(A36,BCB_TX_JUROS!N:V,9,0)</f>
        <v>10.598555901303412</v>
      </c>
      <c r="E36">
        <f>VLOOKUP(A36,BCB_ipca_acum12m!A:B,2,0)</f>
        <v>10.48</v>
      </c>
      <c r="F36">
        <f t="shared" si="2"/>
        <v>302.71964666853188</v>
      </c>
      <c r="G36">
        <f t="shared" si="3"/>
        <v>0.1185559013034112</v>
      </c>
      <c r="H36" s="25">
        <f t="shared" si="4"/>
        <v>3.7699999999999996</v>
      </c>
      <c r="I36" s="25">
        <f t="shared" si="5"/>
        <v>80.296988506241888</v>
      </c>
      <c r="J36" s="25">
        <f t="shared" si="6"/>
        <v>3.1447188674644883E-2</v>
      </c>
      <c r="M36">
        <f>VLOOKUP(A36,BCB_selic!I:J,2,0)</f>
        <v>14.25</v>
      </c>
      <c r="O36">
        <f t="shared" si="0"/>
        <v>21.97892257323031</v>
      </c>
      <c r="S36">
        <f t="shared" si="1"/>
        <v>0.74375830886339733</v>
      </c>
    </row>
    <row r="37" spans="1:19" x14ac:dyDescent="0.25">
      <c r="A37" s="9">
        <v>42339</v>
      </c>
      <c r="B37">
        <f>VLOOKUP(A37,BCB_TX_JUROS!A:L,12,0)</f>
        <v>319.90618387393118</v>
      </c>
      <c r="C37">
        <f>VLOOKUP(A37,BCB_TX_JUROS!N:V,9,0)</f>
        <v>10.091376102306731</v>
      </c>
      <c r="E37">
        <f>VLOOKUP(A37,BCB_ipca_acum12m!A:B,2,0)</f>
        <v>10.67</v>
      </c>
      <c r="F37">
        <f t="shared" si="2"/>
        <v>309.23618387393117</v>
      </c>
      <c r="G37">
        <f t="shared" si="3"/>
        <v>-0.57862389769326938</v>
      </c>
      <c r="H37" s="25">
        <f t="shared" si="4"/>
        <v>3.58</v>
      </c>
      <c r="I37" s="25">
        <f t="shared" si="5"/>
        <v>86.378822311153954</v>
      </c>
      <c r="J37" s="25">
        <f t="shared" si="6"/>
        <v>-0.16162678706515904</v>
      </c>
      <c r="M37">
        <f>VLOOKUP(A37,BCB_selic!I:J,2,0)</f>
        <v>14.25</v>
      </c>
      <c r="O37">
        <f t="shared" si="0"/>
        <v>22.449556763082889</v>
      </c>
      <c r="S37">
        <f t="shared" si="1"/>
        <v>0.70816674402152491</v>
      </c>
    </row>
    <row r="38" spans="1:19" x14ac:dyDescent="0.25">
      <c r="A38" s="9">
        <v>42370</v>
      </c>
      <c r="B38">
        <f>VLOOKUP(A38,BCB_TX_JUROS!A:L,12,0)</f>
        <v>332.45794454153236</v>
      </c>
      <c r="C38">
        <f>VLOOKUP(A38,BCB_TX_JUROS!N:V,9,0)</f>
        <v>10.493252765364888</v>
      </c>
      <c r="E38">
        <f>VLOOKUP(A38,BCB_ipca_acum12m!A:B,2,0)</f>
        <v>10.71</v>
      </c>
      <c r="F38">
        <f t="shared" si="2"/>
        <v>321.74794454153238</v>
      </c>
      <c r="G38">
        <f t="shared" si="3"/>
        <v>-0.21674723463511292</v>
      </c>
      <c r="H38" s="25">
        <f t="shared" si="4"/>
        <v>3.5399999999999991</v>
      </c>
      <c r="I38" s="25">
        <f t="shared" si="5"/>
        <v>90.889249870489394</v>
      </c>
      <c r="J38" s="25">
        <f t="shared" si="6"/>
        <v>-6.1228032382800272E-2</v>
      </c>
      <c r="M38">
        <f>VLOOKUP(A38,BCB_selic!I:J,2,0)</f>
        <v>14.25</v>
      </c>
      <c r="O38">
        <f t="shared" si="0"/>
        <v>23.330382073089989</v>
      </c>
      <c r="S38">
        <f t="shared" si="1"/>
        <v>0.73636861511332552</v>
      </c>
    </row>
    <row r="39" spans="1:19" x14ac:dyDescent="0.25">
      <c r="A39" s="9">
        <v>42401</v>
      </c>
      <c r="B39">
        <f>VLOOKUP(A39,BCB_TX_JUROS!A:L,12,0)</f>
        <v>336.17827558537232</v>
      </c>
      <c r="C39">
        <f>VLOOKUP(A39,BCB_TX_JUROS!N:V,9,0)</f>
        <v>10.140577585312421</v>
      </c>
      <c r="E39">
        <f>VLOOKUP(A39,BCB_ipca_acum12m!A:B,2,0)</f>
        <v>10.36</v>
      </c>
      <c r="F39">
        <f t="shared" si="2"/>
        <v>325.81827558537231</v>
      </c>
      <c r="G39">
        <f t="shared" si="3"/>
        <v>-0.21942241468757828</v>
      </c>
      <c r="H39" s="25">
        <f t="shared" si="4"/>
        <v>3.8900000000000006</v>
      </c>
      <c r="I39" s="25">
        <f t="shared" si="5"/>
        <v>83.757911461535286</v>
      </c>
      <c r="J39" s="25">
        <f t="shared" si="6"/>
        <v>-5.6406790408117802E-2</v>
      </c>
      <c r="M39">
        <f>VLOOKUP(A39,BCB_selic!I:J,2,0)</f>
        <v>14.25</v>
      </c>
      <c r="O39">
        <f t="shared" si="0"/>
        <v>23.591457935815601</v>
      </c>
      <c r="S39">
        <f t="shared" si="1"/>
        <v>0.71161947967104711</v>
      </c>
    </row>
    <row r="40" spans="1:19" x14ac:dyDescent="0.25">
      <c r="A40" s="9">
        <v>42430</v>
      </c>
      <c r="B40">
        <f>VLOOKUP(A40,BCB_TX_JUROS!A:L,12,0)</f>
        <v>339.67619158691656</v>
      </c>
      <c r="C40">
        <f>VLOOKUP(A40,BCB_TX_JUROS!N:V,9,0)</f>
        <v>10.755819427612568</v>
      </c>
      <c r="E40">
        <f>VLOOKUP(A40,BCB_ipca_acum12m!A:B,2,0)</f>
        <v>9.39</v>
      </c>
      <c r="F40">
        <f t="shared" si="2"/>
        <v>330.28619158691657</v>
      </c>
      <c r="G40">
        <f t="shared" si="3"/>
        <v>1.3658194276125677</v>
      </c>
      <c r="H40" s="25">
        <f t="shared" si="4"/>
        <v>4.8599999999999994</v>
      </c>
      <c r="I40" s="25">
        <f t="shared" si="5"/>
        <v>67.960121725703004</v>
      </c>
      <c r="J40" s="25">
        <f t="shared" si="6"/>
        <v>0.28103280403550779</v>
      </c>
      <c r="M40">
        <f>VLOOKUP(A40,BCB_selic!I:J,2,0)</f>
        <v>14.25</v>
      </c>
      <c r="O40">
        <f t="shared" si="0"/>
        <v>23.836925725397652</v>
      </c>
      <c r="S40">
        <f t="shared" si="1"/>
        <v>0.75479434579737326</v>
      </c>
    </row>
    <row r="41" spans="1:19" x14ac:dyDescent="0.25">
      <c r="A41" s="9">
        <v>42461</v>
      </c>
      <c r="B41">
        <f>VLOOKUP(A41,BCB_TX_JUROS!A:L,12,0)</f>
        <v>347.20065302092223</v>
      </c>
      <c r="C41">
        <f>VLOOKUP(A41,BCB_TX_JUROS!N:V,9,0)</f>
        <v>10.565127758994919</v>
      </c>
      <c r="E41">
        <f>VLOOKUP(A41,BCB_ipca_acum12m!A:B,2,0)</f>
        <v>9.2799999999999994</v>
      </c>
      <c r="F41">
        <f t="shared" si="2"/>
        <v>337.92065302092226</v>
      </c>
      <c r="G41">
        <f t="shared" si="3"/>
        <v>1.2851277589949195</v>
      </c>
      <c r="H41" s="25">
        <f t="shared" si="4"/>
        <v>4.9700000000000006</v>
      </c>
      <c r="I41" s="25">
        <f t="shared" si="5"/>
        <v>67.992083102801246</v>
      </c>
      <c r="J41" s="25">
        <f t="shared" si="6"/>
        <v>0.25857701388227755</v>
      </c>
      <c r="M41">
        <f>VLOOKUP(A41,BCB_selic!I:J,2,0)</f>
        <v>14.25</v>
      </c>
      <c r="O41">
        <f t="shared" si="0"/>
        <v>24.364958106731386</v>
      </c>
      <c r="S41">
        <f t="shared" si="1"/>
        <v>0.74141247431543289</v>
      </c>
    </row>
    <row r="42" spans="1:19" x14ac:dyDescent="0.25">
      <c r="A42" s="9">
        <v>42491</v>
      </c>
      <c r="B42">
        <f>VLOOKUP(A42,BCB_TX_JUROS!A:L,12,0)</f>
        <v>352.02403798785548</v>
      </c>
      <c r="C42">
        <f>VLOOKUP(A42,BCB_TX_JUROS!N:V,9,0)</f>
        <v>11.160674011765522</v>
      </c>
      <c r="E42">
        <f>VLOOKUP(A42,BCB_ipca_acum12m!A:B,2,0)</f>
        <v>9.32</v>
      </c>
      <c r="F42">
        <f t="shared" si="2"/>
        <v>342.70403798785549</v>
      </c>
      <c r="G42">
        <f t="shared" si="3"/>
        <v>1.8406740117655218</v>
      </c>
      <c r="H42" s="25">
        <f t="shared" si="4"/>
        <v>4.93</v>
      </c>
      <c r="I42" s="25">
        <f t="shared" si="5"/>
        <v>69.514003648652235</v>
      </c>
      <c r="J42" s="25">
        <f t="shared" si="6"/>
        <v>0.37336186851227626</v>
      </c>
      <c r="M42">
        <f>VLOOKUP(A42,BCB_selic!I:J,2,0)</f>
        <v>14.25</v>
      </c>
      <c r="O42">
        <f t="shared" si="0"/>
        <v>24.703441262305649</v>
      </c>
      <c r="S42">
        <f t="shared" si="1"/>
        <v>0.78320519380810683</v>
      </c>
    </row>
    <row r="43" spans="1:19" x14ac:dyDescent="0.25">
      <c r="A43" s="9">
        <v>42522</v>
      </c>
      <c r="B43">
        <f>VLOOKUP(A43,BCB_TX_JUROS!A:L,12,0)</f>
        <v>352.43929463359552</v>
      </c>
      <c r="C43">
        <f>VLOOKUP(A43,BCB_TX_JUROS!N:V,9,0)</f>
        <v>11.262856918666294</v>
      </c>
      <c r="E43">
        <f>VLOOKUP(A43,BCB_ipca_acum12m!A:B,2,0)</f>
        <v>8.84</v>
      </c>
      <c r="F43">
        <f t="shared" si="2"/>
        <v>343.59929463359555</v>
      </c>
      <c r="G43">
        <f t="shared" si="3"/>
        <v>2.4228569186662945</v>
      </c>
      <c r="H43" s="25">
        <f t="shared" si="4"/>
        <v>5.41</v>
      </c>
      <c r="I43" s="25">
        <f t="shared" si="5"/>
        <v>63.511884405470525</v>
      </c>
      <c r="J43" s="25">
        <f t="shared" si="6"/>
        <v>0.44784785927288251</v>
      </c>
      <c r="M43">
        <f>VLOOKUP(A43,BCB_selic!I:J,2,0)</f>
        <v>14.25</v>
      </c>
      <c r="O43">
        <f t="shared" si="0"/>
        <v>24.732582079550564</v>
      </c>
      <c r="S43">
        <f t="shared" si="1"/>
        <v>0.79037592411693292</v>
      </c>
    </row>
    <row r="44" spans="1:19" x14ac:dyDescent="0.25">
      <c r="A44" s="9">
        <v>42552</v>
      </c>
      <c r="B44">
        <f>VLOOKUP(A44,BCB_TX_JUROS!A:L,12,0)</f>
        <v>355.26320670346581</v>
      </c>
      <c r="C44">
        <f>VLOOKUP(A44,BCB_TX_JUROS!N:V,9,0)</f>
        <v>11.406667413434995</v>
      </c>
      <c r="E44">
        <f>VLOOKUP(A44,BCB_ipca_acum12m!A:B,2,0)</f>
        <v>8.74</v>
      </c>
      <c r="F44">
        <f t="shared" si="2"/>
        <v>346.5232067034658</v>
      </c>
      <c r="G44">
        <f t="shared" si="3"/>
        <v>2.666667413434995</v>
      </c>
      <c r="H44" s="25">
        <f t="shared" si="4"/>
        <v>5.51</v>
      </c>
      <c r="I44" s="25">
        <f t="shared" si="5"/>
        <v>62.889874174857681</v>
      </c>
      <c r="J44" s="25">
        <f t="shared" si="6"/>
        <v>0.48396867757440926</v>
      </c>
      <c r="M44">
        <f>VLOOKUP(A44,BCB_selic!I:J,2,0)</f>
        <v>14.25</v>
      </c>
      <c r="O44">
        <f t="shared" si="0"/>
        <v>24.930751347611636</v>
      </c>
      <c r="S44">
        <f t="shared" si="1"/>
        <v>0.80046788866210494</v>
      </c>
    </row>
    <row r="45" spans="1:19" x14ac:dyDescent="0.25">
      <c r="A45" s="9">
        <v>42583</v>
      </c>
      <c r="B45">
        <f>VLOOKUP(A45,BCB_TX_JUROS!A:L,12,0)</f>
        <v>363.40775337237619</v>
      </c>
      <c r="C45">
        <f>VLOOKUP(A45,BCB_TX_JUROS!N:V,9,0)</f>
        <v>11.23294312138162</v>
      </c>
      <c r="E45">
        <f>VLOOKUP(A45,BCB_ipca_acum12m!A:B,2,0)</f>
        <v>8.9700000000000006</v>
      </c>
      <c r="F45">
        <f t="shared" si="2"/>
        <v>354.43775337237616</v>
      </c>
      <c r="G45">
        <f t="shared" si="3"/>
        <v>2.2629431213816193</v>
      </c>
      <c r="H45" s="25">
        <f t="shared" si="4"/>
        <v>5.2799999999999994</v>
      </c>
      <c r="I45" s="25">
        <f t="shared" si="5"/>
        <v>67.128362381131851</v>
      </c>
      <c r="J45" s="25">
        <f t="shared" si="6"/>
        <v>0.42858771238288251</v>
      </c>
      <c r="M45">
        <f>VLOOKUP(A45,BCB_selic!I:J,2,0)</f>
        <v>14.25</v>
      </c>
      <c r="O45">
        <f t="shared" si="0"/>
        <v>25.502298482272014</v>
      </c>
      <c r="S45">
        <f t="shared" si="1"/>
        <v>0.78827671027239443</v>
      </c>
    </row>
    <row r="46" spans="1:19" x14ac:dyDescent="0.25">
      <c r="A46" s="9">
        <v>42614</v>
      </c>
      <c r="B46">
        <f>VLOOKUP(A46,BCB_TX_JUROS!A:L,12,0)</f>
        <v>369.3569359251635</v>
      </c>
      <c r="C46">
        <f>VLOOKUP(A46,BCB_TX_JUROS!N:V,9,0)</f>
        <v>11.050630637039255</v>
      </c>
      <c r="E46">
        <f>VLOOKUP(A46,BCB_ipca_acum12m!A:B,2,0)</f>
        <v>8.48</v>
      </c>
      <c r="F46">
        <f t="shared" si="2"/>
        <v>360.87693592516348</v>
      </c>
      <c r="G46">
        <f t="shared" si="3"/>
        <v>2.5706306370392547</v>
      </c>
      <c r="H46" s="25">
        <f t="shared" si="4"/>
        <v>5.77</v>
      </c>
      <c r="I46" s="25">
        <f t="shared" si="5"/>
        <v>62.543663071952082</v>
      </c>
      <c r="J46" s="25">
        <f t="shared" si="6"/>
        <v>0.44551657487682061</v>
      </c>
      <c r="M46">
        <f>VLOOKUP(A46,BCB_selic!I:J,2,0)</f>
        <v>14.25</v>
      </c>
      <c r="O46">
        <f t="shared" si="0"/>
        <v>25.919784977204458</v>
      </c>
      <c r="S46">
        <f t="shared" si="1"/>
        <v>0.775482851722053</v>
      </c>
    </row>
    <row r="47" spans="1:19" x14ac:dyDescent="0.25">
      <c r="A47" s="9">
        <v>42644</v>
      </c>
      <c r="B47">
        <f>VLOOKUP(A47,BCB_TX_JUROS!A:L,12,0)</f>
        <v>366.53662136348385</v>
      </c>
      <c r="C47">
        <f>VLOOKUP(A47,BCB_TX_JUROS!N:V,9,0)</f>
        <v>10.714352859405873</v>
      </c>
      <c r="E47">
        <f>VLOOKUP(A47,BCB_ipca_acum12m!A:B,2,0)</f>
        <v>7.87</v>
      </c>
      <c r="F47">
        <f t="shared" si="2"/>
        <v>358.66662136348384</v>
      </c>
      <c r="G47">
        <f t="shared" si="3"/>
        <v>2.8443528594058725</v>
      </c>
      <c r="H47" s="25">
        <f t="shared" si="4"/>
        <v>6.283225806451612</v>
      </c>
      <c r="I47" s="25">
        <f t="shared" si="5"/>
        <v>57.083197773221073</v>
      </c>
      <c r="J47" s="25">
        <f t="shared" si="6"/>
        <v>0.45268989958713451</v>
      </c>
      <c r="M47">
        <f>VLOOKUP(A47,BCB_selic!I:J,2,0)</f>
        <v>14.153225806451612</v>
      </c>
      <c r="O47">
        <f t="shared" si="0"/>
        <v>25.897744187505413</v>
      </c>
      <c r="S47">
        <f t="shared" si="1"/>
        <v>0.75702550117739498</v>
      </c>
    </row>
    <row r="48" spans="1:19" x14ac:dyDescent="0.25">
      <c r="A48" s="9">
        <v>42675</v>
      </c>
      <c r="B48">
        <f>VLOOKUP(A48,BCB_TX_JUROS!A:L,12,0)</f>
        <v>373.57377991614362</v>
      </c>
      <c r="C48">
        <f>VLOOKUP(A48,BCB_TX_JUROS!N:V,9,0)</f>
        <v>10.710919430144859</v>
      </c>
      <c r="E48">
        <f>VLOOKUP(A48,BCB_ipca_acum12m!A:B,2,0)</f>
        <v>6.99</v>
      </c>
      <c r="F48">
        <f t="shared" si="2"/>
        <v>366.58377991614361</v>
      </c>
      <c r="G48">
        <f t="shared" si="3"/>
        <v>3.7209194301448587</v>
      </c>
      <c r="H48" s="25">
        <f t="shared" si="4"/>
        <v>7.01</v>
      </c>
      <c r="I48" s="25">
        <f t="shared" si="5"/>
        <v>52.294405123558292</v>
      </c>
      <c r="J48" s="25">
        <f t="shared" si="6"/>
        <v>0.53080163054848195</v>
      </c>
      <c r="M48">
        <f>VLOOKUP(A48,BCB_selic!I:J,2,0)</f>
        <v>14</v>
      </c>
      <c r="O48">
        <f t="shared" si="0"/>
        <v>26.683841422581686</v>
      </c>
      <c r="S48">
        <f t="shared" si="1"/>
        <v>0.76506567358177568</v>
      </c>
    </row>
    <row r="49" spans="1:19" x14ac:dyDescent="0.25">
      <c r="A49" s="9">
        <v>42705</v>
      </c>
      <c r="B49">
        <f>VLOOKUP(A49,BCB_TX_JUROS!A:L,12,0)</f>
        <v>375.57234781173497</v>
      </c>
      <c r="C49">
        <f>VLOOKUP(A49,BCB_TX_JUROS!N:V,9,0)</f>
        <v>10.922896046754516</v>
      </c>
      <c r="E49">
        <f>VLOOKUP(A49,BCB_ipca_acum12m!A:B,2,0)</f>
        <v>6.29</v>
      </c>
      <c r="F49">
        <f t="shared" si="2"/>
        <v>369.28234781173495</v>
      </c>
      <c r="G49">
        <f t="shared" si="3"/>
        <v>4.6328960467545164</v>
      </c>
      <c r="H49" s="25">
        <f t="shared" si="4"/>
        <v>7.46</v>
      </c>
      <c r="I49" s="25">
        <f t="shared" si="5"/>
        <v>49.501655202645438</v>
      </c>
      <c r="J49" s="25">
        <f t="shared" si="6"/>
        <v>0.62103164165610136</v>
      </c>
      <c r="M49">
        <f>VLOOKUP(A49,BCB_selic!I:J,2,0)</f>
        <v>13.75</v>
      </c>
      <c r="O49">
        <f t="shared" si="0"/>
        <v>27.314352568126179</v>
      </c>
      <c r="S49">
        <f t="shared" si="1"/>
        <v>0.79439243976396479</v>
      </c>
    </row>
    <row r="50" spans="1:19" x14ac:dyDescent="0.25">
      <c r="A50" s="9">
        <v>42736</v>
      </c>
      <c r="B50">
        <f>VLOOKUP(A50,BCB_TX_JUROS!A:L,12,0)</f>
        <v>375.09668213733187</v>
      </c>
      <c r="C50">
        <f>VLOOKUP(A50,BCB_TX_JUROS!N:V,9,0)</f>
        <v>10.915065158230883</v>
      </c>
      <c r="E50">
        <f>VLOOKUP(A50,BCB_ipca_acum12m!A:B,2,0)</f>
        <v>5.35</v>
      </c>
      <c r="F50">
        <f t="shared" si="2"/>
        <v>369.74668213733185</v>
      </c>
      <c r="G50">
        <f t="shared" si="3"/>
        <v>5.5650651582308832</v>
      </c>
      <c r="H50" s="25">
        <f t="shared" si="4"/>
        <v>7.9161290322580644</v>
      </c>
      <c r="I50" s="25">
        <f t="shared" si="5"/>
        <v>46.708016080918043</v>
      </c>
      <c r="J50" s="25">
        <f t="shared" si="6"/>
        <v>0.70300334109681084</v>
      </c>
      <c r="M50">
        <f>VLOOKUP(A50,BCB_selic!I:J,2,0)</f>
        <v>13.266129032258064</v>
      </c>
      <c r="O50">
        <f t="shared" si="0"/>
        <v>28.27476509728216</v>
      </c>
      <c r="S50">
        <f t="shared" si="1"/>
        <v>0.82277694809764712</v>
      </c>
    </row>
    <row r="51" spans="1:19" x14ac:dyDescent="0.25">
      <c r="A51" s="9">
        <v>42767</v>
      </c>
      <c r="B51">
        <f>VLOOKUP(A51,BCB_TX_JUROS!A:L,12,0)</f>
        <v>374.80522661724979</v>
      </c>
      <c r="C51">
        <f>VLOOKUP(A51,BCB_TX_JUROS!N:V,9,0)</f>
        <v>9.2091906458658457</v>
      </c>
      <c r="E51">
        <f>VLOOKUP(A51,BCB_ipca_acum12m!A:B,2,0)</f>
        <v>4.76</v>
      </c>
      <c r="F51">
        <f t="shared" si="2"/>
        <v>370.0452266172498</v>
      </c>
      <c r="G51">
        <f t="shared" si="3"/>
        <v>4.4491906458658459</v>
      </c>
      <c r="H51" s="25">
        <f t="shared" si="4"/>
        <v>8.0792857142857137</v>
      </c>
      <c r="I51" s="25">
        <f t="shared" si="5"/>
        <v>45.80172551181591</v>
      </c>
      <c r="J51" s="25">
        <f t="shared" si="6"/>
        <v>0.55069108869350059</v>
      </c>
      <c r="M51">
        <f>VLOOKUP(A51,BCB_selic!I:J,2,0)</f>
        <v>12.839285714285714</v>
      </c>
      <c r="O51">
        <f t="shared" si="0"/>
        <v>29.192062156559096</v>
      </c>
      <c r="S51">
        <f t="shared" si="1"/>
        <v>0.71726658716062219</v>
      </c>
    </row>
    <row r="52" spans="1:19" x14ac:dyDescent="0.25">
      <c r="A52" s="9">
        <v>42795</v>
      </c>
      <c r="B52">
        <f>VLOOKUP(A52,BCB_TX_JUROS!A:L,12,0)</f>
        <v>370.8608481421648</v>
      </c>
      <c r="C52">
        <f>VLOOKUP(A52,BCB_TX_JUROS!N:V,9,0)</f>
        <v>9.85155368051411</v>
      </c>
      <c r="E52">
        <f>VLOOKUP(A52,BCB_ipca_acum12m!A:B,2,0)</f>
        <v>4.57</v>
      </c>
      <c r="F52">
        <f t="shared" si="2"/>
        <v>366.2908481421648</v>
      </c>
      <c r="G52">
        <f t="shared" si="3"/>
        <v>5.2815536805141097</v>
      </c>
      <c r="H52" s="25">
        <f t="shared" si="4"/>
        <v>7.68</v>
      </c>
      <c r="I52" s="25">
        <f t="shared" si="5"/>
        <v>47.694120851844374</v>
      </c>
      <c r="J52" s="25">
        <f t="shared" si="6"/>
        <v>0.68770230215027472</v>
      </c>
      <c r="M52">
        <f>VLOOKUP(A52,BCB_selic!I:J,2,0)</f>
        <v>12.25</v>
      </c>
      <c r="O52">
        <f t="shared" si="0"/>
        <v>30.2743549503808</v>
      </c>
      <c r="S52">
        <f t="shared" si="1"/>
        <v>0.80420846371543753</v>
      </c>
    </row>
    <row r="53" spans="1:19" x14ac:dyDescent="0.25">
      <c r="A53" s="9">
        <v>42826</v>
      </c>
      <c r="B53">
        <f>VLOOKUP(A53,BCB_TX_JUROS!A:L,12,0)</f>
        <v>335.21138659054731</v>
      </c>
      <c r="C53">
        <f>VLOOKUP(A53,BCB_TX_JUROS!N:V,9,0)</f>
        <v>9.0747029960881118</v>
      </c>
      <c r="E53">
        <f>VLOOKUP(A53,BCB_ipca_acum12m!A:B,2,0)</f>
        <v>4.08</v>
      </c>
      <c r="F53">
        <f t="shared" si="2"/>
        <v>331.13138659054732</v>
      </c>
      <c r="G53">
        <f t="shared" si="3"/>
        <v>4.9947029960881117</v>
      </c>
      <c r="H53" s="25">
        <f t="shared" si="4"/>
        <v>7.57</v>
      </c>
      <c r="I53" s="25">
        <f t="shared" si="5"/>
        <v>43.742587396373487</v>
      </c>
      <c r="J53" s="25">
        <f t="shared" si="6"/>
        <v>0.6598022451899751</v>
      </c>
      <c r="M53">
        <f>VLOOKUP(A53,BCB_selic!I:J,2,0)</f>
        <v>11.65</v>
      </c>
      <c r="O53">
        <f t="shared" si="0"/>
        <v>28.773509578587749</v>
      </c>
      <c r="S53">
        <f t="shared" si="1"/>
        <v>0.77894446318352883</v>
      </c>
    </row>
    <row r="54" spans="1:19" x14ac:dyDescent="0.25">
      <c r="A54" s="9">
        <v>42856</v>
      </c>
      <c r="B54">
        <f>VLOOKUP(A54,BCB_TX_JUROS!A:L,12,0)</f>
        <v>294.09224686710195</v>
      </c>
      <c r="C54">
        <f>VLOOKUP(A54,BCB_TX_JUROS!N:V,9,0)</f>
        <v>9.9582836932442902</v>
      </c>
      <c r="E54">
        <f>VLOOKUP(A54,BCB_ipca_acum12m!A:B,2,0)</f>
        <v>3.6</v>
      </c>
      <c r="F54">
        <f t="shared" si="2"/>
        <v>290.49224686710193</v>
      </c>
      <c r="G54">
        <f t="shared" si="3"/>
        <v>6.3582836932442905</v>
      </c>
      <c r="H54" s="25">
        <f t="shared" si="4"/>
        <v>7.65</v>
      </c>
      <c r="I54" s="25">
        <f t="shared" si="5"/>
        <v>37.972842727725741</v>
      </c>
      <c r="J54" s="25">
        <f t="shared" si="6"/>
        <v>0.83114819519533201</v>
      </c>
      <c r="M54">
        <f>VLOOKUP(A54,BCB_selic!I:J,2,0)</f>
        <v>11.25</v>
      </c>
      <c r="O54">
        <f t="shared" si="0"/>
        <v>26.141533054853507</v>
      </c>
      <c r="S54">
        <f t="shared" si="1"/>
        <v>0.8851807727328258</v>
      </c>
    </row>
    <row r="55" spans="1:19" x14ac:dyDescent="0.25">
      <c r="A55" s="9">
        <v>42887</v>
      </c>
      <c r="B55">
        <f>VLOOKUP(A55,BCB_TX_JUROS!A:L,12,0)</f>
        <v>301.48412929566979</v>
      </c>
      <c r="C55">
        <f>VLOOKUP(A55,BCB_TX_JUROS!N:V,9,0)</f>
        <v>9.2897058828806358</v>
      </c>
      <c r="E55">
        <f>VLOOKUP(A55,BCB_ipca_acum12m!A:B,2,0)</f>
        <v>3</v>
      </c>
      <c r="F55">
        <f t="shared" si="2"/>
        <v>298.48412929566979</v>
      </c>
      <c r="G55">
        <f t="shared" si="3"/>
        <v>6.2897058828806358</v>
      </c>
      <c r="H55" s="25">
        <f t="shared" si="4"/>
        <v>7.25</v>
      </c>
      <c r="I55" s="25">
        <f t="shared" si="5"/>
        <v>41.170224730437212</v>
      </c>
      <c r="J55" s="25">
        <f t="shared" si="6"/>
        <v>0.86754563901801873</v>
      </c>
      <c r="M55">
        <f>VLOOKUP(A55,BCB_selic!I:J,2,0)</f>
        <v>10.25</v>
      </c>
      <c r="O55">
        <f t="shared" si="0"/>
        <v>29.413085784943394</v>
      </c>
      <c r="S55">
        <f t="shared" si="1"/>
        <v>0.90631276906152547</v>
      </c>
    </row>
    <row r="56" spans="1:19" x14ac:dyDescent="0.25">
      <c r="A56" s="9">
        <v>42917</v>
      </c>
      <c r="B56">
        <f>VLOOKUP(A56,BCB_TX_JUROS!A:L,12,0)</f>
        <v>318.60030014292522</v>
      </c>
      <c r="C56">
        <f>VLOOKUP(A56,BCB_TX_JUROS!N:V,9,0)</f>
        <v>9.2992574043907705</v>
      </c>
      <c r="E56">
        <f>VLOOKUP(A56,BCB_ipca_acum12m!A:B,2,0)</f>
        <v>2.71</v>
      </c>
      <c r="F56">
        <f t="shared" si="2"/>
        <v>315.89030014292524</v>
      </c>
      <c r="G56">
        <f t="shared" si="3"/>
        <v>6.5892574043907706</v>
      </c>
      <c r="H56" s="25">
        <f t="shared" si="4"/>
        <v>7.3787096774193541</v>
      </c>
      <c r="I56" s="25">
        <f t="shared" si="5"/>
        <v>42.811048808388051</v>
      </c>
      <c r="J56" s="25">
        <f t="shared" si="6"/>
        <v>0.89300944100775514</v>
      </c>
      <c r="M56">
        <f>VLOOKUP(A56,BCB_selic!I:J,2,0)</f>
        <v>10.088709677419354</v>
      </c>
      <c r="O56">
        <f t="shared" si="0"/>
        <v>31.579885865485796</v>
      </c>
      <c r="S56">
        <f t="shared" si="1"/>
        <v>0.92174893536727065</v>
      </c>
    </row>
    <row r="57" spans="1:19" x14ac:dyDescent="0.25">
      <c r="A57" s="9">
        <v>42948</v>
      </c>
      <c r="B57">
        <f>VLOOKUP(A57,BCB_TX_JUROS!A:L,12,0)</f>
        <v>318.02307050451913</v>
      </c>
      <c r="C57">
        <f>VLOOKUP(A57,BCB_TX_JUROS!N:V,9,0)</f>
        <v>8.5979893012299335</v>
      </c>
      <c r="E57">
        <f>VLOOKUP(A57,BCB_ipca_acum12m!A:B,2,0)</f>
        <v>2.46</v>
      </c>
      <c r="F57">
        <f t="shared" si="2"/>
        <v>315.56307050451915</v>
      </c>
      <c r="G57">
        <f t="shared" si="3"/>
        <v>6.1379893012299336</v>
      </c>
      <c r="H57" s="25">
        <f t="shared" si="4"/>
        <v>6.79</v>
      </c>
      <c r="I57" s="25">
        <f t="shared" si="5"/>
        <v>46.474679013920344</v>
      </c>
      <c r="J57" s="25">
        <f t="shared" si="6"/>
        <v>0.90397486026950424</v>
      </c>
      <c r="M57">
        <f>VLOOKUP(A57,BCB_selic!I:J,2,0)</f>
        <v>9.25</v>
      </c>
      <c r="O57">
        <f t="shared" si="0"/>
        <v>34.380872486975044</v>
      </c>
      <c r="S57">
        <f t="shared" si="1"/>
        <v>0.92951235688972256</v>
      </c>
    </row>
    <row r="58" spans="1:19" x14ac:dyDescent="0.25">
      <c r="A58" s="9">
        <v>42979</v>
      </c>
      <c r="B58">
        <f>VLOOKUP(A58,BCB_TX_JUROS!A:L,12,0)</f>
        <v>284.49008591111715</v>
      </c>
      <c r="C58">
        <f>VLOOKUP(A58,BCB_TX_JUROS!N:V,9,0)</f>
        <v>8.5351766276986982</v>
      </c>
      <c r="E58">
        <f>VLOOKUP(A58,BCB_ipca_acum12m!A:B,2,0)</f>
        <v>2.54</v>
      </c>
      <c r="F58">
        <f t="shared" si="2"/>
        <v>281.95008591111713</v>
      </c>
      <c r="G58">
        <f t="shared" si="3"/>
        <v>5.9951766276986982</v>
      </c>
      <c r="H58" s="25">
        <f t="shared" si="4"/>
        <v>5.9433333333333325</v>
      </c>
      <c r="I58" s="25">
        <f t="shared" si="5"/>
        <v>47.439722811741532</v>
      </c>
      <c r="J58" s="25">
        <f t="shared" si="6"/>
        <v>1.0087229323104934</v>
      </c>
      <c r="M58">
        <f>VLOOKUP(A58,BCB_selic!I:J,2,0)</f>
        <v>8.4833333333333325</v>
      </c>
      <c r="O58">
        <f t="shared" si="0"/>
        <v>33.535177121153303</v>
      </c>
      <c r="S58">
        <f t="shared" si="1"/>
        <v>1.0061111938348173</v>
      </c>
    </row>
    <row r="59" spans="1:19" x14ac:dyDescent="0.25">
      <c r="A59" s="9">
        <v>43009</v>
      </c>
      <c r="B59">
        <f>VLOOKUP(A59,BCB_TX_JUROS!A:L,12,0)</f>
        <v>287.98969089015725</v>
      </c>
      <c r="C59">
        <f>VLOOKUP(A59,BCB_TX_JUROS!N:V,9,0)</f>
        <v>8.6283864384556281</v>
      </c>
      <c r="E59">
        <f>VLOOKUP(A59,BCB_ipca_acum12m!A:B,2,0)</f>
        <v>2.7</v>
      </c>
      <c r="F59">
        <f t="shared" si="2"/>
        <v>285.28969089015726</v>
      </c>
      <c r="G59">
        <f t="shared" si="3"/>
        <v>5.928386438455628</v>
      </c>
      <c r="H59" s="25">
        <f t="shared" si="4"/>
        <v>5.4048387096774198</v>
      </c>
      <c r="I59" s="25">
        <f t="shared" si="5"/>
        <v>52.784126634406888</v>
      </c>
      <c r="J59" s="25">
        <f t="shared" si="6"/>
        <v>1.0968664851812859</v>
      </c>
      <c r="M59">
        <f>VLOOKUP(A59,BCB_selic!I:J,2,0)</f>
        <v>8.1048387096774199</v>
      </c>
      <c r="O59">
        <f t="shared" si="0"/>
        <v>35.533056388437309</v>
      </c>
      <c r="S59">
        <f t="shared" si="1"/>
        <v>1.0645969336999979</v>
      </c>
    </row>
    <row r="60" spans="1:19" x14ac:dyDescent="0.25">
      <c r="A60" s="9">
        <v>43040</v>
      </c>
      <c r="B60">
        <f>VLOOKUP(A60,BCB_TX_JUROS!A:L,12,0)</f>
        <v>290.4350607090181</v>
      </c>
      <c r="C60">
        <f>VLOOKUP(A60,BCB_TX_JUROS!N:V,9,0)</f>
        <v>7.9241758946212943</v>
      </c>
      <c r="E60">
        <f>VLOOKUP(A60,BCB_ipca_acum12m!A:B,2,0)</f>
        <v>2.8</v>
      </c>
      <c r="F60">
        <f t="shared" si="2"/>
        <v>287.63506070901809</v>
      </c>
      <c r="G60">
        <f t="shared" si="3"/>
        <v>5.1241758946212945</v>
      </c>
      <c r="H60" s="25">
        <f t="shared" si="4"/>
        <v>4.7</v>
      </c>
      <c r="I60" s="25">
        <f t="shared" si="5"/>
        <v>61.19894908702512</v>
      </c>
      <c r="J60" s="25">
        <f t="shared" si="6"/>
        <v>1.0902501903449562</v>
      </c>
      <c r="M60">
        <f>VLOOKUP(A60,BCB_selic!I:J,2,0)</f>
        <v>7.5</v>
      </c>
      <c r="O60">
        <f t="shared" si="0"/>
        <v>38.724674761202415</v>
      </c>
      <c r="S60">
        <f t="shared" si="1"/>
        <v>1.056556785949506</v>
      </c>
    </row>
    <row r="61" spans="1:19" x14ac:dyDescent="0.25">
      <c r="A61" s="9">
        <v>43070</v>
      </c>
      <c r="B61">
        <f>VLOOKUP(A61,BCB_TX_JUROS!A:L,12,0)</f>
        <v>285.41294960515665</v>
      </c>
      <c r="C61">
        <f>VLOOKUP(A61,BCB_TX_JUROS!N:V,9,0)</f>
        <v>8.0665647897782193</v>
      </c>
      <c r="E61">
        <f>VLOOKUP(A61,BCB_ipca_acum12m!A:B,2,0)</f>
        <v>2.95</v>
      </c>
      <c r="F61">
        <f t="shared" si="2"/>
        <v>282.46294960515667</v>
      </c>
      <c r="G61">
        <f t="shared" si="3"/>
        <v>5.1165647897782192</v>
      </c>
      <c r="H61" s="25">
        <f t="shared" si="4"/>
        <v>4.1467741935483868</v>
      </c>
      <c r="I61" s="25">
        <f t="shared" si="5"/>
        <v>68.116308345078622</v>
      </c>
      <c r="J61" s="25">
        <f t="shared" si="6"/>
        <v>1.2338662659130673</v>
      </c>
      <c r="M61">
        <f>VLOOKUP(A61,BCB_selic!I:J,2,0)</f>
        <v>7.096774193548387</v>
      </c>
      <c r="O61">
        <f t="shared" si="0"/>
        <v>40.2172792625448</v>
      </c>
      <c r="S61">
        <f t="shared" si="1"/>
        <v>1.1366523112869309</v>
      </c>
    </row>
    <row r="62" spans="1:19" x14ac:dyDescent="0.25">
      <c r="A62" s="9">
        <v>43101</v>
      </c>
      <c r="B62">
        <f>VLOOKUP(A62,BCB_TX_JUROS!A:L,12,0)</f>
        <v>281.30972301327171</v>
      </c>
      <c r="C62">
        <f>VLOOKUP(A62,BCB_TX_JUROS!N:V,9,0)</f>
        <v>8.33516614081962</v>
      </c>
      <c r="E62">
        <f>VLOOKUP(A62,BCB_ipca_acum12m!A:B,2,0)</f>
        <v>2.86</v>
      </c>
      <c r="F62">
        <f t="shared" si="2"/>
        <v>278.44972301327169</v>
      </c>
      <c r="G62">
        <f t="shared" si="3"/>
        <v>5.4751661408196206</v>
      </c>
      <c r="H62" s="25">
        <f t="shared" si="4"/>
        <v>4.1400000000000006</v>
      </c>
      <c r="I62" s="25">
        <f t="shared" si="5"/>
        <v>67.258387201273351</v>
      </c>
      <c r="J62" s="25">
        <f t="shared" si="6"/>
        <v>1.3225038987487006</v>
      </c>
      <c r="M62">
        <f>VLOOKUP(A62,BCB_selic!I:J,2,0)</f>
        <v>7</v>
      </c>
      <c r="O62">
        <f t="shared" si="0"/>
        <v>40.187103287610242</v>
      </c>
      <c r="S62">
        <f t="shared" si="1"/>
        <v>1.1907380201170885</v>
      </c>
    </row>
    <row r="63" spans="1:19" x14ac:dyDescent="0.25">
      <c r="A63" s="9">
        <v>43132</v>
      </c>
      <c r="B63">
        <f>VLOOKUP(A63,BCB_TX_JUROS!A:L,12,0)</f>
        <v>286.01466944401182</v>
      </c>
      <c r="C63">
        <f>VLOOKUP(A63,BCB_TX_JUROS!N:V,9,0)</f>
        <v>8.2924310000087313</v>
      </c>
      <c r="E63">
        <f>VLOOKUP(A63,BCB_ipca_acum12m!A:B,2,0)</f>
        <v>2.84</v>
      </c>
      <c r="F63">
        <f t="shared" si="2"/>
        <v>283.17466944401184</v>
      </c>
      <c r="G63">
        <f t="shared" si="3"/>
        <v>5.4524310000087315</v>
      </c>
      <c r="H63" s="25">
        <f t="shared" si="4"/>
        <v>3.9725000000000001</v>
      </c>
      <c r="I63" s="25">
        <f t="shared" si="5"/>
        <v>71.283743094779567</v>
      </c>
      <c r="J63" s="25">
        <f t="shared" si="6"/>
        <v>1.3725439899329721</v>
      </c>
      <c r="M63">
        <f>VLOOKUP(A63,BCB_selic!I:J,2,0)</f>
        <v>6.8125</v>
      </c>
      <c r="O63">
        <f t="shared" si="0"/>
        <v>41.983804689029256</v>
      </c>
      <c r="S63">
        <f t="shared" si="1"/>
        <v>1.217237577982933</v>
      </c>
    </row>
    <row r="64" spans="1:19" x14ac:dyDescent="0.25">
      <c r="A64" s="9">
        <v>43160</v>
      </c>
      <c r="B64">
        <f>VLOOKUP(A64,BCB_TX_JUROS!A:L,12,0)</f>
        <v>284.55142948308873</v>
      </c>
      <c r="C64">
        <f>VLOOKUP(A64,BCB_TX_JUROS!N:V,9,0)</f>
        <v>8.175888685534547</v>
      </c>
      <c r="E64">
        <f>VLOOKUP(A64,BCB_ipca_acum12m!A:B,2,0)</f>
        <v>2.68</v>
      </c>
      <c r="F64">
        <f t="shared" si="2"/>
        <v>281.87142948308872</v>
      </c>
      <c r="G64">
        <f t="shared" si="3"/>
        <v>5.4958886855345472</v>
      </c>
      <c r="H64" s="25">
        <f t="shared" si="4"/>
        <v>3.9893548387096769</v>
      </c>
      <c r="I64" s="25">
        <f t="shared" si="5"/>
        <v>70.65589321562021</v>
      </c>
      <c r="J64" s="25">
        <f t="shared" si="6"/>
        <v>1.3776384673046898</v>
      </c>
      <c r="M64">
        <f>VLOOKUP(A64,BCB_selic!I:J,2,0)</f>
        <v>6.669354838709677</v>
      </c>
      <c r="O64">
        <f t="shared" si="0"/>
        <v>42.66551058754898</v>
      </c>
      <c r="S64">
        <f t="shared" si="1"/>
        <v>1.2258889927524594</v>
      </c>
    </row>
    <row r="65" spans="1:19" x14ac:dyDescent="0.25">
      <c r="A65" s="9">
        <v>43191</v>
      </c>
      <c r="B65">
        <f>VLOOKUP(A65,BCB_TX_JUROS!A:L,12,0)</f>
        <v>285.2673511467263</v>
      </c>
      <c r="C65">
        <f>VLOOKUP(A65,BCB_TX_JUROS!N:V,9,0)</f>
        <v>8.1706937765867096</v>
      </c>
      <c r="E65">
        <f>VLOOKUP(A65,BCB_ipca_acum12m!A:B,2,0)</f>
        <v>2.76</v>
      </c>
      <c r="F65">
        <f t="shared" si="2"/>
        <v>282.50735114672631</v>
      </c>
      <c r="G65">
        <f t="shared" si="3"/>
        <v>5.4106937765867098</v>
      </c>
      <c r="H65" s="25">
        <f t="shared" si="4"/>
        <v>3.74</v>
      </c>
      <c r="I65" s="25">
        <f t="shared" si="5"/>
        <v>75.536724905541789</v>
      </c>
      <c r="J65" s="25">
        <f t="shared" si="6"/>
        <v>1.4467095659322753</v>
      </c>
      <c r="M65">
        <f>VLOOKUP(A65,BCB_selic!I:J,2,0)</f>
        <v>6.5</v>
      </c>
      <c r="O65">
        <f t="shared" si="0"/>
        <v>43.887284791804049</v>
      </c>
      <c r="S65">
        <f t="shared" si="1"/>
        <v>1.2570298117825707</v>
      </c>
    </row>
    <row r="66" spans="1:19" x14ac:dyDescent="0.25">
      <c r="A66" s="9">
        <v>43221</v>
      </c>
      <c r="B66">
        <f>VLOOKUP(A66,BCB_TX_JUROS!A:L,12,0)</f>
        <v>264.90160933434947</v>
      </c>
      <c r="C66">
        <f>VLOOKUP(A66,BCB_TX_JUROS!N:V,9,0)</f>
        <v>8.0540117414464429</v>
      </c>
      <c r="E66">
        <f>VLOOKUP(A66,BCB_ipca_acum12m!A:B,2,0)</f>
        <v>2.86</v>
      </c>
      <c r="F66">
        <f t="shared" si="2"/>
        <v>262.04160933434946</v>
      </c>
      <c r="G66">
        <f t="shared" si="3"/>
        <v>5.1940117414464435</v>
      </c>
      <c r="H66" s="25">
        <f t="shared" si="4"/>
        <v>3.64</v>
      </c>
      <c r="I66" s="25">
        <f t="shared" si="5"/>
        <v>71.989453113832269</v>
      </c>
      <c r="J66" s="25">
        <f t="shared" si="6"/>
        <v>1.4269263025951768</v>
      </c>
      <c r="M66">
        <f>VLOOKUP(A66,BCB_selic!I:J,2,0)</f>
        <v>6.5</v>
      </c>
      <c r="O66">
        <f t="shared" ref="O66:O129" si="7">B66/M66</f>
        <v>40.754093743746076</v>
      </c>
      <c r="S66">
        <f t="shared" ref="S66:S129" si="8">C66/M66</f>
        <v>1.239078729453299</v>
      </c>
    </row>
    <row r="67" spans="1:19" x14ac:dyDescent="0.25">
      <c r="A67" s="9">
        <v>43252</v>
      </c>
      <c r="B67">
        <f>VLOOKUP(A67,BCB_TX_JUROS!A:L,12,0)</f>
        <v>255.67593563626397</v>
      </c>
      <c r="C67">
        <f>VLOOKUP(A67,BCB_TX_JUROS!N:V,9,0)</f>
        <v>8.0406801201465399</v>
      </c>
      <c r="E67">
        <f>VLOOKUP(A67,BCB_ipca_acum12m!A:B,2,0)</f>
        <v>4.3899999999999997</v>
      </c>
      <c r="F67">
        <f t="shared" ref="F67:F130" si="9">B67-E67</f>
        <v>251.28593563626399</v>
      </c>
      <c r="G67">
        <f t="shared" ref="G67:G130" si="10">C67-E67</f>
        <v>3.6506801201465402</v>
      </c>
      <c r="H67" s="25">
        <f t="shared" ref="H67:H130" si="11">M67-E67</f>
        <v>2.1100000000000003</v>
      </c>
      <c r="I67" s="25">
        <f t="shared" ref="I67:I130" si="12">F67/H67</f>
        <v>119.09286049112035</v>
      </c>
      <c r="J67" s="25">
        <f t="shared" ref="J67:J130" si="13">G67/H67</f>
        <v>1.7301801517282178</v>
      </c>
      <c r="M67">
        <f>VLOOKUP(A67,BCB_selic!I:J,2,0)</f>
        <v>6.5</v>
      </c>
      <c r="O67">
        <f t="shared" si="7"/>
        <v>39.334759328655998</v>
      </c>
      <c r="S67">
        <f t="shared" si="8"/>
        <v>1.2370277107917753</v>
      </c>
    </row>
    <row r="68" spans="1:19" x14ac:dyDescent="0.25">
      <c r="A68" s="9">
        <v>43282</v>
      </c>
      <c r="B68">
        <f>VLOOKUP(A68,BCB_TX_JUROS!A:L,12,0)</f>
        <v>245.8973474623096</v>
      </c>
      <c r="C68">
        <f>VLOOKUP(A68,BCB_TX_JUROS!N:V,9,0)</f>
        <v>7.9996626765243963</v>
      </c>
      <c r="E68">
        <f>VLOOKUP(A68,BCB_ipca_acum12m!A:B,2,0)</f>
        <v>4.4800000000000004</v>
      </c>
      <c r="F68">
        <f t="shared" si="9"/>
        <v>241.41734746230961</v>
      </c>
      <c r="G68">
        <f t="shared" si="10"/>
        <v>3.5196626765243959</v>
      </c>
      <c r="H68" s="25">
        <f t="shared" si="11"/>
        <v>2.0199999999999996</v>
      </c>
      <c r="I68" s="25">
        <f t="shared" si="12"/>
        <v>119.51353834767805</v>
      </c>
      <c r="J68" s="25">
        <f t="shared" si="13"/>
        <v>1.7424072656061369</v>
      </c>
      <c r="M68">
        <f>VLOOKUP(A68,BCB_selic!I:J,2,0)</f>
        <v>6.5</v>
      </c>
      <c r="O68">
        <f t="shared" si="7"/>
        <v>37.830361148047629</v>
      </c>
      <c r="S68">
        <f t="shared" si="8"/>
        <v>1.2307173348499072</v>
      </c>
    </row>
    <row r="69" spans="1:19" x14ac:dyDescent="0.25">
      <c r="A69" s="9">
        <v>43313</v>
      </c>
      <c r="B69">
        <f>VLOOKUP(A69,BCB_TX_JUROS!A:L,12,0)</f>
        <v>246.54014556386221</v>
      </c>
      <c r="C69">
        <f>VLOOKUP(A69,BCB_TX_JUROS!N:V,9,0)</f>
        <v>7.9841286914601728</v>
      </c>
      <c r="E69">
        <f>VLOOKUP(A69,BCB_ipca_acum12m!A:B,2,0)</f>
        <v>4.1900000000000004</v>
      </c>
      <c r="F69">
        <f t="shared" si="9"/>
        <v>242.35014556386221</v>
      </c>
      <c r="G69">
        <f t="shared" si="10"/>
        <v>3.7941286914601724</v>
      </c>
      <c r="H69" s="25">
        <f t="shared" si="11"/>
        <v>2.3099999999999996</v>
      </c>
      <c r="I69" s="25">
        <f t="shared" si="12"/>
        <v>104.91348292807889</v>
      </c>
      <c r="J69" s="25">
        <f t="shared" si="13"/>
        <v>1.6424799530130618</v>
      </c>
      <c r="M69">
        <f>VLOOKUP(A69,BCB_selic!I:J,2,0)</f>
        <v>6.5</v>
      </c>
      <c r="O69">
        <f t="shared" si="7"/>
        <v>37.929253163671106</v>
      </c>
      <c r="S69">
        <f t="shared" si="8"/>
        <v>1.2283274909938728</v>
      </c>
    </row>
    <row r="70" spans="1:19" x14ac:dyDescent="0.25">
      <c r="A70" s="9">
        <v>43344</v>
      </c>
      <c r="B70">
        <f>VLOOKUP(A70,BCB_TX_JUROS!A:L,12,0)</f>
        <v>245.01572136476557</v>
      </c>
      <c r="C70">
        <f>VLOOKUP(A70,BCB_TX_JUROS!N:V,9,0)</f>
        <v>7.7125049580136755</v>
      </c>
      <c r="E70">
        <f>VLOOKUP(A70,BCB_ipca_acum12m!A:B,2,0)</f>
        <v>4.53</v>
      </c>
      <c r="F70">
        <f t="shared" si="9"/>
        <v>240.48572136476557</v>
      </c>
      <c r="G70">
        <f t="shared" si="10"/>
        <v>3.1825049580136753</v>
      </c>
      <c r="H70" s="25">
        <f t="shared" si="11"/>
        <v>1.9699999999999998</v>
      </c>
      <c r="I70" s="25">
        <f t="shared" si="12"/>
        <v>122.07397023592162</v>
      </c>
      <c r="J70" s="25">
        <f t="shared" si="13"/>
        <v>1.615484750260749</v>
      </c>
      <c r="M70">
        <f>VLOOKUP(A70,BCB_selic!I:J,2,0)</f>
        <v>6.5</v>
      </c>
      <c r="O70">
        <f t="shared" si="7"/>
        <v>37.694726363810091</v>
      </c>
      <c r="S70">
        <f t="shared" si="8"/>
        <v>1.1865392243097963</v>
      </c>
    </row>
    <row r="71" spans="1:19" x14ac:dyDescent="0.25">
      <c r="A71" s="9">
        <v>43374</v>
      </c>
      <c r="B71">
        <f>VLOOKUP(A71,BCB_TX_JUROS!A:L,12,0)</f>
        <v>245.06802788818996</v>
      </c>
      <c r="C71">
        <f>VLOOKUP(A71,BCB_TX_JUROS!N:V,9,0)</f>
        <v>7.7866432955176332</v>
      </c>
      <c r="E71">
        <f>VLOOKUP(A71,BCB_ipca_acum12m!A:B,2,0)</f>
        <v>4.5599999999999996</v>
      </c>
      <c r="F71">
        <f t="shared" si="9"/>
        <v>240.50802788818996</v>
      </c>
      <c r="G71">
        <f t="shared" si="10"/>
        <v>3.2266432955176336</v>
      </c>
      <c r="H71" s="25">
        <f t="shared" si="11"/>
        <v>1.9400000000000004</v>
      </c>
      <c r="I71" s="25">
        <f t="shared" si="12"/>
        <v>123.97321025164429</v>
      </c>
      <c r="J71" s="25">
        <f t="shared" si="13"/>
        <v>1.6632181935657901</v>
      </c>
      <c r="M71">
        <f>VLOOKUP(A71,BCB_selic!I:J,2,0)</f>
        <v>6.5</v>
      </c>
      <c r="O71">
        <f t="shared" si="7"/>
        <v>37.702773521259992</v>
      </c>
      <c r="S71">
        <f t="shared" si="8"/>
        <v>1.1979451223873281</v>
      </c>
    </row>
    <row r="72" spans="1:19" x14ac:dyDescent="0.25">
      <c r="A72" s="9">
        <v>43405</v>
      </c>
      <c r="B72">
        <f>VLOOKUP(A72,BCB_TX_JUROS!A:L,12,0)</f>
        <v>247.9265621724029</v>
      </c>
      <c r="C72">
        <f>VLOOKUP(A72,BCB_TX_JUROS!N:V,9,0)</f>
        <v>7.8609542277059106</v>
      </c>
      <c r="E72">
        <f>VLOOKUP(A72,BCB_ipca_acum12m!A:B,2,0)</f>
        <v>4.05</v>
      </c>
      <c r="F72">
        <f t="shared" si="9"/>
        <v>243.87656217240288</v>
      </c>
      <c r="G72">
        <f t="shared" si="10"/>
        <v>3.8109542277059107</v>
      </c>
      <c r="H72" s="25">
        <f t="shared" si="11"/>
        <v>2.4500000000000002</v>
      </c>
      <c r="I72" s="25">
        <f t="shared" si="12"/>
        <v>99.541453947919535</v>
      </c>
      <c r="J72" s="25">
        <f t="shared" si="13"/>
        <v>1.5554915215126166</v>
      </c>
      <c r="M72">
        <f>VLOOKUP(A72,BCB_selic!I:J,2,0)</f>
        <v>6.5</v>
      </c>
      <c r="O72">
        <f t="shared" si="7"/>
        <v>38.142548026523521</v>
      </c>
      <c r="S72">
        <f t="shared" si="8"/>
        <v>1.2093775734932171</v>
      </c>
    </row>
    <row r="73" spans="1:19" x14ac:dyDescent="0.25">
      <c r="A73" s="9">
        <v>43435</v>
      </c>
      <c r="B73">
        <f>VLOOKUP(A73,BCB_TX_JUROS!A:L,12,0)</f>
        <v>248.59319415776133</v>
      </c>
      <c r="C73">
        <f>VLOOKUP(A73,BCB_TX_JUROS!N:V,9,0)</f>
        <v>7.8513641445955491</v>
      </c>
      <c r="E73">
        <f>VLOOKUP(A73,BCB_ipca_acum12m!A:B,2,0)</f>
        <v>3.75</v>
      </c>
      <c r="F73">
        <f t="shared" si="9"/>
        <v>244.84319415776133</v>
      </c>
      <c r="G73">
        <f t="shared" si="10"/>
        <v>4.1013641445955491</v>
      </c>
      <c r="H73" s="25">
        <f t="shared" si="11"/>
        <v>2.75</v>
      </c>
      <c r="I73" s="25">
        <f t="shared" si="12"/>
        <v>89.033888784640482</v>
      </c>
      <c r="J73" s="25">
        <f t="shared" si="13"/>
        <v>1.4914051434892905</v>
      </c>
      <c r="M73">
        <f>VLOOKUP(A73,BCB_selic!I:J,2,0)</f>
        <v>6.5</v>
      </c>
      <c r="O73">
        <f t="shared" si="7"/>
        <v>38.245106793501741</v>
      </c>
      <c r="S73">
        <f t="shared" si="8"/>
        <v>1.2079021760916229</v>
      </c>
    </row>
    <row r="74" spans="1:19" x14ac:dyDescent="0.25">
      <c r="A74" s="9">
        <v>43466</v>
      </c>
      <c r="B74">
        <f>VLOOKUP(A74,BCB_TX_JUROS!A:L,12,0)</f>
        <v>249.77469791367534</v>
      </c>
      <c r="C74">
        <f>VLOOKUP(A74,BCB_TX_JUROS!N:V,9,0)</f>
        <v>8.310203761022013</v>
      </c>
      <c r="E74">
        <f>VLOOKUP(A74,BCB_ipca_acum12m!A:B,2,0)</f>
        <v>3.78</v>
      </c>
      <c r="F74">
        <f t="shared" si="9"/>
        <v>245.99469791367534</v>
      </c>
      <c r="G74">
        <f t="shared" si="10"/>
        <v>4.5302037610220136</v>
      </c>
      <c r="H74" s="25">
        <f t="shared" si="11"/>
        <v>2.72</v>
      </c>
      <c r="I74" s="25">
        <f t="shared" si="12"/>
        <v>90.439227174145344</v>
      </c>
      <c r="J74" s="25">
        <f t="shared" si="13"/>
        <v>1.6655160886110343</v>
      </c>
      <c r="M74">
        <f>VLOOKUP(A74,BCB_selic!I:J,2,0)</f>
        <v>6.5</v>
      </c>
      <c r="O74">
        <f t="shared" si="7"/>
        <v>38.426876602103896</v>
      </c>
      <c r="S74">
        <f t="shared" si="8"/>
        <v>1.2784928863110789</v>
      </c>
    </row>
    <row r="75" spans="1:19" x14ac:dyDescent="0.25">
      <c r="A75" s="9">
        <v>43497</v>
      </c>
      <c r="B75">
        <f>VLOOKUP(A75,BCB_TX_JUROS!A:L,12,0)</f>
        <v>255.19784109786929</v>
      </c>
      <c r="C75">
        <f>VLOOKUP(A75,BCB_TX_JUROS!N:V,9,0)</f>
        <v>7.714782345878497</v>
      </c>
      <c r="E75">
        <f>VLOOKUP(A75,BCB_ipca_acum12m!A:B,2,0)</f>
        <v>3.89</v>
      </c>
      <c r="F75">
        <f t="shared" si="9"/>
        <v>251.3078410978693</v>
      </c>
      <c r="G75">
        <f t="shared" si="10"/>
        <v>3.8247823458784969</v>
      </c>
      <c r="H75" s="25">
        <f t="shared" si="11"/>
        <v>2.61</v>
      </c>
      <c r="I75" s="25">
        <f t="shared" si="12"/>
        <v>96.286529156271769</v>
      </c>
      <c r="J75" s="25">
        <f t="shared" si="13"/>
        <v>1.4654338489955927</v>
      </c>
      <c r="M75">
        <f>VLOOKUP(A75,BCB_selic!I:J,2,0)</f>
        <v>6.5</v>
      </c>
      <c r="O75">
        <f t="shared" si="7"/>
        <v>39.261206322749118</v>
      </c>
      <c r="S75">
        <f t="shared" si="8"/>
        <v>1.1868895916736149</v>
      </c>
    </row>
    <row r="76" spans="1:19" x14ac:dyDescent="0.25">
      <c r="A76" s="9">
        <v>43525</v>
      </c>
      <c r="B76">
        <f>VLOOKUP(A76,BCB_TX_JUROS!A:L,12,0)</f>
        <v>259.72937597409657</v>
      </c>
      <c r="C76">
        <f>VLOOKUP(A76,BCB_TX_JUROS!N:V,9,0)</f>
        <v>7.801692131530551</v>
      </c>
      <c r="E76">
        <f>VLOOKUP(A76,BCB_ipca_acum12m!A:B,2,0)</f>
        <v>4.58</v>
      </c>
      <c r="F76">
        <f t="shared" si="9"/>
        <v>255.14937597409656</v>
      </c>
      <c r="G76">
        <f t="shared" si="10"/>
        <v>3.2216921315305509</v>
      </c>
      <c r="H76" s="25">
        <f t="shared" si="11"/>
        <v>1.92</v>
      </c>
      <c r="I76" s="25">
        <f t="shared" si="12"/>
        <v>132.89029998650864</v>
      </c>
      <c r="J76" s="25">
        <f t="shared" si="13"/>
        <v>1.6779646518388287</v>
      </c>
      <c r="M76">
        <f>VLOOKUP(A76,BCB_selic!I:J,2,0)</f>
        <v>6.5</v>
      </c>
      <c r="O76">
        <f t="shared" si="7"/>
        <v>39.958365534476393</v>
      </c>
      <c r="S76">
        <f t="shared" si="8"/>
        <v>1.200260327927777</v>
      </c>
    </row>
    <row r="77" spans="1:19" x14ac:dyDescent="0.25">
      <c r="A77" s="9">
        <v>43556</v>
      </c>
      <c r="B77">
        <f>VLOOKUP(A77,BCB_TX_JUROS!A:L,12,0)</f>
        <v>257.64115712232569</v>
      </c>
      <c r="C77">
        <f>VLOOKUP(A77,BCB_TX_JUROS!N:V,9,0)</f>
        <v>7.822319035227622</v>
      </c>
      <c r="E77">
        <f>VLOOKUP(A77,BCB_ipca_acum12m!A:B,2,0)</f>
        <v>4.9400000000000004</v>
      </c>
      <c r="F77">
        <f t="shared" si="9"/>
        <v>252.7011571223257</v>
      </c>
      <c r="G77">
        <f t="shared" si="10"/>
        <v>2.8823190352276216</v>
      </c>
      <c r="H77" s="25">
        <f t="shared" si="11"/>
        <v>1.5599999999999996</v>
      </c>
      <c r="I77" s="25">
        <f t="shared" si="12"/>
        <v>161.98792123226011</v>
      </c>
      <c r="J77" s="25">
        <f t="shared" si="13"/>
        <v>1.8476404071971937</v>
      </c>
      <c r="M77">
        <f>VLOOKUP(A77,BCB_selic!I:J,2,0)</f>
        <v>6.5</v>
      </c>
      <c r="O77">
        <f t="shared" si="7"/>
        <v>39.637101095742416</v>
      </c>
      <c r="S77">
        <f t="shared" si="8"/>
        <v>1.2034336977273266</v>
      </c>
    </row>
    <row r="78" spans="1:19" x14ac:dyDescent="0.25">
      <c r="A78" s="9">
        <v>43586</v>
      </c>
      <c r="B78">
        <f>VLOOKUP(A78,BCB_TX_JUROS!A:L,12,0)</f>
        <v>257.65121458333334</v>
      </c>
      <c r="C78">
        <f>VLOOKUP(A78,BCB_TX_JUROS!N:V,9,0)</f>
        <v>7.8570271961318721</v>
      </c>
      <c r="E78">
        <f>VLOOKUP(A78,BCB_ipca_acum12m!A:B,2,0)</f>
        <v>4.66</v>
      </c>
      <c r="F78">
        <f t="shared" si="9"/>
        <v>252.99121458333335</v>
      </c>
      <c r="G78">
        <f t="shared" si="10"/>
        <v>3.1970271961318719</v>
      </c>
      <c r="H78" s="25">
        <f t="shared" si="11"/>
        <v>1.8399999999999999</v>
      </c>
      <c r="I78" s="25">
        <f t="shared" si="12"/>
        <v>137.495225317029</v>
      </c>
      <c r="J78" s="25">
        <f t="shared" si="13"/>
        <v>1.7375147805064524</v>
      </c>
      <c r="M78">
        <f>VLOOKUP(A78,BCB_selic!I:J,2,0)</f>
        <v>6.5</v>
      </c>
      <c r="O78">
        <f t="shared" si="7"/>
        <v>39.638648397435901</v>
      </c>
      <c r="S78">
        <f t="shared" si="8"/>
        <v>1.2087734147895188</v>
      </c>
    </row>
    <row r="79" spans="1:19" x14ac:dyDescent="0.25">
      <c r="A79" s="9">
        <v>43617</v>
      </c>
      <c r="B79">
        <f>VLOOKUP(A79,BCB_TX_JUROS!A:L,12,0)</f>
        <v>258.41030026183648</v>
      </c>
      <c r="C79">
        <f>VLOOKUP(A79,BCB_TX_JUROS!N:V,9,0)</f>
        <v>7.7400355516523547</v>
      </c>
      <c r="E79">
        <f>VLOOKUP(A79,BCB_ipca_acum12m!A:B,2,0)</f>
        <v>3.37</v>
      </c>
      <c r="F79">
        <f t="shared" si="9"/>
        <v>255.04030026183648</v>
      </c>
      <c r="G79">
        <f t="shared" si="10"/>
        <v>4.3700355516523546</v>
      </c>
      <c r="H79" s="25">
        <f t="shared" si="11"/>
        <v>3.13</v>
      </c>
      <c r="I79" s="25">
        <f t="shared" si="12"/>
        <v>81.482524045315174</v>
      </c>
      <c r="J79" s="25">
        <f t="shared" si="13"/>
        <v>1.3961774925406885</v>
      </c>
      <c r="M79">
        <f>VLOOKUP(A79,BCB_selic!I:J,2,0)</f>
        <v>6.5</v>
      </c>
      <c r="O79">
        <f t="shared" si="7"/>
        <v>39.755430809513307</v>
      </c>
      <c r="S79">
        <f t="shared" si="8"/>
        <v>1.1907747002542084</v>
      </c>
    </row>
    <row r="80" spans="1:19" x14ac:dyDescent="0.25">
      <c r="A80" s="9">
        <v>43647</v>
      </c>
      <c r="B80">
        <f>VLOOKUP(A80,BCB_TX_JUROS!A:L,12,0)</f>
        <v>256.93600308641976</v>
      </c>
      <c r="C80">
        <f>VLOOKUP(A80,BCB_TX_JUROS!N:V,9,0)</f>
        <v>7.8152163157801073</v>
      </c>
      <c r="E80">
        <f>VLOOKUP(A80,BCB_ipca_acum12m!A:B,2,0)</f>
        <v>3.22</v>
      </c>
      <c r="F80">
        <f t="shared" si="9"/>
        <v>253.71600308641976</v>
      </c>
      <c r="G80">
        <f t="shared" si="10"/>
        <v>4.5952163157801067</v>
      </c>
      <c r="H80" s="25">
        <f t="shared" si="11"/>
        <v>3.28</v>
      </c>
      <c r="I80" s="25">
        <f t="shared" si="12"/>
        <v>77.352439965371886</v>
      </c>
      <c r="J80" s="25">
        <f t="shared" si="13"/>
        <v>1.4009805840793008</v>
      </c>
      <c r="M80">
        <f>VLOOKUP(A80,BCB_selic!I:J,2,0)</f>
        <v>6.5</v>
      </c>
      <c r="O80">
        <f t="shared" si="7"/>
        <v>39.528615859449197</v>
      </c>
      <c r="S80">
        <f t="shared" si="8"/>
        <v>1.2023409716584781</v>
      </c>
    </row>
    <row r="81" spans="1:19" x14ac:dyDescent="0.25">
      <c r="A81" s="9">
        <v>43678</v>
      </c>
      <c r="B81">
        <f>VLOOKUP(A81,BCB_TX_JUROS!A:L,12,0)</f>
        <v>256.39692264506118</v>
      </c>
      <c r="C81">
        <f>VLOOKUP(A81,BCB_TX_JUROS!N:V,9,0)</f>
        <v>8.3040416622999711</v>
      </c>
      <c r="E81">
        <f>VLOOKUP(A81,BCB_ipca_acum12m!A:B,2,0)</f>
        <v>3.43</v>
      </c>
      <c r="F81">
        <f t="shared" si="9"/>
        <v>252.96692264506117</v>
      </c>
      <c r="G81">
        <f t="shared" si="10"/>
        <v>4.8740416622999714</v>
      </c>
      <c r="H81" s="25">
        <f t="shared" si="11"/>
        <v>2.57</v>
      </c>
      <c r="I81" s="25">
        <f t="shared" si="12"/>
        <v>98.43070920041292</v>
      </c>
      <c r="J81" s="25">
        <f t="shared" si="13"/>
        <v>1.8965142654863703</v>
      </c>
      <c r="M81">
        <f>VLOOKUP(A81,BCB_selic!I:J,2,0)</f>
        <v>6</v>
      </c>
      <c r="O81">
        <f t="shared" si="7"/>
        <v>42.732820440843533</v>
      </c>
      <c r="S81">
        <f t="shared" si="8"/>
        <v>1.3840069437166618</v>
      </c>
    </row>
    <row r="82" spans="1:19" x14ac:dyDescent="0.25">
      <c r="A82" s="9">
        <v>43709</v>
      </c>
      <c r="B82">
        <f>VLOOKUP(A82,BCB_TX_JUROS!A:L,12,0)</f>
        <v>254.80758317089021</v>
      </c>
      <c r="C82">
        <f>VLOOKUP(A82,BCB_TX_JUROS!N:V,9,0)</f>
        <v>7.6474420142820314</v>
      </c>
      <c r="E82">
        <f>VLOOKUP(A82,BCB_ipca_acum12m!A:B,2,0)</f>
        <v>2.89</v>
      </c>
      <c r="F82">
        <f t="shared" si="9"/>
        <v>251.91758317089023</v>
      </c>
      <c r="G82">
        <f t="shared" si="10"/>
        <v>4.7574420142820308</v>
      </c>
      <c r="H82" s="25">
        <f t="shared" si="11"/>
        <v>2.9099999999999997</v>
      </c>
      <c r="I82" s="25">
        <f t="shared" si="12"/>
        <v>86.569616209927915</v>
      </c>
      <c r="J82" s="25">
        <f t="shared" si="13"/>
        <v>1.6348597987223474</v>
      </c>
      <c r="M82">
        <f>VLOOKUP(A82,BCB_selic!I:J,2,0)</f>
        <v>5.8</v>
      </c>
      <c r="O82">
        <f t="shared" si="7"/>
        <v>43.932341926015553</v>
      </c>
      <c r="S82">
        <f t="shared" si="8"/>
        <v>1.31852448522104</v>
      </c>
    </row>
    <row r="83" spans="1:19" x14ac:dyDescent="0.25">
      <c r="A83" s="9">
        <v>43739</v>
      </c>
      <c r="B83">
        <f>VLOOKUP(A83,BCB_TX_JUROS!A:L,12,0)</f>
        <v>261.14476481195823</v>
      </c>
      <c r="C83">
        <f>VLOOKUP(A83,BCB_TX_JUROS!N:V,9,0)</f>
        <v>7.4026534787564326</v>
      </c>
      <c r="E83">
        <f>VLOOKUP(A83,BCB_ipca_acum12m!A:B,2,0)</f>
        <v>2.54</v>
      </c>
      <c r="F83">
        <f t="shared" si="9"/>
        <v>258.6047648119582</v>
      </c>
      <c r="G83">
        <f t="shared" si="10"/>
        <v>4.8626534787564326</v>
      </c>
      <c r="H83" s="25">
        <f t="shared" si="11"/>
        <v>2.943870967741935</v>
      </c>
      <c r="I83" s="25">
        <f t="shared" si="12"/>
        <v>87.845142550632318</v>
      </c>
      <c r="J83" s="25">
        <f t="shared" si="13"/>
        <v>1.6517889309823519</v>
      </c>
      <c r="M83">
        <f>VLOOKUP(A83,BCB_selic!I:J,2,0)</f>
        <v>5.4838709677419351</v>
      </c>
      <c r="O83">
        <f t="shared" si="7"/>
        <v>47.620515936298268</v>
      </c>
      <c r="S83">
        <f t="shared" si="8"/>
        <v>1.3498956343614672</v>
      </c>
    </row>
    <row r="84" spans="1:19" x14ac:dyDescent="0.25">
      <c r="A84" s="9">
        <v>43770</v>
      </c>
      <c r="B84">
        <f>VLOOKUP(A84,BCB_TX_JUROS!A:L,12,0)</f>
        <v>264.1012791746839</v>
      </c>
      <c r="C84">
        <f>VLOOKUP(A84,BCB_TX_JUROS!N:V,9,0)</f>
        <v>7.2331393673285467</v>
      </c>
      <c r="E84">
        <f>VLOOKUP(A84,BCB_ipca_acum12m!A:B,2,0)</f>
        <v>3.27</v>
      </c>
      <c r="F84">
        <f t="shared" si="9"/>
        <v>260.83127917468391</v>
      </c>
      <c r="G84">
        <f t="shared" si="10"/>
        <v>3.9631393673285467</v>
      </c>
      <c r="H84" s="25">
        <f t="shared" si="11"/>
        <v>1.73</v>
      </c>
      <c r="I84" s="25">
        <f t="shared" si="12"/>
        <v>150.76952553449937</v>
      </c>
      <c r="J84" s="25">
        <f t="shared" si="13"/>
        <v>2.2908320042361541</v>
      </c>
      <c r="M84">
        <f>VLOOKUP(A84,BCB_selic!I:J,2,0)</f>
        <v>5</v>
      </c>
      <c r="O84">
        <f t="shared" si="7"/>
        <v>52.820255834936781</v>
      </c>
      <c r="S84">
        <f t="shared" si="8"/>
        <v>1.4466278734657094</v>
      </c>
    </row>
    <row r="85" spans="1:19" x14ac:dyDescent="0.25">
      <c r="A85" s="9">
        <v>43800</v>
      </c>
      <c r="B85">
        <f>VLOOKUP(A85,BCB_TX_JUROS!A:L,12,0)</f>
        <v>259.79852767896847</v>
      </c>
      <c r="C85">
        <f>VLOOKUP(A85,BCB_TX_JUROS!N:V,9,0)</f>
        <v>7.2549518129307451</v>
      </c>
      <c r="E85">
        <f>VLOOKUP(A85,BCB_ipca_acum12m!A:B,2,0)</f>
        <v>4.3099999999999996</v>
      </c>
      <c r="F85">
        <f t="shared" si="9"/>
        <v>255.48852767896847</v>
      </c>
      <c r="G85">
        <f t="shared" si="10"/>
        <v>2.9449518129307455</v>
      </c>
      <c r="H85" s="25">
        <f t="shared" si="11"/>
        <v>0.36741935483871035</v>
      </c>
      <c r="I85" s="25">
        <f t="shared" si="12"/>
        <v>695.35946953889447</v>
      </c>
      <c r="J85" s="25">
        <f t="shared" si="13"/>
        <v>8.0152332046402925</v>
      </c>
      <c r="M85">
        <f>VLOOKUP(A85,BCB_selic!I:J,2,0)</f>
        <v>4.67741935483871</v>
      </c>
      <c r="O85">
        <f t="shared" si="7"/>
        <v>55.543133503779465</v>
      </c>
      <c r="S85">
        <f t="shared" si="8"/>
        <v>1.5510586634541592</v>
      </c>
    </row>
    <row r="86" spans="1:19" x14ac:dyDescent="0.25">
      <c r="A86" s="9">
        <v>43831</v>
      </c>
      <c r="B86">
        <f>VLOOKUP(A86,BCB_TX_JUROS!A:L,12,0)</f>
        <v>231.64961017919441</v>
      </c>
      <c r="C86">
        <f>VLOOKUP(A86,BCB_TX_JUROS!N:V,9,0)</f>
        <v>7.4079283522421155</v>
      </c>
      <c r="E86">
        <f>VLOOKUP(A86,BCB_ipca_acum12m!A:B,2,0)</f>
        <v>4.1900000000000004</v>
      </c>
      <c r="F86">
        <f t="shared" si="9"/>
        <v>227.45961017919441</v>
      </c>
      <c r="G86">
        <f t="shared" si="10"/>
        <v>3.2179283522421152</v>
      </c>
      <c r="H86" s="25">
        <f t="shared" si="11"/>
        <v>0.30999999999999961</v>
      </c>
      <c r="I86" s="25">
        <f t="shared" si="12"/>
        <v>733.74067799740226</v>
      </c>
      <c r="J86" s="25">
        <f t="shared" si="13"/>
        <v>10.380414039490708</v>
      </c>
      <c r="M86">
        <f>VLOOKUP(A86,BCB_selic!I:J,2,0)</f>
        <v>4.5</v>
      </c>
      <c r="O86">
        <f t="shared" si="7"/>
        <v>51.477691150932088</v>
      </c>
      <c r="S86">
        <f t="shared" si="8"/>
        <v>1.6462063004982479</v>
      </c>
    </row>
    <row r="87" spans="1:19" x14ac:dyDescent="0.25">
      <c r="A87" s="9">
        <v>43862</v>
      </c>
      <c r="B87">
        <f>VLOOKUP(A87,BCB_TX_JUROS!A:L,12,0)</f>
        <v>232.90953515629087</v>
      </c>
      <c r="C87">
        <f>VLOOKUP(A87,BCB_TX_JUROS!N:V,9,0)</f>
        <v>7.3397441195539121</v>
      </c>
      <c r="E87">
        <f>VLOOKUP(A87,BCB_ipca_acum12m!A:B,2,0)</f>
        <v>4.01</v>
      </c>
      <c r="F87">
        <f t="shared" si="9"/>
        <v>228.89953515629088</v>
      </c>
      <c r="G87">
        <f t="shared" si="10"/>
        <v>3.3297441195539124</v>
      </c>
      <c r="H87" s="25">
        <f t="shared" si="11"/>
        <v>0.28310344827586231</v>
      </c>
      <c r="I87" s="25">
        <f t="shared" si="12"/>
        <v>808.53672588701943</v>
      </c>
      <c r="J87" s="25">
        <f t="shared" si="13"/>
        <v>11.761580933868863</v>
      </c>
      <c r="M87">
        <f>VLOOKUP(A87,BCB_selic!I:J,2,0)</f>
        <v>4.2931034482758621</v>
      </c>
      <c r="O87">
        <f t="shared" si="7"/>
        <v>54.252020237208313</v>
      </c>
      <c r="S87">
        <f t="shared" si="8"/>
        <v>1.7096592728278188</v>
      </c>
    </row>
    <row r="88" spans="1:19" x14ac:dyDescent="0.25">
      <c r="A88" s="9">
        <v>43891</v>
      </c>
      <c r="B88">
        <f>VLOOKUP(A88,BCB_TX_JUROS!A:L,12,0)</f>
        <v>232.09939495467086</v>
      </c>
      <c r="C88">
        <f>VLOOKUP(A88,BCB_TX_JUROS!N:V,9,0)</f>
        <v>7.1517949620463037</v>
      </c>
      <c r="E88">
        <f>VLOOKUP(A88,BCB_ipca_acum12m!A:B,2,0)</f>
        <v>3.3</v>
      </c>
      <c r="F88">
        <f t="shared" si="9"/>
        <v>228.79939495467084</v>
      </c>
      <c r="G88">
        <f t="shared" si="10"/>
        <v>3.8517949620463039</v>
      </c>
      <c r="H88" s="25">
        <f t="shared" si="11"/>
        <v>0.74032258064516121</v>
      </c>
      <c r="I88" s="25">
        <f t="shared" si="12"/>
        <v>309.05364895837897</v>
      </c>
      <c r="J88" s="25">
        <f t="shared" si="13"/>
        <v>5.2028602973174483</v>
      </c>
      <c r="M88">
        <f>VLOOKUP(A88,BCB_selic!I:J,2,0)</f>
        <v>4.040322580645161</v>
      </c>
      <c r="O88">
        <f t="shared" si="7"/>
        <v>57.445758431894589</v>
      </c>
      <c r="S88">
        <f t="shared" si="8"/>
        <v>1.7701049407060714</v>
      </c>
    </row>
    <row r="89" spans="1:19" x14ac:dyDescent="0.25">
      <c r="A89" s="9">
        <v>43922</v>
      </c>
      <c r="B89">
        <f>VLOOKUP(A89,BCB_TX_JUROS!A:L,12,0)</f>
        <v>212.53004624908584</v>
      </c>
      <c r="C89">
        <f>VLOOKUP(A89,BCB_TX_JUROS!N:V,9,0)</f>
        <v>7.2181179835428715</v>
      </c>
      <c r="E89">
        <f>VLOOKUP(A89,BCB_ipca_acum12m!A:B,2,0)</f>
        <v>2.4</v>
      </c>
      <c r="F89">
        <f t="shared" si="9"/>
        <v>210.13004624908584</v>
      </c>
      <c r="G89">
        <f t="shared" si="10"/>
        <v>4.8181179835428711</v>
      </c>
      <c r="H89" s="25">
        <f t="shared" si="11"/>
        <v>1.35</v>
      </c>
      <c r="I89" s="25">
        <f t="shared" si="12"/>
        <v>155.65188611043394</v>
      </c>
      <c r="J89" s="25">
        <f t="shared" si="13"/>
        <v>3.5689762841058301</v>
      </c>
      <c r="M89">
        <f>VLOOKUP(A89,BCB_selic!I:J,2,0)</f>
        <v>3.75</v>
      </c>
      <c r="O89">
        <f t="shared" si="7"/>
        <v>56.674678999756225</v>
      </c>
      <c r="S89">
        <f t="shared" si="8"/>
        <v>1.9248314622780991</v>
      </c>
    </row>
    <row r="90" spans="1:19" x14ac:dyDescent="0.25">
      <c r="A90" s="9">
        <v>43952</v>
      </c>
      <c r="B90">
        <f>VLOOKUP(A90,BCB_TX_JUROS!A:L,12,0)</f>
        <v>203.73189193576309</v>
      </c>
      <c r="C90">
        <f>VLOOKUP(A90,BCB_TX_JUROS!N:V,9,0)</f>
        <v>7.1665848219696047</v>
      </c>
      <c r="E90">
        <f>VLOOKUP(A90,BCB_ipca_acum12m!A:B,2,0)</f>
        <v>1.88</v>
      </c>
      <c r="F90">
        <f t="shared" si="9"/>
        <v>201.85189193576309</v>
      </c>
      <c r="G90">
        <f t="shared" si="10"/>
        <v>5.2865848219696048</v>
      </c>
      <c r="H90" s="25">
        <f t="shared" si="11"/>
        <v>1.2651612903225806</v>
      </c>
      <c r="I90" s="25">
        <f t="shared" si="12"/>
        <v>159.54637047446855</v>
      </c>
      <c r="J90" s="25">
        <f t="shared" si="13"/>
        <v>4.1785856573446649</v>
      </c>
      <c r="M90">
        <f>VLOOKUP(A90,BCB_selic!I:J,2,0)</f>
        <v>3.1451612903225805</v>
      </c>
      <c r="O90">
        <f t="shared" si="7"/>
        <v>64.776293846242623</v>
      </c>
      <c r="S90">
        <f t="shared" si="8"/>
        <v>2.2786064562159769</v>
      </c>
    </row>
    <row r="91" spans="1:19" x14ac:dyDescent="0.25">
      <c r="A91" s="9">
        <v>43983</v>
      </c>
      <c r="B91">
        <f>VLOOKUP(A91,BCB_TX_JUROS!A:L,12,0)</f>
        <v>189.79876596748642</v>
      </c>
      <c r="C91">
        <f>VLOOKUP(A91,BCB_TX_JUROS!N:V,9,0)</f>
        <v>7.1720102547956905</v>
      </c>
      <c r="E91">
        <f>VLOOKUP(A91,BCB_ipca_acum12m!A:B,2,0)</f>
        <v>2.13</v>
      </c>
      <c r="F91">
        <f t="shared" si="9"/>
        <v>187.66876596748642</v>
      </c>
      <c r="G91">
        <f t="shared" si="10"/>
        <v>5.0420102547956906</v>
      </c>
      <c r="H91" s="25">
        <f t="shared" si="11"/>
        <v>0.54499999999999993</v>
      </c>
      <c r="I91" s="25">
        <f t="shared" si="12"/>
        <v>344.34635957336963</v>
      </c>
      <c r="J91" s="25">
        <f t="shared" si="13"/>
        <v>9.2513949629278738</v>
      </c>
      <c r="M91">
        <f>VLOOKUP(A91,BCB_selic!I:J,2,0)</f>
        <v>2.6749999999999998</v>
      </c>
      <c r="O91">
        <f t="shared" si="7"/>
        <v>70.952809707471559</v>
      </c>
      <c r="S91">
        <f t="shared" si="8"/>
        <v>2.6811253288955856</v>
      </c>
    </row>
    <row r="92" spans="1:19" x14ac:dyDescent="0.25">
      <c r="A92" s="9">
        <v>44013</v>
      </c>
      <c r="B92">
        <f>VLOOKUP(A92,BCB_TX_JUROS!A:L,12,0)</f>
        <v>202.93138060927524</v>
      </c>
      <c r="C92">
        <f>VLOOKUP(A92,BCB_TX_JUROS!N:V,9,0)</f>
        <v>7.1583233456547664</v>
      </c>
      <c r="E92">
        <f>VLOOKUP(A92,BCB_ipca_acum12m!A:B,2,0)</f>
        <v>2.31</v>
      </c>
      <c r="F92">
        <f t="shared" si="9"/>
        <v>200.62138060927523</v>
      </c>
      <c r="G92">
        <f t="shared" si="10"/>
        <v>4.8483233456547659</v>
      </c>
      <c r="H92" s="25">
        <f t="shared" si="11"/>
        <v>-6.0000000000000053E-2</v>
      </c>
      <c r="I92" s="25">
        <f t="shared" si="12"/>
        <v>-3343.6896768212509</v>
      </c>
      <c r="J92" s="25">
        <f t="shared" si="13"/>
        <v>-80.805389094246024</v>
      </c>
      <c r="M92">
        <f>VLOOKUP(A92,BCB_selic!I:J,2,0)</f>
        <v>2.25</v>
      </c>
      <c r="O92">
        <f t="shared" si="7"/>
        <v>90.191724715233434</v>
      </c>
      <c r="S92">
        <f t="shared" si="8"/>
        <v>3.1814770425132295</v>
      </c>
    </row>
    <row r="93" spans="1:19" x14ac:dyDescent="0.25">
      <c r="A93" s="9">
        <v>44044</v>
      </c>
      <c r="B93">
        <f>VLOOKUP(A93,BCB_TX_JUROS!A:L,12,0)</f>
        <v>203.64276259969455</v>
      </c>
      <c r="C93">
        <f>VLOOKUP(A93,BCB_TX_JUROS!N:V,9,0)</f>
        <v>7.1611605678635648</v>
      </c>
      <c r="E93">
        <f>VLOOKUP(A93,BCB_ipca_acum12m!A:B,2,0)</f>
        <v>2.44</v>
      </c>
      <c r="F93">
        <f t="shared" si="9"/>
        <v>201.20276259969455</v>
      </c>
      <c r="G93">
        <f t="shared" si="10"/>
        <v>4.7211605678635653</v>
      </c>
      <c r="H93" s="25">
        <f t="shared" si="11"/>
        <v>-0.39967741935483847</v>
      </c>
      <c r="I93" s="25">
        <f t="shared" si="12"/>
        <v>-503.41288463200442</v>
      </c>
      <c r="J93" s="25">
        <f t="shared" si="13"/>
        <v>-11.812427570925795</v>
      </c>
      <c r="M93">
        <f>VLOOKUP(A93,BCB_selic!I:J,2,0)</f>
        <v>2.0403225806451615</v>
      </c>
      <c r="O93">
        <f t="shared" si="7"/>
        <v>99.809101037004439</v>
      </c>
      <c r="S93">
        <f t="shared" si="8"/>
        <v>3.5098178277275967</v>
      </c>
    </row>
    <row r="94" spans="1:19" x14ac:dyDescent="0.25">
      <c r="A94" s="9">
        <v>44075</v>
      </c>
      <c r="B94">
        <f>VLOOKUP(A94,BCB_TX_JUROS!A:L,12,0)</f>
        <v>205.79911311406022</v>
      </c>
      <c r="C94">
        <f>VLOOKUP(A94,BCB_TX_JUROS!N:V,9,0)</f>
        <v>7.1525084577720186</v>
      </c>
      <c r="E94">
        <f>VLOOKUP(A94,BCB_ipca_acum12m!A:B,2,0)</f>
        <v>3.14</v>
      </c>
      <c r="F94">
        <f t="shared" si="9"/>
        <v>202.65911311406023</v>
      </c>
      <c r="G94">
        <f t="shared" si="10"/>
        <v>4.012508457772018</v>
      </c>
      <c r="H94" s="25">
        <f t="shared" si="11"/>
        <v>-1.1400000000000001</v>
      </c>
      <c r="I94" s="25">
        <f t="shared" si="12"/>
        <v>-177.77115185443878</v>
      </c>
      <c r="J94" s="25">
        <f t="shared" si="13"/>
        <v>-3.5197442612035243</v>
      </c>
      <c r="M94">
        <f>VLOOKUP(A94,BCB_selic!I:J,2,0)</f>
        <v>2</v>
      </c>
      <c r="O94">
        <f t="shared" si="7"/>
        <v>102.89955655703011</v>
      </c>
      <c r="S94">
        <f t="shared" si="8"/>
        <v>3.5762542288860093</v>
      </c>
    </row>
    <row r="95" spans="1:19" x14ac:dyDescent="0.25">
      <c r="A95" s="9">
        <v>44105</v>
      </c>
      <c r="B95">
        <f>VLOOKUP(A95,BCB_TX_JUROS!A:L,12,0)</f>
        <v>209.75769789433866</v>
      </c>
      <c r="C95">
        <f>VLOOKUP(A95,BCB_TX_JUROS!N:V,9,0)</f>
        <v>7.0661797959002266</v>
      </c>
      <c r="E95">
        <f>VLOOKUP(A95,BCB_ipca_acum12m!A:B,2,0)</f>
        <v>3.92</v>
      </c>
      <c r="F95">
        <f t="shared" si="9"/>
        <v>205.83769789433867</v>
      </c>
      <c r="G95">
        <f t="shared" si="10"/>
        <v>3.1461797959002267</v>
      </c>
      <c r="H95" s="25">
        <f t="shared" si="11"/>
        <v>-1.92</v>
      </c>
      <c r="I95" s="25">
        <f t="shared" si="12"/>
        <v>-107.20713431996806</v>
      </c>
      <c r="J95" s="25">
        <f t="shared" si="13"/>
        <v>-1.6386353103647016</v>
      </c>
      <c r="M95">
        <f>VLOOKUP(A95,BCB_selic!I:J,2,0)</f>
        <v>2</v>
      </c>
      <c r="O95">
        <f t="shared" si="7"/>
        <v>104.87884894716933</v>
      </c>
      <c r="S95">
        <f t="shared" si="8"/>
        <v>3.5330898979501133</v>
      </c>
    </row>
    <row r="96" spans="1:19" x14ac:dyDescent="0.25">
      <c r="A96" s="9">
        <v>44136</v>
      </c>
      <c r="B96">
        <f>VLOOKUP(A96,BCB_TX_JUROS!A:L,12,0)</f>
        <v>212.32035140637961</v>
      </c>
      <c r="C96">
        <f>VLOOKUP(A96,BCB_TX_JUROS!N:V,9,0)</f>
        <v>7.0390798892447455</v>
      </c>
      <c r="E96">
        <f>VLOOKUP(A96,BCB_ipca_acum12m!A:B,2,0)</f>
        <v>4.3099999999999996</v>
      </c>
      <c r="F96">
        <f t="shared" si="9"/>
        <v>208.01035140637961</v>
      </c>
      <c r="G96">
        <f t="shared" si="10"/>
        <v>2.7290798892447459</v>
      </c>
      <c r="H96" s="25">
        <f t="shared" si="11"/>
        <v>-2.3099999999999996</v>
      </c>
      <c r="I96" s="25">
        <f t="shared" si="12"/>
        <v>-90.047771171592927</v>
      </c>
      <c r="J96" s="25">
        <f t="shared" si="13"/>
        <v>-1.1814198654739161</v>
      </c>
      <c r="M96">
        <f>VLOOKUP(A96,BCB_selic!I:J,2,0)</f>
        <v>2</v>
      </c>
      <c r="O96">
        <f t="shared" si="7"/>
        <v>106.16017570318981</v>
      </c>
      <c r="S96">
        <f t="shared" si="8"/>
        <v>3.5195399446223727</v>
      </c>
    </row>
    <row r="97" spans="1:19" x14ac:dyDescent="0.25">
      <c r="A97" s="9">
        <v>44166</v>
      </c>
      <c r="B97">
        <f>VLOOKUP(A97,BCB_TX_JUROS!A:L,12,0)</f>
        <v>215.14306071505263</v>
      </c>
      <c r="C97">
        <f>VLOOKUP(A97,BCB_TX_JUROS!N:V,9,0)</f>
        <v>7.0377829850210789</v>
      </c>
      <c r="E97">
        <f>VLOOKUP(A97,BCB_ipca_acum12m!A:B,2,0)</f>
        <v>4.5199999999999996</v>
      </c>
      <c r="F97">
        <f t="shared" si="9"/>
        <v>210.62306071505262</v>
      </c>
      <c r="G97">
        <f t="shared" si="10"/>
        <v>2.5177829850210793</v>
      </c>
      <c r="H97" s="25">
        <f t="shared" si="11"/>
        <v>-2.5199999999999996</v>
      </c>
      <c r="I97" s="25">
        <f t="shared" si="12"/>
        <v>-83.580579648830422</v>
      </c>
      <c r="J97" s="25">
        <f t="shared" si="13"/>
        <v>-0.99912023215122214</v>
      </c>
      <c r="M97">
        <f>VLOOKUP(A97,BCB_selic!I:J,2,0)</f>
        <v>2</v>
      </c>
      <c r="O97">
        <f t="shared" si="7"/>
        <v>107.57153035752631</v>
      </c>
      <c r="S97">
        <f t="shared" si="8"/>
        <v>3.5188914925105395</v>
      </c>
    </row>
    <row r="98" spans="1:19" x14ac:dyDescent="0.25">
      <c r="A98" s="9">
        <v>44197</v>
      </c>
      <c r="B98">
        <f>VLOOKUP(A98,BCB_TX_JUROS!A:L,12,0)</f>
        <v>219.5106400847589</v>
      </c>
      <c r="C98">
        <f>VLOOKUP(A98,BCB_TX_JUROS!N:V,9,0)</f>
        <v>7.0014059906653445</v>
      </c>
      <c r="E98">
        <f>VLOOKUP(A98,BCB_ipca_acum12m!A:B,2,0)</f>
        <v>4.5599999999999996</v>
      </c>
      <c r="F98">
        <f t="shared" si="9"/>
        <v>214.9506400847589</v>
      </c>
      <c r="G98">
        <f t="shared" si="10"/>
        <v>2.4414059906653449</v>
      </c>
      <c r="H98" s="25">
        <f t="shared" si="11"/>
        <v>-2.5599999999999996</v>
      </c>
      <c r="I98" s="25">
        <f t="shared" si="12"/>
        <v>-83.965093783108955</v>
      </c>
      <c r="J98" s="25">
        <f t="shared" si="13"/>
        <v>-0.95367421510365047</v>
      </c>
      <c r="M98">
        <f>VLOOKUP(A98,BCB_selic!I:J,2,0)</f>
        <v>2</v>
      </c>
      <c r="O98">
        <f t="shared" si="7"/>
        <v>109.75532004237945</v>
      </c>
      <c r="S98">
        <f t="shared" si="8"/>
        <v>3.5007029953326723</v>
      </c>
    </row>
    <row r="99" spans="1:19" x14ac:dyDescent="0.25">
      <c r="A99" s="9">
        <v>44228</v>
      </c>
      <c r="B99">
        <f>VLOOKUP(A99,BCB_TX_JUROS!A:L,12,0)</f>
        <v>222.47155934890867</v>
      </c>
      <c r="C99">
        <f>VLOOKUP(A99,BCB_TX_JUROS!N:V,9,0)</f>
        <v>6.9905419119027385</v>
      </c>
      <c r="E99">
        <f>VLOOKUP(A99,BCB_ipca_acum12m!A:B,2,0)</f>
        <v>5.2</v>
      </c>
      <c r="F99">
        <f t="shared" si="9"/>
        <v>217.27155934890868</v>
      </c>
      <c r="G99">
        <f t="shared" si="10"/>
        <v>1.7905419119027384</v>
      </c>
      <c r="H99" s="25">
        <f t="shared" si="11"/>
        <v>-3.2</v>
      </c>
      <c r="I99" s="25">
        <f t="shared" si="12"/>
        <v>-67.897362296533956</v>
      </c>
      <c r="J99" s="25">
        <f t="shared" si="13"/>
        <v>-0.55954434746960569</v>
      </c>
      <c r="M99">
        <f>VLOOKUP(A99,BCB_selic!I:J,2,0)</f>
        <v>2</v>
      </c>
      <c r="O99">
        <f t="shared" si="7"/>
        <v>111.23577967445434</v>
      </c>
      <c r="S99">
        <f t="shared" si="8"/>
        <v>3.4952709559513693</v>
      </c>
    </row>
    <row r="100" spans="1:19" x14ac:dyDescent="0.25">
      <c r="A100" s="9">
        <v>44256</v>
      </c>
      <c r="B100">
        <f>VLOOKUP(A100,BCB_TX_JUROS!A:L,12,0)</f>
        <v>221.50716794186582</v>
      </c>
      <c r="C100">
        <f>VLOOKUP(A100,BCB_TX_JUROS!N:V,9,0)</f>
        <v>6.8888348554126937</v>
      </c>
      <c r="E100">
        <f>VLOOKUP(A100,BCB_ipca_acum12m!A:B,2,0)</f>
        <v>6.1</v>
      </c>
      <c r="F100">
        <f t="shared" si="9"/>
        <v>215.40716794186582</v>
      </c>
      <c r="G100">
        <f t="shared" si="10"/>
        <v>0.78883485541269405</v>
      </c>
      <c r="H100" s="25">
        <f t="shared" si="11"/>
        <v>-3.7612903225806447</v>
      </c>
      <c r="I100" s="25">
        <f t="shared" si="12"/>
        <v>-57.269487188660733</v>
      </c>
      <c r="J100" s="25">
        <f t="shared" si="13"/>
        <v>-0.20972453274265454</v>
      </c>
      <c r="M100">
        <f>VLOOKUP(A100,BCB_selic!I:J,2,0)</f>
        <v>2.338709677419355</v>
      </c>
      <c r="O100">
        <f t="shared" si="7"/>
        <v>94.713409740659856</v>
      </c>
      <c r="S100">
        <f t="shared" si="8"/>
        <v>2.9455707657626689</v>
      </c>
    </row>
    <row r="101" spans="1:19" x14ac:dyDescent="0.25">
      <c r="A101" s="9">
        <v>44287</v>
      </c>
      <c r="B101">
        <f>VLOOKUP(A101,BCB_TX_JUROS!A:L,12,0)</f>
        <v>221.98748030439768</v>
      </c>
      <c r="C101">
        <f>VLOOKUP(A101,BCB_TX_JUROS!N:V,9,0)</f>
        <v>6.6828182197209403</v>
      </c>
      <c r="E101">
        <f>VLOOKUP(A101,BCB_ipca_acum12m!A:B,2,0)</f>
        <v>6.76</v>
      </c>
      <c r="F101">
        <f t="shared" si="9"/>
        <v>215.22748030439769</v>
      </c>
      <c r="G101">
        <f t="shared" si="10"/>
        <v>-7.7181780279059531E-2</v>
      </c>
      <c r="H101" s="25">
        <f t="shared" si="11"/>
        <v>-4.01</v>
      </c>
      <c r="I101" s="25">
        <f t="shared" si="12"/>
        <v>-53.672688355211399</v>
      </c>
      <c r="J101" s="25">
        <f t="shared" si="13"/>
        <v>1.9247326752882678E-2</v>
      </c>
      <c r="M101">
        <f>VLOOKUP(A101,BCB_selic!I:J,2,0)</f>
        <v>2.75</v>
      </c>
      <c r="O101">
        <f t="shared" si="7"/>
        <v>80.722720110690062</v>
      </c>
      <c r="S101">
        <f t="shared" si="8"/>
        <v>2.4301157162621601</v>
      </c>
    </row>
    <row r="102" spans="1:19" x14ac:dyDescent="0.25">
      <c r="A102" s="9">
        <v>44317</v>
      </c>
      <c r="B102">
        <f>VLOOKUP(A102,BCB_TX_JUROS!A:L,12,0)</f>
        <v>218.29581161256706</v>
      </c>
      <c r="C102">
        <f>VLOOKUP(A102,BCB_TX_JUROS!N:V,9,0)</f>
        <v>6.6447343525568083</v>
      </c>
      <c r="E102">
        <f>VLOOKUP(A102,BCB_ipca_acum12m!A:B,2,0)</f>
        <v>8.06</v>
      </c>
      <c r="F102">
        <f t="shared" si="9"/>
        <v>210.23581161256706</v>
      </c>
      <c r="G102">
        <f t="shared" si="10"/>
        <v>-1.4152656474431922</v>
      </c>
      <c r="H102" s="25">
        <f t="shared" si="11"/>
        <v>-4.6809677419354845</v>
      </c>
      <c r="I102" s="25">
        <f t="shared" si="12"/>
        <v>-44.912894769413398</v>
      </c>
      <c r="J102" s="25">
        <f t="shared" si="13"/>
        <v>0.30234467004850768</v>
      </c>
      <c r="M102">
        <f>VLOOKUP(A102,BCB_selic!I:J,2,0)</f>
        <v>3.379032258064516</v>
      </c>
      <c r="O102">
        <f t="shared" si="7"/>
        <v>64.603056419948246</v>
      </c>
      <c r="S102">
        <f t="shared" si="8"/>
        <v>1.9664607630478383</v>
      </c>
    </row>
    <row r="103" spans="1:19" x14ac:dyDescent="0.25">
      <c r="A103" s="9">
        <v>44348</v>
      </c>
      <c r="B103">
        <f>VLOOKUP(A103,BCB_TX_JUROS!A:L,12,0)</f>
        <v>219.6924976731199</v>
      </c>
      <c r="C103">
        <f>VLOOKUP(A103,BCB_TX_JUROS!N:V,9,0)</f>
        <v>6.7059630729788378</v>
      </c>
      <c r="E103">
        <f>VLOOKUP(A103,BCB_ipca_acum12m!A:B,2,0)</f>
        <v>8.35</v>
      </c>
      <c r="F103">
        <f t="shared" si="9"/>
        <v>211.34249767311991</v>
      </c>
      <c r="G103">
        <f t="shared" si="10"/>
        <v>-1.6440369270211619</v>
      </c>
      <c r="H103" s="25">
        <f t="shared" si="11"/>
        <v>-4.5</v>
      </c>
      <c r="I103" s="25">
        <f t="shared" si="12"/>
        <v>-46.964999482915537</v>
      </c>
      <c r="J103" s="25">
        <f t="shared" si="13"/>
        <v>0.36534153933803598</v>
      </c>
      <c r="M103">
        <f>VLOOKUP(A103,BCB_selic!I:J,2,0)</f>
        <v>3.85</v>
      </c>
      <c r="O103">
        <f t="shared" si="7"/>
        <v>57.062986408602569</v>
      </c>
      <c r="S103">
        <f t="shared" si="8"/>
        <v>1.7418085903841136</v>
      </c>
    </row>
    <row r="104" spans="1:19" x14ac:dyDescent="0.25">
      <c r="A104" s="9">
        <v>44378</v>
      </c>
      <c r="B104">
        <f>VLOOKUP(A104,BCB_TX_JUROS!A:L,12,0)</f>
        <v>219.82183765803273</v>
      </c>
      <c r="C104">
        <f>VLOOKUP(A104,BCB_TX_JUROS!N:V,9,0)</f>
        <v>6.8307562483594566</v>
      </c>
      <c r="E104">
        <f>VLOOKUP(A104,BCB_ipca_acum12m!A:B,2,0)</f>
        <v>8.99</v>
      </c>
      <c r="F104">
        <f t="shared" si="9"/>
        <v>210.83183765803273</v>
      </c>
      <c r="G104">
        <f t="shared" si="10"/>
        <v>-2.1592437516405436</v>
      </c>
      <c r="H104" s="25">
        <f t="shared" si="11"/>
        <v>-4.74</v>
      </c>
      <c r="I104" s="25">
        <f t="shared" si="12"/>
        <v>-44.479290645154585</v>
      </c>
      <c r="J104" s="25">
        <f t="shared" si="13"/>
        <v>0.45553665646424968</v>
      </c>
      <c r="M104">
        <f>VLOOKUP(A104,BCB_selic!I:J,2,0)</f>
        <v>4.25</v>
      </c>
      <c r="O104">
        <f t="shared" si="7"/>
        <v>51.722785331301822</v>
      </c>
      <c r="S104">
        <f t="shared" si="8"/>
        <v>1.6072367643198722</v>
      </c>
    </row>
    <row r="105" spans="1:19" x14ac:dyDescent="0.25">
      <c r="A105" s="9">
        <v>44409</v>
      </c>
      <c r="B105">
        <f>VLOOKUP(A105,BCB_TX_JUROS!A:L,12,0)</f>
        <v>222.3823698665384</v>
      </c>
      <c r="C105">
        <f>VLOOKUP(A105,BCB_TX_JUROS!N:V,9,0)</f>
        <v>6.9488028122993892</v>
      </c>
      <c r="E105">
        <f>VLOOKUP(A105,BCB_ipca_acum12m!A:B,2,0)</f>
        <v>9.68</v>
      </c>
      <c r="F105">
        <f t="shared" si="9"/>
        <v>212.70236986653839</v>
      </c>
      <c r="G105">
        <f t="shared" si="10"/>
        <v>-2.7311971877006105</v>
      </c>
      <c r="H105" s="25">
        <f t="shared" si="11"/>
        <v>-4.5590322580645157</v>
      </c>
      <c r="I105" s="25">
        <f t="shared" si="12"/>
        <v>-46.655157898978921</v>
      </c>
      <c r="J105" s="25">
        <f t="shared" si="13"/>
        <v>0.59907388961097385</v>
      </c>
      <c r="M105">
        <f>VLOOKUP(A105,BCB_selic!I:J,2,0)</f>
        <v>5.120967741935484</v>
      </c>
      <c r="O105">
        <f t="shared" si="7"/>
        <v>43.425848603859464</v>
      </c>
      <c r="S105">
        <f t="shared" si="8"/>
        <v>1.3569315727954712</v>
      </c>
    </row>
    <row r="106" spans="1:19" x14ac:dyDescent="0.25">
      <c r="A106" s="9">
        <v>44440</v>
      </c>
      <c r="B106">
        <f>VLOOKUP(A106,BCB_TX_JUROS!A:L,12,0)</f>
        <v>227.21958066930398</v>
      </c>
      <c r="C106">
        <f>VLOOKUP(A106,BCB_TX_JUROS!N:V,9,0)</f>
        <v>7.1799807771401092</v>
      </c>
      <c r="E106">
        <f>VLOOKUP(A106,BCB_ipca_acum12m!A:B,2,0)</f>
        <v>10.25</v>
      </c>
      <c r="F106">
        <f t="shared" si="9"/>
        <v>216.96958066930398</v>
      </c>
      <c r="G106">
        <f t="shared" si="10"/>
        <v>-3.0700192228598908</v>
      </c>
      <c r="H106" s="25">
        <f t="shared" si="11"/>
        <v>-4.7333333333333334</v>
      </c>
      <c r="I106" s="25">
        <f t="shared" si="12"/>
        <v>-45.838643803374083</v>
      </c>
      <c r="J106" s="25">
        <f t="shared" si="13"/>
        <v>0.64859561046335723</v>
      </c>
      <c r="M106">
        <f>VLOOKUP(A106,BCB_selic!I:J,2,0)</f>
        <v>5.5166666666666666</v>
      </c>
      <c r="O106">
        <f t="shared" si="7"/>
        <v>41.187839396248457</v>
      </c>
      <c r="S106">
        <f t="shared" si="8"/>
        <v>1.3015070895118024</v>
      </c>
    </row>
    <row r="107" spans="1:19" x14ac:dyDescent="0.25">
      <c r="A107" s="9">
        <v>44470</v>
      </c>
      <c r="B107">
        <f>VLOOKUP(A107,BCB_TX_JUROS!A:L,12,0)</f>
        <v>231.78308867434777</v>
      </c>
      <c r="C107">
        <f>VLOOKUP(A107,BCB_TX_JUROS!N:V,9,0)</f>
        <v>7.4806039259439006</v>
      </c>
      <c r="E107">
        <f>VLOOKUP(A107,BCB_ipca_acum12m!A:B,2,0)</f>
        <v>10.67</v>
      </c>
      <c r="F107">
        <f t="shared" si="9"/>
        <v>221.11308867434778</v>
      </c>
      <c r="G107">
        <f t="shared" si="10"/>
        <v>-3.1893960740560994</v>
      </c>
      <c r="H107" s="25">
        <f t="shared" si="11"/>
        <v>-4.2264516129032259</v>
      </c>
      <c r="I107" s="25">
        <f t="shared" si="12"/>
        <v>-52.316484116201963</v>
      </c>
      <c r="J107" s="25">
        <f t="shared" si="13"/>
        <v>0.75462737212440145</v>
      </c>
      <c r="M107">
        <f>VLOOKUP(A107,BCB_selic!I:J,2,0)</f>
        <v>6.443548387096774</v>
      </c>
      <c r="O107">
        <f t="shared" si="7"/>
        <v>35.971342923177879</v>
      </c>
      <c r="S107">
        <f t="shared" si="8"/>
        <v>1.1609447895081899</v>
      </c>
    </row>
    <row r="108" spans="1:19" x14ac:dyDescent="0.25">
      <c r="A108" s="9">
        <v>44501</v>
      </c>
      <c r="B108">
        <f>VLOOKUP(A108,BCB_TX_JUROS!A:L,12,0)</f>
        <v>232.64980857920227</v>
      </c>
      <c r="C108">
        <f>VLOOKUP(A108,BCB_TX_JUROS!N:V,9,0)</f>
        <v>7.7803720600638631</v>
      </c>
      <c r="E108">
        <f>VLOOKUP(A108,BCB_ipca_acum12m!A:B,2,0)</f>
        <v>10.74</v>
      </c>
      <c r="F108">
        <f t="shared" si="9"/>
        <v>221.90980857920226</v>
      </c>
      <c r="G108">
        <f t="shared" si="10"/>
        <v>-2.9596279399361372</v>
      </c>
      <c r="H108" s="25">
        <f t="shared" si="11"/>
        <v>-2.99</v>
      </c>
      <c r="I108" s="25">
        <f t="shared" si="12"/>
        <v>-74.217327284014132</v>
      </c>
      <c r="J108" s="25">
        <f t="shared" si="13"/>
        <v>0.98984212037997887</v>
      </c>
      <c r="M108">
        <f>VLOOKUP(A108,BCB_selic!I:J,2,0)</f>
        <v>7.75</v>
      </c>
      <c r="O108">
        <f t="shared" si="7"/>
        <v>30.019330139251906</v>
      </c>
      <c r="S108">
        <f t="shared" si="8"/>
        <v>1.0039189754921114</v>
      </c>
    </row>
    <row r="109" spans="1:19" x14ac:dyDescent="0.25">
      <c r="A109" s="9">
        <v>44531</v>
      </c>
      <c r="B109">
        <f>VLOOKUP(A109,BCB_TX_JUROS!A:L,12,0)</f>
        <v>236.27006375042387</v>
      </c>
      <c r="C109">
        <f>VLOOKUP(A109,BCB_TX_JUROS!N:V,9,0)</f>
        <v>8.8496766072550805</v>
      </c>
      <c r="E109">
        <f>VLOOKUP(A109,BCB_ipca_acum12m!A:B,2,0)</f>
        <v>10.06</v>
      </c>
      <c r="F109">
        <f t="shared" si="9"/>
        <v>226.21006375042387</v>
      </c>
      <c r="G109">
        <f t="shared" si="10"/>
        <v>-1.21032339274492</v>
      </c>
      <c r="H109" s="25">
        <f t="shared" si="11"/>
        <v>-1.1970967741935485</v>
      </c>
      <c r="I109" s="25">
        <f t="shared" si="12"/>
        <v>-188.96556120353378</v>
      </c>
      <c r="J109" s="25">
        <f t="shared" si="13"/>
        <v>1.0110489133681626</v>
      </c>
      <c r="M109">
        <f>VLOOKUP(A109,BCB_selic!I:J,2,0)</f>
        <v>8.862903225806452</v>
      </c>
      <c r="O109">
        <f t="shared" si="7"/>
        <v>26.658314745270754</v>
      </c>
      <c r="S109">
        <f t="shared" si="8"/>
        <v>0.9985076426748225</v>
      </c>
    </row>
    <row r="110" spans="1:19" x14ac:dyDescent="0.25">
      <c r="A110" s="9">
        <v>44562</v>
      </c>
      <c r="B110">
        <f>VLOOKUP(A110,BCB_TX_JUROS!A:L,12,0)</f>
        <v>236.83240772643285</v>
      </c>
      <c r="C110">
        <f>VLOOKUP(A110,BCB_TX_JUROS!N:V,9,0)</f>
        <v>9.3894982036583361</v>
      </c>
      <c r="E110">
        <f>VLOOKUP(A110,BCB_ipca_acum12m!A:B,2,0)</f>
        <v>10.38</v>
      </c>
      <c r="F110">
        <f t="shared" si="9"/>
        <v>226.45240772643285</v>
      </c>
      <c r="G110">
        <f t="shared" si="10"/>
        <v>-0.99050179634166469</v>
      </c>
      <c r="H110" s="25">
        <f t="shared" si="11"/>
        <v>-1.1300000000000008</v>
      </c>
      <c r="I110" s="25">
        <f t="shared" si="12"/>
        <v>-200.40036081985195</v>
      </c>
      <c r="J110" s="25">
        <f t="shared" si="13"/>
        <v>0.87655026224926014</v>
      </c>
      <c r="M110">
        <f>VLOOKUP(A110,BCB_selic!I:J,2,0)</f>
        <v>9.25</v>
      </c>
      <c r="O110">
        <f t="shared" si="7"/>
        <v>25.60350353799274</v>
      </c>
      <c r="S110">
        <f t="shared" si="8"/>
        <v>1.0150808868819823</v>
      </c>
    </row>
    <row r="111" spans="1:19" x14ac:dyDescent="0.25">
      <c r="A111" s="9">
        <v>44593</v>
      </c>
      <c r="B111">
        <f>VLOOKUP(A111,BCB_TX_JUROS!A:L,12,0)</f>
        <v>247.2642834364006</v>
      </c>
      <c r="C111">
        <f>VLOOKUP(A111,BCB_TX_JUROS!N:V,9,0)</f>
        <v>8.1387805048522175</v>
      </c>
      <c r="E111">
        <f>VLOOKUP(A111,BCB_ipca_acum12m!A:B,2,0)</f>
        <v>10.54</v>
      </c>
      <c r="F111">
        <f t="shared" si="9"/>
        <v>236.72428343640061</v>
      </c>
      <c r="G111">
        <f t="shared" si="10"/>
        <v>-2.4012194951477817</v>
      </c>
      <c r="H111" s="25">
        <f t="shared" si="11"/>
        <v>0.1028571428571432</v>
      </c>
      <c r="I111" s="25">
        <f t="shared" si="12"/>
        <v>2301.4860889649981</v>
      </c>
      <c r="J111" s="25">
        <f t="shared" si="13"/>
        <v>-23.345189536158909</v>
      </c>
      <c r="M111">
        <f>VLOOKUP(A111,BCB_selic!I:J,2,0)</f>
        <v>10.642857142857142</v>
      </c>
      <c r="O111">
        <f t="shared" si="7"/>
        <v>23.232885692010797</v>
      </c>
      <c r="S111">
        <f t="shared" si="8"/>
        <v>0.76471763132839632</v>
      </c>
    </row>
    <row r="112" spans="1:19" x14ac:dyDescent="0.25">
      <c r="A112" s="9">
        <v>44621</v>
      </c>
      <c r="B112">
        <f>VLOOKUP(A112,BCB_TX_JUROS!A:L,12,0)</f>
        <v>243.38321367168126</v>
      </c>
      <c r="C112">
        <f>VLOOKUP(A112,BCB_TX_JUROS!N:V,9,0)</f>
        <v>9.3952264033491257</v>
      </c>
      <c r="E112">
        <f>VLOOKUP(A112,BCB_ipca_acum12m!A:B,2,0)</f>
        <v>11.3</v>
      </c>
      <c r="F112">
        <f t="shared" si="9"/>
        <v>232.08321367168125</v>
      </c>
      <c r="G112">
        <f t="shared" si="10"/>
        <v>-1.904773596650875</v>
      </c>
      <c r="H112" s="25">
        <f t="shared" si="11"/>
        <v>-6.6129032258064768E-2</v>
      </c>
      <c r="I112" s="25">
        <f t="shared" si="12"/>
        <v>-3509.5510360107764</v>
      </c>
      <c r="J112" s="25">
        <f t="shared" si="13"/>
        <v>28.80389341276922</v>
      </c>
      <c r="M112">
        <f>VLOOKUP(A112,BCB_selic!I:J,2,0)</f>
        <v>11.233870967741936</v>
      </c>
      <c r="O112">
        <f t="shared" si="7"/>
        <v>21.665124547945783</v>
      </c>
      <c r="S112">
        <f t="shared" si="8"/>
        <v>0.83633027567501184</v>
      </c>
    </row>
    <row r="113" spans="1:19" x14ac:dyDescent="0.25">
      <c r="A113" s="9">
        <v>44652</v>
      </c>
      <c r="B113">
        <f>VLOOKUP(A113,BCB_TX_JUROS!A:L,12,0)</f>
        <v>249.39081076577617</v>
      </c>
      <c r="C113">
        <f>VLOOKUP(A113,BCB_TX_JUROS!N:V,9,0)</f>
        <v>9.4135367204362144</v>
      </c>
      <c r="E113">
        <f>VLOOKUP(A113,BCB_ipca_acum12m!A:B,2,0)</f>
        <v>12.13</v>
      </c>
      <c r="F113">
        <f t="shared" si="9"/>
        <v>237.26081076577617</v>
      </c>
      <c r="G113">
        <f t="shared" si="10"/>
        <v>-2.7164632795637864</v>
      </c>
      <c r="H113" s="25">
        <f t="shared" si="11"/>
        <v>-0.38000000000000078</v>
      </c>
      <c r="I113" s="25">
        <f t="shared" si="12"/>
        <v>-624.37055464677815</v>
      </c>
      <c r="J113" s="25">
        <f t="shared" si="13"/>
        <v>7.1485875777994234</v>
      </c>
      <c r="M113">
        <f>VLOOKUP(A113,BCB_selic!I:J,2,0)</f>
        <v>11.75</v>
      </c>
      <c r="O113">
        <f t="shared" si="7"/>
        <v>21.224749852406482</v>
      </c>
      <c r="S113">
        <f t="shared" si="8"/>
        <v>0.80115206131372041</v>
      </c>
    </row>
    <row r="114" spans="1:19" x14ac:dyDescent="0.25">
      <c r="A114" s="9">
        <v>44682</v>
      </c>
      <c r="B114">
        <f>VLOOKUP(A114,BCB_TX_JUROS!A:L,12,0)</f>
        <v>250.10275511379785</v>
      </c>
      <c r="C114">
        <f>VLOOKUP(A114,BCB_TX_JUROS!N:V,9,0)</f>
        <v>10.101756517243064</v>
      </c>
      <c r="E114">
        <f>VLOOKUP(A114,BCB_ipca_acum12m!A:B,2,0)</f>
        <v>11.73</v>
      </c>
      <c r="F114">
        <f t="shared" si="9"/>
        <v>238.37275511379787</v>
      </c>
      <c r="G114">
        <f t="shared" si="10"/>
        <v>-1.6282434827569361</v>
      </c>
      <c r="H114" s="25">
        <f t="shared" si="11"/>
        <v>0.89096774193548356</v>
      </c>
      <c r="I114" s="25">
        <f t="shared" si="12"/>
        <v>267.54364259694916</v>
      </c>
      <c r="J114" s="25">
        <f t="shared" si="13"/>
        <v>-1.8274999263383431</v>
      </c>
      <c r="M114">
        <f>VLOOKUP(A114,BCB_selic!I:J,2,0)</f>
        <v>12.620967741935484</v>
      </c>
      <c r="O114">
        <f t="shared" si="7"/>
        <v>19.816448328505388</v>
      </c>
      <c r="S114">
        <f t="shared" si="8"/>
        <v>0.800394765583476</v>
      </c>
    </row>
    <row r="115" spans="1:19" x14ac:dyDescent="0.25">
      <c r="A115" s="9">
        <v>44713</v>
      </c>
      <c r="B115">
        <f>VLOOKUP(A115,BCB_TX_JUROS!A:L,12,0)</f>
        <v>251.96044420814582</v>
      </c>
      <c r="C115">
        <f>VLOOKUP(A115,BCB_TX_JUROS!N:V,9,0)</f>
        <v>10.077471061013725</v>
      </c>
      <c r="E115">
        <f>VLOOKUP(A115,BCB_ipca_acum12m!A:B,2,0)</f>
        <v>11.89</v>
      </c>
      <c r="F115">
        <f t="shared" si="9"/>
        <v>240.07044420814583</v>
      </c>
      <c r="G115">
        <f t="shared" si="10"/>
        <v>-1.8125289389862758</v>
      </c>
      <c r="H115" s="25">
        <f t="shared" si="11"/>
        <v>1.1099999999999994</v>
      </c>
      <c r="I115" s="25">
        <f t="shared" si="12"/>
        <v>216.27967946679814</v>
      </c>
      <c r="J115" s="25">
        <f t="shared" si="13"/>
        <v>-1.6329089540416908</v>
      </c>
      <c r="M115">
        <f>VLOOKUP(A115,BCB_selic!I:J,2,0)</f>
        <v>13</v>
      </c>
      <c r="O115">
        <f t="shared" si="7"/>
        <v>19.381572631395834</v>
      </c>
      <c r="S115">
        <f t="shared" si="8"/>
        <v>0.77519008161644032</v>
      </c>
    </row>
    <row r="116" spans="1:19" x14ac:dyDescent="0.25">
      <c r="A116" s="9">
        <v>44743</v>
      </c>
      <c r="B116">
        <f>VLOOKUP(A116,BCB_TX_JUROS!A:L,12,0)</f>
        <v>267.06019604980804</v>
      </c>
      <c r="C116">
        <f>VLOOKUP(A116,BCB_TX_JUROS!N:V,9,0)</f>
        <v>10.661214564882863</v>
      </c>
      <c r="E116">
        <f>VLOOKUP(A116,BCB_ipca_acum12m!A:B,2,0)</f>
        <v>10.07</v>
      </c>
      <c r="F116">
        <f t="shared" si="9"/>
        <v>256.99019604980805</v>
      </c>
      <c r="G116">
        <f t="shared" si="10"/>
        <v>0.59121456488286306</v>
      </c>
      <c r="H116" s="25">
        <f t="shared" si="11"/>
        <v>3.1799999999999997</v>
      </c>
      <c r="I116" s="25">
        <f t="shared" si="12"/>
        <v>80.814527059688075</v>
      </c>
      <c r="J116" s="25">
        <f t="shared" si="13"/>
        <v>0.18591652983737833</v>
      </c>
      <c r="M116">
        <f>VLOOKUP(A116,BCB_selic!I:J,2,0)</f>
        <v>13.25</v>
      </c>
      <c r="O116">
        <f t="shared" si="7"/>
        <v>20.155486494325135</v>
      </c>
      <c r="S116">
        <f t="shared" si="8"/>
        <v>0.80461996716097084</v>
      </c>
    </row>
    <row r="117" spans="1:19" x14ac:dyDescent="0.25">
      <c r="A117" s="9">
        <v>44774</v>
      </c>
      <c r="B117">
        <f>VLOOKUP(A117,BCB_TX_JUROS!A:L,12,0)</f>
        <v>273.23990850250283</v>
      </c>
      <c r="C117">
        <f>VLOOKUP(A117,BCB_TX_JUROS!N:V,9,0)</f>
        <v>10.476134618432722</v>
      </c>
      <c r="E117">
        <f>VLOOKUP(A117,BCB_ipca_acum12m!A:B,2,0)</f>
        <v>8.73</v>
      </c>
      <c r="F117">
        <f t="shared" si="9"/>
        <v>264.50990850250281</v>
      </c>
      <c r="G117">
        <f t="shared" si="10"/>
        <v>1.7461346184327216</v>
      </c>
      <c r="H117" s="25">
        <f t="shared" si="11"/>
        <v>4.9716129032258056</v>
      </c>
      <c r="I117" s="25">
        <f t="shared" si="12"/>
        <v>53.204043366062734</v>
      </c>
      <c r="J117" s="25">
        <f t="shared" si="13"/>
        <v>0.35122095231906553</v>
      </c>
      <c r="M117">
        <f>VLOOKUP(A117,BCB_selic!I:J,2,0)</f>
        <v>13.701612903225806</v>
      </c>
      <c r="O117">
        <f t="shared" si="7"/>
        <v>19.942171073755357</v>
      </c>
      <c r="S117">
        <f t="shared" si="8"/>
        <v>0.76459134354659064</v>
      </c>
    </row>
    <row r="118" spans="1:19" x14ac:dyDescent="0.25">
      <c r="A118" s="9">
        <v>44805</v>
      </c>
      <c r="B118">
        <f>VLOOKUP(A118,BCB_TX_JUROS!A:L,12,0)</f>
        <v>271.96479560511688</v>
      </c>
      <c r="C118">
        <f>VLOOKUP(A118,BCB_TX_JUROS!N:V,9,0)</f>
        <v>10.131016199051817</v>
      </c>
      <c r="E118">
        <f>VLOOKUP(A118,BCB_ipca_acum12m!A:B,2,0)</f>
        <v>7.17</v>
      </c>
      <c r="F118">
        <f t="shared" si="9"/>
        <v>264.79479560511686</v>
      </c>
      <c r="G118">
        <f t="shared" si="10"/>
        <v>2.9610161990518176</v>
      </c>
      <c r="H118" s="25">
        <f t="shared" si="11"/>
        <v>6.58</v>
      </c>
      <c r="I118" s="25">
        <f t="shared" si="12"/>
        <v>40.242370152753324</v>
      </c>
      <c r="J118" s="25">
        <f t="shared" si="13"/>
        <v>0.45000246186197834</v>
      </c>
      <c r="M118">
        <f>VLOOKUP(A118,BCB_selic!I:J,2,0)</f>
        <v>13.75</v>
      </c>
      <c r="O118">
        <f t="shared" si="7"/>
        <v>19.779257862190317</v>
      </c>
      <c r="S118">
        <f t="shared" si="8"/>
        <v>0.7368011781128595</v>
      </c>
    </row>
    <row r="119" spans="1:19" x14ac:dyDescent="0.25">
      <c r="A119" s="9">
        <v>44835</v>
      </c>
      <c r="B119">
        <f>VLOOKUP(A119,BCB_TX_JUROS!A:L,12,0)</f>
        <v>279.09867749312912</v>
      </c>
      <c r="C119">
        <f>VLOOKUP(A119,BCB_TX_JUROS!N:V,9,0)</f>
        <v>9.9623193839929076</v>
      </c>
      <c r="E119">
        <f>VLOOKUP(A119,BCB_ipca_acum12m!A:B,2,0)</f>
        <v>6.47</v>
      </c>
      <c r="F119">
        <f t="shared" si="9"/>
        <v>272.62867749312909</v>
      </c>
      <c r="G119">
        <f t="shared" si="10"/>
        <v>3.4923193839929079</v>
      </c>
      <c r="H119" s="25">
        <f t="shared" si="11"/>
        <v>7.28</v>
      </c>
      <c r="I119" s="25">
        <f t="shared" si="12"/>
        <v>37.448994161144107</v>
      </c>
      <c r="J119" s="25">
        <f t="shared" si="13"/>
        <v>0.4797142010979269</v>
      </c>
      <c r="M119">
        <f>VLOOKUP(A119,BCB_selic!I:J,2,0)</f>
        <v>13.75</v>
      </c>
      <c r="O119">
        <f t="shared" si="7"/>
        <v>20.298085635863934</v>
      </c>
      <c r="S119">
        <f t="shared" si="8"/>
        <v>0.72453231883584779</v>
      </c>
    </row>
    <row r="120" spans="1:19" x14ac:dyDescent="0.25">
      <c r="A120" s="9">
        <v>44866</v>
      </c>
      <c r="B120">
        <f>VLOOKUP(A120,BCB_TX_JUROS!A:L,12,0)</f>
        <v>273.86003485310061</v>
      </c>
      <c r="C120">
        <f>VLOOKUP(A120,BCB_TX_JUROS!N:V,9,0)</f>
        <v>10.25159034615197</v>
      </c>
      <c r="E120">
        <f>VLOOKUP(A120,BCB_ipca_acum12m!A:B,2,0)</f>
        <v>5.9</v>
      </c>
      <c r="F120">
        <f t="shared" si="9"/>
        <v>267.96003485310064</v>
      </c>
      <c r="G120">
        <f t="shared" si="10"/>
        <v>4.3515903461519692</v>
      </c>
      <c r="H120" s="25">
        <f t="shared" si="11"/>
        <v>7.85</v>
      </c>
      <c r="I120" s="25">
        <f t="shared" si="12"/>
        <v>34.13503628701919</v>
      </c>
      <c r="J120" s="25">
        <f t="shared" si="13"/>
        <v>0.55434271925502798</v>
      </c>
      <c r="M120">
        <f>VLOOKUP(A120,BCB_selic!I:J,2,0)</f>
        <v>13.75</v>
      </c>
      <c r="O120">
        <f t="shared" si="7"/>
        <v>19.917093443861862</v>
      </c>
      <c r="S120">
        <f t="shared" si="8"/>
        <v>0.74557020699287047</v>
      </c>
    </row>
    <row r="121" spans="1:19" x14ac:dyDescent="0.25">
      <c r="A121" s="9">
        <v>44896</v>
      </c>
      <c r="B121">
        <f>VLOOKUP(A121,BCB_TX_JUROS!A:L,12,0)</f>
        <v>282.37639634166476</v>
      </c>
      <c r="C121">
        <f>VLOOKUP(A121,BCB_TX_JUROS!N:V,9,0)</f>
        <v>10.479820604201441</v>
      </c>
      <c r="E121">
        <f>VLOOKUP(A121,BCB_ipca_acum12m!A:B,2,0)</f>
        <v>5.79</v>
      </c>
      <c r="F121">
        <f t="shared" si="9"/>
        <v>276.58639634166474</v>
      </c>
      <c r="G121">
        <f t="shared" si="10"/>
        <v>4.689820604201441</v>
      </c>
      <c r="H121" s="25">
        <f t="shared" si="11"/>
        <v>7.96</v>
      </c>
      <c r="I121" s="25">
        <f t="shared" si="12"/>
        <v>34.747034716289541</v>
      </c>
      <c r="J121" s="25">
        <f t="shared" si="13"/>
        <v>0.58917344273887451</v>
      </c>
      <c r="M121">
        <f>VLOOKUP(A121,BCB_selic!I:J,2,0)</f>
        <v>13.75</v>
      </c>
      <c r="O121">
        <f t="shared" si="7"/>
        <v>20.536465188484708</v>
      </c>
      <c r="S121">
        <f t="shared" si="8"/>
        <v>0.76216877121465021</v>
      </c>
    </row>
    <row r="122" spans="1:19" x14ac:dyDescent="0.25">
      <c r="A122" s="9">
        <v>44927</v>
      </c>
      <c r="B122">
        <f>VLOOKUP(A122,BCB_TX_JUROS!A:L,12,0)</f>
        <v>281.49600547962666</v>
      </c>
      <c r="C122">
        <f>VLOOKUP(A122,BCB_TX_JUROS!N:V,9,0)</f>
        <v>10.751165511149754</v>
      </c>
      <c r="E122">
        <f>VLOOKUP(A122,BCB_ipca_acum12m!A:B,2,0)</f>
        <v>5.77</v>
      </c>
      <c r="F122">
        <f t="shared" si="9"/>
        <v>275.72600547962668</v>
      </c>
      <c r="G122">
        <f t="shared" si="10"/>
        <v>4.9811655111497544</v>
      </c>
      <c r="H122" s="25">
        <f t="shared" si="11"/>
        <v>7.98</v>
      </c>
      <c r="I122" s="25">
        <f t="shared" si="12"/>
        <v>34.552131012484544</v>
      </c>
      <c r="J122" s="25">
        <f t="shared" si="13"/>
        <v>0.62420620440473107</v>
      </c>
      <c r="M122">
        <f>VLOOKUP(A122,BCB_selic!I:J,2,0)</f>
        <v>13.75</v>
      </c>
      <c r="O122">
        <f t="shared" si="7"/>
        <v>20.472436762154665</v>
      </c>
      <c r="S122">
        <f t="shared" si="8"/>
        <v>0.78190294626543666</v>
      </c>
    </row>
    <row r="123" spans="1:19" x14ac:dyDescent="0.25">
      <c r="A123" s="9">
        <v>44958</v>
      </c>
      <c r="B123">
        <f>VLOOKUP(A123,BCB_TX_JUROS!A:L,12,0)</f>
        <v>288.36330308340888</v>
      </c>
      <c r="C123">
        <f>VLOOKUP(A123,BCB_TX_JUROS!N:V,9,0)</f>
        <v>9.4430821391136774</v>
      </c>
      <c r="E123">
        <f>VLOOKUP(A123,BCB_ipca_acum12m!A:B,2,0)</f>
        <v>5.6</v>
      </c>
      <c r="F123">
        <f t="shared" si="9"/>
        <v>282.76330308340886</v>
      </c>
      <c r="G123">
        <f t="shared" si="10"/>
        <v>3.8430821391136778</v>
      </c>
      <c r="H123" s="25">
        <f t="shared" si="11"/>
        <v>8.15</v>
      </c>
      <c r="I123" s="25">
        <f t="shared" si="12"/>
        <v>34.694883813915197</v>
      </c>
      <c r="J123" s="25">
        <f t="shared" si="13"/>
        <v>0.4715438207501445</v>
      </c>
      <c r="M123">
        <f>VLOOKUP(A123,BCB_selic!I:J,2,0)</f>
        <v>13.75</v>
      </c>
      <c r="O123">
        <f t="shared" si="7"/>
        <v>20.971876587884282</v>
      </c>
      <c r="S123">
        <f t="shared" si="8"/>
        <v>0.68676961011735838</v>
      </c>
    </row>
    <row r="124" spans="1:19" x14ac:dyDescent="0.25">
      <c r="A124" s="9">
        <v>44986</v>
      </c>
      <c r="B124">
        <f>VLOOKUP(A124,BCB_TX_JUROS!A:L,12,0)</f>
        <v>287.19594743690777</v>
      </c>
      <c r="C124">
        <f>VLOOKUP(A124,BCB_TX_JUROS!N:V,9,0)</f>
        <v>10.584073009224131</v>
      </c>
      <c r="E124">
        <f>VLOOKUP(A124,BCB_ipca_acum12m!A:B,2,0)</f>
        <v>4.6500000000000004</v>
      </c>
      <c r="F124">
        <f t="shared" si="9"/>
        <v>282.5459474369078</v>
      </c>
      <c r="G124">
        <f t="shared" si="10"/>
        <v>5.9340730092241305</v>
      </c>
      <c r="H124" s="25">
        <f t="shared" si="11"/>
        <v>9.1</v>
      </c>
      <c r="I124" s="25">
        <f t="shared" si="12"/>
        <v>31.04900521284701</v>
      </c>
      <c r="J124" s="25">
        <f t="shared" si="13"/>
        <v>0.65209593507957475</v>
      </c>
      <c r="M124">
        <f>VLOOKUP(A124,BCB_selic!I:J,2,0)</f>
        <v>13.75</v>
      </c>
      <c r="O124">
        <f t="shared" si="7"/>
        <v>20.886977995411474</v>
      </c>
      <c r="S124">
        <f t="shared" si="8"/>
        <v>0.76975076430720957</v>
      </c>
    </row>
    <row r="125" spans="1:19" x14ac:dyDescent="0.25">
      <c r="A125" s="9">
        <v>45017</v>
      </c>
      <c r="B125">
        <f>VLOOKUP(A125,BCB_TX_JUROS!A:L,12,0)</f>
        <v>297.9157751383209</v>
      </c>
      <c r="C125">
        <f>VLOOKUP(A125,BCB_TX_JUROS!N:V,9,0)</f>
        <v>10.247879434673328</v>
      </c>
      <c r="E125">
        <f>VLOOKUP(A125,BCB_ipca_acum12m!A:B,2,0)</f>
        <v>4.18</v>
      </c>
      <c r="F125">
        <f t="shared" si="9"/>
        <v>293.73577513832089</v>
      </c>
      <c r="G125">
        <f t="shared" si="10"/>
        <v>6.067879434673328</v>
      </c>
      <c r="H125" s="25">
        <f t="shared" si="11"/>
        <v>9.57</v>
      </c>
      <c r="I125" s="25">
        <f t="shared" si="12"/>
        <v>30.693393431381491</v>
      </c>
      <c r="J125" s="25">
        <f t="shared" si="13"/>
        <v>0.63405218753117321</v>
      </c>
      <c r="M125">
        <f>VLOOKUP(A125,BCB_selic!I:J,2,0)</f>
        <v>13.75</v>
      </c>
      <c r="O125">
        <f t="shared" si="7"/>
        <v>21.666601828241518</v>
      </c>
      <c r="S125">
        <f t="shared" si="8"/>
        <v>0.74530032252169653</v>
      </c>
    </row>
    <row r="126" spans="1:19" x14ac:dyDescent="0.25">
      <c r="A126" s="9">
        <v>45047</v>
      </c>
      <c r="B126">
        <f>VLOOKUP(A126,BCB_TX_JUROS!A:L,12,0)</f>
        <v>296.69131377984439</v>
      </c>
      <c r="C126">
        <f>VLOOKUP(A126,BCB_TX_JUROS!N:V,9,0)</f>
        <v>11.250376913726516</v>
      </c>
      <c r="E126">
        <f>VLOOKUP(A126,BCB_ipca_acum12m!A:B,2,0)</f>
        <v>3.94</v>
      </c>
      <c r="F126">
        <f t="shared" si="9"/>
        <v>292.75131377984439</v>
      </c>
      <c r="G126">
        <f t="shared" si="10"/>
        <v>7.3103769137265164</v>
      </c>
      <c r="H126" s="25">
        <f t="shared" si="11"/>
        <v>9.81</v>
      </c>
      <c r="I126" s="25">
        <f t="shared" si="12"/>
        <v>29.842131883776187</v>
      </c>
      <c r="J126" s="25">
        <f t="shared" si="13"/>
        <v>0.74519642341758574</v>
      </c>
      <c r="M126">
        <f>VLOOKUP(A126,BCB_selic!I:J,2,0)</f>
        <v>13.75</v>
      </c>
      <c r="O126">
        <f t="shared" si="7"/>
        <v>21.577550093079591</v>
      </c>
      <c r="S126">
        <f t="shared" si="8"/>
        <v>0.81820923008920121</v>
      </c>
    </row>
    <row r="127" spans="1:19" x14ac:dyDescent="0.25">
      <c r="A127" s="9">
        <v>45078</v>
      </c>
      <c r="B127">
        <f>VLOOKUP(A127,BCB_TX_JUROS!A:L,12,0)</f>
        <v>288.60161331540826</v>
      </c>
      <c r="C127">
        <f>VLOOKUP(A127,BCB_TX_JUROS!N:V,9,0)</f>
        <v>11.065720710829165</v>
      </c>
      <c r="E127">
        <f>VLOOKUP(A127,BCB_ipca_acum12m!A:B,2,0)</f>
        <v>3.16</v>
      </c>
      <c r="F127">
        <f t="shared" si="9"/>
        <v>285.44161331540823</v>
      </c>
      <c r="G127">
        <f t="shared" si="10"/>
        <v>7.9057207108291649</v>
      </c>
      <c r="H127" s="25">
        <f t="shared" si="11"/>
        <v>10.59</v>
      </c>
      <c r="I127" s="25">
        <f t="shared" si="12"/>
        <v>26.953882277186803</v>
      </c>
      <c r="J127" s="25">
        <f t="shared" si="13"/>
        <v>0.7465269793039816</v>
      </c>
      <c r="M127">
        <f>VLOOKUP(A127,BCB_selic!I:J,2,0)</f>
        <v>13.75</v>
      </c>
      <c r="O127">
        <f t="shared" si="7"/>
        <v>20.9892082411206</v>
      </c>
      <c r="S127">
        <f t="shared" si="8"/>
        <v>0.80477968806030287</v>
      </c>
    </row>
    <row r="128" spans="1:19" x14ac:dyDescent="0.25">
      <c r="A128" s="9">
        <v>45108</v>
      </c>
      <c r="B128">
        <f>VLOOKUP(A128,BCB_TX_JUROS!A:L,12,0)</f>
        <v>289.63877497896829</v>
      </c>
      <c r="C128">
        <f>VLOOKUP(A128,BCB_TX_JUROS!N:V,9,0)</f>
        <v>11.427842677456754</v>
      </c>
      <c r="E128">
        <f>VLOOKUP(A128,BCB_ipca_acum12m!A:B,2,0)</f>
        <v>3.99</v>
      </c>
      <c r="F128">
        <f t="shared" si="9"/>
        <v>285.64877497896828</v>
      </c>
      <c r="G128">
        <f t="shared" si="10"/>
        <v>7.4378426774567536</v>
      </c>
      <c r="H128" s="25">
        <f t="shared" si="11"/>
        <v>9.76</v>
      </c>
      <c r="I128" s="25">
        <f t="shared" si="12"/>
        <v>29.267292518336916</v>
      </c>
      <c r="J128" s="25">
        <f t="shared" si="13"/>
        <v>0.76207404482138874</v>
      </c>
      <c r="M128">
        <f>VLOOKUP(A128,BCB_selic!I:J,2,0)</f>
        <v>13.75</v>
      </c>
      <c r="O128">
        <f t="shared" si="7"/>
        <v>21.064638180288604</v>
      </c>
      <c r="S128">
        <f t="shared" si="8"/>
        <v>0.83111583108776388</v>
      </c>
    </row>
    <row r="129" spans="1:19" x14ac:dyDescent="0.25">
      <c r="A129" s="9">
        <v>45139</v>
      </c>
      <c r="B129">
        <f>VLOOKUP(A129,BCB_TX_JUROS!A:L,12,0)</f>
        <v>287.69092531107833</v>
      </c>
      <c r="C129">
        <f>VLOOKUP(A129,BCB_TX_JUROS!N:V,9,0)</f>
        <v>10.873949997006406</v>
      </c>
      <c r="E129">
        <f>VLOOKUP(A129,BCB_ipca_acum12m!A:B,2,0)</f>
        <v>4.6100000000000003</v>
      </c>
      <c r="F129">
        <f t="shared" si="9"/>
        <v>283.08092531107832</v>
      </c>
      <c r="G129">
        <f t="shared" si="10"/>
        <v>6.2639499970064056</v>
      </c>
      <c r="H129" s="25">
        <f t="shared" si="11"/>
        <v>8.6722580645161287</v>
      </c>
      <c r="I129" s="25">
        <f t="shared" si="12"/>
        <v>32.64212425473675</v>
      </c>
      <c r="J129" s="25">
        <f t="shared" si="13"/>
        <v>0.72229746282993079</v>
      </c>
      <c r="M129">
        <f>VLOOKUP(A129,BCB_selic!I:J,2,0)</f>
        <v>13.28225806451613</v>
      </c>
      <c r="O129">
        <f t="shared" si="7"/>
        <v>21.659790369504378</v>
      </c>
      <c r="S129">
        <f t="shared" si="8"/>
        <v>0.81868233128645673</v>
      </c>
    </row>
    <row r="130" spans="1:19" x14ac:dyDescent="0.25">
      <c r="A130" s="9">
        <v>45170</v>
      </c>
      <c r="B130">
        <f>VLOOKUP(A130,BCB_TX_JUROS!A:L,12,0)</f>
        <v>285.082950479006</v>
      </c>
      <c r="C130">
        <f>VLOOKUP(A130,BCB_TX_JUROS!N:V,9,0)</f>
        <v>10.224197654580852</v>
      </c>
      <c r="E130">
        <f>VLOOKUP(A130,BCB_ipca_acum12m!A:B,2,0)</f>
        <v>5.19</v>
      </c>
      <c r="F130">
        <f t="shared" si="9"/>
        <v>279.892950479006</v>
      </c>
      <c r="G130">
        <f t="shared" si="10"/>
        <v>5.0341976545808516</v>
      </c>
      <c r="H130" s="25">
        <f t="shared" si="11"/>
        <v>7.8933333333333335</v>
      </c>
      <c r="I130" s="25">
        <f t="shared" si="12"/>
        <v>35.45941095595515</v>
      </c>
      <c r="J130" s="25">
        <f t="shared" si="13"/>
        <v>0.63777841907696597</v>
      </c>
      <c r="M130">
        <f>VLOOKUP(A130,BCB_selic!I:J,2,0)</f>
        <v>13.083333333333334</v>
      </c>
      <c r="O130">
        <f t="shared" ref="O130:O157" si="14">B130/M130</f>
        <v>21.789779654446317</v>
      </c>
      <c r="S130">
        <f t="shared" ref="S130:S157" si="15">C130/M130</f>
        <v>0.78146733665586121</v>
      </c>
    </row>
    <row r="131" spans="1:19" x14ac:dyDescent="0.25">
      <c r="A131" s="9">
        <v>45200</v>
      </c>
      <c r="B131">
        <f>VLOOKUP(A131,BCB_TX_JUROS!A:L,12,0)</f>
        <v>281.95494071483409</v>
      </c>
      <c r="C131">
        <f>VLOOKUP(A131,BCB_TX_JUROS!N:V,9,0)</f>
        <v>9.9649531797929214</v>
      </c>
      <c r="E131">
        <f>VLOOKUP(A131,BCB_ipca_acum12m!A:B,2,0)</f>
        <v>4.82</v>
      </c>
      <c r="F131">
        <f t="shared" ref="F131:F157" si="16">B131-E131</f>
        <v>277.1349407148341</v>
      </c>
      <c r="G131">
        <f t="shared" ref="G131:G157" si="17">C131-E131</f>
        <v>5.1449531797929211</v>
      </c>
      <c r="H131" s="25">
        <f t="shared" ref="H131:H157" si="18">M131-E131</f>
        <v>7.93</v>
      </c>
      <c r="I131" s="25">
        <f t="shared" ref="I131:I157" si="19">F131/H131</f>
        <v>34.947659610950076</v>
      </c>
      <c r="J131" s="25">
        <f t="shared" ref="J131:J157" si="20">G131/H131</f>
        <v>0.64879611346695099</v>
      </c>
      <c r="M131">
        <f>VLOOKUP(A131,BCB_selic!I:J,2,0)</f>
        <v>12.75</v>
      </c>
      <c r="O131">
        <f t="shared" si="14"/>
        <v>22.11411299724189</v>
      </c>
      <c r="S131">
        <f t="shared" si="15"/>
        <v>0.78156495527787617</v>
      </c>
    </row>
    <row r="132" spans="1:19" x14ac:dyDescent="0.25">
      <c r="A132" s="9">
        <v>45231</v>
      </c>
      <c r="B132">
        <f>VLOOKUP(A132,BCB_TX_JUROS!A:L,12,0)</f>
        <v>275.7745933928216</v>
      </c>
      <c r="C132">
        <f>VLOOKUP(A132,BCB_TX_JUROS!N:V,9,0)</f>
        <v>10.009160027313978</v>
      </c>
      <c r="E132">
        <f>VLOOKUP(A132,BCB_ipca_acum12m!A:B,2,0)</f>
        <v>4.68</v>
      </c>
      <c r="F132">
        <f t="shared" si="16"/>
        <v>271.09459339282159</v>
      </c>
      <c r="G132">
        <f t="shared" si="17"/>
        <v>5.3291600273139785</v>
      </c>
      <c r="H132" s="25">
        <f t="shared" si="18"/>
        <v>7.5866666666666678</v>
      </c>
      <c r="I132" s="25">
        <f t="shared" si="19"/>
        <v>35.733030763552932</v>
      </c>
      <c r="J132" s="25">
        <f t="shared" si="20"/>
        <v>0.70243761344208844</v>
      </c>
      <c r="M132">
        <f>VLOOKUP(A132,BCB_selic!I:J,2,0)</f>
        <v>12.266666666666667</v>
      </c>
      <c r="O132">
        <f t="shared" si="14"/>
        <v>22.481624461371325</v>
      </c>
      <c r="S132">
        <f t="shared" si="15"/>
        <v>0.81596413266146561</v>
      </c>
    </row>
    <row r="133" spans="1:19" x14ac:dyDescent="0.25">
      <c r="A133" s="9">
        <v>45261</v>
      </c>
      <c r="B133">
        <f>VLOOKUP(A133,BCB_TX_JUROS!A:L,12,0)</f>
        <v>279.55868386132136</v>
      </c>
      <c r="C133">
        <f>VLOOKUP(A133,BCB_TX_JUROS!N:V,9,0)</f>
        <v>9.1939901455586313</v>
      </c>
      <c r="E133">
        <f>VLOOKUP(A133,BCB_ipca_acum12m!A:B,2,0)</f>
        <v>4.62</v>
      </c>
      <c r="F133">
        <f t="shared" si="16"/>
        <v>274.93868386132135</v>
      </c>
      <c r="G133">
        <f t="shared" si="17"/>
        <v>4.5739901455586311</v>
      </c>
      <c r="H133" s="25">
        <f t="shared" si="18"/>
        <v>7.339677419354838</v>
      </c>
      <c r="I133" s="25">
        <f t="shared" si="19"/>
        <v>37.459232627350076</v>
      </c>
      <c r="J133" s="25">
        <f t="shared" si="20"/>
        <v>0.62318680838710316</v>
      </c>
      <c r="M133">
        <f>VLOOKUP(A133,BCB_selic!I:J,2,0)</f>
        <v>11.959677419354838</v>
      </c>
      <c r="O133">
        <f t="shared" si="14"/>
        <v>23.375102359274344</v>
      </c>
      <c r="S133">
        <f t="shared" si="15"/>
        <v>0.76874900745062058</v>
      </c>
    </row>
    <row r="134" spans="1:19" x14ac:dyDescent="0.25">
      <c r="A134" s="9">
        <v>45292</v>
      </c>
      <c r="B134">
        <f>VLOOKUP(A134,BCB_TX_JUROS!A:L,12,0)</f>
        <v>261.86392339971377</v>
      </c>
      <c r="C134">
        <f>VLOOKUP(A134,BCB_TX_JUROS!N:V,9,0)</f>
        <v>9.2664776042617927</v>
      </c>
      <c r="E134">
        <f>VLOOKUP(A134,BCB_ipca_acum12m!A:B,2,0)</f>
        <v>4.51</v>
      </c>
      <c r="F134">
        <f t="shared" si="16"/>
        <v>257.35392339971378</v>
      </c>
      <c r="G134">
        <f t="shared" si="17"/>
        <v>4.7564776042617929</v>
      </c>
      <c r="H134" s="25">
        <f t="shared" si="18"/>
        <v>7.24</v>
      </c>
      <c r="I134" s="25">
        <f t="shared" si="19"/>
        <v>35.546122016535051</v>
      </c>
      <c r="J134" s="25">
        <f t="shared" si="20"/>
        <v>0.65697204478754045</v>
      </c>
      <c r="M134">
        <f>VLOOKUP(A134,BCB_selic!I:J,2,0)</f>
        <v>11.75</v>
      </c>
      <c r="O134">
        <f t="shared" si="14"/>
        <v>22.28629135316713</v>
      </c>
      <c r="S134">
        <f t="shared" si="15"/>
        <v>0.78863639185206746</v>
      </c>
    </row>
    <row r="135" spans="1:19" x14ac:dyDescent="0.25">
      <c r="A135" s="9">
        <v>45323</v>
      </c>
      <c r="B135">
        <f>VLOOKUP(A135,BCB_TX_JUROS!A:L,12,0)</f>
        <v>259.35020994088177</v>
      </c>
      <c r="C135">
        <f>VLOOKUP(A135,BCB_TX_JUROS!N:V,9,0)</f>
        <v>8.9056081483246459</v>
      </c>
      <c r="E135">
        <f>VLOOKUP(A135,BCB_ipca_acum12m!A:B,2,0)</f>
        <v>4.5</v>
      </c>
      <c r="F135">
        <f t="shared" si="16"/>
        <v>254.85020994088177</v>
      </c>
      <c r="G135">
        <f t="shared" si="17"/>
        <v>4.4056081483246459</v>
      </c>
      <c r="H135" s="25">
        <f t="shared" si="18"/>
        <v>6.75</v>
      </c>
      <c r="I135" s="25">
        <f t="shared" si="19"/>
        <v>37.75558665790841</v>
      </c>
      <c r="J135" s="25">
        <f t="shared" si="20"/>
        <v>0.65268268864068824</v>
      </c>
      <c r="M135">
        <f>VLOOKUP(A135,BCB_selic!I:J,2,0)</f>
        <v>11.25</v>
      </c>
      <c r="O135">
        <f t="shared" si="14"/>
        <v>23.053351994745046</v>
      </c>
      <c r="S135">
        <f t="shared" si="15"/>
        <v>0.79160961318441292</v>
      </c>
    </row>
    <row r="136" spans="1:19" x14ac:dyDescent="0.25">
      <c r="A136" s="9">
        <v>45352</v>
      </c>
      <c r="B136">
        <f>VLOOKUP(A136,BCB_TX_JUROS!A:L,12,0)</f>
        <v>262.19330165959275</v>
      </c>
      <c r="C136">
        <f>VLOOKUP(A136,BCB_TX_JUROS!N:V,9,0)</f>
        <v>9.2732321355006295</v>
      </c>
      <c r="E136">
        <f>VLOOKUP(A136,BCB_ipca_acum12m!A:B,2,0)</f>
        <v>3.93</v>
      </c>
      <c r="F136">
        <f t="shared" si="16"/>
        <v>258.26330165959274</v>
      </c>
      <c r="G136">
        <f t="shared" si="17"/>
        <v>5.3432321355006298</v>
      </c>
      <c r="H136" s="25">
        <f t="shared" si="18"/>
        <v>7.1425806451612903</v>
      </c>
      <c r="I136" s="25">
        <f t="shared" si="19"/>
        <v>36.158261906997446</v>
      </c>
      <c r="J136" s="25">
        <f t="shared" si="20"/>
        <v>0.74808145696197059</v>
      </c>
      <c r="M136">
        <f>VLOOKUP(A136,BCB_selic!I:J,2,0)</f>
        <v>11.07258064516129</v>
      </c>
      <c r="O136">
        <f t="shared" si="14"/>
        <v>23.67951158469738</v>
      </c>
      <c r="S136">
        <f t="shared" si="15"/>
        <v>0.83749510910566505</v>
      </c>
    </row>
    <row r="137" spans="1:19" x14ac:dyDescent="0.25">
      <c r="A137" s="9">
        <v>45383</v>
      </c>
      <c r="B137">
        <f>VLOOKUP(A137,BCB_TX_JUROS!A:L,12,0)</f>
        <v>258.92478475652786</v>
      </c>
      <c r="C137">
        <f>VLOOKUP(A137,BCB_TX_JUROS!N:V,9,0)</f>
        <v>9.3501182249852768</v>
      </c>
      <c r="E137">
        <f>VLOOKUP(A137,BCB_ipca_acum12m!A:B,2,0)</f>
        <v>3.69</v>
      </c>
      <c r="F137">
        <f t="shared" si="16"/>
        <v>255.23478475652786</v>
      </c>
      <c r="G137">
        <f t="shared" si="17"/>
        <v>5.6601182249852773</v>
      </c>
      <c r="H137" s="25">
        <f t="shared" si="18"/>
        <v>7.0600000000000005</v>
      </c>
      <c r="I137" s="25">
        <f t="shared" si="19"/>
        <v>36.152235801207908</v>
      </c>
      <c r="J137" s="25">
        <f t="shared" si="20"/>
        <v>0.80171646246250383</v>
      </c>
      <c r="M137">
        <f>VLOOKUP(A137,BCB_selic!I:J,2,0)</f>
        <v>10.75</v>
      </c>
      <c r="O137">
        <f t="shared" si="14"/>
        <v>24.086026488979336</v>
      </c>
      <c r="S137">
        <f t="shared" si="15"/>
        <v>0.86977843953351408</v>
      </c>
    </row>
    <row r="138" spans="1:19" x14ac:dyDescent="0.25">
      <c r="A138" s="9">
        <v>45413</v>
      </c>
      <c r="B138">
        <f>VLOOKUP(A138,BCB_TX_JUROS!A:L,12,0)</f>
        <v>259.86950282231555</v>
      </c>
      <c r="C138">
        <f>VLOOKUP(A138,BCB_TX_JUROS!N:V,9,0)</f>
        <v>9.3880842929169201</v>
      </c>
      <c r="E138">
        <f>VLOOKUP(A138,BCB_ipca_acum12m!A:B,2,0)</f>
        <v>3.93</v>
      </c>
      <c r="F138">
        <f t="shared" si="16"/>
        <v>255.93950282231555</v>
      </c>
      <c r="G138">
        <f t="shared" si="17"/>
        <v>5.4580842929169204</v>
      </c>
      <c r="H138" s="25">
        <f t="shared" si="18"/>
        <v>6.6345161290322583</v>
      </c>
      <c r="I138" s="25">
        <f t="shared" si="19"/>
        <v>38.576965952699865</v>
      </c>
      <c r="J138" s="25">
        <f t="shared" si="20"/>
        <v>0.82268008499258294</v>
      </c>
      <c r="M138">
        <f>VLOOKUP(A138,BCB_selic!I:J,2,0)</f>
        <v>10.564516129032258</v>
      </c>
      <c r="O138">
        <f t="shared" si="14"/>
        <v>24.598334618295517</v>
      </c>
      <c r="S138">
        <f t="shared" si="15"/>
        <v>0.88864309337534209</v>
      </c>
    </row>
    <row r="139" spans="1:19" x14ac:dyDescent="0.25">
      <c r="A139" s="9">
        <v>45444</v>
      </c>
      <c r="B139">
        <f>VLOOKUP(A139,BCB_TX_JUROS!A:L,12,0)</f>
        <v>263.7502243915788</v>
      </c>
      <c r="C139">
        <f>VLOOKUP(A139,BCB_TX_JUROS!N:V,9,0)</f>
        <v>9.5921348544789868</v>
      </c>
      <c r="E139">
        <f>VLOOKUP(A139,BCB_ipca_acum12m!A:B,2,0)</f>
        <v>4.2300000000000004</v>
      </c>
      <c r="F139">
        <f t="shared" si="16"/>
        <v>259.52022439157878</v>
      </c>
      <c r="G139">
        <f t="shared" si="17"/>
        <v>5.3621348544789864</v>
      </c>
      <c r="H139" s="25">
        <f t="shared" si="18"/>
        <v>6.27</v>
      </c>
      <c r="I139" s="25">
        <f t="shared" si="19"/>
        <v>41.39078538940651</v>
      </c>
      <c r="J139" s="25">
        <f t="shared" si="20"/>
        <v>0.85520492096953538</v>
      </c>
      <c r="M139">
        <f>VLOOKUP(A139,BCB_selic!I:J,2,0)</f>
        <v>10.5</v>
      </c>
      <c r="O139">
        <f t="shared" si="14"/>
        <v>25.119068989674172</v>
      </c>
      <c r="S139">
        <f t="shared" si="15"/>
        <v>0.91353665280752261</v>
      </c>
    </row>
    <row r="140" spans="1:19" x14ac:dyDescent="0.25">
      <c r="A140" s="9">
        <v>45474</v>
      </c>
      <c r="B140">
        <f>VLOOKUP(A140,BCB_TX_JUROS!A:L,12,0)</f>
        <v>259.52468071115004</v>
      </c>
      <c r="C140">
        <f>VLOOKUP(A140,BCB_TX_JUROS!N:V,9,0)</f>
        <v>9.477215095712566</v>
      </c>
      <c r="E140">
        <f>VLOOKUP(A140,BCB_ipca_acum12m!A:B,2,0)</f>
        <v>4.5</v>
      </c>
      <c r="F140">
        <f t="shared" si="16"/>
        <v>255.02468071115004</v>
      </c>
      <c r="G140">
        <f t="shared" si="17"/>
        <v>4.977215095712566</v>
      </c>
      <c r="H140" s="25">
        <f t="shared" si="18"/>
        <v>6</v>
      </c>
      <c r="I140" s="25">
        <f t="shared" si="19"/>
        <v>42.504113451858338</v>
      </c>
      <c r="J140" s="25">
        <f t="shared" si="20"/>
        <v>0.82953584928542767</v>
      </c>
      <c r="M140">
        <f>VLOOKUP(A140,BCB_selic!I:J,2,0)</f>
        <v>10.5</v>
      </c>
      <c r="O140">
        <f t="shared" si="14"/>
        <v>24.716636258204765</v>
      </c>
      <c r="S140">
        <f t="shared" si="15"/>
        <v>0.90259191387738724</v>
      </c>
    </row>
    <row r="141" spans="1:19" x14ac:dyDescent="0.25">
      <c r="A141" s="9">
        <v>45505</v>
      </c>
      <c r="B141">
        <f>VLOOKUP(A141,BCB_TX_JUROS!A:L,12,0)</f>
        <v>260.36558755617494</v>
      </c>
      <c r="C141">
        <f>VLOOKUP(A141,BCB_TX_JUROS!N:V,9,0)</f>
        <v>9.4878783214654181</v>
      </c>
      <c r="E141">
        <f>VLOOKUP(A141,BCB_ipca_acum12m!A:B,2,0)</f>
        <v>4.24</v>
      </c>
      <c r="F141">
        <f t="shared" si="16"/>
        <v>256.12558755617493</v>
      </c>
      <c r="G141">
        <f t="shared" si="17"/>
        <v>5.2478783214654179</v>
      </c>
      <c r="H141" s="25">
        <f t="shared" si="18"/>
        <v>6.26</v>
      </c>
      <c r="I141" s="25">
        <f t="shared" si="19"/>
        <v>40.914630600027948</v>
      </c>
      <c r="J141" s="25">
        <f t="shared" si="20"/>
        <v>0.83831922068137665</v>
      </c>
      <c r="M141">
        <f>VLOOKUP(A141,BCB_selic!I:J,2,0)</f>
        <v>10.5</v>
      </c>
      <c r="O141">
        <f t="shared" si="14"/>
        <v>24.796722624397614</v>
      </c>
      <c r="S141">
        <f t="shared" si="15"/>
        <v>0.90360745918718266</v>
      </c>
    </row>
    <row r="142" spans="1:19" x14ac:dyDescent="0.25">
      <c r="A142" s="9">
        <v>45536</v>
      </c>
      <c r="B142">
        <f>VLOOKUP(A142,BCB_TX_JUROS!A:L,12,0)</f>
        <v>267.32391646439419</v>
      </c>
      <c r="C142">
        <f>VLOOKUP(A142,BCB_TX_JUROS!N:V,9,0)</f>
        <v>9.4934427541469706</v>
      </c>
      <c r="E142">
        <f>VLOOKUP(A142,BCB_ipca_acum12m!A:B,2,0)</f>
        <v>4.42</v>
      </c>
      <c r="F142">
        <f t="shared" si="16"/>
        <v>262.90391646439417</v>
      </c>
      <c r="G142">
        <f t="shared" si="17"/>
        <v>5.0734427541469707</v>
      </c>
      <c r="H142" s="25">
        <f t="shared" si="18"/>
        <v>6.18</v>
      </c>
      <c r="I142" s="25">
        <f t="shared" si="19"/>
        <v>42.541086806536278</v>
      </c>
      <c r="J142" s="25">
        <f t="shared" si="20"/>
        <v>0.82094542947361993</v>
      </c>
      <c r="M142">
        <f>VLOOKUP(A142,BCB_selic!I:J,2,0)</f>
        <v>10.6</v>
      </c>
      <c r="O142">
        <f t="shared" si="14"/>
        <v>25.219237402301339</v>
      </c>
      <c r="S142">
        <f t="shared" si="15"/>
        <v>0.8956078069949972</v>
      </c>
    </row>
    <row r="143" spans="1:19" x14ac:dyDescent="0.25">
      <c r="A143" s="9">
        <v>45566</v>
      </c>
      <c r="B143">
        <f>VLOOKUP(A143,BCB_TX_JUROS!A:L,12,0)</f>
        <v>262.81734891982319</v>
      </c>
      <c r="C143">
        <f>VLOOKUP(A143,BCB_TX_JUROS!N:V,9,0)</f>
        <v>9.7128822353584212</v>
      </c>
      <c r="E143">
        <f>VLOOKUP(A143,BCB_ipca_acum12m!A:B,2,0)</f>
        <v>4.76</v>
      </c>
      <c r="F143">
        <f t="shared" si="16"/>
        <v>258.0573489198232</v>
      </c>
      <c r="G143">
        <f t="shared" si="17"/>
        <v>4.9528822353584214</v>
      </c>
      <c r="H143" s="25">
        <f t="shared" si="18"/>
        <v>5.99</v>
      </c>
      <c r="I143" s="25">
        <f t="shared" si="19"/>
        <v>43.081360420671651</v>
      </c>
      <c r="J143" s="25">
        <f t="shared" si="20"/>
        <v>0.8268584700097531</v>
      </c>
      <c r="M143">
        <f>VLOOKUP(A143,BCB_selic!I:J,2,0)</f>
        <v>10.75</v>
      </c>
      <c r="O143">
        <f t="shared" si="14"/>
        <v>24.448125480913784</v>
      </c>
      <c r="S143">
        <f t="shared" si="15"/>
        <v>0.90352392887055077</v>
      </c>
    </row>
    <row r="144" spans="1:19" x14ac:dyDescent="0.25">
      <c r="A144" s="9">
        <v>45597</v>
      </c>
      <c r="B144">
        <f>VLOOKUP(A144,BCB_TX_JUROS!A:L,12,0)</f>
        <v>268.31371459861748</v>
      </c>
      <c r="C144">
        <f>VLOOKUP(A144,BCB_TX_JUROS!N:V,9,0)</f>
        <v>9.5254529356379614</v>
      </c>
      <c r="E144">
        <f>VLOOKUP(A144,BCB_ipca_acum12m!A:B,2,0)</f>
        <v>4.87</v>
      </c>
      <c r="F144">
        <f t="shared" si="16"/>
        <v>263.44371459861748</v>
      </c>
      <c r="G144">
        <f t="shared" si="17"/>
        <v>4.6554529356379613</v>
      </c>
      <c r="H144" s="25">
        <f t="shared" si="18"/>
        <v>6.28</v>
      </c>
      <c r="I144" s="25">
        <f t="shared" si="19"/>
        <v>41.949636082582401</v>
      </c>
      <c r="J144" s="25">
        <f t="shared" si="20"/>
        <v>0.74131416172579001</v>
      </c>
      <c r="M144">
        <f>VLOOKUP(A144,BCB_selic!I:J,2,0)</f>
        <v>11.15</v>
      </c>
      <c r="O144">
        <f t="shared" si="14"/>
        <v>24.064010277902913</v>
      </c>
      <c r="S144">
        <f t="shared" si="15"/>
        <v>0.85430071171640909</v>
      </c>
    </row>
    <row r="145" spans="1:19" x14ac:dyDescent="0.25">
      <c r="A145" s="9">
        <v>45627</v>
      </c>
      <c r="B145">
        <f>VLOOKUP(A145,BCB_TX_JUROS!A:L,12,0)</f>
        <v>265.06004803079691</v>
      </c>
      <c r="C145">
        <f>VLOOKUP(A145,BCB_TX_JUROS!N:V,9,0)</f>
        <v>9.8898624480056885</v>
      </c>
      <c r="E145">
        <f>VLOOKUP(A145,BCB_ipca_acum12m!A:B,2,0)</f>
        <v>4.83</v>
      </c>
      <c r="F145">
        <f t="shared" si="16"/>
        <v>260.23004803079692</v>
      </c>
      <c r="G145">
        <f t="shared" si="17"/>
        <v>5.0598624480056884</v>
      </c>
      <c r="H145" s="25">
        <f t="shared" si="18"/>
        <v>7.06516129032258</v>
      </c>
      <c r="I145" s="25">
        <f t="shared" si="19"/>
        <v>36.832853113664072</v>
      </c>
      <c r="J145" s="25">
        <f t="shared" si="20"/>
        <v>0.71617083320325248</v>
      </c>
      <c r="M145">
        <f>VLOOKUP(A145,BCB_selic!I:J,2,0)</f>
        <v>11.89516129032258</v>
      </c>
      <c r="O145">
        <f t="shared" si="14"/>
        <v>22.283014207334791</v>
      </c>
      <c r="S145">
        <f t="shared" si="15"/>
        <v>0.83141894478149525</v>
      </c>
    </row>
    <row r="146" spans="1:19" x14ac:dyDescent="0.25">
      <c r="A146" s="9">
        <v>45658</v>
      </c>
      <c r="B146">
        <f>VLOOKUP(A146,BCB_TX_JUROS!A:L,12,0)</f>
        <v>267.44402618140782</v>
      </c>
      <c r="C146">
        <f>VLOOKUP(A146,BCB_TX_JUROS!N:V,9,0)</f>
        <v>11.066351970715841</v>
      </c>
      <c r="E146">
        <f>VLOOKUP(A146,BCB_ipca_acum12m!A:B,2,0)</f>
        <v>4.5599999999999996</v>
      </c>
      <c r="F146">
        <f t="shared" si="16"/>
        <v>262.88402618140782</v>
      </c>
      <c r="G146">
        <f t="shared" si="17"/>
        <v>6.5063519707158415</v>
      </c>
      <c r="H146" s="25">
        <f t="shared" si="18"/>
        <v>7.7545161290322584</v>
      </c>
      <c r="I146" s="25">
        <f t="shared" si="19"/>
        <v>33.900764639226431</v>
      </c>
      <c r="J146" s="25">
        <f t="shared" si="20"/>
        <v>0.8390403556395486</v>
      </c>
      <c r="M146">
        <f>VLOOKUP(A146,BCB_selic!I:J,2,0)</f>
        <v>12.314516129032258</v>
      </c>
      <c r="O146">
        <f t="shared" si="14"/>
        <v>21.717786016040975</v>
      </c>
      <c r="S146">
        <f t="shared" si="15"/>
        <v>0.8986428581327861</v>
      </c>
    </row>
    <row r="147" spans="1:19" x14ac:dyDescent="0.25">
      <c r="A147" s="9">
        <v>45689</v>
      </c>
      <c r="B147">
        <f>VLOOKUP(A147,BCB_TX_JUROS!A:L,12,0)</f>
        <v>275.65141670845344</v>
      </c>
      <c r="C147">
        <f>VLOOKUP(A147,BCB_TX_JUROS!N:V,9,0)</f>
        <v>10.032023233301064</v>
      </c>
      <c r="E147">
        <f>VLOOKUP(A147,BCB_ipca_acum12m!A:B,2,0)</f>
        <v>5.0599999999999996</v>
      </c>
      <c r="F147">
        <f t="shared" si="16"/>
        <v>270.59141670845344</v>
      </c>
      <c r="G147">
        <f t="shared" si="17"/>
        <v>4.9720232333010648</v>
      </c>
      <c r="H147" s="25">
        <f t="shared" si="18"/>
        <v>8.1900000000000013</v>
      </c>
      <c r="I147" s="25">
        <f t="shared" si="19"/>
        <v>33.039245019347177</v>
      </c>
      <c r="J147" s="25">
        <f t="shared" si="20"/>
        <v>0.60708464387070382</v>
      </c>
      <c r="M147">
        <f>VLOOKUP(A147,BCB_selic!I:J,2,0)</f>
        <v>13.25</v>
      </c>
      <c r="O147">
        <f t="shared" si="14"/>
        <v>20.803880506298373</v>
      </c>
      <c r="S147">
        <f t="shared" si="15"/>
        <v>0.75713382892838221</v>
      </c>
    </row>
    <row r="148" spans="1:19" x14ac:dyDescent="0.25">
      <c r="A148" s="9">
        <v>45717</v>
      </c>
      <c r="B148">
        <f>VLOOKUP(A148,BCB_TX_JUROS!A:L,12,0)</f>
        <v>277.26119375423298</v>
      </c>
      <c r="C148">
        <f>VLOOKUP(A148,BCB_TX_JUROS!N:V,9,0)</f>
        <v>10.965232652448808</v>
      </c>
      <c r="E148">
        <f>VLOOKUP(A148,BCB_ipca_acum12m!A:B,2,0)</f>
        <v>5.48</v>
      </c>
      <c r="F148">
        <f t="shared" si="16"/>
        <v>271.78119375423296</v>
      </c>
      <c r="G148">
        <f t="shared" si="17"/>
        <v>5.4852326524488078</v>
      </c>
      <c r="H148" s="25">
        <f t="shared" si="18"/>
        <v>8.1570967741935476</v>
      </c>
      <c r="I148" s="25">
        <f t="shared" si="19"/>
        <v>33.318373102310368</v>
      </c>
      <c r="J148" s="25">
        <f t="shared" si="20"/>
        <v>0.67244913285843733</v>
      </c>
      <c r="M148">
        <f>VLOOKUP(A148,BCB_selic!I:J,2,0)</f>
        <v>13.637096774193548</v>
      </c>
      <c r="O148">
        <f t="shared" si="14"/>
        <v>20.33139445625363</v>
      </c>
      <c r="S148">
        <f t="shared" si="15"/>
        <v>0.80407383140369737</v>
      </c>
    </row>
    <row r="149" spans="1:19" x14ac:dyDescent="0.25">
      <c r="A149" s="9">
        <v>45748</v>
      </c>
      <c r="B149">
        <f>VLOOKUP(A149,BCB_TX_JUROS!A:L,12,0)</f>
        <v>279.03746452515117</v>
      </c>
      <c r="C149">
        <f>VLOOKUP(A149,BCB_TX_JUROS!N:V,9,0)</f>
        <v>10.663958180617467</v>
      </c>
      <c r="E149">
        <f>VLOOKUP(A149,BCB_ipca_acum12m!A:B,2,0)</f>
        <v>5.53</v>
      </c>
      <c r="F149">
        <f t="shared" si="16"/>
        <v>273.50746452515119</v>
      </c>
      <c r="G149">
        <f t="shared" si="17"/>
        <v>5.1339581806174666</v>
      </c>
      <c r="H149" s="25">
        <f t="shared" si="18"/>
        <v>8.7199999999999989</v>
      </c>
      <c r="I149" s="25">
        <f t="shared" si="19"/>
        <v>31.365534922609086</v>
      </c>
      <c r="J149" s="25">
        <f t="shared" si="20"/>
        <v>0.58875667208915905</v>
      </c>
      <c r="M149">
        <f>VLOOKUP(A149,BCB_selic!I:J,2,0)</f>
        <v>14.25</v>
      </c>
      <c r="O149">
        <f t="shared" si="14"/>
        <v>19.581576457905346</v>
      </c>
      <c r="S149">
        <f t="shared" si="15"/>
        <v>0.74834794249947134</v>
      </c>
    </row>
    <row r="150" spans="1:19" x14ac:dyDescent="0.25">
      <c r="A150" s="9">
        <v>45778</v>
      </c>
      <c r="B150">
        <f>VLOOKUP(A150,BCB_TX_JUROS!A:L,12,0)</f>
        <v>280.73766670065771</v>
      </c>
      <c r="C150">
        <f>VLOOKUP(A150,BCB_TX_JUROS!N:V,9,0)</f>
        <v>10.791532628240756</v>
      </c>
      <c r="E150">
        <f>VLOOKUP(A150,BCB_ipca_acum12m!A:B,2,0)</f>
        <v>5.32</v>
      </c>
      <c r="F150">
        <f t="shared" si="16"/>
        <v>275.41766670065772</v>
      </c>
      <c r="G150">
        <f t="shared" si="17"/>
        <v>5.4715326282407553</v>
      </c>
      <c r="H150" s="25">
        <f t="shared" si="18"/>
        <v>9.3170967741935478</v>
      </c>
      <c r="I150" s="25">
        <f t="shared" si="19"/>
        <v>29.560460020497835</v>
      </c>
      <c r="J150" s="25">
        <f t="shared" si="20"/>
        <v>0.58725724985445915</v>
      </c>
      <c r="M150">
        <f>VLOOKUP(A150,BCB_selic!I:J,2,0)</f>
        <v>14.637096774193548</v>
      </c>
      <c r="O150">
        <f t="shared" si="14"/>
        <v>19.179873647868625</v>
      </c>
      <c r="S150">
        <f t="shared" si="15"/>
        <v>0.73727275256300484</v>
      </c>
    </row>
    <row r="151" spans="1:19" x14ac:dyDescent="0.25">
      <c r="A151" s="9">
        <v>45809</v>
      </c>
      <c r="B151">
        <f>VLOOKUP(A151,BCB_TX_JUROS!A:L,12,0)</f>
        <v>281.5374417603565</v>
      </c>
      <c r="C151">
        <f>VLOOKUP(A151,BCB_TX_JUROS!N:V,9,0)</f>
        <v>10.519762523527971</v>
      </c>
      <c r="E151">
        <f>VLOOKUP(A151,BCB_ipca_acum12m!A:B,2,0)</f>
        <v>5.35</v>
      </c>
      <c r="F151">
        <f t="shared" si="16"/>
        <v>276.18744176035648</v>
      </c>
      <c r="G151">
        <f t="shared" si="17"/>
        <v>5.1697625235279716</v>
      </c>
      <c r="H151" s="25">
        <f t="shared" si="18"/>
        <v>9.5</v>
      </c>
      <c r="I151" s="25">
        <f t="shared" si="19"/>
        <v>29.072362290563841</v>
      </c>
      <c r="J151" s="25">
        <f t="shared" si="20"/>
        <v>0.54418552879241811</v>
      </c>
      <c r="M151">
        <f>VLOOKUP(A151,BCB_selic!I:J,2,0)</f>
        <v>14.85</v>
      </c>
      <c r="O151">
        <f t="shared" si="14"/>
        <v>18.958750286892695</v>
      </c>
      <c r="S151">
        <f t="shared" si="15"/>
        <v>0.70840151673589036</v>
      </c>
    </row>
    <row r="152" spans="1:19" x14ac:dyDescent="0.25">
      <c r="A152" s="9">
        <v>45839</v>
      </c>
      <c r="B152">
        <f>VLOOKUP(A152,BCB_TX_JUROS!A:L,12,0)</f>
        <v>280.88173138361361</v>
      </c>
      <c r="C152">
        <f>VLOOKUP(A152,BCB_TX_JUROS!N:V,9,0)</f>
        <v>10.562359393479714</v>
      </c>
      <c r="E152">
        <f>VLOOKUP(A152,BCB_ipca_acum12m!A:B,2,0)</f>
        <v>5.23</v>
      </c>
      <c r="F152">
        <f t="shared" si="16"/>
        <v>275.65173138361359</v>
      </c>
      <c r="G152">
        <f t="shared" si="17"/>
        <v>5.3323593934797131</v>
      </c>
      <c r="H152" s="25">
        <f t="shared" si="18"/>
        <v>9.77</v>
      </c>
      <c r="I152" s="25">
        <f t="shared" si="19"/>
        <v>28.214097378056664</v>
      </c>
      <c r="J152" s="25">
        <f t="shared" si="20"/>
        <v>0.54578908838072804</v>
      </c>
      <c r="M152">
        <f>VLOOKUP(A152,BCB_selic!I:J,2,0)</f>
        <v>15</v>
      </c>
      <c r="O152">
        <f t="shared" si="14"/>
        <v>18.725448758907575</v>
      </c>
      <c r="S152">
        <f t="shared" si="15"/>
        <v>0.70415729289864759</v>
      </c>
    </row>
    <row r="153" spans="1:19" x14ac:dyDescent="0.25">
      <c r="A153" s="9">
        <v>45870</v>
      </c>
      <c r="B153">
        <f>VLOOKUP(A153,BCB_TX_JUROS!A:L,12,0)</f>
        <v>281.92169720125889</v>
      </c>
      <c r="C153">
        <f>VLOOKUP(A153,BCB_TX_JUROS!N:V,9,0)</f>
        <v>10.515895643760365</v>
      </c>
      <c r="E153">
        <f>VLOOKUP(A153,BCB_ipca_acum12m!A:B,2,0)</f>
        <v>5.13</v>
      </c>
      <c r="F153">
        <f t="shared" si="16"/>
        <v>276.7916972012589</v>
      </c>
      <c r="G153">
        <f t="shared" si="17"/>
        <v>5.3858956437603647</v>
      </c>
      <c r="H153" s="25">
        <f t="shared" si="18"/>
        <v>9.870000000000001</v>
      </c>
      <c r="I153" s="25">
        <f t="shared" si="19"/>
        <v>28.043738318263308</v>
      </c>
      <c r="J153" s="25">
        <f t="shared" si="20"/>
        <v>0.54568344921584233</v>
      </c>
      <c r="M153">
        <f>VLOOKUP(A153,BCB_selic!I:J,2,0)</f>
        <v>15</v>
      </c>
      <c r="O153">
        <f t="shared" si="14"/>
        <v>18.794779813417261</v>
      </c>
      <c r="S153">
        <f t="shared" si="15"/>
        <v>0.7010597095840243</v>
      </c>
    </row>
    <row r="154" spans="1:19" x14ac:dyDescent="0.25">
      <c r="A154" s="9">
        <v>45901</v>
      </c>
      <c r="B154">
        <f>VLOOKUP(A154,BCB_TX_JUROS!A:L,12,0)</f>
        <v>278.66593031341824</v>
      </c>
      <c r="C154">
        <f>VLOOKUP(A154,BCB_TX_JUROS!N:V,9,0)</f>
        <v>10.402578716620168</v>
      </c>
      <c r="E154">
        <f>VLOOKUP(A154,BCB_ipca_acum12m!A:B,2,0)</f>
        <v>5.17</v>
      </c>
      <c r="F154">
        <f t="shared" si="16"/>
        <v>273.49593031341823</v>
      </c>
      <c r="G154">
        <f t="shared" si="17"/>
        <v>5.2325787166201678</v>
      </c>
      <c r="H154" s="25">
        <f t="shared" si="18"/>
        <v>9.83</v>
      </c>
      <c r="I154" s="25">
        <f t="shared" si="19"/>
        <v>27.822576837580694</v>
      </c>
      <c r="J154" s="25">
        <f t="shared" si="20"/>
        <v>0.53230709222992556</v>
      </c>
      <c r="M154">
        <f>VLOOKUP(A154,BCB_selic!I:J,2,0)</f>
        <v>15</v>
      </c>
      <c r="O154">
        <f t="shared" si="14"/>
        <v>18.577728687561216</v>
      </c>
      <c r="S154">
        <f t="shared" si="15"/>
        <v>0.69350524777467781</v>
      </c>
    </row>
    <row r="155" spans="1:19" x14ac:dyDescent="0.25">
      <c r="A155" s="9">
        <v>45931</v>
      </c>
      <c r="B155">
        <f>VLOOKUP(A155,BCB_TX_JUROS!A:L,12,0)</f>
        <v>279.76103455969616</v>
      </c>
      <c r="C155">
        <f>VLOOKUP(A155,BCB_TX_JUROS!N:V,9,0)</f>
        <v>10.443367565534496</v>
      </c>
      <c r="E155">
        <f>VLOOKUP(A155,BCB_ipca_acum12m!A:B,2,0)</f>
        <v>4.68</v>
      </c>
      <c r="F155">
        <f t="shared" si="16"/>
        <v>275.08103455969615</v>
      </c>
      <c r="G155">
        <f t="shared" si="17"/>
        <v>5.7633675655344963</v>
      </c>
      <c r="H155" s="25">
        <f t="shared" si="18"/>
        <v>10.32</v>
      </c>
      <c r="I155" s="25">
        <f t="shared" si="19"/>
        <v>26.655139007722493</v>
      </c>
      <c r="J155" s="25">
        <f t="shared" si="20"/>
        <v>0.55846584937349764</v>
      </c>
      <c r="M155">
        <f>VLOOKUP(A155,BCB_selic!I:J,2,0)</f>
        <v>15</v>
      </c>
      <c r="O155">
        <f t="shared" si="14"/>
        <v>18.650735637313076</v>
      </c>
      <c r="S155">
        <f t="shared" si="15"/>
        <v>0.69622450436896643</v>
      </c>
    </row>
    <row r="156" spans="1:19" x14ac:dyDescent="0.25">
      <c r="A156" s="9">
        <v>45962</v>
      </c>
      <c r="B156">
        <f>VLOOKUP(A156,BCB_TX_JUROS!A:L,12,0)</f>
        <v>282.41620530270808</v>
      </c>
      <c r="C156">
        <f>VLOOKUP(A156,BCB_TX_JUROS!N:V,9,0)</f>
        <v>10.376093518222413</v>
      </c>
      <c r="E156">
        <f>VLOOKUP(A156,BCB_ipca_acum12m!A:B,2,0)</f>
        <v>4.46</v>
      </c>
      <c r="F156">
        <f t="shared" si="16"/>
        <v>277.9562053027081</v>
      </c>
      <c r="G156">
        <f t="shared" si="17"/>
        <v>5.9160935182224135</v>
      </c>
      <c r="H156" s="25">
        <f t="shared" si="18"/>
        <v>10.54</v>
      </c>
      <c r="I156" s="25">
        <f t="shared" si="19"/>
        <v>26.371556480332838</v>
      </c>
      <c r="J156" s="25">
        <f t="shared" si="20"/>
        <v>0.5612991952772689</v>
      </c>
      <c r="M156">
        <f>VLOOKUP(A156,BCB_selic!I:J,2,0)</f>
        <v>15</v>
      </c>
      <c r="O156">
        <f t="shared" si="14"/>
        <v>18.827747020180539</v>
      </c>
      <c r="S156">
        <f t="shared" si="15"/>
        <v>0.69173956788149427</v>
      </c>
    </row>
    <row r="157" spans="1:19" x14ac:dyDescent="0.25">
      <c r="A157" s="9">
        <v>45992</v>
      </c>
      <c r="B157">
        <f>VLOOKUP(A157,BCB_TX_JUROS!A:L,12,0)</f>
        <v>279.54073365872335</v>
      </c>
      <c r="C157">
        <f>VLOOKUP(A157,BCB_TX_JUROS!N:V,9,0)</f>
        <v>10.805361795648446</v>
      </c>
      <c r="E157">
        <f>VLOOKUP(A157,BCB_ipca_acum12m!A:B,2,0)</f>
        <v>4.26</v>
      </c>
      <c r="F157">
        <f t="shared" si="16"/>
        <v>275.28073365872336</v>
      </c>
      <c r="G157">
        <f t="shared" si="17"/>
        <v>6.5453617956484464</v>
      </c>
      <c r="H157" s="25">
        <f t="shared" si="18"/>
        <v>10.74</v>
      </c>
      <c r="I157" s="25">
        <f t="shared" si="19"/>
        <v>25.631353227069216</v>
      </c>
      <c r="J157" s="25">
        <f t="shared" si="20"/>
        <v>0.60943778357992984</v>
      </c>
      <c r="M157">
        <f>VLOOKUP(A157,BCB_selic!I:J,2,0)</f>
        <v>15</v>
      </c>
      <c r="O157">
        <f t="shared" si="14"/>
        <v>18.636048910581557</v>
      </c>
      <c r="S157">
        <f t="shared" si="15"/>
        <v>0.72035745304322973</v>
      </c>
    </row>
    <row r="158" spans="1:19" x14ac:dyDescent="0.25">
      <c r="A158" s="9"/>
    </row>
    <row r="159" spans="1:19" x14ac:dyDescent="0.25">
      <c r="A159" s="9"/>
    </row>
    <row r="160" spans="1:19" x14ac:dyDescent="0.25">
      <c r="A160" s="9"/>
    </row>
    <row r="161" spans="1:1" x14ac:dyDescent="0.25">
      <c r="A161" s="9"/>
    </row>
    <row r="162" spans="1:1" x14ac:dyDescent="0.25">
      <c r="A162" s="9"/>
    </row>
    <row r="163" spans="1:1" x14ac:dyDescent="0.25">
      <c r="A163" s="9"/>
    </row>
    <row r="164" spans="1:1" x14ac:dyDescent="0.25">
      <c r="A164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F2EE9-1B20-4637-BCCD-5E4CCF8443C0}">
  <sheetPr>
    <tabColor theme="5"/>
  </sheetPr>
  <dimension ref="A1:AC180"/>
  <sheetViews>
    <sheetView zoomScale="85" zoomScaleNormal="85" workbookViewId="0">
      <selection activeCell="V6" sqref="V6"/>
    </sheetView>
  </sheetViews>
  <sheetFormatPr defaultRowHeight="15" x14ac:dyDescent="0.25"/>
  <cols>
    <col min="1" max="1" width="18.7109375" customWidth="1"/>
    <col min="2" max="2" width="26.140625" customWidth="1"/>
  </cols>
  <sheetData>
    <row r="1" spans="1:29" x14ac:dyDescent="0.25">
      <c r="A1" t="s">
        <v>70</v>
      </c>
      <c r="U1" t="s">
        <v>70</v>
      </c>
    </row>
    <row r="2" spans="1:29" ht="15.75" thickBot="1" x14ac:dyDescent="0.3"/>
    <row r="3" spans="1:29" x14ac:dyDescent="0.25">
      <c r="A3" s="28" t="s">
        <v>71</v>
      </c>
      <c r="B3" s="28"/>
      <c r="U3" s="28" t="s">
        <v>71</v>
      </c>
      <c r="V3" s="28"/>
    </row>
    <row r="4" spans="1:29" x14ac:dyDescent="0.25">
      <c r="A4" t="s">
        <v>72</v>
      </c>
      <c r="B4">
        <v>0.55884094524669914</v>
      </c>
      <c r="U4" t="s">
        <v>72</v>
      </c>
      <c r="V4">
        <v>0.7053424139462241</v>
      </c>
    </row>
    <row r="5" spans="1:29" x14ac:dyDescent="0.25">
      <c r="A5" t="s">
        <v>73</v>
      </c>
      <c r="B5">
        <v>0.31230320208422419</v>
      </c>
      <c r="U5" t="s">
        <v>73</v>
      </c>
      <c r="V5">
        <v>0.49750792091148649</v>
      </c>
    </row>
    <row r="6" spans="1:29" x14ac:dyDescent="0.25">
      <c r="A6" t="s">
        <v>74</v>
      </c>
      <c r="B6">
        <v>0.30783763846139445</v>
      </c>
      <c r="U6" t="s">
        <v>74</v>
      </c>
      <c r="V6">
        <v>0.49424498533298961</v>
      </c>
    </row>
    <row r="7" spans="1:29" x14ac:dyDescent="0.25">
      <c r="A7" t="s">
        <v>75</v>
      </c>
      <c r="B7">
        <v>39.907769446129933</v>
      </c>
      <c r="U7" t="s">
        <v>75</v>
      </c>
      <c r="V7">
        <v>1.7216205054659919</v>
      </c>
    </row>
    <row r="8" spans="1:29" ht="15.75" thickBot="1" x14ac:dyDescent="0.3">
      <c r="A8" s="26" t="s">
        <v>76</v>
      </c>
      <c r="B8" s="26">
        <v>156</v>
      </c>
      <c r="U8" s="26" t="s">
        <v>76</v>
      </c>
      <c r="V8" s="26">
        <v>156</v>
      </c>
    </row>
    <row r="10" spans="1:29" ht="15.75" thickBot="1" x14ac:dyDescent="0.3">
      <c r="A10" t="s">
        <v>77</v>
      </c>
      <c r="U10" t="s">
        <v>77</v>
      </c>
    </row>
    <row r="11" spans="1:29" x14ac:dyDescent="0.25">
      <c r="A11" s="27"/>
      <c r="B11" s="27" t="s">
        <v>82</v>
      </c>
      <c r="C11" s="27" t="s">
        <v>83</v>
      </c>
      <c r="D11" s="27" t="s">
        <v>84</v>
      </c>
      <c r="E11" s="27" t="s">
        <v>85</v>
      </c>
      <c r="F11" s="27" t="s">
        <v>86</v>
      </c>
      <c r="U11" s="27"/>
      <c r="V11" s="27" t="s">
        <v>82</v>
      </c>
      <c r="W11" s="27" t="s">
        <v>83</v>
      </c>
      <c r="X11" s="27" t="s">
        <v>84</v>
      </c>
      <c r="Y11" s="27" t="s">
        <v>85</v>
      </c>
      <c r="Z11" s="27" t="s">
        <v>86</v>
      </c>
    </row>
    <row r="12" spans="1:29" x14ac:dyDescent="0.25">
      <c r="A12" t="s">
        <v>78</v>
      </c>
      <c r="B12">
        <v>1</v>
      </c>
      <c r="C12">
        <v>111382.01359556304</v>
      </c>
      <c r="D12">
        <v>111382.01359556304</v>
      </c>
      <c r="E12">
        <v>69.935898010187941</v>
      </c>
      <c r="F12">
        <v>3.4184183971606028E-14</v>
      </c>
      <c r="U12" t="s">
        <v>78</v>
      </c>
      <c r="V12">
        <v>1</v>
      </c>
      <c r="W12">
        <v>451.92498639169332</v>
      </c>
      <c r="X12">
        <v>451.92498639169332</v>
      </c>
      <c r="Y12">
        <v>152.4724926198748</v>
      </c>
      <c r="Z12">
        <v>8.7751853988444992E-25</v>
      </c>
    </row>
    <row r="13" spans="1:29" x14ac:dyDescent="0.25">
      <c r="A13" t="s">
        <v>79</v>
      </c>
      <c r="B13">
        <v>154</v>
      </c>
      <c r="C13">
        <v>245265.02957348115</v>
      </c>
      <c r="D13">
        <v>1592.630062165462</v>
      </c>
      <c r="U13" t="s">
        <v>79</v>
      </c>
      <c r="V13">
        <v>154</v>
      </c>
      <c r="W13">
        <v>456.4524833855105</v>
      </c>
      <c r="X13">
        <v>2.9639771648409772</v>
      </c>
    </row>
    <row r="14" spans="1:29" ht="15.75" thickBot="1" x14ac:dyDescent="0.3">
      <c r="A14" s="26" t="s">
        <v>80</v>
      </c>
      <c r="B14" s="26">
        <v>155</v>
      </c>
      <c r="C14" s="26">
        <v>356647.04316904419</v>
      </c>
      <c r="D14" s="26"/>
      <c r="E14" s="26"/>
      <c r="F14" s="26"/>
      <c r="U14" s="26" t="s">
        <v>80</v>
      </c>
      <c r="V14" s="26">
        <v>155</v>
      </c>
      <c r="W14" s="26">
        <v>908.37746977720383</v>
      </c>
      <c r="X14" s="26"/>
      <c r="Y14" s="26"/>
      <c r="Z14" s="26"/>
    </row>
    <row r="15" spans="1:29" ht="15.75" thickBot="1" x14ac:dyDescent="0.3"/>
    <row r="16" spans="1:29" x14ac:dyDescent="0.25">
      <c r="A16" s="27"/>
      <c r="B16" s="27" t="s">
        <v>87</v>
      </c>
      <c r="C16" s="27" t="s">
        <v>75</v>
      </c>
      <c r="D16" s="27" t="s">
        <v>88</v>
      </c>
      <c r="E16" s="27" t="s">
        <v>89</v>
      </c>
      <c r="F16" s="27" t="s">
        <v>90</v>
      </c>
      <c r="G16" s="27" t="s">
        <v>91</v>
      </c>
      <c r="H16" s="27" t="s">
        <v>92</v>
      </c>
      <c r="I16" s="27" t="s">
        <v>93</v>
      </c>
      <c r="U16" s="27"/>
      <c r="V16" s="27" t="s">
        <v>87</v>
      </c>
      <c r="W16" s="27" t="s">
        <v>75</v>
      </c>
      <c r="X16" s="27" t="s">
        <v>88</v>
      </c>
      <c r="Y16" s="27" t="s">
        <v>89</v>
      </c>
      <c r="Z16" s="27" t="s">
        <v>90</v>
      </c>
      <c r="AA16" s="27" t="s">
        <v>91</v>
      </c>
      <c r="AB16" s="27" t="s">
        <v>92</v>
      </c>
      <c r="AC16" s="27" t="s">
        <v>93</v>
      </c>
    </row>
    <row r="17" spans="1:29" x14ac:dyDescent="0.25">
      <c r="A17" t="s">
        <v>81</v>
      </c>
      <c r="B17">
        <v>224.8159315324277</v>
      </c>
      <c r="C17">
        <v>4.7243865676948724</v>
      </c>
      <c r="D17">
        <v>47.586269309482041</v>
      </c>
      <c r="E17">
        <v>5.3489516763146349E-94</v>
      </c>
      <c r="F17">
        <v>215.48296228546377</v>
      </c>
      <c r="G17">
        <v>234.14890077939162</v>
      </c>
      <c r="H17">
        <v>215.48296228546377</v>
      </c>
      <c r="I17">
        <v>234.14890077939162</v>
      </c>
      <c r="U17" t="s">
        <v>81</v>
      </c>
      <c r="V17">
        <v>1.37858207688047</v>
      </c>
      <c r="W17">
        <v>0.20380995739866753</v>
      </c>
      <c r="X17">
        <v>6.7640565479529551</v>
      </c>
      <c r="Y17">
        <v>2.6290358085712555E-10</v>
      </c>
      <c r="Z17">
        <v>0.97595793989015278</v>
      </c>
      <c r="AA17">
        <v>1.7812062138707871</v>
      </c>
      <c r="AB17">
        <v>0.97595793989015278</v>
      </c>
      <c r="AC17">
        <v>1.7812062138707871</v>
      </c>
    </row>
    <row r="18" spans="1:29" ht="15.75" thickBot="1" x14ac:dyDescent="0.3">
      <c r="A18" s="26" t="s">
        <v>94</v>
      </c>
      <c r="B18" s="26">
        <v>7.2375437496726036</v>
      </c>
      <c r="C18" s="26">
        <v>0.86544828983416966</v>
      </c>
      <c r="D18" s="26">
        <v>8.3627685613191343</v>
      </c>
      <c r="E18" s="26">
        <v>3.4184183971608981E-14</v>
      </c>
      <c r="F18" s="26">
        <v>5.5278609880858696</v>
      </c>
      <c r="G18" s="26">
        <v>8.9472265112593377</v>
      </c>
      <c r="H18" s="26">
        <v>5.5278609880858696</v>
      </c>
      <c r="I18" s="26">
        <v>8.9472265112593377</v>
      </c>
      <c r="U18" s="26" t="s">
        <v>94</v>
      </c>
      <c r="V18" s="26">
        <v>0.46101690024965203</v>
      </c>
      <c r="W18" s="26">
        <v>3.7335424727514353E-2</v>
      </c>
      <c r="X18" s="26">
        <v>12.347975243734282</v>
      </c>
      <c r="Y18" s="26">
        <v>8.7751853988446884E-25</v>
      </c>
      <c r="Z18" s="26">
        <v>0.38726121455134033</v>
      </c>
      <c r="AA18" s="26">
        <v>0.53477258594796373</v>
      </c>
      <c r="AB18" s="26">
        <v>0.38726121455134033</v>
      </c>
      <c r="AC18" s="26">
        <v>0.53477258594796373</v>
      </c>
    </row>
    <row r="22" spans="1:29" x14ac:dyDescent="0.25">
      <c r="A22" t="s">
        <v>95</v>
      </c>
      <c r="U22" t="s">
        <v>95</v>
      </c>
    </row>
    <row r="23" spans="1:29" ht="15.75" thickBot="1" x14ac:dyDescent="0.3"/>
    <row r="24" spans="1:29" x14ac:dyDescent="0.25">
      <c r="A24" s="27" t="s">
        <v>96</v>
      </c>
      <c r="B24" s="27" t="s">
        <v>97</v>
      </c>
      <c r="C24" s="27" t="s">
        <v>98</v>
      </c>
      <c r="U24" s="27" t="s">
        <v>96</v>
      </c>
      <c r="V24" s="27" t="s">
        <v>97</v>
      </c>
      <c r="W24" s="27" t="s">
        <v>98</v>
      </c>
    </row>
    <row r="25" spans="1:29" x14ac:dyDescent="0.25">
      <c r="A25">
        <v>1</v>
      </c>
      <c r="B25">
        <v>232.77722965706755</v>
      </c>
      <c r="C25">
        <v>-63.530489648564156</v>
      </c>
      <c r="U25">
        <v>1</v>
      </c>
      <c r="V25">
        <v>1.8857006671550871</v>
      </c>
      <c r="W25">
        <v>-9.7050278815902669E-2</v>
      </c>
    </row>
    <row r="26" spans="1:29" x14ac:dyDescent="0.25">
      <c r="A26">
        <v>2</v>
      </c>
      <c r="B26">
        <v>231.61922265711993</v>
      </c>
      <c r="C26">
        <v>-59.555370493761131</v>
      </c>
      <c r="U26">
        <v>2</v>
      </c>
      <c r="V26">
        <v>1.8119379631151431</v>
      </c>
      <c r="W26">
        <v>-0.4320928508876114</v>
      </c>
    </row>
    <row r="27" spans="1:29" x14ac:dyDescent="0.25">
      <c r="A27">
        <v>3</v>
      </c>
      <c r="B27">
        <v>229.59271040721163</v>
      </c>
      <c r="C27">
        <v>-58.358994122290113</v>
      </c>
      <c r="U27">
        <v>3</v>
      </c>
      <c r="V27">
        <v>1.6828532310452404</v>
      </c>
      <c r="W27">
        <v>-0.57343233364092949</v>
      </c>
    </row>
    <row r="28" spans="1:29" x14ac:dyDescent="0.25">
      <c r="A28">
        <v>4</v>
      </c>
      <c r="B28">
        <v>231.10053202172674</v>
      </c>
      <c r="C28">
        <v>-61.246957502168328</v>
      </c>
      <c r="U28">
        <v>4</v>
      </c>
      <c r="V28">
        <v>1.778898418597251</v>
      </c>
      <c r="W28">
        <v>-0.42163091031034838</v>
      </c>
    </row>
    <row r="29" spans="1:29" x14ac:dyDescent="0.25">
      <c r="A29">
        <v>5</v>
      </c>
      <c r="B29">
        <v>232.28694443531555</v>
      </c>
      <c r="C29">
        <v>-61.581238508679917</v>
      </c>
      <c r="U29">
        <v>5</v>
      </c>
      <c r="V29">
        <v>1.8544704900414011</v>
      </c>
      <c r="W29">
        <v>-0.56102283525202146</v>
      </c>
    </row>
    <row r="30" spans="1:29" x14ac:dyDescent="0.25">
      <c r="A30">
        <v>6</v>
      </c>
      <c r="B30">
        <v>234.22473840700209</v>
      </c>
      <c r="C30">
        <v>-61.351725819541542</v>
      </c>
      <c r="U30">
        <v>6</v>
      </c>
      <c r="V30">
        <v>1.9779040472050176</v>
      </c>
      <c r="W30">
        <v>-0.8678796587440154</v>
      </c>
    </row>
    <row r="31" spans="1:29" x14ac:dyDescent="0.25">
      <c r="A31">
        <v>7</v>
      </c>
      <c r="B31">
        <v>239.78830832812139</v>
      </c>
      <c r="C31">
        <v>-65.556036278751407</v>
      </c>
      <c r="U31">
        <v>7</v>
      </c>
      <c r="V31">
        <v>2.3322921998807984</v>
      </c>
      <c r="W31">
        <v>-0.63749274575103732</v>
      </c>
    </row>
    <row r="32" spans="1:29" x14ac:dyDescent="0.25">
      <c r="A32">
        <v>8</v>
      </c>
      <c r="B32">
        <v>242.60861569896156</v>
      </c>
      <c r="C32">
        <v>-68.347976660575114</v>
      </c>
      <c r="U32">
        <v>8</v>
      </c>
      <c r="V32">
        <v>2.5119400758490502</v>
      </c>
      <c r="W32">
        <v>-0.52610910234203301</v>
      </c>
    </row>
    <row r="33" spans="1:23" x14ac:dyDescent="0.25">
      <c r="A33">
        <v>9</v>
      </c>
      <c r="B33">
        <v>247.54181890639967</v>
      </c>
      <c r="C33">
        <v>-71.96909569874353</v>
      </c>
      <c r="U33">
        <v>9</v>
      </c>
      <c r="V33">
        <v>2.8261751436643774</v>
      </c>
      <c r="W33">
        <v>-0.34304060614678189</v>
      </c>
    </row>
    <row r="34" spans="1:23" x14ac:dyDescent="0.25">
      <c r="A34">
        <v>10</v>
      </c>
      <c r="B34">
        <v>250.25473046676083</v>
      </c>
      <c r="C34">
        <v>-73.223054574796834</v>
      </c>
      <c r="U34">
        <v>10</v>
      </c>
      <c r="V34">
        <v>2.9989821236934411</v>
      </c>
      <c r="W34">
        <v>-0.16505703480257061</v>
      </c>
    </row>
    <row r="35" spans="1:23" x14ac:dyDescent="0.25">
      <c r="A35">
        <v>11</v>
      </c>
      <c r="B35">
        <v>252.17384690619014</v>
      </c>
      <c r="C35">
        <v>-69.829301268943453</v>
      </c>
      <c r="U35">
        <v>11</v>
      </c>
      <c r="V35">
        <v>3.1212259598241552</v>
      </c>
      <c r="W35">
        <v>-9.4775797971042408E-2</v>
      </c>
    </row>
    <row r="36" spans="1:23" x14ac:dyDescent="0.25">
      <c r="A36">
        <v>12</v>
      </c>
      <c r="B36">
        <v>254.41748546858864</v>
      </c>
      <c r="C36">
        <v>-66.511453969530834</v>
      </c>
      <c r="U36">
        <v>12</v>
      </c>
      <c r="V36">
        <v>3.2641411989015467</v>
      </c>
      <c r="W36">
        <v>-0.35205867638219823</v>
      </c>
    </row>
    <row r="37" spans="1:23" x14ac:dyDescent="0.25">
      <c r="A37">
        <v>13</v>
      </c>
      <c r="B37">
        <v>258.60125269420587</v>
      </c>
      <c r="C37">
        <v>-70.273429127665452</v>
      </c>
      <c r="U37">
        <v>13</v>
      </c>
      <c r="V37">
        <v>3.5306387102716679</v>
      </c>
      <c r="W37">
        <v>0.39814111897120963</v>
      </c>
    </row>
    <row r="38" spans="1:23" x14ac:dyDescent="0.25">
      <c r="A38">
        <v>14</v>
      </c>
      <c r="B38">
        <v>259.83013425852238</v>
      </c>
      <c r="C38">
        <v>-65.986414508751324</v>
      </c>
      <c r="U38">
        <v>14</v>
      </c>
      <c r="V38">
        <v>3.6089159807311075</v>
      </c>
      <c r="W38">
        <v>-0.54213547972469645</v>
      </c>
    </row>
    <row r="39" spans="1:23" x14ac:dyDescent="0.25">
      <c r="A39">
        <v>15</v>
      </c>
      <c r="B39">
        <v>258.10863278092165</v>
      </c>
      <c r="C39">
        <v>-66.652749426820208</v>
      </c>
      <c r="U39">
        <v>15</v>
      </c>
      <c r="V39">
        <v>3.499259818028869</v>
      </c>
      <c r="W39">
        <v>0.13850217608200399</v>
      </c>
    </row>
    <row r="40" spans="1:23" x14ac:dyDescent="0.25">
      <c r="A40">
        <v>16</v>
      </c>
      <c r="B40">
        <v>258.85651230172118</v>
      </c>
      <c r="C40">
        <v>-72.461887362932941</v>
      </c>
      <c r="U40">
        <v>16</v>
      </c>
      <c r="V40">
        <v>3.5468982310546666</v>
      </c>
      <c r="W40">
        <v>-0.64128268158772173</v>
      </c>
    </row>
    <row r="41" spans="1:23" x14ac:dyDescent="0.25">
      <c r="A41">
        <v>17</v>
      </c>
      <c r="B41">
        <v>258.32575909341188</v>
      </c>
      <c r="C41">
        <v>-68.551232681890127</v>
      </c>
      <c r="U41">
        <v>17</v>
      </c>
      <c r="V41">
        <v>3.5130903250363588</v>
      </c>
      <c r="W41">
        <v>-0.35479135500955916</v>
      </c>
    </row>
    <row r="42" spans="1:23" x14ac:dyDescent="0.25">
      <c r="A42">
        <v>18</v>
      </c>
      <c r="B42">
        <v>257.24012753096099</v>
      </c>
      <c r="C42">
        <v>-63.124815333933242</v>
      </c>
      <c r="U42">
        <v>18</v>
      </c>
      <c r="V42">
        <v>3.4439377899989116</v>
      </c>
      <c r="W42">
        <v>-0.73811129120881258</v>
      </c>
    </row>
    <row r="43" spans="1:23" x14ac:dyDescent="0.25">
      <c r="A43">
        <v>19</v>
      </c>
      <c r="B43">
        <v>257.3848784059544</v>
      </c>
      <c r="C43">
        <v>-63.366505375377386</v>
      </c>
      <c r="U43">
        <v>19</v>
      </c>
      <c r="V43">
        <v>3.4531581280039036</v>
      </c>
      <c r="W43">
        <v>-0.25897991724538283</v>
      </c>
    </row>
    <row r="44" spans="1:23" x14ac:dyDescent="0.25">
      <c r="A44">
        <v>20</v>
      </c>
      <c r="B44">
        <v>257.31250296845769</v>
      </c>
      <c r="C44">
        <v>-59.534402738640779</v>
      </c>
      <c r="U44">
        <v>20</v>
      </c>
      <c r="V44">
        <v>3.4485479590014076</v>
      </c>
      <c r="W44">
        <v>-0.36550608729372414</v>
      </c>
    </row>
    <row r="45" spans="1:23" x14ac:dyDescent="0.25">
      <c r="A45">
        <v>21</v>
      </c>
      <c r="B45">
        <v>255.57549246853625</v>
      </c>
      <c r="C45">
        <v>-58.486501398804137</v>
      </c>
      <c r="U45">
        <v>21</v>
      </c>
      <c r="V45">
        <v>3.3379039029414912</v>
      </c>
      <c r="W45">
        <v>-0.63658880131468187</v>
      </c>
    </row>
    <row r="46" spans="1:23" x14ac:dyDescent="0.25">
      <c r="A46">
        <v>22</v>
      </c>
      <c r="B46">
        <v>256.8502340450915</v>
      </c>
      <c r="C46">
        <v>-50.701372164694504</v>
      </c>
      <c r="U46">
        <v>22</v>
      </c>
      <c r="V46">
        <v>3.4191023634370747</v>
      </c>
      <c r="W46">
        <v>-0.5516831016490702</v>
      </c>
    </row>
    <row r="47" spans="1:23" x14ac:dyDescent="0.25">
      <c r="A47">
        <v>23</v>
      </c>
      <c r="B47">
        <v>258.76001171839221</v>
      </c>
      <c r="C47">
        <v>-44.861194871784846</v>
      </c>
      <c r="U47">
        <v>23</v>
      </c>
      <c r="V47">
        <v>3.5407513390513383</v>
      </c>
      <c r="W47">
        <v>-0.81437328360096206</v>
      </c>
    </row>
    <row r="48" spans="1:23" x14ac:dyDescent="0.25">
      <c r="A48">
        <v>24</v>
      </c>
      <c r="B48">
        <v>263.11421142585652</v>
      </c>
      <c r="C48">
        <v>-43.578950134042088</v>
      </c>
      <c r="U48">
        <v>24</v>
      </c>
      <c r="V48">
        <v>3.8181050548466926</v>
      </c>
      <c r="W48">
        <v>-1.2644763174838198</v>
      </c>
    </row>
    <row r="49" spans="1:23" x14ac:dyDescent="0.25">
      <c r="A49">
        <v>25</v>
      </c>
      <c r="B49">
        <v>259.34835398449462</v>
      </c>
      <c r="C49">
        <v>-35.004817558514048</v>
      </c>
      <c r="U49">
        <v>25</v>
      </c>
      <c r="V49">
        <v>3.5782275515877622</v>
      </c>
      <c r="W49">
        <v>-1.3506862306660539</v>
      </c>
    </row>
    <row r="50" spans="1:23" x14ac:dyDescent="0.25">
      <c r="A50">
        <v>26</v>
      </c>
      <c r="B50">
        <v>257.74675559343802</v>
      </c>
      <c r="C50">
        <v>-25.82757792415336</v>
      </c>
      <c r="U50">
        <v>26</v>
      </c>
      <c r="V50">
        <v>3.4762089730163863</v>
      </c>
      <c r="W50">
        <v>-2.3374036947156718</v>
      </c>
    </row>
    <row r="51" spans="1:23" x14ac:dyDescent="0.25">
      <c r="A51">
        <v>27</v>
      </c>
      <c r="B51">
        <v>257.78644534948461</v>
      </c>
      <c r="C51">
        <v>-25.668495459812732</v>
      </c>
      <c r="U51">
        <v>27</v>
      </c>
      <c r="V51">
        <v>3.4787371302113037</v>
      </c>
      <c r="W51">
        <v>-1.752501372650114</v>
      </c>
    </row>
    <row r="52" spans="1:23" x14ac:dyDescent="0.25">
      <c r="A52">
        <v>28</v>
      </c>
      <c r="B52">
        <v>258.08450763508944</v>
      </c>
      <c r="C52">
        <v>-22.381616164821878</v>
      </c>
      <c r="U52">
        <v>28</v>
      </c>
      <c r="V52">
        <v>3.4977230950280376</v>
      </c>
      <c r="W52">
        <v>-1.8896031366817336</v>
      </c>
    </row>
    <row r="53" spans="1:23" x14ac:dyDescent="0.25">
      <c r="A53">
        <v>29</v>
      </c>
      <c r="B53">
        <v>259.41139065586276</v>
      </c>
      <c r="C53">
        <v>-11.631505273432794</v>
      </c>
      <c r="U53">
        <v>29</v>
      </c>
      <c r="V53">
        <v>3.5822428600738068</v>
      </c>
      <c r="W53">
        <v>-1.9040131853504292</v>
      </c>
    </row>
    <row r="54" spans="1:23" x14ac:dyDescent="0.25">
      <c r="A54">
        <v>30</v>
      </c>
      <c r="B54">
        <v>259.62851696835293</v>
      </c>
      <c r="C54">
        <v>-1.1158284084159504</v>
      </c>
      <c r="U54">
        <v>30</v>
      </c>
      <c r="V54">
        <v>3.5960733670812957</v>
      </c>
      <c r="W54">
        <v>-2.0216191330808169</v>
      </c>
    </row>
    <row r="55" spans="1:23" x14ac:dyDescent="0.25">
      <c r="A55">
        <v>31</v>
      </c>
      <c r="B55">
        <v>255.37470899677115</v>
      </c>
      <c r="C55">
        <v>14.39403581216996</v>
      </c>
      <c r="U55">
        <v>31</v>
      </c>
      <c r="V55">
        <v>3.3251144018377912</v>
      </c>
      <c r="W55">
        <v>-2.1007055586445866</v>
      </c>
    </row>
    <row r="56" spans="1:23" x14ac:dyDescent="0.25">
      <c r="A56">
        <v>32</v>
      </c>
      <c r="B56">
        <v>258.97713803088237</v>
      </c>
      <c r="C56">
        <v>15.987504149017127</v>
      </c>
      <c r="U56">
        <v>32</v>
      </c>
      <c r="V56">
        <v>3.5545818460588281</v>
      </c>
      <c r="W56">
        <v>-2.5320956412136004</v>
      </c>
    </row>
    <row r="57" spans="1:23" x14ac:dyDescent="0.25">
      <c r="A57">
        <v>33</v>
      </c>
      <c r="B57">
        <v>259.2666397808693</v>
      </c>
      <c r="C57">
        <v>27.316537567106423</v>
      </c>
      <c r="U57">
        <v>33</v>
      </c>
      <c r="V57">
        <v>3.5730225220688139</v>
      </c>
      <c r="W57">
        <v>-2.6359119119455618</v>
      </c>
    </row>
    <row r="58" spans="1:23" x14ac:dyDescent="0.25">
      <c r="A58">
        <v>34</v>
      </c>
      <c r="B58">
        <v>256.08212053101335</v>
      </c>
      <c r="C58">
        <v>30.230522786260508</v>
      </c>
      <c r="U58">
        <v>34</v>
      </c>
      <c r="V58">
        <v>3.3701750859589668</v>
      </c>
      <c r="W58">
        <v>-2.8037201572354578</v>
      </c>
    </row>
    <row r="59" spans="1:23" x14ac:dyDescent="0.25">
      <c r="A59">
        <v>35</v>
      </c>
      <c r="B59">
        <v>252.1014714686934</v>
      </c>
      <c r="C59">
        <v>50.618175199838475</v>
      </c>
      <c r="U59">
        <v>35</v>
      </c>
      <c r="V59">
        <v>3.1166157908216578</v>
      </c>
      <c r="W59">
        <v>-2.9980598895182466</v>
      </c>
    </row>
    <row r="60" spans="1:23" x14ac:dyDescent="0.25">
      <c r="A60">
        <v>36</v>
      </c>
      <c r="B60">
        <v>250.72633815625562</v>
      </c>
      <c r="C60">
        <v>58.509845717675546</v>
      </c>
      <c r="U60">
        <v>36</v>
      </c>
      <c r="V60">
        <v>3.0290225797742245</v>
      </c>
      <c r="W60">
        <v>-3.6076464774674939</v>
      </c>
    </row>
    <row r="61" spans="1:23" x14ac:dyDescent="0.25">
      <c r="A61">
        <v>37</v>
      </c>
      <c r="B61">
        <v>250.4368364062687</v>
      </c>
      <c r="C61">
        <v>71.31110813526368</v>
      </c>
      <c r="U61">
        <v>37</v>
      </c>
      <c r="V61">
        <v>3.0105819037642378</v>
      </c>
      <c r="W61">
        <v>-3.2273291383993508</v>
      </c>
    </row>
    <row r="62" spans="1:23" x14ac:dyDescent="0.25">
      <c r="A62">
        <v>38</v>
      </c>
      <c r="B62">
        <v>252.96997671865412</v>
      </c>
      <c r="C62">
        <v>72.848298866718181</v>
      </c>
      <c r="U62">
        <v>38</v>
      </c>
      <c r="V62">
        <v>3.1719378188516165</v>
      </c>
      <c r="W62">
        <v>-3.3913602335391948</v>
      </c>
    </row>
    <row r="63" spans="1:23" x14ac:dyDescent="0.25">
      <c r="A63">
        <v>39</v>
      </c>
      <c r="B63">
        <v>259.99039415583655</v>
      </c>
      <c r="C63">
        <v>70.295797431080018</v>
      </c>
      <c r="U63">
        <v>39</v>
      </c>
      <c r="V63">
        <v>3.6191242120937783</v>
      </c>
      <c r="W63">
        <v>-2.2533047844812106</v>
      </c>
    </row>
    <row r="64" spans="1:23" x14ac:dyDescent="0.25">
      <c r="A64">
        <v>40</v>
      </c>
      <c r="B64">
        <v>260.78652396830057</v>
      </c>
      <c r="C64">
        <v>77.134129052621688</v>
      </c>
      <c r="U64">
        <v>40</v>
      </c>
      <c r="V64">
        <v>3.6698360711212406</v>
      </c>
      <c r="W64">
        <v>-2.3847083121263211</v>
      </c>
    </row>
    <row r="65" spans="1:23" x14ac:dyDescent="0.25">
      <c r="A65">
        <v>41</v>
      </c>
      <c r="B65">
        <v>260.49702221831365</v>
      </c>
      <c r="C65">
        <v>82.20701576954184</v>
      </c>
      <c r="U65">
        <v>41</v>
      </c>
      <c r="V65">
        <v>3.6513953951112548</v>
      </c>
      <c r="W65">
        <v>-1.810721383345733</v>
      </c>
    </row>
    <row r="66" spans="1:23" x14ac:dyDescent="0.25">
      <c r="A66">
        <v>42</v>
      </c>
      <c r="B66">
        <v>263.97104321815647</v>
      </c>
      <c r="C66">
        <v>79.628251415439081</v>
      </c>
      <c r="U66">
        <v>42</v>
      </c>
      <c r="V66">
        <v>3.8726835072310877</v>
      </c>
      <c r="W66">
        <v>-1.4498265885647932</v>
      </c>
    </row>
    <row r="67" spans="1:23" x14ac:dyDescent="0.25">
      <c r="A67">
        <v>43</v>
      </c>
      <c r="B67">
        <v>264.69479759312372</v>
      </c>
      <c r="C67">
        <v>81.828409110342079</v>
      </c>
      <c r="U67">
        <v>43</v>
      </c>
      <c r="V67">
        <v>3.9187851972560521</v>
      </c>
      <c r="W67">
        <v>-1.2521177838210571</v>
      </c>
    </row>
    <row r="68" spans="1:23" x14ac:dyDescent="0.25">
      <c r="A68">
        <v>44</v>
      </c>
      <c r="B68">
        <v>263.03016253069904</v>
      </c>
      <c r="C68">
        <v>91.40759084167712</v>
      </c>
      <c r="U68">
        <v>44</v>
      </c>
      <c r="V68">
        <v>3.8127513101986326</v>
      </c>
      <c r="W68">
        <v>-1.5498081888170132</v>
      </c>
    </row>
    <row r="69" spans="1:23" x14ac:dyDescent="0.25">
      <c r="A69">
        <v>45</v>
      </c>
      <c r="B69">
        <v>266.57655896803863</v>
      </c>
      <c r="C69">
        <v>94.300376957124854</v>
      </c>
      <c r="U69">
        <v>45</v>
      </c>
      <c r="V69">
        <v>4.0386495913209624</v>
      </c>
      <c r="W69">
        <v>-1.4680189542817077</v>
      </c>
    </row>
    <row r="70" spans="1:23" x14ac:dyDescent="0.25">
      <c r="A70">
        <v>46</v>
      </c>
      <c r="B70">
        <v>270.29105319569317</v>
      </c>
      <c r="C70">
        <v>88.375568167790675</v>
      </c>
      <c r="U70">
        <v>46</v>
      </c>
      <c r="V70">
        <v>4.2752553617394122</v>
      </c>
      <c r="W70">
        <v>-1.4309025023335398</v>
      </c>
    </row>
    <row r="71" spans="1:23" x14ac:dyDescent="0.25">
      <c r="A71">
        <v>47</v>
      </c>
      <c r="B71">
        <v>275.55111321763263</v>
      </c>
      <c r="C71">
        <v>91.03266669851098</v>
      </c>
      <c r="U71">
        <v>47</v>
      </c>
      <c r="V71">
        <v>4.6103105476305304</v>
      </c>
      <c r="W71">
        <v>-0.88939111748567168</v>
      </c>
    </row>
    <row r="72" spans="1:23" x14ac:dyDescent="0.25">
      <c r="A72">
        <v>48</v>
      </c>
      <c r="B72">
        <v>278.80800790498529</v>
      </c>
      <c r="C72">
        <v>90.474339906749663</v>
      </c>
      <c r="U72">
        <v>48</v>
      </c>
      <c r="V72">
        <v>4.8177681527428744</v>
      </c>
      <c r="W72">
        <v>-0.18487210598835802</v>
      </c>
    </row>
    <row r="73" spans="1:23" x14ac:dyDescent="0.25">
      <c r="A73">
        <v>49</v>
      </c>
      <c r="B73">
        <v>282.1092617314489</v>
      </c>
      <c r="C73">
        <v>87.637420405882949</v>
      </c>
      <c r="U73">
        <v>49</v>
      </c>
      <c r="V73">
        <v>5.0280513453083602</v>
      </c>
      <c r="W73">
        <v>0.53701381292252304</v>
      </c>
    </row>
    <row r="74" spans="1:23" x14ac:dyDescent="0.25">
      <c r="A74">
        <v>50</v>
      </c>
      <c r="B74">
        <v>283.29011535567543</v>
      </c>
      <c r="C74">
        <v>86.75511126157437</v>
      </c>
      <c r="U74">
        <v>50</v>
      </c>
      <c r="V74">
        <v>5.1032693331117658</v>
      </c>
      <c r="W74">
        <v>-0.65407868724591989</v>
      </c>
    </row>
    <row r="75" spans="1:23" x14ac:dyDescent="0.25">
      <c r="A75">
        <v>51</v>
      </c>
      <c r="B75">
        <v>280.40026752991332</v>
      </c>
      <c r="C75">
        <v>85.890580612251483</v>
      </c>
      <c r="U75">
        <v>51</v>
      </c>
      <c r="V75">
        <v>4.9191918707977971</v>
      </c>
      <c r="W75">
        <v>0.3623618097163126</v>
      </c>
    </row>
    <row r="76" spans="1:23" x14ac:dyDescent="0.25">
      <c r="A76">
        <v>52</v>
      </c>
      <c r="B76">
        <v>279.60413771744931</v>
      </c>
      <c r="C76">
        <v>51.527248873098017</v>
      </c>
      <c r="U76">
        <v>52</v>
      </c>
      <c r="V76">
        <v>4.8684800117703357</v>
      </c>
      <c r="W76">
        <v>0.12622298431777601</v>
      </c>
    </row>
    <row r="77" spans="1:23" x14ac:dyDescent="0.25">
      <c r="A77">
        <v>53</v>
      </c>
      <c r="B77">
        <v>280.1831412174231</v>
      </c>
      <c r="C77">
        <v>10.309105649678827</v>
      </c>
      <c r="U77">
        <v>53</v>
      </c>
      <c r="V77">
        <v>4.9053613637903082</v>
      </c>
      <c r="W77">
        <v>1.4529223294539824</v>
      </c>
    </row>
    <row r="78" spans="1:23" x14ac:dyDescent="0.25">
      <c r="A78">
        <v>54</v>
      </c>
      <c r="B78">
        <v>277.28812371755407</v>
      </c>
      <c r="C78">
        <v>21.196005578115717</v>
      </c>
      <c r="U78">
        <v>54</v>
      </c>
      <c r="V78">
        <v>4.7209546036904468</v>
      </c>
      <c r="W78">
        <v>1.568751279190189</v>
      </c>
    </row>
    <row r="79" spans="1:23" x14ac:dyDescent="0.25">
      <c r="A79">
        <v>55</v>
      </c>
      <c r="B79">
        <v>278.21966563888287</v>
      </c>
      <c r="C79">
        <v>37.670634504042368</v>
      </c>
      <c r="U79">
        <v>55</v>
      </c>
      <c r="V79">
        <v>4.7802919402064505</v>
      </c>
      <c r="W79">
        <v>1.80896546418432</v>
      </c>
    </row>
    <row r="80" spans="1:23" x14ac:dyDescent="0.25">
      <c r="A80">
        <v>56</v>
      </c>
      <c r="B80">
        <v>273.95885359270466</v>
      </c>
      <c r="C80">
        <v>41.60421691181449</v>
      </c>
      <c r="U80">
        <v>56</v>
      </c>
      <c r="V80">
        <v>4.5088868295756068</v>
      </c>
      <c r="W80">
        <v>1.6291024716543268</v>
      </c>
    </row>
    <row r="81" spans="1:23" x14ac:dyDescent="0.25">
      <c r="A81">
        <v>57</v>
      </c>
      <c r="B81">
        <v>267.83106655131519</v>
      </c>
      <c r="C81">
        <v>14.119019359801939</v>
      </c>
      <c r="U81">
        <v>57</v>
      </c>
      <c r="V81">
        <v>4.1185591873642347</v>
      </c>
      <c r="W81">
        <v>1.8766174403344635</v>
      </c>
    </row>
    <row r="82" spans="1:23" x14ac:dyDescent="0.25">
      <c r="A82">
        <v>58</v>
      </c>
      <c r="B82">
        <v>263.93368815364204</v>
      </c>
      <c r="C82">
        <v>21.356002736515222</v>
      </c>
      <c r="U82">
        <v>58</v>
      </c>
      <c r="V82">
        <v>3.8703040651652829</v>
      </c>
      <c r="W82">
        <v>2.058082373290345</v>
      </c>
    </row>
    <row r="83" spans="1:23" x14ac:dyDescent="0.25">
      <c r="A83">
        <v>59</v>
      </c>
      <c r="B83">
        <v>258.83238715588891</v>
      </c>
      <c r="C83">
        <v>28.802673553129182</v>
      </c>
      <c r="U83">
        <v>59</v>
      </c>
      <c r="V83">
        <v>3.5453615080538343</v>
      </c>
      <c r="W83">
        <v>1.5788143865674602</v>
      </c>
    </row>
    <row r="84" spans="1:23" x14ac:dyDescent="0.25">
      <c r="A84">
        <v>60</v>
      </c>
      <c r="B84">
        <v>254.82839117824747</v>
      </c>
      <c r="C84">
        <v>27.634558426909194</v>
      </c>
      <c r="U84">
        <v>60</v>
      </c>
      <c r="V84">
        <v>3.2903150616253978</v>
      </c>
      <c r="W84">
        <v>1.8262497281528214</v>
      </c>
    </row>
    <row r="85" spans="1:23" x14ac:dyDescent="0.25">
      <c r="A85">
        <v>61</v>
      </c>
      <c r="B85">
        <v>254.77936265607229</v>
      </c>
      <c r="C85">
        <v>23.670360357199399</v>
      </c>
      <c r="U85">
        <v>61</v>
      </c>
      <c r="V85">
        <v>3.2871920439140299</v>
      </c>
      <c r="W85">
        <v>2.1879740969055907</v>
      </c>
    </row>
    <row r="86" spans="1:23" x14ac:dyDescent="0.25">
      <c r="A86">
        <v>62</v>
      </c>
      <c r="B86">
        <v>253.56707407800212</v>
      </c>
      <c r="C86">
        <v>29.607595366009718</v>
      </c>
      <c r="U86">
        <v>62</v>
      </c>
      <c r="V86">
        <v>3.2099717131222127</v>
      </c>
      <c r="W86">
        <v>2.2424592868865187</v>
      </c>
    </row>
    <row r="87" spans="1:23" x14ac:dyDescent="0.25">
      <c r="A87">
        <v>63</v>
      </c>
      <c r="B87">
        <v>253.68906171055707</v>
      </c>
      <c r="C87">
        <v>28.182367772531649</v>
      </c>
      <c r="U87">
        <v>63</v>
      </c>
      <c r="V87">
        <v>3.2177420786183557</v>
      </c>
      <c r="W87">
        <v>2.2781466069161915</v>
      </c>
    </row>
    <row r="88" spans="1:23" x14ac:dyDescent="0.25">
      <c r="A88">
        <v>64</v>
      </c>
      <c r="B88">
        <v>251.88434515620324</v>
      </c>
      <c r="C88">
        <v>30.623005990523069</v>
      </c>
      <c r="U88">
        <v>64</v>
      </c>
      <c r="V88">
        <v>3.1027852838141685</v>
      </c>
      <c r="W88">
        <v>2.3079084927725413</v>
      </c>
    </row>
    <row r="89" spans="1:23" x14ac:dyDescent="0.25">
      <c r="A89">
        <v>65</v>
      </c>
      <c r="B89">
        <v>251.16059078123598</v>
      </c>
      <c r="C89">
        <v>10.881018553113478</v>
      </c>
      <c r="U89">
        <v>65</v>
      </c>
      <c r="V89">
        <v>3.0566835937892032</v>
      </c>
      <c r="W89">
        <v>2.1373281476572403</v>
      </c>
    </row>
    <row r="90" spans="1:23" x14ac:dyDescent="0.25">
      <c r="A90">
        <v>66</v>
      </c>
      <c r="B90">
        <v>240.08714884423688</v>
      </c>
      <c r="C90">
        <v>11.198786792027107</v>
      </c>
      <c r="U90">
        <v>66</v>
      </c>
      <c r="V90">
        <v>2.351327736407236</v>
      </c>
      <c r="W90">
        <v>1.2993523837393042</v>
      </c>
    </row>
    <row r="91" spans="1:23" x14ac:dyDescent="0.25">
      <c r="A91">
        <v>67</v>
      </c>
      <c r="B91">
        <v>239.43576990676635</v>
      </c>
      <c r="C91">
        <v>1.9815775555432538</v>
      </c>
      <c r="U91">
        <v>67</v>
      </c>
      <c r="V91">
        <v>2.3098362153847667</v>
      </c>
      <c r="W91">
        <v>1.2098264611396292</v>
      </c>
    </row>
    <row r="92" spans="1:23" x14ac:dyDescent="0.25">
      <c r="A92">
        <v>68</v>
      </c>
      <c r="B92">
        <v>241.53465759417142</v>
      </c>
      <c r="C92">
        <v>0.81548796969079262</v>
      </c>
      <c r="U92">
        <v>68</v>
      </c>
      <c r="V92">
        <v>2.4435311164571658</v>
      </c>
      <c r="W92">
        <v>1.3505975750030066</v>
      </c>
    </row>
    <row r="93" spans="1:23" x14ac:dyDescent="0.25">
      <c r="A93">
        <v>69</v>
      </c>
      <c r="B93">
        <v>239.07389271928272</v>
      </c>
      <c r="C93">
        <v>1.4118286454828421</v>
      </c>
      <c r="U93">
        <v>69</v>
      </c>
      <c r="V93">
        <v>2.2867853703722845</v>
      </c>
      <c r="W93">
        <v>0.89571958764139081</v>
      </c>
    </row>
    <row r="94" spans="1:23" x14ac:dyDescent="0.25">
      <c r="A94">
        <v>70</v>
      </c>
      <c r="B94">
        <v>238.85676640679256</v>
      </c>
      <c r="C94">
        <v>1.6512614813973983</v>
      </c>
      <c r="U94">
        <v>70</v>
      </c>
      <c r="V94">
        <v>2.2729548633647951</v>
      </c>
      <c r="W94">
        <v>0.95368843215283849</v>
      </c>
    </row>
    <row r="95" spans="1:23" x14ac:dyDescent="0.25">
      <c r="A95">
        <v>71</v>
      </c>
      <c r="B95">
        <v>242.54791371912557</v>
      </c>
      <c r="C95">
        <v>1.3286484532773102</v>
      </c>
      <c r="U95">
        <v>71</v>
      </c>
      <c r="V95">
        <v>2.5080734824921178</v>
      </c>
      <c r="W95">
        <v>1.3028807452137929</v>
      </c>
    </row>
    <row r="96" spans="1:23" x14ac:dyDescent="0.25">
      <c r="A96">
        <v>72</v>
      </c>
      <c r="B96">
        <v>244.71917684402734</v>
      </c>
      <c r="C96">
        <v>0.12401731373398661</v>
      </c>
      <c r="U96">
        <v>72</v>
      </c>
      <c r="V96">
        <v>2.6463785525670129</v>
      </c>
      <c r="W96">
        <v>1.4549855920285362</v>
      </c>
    </row>
    <row r="97" spans="1:23" x14ac:dyDescent="0.25">
      <c r="A97">
        <v>73</v>
      </c>
      <c r="B97">
        <v>244.50205053153718</v>
      </c>
      <c r="C97">
        <v>1.4926473821381592</v>
      </c>
      <c r="U97">
        <v>73</v>
      </c>
      <c r="V97">
        <v>2.6325480455595236</v>
      </c>
      <c r="W97">
        <v>1.89765571546249</v>
      </c>
    </row>
    <row r="98" spans="1:23" x14ac:dyDescent="0.25">
      <c r="A98">
        <v>74</v>
      </c>
      <c r="B98">
        <v>243.70592071907319</v>
      </c>
      <c r="C98">
        <v>7.6019203787961089</v>
      </c>
      <c r="U98">
        <v>74</v>
      </c>
      <c r="V98">
        <v>2.5818361865320618</v>
      </c>
      <c r="W98">
        <v>1.242946159346435</v>
      </c>
    </row>
    <row r="99" spans="1:23" x14ac:dyDescent="0.25">
      <c r="A99">
        <v>75</v>
      </c>
      <c r="B99">
        <v>238.7120155317991</v>
      </c>
      <c r="C99">
        <v>16.437360442297461</v>
      </c>
      <c r="U99">
        <v>75</v>
      </c>
      <c r="V99">
        <v>2.2637345253598018</v>
      </c>
      <c r="W99">
        <v>0.9579576061707491</v>
      </c>
    </row>
    <row r="100" spans="1:23" x14ac:dyDescent="0.25">
      <c r="A100">
        <v>76</v>
      </c>
      <c r="B100">
        <v>236.10649978191697</v>
      </c>
      <c r="C100">
        <v>16.59465734040873</v>
      </c>
      <c r="U100">
        <v>76</v>
      </c>
      <c r="V100">
        <v>2.0977684412699267</v>
      </c>
      <c r="W100">
        <v>0.78455059395769489</v>
      </c>
    </row>
    <row r="101" spans="1:23" x14ac:dyDescent="0.25">
      <c r="A101">
        <v>77</v>
      </c>
      <c r="B101">
        <v>238.13301203182527</v>
      </c>
      <c r="C101">
        <v>14.858202551508072</v>
      </c>
      <c r="U101">
        <v>77</v>
      </c>
      <c r="V101">
        <v>2.2268531733398298</v>
      </c>
      <c r="W101">
        <v>0.97017402279204212</v>
      </c>
    </row>
    <row r="102" spans="1:23" x14ac:dyDescent="0.25">
      <c r="A102">
        <v>78</v>
      </c>
      <c r="B102">
        <v>247.46944346890294</v>
      </c>
      <c r="C102">
        <v>7.5708567929335402</v>
      </c>
      <c r="U102">
        <v>78</v>
      </c>
      <c r="V102">
        <v>2.8215649746618805</v>
      </c>
      <c r="W102">
        <v>1.5484705769904741</v>
      </c>
    </row>
    <row r="103" spans="1:23" x14ac:dyDescent="0.25">
      <c r="A103">
        <v>79</v>
      </c>
      <c r="B103">
        <v>248.55507503135385</v>
      </c>
      <c r="C103">
        <v>5.1609280550659093</v>
      </c>
      <c r="U103">
        <v>79</v>
      </c>
      <c r="V103">
        <v>2.8907175096993285</v>
      </c>
      <c r="W103">
        <v>1.7044988060807782</v>
      </c>
    </row>
    <row r="104" spans="1:23" x14ac:dyDescent="0.25">
      <c r="A104">
        <v>80</v>
      </c>
      <c r="B104">
        <v>243.41641896908629</v>
      </c>
      <c r="C104">
        <v>9.5505036759748805</v>
      </c>
      <c r="U104">
        <v>80</v>
      </c>
      <c r="V104">
        <v>2.5633955105220756</v>
      </c>
      <c r="W104">
        <v>2.3106461517778958</v>
      </c>
    </row>
    <row r="105" spans="1:23" x14ac:dyDescent="0.25">
      <c r="A105">
        <v>81</v>
      </c>
      <c r="B105">
        <v>245.87718384397496</v>
      </c>
      <c r="C105">
        <v>6.0403993269152636</v>
      </c>
      <c r="U105">
        <v>81</v>
      </c>
      <c r="V105">
        <v>2.7201412566069569</v>
      </c>
      <c r="W105">
        <v>2.0373007576750739</v>
      </c>
    </row>
    <row r="106" spans="1:23" x14ac:dyDescent="0.25">
      <c r="A106">
        <v>82</v>
      </c>
      <c r="B106">
        <v>246.12232645485096</v>
      </c>
      <c r="C106">
        <v>12.482438357107242</v>
      </c>
      <c r="U106">
        <v>82</v>
      </c>
      <c r="V106">
        <v>2.7357563451638001</v>
      </c>
      <c r="W106">
        <v>2.1268971335926325</v>
      </c>
    </row>
    <row r="107" spans="1:23" x14ac:dyDescent="0.25">
      <c r="A107">
        <v>83</v>
      </c>
      <c r="B107">
        <v>237.33688221936131</v>
      </c>
      <c r="C107">
        <v>23.4943969553226</v>
      </c>
      <c r="U107">
        <v>83</v>
      </c>
      <c r="V107">
        <v>2.176141314312368</v>
      </c>
      <c r="W107">
        <v>1.7869980530161786</v>
      </c>
    </row>
    <row r="108" spans="1:23" x14ac:dyDescent="0.25">
      <c r="A108">
        <v>84</v>
      </c>
      <c r="B108">
        <v>227.47514518754934</v>
      </c>
      <c r="C108">
        <v>28.013382491419122</v>
      </c>
      <c r="U108">
        <v>84</v>
      </c>
      <c r="V108">
        <v>1.5479686089399392</v>
      </c>
      <c r="W108">
        <v>1.3969832039908063</v>
      </c>
    </row>
    <row r="109" spans="1:23" x14ac:dyDescent="0.25">
      <c r="A109">
        <v>85</v>
      </c>
      <c r="B109">
        <v>227.0595700948262</v>
      </c>
      <c r="C109">
        <v>0.40004008436821437</v>
      </c>
      <c r="U109">
        <v>85</v>
      </c>
      <c r="V109">
        <v>1.521497315957862</v>
      </c>
      <c r="W109">
        <v>1.6964310362842532</v>
      </c>
    </row>
    <row r="110" spans="1:23" x14ac:dyDescent="0.25">
      <c r="A110">
        <v>86</v>
      </c>
      <c r="B110">
        <v>226.86490512500743</v>
      </c>
      <c r="C110">
        <v>2.0346300312834558</v>
      </c>
      <c r="U110">
        <v>86</v>
      </c>
      <c r="V110">
        <v>1.5090975510545956</v>
      </c>
      <c r="W110">
        <v>1.8206465684993167</v>
      </c>
    </row>
    <row r="111" spans="1:23" x14ac:dyDescent="0.25">
      <c r="A111">
        <v>87</v>
      </c>
      <c r="B111">
        <v>230.17404859871758</v>
      </c>
      <c r="C111">
        <v>-1.374653644046731</v>
      </c>
      <c r="U111">
        <v>87</v>
      </c>
      <c r="V111">
        <v>1.7198832981943253</v>
      </c>
      <c r="W111">
        <v>2.1319116638519784</v>
      </c>
    </row>
    <row r="112" spans="1:23" x14ac:dyDescent="0.25">
      <c r="A112">
        <v>88</v>
      </c>
      <c r="B112">
        <v>234.58661559448572</v>
      </c>
      <c r="C112">
        <v>-24.456569345399885</v>
      </c>
      <c r="U112">
        <v>88</v>
      </c>
      <c r="V112">
        <v>2.0009548922175</v>
      </c>
      <c r="W112">
        <v>2.8171630913253711</v>
      </c>
    </row>
    <row r="113" spans="1:23" x14ac:dyDescent="0.25">
      <c r="A113">
        <v>89</v>
      </c>
      <c r="B113">
        <v>233.97259172152962</v>
      </c>
      <c r="C113">
        <v>-32.120699785766533</v>
      </c>
      <c r="U113">
        <v>89</v>
      </c>
      <c r="V113">
        <v>1.9618428132608363</v>
      </c>
      <c r="W113">
        <v>3.3247420087087685</v>
      </c>
    </row>
    <row r="114" spans="1:23" x14ac:dyDescent="0.25">
      <c r="A114">
        <v>90</v>
      </c>
      <c r="B114">
        <v>228.76039287599926</v>
      </c>
      <c r="C114">
        <v>-41.091626908512836</v>
      </c>
      <c r="U114">
        <v>90</v>
      </c>
      <c r="V114">
        <v>1.6298362875165302</v>
      </c>
      <c r="W114">
        <v>3.4121739672791604</v>
      </c>
    </row>
    <row r="115" spans="1:23" x14ac:dyDescent="0.25">
      <c r="A115">
        <v>91</v>
      </c>
      <c r="B115">
        <v>224.38167890744734</v>
      </c>
      <c r="C115">
        <v>-23.760298298172103</v>
      </c>
      <c r="U115">
        <v>91</v>
      </c>
      <c r="V115">
        <v>1.3509210628654909</v>
      </c>
      <c r="W115">
        <v>3.4974022827892748</v>
      </c>
    </row>
    <row r="116" spans="1:23" x14ac:dyDescent="0.25">
      <c r="A116">
        <v>92</v>
      </c>
      <c r="B116">
        <v>221.9232487240908</v>
      </c>
      <c r="C116">
        <v>-20.720486124396245</v>
      </c>
      <c r="U116">
        <v>92</v>
      </c>
      <c r="V116">
        <v>1.1943240319097221</v>
      </c>
      <c r="W116">
        <v>3.5268365359538434</v>
      </c>
    </row>
    <row r="117" spans="1:23" x14ac:dyDescent="0.25">
      <c r="A117">
        <v>93</v>
      </c>
      <c r="B117">
        <v>216.56513165780092</v>
      </c>
      <c r="C117">
        <v>-13.906018543740686</v>
      </c>
      <c r="U117">
        <v>93</v>
      </c>
      <c r="V117">
        <v>0.8530228105958666</v>
      </c>
      <c r="W117">
        <v>3.1594856471761514</v>
      </c>
    </row>
    <row r="118" spans="1:23" x14ac:dyDescent="0.25">
      <c r="A118">
        <v>94</v>
      </c>
      <c r="B118">
        <v>210.9198475330563</v>
      </c>
      <c r="C118">
        <v>-5.0821496387176239</v>
      </c>
      <c r="U118">
        <v>94</v>
      </c>
      <c r="V118">
        <v>0.49342962840113813</v>
      </c>
      <c r="W118">
        <v>2.6527501674990885</v>
      </c>
    </row>
    <row r="119" spans="1:23" x14ac:dyDescent="0.25">
      <c r="A119">
        <v>95</v>
      </c>
      <c r="B119">
        <v>208.09720547068397</v>
      </c>
      <c r="C119">
        <v>-8.68540643043616E-2</v>
      </c>
      <c r="U119">
        <v>95</v>
      </c>
      <c r="V119">
        <v>0.3136330373037739</v>
      </c>
      <c r="W119">
        <v>2.4154468519409722</v>
      </c>
    </row>
    <row r="120" spans="1:23" x14ac:dyDescent="0.25">
      <c r="A120">
        <v>96</v>
      </c>
      <c r="B120">
        <v>206.57732128325273</v>
      </c>
      <c r="C120">
        <v>4.0457394317998876</v>
      </c>
      <c r="U120">
        <v>96</v>
      </c>
      <c r="V120">
        <v>0.216819488251347</v>
      </c>
      <c r="W120">
        <v>2.3009634967697323</v>
      </c>
    </row>
    <row r="121" spans="1:23" x14ac:dyDescent="0.25">
      <c r="A121">
        <v>97</v>
      </c>
      <c r="B121">
        <v>206.28781953326583</v>
      </c>
      <c r="C121">
        <v>8.6628205514930698</v>
      </c>
      <c r="U121">
        <v>97</v>
      </c>
      <c r="V121">
        <v>0.198378812241361</v>
      </c>
      <c r="W121">
        <v>2.2430271784239837</v>
      </c>
    </row>
    <row r="122" spans="1:23" x14ac:dyDescent="0.25">
      <c r="A122">
        <v>98</v>
      </c>
      <c r="B122">
        <v>201.65579153347537</v>
      </c>
      <c r="C122">
        <v>15.615767815433315</v>
      </c>
      <c r="U122">
        <v>98</v>
      </c>
      <c r="V122">
        <v>-9.6672003918416571E-2</v>
      </c>
      <c r="W122">
        <v>1.8872139158211549</v>
      </c>
    </row>
    <row r="123" spans="1:23" x14ac:dyDescent="0.25">
      <c r="A123">
        <v>99</v>
      </c>
      <c r="B123">
        <v>197.5934282675301</v>
      </c>
      <c r="C123">
        <v>17.813739674335721</v>
      </c>
      <c r="U123">
        <v>99</v>
      </c>
      <c r="V123">
        <v>-0.35543632857467267</v>
      </c>
      <c r="W123">
        <v>1.1442711839873667</v>
      </c>
    </row>
    <row r="124" spans="1:23" x14ac:dyDescent="0.25">
      <c r="A124">
        <v>100</v>
      </c>
      <c r="B124">
        <v>195.79338109624055</v>
      </c>
      <c r="C124">
        <v>19.434099208157136</v>
      </c>
      <c r="U124">
        <v>100</v>
      </c>
      <c r="V124">
        <v>-0.47009569312063459</v>
      </c>
      <c r="W124">
        <v>0.39291391284157506</v>
      </c>
    </row>
    <row r="125" spans="1:23" x14ac:dyDescent="0.25">
      <c r="A125">
        <v>101</v>
      </c>
      <c r="B125">
        <v>190.93722270936345</v>
      </c>
      <c r="C125">
        <v>19.298588903203608</v>
      </c>
      <c r="U125">
        <v>101</v>
      </c>
      <c r="V125">
        <v>-0.77942316167524006</v>
      </c>
      <c r="W125">
        <v>-0.6358424857679521</v>
      </c>
    </row>
    <row r="126" spans="1:23" x14ac:dyDescent="0.25">
      <c r="A126">
        <v>102</v>
      </c>
      <c r="B126">
        <v>192.246984658901</v>
      </c>
      <c r="C126">
        <v>19.095513014218909</v>
      </c>
      <c r="U126">
        <v>102</v>
      </c>
      <c r="V126">
        <v>-0.69599397424296394</v>
      </c>
      <c r="W126">
        <v>-0.94804295277819794</v>
      </c>
    </row>
    <row r="127" spans="1:23" x14ac:dyDescent="0.25">
      <c r="A127">
        <v>103</v>
      </c>
      <c r="B127">
        <v>190.50997415897956</v>
      </c>
      <c r="C127">
        <v>20.321863499053165</v>
      </c>
      <c r="U127">
        <v>103</v>
      </c>
      <c r="V127">
        <v>-0.80663803030288084</v>
      </c>
      <c r="W127">
        <v>-1.3526057213376628</v>
      </c>
    </row>
    <row r="128" spans="1:23" x14ac:dyDescent="0.25">
      <c r="A128">
        <v>104</v>
      </c>
      <c r="B128">
        <v>191.81973610851708</v>
      </c>
      <c r="C128">
        <v>20.882633758021313</v>
      </c>
      <c r="U128">
        <v>104</v>
      </c>
      <c r="V128">
        <v>-0.72320884287060472</v>
      </c>
      <c r="W128">
        <v>-2.0079883448300055</v>
      </c>
    </row>
    <row r="129" spans="1:23" x14ac:dyDescent="0.25">
      <c r="A129">
        <v>105</v>
      </c>
      <c r="B129">
        <v>190.55822445064405</v>
      </c>
      <c r="C129">
        <v>26.411356218659932</v>
      </c>
      <c r="U129">
        <v>105</v>
      </c>
      <c r="V129">
        <v>-0.80356458430121624</v>
      </c>
      <c r="W129">
        <v>-2.2664546385586748</v>
      </c>
    </row>
    <row r="130" spans="1:23" x14ac:dyDescent="0.25">
      <c r="A130">
        <v>106</v>
      </c>
      <c r="B130">
        <v>194.22680307816626</v>
      </c>
      <c r="C130">
        <v>26.886285596181523</v>
      </c>
      <c r="U130">
        <v>106</v>
      </c>
      <c r="V130">
        <v>-0.56988354475531744</v>
      </c>
      <c r="W130">
        <v>-2.6195125293007822</v>
      </c>
    </row>
    <row r="131" spans="1:23" x14ac:dyDescent="0.25">
      <c r="A131">
        <v>107</v>
      </c>
      <c r="B131">
        <v>203.17567572090661</v>
      </c>
      <c r="C131">
        <v>18.734132858295652</v>
      </c>
      <c r="U131">
        <v>107</v>
      </c>
      <c r="V131">
        <v>1.4154513401032354E-4</v>
      </c>
      <c r="W131">
        <v>-2.9597694850701473</v>
      </c>
    </row>
    <row r="132" spans="1:23" x14ac:dyDescent="0.25">
      <c r="A132">
        <v>108</v>
      </c>
      <c r="B132">
        <v>216.15189125660996</v>
      </c>
      <c r="C132">
        <v>10.058172493813913</v>
      </c>
      <c r="U132">
        <v>108</v>
      </c>
      <c r="V132">
        <v>0.82670023274290261</v>
      </c>
      <c r="W132">
        <v>-2.0370236254878225</v>
      </c>
    </row>
    <row r="133" spans="1:23" x14ac:dyDescent="0.25">
      <c r="A133">
        <v>109</v>
      </c>
      <c r="B133">
        <v>216.63750709529765</v>
      </c>
      <c r="C133">
        <v>9.8149006311352025</v>
      </c>
      <c r="U133">
        <v>109</v>
      </c>
      <c r="V133">
        <v>0.85763297959836282</v>
      </c>
      <c r="W133">
        <v>-1.8481347759400275</v>
      </c>
    </row>
    <row r="134" spans="1:23" x14ac:dyDescent="0.25">
      <c r="A134">
        <v>110</v>
      </c>
      <c r="B134">
        <v>225.56036460382259</v>
      </c>
      <c r="C134">
        <v>11.16391883257802</v>
      </c>
      <c r="U134">
        <v>110</v>
      </c>
      <c r="V134">
        <v>1.4260009580490058</v>
      </c>
      <c r="W134">
        <v>-3.8272204531967873</v>
      </c>
    </row>
    <row r="135" spans="1:23" x14ac:dyDescent="0.25">
      <c r="A135">
        <v>111</v>
      </c>
      <c r="B135">
        <v>224.33731976833644</v>
      </c>
      <c r="C135">
        <v>7.7458939033448075</v>
      </c>
      <c r="U135">
        <v>111</v>
      </c>
      <c r="V135">
        <v>1.3480954754123478</v>
      </c>
      <c r="W135">
        <v>-3.2528690720632225</v>
      </c>
    </row>
    <row r="136" spans="1:23" x14ac:dyDescent="0.25">
      <c r="A136">
        <v>112</v>
      </c>
      <c r="B136">
        <v>222.0656649075521</v>
      </c>
      <c r="C136">
        <v>15.195145858224066</v>
      </c>
      <c r="U136">
        <v>112</v>
      </c>
      <c r="V136">
        <v>1.2033956547856017</v>
      </c>
      <c r="W136">
        <v>-3.9198589343493881</v>
      </c>
    </row>
    <row r="137" spans="1:23" x14ac:dyDescent="0.25">
      <c r="A137">
        <v>113</v>
      </c>
      <c r="B137">
        <v>231.26434954423277</v>
      </c>
      <c r="C137">
        <v>7.1084055695650932</v>
      </c>
      <c r="U137">
        <v>113</v>
      </c>
      <c r="V137">
        <v>1.7893332634899985</v>
      </c>
      <c r="W137">
        <v>-3.4175767462469349</v>
      </c>
    </row>
    <row r="138" spans="1:23" x14ac:dyDescent="0.25">
      <c r="A138">
        <v>114</v>
      </c>
      <c r="B138">
        <v>232.84960509456428</v>
      </c>
      <c r="C138">
        <v>7.2208391135815475</v>
      </c>
      <c r="U138">
        <v>114</v>
      </c>
      <c r="V138">
        <v>1.8903108361575836</v>
      </c>
      <c r="W138">
        <v>-3.7028397751438593</v>
      </c>
    </row>
    <row r="139" spans="1:23" x14ac:dyDescent="0.25">
      <c r="A139">
        <v>115</v>
      </c>
      <c r="B139">
        <v>247.83132065638657</v>
      </c>
      <c r="C139">
        <v>9.1588753934214822</v>
      </c>
      <c r="U139">
        <v>115</v>
      </c>
      <c r="V139">
        <v>2.8446158196743632</v>
      </c>
      <c r="W139">
        <v>-2.2534012547915001</v>
      </c>
    </row>
    <row r="140" spans="1:23" x14ac:dyDescent="0.25">
      <c r="A140">
        <v>116</v>
      </c>
      <c r="B140">
        <v>260.79819742596129</v>
      </c>
      <c r="C140">
        <v>3.7117110765415191</v>
      </c>
      <c r="U140">
        <v>116</v>
      </c>
      <c r="V140">
        <v>3.6705796467668037</v>
      </c>
      <c r="W140">
        <v>-1.9244450283340822</v>
      </c>
    </row>
    <row r="141" spans="1:23" x14ac:dyDescent="0.25">
      <c r="A141">
        <v>117</v>
      </c>
      <c r="B141">
        <v>272.43896940527344</v>
      </c>
      <c r="C141">
        <v>-7.6441738001565795</v>
      </c>
      <c r="U141">
        <v>117</v>
      </c>
      <c r="V141">
        <v>4.4120732805231802</v>
      </c>
      <c r="W141">
        <v>-1.4510570814713626</v>
      </c>
    </row>
    <row r="142" spans="1:23" x14ac:dyDescent="0.25">
      <c r="A142">
        <v>118</v>
      </c>
      <c r="B142">
        <v>277.50525003004424</v>
      </c>
      <c r="C142">
        <v>-4.8765725369151482</v>
      </c>
      <c r="U142">
        <v>118</v>
      </c>
      <c r="V142">
        <v>4.7347851106979366</v>
      </c>
      <c r="W142">
        <v>-1.2424657267050288</v>
      </c>
    </row>
    <row r="143" spans="1:23" x14ac:dyDescent="0.25">
      <c r="A143">
        <v>119</v>
      </c>
      <c r="B143">
        <v>281.63064996735761</v>
      </c>
      <c r="C143">
        <v>-13.670615114256975</v>
      </c>
      <c r="U143">
        <v>119</v>
      </c>
      <c r="V143">
        <v>4.997564743840238</v>
      </c>
      <c r="W143">
        <v>-0.64597439768826881</v>
      </c>
    </row>
    <row r="144" spans="1:23" x14ac:dyDescent="0.25">
      <c r="A144">
        <v>120</v>
      </c>
      <c r="B144">
        <v>282.42677977982163</v>
      </c>
      <c r="C144">
        <v>-5.8403834381568913</v>
      </c>
      <c r="U144">
        <v>120</v>
      </c>
      <c r="V144">
        <v>5.0482766028677002</v>
      </c>
      <c r="W144">
        <v>-0.35845599866625921</v>
      </c>
    </row>
    <row r="145" spans="1:23" x14ac:dyDescent="0.25">
      <c r="A145">
        <v>121</v>
      </c>
      <c r="B145">
        <v>282.57153065481509</v>
      </c>
      <c r="C145">
        <v>-6.8455251751884134</v>
      </c>
      <c r="U145">
        <v>121</v>
      </c>
      <c r="V145">
        <v>5.0574969408726931</v>
      </c>
      <c r="W145">
        <v>-7.6331429722938715E-2</v>
      </c>
    </row>
    <row r="146" spans="1:23" x14ac:dyDescent="0.25">
      <c r="A146">
        <v>122</v>
      </c>
      <c r="B146">
        <v>283.80191309225944</v>
      </c>
      <c r="C146">
        <v>-1.0386100088505827</v>
      </c>
      <c r="U146">
        <v>122</v>
      </c>
      <c r="V146">
        <v>5.135869813915134</v>
      </c>
      <c r="W146">
        <v>-1.2927876748014562</v>
      </c>
    </row>
    <row r="147" spans="1:23" x14ac:dyDescent="0.25">
      <c r="A147">
        <v>123</v>
      </c>
      <c r="B147">
        <v>290.67757965444838</v>
      </c>
      <c r="C147">
        <v>-8.1316322175405844</v>
      </c>
      <c r="U147">
        <v>123</v>
      </c>
      <c r="V147">
        <v>5.5738358691523029</v>
      </c>
      <c r="W147">
        <v>0.36023714007182761</v>
      </c>
    </row>
    <row r="148" spans="1:23" x14ac:dyDescent="0.25">
      <c r="A148">
        <v>124</v>
      </c>
      <c r="B148">
        <v>294.0792252167945</v>
      </c>
      <c r="C148">
        <v>-0.34345007847360876</v>
      </c>
      <c r="U148">
        <v>124</v>
      </c>
      <c r="V148">
        <v>5.7905138122696398</v>
      </c>
      <c r="W148">
        <v>0.27736562240368823</v>
      </c>
    </row>
    <row r="149" spans="1:23" x14ac:dyDescent="0.25">
      <c r="A149">
        <v>125</v>
      </c>
      <c r="B149">
        <v>295.81623571671594</v>
      </c>
      <c r="C149">
        <v>-3.0649219368715421</v>
      </c>
      <c r="U149">
        <v>125</v>
      </c>
      <c r="V149">
        <v>5.9011578683295562</v>
      </c>
      <c r="W149">
        <v>1.4092190453969602</v>
      </c>
    </row>
    <row r="150" spans="1:23" x14ac:dyDescent="0.25">
      <c r="A150">
        <v>126</v>
      </c>
      <c r="B150">
        <v>301.46151984146059</v>
      </c>
      <c r="C150">
        <v>-16.019906526052353</v>
      </c>
      <c r="U150">
        <v>126</v>
      </c>
      <c r="V150">
        <v>6.2607510505242843</v>
      </c>
      <c r="W150">
        <v>1.6449696603048807</v>
      </c>
    </row>
    <row r="151" spans="1:23" x14ac:dyDescent="0.25">
      <c r="A151">
        <v>127</v>
      </c>
      <c r="B151">
        <v>295.45435852923231</v>
      </c>
      <c r="C151">
        <v>-9.8055835502640321</v>
      </c>
      <c r="U151">
        <v>127</v>
      </c>
      <c r="V151">
        <v>5.8781070233170736</v>
      </c>
      <c r="W151">
        <v>1.5597356541396801</v>
      </c>
    </row>
    <row r="152" spans="1:23" x14ac:dyDescent="0.25">
      <c r="A152">
        <v>128</v>
      </c>
      <c r="B152">
        <v>287.58177868281422</v>
      </c>
      <c r="C152">
        <v>-4.5008533717359001</v>
      </c>
      <c r="U152">
        <v>128</v>
      </c>
      <c r="V152">
        <v>5.3766396079487428</v>
      </c>
      <c r="W152">
        <v>0.8873103890576628</v>
      </c>
    </row>
    <row r="153" spans="1:23" x14ac:dyDescent="0.25">
      <c r="A153">
        <v>129</v>
      </c>
      <c r="B153">
        <v>281.94427686317681</v>
      </c>
      <c r="C153">
        <v>-2.0513263841708067</v>
      </c>
      <c r="U153">
        <v>129</v>
      </c>
      <c r="V153">
        <v>5.0175421428510569</v>
      </c>
      <c r="W153">
        <v>1.6655511729794625E-2</v>
      </c>
    </row>
    <row r="154" spans="1:23" x14ac:dyDescent="0.25">
      <c r="A154">
        <v>130</v>
      </c>
      <c r="B154">
        <v>282.20965346733146</v>
      </c>
      <c r="C154">
        <v>-5.0747127524973621</v>
      </c>
      <c r="U154">
        <v>130</v>
      </c>
      <c r="V154">
        <v>5.0344460958602104</v>
      </c>
      <c r="W154">
        <v>0.11050708393271069</v>
      </c>
    </row>
    <row r="155" spans="1:23" x14ac:dyDescent="0.25">
      <c r="A155">
        <v>131</v>
      </c>
      <c r="B155">
        <v>279.7247634466105</v>
      </c>
      <c r="C155">
        <v>-8.6301700537889019</v>
      </c>
      <c r="U155">
        <v>131</v>
      </c>
      <c r="V155">
        <v>4.8761636267744972</v>
      </c>
      <c r="W155">
        <v>0.45299640053948131</v>
      </c>
    </row>
    <row r="156" spans="1:23" x14ac:dyDescent="0.25">
      <c r="A156">
        <v>132</v>
      </c>
      <c r="B156">
        <v>277.93716796349247</v>
      </c>
      <c r="C156">
        <v>-2.998484102171119</v>
      </c>
      <c r="U156">
        <v>132</v>
      </c>
      <c r="V156">
        <v>4.7622974095838027</v>
      </c>
      <c r="W156">
        <v>-0.18830726402517151</v>
      </c>
    </row>
    <row r="157" spans="1:23" x14ac:dyDescent="0.25">
      <c r="A157">
        <v>133</v>
      </c>
      <c r="B157">
        <v>277.21574828005737</v>
      </c>
      <c r="C157">
        <v>-19.86182488034359</v>
      </c>
      <c r="U157">
        <v>133</v>
      </c>
      <c r="V157">
        <v>4.7163444346879508</v>
      </c>
      <c r="W157">
        <v>4.0133169573842054E-2</v>
      </c>
    </row>
    <row r="158" spans="1:23" x14ac:dyDescent="0.25">
      <c r="A158">
        <v>134</v>
      </c>
      <c r="B158">
        <v>273.66935184271779</v>
      </c>
      <c r="C158">
        <v>-18.819141901836019</v>
      </c>
      <c r="U158">
        <v>134</v>
      </c>
      <c r="V158">
        <v>4.490446153565621</v>
      </c>
      <c r="W158">
        <v>-8.4838005240975178E-2</v>
      </c>
    </row>
    <row r="159" spans="1:23" x14ac:dyDescent="0.25">
      <c r="A159">
        <v>135</v>
      </c>
      <c r="B159">
        <v>276.5106714373473</v>
      </c>
      <c r="C159">
        <v>-18.247369777754557</v>
      </c>
      <c r="U159">
        <v>135</v>
      </c>
      <c r="V159">
        <v>4.6714324656958874</v>
      </c>
      <c r="W159">
        <v>0.67179966980474237</v>
      </c>
    </row>
    <row r="160" spans="1:23" x14ac:dyDescent="0.25">
      <c r="A160">
        <v>136</v>
      </c>
      <c r="B160">
        <v>275.91299040511626</v>
      </c>
      <c r="C160">
        <v>-20.678205648588403</v>
      </c>
      <c r="U160">
        <v>136</v>
      </c>
      <c r="V160">
        <v>4.6333613926430139</v>
      </c>
      <c r="W160">
        <v>1.0267568323422633</v>
      </c>
    </row>
    <row r="161" spans="1:23" x14ac:dyDescent="0.25">
      <c r="A161">
        <v>137</v>
      </c>
      <c r="B161">
        <v>272.83353227420719</v>
      </c>
      <c r="C161">
        <v>-16.89402945189164</v>
      </c>
      <c r="U161">
        <v>137</v>
      </c>
      <c r="V161">
        <v>4.4372061373432423</v>
      </c>
      <c r="W161">
        <v>1.0208781555736781</v>
      </c>
    </row>
    <row r="162" spans="1:23" x14ac:dyDescent="0.25">
      <c r="A162">
        <v>138</v>
      </c>
      <c r="B162">
        <v>270.19533084287491</v>
      </c>
      <c r="C162">
        <v>-10.675106451296131</v>
      </c>
      <c r="U162">
        <v>138</v>
      </c>
      <c r="V162">
        <v>4.2691580414457881</v>
      </c>
      <c r="W162">
        <v>1.0929768130331983</v>
      </c>
    </row>
    <row r="163" spans="1:23" x14ac:dyDescent="0.25">
      <c r="A163">
        <v>139</v>
      </c>
      <c r="B163">
        <v>268.2411940304633</v>
      </c>
      <c r="C163">
        <v>-13.216513319313265</v>
      </c>
      <c r="U163">
        <v>139</v>
      </c>
      <c r="V163">
        <v>4.1446834783783819</v>
      </c>
      <c r="W163">
        <v>0.83253161733418413</v>
      </c>
    </row>
    <row r="164" spans="1:23" x14ac:dyDescent="0.25">
      <c r="A164">
        <v>140</v>
      </c>
      <c r="B164">
        <v>270.12295540537821</v>
      </c>
      <c r="C164">
        <v>-13.997367849203272</v>
      </c>
      <c r="U164">
        <v>140</v>
      </c>
      <c r="V164">
        <v>4.2645478724432913</v>
      </c>
      <c r="W164">
        <v>0.98333044902212663</v>
      </c>
    </row>
    <row r="165" spans="1:23" x14ac:dyDescent="0.25">
      <c r="A165">
        <v>141</v>
      </c>
      <c r="B165">
        <v>269.54395190540436</v>
      </c>
      <c r="C165">
        <v>-6.6400354410101841</v>
      </c>
      <c r="U165">
        <v>141</v>
      </c>
      <c r="V165">
        <v>4.2276665204233197</v>
      </c>
      <c r="W165">
        <v>0.84577623372365096</v>
      </c>
    </row>
    <row r="166" spans="1:23" x14ac:dyDescent="0.25">
      <c r="A166">
        <v>142</v>
      </c>
      <c r="B166">
        <v>268.1688185929666</v>
      </c>
      <c r="C166">
        <v>-10.111469673143404</v>
      </c>
      <c r="U166">
        <v>142</v>
      </c>
      <c r="V166">
        <v>4.1400733093758859</v>
      </c>
      <c r="W166">
        <v>0.81280892598253551</v>
      </c>
    </row>
    <row r="167" spans="1:23" x14ac:dyDescent="0.25">
      <c r="A167">
        <v>143</v>
      </c>
      <c r="B167">
        <v>270.26770628037167</v>
      </c>
      <c r="C167">
        <v>-6.8239916817541939</v>
      </c>
      <c r="U167">
        <v>143</v>
      </c>
      <c r="V167">
        <v>4.273768210448285</v>
      </c>
      <c r="W167">
        <v>0.38168472518967622</v>
      </c>
    </row>
    <row r="168" spans="1:23" x14ac:dyDescent="0.25">
      <c r="A168">
        <v>144</v>
      </c>
      <c r="B168">
        <v>275.95034546963069</v>
      </c>
      <c r="C168">
        <v>-15.720297438833768</v>
      </c>
      <c r="U168">
        <v>144</v>
      </c>
      <c r="V168">
        <v>4.6357408347088178</v>
      </c>
      <c r="W168">
        <v>0.42412161329687059</v>
      </c>
    </row>
    <row r="169" spans="1:23" x14ac:dyDescent="0.25">
      <c r="A169">
        <v>145</v>
      </c>
      <c r="B169">
        <v>280.93958127384053</v>
      </c>
      <c r="C169">
        <v>-18.055555092432712</v>
      </c>
      <c r="U169">
        <v>145</v>
      </c>
      <c r="V169">
        <v>4.9535450656228521</v>
      </c>
      <c r="W169">
        <v>1.5528069050929894</v>
      </c>
    </row>
    <row r="170" spans="1:23" x14ac:dyDescent="0.25">
      <c r="A170">
        <v>146</v>
      </c>
      <c r="B170">
        <v>284.09141484224631</v>
      </c>
      <c r="C170">
        <v>-13.499998133792872</v>
      </c>
      <c r="U170">
        <v>146</v>
      </c>
      <c r="V170">
        <v>5.1543104899251206</v>
      </c>
      <c r="W170">
        <v>-0.18228725662405587</v>
      </c>
    </row>
    <row r="171" spans="1:23" x14ac:dyDescent="0.25">
      <c r="A171">
        <v>147</v>
      </c>
      <c r="B171">
        <v>283.85327630596674</v>
      </c>
      <c r="C171">
        <v>-12.072082551733786</v>
      </c>
      <c r="U171">
        <v>147</v>
      </c>
      <c r="V171">
        <v>5.1391415467556154</v>
      </c>
      <c r="W171">
        <v>0.34609110569319235</v>
      </c>
    </row>
    <row r="172" spans="1:23" x14ac:dyDescent="0.25">
      <c r="A172">
        <v>148</v>
      </c>
      <c r="B172">
        <v>287.92731302957282</v>
      </c>
      <c r="C172">
        <v>-14.419848504421623</v>
      </c>
      <c r="U172">
        <v>148</v>
      </c>
      <c r="V172">
        <v>5.3986494470574353</v>
      </c>
      <c r="W172">
        <v>-0.26469126643996876</v>
      </c>
    </row>
    <row r="173" spans="1:23" x14ac:dyDescent="0.25">
      <c r="A173">
        <v>149</v>
      </c>
      <c r="B173">
        <v>292.24882705558696</v>
      </c>
      <c r="C173">
        <v>-16.831160354929239</v>
      </c>
      <c r="U173">
        <v>149</v>
      </c>
      <c r="V173">
        <v>5.673921151045211</v>
      </c>
      <c r="W173">
        <v>-0.20238852280445574</v>
      </c>
    </row>
    <row r="174" spans="1:23" x14ac:dyDescent="0.25">
      <c r="A174">
        <v>150</v>
      </c>
      <c r="B174">
        <v>293.57259715431746</v>
      </c>
      <c r="C174">
        <v>-17.385155393960986</v>
      </c>
      <c r="U174">
        <v>150</v>
      </c>
      <c r="V174">
        <v>5.7582426292521642</v>
      </c>
      <c r="W174">
        <v>-0.58848010572419263</v>
      </c>
    </row>
    <row r="175" spans="1:23" x14ac:dyDescent="0.25">
      <c r="A175">
        <v>151</v>
      </c>
      <c r="B175">
        <v>295.52673396672901</v>
      </c>
      <c r="C175">
        <v>-19.875002583115418</v>
      </c>
      <c r="U175">
        <v>151</v>
      </c>
      <c r="V175">
        <v>5.8827171923195696</v>
      </c>
      <c r="W175">
        <v>-0.55035779883985647</v>
      </c>
    </row>
    <row r="176" spans="1:23" x14ac:dyDescent="0.25">
      <c r="A176">
        <v>152</v>
      </c>
      <c r="B176">
        <v>296.25048834169627</v>
      </c>
      <c r="C176">
        <v>-19.45879114043737</v>
      </c>
      <c r="U176">
        <v>152</v>
      </c>
      <c r="V176">
        <v>5.9288188823445358</v>
      </c>
      <c r="W176">
        <v>-0.54292323858417113</v>
      </c>
    </row>
    <row r="177" spans="1:23" x14ac:dyDescent="0.25">
      <c r="A177">
        <v>153</v>
      </c>
      <c r="B177">
        <v>295.9609865917094</v>
      </c>
      <c r="C177">
        <v>-22.465056278291172</v>
      </c>
      <c r="U177">
        <v>153</v>
      </c>
      <c r="V177">
        <v>5.9103782063345491</v>
      </c>
      <c r="W177">
        <v>-0.67779948971438131</v>
      </c>
    </row>
    <row r="178" spans="1:23" x14ac:dyDescent="0.25">
      <c r="A178">
        <v>154</v>
      </c>
      <c r="B178">
        <v>299.50738302904898</v>
      </c>
      <c r="C178">
        <v>-24.426348469352831</v>
      </c>
      <c r="U178">
        <v>154</v>
      </c>
      <c r="V178">
        <v>6.1362764874568789</v>
      </c>
      <c r="W178">
        <v>-0.37290892192238267</v>
      </c>
    </row>
    <row r="179" spans="1:23" x14ac:dyDescent="0.25">
      <c r="A179">
        <v>155</v>
      </c>
      <c r="B179">
        <v>301.09964265397696</v>
      </c>
      <c r="C179">
        <v>-23.143437351268858</v>
      </c>
      <c r="U179">
        <v>155</v>
      </c>
      <c r="V179">
        <v>6.2377002055118016</v>
      </c>
      <c r="W179">
        <v>-0.32160668728938813</v>
      </c>
    </row>
    <row r="180" spans="1:23" ht="15.75" thickBot="1" x14ac:dyDescent="0.3">
      <c r="A180" s="26">
        <v>156</v>
      </c>
      <c r="B180" s="26">
        <v>302.54715140391147</v>
      </c>
      <c r="C180" s="26">
        <v>-27.266417745188107</v>
      </c>
      <c r="U180" s="26">
        <v>156</v>
      </c>
      <c r="V180" s="26">
        <v>6.3299035855617323</v>
      </c>
      <c r="W180" s="26">
        <v>0.21545821008671417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D676118-F1CA-4543-B265-FE42AD7B4A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IPEA_razao_capital_produto</vt:lpstr>
      <vt:lpstr>FGV_NUCI</vt:lpstr>
      <vt:lpstr>parametro_v_un</vt:lpstr>
      <vt:lpstr>BCB_expec_IPCA</vt:lpstr>
      <vt:lpstr>BCB_ipca_acum12m</vt:lpstr>
      <vt:lpstr>BCB_selic</vt:lpstr>
      <vt:lpstr>parametro_i</vt:lpstr>
      <vt:lpstr>PAIM_B</vt:lpstr>
      <vt:lpstr>PAIM_Z</vt:lpstr>
      <vt:lpstr>parametro_r</vt:lpstr>
      <vt:lpstr>BCB_TX_JUROS</vt:lpstr>
      <vt:lpstr>parametro_lambda</vt:lpstr>
      <vt:lpstr>parametro_lambda (2)</vt:lpstr>
      <vt:lpstr>regressões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Paim</dc:creator>
  <cp:lastModifiedBy>Bruno Paim</cp:lastModifiedBy>
  <dcterms:created xsi:type="dcterms:W3CDTF">2026-09-23T17:30:16Z</dcterms:created>
  <dcterms:modified xsi:type="dcterms:W3CDTF">2026-09-25T14:31:58Z</dcterms:modified>
</cp:coreProperties>
</file>