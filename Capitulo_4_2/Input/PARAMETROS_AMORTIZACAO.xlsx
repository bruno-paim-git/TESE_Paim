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TESE_Paim/Capitulo_4_2/Input/"/>
    </mc:Choice>
  </mc:AlternateContent>
  <xr:revisionPtr revIDLastSave="0" documentId="8_{7FA988E0-CFAC-4C39-A986-91F3438C22C2}" xr6:coauthVersionLast="47" xr6:coauthVersionMax="47" xr10:uidLastSave="{00000000-0000-0000-0000-000000000000}"/>
  <bookViews>
    <workbookView xWindow="-120" yWindow="-120" windowWidth="29040" windowHeight="15720" xr2:uid="{3E95F754-1853-4E39-9194-95AE15372CFF}"/>
  </bookViews>
  <sheets>
    <sheet name="rotativo" sheetId="4" r:id="rId1"/>
    <sheet name="imobiliario" sheetId="2" r:id="rId2"/>
  </sheets>
  <definedNames>
    <definedName name="DadosExternos_1" localSheetId="1" hidden="1">imobiliario!$A$1:$C$164</definedName>
    <definedName name="DadosExternos_1" localSheetId="0" hidden="1">rotativo!$A$1:$C$164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4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3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J1" i="4" s="1"/>
  <c r="J1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4" i="2"/>
  <c r="G5" i="2"/>
  <c r="G6" i="2"/>
  <c r="G7" i="2"/>
  <c r="G8" i="2"/>
  <c r="G9" i="2"/>
  <c r="G10" i="2"/>
  <c r="G11" i="2"/>
  <c r="G12" i="2"/>
  <c r="G13" i="2"/>
  <c r="G3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4" i="2"/>
  <c r="F5" i="2"/>
  <c r="F6" i="2"/>
  <c r="F7" i="2"/>
  <c r="F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A05CEF-1E3D-4C79-B7CF-5C7B8270E93B}" keepAlive="1" name="Consulta - imobiliario" description="Conexão com a consulta 'imobiliario' na pasta de trabalho." type="5" refreshedVersion="8" background="1" saveData="1">
    <dbPr connection="Provider=Microsoft.Mashup.OleDb.1;Data Source=$Workbook$;Location=imobiliario;Extended Properties=&quot;&quot;" command="SELECT * FROM [imobiliario]"/>
  </connection>
  <connection id="2" xr16:uid="{1780540B-863F-45E7-B167-ECB1578622A6}" keepAlive="1" name="Consulta - rotativo" description="Conexão com a consulta 'rotativo' na pasta de trabalho." type="5" refreshedVersion="8" background="1" saveData="1">
    <dbPr connection="Provider=Microsoft.Mashup.OleDb.1;Data Source=$Workbook$;Location=rotativo;Extended Properties=&quot;&quot;" command="SELECT * FROM [rotativo]"/>
  </connection>
</connections>
</file>

<file path=xl/sharedStrings.xml><?xml version="1.0" encoding="utf-8"?>
<sst xmlns="http://schemas.openxmlformats.org/spreadsheetml/2006/main" count="10" uniqueCount="4">
  <si>
    <t>date</t>
  </si>
  <si>
    <t>SALDO</t>
  </si>
  <si>
    <t>AMORTIZACAO</t>
  </si>
  <si>
    <t>média 2014-2025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</si>
</sst>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orcentagem" xfId="1" builtinId="5"/>
  </cellStyles>
  <dxfs count="3"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F377427-9E49-45AF-BBDE-EBF3CDB549FD}" autoFormatId="16" applyNumberFormats="0" applyBorderFormats="0" applyFontFormats="0" applyPatternFormats="0" applyAlignmentFormats="0" applyWidthHeightFormats="0">
  <queryTableRefresh nextId="5">
    <queryTableFields count="3">
      <queryTableField id="1" name="date" tableColumnId="1"/>
      <queryTableField id="2" name="SALDO" tableColumnId="2"/>
      <queryTableField id="3" name="AMORTIZACAO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9860A1A-1419-4533-B4D2-45BEF1695E7C}" autoFormatId="16" applyNumberFormats="0" applyBorderFormats="0" applyFontFormats="0" applyPatternFormats="0" applyAlignmentFormats="0" applyWidthHeightFormats="0">
  <queryTableRefresh nextId="5">
    <queryTableFields count="3">
      <queryTableField id="1" name="date" tableColumnId="1"/>
      <queryTableField id="2" name="SALDO" tableColumnId="2"/>
      <queryTableField id="3" name="AMORTIZACA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F6D056-AB8D-4104-AD4C-FF60B40FB049}" name="rotativo_" displayName="rotativo_" ref="A1:C164" tableType="queryTable" totalsRowShown="0">
  <autoFilter ref="A1:C164" xr:uid="{F1F6D056-AB8D-4104-AD4C-FF60B40FB049}"/>
  <tableColumns count="3">
    <tableColumn id="1" xr3:uid="{B3F2AA89-0171-42F0-8032-5CE9109F4E97}" uniqueName="1" name="date" queryTableFieldId="1" dataDxfId="0"/>
    <tableColumn id="2" xr3:uid="{0ADA7ECB-4BC2-4DEE-8CCA-2D98B7192013}" uniqueName="2" name="SALDO" queryTableFieldId="2"/>
    <tableColumn id="3" xr3:uid="{57DCD3EC-B8B8-4776-B4E9-6CA898E1D375}" uniqueName="3" name="AMORTIZACAO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A32AB-D95E-49DF-8165-031305D6078C}" name="imobiliario" displayName="imobiliario" ref="A1:C164" tableType="queryTable" totalsRowShown="0">
  <autoFilter ref="A1:C164" xr:uid="{C16A32AB-D95E-49DF-8165-031305D6078C}"/>
  <tableColumns count="3">
    <tableColumn id="1" xr3:uid="{668BABD6-BB9F-4C14-87E8-C7152CADB00A}" uniqueName="1" name="date" queryTableFieldId="1" dataDxfId="2"/>
    <tableColumn id="2" xr3:uid="{3F9CB3A8-2764-4120-AC91-4B40D20C3D5F}" uniqueName="2" name="SALDO" queryTableFieldId="2" dataDxfId="1"/>
    <tableColumn id="3" xr3:uid="{9310FCE9-2BD7-45E3-93D8-1E5A627D375A}" uniqueName="3" name="AMORTIZACAO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3AB9-621C-4CBB-88A3-7FA36F0DDBA7}">
  <dimension ref="A1:J164"/>
  <sheetViews>
    <sheetView tabSelected="1" workbookViewId="0">
      <selection activeCell="M12" sqref="M12"/>
    </sheetView>
  </sheetViews>
  <sheetFormatPr defaultRowHeight="15" x14ac:dyDescent="0.25"/>
  <cols>
    <col min="1" max="1" width="10.42578125" bestFit="1" customWidth="1"/>
    <col min="2" max="2" width="9.42578125" bestFit="1" customWidth="1"/>
    <col min="3" max="3" width="16.5703125" bestFit="1" customWidth="1"/>
    <col min="4" max="4" width="12" bestFit="1" customWidth="1"/>
    <col min="5" max="5" width="10.42578125" bestFit="1" customWidth="1"/>
    <col min="6" max="8" width="9.140625" style="3"/>
    <col min="9" max="9" width="15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E1" t="s">
        <v>0</v>
      </c>
      <c r="I1" t="s">
        <v>3</v>
      </c>
      <c r="J1" s="4">
        <f>AVERAGE(G:G)</f>
        <v>0.78927363371232573</v>
      </c>
    </row>
    <row r="2" spans="1:10" x14ac:dyDescent="0.25">
      <c r="A2" s="1">
        <v>41275</v>
      </c>
      <c r="B2">
        <v>56448</v>
      </c>
      <c r="C2">
        <v>6795.4406546948649</v>
      </c>
      <c r="E2" s="1">
        <v>41275</v>
      </c>
    </row>
    <row r="3" spans="1:10" x14ac:dyDescent="0.25">
      <c r="A3" s="1">
        <v>41306</v>
      </c>
      <c r="B3">
        <v>58497</v>
      </c>
      <c r="C3">
        <v>7295.2401476194209</v>
      </c>
      <c r="E3" s="1">
        <v>41306</v>
      </c>
      <c r="F3" s="3">
        <f>rotativo_[[#This Row],[AMORTIZACAO]]/B2</f>
        <v>0.12923823957659122</v>
      </c>
      <c r="G3" s="3">
        <f>(1-(1-F3)^12)</f>
        <v>0.8099831192866056</v>
      </c>
    </row>
    <row r="4" spans="1:10" x14ac:dyDescent="0.25">
      <c r="A4" s="1">
        <v>41334</v>
      </c>
      <c r="B4">
        <v>58023</v>
      </c>
      <c r="C4">
        <v>7086.6996200865988</v>
      </c>
      <c r="E4" s="1">
        <v>41334</v>
      </c>
      <c r="F4" s="3">
        <f>rotativo_[[#This Row],[AMORTIZACAO]]/B3</f>
        <v>0.12114637708064685</v>
      </c>
      <c r="G4" s="3">
        <f t="shared" ref="G4:G67" si="0">(1-(1-F4)^12)</f>
        <v>0.78767625368478844</v>
      </c>
    </row>
    <row r="5" spans="1:10" x14ac:dyDescent="0.25">
      <c r="A5" s="1">
        <v>41365</v>
      </c>
      <c r="B5">
        <v>58696</v>
      </c>
      <c r="C5">
        <v>7124.455558846772</v>
      </c>
      <c r="E5" s="1">
        <v>41365</v>
      </c>
      <c r="F5" s="3">
        <f>rotativo_[[#This Row],[AMORTIZACAO]]/B4</f>
        <v>0.12278674937260693</v>
      </c>
      <c r="G5" s="3">
        <f t="shared" si="0"/>
        <v>0.79238334063711346</v>
      </c>
    </row>
    <row r="6" spans="1:10" x14ac:dyDescent="0.25">
      <c r="A6" s="1">
        <v>41395</v>
      </c>
      <c r="B6">
        <v>58448</v>
      </c>
      <c r="C6">
        <v>7052.7901543187218</v>
      </c>
      <c r="E6" s="1">
        <v>41395</v>
      </c>
      <c r="F6" s="3">
        <f>rotativo_[[#This Row],[AMORTIZACAO]]/B5</f>
        <v>0.12015793502655585</v>
      </c>
      <c r="G6" s="3">
        <f t="shared" si="0"/>
        <v>0.78479286818839844</v>
      </c>
    </row>
    <row r="7" spans="1:10" x14ac:dyDescent="0.25">
      <c r="A7" s="1">
        <v>41426</v>
      </c>
      <c r="B7">
        <v>58312</v>
      </c>
      <c r="C7">
        <v>7158.9924458915693</v>
      </c>
      <c r="E7" s="1">
        <v>41426</v>
      </c>
      <c r="F7" s="3">
        <f>rotativo_[[#This Row],[AMORTIZACAO]]/B6</f>
        <v>0.122484814636798</v>
      </c>
      <c r="G7" s="3">
        <f t="shared" si="0"/>
        <v>0.79152418140183267</v>
      </c>
    </row>
    <row r="8" spans="1:10" x14ac:dyDescent="0.25">
      <c r="A8" s="1">
        <v>41456</v>
      </c>
      <c r="B8">
        <v>58335</v>
      </c>
      <c r="C8">
        <v>7023.3228893699397</v>
      </c>
      <c r="E8" s="1">
        <v>41456</v>
      </c>
      <c r="F8" s="3">
        <f>rotativo_[[#This Row],[AMORTIZACAO]]/B7</f>
        <v>0.12044386900414905</v>
      </c>
      <c r="G8" s="3">
        <f t="shared" si="0"/>
        <v>0.78563063438979031</v>
      </c>
    </row>
    <row r="9" spans="1:10" x14ac:dyDescent="0.25">
      <c r="A9" s="1">
        <v>41487</v>
      </c>
      <c r="B9">
        <v>58901</v>
      </c>
      <c r="C9">
        <v>7125.9032742450308</v>
      </c>
      <c r="E9" s="1">
        <v>41487</v>
      </c>
      <c r="F9" s="3">
        <f>rotativo_[[#This Row],[AMORTIZACAO]]/B8</f>
        <v>0.12215485170558037</v>
      </c>
      <c r="G9" s="3">
        <f t="shared" si="0"/>
        <v>0.79058154151838245</v>
      </c>
    </row>
    <row r="10" spans="1:10" x14ac:dyDescent="0.25">
      <c r="A10" s="1">
        <v>41518</v>
      </c>
      <c r="B10">
        <v>60605</v>
      </c>
      <c r="C10">
        <v>7389.7849468554195</v>
      </c>
      <c r="E10" s="1">
        <v>41518</v>
      </c>
      <c r="F10" s="3">
        <f>rotativo_[[#This Row],[AMORTIZACAO]]/B9</f>
        <v>0.12546111181228536</v>
      </c>
      <c r="G10" s="3">
        <f t="shared" si="0"/>
        <v>0.79985280287195815</v>
      </c>
    </row>
    <row r="11" spans="1:10" x14ac:dyDescent="0.25">
      <c r="A11" s="1">
        <v>41548</v>
      </c>
      <c r="B11">
        <v>59980</v>
      </c>
      <c r="C11">
        <v>7181.5396311209397</v>
      </c>
      <c r="E11" s="1">
        <v>41548</v>
      </c>
      <c r="F11" s="3">
        <f>rotativo_[[#This Row],[AMORTIZACAO]]/B10</f>
        <v>0.11849747761935385</v>
      </c>
      <c r="G11" s="3">
        <f t="shared" si="0"/>
        <v>0.77986823678531914</v>
      </c>
    </row>
    <row r="12" spans="1:10" x14ac:dyDescent="0.25">
      <c r="A12" s="1">
        <v>41579</v>
      </c>
      <c r="B12">
        <v>59710</v>
      </c>
      <c r="C12">
        <v>7296.1503660956405</v>
      </c>
      <c r="E12" s="1">
        <v>41579</v>
      </c>
      <c r="F12" s="3">
        <f>rotativo_[[#This Row],[AMORTIZACAO]]/B11</f>
        <v>0.12164305378618941</v>
      </c>
      <c r="G12" s="3">
        <f t="shared" si="0"/>
        <v>0.78911170211934933</v>
      </c>
    </row>
    <row r="13" spans="1:10" x14ac:dyDescent="0.25">
      <c r="A13" s="1">
        <v>41609</v>
      </c>
      <c r="B13">
        <v>57843</v>
      </c>
      <c r="C13">
        <v>7045.7462391032004</v>
      </c>
      <c r="E13" s="1">
        <v>41609</v>
      </c>
      <c r="F13" s="3">
        <f>rotativo_[[#This Row],[AMORTIZACAO]]/B12</f>
        <v>0.11799943458555016</v>
      </c>
      <c r="G13" s="3">
        <f t="shared" si="0"/>
        <v>0.77837111452625363</v>
      </c>
    </row>
    <row r="14" spans="1:10" x14ac:dyDescent="0.25">
      <c r="A14" s="1">
        <v>41640</v>
      </c>
      <c r="B14">
        <v>60204</v>
      </c>
      <c r="C14">
        <v>7304.84131225495</v>
      </c>
      <c r="E14" s="1">
        <v>41640</v>
      </c>
      <c r="F14" s="3">
        <f>rotativo_[[#This Row],[AMORTIZACAO]]/B13</f>
        <v>0.12628738675820669</v>
      </c>
      <c r="G14" s="3">
        <f t="shared" si="0"/>
        <v>0.80211026599976731</v>
      </c>
    </row>
    <row r="15" spans="1:10" x14ac:dyDescent="0.25">
      <c r="A15" s="1">
        <v>41671</v>
      </c>
      <c r="B15">
        <v>64421</v>
      </c>
      <c r="C15">
        <v>8088.7153530646701</v>
      </c>
      <c r="E15" s="1">
        <v>41671</v>
      </c>
      <c r="F15" s="3">
        <f>rotativo_[[#This Row],[AMORTIZACAO]]/B14</f>
        <v>0.13435511515953541</v>
      </c>
      <c r="G15" s="3">
        <f t="shared" si="0"/>
        <v>0.82295763390155052</v>
      </c>
    </row>
    <row r="16" spans="1:10" x14ac:dyDescent="0.25">
      <c r="A16" s="1">
        <v>41699</v>
      </c>
      <c r="B16">
        <v>65806</v>
      </c>
      <c r="C16">
        <v>8018.0371013550994</v>
      </c>
      <c r="E16" s="1">
        <v>41699</v>
      </c>
      <c r="F16" s="3">
        <f>rotativo_[[#This Row],[AMORTIZACAO]]/B15</f>
        <v>0.12446309590591731</v>
      </c>
      <c r="G16" s="3">
        <f t="shared" si="0"/>
        <v>0.79709465987300643</v>
      </c>
    </row>
    <row r="17" spans="1:7" x14ac:dyDescent="0.25">
      <c r="A17" s="1">
        <v>41730</v>
      </c>
      <c r="B17">
        <v>67389</v>
      </c>
      <c r="C17">
        <v>8279.2475359744603</v>
      </c>
      <c r="E17" s="1">
        <v>41730</v>
      </c>
      <c r="F17" s="3">
        <f>rotativo_[[#This Row],[AMORTIZACAO]]/B16</f>
        <v>0.12581295833167888</v>
      </c>
      <c r="G17" s="3">
        <f t="shared" si="0"/>
        <v>0.80081695179927659</v>
      </c>
    </row>
    <row r="18" spans="1:7" x14ac:dyDescent="0.25">
      <c r="A18" s="1">
        <v>41760</v>
      </c>
      <c r="B18">
        <v>67073</v>
      </c>
      <c r="C18">
        <v>8183.0699506840001</v>
      </c>
      <c r="E18" s="1">
        <v>41760</v>
      </c>
      <c r="F18" s="3">
        <f>rotativo_[[#This Row],[AMORTIZACAO]]/B17</f>
        <v>0.12143035140281055</v>
      </c>
      <c r="G18" s="3">
        <f t="shared" si="0"/>
        <v>0.78849806227353925</v>
      </c>
    </row>
    <row r="19" spans="1:7" x14ac:dyDescent="0.25">
      <c r="A19" s="1">
        <v>41791</v>
      </c>
      <c r="B19">
        <v>69107</v>
      </c>
      <c r="C19">
        <v>8512.3435907810308</v>
      </c>
      <c r="E19" s="1">
        <v>41791</v>
      </c>
      <c r="F19" s="3">
        <f>rotativo_[[#This Row],[AMORTIZACAO]]/B18</f>
        <v>0.12691162749215079</v>
      </c>
      <c r="G19" s="3">
        <f t="shared" si="0"/>
        <v>0.8038002481855353</v>
      </c>
    </row>
    <row r="20" spans="1:7" x14ac:dyDescent="0.25">
      <c r="A20" s="1">
        <v>41821</v>
      </c>
      <c r="B20">
        <v>67469</v>
      </c>
      <c r="C20">
        <v>8217.7454447441596</v>
      </c>
      <c r="E20" s="1">
        <v>41821</v>
      </c>
      <c r="F20" s="3">
        <f>rotativo_[[#This Row],[AMORTIZACAO]]/B19</f>
        <v>0.11891335819445439</v>
      </c>
      <c r="G20" s="3">
        <f t="shared" si="0"/>
        <v>0.78111126912499551</v>
      </c>
    </row>
    <row r="21" spans="1:7" x14ac:dyDescent="0.25">
      <c r="A21" s="1">
        <v>41852</v>
      </c>
      <c r="B21">
        <v>67445</v>
      </c>
      <c r="C21">
        <v>8305.1659953297894</v>
      </c>
      <c r="E21" s="1">
        <v>41852</v>
      </c>
      <c r="F21" s="3">
        <f>rotativo_[[#This Row],[AMORTIZACAO]]/B20</f>
        <v>0.12309602921830455</v>
      </c>
      <c r="G21" s="3">
        <f t="shared" si="0"/>
        <v>0.79326003436029291</v>
      </c>
    </row>
    <row r="22" spans="1:7" x14ac:dyDescent="0.25">
      <c r="A22" s="1">
        <v>41883</v>
      </c>
      <c r="B22">
        <v>68419</v>
      </c>
      <c r="C22">
        <v>8443.1426191096798</v>
      </c>
      <c r="E22" s="1">
        <v>41883</v>
      </c>
      <c r="F22" s="3">
        <f>rotativo_[[#This Row],[AMORTIZACAO]]/B21</f>
        <v>0.1251855974365732</v>
      </c>
      <c r="G22" s="3">
        <f t="shared" si="0"/>
        <v>0.7990948389315542</v>
      </c>
    </row>
    <row r="23" spans="1:7" x14ac:dyDescent="0.25">
      <c r="A23" s="1">
        <v>41913</v>
      </c>
      <c r="B23">
        <v>68209</v>
      </c>
      <c r="C23">
        <v>8418.1790180473599</v>
      </c>
      <c r="E23" s="1">
        <v>41913</v>
      </c>
      <c r="F23" s="3">
        <f>rotativo_[[#This Row],[AMORTIZACAO]]/B22</f>
        <v>0.123038615268381</v>
      </c>
      <c r="G23" s="3">
        <f t="shared" si="0"/>
        <v>0.7930975440483079</v>
      </c>
    </row>
    <row r="24" spans="1:7" x14ac:dyDescent="0.25">
      <c r="A24" s="1">
        <v>41944</v>
      </c>
      <c r="B24">
        <v>67337</v>
      </c>
      <c r="C24">
        <v>8470.9058064982019</v>
      </c>
      <c r="E24" s="1">
        <v>41944</v>
      </c>
      <c r="F24" s="3">
        <f>rotativo_[[#This Row],[AMORTIZACAO]]/B23</f>
        <v>0.12419044123939953</v>
      </c>
      <c r="G24" s="3">
        <f t="shared" si="0"/>
        <v>0.79633510844065258</v>
      </c>
    </row>
    <row r="25" spans="1:7" x14ac:dyDescent="0.25">
      <c r="A25" s="1">
        <v>41974</v>
      </c>
      <c r="B25">
        <v>64870</v>
      </c>
      <c r="C25">
        <v>8049.6963651297301</v>
      </c>
      <c r="E25" s="1">
        <v>41974</v>
      </c>
      <c r="F25" s="3">
        <f>rotativo_[[#This Row],[AMORTIZACAO]]/B24</f>
        <v>0.11954343622569658</v>
      </c>
      <c r="G25" s="3">
        <f t="shared" si="0"/>
        <v>0.78298226549925443</v>
      </c>
    </row>
    <row r="26" spans="1:7" x14ac:dyDescent="0.25">
      <c r="A26" s="1">
        <v>42005</v>
      </c>
      <c r="B26">
        <v>68097</v>
      </c>
      <c r="C26">
        <v>8503.6816229283995</v>
      </c>
      <c r="E26" s="1">
        <v>42005</v>
      </c>
      <c r="F26" s="3">
        <f>rotativo_[[#This Row],[AMORTIZACAO]]/B25</f>
        <v>0.13108804721640818</v>
      </c>
      <c r="G26" s="3">
        <f t="shared" si="0"/>
        <v>0.81477088266254238</v>
      </c>
    </row>
    <row r="27" spans="1:7" x14ac:dyDescent="0.25">
      <c r="A27" s="1">
        <v>42036</v>
      </c>
      <c r="B27">
        <v>70665</v>
      </c>
      <c r="C27">
        <v>9221.0896911789096</v>
      </c>
      <c r="E27" s="1">
        <v>42036</v>
      </c>
      <c r="F27" s="3">
        <f>rotativo_[[#This Row],[AMORTIZACAO]]/B26</f>
        <v>0.13541110021262184</v>
      </c>
      <c r="G27" s="3">
        <f t="shared" si="0"/>
        <v>0.82553196673927909</v>
      </c>
    </row>
    <row r="28" spans="1:7" x14ac:dyDescent="0.25">
      <c r="A28" s="1">
        <v>42064</v>
      </c>
      <c r="B28">
        <v>70245</v>
      </c>
      <c r="C28">
        <v>8757.3945875282698</v>
      </c>
      <c r="E28" s="1">
        <v>42064</v>
      </c>
      <c r="F28" s="3">
        <f>rotativo_[[#This Row],[AMORTIZACAO]]/B27</f>
        <v>0.12392831794421948</v>
      </c>
      <c r="G28" s="3">
        <f t="shared" si="0"/>
        <v>0.79560243849795897</v>
      </c>
    </row>
    <row r="29" spans="1:7" x14ac:dyDescent="0.25">
      <c r="A29" s="1">
        <v>42095</v>
      </c>
      <c r="B29">
        <v>71538</v>
      </c>
      <c r="C29">
        <v>9001.7830308014309</v>
      </c>
      <c r="E29" s="1">
        <v>42095</v>
      </c>
      <c r="F29" s="3">
        <f>rotativo_[[#This Row],[AMORTIZACAO]]/B28</f>
        <v>0.12814838110614893</v>
      </c>
      <c r="G29" s="3">
        <f t="shared" si="0"/>
        <v>0.80710945522185862</v>
      </c>
    </row>
    <row r="30" spans="1:7" x14ac:dyDescent="0.25">
      <c r="A30" s="1">
        <v>42125</v>
      </c>
      <c r="B30">
        <v>71804</v>
      </c>
      <c r="C30">
        <v>9053.2826720058201</v>
      </c>
      <c r="E30" s="1">
        <v>42125</v>
      </c>
      <c r="F30" s="3">
        <f>rotativo_[[#This Row],[AMORTIZACAO]]/B29</f>
        <v>0.12655207962210041</v>
      </c>
      <c r="G30" s="3">
        <f t="shared" si="0"/>
        <v>0.80282848126151385</v>
      </c>
    </row>
    <row r="31" spans="1:7" x14ac:dyDescent="0.25">
      <c r="A31" s="1">
        <v>42156</v>
      </c>
      <c r="B31">
        <v>72351</v>
      </c>
      <c r="C31">
        <v>9058.4952046282087</v>
      </c>
      <c r="E31" s="1">
        <v>42156</v>
      </c>
      <c r="F31" s="3">
        <f>rotativo_[[#This Row],[AMORTIZACAO]]/B30</f>
        <v>0.12615585767684542</v>
      </c>
      <c r="G31" s="3">
        <f t="shared" si="0"/>
        <v>0.80175248497166995</v>
      </c>
    </row>
    <row r="32" spans="1:7" x14ac:dyDescent="0.25">
      <c r="A32" s="1">
        <v>42186</v>
      </c>
      <c r="B32">
        <v>71758</v>
      </c>
      <c r="C32">
        <v>8971.93852332407</v>
      </c>
      <c r="E32" s="1">
        <v>42186</v>
      </c>
      <c r="F32" s="3">
        <f>rotativo_[[#This Row],[AMORTIZACAO]]/B31</f>
        <v>0.12400572933786776</v>
      </c>
      <c r="G32" s="3">
        <f t="shared" si="0"/>
        <v>0.7958190647809168</v>
      </c>
    </row>
    <row r="33" spans="1:7" x14ac:dyDescent="0.25">
      <c r="A33" s="1">
        <v>42217</v>
      </c>
      <c r="B33">
        <v>72774</v>
      </c>
      <c r="C33">
        <v>9096.5261548355502</v>
      </c>
      <c r="E33" s="1">
        <v>42217</v>
      </c>
      <c r="F33" s="3">
        <f>rotativo_[[#This Row],[AMORTIZACAO]]/B32</f>
        <v>0.12676671806398659</v>
      </c>
      <c r="G33" s="3">
        <f t="shared" si="0"/>
        <v>0.80340912404343734</v>
      </c>
    </row>
    <row r="34" spans="1:7" x14ac:dyDescent="0.25">
      <c r="A34" s="1">
        <v>42248</v>
      </c>
      <c r="B34">
        <v>73212</v>
      </c>
      <c r="C34">
        <v>9244.1677645004511</v>
      </c>
      <c r="E34" s="1">
        <v>42248</v>
      </c>
      <c r="F34" s="3">
        <f>rotativo_[[#This Row],[AMORTIZACAO]]/B33</f>
        <v>0.12702569275428657</v>
      </c>
      <c r="G34" s="3">
        <f t="shared" si="0"/>
        <v>0.80410761916353868</v>
      </c>
    </row>
    <row r="35" spans="1:7" x14ac:dyDescent="0.25">
      <c r="A35" s="1">
        <v>42278</v>
      </c>
      <c r="B35">
        <v>73892</v>
      </c>
      <c r="C35">
        <v>9317.7886609804918</v>
      </c>
      <c r="E35" s="1">
        <v>42278</v>
      </c>
      <c r="F35" s="3">
        <f>rotativo_[[#This Row],[AMORTIZACAO]]/B34</f>
        <v>0.12727133066956908</v>
      </c>
      <c r="G35" s="3">
        <f t="shared" si="0"/>
        <v>0.80476803994528401</v>
      </c>
    </row>
    <row r="36" spans="1:7" x14ac:dyDescent="0.25">
      <c r="A36" s="1">
        <v>42309</v>
      </c>
      <c r="B36">
        <v>75057</v>
      </c>
      <c r="C36">
        <v>9602.2161576867402</v>
      </c>
      <c r="E36" s="1">
        <v>42309</v>
      </c>
      <c r="F36" s="3">
        <f>rotativo_[[#This Row],[AMORTIZACAO]]/B35</f>
        <v>0.12994933359073702</v>
      </c>
      <c r="G36" s="3">
        <f t="shared" si="0"/>
        <v>0.81183687031896101</v>
      </c>
    </row>
    <row r="37" spans="1:7" x14ac:dyDescent="0.25">
      <c r="A37" s="1">
        <v>42339</v>
      </c>
      <c r="B37">
        <v>70755</v>
      </c>
      <c r="C37">
        <v>9067.1018584327012</v>
      </c>
      <c r="E37" s="1">
        <v>42339</v>
      </c>
      <c r="F37" s="3">
        <f>rotativo_[[#This Row],[AMORTIZACAO]]/B36</f>
        <v>0.12080288125601478</v>
      </c>
      <c r="G37" s="3">
        <f t="shared" si="0"/>
        <v>0.78667828130214501</v>
      </c>
    </row>
    <row r="38" spans="1:7" x14ac:dyDescent="0.25">
      <c r="A38" s="1">
        <v>42370</v>
      </c>
      <c r="B38">
        <v>73244</v>
      </c>
      <c r="C38">
        <v>9335.7962002001004</v>
      </c>
      <c r="E38" s="1">
        <v>42370</v>
      </c>
      <c r="F38" s="3">
        <f>rotativo_[[#This Row],[AMORTIZACAO]]/B37</f>
        <v>0.13194539184792736</v>
      </c>
      <c r="G38" s="3">
        <f t="shared" si="0"/>
        <v>0.81695217915726359</v>
      </c>
    </row>
    <row r="39" spans="1:7" x14ac:dyDescent="0.25">
      <c r="A39" s="1">
        <v>42401</v>
      </c>
      <c r="B39">
        <v>76020</v>
      </c>
      <c r="C39">
        <v>9838.9011376220587</v>
      </c>
      <c r="E39" s="1">
        <v>42401</v>
      </c>
      <c r="F39" s="3">
        <f>rotativo_[[#This Row],[AMORTIZACAO]]/B38</f>
        <v>0.13433047263423706</v>
      </c>
      <c r="G39" s="3">
        <f t="shared" si="0"/>
        <v>0.82289714552986215</v>
      </c>
    </row>
    <row r="40" spans="1:7" x14ac:dyDescent="0.25">
      <c r="A40" s="1">
        <v>42430</v>
      </c>
      <c r="B40">
        <v>75026</v>
      </c>
      <c r="C40">
        <v>9679.4211454464694</v>
      </c>
      <c r="E40" s="1">
        <v>42430</v>
      </c>
      <c r="F40" s="3">
        <f>rotativo_[[#This Row],[AMORTIZACAO]]/B39</f>
        <v>0.12732729736183201</v>
      </c>
      <c r="G40" s="3">
        <f t="shared" si="0"/>
        <v>0.80491822592261442</v>
      </c>
    </row>
    <row r="41" spans="1:7" x14ac:dyDescent="0.25">
      <c r="A41" s="1">
        <v>42461</v>
      </c>
      <c r="B41">
        <v>74944</v>
      </c>
      <c r="C41">
        <v>9728.15057151572</v>
      </c>
      <c r="E41" s="1">
        <v>42461</v>
      </c>
      <c r="F41" s="3">
        <f>rotativo_[[#This Row],[AMORTIZACAO]]/B40</f>
        <v>0.12966372419582173</v>
      </c>
      <c r="G41" s="3">
        <f t="shared" si="0"/>
        <v>0.81109431643235541</v>
      </c>
    </row>
    <row r="42" spans="1:7" x14ac:dyDescent="0.25">
      <c r="A42" s="1">
        <v>42491</v>
      </c>
      <c r="B42">
        <v>75919</v>
      </c>
      <c r="C42">
        <v>9741.5468946156998</v>
      </c>
      <c r="E42" s="1">
        <v>42491</v>
      </c>
      <c r="F42" s="3">
        <f>rotativo_[[#This Row],[AMORTIZACAO]]/B41</f>
        <v>0.1299843469072334</v>
      </c>
      <c r="G42" s="3">
        <f t="shared" si="0"/>
        <v>0.81192771685177179</v>
      </c>
    </row>
    <row r="43" spans="1:7" x14ac:dyDescent="0.25">
      <c r="A43" s="1">
        <v>42522</v>
      </c>
      <c r="B43">
        <v>76159</v>
      </c>
      <c r="C43">
        <v>9757.1470239957307</v>
      </c>
      <c r="E43" s="1">
        <v>42522</v>
      </c>
      <c r="F43" s="3">
        <f>rotativo_[[#This Row],[AMORTIZACAO]]/B42</f>
        <v>0.1285204892582322</v>
      </c>
      <c r="G43" s="3">
        <f t="shared" si="0"/>
        <v>0.80809505268712933</v>
      </c>
    </row>
    <row r="44" spans="1:7" x14ac:dyDescent="0.25">
      <c r="A44" s="1">
        <v>42552</v>
      </c>
      <c r="B44">
        <v>75364</v>
      </c>
      <c r="C44">
        <v>9667.0441110751108</v>
      </c>
      <c r="E44" s="1">
        <v>42552</v>
      </c>
      <c r="F44" s="3">
        <f>rotativo_[[#This Row],[AMORTIZACAO]]/B43</f>
        <v>0.12693239290267874</v>
      </c>
      <c r="G44" s="3">
        <f t="shared" si="0"/>
        <v>0.80385623750733348</v>
      </c>
    </row>
    <row r="45" spans="1:7" x14ac:dyDescent="0.25">
      <c r="A45" s="1">
        <v>42583</v>
      </c>
      <c r="B45">
        <v>75985</v>
      </c>
      <c r="C45">
        <v>9753.8486391026381</v>
      </c>
      <c r="E45" s="1">
        <v>42583</v>
      </c>
      <c r="F45" s="3">
        <f>rotativo_[[#This Row],[AMORTIZACAO]]/B44</f>
        <v>0.12942318134789341</v>
      </c>
      <c r="G45" s="3">
        <f t="shared" si="0"/>
        <v>0.81046684796606527</v>
      </c>
    </row>
    <row r="46" spans="1:7" x14ac:dyDescent="0.25">
      <c r="A46" s="1">
        <v>42614</v>
      </c>
      <c r="B46">
        <v>76754</v>
      </c>
      <c r="C46">
        <v>9882.2697285462109</v>
      </c>
      <c r="E46" s="1">
        <v>42614</v>
      </c>
      <c r="F46" s="3">
        <f>rotativo_[[#This Row],[AMORTIZACAO]]/B45</f>
        <v>0.13005553370462869</v>
      </c>
      <c r="G46" s="3">
        <f t="shared" si="0"/>
        <v>0.81211229615325831</v>
      </c>
    </row>
    <row r="47" spans="1:7" x14ac:dyDescent="0.25">
      <c r="A47" s="1">
        <v>42644</v>
      </c>
      <c r="B47">
        <v>77478</v>
      </c>
      <c r="C47">
        <v>9949.3016296940004</v>
      </c>
      <c r="E47" s="1">
        <v>42644</v>
      </c>
      <c r="F47" s="3">
        <f>rotativo_[[#This Row],[AMORTIZACAO]]/B46</f>
        <v>0.12962583877965969</v>
      </c>
      <c r="G47" s="3">
        <f t="shared" si="0"/>
        <v>0.8109956168702398</v>
      </c>
    </row>
    <row r="48" spans="1:7" x14ac:dyDescent="0.25">
      <c r="A48" s="1">
        <v>42675</v>
      </c>
      <c r="B48">
        <v>76798</v>
      </c>
      <c r="C48">
        <v>9836.5242417403897</v>
      </c>
      <c r="E48" s="1">
        <v>42675</v>
      </c>
      <c r="F48" s="3">
        <f>rotativo_[[#This Row],[AMORTIZACAO]]/B47</f>
        <v>0.12695893339709841</v>
      </c>
      <c r="G48" s="3">
        <f t="shared" si="0"/>
        <v>0.80392777673892901</v>
      </c>
    </row>
    <row r="49" spans="1:7" x14ac:dyDescent="0.25">
      <c r="A49" s="1">
        <v>42705</v>
      </c>
      <c r="B49">
        <v>72706</v>
      </c>
      <c r="C49">
        <v>9357.2262143950593</v>
      </c>
      <c r="E49" s="1">
        <v>42705</v>
      </c>
      <c r="F49" s="3">
        <f>rotativo_[[#This Row],[AMORTIZACAO]]/B48</f>
        <v>0.12184205597014322</v>
      </c>
      <c r="G49" s="3">
        <f t="shared" si="0"/>
        <v>0.78968433915323188</v>
      </c>
    </row>
    <row r="50" spans="1:7" x14ac:dyDescent="0.25">
      <c r="A50" s="1">
        <v>42736</v>
      </c>
      <c r="B50">
        <v>75627</v>
      </c>
      <c r="C50">
        <v>9647.6469653470904</v>
      </c>
      <c r="E50" s="1">
        <v>42736</v>
      </c>
      <c r="F50" s="3">
        <f>rotativo_[[#This Row],[AMORTIZACAO]]/B49</f>
        <v>0.13269395875645876</v>
      </c>
      <c r="G50" s="3">
        <f t="shared" si="0"/>
        <v>0.81883743631296035</v>
      </c>
    </row>
    <row r="51" spans="1:7" x14ac:dyDescent="0.25">
      <c r="A51" s="1">
        <v>42767</v>
      </c>
      <c r="B51">
        <v>76627</v>
      </c>
      <c r="C51">
        <v>10238.676380130519</v>
      </c>
      <c r="E51" s="1">
        <v>42767</v>
      </c>
      <c r="F51" s="3">
        <f>rotativo_[[#This Row],[AMORTIZACAO]]/B50</f>
        <v>0.13538387586616576</v>
      </c>
      <c r="G51" s="3">
        <f t="shared" si="0"/>
        <v>0.82546603111330086</v>
      </c>
    </row>
    <row r="52" spans="1:7" x14ac:dyDescent="0.25">
      <c r="A52" s="1">
        <v>42795</v>
      </c>
      <c r="B52">
        <v>75518</v>
      </c>
      <c r="C52">
        <v>9773.8425023394502</v>
      </c>
      <c r="E52" s="1">
        <v>42795</v>
      </c>
      <c r="F52" s="3">
        <f>rotativo_[[#This Row],[AMORTIZACAO]]/B51</f>
        <v>0.12755089592884297</v>
      </c>
      <c r="G52" s="3">
        <f t="shared" si="0"/>
        <v>0.80551719394909982</v>
      </c>
    </row>
    <row r="53" spans="1:7" x14ac:dyDescent="0.25">
      <c r="A53" s="1">
        <v>42826</v>
      </c>
      <c r="B53">
        <v>76021</v>
      </c>
      <c r="C53">
        <v>9867.4229757490193</v>
      </c>
      <c r="E53" s="1">
        <v>42826</v>
      </c>
      <c r="F53" s="3">
        <f>rotativo_[[#This Row],[AMORTIZACAO]]/B52</f>
        <v>0.13066319256003892</v>
      </c>
      <c r="G53" s="3">
        <f t="shared" si="0"/>
        <v>0.81368114148125492</v>
      </c>
    </row>
    <row r="54" spans="1:7" x14ac:dyDescent="0.25">
      <c r="A54" s="1">
        <v>42856</v>
      </c>
      <c r="B54">
        <v>75968</v>
      </c>
      <c r="C54">
        <v>9514.3023501320604</v>
      </c>
      <c r="E54" s="1">
        <v>42856</v>
      </c>
      <c r="F54" s="3">
        <f>rotativo_[[#This Row],[AMORTIZACAO]]/B53</f>
        <v>0.1251536068998311</v>
      </c>
      <c r="G54" s="3">
        <f t="shared" si="0"/>
        <v>0.79900665990671704</v>
      </c>
    </row>
    <row r="55" spans="1:7" x14ac:dyDescent="0.25">
      <c r="A55" s="1">
        <v>42887</v>
      </c>
      <c r="B55">
        <v>75192</v>
      </c>
      <c r="C55">
        <v>9469.8453148219996</v>
      </c>
      <c r="E55" s="1">
        <v>42887</v>
      </c>
      <c r="F55" s="3">
        <f>rotativo_[[#This Row],[AMORTIZACAO]]/B54</f>
        <v>0.12465571444321293</v>
      </c>
      <c r="G55" s="3">
        <f t="shared" si="0"/>
        <v>0.79762968344594731</v>
      </c>
    </row>
    <row r="56" spans="1:7" x14ac:dyDescent="0.25">
      <c r="A56" s="1">
        <v>42917</v>
      </c>
      <c r="B56">
        <v>75564</v>
      </c>
      <c r="C56">
        <v>9375.3362815551809</v>
      </c>
      <c r="E56" s="1">
        <v>42917</v>
      </c>
      <c r="F56" s="3">
        <f>rotativo_[[#This Row],[AMORTIZACAO]]/B55</f>
        <v>0.12468528941317136</v>
      </c>
      <c r="G56" s="3">
        <f t="shared" si="0"/>
        <v>0.7977117172340138</v>
      </c>
    </row>
    <row r="57" spans="1:7" x14ac:dyDescent="0.25">
      <c r="A57" s="1">
        <v>42948</v>
      </c>
      <c r="B57">
        <v>74903</v>
      </c>
      <c r="C57">
        <v>9378.1535218403587</v>
      </c>
      <c r="E57" s="1">
        <v>42948</v>
      </c>
      <c r="F57" s="3">
        <f>rotativo_[[#This Row],[AMORTIZACAO]]/B56</f>
        <v>0.12410874916415698</v>
      </c>
      <c r="G57" s="3">
        <f t="shared" si="0"/>
        <v>0.79610702672172473</v>
      </c>
    </row>
    <row r="58" spans="1:7" x14ac:dyDescent="0.25">
      <c r="A58" s="1">
        <v>42979</v>
      </c>
      <c r="B58">
        <v>74030</v>
      </c>
      <c r="C58">
        <v>9347.2548924766597</v>
      </c>
      <c r="E58" s="1">
        <v>42979</v>
      </c>
      <c r="F58" s="3">
        <f>rotativo_[[#This Row],[AMORTIZACAO]]/B57</f>
        <v>0.12479146219078888</v>
      </c>
      <c r="G58" s="3">
        <f t="shared" si="0"/>
        <v>0.79800596367219723</v>
      </c>
    </row>
    <row r="59" spans="1:7" x14ac:dyDescent="0.25">
      <c r="A59" s="1">
        <v>43009</v>
      </c>
      <c r="B59">
        <v>75863</v>
      </c>
      <c r="C59">
        <v>9599.6745826024398</v>
      </c>
      <c r="E59" s="1">
        <v>43009</v>
      </c>
      <c r="F59" s="3">
        <f>rotativo_[[#This Row],[AMORTIZACAO]]/B58</f>
        <v>0.12967276215861731</v>
      </c>
      <c r="G59" s="3">
        <f t="shared" si="0"/>
        <v>0.81111785526548907</v>
      </c>
    </row>
    <row r="60" spans="1:7" x14ac:dyDescent="0.25">
      <c r="A60" s="1">
        <v>43040</v>
      </c>
      <c r="B60">
        <v>75936</v>
      </c>
      <c r="C60">
        <v>9601.9083743279098</v>
      </c>
      <c r="E60" s="1">
        <v>43040</v>
      </c>
      <c r="F60" s="3">
        <f>rotativo_[[#This Row],[AMORTIZACAO]]/B59</f>
        <v>0.12656905704134966</v>
      </c>
      <c r="G60" s="3">
        <f t="shared" si="0"/>
        <v>0.80287446599337065</v>
      </c>
    </row>
    <row r="61" spans="1:7" x14ac:dyDescent="0.25">
      <c r="A61" s="1">
        <v>43070</v>
      </c>
      <c r="B61">
        <v>71674</v>
      </c>
      <c r="C61">
        <v>9275.2828713139006</v>
      </c>
      <c r="E61" s="1">
        <v>43070</v>
      </c>
      <c r="F61" s="3">
        <f>rotativo_[[#This Row],[AMORTIZACAO]]/B60</f>
        <v>0.12214605551140303</v>
      </c>
      <c r="G61" s="3">
        <f t="shared" si="0"/>
        <v>0.79055635912326538</v>
      </c>
    </row>
    <row r="62" spans="1:7" x14ac:dyDescent="0.25">
      <c r="A62" s="1">
        <v>43101</v>
      </c>
      <c r="B62">
        <v>74444</v>
      </c>
      <c r="C62">
        <v>9504.8995077662112</v>
      </c>
      <c r="E62" s="1">
        <v>43101</v>
      </c>
      <c r="F62" s="3">
        <f>rotativo_[[#This Row],[AMORTIZACAO]]/B61</f>
        <v>0.13261293506384758</v>
      </c>
      <c r="G62" s="3">
        <f t="shared" si="0"/>
        <v>0.81863424154489317</v>
      </c>
    </row>
    <row r="63" spans="1:7" x14ac:dyDescent="0.25">
      <c r="A63" s="1">
        <v>43132</v>
      </c>
      <c r="B63">
        <v>77052</v>
      </c>
      <c r="C63">
        <v>9983.9054550249493</v>
      </c>
      <c r="E63" s="1">
        <v>43132</v>
      </c>
      <c r="F63" s="3">
        <f>rotativo_[[#This Row],[AMORTIZACAO]]/B62</f>
        <v>0.13411296350310231</v>
      </c>
      <c r="G63" s="3">
        <f t="shared" si="0"/>
        <v>0.82236241814531497</v>
      </c>
    </row>
    <row r="64" spans="1:7" x14ac:dyDescent="0.25">
      <c r="A64" s="1">
        <v>43160</v>
      </c>
      <c r="B64">
        <v>75216</v>
      </c>
      <c r="C64">
        <v>9494.4772363017109</v>
      </c>
      <c r="E64" s="1">
        <v>43160</v>
      </c>
      <c r="F64" s="3">
        <f>rotativo_[[#This Row],[AMORTIZACAO]]/B63</f>
        <v>0.12322168452865222</v>
      </c>
      <c r="G64" s="3">
        <f t="shared" si="0"/>
        <v>0.79361525013939849</v>
      </c>
    </row>
    <row r="65" spans="1:7" x14ac:dyDescent="0.25">
      <c r="A65" s="1">
        <v>43191</v>
      </c>
      <c r="B65">
        <v>76871</v>
      </c>
      <c r="C65">
        <v>9732.7900161639009</v>
      </c>
      <c r="E65" s="1">
        <v>43191</v>
      </c>
      <c r="F65" s="3">
        <f>rotativo_[[#This Row],[AMORTIZACAO]]/B64</f>
        <v>0.12939786768990508</v>
      </c>
      <c r="G65" s="3">
        <f t="shared" si="0"/>
        <v>0.81040070499555916</v>
      </c>
    </row>
    <row r="66" spans="1:7" x14ac:dyDescent="0.25">
      <c r="A66" s="1">
        <v>43221</v>
      </c>
      <c r="B66">
        <v>76106</v>
      </c>
      <c r="C66">
        <v>9558.6461320580602</v>
      </c>
      <c r="E66" s="1">
        <v>43221</v>
      </c>
      <c r="F66" s="3">
        <f>rotativo_[[#This Row],[AMORTIZACAO]]/B65</f>
        <v>0.12434658235300777</v>
      </c>
      <c r="G66" s="3">
        <f t="shared" si="0"/>
        <v>0.79677039895595525</v>
      </c>
    </row>
    <row r="67" spans="1:7" x14ac:dyDescent="0.25">
      <c r="A67" s="1">
        <v>43252</v>
      </c>
      <c r="B67">
        <v>76627</v>
      </c>
      <c r="C67">
        <v>9698.224916454561</v>
      </c>
      <c r="E67" s="1">
        <v>43252</v>
      </c>
      <c r="F67" s="3">
        <f>rotativo_[[#This Row],[AMORTIZACAO]]/B66</f>
        <v>0.12743049058490213</v>
      </c>
      <c r="G67" s="3">
        <f t="shared" si="0"/>
        <v>0.80519486612543512</v>
      </c>
    </row>
    <row r="68" spans="1:7" x14ac:dyDescent="0.25">
      <c r="A68" s="1">
        <v>43282</v>
      </c>
      <c r="B68">
        <v>76014</v>
      </c>
      <c r="C68">
        <v>9482.8580163157294</v>
      </c>
      <c r="E68" s="1">
        <v>43282</v>
      </c>
      <c r="F68" s="3">
        <f>rotativo_[[#This Row],[AMORTIZACAO]]/B67</f>
        <v>0.1237534813618663</v>
      </c>
      <c r="G68" s="3">
        <f t="shared" ref="G68:G131" si="1">(1-(1-F68)^12)</f>
        <v>0.79511240431965247</v>
      </c>
    </row>
    <row r="69" spans="1:7" x14ac:dyDescent="0.25">
      <c r="A69" s="1">
        <v>43313</v>
      </c>
      <c r="B69">
        <v>75843</v>
      </c>
      <c r="C69">
        <v>9459.4535097225307</v>
      </c>
      <c r="E69" s="1">
        <v>43313</v>
      </c>
      <c r="F69" s="3">
        <f>rotativo_[[#This Row],[AMORTIZACAO]]/B68</f>
        <v>0.12444356973350344</v>
      </c>
      <c r="G69" s="3">
        <f t="shared" si="1"/>
        <v>0.79704035101657955</v>
      </c>
    </row>
    <row r="70" spans="1:7" x14ac:dyDescent="0.25">
      <c r="A70" s="1">
        <v>43344</v>
      </c>
      <c r="B70">
        <v>75676</v>
      </c>
      <c r="C70">
        <v>9574.7718979327401</v>
      </c>
      <c r="E70" s="1">
        <v>43344</v>
      </c>
      <c r="F70" s="3">
        <f>rotativo_[[#This Row],[AMORTIZACAO]]/B69</f>
        <v>0.12624463560160779</v>
      </c>
      <c r="G70" s="3">
        <f t="shared" si="1"/>
        <v>0.80199404070569913</v>
      </c>
    </row>
    <row r="71" spans="1:7" x14ac:dyDescent="0.25">
      <c r="A71" s="1">
        <v>43374</v>
      </c>
      <c r="B71">
        <v>77739</v>
      </c>
      <c r="C71">
        <v>9590.9998190770402</v>
      </c>
      <c r="E71" s="1">
        <v>43374</v>
      </c>
      <c r="F71" s="3">
        <f>rotativo_[[#This Row],[AMORTIZACAO]]/B70</f>
        <v>0.12673766873350917</v>
      </c>
      <c r="G71" s="3">
        <f t="shared" si="1"/>
        <v>0.80333063122678783</v>
      </c>
    </row>
    <row r="72" spans="1:7" x14ac:dyDescent="0.25">
      <c r="A72" s="1">
        <v>43405</v>
      </c>
      <c r="B72">
        <v>79175</v>
      </c>
      <c r="C72">
        <v>9912.1233172017201</v>
      </c>
      <c r="E72" s="1">
        <v>43405</v>
      </c>
      <c r="F72" s="3">
        <f>rotativo_[[#This Row],[AMORTIZACAO]]/B71</f>
        <v>0.1275051559346238</v>
      </c>
      <c r="G72" s="3">
        <f t="shared" si="1"/>
        <v>0.80539480458038182</v>
      </c>
    </row>
    <row r="73" spans="1:7" x14ac:dyDescent="0.25">
      <c r="A73" s="1">
        <v>43435</v>
      </c>
      <c r="B73">
        <v>76546</v>
      </c>
      <c r="C73">
        <v>9612.8441073755112</v>
      </c>
      <c r="E73" s="1">
        <v>43435</v>
      </c>
      <c r="F73" s="3">
        <f>rotativo_[[#This Row],[AMORTIZACAO]]/B72</f>
        <v>0.12141261897537747</v>
      </c>
      <c r="G73" s="3">
        <f t="shared" si="1"/>
        <v>0.78844683092322476</v>
      </c>
    </row>
    <row r="74" spans="1:7" x14ac:dyDescent="0.25">
      <c r="A74" s="1">
        <v>43466</v>
      </c>
      <c r="B74">
        <v>80093</v>
      </c>
      <c r="C74">
        <v>10020.674935933759</v>
      </c>
      <c r="E74" s="1">
        <v>43466</v>
      </c>
      <c r="F74" s="3">
        <f>rotativo_[[#This Row],[AMORTIZACAO]]/B73</f>
        <v>0.13091049742551877</v>
      </c>
      <c r="G74" s="3">
        <f t="shared" si="1"/>
        <v>0.81431618467133071</v>
      </c>
    </row>
    <row r="75" spans="1:7" x14ac:dyDescent="0.25">
      <c r="A75" s="1">
        <v>43497</v>
      </c>
      <c r="B75">
        <v>83070</v>
      </c>
      <c r="C75">
        <v>10614.25886027788</v>
      </c>
      <c r="E75" s="1">
        <v>43497</v>
      </c>
      <c r="F75" s="3">
        <f>rotativo_[[#This Row],[AMORTIZACAO]]/B74</f>
        <v>0.13252417639841035</v>
      </c>
      <c r="G75" s="3">
        <f t="shared" si="1"/>
        <v>0.81841140890579045</v>
      </c>
    </row>
    <row r="76" spans="1:7" x14ac:dyDescent="0.25">
      <c r="A76" s="1">
        <v>43525</v>
      </c>
      <c r="B76">
        <v>82769</v>
      </c>
      <c r="C76">
        <v>10302.575635872081</v>
      </c>
      <c r="E76" s="1">
        <v>43525</v>
      </c>
      <c r="F76" s="3">
        <f>rotativo_[[#This Row],[AMORTIZACAO]]/B75</f>
        <v>0.12402281974084604</v>
      </c>
      <c r="G76" s="3">
        <f t="shared" si="1"/>
        <v>0.79586686180651989</v>
      </c>
    </row>
    <row r="77" spans="1:7" x14ac:dyDescent="0.25">
      <c r="A77" s="1">
        <v>43556</v>
      </c>
      <c r="B77">
        <v>85583</v>
      </c>
      <c r="C77">
        <v>10645.96190745784</v>
      </c>
      <c r="E77" s="1">
        <v>43556</v>
      </c>
      <c r="F77" s="3">
        <f>rotativo_[[#This Row],[AMORTIZACAO]]/B76</f>
        <v>0.12862257496717178</v>
      </c>
      <c r="G77" s="3">
        <f t="shared" si="1"/>
        <v>0.80836463748594112</v>
      </c>
    </row>
    <row r="78" spans="1:7" x14ac:dyDescent="0.25">
      <c r="A78" s="1">
        <v>43586</v>
      </c>
      <c r="B78">
        <v>86400</v>
      </c>
      <c r="C78">
        <v>10632.211232877238</v>
      </c>
      <c r="E78" s="1">
        <v>43586</v>
      </c>
      <c r="F78" s="3">
        <f>rotativo_[[#This Row],[AMORTIZACAO]]/B77</f>
        <v>0.1242327475418861</v>
      </c>
      <c r="G78" s="3">
        <f t="shared" si="1"/>
        <v>0.79645313436919685</v>
      </c>
    </row>
    <row r="79" spans="1:7" x14ac:dyDescent="0.25">
      <c r="A79" s="1">
        <v>43617</v>
      </c>
      <c r="B79">
        <v>88223</v>
      </c>
      <c r="C79">
        <v>11097.81424823216</v>
      </c>
      <c r="E79" s="1">
        <v>43617</v>
      </c>
      <c r="F79" s="3">
        <f>rotativo_[[#This Row],[AMORTIZACAO]]/B78</f>
        <v>0.12844692416935372</v>
      </c>
      <c r="G79" s="3">
        <f t="shared" si="1"/>
        <v>0.80790056879241889</v>
      </c>
    </row>
    <row r="80" spans="1:7" x14ac:dyDescent="0.25">
      <c r="A80" s="1">
        <v>43647</v>
      </c>
      <c r="B80">
        <v>88776</v>
      </c>
      <c r="C80">
        <v>10972.39583333333</v>
      </c>
      <c r="E80" s="1">
        <v>43647</v>
      </c>
      <c r="F80" s="3">
        <f>rotativo_[[#This Row],[AMORTIZACAO]]/B79</f>
        <v>0.12437114849113418</v>
      </c>
      <c r="G80" s="3">
        <f t="shared" si="1"/>
        <v>0.79683880679037777</v>
      </c>
    </row>
    <row r="81" spans="1:7" x14ac:dyDescent="0.25">
      <c r="A81" s="1">
        <v>43678</v>
      </c>
      <c r="B81">
        <v>90841</v>
      </c>
      <c r="C81">
        <v>11334.146508605581</v>
      </c>
      <c r="E81" s="1">
        <v>43678</v>
      </c>
      <c r="F81" s="3">
        <f>rotativo_[[#This Row],[AMORTIZACAO]]/B80</f>
        <v>0.12767129076107936</v>
      </c>
      <c r="G81" s="3">
        <f t="shared" si="1"/>
        <v>0.80583900474436387</v>
      </c>
    </row>
    <row r="82" spans="1:7" x14ac:dyDescent="0.25">
      <c r="A82" s="1">
        <v>43709</v>
      </c>
      <c r="B82">
        <v>92340</v>
      </c>
      <c r="C82">
        <v>11595.535781843861</v>
      </c>
      <c r="E82" s="1">
        <v>43709</v>
      </c>
      <c r="F82" s="3">
        <f>rotativo_[[#This Row],[AMORTIZACAO]]/B81</f>
        <v>0.12764650082940368</v>
      </c>
      <c r="G82" s="3">
        <f t="shared" si="1"/>
        <v>0.80577278213629622</v>
      </c>
    </row>
    <row r="83" spans="1:7" x14ac:dyDescent="0.25">
      <c r="A83" s="1">
        <v>43739</v>
      </c>
      <c r="B83">
        <v>92054</v>
      </c>
      <c r="C83">
        <v>11446.26495653462</v>
      </c>
      <c r="E83" s="1">
        <v>43739</v>
      </c>
      <c r="F83" s="3">
        <f>rotativo_[[#This Row],[AMORTIZACAO]]/B82</f>
        <v>0.12395781845933095</v>
      </c>
      <c r="G83" s="3">
        <f t="shared" si="1"/>
        <v>0.79568501690124094</v>
      </c>
    </row>
    <row r="84" spans="1:7" x14ac:dyDescent="0.25">
      <c r="A84" s="1">
        <v>43770</v>
      </c>
      <c r="B84">
        <v>91989</v>
      </c>
      <c r="C84">
        <v>11543.77876287676</v>
      </c>
      <c r="E84" s="1">
        <v>43770</v>
      </c>
      <c r="F84" s="3">
        <f>rotativo_[[#This Row],[AMORTIZACAO]]/B83</f>
        <v>0.12540225044948355</v>
      </c>
      <c r="G84" s="3">
        <f t="shared" si="1"/>
        <v>0.79969109069657351</v>
      </c>
    </row>
    <row r="85" spans="1:7" x14ac:dyDescent="0.25">
      <c r="A85" s="1">
        <v>43800</v>
      </c>
      <c r="B85">
        <v>89960</v>
      </c>
      <c r="C85">
        <v>11407.177831848781</v>
      </c>
      <c r="E85" s="1">
        <v>43800</v>
      </c>
      <c r="F85" s="3">
        <f>rotativo_[[#This Row],[AMORTIZACAO]]/B84</f>
        <v>0.12400589018087795</v>
      </c>
      <c r="G85" s="3">
        <f t="shared" si="1"/>
        <v>0.7958195146611613</v>
      </c>
    </row>
    <row r="86" spans="1:7" x14ac:dyDescent="0.25">
      <c r="A86" s="1">
        <v>43831</v>
      </c>
      <c r="B86">
        <v>92581</v>
      </c>
      <c r="C86">
        <v>11655.537864021901</v>
      </c>
      <c r="E86" s="1">
        <v>43831</v>
      </c>
      <c r="F86" s="3">
        <f>rotativo_[[#This Row],[AMORTIZACAO]]/B85</f>
        <v>0.12956356007138617</v>
      </c>
      <c r="G86" s="3">
        <f t="shared" si="1"/>
        <v>0.81083326486733265</v>
      </c>
    </row>
    <row r="87" spans="1:7" x14ac:dyDescent="0.25">
      <c r="A87" s="1">
        <v>43862</v>
      </c>
      <c r="B87">
        <v>95559</v>
      </c>
      <c r="C87">
        <v>12164.16332619386</v>
      </c>
      <c r="E87" s="1">
        <v>43862</v>
      </c>
      <c r="F87" s="3">
        <f>rotativo_[[#This Row],[AMORTIZACAO]]/B86</f>
        <v>0.13138941387751116</v>
      </c>
      <c r="G87" s="3">
        <f t="shared" si="1"/>
        <v>0.81554033488034583</v>
      </c>
    </row>
    <row r="88" spans="1:7" x14ac:dyDescent="0.25">
      <c r="A88" s="1">
        <v>43891</v>
      </c>
      <c r="B88">
        <v>96406</v>
      </c>
      <c r="C88">
        <v>12314.715458187751</v>
      </c>
      <c r="E88" s="1">
        <v>43891</v>
      </c>
      <c r="F88" s="3">
        <f>rotativo_[[#This Row],[AMORTIZACAO]]/B87</f>
        <v>0.12887028388940602</v>
      </c>
      <c r="G88" s="3">
        <f t="shared" si="1"/>
        <v>0.80901733707155621</v>
      </c>
    </row>
    <row r="89" spans="1:7" x14ac:dyDescent="0.25">
      <c r="A89" s="1">
        <v>43922</v>
      </c>
      <c r="B89">
        <v>97083</v>
      </c>
      <c r="C89">
        <v>12549.384231478569</v>
      </c>
      <c r="E89" s="1">
        <v>43922</v>
      </c>
      <c r="F89" s="3">
        <f>rotativo_[[#This Row],[AMORTIZACAO]]/B88</f>
        <v>0.13017223234527486</v>
      </c>
      <c r="G89" s="3">
        <f t="shared" si="1"/>
        <v>0.812414523303567</v>
      </c>
    </row>
    <row r="90" spans="1:7" x14ac:dyDescent="0.25">
      <c r="A90" s="1">
        <v>43952</v>
      </c>
      <c r="B90">
        <v>92408</v>
      </c>
      <c r="C90">
        <v>11842.21193560847</v>
      </c>
      <c r="E90" s="1">
        <v>43952</v>
      </c>
      <c r="F90" s="3">
        <f>rotativo_[[#This Row],[AMORTIZACAO]]/B89</f>
        <v>0.12198028424758681</v>
      </c>
      <c r="G90" s="3">
        <f t="shared" si="1"/>
        <v>0.7900812574961138</v>
      </c>
    </row>
    <row r="91" spans="1:7" x14ac:dyDescent="0.25">
      <c r="A91" s="1">
        <v>43983</v>
      </c>
      <c r="B91">
        <v>89009</v>
      </c>
      <c r="C91">
        <v>11328.756803906059</v>
      </c>
      <c r="E91" s="1">
        <v>43983</v>
      </c>
      <c r="F91" s="3">
        <f>rotativo_[[#This Row],[AMORTIZACAO]]/B90</f>
        <v>0.12259497883198488</v>
      </c>
      <c r="G91" s="3">
        <f t="shared" si="1"/>
        <v>0.79183803196431435</v>
      </c>
    </row>
    <row r="92" spans="1:7" x14ac:dyDescent="0.25">
      <c r="A92" s="1">
        <v>44013</v>
      </c>
      <c r="B92">
        <v>85216</v>
      </c>
      <c r="C92">
        <v>10665.95443566163</v>
      </c>
      <c r="E92" s="1">
        <v>44013</v>
      </c>
      <c r="F92" s="3">
        <f>rotativo_[[#This Row],[AMORTIZACAO]]/B91</f>
        <v>0.11983006702312833</v>
      </c>
      <c r="G92" s="3">
        <f t="shared" si="1"/>
        <v>0.78382854520342549</v>
      </c>
    </row>
    <row r="93" spans="1:7" x14ac:dyDescent="0.25">
      <c r="A93" s="1">
        <v>44044</v>
      </c>
      <c r="B93">
        <v>82502</v>
      </c>
      <c r="C93">
        <v>10303.103189725131</v>
      </c>
      <c r="E93" s="1">
        <v>44044</v>
      </c>
      <c r="F93" s="3">
        <f>rotativo_[[#This Row],[AMORTIZACAO]]/B92</f>
        <v>0.1209057358914421</v>
      </c>
      <c r="G93" s="3">
        <f t="shared" si="1"/>
        <v>0.78697755911042588</v>
      </c>
    </row>
    <row r="94" spans="1:7" x14ac:dyDescent="0.25">
      <c r="A94" s="1">
        <v>44075</v>
      </c>
      <c r="B94">
        <v>80326</v>
      </c>
      <c r="C94">
        <v>10116.00497512437</v>
      </c>
      <c r="E94" s="1">
        <v>44075</v>
      </c>
      <c r="F94" s="3">
        <f>rotativo_[[#This Row],[AMORTIZACAO]]/B93</f>
        <v>0.12261526963133464</v>
      </c>
      <c r="G94" s="3">
        <f t="shared" si="1"/>
        <v>0.79189579186446546</v>
      </c>
    </row>
    <row r="95" spans="1:7" x14ac:dyDescent="0.25">
      <c r="A95" s="1">
        <v>44105</v>
      </c>
      <c r="B95">
        <v>79310</v>
      </c>
      <c r="C95">
        <v>9910.1311936320999</v>
      </c>
      <c r="E95" s="1">
        <v>44105</v>
      </c>
      <c r="F95" s="3">
        <f>rotativo_[[#This Row],[AMORTIZACAO]]/B94</f>
        <v>0.12337389131329955</v>
      </c>
      <c r="G95" s="3">
        <f t="shared" si="1"/>
        <v>0.79404477513655358</v>
      </c>
    </row>
    <row r="96" spans="1:7" x14ac:dyDescent="0.25">
      <c r="A96" s="1">
        <v>44136</v>
      </c>
      <c r="B96">
        <v>79566</v>
      </c>
      <c r="C96">
        <v>9946.8388260506908</v>
      </c>
      <c r="E96" s="1">
        <v>44136</v>
      </c>
      <c r="F96" s="3">
        <f>rotativo_[[#This Row],[AMORTIZACAO]]/B95</f>
        <v>0.12541720875111198</v>
      </c>
      <c r="G96" s="3">
        <f t="shared" si="1"/>
        <v>0.79973219758372571</v>
      </c>
    </row>
    <row r="97" spans="1:7" x14ac:dyDescent="0.25">
      <c r="A97" s="1">
        <v>44166</v>
      </c>
      <c r="B97">
        <v>74512</v>
      </c>
      <c r="C97">
        <v>9143.0553940255395</v>
      </c>
      <c r="E97" s="1">
        <v>44166</v>
      </c>
      <c r="F97" s="3">
        <f>rotativo_[[#This Row],[AMORTIZACAO]]/B96</f>
        <v>0.11491158778907498</v>
      </c>
      <c r="G97" s="3">
        <f t="shared" si="1"/>
        <v>0.76887876006184275</v>
      </c>
    </row>
    <row r="98" spans="1:7" x14ac:dyDescent="0.25">
      <c r="A98" s="1">
        <v>44197</v>
      </c>
      <c r="B98">
        <v>77396</v>
      </c>
      <c r="C98">
        <v>9520.63915818852</v>
      </c>
      <c r="E98" s="1">
        <v>44197</v>
      </c>
      <c r="F98" s="3">
        <f>rotativo_[[#This Row],[AMORTIZACAO]]/B97</f>
        <v>0.12777323328039134</v>
      </c>
      <c r="G98" s="3">
        <f t="shared" si="1"/>
        <v>0.80611111149162029</v>
      </c>
    </row>
    <row r="99" spans="1:7" x14ac:dyDescent="0.25">
      <c r="A99" s="1">
        <v>44228</v>
      </c>
      <c r="B99">
        <v>80726</v>
      </c>
      <c r="C99">
        <v>10100.68296507728</v>
      </c>
      <c r="E99" s="1">
        <v>44228</v>
      </c>
      <c r="F99" s="3">
        <f>rotativo_[[#This Row],[AMORTIZACAO]]/B98</f>
        <v>0.13050652443378571</v>
      </c>
      <c r="G99" s="3">
        <f t="shared" si="1"/>
        <v>0.81327781089814544</v>
      </c>
    </row>
    <row r="100" spans="1:7" x14ac:dyDescent="0.25">
      <c r="A100" s="1">
        <v>44256</v>
      </c>
      <c r="B100">
        <v>80641</v>
      </c>
      <c r="C100">
        <v>9819.7667845095712</v>
      </c>
      <c r="E100" s="1">
        <v>44256</v>
      </c>
      <c r="F100" s="3">
        <f>rotativo_[[#This Row],[AMORTIZACAO]]/B99</f>
        <v>0.12164317301129217</v>
      </c>
      <c r="G100" s="3">
        <f t="shared" si="1"/>
        <v>0.78911204562198067</v>
      </c>
    </row>
    <row r="101" spans="1:7" x14ac:dyDescent="0.25">
      <c r="A101" s="1">
        <v>44287</v>
      </c>
      <c r="B101">
        <v>81998</v>
      </c>
      <c r="C101">
        <v>9905.9939495568906</v>
      </c>
      <c r="E101" s="1">
        <v>44287</v>
      </c>
      <c r="F101" s="3">
        <f>rotativo_[[#This Row],[AMORTIZACAO]]/B100</f>
        <v>0.12284066355274477</v>
      </c>
      <c r="G101" s="3">
        <f t="shared" si="1"/>
        <v>0.79253641218218196</v>
      </c>
    </row>
    <row r="102" spans="1:7" x14ac:dyDescent="0.25">
      <c r="A102" s="1">
        <v>44317</v>
      </c>
      <c r="B102">
        <v>84443</v>
      </c>
      <c r="C102">
        <v>10140.266509821071</v>
      </c>
      <c r="E102" s="1">
        <v>44317</v>
      </c>
      <c r="F102" s="3">
        <f>rotativo_[[#This Row],[AMORTIZACAO]]/B101</f>
        <v>0.12366480291984037</v>
      </c>
      <c r="G102" s="3">
        <f t="shared" si="1"/>
        <v>0.79486344384119045</v>
      </c>
    </row>
    <row r="103" spans="1:7" x14ac:dyDescent="0.25">
      <c r="A103" s="1">
        <v>44348</v>
      </c>
      <c r="B103">
        <v>85952</v>
      </c>
      <c r="C103">
        <v>10379.27369544324</v>
      </c>
      <c r="E103" s="1">
        <v>44348</v>
      </c>
      <c r="F103" s="3">
        <f>rotativo_[[#This Row],[AMORTIZACAO]]/B102</f>
        <v>0.12291455414235923</v>
      </c>
      <c r="G103" s="3">
        <f t="shared" si="1"/>
        <v>0.79274603211047623</v>
      </c>
    </row>
    <row r="104" spans="1:7" x14ac:dyDescent="0.25">
      <c r="A104" s="1">
        <v>44378</v>
      </c>
      <c r="B104">
        <v>85979</v>
      </c>
      <c r="C104">
        <v>10299.083907386141</v>
      </c>
      <c r="E104" s="1">
        <v>44378</v>
      </c>
      <c r="F104" s="3">
        <f>rotativo_[[#This Row],[AMORTIZACAO]]/B103</f>
        <v>0.11982366794706512</v>
      </c>
      <c r="G104" s="3">
        <f t="shared" si="1"/>
        <v>0.78380968494231407</v>
      </c>
    </row>
    <row r="105" spans="1:7" x14ac:dyDescent="0.25">
      <c r="A105" s="1">
        <v>44409</v>
      </c>
      <c r="B105">
        <v>89389</v>
      </c>
      <c r="C105">
        <v>10729.917197398219</v>
      </c>
      <c r="E105" s="1">
        <v>44409</v>
      </c>
      <c r="F105" s="3">
        <f>rotativo_[[#This Row],[AMORTIZACAO]]/B104</f>
        <v>0.12479695271401411</v>
      </c>
      <c r="G105" s="3">
        <f t="shared" si="1"/>
        <v>0.79802116939244827</v>
      </c>
    </row>
    <row r="106" spans="1:7" x14ac:dyDescent="0.25">
      <c r="A106" s="1">
        <v>44440</v>
      </c>
      <c r="B106">
        <v>93530</v>
      </c>
      <c r="C106">
        <v>11236.776717125449</v>
      </c>
      <c r="E106" s="1">
        <v>44440</v>
      </c>
      <c r="F106" s="3">
        <f>rotativo_[[#This Row],[AMORTIZACAO]]/B105</f>
        <v>0.12570648197345813</v>
      </c>
      <c r="G106" s="3">
        <f t="shared" si="1"/>
        <v>0.80052562972062624</v>
      </c>
    </row>
    <row r="107" spans="1:7" x14ac:dyDescent="0.25">
      <c r="A107" s="1">
        <v>44470</v>
      </c>
      <c r="B107">
        <v>97469</v>
      </c>
      <c r="C107">
        <v>11686.91893098609</v>
      </c>
      <c r="E107" s="1">
        <v>44470</v>
      </c>
      <c r="F107" s="3">
        <f>rotativo_[[#This Row],[AMORTIZACAO]]/B106</f>
        <v>0.12495369326404458</v>
      </c>
      <c r="G107" s="3">
        <f t="shared" si="1"/>
        <v>0.79845481196326717</v>
      </c>
    </row>
    <row r="108" spans="1:7" x14ac:dyDescent="0.25">
      <c r="A108" s="1">
        <v>44501</v>
      </c>
      <c r="B108">
        <v>103646</v>
      </c>
      <c r="C108">
        <v>12608.052541580832</v>
      </c>
      <c r="E108" s="1">
        <v>44501</v>
      </c>
      <c r="F108" s="3">
        <f>rotativo_[[#This Row],[AMORTIZACAO]]/B107</f>
        <v>0.12935448749428877</v>
      </c>
      <c r="G108" s="3">
        <f t="shared" si="1"/>
        <v>0.8102873061151199</v>
      </c>
    </row>
    <row r="109" spans="1:7" x14ac:dyDescent="0.25">
      <c r="A109" s="1">
        <v>44531</v>
      </c>
      <c r="B109">
        <v>103215</v>
      </c>
      <c r="C109">
        <v>12538.56754071113</v>
      </c>
      <c r="E109" s="1">
        <v>44531</v>
      </c>
      <c r="F109" s="3">
        <f>rotativo_[[#This Row],[AMORTIZACAO]]/B108</f>
        <v>0.12097492947833134</v>
      </c>
      <c r="G109" s="3">
        <f t="shared" si="1"/>
        <v>0.78717867621170501</v>
      </c>
    </row>
    <row r="110" spans="1:7" x14ac:dyDescent="0.25">
      <c r="A110" s="1">
        <v>44562</v>
      </c>
      <c r="B110">
        <v>112031</v>
      </c>
      <c r="C110">
        <v>13584.939772959331</v>
      </c>
      <c r="E110" s="1">
        <v>44562</v>
      </c>
      <c r="F110" s="3">
        <f>rotativo_[[#This Row],[AMORTIZACAO]]/B109</f>
        <v>0.13161788279764891</v>
      </c>
      <c r="G110" s="3">
        <f t="shared" si="1"/>
        <v>0.81612171007168621</v>
      </c>
    </row>
    <row r="111" spans="1:7" x14ac:dyDescent="0.25">
      <c r="A111" s="1">
        <v>44593</v>
      </c>
      <c r="B111">
        <v>118531</v>
      </c>
      <c r="C111">
        <v>14632.28967798158</v>
      </c>
      <c r="E111" s="1">
        <v>44593</v>
      </c>
      <c r="F111" s="3">
        <f>rotativo_[[#This Row],[AMORTIZACAO]]/B110</f>
        <v>0.13060929276701611</v>
      </c>
      <c r="G111" s="3">
        <f t="shared" si="1"/>
        <v>0.81354247062642893</v>
      </c>
    </row>
    <row r="112" spans="1:7" x14ac:dyDescent="0.25">
      <c r="A112" s="1">
        <v>44621</v>
      </c>
      <c r="B112">
        <v>120980</v>
      </c>
      <c r="C112">
        <v>14627.88097361084</v>
      </c>
      <c r="E112" s="1">
        <v>44621</v>
      </c>
      <c r="F112" s="3">
        <f>rotativo_[[#This Row],[AMORTIZACAO]]/B111</f>
        <v>0.12340974912563667</v>
      </c>
      <c r="G112" s="3">
        <f t="shared" si="1"/>
        <v>0.79414584594657345</v>
      </c>
    </row>
    <row r="113" spans="1:7" x14ac:dyDescent="0.25">
      <c r="A113" s="1">
        <v>44652</v>
      </c>
      <c r="B113">
        <v>126029</v>
      </c>
      <c r="C113">
        <v>15391.65524445246</v>
      </c>
      <c r="E113" s="1">
        <v>44652</v>
      </c>
      <c r="F113" s="3">
        <f>rotativo_[[#This Row],[AMORTIZACAO]]/B112</f>
        <v>0.12722479124196115</v>
      </c>
      <c r="G113" s="3">
        <f t="shared" si="1"/>
        <v>0.80464307122127121</v>
      </c>
    </row>
    <row r="114" spans="1:7" x14ac:dyDescent="0.25">
      <c r="A114" s="1">
        <v>44682</v>
      </c>
      <c r="B114">
        <v>130187</v>
      </c>
      <c r="C114">
        <v>15634.17233684518</v>
      </c>
      <c r="E114" s="1">
        <v>44682</v>
      </c>
      <c r="F114" s="3">
        <f>rotativo_[[#This Row],[AMORTIZACAO]]/B113</f>
        <v>0.12405218113962009</v>
      </c>
      <c r="G114" s="3">
        <f t="shared" si="1"/>
        <v>0.79594895339241845</v>
      </c>
    </row>
    <row r="115" spans="1:7" x14ac:dyDescent="0.25">
      <c r="A115" s="1">
        <v>44713</v>
      </c>
      <c r="B115">
        <v>133541</v>
      </c>
      <c r="C115">
        <v>16067.30967901335</v>
      </c>
      <c r="E115" s="1">
        <v>44713</v>
      </c>
      <c r="F115" s="3">
        <f>rotativo_[[#This Row],[AMORTIZACAO]]/B114</f>
        <v>0.12341715900215344</v>
      </c>
      <c r="G115" s="3">
        <f t="shared" si="1"/>
        <v>0.79416672616438466</v>
      </c>
    </row>
    <row r="116" spans="1:7" x14ac:dyDescent="0.25">
      <c r="A116" s="1">
        <v>44743</v>
      </c>
      <c r="B116">
        <v>137006</v>
      </c>
      <c r="C116">
        <v>16538.664809621499</v>
      </c>
      <c r="E116" s="1">
        <v>44743</v>
      </c>
      <c r="F116" s="3">
        <f>rotativo_[[#This Row],[AMORTIZACAO]]/B115</f>
        <v>0.12384709422290907</v>
      </c>
      <c r="G116" s="3">
        <f t="shared" si="1"/>
        <v>0.79537491740449817</v>
      </c>
    </row>
    <row r="117" spans="1:7" x14ac:dyDescent="0.25">
      <c r="A117" s="1">
        <v>44774</v>
      </c>
      <c r="B117">
        <v>140441</v>
      </c>
      <c r="C117">
        <v>16846.27875419721</v>
      </c>
      <c r="E117" s="1">
        <v>44774</v>
      </c>
      <c r="F117" s="3">
        <f>rotativo_[[#This Row],[AMORTIZACAO]]/B116</f>
        <v>0.12296015323560436</v>
      </c>
      <c r="G117" s="3">
        <f t="shared" si="1"/>
        <v>0.79287529510811838</v>
      </c>
    </row>
    <row r="118" spans="1:7" x14ac:dyDescent="0.25">
      <c r="A118" s="1">
        <v>44805</v>
      </c>
      <c r="B118">
        <v>146261</v>
      </c>
      <c r="C118">
        <v>17560.848927448369</v>
      </c>
      <c r="E118" s="1">
        <v>44805</v>
      </c>
      <c r="F118" s="3">
        <f>rotativo_[[#This Row],[AMORTIZACAO]]/B117</f>
        <v>0.12504075681210167</v>
      </c>
      <c r="G118" s="3">
        <f t="shared" si="1"/>
        <v>0.79869531544125494</v>
      </c>
    </row>
    <row r="119" spans="1:7" x14ac:dyDescent="0.25">
      <c r="A119" s="1">
        <v>44835</v>
      </c>
      <c r="B119">
        <v>151727</v>
      </c>
      <c r="C119">
        <v>18148.24986531895</v>
      </c>
      <c r="E119" s="1">
        <v>44835</v>
      </c>
      <c r="F119" s="3">
        <f>rotativo_[[#This Row],[AMORTIZACAO]]/B118</f>
        <v>0.12408126476175434</v>
      </c>
      <c r="G119" s="3">
        <f t="shared" si="1"/>
        <v>0.79603023850735155</v>
      </c>
    </row>
    <row r="120" spans="1:7" x14ac:dyDescent="0.25">
      <c r="A120" s="1">
        <v>44866</v>
      </c>
      <c r="B120">
        <v>154936</v>
      </c>
      <c r="C120">
        <v>18568.470201775079</v>
      </c>
      <c r="E120" s="1">
        <v>44866</v>
      </c>
      <c r="F120" s="3">
        <f>rotativo_[[#This Row],[AMORTIZACAO]]/B119</f>
        <v>0.12238079051042385</v>
      </c>
      <c r="G120" s="3">
        <f t="shared" si="1"/>
        <v>0.79122742537599888</v>
      </c>
    </row>
    <row r="121" spans="1:7" x14ac:dyDescent="0.25">
      <c r="A121" s="1">
        <v>44896</v>
      </c>
      <c r="B121">
        <v>151435</v>
      </c>
      <c r="C121">
        <v>18170.067014456359</v>
      </c>
      <c r="E121" s="1">
        <v>44896</v>
      </c>
      <c r="F121" s="3">
        <f>rotativo_[[#This Row],[AMORTIZACAO]]/B120</f>
        <v>0.11727466188914364</v>
      </c>
      <c r="G121" s="3">
        <f t="shared" si="1"/>
        <v>0.77617576170525904</v>
      </c>
    </row>
    <row r="122" spans="1:7" x14ac:dyDescent="0.25">
      <c r="A122" s="1">
        <v>44927</v>
      </c>
      <c r="B122">
        <v>156945</v>
      </c>
      <c r="C122">
        <v>18599.232245960822</v>
      </c>
      <c r="E122" s="1">
        <v>44927</v>
      </c>
      <c r="F122" s="3">
        <f>rotativo_[[#This Row],[AMORTIZACAO]]/B121</f>
        <v>0.12281990455284988</v>
      </c>
      <c r="G122" s="3">
        <f t="shared" si="1"/>
        <v>0.79247748609596658</v>
      </c>
    </row>
    <row r="123" spans="1:7" x14ac:dyDescent="0.25">
      <c r="A123" s="1">
        <v>44958</v>
      </c>
      <c r="B123">
        <v>163196</v>
      </c>
      <c r="C123">
        <v>19961.912193051412</v>
      </c>
      <c r="E123" s="1">
        <v>44958</v>
      </c>
      <c r="F123" s="3">
        <f>rotativo_[[#This Row],[AMORTIZACAO]]/B122</f>
        <v>0.12719049471503655</v>
      </c>
      <c r="G123" s="3">
        <f t="shared" si="1"/>
        <v>0.80455093048638771</v>
      </c>
    </row>
    <row r="124" spans="1:7" x14ac:dyDescent="0.25">
      <c r="A124" s="1">
        <v>44986</v>
      </c>
      <c r="B124">
        <v>163689</v>
      </c>
      <c r="C124">
        <v>19107.578418517631</v>
      </c>
      <c r="E124" s="1">
        <v>44986</v>
      </c>
      <c r="F124" s="3">
        <f>rotativo_[[#This Row],[AMORTIZACAO]]/B123</f>
        <v>0.11708361981002985</v>
      </c>
      <c r="G124" s="3">
        <f t="shared" si="1"/>
        <v>0.77559378068473361</v>
      </c>
    </row>
    <row r="125" spans="1:7" x14ac:dyDescent="0.25">
      <c r="A125" s="1">
        <v>45017</v>
      </c>
      <c r="B125">
        <v>166280</v>
      </c>
      <c r="C125">
        <v>18201.373048280569</v>
      </c>
      <c r="E125" s="1">
        <v>45017</v>
      </c>
      <c r="F125" s="3">
        <f>rotativo_[[#This Row],[AMORTIZACAO]]/B124</f>
        <v>0.11119484539755616</v>
      </c>
      <c r="G125" s="3">
        <f t="shared" si="1"/>
        <v>0.756959429792331</v>
      </c>
    </row>
    <row r="126" spans="1:7" x14ac:dyDescent="0.25">
      <c r="A126" s="1">
        <v>45047</v>
      </c>
      <c r="B126">
        <v>167745</v>
      </c>
      <c r="C126">
        <v>18222.529029109937</v>
      </c>
      <c r="E126" s="1">
        <v>45047</v>
      </c>
      <c r="F126" s="3">
        <f>rotativo_[[#This Row],[AMORTIZACAO]]/B125</f>
        <v>0.10958942163284784</v>
      </c>
      <c r="G126" s="3">
        <f t="shared" si="1"/>
        <v>0.75163881060508619</v>
      </c>
    </row>
    <row r="127" spans="1:7" x14ac:dyDescent="0.25">
      <c r="A127" s="1">
        <v>45078</v>
      </c>
      <c r="B127">
        <v>165132</v>
      </c>
      <c r="C127">
        <v>17867.547215157167</v>
      </c>
      <c r="E127" s="1">
        <v>45078</v>
      </c>
      <c r="F127" s="3">
        <f>rotativo_[[#This Row],[AMORTIZACAO]]/B126</f>
        <v>0.10651612396886445</v>
      </c>
      <c r="G127" s="3">
        <f t="shared" si="1"/>
        <v>0.74115449078514173</v>
      </c>
    </row>
    <row r="128" spans="1:7" x14ac:dyDescent="0.25">
      <c r="A128" s="1">
        <v>45108</v>
      </c>
      <c r="B128">
        <v>164038</v>
      </c>
      <c r="C128">
        <v>17623.110010181648</v>
      </c>
      <c r="E128" s="1">
        <v>45108</v>
      </c>
      <c r="F128" s="3">
        <f>rotativo_[[#This Row],[AMORTIZACAO]]/B127</f>
        <v>0.10672135025423085</v>
      </c>
      <c r="G128" s="3">
        <f t="shared" si="1"/>
        <v>0.74186704772105261</v>
      </c>
    </row>
    <row r="129" spans="1:7" x14ac:dyDescent="0.25">
      <c r="A129" s="1">
        <v>45139</v>
      </c>
      <c r="B129">
        <v>165955</v>
      </c>
      <c r="C129">
        <v>17655.693626935732</v>
      </c>
      <c r="E129" s="1">
        <v>45139</v>
      </c>
      <c r="F129" s="3">
        <f>rotativo_[[#This Row],[AMORTIZACAO]]/B128</f>
        <v>0.10763172939767451</v>
      </c>
      <c r="G129" s="3">
        <f t="shared" si="1"/>
        <v>0.7450063066845326</v>
      </c>
    </row>
    <row r="130" spans="1:7" x14ac:dyDescent="0.25">
      <c r="A130" s="1">
        <v>45170</v>
      </c>
      <c r="B130">
        <v>161689</v>
      </c>
      <c r="C130">
        <v>17264.339080842292</v>
      </c>
      <c r="E130" s="1">
        <v>45170</v>
      </c>
      <c r="F130" s="3">
        <f>rotativo_[[#This Row],[AMORTIZACAO]]/B129</f>
        <v>0.10403024362533393</v>
      </c>
      <c r="G130" s="3">
        <f t="shared" si="1"/>
        <v>0.73237899170520926</v>
      </c>
    </row>
    <row r="131" spans="1:7" x14ac:dyDescent="0.25">
      <c r="A131" s="1">
        <v>45200</v>
      </c>
      <c r="B131">
        <v>164122</v>
      </c>
      <c r="C131">
        <v>17349.01955500276</v>
      </c>
      <c r="E131" s="1">
        <v>45200</v>
      </c>
      <c r="F131" s="3">
        <f>rotativo_[[#This Row],[AMORTIZACAO]]/B130</f>
        <v>0.107298700313582</v>
      </c>
      <c r="G131" s="3">
        <f t="shared" si="1"/>
        <v>0.74386200549919756</v>
      </c>
    </row>
    <row r="132" spans="1:7" x14ac:dyDescent="0.25">
      <c r="A132" s="1">
        <v>45231</v>
      </c>
      <c r="B132">
        <v>165971</v>
      </c>
      <c r="C132">
        <v>17491.631936255522</v>
      </c>
      <c r="E132" s="1">
        <v>45231</v>
      </c>
      <c r="F132" s="3">
        <f>rotativo_[[#This Row],[AMORTIZACAO]]/B131</f>
        <v>0.10657700939700664</v>
      </c>
      <c r="G132" s="3">
        <f t="shared" ref="G132:G164" si="2">(1-(1-F132)^12)</f>
        <v>0.74136607621700201</v>
      </c>
    </row>
    <row r="133" spans="1:7" x14ac:dyDescent="0.25">
      <c r="A133" s="1">
        <v>45261</v>
      </c>
      <c r="B133">
        <v>160515</v>
      </c>
      <c r="C133">
        <v>17215.199004975118</v>
      </c>
      <c r="E133" s="1">
        <v>45261</v>
      </c>
      <c r="F133" s="3">
        <f>rotativo_[[#This Row],[AMORTIZACAO]]/B132</f>
        <v>0.10372413858430159</v>
      </c>
      <c r="G133" s="3">
        <f t="shared" si="2"/>
        <v>0.7312797459263074</v>
      </c>
    </row>
    <row r="134" spans="1:7" x14ac:dyDescent="0.25">
      <c r="A134" s="1">
        <v>45292</v>
      </c>
      <c r="B134">
        <v>164908</v>
      </c>
      <c r="C134">
        <v>17440.121456305249</v>
      </c>
      <c r="E134" s="1">
        <v>45292</v>
      </c>
      <c r="F134" s="3">
        <f>rotativo_[[#This Row],[AMORTIZACAO]]/B133</f>
        <v>0.10865103857150578</v>
      </c>
      <c r="G134" s="3">
        <f t="shared" si="2"/>
        <v>0.74847963561785957</v>
      </c>
    </row>
    <row r="135" spans="1:7" x14ac:dyDescent="0.25">
      <c r="A135" s="1">
        <v>45323</v>
      </c>
      <c r="B135">
        <v>168476</v>
      </c>
      <c r="C135">
        <v>18089.518038659971</v>
      </c>
      <c r="E135" s="1">
        <v>45323</v>
      </c>
      <c r="F135" s="3">
        <f>rotativo_[[#This Row],[AMORTIZACAO]]/B134</f>
        <v>0.10969460571142681</v>
      </c>
      <c r="G135" s="3">
        <f t="shared" si="2"/>
        <v>0.75199064842832453</v>
      </c>
    </row>
    <row r="136" spans="1:7" x14ac:dyDescent="0.25">
      <c r="A136" s="1">
        <v>45352</v>
      </c>
      <c r="B136">
        <v>167752</v>
      </c>
      <c r="C136">
        <v>18276.36312445761</v>
      </c>
      <c r="E136" s="1">
        <v>45352</v>
      </c>
      <c r="F136" s="3">
        <f>rotativo_[[#This Row],[AMORTIZACAO]]/B135</f>
        <v>0.10848051428368201</v>
      </c>
      <c r="G136" s="3">
        <f t="shared" si="2"/>
        <v>0.74790160625566127</v>
      </c>
    </row>
    <row r="137" spans="1:7" x14ac:dyDescent="0.25">
      <c r="A137" s="1">
        <v>45383</v>
      </c>
      <c r="B137">
        <v>171457</v>
      </c>
      <c r="C137">
        <v>18642.06673924272</v>
      </c>
      <c r="E137" s="1">
        <v>45383</v>
      </c>
      <c r="F137" s="3">
        <f>rotativo_[[#This Row],[AMORTIZACAO]]/B136</f>
        <v>0.11112873014475369</v>
      </c>
      <c r="G137" s="3">
        <f t="shared" si="2"/>
        <v>0.75674239327650872</v>
      </c>
    </row>
    <row r="138" spans="1:7" x14ac:dyDescent="0.25">
      <c r="A138" s="1">
        <v>45413</v>
      </c>
      <c r="B138">
        <v>168833</v>
      </c>
      <c r="C138">
        <v>18210.933488416151</v>
      </c>
      <c r="E138" s="1">
        <v>45413</v>
      </c>
      <c r="F138" s="3">
        <f>rotativo_[[#This Row],[AMORTIZACAO]]/B137</f>
        <v>0.10621283172116712</v>
      </c>
      <c r="G138" s="3">
        <f t="shared" si="2"/>
        <v>0.74009814173538147</v>
      </c>
    </row>
    <row r="139" spans="1:7" x14ac:dyDescent="0.25">
      <c r="A139" s="1">
        <v>45444</v>
      </c>
      <c r="B139">
        <v>168099</v>
      </c>
      <c r="C139">
        <v>18849.707159468919</v>
      </c>
      <c r="E139" s="1">
        <v>45444</v>
      </c>
      <c r="F139" s="3">
        <f>rotativo_[[#This Row],[AMORTIZACAO]]/B138</f>
        <v>0.11164705454187818</v>
      </c>
      <c r="G139" s="3">
        <f t="shared" si="2"/>
        <v>0.75843914408381197</v>
      </c>
    </row>
    <row r="140" spans="1:7" x14ac:dyDescent="0.25">
      <c r="A140" s="1">
        <v>45474</v>
      </c>
      <c r="B140">
        <v>168797</v>
      </c>
      <c r="C140">
        <v>18528.11280521964</v>
      </c>
      <c r="E140" s="1">
        <v>45474</v>
      </c>
      <c r="F140" s="3">
        <f>rotativo_[[#This Row],[AMORTIZACAO]]/B139</f>
        <v>0.11022143382899148</v>
      </c>
      <c r="G140" s="3">
        <f t="shared" si="2"/>
        <v>0.75374600881622</v>
      </c>
    </row>
    <row r="141" spans="1:7" x14ac:dyDescent="0.25">
      <c r="A141" s="1">
        <v>45505</v>
      </c>
      <c r="B141">
        <v>169337</v>
      </c>
      <c r="C141">
        <v>18410.361476014699</v>
      </c>
      <c r="E141" s="1">
        <v>45505</v>
      </c>
      <c r="F141" s="3">
        <f>rotativo_[[#This Row],[AMORTIZACAO]]/B140</f>
        <v>0.10906806090164339</v>
      </c>
      <c r="G141" s="3">
        <f t="shared" si="2"/>
        <v>0.74988810926032679</v>
      </c>
    </row>
    <row r="142" spans="1:7" x14ac:dyDescent="0.25">
      <c r="A142" s="1">
        <v>45536</v>
      </c>
      <c r="B142">
        <v>170562</v>
      </c>
      <c r="C142">
        <v>18961.666925787722</v>
      </c>
      <c r="E142" s="1">
        <v>45536</v>
      </c>
      <c r="F142" s="3">
        <f>rotativo_[[#This Row],[AMORTIZACAO]]/B141</f>
        <v>0.11197592331143059</v>
      </c>
      <c r="G142" s="3">
        <f t="shared" si="2"/>
        <v>0.75951007341957044</v>
      </c>
    </row>
    <row r="143" spans="1:7" x14ac:dyDescent="0.25">
      <c r="A143" s="1">
        <v>45566</v>
      </c>
      <c r="B143">
        <v>169463</v>
      </c>
      <c r="C143">
        <v>18577.728049349302</v>
      </c>
      <c r="E143" s="1">
        <v>45566</v>
      </c>
      <c r="F143" s="3">
        <f>rotativo_[[#This Row],[AMORTIZACAO]]/B142</f>
        <v>0.10892067429643942</v>
      </c>
      <c r="G143" s="3">
        <f t="shared" si="2"/>
        <v>0.74939114602707035</v>
      </c>
    </row>
    <row r="144" spans="1:7" x14ac:dyDescent="0.25">
      <c r="A144" s="1">
        <v>45597</v>
      </c>
      <c r="B144">
        <v>169838</v>
      </c>
      <c r="C144">
        <v>19176.083957149229</v>
      </c>
      <c r="E144" s="1">
        <v>45597</v>
      </c>
      <c r="F144" s="3">
        <f>rotativo_[[#This Row],[AMORTIZACAO]]/B143</f>
        <v>0.11315793982845358</v>
      </c>
      <c r="G144" s="3">
        <f t="shared" si="2"/>
        <v>0.76332336494673636</v>
      </c>
    </row>
    <row r="145" spans="1:7" x14ac:dyDescent="0.25">
      <c r="A145" s="1">
        <v>45627</v>
      </c>
      <c r="B145">
        <v>167809</v>
      </c>
      <c r="C145">
        <v>19115.574075555571</v>
      </c>
      <c r="E145" s="1">
        <v>45627</v>
      </c>
      <c r="F145" s="3">
        <f>rotativo_[[#This Row],[AMORTIZACAO]]/B144</f>
        <v>0.11255180863855893</v>
      </c>
      <c r="G145" s="3">
        <f t="shared" si="2"/>
        <v>0.7613749108189265</v>
      </c>
    </row>
    <row r="146" spans="1:7" x14ac:dyDescent="0.25">
      <c r="A146" s="1">
        <v>45658</v>
      </c>
      <c r="B146">
        <v>177225</v>
      </c>
      <c r="C146">
        <v>20011.512867367142</v>
      </c>
      <c r="E146" s="1">
        <v>45658</v>
      </c>
      <c r="F146" s="3">
        <f>rotativo_[[#This Row],[AMORTIZACAO]]/B145</f>
        <v>0.11925172587505523</v>
      </c>
      <c r="G146" s="3">
        <f t="shared" si="2"/>
        <v>0.78211787115053644</v>
      </c>
    </row>
    <row r="147" spans="1:7" x14ac:dyDescent="0.25">
      <c r="A147" s="1">
        <v>45689</v>
      </c>
      <c r="B147">
        <v>181477</v>
      </c>
      <c r="C147">
        <v>20977.43462945889</v>
      </c>
      <c r="E147" s="1">
        <v>45689</v>
      </c>
      <c r="F147" s="3">
        <f>rotativo_[[#This Row],[AMORTIZACAO]]/B146</f>
        <v>0.11836611442775506</v>
      </c>
      <c r="G147" s="3">
        <f t="shared" si="2"/>
        <v>0.77947426050273272</v>
      </c>
    </row>
    <row r="148" spans="1:7" x14ac:dyDescent="0.25">
      <c r="A148" s="1">
        <v>45717</v>
      </c>
      <c r="B148">
        <v>188992</v>
      </c>
      <c r="C148">
        <v>20308.212918836169</v>
      </c>
      <c r="E148" s="1">
        <v>45717</v>
      </c>
      <c r="F148" s="3">
        <f>rotativo_[[#This Row],[AMORTIZACAO]]/B147</f>
        <v>0.11190516108838128</v>
      </c>
      <c r="G148" s="3">
        <f t="shared" si="2"/>
        <v>0.75928001125096234</v>
      </c>
    </row>
    <row r="149" spans="1:7" x14ac:dyDescent="0.25">
      <c r="A149" s="1">
        <v>45748</v>
      </c>
      <c r="B149">
        <v>194504</v>
      </c>
      <c r="C149">
        <v>21256.319763856263</v>
      </c>
      <c r="E149" s="1">
        <v>45748</v>
      </c>
      <c r="F149" s="3">
        <f>rotativo_[[#This Row],[AMORTIZACAO]]/B148</f>
        <v>0.11247206106002509</v>
      </c>
      <c r="G149" s="3">
        <f t="shared" si="2"/>
        <v>0.76111746460896168</v>
      </c>
    </row>
    <row r="150" spans="1:7" x14ac:dyDescent="0.25">
      <c r="A150" s="1">
        <v>45778</v>
      </c>
      <c r="B150">
        <v>196130</v>
      </c>
      <c r="C150">
        <v>21269.250432682649</v>
      </c>
      <c r="E150" s="1">
        <v>45778</v>
      </c>
      <c r="F150" s="3">
        <f>rotativo_[[#This Row],[AMORTIZACAO]]/B149</f>
        <v>0.10935122379325181</v>
      </c>
      <c r="G150" s="3">
        <f t="shared" si="2"/>
        <v>0.75084035352784773</v>
      </c>
    </row>
    <row r="151" spans="1:7" x14ac:dyDescent="0.25">
      <c r="A151" s="1">
        <v>45809</v>
      </c>
      <c r="B151">
        <v>197460</v>
      </c>
      <c r="C151">
        <v>21712.804235352211</v>
      </c>
      <c r="E151" s="1">
        <v>45809</v>
      </c>
      <c r="F151" s="3">
        <f>rotativo_[[#This Row],[AMORTIZACAO]]/B150</f>
        <v>0.11070618587341156</v>
      </c>
      <c r="G151" s="3">
        <f t="shared" si="2"/>
        <v>0.75535110597395472</v>
      </c>
    </row>
    <row r="152" spans="1:7" x14ac:dyDescent="0.25">
      <c r="A152" s="1">
        <v>45839</v>
      </c>
      <c r="B152">
        <v>196883</v>
      </c>
      <c r="C152">
        <v>21603.717117485001</v>
      </c>
      <c r="E152" s="1">
        <v>45839</v>
      </c>
      <c r="F152" s="3">
        <f>rotativo_[[#This Row],[AMORTIZACAO]]/B151</f>
        <v>0.10940806805168136</v>
      </c>
      <c r="G152" s="3">
        <f t="shared" si="2"/>
        <v>0.75103111323081528</v>
      </c>
    </row>
    <row r="153" spans="1:7" x14ac:dyDescent="0.25">
      <c r="A153" s="1">
        <v>45870</v>
      </c>
      <c r="B153">
        <v>200483</v>
      </c>
      <c r="C153">
        <v>22254.105928085519</v>
      </c>
      <c r="E153" s="1">
        <v>45870</v>
      </c>
      <c r="F153" s="3">
        <f>rotativo_[[#This Row],[AMORTIZACAO]]/B152</f>
        <v>0.11303213547175489</v>
      </c>
      <c r="G153" s="3">
        <f t="shared" si="2"/>
        <v>0.76292016088291059</v>
      </c>
    </row>
    <row r="154" spans="1:7" x14ac:dyDescent="0.25">
      <c r="A154" s="1">
        <v>45901</v>
      </c>
      <c r="B154">
        <v>204200</v>
      </c>
      <c r="C154">
        <v>22701.590966571148</v>
      </c>
      <c r="E154" s="1">
        <v>45901</v>
      </c>
      <c r="F154" s="3">
        <f>rotativo_[[#This Row],[AMORTIZACAO]]/B153</f>
        <v>0.11323449353097843</v>
      </c>
      <c r="G154" s="3">
        <f t="shared" si="2"/>
        <v>0.76356841250018381</v>
      </c>
    </row>
    <row r="155" spans="1:7" x14ac:dyDescent="0.25">
      <c r="A155" s="1">
        <v>45931</v>
      </c>
      <c r="B155">
        <v>210650</v>
      </c>
      <c r="C155">
        <v>23465.282275894428</v>
      </c>
      <c r="E155" s="1">
        <v>45931</v>
      </c>
      <c r="F155" s="3">
        <f>rotativo_[[#This Row],[AMORTIZACAO]]/B154</f>
        <v>0.11491323347646634</v>
      </c>
      <c r="G155" s="3">
        <f t="shared" si="2"/>
        <v>0.76888391682695989</v>
      </c>
    </row>
    <row r="156" spans="1:7" x14ac:dyDescent="0.25">
      <c r="A156" s="1">
        <v>45962</v>
      </c>
      <c r="B156">
        <v>211590</v>
      </c>
      <c r="C156">
        <v>23718.160345634653</v>
      </c>
      <c r="E156" s="1">
        <v>45962</v>
      </c>
      <c r="F156" s="3">
        <f>rotativo_[[#This Row],[AMORTIZACAO]]/B155</f>
        <v>0.11259511201345669</v>
      </c>
      <c r="G156" s="3">
        <f t="shared" si="2"/>
        <v>0.76151459895929086</v>
      </c>
    </row>
    <row r="157" spans="1:7" x14ac:dyDescent="0.25">
      <c r="A157" s="1">
        <v>45992</v>
      </c>
      <c r="B157">
        <v>208980</v>
      </c>
      <c r="C157">
        <v>23261.502774034219</v>
      </c>
      <c r="E157" s="1">
        <v>45992</v>
      </c>
      <c r="F157" s="3">
        <f>rotativo_[[#This Row],[AMORTIZACAO]]/B156</f>
        <v>0.10993668308537369</v>
      </c>
      <c r="G157" s="3">
        <f t="shared" si="2"/>
        <v>0.75279865543365521</v>
      </c>
    </row>
    <row r="158" spans="1:7" x14ac:dyDescent="0.25">
      <c r="A158" s="1">
        <v>46023</v>
      </c>
      <c r="B158">
        <v>217892</v>
      </c>
      <c r="C158">
        <v>24502.12699373646</v>
      </c>
      <c r="E158" s="1">
        <v>46023</v>
      </c>
      <c r="F158" s="3">
        <f>rotativo_[[#This Row],[AMORTIZACAO]]/B157</f>
        <v>0.11724627712573672</v>
      </c>
      <c r="G158" s="3">
        <f t="shared" si="2"/>
        <v>0.77608937938673694</v>
      </c>
    </row>
    <row r="159" spans="1:7" x14ac:dyDescent="0.25">
      <c r="A159" s="1">
        <v>46054</v>
      </c>
      <c r="B159">
        <v>224844</v>
      </c>
      <c r="C159">
        <v>25920.620450785831</v>
      </c>
      <c r="E159" s="1">
        <v>46054</v>
      </c>
      <c r="F159" s="3">
        <f>rotativo_[[#This Row],[AMORTIZACAO]]/B158</f>
        <v>0.11896086341300199</v>
      </c>
      <c r="G159" s="3">
        <f t="shared" si="2"/>
        <v>0.78125284803696549</v>
      </c>
    </row>
    <row r="160" spans="1:7" x14ac:dyDescent="0.25">
      <c r="A160" s="1">
        <v>46082</v>
      </c>
      <c r="B160">
        <v>226003</v>
      </c>
      <c r="C160">
        <v>25489.456038060067</v>
      </c>
      <c r="E160" s="1">
        <v>46082</v>
      </c>
      <c r="F160" s="3">
        <f>rotativo_[[#This Row],[AMORTIZACAO]]/B159</f>
        <v>0.11336507106287055</v>
      </c>
      <c r="G160" s="3">
        <f t="shared" si="2"/>
        <v>0.76398585312401701</v>
      </c>
    </row>
    <row r="161" spans="1:7" x14ac:dyDescent="0.25">
      <c r="A161" s="1">
        <v>46113</v>
      </c>
      <c r="B161">
        <v>229979</v>
      </c>
      <c r="C161">
        <v>26032.086368159173</v>
      </c>
      <c r="E161" s="1">
        <v>46113</v>
      </c>
      <c r="F161" s="3">
        <f>rotativo_[[#This Row],[AMORTIZACAO]]/B160</f>
        <v>0.11518469386759987</v>
      </c>
      <c r="G161" s="3">
        <f t="shared" si="2"/>
        <v>0.76973309645692534</v>
      </c>
    </row>
    <row r="162" spans="1:7" x14ac:dyDescent="0.25">
      <c r="A162" s="1">
        <v>46143</v>
      </c>
      <c r="B162">
        <v>228671</v>
      </c>
      <c r="C162">
        <v>25949.58098772791</v>
      </c>
      <c r="E162" s="1">
        <v>46143</v>
      </c>
      <c r="F162" s="3">
        <f>rotativo_[[#This Row],[AMORTIZACAO]]/B161</f>
        <v>0.11283456745062771</v>
      </c>
      <c r="G162" s="3">
        <f t="shared" si="2"/>
        <v>0.76228568260565965</v>
      </c>
    </row>
    <row r="163" spans="1:7" x14ac:dyDescent="0.25">
      <c r="A163" s="1">
        <v>46174</v>
      </c>
      <c r="B163">
        <v>226344</v>
      </c>
      <c r="C163">
        <v>25758.784390083682</v>
      </c>
      <c r="E163" s="1">
        <v>46174</v>
      </c>
      <c r="F163" s="3">
        <f>rotativo_[[#This Row],[AMORTIZACAO]]/B162</f>
        <v>0.11264561046255836</v>
      </c>
      <c r="G163" s="3">
        <f t="shared" si="2"/>
        <v>0.76167740231294501</v>
      </c>
    </row>
    <row r="164" spans="1:7" x14ac:dyDescent="0.25">
      <c r="A164" s="1">
        <v>46204</v>
      </c>
      <c r="B164">
        <v>226011</v>
      </c>
      <c r="C164">
        <v>25420.262076769781</v>
      </c>
      <c r="E164" s="1">
        <v>46204</v>
      </c>
      <c r="F164" s="3">
        <f>rotativo_[[#This Row],[AMORTIZACAO]]/B163</f>
        <v>0.11230808891231833</v>
      </c>
      <c r="G164" s="3">
        <f t="shared" si="2"/>
        <v>0.76058731914929334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B7EFC-305A-454A-98C9-CE2CFB6D1AF0}">
  <dimension ref="A1:J164"/>
  <sheetViews>
    <sheetView workbookViewId="0">
      <selection activeCell="F3" sqref="F3"/>
    </sheetView>
  </sheetViews>
  <sheetFormatPr defaultRowHeight="15" x14ac:dyDescent="0.25"/>
  <cols>
    <col min="1" max="1" width="10.42578125" bestFit="1" customWidth="1"/>
    <col min="2" max="2" width="9.42578125" bestFit="1" customWidth="1"/>
    <col min="3" max="3" width="16.5703125" bestFit="1" customWidth="1"/>
    <col min="4" max="4" width="12" bestFit="1" customWidth="1"/>
    <col min="5" max="5" width="10.42578125" bestFit="1" customWidth="1"/>
    <col min="6" max="8" width="9.140625" style="3"/>
    <col min="9" max="9" width="15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E1" t="s">
        <v>0</v>
      </c>
      <c r="I1" t="s">
        <v>3</v>
      </c>
      <c r="J1" s="4">
        <f>AVERAGE(G:G)</f>
        <v>4.3218078721796761E-2</v>
      </c>
    </row>
    <row r="2" spans="1:10" x14ac:dyDescent="0.25">
      <c r="A2" s="1">
        <v>41275</v>
      </c>
      <c r="B2" s="2">
        <v>263172</v>
      </c>
      <c r="C2">
        <v>1141.6837834910771</v>
      </c>
      <c r="E2" s="1">
        <v>41275</v>
      </c>
    </row>
    <row r="3" spans="1:10" x14ac:dyDescent="0.25">
      <c r="A3" s="1">
        <v>41306</v>
      </c>
      <c r="B3" s="2">
        <v>268517</v>
      </c>
      <c r="C3">
        <v>1161.4155746080539</v>
      </c>
      <c r="E3" s="1">
        <v>41306</v>
      </c>
      <c r="F3" s="3">
        <f>imobiliario[[#This Row],[AMORTIZACAO]]/B2</f>
        <v>4.4131426390651507E-3</v>
      </c>
      <c r="G3" s="3">
        <f>(1-(1-F3)^12)</f>
        <v>5.1691029498952545E-2</v>
      </c>
    </row>
    <row r="4" spans="1:10" x14ac:dyDescent="0.25">
      <c r="A4" s="1">
        <v>41334</v>
      </c>
      <c r="B4" s="2">
        <v>275996</v>
      </c>
      <c r="C4">
        <v>1188.859560237634</v>
      </c>
      <c r="E4" s="1">
        <v>41334</v>
      </c>
      <c r="F4" s="3">
        <f>imobiliario[[#This Row],[AMORTIZACAO]]/B3</f>
        <v>4.4275020212412395E-3</v>
      </c>
      <c r="G4" s="3">
        <f t="shared" ref="G4:G67" si="0">(1-(1-F4)^12)</f>
        <v>5.1855146379498174E-2</v>
      </c>
    </row>
    <row r="5" spans="1:10" x14ac:dyDescent="0.25">
      <c r="A5" s="1">
        <v>41365</v>
      </c>
      <c r="B5" s="2">
        <v>283580</v>
      </c>
      <c r="C5">
        <v>1212.0339310348982</v>
      </c>
      <c r="E5" s="1">
        <v>41365</v>
      </c>
      <c r="F5" s="3">
        <f>imobiliario[[#This Row],[AMORTIZACAO]]/B4</f>
        <v>4.3914909311544301E-3</v>
      </c>
      <c r="G5" s="3">
        <f t="shared" si="0"/>
        <v>5.1443517614225831E-2</v>
      </c>
    </row>
    <row r="6" spans="1:10" x14ac:dyDescent="0.25">
      <c r="A6" s="1">
        <v>41395</v>
      </c>
      <c r="B6" s="2">
        <v>292042</v>
      </c>
      <c r="C6">
        <v>1241.4544808736391</v>
      </c>
      <c r="E6" s="1">
        <v>41395</v>
      </c>
      <c r="F6" s="3">
        <f>imobiliario[[#This Row],[AMORTIZACAO]]/B5</f>
        <v>4.3777927952381663E-3</v>
      </c>
      <c r="G6" s="3">
        <f t="shared" si="0"/>
        <v>5.1286896547351746E-2</v>
      </c>
    </row>
    <row r="7" spans="1:10" x14ac:dyDescent="0.25">
      <c r="A7" s="1">
        <v>41426</v>
      </c>
      <c r="B7" s="2">
        <v>300962</v>
      </c>
      <c r="C7">
        <v>1267.1468239947471</v>
      </c>
      <c r="E7" s="1">
        <v>41426</v>
      </c>
      <c r="F7" s="3">
        <f>imobiliario[[#This Row],[AMORTIZACAO]]/B6</f>
        <v>4.3389198265822966E-3</v>
      </c>
      <c r="G7" s="3">
        <f t="shared" si="0"/>
        <v>5.0842303628351404E-2</v>
      </c>
    </row>
    <row r="8" spans="1:10" x14ac:dyDescent="0.25">
      <c r="A8" s="1">
        <v>41456</v>
      </c>
      <c r="B8" s="2">
        <v>309231</v>
      </c>
      <c r="C8">
        <v>1287.912090822276</v>
      </c>
      <c r="E8" s="1">
        <v>41456</v>
      </c>
      <c r="F8" s="3">
        <f>imobiliario[[#This Row],[AMORTIZACAO]]/B7</f>
        <v>4.279317956493763E-3</v>
      </c>
      <c r="G8" s="3">
        <f t="shared" si="0"/>
        <v>5.0160261867975731E-2</v>
      </c>
    </row>
    <row r="9" spans="1:10" x14ac:dyDescent="0.25">
      <c r="A9" s="1">
        <v>41487</v>
      </c>
      <c r="B9" s="2">
        <v>317820</v>
      </c>
      <c r="C9">
        <v>1316.7721376587681</v>
      </c>
      <c r="E9" s="1">
        <v>41487</v>
      </c>
      <c r="F9" s="3">
        <f>imobiliario[[#This Row],[AMORTIZACAO]]/B8</f>
        <v>4.2582151778404109E-3</v>
      </c>
      <c r="G9" s="3">
        <f t="shared" si="0"/>
        <v>4.9918668882504957E-2</v>
      </c>
    </row>
    <row r="10" spans="1:10" x14ac:dyDescent="0.25">
      <c r="A10" s="1">
        <v>41518</v>
      </c>
      <c r="B10" s="2">
        <v>322542</v>
      </c>
      <c r="C10">
        <v>1325.9655193524741</v>
      </c>
      <c r="E10" s="1">
        <v>41518</v>
      </c>
      <c r="F10" s="3">
        <f>imobiliario[[#This Row],[AMORTIZACAO]]/B9</f>
        <v>4.172064436953225E-3</v>
      </c>
      <c r="G10" s="3">
        <f t="shared" si="0"/>
        <v>4.8931796519518067E-2</v>
      </c>
    </row>
    <row r="11" spans="1:10" x14ac:dyDescent="0.25">
      <c r="A11" s="1">
        <v>41548</v>
      </c>
      <c r="B11" s="2">
        <v>325399</v>
      </c>
      <c r="C11">
        <v>1387.5084266970809</v>
      </c>
      <c r="E11" s="1">
        <v>41548</v>
      </c>
      <c r="F11" s="3">
        <f>imobiliario[[#This Row],[AMORTIZACAO]]/B10</f>
        <v>4.3017914773799413E-3</v>
      </c>
      <c r="G11" s="3">
        <f t="shared" si="0"/>
        <v>5.0417485733456613E-2</v>
      </c>
    </row>
    <row r="12" spans="1:10" x14ac:dyDescent="0.25">
      <c r="A12" s="1">
        <v>41579</v>
      </c>
      <c r="B12" s="2">
        <v>333018</v>
      </c>
      <c r="C12">
        <v>1409.9445013785821</v>
      </c>
      <c r="E12" s="1">
        <v>41579</v>
      </c>
      <c r="F12" s="3">
        <f>imobiliario[[#This Row],[AMORTIZACAO]]/B11</f>
        <v>4.3329712180387222E-3</v>
      </c>
      <c r="G12" s="3">
        <f t="shared" si="0"/>
        <v>5.0774252120899366E-2</v>
      </c>
    </row>
    <row r="13" spans="1:10" x14ac:dyDescent="0.25">
      <c r="A13" s="1">
        <v>41609</v>
      </c>
      <c r="B13" s="2">
        <v>340707</v>
      </c>
      <c r="C13">
        <v>1438.1521056158722</v>
      </c>
      <c r="E13" s="1">
        <v>41609</v>
      </c>
      <c r="F13" s="3">
        <f>imobiliario[[#This Row],[AMORTIZACAO]]/B12</f>
        <v>4.3185416572553799E-3</v>
      </c>
      <c r="G13" s="3">
        <f t="shared" si="0"/>
        <v>5.0609160755585081E-2</v>
      </c>
    </row>
    <row r="14" spans="1:10" x14ac:dyDescent="0.25">
      <c r="A14" s="1">
        <v>41640</v>
      </c>
      <c r="B14" s="2">
        <v>347394</v>
      </c>
      <c r="C14">
        <v>1464.7605707748171</v>
      </c>
      <c r="E14" s="1">
        <v>41640</v>
      </c>
      <c r="F14" s="3">
        <f>imobiliario[[#This Row],[AMORTIZACAO]]/B13</f>
        <v>4.2991795612500388E-3</v>
      </c>
      <c r="G14" s="3">
        <f t="shared" si="0"/>
        <v>5.0387593957230692E-2</v>
      </c>
    </row>
    <row r="15" spans="1:10" x14ac:dyDescent="0.25">
      <c r="A15" s="1">
        <v>41671</v>
      </c>
      <c r="B15" s="2">
        <v>354726</v>
      </c>
      <c r="C15">
        <v>1491.7203975656651</v>
      </c>
      <c r="E15" s="1">
        <v>41671</v>
      </c>
      <c r="F15" s="3">
        <f>imobiliario[[#This Row],[AMORTIZACAO]]/B14</f>
        <v>4.2940304022685049E-3</v>
      </c>
      <c r="G15" s="3">
        <f t="shared" si="0"/>
        <v>5.032866246823986E-2</v>
      </c>
    </row>
    <row r="16" spans="1:10" x14ac:dyDescent="0.25">
      <c r="A16" s="1">
        <v>41699</v>
      </c>
      <c r="B16" s="2">
        <v>361344</v>
      </c>
      <c r="C16">
        <v>1515.555868344363</v>
      </c>
      <c r="E16" s="1">
        <v>41699</v>
      </c>
      <c r="F16" s="3">
        <f>imobiliario[[#This Row],[AMORTIZACAO]]/B15</f>
        <v>4.2724690841504792E-3</v>
      </c>
      <c r="G16" s="3">
        <f t="shared" si="0"/>
        <v>5.0081859432387632E-2</v>
      </c>
    </row>
    <row r="17" spans="1:7" x14ac:dyDescent="0.25">
      <c r="A17" s="1">
        <v>41730</v>
      </c>
      <c r="B17" s="2">
        <v>368630</v>
      </c>
      <c r="C17">
        <v>1541.5810155911201</v>
      </c>
      <c r="E17" s="1">
        <v>41730</v>
      </c>
      <c r="F17" s="3">
        <f>imobiliario[[#This Row],[AMORTIZACAO]]/B16</f>
        <v>4.2662421836010015E-3</v>
      </c>
      <c r="G17" s="3">
        <f t="shared" si="0"/>
        <v>5.0010571867553866E-2</v>
      </c>
    </row>
    <row r="18" spans="1:7" x14ac:dyDescent="0.25">
      <c r="A18" s="1">
        <v>41760</v>
      </c>
      <c r="B18" s="2">
        <v>377971</v>
      </c>
      <c r="C18">
        <v>1572.8243542805139</v>
      </c>
      <c r="E18" s="1">
        <v>41760</v>
      </c>
      <c r="F18" s="3">
        <f>imobiliario[[#This Row],[AMORTIZACAO]]/B17</f>
        <v>4.2666748617326694E-3</v>
      </c>
      <c r="G18" s="3">
        <f t="shared" si="0"/>
        <v>5.0015525464821575E-2</v>
      </c>
    </row>
    <row r="19" spans="1:7" x14ac:dyDescent="0.25">
      <c r="A19" s="1">
        <v>41791</v>
      </c>
      <c r="B19" s="2">
        <v>386395</v>
      </c>
      <c r="C19">
        <v>1604.3813323605029</v>
      </c>
      <c r="E19" s="1">
        <v>41791</v>
      </c>
      <c r="F19" s="3">
        <f>imobiliario[[#This Row],[AMORTIZACAO]]/B18</f>
        <v>4.2447207123311129E-3</v>
      </c>
      <c r="G19" s="3">
        <f t="shared" si="0"/>
        <v>4.9764149360048915E-2</v>
      </c>
    </row>
    <row r="20" spans="1:7" x14ac:dyDescent="0.25">
      <c r="A20" s="1">
        <v>41821</v>
      </c>
      <c r="B20" s="2">
        <v>395296</v>
      </c>
      <c r="C20">
        <v>1636.4592709460139</v>
      </c>
      <c r="E20" s="1">
        <v>41821</v>
      </c>
      <c r="F20" s="3">
        <f>imobiliario[[#This Row],[AMORTIZACAO]]/B19</f>
        <v>4.2351978440352848E-3</v>
      </c>
      <c r="G20" s="3">
        <f t="shared" si="0"/>
        <v>4.9655093084561952E-2</v>
      </c>
    </row>
    <row r="21" spans="1:7" x14ac:dyDescent="0.25">
      <c r="A21" s="1">
        <v>41852</v>
      </c>
      <c r="B21" s="2">
        <v>403781</v>
      </c>
      <c r="C21">
        <v>1666.6788549264991</v>
      </c>
      <c r="E21" s="1">
        <v>41852</v>
      </c>
      <c r="F21" s="3">
        <f>imobiliario[[#This Row],[AMORTIZACAO]]/B20</f>
        <v>4.2162805971385975E-3</v>
      </c>
      <c r="G21" s="3">
        <f t="shared" si="0"/>
        <v>4.9438417968681536E-2</v>
      </c>
    </row>
    <row r="22" spans="1:7" x14ac:dyDescent="0.25">
      <c r="A22" s="1">
        <v>41883</v>
      </c>
      <c r="B22" s="2">
        <v>410128</v>
      </c>
      <c r="C22">
        <v>1688.209942649273</v>
      </c>
      <c r="E22" s="1">
        <v>41883</v>
      </c>
      <c r="F22" s="3">
        <f>imobiliario[[#This Row],[AMORTIZACAO]]/B21</f>
        <v>4.1810039170968247E-3</v>
      </c>
      <c r="G22" s="3">
        <f t="shared" si="0"/>
        <v>4.9034243561898228E-2</v>
      </c>
    </row>
    <row r="23" spans="1:7" x14ac:dyDescent="0.25">
      <c r="A23" s="1">
        <v>41913</v>
      </c>
      <c r="B23" s="2">
        <v>419473</v>
      </c>
      <c r="C23">
        <v>1719.469789162931</v>
      </c>
      <c r="E23" s="1">
        <v>41913</v>
      </c>
      <c r="F23" s="3">
        <f>imobiliario[[#This Row],[AMORTIZACAO]]/B22</f>
        <v>4.1925198698038926E-3</v>
      </c>
      <c r="G23" s="3">
        <f t="shared" si="0"/>
        <v>4.9166202243614565E-2</v>
      </c>
    </row>
    <row r="24" spans="1:7" x14ac:dyDescent="0.25">
      <c r="A24" s="1">
        <v>41944</v>
      </c>
      <c r="B24" s="2">
        <v>427842</v>
      </c>
      <c r="C24">
        <v>1749.8059715820409</v>
      </c>
      <c r="E24" s="1">
        <v>41944</v>
      </c>
      <c r="F24" s="3">
        <f>imobiliario[[#This Row],[AMORTIZACAO]]/B23</f>
        <v>4.1714388568085212E-3</v>
      </c>
      <c r="G24" s="3">
        <f t="shared" si="0"/>
        <v>4.8924626950333283E-2</v>
      </c>
    </row>
    <row r="25" spans="1:7" x14ac:dyDescent="0.25">
      <c r="A25" s="1">
        <v>41974</v>
      </c>
      <c r="B25" s="2">
        <v>437006</v>
      </c>
      <c r="C25">
        <v>1772.713013510697</v>
      </c>
      <c r="E25" s="1">
        <v>41974</v>
      </c>
      <c r="F25" s="3">
        <f>imobiliario[[#This Row],[AMORTIZACAO]]/B24</f>
        <v>4.1433824017059967E-3</v>
      </c>
      <c r="G25" s="3">
        <f t="shared" si="0"/>
        <v>4.8603030164234173E-2</v>
      </c>
    </row>
    <row r="26" spans="1:7" x14ac:dyDescent="0.25">
      <c r="A26" s="1">
        <v>42005</v>
      </c>
      <c r="B26" s="2">
        <v>445174</v>
      </c>
      <c r="C26">
        <v>1793.7990420735289</v>
      </c>
      <c r="E26" s="1">
        <v>42005</v>
      </c>
      <c r="F26" s="3">
        <f>imobiliario[[#This Row],[AMORTIZACAO]]/B25</f>
        <v>4.1047469418578437E-3</v>
      </c>
      <c r="G26" s="3">
        <f t="shared" si="0"/>
        <v>4.8160008510993335E-2</v>
      </c>
    </row>
    <row r="27" spans="1:7" x14ac:dyDescent="0.25">
      <c r="A27" s="1">
        <v>42036</v>
      </c>
      <c r="B27" s="2">
        <v>450448</v>
      </c>
      <c r="C27">
        <v>1809.9521123657019</v>
      </c>
      <c r="E27" s="1">
        <v>42036</v>
      </c>
      <c r="F27" s="3">
        <f>imobiliario[[#This Row],[AMORTIZACAO]]/B26</f>
        <v>4.0657183761084468E-3</v>
      </c>
      <c r="G27" s="3">
        <f t="shared" si="0"/>
        <v>4.7712287233765749E-2</v>
      </c>
    </row>
    <row r="28" spans="1:7" x14ac:dyDescent="0.25">
      <c r="A28" s="1">
        <v>42064</v>
      </c>
      <c r="B28" s="2">
        <v>457699</v>
      </c>
      <c r="C28">
        <v>1829.1567140538789</v>
      </c>
      <c r="E28" s="1">
        <v>42064</v>
      </c>
      <c r="F28" s="3">
        <f>imobiliario[[#This Row],[AMORTIZACAO]]/B27</f>
        <v>4.060749995679588E-3</v>
      </c>
      <c r="G28" s="3">
        <f t="shared" si="0"/>
        <v>4.7655277960676035E-2</v>
      </c>
    </row>
    <row r="29" spans="1:7" x14ac:dyDescent="0.25">
      <c r="A29" s="1">
        <v>42095</v>
      </c>
      <c r="B29" s="2">
        <v>465745</v>
      </c>
      <c r="C29">
        <v>1855.128620386929</v>
      </c>
      <c r="E29" s="1">
        <v>42095</v>
      </c>
      <c r="F29" s="3">
        <f>imobiliario[[#This Row],[AMORTIZACAO]]/B28</f>
        <v>4.0531629310680793E-3</v>
      </c>
      <c r="G29" s="3">
        <f t="shared" si="0"/>
        <v>4.7568214774592943E-2</v>
      </c>
    </row>
    <row r="30" spans="1:7" x14ac:dyDescent="0.25">
      <c r="A30" s="1">
        <v>42125</v>
      </c>
      <c r="B30" s="2">
        <v>470953</v>
      </c>
      <c r="C30">
        <v>1864.5073317495251</v>
      </c>
      <c r="E30" s="1">
        <v>42125</v>
      </c>
      <c r="F30" s="3">
        <f>imobiliario[[#This Row],[AMORTIZACAO]]/B29</f>
        <v>4.0032793304265743E-3</v>
      </c>
      <c r="G30" s="3">
        <f t="shared" si="0"/>
        <v>4.6995608101495834E-2</v>
      </c>
    </row>
    <row r="31" spans="1:7" x14ac:dyDescent="0.25">
      <c r="A31" s="1">
        <v>42156</v>
      </c>
      <c r="B31" s="2">
        <v>476358</v>
      </c>
      <c r="C31">
        <v>1871.6228758726052</v>
      </c>
      <c r="E31" s="1">
        <v>42156</v>
      </c>
      <c r="F31" s="3">
        <f>imobiliario[[#This Row],[AMORTIZACAO]]/B30</f>
        <v>3.9741181728805324E-3</v>
      </c>
      <c r="G31" s="3">
        <f t="shared" si="0"/>
        <v>4.666072523000786E-2</v>
      </c>
    </row>
    <row r="32" spans="1:7" x14ac:dyDescent="0.25">
      <c r="A32" s="1">
        <v>42186</v>
      </c>
      <c r="B32" s="2">
        <v>482224</v>
      </c>
      <c r="C32">
        <v>1885.1836663256861</v>
      </c>
      <c r="E32" s="1">
        <v>42186</v>
      </c>
      <c r="F32" s="3">
        <f>imobiliario[[#This Row],[AMORTIZACAO]]/B31</f>
        <v>3.9574934530871445E-3</v>
      </c>
      <c r="G32" s="3">
        <f t="shared" si="0"/>
        <v>4.6469760874984112E-2</v>
      </c>
    </row>
    <row r="33" spans="1:7" x14ac:dyDescent="0.25">
      <c r="A33" s="1">
        <v>42217</v>
      </c>
      <c r="B33" s="2">
        <v>487490</v>
      </c>
      <c r="C33">
        <v>1904.315041924262</v>
      </c>
      <c r="E33" s="1">
        <v>42217</v>
      </c>
      <c r="F33" s="3">
        <f>imobiliario[[#This Row],[AMORTIZACAO]]/B32</f>
        <v>3.9490258508997102E-3</v>
      </c>
      <c r="G33" s="3">
        <f t="shared" si="0"/>
        <v>4.6372481987188907E-2</v>
      </c>
    </row>
    <row r="34" spans="1:7" x14ac:dyDescent="0.25">
      <c r="A34" s="1">
        <v>42248</v>
      </c>
      <c r="B34" s="2">
        <v>491917</v>
      </c>
      <c r="C34">
        <v>1918.2991650105362</v>
      </c>
      <c r="E34" s="1">
        <v>42248</v>
      </c>
      <c r="F34" s="3">
        <f>imobiliario[[#This Row],[AMORTIZACAO]]/B33</f>
        <v>3.9350533652188482E-3</v>
      </c>
      <c r="G34" s="3">
        <f t="shared" si="0"/>
        <v>4.6211941108044385E-2</v>
      </c>
    </row>
    <row r="35" spans="1:7" x14ac:dyDescent="0.25">
      <c r="A35" s="1">
        <v>42278</v>
      </c>
      <c r="B35" s="2">
        <v>496447</v>
      </c>
      <c r="C35">
        <v>1935.344489092507</v>
      </c>
      <c r="E35" s="1">
        <v>42278</v>
      </c>
      <c r="F35" s="3">
        <f>imobiliario[[#This Row],[AMORTIZACAO]]/B34</f>
        <v>3.9342907219968148E-3</v>
      </c>
      <c r="G35" s="3">
        <f t="shared" si="0"/>
        <v>4.6203177787171201E-2</v>
      </c>
    </row>
    <row r="36" spans="1:7" x14ac:dyDescent="0.25">
      <c r="A36" s="1">
        <v>42309</v>
      </c>
      <c r="B36" s="2">
        <v>500686</v>
      </c>
      <c r="C36">
        <v>1948.8915797193461</v>
      </c>
      <c r="E36" s="1">
        <v>42309</v>
      </c>
      <c r="F36" s="3">
        <f>imobiliario[[#This Row],[AMORTIZACAO]]/B35</f>
        <v>3.9256790346589784E-3</v>
      </c>
      <c r="G36" s="3">
        <f t="shared" si="0"/>
        <v>4.6104218163979804E-2</v>
      </c>
    </row>
    <row r="37" spans="1:7" x14ac:dyDescent="0.25">
      <c r="A37" s="1">
        <v>42339</v>
      </c>
      <c r="B37" s="2">
        <v>505304</v>
      </c>
      <c r="C37">
        <v>1965.586732012734</v>
      </c>
      <c r="E37" s="1">
        <v>42339</v>
      </c>
      <c r="F37" s="3">
        <f>imobiliario[[#This Row],[AMORTIZACAO]]/B36</f>
        <v>3.9257872838719954E-3</v>
      </c>
      <c r="G37" s="3">
        <f t="shared" si="0"/>
        <v>4.6105462148334886E-2</v>
      </c>
    </row>
    <row r="38" spans="1:7" x14ac:dyDescent="0.25">
      <c r="A38" s="1">
        <v>42370</v>
      </c>
      <c r="B38" s="2">
        <v>508432</v>
      </c>
      <c r="C38">
        <v>1976.7253314621848</v>
      </c>
      <c r="E38" s="1">
        <v>42370</v>
      </c>
      <c r="F38" s="3">
        <f>imobiliario[[#This Row],[AMORTIZACAO]]/B37</f>
        <v>3.9119526690114962E-3</v>
      </c>
      <c r="G38" s="3">
        <f t="shared" si="0"/>
        <v>4.5946464697767087E-2</v>
      </c>
    </row>
    <row r="39" spans="1:7" x14ac:dyDescent="0.25">
      <c r="A39" s="1">
        <v>42401</v>
      </c>
      <c r="B39" s="2">
        <v>510799</v>
      </c>
      <c r="C39">
        <v>1985.581348599419</v>
      </c>
      <c r="E39" s="1">
        <v>42401</v>
      </c>
      <c r="F39" s="3">
        <f>imobiliario[[#This Row],[AMORTIZACAO]]/B38</f>
        <v>3.905303656338348E-3</v>
      </c>
      <c r="G39" s="3">
        <f t="shared" si="0"/>
        <v>4.5870040767655218E-2</v>
      </c>
    </row>
    <row r="40" spans="1:7" x14ac:dyDescent="0.25">
      <c r="A40" s="1">
        <v>42430</v>
      </c>
      <c r="B40" s="2">
        <v>514896</v>
      </c>
      <c r="C40">
        <v>2001.046854859195</v>
      </c>
      <c r="E40" s="1">
        <v>42430</v>
      </c>
      <c r="F40" s="3">
        <f>imobiliario[[#This Row],[AMORTIZACAO]]/B39</f>
        <v>3.9174838926058879E-3</v>
      </c>
      <c r="G40" s="3">
        <f t="shared" si="0"/>
        <v>4.6010036454583014E-2</v>
      </c>
    </row>
    <row r="41" spans="1:7" x14ac:dyDescent="0.25">
      <c r="A41" s="1">
        <v>42461</v>
      </c>
      <c r="B41" s="2">
        <v>515541</v>
      </c>
      <c r="C41">
        <v>1998.3823694129251</v>
      </c>
      <c r="E41" s="1">
        <v>42461</v>
      </c>
      <c r="F41" s="3">
        <f>imobiliario[[#This Row],[AMORTIZACAO]]/B40</f>
        <v>3.8811378791307857E-3</v>
      </c>
      <c r="G41" s="3">
        <f t="shared" si="0"/>
        <v>4.559223141130464E-2</v>
      </c>
    </row>
    <row r="42" spans="1:7" x14ac:dyDescent="0.25">
      <c r="A42" s="1">
        <v>42491</v>
      </c>
      <c r="B42" s="2">
        <v>518804</v>
      </c>
      <c r="C42">
        <v>2010.7998562776311</v>
      </c>
      <c r="E42" s="1">
        <v>42491</v>
      </c>
      <c r="F42" s="3">
        <f>imobiliario[[#This Row],[AMORTIZACAO]]/B41</f>
        <v>3.9003684600790842E-3</v>
      </c>
      <c r="G42" s="3">
        <f t="shared" si="0"/>
        <v>4.5813311860972039E-2</v>
      </c>
    </row>
    <row r="43" spans="1:7" x14ac:dyDescent="0.25">
      <c r="A43" s="1">
        <v>42522</v>
      </c>
      <c r="B43" s="2">
        <v>522514</v>
      </c>
      <c r="C43">
        <v>2022.6996908762669</v>
      </c>
      <c r="E43" s="1">
        <v>42522</v>
      </c>
      <c r="F43" s="3">
        <f>imobiliario[[#This Row],[AMORTIZACAO]]/B42</f>
        <v>3.8987742786799388E-3</v>
      </c>
      <c r="G43" s="3">
        <f t="shared" si="0"/>
        <v>4.5794986464461673E-2</v>
      </c>
    </row>
    <row r="44" spans="1:7" x14ac:dyDescent="0.25">
      <c r="A44" s="1">
        <v>42552</v>
      </c>
      <c r="B44" s="2">
        <v>526714</v>
      </c>
      <c r="C44">
        <v>2037.7385865845222</v>
      </c>
      <c r="E44" s="1">
        <v>42552</v>
      </c>
      <c r="F44" s="3">
        <f>imobiliario[[#This Row],[AMORTIZACAO]]/B43</f>
        <v>3.8998736619201058E-3</v>
      </c>
      <c r="G44" s="3">
        <f t="shared" si="0"/>
        <v>4.5807624103343603E-2</v>
      </c>
    </row>
    <row r="45" spans="1:7" x14ac:dyDescent="0.25">
      <c r="A45" s="1">
        <v>42583</v>
      </c>
      <c r="B45" s="2">
        <v>530797</v>
      </c>
      <c r="C45">
        <v>2053.3741975264288</v>
      </c>
      <c r="E45" s="1">
        <v>42583</v>
      </c>
      <c r="F45" s="3">
        <f>imobiliario[[#This Row],[AMORTIZACAO]]/B44</f>
        <v>3.8984613994054247E-3</v>
      </c>
      <c r="G45" s="3">
        <f t="shared" si="0"/>
        <v>4.5791389824115347E-2</v>
      </c>
    </row>
    <row r="46" spans="1:7" x14ac:dyDescent="0.25">
      <c r="A46" s="1">
        <v>42614</v>
      </c>
      <c r="B46" s="2">
        <v>534190</v>
      </c>
      <c r="C46">
        <v>2066.734583169286</v>
      </c>
      <c r="E46" s="1">
        <v>42614</v>
      </c>
      <c r="F46" s="3">
        <f>imobiliario[[#This Row],[AMORTIZACAO]]/B45</f>
        <v>3.8936440544488494E-3</v>
      </c>
      <c r="G46" s="3">
        <f t="shared" si="0"/>
        <v>4.5736011441944391E-2</v>
      </c>
    </row>
    <row r="47" spans="1:7" x14ac:dyDescent="0.25">
      <c r="A47" s="1">
        <v>42644</v>
      </c>
      <c r="B47" s="2">
        <v>530897</v>
      </c>
      <c r="C47">
        <v>2049.0368557329161</v>
      </c>
      <c r="E47" s="1">
        <v>42644</v>
      </c>
      <c r="F47" s="3">
        <f>imobiliario[[#This Row],[AMORTIZACAO]]/B46</f>
        <v>3.8357828782510268E-3</v>
      </c>
      <c r="G47" s="3">
        <f t="shared" si="0"/>
        <v>4.5070630923974897E-2</v>
      </c>
    </row>
    <row r="48" spans="1:7" x14ac:dyDescent="0.25">
      <c r="A48" s="1">
        <v>42675</v>
      </c>
      <c r="B48" s="2">
        <v>534592</v>
      </c>
      <c r="C48">
        <v>2062.1879978792363</v>
      </c>
      <c r="E48" s="1">
        <v>42675</v>
      </c>
      <c r="F48" s="3">
        <f>imobiliario[[#This Row],[AMORTIZACAO]]/B47</f>
        <v>3.8843466771882988E-3</v>
      </c>
      <c r="G48" s="3">
        <f t="shared" si="0"/>
        <v>4.5629123966827279E-2</v>
      </c>
    </row>
    <row r="49" spans="1:7" x14ac:dyDescent="0.25">
      <c r="A49" s="1">
        <v>42705</v>
      </c>
      <c r="B49" s="2">
        <v>540012</v>
      </c>
      <c r="C49">
        <v>2080.9696207365291</v>
      </c>
      <c r="E49" s="1">
        <v>42705</v>
      </c>
      <c r="F49" s="3">
        <f>imobiliario[[#This Row],[AMORTIZACAO]]/B48</f>
        <v>3.8926314287092384E-3</v>
      </c>
      <c r="G49" s="3">
        <f t="shared" si="0"/>
        <v>4.5724370303333428E-2</v>
      </c>
    </row>
    <row r="50" spans="1:7" x14ac:dyDescent="0.25">
      <c r="A50" s="1">
        <v>42736</v>
      </c>
      <c r="B50" s="2">
        <v>542372</v>
      </c>
      <c r="C50">
        <v>2090.7208585999488</v>
      </c>
      <c r="E50" s="1">
        <v>42736</v>
      </c>
      <c r="F50" s="3">
        <f>imobiliario[[#This Row],[AMORTIZACAO]]/B49</f>
        <v>3.8716192577201041E-3</v>
      </c>
      <c r="G50" s="3">
        <f t="shared" si="0"/>
        <v>4.5482785150971816E-2</v>
      </c>
    </row>
    <row r="51" spans="1:7" x14ac:dyDescent="0.25">
      <c r="A51" s="1">
        <v>42767</v>
      </c>
      <c r="B51" s="2">
        <v>545299</v>
      </c>
      <c r="C51">
        <v>2102.4142994576728</v>
      </c>
      <c r="E51" s="1">
        <v>42767</v>
      </c>
      <c r="F51" s="3">
        <f>imobiliario[[#This Row],[AMORTIZACAO]]/B50</f>
        <v>3.8763326636656625E-3</v>
      </c>
      <c r="G51" s="3">
        <f t="shared" si="0"/>
        <v>4.5536981900543116E-2</v>
      </c>
    </row>
    <row r="52" spans="1:7" x14ac:dyDescent="0.25">
      <c r="A52" s="1">
        <v>42795</v>
      </c>
      <c r="B52" s="2">
        <v>547899</v>
      </c>
      <c r="C52">
        <v>2112.2444618514451</v>
      </c>
      <c r="E52" s="1">
        <v>42795</v>
      </c>
      <c r="F52" s="3">
        <f>imobiliario[[#This Row],[AMORTIZACAO]]/B51</f>
        <v>3.8735527881977503E-3</v>
      </c>
      <c r="G52" s="3">
        <f t="shared" si="0"/>
        <v>4.5505018049371904E-2</v>
      </c>
    </row>
    <row r="53" spans="1:7" x14ac:dyDescent="0.25">
      <c r="A53" s="1">
        <v>42826</v>
      </c>
      <c r="B53" s="2">
        <v>550885</v>
      </c>
      <c r="C53">
        <v>2123.8986540172859</v>
      </c>
      <c r="E53" s="1">
        <v>42826</v>
      </c>
      <c r="F53" s="3">
        <f>imobiliario[[#This Row],[AMORTIZACAO]]/B52</f>
        <v>3.8764419245468341E-3</v>
      </c>
      <c r="G53" s="3">
        <f t="shared" si="0"/>
        <v>4.5538238195248826E-2</v>
      </c>
    </row>
    <row r="54" spans="1:7" x14ac:dyDescent="0.25">
      <c r="A54" s="1">
        <v>42856</v>
      </c>
      <c r="B54" s="2">
        <v>553887</v>
      </c>
      <c r="C54">
        <v>2134.2684589731789</v>
      </c>
      <c r="E54" s="1">
        <v>42856</v>
      </c>
      <c r="F54" s="3">
        <f>imobiliario[[#This Row],[AMORTIZACAO]]/B53</f>
        <v>3.8742540802039968E-3</v>
      </c>
      <c r="G54" s="3">
        <f t="shared" si="0"/>
        <v>4.5513081810081846E-2</v>
      </c>
    </row>
    <row r="55" spans="1:7" x14ac:dyDescent="0.25">
      <c r="A55" s="1">
        <v>42887</v>
      </c>
      <c r="B55" s="2">
        <v>557363</v>
      </c>
      <c r="C55">
        <v>2146.539738835389</v>
      </c>
      <c r="E55" s="1">
        <v>42887</v>
      </c>
      <c r="F55" s="3">
        <f>imobiliario[[#This Row],[AMORTIZACAO]]/B54</f>
        <v>3.8754109391182481E-3</v>
      </c>
      <c r="G55" s="3">
        <f t="shared" si="0"/>
        <v>4.5526383740902565E-2</v>
      </c>
    </row>
    <row r="56" spans="1:7" x14ac:dyDescent="0.25">
      <c r="A56" s="1">
        <v>42917</v>
      </c>
      <c r="B56" s="2">
        <v>561086</v>
      </c>
      <c r="C56">
        <v>2161.0133887538141</v>
      </c>
      <c r="E56" s="1">
        <v>42917</v>
      </c>
      <c r="F56" s="3">
        <f>imobiliario[[#This Row],[AMORTIZACAO]]/B55</f>
        <v>3.8772099847923418E-3</v>
      </c>
      <c r="G56" s="3">
        <f t="shared" si="0"/>
        <v>4.5547069401220885E-2</v>
      </c>
    </row>
    <row r="57" spans="1:7" x14ac:dyDescent="0.25">
      <c r="A57" s="1">
        <v>42948</v>
      </c>
      <c r="B57" s="2">
        <v>564177</v>
      </c>
      <c r="C57">
        <v>2171.5709457971798</v>
      </c>
      <c r="E57" s="1">
        <v>42948</v>
      </c>
      <c r="F57" s="3">
        <f>imobiliario[[#This Row],[AMORTIZACAO]]/B56</f>
        <v>3.8702996435433781E-3</v>
      </c>
      <c r="G57" s="3">
        <f t="shared" si="0"/>
        <v>4.5467611159540455E-2</v>
      </c>
    </row>
    <row r="58" spans="1:7" x14ac:dyDescent="0.25">
      <c r="A58" s="1">
        <v>42979</v>
      </c>
      <c r="B58" s="2">
        <v>566106</v>
      </c>
      <c r="C58">
        <v>2179.0433461581028</v>
      </c>
      <c r="E58" s="1">
        <v>42979</v>
      </c>
      <c r="F58" s="3">
        <f>imobiliario[[#This Row],[AMORTIZACAO]]/B57</f>
        <v>3.862339914881505E-3</v>
      </c>
      <c r="G58" s="3">
        <f t="shared" si="0"/>
        <v>4.537607907008856E-2</v>
      </c>
    </row>
    <row r="59" spans="1:7" x14ac:dyDescent="0.25">
      <c r="A59" s="1">
        <v>43009</v>
      </c>
      <c r="B59" s="2">
        <v>567428</v>
      </c>
      <c r="C59">
        <v>2185.1199570927029</v>
      </c>
      <c r="E59" s="1">
        <v>43009</v>
      </c>
      <c r="F59" s="3">
        <f>imobiliario[[#This Row],[AMORTIZACAO]]/B58</f>
        <v>3.8599130853456823E-3</v>
      </c>
      <c r="G59" s="3">
        <f t="shared" si="0"/>
        <v>4.5348170390448139E-2</v>
      </c>
    </row>
    <row r="60" spans="1:7" x14ac:dyDescent="0.25">
      <c r="A60" s="1">
        <v>43040</v>
      </c>
      <c r="B60" s="2">
        <v>569375</v>
      </c>
      <c r="C60">
        <v>2192.3476417526522</v>
      </c>
      <c r="E60" s="1">
        <v>43040</v>
      </c>
      <c r="F60" s="3">
        <f>imobiliario[[#This Row],[AMORTIZACAO]]/B59</f>
        <v>3.863657841616297E-3</v>
      </c>
      <c r="G60" s="3">
        <f t="shared" si="0"/>
        <v>4.5391234990188822E-2</v>
      </c>
    </row>
    <row r="61" spans="1:7" x14ac:dyDescent="0.25">
      <c r="A61" s="1">
        <v>43070</v>
      </c>
      <c r="B61" s="2">
        <v>571016</v>
      </c>
      <c r="C61">
        <v>2198.7595590297869</v>
      </c>
      <c r="E61" s="1">
        <v>43070</v>
      </c>
      <c r="F61" s="3">
        <f>imobiliario[[#This Row],[AMORTIZACAO]]/B60</f>
        <v>3.8617072386911734E-3</v>
      </c>
      <c r="G61" s="3">
        <f t="shared" si="0"/>
        <v>4.5368803329482343E-2</v>
      </c>
    </row>
    <row r="62" spans="1:7" x14ac:dyDescent="0.25">
      <c r="A62" s="1">
        <v>43101</v>
      </c>
      <c r="B62" s="2">
        <v>571142</v>
      </c>
      <c r="C62">
        <v>2203.6046837016752</v>
      </c>
      <c r="E62" s="1">
        <v>43101</v>
      </c>
      <c r="F62" s="3">
        <f>imobiliario[[#This Row],[AMORTIZACAO]]/B61</f>
        <v>3.8590944626799863E-3</v>
      </c>
      <c r="G62" s="3">
        <f t="shared" si="0"/>
        <v>4.533875601387749E-2</v>
      </c>
    </row>
    <row r="63" spans="1:7" x14ac:dyDescent="0.25">
      <c r="A63" s="1">
        <v>43132</v>
      </c>
      <c r="B63" s="2">
        <v>572645</v>
      </c>
      <c r="C63">
        <v>2209.1256467915059</v>
      </c>
      <c r="E63" s="1">
        <v>43132</v>
      </c>
      <c r="F63" s="3">
        <f>imobiliario[[#This Row],[AMORTIZACAO]]/B62</f>
        <v>3.8679096385688776E-3</v>
      </c>
      <c r="G63" s="3">
        <f t="shared" si="0"/>
        <v>4.5440128385819567E-2</v>
      </c>
    </row>
    <row r="64" spans="1:7" x14ac:dyDescent="0.25">
      <c r="A64" s="1">
        <v>43160</v>
      </c>
      <c r="B64" s="2">
        <v>574804</v>
      </c>
      <c r="C64">
        <v>2217.9658986082368</v>
      </c>
      <c r="E64" s="1">
        <v>43160</v>
      </c>
      <c r="F64" s="3">
        <f>imobiliario[[#This Row],[AMORTIZACAO]]/B63</f>
        <v>3.8731952581586094E-3</v>
      </c>
      <c r="G64" s="3">
        <f t="shared" si="0"/>
        <v>4.5500906989340728E-2</v>
      </c>
    </row>
    <row r="65" spans="1:7" x14ac:dyDescent="0.25">
      <c r="A65" s="1">
        <v>43191</v>
      </c>
      <c r="B65" s="2">
        <v>576886</v>
      </c>
      <c r="C65">
        <v>2225.5999011529848</v>
      </c>
      <c r="E65" s="1">
        <v>43191</v>
      </c>
      <c r="F65" s="3">
        <f>imobiliario[[#This Row],[AMORTIZACAO]]/B64</f>
        <v>3.8719283462762696E-3</v>
      </c>
      <c r="G65" s="3">
        <f t="shared" si="0"/>
        <v>4.5486339269296461E-2</v>
      </c>
    </row>
    <row r="66" spans="1:7" x14ac:dyDescent="0.25">
      <c r="A66" s="1">
        <v>43221</v>
      </c>
      <c r="B66" s="2">
        <v>579145</v>
      </c>
      <c r="C66">
        <v>2233.778858060457</v>
      </c>
      <c r="E66" s="1">
        <v>43221</v>
      </c>
      <c r="F66" s="3">
        <f>imobiliario[[#This Row],[AMORTIZACAO]]/B65</f>
        <v>3.8721322030010382E-3</v>
      </c>
      <c r="G66" s="3">
        <f t="shared" si="0"/>
        <v>4.5488683351129544E-2</v>
      </c>
    </row>
    <row r="67" spans="1:7" x14ac:dyDescent="0.25">
      <c r="A67" s="1">
        <v>43252</v>
      </c>
      <c r="B67" s="2">
        <v>581956</v>
      </c>
      <c r="C67">
        <v>2242.0081337072279</v>
      </c>
      <c r="E67" s="1">
        <v>43252</v>
      </c>
      <c r="F67" s="3">
        <f>imobiliario[[#This Row],[AMORTIZACAO]]/B66</f>
        <v>3.8712380037939165E-3</v>
      </c>
      <c r="G67" s="3">
        <f t="shared" si="0"/>
        <v>4.5478401207591612E-2</v>
      </c>
    </row>
    <row r="68" spans="1:7" x14ac:dyDescent="0.25">
      <c r="A68" s="1">
        <v>43282</v>
      </c>
      <c r="B68" s="2">
        <v>583772</v>
      </c>
      <c r="C68">
        <v>2239.9936063895548</v>
      </c>
      <c r="E68" s="1">
        <v>43282</v>
      </c>
      <c r="F68" s="3">
        <f>imobiliario[[#This Row],[AMORTIZACAO]]/B67</f>
        <v>3.849077260805894E-3</v>
      </c>
      <c r="G68" s="3">
        <f t="shared" ref="G68:G131" si="1">(1-(1-F68)^12)</f>
        <v>4.5223548657813306E-2</v>
      </c>
    </row>
    <row r="69" spans="1:7" x14ac:dyDescent="0.25">
      <c r="A69" s="1">
        <v>43313</v>
      </c>
      <c r="B69" s="2">
        <v>584965</v>
      </c>
      <c r="C69">
        <v>2243.801102627212</v>
      </c>
      <c r="E69" s="1">
        <v>43313</v>
      </c>
      <c r="F69" s="3">
        <f>imobiliario[[#This Row],[AMORTIZACAO]]/B68</f>
        <v>3.8436257693538092E-3</v>
      </c>
      <c r="G69" s="3">
        <f t="shared" si="1"/>
        <v>4.5160845962331053E-2</v>
      </c>
    </row>
    <row r="70" spans="1:7" x14ac:dyDescent="0.25">
      <c r="A70" s="1">
        <v>43344</v>
      </c>
      <c r="B70" s="2">
        <v>589954</v>
      </c>
      <c r="C70">
        <v>2260.610384013924</v>
      </c>
      <c r="E70" s="1">
        <v>43344</v>
      </c>
      <c r="F70" s="3">
        <f>imobiliario[[#This Row],[AMORTIZACAO]]/B69</f>
        <v>3.8645224654704539E-3</v>
      </c>
      <c r="G70" s="3">
        <f t="shared" si="1"/>
        <v>4.5401177888980571E-2</v>
      </c>
    </row>
    <row r="71" spans="1:7" x14ac:dyDescent="0.25">
      <c r="A71" s="1">
        <v>43374</v>
      </c>
      <c r="B71" s="2">
        <v>592611</v>
      </c>
      <c r="C71">
        <v>2269.7340203280278</v>
      </c>
      <c r="E71" s="1">
        <v>43374</v>
      </c>
      <c r="F71" s="3">
        <f>imobiliario[[#This Row],[AMORTIZACAO]]/B70</f>
        <v>3.8473067736264654E-3</v>
      </c>
      <c r="G71" s="3">
        <f t="shared" si="1"/>
        <v>4.5203185044804139E-2</v>
      </c>
    </row>
    <row r="72" spans="1:7" x14ac:dyDescent="0.25">
      <c r="A72" s="1">
        <v>43405</v>
      </c>
      <c r="B72" s="2">
        <v>595382</v>
      </c>
      <c r="C72">
        <v>2278.112996213194</v>
      </c>
      <c r="E72" s="1">
        <v>43405</v>
      </c>
      <c r="F72" s="3">
        <f>imobiliario[[#This Row],[AMORTIZACAO]]/B71</f>
        <v>3.8441962707631045E-3</v>
      </c>
      <c r="G72" s="3">
        <f t="shared" si="1"/>
        <v>4.5167408008788712E-2</v>
      </c>
    </row>
    <row r="73" spans="1:7" x14ac:dyDescent="0.25">
      <c r="A73" s="1">
        <v>43435</v>
      </c>
      <c r="B73" s="2">
        <v>598331</v>
      </c>
      <c r="C73">
        <v>2287.3254380007588</v>
      </c>
      <c r="E73" s="1">
        <v>43435</v>
      </c>
      <c r="F73" s="3">
        <f>imobiliario[[#This Row],[AMORTIZACAO]]/B72</f>
        <v>3.8417779476046621E-3</v>
      </c>
      <c r="G73" s="3">
        <f t="shared" si="1"/>
        <v>4.5139591581769278E-2</v>
      </c>
    </row>
    <row r="74" spans="1:7" x14ac:dyDescent="0.25">
      <c r="A74" s="1">
        <v>43466</v>
      </c>
      <c r="B74" s="2">
        <v>598348</v>
      </c>
      <c r="C74">
        <v>2291.2872051717291</v>
      </c>
      <c r="E74" s="1">
        <v>43466</v>
      </c>
      <c r="F74" s="3">
        <f>imobiliario[[#This Row],[AMORTIZACAO]]/B73</f>
        <v>3.8294643018191086E-3</v>
      </c>
      <c r="G74" s="3">
        <f t="shared" si="1"/>
        <v>4.4997944056474171E-2</v>
      </c>
    </row>
    <row r="75" spans="1:7" x14ac:dyDescent="0.25">
      <c r="A75" s="1">
        <v>43497</v>
      </c>
      <c r="B75" s="2">
        <v>602171</v>
      </c>
      <c r="C75">
        <v>2303.2238479498851</v>
      </c>
      <c r="E75" s="1">
        <v>43497</v>
      </c>
      <c r="F75" s="3">
        <f>imobiliario[[#This Row],[AMORTIZACAO]]/B74</f>
        <v>3.8493048325554443E-3</v>
      </c>
      <c r="G75" s="3">
        <f t="shared" si="1"/>
        <v>4.5226166091009601E-2</v>
      </c>
    </row>
    <row r="76" spans="1:7" x14ac:dyDescent="0.25">
      <c r="A76" s="1">
        <v>43525</v>
      </c>
      <c r="B76" s="2">
        <v>605213</v>
      </c>
      <c r="C76">
        <v>2314.0683853719793</v>
      </c>
      <c r="E76" s="1">
        <v>43525</v>
      </c>
      <c r="F76" s="3">
        <f>imobiliario[[#This Row],[AMORTIZACAO]]/B75</f>
        <v>3.8428758365513772E-3</v>
      </c>
      <c r="G76" s="3">
        <f t="shared" si="1"/>
        <v>4.5152219989308851E-2</v>
      </c>
    </row>
    <row r="77" spans="1:7" x14ac:dyDescent="0.25">
      <c r="A77" s="1">
        <v>43556</v>
      </c>
      <c r="B77" s="2">
        <v>607563</v>
      </c>
      <c r="C77">
        <v>2322.6643355824999</v>
      </c>
      <c r="E77" s="1">
        <v>43556</v>
      </c>
      <c r="F77" s="3">
        <f>imobiliario[[#This Row],[AMORTIZACAO]]/B76</f>
        <v>3.8377634577950242E-3</v>
      </c>
      <c r="G77" s="3">
        <f t="shared" si="1"/>
        <v>4.5093413828964812E-2</v>
      </c>
    </row>
    <row r="78" spans="1:7" x14ac:dyDescent="0.25">
      <c r="A78" s="1">
        <v>43586</v>
      </c>
      <c r="B78" s="2">
        <v>610528</v>
      </c>
      <c r="C78">
        <v>2332.7708899898203</v>
      </c>
      <c r="E78" s="1">
        <v>43586</v>
      </c>
      <c r="F78" s="3">
        <f>imobiliario[[#This Row],[AMORTIZACAO]]/B77</f>
        <v>3.8395539063271139E-3</v>
      </c>
      <c r="G78" s="3">
        <f t="shared" si="1"/>
        <v>4.5114009199456739E-2</v>
      </c>
    </row>
    <row r="79" spans="1:7" x14ac:dyDescent="0.25">
      <c r="A79" s="1">
        <v>43617</v>
      </c>
      <c r="B79" s="2">
        <v>614880</v>
      </c>
      <c r="C79">
        <v>2347.8473665965921</v>
      </c>
      <c r="E79" s="1">
        <v>43617</v>
      </c>
      <c r="F79" s="3">
        <f>imobiliario[[#This Row],[AMORTIZACAO]]/B78</f>
        <v>3.845601457421432E-3</v>
      </c>
      <c r="G79" s="3">
        <f t="shared" si="1"/>
        <v>4.5183570632402081E-2</v>
      </c>
    </row>
    <row r="80" spans="1:7" x14ac:dyDescent="0.25">
      <c r="A80" s="1">
        <v>43647</v>
      </c>
      <c r="B80" s="2">
        <v>618101</v>
      </c>
      <c r="C80">
        <v>2358.179120388972</v>
      </c>
      <c r="E80" s="1">
        <v>43647</v>
      </c>
      <c r="F80" s="3">
        <f>imobiliario[[#This Row],[AMORTIZACAO]]/B79</f>
        <v>3.8351859230890124E-3</v>
      </c>
      <c r="G80" s="3">
        <f t="shared" si="1"/>
        <v>4.5063763961054604E-2</v>
      </c>
    </row>
    <row r="81" spans="1:7" x14ac:dyDescent="0.25">
      <c r="A81" s="1">
        <v>43678</v>
      </c>
      <c r="B81" s="2">
        <v>620225</v>
      </c>
      <c r="C81">
        <v>2363.2697479094741</v>
      </c>
      <c r="E81" s="1">
        <v>43678</v>
      </c>
      <c r="F81" s="3">
        <f>imobiliario[[#This Row],[AMORTIZACAO]]/B80</f>
        <v>3.8234362149704888E-3</v>
      </c>
      <c r="G81" s="3">
        <f t="shared" si="1"/>
        <v>4.4928594160287272E-2</v>
      </c>
    </row>
    <row r="82" spans="1:7" x14ac:dyDescent="0.25">
      <c r="A82" s="1">
        <v>43709</v>
      </c>
      <c r="B82" s="2">
        <v>624421</v>
      </c>
      <c r="C82">
        <v>2381.9014497916069</v>
      </c>
      <c r="E82" s="1">
        <v>43709</v>
      </c>
      <c r="F82" s="3">
        <f>imobiliario[[#This Row],[AMORTIZACAO]]/B81</f>
        <v>3.8403828445993096E-3</v>
      </c>
      <c r="G82" s="3">
        <f t="shared" si="1"/>
        <v>4.5123544264903948E-2</v>
      </c>
    </row>
    <row r="83" spans="1:7" x14ac:dyDescent="0.25">
      <c r="A83" s="1">
        <v>43739</v>
      </c>
      <c r="B83" s="2">
        <v>629061</v>
      </c>
      <c r="C83">
        <v>2392.6747873855829</v>
      </c>
      <c r="E83" s="1">
        <v>43739</v>
      </c>
      <c r="F83" s="3">
        <f>imobiliario[[#This Row],[AMORTIZACAO]]/B82</f>
        <v>3.8318294666348234E-3</v>
      </c>
      <c r="G83" s="3">
        <f t="shared" si="1"/>
        <v>4.5025152744369468E-2</v>
      </c>
    </row>
    <row r="84" spans="1:7" x14ac:dyDescent="0.25">
      <c r="A84" s="1">
        <v>43770</v>
      </c>
      <c r="B84" s="2">
        <v>633599</v>
      </c>
      <c r="C84">
        <v>2404.1345662530321</v>
      </c>
      <c r="E84" s="1">
        <v>43770</v>
      </c>
      <c r="F84" s="3">
        <f>imobiliario[[#This Row],[AMORTIZACAO]]/B83</f>
        <v>3.821782889502023E-3</v>
      </c>
      <c r="G84" s="3">
        <f t="shared" si="1"/>
        <v>4.4909572733554115E-2</v>
      </c>
    </row>
    <row r="85" spans="1:7" x14ac:dyDescent="0.25">
      <c r="A85" s="1">
        <v>43800</v>
      </c>
      <c r="B85" s="2">
        <v>638138</v>
      </c>
      <c r="C85">
        <v>2407.1929481114521</v>
      </c>
      <c r="E85" s="1">
        <v>43800</v>
      </c>
      <c r="F85" s="3">
        <f>imobiliario[[#This Row],[AMORTIZACAO]]/B84</f>
        <v>3.7992372906387986E-3</v>
      </c>
      <c r="G85" s="3">
        <f t="shared" si="1"/>
        <v>4.4650152089572792E-2</v>
      </c>
    </row>
    <row r="86" spans="1:7" x14ac:dyDescent="0.25">
      <c r="A86" s="1">
        <v>43831</v>
      </c>
      <c r="B86" s="2">
        <v>640355</v>
      </c>
      <c r="C86">
        <v>2412.426888245704</v>
      </c>
      <c r="E86" s="1">
        <v>43831</v>
      </c>
      <c r="F86" s="3">
        <f>imobiliario[[#This Row],[AMORTIZACAO]]/B85</f>
        <v>3.7804156596938344E-3</v>
      </c>
      <c r="G86" s="3">
        <f t="shared" si="1"/>
        <v>4.4433531767042012E-2</v>
      </c>
    </row>
    <row r="87" spans="1:7" x14ac:dyDescent="0.25">
      <c r="A87" s="1">
        <v>43862</v>
      </c>
      <c r="B87" s="2">
        <v>643191</v>
      </c>
      <c r="C87">
        <v>2414.2990740931909</v>
      </c>
      <c r="E87" s="1">
        <v>43862</v>
      </c>
      <c r="F87" s="3">
        <f>imobiliario[[#This Row],[AMORTIZACAO]]/B86</f>
        <v>3.7702509921733896E-3</v>
      </c>
      <c r="G87" s="3">
        <f t="shared" si="1"/>
        <v>4.4316526712883553E-2</v>
      </c>
    </row>
    <row r="88" spans="1:7" x14ac:dyDescent="0.25">
      <c r="A88" s="1">
        <v>43891</v>
      </c>
      <c r="B88" s="2">
        <v>647763</v>
      </c>
      <c r="C88">
        <v>2425.576893435617</v>
      </c>
      <c r="E88" s="1">
        <v>43891</v>
      </c>
      <c r="F88" s="3">
        <f>imobiliario[[#This Row],[AMORTIZACAO]]/B87</f>
        <v>3.7711611223347607E-3</v>
      </c>
      <c r="G88" s="3">
        <f t="shared" si="1"/>
        <v>4.4327003717620883E-2</v>
      </c>
    </row>
    <row r="89" spans="1:7" x14ac:dyDescent="0.25">
      <c r="A89" s="1">
        <v>43922</v>
      </c>
      <c r="B89" s="2">
        <v>653820</v>
      </c>
      <c r="C89">
        <v>2420.4433353543741</v>
      </c>
      <c r="E89" s="1">
        <v>43922</v>
      </c>
      <c r="F89" s="3">
        <f>imobiliario[[#This Row],[AMORTIZACAO]]/B88</f>
        <v>3.7366186944212221E-3</v>
      </c>
      <c r="G89" s="3">
        <f t="shared" si="1"/>
        <v>4.3929293147271675E-2</v>
      </c>
    </row>
    <row r="90" spans="1:7" x14ac:dyDescent="0.25">
      <c r="A90" s="1">
        <v>43952</v>
      </c>
      <c r="B90" s="2">
        <v>660112</v>
      </c>
      <c r="C90">
        <v>2438.5176419606519</v>
      </c>
      <c r="E90" s="1">
        <v>43952</v>
      </c>
      <c r="F90" s="3">
        <f>imobiliario[[#This Row],[AMORTIZACAO]]/B89</f>
        <v>3.7296467559277046E-3</v>
      </c>
      <c r="G90" s="3">
        <f t="shared" si="1"/>
        <v>4.3849002057352093E-2</v>
      </c>
    </row>
    <row r="91" spans="1:7" x14ac:dyDescent="0.25">
      <c r="A91" s="1">
        <v>43983</v>
      </c>
      <c r="B91" s="2">
        <v>667005</v>
      </c>
      <c r="C91">
        <v>2463.7335176616489</v>
      </c>
      <c r="E91" s="1">
        <v>43983</v>
      </c>
      <c r="F91" s="3">
        <f>imobiliario[[#This Row],[AMORTIZACAO]]/B90</f>
        <v>3.732296212857286E-3</v>
      </c>
      <c r="G91" s="3">
        <f t="shared" si="1"/>
        <v>4.3879514785061136E-2</v>
      </c>
    </row>
    <row r="92" spans="1:7" x14ac:dyDescent="0.25">
      <c r="A92" s="1">
        <v>44013</v>
      </c>
      <c r="B92" s="2">
        <v>674164</v>
      </c>
      <c r="C92">
        <v>2469.966252520177</v>
      </c>
      <c r="E92" s="1">
        <v>44013</v>
      </c>
      <c r="F92" s="3">
        <f>imobiliario[[#This Row],[AMORTIZACAO]]/B91</f>
        <v>3.7030700707193754E-3</v>
      </c>
      <c r="G92" s="3">
        <f t="shared" si="1"/>
        <v>4.3542879696212511E-2</v>
      </c>
    </row>
    <row r="93" spans="1:7" x14ac:dyDescent="0.25">
      <c r="A93" s="1">
        <v>44044</v>
      </c>
      <c r="B93" s="2">
        <v>682347</v>
      </c>
      <c r="C93">
        <v>2322.365412480639</v>
      </c>
      <c r="E93" s="1">
        <v>44044</v>
      </c>
      <c r="F93" s="3">
        <f>imobiliario[[#This Row],[AMORTIZACAO]]/B92</f>
        <v>3.4448078100887008E-3</v>
      </c>
      <c r="G93" s="3">
        <f t="shared" si="1"/>
        <v>4.0563415413347625E-2</v>
      </c>
    </row>
    <row r="94" spans="1:7" x14ac:dyDescent="0.25">
      <c r="A94" s="1">
        <v>44075</v>
      </c>
      <c r="B94" s="2">
        <v>689898</v>
      </c>
      <c r="C94">
        <v>2341.5857767686507</v>
      </c>
      <c r="E94" s="1">
        <v>44075</v>
      </c>
      <c r="F94" s="3">
        <f>imobiliario[[#This Row],[AMORTIZACAO]]/B93</f>
        <v>3.4316642071682748E-3</v>
      </c>
      <c r="G94" s="3">
        <f t="shared" si="1"/>
        <v>4.0411555866868287E-2</v>
      </c>
    </row>
    <row r="95" spans="1:7" x14ac:dyDescent="0.25">
      <c r="A95" s="1">
        <v>44105</v>
      </c>
      <c r="B95" s="2">
        <v>697502</v>
      </c>
      <c r="C95">
        <v>2360.5953318622919</v>
      </c>
      <c r="E95" s="1">
        <v>44105</v>
      </c>
      <c r="F95" s="3">
        <f>imobiliario[[#This Row],[AMORTIZACAO]]/B94</f>
        <v>3.4216584652547069E-3</v>
      </c>
      <c r="G95" s="3">
        <f t="shared" si="1"/>
        <v>4.0295936003934885E-2</v>
      </c>
    </row>
    <row r="96" spans="1:7" x14ac:dyDescent="0.25">
      <c r="A96" s="1">
        <v>44136</v>
      </c>
      <c r="B96" s="2">
        <v>705339</v>
      </c>
      <c r="C96">
        <v>2369.3999212588778</v>
      </c>
      <c r="E96" s="1">
        <v>44136</v>
      </c>
      <c r="F96" s="3">
        <f>imobiliario[[#This Row],[AMORTIZACAO]]/B95</f>
        <v>3.3969793939786237E-3</v>
      </c>
      <c r="G96" s="3">
        <f t="shared" si="1"/>
        <v>4.0010706070952473E-2</v>
      </c>
    </row>
    <row r="97" spans="1:7" x14ac:dyDescent="0.25">
      <c r="A97" s="1">
        <v>44166</v>
      </c>
      <c r="B97" s="2">
        <v>713536</v>
      </c>
      <c r="C97">
        <v>2393.6654405511431</v>
      </c>
      <c r="E97" s="1">
        <v>44166</v>
      </c>
      <c r="F97" s="3">
        <f>imobiliario[[#This Row],[AMORTIZACAO]]/B96</f>
        <v>3.3936382938574827E-3</v>
      </c>
      <c r="G97" s="3">
        <f t="shared" si="1"/>
        <v>3.997208512253636E-2</v>
      </c>
    </row>
    <row r="98" spans="1:7" x14ac:dyDescent="0.25">
      <c r="A98" s="1">
        <v>44197</v>
      </c>
      <c r="B98" s="2">
        <v>718184</v>
      </c>
      <c r="C98">
        <v>2404.3835071083881</v>
      </c>
      <c r="E98" s="1">
        <v>44197</v>
      </c>
      <c r="F98" s="3">
        <f>imobiliario[[#This Row],[AMORTIZACAO]]/B97</f>
        <v>3.3696737194877178E-3</v>
      </c>
      <c r="G98" s="3">
        <f t="shared" si="1"/>
        <v>3.9695028452456982E-2</v>
      </c>
    </row>
    <row r="99" spans="1:7" x14ac:dyDescent="0.25">
      <c r="A99" s="1">
        <v>44228</v>
      </c>
      <c r="B99" s="2">
        <v>724472</v>
      </c>
      <c r="C99">
        <v>2421.2884132846229</v>
      </c>
      <c r="E99" s="1">
        <v>44228</v>
      </c>
      <c r="F99" s="3">
        <f>imobiliario[[#This Row],[AMORTIZACAO]]/B98</f>
        <v>3.3714040041056652E-3</v>
      </c>
      <c r="G99" s="3">
        <f t="shared" si="1"/>
        <v>3.9715034888273992E-2</v>
      </c>
    </row>
    <row r="100" spans="1:7" x14ac:dyDescent="0.25">
      <c r="A100" s="1">
        <v>44256</v>
      </c>
      <c r="B100" s="2">
        <v>732879</v>
      </c>
      <c r="C100">
        <v>2443.2792204334528</v>
      </c>
      <c r="E100" s="1">
        <v>44256</v>
      </c>
      <c r="F100" s="3">
        <f>imobiliario[[#This Row],[AMORTIZACAO]]/B99</f>
        <v>3.3724964117777538E-3</v>
      </c>
      <c r="G100" s="3">
        <f t="shared" si="1"/>
        <v>3.9727665667805612E-2</v>
      </c>
    </row>
    <row r="101" spans="1:7" x14ac:dyDescent="0.25">
      <c r="A101" s="1">
        <v>44287</v>
      </c>
      <c r="B101" s="2">
        <v>741131</v>
      </c>
      <c r="C101">
        <v>2465.2365196545079</v>
      </c>
      <c r="E101" s="1">
        <v>44287</v>
      </c>
      <c r="F101" s="3">
        <f>imobiliario[[#This Row],[AMORTIZACAO]]/B100</f>
        <v>3.3637701716852414E-3</v>
      </c>
      <c r="G101" s="3">
        <f t="shared" si="1"/>
        <v>3.9626765737296954E-2</v>
      </c>
    </row>
    <row r="102" spans="1:7" x14ac:dyDescent="0.25">
      <c r="A102" s="1">
        <v>44317</v>
      </c>
      <c r="B102" s="2">
        <v>750506</v>
      </c>
      <c r="C102">
        <v>2490.8276539469343</v>
      </c>
      <c r="E102" s="1">
        <v>44317</v>
      </c>
      <c r="F102" s="3">
        <f>imobiliario[[#This Row],[AMORTIZACAO]]/B101</f>
        <v>3.3608466707598715E-3</v>
      </c>
      <c r="G102" s="3">
        <f t="shared" si="1"/>
        <v>3.9592959653358295E-2</v>
      </c>
    </row>
    <row r="103" spans="1:7" x14ac:dyDescent="0.25">
      <c r="A103" s="1">
        <v>44348</v>
      </c>
      <c r="B103" s="2">
        <v>759823</v>
      </c>
      <c r="C103">
        <v>2516.3826622866027</v>
      </c>
      <c r="E103" s="1">
        <v>44348</v>
      </c>
      <c r="F103" s="3">
        <f>imobiliario[[#This Row],[AMORTIZACAO]]/B102</f>
        <v>3.352914783208399E-3</v>
      </c>
      <c r="G103" s="3">
        <f t="shared" si="1"/>
        <v>3.9501233285801129E-2</v>
      </c>
    </row>
    <row r="104" spans="1:7" x14ac:dyDescent="0.25">
      <c r="A104" s="1">
        <v>44378</v>
      </c>
      <c r="B104" s="2">
        <v>769562</v>
      </c>
      <c r="C104">
        <v>2537.4572135356811</v>
      </c>
      <c r="E104" s="1">
        <v>44378</v>
      </c>
      <c r="F104" s="3">
        <f>imobiliario[[#This Row],[AMORTIZACAO]]/B103</f>
        <v>3.3395372521438297E-3</v>
      </c>
      <c r="G104" s="3">
        <f t="shared" si="1"/>
        <v>3.9346513916503678E-2</v>
      </c>
    </row>
    <row r="105" spans="1:7" x14ac:dyDescent="0.25">
      <c r="A105" s="1">
        <v>44409</v>
      </c>
      <c r="B105" s="2">
        <v>780429</v>
      </c>
      <c r="C105">
        <v>2569.9012891656312</v>
      </c>
      <c r="E105" s="1">
        <v>44409</v>
      </c>
      <c r="F105" s="3">
        <f>imobiliario[[#This Row],[AMORTIZACAO]]/B104</f>
        <v>3.3394337157573156E-3</v>
      </c>
      <c r="G105" s="3">
        <f t="shared" si="1"/>
        <v>3.934531636546712E-2</v>
      </c>
    </row>
    <row r="106" spans="1:7" x14ac:dyDescent="0.25">
      <c r="A106" s="1">
        <v>44440</v>
      </c>
      <c r="B106" s="2">
        <v>790205</v>
      </c>
      <c r="C106">
        <v>2597.7790359600958</v>
      </c>
      <c r="E106" s="1">
        <v>44440</v>
      </c>
      <c r="F106" s="3">
        <f>imobiliario[[#This Row],[AMORTIZACAO]]/B105</f>
        <v>3.328655183187831E-3</v>
      </c>
      <c r="G106" s="3">
        <f t="shared" si="1"/>
        <v>3.9220639250030831E-2</v>
      </c>
    </row>
    <row r="107" spans="1:7" x14ac:dyDescent="0.25">
      <c r="A107" s="1">
        <v>44470</v>
      </c>
      <c r="B107" s="2">
        <v>799502</v>
      </c>
      <c r="C107">
        <v>2627.159402062995</v>
      </c>
      <c r="E107" s="1">
        <v>44470</v>
      </c>
      <c r="F107" s="3">
        <f>imobiliario[[#This Row],[AMORTIZACAO]]/B106</f>
        <v>3.3246555033984789E-3</v>
      </c>
      <c r="G107" s="3">
        <f t="shared" si="1"/>
        <v>3.9174370502005895E-2</v>
      </c>
    </row>
    <row r="108" spans="1:7" x14ac:dyDescent="0.25">
      <c r="A108" s="1">
        <v>44501</v>
      </c>
      <c r="B108" s="2">
        <v>808606</v>
      </c>
      <c r="C108">
        <v>2653.7720787151352</v>
      </c>
      <c r="E108" s="1">
        <v>44501</v>
      </c>
      <c r="F108" s="3">
        <f>imobiliario[[#This Row],[AMORTIZACAO]]/B107</f>
        <v>3.3192813510349384E-3</v>
      </c>
      <c r="G108" s="3">
        <f t="shared" si="1"/>
        <v>3.9112198483882699E-2</v>
      </c>
    </row>
    <row r="109" spans="1:7" x14ac:dyDescent="0.25">
      <c r="A109" s="1">
        <v>44531</v>
      </c>
      <c r="B109" s="2">
        <v>816283</v>
      </c>
      <c r="C109">
        <v>2675.5174806391437</v>
      </c>
      <c r="E109" s="1">
        <v>44531</v>
      </c>
      <c r="F109" s="3">
        <f>imobiliario[[#This Row],[AMORTIZACAO]]/B108</f>
        <v>3.3088024088853457E-3</v>
      </c>
      <c r="G109" s="3">
        <f t="shared" si="1"/>
        <v>3.8990960019776422E-2</v>
      </c>
    </row>
    <row r="110" spans="1:7" x14ac:dyDescent="0.25">
      <c r="A110" s="1">
        <v>44562</v>
      </c>
      <c r="B110" s="2">
        <v>822505</v>
      </c>
      <c r="C110">
        <v>2697.3455956149869</v>
      </c>
      <c r="E110" s="1">
        <v>44562</v>
      </c>
      <c r="F110" s="3">
        <f>imobiliario[[#This Row],[AMORTIZACAO]]/B109</f>
        <v>3.3044245630681848E-3</v>
      </c>
      <c r="G110" s="3">
        <f t="shared" si="1"/>
        <v>3.894030540112392E-2</v>
      </c>
    </row>
    <row r="111" spans="1:7" x14ac:dyDescent="0.25">
      <c r="A111" s="1">
        <v>44593</v>
      </c>
      <c r="B111" s="2">
        <v>829827</v>
      </c>
      <c r="C111">
        <v>2719.5132145380148</v>
      </c>
      <c r="E111" s="1">
        <v>44593</v>
      </c>
      <c r="F111" s="3">
        <f>imobiliario[[#This Row],[AMORTIZACAO]]/B110</f>
        <v>3.3063789454629636E-3</v>
      </c>
      <c r="G111" s="3">
        <f t="shared" si="1"/>
        <v>3.8962919221476988E-2</v>
      </c>
    </row>
    <row r="112" spans="1:7" x14ac:dyDescent="0.25">
      <c r="A112" s="1">
        <v>44621</v>
      </c>
      <c r="B112" s="2">
        <v>841772</v>
      </c>
      <c r="C112">
        <v>2755.2310058811299</v>
      </c>
      <c r="E112" s="1">
        <v>44621</v>
      </c>
      <c r="F112" s="3">
        <f>imobiliario[[#This Row],[AMORTIZACAO]]/B111</f>
        <v>3.3202474803557007E-3</v>
      </c>
      <c r="G112" s="3">
        <f t="shared" si="1"/>
        <v>3.9123375627122314E-2</v>
      </c>
    </row>
    <row r="113" spans="1:7" x14ac:dyDescent="0.25">
      <c r="A113" s="1">
        <v>44652</v>
      </c>
      <c r="B113" s="2">
        <v>845088</v>
      </c>
      <c r="C113">
        <v>2756.761521593352</v>
      </c>
      <c r="E113" s="1">
        <v>44652</v>
      </c>
      <c r="F113" s="3">
        <f>imobiliario[[#This Row],[AMORTIZACAO]]/B112</f>
        <v>3.2749503685004394E-3</v>
      </c>
      <c r="G113" s="3">
        <f t="shared" si="1"/>
        <v>3.8599205445380425E-2</v>
      </c>
    </row>
    <row r="114" spans="1:7" x14ac:dyDescent="0.25">
      <c r="A114" s="1">
        <v>44682</v>
      </c>
      <c r="B114" s="2">
        <v>858722</v>
      </c>
      <c r="C114">
        <v>2796.132113865578</v>
      </c>
      <c r="E114" s="1">
        <v>44682</v>
      </c>
      <c r="F114" s="3">
        <f>imobiliario[[#This Row],[AMORTIZACAO]]/B113</f>
        <v>3.3086875140406419E-3</v>
      </c>
      <c r="G114" s="3">
        <f t="shared" si="1"/>
        <v>3.8989630640470674E-2</v>
      </c>
    </row>
    <row r="115" spans="1:7" x14ac:dyDescent="0.25">
      <c r="A115" s="1">
        <v>44713</v>
      </c>
      <c r="B115" s="2">
        <v>869329</v>
      </c>
      <c r="C115">
        <v>2835.2835203126119</v>
      </c>
      <c r="E115" s="1">
        <v>44713</v>
      </c>
      <c r="F115" s="3">
        <f>imobiliario[[#This Row],[AMORTIZACAO]]/B114</f>
        <v>3.3017478535691549E-3</v>
      </c>
      <c r="G115" s="3">
        <f t="shared" si="1"/>
        <v>3.8909332867386959E-2</v>
      </c>
    </row>
    <row r="116" spans="1:7" x14ac:dyDescent="0.25">
      <c r="A116" s="1">
        <v>44743</v>
      </c>
      <c r="B116" s="2">
        <v>881188</v>
      </c>
      <c r="C116">
        <v>2872.1893911437937</v>
      </c>
      <c r="E116" s="1">
        <v>44743</v>
      </c>
      <c r="F116" s="3">
        <f>imobiliario[[#This Row],[AMORTIZACAO]]/B115</f>
        <v>3.3039153084088919E-3</v>
      </c>
      <c r="G116" s="3">
        <f t="shared" si="1"/>
        <v>3.8934412823513065E-2</v>
      </c>
    </row>
    <row r="117" spans="1:7" x14ac:dyDescent="0.25">
      <c r="A117" s="1">
        <v>44774</v>
      </c>
      <c r="B117" s="2">
        <v>889581</v>
      </c>
      <c r="C117">
        <v>2901.1983045462594</v>
      </c>
      <c r="E117" s="1">
        <v>44774</v>
      </c>
      <c r="F117" s="3">
        <f>imobiliario[[#This Row],[AMORTIZACAO]]/B116</f>
        <v>3.2923715535688857E-3</v>
      </c>
      <c r="G117" s="3">
        <f t="shared" si="1"/>
        <v>3.8800831334340091E-2</v>
      </c>
    </row>
    <row r="118" spans="1:7" x14ac:dyDescent="0.25">
      <c r="A118" s="1">
        <v>44805</v>
      </c>
      <c r="B118" s="2">
        <v>900670</v>
      </c>
      <c r="C118">
        <v>2936.3444941405551</v>
      </c>
      <c r="E118" s="1">
        <v>44805</v>
      </c>
      <c r="F118" s="3">
        <f>imobiliario[[#This Row],[AMORTIZACAO]]/B117</f>
        <v>3.3008174569157333E-3</v>
      </c>
      <c r="G118" s="3">
        <f t="shared" si="1"/>
        <v>3.8898566919364885E-2</v>
      </c>
    </row>
    <row r="119" spans="1:7" x14ac:dyDescent="0.25">
      <c r="A119" s="1">
        <v>44835</v>
      </c>
      <c r="B119" s="2">
        <v>910509</v>
      </c>
      <c r="C119">
        <v>2971.0589217407019</v>
      </c>
      <c r="E119" s="1">
        <v>44835</v>
      </c>
      <c r="F119" s="3">
        <f>imobiliario[[#This Row],[AMORTIZACAO]]/B118</f>
        <v>3.2987208652899527E-3</v>
      </c>
      <c r="G119" s="3">
        <f t="shared" si="1"/>
        <v>3.8874306112520407E-2</v>
      </c>
    </row>
    <row r="120" spans="1:7" x14ac:dyDescent="0.25">
      <c r="A120" s="1">
        <v>44866</v>
      </c>
      <c r="B120" s="2">
        <v>921705</v>
      </c>
      <c r="C120">
        <v>3006.7519642829288</v>
      </c>
      <c r="E120" s="1">
        <v>44866</v>
      </c>
      <c r="F120" s="3">
        <f>imobiliario[[#This Row],[AMORTIZACAO]]/B119</f>
        <v>3.30227594047168E-3</v>
      </c>
      <c r="G120" s="3">
        <f t="shared" si="1"/>
        <v>3.8915443498122038E-2</v>
      </c>
    </row>
    <row r="121" spans="1:7" x14ac:dyDescent="0.25">
      <c r="A121" s="1">
        <v>44896</v>
      </c>
      <c r="B121" s="2">
        <v>931014</v>
      </c>
      <c r="C121">
        <v>3037.691395982114</v>
      </c>
      <c r="E121" s="1">
        <v>44896</v>
      </c>
      <c r="F121" s="3">
        <f>imobiliario[[#This Row],[AMORTIZACAO]]/B120</f>
        <v>3.2957306252891262E-3</v>
      </c>
      <c r="G121" s="3">
        <f t="shared" si="1"/>
        <v>3.8839703440934348E-2</v>
      </c>
    </row>
    <row r="122" spans="1:7" x14ac:dyDescent="0.25">
      <c r="A122" s="1">
        <v>44927</v>
      </c>
      <c r="B122" s="2">
        <v>938541</v>
      </c>
      <c r="C122">
        <v>3066.3322655858587</v>
      </c>
      <c r="E122" s="1">
        <v>44927</v>
      </c>
      <c r="F122" s="3">
        <f>imobiliario[[#This Row],[AMORTIZACAO]]/B121</f>
        <v>3.2935404468524198E-3</v>
      </c>
      <c r="G122" s="3">
        <f t="shared" si="1"/>
        <v>3.8814358254050552E-2</v>
      </c>
    </row>
    <row r="123" spans="1:7" x14ac:dyDescent="0.25">
      <c r="A123" s="1">
        <v>44958</v>
      </c>
      <c r="B123" s="2">
        <v>945457</v>
      </c>
      <c r="C123">
        <v>3088.1958960008528</v>
      </c>
      <c r="E123" s="1">
        <v>44958</v>
      </c>
      <c r="F123" s="3">
        <f>imobiliario[[#This Row],[AMORTIZACAO]]/B122</f>
        <v>3.2904219378810866E-3</v>
      </c>
      <c r="G123" s="3">
        <f t="shared" si="1"/>
        <v>3.8778269181680591E-2</v>
      </c>
    </row>
    <row r="124" spans="1:7" x14ac:dyDescent="0.25">
      <c r="A124" s="1">
        <v>44986</v>
      </c>
      <c r="B124" s="2">
        <v>956838</v>
      </c>
      <c r="C124">
        <v>3130.1533991481151</v>
      </c>
      <c r="E124" s="1">
        <v>44986</v>
      </c>
      <c r="F124" s="3">
        <f>imobiliario[[#This Row],[AMORTIZACAO]]/B123</f>
        <v>3.3107305770099698E-3</v>
      </c>
      <c r="G124" s="3">
        <f t="shared" si="1"/>
        <v>3.9013269444645005E-2</v>
      </c>
    </row>
    <row r="125" spans="1:7" x14ac:dyDescent="0.25">
      <c r="A125" s="1">
        <v>45017</v>
      </c>
      <c r="B125" s="2">
        <v>965601</v>
      </c>
      <c r="C125">
        <v>3161.278354857644</v>
      </c>
      <c r="E125" s="1">
        <v>45017</v>
      </c>
      <c r="F125" s="3">
        <f>imobiliario[[#This Row],[AMORTIZACAO]]/B124</f>
        <v>3.303880442517588E-3</v>
      </c>
      <c r="G125" s="3">
        <f t="shared" si="1"/>
        <v>3.893400938962488E-2</v>
      </c>
    </row>
    <row r="126" spans="1:7" x14ac:dyDescent="0.25">
      <c r="A126" s="1">
        <v>45047</v>
      </c>
      <c r="B126" s="2">
        <v>974865</v>
      </c>
      <c r="C126">
        <v>3197.0048037112097</v>
      </c>
      <c r="E126" s="1">
        <v>45047</v>
      </c>
      <c r="F126" s="3">
        <f>imobiliario[[#This Row],[AMORTIZACAO]]/B125</f>
        <v>3.3108963264445765E-3</v>
      </c>
      <c r="G126" s="3">
        <f t="shared" si="1"/>
        <v>3.9015187188115474E-2</v>
      </c>
    </row>
    <row r="127" spans="1:7" x14ac:dyDescent="0.25">
      <c r="A127" s="1">
        <v>45078</v>
      </c>
      <c r="B127" s="2">
        <v>983640</v>
      </c>
      <c r="C127">
        <v>3229.0049818697303</v>
      </c>
      <c r="E127" s="1">
        <v>45078</v>
      </c>
      <c r="F127" s="3">
        <f>imobiliario[[#This Row],[AMORTIZACAO]]/B126</f>
        <v>3.312258601826643E-3</v>
      </c>
      <c r="G127" s="3">
        <f t="shared" si="1"/>
        <v>3.9030948766409224E-2</v>
      </c>
    </row>
    <row r="128" spans="1:7" x14ac:dyDescent="0.25">
      <c r="A128" s="1">
        <v>45108</v>
      </c>
      <c r="B128" s="2">
        <v>992763</v>
      </c>
      <c r="C128">
        <v>3265.4517483704913</v>
      </c>
      <c r="E128" s="1">
        <v>45108</v>
      </c>
      <c r="F128" s="3">
        <f>imobiliario[[#This Row],[AMORTIZACAO]]/B127</f>
        <v>3.3197630722322101E-3</v>
      </c>
      <c r="G128" s="3">
        <f t="shared" si="1"/>
        <v>3.9117771527884648E-2</v>
      </c>
    </row>
    <row r="129" spans="1:7" x14ac:dyDescent="0.25">
      <c r="A129" s="1">
        <v>45139</v>
      </c>
      <c r="B129" s="2">
        <v>1002140</v>
      </c>
      <c r="C129">
        <v>3302.2258803442041</v>
      </c>
      <c r="E129" s="1">
        <v>45139</v>
      </c>
      <c r="F129" s="3">
        <f>imobiliario[[#This Row],[AMORTIZACAO]]/B128</f>
        <v>3.326298301149624E-3</v>
      </c>
      <c r="G129" s="3">
        <f t="shared" si="1"/>
        <v>3.919337481930274E-2</v>
      </c>
    </row>
    <row r="130" spans="1:7" x14ac:dyDescent="0.25">
      <c r="A130" s="1">
        <v>45170</v>
      </c>
      <c r="B130" s="2">
        <v>1012868</v>
      </c>
      <c r="C130">
        <v>3339.1848331945653</v>
      </c>
      <c r="E130" s="1">
        <v>45170</v>
      </c>
      <c r="F130" s="3">
        <f>imobiliario[[#This Row],[AMORTIZACAO]]/B129</f>
        <v>3.3320542371271132E-3</v>
      </c>
      <c r="G130" s="3">
        <f t="shared" si="1"/>
        <v>3.9259958284925012E-2</v>
      </c>
    </row>
    <row r="131" spans="1:7" x14ac:dyDescent="0.25">
      <c r="A131" s="1">
        <v>45200</v>
      </c>
      <c r="B131" s="2">
        <v>1022315</v>
      </c>
      <c r="C131">
        <v>3345.7535310832623</v>
      </c>
      <c r="E131" s="1">
        <v>45200</v>
      </c>
      <c r="F131" s="3">
        <f>imobiliario[[#This Row],[AMORTIZACAO]]/B130</f>
        <v>3.3032473442573588E-3</v>
      </c>
      <c r="G131" s="3">
        <f t="shared" si="1"/>
        <v>3.8926683770667658E-2</v>
      </c>
    </row>
    <row r="132" spans="1:7" x14ac:dyDescent="0.25">
      <c r="A132" s="1">
        <v>45231</v>
      </c>
      <c r="B132" s="2">
        <v>1030974</v>
      </c>
      <c r="C132">
        <v>3375.54815172299</v>
      </c>
      <c r="E132" s="1">
        <v>45231</v>
      </c>
      <c r="F132" s="3">
        <f>imobiliario[[#This Row],[AMORTIZACAO]]/B131</f>
        <v>3.3018669898446074E-3</v>
      </c>
      <c r="G132" s="3">
        <f t="shared" ref="G132:G164" si="2">(1-(1-F132)^12)</f>
        <v>3.8910711427289302E-2</v>
      </c>
    </row>
    <row r="133" spans="1:7" x14ac:dyDescent="0.25">
      <c r="A133" s="1">
        <v>45261</v>
      </c>
      <c r="B133" s="2">
        <v>1040749</v>
      </c>
      <c r="C133">
        <v>3400.5191795608921</v>
      </c>
      <c r="E133" s="1">
        <v>45261</v>
      </c>
      <c r="F133" s="3">
        <f>imobiliario[[#This Row],[AMORTIZACAO]]/B132</f>
        <v>3.2983559037966935E-3</v>
      </c>
      <c r="G133" s="3">
        <f t="shared" si="2"/>
        <v>3.8870082886378055E-2</v>
      </c>
    </row>
    <row r="134" spans="1:7" x14ac:dyDescent="0.25">
      <c r="A134" s="1">
        <v>45292</v>
      </c>
      <c r="B134" s="2">
        <v>1045757</v>
      </c>
      <c r="C134">
        <v>3421.6776203592522</v>
      </c>
      <c r="E134" s="1">
        <v>45292</v>
      </c>
      <c r="F134" s="3">
        <f>imobiliario[[#This Row],[AMORTIZACAO]]/B133</f>
        <v>3.2877068537747836E-3</v>
      </c>
      <c r="G134" s="3">
        <f t="shared" si="2"/>
        <v>3.8746847748567737E-2</v>
      </c>
    </row>
    <row r="135" spans="1:7" x14ac:dyDescent="0.25">
      <c r="A135" s="1">
        <v>45323</v>
      </c>
      <c r="B135" s="2">
        <v>1053419</v>
      </c>
      <c r="C135">
        <v>3442.7503036096323</v>
      </c>
      <c r="E135" s="1">
        <v>45323</v>
      </c>
      <c r="F135" s="3">
        <f>imobiliario[[#This Row],[AMORTIZACAO]]/B134</f>
        <v>3.2921130851714425E-3</v>
      </c>
      <c r="G135" s="3">
        <f t="shared" si="2"/>
        <v>3.8797840206879819E-2</v>
      </c>
    </row>
    <row r="136" spans="1:7" x14ac:dyDescent="0.25">
      <c r="A136" s="1">
        <v>45352</v>
      </c>
      <c r="B136" s="2">
        <v>1063198</v>
      </c>
      <c r="C136">
        <v>3470.9406663568498</v>
      </c>
      <c r="E136" s="1">
        <v>45352</v>
      </c>
      <c r="F136" s="3">
        <f>imobiliario[[#This Row],[AMORTIZACAO]]/B135</f>
        <v>3.2949288615041592E-3</v>
      </c>
      <c r="G136" s="3">
        <f t="shared" si="2"/>
        <v>3.8830425339691277E-2</v>
      </c>
    </row>
    <row r="137" spans="1:7" x14ac:dyDescent="0.25">
      <c r="A137" s="1">
        <v>45383</v>
      </c>
      <c r="B137" s="2">
        <v>1073208</v>
      </c>
      <c r="C137">
        <v>3500.1518530081062</v>
      </c>
      <c r="E137" s="1">
        <v>45383</v>
      </c>
      <c r="F137" s="3">
        <f>imobiliario[[#This Row],[AMORTIZACAO]]/B136</f>
        <v>3.2920978529005006E-3</v>
      </c>
      <c r="G137" s="3">
        <f t="shared" si="2"/>
        <v>3.8797663931045223E-2</v>
      </c>
    </row>
    <row r="138" spans="1:7" x14ac:dyDescent="0.25">
      <c r="A138" s="1">
        <v>45413</v>
      </c>
      <c r="B138" s="2">
        <v>1085714</v>
      </c>
      <c r="C138">
        <v>3538.5702536148628</v>
      </c>
      <c r="E138" s="1">
        <v>45413</v>
      </c>
      <c r="F138" s="3">
        <f>imobiliario[[#This Row],[AMORTIZACAO]]/B137</f>
        <v>3.2971895975569161E-3</v>
      </c>
      <c r="G138" s="3">
        <f t="shared" si="2"/>
        <v>3.8856586622486589E-2</v>
      </c>
    </row>
    <row r="139" spans="1:7" x14ac:dyDescent="0.25">
      <c r="A139" s="1">
        <v>45444</v>
      </c>
      <c r="B139" s="2">
        <v>1098295</v>
      </c>
      <c r="C139">
        <v>3572.3018592525532</v>
      </c>
      <c r="E139" s="1">
        <v>45444</v>
      </c>
      <c r="F139" s="3">
        <f>imobiliario[[#This Row],[AMORTIZACAO]]/B138</f>
        <v>3.2902788941217976E-3</v>
      </c>
      <c r="G139" s="3">
        <f t="shared" si="2"/>
        <v>3.8776613772144031E-2</v>
      </c>
    </row>
    <row r="140" spans="1:7" x14ac:dyDescent="0.25">
      <c r="A140" s="1">
        <v>45474</v>
      </c>
      <c r="B140" s="2">
        <v>1110408</v>
      </c>
      <c r="C140">
        <v>3610.0073815088322</v>
      </c>
      <c r="E140" s="1">
        <v>45474</v>
      </c>
      <c r="F140" s="3">
        <f>imobiliario[[#This Row],[AMORTIZACAO]]/B139</f>
        <v>3.2869196176881733E-3</v>
      </c>
      <c r="G140" s="3">
        <f t="shared" si="2"/>
        <v>3.8737736957470958E-2</v>
      </c>
    </row>
    <row r="141" spans="1:7" x14ac:dyDescent="0.25">
      <c r="A141" s="1">
        <v>45505</v>
      </c>
      <c r="B141" s="2">
        <v>1123337</v>
      </c>
      <c r="C141">
        <v>3645.5886964737319</v>
      </c>
      <c r="E141" s="1">
        <v>45505</v>
      </c>
      <c r="F141" s="3">
        <f>imobiliario[[#This Row],[AMORTIZACAO]]/B140</f>
        <v>3.2831073771746348E-3</v>
      </c>
      <c r="G141" s="3">
        <f t="shared" si="2"/>
        <v>3.8693616255866869E-2</v>
      </c>
    </row>
    <row r="142" spans="1:7" x14ac:dyDescent="0.25">
      <c r="A142" s="1">
        <v>45536</v>
      </c>
      <c r="B142" s="2">
        <v>1135829</v>
      </c>
      <c r="C142">
        <v>3682.4683299804938</v>
      </c>
      <c r="E142" s="1">
        <v>45536</v>
      </c>
      <c r="F142" s="3">
        <f>imobiliario[[#This Row],[AMORTIZACAO]]/B141</f>
        <v>3.2781510178873248E-3</v>
      </c>
      <c r="G142" s="3">
        <f t="shared" si="2"/>
        <v>3.8636251399259081E-2</v>
      </c>
    </row>
    <row r="143" spans="1:7" x14ac:dyDescent="0.25">
      <c r="A143" s="1">
        <v>45566</v>
      </c>
      <c r="B143" s="2">
        <v>1147127</v>
      </c>
      <c r="C143">
        <v>3712.566301607581</v>
      </c>
      <c r="E143" s="1">
        <v>45566</v>
      </c>
      <c r="F143" s="3">
        <f>imobiliario[[#This Row],[AMORTIZACAO]]/B142</f>
        <v>3.2685961545334563E-3</v>
      </c>
      <c r="G143" s="3">
        <f t="shared" si="2"/>
        <v>3.8525654643444041E-2</v>
      </c>
    </row>
    <row r="144" spans="1:7" x14ac:dyDescent="0.25">
      <c r="A144" s="1">
        <v>45597</v>
      </c>
      <c r="B144" s="2">
        <v>1157670</v>
      </c>
      <c r="C144">
        <v>3760.357742314337</v>
      </c>
      <c r="E144" s="1">
        <v>45597</v>
      </c>
      <c r="F144" s="3">
        <f>imobiliario[[#This Row],[AMORTIZACAO]]/B143</f>
        <v>3.2780657610834169E-3</v>
      </c>
      <c r="G144" s="3">
        <f t="shared" si="2"/>
        <v>3.8635264610346498E-2</v>
      </c>
    </row>
    <row r="145" spans="1:7" x14ac:dyDescent="0.25">
      <c r="A145" s="1">
        <v>45627</v>
      </c>
      <c r="B145" s="2">
        <v>1167195</v>
      </c>
      <c r="C145">
        <v>3786.7821678618693</v>
      </c>
      <c r="E145" s="1">
        <v>45627</v>
      </c>
      <c r="F145" s="3">
        <f>imobiliario[[#This Row],[AMORTIZACAO]]/B144</f>
        <v>3.2710376600083523E-3</v>
      </c>
      <c r="G145" s="3">
        <f t="shared" si="2"/>
        <v>3.8553915977366571E-2</v>
      </c>
    </row>
    <row r="146" spans="1:7" x14ac:dyDescent="0.25">
      <c r="A146" s="1">
        <v>45658</v>
      </c>
      <c r="B146" s="2">
        <v>1176882</v>
      </c>
      <c r="C146">
        <v>3816.1403885657191</v>
      </c>
      <c r="E146" s="1">
        <v>45658</v>
      </c>
      <c r="F146" s="3">
        <f>imobiliario[[#This Row],[AMORTIZACAO]]/B145</f>
        <v>3.2694968609064631E-3</v>
      </c>
      <c r="G146" s="3">
        <f t="shared" si="2"/>
        <v>3.8536080743349133E-2</v>
      </c>
    </row>
    <row r="147" spans="1:7" x14ac:dyDescent="0.25">
      <c r="A147" s="1">
        <v>45689</v>
      </c>
      <c r="B147" s="2">
        <v>1187950</v>
      </c>
      <c r="C147">
        <v>3839.154426579862</v>
      </c>
      <c r="E147" s="1">
        <v>45689</v>
      </c>
      <c r="F147" s="3">
        <f>imobiliario[[#This Row],[AMORTIZACAO]]/B146</f>
        <v>3.2621404920628082E-3</v>
      </c>
      <c r="G147" s="3">
        <f t="shared" si="2"/>
        <v>3.8450924280544641E-2</v>
      </c>
    </row>
    <row r="148" spans="1:7" x14ac:dyDescent="0.25">
      <c r="A148" s="1">
        <v>45717</v>
      </c>
      <c r="B148" s="2">
        <v>1199665</v>
      </c>
      <c r="C148">
        <v>3873.6279614814871</v>
      </c>
      <c r="E148" s="1">
        <v>45717</v>
      </c>
      <c r="F148" s="3">
        <f>imobiliario[[#This Row],[AMORTIZACAO]]/B147</f>
        <v>3.2607668348680393E-3</v>
      </c>
      <c r="G148" s="3">
        <f t="shared" si="2"/>
        <v>3.8435022219975412E-2</v>
      </c>
    </row>
    <row r="149" spans="1:7" x14ac:dyDescent="0.25">
      <c r="A149" s="1">
        <v>45748</v>
      </c>
      <c r="B149" s="2">
        <v>1211400</v>
      </c>
      <c r="C149">
        <v>3901.786293262609</v>
      </c>
      <c r="E149" s="1">
        <v>45748</v>
      </c>
      <c r="F149" s="3">
        <f>imobiliario[[#This Row],[AMORTIZACAO]]/B148</f>
        <v>3.2523965384191494E-3</v>
      </c>
      <c r="G149" s="3">
        <f t="shared" si="2"/>
        <v>3.833811877237292E-2</v>
      </c>
    </row>
    <row r="150" spans="1:7" x14ac:dyDescent="0.25">
      <c r="A150" s="1">
        <v>45778</v>
      </c>
      <c r="B150" s="2">
        <v>1223480</v>
      </c>
      <c r="C150">
        <v>3934.2910209021288</v>
      </c>
      <c r="E150" s="1">
        <v>45778</v>
      </c>
      <c r="F150" s="3">
        <f>imobiliario[[#This Row],[AMORTIZACAO]]/B149</f>
        <v>3.2477224871240952E-3</v>
      </c>
      <c r="G150" s="3">
        <f t="shared" si="2"/>
        <v>3.828400309203317E-2</v>
      </c>
    </row>
    <row r="151" spans="1:7" x14ac:dyDescent="0.25">
      <c r="A151" s="1">
        <v>45809</v>
      </c>
      <c r="B151" s="2">
        <v>1233638</v>
      </c>
      <c r="C151">
        <v>3976.1664520775166</v>
      </c>
      <c r="E151" s="1">
        <v>45809</v>
      </c>
      <c r="F151" s="3">
        <f>imobiliario[[#This Row],[AMORTIZACAO]]/B150</f>
        <v>3.2498826724405112E-3</v>
      </c>
      <c r="G151" s="3">
        <f t="shared" si="2"/>
        <v>3.8309013840148065E-2</v>
      </c>
    </row>
    <row r="152" spans="1:7" x14ac:dyDescent="0.25">
      <c r="A152" s="1">
        <v>45839</v>
      </c>
      <c r="B152" s="2">
        <v>1244608</v>
      </c>
      <c r="C152">
        <v>3993.981177282938</v>
      </c>
      <c r="E152" s="1">
        <v>45839</v>
      </c>
      <c r="F152" s="3">
        <f>imobiliario[[#This Row],[AMORTIZACAO]]/B151</f>
        <v>3.2375633510664699E-3</v>
      </c>
      <c r="G152" s="3">
        <f t="shared" si="2"/>
        <v>3.8166372042573227E-2</v>
      </c>
    </row>
    <row r="153" spans="1:7" x14ac:dyDescent="0.25">
      <c r="A153" s="1">
        <v>45870</v>
      </c>
      <c r="B153" s="2">
        <v>1256772</v>
      </c>
      <c r="C153">
        <v>4030.5737288309429</v>
      </c>
      <c r="E153" s="1">
        <v>45870</v>
      </c>
      <c r="F153" s="3">
        <f>imobiliario[[#This Row],[AMORTIZACAO]]/B152</f>
        <v>3.2384282672383133E-3</v>
      </c>
      <c r="G153" s="3">
        <f t="shared" si="2"/>
        <v>3.8176387285425717E-2</v>
      </c>
    </row>
    <row r="154" spans="1:7" x14ac:dyDescent="0.25">
      <c r="A154" s="1">
        <v>45901</v>
      </c>
      <c r="B154" s="2">
        <v>1269554</v>
      </c>
      <c r="C154">
        <v>4062.7140599571521</v>
      </c>
      <c r="E154" s="1">
        <v>45901</v>
      </c>
      <c r="F154" s="3">
        <f>imobiliario[[#This Row],[AMORTIZACAO]]/B153</f>
        <v>3.2326579999850031E-3</v>
      </c>
      <c r="G154" s="3">
        <f t="shared" si="2"/>
        <v>3.8109569027189094E-2</v>
      </c>
    </row>
    <row r="155" spans="1:7" x14ac:dyDescent="0.25">
      <c r="A155" s="1">
        <v>45931</v>
      </c>
      <c r="B155" s="2">
        <v>1284171</v>
      </c>
      <c r="C155">
        <v>4109.2523952000365</v>
      </c>
      <c r="E155" s="1">
        <v>45931</v>
      </c>
      <c r="F155" s="3">
        <f>imobiliario[[#This Row],[AMORTIZACAO]]/B154</f>
        <v>3.2367684991737545E-3</v>
      </c>
      <c r="G155" s="3">
        <f t="shared" si="2"/>
        <v>3.8157168020374388E-2</v>
      </c>
    </row>
    <row r="156" spans="1:7" x14ac:dyDescent="0.25">
      <c r="A156" s="1">
        <v>45962</v>
      </c>
      <c r="B156" s="2">
        <v>1297715</v>
      </c>
      <c r="C156">
        <v>4158.3829618746422</v>
      </c>
      <c r="E156" s="1">
        <v>45962</v>
      </c>
      <c r="F156" s="3">
        <f>imobiliario[[#This Row],[AMORTIZACAO]]/B155</f>
        <v>3.2381847603431646E-3</v>
      </c>
      <c r="G156" s="3">
        <f t="shared" si="2"/>
        <v>3.8173567622193816E-2</v>
      </c>
    </row>
    <row r="157" spans="1:7" x14ac:dyDescent="0.25">
      <c r="A157" s="1">
        <v>45992</v>
      </c>
      <c r="B157" s="2">
        <v>1311348</v>
      </c>
      <c r="C157">
        <v>4199.0309319043308</v>
      </c>
      <c r="E157" s="1">
        <v>45992</v>
      </c>
      <c r="F157" s="3">
        <f>imobiliario[[#This Row],[AMORTIZACAO]]/B156</f>
        <v>3.2357111784207864E-3</v>
      </c>
      <c r="G157" s="3">
        <f t="shared" si="2"/>
        <v>3.8144924603421781E-2</v>
      </c>
    </row>
    <row r="158" spans="1:7" x14ac:dyDescent="0.25">
      <c r="A158" s="1">
        <v>46023</v>
      </c>
      <c r="B158" s="2">
        <v>1321809</v>
      </c>
      <c r="C158">
        <v>4233.926657058033</v>
      </c>
      <c r="E158" s="1">
        <v>46023</v>
      </c>
      <c r="F158" s="3">
        <f>imobiliario[[#This Row],[AMORTIZACAO]]/B157</f>
        <v>3.2286827425351875E-3</v>
      </c>
      <c r="G158" s="3">
        <f t="shared" si="2"/>
        <v>3.8063534060169824E-2</v>
      </c>
    </row>
    <row r="159" spans="1:7" x14ac:dyDescent="0.25">
      <c r="A159" s="1">
        <v>46054</v>
      </c>
      <c r="B159" s="2">
        <v>1332870</v>
      </c>
      <c r="C159">
        <v>4260.4750745902784</v>
      </c>
      <c r="E159" s="1">
        <v>46054</v>
      </c>
      <c r="F159" s="3">
        <f>imobiliario[[#This Row],[AMORTIZACAO]]/B158</f>
        <v>3.2232153621213643E-3</v>
      </c>
      <c r="G159" s="3">
        <f t="shared" si="2"/>
        <v>3.800021645260887E-2</v>
      </c>
    </row>
    <row r="160" spans="1:7" x14ac:dyDescent="0.25">
      <c r="A160" s="1">
        <v>46082</v>
      </c>
      <c r="B160" s="2">
        <v>1349025</v>
      </c>
      <c r="C160">
        <v>4300.2844004677836</v>
      </c>
      <c r="E160" s="1">
        <v>46082</v>
      </c>
      <c r="F160" s="3">
        <f>imobiliario[[#This Row],[AMORTIZACAO]]/B159</f>
        <v>3.2263344515727592E-3</v>
      </c>
      <c r="G160" s="3">
        <f t="shared" si="2"/>
        <v>3.8036339024275168E-2</v>
      </c>
    </row>
    <row r="161" spans="1:7" x14ac:dyDescent="0.25">
      <c r="A161" s="1">
        <v>46113</v>
      </c>
      <c r="B161" s="2">
        <v>1362188</v>
      </c>
      <c r="C161">
        <v>4337.1019141075421</v>
      </c>
      <c r="E161" s="1">
        <v>46113</v>
      </c>
      <c r="F161" s="3">
        <f>imobiliario[[#This Row],[AMORTIZACAO]]/B160</f>
        <v>3.2149900217620445E-3</v>
      </c>
      <c r="G161" s="3">
        <f t="shared" si="2"/>
        <v>3.7904951776662421E-2</v>
      </c>
    </row>
    <row r="162" spans="1:7" x14ac:dyDescent="0.25">
      <c r="A162" s="1">
        <v>46143</v>
      </c>
      <c r="B162" s="2">
        <v>1378100</v>
      </c>
      <c r="C162">
        <v>4383.1289535422011</v>
      </c>
      <c r="E162" s="1">
        <v>46143</v>
      </c>
      <c r="F162" s="3">
        <f>imobiliario[[#This Row],[AMORTIZACAO]]/B161</f>
        <v>3.2177122053212927E-3</v>
      </c>
      <c r="G162" s="3">
        <f t="shared" si="2"/>
        <v>3.793648066153088E-2</v>
      </c>
    </row>
    <row r="163" spans="1:7" x14ac:dyDescent="0.25">
      <c r="A163" s="1">
        <v>46174</v>
      </c>
      <c r="B163" s="2">
        <v>1395367</v>
      </c>
      <c r="C163">
        <v>4432.2503737349525</v>
      </c>
      <c r="E163" s="1">
        <v>46174</v>
      </c>
      <c r="F163" s="3">
        <f>imobiliario[[#This Row],[AMORTIZACAO]]/B162</f>
        <v>3.2162037397394619E-3</v>
      </c>
      <c r="G163" s="3">
        <f t="shared" si="2"/>
        <v>3.7919009422684002E-2</v>
      </c>
    </row>
    <row r="164" spans="1:7" x14ac:dyDescent="0.25">
      <c r="A164" s="1">
        <v>46204</v>
      </c>
      <c r="B164" s="2">
        <v>1414648</v>
      </c>
      <c r="C164">
        <v>4488.0776511900767</v>
      </c>
      <c r="E164" s="1">
        <v>46204</v>
      </c>
      <c r="F164" s="3">
        <f>imobiliario[[#This Row],[AMORTIZACAO]]/B163</f>
        <v>3.2164137830334792E-3</v>
      </c>
      <c r="G164" s="3">
        <f t="shared" si="2"/>
        <v>3.7921442188067811E-2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69F803-EA9C-4839-B25A-E46718C044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rotativo</vt:lpstr>
      <vt:lpstr>imobiliario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Paim</dc:creator>
  <cp:lastModifiedBy>Bruno Paim</cp:lastModifiedBy>
  <dcterms:created xsi:type="dcterms:W3CDTF">2026-09-23T18:27:33Z</dcterms:created>
  <dcterms:modified xsi:type="dcterms:W3CDTF">2026-09-23T18:50:59Z</dcterms:modified>
</cp:coreProperties>
</file>