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Modelo_tese/parametros/"/>
    </mc:Choice>
  </mc:AlternateContent>
  <xr:revisionPtr revIDLastSave="0" documentId="8_{3805A250-34F0-4532-864F-F6D2A9D9259E}" xr6:coauthVersionLast="47" xr6:coauthVersionMax="47" xr10:uidLastSave="{00000000-0000-0000-0000-000000000000}"/>
  <bookViews>
    <workbookView xWindow="-120" yWindow="-120" windowWidth="29040" windowHeight="15720" activeTab="1" xr2:uid="{BBBA39BE-7907-4F5A-92A6-F164D765D681}"/>
  </bookViews>
  <sheets>
    <sheet name="STP-20250428091732594" sheetId="1" r:id="rId1"/>
    <sheet name="Planilha1" sheetId="2" r:id="rId2"/>
  </sheets>
  <calcPr calcId="0"/>
</workbook>
</file>

<file path=xl/calcChain.xml><?xml version="1.0" encoding="utf-8"?>
<calcChain xmlns="http://schemas.openxmlformats.org/spreadsheetml/2006/main">
  <c r="E2" i="2" l="1"/>
  <c r="E15" i="2"/>
  <c r="B24" i="2"/>
  <c r="B23" i="2"/>
</calcChain>
</file>

<file path=xl/sharedStrings.xml><?xml version="1.0" encoding="utf-8"?>
<sst xmlns="http://schemas.openxmlformats.org/spreadsheetml/2006/main" count="137" uniqueCount="122">
  <si>
    <t>Data</t>
  </si>
  <si>
    <t>1207 - Produto interno bruto em R$ correntes - R$</t>
  </si>
  <si>
    <t>0,00</t>
  </si>
  <si>
    <t>0,01</t>
  </si>
  <si>
    <t>0,02</t>
  </si>
  <si>
    <t>0,03</t>
  </si>
  <si>
    <t>0,04</t>
  </si>
  <si>
    <t>0,06</t>
  </si>
  <si>
    <t>0,07</t>
  </si>
  <si>
    <t>0,09</t>
  </si>
  <si>
    <t>0,13</t>
  </si>
  <si>
    <t>0,19</t>
  </si>
  <si>
    <t>0,27</t>
  </si>
  <si>
    <t>0,38</t>
  </si>
  <si>
    <t>0,59</t>
  </si>
  <si>
    <t>0,91</t>
  </si>
  <si>
    <t>1,32</t>
  </si>
  <si>
    <t>2,17</t>
  </si>
  <si>
    <t>4,55</t>
  </si>
  <si>
    <t>8,73</t>
  </si>
  <si>
    <t>17,70</t>
  </si>
  <si>
    <t>39,78</t>
  </si>
  <si>
    <t>126,50</t>
  </si>
  <si>
    <t>475,53</t>
  </si>
  <si>
    <t>1.273,68</t>
  </si>
  <si>
    <t>4.037,81</t>
  </si>
  <si>
    <t>29.375,63</t>
  </si>
  <si>
    <t>425.595,31</t>
  </si>
  <si>
    <t>11.548.794,55</t>
  </si>
  <si>
    <t>60.285.999,27</t>
  </si>
  <si>
    <t>640.958.767,64</t>
  </si>
  <si>
    <t>14.097.114.181,82</t>
  </si>
  <si>
    <t>349.204.679.181,00</t>
  </si>
  <si>
    <t>705.991.552.860,92</t>
  </si>
  <si>
    <t>854.763.607.812,40</t>
  </si>
  <si>
    <t>952.089.196.088,81</t>
  </si>
  <si>
    <t>1.002.351.019.213,48</t>
  </si>
  <si>
    <t>1.087.710.456.053,99</t>
  </si>
  <si>
    <t>1.199.092.070.940,21</t>
  </si>
  <si>
    <t>1.315.755.467.830,93</t>
  </si>
  <si>
    <t>1.488.787.255.158,37</t>
  </si>
  <si>
    <t>1.717.950.396.424,49</t>
  </si>
  <si>
    <t>1.957.751.212.962,56</t>
  </si>
  <si>
    <t>2.170.584.503.475,77</t>
  </si>
  <si>
    <t>2.409.449.921.542,59</t>
  </si>
  <si>
    <t>2.720.262.937.561,29</t>
  </si>
  <si>
    <t>3.109.803.088.949,22</t>
  </si>
  <si>
    <t>3.333.039.355.180,97</t>
  </si>
  <si>
    <t>3.885.846.999.836,84</t>
  </si>
  <si>
    <t>4.376.381.999.853,76</t>
  </si>
  <si>
    <t>4.814.759.999.634,49</t>
  </si>
  <si>
    <t>5.331.618.999.627,08</t>
  </si>
  <si>
    <t>5.778.953.000.008,59</t>
  </si>
  <si>
    <t>5.995.786.999.726,30</t>
  </si>
  <si>
    <t>6.269.328.000.659,18</t>
  </si>
  <si>
    <t>6.585.479.000.139,78</t>
  </si>
  <si>
    <t>7.004.140.999.893,37</t>
  </si>
  <si>
    <t>7.389.130.999.453,28</t>
  </si>
  <si>
    <t>7.609.597.000.575,82</t>
  </si>
  <si>
    <t>9.012.141.999.284,48</t>
  </si>
  <si>
    <t>10.079.676.679.176,00</t>
  </si>
  <si>
    <t>10.943.344.667.905,00</t>
  </si>
  <si>
    <t>11.744.710.041.818,70</t>
  </si>
  <si>
    <t>Fonte</t>
  </si>
  <si>
    <t>IBGE</t>
  </si>
  <si>
    <t xml:space="preserve">ariável </t>
  </si>
  <si>
    <t xml:space="preserve">PIB </t>
  </si>
  <si>
    <t xml:space="preserve">Consumo autônomo das famílias </t>
  </si>
  <si>
    <t xml:space="preserve">Consumo induzido das famílias </t>
  </si>
  <si>
    <t xml:space="preserve">Consumo do governo </t>
  </si>
  <si>
    <t xml:space="preserve">Exportações </t>
  </si>
  <si>
    <t xml:space="preserve">Importações </t>
  </si>
  <si>
    <t xml:space="preserve">Variação de estoques </t>
  </si>
  <si>
    <t xml:space="preserve">Investimento residencial das famílias </t>
  </si>
  <si>
    <t xml:space="preserve">Investimento das empresas públicas </t>
  </si>
  <si>
    <t xml:space="preserve">Investimento do governo </t>
  </si>
  <si>
    <t xml:space="preserve">Investimento induzido </t>
  </si>
  <si>
    <t xml:space="preserve">Impostos </t>
  </si>
  <si>
    <t xml:space="preserve">Transferências </t>
  </si>
  <si>
    <t xml:space="preserve">Gastos autônomos </t>
  </si>
  <si>
    <t xml:space="preserve">c </t>
  </si>
  <si>
    <t xml:space="preserve">0,694 </t>
  </si>
  <si>
    <t xml:space="preserve">0,702 </t>
  </si>
  <si>
    <t xml:space="preserve">0,709 </t>
  </si>
  <si>
    <t xml:space="preserve">0,711 </t>
  </si>
  <si>
    <t xml:space="preserve">0,717 </t>
  </si>
  <si>
    <t xml:space="preserve">0,731 </t>
  </si>
  <si>
    <t xml:space="preserve">0,734 </t>
  </si>
  <si>
    <t xml:space="preserve">0,727 </t>
  </si>
  <si>
    <t xml:space="preserve">0,735 </t>
  </si>
  <si>
    <t>0,737</t>
  </si>
  <si>
    <t xml:space="preserve">h </t>
  </si>
  <si>
    <t xml:space="preserve">0,103 </t>
  </si>
  <si>
    <t xml:space="preserve">0,110 </t>
  </si>
  <si>
    <t xml:space="preserve">0,107 </t>
  </si>
  <si>
    <t xml:space="preserve">0,109 </t>
  </si>
  <si>
    <t xml:space="preserve">0,100 </t>
  </si>
  <si>
    <t xml:space="preserve">0,090 </t>
  </si>
  <si>
    <t xml:space="preserve">0,077 </t>
  </si>
  <si>
    <t xml:space="preserve">0,078 </t>
  </si>
  <si>
    <t xml:space="preserve">0,080 </t>
  </si>
  <si>
    <t>0,083</t>
  </si>
  <si>
    <t xml:space="preserve">t </t>
  </si>
  <si>
    <t xml:space="preserve">0,343 </t>
  </si>
  <si>
    <t xml:space="preserve">0,348 </t>
  </si>
  <si>
    <t xml:space="preserve">0,341 </t>
  </si>
  <si>
    <t xml:space="preserve">0,333 </t>
  </si>
  <si>
    <t xml:space="preserve">0,337 </t>
  </si>
  <si>
    <t xml:space="preserve">0,339 </t>
  </si>
  <si>
    <t xml:space="preserve">0,342 </t>
  </si>
  <si>
    <t xml:space="preserve">0,345 </t>
  </si>
  <si>
    <t>0,347</t>
  </si>
  <si>
    <t xml:space="preserve">m </t>
  </si>
  <si>
    <t xml:space="preserve">0,106 </t>
  </si>
  <si>
    <t xml:space="preserve">0,117 </t>
  </si>
  <si>
    <t xml:space="preserve">0,123 </t>
  </si>
  <si>
    <t xml:space="preserve">0,120 </t>
  </si>
  <si>
    <t xml:space="preserve">0,108 </t>
  </si>
  <si>
    <t xml:space="preserve">0,125 </t>
  </si>
  <si>
    <t>0,129</t>
  </si>
  <si>
    <t xml:space="preserve">Supermultiplicador </t>
  </si>
  <si>
    <t>2013 (MILHÕES)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</si>
</sst>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TimesNewRomanPS-BoldMT"/>
    </font>
    <font>
      <sz val="9"/>
      <color rgb="FF000000"/>
      <name val="TimesNewRomanPSM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3" fontId="19" fillId="0" borderId="0" xfId="0" applyNumberFormat="1" applyFont="1" applyAlignment="1">
      <alignment vertical="center" wrapText="1"/>
    </xf>
    <xf numFmtId="0" fontId="18" fillId="0" borderId="0" xfId="1" applyNumberFormat="1" applyFont="1" applyAlignment="1">
      <alignment horizontal="right" vertical="center" wrapText="1"/>
    </xf>
    <xf numFmtId="43" fontId="19" fillId="0" borderId="0" xfId="1" applyFont="1" applyAlignment="1">
      <alignment horizontal="right" vertical="center" wrapText="1"/>
    </xf>
    <xf numFmtId="43" fontId="0" fillId="0" borderId="0" xfId="1" applyFont="1" applyAlignment="1">
      <alignment horizontal="right" vertical="center"/>
    </xf>
    <xf numFmtId="43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F167-122F-4C73-8418-EFC9F9216EA7}">
  <dimension ref="A1:B65"/>
  <sheetViews>
    <sheetView topLeftCell="A29" workbookViewId="0">
      <selection activeCell="B53" sqref="B5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1962</v>
      </c>
      <c r="B2" t="s">
        <v>2</v>
      </c>
    </row>
    <row r="3" spans="1:2" x14ac:dyDescent="0.25">
      <c r="A3">
        <v>1963</v>
      </c>
      <c r="B3" t="s">
        <v>2</v>
      </c>
    </row>
    <row r="4" spans="1:2" x14ac:dyDescent="0.25">
      <c r="A4">
        <v>1964</v>
      </c>
      <c r="B4" t="s">
        <v>3</v>
      </c>
    </row>
    <row r="5" spans="1:2" x14ac:dyDescent="0.25">
      <c r="A5">
        <v>1965</v>
      </c>
      <c r="B5" t="s">
        <v>4</v>
      </c>
    </row>
    <row r="6" spans="1:2" x14ac:dyDescent="0.25">
      <c r="A6">
        <v>1966</v>
      </c>
      <c r="B6" t="s">
        <v>4</v>
      </c>
    </row>
    <row r="7" spans="1:2" x14ac:dyDescent="0.25">
      <c r="A7">
        <v>1967</v>
      </c>
      <c r="B7" t="s">
        <v>5</v>
      </c>
    </row>
    <row r="8" spans="1:2" x14ac:dyDescent="0.25">
      <c r="A8">
        <v>1968</v>
      </c>
      <c r="B8" t="s">
        <v>6</v>
      </c>
    </row>
    <row r="9" spans="1:2" x14ac:dyDescent="0.25">
      <c r="A9">
        <v>1969</v>
      </c>
      <c r="B9" t="s">
        <v>7</v>
      </c>
    </row>
    <row r="10" spans="1:2" x14ac:dyDescent="0.25">
      <c r="A10">
        <v>1970</v>
      </c>
      <c r="B10" t="s">
        <v>8</v>
      </c>
    </row>
    <row r="11" spans="1:2" x14ac:dyDescent="0.25">
      <c r="A11">
        <v>1971</v>
      </c>
      <c r="B11" t="s">
        <v>9</v>
      </c>
    </row>
    <row r="12" spans="1:2" x14ac:dyDescent="0.25">
      <c r="A12">
        <v>1972</v>
      </c>
      <c r="B12" t="s">
        <v>10</v>
      </c>
    </row>
    <row r="13" spans="1:2" x14ac:dyDescent="0.25">
      <c r="A13">
        <v>1973</v>
      </c>
      <c r="B13" t="s">
        <v>11</v>
      </c>
    </row>
    <row r="14" spans="1:2" x14ac:dyDescent="0.25">
      <c r="A14">
        <v>1974</v>
      </c>
      <c r="B14" t="s">
        <v>12</v>
      </c>
    </row>
    <row r="15" spans="1:2" x14ac:dyDescent="0.25">
      <c r="A15">
        <v>1975</v>
      </c>
      <c r="B15" t="s">
        <v>13</v>
      </c>
    </row>
    <row r="16" spans="1:2" x14ac:dyDescent="0.25">
      <c r="A16">
        <v>1976</v>
      </c>
      <c r="B16" t="s">
        <v>14</v>
      </c>
    </row>
    <row r="17" spans="1:2" x14ac:dyDescent="0.25">
      <c r="A17">
        <v>1977</v>
      </c>
      <c r="B17" t="s">
        <v>15</v>
      </c>
    </row>
    <row r="18" spans="1:2" x14ac:dyDescent="0.25">
      <c r="A18">
        <v>1978</v>
      </c>
      <c r="B18" t="s">
        <v>16</v>
      </c>
    </row>
    <row r="19" spans="1:2" x14ac:dyDescent="0.25">
      <c r="A19">
        <v>1979</v>
      </c>
      <c r="B19" t="s">
        <v>17</v>
      </c>
    </row>
    <row r="20" spans="1:2" x14ac:dyDescent="0.25">
      <c r="A20">
        <v>1980</v>
      </c>
      <c r="B20" t="s">
        <v>18</v>
      </c>
    </row>
    <row r="21" spans="1:2" x14ac:dyDescent="0.25">
      <c r="A21">
        <v>1981</v>
      </c>
      <c r="B21" t="s">
        <v>19</v>
      </c>
    </row>
    <row r="22" spans="1:2" x14ac:dyDescent="0.25">
      <c r="A22">
        <v>1982</v>
      </c>
      <c r="B22" t="s">
        <v>20</v>
      </c>
    </row>
    <row r="23" spans="1:2" x14ac:dyDescent="0.25">
      <c r="A23">
        <v>1983</v>
      </c>
      <c r="B23" t="s">
        <v>21</v>
      </c>
    </row>
    <row r="24" spans="1:2" x14ac:dyDescent="0.25">
      <c r="A24">
        <v>1984</v>
      </c>
      <c r="B24" t="s">
        <v>22</v>
      </c>
    </row>
    <row r="25" spans="1:2" x14ac:dyDescent="0.25">
      <c r="A25">
        <v>1985</v>
      </c>
      <c r="B25" t="s">
        <v>23</v>
      </c>
    </row>
    <row r="26" spans="1:2" x14ac:dyDescent="0.25">
      <c r="A26">
        <v>1986</v>
      </c>
      <c r="B26" t="s">
        <v>24</v>
      </c>
    </row>
    <row r="27" spans="1:2" x14ac:dyDescent="0.25">
      <c r="A27">
        <v>1987</v>
      </c>
      <c r="B27" t="s">
        <v>25</v>
      </c>
    </row>
    <row r="28" spans="1:2" x14ac:dyDescent="0.25">
      <c r="A28">
        <v>1988</v>
      </c>
      <c r="B28" t="s">
        <v>26</v>
      </c>
    </row>
    <row r="29" spans="1:2" x14ac:dyDescent="0.25">
      <c r="A29">
        <v>1989</v>
      </c>
      <c r="B29" t="s">
        <v>27</v>
      </c>
    </row>
    <row r="30" spans="1:2" x14ac:dyDescent="0.25">
      <c r="A30">
        <v>1990</v>
      </c>
      <c r="B30" t="s">
        <v>28</v>
      </c>
    </row>
    <row r="31" spans="1:2" x14ac:dyDescent="0.25">
      <c r="A31">
        <v>1991</v>
      </c>
      <c r="B31" t="s">
        <v>29</v>
      </c>
    </row>
    <row r="32" spans="1:2" x14ac:dyDescent="0.25">
      <c r="A32">
        <v>1992</v>
      </c>
      <c r="B32" t="s">
        <v>30</v>
      </c>
    </row>
    <row r="33" spans="1:2" x14ac:dyDescent="0.25">
      <c r="A33">
        <v>1993</v>
      </c>
      <c r="B33" t="s">
        <v>31</v>
      </c>
    </row>
    <row r="34" spans="1:2" x14ac:dyDescent="0.25">
      <c r="A34">
        <v>1994</v>
      </c>
      <c r="B34" t="s">
        <v>32</v>
      </c>
    </row>
    <row r="35" spans="1:2" x14ac:dyDescent="0.25">
      <c r="A35">
        <v>1995</v>
      </c>
      <c r="B35" t="s">
        <v>33</v>
      </c>
    </row>
    <row r="36" spans="1:2" x14ac:dyDescent="0.25">
      <c r="A36">
        <v>1996</v>
      </c>
      <c r="B36" t="s">
        <v>34</v>
      </c>
    </row>
    <row r="37" spans="1:2" x14ac:dyDescent="0.25">
      <c r="A37">
        <v>1997</v>
      </c>
      <c r="B37" t="s">
        <v>35</v>
      </c>
    </row>
    <row r="38" spans="1:2" x14ac:dyDescent="0.25">
      <c r="A38">
        <v>1998</v>
      </c>
      <c r="B38" t="s">
        <v>36</v>
      </c>
    </row>
    <row r="39" spans="1:2" x14ac:dyDescent="0.25">
      <c r="A39">
        <v>1999</v>
      </c>
      <c r="B39" t="s">
        <v>37</v>
      </c>
    </row>
    <row r="40" spans="1:2" x14ac:dyDescent="0.25">
      <c r="A40">
        <v>2000</v>
      </c>
      <c r="B40" t="s">
        <v>38</v>
      </c>
    </row>
    <row r="41" spans="1:2" x14ac:dyDescent="0.25">
      <c r="A41">
        <v>2001</v>
      </c>
      <c r="B41" t="s">
        <v>39</v>
      </c>
    </row>
    <row r="42" spans="1:2" x14ac:dyDescent="0.25">
      <c r="A42">
        <v>2002</v>
      </c>
      <c r="B42" t="s">
        <v>40</v>
      </c>
    </row>
    <row r="43" spans="1:2" x14ac:dyDescent="0.25">
      <c r="A43">
        <v>2003</v>
      </c>
      <c r="B43" t="s">
        <v>41</v>
      </c>
    </row>
    <row r="44" spans="1:2" x14ac:dyDescent="0.25">
      <c r="A44">
        <v>2004</v>
      </c>
      <c r="B44" t="s">
        <v>42</v>
      </c>
    </row>
    <row r="45" spans="1:2" x14ac:dyDescent="0.25">
      <c r="A45">
        <v>2005</v>
      </c>
      <c r="B45" t="s">
        <v>43</v>
      </c>
    </row>
    <row r="46" spans="1:2" x14ac:dyDescent="0.25">
      <c r="A46">
        <v>2006</v>
      </c>
      <c r="B46" t="s">
        <v>44</v>
      </c>
    </row>
    <row r="47" spans="1:2" x14ac:dyDescent="0.25">
      <c r="A47">
        <v>2007</v>
      </c>
      <c r="B47" t="s">
        <v>45</v>
      </c>
    </row>
    <row r="48" spans="1:2" x14ac:dyDescent="0.25">
      <c r="A48">
        <v>2008</v>
      </c>
      <c r="B48" t="s">
        <v>46</v>
      </c>
    </row>
    <row r="49" spans="1:2" x14ac:dyDescent="0.25">
      <c r="A49">
        <v>2009</v>
      </c>
      <c r="B49" t="s">
        <v>47</v>
      </c>
    </row>
    <row r="50" spans="1:2" x14ac:dyDescent="0.25">
      <c r="A50">
        <v>2010</v>
      </c>
      <c r="B50" t="s">
        <v>48</v>
      </c>
    </row>
    <row r="51" spans="1:2" x14ac:dyDescent="0.25">
      <c r="A51">
        <v>2011</v>
      </c>
      <c r="B51" t="s">
        <v>49</v>
      </c>
    </row>
    <row r="52" spans="1:2" x14ac:dyDescent="0.25">
      <c r="A52">
        <v>2012</v>
      </c>
      <c r="B52" t="s">
        <v>50</v>
      </c>
    </row>
    <row r="53" spans="1:2" x14ac:dyDescent="0.25">
      <c r="A53">
        <v>2013</v>
      </c>
      <c r="B53" t="s">
        <v>51</v>
      </c>
    </row>
    <row r="54" spans="1:2" x14ac:dyDescent="0.25">
      <c r="A54">
        <v>2014</v>
      </c>
      <c r="B54" t="s">
        <v>52</v>
      </c>
    </row>
    <row r="55" spans="1:2" x14ac:dyDescent="0.25">
      <c r="A55">
        <v>2015</v>
      </c>
      <c r="B55" t="s">
        <v>53</v>
      </c>
    </row>
    <row r="56" spans="1:2" x14ac:dyDescent="0.25">
      <c r="A56">
        <v>2016</v>
      </c>
      <c r="B56" t="s">
        <v>54</v>
      </c>
    </row>
    <row r="57" spans="1:2" x14ac:dyDescent="0.25">
      <c r="A57">
        <v>2017</v>
      </c>
      <c r="B57" t="s">
        <v>55</v>
      </c>
    </row>
    <row r="58" spans="1:2" x14ac:dyDescent="0.25">
      <c r="A58">
        <v>2018</v>
      </c>
      <c r="B58" t="s">
        <v>56</v>
      </c>
    </row>
    <row r="59" spans="1:2" x14ac:dyDescent="0.25">
      <c r="A59">
        <v>2019</v>
      </c>
      <c r="B59" t="s">
        <v>57</v>
      </c>
    </row>
    <row r="60" spans="1:2" x14ac:dyDescent="0.25">
      <c r="A60">
        <v>2020</v>
      </c>
      <c r="B60" t="s">
        <v>58</v>
      </c>
    </row>
    <row r="61" spans="1:2" x14ac:dyDescent="0.25">
      <c r="A61">
        <v>2021</v>
      </c>
      <c r="B61" t="s">
        <v>59</v>
      </c>
    </row>
    <row r="62" spans="1:2" x14ac:dyDescent="0.25">
      <c r="A62">
        <v>2022</v>
      </c>
      <c r="B62" t="s">
        <v>60</v>
      </c>
    </row>
    <row r="63" spans="1:2" x14ac:dyDescent="0.25">
      <c r="A63">
        <v>2023</v>
      </c>
      <c r="B63" t="s">
        <v>61</v>
      </c>
    </row>
    <row r="64" spans="1:2" x14ac:dyDescent="0.25">
      <c r="A64">
        <v>2024</v>
      </c>
      <c r="B64" t="s">
        <v>62</v>
      </c>
    </row>
    <row r="65" spans="1:2" x14ac:dyDescent="0.25">
      <c r="A65" t="s">
        <v>63</v>
      </c>
      <c r="B65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FBDC-1E2C-4B8A-8A57-3D6FA78D1938}">
  <dimension ref="A1:X24"/>
  <sheetViews>
    <sheetView tabSelected="1" zoomScale="85" zoomScaleNormal="85" workbookViewId="0">
      <selection activeCell="E16" sqref="E16"/>
    </sheetView>
  </sheetViews>
  <sheetFormatPr defaultRowHeight="15" x14ac:dyDescent="0.25"/>
  <cols>
    <col min="1" max="1" width="29.7109375" bestFit="1" customWidth="1"/>
    <col min="2" max="2" width="16.28515625" style="6" bestFit="1" customWidth="1"/>
    <col min="3" max="5" width="13.28515625" bestFit="1" customWidth="1"/>
  </cols>
  <sheetData>
    <row r="1" spans="1:24" ht="24" x14ac:dyDescent="0.25">
      <c r="A1" s="1" t="s">
        <v>65</v>
      </c>
      <c r="B1" s="4" t="s">
        <v>121</v>
      </c>
    </row>
    <row r="2" spans="1:24" x14ac:dyDescent="0.25">
      <c r="A2" s="2" t="s">
        <v>66</v>
      </c>
      <c r="B2" s="5">
        <v>5331619</v>
      </c>
      <c r="C2" s="7"/>
      <c r="E2" s="7">
        <f>SUM(E3:E12)</f>
        <v>4174007</v>
      </c>
    </row>
    <row r="3" spans="1:24" ht="36" x14ac:dyDescent="0.25">
      <c r="A3" s="2" t="s">
        <v>67</v>
      </c>
      <c r="B3" s="5">
        <v>251531</v>
      </c>
      <c r="C3" s="7"/>
      <c r="D3" s="2" t="s">
        <v>67</v>
      </c>
      <c r="E3" s="5">
        <v>251531</v>
      </c>
    </row>
    <row r="4" spans="1:24" ht="36" x14ac:dyDescent="0.25">
      <c r="A4" s="2" t="s">
        <v>68</v>
      </c>
      <c r="B4" s="5">
        <v>3038891</v>
      </c>
      <c r="D4" s="2" t="s">
        <v>68</v>
      </c>
      <c r="E4" s="5">
        <v>3038891</v>
      </c>
    </row>
    <row r="5" spans="1:24" x14ac:dyDescent="0.25">
      <c r="A5" s="2" t="s">
        <v>69</v>
      </c>
      <c r="B5" s="5">
        <v>1007275</v>
      </c>
      <c r="C5" s="7"/>
    </row>
    <row r="6" spans="1:24" x14ac:dyDescent="0.25">
      <c r="A6" s="2" t="s">
        <v>70</v>
      </c>
      <c r="B6" s="5">
        <v>626051</v>
      </c>
      <c r="C6" s="7"/>
    </row>
    <row r="7" spans="1:24" x14ac:dyDescent="0.25">
      <c r="A7" s="2" t="s">
        <v>71</v>
      </c>
      <c r="B7" s="5">
        <v>-748758</v>
      </c>
    </row>
    <row r="8" spans="1:24" x14ac:dyDescent="0.25">
      <c r="A8" s="2" t="s">
        <v>72</v>
      </c>
      <c r="B8" s="5">
        <v>41685</v>
      </c>
    </row>
    <row r="9" spans="1:24" ht="36" x14ac:dyDescent="0.25">
      <c r="A9" s="2" t="s">
        <v>73</v>
      </c>
      <c r="B9" s="5">
        <v>300262</v>
      </c>
      <c r="C9" s="7"/>
      <c r="D9" s="2" t="s">
        <v>73</v>
      </c>
      <c r="E9" s="5">
        <v>300262</v>
      </c>
    </row>
    <row r="10" spans="1:24" x14ac:dyDescent="0.25">
      <c r="A10" s="2" t="s">
        <v>74</v>
      </c>
      <c r="B10" s="5">
        <v>87519</v>
      </c>
      <c r="C10" s="7"/>
    </row>
    <row r="11" spans="1:24" x14ac:dyDescent="0.25">
      <c r="A11" s="2" t="s">
        <v>75</v>
      </c>
      <c r="B11" s="5">
        <v>14384</v>
      </c>
      <c r="C11" s="7"/>
    </row>
    <row r="12" spans="1:24" ht="24" x14ac:dyDescent="0.25">
      <c r="A12" s="2" t="s">
        <v>76</v>
      </c>
      <c r="B12" s="5">
        <v>583323</v>
      </c>
      <c r="D12" s="2" t="s">
        <v>76</v>
      </c>
      <c r="E12" s="5">
        <v>583323</v>
      </c>
    </row>
    <row r="13" spans="1:24" x14ac:dyDescent="0.25">
      <c r="A13" s="2" t="s">
        <v>77</v>
      </c>
      <c r="B13" s="5">
        <v>1817361</v>
      </c>
    </row>
    <row r="14" spans="1:24" x14ac:dyDescent="0.25">
      <c r="A14" s="2" t="s">
        <v>78</v>
      </c>
      <c r="B14" s="5">
        <v>759723</v>
      </c>
      <c r="C14" s="7"/>
      <c r="N14" s="2" t="s">
        <v>80</v>
      </c>
      <c r="O14" s="2" t="s">
        <v>81</v>
      </c>
      <c r="P14" s="2" t="s">
        <v>82</v>
      </c>
      <c r="Q14" s="2" t="s">
        <v>83</v>
      </c>
      <c r="R14" s="2" t="s">
        <v>84</v>
      </c>
      <c r="S14" s="2" t="s">
        <v>85</v>
      </c>
      <c r="T14" s="2" t="s">
        <v>86</v>
      </c>
      <c r="U14" s="2" t="s">
        <v>87</v>
      </c>
      <c r="V14" s="2" t="s">
        <v>88</v>
      </c>
      <c r="W14" s="2" t="s">
        <v>89</v>
      </c>
      <c r="X14" s="2" t="s">
        <v>90</v>
      </c>
    </row>
    <row r="15" spans="1:24" x14ac:dyDescent="0.25">
      <c r="A15" s="2" t="s">
        <v>79</v>
      </c>
      <c r="B15" s="5">
        <v>2956657</v>
      </c>
      <c r="C15" s="7"/>
      <c r="D15" s="7"/>
      <c r="E15" s="7">
        <f>E9+E3</f>
        <v>551793</v>
      </c>
      <c r="N15" s="2" t="s">
        <v>91</v>
      </c>
      <c r="O15" s="2" t="s">
        <v>92</v>
      </c>
      <c r="P15" s="2" t="s">
        <v>93</v>
      </c>
      <c r="Q15" s="2" t="s">
        <v>94</v>
      </c>
      <c r="R15" s="2" t="s">
        <v>95</v>
      </c>
      <c r="S15" s="2" t="s">
        <v>96</v>
      </c>
      <c r="T15" s="2" t="s">
        <v>97</v>
      </c>
      <c r="U15" s="2" t="s">
        <v>98</v>
      </c>
      <c r="V15" s="2" t="s">
        <v>99</v>
      </c>
      <c r="W15" s="2" t="s">
        <v>100</v>
      </c>
      <c r="X15" s="2" t="s">
        <v>101</v>
      </c>
    </row>
    <row r="16" spans="1:24" x14ac:dyDescent="0.25">
      <c r="B16"/>
      <c r="N16" s="2" t="s">
        <v>102</v>
      </c>
      <c r="O16" s="2" t="s">
        <v>103</v>
      </c>
      <c r="P16" s="2" t="s">
        <v>104</v>
      </c>
      <c r="Q16" s="2" t="s">
        <v>103</v>
      </c>
      <c r="R16" s="2" t="s">
        <v>105</v>
      </c>
      <c r="S16" s="2" t="s">
        <v>106</v>
      </c>
      <c r="T16" s="2" t="s">
        <v>107</v>
      </c>
      <c r="U16" s="2" t="s">
        <v>108</v>
      </c>
      <c r="V16" s="2" t="s">
        <v>109</v>
      </c>
      <c r="W16" s="2" t="s">
        <v>110</v>
      </c>
      <c r="X16" s="2" t="s">
        <v>111</v>
      </c>
    </row>
    <row r="17" spans="1:24" x14ac:dyDescent="0.25">
      <c r="A17" s="2" t="s">
        <v>80</v>
      </c>
      <c r="B17" s="2">
        <v>0.71099999999999997</v>
      </c>
      <c r="N17" s="2" t="s">
        <v>112</v>
      </c>
      <c r="O17" s="2" t="s">
        <v>113</v>
      </c>
      <c r="P17" s="2" t="s">
        <v>93</v>
      </c>
      <c r="Q17" s="2" t="s">
        <v>114</v>
      </c>
      <c r="R17" s="2" t="s">
        <v>115</v>
      </c>
      <c r="S17" s="2" t="s">
        <v>116</v>
      </c>
      <c r="T17" s="2" t="s">
        <v>115</v>
      </c>
      <c r="U17" s="2" t="s">
        <v>117</v>
      </c>
      <c r="V17" s="2" t="s">
        <v>113</v>
      </c>
      <c r="W17" s="2" t="s">
        <v>118</v>
      </c>
      <c r="X17" s="2" t="s">
        <v>119</v>
      </c>
    </row>
    <row r="18" spans="1:24" ht="24" x14ac:dyDescent="0.25">
      <c r="A18" s="2" t="s">
        <v>91</v>
      </c>
      <c r="B18" s="2">
        <v>0.109</v>
      </c>
      <c r="N18" s="2" t="s">
        <v>120</v>
      </c>
      <c r="O18" s="3">
        <v>1787</v>
      </c>
      <c r="P18" s="3">
        <v>1802</v>
      </c>
      <c r="Q18" s="3">
        <v>1788</v>
      </c>
      <c r="R18" s="3">
        <v>1778</v>
      </c>
      <c r="S18" s="3">
        <v>1791</v>
      </c>
      <c r="T18" s="3">
        <v>1767</v>
      </c>
      <c r="U18" s="3">
        <v>1791</v>
      </c>
      <c r="V18" s="3">
        <v>1780</v>
      </c>
      <c r="W18" s="3">
        <v>1721</v>
      </c>
      <c r="X18" s="3">
        <v>1715</v>
      </c>
    </row>
    <row r="19" spans="1:24" x14ac:dyDescent="0.25">
      <c r="A19" s="2" t="s">
        <v>102</v>
      </c>
      <c r="B19" s="2">
        <v>0.34100000000000003</v>
      </c>
    </row>
    <row r="20" spans="1:24" x14ac:dyDescent="0.25">
      <c r="A20" s="2" t="s">
        <v>112</v>
      </c>
      <c r="B20" s="2">
        <v>0.123</v>
      </c>
    </row>
    <row r="21" spans="1:24" x14ac:dyDescent="0.25">
      <c r="A21" s="2" t="s">
        <v>120</v>
      </c>
      <c r="B21" s="3">
        <v>1.778</v>
      </c>
    </row>
    <row r="23" spans="1:24" x14ac:dyDescent="0.25">
      <c r="B23" s="6">
        <f>B3+B9</f>
        <v>551793</v>
      </c>
    </row>
    <row r="24" spans="1:24" x14ac:dyDescent="0.25">
      <c r="B24" s="6">
        <f>B23/B2</f>
        <v>0.10349445449871793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STP-20250428091732594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2025-04-28T15:14:51Z</dcterms:created>
  <dcterms:modified xsi:type="dcterms:W3CDTF">2025-04-28T15:14:51Z</dcterms:modified>
</cp:coreProperties>
</file>